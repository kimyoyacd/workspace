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대시보드" sheetId="1" state="visible" r:id="rId1"/>
    <sheet name="②업무마스터" sheetId="2" state="visible" r:id="rId2"/>
    <sheet name="③실별현황" sheetId="3" state="visible" r:id="rId3"/>
    <sheet name="④설정" sheetId="4" state="visible" r:id="rId4"/>
    <sheet name="⑤비나시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0.000"/>
    <numFmt numFmtId="166" formatCode="d"/>
    <numFmt numFmtId="167" formatCode="0.0##"/>
    <numFmt numFmtId="168" formatCode="0.0"/>
    <numFmt numFmtId="169" formatCode="yyyy-mm"/>
  </numFmts>
  <fonts count="20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0000FF"/>
      <sz val="9"/>
    </font>
    <font>
      <name val="Arial"/>
      <b val="1"/>
      <color rgb="000000FF"/>
      <sz val="11"/>
    </font>
    <font>
      <name val="Arial"/>
      <color rgb="00C00000"/>
      <sz val="8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0000FF"/>
      <sz val="9"/>
    </font>
    <font>
      <name val="Arial"/>
      <color rgb="009DC3E6"/>
      <sz val="8"/>
    </font>
    <font>
      <name val="Arial"/>
      <color rgb="00666666"/>
      <sz val="8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b val="1"/>
      <color rgb="00C0392B"/>
      <sz val="11"/>
    </font>
    <font>
      <name val="Arial"/>
      <color rgb="00777777"/>
      <sz val="9"/>
    </font>
  </fonts>
  <fills count="12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FF6B35"/>
      </patternFill>
    </fill>
    <fill>
      <patternFill patternType="solid">
        <fgColor rgb="002E7D32"/>
      </patternFill>
    </fill>
    <fill>
      <patternFill patternType="solid">
        <fgColor rgb="005B2C8D"/>
      </patternFill>
    </fill>
    <fill>
      <patternFill patternType="solid">
        <fgColor rgb="000B6E99"/>
      </patternFill>
    </fill>
    <fill>
      <patternFill patternType="solid">
        <fgColor rgb="00FDE9D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5" fillId="5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4" fillId="2" borderId="1" pivotButton="0" quotePrefix="0" xfId="0"/>
    <xf numFmtId="164" fontId="5" fillId="3" borderId="1" applyAlignment="1" pivotButton="0" quotePrefix="0" xfId="0">
      <alignment horizontal="center" vertical="center"/>
    </xf>
    <xf numFmtId="169" fontId="5" fillId="3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1" fontId="17" fillId="0" borderId="1" applyAlignment="1" pivotButton="0" quotePrefix="0" xfId="0">
      <alignment horizontal="center" vertical="center"/>
    </xf>
    <xf numFmtId="168" fontId="17" fillId="0" borderId="1" applyAlignment="1" pivotButton="0" quotePrefix="0" xfId="0">
      <alignment horizontal="center" vertical="center"/>
    </xf>
    <xf numFmtId="2" fontId="17" fillId="0" borderId="1" applyAlignment="1" pivotButton="0" quotePrefix="0" xfId="0">
      <alignment horizontal="center" vertical="center"/>
    </xf>
    <xf numFmtId="1" fontId="18" fillId="0" borderId="1" applyAlignment="1" pivotButton="0" quotePrefix="0" xfId="0">
      <alignment horizontal="center" vertical="center"/>
    </xf>
    <xf numFmtId="9" fontId="17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166" fontId="11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7" fontId="12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69" fontId="4" fillId="3" borderId="1" applyAlignment="1" pivotButton="0" quotePrefix="0" xfId="0">
      <alignment horizontal="center" vertical="center"/>
    </xf>
    <xf numFmtId="1" fontId="4" fillId="11" borderId="1" applyAlignment="1" pivotButton="0" quotePrefix="0" xfId="0">
      <alignment horizontal="center" vertical="center"/>
    </xf>
    <xf numFmtId="168" fontId="4" fillId="11" borderId="1" applyAlignment="1" pivotButton="0" quotePrefix="0" xfId="0">
      <alignment horizontal="center" vertical="center"/>
    </xf>
    <xf numFmtId="9" fontId="4" fillId="11" borderId="1" applyAlignment="1" pivotButton="0" quotePrefix="0" xfId="0">
      <alignment horizontal="center" vertical="center"/>
    </xf>
    <xf numFmtId="0" fontId="1" fillId="2" borderId="1" pivotButton="0" quotePrefix="0" xfId="0"/>
    <xf numFmtId="164" fontId="1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1" fontId="7" fillId="4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" fontId="6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/>
    </xf>
    <xf numFmtId="3" fontId="19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ont>
        <name val="Arial"/>
        <color rgb="009DC3E6"/>
        <sz val="8"/>
      </font>
      <fill>
        <patternFill patternType="solid">
          <fgColor rgb="009DC3E6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B35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AI 파이프라인 리소스 대시보드</t>
        </is>
      </c>
      <c r="B1" s="2" t="n"/>
      <c r="C1" s="2" t="n"/>
      <c r="D1" s="2" t="n"/>
      <c r="E1" s="2" t="n"/>
      <c r="F1" s="3" t="n"/>
    </row>
    <row r="2">
      <c r="A2" s="4" t="inlineStr">
        <is>
          <t>기준일</t>
        </is>
      </c>
      <c r="B2" s="5">
        <f>'④설정'!B1</f>
        <v/>
      </c>
      <c r="C2" s="4" t="inlineStr">
        <is>
          <t>대상월</t>
        </is>
      </c>
      <c r="D2" s="6">
        <f>'④설정'!B2</f>
        <v/>
      </c>
    </row>
    <row r="4">
      <c r="A4" s="7" t="inlineStr">
        <is>
          <t>■ 핵심 지표</t>
        </is>
      </c>
      <c r="B4" s="2" t="n"/>
      <c r="C4" s="2" t="n"/>
      <c r="D4" s="2" t="n"/>
      <c r="E4" s="2" t="n"/>
      <c r="F4" s="3" t="n"/>
    </row>
    <row r="5">
      <c r="A5" s="8" t="inlineStr">
        <is>
          <t>등록 업무(건)</t>
        </is>
      </c>
      <c r="B5" s="9">
        <f>COUNTA('②업무마스터'!$A$4:$A$48)</f>
        <v/>
      </c>
      <c r="C5" s="3" t="n"/>
    </row>
    <row r="6">
      <c r="A6" s="8" t="inlineStr">
        <is>
          <t>이번달 총 MD</t>
        </is>
      </c>
      <c r="B6" s="10">
        <f>SUMIFS('②업무마스터'!$Q$4:$Q$48,'②업무마스터'!$J$4:$J$48,"&gt;="&amp;'④설정'!$B$2,'②업무마스터'!$J$4:$J$48,"&lt;="&amp;DATE(YEAR('④설정'!$B$2),MONTH('④설정'!$B$2)+1,0))</f>
        <v/>
      </c>
      <c r="C6" s="3" t="n"/>
    </row>
    <row r="7">
      <c r="A7" s="8" t="inlineStr">
        <is>
          <t>이번달 총 MM</t>
        </is>
      </c>
      <c r="B7" s="11">
        <f>B6/'④설정'!$B$3</f>
        <v/>
      </c>
      <c r="C7" s="3" t="n"/>
    </row>
    <row r="8">
      <c r="A8" s="8" t="inlineStr">
        <is>
          <t>오늘 병렬진행</t>
        </is>
      </c>
      <c r="B8" s="9">
        <f>SUMPRODUCT(('②업무마스터'!$H$4:$H$48&lt;&gt;"")*('②업무마스터'!$H$4:$H$48&lt;='④설정'!$B$1)*('②업무마스터'!$J$4:$J$48&gt;='④설정'!$B$1)*('②업무마스터'!$F$4:$F$48&lt;&gt;"완료")*('②업무마스터'!$A$4:$A$48&lt;&gt;""))</f>
        <v/>
      </c>
      <c r="C8" s="3" t="n"/>
    </row>
    <row r="9">
      <c r="A9" s="8" t="inlineStr">
        <is>
          <t>🔴 지연</t>
        </is>
      </c>
      <c r="B9" s="12">
        <f>SUMPRODUCT(('②업무마스터'!$J$4:$J$48&lt;&gt;"")*('②업무마스터'!$J$4:$J$48&lt;'④설정'!$B$1)*('②업무마스터'!$F$4:$F$48&lt;&gt;"완료")*('②업무마스터'!$A$4:$A$48&lt;&gt;""))</f>
        <v/>
      </c>
      <c r="C9" s="3" t="n"/>
    </row>
    <row r="10">
      <c r="A10" s="8" t="inlineStr">
        <is>
          <t>🔴 임박(D-2)</t>
        </is>
      </c>
      <c r="B10" s="12">
        <f>SUMPRODUCT(('②업무마스터'!$J$4:$J$48&gt;='④설정'!$B$1)*('②업무마스터'!$J$4:$J$48&lt;='④설정'!$B$1+2)*('②업무마스터'!$F$4:$F$48&lt;&gt;"완료")*('②업무마스터'!$A$4:$A$48&lt;&gt;""))</f>
        <v/>
      </c>
      <c r="C10" s="3" t="n"/>
    </row>
    <row r="11">
      <c r="A11" s="8" t="inlineStr">
        <is>
          <t>완료율</t>
        </is>
      </c>
      <c r="B11" s="13">
        <f>IFERROR(COUNTIF('②업무마스터'!$F$4:$F$48,"완료")/COUNTA('②업무마스터'!$A$4:$A$48),0)</f>
        <v/>
      </c>
      <c r="C11" s="3" t="n"/>
    </row>
    <row r="14">
      <c r="A14" s="7" t="inlineStr">
        <is>
          <t>■ 실·팀 가동률 요약</t>
        </is>
      </c>
      <c r="B14" s="2" t="n"/>
      <c r="C14" s="2" t="n"/>
      <c r="D14" s="2" t="n"/>
      <c r="E14" s="2" t="n"/>
      <c r="F14" s="3" t="n"/>
    </row>
    <row r="15">
      <c r="A15" s="14" t="inlineStr">
        <is>
          <t>실·팀</t>
        </is>
      </c>
      <c r="B15" s="14" t="inlineStr">
        <is>
          <t>투입MD</t>
        </is>
      </c>
      <c r="C15" s="14" t="inlineStr">
        <is>
          <t>캐파MD</t>
        </is>
      </c>
      <c r="D15" s="14" t="inlineStr">
        <is>
          <t>가동률</t>
        </is>
      </c>
      <c r="E15" s="14" t="inlineStr">
        <is>
          <t>신호</t>
        </is>
      </c>
    </row>
    <row r="16">
      <c r="A16" s="15">
        <f>'③실별현황'!A4</f>
        <v/>
      </c>
      <c r="B16" s="16">
        <f>'③실별현황'!C4</f>
        <v/>
      </c>
      <c r="C16" s="17">
        <f>'③실별현황'!B4</f>
        <v/>
      </c>
      <c r="D16" s="18">
        <f>'③실별현황'!D4</f>
        <v/>
      </c>
      <c r="E16" s="19">
        <f>IF(D16&gt;1,"🔴과부하",IF(D16&gt;0.8,"🟡타이트","🟢여유"))</f>
        <v/>
      </c>
    </row>
    <row r="17">
      <c r="A17" s="15">
        <f>'③실별현황'!A5</f>
        <v/>
      </c>
      <c r="B17" s="16">
        <f>'③실별현황'!C5</f>
        <v/>
      </c>
      <c r="C17" s="17">
        <f>'③실별현황'!B5</f>
        <v/>
      </c>
      <c r="D17" s="18">
        <f>'③실별현황'!D5</f>
        <v/>
      </c>
      <c r="E17" s="19">
        <f>IF(D17&gt;1,"🔴과부하",IF(D17&gt;0.8,"🟡타이트","🟢여유"))</f>
        <v/>
      </c>
    </row>
    <row r="18">
      <c r="A18" s="15">
        <f>'③실별현황'!A6</f>
        <v/>
      </c>
      <c r="B18" s="16">
        <f>'③실별현황'!C6</f>
        <v/>
      </c>
      <c r="C18" s="17">
        <f>'③실별현황'!B6</f>
        <v/>
      </c>
      <c r="D18" s="18">
        <f>'③실별현황'!D6</f>
        <v/>
      </c>
      <c r="E18" s="19">
        <f>IF(D18&gt;1,"🔴과부하",IF(D18&gt;0.8,"🟡타이트","🟢여유"))</f>
        <v/>
      </c>
    </row>
    <row r="19">
      <c r="A19" s="15">
        <f>'③실별현황'!A7</f>
        <v/>
      </c>
      <c r="B19" s="16">
        <f>'③실별현황'!C7</f>
        <v/>
      </c>
      <c r="C19" s="17">
        <f>'③실별현황'!B7</f>
        <v/>
      </c>
      <c r="D19" s="18">
        <f>'③실별현황'!D7</f>
        <v/>
      </c>
      <c r="E19" s="19">
        <f>IF(D19&gt;1,"🔴과부하",IF(D19&gt;0.8,"🟡타이트","🟢여유"))</f>
        <v/>
      </c>
    </row>
    <row r="21">
      <c r="A21" s="20" t="inlineStr">
        <is>
          <t>※ 값 입력은 [②업무마스터] / [④설정] 에서. 이 화면은 전부 자동.</t>
        </is>
      </c>
    </row>
  </sheetData>
  <mergeCells count="11">
    <mergeCell ref="B6:C6"/>
    <mergeCell ref="B7:C7"/>
    <mergeCell ref="B11:C11"/>
    <mergeCell ref="A14:F14"/>
    <mergeCell ref="B5:C5"/>
    <mergeCell ref="A1:F1"/>
    <mergeCell ref="B10:C10"/>
    <mergeCell ref="A4:F4"/>
    <mergeCell ref="B9:C9"/>
    <mergeCell ref="A21:F21"/>
    <mergeCell ref="B8:C8"/>
  </mergeCells>
  <conditionalFormatting sqref="D16:D19">
    <cfRule type="expression" priority="1" dxfId="0">
      <formula>D16&gt;1</formula>
    </cfRule>
    <cfRule type="expression" priority="2" dxfId="1">
      <formula>AND(D16&gt;0.8,D16&lt;=1)</formula>
    </cfRule>
    <cfRule type="expression" priority="3" dxfId="2">
      <formula>AND(D16&gt;0,D16&lt;=0.8)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2A44"/>
    <outlinePr summaryBelow="1" summaryRight="1"/>
    <pageSetUpPr/>
  </sheetPr>
  <dimension ref="A1:AW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9" customWidth="1" min="4" max="4"/>
    <col width="12" customWidth="1" min="5" max="5"/>
    <col width="8" customWidth="1" min="6" max="6"/>
    <col width="7" customWidth="1" min="7" max="7"/>
    <col width="11" customWidth="1" min="8" max="8"/>
    <col width="7" customWidth="1" min="9" max="9"/>
    <col width="11" customWidth="1" min="10" max="10"/>
    <col width="8" customWidth="1" min="11" max="11"/>
    <col width="8" customWidth="1" min="12" max="12"/>
    <col width="8" customWidth="1" min="13" max="13"/>
    <col width="9" customWidth="1" min="14" max="14"/>
    <col width="10" customWidth="1" min="15" max="15"/>
    <col width="8" customWidth="1" min="16" max="16"/>
    <col width="7" customWidth="1" min="17" max="17"/>
    <col width="7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</cols>
  <sheetData>
    <row r="1" ht="26" customHeight="1">
      <c r="A1" s="21" t="inlineStr">
        <is>
          <t>AI 파이프라인 · 통합 리소스 &amp; 스케줄 마스터   (한 행 = 한 업무 / 노란칸 입력 → 마감·D-day·간트 자동)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3" t="n"/>
    </row>
    <row r="2">
      <c r="A2" s="22" t="inlineStr">
        <is>
          <t>업무 정보</t>
        </is>
      </c>
      <c r="B2" s="2" t="n"/>
      <c r="C2" s="2" t="n"/>
      <c r="D2" s="2" t="n"/>
      <c r="E2" s="2" t="n"/>
      <c r="F2" s="3" t="n"/>
      <c r="G2" s="23" t="inlineStr">
        <is>
          <t>스케줄 (자동)</t>
        </is>
      </c>
      <c r="H2" s="2" t="n"/>
      <c r="I2" s="2" t="n"/>
      <c r="J2" s="2" t="n"/>
      <c r="K2" s="2" t="n"/>
      <c r="L2" s="3" t="n"/>
      <c r="M2" s="24" t="inlineStr">
        <is>
          <t>실별 리소스 배분 (MD)</t>
        </is>
      </c>
      <c r="N2" s="2" t="n"/>
      <c r="O2" s="2" t="n"/>
      <c r="P2" s="2" t="n"/>
      <c r="Q2" s="2" t="n"/>
      <c r="R2" s="3" t="n"/>
      <c r="S2" s="25" t="inlineStr">
        <is>
          <t>일자별 진행 (간트 · 자동)</t>
        </is>
      </c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3" t="n"/>
    </row>
    <row r="3" ht="22" customHeight="1">
      <c r="A3" s="14" t="inlineStr">
        <is>
          <t>프로젝트</t>
        </is>
      </c>
      <c r="B3" s="14" t="inlineStr">
        <is>
          <t>소재명 / 타이틀</t>
        </is>
      </c>
      <c r="C3" s="14" t="inlineStr">
        <is>
          <t>유형</t>
        </is>
      </c>
      <c r="D3" s="14" t="inlineStr">
        <is>
          <t>규격</t>
        </is>
      </c>
      <c r="E3" s="14" t="inlineStr">
        <is>
          <t>주관실</t>
        </is>
      </c>
      <c r="F3" s="14" t="inlineStr">
        <is>
          <t>상태</t>
        </is>
      </c>
      <c r="G3" s="14" t="inlineStr">
        <is>
          <t>진척%</t>
        </is>
      </c>
      <c r="H3" s="14" t="inlineStr">
        <is>
          <t>시작일</t>
        </is>
      </c>
      <c r="I3" s="14" t="inlineStr">
        <is>
          <t>소요일</t>
        </is>
      </c>
      <c r="J3" s="14" t="inlineStr">
        <is>
          <t>마감예상</t>
        </is>
      </c>
      <c r="K3" s="14" t="inlineStr">
        <is>
          <t>D-day</t>
        </is>
      </c>
      <c r="L3" s="14" t="inlineStr">
        <is>
          <t>신호</t>
        </is>
      </c>
      <c r="M3" s="14" t="inlineStr">
        <is>
          <t>기획MD</t>
        </is>
      </c>
      <c r="N3" s="14" t="inlineStr">
        <is>
          <t>디자인MD</t>
        </is>
      </c>
      <c r="O3" s="14" t="inlineStr">
        <is>
          <t>MAX영상MD</t>
        </is>
      </c>
      <c r="P3" s="14" t="inlineStr">
        <is>
          <t>VINA_MD</t>
        </is>
      </c>
      <c r="Q3" s="14" t="inlineStr">
        <is>
          <t>총MD</t>
        </is>
      </c>
      <c r="R3" s="14" t="inlineStr">
        <is>
          <t>MM</t>
        </is>
      </c>
      <c r="S3" s="26">
        <f>IF( ('④설정'!$B$2+0) &lt;= DATE(YEAR('④설정'!$B$2),MONTH('④설정'!$B$2)+1,0), '④설정'!$B$2+0, "")</f>
        <v/>
      </c>
      <c r="T3" s="26">
        <f>IF( ('④설정'!$B$2+1) &lt;= DATE(YEAR('④설정'!$B$2),MONTH('④설정'!$B$2)+1,0), '④설정'!$B$2+1, "")</f>
        <v/>
      </c>
      <c r="U3" s="26">
        <f>IF( ('④설정'!$B$2+2) &lt;= DATE(YEAR('④설정'!$B$2),MONTH('④설정'!$B$2)+1,0), '④설정'!$B$2+2, "")</f>
        <v/>
      </c>
      <c r="V3" s="26">
        <f>IF( ('④설정'!$B$2+3) &lt;= DATE(YEAR('④설정'!$B$2),MONTH('④설정'!$B$2)+1,0), '④설정'!$B$2+3, "")</f>
        <v/>
      </c>
      <c r="W3" s="26">
        <f>IF( ('④설정'!$B$2+4) &lt;= DATE(YEAR('④설정'!$B$2),MONTH('④설정'!$B$2)+1,0), '④설정'!$B$2+4, "")</f>
        <v/>
      </c>
      <c r="X3" s="26">
        <f>IF( ('④설정'!$B$2+5) &lt;= DATE(YEAR('④설정'!$B$2),MONTH('④설정'!$B$2)+1,0), '④설정'!$B$2+5, "")</f>
        <v/>
      </c>
      <c r="Y3" s="26">
        <f>IF( ('④설정'!$B$2+6) &lt;= DATE(YEAR('④설정'!$B$2),MONTH('④설정'!$B$2)+1,0), '④설정'!$B$2+6, "")</f>
        <v/>
      </c>
      <c r="Z3" s="26">
        <f>IF( ('④설정'!$B$2+7) &lt;= DATE(YEAR('④설정'!$B$2),MONTH('④설정'!$B$2)+1,0), '④설정'!$B$2+7, "")</f>
        <v/>
      </c>
      <c r="AA3" s="26">
        <f>IF( ('④설정'!$B$2+8) &lt;= DATE(YEAR('④설정'!$B$2),MONTH('④설정'!$B$2)+1,0), '④설정'!$B$2+8, "")</f>
        <v/>
      </c>
      <c r="AB3" s="26">
        <f>IF( ('④설정'!$B$2+9) &lt;= DATE(YEAR('④설정'!$B$2),MONTH('④설정'!$B$2)+1,0), '④설정'!$B$2+9, "")</f>
        <v/>
      </c>
      <c r="AC3" s="26">
        <f>IF( ('④설정'!$B$2+10) &lt;= DATE(YEAR('④설정'!$B$2),MONTH('④설정'!$B$2)+1,0), '④설정'!$B$2+10, "")</f>
        <v/>
      </c>
      <c r="AD3" s="26">
        <f>IF( ('④설정'!$B$2+11) &lt;= DATE(YEAR('④설정'!$B$2),MONTH('④설정'!$B$2)+1,0), '④설정'!$B$2+11, "")</f>
        <v/>
      </c>
      <c r="AE3" s="26">
        <f>IF( ('④설정'!$B$2+12) &lt;= DATE(YEAR('④설정'!$B$2),MONTH('④설정'!$B$2)+1,0), '④설정'!$B$2+12, "")</f>
        <v/>
      </c>
      <c r="AF3" s="26">
        <f>IF( ('④설정'!$B$2+13) &lt;= DATE(YEAR('④설정'!$B$2),MONTH('④설정'!$B$2)+1,0), '④설정'!$B$2+13, "")</f>
        <v/>
      </c>
      <c r="AG3" s="26">
        <f>IF( ('④설정'!$B$2+14) &lt;= DATE(YEAR('④설정'!$B$2),MONTH('④설정'!$B$2)+1,0), '④설정'!$B$2+14, "")</f>
        <v/>
      </c>
      <c r="AH3" s="26">
        <f>IF( ('④설정'!$B$2+15) &lt;= DATE(YEAR('④설정'!$B$2),MONTH('④설정'!$B$2)+1,0), '④설정'!$B$2+15, "")</f>
        <v/>
      </c>
      <c r="AI3" s="26">
        <f>IF( ('④설정'!$B$2+16) &lt;= DATE(YEAR('④설정'!$B$2),MONTH('④설정'!$B$2)+1,0), '④설정'!$B$2+16, "")</f>
        <v/>
      </c>
      <c r="AJ3" s="26">
        <f>IF( ('④설정'!$B$2+17) &lt;= DATE(YEAR('④설정'!$B$2),MONTH('④설정'!$B$2)+1,0), '④설정'!$B$2+17, "")</f>
        <v/>
      </c>
      <c r="AK3" s="26">
        <f>IF( ('④설정'!$B$2+18) &lt;= DATE(YEAR('④설정'!$B$2),MONTH('④설정'!$B$2)+1,0), '④설정'!$B$2+18, "")</f>
        <v/>
      </c>
      <c r="AL3" s="26">
        <f>IF( ('④설정'!$B$2+19) &lt;= DATE(YEAR('④설정'!$B$2),MONTH('④설정'!$B$2)+1,0), '④설정'!$B$2+19, "")</f>
        <v/>
      </c>
      <c r="AM3" s="26">
        <f>IF( ('④설정'!$B$2+20) &lt;= DATE(YEAR('④설정'!$B$2),MONTH('④설정'!$B$2)+1,0), '④설정'!$B$2+20, "")</f>
        <v/>
      </c>
      <c r="AN3" s="26">
        <f>IF( ('④설정'!$B$2+21) &lt;= DATE(YEAR('④설정'!$B$2),MONTH('④설정'!$B$2)+1,0), '④설정'!$B$2+21, "")</f>
        <v/>
      </c>
      <c r="AO3" s="26">
        <f>IF( ('④설정'!$B$2+22) &lt;= DATE(YEAR('④설정'!$B$2),MONTH('④설정'!$B$2)+1,0), '④설정'!$B$2+22, "")</f>
        <v/>
      </c>
      <c r="AP3" s="26">
        <f>IF( ('④설정'!$B$2+23) &lt;= DATE(YEAR('④설정'!$B$2),MONTH('④설정'!$B$2)+1,0), '④설정'!$B$2+23, "")</f>
        <v/>
      </c>
      <c r="AQ3" s="26">
        <f>IF( ('④설정'!$B$2+24) &lt;= DATE(YEAR('④설정'!$B$2),MONTH('④설정'!$B$2)+1,0), '④설정'!$B$2+24, "")</f>
        <v/>
      </c>
      <c r="AR3" s="26">
        <f>IF( ('④설정'!$B$2+25) &lt;= DATE(YEAR('④설정'!$B$2),MONTH('④설정'!$B$2)+1,0), '④설정'!$B$2+25, "")</f>
        <v/>
      </c>
      <c r="AS3" s="26">
        <f>IF( ('④설정'!$B$2+26) &lt;= DATE(YEAR('④설정'!$B$2),MONTH('④설정'!$B$2)+1,0), '④설정'!$B$2+26, "")</f>
        <v/>
      </c>
      <c r="AT3" s="26">
        <f>IF( ('④설정'!$B$2+27) &lt;= DATE(YEAR('④설정'!$B$2),MONTH('④설정'!$B$2)+1,0), '④설정'!$B$2+27, "")</f>
        <v/>
      </c>
      <c r="AU3" s="26">
        <f>IF( ('④설정'!$B$2+28) &lt;= DATE(YEAR('④설정'!$B$2),MONTH('④설정'!$B$2)+1,0), '④설정'!$B$2+28, "")</f>
        <v/>
      </c>
      <c r="AV3" s="26">
        <f>IF( ('④설정'!$B$2+29) &lt;= DATE(YEAR('④설정'!$B$2),MONTH('④설정'!$B$2)+1,0), '④설정'!$B$2+29, "")</f>
        <v/>
      </c>
      <c r="AW3" s="26">
        <f>IF( ('④설정'!$B$2+30) &lt;= DATE(YEAR('④설정'!$B$2),MONTH('④설정'!$B$2)+1,0), '④설정'!$B$2+30, "")</f>
        <v/>
      </c>
    </row>
    <row r="4">
      <c r="A4" s="27" t="inlineStr">
        <is>
          <t>세나리버스</t>
        </is>
      </c>
      <c r="B4" s="27" t="inlineStr">
        <is>
          <t>여름이벤트 KV 영상 제작</t>
        </is>
      </c>
      <c r="C4" s="28" t="inlineStr">
        <is>
          <t>영상제작(신규)</t>
        </is>
      </c>
      <c r="D4" s="19" t="inlineStr">
        <is>
          <t>30"</t>
        </is>
      </c>
      <c r="E4" s="28" t="inlineStr">
        <is>
          <t>MAX실(영상)</t>
        </is>
      </c>
      <c r="F4" s="19" t="inlineStr">
        <is>
          <t>진행중</t>
        </is>
      </c>
      <c r="G4" s="29" t="n">
        <v>0.4</v>
      </c>
      <c r="H4" s="30" t="n">
        <v>46205</v>
      </c>
      <c r="I4" s="17">
        <f>IFERROR(INDEX('④설정'!$E$7:$E$16,MATCH(C4,'④설정'!$D$7:$D$16,0)),"")</f>
        <v/>
      </c>
      <c r="J4" s="31">
        <f>IF(OR($H4="",$I4=""),"",WORKDAY($H4,$I4-1))</f>
        <v/>
      </c>
      <c r="K4" s="32">
        <f>IF($J4="","",IF($F4="완료","완료",$J4-'④설정'!$B$1))</f>
        <v/>
      </c>
      <c r="L4" s="33">
        <f>IF($J4="","",IF($F4="완료","✅완료",IF($J4&lt;'④설정'!$B$1,"🔴지연",IF($J4&lt;='④설정'!$B$1+2,"🔴임박",IF($J4&lt;='④설정'!$B$1+5,"🟡주의","🟢여유")))))</f>
        <v/>
      </c>
      <c r="M4" s="34" t="n">
        <v>2.5</v>
      </c>
      <c r="N4" s="34" t="n">
        <v>0</v>
      </c>
      <c r="O4" s="34" t="n">
        <v>0</v>
      </c>
      <c r="P4" s="34" t="n">
        <v>3</v>
      </c>
      <c r="Q4" s="35">
        <f>IF(SUM(M4:P4)=0,"",SUM(M4:P4))</f>
        <v/>
      </c>
      <c r="R4" s="36">
        <f>IF(Q4="","",Q4/'④설정'!$B$3)</f>
        <v/>
      </c>
      <c r="S4" s="37">
        <f>IF($H4="","",IF(AND(S$3&lt;&gt;"",$H4&lt;=S$3,$J4&gt;=S$3),"■",""))</f>
        <v/>
      </c>
      <c r="T4" s="37">
        <f>IF($H4="","",IF(AND(T$3&lt;&gt;"",$H4&lt;=T$3,$J4&gt;=T$3),"■",""))</f>
        <v/>
      </c>
      <c r="U4" s="37">
        <f>IF($H4="","",IF(AND(U$3&lt;&gt;"",$H4&lt;=U$3,$J4&gt;=U$3),"■",""))</f>
        <v/>
      </c>
      <c r="V4" s="37">
        <f>IF($H4="","",IF(AND(V$3&lt;&gt;"",$H4&lt;=V$3,$J4&gt;=V$3),"■",""))</f>
        <v/>
      </c>
      <c r="W4" s="37">
        <f>IF($H4="","",IF(AND(W$3&lt;&gt;"",$H4&lt;=W$3,$J4&gt;=W$3),"■",""))</f>
        <v/>
      </c>
      <c r="X4" s="37">
        <f>IF($H4="","",IF(AND(X$3&lt;&gt;"",$H4&lt;=X$3,$J4&gt;=X$3),"■",""))</f>
        <v/>
      </c>
      <c r="Y4" s="37">
        <f>IF($H4="","",IF(AND(Y$3&lt;&gt;"",$H4&lt;=Y$3,$J4&gt;=Y$3),"■",""))</f>
        <v/>
      </c>
      <c r="Z4" s="37">
        <f>IF($H4="","",IF(AND(Z$3&lt;&gt;"",$H4&lt;=Z$3,$J4&gt;=Z$3),"■",""))</f>
        <v/>
      </c>
      <c r="AA4" s="37">
        <f>IF($H4="","",IF(AND(AA$3&lt;&gt;"",$H4&lt;=AA$3,$J4&gt;=AA$3),"■",""))</f>
        <v/>
      </c>
      <c r="AB4" s="37">
        <f>IF($H4="","",IF(AND(AB$3&lt;&gt;"",$H4&lt;=AB$3,$J4&gt;=AB$3),"■",""))</f>
        <v/>
      </c>
      <c r="AC4" s="37">
        <f>IF($H4="","",IF(AND(AC$3&lt;&gt;"",$H4&lt;=AC$3,$J4&gt;=AC$3),"■",""))</f>
        <v/>
      </c>
      <c r="AD4" s="37">
        <f>IF($H4="","",IF(AND(AD$3&lt;&gt;"",$H4&lt;=AD$3,$J4&gt;=AD$3),"■",""))</f>
        <v/>
      </c>
      <c r="AE4" s="37">
        <f>IF($H4="","",IF(AND(AE$3&lt;&gt;"",$H4&lt;=AE$3,$J4&gt;=AE$3),"■",""))</f>
        <v/>
      </c>
      <c r="AF4" s="37">
        <f>IF($H4="","",IF(AND(AF$3&lt;&gt;"",$H4&lt;=AF$3,$J4&gt;=AF$3),"■",""))</f>
        <v/>
      </c>
      <c r="AG4" s="37">
        <f>IF($H4="","",IF(AND(AG$3&lt;&gt;"",$H4&lt;=AG$3,$J4&gt;=AG$3),"■",""))</f>
        <v/>
      </c>
      <c r="AH4" s="37">
        <f>IF($H4="","",IF(AND(AH$3&lt;&gt;"",$H4&lt;=AH$3,$J4&gt;=AH$3),"■",""))</f>
        <v/>
      </c>
      <c r="AI4" s="37">
        <f>IF($H4="","",IF(AND(AI$3&lt;&gt;"",$H4&lt;=AI$3,$J4&gt;=AI$3),"■",""))</f>
        <v/>
      </c>
      <c r="AJ4" s="37">
        <f>IF($H4="","",IF(AND(AJ$3&lt;&gt;"",$H4&lt;=AJ$3,$J4&gt;=AJ$3),"■",""))</f>
        <v/>
      </c>
      <c r="AK4" s="37">
        <f>IF($H4="","",IF(AND(AK$3&lt;&gt;"",$H4&lt;=AK$3,$J4&gt;=AK$3),"■",""))</f>
        <v/>
      </c>
      <c r="AL4" s="37">
        <f>IF($H4="","",IF(AND(AL$3&lt;&gt;"",$H4&lt;=AL$3,$J4&gt;=AL$3),"■",""))</f>
        <v/>
      </c>
      <c r="AM4" s="37">
        <f>IF($H4="","",IF(AND(AM$3&lt;&gt;"",$H4&lt;=AM$3,$J4&gt;=AM$3),"■",""))</f>
        <v/>
      </c>
      <c r="AN4" s="37">
        <f>IF($H4="","",IF(AND(AN$3&lt;&gt;"",$H4&lt;=AN$3,$J4&gt;=AN$3),"■",""))</f>
        <v/>
      </c>
      <c r="AO4" s="37">
        <f>IF($H4="","",IF(AND(AO$3&lt;&gt;"",$H4&lt;=AO$3,$J4&gt;=AO$3),"■",""))</f>
        <v/>
      </c>
      <c r="AP4" s="37">
        <f>IF($H4="","",IF(AND(AP$3&lt;&gt;"",$H4&lt;=AP$3,$J4&gt;=AP$3),"■",""))</f>
        <v/>
      </c>
      <c r="AQ4" s="37">
        <f>IF($H4="","",IF(AND(AQ$3&lt;&gt;"",$H4&lt;=AQ$3,$J4&gt;=AQ$3),"■",""))</f>
        <v/>
      </c>
      <c r="AR4" s="37">
        <f>IF($H4="","",IF(AND(AR$3&lt;&gt;"",$H4&lt;=AR$3,$J4&gt;=AR$3),"■",""))</f>
        <v/>
      </c>
      <c r="AS4" s="37">
        <f>IF($H4="","",IF(AND(AS$3&lt;&gt;"",$H4&lt;=AS$3,$J4&gt;=AS$3),"■",""))</f>
        <v/>
      </c>
      <c r="AT4" s="37">
        <f>IF($H4="","",IF(AND(AT$3&lt;&gt;"",$H4&lt;=AT$3,$J4&gt;=AT$3),"■",""))</f>
        <v/>
      </c>
      <c r="AU4" s="37">
        <f>IF($H4="","",IF(AND(AU$3&lt;&gt;"",$H4&lt;=AU$3,$J4&gt;=AU$3),"■",""))</f>
        <v/>
      </c>
      <c r="AV4" s="37">
        <f>IF($H4="","",IF(AND(AV$3&lt;&gt;"",$H4&lt;=AV$3,$J4&gt;=AV$3),"■",""))</f>
        <v/>
      </c>
      <c r="AW4" s="37">
        <f>IF($H4="","",IF(AND(AW$3&lt;&gt;"",$H4&lt;=AW$3,$J4&gt;=AW$3),"■",""))</f>
        <v/>
      </c>
    </row>
    <row r="5">
      <c r="A5" s="27" t="inlineStr">
        <is>
          <t>세나리버스</t>
        </is>
      </c>
      <c r="B5" s="27" t="inlineStr">
        <is>
          <t>여름이벤트 KV 사이즈베리</t>
        </is>
      </c>
      <c r="C5" s="28" t="inlineStr">
        <is>
          <t>영상베리(사이즈)</t>
        </is>
      </c>
      <c r="D5" s="19" t="inlineStr">
        <is>
          <t>6"</t>
        </is>
      </c>
      <c r="E5" s="28" t="inlineStr">
        <is>
          <t>VINA영상</t>
        </is>
      </c>
      <c r="F5" s="19" t="inlineStr">
        <is>
          <t>대기</t>
        </is>
      </c>
      <c r="G5" s="29" t="n">
        <v>0</v>
      </c>
      <c r="H5" s="30" t="n">
        <v>46206</v>
      </c>
      <c r="I5" s="17">
        <f>IFERROR(INDEX('④설정'!$E$7:$E$16,MATCH(C5,'④설정'!$D$7:$D$16,0)),"")</f>
        <v/>
      </c>
      <c r="J5" s="31">
        <f>IF(OR($H5="",$I5=""),"",WORKDAY($H5,$I5-1))</f>
        <v/>
      </c>
      <c r="K5" s="32">
        <f>IF($J5="","",IF($F5="완료","완료",$J5-'④설정'!$B$1))</f>
        <v/>
      </c>
      <c r="L5" s="33">
        <f>IF($J5="","",IF($F5="완료","✅완료",IF($J5&lt;'④설정'!$B$1,"🔴지연",IF($J5&lt;='④설정'!$B$1+2,"🔴임박",IF($J5&lt;='④설정'!$B$1+5,"🟡주의","🟢여유")))))</f>
        <v/>
      </c>
      <c r="M5" s="34" t="n">
        <v>0</v>
      </c>
      <c r="N5" s="34" t="n">
        <v>0</v>
      </c>
      <c r="O5" s="34" t="n">
        <v>0</v>
      </c>
      <c r="P5" s="34" t="n">
        <v>0</v>
      </c>
      <c r="Q5" s="35">
        <f>IF(SUM(M5:P5)=0,"",SUM(M5:P5))</f>
        <v/>
      </c>
      <c r="R5" s="36">
        <f>IF(Q5="","",Q5/'④설정'!$B$3)</f>
        <v/>
      </c>
      <c r="S5" s="37">
        <f>IF($H5="","",IF(AND(S$3&lt;&gt;"",$H5&lt;=S$3,$J5&gt;=S$3),"■",""))</f>
        <v/>
      </c>
      <c r="T5" s="37">
        <f>IF($H5="","",IF(AND(T$3&lt;&gt;"",$H5&lt;=T$3,$J5&gt;=T$3),"■",""))</f>
        <v/>
      </c>
      <c r="U5" s="37">
        <f>IF($H5="","",IF(AND(U$3&lt;&gt;"",$H5&lt;=U$3,$J5&gt;=U$3),"■",""))</f>
        <v/>
      </c>
      <c r="V5" s="37">
        <f>IF($H5="","",IF(AND(V$3&lt;&gt;"",$H5&lt;=V$3,$J5&gt;=V$3),"■",""))</f>
        <v/>
      </c>
      <c r="W5" s="37">
        <f>IF($H5="","",IF(AND(W$3&lt;&gt;"",$H5&lt;=W$3,$J5&gt;=W$3),"■",""))</f>
        <v/>
      </c>
      <c r="X5" s="37">
        <f>IF($H5="","",IF(AND(X$3&lt;&gt;"",$H5&lt;=X$3,$J5&gt;=X$3),"■",""))</f>
        <v/>
      </c>
      <c r="Y5" s="37">
        <f>IF($H5="","",IF(AND(Y$3&lt;&gt;"",$H5&lt;=Y$3,$J5&gt;=Y$3),"■",""))</f>
        <v/>
      </c>
      <c r="Z5" s="37">
        <f>IF($H5="","",IF(AND(Z$3&lt;&gt;"",$H5&lt;=Z$3,$J5&gt;=Z$3),"■",""))</f>
        <v/>
      </c>
      <c r="AA5" s="37">
        <f>IF($H5="","",IF(AND(AA$3&lt;&gt;"",$H5&lt;=AA$3,$J5&gt;=AA$3),"■",""))</f>
        <v/>
      </c>
      <c r="AB5" s="37">
        <f>IF($H5="","",IF(AND(AB$3&lt;&gt;"",$H5&lt;=AB$3,$J5&gt;=AB$3),"■",""))</f>
        <v/>
      </c>
      <c r="AC5" s="37">
        <f>IF($H5="","",IF(AND(AC$3&lt;&gt;"",$H5&lt;=AC$3,$J5&gt;=AC$3),"■",""))</f>
        <v/>
      </c>
      <c r="AD5" s="37">
        <f>IF($H5="","",IF(AND(AD$3&lt;&gt;"",$H5&lt;=AD$3,$J5&gt;=AD$3),"■",""))</f>
        <v/>
      </c>
      <c r="AE5" s="37">
        <f>IF($H5="","",IF(AND(AE$3&lt;&gt;"",$H5&lt;=AE$3,$J5&gt;=AE$3),"■",""))</f>
        <v/>
      </c>
      <c r="AF5" s="37">
        <f>IF($H5="","",IF(AND(AF$3&lt;&gt;"",$H5&lt;=AF$3,$J5&gt;=AF$3),"■",""))</f>
        <v/>
      </c>
      <c r="AG5" s="37">
        <f>IF($H5="","",IF(AND(AG$3&lt;&gt;"",$H5&lt;=AG$3,$J5&gt;=AG$3),"■",""))</f>
        <v/>
      </c>
      <c r="AH5" s="37">
        <f>IF($H5="","",IF(AND(AH$3&lt;&gt;"",$H5&lt;=AH$3,$J5&gt;=AH$3),"■",""))</f>
        <v/>
      </c>
      <c r="AI5" s="37">
        <f>IF($H5="","",IF(AND(AI$3&lt;&gt;"",$H5&lt;=AI$3,$J5&gt;=AI$3),"■",""))</f>
        <v/>
      </c>
      <c r="AJ5" s="37">
        <f>IF($H5="","",IF(AND(AJ$3&lt;&gt;"",$H5&lt;=AJ$3,$J5&gt;=AJ$3),"■",""))</f>
        <v/>
      </c>
      <c r="AK5" s="37">
        <f>IF($H5="","",IF(AND(AK$3&lt;&gt;"",$H5&lt;=AK$3,$J5&gt;=AK$3),"■",""))</f>
        <v/>
      </c>
      <c r="AL5" s="37">
        <f>IF($H5="","",IF(AND(AL$3&lt;&gt;"",$H5&lt;=AL$3,$J5&gt;=AL$3),"■",""))</f>
        <v/>
      </c>
      <c r="AM5" s="37">
        <f>IF($H5="","",IF(AND(AM$3&lt;&gt;"",$H5&lt;=AM$3,$J5&gt;=AM$3),"■",""))</f>
        <v/>
      </c>
      <c r="AN5" s="37">
        <f>IF($H5="","",IF(AND(AN$3&lt;&gt;"",$H5&lt;=AN$3,$J5&gt;=AN$3),"■",""))</f>
        <v/>
      </c>
      <c r="AO5" s="37">
        <f>IF($H5="","",IF(AND(AO$3&lt;&gt;"",$H5&lt;=AO$3,$J5&gt;=AO$3),"■",""))</f>
        <v/>
      </c>
      <c r="AP5" s="37">
        <f>IF($H5="","",IF(AND(AP$3&lt;&gt;"",$H5&lt;=AP$3,$J5&gt;=AP$3),"■",""))</f>
        <v/>
      </c>
      <c r="AQ5" s="37">
        <f>IF($H5="","",IF(AND(AQ$3&lt;&gt;"",$H5&lt;=AQ$3,$J5&gt;=AQ$3),"■",""))</f>
        <v/>
      </c>
      <c r="AR5" s="37">
        <f>IF($H5="","",IF(AND(AR$3&lt;&gt;"",$H5&lt;=AR$3,$J5&gt;=AR$3),"■",""))</f>
        <v/>
      </c>
      <c r="AS5" s="37">
        <f>IF($H5="","",IF(AND(AS$3&lt;&gt;"",$H5&lt;=AS$3,$J5&gt;=AS$3),"■",""))</f>
        <v/>
      </c>
      <c r="AT5" s="37">
        <f>IF($H5="","",IF(AND(AT$3&lt;&gt;"",$H5&lt;=AT$3,$J5&gt;=AT$3),"■",""))</f>
        <v/>
      </c>
      <c r="AU5" s="37">
        <f>IF($H5="","",IF(AND(AU$3&lt;&gt;"",$H5&lt;=AU$3,$J5&gt;=AU$3),"■",""))</f>
        <v/>
      </c>
      <c r="AV5" s="37">
        <f>IF($H5="","",IF(AND(AV$3&lt;&gt;"",$H5&lt;=AV$3,$J5&gt;=AV$3),"■",""))</f>
        <v/>
      </c>
      <c r="AW5" s="37">
        <f>IF($H5="","",IF(AND(AW$3&lt;&gt;"",$H5&lt;=AW$3,$J5&gt;=AW$3),"■",""))</f>
        <v/>
      </c>
    </row>
    <row r="6">
      <c r="A6" s="27" t="inlineStr">
        <is>
          <t>칠대죄오리진</t>
        </is>
      </c>
      <c r="B6" s="27" t="inlineStr">
        <is>
          <t>GOWTHER 라이브포스터</t>
        </is>
      </c>
      <c r="C6" s="28" t="inlineStr">
        <is>
          <t>영상제작(신규)</t>
        </is>
      </c>
      <c r="D6" s="19" t="inlineStr">
        <is>
          <t>30"</t>
        </is>
      </c>
      <c r="E6" s="28" t="inlineStr">
        <is>
          <t>MAX실(영상)</t>
        </is>
      </c>
      <c r="F6" s="19" t="inlineStr">
        <is>
          <t>대기</t>
        </is>
      </c>
      <c r="G6" s="29" t="n">
        <v>0</v>
      </c>
      <c r="H6" s="30" t="n">
        <v>46210</v>
      </c>
      <c r="I6" s="17">
        <f>IFERROR(INDEX('④설정'!$E$7:$E$16,MATCH(C6,'④설정'!$D$7:$D$16,0)),"")</f>
        <v/>
      </c>
      <c r="J6" s="31">
        <f>IF(OR($H6="",$I6=""),"",WORKDAY($H6,$I6-1))</f>
        <v/>
      </c>
      <c r="K6" s="32">
        <f>IF($J6="","",IF($F6="완료","완료",$J6-'④설정'!$B$1))</f>
        <v/>
      </c>
      <c r="L6" s="33">
        <f>IF($J6="","",IF($F6="완료","✅완료",IF($J6&lt;'④설정'!$B$1,"🔴지연",IF($J6&lt;='④설정'!$B$1+2,"🔴임박",IF($J6&lt;='④설정'!$B$1+5,"🟡주의","🟢여유")))))</f>
        <v/>
      </c>
      <c r="M6" s="34" t="n">
        <v>1.5</v>
      </c>
      <c r="N6" s="34" t="n">
        <v>0.5</v>
      </c>
      <c r="O6" s="34" t="n">
        <v>1</v>
      </c>
      <c r="P6" s="34" t="n">
        <v>0</v>
      </c>
      <c r="Q6" s="35">
        <f>IF(SUM(M6:P6)=0,"",SUM(M6:P6))</f>
        <v/>
      </c>
      <c r="R6" s="36">
        <f>IF(Q6="","",Q6/'④설정'!$B$3)</f>
        <v/>
      </c>
      <c r="S6" s="37">
        <f>IF($H6="","",IF(AND(S$3&lt;&gt;"",$H6&lt;=S$3,$J6&gt;=S$3),"■",""))</f>
        <v/>
      </c>
      <c r="T6" s="37">
        <f>IF($H6="","",IF(AND(T$3&lt;&gt;"",$H6&lt;=T$3,$J6&gt;=T$3),"■",""))</f>
        <v/>
      </c>
      <c r="U6" s="37">
        <f>IF($H6="","",IF(AND(U$3&lt;&gt;"",$H6&lt;=U$3,$J6&gt;=U$3),"■",""))</f>
        <v/>
      </c>
      <c r="V6" s="37">
        <f>IF($H6="","",IF(AND(V$3&lt;&gt;"",$H6&lt;=V$3,$J6&gt;=V$3),"■",""))</f>
        <v/>
      </c>
      <c r="W6" s="37">
        <f>IF($H6="","",IF(AND(W$3&lt;&gt;"",$H6&lt;=W$3,$J6&gt;=W$3),"■",""))</f>
        <v/>
      </c>
      <c r="X6" s="37">
        <f>IF($H6="","",IF(AND(X$3&lt;&gt;"",$H6&lt;=X$3,$J6&gt;=X$3),"■",""))</f>
        <v/>
      </c>
      <c r="Y6" s="37">
        <f>IF($H6="","",IF(AND(Y$3&lt;&gt;"",$H6&lt;=Y$3,$J6&gt;=Y$3),"■",""))</f>
        <v/>
      </c>
      <c r="Z6" s="37">
        <f>IF($H6="","",IF(AND(Z$3&lt;&gt;"",$H6&lt;=Z$3,$J6&gt;=Z$3),"■",""))</f>
        <v/>
      </c>
      <c r="AA6" s="37">
        <f>IF($H6="","",IF(AND(AA$3&lt;&gt;"",$H6&lt;=AA$3,$J6&gt;=AA$3),"■",""))</f>
        <v/>
      </c>
      <c r="AB6" s="37">
        <f>IF($H6="","",IF(AND(AB$3&lt;&gt;"",$H6&lt;=AB$3,$J6&gt;=AB$3),"■",""))</f>
        <v/>
      </c>
      <c r="AC6" s="37">
        <f>IF($H6="","",IF(AND(AC$3&lt;&gt;"",$H6&lt;=AC$3,$J6&gt;=AC$3),"■",""))</f>
        <v/>
      </c>
      <c r="AD6" s="37">
        <f>IF($H6="","",IF(AND(AD$3&lt;&gt;"",$H6&lt;=AD$3,$J6&gt;=AD$3),"■",""))</f>
        <v/>
      </c>
      <c r="AE6" s="37">
        <f>IF($H6="","",IF(AND(AE$3&lt;&gt;"",$H6&lt;=AE$3,$J6&gt;=AE$3),"■",""))</f>
        <v/>
      </c>
      <c r="AF6" s="37">
        <f>IF($H6="","",IF(AND(AF$3&lt;&gt;"",$H6&lt;=AF$3,$J6&gt;=AF$3),"■",""))</f>
        <v/>
      </c>
      <c r="AG6" s="37">
        <f>IF($H6="","",IF(AND(AG$3&lt;&gt;"",$H6&lt;=AG$3,$J6&gt;=AG$3),"■",""))</f>
        <v/>
      </c>
      <c r="AH6" s="37">
        <f>IF($H6="","",IF(AND(AH$3&lt;&gt;"",$H6&lt;=AH$3,$J6&gt;=AH$3),"■",""))</f>
        <v/>
      </c>
      <c r="AI6" s="37">
        <f>IF($H6="","",IF(AND(AI$3&lt;&gt;"",$H6&lt;=AI$3,$J6&gt;=AI$3),"■",""))</f>
        <v/>
      </c>
      <c r="AJ6" s="37">
        <f>IF($H6="","",IF(AND(AJ$3&lt;&gt;"",$H6&lt;=AJ$3,$J6&gt;=AJ$3),"■",""))</f>
        <v/>
      </c>
      <c r="AK6" s="37">
        <f>IF($H6="","",IF(AND(AK$3&lt;&gt;"",$H6&lt;=AK$3,$J6&gt;=AK$3),"■",""))</f>
        <v/>
      </c>
      <c r="AL6" s="37">
        <f>IF($H6="","",IF(AND(AL$3&lt;&gt;"",$H6&lt;=AL$3,$J6&gt;=AL$3),"■",""))</f>
        <v/>
      </c>
      <c r="AM6" s="37">
        <f>IF($H6="","",IF(AND(AM$3&lt;&gt;"",$H6&lt;=AM$3,$J6&gt;=AM$3),"■",""))</f>
        <v/>
      </c>
      <c r="AN6" s="37">
        <f>IF($H6="","",IF(AND(AN$3&lt;&gt;"",$H6&lt;=AN$3,$J6&gt;=AN$3),"■",""))</f>
        <v/>
      </c>
      <c r="AO6" s="37">
        <f>IF($H6="","",IF(AND(AO$3&lt;&gt;"",$H6&lt;=AO$3,$J6&gt;=AO$3),"■",""))</f>
        <v/>
      </c>
      <c r="AP6" s="37">
        <f>IF($H6="","",IF(AND(AP$3&lt;&gt;"",$H6&lt;=AP$3,$J6&gt;=AP$3),"■",""))</f>
        <v/>
      </c>
      <c r="AQ6" s="37">
        <f>IF($H6="","",IF(AND(AQ$3&lt;&gt;"",$H6&lt;=AQ$3,$J6&gt;=AQ$3),"■",""))</f>
        <v/>
      </c>
      <c r="AR6" s="37">
        <f>IF($H6="","",IF(AND(AR$3&lt;&gt;"",$H6&lt;=AR$3,$J6&gt;=AR$3),"■",""))</f>
        <v/>
      </c>
      <c r="AS6" s="37">
        <f>IF($H6="","",IF(AND(AS$3&lt;&gt;"",$H6&lt;=AS$3,$J6&gt;=AS$3),"■",""))</f>
        <v/>
      </c>
      <c r="AT6" s="37">
        <f>IF($H6="","",IF(AND(AT$3&lt;&gt;"",$H6&lt;=AT$3,$J6&gt;=AT$3),"■",""))</f>
        <v/>
      </c>
      <c r="AU6" s="37">
        <f>IF($H6="","",IF(AND(AU$3&lt;&gt;"",$H6&lt;=AU$3,$J6&gt;=AU$3),"■",""))</f>
        <v/>
      </c>
      <c r="AV6" s="37">
        <f>IF($H6="","",IF(AND(AV$3&lt;&gt;"",$H6&lt;=AV$3,$J6&gt;=AV$3),"■",""))</f>
        <v/>
      </c>
      <c r="AW6" s="37">
        <f>IF($H6="","",IF(AND(AW$3&lt;&gt;"",$H6&lt;=AW$3,$J6&gt;=AW$3),"■",""))</f>
        <v/>
      </c>
    </row>
    <row r="7">
      <c r="A7" s="27" t="inlineStr">
        <is>
          <t>칠대죄오리진</t>
        </is>
      </c>
      <c r="B7" s="27" t="inlineStr">
        <is>
          <t>DERIERI 엔드카드</t>
        </is>
      </c>
      <c r="C7" s="28" t="inlineStr">
        <is>
          <t>시안(신규)</t>
        </is>
      </c>
      <c r="D7" s="19" t="inlineStr">
        <is>
          <t>15"</t>
        </is>
      </c>
      <c r="E7" s="28" t="inlineStr">
        <is>
          <t>디자인실</t>
        </is>
      </c>
      <c r="F7" s="19" t="inlineStr">
        <is>
          <t>진행중</t>
        </is>
      </c>
      <c r="G7" s="29" t="n">
        <v>0.6</v>
      </c>
      <c r="H7" s="30" t="n">
        <v>46207</v>
      </c>
      <c r="I7" s="17">
        <f>IFERROR(INDEX('④설정'!$E$7:$E$16,MATCH(C7,'④설정'!$D$7:$D$16,0)),"")</f>
        <v/>
      </c>
      <c r="J7" s="31">
        <f>IF(OR($H7="",$I7=""),"",WORKDAY($H7,$I7-1))</f>
        <v/>
      </c>
      <c r="K7" s="32">
        <f>IF($J7="","",IF($F7="완료","완료",$J7-'④설정'!$B$1))</f>
        <v/>
      </c>
      <c r="L7" s="33">
        <f>IF($J7="","",IF($F7="완료","✅완료",IF($J7&lt;'④설정'!$B$1,"🔴지연",IF($J7&lt;='④설정'!$B$1+2,"🔴임박",IF($J7&lt;='④설정'!$B$1+5,"🟡주의","🟢여유")))))</f>
        <v/>
      </c>
      <c r="M7" s="34" t="n">
        <v>1.375</v>
      </c>
      <c r="N7" s="34" t="n">
        <v>0.375</v>
      </c>
      <c r="O7" s="34" t="n">
        <v>0.25</v>
      </c>
      <c r="P7" s="34" t="n">
        <v>0</v>
      </c>
      <c r="Q7" s="35">
        <f>IF(SUM(M7:P7)=0,"",SUM(M7:P7))</f>
        <v/>
      </c>
      <c r="R7" s="36">
        <f>IF(Q7="","",Q7/'④설정'!$B$3)</f>
        <v/>
      </c>
      <c r="S7" s="37">
        <f>IF($H7="","",IF(AND(S$3&lt;&gt;"",$H7&lt;=S$3,$J7&gt;=S$3),"■",""))</f>
        <v/>
      </c>
      <c r="T7" s="37">
        <f>IF($H7="","",IF(AND(T$3&lt;&gt;"",$H7&lt;=T$3,$J7&gt;=T$3),"■",""))</f>
        <v/>
      </c>
      <c r="U7" s="37">
        <f>IF($H7="","",IF(AND(U$3&lt;&gt;"",$H7&lt;=U$3,$J7&gt;=U$3),"■",""))</f>
        <v/>
      </c>
      <c r="V7" s="37">
        <f>IF($H7="","",IF(AND(V$3&lt;&gt;"",$H7&lt;=V$3,$J7&gt;=V$3),"■",""))</f>
        <v/>
      </c>
      <c r="W7" s="37">
        <f>IF($H7="","",IF(AND(W$3&lt;&gt;"",$H7&lt;=W$3,$J7&gt;=W$3),"■",""))</f>
        <v/>
      </c>
      <c r="X7" s="37">
        <f>IF($H7="","",IF(AND(X$3&lt;&gt;"",$H7&lt;=X$3,$J7&gt;=X$3),"■",""))</f>
        <v/>
      </c>
      <c r="Y7" s="37">
        <f>IF($H7="","",IF(AND(Y$3&lt;&gt;"",$H7&lt;=Y$3,$J7&gt;=Y$3),"■",""))</f>
        <v/>
      </c>
      <c r="Z7" s="37">
        <f>IF($H7="","",IF(AND(Z$3&lt;&gt;"",$H7&lt;=Z$3,$J7&gt;=Z$3),"■",""))</f>
        <v/>
      </c>
      <c r="AA7" s="37">
        <f>IF($H7="","",IF(AND(AA$3&lt;&gt;"",$H7&lt;=AA$3,$J7&gt;=AA$3),"■",""))</f>
        <v/>
      </c>
      <c r="AB7" s="37">
        <f>IF($H7="","",IF(AND(AB$3&lt;&gt;"",$H7&lt;=AB$3,$J7&gt;=AB$3),"■",""))</f>
        <v/>
      </c>
      <c r="AC7" s="37">
        <f>IF($H7="","",IF(AND(AC$3&lt;&gt;"",$H7&lt;=AC$3,$J7&gt;=AC$3),"■",""))</f>
        <v/>
      </c>
      <c r="AD7" s="37">
        <f>IF($H7="","",IF(AND(AD$3&lt;&gt;"",$H7&lt;=AD$3,$J7&gt;=AD$3),"■",""))</f>
        <v/>
      </c>
      <c r="AE7" s="37">
        <f>IF($H7="","",IF(AND(AE$3&lt;&gt;"",$H7&lt;=AE$3,$J7&gt;=AE$3),"■",""))</f>
        <v/>
      </c>
      <c r="AF7" s="37">
        <f>IF($H7="","",IF(AND(AF$3&lt;&gt;"",$H7&lt;=AF$3,$J7&gt;=AF$3),"■",""))</f>
        <v/>
      </c>
      <c r="AG7" s="37">
        <f>IF($H7="","",IF(AND(AG$3&lt;&gt;"",$H7&lt;=AG$3,$J7&gt;=AG$3),"■",""))</f>
        <v/>
      </c>
      <c r="AH7" s="37">
        <f>IF($H7="","",IF(AND(AH$3&lt;&gt;"",$H7&lt;=AH$3,$J7&gt;=AH$3),"■",""))</f>
        <v/>
      </c>
      <c r="AI7" s="37">
        <f>IF($H7="","",IF(AND(AI$3&lt;&gt;"",$H7&lt;=AI$3,$J7&gt;=AI$3),"■",""))</f>
        <v/>
      </c>
      <c r="AJ7" s="37">
        <f>IF($H7="","",IF(AND(AJ$3&lt;&gt;"",$H7&lt;=AJ$3,$J7&gt;=AJ$3),"■",""))</f>
        <v/>
      </c>
      <c r="AK7" s="37">
        <f>IF($H7="","",IF(AND(AK$3&lt;&gt;"",$H7&lt;=AK$3,$J7&gt;=AK$3),"■",""))</f>
        <v/>
      </c>
      <c r="AL7" s="37">
        <f>IF($H7="","",IF(AND(AL$3&lt;&gt;"",$H7&lt;=AL$3,$J7&gt;=AL$3),"■",""))</f>
        <v/>
      </c>
      <c r="AM7" s="37">
        <f>IF($H7="","",IF(AND(AM$3&lt;&gt;"",$H7&lt;=AM$3,$J7&gt;=AM$3),"■",""))</f>
        <v/>
      </c>
      <c r="AN7" s="37">
        <f>IF($H7="","",IF(AND(AN$3&lt;&gt;"",$H7&lt;=AN$3,$J7&gt;=AN$3),"■",""))</f>
        <v/>
      </c>
      <c r="AO7" s="37">
        <f>IF($H7="","",IF(AND(AO$3&lt;&gt;"",$H7&lt;=AO$3,$J7&gt;=AO$3),"■",""))</f>
        <v/>
      </c>
      <c r="AP7" s="37">
        <f>IF($H7="","",IF(AND(AP$3&lt;&gt;"",$H7&lt;=AP$3,$J7&gt;=AP$3),"■",""))</f>
        <v/>
      </c>
      <c r="AQ7" s="37">
        <f>IF($H7="","",IF(AND(AQ$3&lt;&gt;"",$H7&lt;=AQ$3,$J7&gt;=AQ$3),"■",""))</f>
        <v/>
      </c>
      <c r="AR7" s="37">
        <f>IF($H7="","",IF(AND(AR$3&lt;&gt;"",$H7&lt;=AR$3,$J7&gt;=AR$3),"■",""))</f>
        <v/>
      </c>
      <c r="AS7" s="37">
        <f>IF($H7="","",IF(AND(AS$3&lt;&gt;"",$H7&lt;=AS$3,$J7&gt;=AS$3),"■",""))</f>
        <v/>
      </c>
      <c r="AT7" s="37">
        <f>IF($H7="","",IF(AND(AT$3&lt;&gt;"",$H7&lt;=AT$3,$J7&gt;=AT$3),"■",""))</f>
        <v/>
      </c>
      <c r="AU7" s="37">
        <f>IF($H7="","",IF(AND(AU$3&lt;&gt;"",$H7&lt;=AU$3,$J7&gt;=AU$3),"■",""))</f>
        <v/>
      </c>
      <c r="AV7" s="37">
        <f>IF($H7="","",IF(AND(AV$3&lt;&gt;"",$H7&lt;=AV$3,$J7&gt;=AV$3),"■",""))</f>
        <v/>
      </c>
      <c r="AW7" s="37">
        <f>IF($H7="","",IF(AND(AW$3&lt;&gt;"",$H7&lt;=AW$3,$J7&gt;=AW$3),"■",""))</f>
        <v/>
      </c>
    </row>
    <row r="8">
      <c r="A8" s="27" t="inlineStr">
        <is>
          <t>밀리의서재</t>
        </is>
      </c>
      <c r="B8" s="27" t="inlineStr">
        <is>
          <t>7월 스페셜 이벤트</t>
        </is>
      </c>
      <c r="C8" s="28" t="inlineStr">
        <is>
          <t>스페셜이벤트</t>
        </is>
      </c>
      <c r="D8" s="19" t="inlineStr">
        <is>
          <t>-</t>
        </is>
      </c>
      <c r="E8" s="28" t="inlineStr">
        <is>
          <t>기획실</t>
        </is>
      </c>
      <c r="F8" s="19" t="inlineStr">
        <is>
          <t>검수</t>
        </is>
      </c>
      <c r="G8" s="29" t="n">
        <v>0.8</v>
      </c>
      <c r="H8" s="30" t="n">
        <v>46204</v>
      </c>
      <c r="I8" s="17">
        <f>IFERROR(INDEX('④설정'!$E$7:$E$16,MATCH(C8,'④설정'!$D$7:$D$16,0)),"")</f>
        <v/>
      </c>
      <c r="J8" s="31">
        <f>IF(OR($H8="",$I8=""),"",WORKDAY($H8,$I8-1))</f>
        <v/>
      </c>
      <c r="K8" s="32">
        <f>IF($J8="","",IF($F8="완료","완료",$J8-'④설정'!$B$1))</f>
        <v/>
      </c>
      <c r="L8" s="33">
        <f>IF($J8="","",IF($F8="완료","✅완료",IF($J8&lt;'④설정'!$B$1,"🔴지연",IF($J8&lt;='④설정'!$B$1+2,"🔴임박",IF($J8&lt;='④설정'!$B$1+5,"🟡주의","🟢여유")))))</f>
        <v/>
      </c>
      <c r="M8" s="34" t="n">
        <v>1</v>
      </c>
      <c r="N8" s="34" t="n">
        <v>3</v>
      </c>
      <c r="O8" s="34" t="n">
        <v>0</v>
      </c>
      <c r="P8" s="34" t="n">
        <v>0</v>
      </c>
      <c r="Q8" s="35">
        <f>IF(SUM(M8:P8)=0,"",SUM(M8:P8))</f>
        <v/>
      </c>
      <c r="R8" s="36">
        <f>IF(Q8="","",Q8/'④설정'!$B$3)</f>
        <v/>
      </c>
      <c r="S8" s="37">
        <f>IF($H8="","",IF(AND(S$3&lt;&gt;"",$H8&lt;=S$3,$J8&gt;=S$3),"■",""))</f>
        <v/>
      </c>
      <c r="T8" s="37">
        <f>IF($H8="","",IF(AND(T$3&lt;&gt;"",$H8&lt;=T$3,$J8&gt;=T$3),"■",""))</f>
        <v/>
      </c>
      <c r="U8" s="37">
        <f>IF($H8="","",IF(AND(U$3&lt;&gt;"",$H8&lt;=U$3,$J8&gt;=U$3),"■",""))</f>
        <v/>
      </c>
      <c r="V8" s="37">
        <f>IF($H8="","",IF(AND(V$3&lt;&gt;"",$H8&lt;=V$3,$J8&gt;=V$3),"■",""))</f>
        <v/>
      </c>
      <c r="W8" s="37">
        <f>IF($H8="","",IF(AND(W$3&lt;&gt;"",$H8&lt;=W$3,$J8&gt;=W$3),"■",""))</f>
        <v/>
      </c>
      <c r="X8" s="37">
        <f>IF($H8="","",IF(AND(X$3&lt;&gt;"",$H8&lt;=X$3,$J8&gt;=X$3),"■",""))</f>
        <v/>
      </c>
      <c r="Y8" s="37">
        <f>IF($H8="","",IF(AND(Y$3&lt;&gt;"",$H8&lt;=Y$3,$J8&gt;=Y$3),"■",""))</f>
        <v/>
      </c>
      <c r="Z8" s="37">
        <f>IF($H8="","",IF(AND(Z$3&lt;&gt;"",$H8&lt;=Z$3,$J8&gt;=Z$3),"■",""))</f>
        <v/>
      </c>
      <c r="AA8" s="37">
        <f>IF($H8="","",IF(AND(AA$3&lt;&gt;"",$H8&lt;=AA$3,$J8&gt;=AA$3),"■",""))</f>
        <v/>
      </c>
      <c r="AB8" s="37">
        <f>IF($H8="","",IF(AND(AB$3&lt;&gt;"",$H8&lt;=AB$3,$J8&gt;=AB$3),"■",""))</f>
        <v/>
      </c>
      <c r="AC8" s="37">
        <f>IF($H8="","",IF(AND(AC$3&lt;&gt;"",$H8&lt;=AC$3,$J8&gt;=AC$3),"■",""))</f>
        <v/>
      </c>
      <c r="AD8" s="37">
        <f>IF($H8="","",IF(AND(AD$3&lt;&gt;"",$H8&lt;=AD$3,$J8&gt;=AD$3),"■",""))</f>
        <v/>
      </c>
      <c r="AE8" s="37">
        <f>IF($H8="","",IF(AND(AE$3&lt;&gt;"",$H8&lt;=AE$3,$J8&gt;=AE$3),"■",""))</f>
        <v/>
      </c>
      <c r="AF8" s="37">
        <f>IF($H8="","",IF(AND(AF$3&lt;&gt;"",$H8&lt;=AF$3,$J8&gt;=AF$3),"■",""))</f>
        <v/>
      </c>
      <c r="AG8" s="37">
        <f>IF($H8="","",IF(AND(AG$3&lt;&gt;"",$H8&lt;=AG$3,$J8&gt;=AG$3),"■",""))</f>
        <v/>
      </c>
      <c r="AH8" s="37">
        <f>IF($H8="","",IF(AND(AH$3&lt;&gt;"",$H8&lt;=AH$3,$J8&gt;=AH$3),"■",""))</f>
        <v/>
      </c>
      <c r="AI8" s="37">
        <f>IF($H8="","",IF(AND(AI$3&lt;&gt;"",$H8&lt;=AI$3,$J8&gt;=AI$3),"■",""))</f>
        <v/>
      </c>
      <c r="AJ8" s="37">
        <f>IF($H8="","",IF(AND(AJ$3&lt;&gt;"",$H8&lt;=AJ$3,$J8&gt;=AJ$3),"■",""))</f>
        <v/>
      </c>
      <c r="AK8" s="37">
        <f>IF($H8="","",IF(AND(AK$3&lt;&gt;"",$H8&lt;=AK$3,$J8&gt;=AK$3),"■",""))</f>
        <v/>
      </c>
      <c r="AL8" s="37">
        <f>IF($H8="","",IF(AND(AL$3&lt;&gt;"",$H8&lt;=AL$3,$J8&gt;=AL$3),"■",""))</f>
        <v/>
      </c>
      <c r="AM8" s="37">
        <f>IF($H8="","",IF(AND(AM$3&lt;&gt;"",$H8&lt;=AM$3,$J8&gt;=AM$3),"■",""))</f>
        <v/>
      </c>
      <c r="AN8" s="37">
        <f>IF($H8="","",IF(AND(AN$3&lt;&gt;"",$H8&lt;=AN$3,$J8&gt;=AN$3),"■",""))</f>
        <v/>
      </c>
      <c r="AO8" s="37">
        <f>IF($H8="","",IF(AND(AO$3&lt;&gt;"",$H8&lt;=AO$3,$J8&gt;=AO$3),"■",""))</f>
        <v/>
      </c>
      <c r="AP8" s="37">
        <f>IF($H8="","",IF(AND(AP$3&lt;&gt;"",$H8&lt;=AP$3,$J8&gt;=AP$3),"■",""))</f>
        <v/>
      </c>
      <c r="AQ8" s="37">
        <f>IF($H8="","",IF(AND(AQ$3&lt;&gt;"",$H8&lt;=AQ$3,$J8&gt;=AQ$3),"■",""))</f>
        <v/>
      </c>
      <c r="AR8" s="37">
        <f>IF($H8="","",IF(AND(AR$3&lt;&gt;"",$H8&lt;=AR$3,$J8&gt;=AR$3),"■",""))</f>
        <v/>
      </c>
      <c r="AS8" s="37">
        <f>IF($H8="","",IF(AND(AS$3&lt;&gt;"",$H8&lt;=AS$3,$J8&gt;=AS$3),"■",""))</f>
        <v/>
      </c>
      <c r="AT8" s="37">
        <f>IF($H8="","",IF(AND(AT$3&lt;&gt;"",$H8&lt;=AT$3,$J8&gt;=AT$3),"■",""))</f>
        <v/>
      </c>
      <c r="AU8" s="37">
        <f>IF($H8="","",IF(AND(AU$3&lt;&gt;"",$H8&lt;=AU$3,$J8&gt;=AU$3),"■",""))</f>
        <v/>
      </c>
      <c r="AV8" s="37">
        <f>IF($H8="","",IF(AND(AV$3&lt;&gt;"",$H8&lt;=AV$3,$J8&gt;=AV$3),"■",""))</f>
        <v/>
      </c>
      <c r="AW8" s="37">
        <f>IF($H8="","",IF(AND(AW$3&lt;&gt;"",$H8&lt;=AW$3,$J8&gt;=AW$3),"■",""))</f>
        <v/>
      </c>
    </row>
    <row r="9">
      <c r="A9" s="27" t="inlineStr">
        <is>
          <t>밀리의서재</t>
        </is>
      </c>
      <c r="B9" s="27" t="inlineStr">
        <is>
          <t>히어로배너 다국어베리</t>
        </is>
      </c>
      <c r="C9" s="28" t="inlineStr">
        <is>
          <t>다국어베리</t>
        </is>
      </c>
      <c r="D9" s="19" t="inlineStr">
        <is>
          <t>-</t>
        </is>
      </c>
      <c r="E9" s="28" t="inlineStr">
        <is>
          <t>디자인실</t>
        </is>
      </c>
      <c r="F9" s="19" t="inlineStr">
        <is>
          <t>완료</t>
        </is>
      </c>
      <c r="G9" s="29" t="n">
        <v>1</v>
      </c>
      <c r="H9" s="30" t="n">
        <v>46203</v>
      </c>
      <c r="I9" s="17">
        <f>IFERROR(INDEX('④설정'!$E$7:$E$16,MATCH(C9,'④설정'!$D$7:$D$16,0)),"")</f>
        <v/>
      </c>
      <c r="J9" s="31">
        <f>IF(OR($H9="",$I9=""),"",WORKDAY($H9,$I9-1))</f>
        <v/>
      </c>
      <c r="K9" s="32">
        <f>IF($J9="","",IF($F9="완료","완료",$J9-'④설정'!$B$1))</f>
        <v/>
      </c>
      <c r="L9" s="33">
        <f>IF($J9="","",IF($F9="완료","✅완료",IF($J9&lt;'④설정'!$B$1,"🔴지연",IF($J9&lt;='④설정'!$B$1+2,"🔴임박",IF($J9&lt;='④설정'!$B$1+5,"🟡주의","🟢여유")))))</f>
        <v/>
      </c>
      <c r="M9" s="34" t="n">
        <v>0</v>
      </c>
      <c r="N9" s="34" t="n">
        <v>0.5</v>
      </c>
      <c r="O9" s="34" t="n">
        <v>0</v>
      </c>
      <c r="P9" s="34" t="n">
        <v>0</v>
      </c>
      <c r="Q9" s="35">
        <f>IF(SUM(M9:P9)=0,"",SUM(M9:P9))</f>
        <v/>
      </c>
      <c r="R9" s="36">
        <f>IF(Q9="","",Q9/'④설정'!$B$3)</f>
        <v/>
      </c>
      <c r="S9" s="37">
        <f>IF($H9="","",IF(AND(S$3&lt;&gt;"",$H9&lt;=S$3,$J9&gt;=S$3),"■",""))</f>
        <v/>
      </c>
      <c r="T9" s="37">
        <f>IF($H9="","",IF(AND(T$3&lt;&gt;"",$H9&lt;=T$3,$J9&gt;=T$3),"■",""))</f>
        <v/>
      </c>
      <c r="U9" s="37">
        <f>IF($H9="","",IF(AND(U$3&lt;&gt;"",$H9&lt;=U$3,$J9&gt;=U$3),"■",""))</f>
        <v/>
      </c>
      <c r="V9" s="37">
        <f>IF($H9="","",IF(AND(V$3&lt;&gt;"",$H9&lt;=V$3,$J9&gt;=V$3),"■",""))</f>
        <v/>
      </c>
      <c r="W9" s="37">
        <f>IF($H9="","",IF(AND(W$3&lt;&gt;"",$H9&lt;=W$3,$J9&gt;=W$3),"■",""))</f>
        <v/>
      </c>
      <c r="X9" s="37">
        <f>IF($H9="","",IF(AND(X$3&lt;&gt;"",$H9&lt;=X$3,$J9&gt;=X$3),"■",""))</f>
        <v/>
      </c>
      <c r="Y9" s="37">
        <f>IF($H9="","",IF(AND(Y$3&lt;&gt;"",$H9&lt;=Y$3,$J9&gt;=Y$3),"■",""))</f>
        <v/>
      </c>
      <c r="Z9" s="37">
        <f>IF($H9="","",IF(AND(Z$3&lt;&gt;"",$H9&lt;=Z$3,$J9&gt;=Z$3),"■",""))</f>
        <v/>
      </c>
      <c r="AA9" s="37">
        <f>IF($H9="","",IF(AND(AA$3&lt;&gt;"",$H9&lt;=AA$3,$J9&gt;=AA$3),"■",""))</f>
        <v/>
      </c>
      <c r="AB9" s="37">
        <f>IF($H9="","",IF(AND(AB$3&lt;&gt;"",$H9&lt;=AB$3,$J9&gt;=AB$3),"■",""))</f>
        <v/>
      </c>
      <c r="AC9" s="37">
        <f>IF($H9="","",IF(AND(AC$3&lt;&gt;"",$H9&lt;=AC$3,$J9&gt;=AC$3),"■",""))</f>
        <v/>
      </c>
      <c r="AD9" s="37">
        <f>IF($H9="","",IF(AND(AD$3&lt;&gt;"",$H9&lt;=AD$3,$J9&gt;=AD$3),"■",""))</f>
        <v/>
      </c>
      <c r="AE9" s="37">
        <f>IF($H9="","",IF(AND(AE$3&lt;&gt;"",$H9&lt;=AE$3,$J9&gt;=AE$3),"■",""))</f>
        <v/>
      </c>
      <c r="AF9" s="37">
        <f>IF($H9="","",IF(AND(AF$3&lt;&gt;"",$H9&lt;=AF$3,$J9&gt;=AF$3),"■",""))</f>
        <v/>
      </c>
      <c r="AG9" s="37">
        <f>IF($H9="","",IF(AND(AG$3&lt;&gt;"",$H9&lt;=AG$3,$J9&gt;=AG$3),"■",""))</f>
        <v/>
      </c>
      <c r="AH9" s="37">
        <f>IF($H9="","",IF(AND(AH$3&lt;&gt;"",$H9&lt;=AH$3,$J9&gt;=AH$3),"■",""))</f>
        <v/>
      </c>
      <c r="AI9" s="37">
        <f>IF($H9="","",IF(AND(AI$3&lt;&gt;"",$H9&lt;=AI$3,$J9&gt;=AI$3),"■",""))</f>
        <v/>
      </c>
      <c r="AJ9" s="37">
        <f>IF($H9="","",IF(AND(AJ$3&lt;&gt;"",$H9&lt;=AJ$3,$J9&gt;=AJ$3),"■",""))</f>
        <v/>
      </c>
      <c r="AK9" s="37">
        <f>IF($H9="","",IF(AND(AK$3&lt;&gt;"",$H9&lt;=AK$3,$J9&gt;=AK$3),"■",""))</f>
        <v/>
      </c>
      <c r="AL9" s="37">
        <f>IF($H9="","",IF(AND(AL$3&lt;&gt;"",$H9&lt;=AL$3,$J9&gt;=AL$3),"■",""))</f>
        <v/>
      </c>
      <c r="AM9" s="37">
        <f>IF($H9="","",IF(AND(AM$3&lt;&gt;"",$H9&lt;=AM$3,$J9&gt;=AM$3),"■",""))</f>
        <v/>
      </c>
      <c r="AN9" s="37">
        <f>IF($H9="","",IF(AND(AN$3&lt;&gt;"",$H9&lt;=AN$3,$J9&gt;=AN$3),"■",""))</f>
        <v/>
      </c>
      <c r="AO9" s="37">
        <f>IF($H9="","",IF(AND(AO$3&lt;&gt;"",$H9&lt;=AO$3,$J9&gt;=AO$3),"■",""))</f>
        <v/>
      </c>
      <c r="AP9" s="37">
        <f>IF($H9="","",IF(AND(AP$3&lt;&gt;"",$H9&lt;=AP$3,$J9&gt;=AP$3),"■",""))</f>
        <v/>
      </c>
      <c r="AQ9" s="37">
        <f>IF($H9="","",IF(AND(AQ$3&lt;&gt;"",$H9&lt;=AQ$3,$J9&gt;=AQ$3),"■",""))</f>
        <v/>
      </c>
      <c r="AR9" s="37">
        <f>IF($H9="","",IF(AND(AR$3&lt;&gt;"",$H9&lt;=AR$3,$J9&gt;=AR$3),"■",""))</f>
        <v/>
      </c>
      <c r="AS9" s="37">
        <f>IF($H9="","",IF(AND(AS$3&lt;&gt;"",$H9&lt;=AS$3,$J9&gt;=AS$3),"■",""))</f>
        <v/>
      </c>
      <c r="AT9" s="37">
        <f>IF($H9="","",IF(AND(AT$3&lt;&gt;"",$H9&lt;=AT$3,$J9&gt;=AT$3),"■",""))</f>
        <v/>
      </c>
      <c r="AU9" s="37">
        <f>IF($H9="","",IF(AND(AU$3&lt;&gt;"",$H9&lt;=AU$3,$J9&gt;=AU$3),"■",""))</f>
        <v/>
      </c>
      <c r="AV9" s="37">
        <f>IF($H9="","",IF(AND(AV$3&lt;&gt;"",$H9&lt;=AV$3,$J9&gt;=AV$3),"■",""))</f>
        <v/>
      </c>
      <c r="AW9" s="37">
        <f>IF($H9="","",IF(AND(AW$3&lt;&gt;"",$H9&lt;=AW$3,$J9&gt;=AW$3),"■",""))</f>
        <v/>
      </c>
    </row>
    <row r="10">
      <c r="A10" s="27" t="n"/>
      <c r="B10" s="27" t="n"/>
      <c r="C10" s="28" t="n"/>
      <c r="D10" s="19" t="n"/>
      <c r="E10" s="28" t="n"/>
      <c r="F10" s="19" t="n"/>
      <c r="G10" s="29" t="n"/>
      <c r="H10" s="30" t="n"/>
      <c r="I10" s="17">
        <f>IFERROR(INDEX('④설정'!$E$7:$E$16,MATCH(C10,'④설정'!$D$7:$D$16,0)),"")</f>
        <v/>
      </c>
      <c r="J10" s="31">
        <f>IF(OR($H10="",$I10=""),"",WORKDAY($H10,$I10-1))</f>
        <v/>
      </c>
      <c r="K10" s="32">
        <f>IF($J10="","",IF($F10="완료","완료",$J10-'④설정'!$B$1))</f>
        <v/>
      </c>
      <c r="L10" s="33">
        <f>IF($J10="","",IF($F10="완료","✅완료",IF($J10&lt;'④설정'!$B$1,"🔴지연",IF($J10&lt;='④설정'!$B$1+2,"🔴임박",IF($J10&lt;='④설정'!$B$1+5,"🟡주의","🟢여유")))))</f>
        <v/>
      </c>
      <c r="M10" s="34" t="n"/>
      <c r="N10" s="34" t="n"/>
      <c r="O10" s="34" t="n"/>
      <c r="P10" s="34" t="n"/>
      <c r="Q10" s="35">
        <f>IF(SUM(M10:P10)=0,"",SUM(M10:P10))</f>
        <v/>
      </c>
      <c r="R10" s="36">
        <f>IF(Q10="","",Q10/'④설정'!$B$3)</f>
        <v/>
      </c>
      <c r="S10" s="37">
        <f>IF($H10="","",IF(AND(S$3&lt;&gt;"",$H10&lt;=S$3,$J10&gt;=S$3),"■",""))</f>
        <v/>
      </c>
      <c r="T10" s="37">
        <f>IF($H10="","",IF(AND(T$3&lt;&gt;"",$H10&lt;=T$3,$J10&gt;=T$3),"■",""))</f>
        <v/>
      </c>
      <c r="U10" s="37">
        <f>IF($H10="","",IF(AND(U$3&lt;&gt;"",$H10&lt;=U$3,$J10&gt;=U$3),"■",""))</f>
        <v/>
      </c>
      <c r="V10" s="37">
        <f>IF($H10="","",IF(AND(V$3&lt;&gt;"",$H10&lt;=V$3,$J10&gt;=V$3),"■",""))</f>
        <v/>
      </c>
      <c r="W10" s="37">
        <f>IF($H10="","",IF(AND(W$3&lt;&gt;"",$H10&lt;=W$3,$J10&gt;=W$3),"■",""))</f>
        <v/>
      </c>
      <c r="X10" s="37">
        <f>IF($H10="","",IF(AND(X$3&lt;&gt;"",$H10&lt;=X$3,$J10&gt;=X$3),"■",""))</f>
        <v/>
      </c>
      <c r="Y10" s="37">
        <f>IF($H10="","",IF(AND(Y$3&lt;&gt;"",$H10&lt;=Y$3,$J10&gt;=Y$3),"■",""))</f>
        <v/>
      </c>
      <c r="Z10" s="37">
        <f>IF($H10="","",IF(AND(Z$3&lt;&gt;"",$H10&lt;=Z$3,$J10&gt;=Z$3),"■",""))</f>
        <v/>
      </c>
      <c r="AA10" s="37">
        <f>IF($H10="","",IF(AND(AA$3&lt;&gt;"",$H10&lt;=AA$3,$J10&gt;=AA$3),"■",""))</f>
        <v/>
      </c>
      <c r="AB10" s="37">
        <f>IF($H10="","",IF(AND(AB$3&lt;&gt;"",$H10&lt;=AB$3,$J10&gt;=AB$3),"■",""))</f>
        <v/>
      </c>
      <c r="AC10" s="37">
        <f>IF($H10="","",IF(AND(AC$3&lt;&gt;"",$H10&lt;=AC$3,$J10&gt;=AC$3),"■",""))</f>
        <v/>
      </c>
      <c r="AD10" s="37">
        <f>IF($H10="","",IF(AND(AD$3&lt;&gt;"",$H10&lt;=AD$3,$J10&gt;=AD$3),"■",""))</f>
        <v/>
      </c>
      <c r="AE10" s="37">
        <f>IF($H10="","",IF(AND(AE$3&lt;&gt;"",$H10&lt;=AE$3,$J10&gt;=AE$3),"■",""))</f>
        <v/>
      </c>
      <c r="AF10" s="37">
        <f>IF($H10="","",IF(AND(AF$3&lt;&gt;"",$H10&lt;=AF$3,$J10&gt;=AF$3),"■",""))</f>
        <v/>
      </c>
      <c r="AG10" s="37">
        <f>IF($H10="","",IF(AND(AG$3&lt;&gt;"",$H10&lt;=AG$3,$J10&gt;=AG$3),"■",""))</f>
        <v/>
      </c>
      <c r="AH10" s="37">
        <f>IF($H10="","",IF(AND(AH$3&lt;&gt;"",$H10&lt;=AH$3,$J10&gt;=AH$3),"■",""))</f>
        <v/>
      </c>
      <c r="AI10" s="37">
        <f>IF($H10="","",IF(AND(AI$3&lt;&gt;"",$H10&lt;=AI$3,$J10&gt;=AI$3),"■",""))</f>
        <v/>
      </c>
      <c r="AJ10" s="37">
        <f>IF($H10="","",IF(AND(AJ$3&lt;&gt;"",$H10&lt;=AJ$3,$J10&gt;=AJ$3),"■",""))</f>
        <v/>
      </c>
      <c r="AK10" s="37">
        <f>IF($H10="","",IF(AND(AK$3&lt;&gt;"",$H10&lt;=AK$3,$J10&gt;=AK$3),"■",""))</f>
        <v/>
      </c>
      <c r="AL10" s="37">
        <f>IF($H10="","",IF(AND(AL$3&lt;&gt;"",$H10&lt;=AL$3,$J10&gt;=AL$3),"■",""))</f>
        <v/>
      </c>
      <c r="AM10" s="37">
        <f>IF($H10="","",IF(AND(AM$3&lt;&gt;"",$H10&lt;=AM$3,$J10&gt;=AM$3),"■",""))</f>
        <v/>
      </c>
      <c r="AN10" s="37">
        <f>IF($H10="","",IF(AND(AN$3&lt;&gt;"",$H10&lt;=AN$3,$J10&gt;=AN$3),"■",""))</f>
        <v/>
      </c>
      <c r="AO10" s="37">
        <f>IF($H10="","",IF(AND(AO$3&lt;&gt;"",$H10&lt;=AO$3,$J10&gt;=AO$3),"■",""))</f>
        <v/>
      </c>
      <c r="AP10" s="37">
        <f>IF($H10="","",IF(AND(AP$3&lt;&gt;"",$H10&lt;=AP$3,$J10&gt;=AP$3),"■",""))</f>
        <v/>
      </c>
      <c r="AQ10" s="37">
        <f>IF($H10="","",IF(AND(AQ$3&lt;&gt;"",$H10&lt;=AQ$3,$J10&gt;=AQ$3),"■",""))</f>
        <v/>
      </c>
      <c r="AR10" s="37">
        <f>IF($H10="","",IF(AND(AR$3&lt;&gt;"",$H10&lt;=AR$3,$J10&gt;=AR$3),"■",""))</f>
        <v/>
      </c>
      <c r="AS10" s="37">
        <f>IF($H10="","",IF(AND(AS$3&lt;&gt;"",$H10&lt;=AS$3,$J10&gt;=AS$3),"■",""))</f>
        <v/>
      </c>
      <c r="AT10" s="37">
        <f>IF($H10="","",IF(AND(AT$3&lt;&gt;"",$H10&lt;=AT$3,$J10&gt;=AT$3),"■",""))</f>
        <v/>
      </c>
      <c r="AU10" s="37">
        <f>IF($H10="","",IF(AND(AU$3&lt;&gt;"",$H10&lt;=AU$3,$J10&gt;=AU$3),"■",""))</f>
        <v/>
      </c>
      <c r="AV10" s="37">
        <f>IF($H10="","",IF(AND(AV$3&lt;&gt;"",$H10&lt;=AV$3,$J10&gt;=AV$3),"■",""))</f>
        <v/>
      </c>
      <c r="AW10" s="37">
        <f>IF($H10="","",IF(AND(AW$3&lt;&gt;"",$H10&lt;=AW$3,$J10&gt;=AW$3),"■",""))</f>
        <v/>
      </c>
    </row>
    <row r="11">
      <c r="A11" s="27" t="n"/>
      <c r="B11" s="27" t="n"/>
      <c r="C11" s="28" t="n"/>
      <c r="D11" s="19" t="n"/>
      <c r="E11" s="28" t="n"/>
      <c r="F11" s="19" t="n"/>
      <c r="G11" s="29" t="n"/>
      <c r="H11" s="30" t="n"/>
      <c r="I11" s="17">
        <f>IFERROR(INDEX('④설정'!$E$7:$E$16,MATCH(C11,'④설정'!$D$7:$D$16,0)),"")</f>
        <v/>
      </c>
      <c r="J11" s="31">
        <f>IF(OR($H11="",$I11=""),"",WORKDAY($H11,$I11-1))</f>
        <v/>
      </c>
      <c r="K11" s="32">
        <f>IF($J11="","",IF($F11="완료","완료",$J11-'④설정'!$B$1))</f>
        <v/>
      </c>
      <c r="L11" s="33">
        <f>IF($J11="","",IF($F11="완료","✅완료",IF($J11&lt;'④설정'!$B$1,"🔴지연",IF($J11&lt;='④설정'!$B$1+2,"🔴임박",IF($J11&lt;='④설정'!$B$1+5,"🟡주의","🟢여유")))))</f>
        <v/>
      </c>
      <c r="M11" s="34" t="n"/>
      <c r="N11" s="34" t="n"/>
      <c r="O11" s="34" t="n"/>
      <c r="P11" s="34" t="n"/>
      <c r="Q11" s="35">
        <f>IF(SUM(M11:P11)=0,"",SUM(M11:P11))</f>
        <v/>
      </c>
      <c r="R11" s="36">
        <f>IF(Q11="","",Q11/'④설정'!$B$3)</f>
        <v/>
      </c>
      <c r="S11" s="37">
        <f>IF($H11="","",IF(AND(S$3&lt;&gt;"",$H11&lt;=S$3,$J11&gt;=S$3),"■",""))</f>
        <v/>
      </c>
      <c r="T11" s="37">
        <f>IF($H11="","",IF(AND(T$3&lt;&gt;"",$H11&lt;=T$3,$J11&gt;=T$3),"■",""))</f>
        <v/>
      </c>
      <c r="U11" s="37">
        <f>IF($H11="","",IF(AND(U$3&lt;&gt;"",$H11&lt;=U$3,$J11&gt;=U$3),"■",""))</f>
        <v/>
      </c>
      <c r="V11" s="37">
        <f>IF($H11="","",IF(AND(V$3&lt;&gt;"",$H11&lt;=V$3,$J11&gt;=V$3),"■",""))</f>
        <v/>
      </c>
      <c r="W11" s="37">
        <f>IF($H11="","",IF(AND(W$3&lt;&gt;"",$H11&lt;=W$3,$J11&gt;=W$3),"■",""))</f>
        <v/>
      </c>
      <c r="X11" s="37">
        <f>IF($H11="","",IF(AND(X$3&lt;&gt;"",$H11&lt;=X$3,$J11&gt;=X$3),"■",""))</f>
        <v/>
      </c>
      <c r="Y11" s="37">
        <f>IF($H11="","",IF(AND(Y$3&lt;&gt;"",$H11&lt;=Y$3,$J11&gt;=Y$3),"■",""))</f>
        <v/>
      </c>
      <c r="Z11" s="37">
        <f>IF($H11="","",IF(AND(Z$3&lt;&gt;"",$H11&lt;=Z$3,$J11&gt;=Z$3),"■",""))</f>
        <v/>
      </c>
      <c r="AA11" s="37">
        <f>IF($H11="","",IF(AND(AA$3&lt;&gt;"",$H11&lt;=AA$3,$J11&gt;=AA$3),"■",""))</f>
        <v/>
      </c>
      <c r="AB11" s="37">
        <f>IF($H11="","",IF(AND(AB$3&lt;&gt;"",$H11&lt;=AB$3,$J11&gt;=AB$3),"■",""))</f>
        <v/>
      </c>
      <c r="AC11" s="37">
        <f>IF($H11="","",IF(AND(AC$3&lt;&gt;"",$H11&lt;=AC$3,$J11&gt;=AC$3),"■",""))</f>
        <v/>
      </c>
      <c r="AD11" s="37">
        <f>IF($H11="","",IF(AND(AD$3&lt;&gt;"",$H11&lt;=AD$3,$J11&gt;=AD$3),"■",""))</f>
        <v/>
      </c>
      <c r="AE11" s="37">
        <f>IF($H11="","",IF(AND(AE$3&lt;&gt;"",$H11&lt;=AE$3,$J11&gt;=AE$3),"■",""))</f>
        <v/>
      </c>
      <c r="AF11" s="37">
        <f>IF($H11="","",IF(AND(AF$3&lt;&gt;"",$H11&lt;=AF$3,$J11&gt;=AF$3),"■",""))</f>
        <v/>
      </c>
      <c r="AG11" s="37">
        <f>IF($H11="","",IF(AND(AG$3&lt;&gt;"",$H11&lt;=AG$3,$J11&gt;=AG$3),"■",""))</f>
        <v/>
      </c>
      <c r="AH11" s="37">
        <f>IF($H11="","",IF(AND(AH$3&lt;&gt;"",$H11&lt;=AH$3,$J11&gt;=AH$3),"■",""))</f>
        <v/>
      </c>
      <c r="AI11" s="37">
        <f>IF($H11="","",IF(AND(AI$3&lt;&gt;"",$H11&lt;=AI$3,$J11&gt;=AI$3),"■",""))</f>
        <v/>
      </c>
      <c r="AJ11" s="37">
        <f>IF($H11="","",IF(AND(AJ$3&lt;&gt;"",$H11&lt;=AJ$3,$J11&gt;=AJ$3),"■",""))</f>
        <v/>
      </c>
      <c r="AK11" s="37">
        <f>IF($H11="","",IF(AND(AK$3&lt;&gt;"",$H11&lt;=AK$3,$J11&gt;=AK$3),"■",""))</f>
        <v/>
      </c>
      <c r="AL11" s="37">
        <f>IF($H11="","",IF(AND(AL$3&lt;&gt;"",$H11&lt;=AL$3,$J11&gt;=AL$3),"■",""))</f>
        <v/>
      </c>
      <c r="AM11" s="37">
        <f>IF($H11="","",IF(AND(AM$3&lt;&gt;"",$H11&lt;=AM$3,$J11&gt;=AM$3),"■",""))</f>
        <v/>
      </c>
      <c r="AN11" s="37">
        <f>IF($H11="","",IF(AND(AN$3&lt;&gt;"",$H11&lt;=AN$3,$J11&gt;=AN$3),"■",""))</f>
        <v/>
      </c>
      <c r="AO11" s="37">
        <f>IF($H11="","",IF(AND(AO$3&lt;&gt;"",$H11&lt;=AO$3,$J11&gt;=AO$3),"■",""))</f>
        <v/>
      </c>
      <c r="AP11" s="37">
        <f>IF($H11="","",IF(AND(AP$3&lt;&gt;"",$H11&lt;=AP$3,$J11&gt;=AP$3),"■",""))</f>
        <v/>
      </c>
      <c r="AQ11" s="37">
        <f>IF($H11="","",IF(AND(AQ$3&lt;&gt;"",$H11&lt;=AQ$3,$J11&gt;=AQ$3),"■",""))</f>
        <v/>
      </c>
      <c r="AR11" s="37">
        <f>IF($H11="","",IF(AND(AR$3&lt;&gt;"",$H11&lt;=AR$3,$J11&gt;=AR$3),"■",""))</f>
        <v/>
      </c>
      <c r="AS11" s="37">
        <f>IF($H11="","",IF(AND(AS$3&lt;&gt;"",$H11&lt;=AS$3,$J11&gt;=AS$3),"■",""))</f>
        <v/>
      </c>
      <c r="AT11" s="37">
        <f>IF($H11="","",IF(AND(AT$3&lt;&gt;"",$H11&lt;=AT$3,$J11&gt;=AT$3),"■",""))</f>
        <v/>
      </c>
      <c r="AU11" s="37">
        <f>IF($H11="","",IF(AND(AU$3&lt;&gt;"",$H11&lt;=AU$3,$J11&gt;=AU$3),"■",""))</f>
        <v/>
      </c>
      <c r="AV11" s="37">
        <f>IF($H11="","",IF(AND(AV$3&lt;&gt;"",$H11&lt;=AV$3,$J11&gt;=AV$3),"■",""))</f>
        <v/>
      </c>
      <c r="AW11" s="37">
        <f>IF($H11="","",IF(AND(AW$3&lt;&gt;"",$H11&lt;=AW$3,$J11&gt;=AW$3),"■",""))</f>
        <v/>
      </c>
    </row>
    <row r="12">
      <c r="A12" s="27" t="n"/>
      <c r="B12" s="27" t="n"/>
      <c r="C12" s="28" t="n"/>
      <c r="D12" s="19" t="n"/>
      <c r="E12" s="28" t="n"/>
      <c r="F12" s="19" t="n"/>
      <c r="G12" s="29" t="n"/>
      <c r="H12" s="30" t="n"/>
      <c r="I12" s="17">
        <f>IFERROR(INDEX('④설정'!$E$7:$E$16,MATCH(C12,'④설정'!$D$7:$D$16,0)),"")</f>
        <v/>
      </c>
      <c r="J12" s="31">
        <f>IF(OR($H12="",$I12=""),"",WORKDAY($H12,$I12-1))</f>
        <v/>
      </c>
      <c r="K12" s="32">
        <f>IF($J12="","",IF($F12="완료","완료",$J12-'④설정'!$B$1))</f>
        <v/>
      </c>
      <c r="L12" s="33">
        <f>IF($J12="","",IF($F12="완료","✅완료",IF($J12&lt;'④설정'!$B$1,"🔴지연",IF($J12&lt;='④설정'!$B$1+2,"🔴임박",IF($J12&lt;='④설정'!$B$1+5,"🟡주의","🟢여유")))))</f>
        <v/>
      </c>
      <c r="M12" s="34" t="n"/>
      <c r="N12" s="34" t="n"/>
      <c r="O12" s="34" t="n"/>
      <c r="P12" s="34" t="n"/>
      <c r="Q12" s="35">
        <f>IF(SUM(M12:P12)=0,"",SUM(M12:P12))</f>
        <v/>
      </c>
      <c r="R12" s="36">
        <f>IF(Q12="","",Q12/'④설정'!$B$3)</f>
        <v/>
      </c>
      <c r="S12" s="37">
        <f>IF($H12="","",IF(AND(S$3&lt;&gt;"",$H12&lt;=S$3,$J12&gt;=S$3),"■",""))</f>
        <v/>
      </c>
      <c r="T12" s="37">
        <f>IF($H12="","",IF(AND(T$3&lt;&gt;"",$H12&lt;=T$3,$J12&gt;=T$3),"■",""))</f>
        <v/>
      </c>
      <c r="U12" s="37">
        <f>IF($H12="","",IF(AND(U$3&lt;&gt;"",$H12&lt;=U$3,$J12&gt;=U$3),"■",""))</f>
        <v/>
      </c>
      <c r="V12" s="37">
        <f>IF($H12="","",IF(AND(V$3&lt;&gt;"",$H12&lt;=V$3,$J12&gt;=V$3),"■",""))</f>
        <v/>
      </c>
      <c r="W12" s="37">
        <f>IF($H12="","",IF(AND(W$3&lt;&gt;"",$H12&lt;=W$3,$J12&gt;=W$3),"■",""))</f>
        <v/>
      </c>
      <c r="X12" s="37">
        <f>IF($H12="","",IF(AND(X$3&lt;&gt;"",$H12&lt;=X$3,$J12&gt;=X$3),"■",""))</f>
        <v/>
      </c>
      <c r="Y12" s="37">
        <f>IF($H12="","",IF(AND(Y$3&lt;&gt;"",$H12&lt;=Y$3,$J12&gt;=Y$3),"■",""))</f>
        <v/>
      </c>
      <c r="Z12" s="37">
        <f>IF($H12="","",IF(AND(Z$3&lt;&gt;"",$H12&lt;=Z$3,$J12&gt;=Z$3),"■",""))</f>
        <v/>
      </c>
      <c r="AA12" s="37">
        <f>IF($H12="","",IF(AND(AA$3&lt;&gt;"",$H12&lt;=AA$3,$J12&gt;=AA$3),"■",""))</f>
        <v/>
      </c>
      <c r="AB12" s="37">
        <f>IF($H12="","",IF(AND(AB$3&lt;&gt;"",$H12&lt;=AB$3,$J12&gt;=AB$3),"■",""))</f>
        <v/>
      </c>
      <c r="AC12" s="37">
        <f>IF($H12="","",IF(AND(AC$3&lt;&gt;"",$H12&lt;=AC$3,$J12&gt;=AC$3),"■",""))</f>
        <v/>
      </c>
      <c r="AD12" s="37">
        <f>IF($H12="","",IF(AND(AD$3&lt;&gt;"",$H12&lt;=AD$3,$J12&gt;=AD$3),"■",""))</f>
        <v/>
      </c>
      <c r="AE12" s="37">
        <f>IF($H12="","",IF(AND(AE$3&lt;&gt;"",$H12&lt;=AE$3,$J12&gt;=AE$3),"■",""))</f>
        <v/>
      </c>
      <c r="AF12" s="37">
        <f>IF($H12="","",IF(AND(AF$3&lt;&gt;"",$H12&lt;=AF$3,$J12&gt;=AF$3),"■",""))</f>
        <v/>
      </c>
      <c r="AG12" s="37">
        <f>IF($H12="","",IF(AND(AG$3&lt;&gt;"",$H12&lt;=AG$3,$J12&gt;=AG$3),"■",""))</f>
        <v/>
      </c>
      <c r="AH12" s="37">
        <f>IF($H12="","",IF(AND(AH$3&lt;&gt;"",$H12&lt;=AH$3,$J12&gt;=AH$3),"■",""))</f>
        <v/>
      </c>
      <c r="AI12" s="37">
        <f>IF($H12="","",IF(AND(AI$3&lt;&gt;"",$H12&lt;=AI$3,$J12&gt;=AI$3),"■",""))</f>
        <v/>
      </c>
      <c r="AJ12" s="37">
        <f>IF($H12="","",IF(AND(AJ$3&lt;&gt;"",$H12&lt;=AJ$3,$J12&gt;=AJ$3),"■",""))</f>
        <v/>
      </c>
      <c r="AK12" s="37">
        <f>IF($H12="","",IF(AND(AK$3&lt;&gt;"",$H12&lt;=AK$3,$J12&gt;=AK$3),"■",""))</f>
        <v/>
      </c>
      <c r="AL12" s="37">
        <f>IF($H12="","",IF(AND(AL$3&lt;&gt;"",$H12&lt;=AL$3,$J12&gt;=AL$3),"■",""))</f>
        <v/>
      </c>
      <c r="AM12" s="37">
        <f>IF($H12="","",IF(AND(AM$3&lt;&gt;"",$H12&lt;=AM$3,$J12&gt;=AM$3),"■",""))</f>
        <v/>
      </c>
      <c r="AN12" s="37">
        <f>IF($H12="","",IF(AND(AN$3&lt;&gt;"",$H12&lt;=AN$3,$J12&gt;=AN$3),"■",""))</f>
        <v/>
      </c>
      <c r="AO12" s="37">
        <f>IF($H12="","",IF(AND(AO$3&lt;&gt;"",$H12&lt;=AO$3,$J12&gt;=AO$3),"■",""))</f>
        <v/>
      </c>
      <c r="AP12" s="37">
        <f>IF($H12="","",IF(AND(AP$3&lt;&gt;"",$H12&lt;=AP$3,$J12&gt;=AP$3),"■",""))</f>
        <v/>
      </c>
      <c r="AQ12" s="37">
        <f>IF($H12="","",IF(AND(AQ$3&lt;&gt;"",$H12&lt;=AQ$3,$J12&gt;=AQ$3),"■",""))</f>
        <v/>
      </c>
      <c r="AR12" s="37">
        <f>IF($H12="","",IF(AND(AR$3&lt;&gt;"",$H12&lt;=AR$3,$J12&gt;=AR$3),"■",""))</f>
        <v/>
      </c>
      <c r="AS12" s="37">
        <f>IF($H12="","",IF(AND(AS$3&lt;&gt;"",$H12&lt;=AS$3,$J12&gt;=AS$3),"■",""))</f>
        <v/>
      </c>
      <c r="AT12" s="37">
        <f>IF($H12="","",IF(AND(AT$3&lt;&gt;"",$H12&lt;=AT$3,$J12&gt;=AT$3),"■",""))</f>
        <v/>
      </c>
      <c r="AU12" s="37">
        <f>IF($H12="","",IF(AND(AU$3&lt;&gt;"",$H12&lt;=AU$3,$J12&gt;=AU$3),"■",""))</f>
        <v/>
      </c>
      <c r="AV12" s="37">
        <f>IF($H12="","",IF(AND(AV$3&lt;&gt;"",$H12&lt;=AV$3,$J12&gt;=AV$3),"■",""))</f>
        <v/>
      </c>
      <c r="AW12" s="37">
        <f>IF($H12="","",IF(AND(AW$3&lt;&gt;"",$H12&lt;=AW$3,$J12&gt;=AW$3),"■",""))</f>
        <v/>
      </c>
    </row>
    <row r="13">
      <c r="A13" s="27" t="n"/>
      <c r="B13" s="27" t="n"/>
      <c r="C13" s="28" t="n"/>
      <c r="D13" s="19" t="n"/>
      <c r="E13" s="28" t="n"/>
      <c r="F13" s="19" t="n"/>
      <c r="G13" s="29" t="n"/>
      <c r="H13" s="30" t="n"/>
      <c r="I13" s="17">
        <f>IFERROR(INDEX('④설정'!$E$7:$E$16,MATCH(C13,'④설정'!$D$7:$D$16,0)),"")</f>
        <v/>
      </c>
      <c r="J13" s="31">
        <f>IF(OR($H13="",$I13=""),"",WORKDAY($H13,$I13-1))</f>
        <v/>
      </c>
      <c r="K13" s="32">
        <f>IF($J13="","",IF($F13="완료","완료",$J13-'④설정'!$B$1))</f>
        <v/>
      </c>
      <c r="L13" s="33">
        <f>IF($J13="","",IF($F13="완료","✅완료",IF($J13&lt;'④설정'!$B$1,"🔴지연",IF($J13&lt;='④설정'!$B$1+2,"🔴임박",IF($J13&lt;='④설정'!$B$1+5,"🟡주의","🟢여유")))))</f>
        <v/>
      </c>
      <c r="M13" s="34" t="n"/>
      <c r="N13" s="34" t="n"/>
      <c r="O13" s="34" t="n"/>
      <c r="P13" s="34" t="n"/>
      <c r="Q13" s="35">
        <f>IF(SUM(M13:P13)=0,"",SUM(M13:P13))</f>
        <v/>
      </c>
      <c r="R13" s="36">
        <f>IF(Q13="","",Q13/'④설정'!$B$3)</f>
        <v/>
      </c>
      <c r="S13" s="37">
        <f>IF($H13="","",IF(AND(S$3&lt;&gt;"",$H13&lt;=S$3,$J13&gt;=S$3),"■",""))</f>
        <v/>
      </c>
      <c r="T13" s="37">
        <f>IF($H13="","",IF(AND(T$3&lt;&gt;"",$H13&lt;=T$3,$J13&gt;=T$3),"■",""))</f>
        <v/>
      </c>
      <c r="U13" s="37">
        <f>IF($H13="","",IF(AND(U$3&lt;&gt;"",$H13&lt;=U$3,$J13&gt;=U$3),"■",""))</f>
        <v/>
      </c>
      <c r="V13" s="37">
        <f>IF($H13="","",IF(AND(V$3&lt;&gt;"",$H13&lt;=V$3,$J13&gt;=V$3),"■",""))</f>
        <v/>
      </c>
      <c r="W13" s="37">
        <f>IF($H13="","",IF(AND(W$3&lt;&gt;"",$H13&lt;=W$3,$J13&gt;=W$3),"■",""))</f>
        <v/>
      </c>
      <c r="X13" s="37">
        <f>IF($H13="","",IF(AND(X$3&lt;&gt;"",$H13&lt;=X$3,$J13&gt;=X$3),"■",""))</f>
        <v/>
      </c>
      <c r="Y13" s="37">
        <f>IF($H13="","",IF(AND(Y$3&lt;&gt;"",$H13&lt;=Y$3,$J13&gt;=Y$3),"■",""))</f>
        <v/>
      </c>
      <c r="Z13" s="37">
        <f>IF($H13="","",IF(AND(Z$3&lt;&gt;"",$H13&lt;=Z$3,$J13&gt;=Z$3),"■",""))</f>
        <v/>
      </c>
      <c r="AA13" s="37">
        <f>IF($H13="","",IF(AND(AA$3&lt;&gt;"",$H13&lt;=AA$3,$J13&gt;=AA$3),"■",""))</f>
        <v/>
      </c>
      <c r="AB13" s="37">
        <f>IF($H13="","",IF(AND(AB$3&lt;&gt;"",$H13&lt;=AB$3,$J13&gt;=AB$3),"■",""))</f>
        <v/>
      </c>
      <c r="AC13" s="37">
        <f>IF($H13="","",IF(AND(AC$3&lt;&gt;"",$H13&lt;=AC$3,$J13&gt;=AC$3),"■",""))</f>
        <v/>
      </c>
      <c r="AD13" s="37">
        <f>IF($H13="","",IF(AND(AD$3&lt;&gt;"",$H13&lt;=AD$3,$J13&gt;=AD$3),"■",""))</f>
        <v/>
      </c>
      <c r="AE13" s="37">
        <f>IF($H13="","",IF(AND(AE$3&lt;&gt;"",$H13&lt;=AE$3,$J13&gt;=AE$3),"■",""))</f>
        <v/>
      </c>
      <c r="AF13" s="37">
        <f>IF($H13="","",IF(AND(AF$3&lt;&gt;"",$H13&lt;=AF$3,$J13&gt;=AF$3),"■",""))</f>
        <v/>
      </c>
      <c r="AG13" s="37">
        <f>IF($H13="","",IF(AND(AG$3&lt;&gt;"",$H13&lt;=AG$3,$J13&gt;=AG$3),"■",""))</f>
        <v/>
      </c>
      <c r="AH13" s="37">
        <f>IF($H13="","",IF(AND(AH$3&lt;&gt;"",$H13&lt;=AH$3,$J13&gt;=AH$3),"■",""))</f>
        <v/>
      </c>
      <c r="AI13" s="37">
        <f>IF($H13="","",IF(AND(AI$3&lt;&gt;"",$H13&lt;=AI$3,$J13&gt;=AI$3),"■",""))</f>
        <v/>
      </c>
      <c r="AJ13" s="37">
        <f>IF($H13="","",IF(AND(AJ$3&lt;&gt;"",$H13&lt;=AJ$3,$J13&gt;=AJ$3),"■",""))</f>
        <v/>
      </c>
      <c r="AK13" s="37">
        <f>IF($H13="","",IF(AND(AK$3&lt;&gt;"",$H13&lt;=AK$3,$J13&gt;=AK$3),"■",""))</f>
        <v/>
      </c>
      <c r="AL13" s="37">
        <f>IF($H13="","",IF(AND(AL$3&lt;&gt;"",$H13&lt;=AL$3,$J13&gt;=AL$3),"■",""))</f>
        <v/>
      </c>
      <c r="AM13" s="37">
        <f>IF($H13="","",IF(AND(AM$3&lt;&gt;"",$H13&lt;=AM$3,$J13&gt;=AM$3),"■",""))</f>
        <v/>
      </c>
      <c r="AN13" s="37">
        <f>IF($H13="","",IF(AND(AN$3&lt;&gt;"",$H13&lt;=AN$3,$J13&gt;=AN$3),"■",""))</f>
        <v/>
      </c>
      <c r="AO13" s="37">
        <f>IF($H13="","",IF(AND(AO$3&lt;&gt;"",$H13&lt;=AO$3,$J13&gt;=AO$3),"■",""))</f>
        <v/>
      </c>
      <c r="AP13" s="37">
        <f>IF($H13="","",IF(AND(AP$3&lt;&gt;"",$H13&lt;=AP$3,$J13&gt;=AP$3),"■",""))</f>
        <v/>
      </c>
      <c r="AQ13" s="37">
        <f>IF($H13="","",IF(AND(AQ$3&lt;&gt;"",$H13&lt;=AQ$3,$J13&gt;=AQ$3),"■",""))</f>
        <v/>
      </c>
      <c r="AR13" s="37">
        <f>IF($H13="","",IF(AND(AR$3&lt;&gt;"",$H13&lt;=AR$3,$J13&gt;=AR$3),"■",""))</f>
        <v/>
      </c>
      <c r="AS13" s="37">
        <f>IF($H13="","",IF(AND(AS$3&lt;&gt;"",$H13&lt;=AS$3,$J13&gt;=AS$3),"■",""))</f>
        <v/>
      </c>
      <c r="AT13" s="37">
        <f>IF($H13="","",IF(AND(AT$3&lt;&gt;"",$H13&lt;=AT$3,$J13&gt;=AT$3),"■",""))</f>
        <v/>
      </c>
      <c r="AU13" s="37">
        <f>IF($H13="","",IF(AND(AU$3&lt;&gt;"",$H13&lt;=AU$3,$J13&gt;=AU$3),"■",""))</f>
        <v/>
      </c>
      <c r="AV13" s="37">
        <f>IF($H13="","",IF(AND(AV$3&lt;&gt;"",$H13&lt;=AV$3,$J13&gt;=AV$3),"■",""))</f>
        <v/>
      </c>
      <c r="AW13" s="37">
        <f>IF($H13="","",IF(AND(AW$3&lt;&gt;"",$H13&lt;=AW$3,$J13&gt;=AW$3),"■",""))</f>
        <v/>
      </c>
    </row>
    <row r="14">
      <c r="A14" s="27" t="n"/>
      <c r="B14" s="27" t="n"/>
      <c r="C14" s="28" t="n"/>
      <c r="D14" s="19" t="n"/>
      <c r="E14" s="28" t="n"/>
      <c r="F14" s="19" t="n"/>
      <c r="G14" s="29" t="n"/>
      <c r="H14" s="30" t="n"/>
      <c r="I14" s="17">
        <f>IFERROR(INDEX('④설정'!$E$7:$E$16,MATCH(C14,'④설정'!$D$7:$D$16,0)),"")</f>
        <v/>
      </c>
      <c r="J14" s="31">
        <f>IF(OR($H14="",$I14=""),"",WORKDAY($H14,$I14-1))</f>
        <v/>
      </c>
      <c r="K14" s="32">
        <f>IF($J14="","",IF($F14="완료","완료",$J14-'④설정'!$B$1))</f>
        <v/>
      </c>
      <c r="L14" s="33">
        <f>IF($J14="","",IF($F14="완료","✅완료",IF($J14&lt;'④설정'!$B$1,"🔴지연",IF($J14&lt;='④설정'!$B$1+2,"🔴임박",IF($J14&lt;='④설정'!$B$1+5,"🟡주의","🟢여유")))))</f>
        <v/>
      </c>
      <c r="M14" s="34" t="n"/>
      <c r="N14" s="34" t="n"/>
      <c r="O14" s="34" t="n"/>
      <c r="P14" s="34" t="n"/>
      <c r="Q14" s="35">
        <f>IF(SUM(M14:P14)=0,"",SUM(M14:P14))</f>
        <v/>
      </c>
      <c r="R14" s="36">
        <f>IF(Q14="","",Q14/'④설정'!$B$3)</f>
        <v/>
      </c>
      <c r="S14" s="37">
        <f>IF($H14="","",IF(AND(S$3&lt;&gt;"",$H14&lt;=S$3,$J14&gt;=S$3),"■",""))</f>
        <v/>
      </c>
      <c r="T14" s="37">
        <f>IF($H14="","",IF(AND(T$3&lt;&gt;"",$H14&lt;=T$3,$J14&gt;=T$3),"■",""))</f>
        <v/>
      </c>
      <c r="U14" s="37">
        <f>IF($H14="","",IF(AND(U$3&lt;&gt;"",$H14&lt;=U$3,$J14&gt;=U$3),"■",""))</f>
        <v/>
      </c>
      <c r="V14" s="37">
        <f>IF($H14="","",IF(AND(V$3&lt;&gt;"",$H14&lt;=V$3,$J14&gt;=V$3),"■",""))</f>
        <v/>
      </c>
      <c r="W14" s="37">
        <f>IF($H14="","",IF(AND(W$3&lt;&gt;"",$H14&lt;=W$3,$J14&gt;=W$3),"■",""))</f>
        <v/>
      </c>
      <c r="X14" s="37">
        <f>IF($H14="","",IF(AND(X$3&lt;&gt;"",$H14&lt;=X$3,$J14&gt;=X$3),"■",""))</f>
        <v/>
      </c>
      <c r="Y14" s="37">
        <f>IF($H14="","",IF(AND(Y$3&lt;&gt;"",$H14&lt;=Y$3,$J14&gt;=Y$3),"■",""))</f>
        <v/>
      </c>
      <c r="Z14" s="37">
        <f>IF($H14="","",IF(AND(Z$3&lt;&gt;"",$H14&lt;=Z$3,$J14&gt;=Z$3),"■",""))</f>
        <v/>
      </c>
      <c r="AA14" s="37">
        <f>IF($H14="","",IF(AND(AA$3&lt;&gt;"",$H14&lt;=AA$3,$J14&gt;=AA$3),"■",""))</f>
        <v/>
      </c>
      <c r="AB14" s="37">
        <f>IF($H14="","",IF(AND(AB$3&lt;&gt;"",$H14&lt;=AB$3,$J14&gt;=AB$3),"■",""))</f>
        <v/>
      </c>
      <c r="AC14" s="37">
        <f>IF($H14="","",IF(AND(AC$3&lt;&gt;"",$H14&lt;=AC$3,$J14&gt;=AC$3),"■",""))</f>
        <v/>
      </c>
      <c r="AD14" s="37">
        <f>IF($H14="","",IF(AND(AD$3&lt;&gt;"",$H14&lt;=AD$3,$J14&gt;=AD$3),"■",""))</f>
        <v/>
      </c>
      <c r="AE14" s="37">
        <f>IF($H14="","",IF(AND(AE$3&lt;&gt;"",$H14&lt;=AE$3,$J14&gt;=AE$3),"■",""))</f>
        <v/>
      </c>
      <c r="AF14" s="37">
        <f>IF($H14="","",IF(AND(AF$3&lt;&gt;"",$H14&lt;=AF$3,$J14&gt;=AF$3),"■",""))</f>
        <v/>
      </c>
      <c r="AG14" s="37">
        <f>IF($H14="","",IF(AND(AG$3&lt;&gt;"",$H14&lt;=AG$3,$J14&gt;=AG$3),"■",""))</f>
        <v/>
      </c>
      <c r="AH14" s="37">
        <f>IF($H14="","",IF(AND(AH$3&lt;&gt;"",$H14&lt;=AH$3,$J14&gt;=AH$3),"■",""))</f>
        <v/>
      </c>
      <c r="AI14" s="37">
        <f>IF($H14="","",IF(AND(AI$3&lt;&gt;"",$H14&lt;=AI$3,$J14&gt;=AI$3),"■",""))</f>
        <v/>
      </c>
      <c r="AJ14" s="37">
        <f>IF($H14="","",IF(AND(AJ$3&lt;&gt;"",$H14&lt;=AJ$3,$J14&gt;=AJ$3),"■",""))</f>
        <v/>
      </c>
      <c r="AK14" s="37">
        <f>IF($H14="","",IF(AND(AK$3&lt;&gt;"",$H14&lt;=AK$3,$J14&gt;=AK$3),"■",""))</f>
        <v/>
      </c>
      <c r="AL14" s="37">
        <f>IF($H14="","",IF(AND(AL$3&lt;&gt;"",$H14&lt;=AL$3,$J14&gt;=AL$3),"■",""))</f>
        <v/>
      </c>
      <c r="AM14" s="37">
        <f>IF($H14="","",IF(AND(AM$3&lt;&gt;"",$H14&lt;=AM$3,$J14&gt;=AM$3),"■",""))</f>
        <v/>
      </c>
      <c r="AN14" s="37">
        <f>IF($H14="","",IF(AND(AN$3&lt;&gt;"",$H14&lt;=AN$3,$J14&gt;=AN$3),"■",""))</f>
        <v/>
      </c>
      <c r="AO14" s="37">
        <f>IF($H14="","",IF(AND(AO$3&lt;&gt;"",$H14&lt;=AO$3,$J14&gt;=AO$3),"■",""))</f>
        <v/>
      </c>
      <c r="AP14" s="37">
        <f>IF($H14="","",IF(AND(AP$3&lt;&gt;"",$H14&lt;=AP$3,$J14&gt;=AP$3),"■",""))</f>
        <v/>
      </c>
      <c r="AQ14" s="37">
        <f>IF($H14="","",IF(AND(AQ$3&lt;&gt;"",$H14&lt;=AQ$3,$J14&gt;=AQ$3),"■",""))</f>
        <v/>
      </c>
      <c r="AR14" s="37">
        <f>IF($H14="","",IF(AND(AR$3&lt;&gt;"",$H14&lt;=AR$3,$J14&gt;=AR$3),"■",""))</f>
        <v/>
      </c>
      <c r="AS14" s="37">
        <f>IF($H14="","",IF(AND(AS$3&lt;&gt;"",$H14&lt;=AS$3,$J14&gt;=AS$3),"■",""))</f>
        <v/>
      </c>
      <c r="AT14" s="37">
        <f>IF($H14="","",IF(AND(AT$3&lt;&gt;"",$H14&lt;=AT$3,$J14&gt;=AT$3),"■",""))</f>
        <v/>
      </c>
      <c r="AU14" s="37">
        <f>IF($H14="","",IF(AND(AU$3&lt;&gt;"",$H14&lt;=AU$3,$J14&gt;=AU$3),"■",""))</f>
        <v/>
      </c>
      <c r="AV14" s="37">
        <f>IF($H14="","",IF(AND(AV$3&lt;&gt;"",$H14&lt;=AV$3,$J14&gt;=AV$3),"■",""))</f>
        <v/>
      </c>
      <c r="AW14" s="37">
        <f>IF($H14="","",IF(AND(AW$3&lt;&gt;"",$H14&lt;=AW$3,$J14&gt;=AW$3),"■",""))</f>
        <v/>
      </c>
    </row>
    <row r="15">
      <c r="A15" s="27" t="n"/>
      <c r="B15" s="27" t="n"/>
      <c r="C15" s="28" t="n"/>
      <c r="D15" s="19" t="n"/>
      <c r="E15" s="28" t="n"/>
      <c r="F15" s="19" t="n"/>
      <c r="G15" s="29" t="n"/>
      <c r="H15" s="30" t="n"/>
      <c r="I15" s="17">
        <f>IFERROR(INDEX('④설정'!$E$7:$E$16,MATCH(C15,'④설정'!$D$7:$D$16,0)),"")</f>
        <v/>
      </c>
      <c r="J15" s="31">
        <f>IF(OR($H15="",$I15=""),"",WORKDAY($H15,$I15-1))</f>
        <v/>
      </c>
      <c r="K15" s="32">
        <f>IF($J15="","",IF($F15="완료","완료",$J15-'④설정'!$B$1))</f>
        <v/>
      </c>
      <c r="L15" s="33">
        <f>IF($J15="","",IF($F15="완료","✅완료",IF($J15&lt;'④설정'!$B$1,"🔴지연",IF($J15&lt;='④설정'!$B$1+2,"🔴임박",IF($J15&lt;='④설정'!$B$1+5,"🟡주의","🟢여유")))))</f>
        <v/>
      </c>
      <c r="M15" s="34" t="n"/>
      <c r="N15" s="34" t="n"/>
      <c r="O15" s="34" t="n"/>
      <c r="P15" s="34" t="n"/>
      <c r="Q15" s="35">
        <f>IF(SUM(M15:P15)=0,"",SUM(M15:P15))</f>
        <v/>
      </c>
      <c r="R15" s="36">
        <f>IF(Q15="","",Q15/'④설정'!$B$3)</f>
        <v/>
      </c>
      <c r="S15" s="37">
        <f>IF($H15="","",IF(AND(S$3&lt;&gt;"",$H15&lt;=S$3,$J15&gt;=S$3),"■",""))</f>
        <v/>
      </c>
      <c r="T15" s="37">
        <f>IF($H15="","",IF(AND(T$3&lt;&gt;"",$H15&lt;=T$3,$J15&gt;=T$3),"■",""))</f>
        <v/>
      </c>
      <c r="U15" s="37">
        <f>IF($H15="","",IF(AND(U$3&lt;&gt;"",$H15&lt;=U$3,$J15&gt;=U$3),"■",""))</f>
        <v/>
      </c>
      <c r="V15" s="37">
        <f>IF($H15="","",IF(AND(V$3&lt;&gt;"",$H15&lt;=V$3,$J15&gt;=V$3),"■",""))</f>
        <v/>
      </c>
      <c r="W15" s="37">
        <f>IF($H15="","",IF(AND(W$3&lt;&gt;"",$H15&lt;=W$3,$J15&gt;=W$3),"■",""))</f>
        <v/>
      </c>
      <c r="X15" s="37">
        <f>IF($H15="","",IF(AND(X$3&lt;&gt;"",$H15&lt;=X$3,$J15&gt;=X$3),"■",""))</f>
        <v/>
      </c>
      <c r="Y15" s="37">
        <f>IF($H15="","",IF(AND(Y$3&lt;&gt;"",$H15&lt;=Y$3,$J15&gt;=Y$3),"■",""))</f>
        <v/>
      </c>
      <c r="Z15" s="37">
        <f>IF($H15="","",IF(AND(Z$3&lt;&gt;"",$H15&lt;=Z$3,$J15&gt;=Z$3),"■",""))</f>
        <v/>
      </c>
      <c r="AA15" s="37">
        <f>IF($H15="","",IF(AND(AA$3&lt;&gt;"",$H15&lt;=AA$3,$J15&gt;=AA$3),"■",""))</f>
        <v/>
      </c>
      <c r="AB15" s="37">
        <f>IF($H15="","",IF(AND(AB$3&lt;&gt;"",$H15&lt;=AB$3,$J15&gt;=AB$3),"■",""))</f>
        <v/>
      </c>
      <c r="AC15" s="37">
        <f>IF($H15="","",IF(AND(AC$3&lt;&gt;"",$H15&lt;=AC$3,$J15&gt;=AC$3),"■",""))</f>
        <v/>
      </c>
      <c r="AD15" s="37">
        <f>IF($H15="","",IF(AND(AD$3&lt;&gt;"",$H15&lt;=AD$3,$J15&gt;=AD$3),"■",""))</f>
        <v/>
      </c>
      <c r="AE15" s="37">
        <f>IF($H15="","",IF(AND(AE$3&lt;&gt;"",$H15&lt;=AE$3,$J15&gt;=AE$3),"■",""))</f>
        <v/>
      </c>
      <c r="AF15" s="37">
        <f>IF($H15="","",IF(AND(AF$3&lt;&gt;"",$H15&lt;=AF$3,$J15&gt;=AF$3),"■",""))</f>
        <v/>
      </c>
      <c r="AG15" s="37">
        <f>IF($H15="","",IF(AND(AG$3&lt;&gt;"",$H15&lt;=AG$3,$J15&gt;=AG$3),"■",""))</f>
        <v/>
      </c>
      <c r="AH15" s="37">
        <f>IF($H15="","",IF(AND(AH$3&lt;&gt;"",$H15&lt;=AH$3,$J15&gt;=AH$3),"■",""))</f>
        <v/>
      </c>
      <c r="AI15" s="37">
        <f>IF($H15="","",IF(AND(AI$3&lt;&gt;"",$H15&lt;=AI$3,$J15&gt;=AI$3),"■",""))</f>
        <v/>
      </c>
      <c r="AJ15" s="37">
        <f>IF($H15="","",IF(AND(AJ$3&lt;&gt;"",$H15&lt;=AJ$3,$J15&gt;=AJ$3),"■",""))</f>
        <v/>
      </c>
      <c r="AK15" s="37">
        <f>IF($H15="","",IF(AND(AK$3&lt;&gt;"",$H15&lt;=AK$3,$J15&gt;=AK$3),"■",""))</f>
        <v/>
      </c>
      <c r="AL15" s="37">
        <f>IF($H15="","",IF(AND(AL$3&lt;&gt;"",$H15&lt;=AL$3,$J15&gt;=AL$3),"■",""))</f>
        <v/>
      </c>
      <c r="AM15" s="37">
        <f>IF($H15="","",IF(AND(AM$3&lt;&gt;"",$H15&lt;=AM$3,$J15&gt;=AM$3),"■",""))</f>
        <v/>
      </c>
      <c r="AN15" s="37">
        <f>IF($H15="","",IF(AND(AN$3&lt;&gt;"",$H15&lt;=AN$3,$J15&gt;=AN$3),"■",""))</f>
        <v/>
      </c>
      <c r="AO15" s="37">
        <f>IF($H15="","",IF(AND(AO$3&lt;&gt;"",$H15&lt;=AO$3,$J15&gt;=AO$3),"■",""))</f>
        <v/>
      </c>
      <c r="AP15" s="37">
        <f>IF($H15="","",IF(AND(AP$3&lt;&gt;"",$H15&lt;=AP$3,$J15&gt;=AP$3),"■",""))</f>
        <v/>
      </c>
      <c r="AQ15" s="37">
        <f>IF($H15="","",IF(AND(AQ$3&lt;&gt;"",$H15&lt;=AQ$3,$J15&gt;=AQ$3),"■",""))</f>
        <v/>
      </c>
      <c r="AR15" s="37">
        <f>IF($H15="","",IF(AND(AR$3&lt;&gt;"",$H15&lt;=AR$3,$J15&gt;=AR$3),"■",""))</f>
        <v/>
      </c>
      <c r="AS15" s="37">
        <f>IF($H15="","",IF(AND(AS$3&lt;&gt;"",$H15&lt;=AS$3,$J15&gt;=AS$3),"■",""))</f>
        <v/>
      </c>
      <c r="AT15" s="37">
        <f>IF($H15="","",IF(AND(AT$3&lt;&gt;"",$H15&lt;=AT$3,$J15&gt;=AT$3),"■",""))</f>
        <v/>
      </c>
      <c r="AU15" s="37">
        <f>IF($H15="","",IF(AND(AU$3&lt;&gt;"",$H15&lt;=AU$3,$J15&gt;=AU$3),"■",""))</f>
        <v/>
      </c>
      <c r="AV15" s="37">
        <f>IF($H15="","",IF(AND(AV$3&lt;&gt;"",$H15&lt;=AV$3,$J15&gt;=AV$3),"■",""))</f>
        <v/>
      </c>
      <c r="AW15" s="37">
        <f>IF($H15="","",IF(AND(AW$3&lt;&gt;"",$H15&lt;=AW$3,$J15&gt;=AW$3),"■",""))</f>
        <v/>
      </c>
    </row>
    <row r="16">
      <c r="A16" s="27" t="n"/>
      <c r="B16" s="27" t="n"/>
      <c r="C16" s="28" t="n"/>
      <c r="D16" s="19" t="n"/>
      <c r="E16" s="28" t="n"/>
      <c r="F16" s="19" t="n"/>
      <c r="G16" s="29" t="n"/>
      <c r="H16" s="30" t="n"/>
      <c r="I16" s="17">
        <f>IFERROR(INDEX('④설정'!$E$7:$E$16,MATCH(C16,'④설정'!$D$7:$D$16,0)),"")</f>
        <v/>
      </c>
      <c r="J16" s="31">
        <f>IF(OR($H16="",$I16=""),"",WORKDAY($H16,$I16-1))</f>
        <v/>
      </c>
      <c r="K16" s="32">
        <f>IF($J16="","",IF($F16="완료","완료",$J16-'④설정'!$B$1))</f>
        <v/>
      </c>
      <c r="L16" s="33">
        <f>IF($J16="","",IF($F16="완료","✅완료",IF($J16&lt;'④설정'!$B$1,"🔴지연",IF($J16&lt;='④설정'!$B$1+2,"🔴임박",IF($J16&lt;='④설정'!$B$1+5,"🟡주의","🟢여유")))))</f>
        <v/>
      </c>
      <c r="M16" s="34" t="n"/>
      <c r="N16" s="34" t="n"/>
      <c r="O16" s="34" t="n"/>
      <c r="P16" s="34" t="n"/>
      <c r="Q16" s="35">
        <f>IF(SUM(M16:P16)=0,"",SUM(M16:P16))</f>
        <v/>
      </c>
      <c r="R16" s="36">
        <f>IF(Q16="","",Q16/'④설정'!$B$3)</f>
        <v/>
      </c>
      <c r="S16" s="37">
        <f>IF($H16="","",IF(AND(S$3&lt;&gt;"",$H16&lt;=S$3,$J16&gt;=S$3),"■",""))</f>
        <v/>
      </c>
      <c r="T16" s="37">
        <f>IF($H16="","",IF(AND(T$3&lt;&gt;"",$H16&lt;=T$3,$J16&gt;=T$3),"■",""))</f>
        <v/>
      </c>
      <c r="U16" s="37">
        <f>IF($H16="","",IF(AND(U$3&lt;&gt;"",$H16&lt;=U$3,$J16&gt;=U$3),"■",""))</f>
        <v/>
      </c>
      <c r="V16" s="37">
        <f>IF($H16="","",IF(AND(V$3&lt;&gt;"",$H16&lt;=V$3,$J16&gt;=V$3),"■",""))</f>
        <v/>
      </c>
      <c r="W16" s="37">
        <f>IF($H16="","",IF(AND(W$3&lt;&gt;"",$H16&lt;=W$3,$J16&gt;=W$3),"■",""))</f>
        <v/>
      </c>
      <c r="X16" s="37">
        <f>IF($H16="","",IF(AND(X$3&lt;&gt;"",$H16&lt;=X$3,$J16&gt;=X$3),"■",""))</f>
        <v/>
      </c>
      <c r="Y16" s="37">
        <f>IF($H16="","",IF(AND(Y$3&lt;&gt;"",$H16&lt;=Y$3,$J16&gt;=Y$3),"■",""))</f>
        <v/>
      </c>
      <c r="Z16" s="37">
        <f>IF($H16="","",IF(AND(Z$3&lt;&gt;"",$H16&lt;=Z$3,$J16&gt;=Z$3),"■",""))</f>
        <v/>
      </c>
      <c r="AA16" s="37">
        <f>IF($H16="","",IF(AND(AA$3&lt;&gt;"",$H16&lt;=AA$3,$J16&gt;=AA$3),"■",""))</f>
        <v/>
      </c>
      <c r="AB16" s="37">
        <f>IF($H16="","",IF(AND(AB$3&lt;&gt;"",$H16&lt;=AB$3,$J16&gt;=AB$3),"■",""))</f>
        <v/>
      </c>
      <c r="AC16" s="37">
        <f>IF($H16="","",IF(AND(AC$3&lt;&gt;"",$H16&lt;=AC$3,$J16&gt;=AC$3),"■",""))</f>
        <v/>
      </c>
      <c r="AD16" s="37">
        <f>IF($H16="","",IF(AND(AD$3&lt;&gt;"",$H16&lt;=AD$3,$J16&gt;=AD$3),"■",""))</f>
        <v/>
      </c>
      <c r="AE16" s="37">
        <f>IF($H16="","",IF(AND(AE$3&lt;&gt;"",$H16&lt;=AE$3,$J16&gt;=AE$3),"■",""))</f>
        <v/>
      </c>
      <c r="AF16" s="37">
        <f>IF($H16="","",IF(AND(AF$3&lt;&gt;"",$H16&lt;=AF$3,$J16&gt;=AF$3),"■",""))</f>
        <v/>
      </c>
      <c r="AG16" s="37">
        <f>IF($H16="","",IF(AND(AG$3&lt;&gt;"",$H16&lt;=AG$3,$J16&gt;=AG$3),"■",""))</f>
        <v/>
      </c>
      <c r="AH16" s="37">
        <f>IF($H16="","",IF(AND(AH$3&lt;&gt;"",$H16&lt;=AH$3,$J16&gt;=AH$3),"■",""))</f>
        <v/>
      </c>
      <c r="AI16" s="37">
        <f>IF($H16="","",IF(AND(AI$3&lt;&gt;"",$H16&lt;=AI$3,$J16&gt;=AI$3),"■",""))</f>
        <v/>
      </c>
      <c r="AJ16" s="37">
        <f>IF($H16="","",IF(AND(AJ$3&lt;&gt;"",$H16&lt;=AJ$3,$J16&gt;=AJ$3),"■",""))</f>
        <v/>
      </c>
      <c r="AK16" s="37">
        <f>IF($H16="","",IF(AND(AK$3&lt;&gt;"",$H16&lt;=AK$3,$J16&gt;=AK$3),"■",""))</f>
        <v/>
      </c>
      <c r="AL16" s="37">
        <f>IF($H16="","",IF(AND(AL$3&lt;&gt;"",$H16&lt;=AL$3,$J16&gt;=AL$3),"■",""))</f>
        <v/>
      </c>
      <c r="AM16" s="37">
        <f>IF($H16="","",IF(AND(AM$3&lt;&gt;"",$H16&lt;=AM$3,$J16&gt;=AM$3),"■",""))</f>
        <v/>
      </c>
      <c r="AN16" s="37">
        <f>IF($H16="","",IF(AND(AN$3&lt;&gt;"",$H16&lt;=AN$3,$J16&gt;=AN$3),"■",""))</f>
        <v/>
      </c>
      <c r="AO16" s="37">
        <f>IF($H16="","",IF(AND(AO$3&lt;&gt;"",$H16&lt;=AO$3,$J16&gt;=AO$3),"■",""))</f>
        <v/>
      </c>
      <c r="AP16" s="37">
        <f>IF($H16="","",IF(AND(AP$3&lt;&gt;"",$H16&lt;=AP$3,$J16&gt;=AP$3),"■",""))</f>
        <v/>
      </c>
      <c r="AQ16" s="37">
        <f>IF($H16="","",IF(AND(AQ$3&lt;&gt;"",$H16&lt;=AQ$3,$J16&gt;=AQ$3),"■",""))</f>
        <v/>
      </c>
      <c r="AR16" s="37">
        <f>IF($H16="","",IF(AND(AR$3&lt;&gt;"",$H16&lt;=AR$3,$J16&gt;=AR$3),"■",""))</f>
        <v/>
      </c>
      <c r="AS16" s="37">
        <f>IF($H16="","",IF(AND(AS$3&lt;&gt;"",$H16&lt;=AS$3,$J16&gt;=AS$3),"■",""))</f>
        <v/>
      </c>
      <c r="AT16" s="37">
        <f>IF($H16="","",IF(AND(AT$3&lt;&gt;"",$H16&lt;=AT$3,$J16&gt;=AT$3),"■",""))</f>
        <v/>
      </c>
      <c r="AU16" s="37">
        <f>IF($H16="","",IF(AND(AU$3&lt;&gt;"",$H16&lt;=AU$3,$J16&gt;=AU$3),"■",""))</f>
        <v/>
      </c>
      <c r="AV16" s="37">
        <f>IF($H16="","",IF(AND(AV$3&lt;&gt;"",$H16&lt;=AV$3,$J16&gt;=AV$3),"■",""))</f>
        <v/>
      </c>
      <c r="AW16" s="37">
        <f>IF($H16="","",IF(AND(AW$3&lt;&gt;"",$H16&lt;=AW$3,$J16&gt;=AW$3),"■",""))</f>
        <v/>
      </c>
    </row>
    <row r="17">
      <c r="A17" s="27" t="n"/>
      <c r="B17" s="27" t="n"/>
      <c r="C17" s="28" t="n"/>
      <c r="D17" s="19" t="n"/>
      <c r="E17" s="28" t="n"/>
      <c r="F17" s="19" t="n"/>
      <c r="G17" s="29" t="n"/>
      <c r="H17" s="30" t="n"/>
      <c r="I17" s="17">
        <f>IFERROR(INDEX('④설정'!$E$7:$E$16,MATCH(C17,'④설정'!$D$7:$D$16,0)),"")</f>
        <v/>
      </c>
      <c r="J17" s="31">
        <f>IF(OR($H17="",$I17=""),"",WORKDAY($H17,$I17-1))</f>
        <v/>
      </c>
      <c r="K17" s="32">
        <f>IF($J17="","",IF($F17="완료","완료",$J17-'④설정'!$B$1))</f>
        <v/>
      </c>
      <c r="L17" s="33">
        <f>IF($J17="","",IF($F17="완료","✅완료",IF($J17&lt;'④설정'!$B$1,"🔴지연",IF($J17&lt;='④설정'!$B$1+2,"🔴임박",IF($J17&lt;='④설정'!$B$1+5,"🟡주의","🟢여유")))))</f>
        <v/>
      </c>
      <c r="M17" s="34" t="n"/>
      <c r="N17" s="34" t="n"/>
      <c r="O17" s="34" t="n"/>
      <c r="P17" s="34" t="n"/>
      <c r="Q17" s="35">
        <f>IF(SUM(M17:P17)=0,"",SUM(M17:P17))</f>
        <v/>
      </c>
      <c r="R17" s="36">
        <f>IF(Q17="","",Q17/'④설정'!$B$3)</f>
        <v/>
      </c>
      <c r="S17" s="37">
        <f>IF($H17="","",IF(AND(S$3&lt;&gt;"",$H17&lt;=S$3,$J17&gt;=S$3),"■",""))</f>
        <v/>
      </c>
      <c r="T17" s="37">
        <f>IF($H17="","",IF(AND(T$3&lt;&gt;"",$H17&lt;=T$3,$J17&gt;=T$3),"■",""))</f>
        <v/>
      </c>
      <c r="U17" s="37">
        <f>IF($H17="","",IF(AND(U$3&lt;&gt;"",$H17&lt;=U$3,$J17&gt;=U$3),"■",""))</f>
        <v/>
      </c>
      <c r="V17" s="37">
        <f>IF($H17="","",IF(AND(V$3&lt;&gt;"",$H17&lt;=V$3,$J17&gt;=V$3),"■",""))</f>
        <v/>
      </c>
      <c r="W17" s="37">
        <f>IF($H17="","",IF(AND(W$3&lt;&gt;"",$H17&lt;=W$3,$J17&gt;=W$3),"■",""))</f>
        <v/>
      </c>
      <c r="X17" s="37">
        <f>IF($H17="","",IF(AND(X$3&lt;&gt;"",$H17&lt;=X$3,$J17&gt;=X$3),"■",""))</f>
        <v/>
      </c>
      <c r="Y17" s="37">
        <f>IF($H17="","",IF(AND(Y$3&lt;&gt;"",$H17&lt;=Y$3,$J17&gt;=Y$3),"■",""))</f>
        <v/>
      </c>
      <c r="Z17" s="37">
        <f>IF($H17="","",IF(AND(Z$3&lt;&gt;"",$H17&lt;=Z$3,$J17&gt;=Z$3),"■",""))</f>
        <v/>
      </c>
      <c r="AA17" s="37">
        <f>IF($H17="","",IF(AND(AA$3&lt;&gt;"",$H17&lt;=AA$3,$J17&gt;=AA$3),"■",""))</f>
        <v/>
      </c>
      <c r="AB17" s="37">
        <f>IF($H17="","",IF(AND(AB$3&lt;&gt;"",$H17&lt;=AB$3,$J17&gt;=AB$3),"■",""))</f>
        <v/>
      </c>
      <c r="AC17" s="37">
        <f>IF($H17="","",IF(AND(AC$3&lt;&gt;"",$H17&lt;=AC$3,$J17&gt;=AC$3),"■",""))</f>
        <v/>
      </c>
      <c r="AD17" s="37">
        <f>IF($H17="","",IF(AND(AD$3&lt;&gt;"",$H17&lt;=AD$3,$J17&gt;=AD$3),"■",""))</f>
        <v/>
      </c>
      <c r="AE17" s="37">
        <f>IF($H17="","",IF(AND(AE$3&lt;&gt;"",$H17&lt;=AE$3,$J17&gt;=AE$3),"■",""))</f>
        <v/>
      </c>
      <c r="AF17" s="37">
        <f>IF($H17="","",IF(AND(AF$3&lt;&gt;"",$H17&lt;=AF$3,$J17&gt;=AF$3),"■",""))</f>
        <v/>
      </c>
      <c r="AG17" s="37">
        <f>IF($H17="","",IF(AND(AG$3&lt;&gt;"",$H17&lt;=AG$3,$J17&gt;=AG$3),"■",""))</f>
        <v/>
      </c>
      <c r="AH17" s="37">
        <f>IF($H17="","",IF(AND(AH$3&lt;&gt;"",$H17&lt;=AH$3,$J17&gt;=AH$3),"■",""))</f>
        <v/>
      </c>
      <c r="AI17" s="37">
        <f>IF($H17="","",IF(AND(AI$3&lt;&gt;"",$H17&lt;=AI$3,$J17&gt;=AI$3),"■",""))</f>
        <v/>
      </c>
      <c r="AJ17" s="37">
        <f>IF($H17="","",IF(AND(AJ$3&lt;&gt;"",$H17&lt;=AJ$3,$J17&gt;=AJ$3),"■",""))</f>
        <v/>
      </c>
      <c r="AK17" s="37">
        <f>IF($H17="","",IF(AND(AK$3&lt;&gt;"",$H17&lt;=AK$3,$J17&gt;=AK$3),"■",""))</f>
        <v/>
      </c>
      <c r="AL17" s="37">
        <f>IF($H17="","",IF(AND(AL$3&lt;&gt;"",$H17&lt;=AL$3,$J17&gt;=AL$3),"■",""))</f>
        <v/>
      </c>
      <c r="AM17" s="37">
        <f>IF($H17="","",IF(AND(AM$3&lt;&gt;"",$H17&lt;=AM$3,$J17&gt;=AM$3),"■",""))</f>
        <v/>
      </c>
      <c r="AN17" s="37">
        <f>IF($H17="","",IF(AND(AN$3&lt;&gt;"",$H17&lt;=AN$3,$J17&gt;=AN$3),"■",""))</f>
        <v/>
      </c>
      <c r="AO17" s="37">
        <f>IF($H17="","",IF(AND(AO$3&lt;&gt;"",$H17&lt;=AO$3,$J17&gt;=AO$3),"■",""))</f>
        <v/>
      </c>
      <c r="AP17" s="37">
        <f>IF($H17="","",IF(AND(AP$3&lt;&gt;"",$H17&lt;=AP$3,$J17&gt;=AP$3),"■",""))</f>
        <v/>
      </c>
      <c r="AQ17" s="37">
        <f>IF($H17="","",IF(AND(AQ$3&lt;&gt;"",$H17&lt;=AQ$3,$J17&gt;=AQ$3),"■",""))</f>
        <v/>
      </c>
      <c r="AR17" s="37">
        <f>IF($H17="","",IF(AND(AR$3&lt;&gt;"",$H17&lt;=AR$3,$J17&gt;=AR$3),"■",""))</f>
        <v/>
      </c>
      <c r="AS17" s="37">
        <f>IF($H17="","",IF(AND(AS$3&lt;&gt;"",$H17&lt;=AS$3,$J17&gt;=AS$3),"■",""))</f>
        <v/>
      </c>
      <c r="AT17" s="37">
        <f>IF($H17="","",IF(AND(AT$3&lt;&gt;"",$H17&lt;=AT$3,$J17&gt;=AT$3),"■",""))</f>
        <v/>
      </c>
      <c r="AU17" s="37">
        <f>IF($H17="","",IF(AND(AU$3&lt;&gt;"",$H17&lt;=AU$3,$J17&gt;=AU$3),"■",""))</f>
        <v/>
      </c>
      <c r="AV17" s="37">
        <f>IF($H17="","",IF(AND(AV$3&lt;&gt;"",$H17&lt;=AV$3,$J17&gt;=AV$3),"■",""))</f>
        <v/>
      </c>
      <c r="AW17" s="37">
        <f>IF($H17="","",IF(AND(AW$3&lt;&gt;"",$H17&lt;=AW$3,$J17&gt;=AW$3),"■",""))</f>
        <v/>
      </c>
    </row>
    <row r="18">
      <c r="A18" s="27" t="n"/>
      <c r="B18" s="27" t="n"/>
      <c r="C18" s="28" t="n"/>
      <c r="D18" s="19" t="n"/>
      <c r="E18" s="28" t="n"/>
      <c r="F18" s="19" t="n"/>
      <c r="G18" s="29" t="n"/>
      <c r="H18" s="30" t="n"/>
      <c r="I18" s="17">
        <f>IFERROR(INDEX('④설정'!$E$7:$E$16,MATCH(C18,'④설정'!$D$7:$D$16,0)),"")</f>
        <v/>
      </c>
      <c r="J18" s="31">
        <f>IF(OR($H18="",$I18=""),"",WORKDAY($H18,$I18-1))</f>
        <v/>
      </c>
      <c r="K18" s="32">
        <f>IF($J18="","",IF($F18="완료","완료",$J18-'④설정'!$B$1))</f>
        <v/>
      </c>
      <c r="L18" s="33">
        <f>IF($J18="","",IF($F18="완료","✅완료",IF($J18&lt;'④설정'!$B$1,"🔴지연",IF($J18&lt;='④설정'!$B$1+2,"🔴임박",IF($J18&lt;='④설정'!$B$1+5,"🟡주의","🟢여유")))))</f>
        <v/>
      </c>
      <c r="M18" s="34" t="n"/>
      <c r="N18" s="34" t="n"/>
      <c r="O18" s="34" t="n"/>
      <c r="P18" s="34" t="n"/>
      <c r="Q18" s="35">
        <f>IF(SUM(M18:P18)=0,"",SUM(M18:P18))</f>
        <v/>
      </c>
      <c r="R18" s="36">
        <f>IF(Q18="","",Q18/'④설정'!$B$3)</f>
        <v/>
      </c>
      <c r="S18" s="37">
        <f>IF($H18="","",IF(AND(S$3&lt;&gt;"",$H18&lt;=S$3,$J18&gt;=S$3),"■",""))</f>
        <v/>
      </c>
      <c r="T18" s="37">
        <f>IF($H18="","",IF(AND(T$3&lt;&gt;"",$H18&lt;=T$3,$J18&gt;=T$3),"■",""))</f>
        <v/>
      </c>
      <c r="U18" s="37">
        <f>IF($H18="","",IF(AND(U$3&lt;&gt;"",$H18&lt;=U$3,$J18&gt;=U$3),"■",""))</f>
        <v/>
      </c>
      <c r="V18" s="37">
        <f>IF($H18="","",IF(AND(V$3&lt;&gt;"",$H18&lt;=V$3,$J18&gt;=V$3),"■",""))</f>
        <v/>
      </c>
      <c r="W18" s="37">
        <f>IF($H18="","",IF(AND(W$3&lt;&gt;"",$H18&lt;=W$3,$J18&gt;=W$3),"■",""))</f>
        <v/>
      </c>
      <c r="X18" s="37">
        <f>IF($H18="","",IF(AND(X$3&lt;&gt;"",$H18&lt;=X$3,$J18&gt;=X$3),"■",""))</f>
        <v/>
      </c>
      <c r="Y18" s="37">
        <f>IF($H18="","",IF(AND(Y$3&lt;&gt;"",$H18&lt;=Y$3,$J18&gt;=Y$3),"■",""))</f>
        <v/>
      </c>
      <c r="Z18" s="37">
        <f>IF($H18="","",IF(AND(Z$3&lt;&gt;"",$H18&lt;=Z$3,$J18&gt;=Z$3),"■",""))</f>
        <v/>
      </c>
      <c r="AA18" s="37">
        <f>IF($H18="","",IF(AND(AA$3&lt;&gt;"",$H18&lt;=AA$3,$J18&gt;=AA$3),"■",""))</f>
        <v/>
      </c>
      <c r="AB18" s="37">
        <f>IF($H18="","",IF(AND(AB$3&lt;&gt;"",$H18&lt;=AB$3,$J18&gt;=AB$3),"■",""))</f>
        <v/>
      </c>
      <c r="AC18" s="37">
        <f>IF($H18="","",IF(AND(AC$3&lt;&gt;"",$H18&lt;=AC$3,$J18&gt;=AC$3),"■",""))</f>
        <v/>
      </c>
      <c r="AD18" s="37">
        <f>IF($H18="","",IF(AND(AD$3&lt;&gt;"",$H18&lt;=AD$3,$J18&gt;=AD$3),"■",""))</f>
        <v/>
      </c>
      <c r="AE18" s="37">
        <f>IF($H18="","",IF(AND(AE$3&lt;&gt;"",$H18&lt;=AE$3,$J18&gt;=AE$3),"■",""))</f>
        <v/>
      </c>
      <c r="AF18" s="37">
        <f>IF($H18="","",IF(AND(AF$3&lt;&gt;"",$H18&lt;=AF$3,$J18&gt;=AF$3),"■",""))</f>
        <v/>
      </c>
      <c r="AG18" s="37">
        <f>IF($H18="","",IF(AND(AG$3&lt;&gt;"",$H18&lt;=AG$3,$J18&gt;=AG$3),"■",""))</f>
        <v/>
      </c>
      <c r="AH18" s="37">
        <f>IF($H18="","",IF(AND(AH$3&lt;&gt;"",$H18&lt;=AH$3,$J18&gt;=AH$3),"■",""))</f>
        <v/>
      </c>
      <c r="AI18" s="37">
        <f>IF($H18="","",IF(AND(AI$3&lt;&gt;"",$H18&lt;=AI$3,$J18&gt;=AI$3),"■",""))</f>
        <v/>
      </c>
      <c r="AJ18" s="37">
        <f>IF($H18="","",IF(AND(AJ$3&lt;&gt;"",$H18&lt;=AJ$3,$J18&gt;=AJ$3),"■",""))</f>
        <v/>
      </c>
      <c r="AK18" s="37">
        <f>IF($H18="","",IF(AND(AK$3&lt;&gt;"",$H18&lt;=AK$3,$J18&gt;=AK$3),"■",""))</f>
        <v/>
      </c>
      <c r="AL18" s="37">
        <f>IF($H18="","",IF(AND(AL$3&lt;&gt;"",$H18&lt;=AL$3,$J18&gt;=AL$3),"■",""))</f>
        <v/>
      </c>
      <c r="AM18" s="37">
        <f>IF($H18="","",IF(AND(AM$3&lt;&gt;"",$H18&lt;=AM$3,$J18&gt;=AM$3),"■",""))</f>
        <v/>
      </c>
      <c r="AN18" s="37">
        <f>IF($H18="","",IF(AND(AN$3&lt;&gt;"",$H18&lt;=AN$3,$J18&gt;=AN$3),"■",""))</f>
        <v/>
      </c>
      <c r="AO18" s="37">
        <f>IF($H18="","",IF(AND(AO$3&lt;&gt;"",$H18&lt;=AO$3,$J18&gt;=AO$3),"■",""))</f>
        <v/>
      </c>
      <c r="AP18" s="37">
        <f>IF($H18="","",IF(AND(AP$3&lt;&gt;"",$H18&lt;=AP$3,$J18&gt;=AP$3),"■",""))</f>
        <v/>
      </c>
      <c r="AQ18" s="37">
        <f>IF($H18="","",IF(AND(AQ$3&lt;&gt;"",$H18&lt;=AQ$3,$J18&gt;=AQ$3),"■",""))</f>
        <v/>
      </c>
      <c r="AR18" s="37">
        <f>IF($H18="","",IF(AND(AR$3&lt;&gt;"",$H18&lt;=AR$3,$J18&gt;=AR$3),"■",""))</f>
        <v/>
      </c>
      <c r="AS18" s="37">
        <f>IF($H18="","",IF(AND(AS$3&lt;&gt;"",$H18&lt;=AS$3,$J18&gt;=AS$3),"■",""))</f>
        <v/>
      </c>
      <c r="AT18" s="37">
        <f>IF($H18="","",IF(AND(AT$3&lt;&gt;"",$H18&lt;=AT$3,$J18&gt;=AT$3),"■",""))</f>
        <v/>
      </c>
      <c r="AU18" s="37">
        <f>IF($H18="","",IF(AND(AU$3&lt;&gt;"",$H18&lt;=AU$3,$J18&gt;=AU$3),"■",""))</f>
        <v/>
      </c>
      <c r="AV18" s="37">
        <f>IF($H18="","",IF(AND(AV$3&lt;&gt;"",$H18&lt;=AV$3,$J18&gt;=AV$3),"■",""))</f>
        <v/>
      </c>
      <c r="AW18" s="37">
        <f>IF($H18="","",IF(AND(AW$3&lt;&gt;"",$H18&lt;=AW$3,$J18&gt;=AW$3),"■",""))</f>
        <v/>
      </c>
    </row>
    <row r="19">
      <c r="A19" s="27" t="n"/>
      <c r="B19" s="27" t="n"/>
      <c r="C19" s="28" t="n"/>
      <c r="D19" s="19" t="n"/>
      <c r="E19" s="28" t="n"/>
      <c r="F19" s="19" t="n"/>
      <c r="G19" s="29" t="n"/>
      <c r="H19" s="30" t="n"/>
      <c r="I19" s="17">
        <f>IFERROR(INDEX('④설정'!$E$7:$E$16,MATCH(C19,'④설정'!$D$7:$D$16,0)),"")</f>
        <v/>
      </c>
      <c r="J19" s="31">
        <f>IF(OR($H19="",$I19=""),"",WORKDAY($H19,$I19-1))</f>
        <v/>
      </c>
      <c r="K19" s="32">
        <f>IF($J19="","",IF($F19="완료","완료",$J19-'④설정'!$B$1))</f>
        <v/>
      </c>
      <c r="L19" s="33">
        <f>IF($J19="","",IF($F19="완료","✅완료",IF($J19&lt;'④설정'!$B$1,"🔴지연",IF($J19&lt;='④설정'!$B$1+2,"🔴임박",IF($J19&lt;='④설정'!$B$1+5,"🟡주의","🟢여유")))))</f>
        <v/>
      </c>
      <c r="M19" s="34" t="n"/>
      <c r="N19" s="34" t="n"/>
      <c r="O19" s="34" t="n"/>
      <c r="P19" s="34" t="n"/>
      <c r="Q19" s="35">
        <f>IF(SUM(M19:P19)=0,"",SUM(M19:P19))</f>
        <v/>
      </c>
      <c r="R19" s="36">
        <f>IF(Q19="","",Q19/'④설정'!$B$3)</f>
        <v/>
      </c>
      <c r="S19" s="37">
        <f>IF($H19="","",IF(AND(S$3&lt;&gt;"",$H19&lt;=S$3,$J19&gt;=S$3),"■",""))</f>
        <v/>
      </c>
      <c r="T19" s="37">
        <f>IF($H19="","",IF(AND(T$3&lt;&gt;"",$H19&lt;=T$3,$J19&gt;=T$3),"■",""))</f>
        <v/>
      </c>
      <c r="U19" s="37">
        <f>IF($H19="","",IF(AND(U$3&lt;&gt;"",$H19&lt;=U$3,$J19&gt;=U$3),"■",""))</f>
        <v/>
      </c>
      <c r="V19" s="37">
        <f>IF($H19="","",IF(AND(V$3&lt;&gt;"",$H19&lt;=V$3,$J19&gt;=V$3),"■",""))</f>
        <v/>
      </c>
      <c r="W19" s="37">
        <f>IF($H19="","",IF(AND(W$3&lt;&gt;"",$H19&lt;=W$3,$J19&gt;=W$3),"■",""))</f>
        <v/>
      </c>
      <c r="X19" s="37">
        <f>IF($H19="","",IF(AND(X$3&lt;&gt;"",$H19&lt;=X$3,$J19&gt;=X$3),"■",""))</f>
        <v/>
      </c>
      <c r="Y19" s="37">
        <f>IF($H19="","",IF(AND(Y$3&lt;&gt;"",$H19&lt;=Y$3,$J19&gt;=Y$3),"■",""))</f>
        <v/>
      </c>
      <c r="Z19" s="37">
        <f>IF($H19="","",IF(AND(Z$3&lt;&gt;"",$H19&lt;=Z$3,$J19&gt;=Z$3),"■",""))</f>
        <v/>
      </c>
      <c r="AA19" s="37">
        <f>IF($H19="","",IF(AND(AA$3&lt;&gt;"",$H19&lt;=AA$3,$J19&gt;=AA$3),"■",""))</f>
        <v/>
      </c>
      <c r="AB19" s="37">
        <f>IF($H19="","",IF(AND(AB$3&lt;&gt;"",$H19&lt;=AB$3,$J19&gt;=AB$3),"■",""))</f>
        <v/>
      </c>
      <c r="AC19" s="37">
        <f>IF($H19="","",IF(AND(AC$3&lt;&gt;"",$H19&lt;=AC$3,$J19&gt;=AC$3),"■",""))</f>
        <v/>
      </c>
      <c r="AD19" s="37">
        <f>IF($H19="","",IF(AND(AD$3&lt;&gt;"",$H19&lt;=AD$3,$J19&gt;=AD$3),"■",""))</f>
        <v/>
      </c>
      <c r="AE19" s="37">
        <f>IF($H19="","",IF(AND(AE$3&lt;&gt;"",$H19&lt;=AE$3,$J19&gt;=AE$3),"■",""))</f>
        <v/>
      </c>
      <c r="AF19" s="37">
        <f>IF($H19="","",IF(AND(AF$3&lt;&gt;"",$H19&lt;=AF$3,$J19&gt;=AF$3),"■",""))</f>
        <v/>
      </c>
      <c r="AG19" s="37">
        <f>IF($H19="","",IF(AND(AG$3&lt;&gt;"",$H19&lt;=AG$3,$J19&gt;=AG$3),"■",""))</f>
        <v/>
      </c>
      <c r="AH19" s="37">
        <f>IF($H19="","",IF(AND(AH$3&lt;&gt;"",$H19&lt;=AH$3,$J19&gt;=AH$3),"■",""))</f>
        <v/>
      </c>
      <c r="AI19" s="37">
        <f>IF($H19="","",IF(AND(AI$3&lt;&gt;"",$H19&lt;=AI$3,$J19&gt;=AI$3),"■",""))</f>
        <v/>
      </c>
      <c r="AJ19" s="37">
        <f>IF($H19="","",IF(AND(AJ$3&lt;&gt;"",$H19&lt;=AJ$3,$J19&gt;=AJ$3),"■",""))</f>
        <v/>
      </c>
      <c r="AK19" s="37">
        <f>IF($H19="","",IF(AND(AK$3&lt;&gt;"",$H19&lt;=AK$3,$J19&gt;=AK$3),"■",""))</f>
        <v/>
      </c>
      <c r="AL19" s="37">
        <f>IF($H19="","",IF(AND(AL$3&lt;&gt;"",$H19&lt;=AL$3,$J19&gt;=AL$3),"■",""))</f>
        <v/>
      </c>
      <c r="AM19" s="37">
        <f>IF($H19="","",IF(AND(AM$3&lt;&gt;"",$H19&lt;=AM$3,$J19&gt;=AM$3),"■",""))</f>
        <v/>
      </c>
      <c r="AN19" s="37">
        <f>IF($H19="","",IF(AND(AN$3&lt;&gt;"",$H19&lt;=AN$3,$J19&gt;=AN$3),"■",""))</f>
        <v/>
      </c>
      <c r="AO19" s="37">
        <f>IF($H19="","",IF(AND(AO$3&lt;&gt;"",$H19&lt;=AO$3,$J19&gt;=AO$3),"■",""))</f>
        <v/>
      </c>
      <c r="AP19" s="37">
        <f>IF($H19="","",IF(AND(AP$3&lt;&gt;"",$H19&lt;=AP$3,$J19&gt;=AP$3),"■",""))</f>
        <v/>
      </c>
      <c r="AQ19" s="37">
        <f>IF($H19="","",IF(AND(AQ$3&lt;&gt;"",$H19&lt;=AQ$3,$J19&gt;=AQ$3),"■",""))</f>
        <v/>
      </c>
      <c r="AR19" s="37">
        <f>IF($H19="","",IF(AND(AR$3&lt;&gt;"",$H19&lt;=AR$3,$J19&gt;=AR$3),"■",""))</f>
        <v/>
      </c>
      <c r="AS19" s="37">
        <f>IF($H19="","",IF(AND(AS$3&lt;&gt;"",$H19&lt;=AS$3,$J19&gt;=AS$3),"■",""))</f>
        <v/>
      </c>
      <c r="AT19" s="37">
        <f>IF($H19="","",IF(AND(AT$3&lt;&gt;"",$H19&lt;=AT$3,$J19&gt;=AT$3),"■",""))</f>
        <v/>
      </c>
      <c r="AU19" s="37">
        <f>IF($H19="","",IF(AND(AU$3&lt;&gt;"",$H19&lt;=AU$3,$J19&gt;=AU$3),"■",""))</f>
        <v/>
      </c>
      <c r="AV19" s="37">
        <f>IF($H19="","",IF(AND(AV$3&lt;&gt;"",$H19&lt;=AV$3,$J19&gt;=AV$3),"■",""))</f>
        <v/>
      </c>
      <c r="AW19" s="37">
        <f>IF($H19="","",IF(AND(AW$3&lt;&gt;"",$H19&lt;=AW$3,$J19&gt;=AW$3),"■",""))</f>
        <v/>
      </c>
    </row>
    <row r="20">
      <c r="A20" s="27" t="n"/>
      <c r="B20" s="27" t="n"/>
      <c r="C20" s="28" t="n"/>
      <c r="D20" s="19" t="n"/>
      <c r="E20" s="28" t="n"/>
      <c r="F20" s="19" t="n"/>
      <c r="G20" s="29" t="n"/>
      <c r="H20" s="30" t="n"/>
      <c r="I20" s="17">
        <f>IFERROR(INDEX('④설정'!$E$7:$E$16,MATCH(C20,'④설정'!$D$7:$D$16,0)),"")</f>
        <v/>
      </c>
      <c r="J20" s="31">
        <f>IF(OR($H20="",$I20=""),"",WORKDAY($H20,$I20-1))</f>
        <v/>
      </c>
      <c r="K20" s="32">
        <f>IF($J20="","",IF($F20="완료","완료",$J20-'④설정'!$B$1))</f>
        <v/>
      </c>
      <c r="L20" s="33">
        <f>IF($J20="","",IF($F20="완료","✅완료",IF($J20&lt;'④설정'!$B$1,"🔴지연",IF($J20&lt;='④설정'!$B$1+2,"🔴임박",IF($J20&lt;='④설정'!$B$1+5,"🟡주의","🟢여유")))))</f>
        <v/>
      </c>
      <c r="M20" s="34" t="n"/>
      <c r="N20" s="34" t="n"/>
      <c r="O20" s="34" t="n"/>
      <c r="P20" s="34" t="n"/>
      <c r="Q20" s="35">
        <f>IF(SUM(M20:P20)=0,"",SUM(M20:P20))</f>
        <v/>
      </c>
      <c r="R20" s="36">
        <f>IF(Q20="","",Q20/'④설정'!$B$3)</f>
        <v/>
      </c>
      <c r="S20" s="37">
        <f>IF($H20="","",IF(AND(S$3&lt;&gt;"",$H20&lt;=S$3,$J20&gt;=S$3),"■",""))</f>
        <v/>
      </c>
      <c r="T20" s="37">
        <f>IF($H20="","",IF(AND(T$3&lt;&gt;"",$H20&lt;=T$3,$J20&gt;=T$3),"■",""))</f>
        <v/>
      </c>
      <c r="U20" s="37">
        <f>IF($H20="","",IF(AND(U$3&lt;&gt;"",$H20&lt;=U$3,$J20&gt;=U$3),"■",""))</f>
        <v/>
      </c>
      <c r="V20" s="37">
        <f>IF($H20="","",IF(AND(V$3&lt;&gt;"",$H20&lt;=V$3,$J20&gt;=V$3),"■",""))</f>
        <v/>
      </c>
      <c r="W20" s="37">
        <f>IF($H20="","",IF(AND(W$3&lt;&gt;"",$H20&lt;=W$3,$J20&gt;=W$3),"■",""))</f>
        <v/>
      </c>
      <c r="X20" s="37">
        <f>IF($H20="","",IF(AND(X$3&lt;&gt;"",$H20&lt;=X$3,$J20&gt;=X$3),"■",""))</f>
        <v/>
      </c>
      <c r="Y20" s="37">
        <f>IF($H20="","",IF(AND(Y$3&lt;&gt;"",$H20&lt;=Y$3,$J20&gt;=Y$3),"■",""))</f>
        <v/>
      </c>
      <c r="Z20" s="37">
        <f>IF($H20="","",IF(AND(Z$3&lt;&gt;"",$H20&lt;=Z$3,$J20&gt;=Z$3),"■",""))</f>
        <v/>
      </c>
      <c r="AA20" s="37">
        <f>IF($H20="","",IF(AND(AA$3&lt;&gt;"",$H20&lt;=AA$3,$J20&gt;=AA$3),"■",""))</f>
        <v/>
      </c>
      <c r="AB20" s="37">
        <f>IF($H20="","",IF(AND(AB$3&lt;&gt;"",$H20&lt;=AB$3,$J20&gt;=AB$3),"■",""))</f>
        <v/>
      </c>
      <c r="AC20" s="37">
        <f>IF($H20="","",IF(AND(AC$3&lt;&gt;"",$H20&lt;=AC$3,$J20&gt;=AC$3),"■",""))</f>
        <v/>
      </c>
      <c r="AD20" s="37">
        <f>IF($H20="","",IF(AND(AD$3&lt;&gt;"",$H20&lt;=AD$3,$J20&gt;=AD$3),"■",""))</f>
        <v/>
      </c>
      <c r="AE20" s="37">
        <f>IF($H20="","",IF(AND(AE$3&lt;&gt;"",$H20&lt;=AE$3,$J20&gt;=AE$3),"■",""))</f>
        <v/>
      </c>
      <c r="AF20" s="37">
        <f>IF($H20="","",IF(AND(AF$3&lt;&gt;"",$H20&lt;=AF$3,$J20&gt;=AF$3),"■",""))</f>
        <v/>
      </c>
      <c r="AG20" s="37">
        <f>IF($H20="","",IF(AND(AG$3&lt;&gt;"",$H20&lt;=AG$3,$J20&gt;=AG$3),"■",""))</f>
        <v/>
      </c>
      <c r="AH20" s="37">
        <f>IF($H20="","",IF(AND(AH$3&lt;&gt;"",$H20&lt;=AH$3,$J20&gt;=AH$3),"■",""))</f>
        <v/>
      </c>
      <c r="AI20" s="37">
        <f>IF($H20="","",IF(AND(AI$3&lt;&gt;"",$H20&lt;=AI$3,$J20&gt;=AI$3),"■",""))</f>
        <v/>
      </c>
      <c r="AJ20" s="37">
        <f>IF($H20="","",IF(AND(AJ$3&lt;&gt;"",$H20&lt;=AJ$3,$J20&gt;=AJ$3),"■",""))</f>
        <v/>
      </c>
      <c r="AK20" s="37">
        <f>IF($H20="","",IF(AND(AK$3&lt;&gt;"",$H20&lt;=AK$3,$J20&gt;=AK$3),"■",""))</f>
        <v/>
      </c>
      <c r="AL20" s="37">
        <f>IF($H20="","",IF(AND(AL$3&lt;&gt;"",$H20&lt;=AL$3,$J20&gt;=AL$3),"■",""))</f>
        <v/>
      </c>
      <c r="AM20" s="37">
        <f>IF($H20="","",IF(AND(AM$3&lt;&gt;"",$H20&lt;=AM$3,$J20&gt;=AM$3),"■",""))</f>
        <v/>
      </c>
      <c r="AN20" s="37">
        <f>IF($H20="","",IF(AND(AN$3&lt;&gt;"",$H20&lt;=AN$3,$J20&gt;=AN$3),"■",""))</f>
        <v/>
      </c>
      <c r="AO20" s="37">
        <f>IF($H20="","",IF(AND(AO$3&lt;&gt;"",$H20&lt;=AO$3,$J20&gt;=AO$3),"■",""))</f>
        <v/>
      </c>
      <c r="AP20" s="37">
        <f>IF($H20="","",IF(AND(AP$3&lt;&gt;"",$H20&lt;=AP$3,$J20&gt;=AP$3),"■",""))</f>
        <v/>
      </c>
      <c r="AQ20" s="37">
        <f>IF($H20="","",IF(AND(AQ$3&lt;&gt;"",$H20&lt;=AQ$3,$J20&gt;=AQ$3),"■",""))</f>
        <v/>
      </c>
      <c r="AR20" s="37">
        <f>IF($H20="","",IF(AND(AR$3&lt;&gt;"",$H20&lt;=AR$3,$J20&gt;=AR$3),"■",""))</f>
        <v/>
      </c>
      <c r="AS20" s="37">
        <f>IF($H20="","",IF(AND(AS$3&lt;&gt;"",$H20&lt;=AS$3,$J20&gt;=AS$3),"■",""))</f>
        <v/>
      </c>
      <c r="AT20" s="37">
        <f>IF($H20="","",IF(AND(AT$3&lt;&gt;"",$H20&lt;=AT$3,$J20&gt;=AT$3),"■",""))</f>
        <v/>
      </c>
      <c r="AU20" s="37">
        <f>IF($H20="","",IF(AND(AU$3&lt;&gt;"",$H20&lt;=AU$3,$J20&gt;=AU$3),"■",""))</f>
        <v/>
      </c>
      <c r="AV20" s="37">
        <f>IF($H20="","",IF(AND(AV$3&lt;&gt;"",$H20&lt;=AV$3,$J20&gt;=AV$3),"■",""))</f>
        <v/>
      </c>
      <c r="AW20" s="37">
        <f>IF($H20="","",IF(AND(AW$3&lt;&gt;"",$H20&lt;=AW$3,$J20&gt;=AW$3),"■",""))</f>
        <v/>
      </c>
    </row>
    <row r="21">
      <c r="A21" s="27" t="n"/>
      <c r="B21" s="27" t="n"/>
      <c r="C21" s="28" t="n"/>
      <c r="D21" s="19" t="n"/>
      <c r="E21" s="28" t="n"/>
      <c r="F21" s="19" t="n"/>
      <c r="G21" s="29" t="n"/>
      <c r="H21" s="30" t="n"/>
      <c r="I21" s="17">
        <f>IFERROR(INDEX('④설정'!$E$7:$E$16,MATCH(C21,'④설정'!$D$7:$D$16,0)),"")</f>
        <v/>
      </c>
      <c r="J21" s="31">
        <f>IF(OR($H21="",$I21=""),"",WORKDAY($H21,$I21-1))</f>
        <v/>
      </c>
      <c r="K21" s="32">
        <f>IF($J21="","",IF($F21="완료","완료",$J21-'④설정'!$B$1))</f>
        <v/>
      </c>
      <c r="L21" s="33">
        <f>IF($J21="","",IF($F21="완료","✅완료",IF($J21&lt;'④설정'!$B$1,"🔴지연",IF($J21&lt;='④설정'!$B$1+2,"🔴임박",IF($J21&lt;='④설정'!$B$1+5,"🟡주의","🟢여유")))))</f>
        <v/>
      </c>
      <c r="M21" s="34" t="n"/>
      <c r="N21" s="34" t="n"/>
      <c r="O21" s="34" t="n"/>
      <c r="P21" s="34" t="n"/>
      <c r="Q21" s="35">
        <f>IF(SUM(M21:P21)=0,"",SUM(M21:P21))</f>
        <v/>
      </c>
      <c r="R21" s="36">
        <f>IF(Q21="","",Q21/'④설정'!$B$3)</f>
        <v/>
      </c>
      <c r="S21" s="37">
        <f>IF($H21="","",IF(AND(S$3&lt;&gt;"",$H21&lt;=S$3,$J21&gt;=S$3),"■",""))</f>
        <v/>
      </c>
      <c r="T21" s="37">
        <f>IF($H21="","",IF(AND(T$3&lt;&gt;"",$H21&lt;=T$3,$J21&gt;=T$3),"■",""))</f>
        <v/>
      </c>
      <c r="U21" s="37">
        <f>IF($H21="","",IF(AND(U$3&lt;&gt;"",$H21&lt;=U$3,$J21&gt;=U$3),"■",""))</f>
        <v/>
      </c>
      <c r="V21" s="37">
        <f>IF($H21="","",IF(AND(V$3&lt;&gt;"",$H21&lt;=V$3,$J21&gt;=V$3),"■",""))</f>
        <v/>
      </c>
      <c r="W21" s="37">
        <f>IF($H21="","",IF(AND(W$3&lt;&gt;"",$H21&lt;=W$3,$J21&gt;=W$3),"■",""))</f>
        <v/>
      </c>
      <c r="X21" s="37">
        <f>IF($H21="","",IF(AND(X$3&lt;&gt;"",$H21&lt;=X$3,$J21&gt;=X$3),"■",""))</f>
        <v/>
      </c>
      <c r="Y21" s="37">
        <f>IF($H21="","",IF(AND(Y$3&lt;&gt;"",$H21&lt;=Y$3,$J21&gt;=Y$3),"■",""))</f>
        <v/>
      </c>
      <c r="Z21" s="37">
        <f>IF($H21="","",IF(AND(Z$3&lt;&gt;"",$H21&lt;=Z$3,$J21&gt;=Z$3),"■",""))</f>
        <v/>
      </c>
      <c r="AA21" s="37">
        <f>IF($H21="","",IF(AND(AA$3&lt;&gt;"",$H21&lt;=AA$3,$J21&gt;=AA$3),"■",""))</f>
        <v/>
      </c>
      <c r="AB21" s="37">
        <f>IF($H21="","",IF(AND(AB$3&lt;&gt;"",$H21&lt;=AB$3,$J21&gt;=AB$3),"■",""))</f>
        <v/>
      </c>
      <c r="AC21" s="37">
        <f>IF($H21="","",IF(AND(AC$3&lt;&gt;"",$H21&lt;=AC$3,$J21&gt;=AC$3),"■",""))</f>
        <v/>
      </c>
      <c r="AD21" s="37">
        <f>IF($H21="","",IF(AND(AD$3&lt;&gt;"",$H21&lt;=AD$3,$J21&gt;=AD$3),"■",""))</f>
        <v/>
      </c>
      <c r="AE21" s="37">
        <f>IF($H21="","",IF(AND(AE$3&lt;&gt;"",$H21&lt;=AE$3,$J21&gt;=AE$3),"■",""))</f>
        <v/>
      </c>
      <c r="AF21" s="37">
        <f>IF($H21="","",IF(AND(AF$3&lt;&gt;"",$H21&lt;=AF$3,$J21&gt;=AF$3),"■",""))</f>
        <v/>
      </c>
      <c r="AG21" s="37">
        <f>IF($H21="","",IF(AND(AG$3&lt;&gt;"",$H21&lt;=AG$3,$J21&gt;=AG$3),"■",""))</f>
        <v/>
      </c>
      <c r="AH21" s="37">
        <f>IF($H21="","",IF(AND(AH$3&lt;&gt;"",$H21&lt;=AH$3,$J21&gt;=AH$3),"■",""))</f>
        <v/>
      </c>
      <c r="AI21" s="37">
        <f>IF($H21="","",IF(AND(AI$3&lt;&gt;"",$H21&lt;=AI$3,$J21&gt;=AI$3),"■",""))</f>
        <v/>
      </c>
      <c r="AJ21" s="37">
        <f>IF($H21="","",IF(AND(AJ$3&lt;&gt;"",$H21&lt;=AJ$3,$J21&gt;=AJ$3),"■",""))</f>
        <v/>
      </c>
      <c r="AK21" s="37">
        <f>IF($H21="","",IF(AND(AK$3&lt;&gt;"",$H21&lt;=AK$3,$J21&gt;=AK$3),"■",""))</f>
        <v/>
      </c>
      <c r="AL21" s="37">
        <f>IF($H21="","",IF(AND(AL$3&lt;&gt;"",$H21&lt;=AL$3,$J21&gt;=AL$3),"■",""))</f>
        <v/>
      </c>
      <c r="AM21" s="37">
        <f>IF($H21="","",IF(AND(AM$3&lt;&gt;"",$H21&lt;=AM$3,$J21&gt;=AM$3),"■",""))</f>
        <v/>
      </c>
      <c r="AN21" s="37">
        <f>IF($H21="","",IF(AND(AN$3&lt;&gt;"",$H21&lt;=AN$3,$J21&gt;=AN$3),"■",""))</f>
        <v/>
      </c>
      <c r="AO21" s="37">
        <f>IF($H21="","",IF(AND(AO$3&lt;&gt;"",$H21&lt;=AO$3,$J21&gt;=AO$3),"■",""))</f>
        <v/>
      </c>
      <c r="AP21" s="37">
        <f>IF($H21="","",IF(AND(AP$3&lt;&gt;"",$H21&lt;=AP$3,$J21&gt;=AP$3),"■",""))</f>
        <v/>
      </c>
      <c r="AQ21" s="37">
        <f>IF($H21="","",IF(AND(AQ$3&lt;&gt;"",$H21&lt;=AQ$3,$J21&gt;=AQ$3),"■",""))</f>
        <v/>
      </c>
      <c r="AR21" s="37">
        <f>IF($H21="","",IF(AND(AR$3&lt;&gt;"",$H21&lt;=AR$3,$J21&gt;=AR$3),"■",""))</f>
        <v/>
      </c>
      <c r="AS21" s="37">
        <f>IF($H21="","",IF(AND(AS$3&lt;&gt;"",$H21&lt;=AS$3,$J21&gt;=AS$3),"■",""))</f>
        <v/>
      </c>
      <c r="AT21" s="37">
        <f>IF($H21="","",IF(AND(AT$3&lt;&gt;"",$H21&lt;=AT$3,$J21&gt;=AT$3),"■",""))</f>
        <v/>
      </c>
      <c r="AU21" s="37">
        <f>IF($H21="","",IF(AND(AU$3&lt;&gt;"",$H21&lt;=AU$3,$J21&gt;=AU$3),"■",""))</f>
        <v/>
      </c>
      <c r="AV21" s="37">
        <f>IF($H21="","",IF(AND(AV$3&lt;&gt;"",$H21&lt;=AV$3,$J21&gt;=AV$3),"■",""))</f>
        <v/>
      </c>
      <c r="AW21" s="37">
        <f>IF($H21="","",IF(AND(AW$3&lt;&gt;"",$H21&lt;=AW$3,$J21&gt;=AW$3),"■",""))</f>
        <v/>
      </c>
    </row>
    <row r="22">
      <c r="A22" s="27" t="n"/>
      <c r="B22" s="27" t="n"/>
      <c r="C22" s="28" t="n"/>
      <c r="D22" s="19" t="n"/>
      <c r="E22" s="28" t="n"/>
      <c r="F22" s="19" t="n"/>
      <c r="G22" s="29" t="n"/>
      <c r="H22" s="30" t="n"/>
      <c r="I22" s="17">
        <f>IFERROR(INDEX('④설정'!$E$7:$E$16,MATCH(C22,'④설정'!$D$7:$D$16,0)),"")</f>
        <v/>
      </c>
      <c r="J22" s="31">
        <f>IF(OR($H22="",$I22=""),"",WORKDAY($H22,$I22-1))</f>
        <v/>
      </c>
      <c r="K22" s="32">
        <f>IF($J22="","",IF($F22="완료","완료",$J22-'④설정'!$B$1))</f>
        <v/>
      </c>
      <c r="L22" s="33">
        <f>IF($J22="","",IF($F22="완료","✅완료",IF($J22&lt;'④설정'!$B$1,"🔴지연",IF($J22&lt;='④설정'!$B$1+2,"🔴임박",IF($J22&lt;='④설정'!$B$1+5,"🟡주의","🟢여유")))))</f>
        <v/>
      </c>
      <c r="M22" s="34" t="n"/>
      <c r="N22" s="34" t="n"/>
      <c r="O22" s="34" t="n"/>
      <c r="P22" s="34" t="n"/>
      <c r="Q22" s="35">
        <f>IF(SUM(M22:P22)=0,"",SUM(M22:P22))</f>
        <v/>
      </c>
      <c r="R22" s="36">
        <f>IF(Q22="","",Q22/'④설정'!$B$3)</f>
        <v/>
      </c>
      <c r="S22" s="37">
        <f>IF($H22="","",IF(AND(S$3&lt;&gt;"",$H22&lt;=S$3,$J22&gt;=S$3),"■",""))</f>
        <v/>
      </c>
      <c r="T22" s="37">
        <f>IF($H22="","",IF(AND(T$3&lt;&gt;"",$H22&lt;=T$3,$J22&gt;=T$3),"■",""))</f>
        <v/>
      </c>
      <c r="U22" s="37">
        <f>IF($H22="","",IF(AND(U$3&lt;&gt;"",$H22&lt;=U$3,$J22&gt;=U$3),"■",""))</f>
        <v/>
      </c>
      <c r="V22" s="37">
        <f>IF($H22="","",IF(AND(V$3&lt;&gt;"",$H22&lt;=V$3,$J22&gt;=V$3),"■",""))</f>
        <v/>
      </c>
      <c r="W22" s="37">
        <f>IF($H22="","",IF(AND(W$3&lt;&gt;"",$H22&lt;=W$3,$J22&gt;=W$3),"■",""))</f>
        <v/>
      </c>
      <c r="X22" s="37">
        <f>IF($H22="","",IF(AND(X$3&lt;&gt;"",$H22&lt;=X$3,$J22&gt;=X$3),"■",""))</f>
        <v/>
      </c>
      <c r="Y22" s="37">
        <f>IF($H22="","",IF(AND(Y$3&lt;&gt;"",$H22&lt;=Y$3,$J22&gt;=Y$3),"■",""))</f>
        <v/>
      </c>
      <c r="Z22" s="37">
        <f>IF($H22="","",IF(AND(Z$3&lt;&gt;"",$H22&lt;=Z$3,$J22&gt;=Z$3),"■",""))</f>
        <v/>
      </c>
      <c r="AA22" s="37">
        <f>IF($H22="","",IF(AND(AA$3&lt;&gt;"",$H22&lt;=AA$3,$J22&gt;=AA$3),"■",""))</f>
        <v/>
      </c>
      <c r="AB22" s="37">
        <f>IF($H22="","",IF(AND(AB$3&lt;&gt;"",$H22&lt;=AB$3,$J22&gt;=AB$3),"■",""))</f>
        <v/>
      </c>
      <c r="AC22" s="37">
        <f>IF($H22="","",IF(AND(AC$3&lt;&gt;"",$H22&lt;=AC$3,$J22&gt;=AC$3),"■",""))</f>
        <v/>
      </c>
      <c r="AD22" s="37">
        <f>IF($H22="","",IF(AND(AD$3&lt;&gt;"",$H22&lt;=AD$3,$J22&gt;=AD$3),"■",""))</f>
        <v/>
      </c>
      <c r="AE22" s="37">
        <f>IF($H22="","",IF(AND(AE$3&lt;&gt;"",$H22&lt;=AE$3,$J22&gt;=AE$3),"■",""))</f>
        <v/>
      </c>
      <c r="AF22" s="37">
        <f>IF($H22="","",IF(AND(AF$3&lt;&gt;"",$H22&lt;=AF$3,$J22&gt;=AF$3),"■",""))</f>
        <v/>
      </c>
      <c r="AG22" s="37">
        <f>IF($H22="","",IF(AND(AG$3&lt;&gt;"",$H22&lt;=AG$3,$J22&gt;=AG$3),"■",""))</f>
        <v/>
      </c>
      <c r="AH22" s="37">
        <f>IF($H22="","",IF(AND(AH$3&lt;&gt;"",$H22&lt;=AH$3,$J22&gt;=AH$3),"■",""))</f>
        <v/>
      </c>
      <c r="AI22" s="37">
        <f>IF($H22="","",IF(AND(AI$3&lt;&gt;"",$H22&lt;=AI$3,$J22&gt;=AI$3),"■",""))</f>
        <v/>
      </c>
      <c r="AJ22" s="37">
        <f>IF($H22="","",IF(AND(AJ$3&lt;&gt;"",$H22&lt;=AJ$3,$J22&gt;=AJ$3),"■",""))</f>
        <v/>
      </c>
      <c r="AK22" s="37">
        <f>IF($H22="","",IF(AND(AK$3&lt;&gt;"",$H22&lt;=AK$3,$J22&gt;=AK$3),"■",""))</f>
        <v/>
      </c>
      <c r="AL22" s="37">
        <f>IF($H22="","",IF(AND(AL$3&lt;&gt;"",$H22&lt;=AL$3,$J22&gt;=AL$3),"■",""))</f>
        <v/>
      </c>
      <c r="AM22" s="37">
        <f>IF($H22="","",IF(AND(AM$3&lt;&gt;"",$H22&lt;=AM$3,$J22&gt;=AM$3),"■",""))</f>
        <v/>
      </c>
      <c r="AN22" s="37">
        <f>IF($H22="","",IF(AND(AN$3&lt;&gt;"",$H22&lt;=AN$3,$J22&gt;=AN$3),"■",""))</f>
        <v/>
      </c>
      <c r="AO22" s="37">
        <f>IF($H22="","",IF(AND(AO$3&lt;&gt;"",$H22&lt;=AO$3,$J22&gt;=AO$3),"■",""))</f>
        <v/>
      </c>
      <c r="AP22" s="37">
        <f>IF($H22="","",IF(AND(AP$3&lt;&gt;"",$H22&lt;=AP$3,$J22&gt;=AP$3),"■",""))</f>
        <v/>
      </c>
      <c r="AQ22" s="37">
        <f>IF($H22="","",IF(AND(AQ$3&lt;&gt;"",$H22&lt;=AQ$3,$J22&gt;=AQ$3),"■",""))</f>
        <v/>
      </c>
      <c r="AR22" s="37">
        <f>IF($H22="","",IF(AND(AR$3&lt;&gt;"",$H22&lt;=AR$3,$J22&gt;=AR$3),"■",""))</f>
        <v/>
      </c>
      <c r="AS22" s="37">
        <f>IF($H22="","",IF(AND(AS$3&lt;&gt;"",$H22&lt;=AS$3,$J22&gt;=AS$3),"■",""))</f>
        <v/>
      </c>
      <c r="AT22" s="37">
        <f>IF($H22="","",IF(AND(AT$3&lt;&gt;"",$H22&lt;=AT$3,$J22&gt;=AT$3),"■",""))</f>
        <v/>
      </c>
      <c r="AU22" s="37">
        <f>IF($H22="","",IF(AND(AU$3&lt;&gt;"",$H22&lt;=AU$3,$J22&gt;=AU$3),"■",""))</f>
        <v/>
      </c>
      <c r="AV22" s="37">
        <f>IF($H22="","",IF(AND(AV$3&lt;&gt;"",$H22&lt;=AV$3,$J22&gt;=AV$3),"■",""))</f>
        <v/>
      </c>
      <c r="AW22" s="37">
        <f>IF($H22="","",IF(AND(AW$3&lt;&gt;"",$H22&lt;=AW$3,$J22&gt;=AW$3),"■",""))</f>
        <v/>
      </c>
    </row>
    <row r="23">
      <c r="A23" s="27" t="n"/>
      <c r="B23" s="27" t="n"/>
      <c r="C23" s="28" t="n"/>
      <c r="D23" s="19" t="n"/>
      <c r="E23" s="28" t="n"/>
      <c r="F23" s="19" t="n"/>
      <c r="G23" s="29" t="n"/>
      <c r="H23" s="30" t="n"/>
      <c r="I23" s="17">
        <f>IFERROR(INDEX('④설정'!$E$7:$E$16,MATCH(C23,'④설정'!$D$7:$D$16,0)),"")</f>
        <v/>
      </c>
      <c r="J23" s="31">
        <f>IF(OR($H23="",$I23=""),"",WORKDAY($H23,$I23-1))</f>
        <v/>
      </c>
      <c r="K23" s="32">
        <f>IF($J23="","",IF($F23="완료","완료",$J23-'④설정'!$B$1))</f>
        <v/>
      </c>
      <c r="L23" s="33">
        <f>IF($J23="","",IF($F23="완료","✅완료",IF($J23&lt;'④설정'!$B$1,"🔴지연",IF($J23&lt;='④설정'!$B$1+2,"🔴임박",IF($J23&lt;='④설정'!$B$1+5,"🟡주의","🟢여유")))))</f>
        <v/>
      </c>
      <c r="M23" s="34" t="n"/>
      <c r="N23" s="34" t="n"/>
      <c r="O23" s="34" t="n"/>
      <c r="P23" s="34" t="n"/>
      <c r="Q23" s="35">
        <f>IF(SUM(M23:P23)=0,"",SUM(M23:P23))</f>
        <v/>
      </c>
      <c r="R23" s="36">
        <f>IF(Q23="","",Q23/'④설정'!$B$3)</f>
        <v/>
      </c>
      <c r="S23" s="37">
        <f>IF($H23="","",IF(AND(S$3&lt;&gt;"",$H23&lt;=S$3,$J23&gt;=S$3),"■",""))</f>
        <v/>
      </c>
      <c r="T23" s="37">
        <f>IF($H23="","",IF(AND(T$3&lt;&gt;"",$H23&lt;=T$3,$J23&gt;=T$3),"■",""))</f>
        <v/>
      </c>
      <c r="U23" s="37">
        <f>IF($H23="","",IF(AND(U$3&lt;&gt;"",$H23&lt;=U$3,$J23&gt;=U$3),"■",""))</f>
        <v/>
      </c>
      <c r="V23" s="37">
        <f>IF($H23="","",IF(AND(V$3&lt;&gt;"",$H23&lt;=V$3,$J23&gt;=V$3),"■",""))</f>
        <v/>
      </c>
      <c r="W23" s="37">
        <f>IF($H23="","",IF(AND(W$3&lt;&gt;"",$H23&lt;=W$3,$J23&gt;=W$3),"■",""))</f>
        <v/>
      </c>
      <c r="X23" s="37">
        <f>IF($H23="","",IF(AND(X$3&lt;&gt;"",$H23&lt;=X$3,$J23&gt;=X$3),"■",""))</f>
        <v/>
      </c>
      <c r="Y23" s="37">
        <f>IF($H23="","",IF(AND(Y$3&lt;&gt;"",$H23&lt;=Y$3,$J23&gt;=Y$3),"■",""))</f>
        <v/>
      </c>
      <c r="Z23" s="37">
        <f>IF($H23="","",IF(AND(Z$3&lt;&gt;"",$H23&lt;=Z$3,$J23&gt;=Z$3),"■",""))</f>
        <v/>
      </c>
      <c r="AA23" s="37">
        <f>IF($H23="","",IF(AND(AA$3&lt;&gt;"",$H23&lt;=AA$3,$J23&gt;=AA$3),"■",""))</f>
        <v/>
      </c>
      <c r="AB23" s="37">
        <f>IF($H23="","",IF(AND(AB$3&lt;&gt;"",$H23&lt;=AB$3,$J23&gt;=AB$3),"■",""))</f>
        <v/>
      </c>
      <c r="AC23" s="37">
        <f>IF($H23="","",IF(AND(AC$3&lt;&gt;"",$H23&lt;=AC$3,$J23&gt;=AC$3),"■",""))</f>
        <v/>
      </c>
      <c r="AD23" s="37">
        <f>IF($H23="","",IF(AND(AD$3&lt;&gt;"",$H23&lt;=AD$3,$J23&gt;=AD$3),"■",""))</f>
        <v/>
      </c>
      <c r="AE23" s="37">
        <f>IF($H23="","",IF(AND(AE$3&lt;&gt;"",$H23&lt;=AE$3,$J23&gt;=AE$3),"■",""))</f>
        <v/>
      </c>
      <c r="AF23" s="37">
        <f>IF($H23="","",IF(AND(AF$3&lt;&gt;"",$H23&lt;=AF$3,$J23&gt;=AF$3),"■",""))</f>
        <v/>
      </c>
      <c r="AG23" s="37">
        <f>IF($H23="","",IF(AND(AG$3&lt;&gt;"",$H23&lt;=AG$3,$J23&gt;=AG$3),"■",""))</f>
        <v/>
      </c>
      <c r="AH23" s="37">
        <f>IF($H23="","",IF(AND(AH$3&lt;&gt;"",$H23&lt;=AH$3,$J23&gt;=AH$3),"■",""))</f>
        <v/>
      </c>
      <c r="AI23" s="37">
        <f>IF($H23="","",IF(AND(AI$3&lt;&gt;"",$H23&lt;=AI$3,$J23&gt;=AI$3),"■",""))</f>
        <v/>
      </c>
      <c r="AJ23" s="37">
        <f>IF($H23="","",IF(AND(AJ$3&lt;&gt;"",$H23&lt;=AJ$3,$J23&gt;=AJ$3),"■",""))</f>
        <v/>
      </c>
      <c r="AK23" s="37">
        <f>IF($H23="","",IF(AND(AK$3&lt;&gt;"",$H23&lt;=AK$3,$J23&gt;=AK$3),"■",""))</f>
        <v/>
      </c>
      <c r="AL23" s="37">
        <f>IF($H23="","",IF(AND(AL$3&lt;&gt;"",$H23&lt;=AL$3,$J23&gt;=AL$3),"■",""))</f>
        <v/>
      </c>
      <c r="AM23" s="37">
        <f>IF($H23="","",IF(AND(AM$3&lt;&gt;"",$H23&lt;=AM$3,$J23&gt;=AM$3),"■",""))</f>
        <v/>
      </c>
      <c r="AN23" s="37">
        <f>IF($H23="","",IF(AND(AN$3&lt;&gt;"",$H23&lt;=AN$3,$J23&gt;=AN$3),"■",""))</f>
        <v/>
      </c>
      <c r="AO23" s="37">
        <f>IF($H23="","",IF(AND(AO$3&lt;&gt;"",$H23&lt;=AO$3,$J23&gt;=AO$3),"■",""))</f>
        <v/>
      </c>
      <c r="AP23" s="37">
        <f>IF($H23="","",IF(AND(AP$3&lt;&gt;"",$H23&lt;=AP$3,$J23&gt;=AP$3),"■",""))</f>
        <v/>
      </c>
      <c r="AQ23" s="37">
        <f>IF($H23="","",IF(AND(AQ$3&lt;&gt;"",$H23&lt;=AQ$3,$J23&gt;=AQ$3),"■",""))</f>
        <v/>
      </c>
      <c r="AR23" s="37">
        <f>IF($H23="","",IF(AND(AR$3&lt;&gt;"",$H23&lt;=AR$3,$J23&gt;=AR$3),"■",""))</f>
        <v/>
      </c>
      <c r="AS23" s="37">
        <f>IF($H23="","",IF(AND(AS$3&lt;&gt;"",$H23&lt;=AS$3,$J23&gt;=AS$3),"■",""))</f>
        <v/>
      </c>
      <c r="AT23" s="37">
        <f>IF($H23="","",IF(AND(AT$3&lt;&gt;"",$H23&lt;=AT$3,$J23&gt;=AT$3),"■",""))</f>
        <v/>
      </c>
      <c r="AU23" s="37">
        <f>IF($H23="","",IF(AND(AU$3&lt;&gt;"",$H23&lt;=AU$3,$J23&gt;=AU$3),"■",""))</f>
        <v/>
      </c>
      <c r="AV23" s="37">
        <f>IF($H23="","",IF(AND(AV$3&lt;&gt;"",$H23&lt;=AV$3,$J23&gt;=AV$3),"■",""))</f>
        <v/>
      </c>
      <c r="AW23" s="37">
        <f>IF($H23="","",IF(AND(AW$3&lt;&gt;"",$H23&lt;=AW$3,$J23&gt;=AW$3),"■",""))</f>
        <v/>
      </c>
    </row>
    <row r="24">
      <c r="A24" s="27" t="n"/>
      <c r="B24" s="27" t="n"/>
      <c r="C24" s="28" t="n"/>
      <c r="D24" s="19" t="n"/>
      <c r="E24" s="28" t="n"/>
      <c r="F24" s="19" t="n"/>
      <c r="G24" s="29" t="n"/>
      <c r="H24" s="30" t="n"/>
      <c r="I24" s="17">
        <f>IFERROR(INDEX('④설정'!$E$7:$E$16,MATCH(C24,'④설정'!$D$7:$D$16,0)),"")</f>
        <v/>
      </c>
      <c r="J24" s="31">
        <f>IF(OR($H24="",$I24=""),"",WORKDAY($H24,$I24-1))</f>
        <v/>
      </c>
      <c r="K24" s="32">
        <f>IF($J24="","",IF($F24="완료","완료",$J24-'④설정'!$B$1))</f>
        <v/>
      </c>
      <c r="L24" s="33">
        <f>IF($J24="","",IF($F24="완료","✅완료",IF($J24&lt;'④설정'!$B$1,"🔴지연",IF($J24&lt;='④설정'!$B$1+2,"🔴임박",IF($J24&lt;='④설정'!$B$1+5,"🟡주의","🟢여유")))))</f>
        <v/>
      </c>
      <c r="M24" s="34" t="n"/>
      <c r="N24" s="34" t="n"/>
      <c r="O24" s="34" t="n"/>
      <c r="P24" s="34" t="n"/>
      <c r="Q24" s="35">
        <f>IF(SUM(M24:P24)=0,"",SUM(M24:P24))</f>
        <v/>
      </c>
      <c r="R24" s="36">
        <f>IF(Q24="","",Q24/'④설정'!$B$3)</f>
        <v/>
      </c>
      <c r="S24" s="37">
        <f>IF($H24="","",IF(AND(S$3&lt;&gt;"",$H24&lt;=S$3,$J24&gt;=S$3),"■",""))</f>
        <v/>
      </c>
      <c r="T24" s="37">
        <f>IF($H24="","",IF(AND(T$3&lt;&gt;"",$H24&lt;=T$3,$J24&gt;=T$3),"■",""))</f>
        <v/>
      </c>
      <c r="U24" s="37">
        <f>IF($H24="","",IF(AND(U$3&lt;&gt;"",$H24&lt;=U$3,$J24&gt;=U$3),"■",""))</f>
        <v/>
      </c>
      <c r="V24" s="37">
        <f>IF($H24="","",IF(AND(V$3&lt;&gt;"",$H24&lt;=V$3,$J24&gt;=V$3),"■",""))</f>
        <v/>
      </c>
      <c r="W24" s="37">
        <f>IF($H24="","",IF(AND(W$3&lt;&gt;"",$H24&lt;=W$3,$J24&gt;=W$3),"■",""))</f>
        <v/>
      </c>
      <c r="X24" s="37">
        <f>IF($H24="","",IF(AND(X$3&lt;&gt;"",$H24&lt;=X$3,$J24&gt;=X$3),"■",""))</f>
        <v/>
      </c>
      <c r="Y24" s="37">
        <f>IF($H24="","",IF(AND(Y$3&lt;&gt;"",$H24&lt;=Y$3,$J24&gt;=Y$3),"■",""))</f>
        <v/>
      </c>
      <c r="Z24" s="37">
        <f>IF($H24="","",IF(AND(Z$3&lt;&gt;"",$H24&lt;=Z$3,$J24&gt;=Z$3),"■",""))</f>
        <v/>
      </c>
      <c r="AA24" s="37">
        <f>IF($H24="","",IF(AND(AA$3&lt;&gt;"",$H24&lt;=AA$3,$J24&gt;=AA$3),"■",""))</f>
        <v/>
      </c>
      <c r="AB24" s="37">
        <f>IF($H24="","",IF(AND(AB$3&lt;&gt;"",$H24&lt;=AB$3,$J24&gt;=AB$3),"■",""))</f>
        <v/>
      </c>
      <c r="AC24" s="37">
        <f>IF($H24="","",IF(AND(AC$3&lt;&gt;"",$H24&lt;=AC$3,$J24&gt;=AC$3),"■",""))</f>
        <v/>
      </c>
      <c r="AD24" s="37">
        <f>IF($H24="","",IF(AND(AD$3&lt;&gt;"",$H24&lt;=AD$3,$J24&gt;=AD$3),"■",""))</f>
        <v/>
      </c>
      <c r="AE24" s="37">
        <f>IF($H24="","",IF(AND(AE$3&lt;&gt;"",$H24&lt;=AE$3,$J24&gt;=AE$3),"■",""))</f>
        <v/>
      </c>
      <c r="AF24" s="37">
        <f>IF($H24="","",IF(AND(AF$3&lt;&gt;"",$H24&lt;=AF$3,$J24&gt;=AF$3),"■",""))</f>
        <v/>
      </c>
      <c r="AG24" s="37">
        <f>IF($H24="","",IF(AND(AG$3&lt;&gt;"",$H24&lt;=AG$3,$J24&gt;=AG$3),"■",""))</f>
        <v/>
      </c>
      <c r="AH24" s="37">
        <f>IF($H24="","",IF(AND(AH$3&lt;&gt;"",$H24&lt;=AH$3,$J24&gt;=AH$3),"■",""))</f>
        <v/>
      </c>
      <c r="AI24" s="37">
        <f>IF($H24="","",IF(AND(AI$3&lt;&gt;"",$H24&lt;=AI$3,$J24&gt;=AI$3),"■",""))</f>
        <v/>
      </c>
      <c r="AJ24" s="37">
        <f>IF($H24="","",IF(AND(AJ$3&lt;&gt;"",$H24&lt;=AJ$3,$J24&gt;=AJ$3),"■",""))</f>
        <v/>
      </c>
      <c r="AK24" s="37">
        <f>IF($H24="","",IF(AND(AK$3&lt;&gt;"",$H24&lt;=AK$3,$J24&gt;=AK$3),"■",""))</f>
        <v/>
      </c>
      <c r="AL24" s="37">
        <f>IF($H24="","",IF(AND(AL$3&lt;&gt;"",$H24&lt;=AL$3,$J24&gt;=AL$3),"■",""))</f>
        <v/>
      </c>
      <c r="AM24" s="37">
        <f>IF($H24="","",IF(AND(AM$3&lt;&gt;"",$H24&lt;=AM$3,$J24&gt;=AM$3),"■",""))</f>
        <v/>
      </c>
      <c r="AN24" s="37">
        <f>IF($H24="","",IF(AND(AN$3&lt;&gt;"",$H24&lt;=AN$3,$J24&gt;=AN$3),"■",""))</f>
        <v/>
      </c>
      <c r="AO24" s="37">
        <f>IF($H24="","",IF(AND(AO$3&lt;&gt;"",$H24&lt;=AO$3,$J24&gt;=AO$3),"■",""))</f>
        <v/>
      </c>
      <c r="AP24" s="37">
        <f>IF($H24="","",IF(AND(AP$3&lt;&gt;"",$H24&lt;=AP$3,$J24&gt;=AP$3),"■",""))</f>
        <v/>
      </c>
      <c r="AQ24" s="37">
        <f>IF($H24="","",IF(AND(AQ$3&lt;&gt;"",$H24&lt;=AQ$3,$J24&gt;=AQ$3),"■",""))</f>
        <v/>
      </c>
      <c r="AR24" s="37">
        <f>IF($H24="","",IF(AND(AR$3&lt;&gt;"",$H24&lt;=AR$3,$J24&gt;=AR$3),"■",""))</f>
        <v/>
      </c>
      <c r="AS24" s="37">
        <f>IF($H24="","",IF(AND(AS$3&lt;&gt;"",$H24&lt;=AS$3,$J24&gt;=AS$3),"■",""))</f>
        <v/>
      </c>
      <c r="AT24" s="37">
        <f>IF($H24="","",IF(AND(AT$3&lt;&gt;"",$H24&lt;=AT$3,$J24&gt;=AT$3),"■",""))</f>
        <v/>
      </c>
      <c r="AU24" s="37">
        <f>IF($H24="","",IF(AND(AU$3&lt;&gt;"",$H24&lt;=AU$3,$J24&gt;=AU$3),"■",""))</f>
        <v/>
      </c>
      <c r="AV24" s="37">
        <f>IF($H24="","",IF(AND(AV$3&lt;&gt;"",$H24&lt;=AV$3,$J24&gt;=AV$3),"■",""))</f>
        <v/>
      </c>
      <c r="AW24" s="37">
        <f>IF($H24="","",IF(AND(AW$3&lt;&gt;"",$H24&lt;=AW$3,$J24&gt;=AW$3),"■",""))</f>
        <v/>
      </c>
    </row>
    <row r="25">
      <c r="A25" s="27" t="n"/>
      <c r="B25" s="27" t="n"/>
      <c r="C25" s="28" t="n"/>
      <c r="D25" s="19" t="n"/>
      <c r="E25" s="28" t="n"/>
      <c r="F25" s="19" t="n"/>
      <c r="G25" s="29" t="n"/>
      <c r="H25" s="30" t="n"/>
      <c r="I25" s="17">
        <f>IFERROR(INDEX('④설정'!$E$7:$E$16,MATCH(C25,'④설정'!$D$7:$D$16,0)),"")</f>
        <v/>
      </c>
      <c r="J25" s="31">
        <f>IF(OR($H25="",$I25=""),"",WORKDAY($H25,$I25-1))</f>
        <v/>
      </c>
      <c r="K25" s="32">
        <f>IF($J25="","",IF($F25="완료","완료",$J25-'④설정'!$B$1))</f>
        <v/>
      </c>
      <c r="L25" s="33">
        <f>IF($J25="","",IF($F25="완료","✅완료",IF($J25&lt;'④설정'!$B$1,"🔴지연",IF($J25&lt;='④설정'!$B$1+2,"🔴임박",IF($J25&lt;='④설정'!$B$1+5,"🟡주의","🟢여유")))))</f>
        <v/>
      </c>
      <c r="M25" s="34" t="n"/>
      <c r="N25" s="34" t="n"/>
      <c r="O25" s="34" t="n"/>
      <c r="P25" s="34" t="n"/>
      <c r="Q25" s="35">
        <f>IF(SUM(M25:P25)=0,"",SUM(M25:P25))</f>
        <v/>
      </c>
      <c r="R25" s="36">
        <f>IF(Q25="","",Q25/'④설정'!$B$3)</f>
        <v/>
      </c>
      <c r="S25" s="37">
        <f>IF($H25="","",IF(AND(S$3&lt;&gt;"",$H25&lt;=S$3,$J25&gt;=S$3),"■",""))</f>
        <v/>
      </c>
      <c r="T25" s="37">
        <f>IF($H25="","",IF(AND(T$3&lt;&gt;"",$H25&lt;=T$3,$J25&gt;=T$3),"■",""))</f>
        <v/>
      </c>
      <c r="U25" s="37">
        <f>IF($H25="","",IF(AND(U$3&lt;&gt;"",$H25&lt;=U$3,$J25&gt;=U$3),"■",""))</f>
        <v/>
      </c>
      <c r="V25" s="37">
        <f>IF($H25="","",IF(AND(V$3&lt;&gt;"",$H25&lt;=V$3,$J25&gt;=V$3),"■",""))</f>
        <v/>
      </c>
      <c r="W25" s="37">
        <f>IF($H25="","",IF(AND(W$3&lt;&gt;"",$H25&lt;=W$3,$J25&gt;=W$3),"■",""))</f>
        <v/>
      </c>
      <c r="X25" s="37">
        <f>IF($H25="","",IF(AND(X$3&lt;&gt;"",$H25&lt;=X$3,$J25&gt;=X$3),"■",""))</f>
        <v/>
      </c>
      <c r="Y25" s="37">
        <f>IF($H25="","",IF(AND(Y$3&lt;&gt;"",$H25&lt;=Y$3,$J25&gt;=Y$3),"■",""))</f>
        <v/>
      </c>
      <c r="Z25" s="37">
        <f>IF($H25="","",IF(AND(Z$3&lt;&gt;"",$H25&lt;=Z$3,$J25&gt;=Z$3),"■",""))</f>
        <v/>
      </c>
      <c r="AA25" s="37">
        <f>IF($H25="","",IF(AND(AA$3&lt;&gt;"",$H25&lt;=AA$3,$J25&gt;=AA$3),"■",""))</f>
        <v/>
      </c>
      <c r="AB25" s="37">
        <f>IF($H25="","",IF(AND(AB$3&lt;&gt;"",$H25&lt;=AB$3,$J25&gt;=AB$3),"■",""))</f>
        <v/>
      </c>
      <c r="AC25" s="37">
        <f>IF($H25="","",IF(AND(AC$3&lt;&gt;"",$H25&lt;=AC$3,$J25&gt;=AC$3),"■",""))</f>
        <v/>
      </c>
      <c r="AD25" s="37">
        <f>IF($H25="","",IF(AND(AD$3&lt;&gt;"",$H25&lt;=AD$3,$J25&gt;=AD$3),"■",""))</f>
        <v/>
      </c>
      <c r="AE25" s="37">
        <f>IF($H25="","",IF(AND(AE$3&lt;&gt;"",$H25&lt;=AE$3,$J25&gt;=AE$3),"■",""))</f>
        <v/>
      </c>
      <c r="AF25" s="37">
        <f>IF($H25="","",IF(AND(AF$3&lt;&gt;"",$H25&lt;=AF$3,$J25&gt;=AF$3),"■",""))</f>
        <v/>
      </c>
      <c r="AG25" s="37">
        <f>IF($H25="","",IF(AND(AG$3&lt;&gt;"",$H25&lt;=AG$3,$J25&gt;=AG$3),"■",""))</f>
        <v/>
      </c>
      <c r="AH25" s="37">
        <f>IF($H25="","",IF(AND(AH$3&lt;&gt;"",$H25&lt;=AH$3,$J25&gt;=AH$3),"■",""))</f>
        <v/>
      </c>
      <c r="AI25" s="37">
        <f>IF($H25="","",IF(AND(AI$3&lt;&gt;"",$H25&lt;=AI$3,$J25&gt;=AI$3),"■",""))</f>
        <v/>
      </c>
      <c r="AJ25" s="37">
        <f>IF($H25="","",IF(AND(AJ$3&lt;&gt;"",$H25&lt;=AJ$3,$J25&gt;=AJ$3),"■",""))</f>
        <v/>
      </c>
      <c r="AK25" s="37">
        <f>IF($H25="","",IF(AND(AK$3&lt;&gt;"",$H25&lt;=AK$3,$J25&gt;=AK$3),"■",""))</f>
        <v/>
      </c>
      <c r="AL25" s="37">
        <f>IF($H25="","",IF(AND(AL$3&lt;&gt;"",$H25&lt;=AL$3,$J25&gt;=AL$3),"■",""))</f>
        <v/>
      </c>
      <c r="AM25" s="37">
        <f>IF($H25="","",IF(AND(AM$3&lt;&gt;"",$H25&lt;=AM$3,$J25&gt;=AM$3),"■",""))</f>
        <v/>
      </c>
      <c r="AN25" s="37">
        <f>IF($H25="","",IF(AND(AN$3&lt;&gt;"",$H25&lt;=AN$3,$J25&gt;=AN$3),"■",""))</f>
        <v/>
      </c>
      <c r="AO25" s="37">
        <f>IF($H25="","",IF(AND(AO$3&lt;&gt;"",$H25&lt;=AO$3,$J25&gt;=AO$3),"■",""))</f>
        <v/>
      </c>
      <c r="AP25" s="37">
        <f>IF($H25="","",IF(AND(AP$3&lt;&gt;"",$H25&lt;=AP$3,$J25&gt;=AP$3),"■",""))</f>
        <v/>
      </c>
      <c r="AQ25" s="37">
        <f>IF($H25="","",IF(AND(AQ$3&lt;&gt;"",$H25&lt;=AQ$3,$J25&gt;=AQ$3),"■",""))</f>
        <v/>
      </c>
      <c r="AR25" s="37">
        <f>IF($H25="","",IF(AND(AR$3&lt;&gt;"",$H25&lt;=AR$3,$J25&gt;=AR$3),"■",""))</f>
        <v/>
      </c>
      <c r="AS25" s="37">
        <f>IF($H25="","",IF(AND(AS$3&lt;&gt;"",$H25&lt;=AS$3,$J25&gt;=AS$3),"■",""))</f>
        <v/>
      </c>
      <c r="AT25" s="37">
        <f>IF($H25="","",IF(AND(AT$3&lt;&gt;"",$H25&lt;=AT$3,$J25&gt;=AT$3),"■",""))</f>
        <v/>
      </c>
      <c r="AU25" s="37">
        <f>IF($H25="","",IF(AND(AU$3&lt;&gt;"",$H25&lt;=AU$3,$J25&gt;=AU$3),"■",""))</f>
        <v/>
      </c>
      <c r="AV25" s="37">
        <f>IF($H25="","",IF(AND(AV$3&lt;&gt;"",$H25&lt;=AV$3,$J25&gt;=AV$3),"■",""))</f>
        <v/>
      </c>
      <c r="AW25" s="37">
        <f>IF($H25="","",IF(AND(AW$3&lt;&gt;"",$H25&lt;=AW$3,$J25&gt;=AW$3),"■",""))</f>
        <v/>
      </c>
    </row>
    <row r="26">
      <c r="A26" s="27" t="n"/>
      <c r="B26" s="27" t="n"/>
      <c r="C26" s="28" t="n"/>
      <c r="D26" s="19" t="n"/>
      <c r="E26" s="28" t="n"/>
      <c r="F26" s="19" t="n"/>
      <c r="G26" s="29" t="n"/>
      <c r="H26" s="30" t="n"/>
      <c r="I26" s="17">
        <f>IFERROR(INDEX('④설정'!$E$7:$E$16,MATCH(C26,'④설정'!$D$7:$D$16,0)),"")</f>
        <v/>
      </c>
      <c r="J26" s="31">
        <f>IF(OR($H26="",$I26=""),"",WORKDAY($H26,$I26-1))</f>
        <v/>
      </c>
      <c r="K26" s="32">
        <f>IF($J26="","",IF($F26="완료","완료",$J26-'④설정'!$B$1))</f>
        <v/>
      </c>
      <c r="L26" s="33">
        <f>IF($J26="","",IF($F26="완료","✅완료",IF($J26&lt;'④설정'!$B$1,"🔴지연",IF($J26&lt;='④설정'!$B$1+2,"🔴임박",IF($J26&lt;='④설정'!$B$1+5,"🟡주의","🟢여유")))))</f>
        <v/>
      </c>
      <c r="M26" s="34" t="n"/>
      <c r="N26" s="34" t="n"/>
      <c r="O26" s="34" t="n"/>
      <c r="P26" s="34" t="n"/>
      <c r="Q26" s="35">
        <f>IF(SUM(M26:P26)=0,"",SUM(M26:P26))</f>
        <v/>
      </c>
      <c r="R26" s="36">
        <f>IF(Q26="","",Q26/'④설정'!$B$3)</f>
        <v/>
      </c>
      <c r="S26" s="37">
        <f>IF($H26="","",IF(AND(S$3&lt;&gt;"",$H26&lt;=S$3,$J26&gt;=S$3),"■",""))</f>
        <v/>
      </c>
      <c r="T26" s="37">
        <f>IF($H26="","",IF(AND(T$3&lt;&gt;"",$H26&lt;=T$3,$J26&gt;=T$3),"■",""))</f>
        <v/>
      </c>
      <c r="U26" s="37">
        <f>IF($H26="","",IF(AND(U$3&lt;&gt;"",$H26&lt;=U$3,$J26&gt;=U$3),"■",""))</f>
        <v/>
      </c>
      <c r="V26" s="37">
        <f>IF($H26="","",IF(AND(V$3&lt;&gt;"",$H26&lt;=V$3,$J26&gt;=V$3),"■",""))</f>
        <v/>
      </c>
      <c r="W26" s="37">
        <f>IF($H26="","",IF(AND(W$3&lt;&gt;"",$H26&lt;=W$3,$J26&gt;=W$3),"■",""))</f>
        <v/>
      </c>
      <c r="X26" s="37">
        <f>IF($H26="","",IF(AND(X$3&lt;&gt;"",$H26&lt;=X$3,$J26&gt;=X$3),"■",""))</f>
        <v/>
      </c>
      <c r="Y26" s="37">
        <f>IF($H26="","",IF(AND(Y$3&lt;&gt;"",$H26&lt;=Y$3,$J26&gt;=Y$3),"■",""))</f>
        <v/>
      </c>
      <c r="Z26" s="37">
        <f>IF($H26="","",IF(AND(Z$3&lt;&gt;"",$H26&lt;=Z$3,$J26&gt;=Z$3),"■",""))</f>
        <v/>
      </c>
      <c r="AA26" s="37">
        <f>IF($H26="","",IF(AND(AA$3&lt;&gt;"",$H26&lt;=AA$3,$J26&gt;=AA$3),"■",""))</f>
        <v/>
      </c>
      <c r="AB26" s="37">
        <f>IF($H26="","",IF(AND(AB$3&lt;&gt;"",$H26&lt;=AB$3,$J26&gt;=AB$3),"■",""))</f>
        <v/>
      </c>
      <c r="AC26" s="37">
        <f>IF($H26="","",IF(AND(AC$3&lt;&gt;"",$H26&lt;=AC$3,$J26&gt;=AC$3),"■",""))</f>
        <v/>
      </c>
      <c r="AD26" s="37">
        <f>IF($H26="","",IF(AND(AD$3&lt;&gt;"",$H26&lt;=AD$3,$J26&gt;=AD$3),"■",""))</f>
        <v/>
      </c>
      <c r="AE26" s="37">
        <f>IF($H26="","",IF(AND(AE$3&lt;&gt;"",$H26&lt;=AE$3,$J26&gt;=AE$3),"■",""))</f>
        <v/>
      </c>
      <c r="AF26" s="37">
        <f>IF($H26="","",IF(AND(AF$3&lt;&gt;"",$H26&lt;=AF$3,$J26&gt;=AF$3),"■",""))</f>
        <v/>
      </c>
      <c r="AG26" s="37">
        <f>IF($H26="","",IF(AND(AG$3&lt;&gt;"",$H26&lt;=AG$3,$J26&gt;=AG$3),"■",""))</f>
        <v/>
      </c>
      <c r="AH26" s="37">
        <f>IF($H26="","",IF(AND(AH$3&lt;&gt;"",$H26&lt;=AH$3,$J26&gt;=AH$3),"■",""))</f>
        <v/>
      </c>
      <c r="AI26" s="37">
        <f>IF($H26="","",IF(AND(AI$3&lt;&gt;"",$H26&lt;=AI$3,$J26&gt;=AI$3),"■",""))</f>
        <v/>
      </c>
      <c r="AJ26" s="37">
        <f>IF($H26="","",IF(AND(AJ$3&lt;&gt;"",$H26&lt;=AJ$3,$J26&gt;=AJ$3),"■",""))</f>
        <v/>
      </c>
      <c r="AK26" s="37">
        <f>IF($H26="","",IF(AND(AK$3&lt;&gt;"",$H26&lt;=AK$3,$J26&gt;=AK$3),"■",""))</f>
        <v/>
      </c>
      <c r="AL26" s="37">
        <f>IF($H26="","",IF(AND(AL$3&lt;&gt;"",$H26&lt;=AL$3,$J26&gt;=AL$3),"■",""))</f>
        <v/>
      </c>
      <c r="AM26" s="37">
        <f>IF($H26="","",IF(AND(AM$3&lt;&gt;"",$H26&lt;=AM$3,$J26&gt;=AM$3),"■",""))</f>
        <v/>
      </c>
      <c r="AN26" s="37">
        <f>IF($H26="","",IF(AND(AN$3&lt;&gt;"",$H26&lt;=AN$3,$J26&gt;=AN$3),"■",""))</f>
        <v/>
      </c>
      <c r="AO26" s="37">
        <f>IF($H26="","",IF(AND(AO$3&lt;&gt;"",$H26&lt;=AO$3,$J26&gt;=AO$3),"■",""))</f>
        <v/>
      </c>
      <c r="AP26" s="37">
        <f>IF($H26="","",IF(AND(AP$3&lt;&gt;"",$H26&lt;=AP$3,$J26&gt;=AP$3),"■",""))</f>
        <v/>
      </c>
      <c r="AQ26" s="37">
        <f>IF($H26="","",IF(AND(AQ$3&lt;&gt;"",$H26&lt;=AQ$3,$J26&gt;=AQ$3),"■",""))</f>
        <v/>
      </c>
      <c r="AR26" s="37">
        <f>IF($H26="","",IF(AND(AR$3&lt;&gt;"",$H26&lt;=AR$3,$J26&gt;=AR$3),"■",""))</f>
        <v/>
      </c>
      <c r="AS26" s="37">
        <f>IF($H26="","",IF(AND(AS$3&lt;&gt;"",$H26&lt;=AS$3,$J26&gt;=AS$3),"■",""))</f>
        <v/>
      </c>
      <c r="AT26" s="37">
        <f>IF($H26="","",IF(AND(AT$3&lt;&gt;"",$H26&lt;=AT$3,$J26&gt;=AT$3),"■",""))</f>
        <v/>
      </c>
      <c r="AU26" s="37">
        <f>IF($H26="","",IF(AND(AU$3&lt;&gt;"",$H26&lt;=AU$3,$J26&gt;=AU$3),"■",""))</f>
        <v/>
      </c>
      <c r="AV26" s="37">
        <f>IF($H26="","",IF(AND(AV$3&lt;&gt;"",$H26&lt;=AV$3,$J26&gt;=AV$3),"■",""))</f>
        <v/>
      </c>
      <c r="AW26" s="37">
        <f>IF($H26="","",IF(AND(AW$3&lt;&gt;"",$H26&lt;=AW$3,$J26&gt;=AW$3),"■",""))</f>
        <v/>
      </c>
    </row>
    <row r="27">
      <c r="A27" s="27" t="n"/>
      <c r="B27" s="27" t="n"/>
      <c r="C27" s="28" t="n"/>
      <c r="D27" s="19" t="n"/>
      <c r="E27" s="28" t="n"/>
      <c r="F27" s="19" t="n"/>
      <c r="G27" s="29" t="n"/>
      <c r="H27" s="30" t="n"/>
      <c r="I27" s="17">
        <f>IFERROR(INDEX('④설정'!$E$7:$E$16,MATCH(C27,'④설정'!$D$7:$D$16,0)),"")</f>
        <v/>
      </c>
      <c r="J27" s="31">
        <f>IF(OR($H27="",$I27=""),"",WORKDAY($H27,$I27-1))</f>
        <v/>
      </c>
      <c r="K27" s="32">
        <f>IF($J27="","",IF($F27="완료","완료",$J27-'④설정'!$B$1))</f>
        <v/>
      </c>
      <c r="L27" s="33">
        <f>IF($J27="","",IF($F27="완료","✅완료",IF($J27&lt;'④설정'!$B$1,"🔴지연",IF($J27&lt;='④설정'!$B$1+2,"🔴임박",IF($J27&lt;='④설정'!$B$1+5,"🟡주의","🟢여유")))))</f>
        <v/>
      </c>
      <c r="M27" s="34" t="n"/>
      <c r="N27" s="34" t="n"/>
      <c r="O27" s="34" t="n"/>
      <c r="P27" s="34" t="n"/>
      <c r="Q27" s="35">
        <f>IF(SUM(M27:P27)=0,"",SUM(M27:P27))</f>
        <v/>
      </c>
      <c r="R27" s="36">
        <f>IF(Q27="","",Q27/'④설정'!$B$3)</f>
        <v/>
      </c>
      <c r="S27" s="37">
        <f>IF($H27="","",IF(AND(S$3&lt;&gt;"",$H27&lt;=S$3,$J27&gt;=S$3),"■",""))</f>
        <v/>
      </c>
      <c r="T27" s="37">
        <f>IF($H27="","",IF(AND(T$3&lt;&gt;"",$H27&lt;=T$3,$J27&gt;=T$3),"■",""))</f>
        <v/>
      </c>
      <c r="U27" s="37">
        <f>IF($H27="","",IF(AND(U$3&lt;&gt;"",$H27&lt;=U$3,$J27&gt;=U$3),"■",""))</f>
        <v/>
      </c>
      <c r="V27" s="37">
        <f>IF($H27="","",IF(AND(V$3&lt;&gt;"",$H27&lt;=V$3,$J27&gt;=V$3),"■",""))</f>
        <v/>
      </c>
      <c r="W27" s="37">
        <f>IF($H27="","",IF(AND(W$3&lt;&gt;"",$H27&lt;=W$3,$J27&gt;=W$3),"■",""))</f>
        <v/>
      </c>
      <c r="X27" s="37">
        <f>IF($H27="","",IF(AND(X$3&lt;&gt;"",$H27&lt;=X$3,$J27&gt;=X$3),"■",""))</f>
        <v/>
      </c>
      <c r="Y27" s="37">
        <f>IF($H27="","",IF(AND(Y$3&lt;&gt;"",$H27&lt;=Y$3,$J27&gt;=Y$3),"■",""))</f>
        <v/>
      </c>
      <c r="Z27" s="37">
        <f>IF($H27="","",IF(AND(Z$3&lt;&gt;"",$H27&lt;=Z$3,$J27&gt;=Z$3),"■",""))</f>
        <v/>
      </c>
      <c r="AA27" s="37">
        <f>IF($H27="","",IF(AND(AA$3&lt;&gt;"",$H27&lt;=AA$3,$J27&gt;=AA$3),"■",""))</f>
        <v/>
      </c>
      <c r="AB27" s="37">
        <f>IF($H27="","",IF(AND(AB$3&lt;&gt;"",$H27&lt;=AB$3,$J27&gt;=AB$3),"■",""))</f>
        <v/>
      </c>
      <c r="AC27" s="37">
        <f>IF($H27="","",IF(AND(AC$3&lt;&gt;"",$H27&lt;=AC$3,$J27&gt;=AC$3),"■",""))</f>
        <v/>
      </c>
      <c r="AD27" s="37">
        <f>IF($H27="","",IF(AND(AD$3&lt;&gt;"",$H27&lt;=AD$3,$J27&gt;=AD$3),"■",""))</f>
        <v/>
      </c>
      <c r="AE27" s="37">
        <f>IF($H27="","",IF(AND(AE$3&lt;&gt;"",$H27&lt;=AE$3,$J27&gt;=AE$3),"■",""))</f>
        <v/>
      </c>
      <c r="AF27" s="37">
        <f>IF($H27="","",IF(AND(AF$3&lt;&gt;"",$H27&lt;=AF$3,$J27&gt;=AF$3),"■",""))</f>
        <v/>
      </c>
      <c r="AG27" s="37">
        <f>IF($H27="","",IF(AND(AG$3&lt;&gt;"",$H27&lt;=AG$3,$J27&gt;=AG$3),"■",""))</f>
        <v/>
      </c>
      <c r="AH27" s="37">
        <f>IF($H27="","",IF(AND(AH$3&lt;&gt;"",$H27&lt;=AH$3,$J27&gt;=AH$3),"■",""))</f>
        <v/>
      </c>
      <c r="AI27" s="37">
        <f>IF($H27="","",IF(AND(AI$3&lt;&gt;"",$H27&lt;=AI$3,$J27&gt;=AI$3),"■",""))</f>
        <v/>
      </c>
      <c r="AJ27" s="37">
        <f>IF($H27="","",IF(AND(AJ$3&lt;&gt;"",$H27&lt;=AJ$3,$J27&gt;=AJ$3),"■",""))</f>
        <v/>
      </c>
      <c r="AK27" s="37">
        <f>IF($H27="","",IF(AND(AK$3&lt;&gt;"",$H27&lt;=AK$3,$J27&gt;=AK$3),"■",""))</f>
        <v/>
      </c>
      <c r="AL27" s="37">
        <f>IF($H27="","",IF(AND(AL$3&lt;&gt;"",$H27&lt;=AL$3,$J27&gt;=AL$3),"■",""))</f>
        <v/>
      </c>
      <c r="AM27" s="37">
        <f>IF($H27="","",IF(AND(AM$3&lt;&gt;"",$H27&lt;=AM$3,$J27&gt;=AM$3),"■",""))</f>
        <v/>
      </c>
      <c r="AN27" s="37">
        <f>IF($H27="","",IF(AND(AN$3&lt;&gt;"",$H27&lt;=AN$3,$J27&gt;=AN$3),"■",""))</f>
        <v/>
      </c>
      <c r="AO27" s="37">
        <f>IF($H27="","",IF(AND(AO$3&lt;&gt;"",$H27&lt;=AO$3,$J27&gt;=AO$3),"■",""))</f>
        <v/>
      </c>
      <c r="AP27" s="37">
        <f>IF($H27="","",IF(AND(AP$3&lt;&gt;"",$H27&lt;=AP$3,$J27&gt;=AP$3),"■",""))</f>
        <v/>
      </c>
      <c r="AQ27" s="37">
        <f>IF($H27="","",IF(AND(AQ$3&lt;&gt;"",$H27&lt;=AQ$3,$J27&gt;=AQ$3),"■",""))</f>
        <v/>
      </c>
      <c r="AR27" s="37">
        <f>IF($H27="","",IF(AND(AR$3&lt;&gt;"",$H27&lt;=AR$3,$J27&gt;=AR$3),"■",""))</f>
        <v/>
      </c>
      <c r="AS27" s="37">
        <f>IF($H27="","",IF(AND(AS$3&lt;&gt;"",$H27&lt;=AS$3,$J27&gt;=AS$3),"■",""))</f>
        <v/>
      </c>
      <c r="AT27" s="37">
        <f>IF($H27="","",IF(AND(AT$3&lt;&gt;"",$H27&lt;=AT$3,$J27&gt;=AT$3),"■",""))</f>
        <v/>
      </c>
      <c r="AU27" s="37">
        <f>IF($H27="","",IF(AND(AU$3&lt;&gt;"",$H27&lt;=AU$3,$J27&gt;=AU$3),"■",""))</f>
        <v/>
      </c>
      <c r="AV27" s="37">
        <f>IF($H27="","",IF(AND(AV$3&lt;&gt;"",$H27&lt;=AV$3,$J27&gt;=AV$3),"■",""))</f>
        <v/>
      </c>
      <c r="AW27" s="37">
        <f>IF($H27="","",IF(AND(AW$3&lt;&gt;"",$H27&lt;=AW$3,$J27&gt;=AW$3),"■",""))</f>
        <v/>
      </c>
    </row>
    <row r="28">
      <c r="A28" s="27" t="n"/>
      <c r="B28" s="27" t="n"/>
      <c r="C28" s="28" t="n"/>
      <c r="D28" s="19" t="n"/>
      <c r="E28" s="28" t="n"/>
      <c r="F28" s="19" t="n"/>
      <c r="G28" s="29" t="n"/>
      <c r="H28" s="30" t="n"/>
      <c r="I28" s="17">
        <f>IFERROR(INDEX('④설정'!$E$7:$E$16,MATCH(C28,'④설정'!$D$7:$D$16,0)),"")</f>
        <v/>
      </c>
      <c r="J28" s="31">
        <f>IF(OR($H28="",$I28=""),"",WORKDAY($H28,$I28-1))</f>
        <v/>
      </c>
      <c r="K28" s="32">
        <f>IF($J28="","",IF($F28="완료","완료",$J28-'④설정'!$B$1))</f>
        <v/>
      </c>
      <c r="L28" s="33">
        <f>IF($J28="","",IF($F28="완료","✅완료",IF($J28&lt;'④설정'!$B$1,"🔴지연",IF($J28&lt;='④설정'!$B$1+2,"🔴임박",IF($J28&lt;='④설정'!$B$1+5,"🟡주의","🟢여유")))))</f>
        <v/>
      </c>
      <c r="M28" s="34" t="n"/>
      <c r="N28" s="34" t="n"/>
      <c r="O28" s="34" t="n"/>
      <c r="P28" s="34" t="n"/>
      <c r="Q28" s="35">
        <f>IF(SUM(M28:P28)=0,"",SUM(M28:P28))</f>
        <v/>
      </c>
      <c r="R28" s="36">
        <f>IF(Q28="","",Q28/'④설정'!$B$3)</f>
        <v/>
      </c>
      <c r="S28" s="37">
        <f>IF($H28="","",IF(AND(S$3&lt;&gt;"",$H28&lt;=S$3,$J28&gt;=S$3),"■",""))</f>
        <v/>
      </c>
      <c r="T28" s="37">
        <f>IF($H28="","",IF(AND(T$3&lt;&gt;"",$H28&lt;=T$3,$J28&gt;=T$3),"■",""))</f>
        <v/>
      </c>
      <c r="U28" s="37">
        <f>IF($H28="","",IF(AND(U$3&lt;&gt;"",$H28&lt;=U$3,$J28&gt;=U$3),"■",""))</f>
        <v/>
      </c>
      <c r="V28" s="37">
        <f>IF($H28="","",IF(AND(V$3&lt;&gt;"",$H28&lt;=V$3,$J28&gt;=V$3),"■",""))</f>
        <v/>
      </c>
      <c r="W28" s="37">
        <f>IF($H28="","",IF(AND(W$3&lt;&gt;"",$H28&lt;=W$3,$J28&gt;=W$3),"■",""))</f>
        <v/>
      </c>
      <c r="X28" s="37">
        <f>IF($H28="","",IF(AND(X$3&lt;&gt;"",$H28&lt;=X$3,$J28&gt;=X$3),"■",""))</f>
        <v/>
      </c>
      <c r="Y28" s="37">
        <f>IF($H28="","",IF(AND(Y$3&lt;&gt;"",$H28&lt;=Y$3,$J28&gt;=Y$3),"■",""))</f>
        <v/>
      </c>
      <c r="Z28" s="37">
        <f>IF($H28="","",IF(AND(Z$3&lt;&gt;"",$H28&lt;=Z$3,$J28&gt;=Z$3),"■",""))</f>
        <v/>
      </c>
      <c r="AA28" s="37">
        <f>IF($H28="","",IF(AND(AA$3&lt;&gt;"",$H28&lt;=AA$3,$J28&gt;=AA$3),"■",""))</f>
        <v/>
      </c>
      <c r="AB28" s="37">
        <f>IF($H28="","",IF(AND(AB$3&lt;&gt;"",$H28&lt;=AB$3,$J28&gt;=AB$3),"■",""))</f>
        <v/>
      </c>
      <c r="AC28" s="37">
        <f>IF($H28="","",IF(AND(AC$3&lt;&gt;"",$H28&lt;=AC$3,$J28&gt;=AC$3),"■",""))</f>
        <v/>
      </c>
      <c r="AD28" s="37">
        <f>IF($H28="","",IF(AND(AD$3&lt;&gt;"",$H28&lt;=AD$3,$J28&gt;=AD$3),"■",""))</f>
        <v/>
      </c>
      <c r="AE28" s="37">
        <f>IF($H28="","",IF(AND(AE$3&lt;&gt;"",$H28&lt;=AE$3,$J28&gt;=AE$3),"■",""))</f>
        <v/>
      </c>
      <c r="AF28" s="37">
        <f>IF($H28="","",IF(AND(AF$3&lt;&gt;"",$H28&lt;=AF$3,$J28&gt;=AF$3),"■",""))</f>
        <v/>
      </c>
      <c r="AG28" s="37">
        <f>IF($H28="","",IF(AND(AG$3&lt;&gt;"",$H28&lt;=AG$3,$J28&gt;=AG$3),"■",""))</f>
        <v/>
      </c>
      <c r="AH28" s="37">
        <f>IF($H28="","",IF(AND(AH$3&lt;&gt;"",$H28&lt;=AH$3,$J28&gt;=AH$3),"■",""))</f>
        <v/>
      </c>
      <c r="AI28" s="37">
        <f>IF($H28="","",IF(AND(AI$3&lt;&gt;"",$H28&lt;=AI$3,$J28&gt;=AI$3),"■",""))</f>
        <v/>
      </c>
      <c r="AJ28" s="37">
        <f>IF($H28="","",IF(AND(AJ$3&lt;&gt;"",$H28&lt;=AJ$3,$J28&gt;=AJ$3),"■",""))</f>
        <v/>
      </c>
      <c r="AK28" s="37">
        <f>IF($H28="","",IF(AND(AK$3&lt;&gt;"",$H28&lt;=AK$3,$J28&gt;=AK$3),"■",""))</f>
        <v/>
      </c>
      <c r="AL28" s="37">
        <f>IF($H28="","",IF(AND(AL$3&lt;&gt;"",$H28&lt;=AL$3,$J28&gt;=AL$3),"■",""))</f>
        <v/>
      </c>
      <c r="AM28" s="37">
        <f>IF($H28="","",IF(AND(AM$3&lt;&gt;"",$H28&lt;=AM$3,$J28&gt;=AM$3),"■",""))</f>
        <v/>
      </c>
      <c r="AN28" s="37">
        <f>IF($H28="","",IF(AND(AN$3&lt;&gt;"",$H28&lt;=AN$3,$J28&gt;=AN$3),"■",""))</f>
        <v/>
      </c>
      <c r="AO28" s="37">
        <f>IF($H28="","",IF(AND(AO$3&lt;&gt;"",$H28&lt;=AO$3,$J28&gt;=AO$3),"■",""))</f>
        <v/>
      </c>
      <c r="AP28" s="37">
        <f>IF($H28="","",IF(AND(AP$3&lt;&gt;"",$H28&lt;=AP$3,$J28&gt;=AP$3),"■",""))</f>
        <v/>
      </c>
      <c r="AQ28" s="37">
        <f>IF($H28="","",IF(AND(AQ$3&lt;&gt;"",$H28&lt;=AQ$3,$J28&gt;=AQ$3),"■",""))</f>
        <v/>
      </c>
      <c r="AR28" s="37">
        <f>IF($H28="","",IF(AND(AR$3&lt;&gt;"",$H28&lt;=AR$3,$J28&gt;=AR$3),"■",""))</f>
        <v/>
      </c>
      <c r="AS28" s="37">
        <f>IF($H28="","",IF(AND(AS$3&lt;&gt;"",$H28&lt;=AS$3,$J28&gt;=AS$3),"■",""))</f>
        <v/>
      </c>
      <c r="AT28" s="37">
        <f>IF($H28="","",IF(AND(AT$3&lt;&gt;"",$H28&lt;=AT$3,$J28&gt;=AT$3),"■",""))</f>
        <v/>
      </c>
      <c r="AU28" s="37">
        <f>IF($H28="","",IF(AND(AU$3&lt;&gt;"",$H28&lt;=AU$3,$J28&gt;=AU$3),"■",""))</f>
        <v/>
      </c>
      <c r="AV28" s="37">
        <f>IF($H28="","",IF(AND(AV$3&lt;&gt;"",$H28&lt;=AV$3,$J28&gt;=AV$3),"■",""))</f>
        <v/>
      </c>
      <c r="AW28" s="37">
        <f>IF($H28="","",IF(AND(AW$3&lt;&gt;"",$H28&lt;=AW$3,$J28&gt;=AW$3),"■",""))</f>
        <v/>
      </c>
    </row>
    <row r="29">
      <c r="A29" s="27" t="n"/>
      <c r="B29" s="27" t="n"/>
      <c r="C29" s="28" t="n"/>
      <c r="D29" s="19" t="n"/>
      <c r="E29" s="28" t="n"/>
      <c r="F29" s="19" t="n"/>
      <c r="G29" s="29" t="n"/>
      <c r="H29" s="30" t="n"/>
      <c r="I29" s="17">
        <f>IFERROR(INDEX('④설정'!$E$7:$E$16,MATCH(C29,'④설정'!$D$7:$D$16,0)),"")</f>
        <v/>
      </c>
      <c r="J29" s="31">
        <f>IF(OR($H29="",$I29=""),"",WORKDAY($H29,$I29-1))</f>
        <v/>
      </c>
      <c r="K29" s="32">
        <f>IF($J29="","",IF($F29="완료","완료",$J29-'④설정'!$B$1))</f>
        <v/>
      </c>
      <c r="L29" s="33">
        <f>IF($J29="","",IF($F29="완료","✅완료",IF($J29&lt;'④설정'!$B$1,"🔴지연",IF($J29&lt;='④설정'!$B$1+2,"🔴임박",IF($J29&lt;='④설정'!$B$1+5,"🟡주의","🟢여유")))))</f>
        <v/>
      </c>
      <c r="M29" s="34" t="n"/>
      <c r="N29" s="34" t="n"/>
      <c r="O29" s="34" t="n"/>
      <c r="P29" s="34" t="n"/>
      <c r="Q29" s="35">
        <f>IF(SUM(M29:P29)=0,"",SUM(M29:P29))</f>
        <v/>
      </c>
      <c r="R29" s="36">
        <f>IF(Q29="","",Q29/'④설정'!$B$3)</f>
        <v/>
      </c>
      <c r="S29" s="37">
        <f>IF($H29="","",IF(AND(S$3&lt;&gt;"",$H29&lt;=S$3,$J29&gt;=S$3),"■",""))</f>
        <v/>
      </c>
      <c r="T29" s="37">
        <f>IF($H29="","",IF(AND(T$3&lt;&gt;"",$H29&lt;=T$3,$J29&gt;=T$3),"■",""))</f>
        <v/>
      </c>
      <c r="U29" s="37">
        <f>IF($H29="","",IF(AND(U$3&lt;&gt;"",$H29&lt;=U$3,$J29&gt;=U$3),"■",""))</f>
        <v/>
      </c>
      <c r="V29" s="37">
        <f>IF($H29="","",IF(AND(V$3&lt;&gt;"",$H29&lt;=V$3,$J29&gt;=V$3),"■",""))</f>
        <v/>
      </c>
      <c r="W29" s="37">
        <f>IF($H29="","",IF(AND(W$3&lt;&gt;"",$H29&lt;=W$3,$J29&gt;=W$3),"■",""))</f>
        <v/>
      </c>
      <c r="X29" s="37">
        <f>IF($H29="","",IF(AND(X$3&lt;&gt;"",$H29&lt;=X$3,$J29&gt;=X$3),"■",""))</f>
        <v/>
      </c>
      <c r="Y29" s="37">
        <f>IF($H29="","",IF(AND(Y$3&lt;&gt;"",$H29&lt;=Y$3,$J29&gt;=Y$3),"■",""))</f>
        <v/>
      </c>
      <c r="Z29" s="37">
        <f>IF($H29="","",IF(AND(Z$3&lt;&gt;"",$H29&lt;=Z$3,$J29&gt;=Z$3),"■",""))</f>
        <v/>
      </c>
      <c r="AA29" s="37">
        <f>IF($H29="","",IF(AND(AA$3&lt;&gt;"",$H29&lt;=AA$3,$J29&gt;=AA$3),"■",""))</f>
        <v/>
      </c>
      <c r="AB29" s="37">
        <f>IF($H29="","",IF(AND(AB$3&lt;&gt;"",$H29&lt;=AB$3,$J29&gt;=AB$3),"■",""))</f>
        <v/>
      </c>
      <c r="AC29" s="37">
        <f>IF($H29="","",IF(AND(AC$3&lt;&gt;"",$H29&lt;=AC$3,$J29&gt;=AC$3),"■",""))</f>
        <v/>
      </c>
      <c r="AD29" s="37">
        <f>IF($H29="","",IF(AND(AD$3&lt;&gt;"",$H29&lt;=AD$3,$J29&gt;=AD$3),"■",""))</f>
        <v/>
      </c>
      <c r="AE29" s="37">
        <f>IF($H29="","",IF(AND(AE$3&lt;&gt;"",$H29&lt;=AE$3,$J29&gt;=AE$3),"■",""))</f>
        <v/>
      </c>
      <c r="AF29" s="37">
        <f>IF($H29="","",IF(AND(AF$3&lt;&gt;"",$H29&lt;=AF$3,$J29&gt;=AF$3),"■",""))</f>
        <v/>
      </c>
      <c r="AG29" s="37">
        <f>IF($H29="","",IF(AND(AG$3&lt;&gt;"",$H29&lt;=AG$3,$J29&gt;=AG$3),"■",""))</f>
        <v/>
      </c>
      <c r="AH29" s="37">
        <f>IF($H29="","",IF(AND(AH$3&lt;&gt;"",$H29&lt;=AH$3,$J29&gt;=AH$3),"■",""))</f>
        <v/>
      </c>
      <c r="AI29" s="37">
        <f>IF($H29="","",IF(AND(AI$3&lt;&gt;"",$H29&lt;=AI$3,$J29&gt;=AI$3),"■",""))</f>
        <v/>
      </c>
      <c r="AJ29" s="37">
        <f>IF($H29="","",IF(AND(AJ$3&lt;&gt;"",$H29&lt;=AJ$3,$J29&gt;=AJ$3),"■",""))</f>
        <v/>
      </c>
      <c r="AK29" s="37">
        <f>IF($H29="","",IF(AND(AK$3&lt;&gt;"",$H29&lt;=AK$3,$J29&gt;=AK$3),"■",""))</f>
        <v/>
      </c>
      <c r="AL29" s="37">
        <f>IF($H29="","",IF(AND(AL$3&lt;&gt;"",$H29&lt;=AL$3,$J29&gt;=AL$3),"■",""))</f>
        <v/>
      </c>
      <c r="AM29" s="37">
        <f>IF($H29="","",IF(AND(AM$3&lt;&gt;"",$H29&lt;=AM$3,$J29&gt;=AM$3),"■",""))</f>
        <v/>
      </c>
      <c r="AN29" s="37">
        <f>IF($H29="","",IF(AND(AN$3&lt;&gt;"",$H29&lt;=AN$3,$J29&gt;=AN$3),"■",""))</f>
        <v/>
      </c>
      <c r="AO29" s="37">
        <f>IF($H29="","",IF(AND(AO$3&lt;&gt;"",$H29&lt;=AO$3,$J29&gt;=AO$3),"■",""))</f>
        <v/>
      </c>
      <c r="AP29" s="37">
        <f>IF($H29="","",IF(AND(AP$3&lt;&gt;"",$H29&lt;=AP$3,$J29&gt;=AP$3),"■",""))</f>
        <v/>
      </c>
      <c r="AQ29" s="37">
        <f>IF($H29="","",IF(AND(AQ$3&lt;&gt;"",$H29&lt;=AQ$3,$J29&gt;=AQ$3),"■",""))</f>
        <v/>
      </c>
      <c r="AR29" s="37">
        <f>IF($H29="","",IF(AND(AR$3&lt;&gt;"",$H29&lt;=AR$3,$J29&gt;=AR$3),"■",""))</f>
        <v/>
      </c>
      <c r="AS29" s="37">
        <f>IF($H29="","",IF(AND(AS$3&lt;&gt;"",$H29&lt;=AS$3,$J29&gt;=AS$3),"■",""))</f>
        <v/>
      </c>
      <c r="AT29" s="37">
        <f>IF($H29="","",IF(AND(AT$3&lt;&gt;"",$H29&lt;=AT$3,$J29&gt;=AT$3),"■",""))</f>
        <v/>
      </c>
      <c r="AU29" s="37">
        <f>IF($H29="","",IF(AND(AU$3&lt;&gt;"",$H29&lt;=AU$3,$J29&gt;=AU$3),"■",""))</f>
        <v/>
      </c>
      <c r="AV29" s="37">
        <f>IF($H29="","",IF(AND(AV$3&lt;&gt;"",$H29&lt;=AV$3,$J29&gt;=AV$3),"■",""))</f>
        <v/>
      </c>
      <c r="AW29" s="37">
        <f>IF($H29="","",IF(AND(AW$3&lt;&gt;"",$H29&lt;=AW$3,$J29&gt;=AW$3),"■",""))</f>
        <v/>
      </c>
    </row>
    <row r="30">
      <c r="A30" s="27" t="n"/>
      <c r="B30" s="27" t="n"/>
      <c r="C30" s="28" t="n"/>
      <c r="D30" s="19" t="n"/>
      <c r="E30" s="28" t="n"/>
      <c r="F30" s="19" t="n"/>
      <c r="G30" s="29" t="n"/>
      <c r="H30" s="30" t="n"/>
      <c r="I30" s="17">
        <f>IFERROR(INDEX('④설정'!$E$7:$E$16,MATCH(C30,'④설정'!$D$7:$D$16,0)),"")</f>
        <v/>
      </c>
      <c r="J30" s="31">
        <f>IF(OR($H30="",$I30=""),"",WORKDAY($H30,$I30-1))</f>
        <v/>
      </c>
      <c r="K30" s="32">
        <f>IF($J30="","",IF($F30="완료","완료",$J30-'④설정'!$B$1))</f>
        <v/>
      </c>
      <c r="L30" s="33">
        <f>IF($J30="","",IF($F30="완료","✅완료",IF($J30&lt;'④설정'!$B$1,"🔴지연",IF($J30&lt;='④설정'!$B$1+2,"🔴임박",IF($J30&lt;='④설정'!$B$1+5,"🟡주의","🟢여유")))))</f>
        <v/>
      </c>
      <c r="M30" s="34" t="n"/>
      <c r="N30" s="34" t="n"/>
      <c r="O30" s="34" t="n"/>
      <c r="P30" s="34" t="n"/>
      <c r="Q30" s="35">
        <f>IF(SUM(M30:P30)=0,"",SUM(M30:P30))</f>
        <v/>
      </c>
      <c r="R30" s="36">
        <f>IF(Q30="","",Q30/'④설정'!$B$3)</f>
        <v/>
      </c>
      <c r="S30" s="37">
        <f>IF($H30="","",IF(AND(S$3&lt;&gt;"",$H30&lt;=S$3,$J30&gt;=S$3),"■",""))</f>
        <v/>
      </c>
      <c r="T30" s="37">
        <f>IF($H30="","",IF(AND(T$3&lt;&gt;"",$H30&lt;=T$3,$J30&gt;=T$3),"■",""))</f>
        <v/>
      </c>
      <c r="U30" s="37">
        <f>IF($H30="","",IF(AND(U$3&lt;&gt;"",$H30&lt;=U$3,$J30&gt;=U$3),"■",""))</f>
        <v/>
      </c>
      <c r="V30" s="37">
        <f>IF($H30="","",IF(AND(V$3&lt;&gt;"",$H30&lt;=V$3,$J30&gt;=V$3),"■",""))</f>
        <v/>
      </c>
      <c r="W30" s="37">
        <f>IF($H30="","",IF(AND(W$3&lt;&gt;"",$H30&lt;=W$3,$J30&gt;=W$3),"■",""))</f>
        <v/>
      </c>
      <c r="X30" s="37">
        <f>IF($H30="","",IF(AND(X$3&lt;&gt;"",$H30&lt;=X$3,$J30&gt;=X$3),"■",""))</f>
        <v/>
      </c>
      <c r="Y30" s="37">
        <f>IF($H30="","",IF(AND(Y$3&lt;&gt;"",$H30&lt;=Y$3,$J30&gt;=Y$3),"■",""))</f>
        <v/>
      </c>
      <c r="Z30" s="37">
        <f>IF($H30="","",IF(AND(Z$3&lt;&gt;"",$H30&lt;=Z$3,$J30&gt;=Z$3),"■",""))</f>
        <v/>
      </c>
      <c r="AA30" s="37">
        <f>IF($H30="","",IF(AND(AA$3&lt;&gt;"",$H30&lt;=AA$3,$J30&gt;=AA$3),"■",""))</f>
        <v/>
      </c>
      <c r="AB30" s="37">
        <f>IF($H30="","",IF(AND(AB$3&lt;&gt;"",$H30&lt;=AB$3,$J30&gt;=AB$3),"■",""))</f>
        <v/>
      </c>
      <c r="AC30" s="37">
        <f>IF($H30="","",IF(AND(AC$3&lt;&gt;"",$H30&lt;=AC$3,$J30&gt;=AC$3),"■",""))</f>
        <v/>
      </c>
      <c r="AD30" s="37">
        <f>IF($H30="","",IF(AND(AD$3&lt;&gt;"",$H30&lt;=AD$3,$J30&gt;=AD$3),"■",""))</f>
        <v/>
      </c>
      <c r="AE30" s="37">
        <f>IF($H30="","",IF(AND(AE$3&lt;&gt;"",$H30&lt;=AE$3,$J30&gt;=AE$3),"■",""))</f>
        <v/>
      </c>
      <c r="AF30" s="37">
        <f>IF($H30="","",IF(AND(AF$3&lt;&gt;"",$H30&lt;=AF$3,$J30&gt;=AF$3),"■",""))</f>
        <v/>
      </c>
      <c r="AG30" s="37">
        <f>IF($H30="","",IF(AND(AG$3&lt;&gt;"",$H30&lt;=AG$3,$J30&gt;=AG$3),"■",""))</f>
        <v/>
      </c>
      <c r="AH30" s="37">
        <f>IF($H30="","",IF(AND(AH$3&lt;&gt;"",$H30&lt;=AH$3,$J30&gt;=AH$3),"■",""))</f>
        <v/>
      </c>
      <c r="AI30" s="37">
        <f>IF($H30="","",IF(AND(AI$3&lt;&gt;"",$H30&lt;=AI$3,$J30&gt;=AI$3),"■",""))</f>
        <v/>
      </c>
      <c r="AJ30" s="37">
        <f>IF($H30="","",IF(AND(AJ$3&lt;&gt;"",$H30&lt;=AJ$3,$J30&gt;=AJ$3),"■",""))</f>
        <v/>
      </c>
      <c r="AK30" s="37">
        <f>IF($H30="","",IF(AND(AK$3&lt;&gt;"",$H30&lt;=AK$3,$J30&gt;=AK$3),"■",""))</f>
        <v/>
      </c>
      <c r="AL30" s="37">
        <f>IF($H30="","",IF(AND(AL$3&lt;&gt;"",$H30&lt;=AL$3,$J30&gt;=AL$3),"■",""))</f>
        <v/>
      </c>
      <c r="AM30" s="37">
        <f>IF($H30="","",IF(AND(AM$3&lt;&gt;"",$H30&lt;=AM$3,$J30&gt;=AM$3),"■",""))</f>
        <v/>
      </c>
      <c r="AN30" s="37">
        <f>IF($H30="","",IF(AND(AN$3&lt;&gt;"",$H30&lt;=AN$3,$J30&gt;=AN$3),"■",""))</f>
        <v/>
      </c>
      <c r="AO30" s="37">
        <f>IF($H30="","",IF(AND(AO$3&lt;&gt;"",$H30&lt;=AO$3,$J30&gt;=AO$3),"■",""))</f>
        <v/>
      </c>
      <c r="AP30" s="37">
        <f>IF($H30="","",IF(AND(AP$3&lt;&gt;"",$H30&lt;=AP$3,$J30&gt;=AP$3),"■",""))</f>
        <v/>
      </c>
      <c r="AQ30" s="37">
        <f>IF($H30="","",IF(AND(AQ$3&lt;&gt;"",$H30&lt;=AQ$3,$J30&gt;=AQ$3),"■",""))</f>
        <v/>
      </c>
      <c r="AR30" s="37">
        <f>IF($H30="","",IF(AND(AR$3&lt;&gt;"",$H30&lt;=AR$3,$J30&gt;=AR$3),"■",""))</f>
        <v/>
      </c>
      <c r="AS30" s="37">
        <f>IF($H30="","",IF(AND(AS$3&lt;&gt;"",$H30&lt;=AS$3,$J30&gt;=AS$3),"■",""))</f>
        <v/>
      </c>
      <c r="AT30" s="37">
        <f>IF($H30="","",IF(AND(AT$3&lt;&gt;"",$H30&lt;=AT$3,$J30&gt;=AT$3),"■",""))</f>
        <v/>
      </c>
      <c r="AU30" s="37">
        <f>IF($H30="","",IF(AND(AU$3&lt;&gt;"",$H30&lt;=AU$3,$J30&gt;=AU$3),"■",""))</f>
        <v/>
      </c>
      <c r="AV30" s="37">
        <f>IF($H30="","",IF(AND(AV$3&lt;&gt;"",$H30&lt;=AV$3,$J30&gt;=AV$3),"■",""))</f>
        <v/>
      </c>
      <c r="AW30" s="37">
        <f>IF($H30="","",IF(AND(AW$3&lt;&gt;"",$H30&lt;=AW$3,$J30&gt;=AW$3),"■",""))</f>
        <v/>
      </c>
    </row>
    <row r="31">
      <c r="A31" s="27" t="n"/>
      <c r="B31" s="27" t="n"/>
      <c r="C31" s="28" t="n"/>
      <c r="D31" s="19" t="n"/>
      <c r="E31" s="28" t="n"/>
      <c r="F31" s="19" t="n"/>
      <c r="G31" s="29" t="n"/>
      <c r="H31" s="30" t="n"/>
      <c r="I31" s="17">
        <f>IFERROR(INDEX('④설정'!$E$7:$E$16,MATCH(C31,'④설정'!$D$7:$D$16,0)),"")</f>
        <v/>
      </c>
      <c r="J31" s="31">
        <f>IF(OR($H31="",$I31=""),"",WORKDAY($H31,$I31-1))</f>
        <v/>
      </c>
      <c r="K31" s="32">
        <f>IF($J31="","",IF($F31="완료","완료",$J31-'④설정'!$B$1))</f>
        <v/>
      </c>
      <c r="L31" s="33">
        <f>IF($J31="","",IF($F31="완료","✅완료",IF($J31&lt;'④설정'!$B$1,"🔴지연",IF($J31&lt;='④설정'!$B$1+2,"🔴임박",IF($J31&lt;='④설정'!$B$1+5,"🟡주의","🟢여유")))))</f>
        <v/>
      </c>
      <c r="M31" s="34" t="n"/>
      <c r="N31" s="34" t="n"/>
      <c r="O31" s="34" t="n"/>
      <c r="P31" s="34" t="n"/>
      <c r="Q31" s="35">
        <f>IF(SUM(M31:P31)=0,"",SUM(M31:P31))</f>
        <v/>
      </c>
      <c r="R31" s="36">
        <f>IF(Q31="","",Q31/'④설정'!$B$3)</f>
        <v/>
      </c>
      <c r="S31" s="37">
        <f>IF($H31="","",IF(AND(S$3&lt;&gt;"",$H31&lt;=S$3,$J31&gt;=S$3),"■",""))</f>
        <v/>
      </c>
      <c r="T31" s="37">
        <f>IF($H31="","",IF(AND(T$3&lt;&gt;"",$H31&lt;=T$3,$J31&gt;=T$3),"■",""))</f>
        <v/>
      </c>
      <c r="U31" s="37">
        <f>IF($H31="","",IF(AND(U$3&lt;&gt;"",$H31&lt;=U$3,$J31&gt;=U$3),"■",""))</f>
        <v/>
      </c>
      <c r="V31" s="37">
        <f>IF($H31="","",IF(AND(V$3&lt;&gt;"",$H31&lt;=V$3,$J31&gt;=V$3),"■",""))</f>
        <v/>
      </c>
      <c r="W31" s="37">
        <f>IF($H31="","",IF(AND(W$3&lt;&gt;"",$H31&lt;=W$3,$J31&gt;=W$3),"■",""))</f>
        <v/>
      </c>
      <c r="X31" s="37">
        <f>IF($H31="","",IF(AND(X$3&lt;&gt;"",$H31&lt;=X$3,$J31&gt;=X$3),"■",""))</f>
        <v/>
      </c>
      <c r="Y31" s="37">
        <f>IF($H31="","",IF(AND(Y$3&lt;&gt;"",$H31&lt;=Y$3,$J31&gt;=Y$3),"■",""))</f>
        <v/>
      </c>
      <c r="Z31" s="37">
        <f>IF($H31="","",IF(AND(Z$3&lt;&gt;"",$H31&lt;=Z$3,$J31&gt;=Z$3),"■",""))</f>
        <v/>
      </c>
      <c r="AA31" s="37">
        <f>IF($H31="","",IF(AND(AA$3&lt;&gt;"",$H31&lt;=AA$3,$J31&gt;=AA$3),"■",""))</f>
        <v/>
      </c>
      <c r="AB31" s="37">
        <f>IF($H31="","",IF(AND(AB$3&lt;&gt;"",$H31&lt;=AB$3,$J31&gt;=AB$3),"■",""))</f>
        <v/>
      </c>
      <c r="AC31" s="37">
        <f>IF($H31="","",IF(AND(AC$3&lt;&gt;"",$H31&lt;=AC$3,$J31&gt;=AC$3),"■",""))</f>
        <v/>
      </c>
      <c r="AD31" s="37">
        <f>IF($H31="","",IF(AND(AD$3&lt;&gt;"",$H31&lt;=AD$3,$J31&gt;=AD$3),"■",""))</f>
        <v/>
      </c>
      <c r="AE31" s="37">
        <f>IF($H31="","",IF(AND(AE$3&lt;&gt;"",$H31&lt;=AE$3,$J31&gt;=AE$3),"■",""))</f>
        <v/>
      </c>
      <c r="AF31" s="37">
        <f>IF($H31="","",IF(AND(AF$3&lt;&gt;"",$H31&lt;=AF$3,$J31&gt;=AF$3),"■",""))</f>
        <v/>
      </c>
      <c r="AG31" s="37">
        <f>IF($H31="","",IF(AND(AG$3&lt;&gt;"",$H31&lt;=AG$3,$J31&gt;=AG$3),"■",""))</f>
        <v/>
      </c>
      <c r="AH31" s="37">
        <f>IF($H31="","",IF(AND(AH$3&lt;&gt;"",$H31&lt;=AH$3,$J31&gt;=AH$3),"■",""))</f>
        <v/>
      </c>
      <c r="AI31" s="37">
        <f>IF($H31="","",IF(AND(AI$3&lt;&gt;"",$H31&lt;=AI$3,$J31&gt;=AI$3),"■",""))</f>
        <v/>
      </c>
      <c r="AJ31" s="37">
        <f>IF($H31="","",IF(AND(AJ$3&lt;&gt;"",$H31&lt;=AJ$3,$J31&gt;=AJ$3),"■",""))</f>
        <v/>
      </c>
      <c r="AK31" s="37">
        <f>IF($H31="","",IF(AND(AK$3&lt;&gt;"",$H31&lt;=AK$3,$J31&gt;=AK$3),"■",""))</f>
        <v/>
      </c>
      <c r="AL31" s="37">
        <f>IF($H31="","",IF(AND(AL$3&lt;&gt;"",$H31&lt;=AL$3,$J31&gt;=AL$3),"■",""))</f>
        <v/>
      </c>
      <c r="AM31" s="37">
        <f>IF($H31="","",IF(AND(AM$3&lt;&gt;"",$H31&lt;=AM$3,$J31&gt;=AM$3),"■",""))</f>
        <v/>
      </c>
      <c r="AN31" s="37">
        <f>IF($H31="","",IF(AND(AN$3&lt;&gt;"",$H31&lt;=AN$3,$J31&gt;=AN$3),"■",""))</f>
        <v/>
      </c>
      <c r="AO31" s="37">
        <f>IF($H31="","",IF(AND(AO$3&lt;&gt;"",$H31&lt;=AO$3,$J31&gt;=AO$3),"■",""))</f>
        <v/>
      </c>
      <c r="AP31" s="37">
        <f>IF($H31="","",IF(AND(AP$3&lt;&gt;"",$H31&lt;=AP$3,$J31&gt;=AP$3),"■",""))</f>
        <v/>
      </c>
      <c r="AQ31" s="37">
        <f>IF($H31="","",IF(AND(AQ$3&lt;&gt;"",$H31&lt;=AQ$3,$J31&gt;=AQ$3),"■",""))</f>
        <v/>
      </c>
      <c r="AR31" s="37">
        <f>IF($H31="","",IF(AND(AR$3&lt;&gt;"",$H31&lt;=AR$3,$J31&gt;=AR$3),"■",""))</f>
        <v/>
      </c>
      <c r="AS31" s="37">
        <f>IF($H31="","",IF(AND(AS$3&lt;&gt;"",$H31&lt;=AS$3,$J31&gt;=AS$3),"■",""))</f>
        <v/>
      </c>
      <c r="AT31" s="37">
        <f>IF($H31="","",IF(AND(AT$3&lt;&gt;"",$H31&lt;=AT$3,$J31&gt;=AT$3),"■",""))</f>
        <v/>
      </c>
      <c r="AU31" s="37">
        <f>IF($H31="","",IF(AND(AU$3&lt;&gt;"",$H31&lt;=AU$3,$J31&gt;=AU$3),"■",""))</f>
        <v/>
      </c>
      <c r="AV31" s="37">
        <f>IF($H31="","",IF(AND(AV$3&lt;&gt;"",$H31&lt;=AV$3,$J31&gt;=AV$3),"■",""))</f>
        <v/>
      </c>
      <c r="AW31" s="37">
        <f>IF($H31="","",IF(AND(AW$3&lt;&gt;"",$H31&lt;=AW$3,$J31&gt;=AW$3),"■",""))</f>
        <v/>
      </c>
    </row>
    <row r="32">
      <c r="A32" s="27" t="n"/>
      <c r="B32" s="27" t="n"/>
      <c r="C32" s="28" t="n"/>
      <c r="D32" s="19" t="n"/>
      <c r="E32" s="28" t="n"/>
      <c r="F32" s="19" t="n"/>
      <c r="G32" s="29" t="n"/>
      <c r="H32" s="30" t="n"/>
      <c r="I32" s="17">
        <f>IFERROR(INDEX('④설정'!$E$7:$E$16,MATCH(C32,'④설정'!$D$7:$D$16,0)),"")</f>
        <v/>
      </c>
      <c r="J32" s="31">
        <f>IF(OR($H32="",$I32=""),"",WORKDAY($H32,$I32-1))</f>
        <v/>
      </c>
      <c r="K32" s="32">
        <f>IF($J32="","",IF($F32="완료","완료",$J32-'④설정'!$B$1))</f>
        <v/>
      </c>
      <c r="L32" s="33">
        <f>IF($J32="","",IF($F32="완료","✅완료",IF($J32&lt;'④설정'!$B$1,"🔴지연",IF($J32&lt;='④설정'!$B$1+2,"🔴임박",IF($J32&lt;='④설정'!$B$1+5,"🟡주의","🟢여유")))))</f>
        <v/>
      </c>
      <c r="M32" s="34" t="n"/>
      <c r="N32" s="34" t="n"/>
      <c r="O32" s="34" t="n"/>
      <c r="P32" s="34" t="n"/>
      <c r="Q32" s="35">
        <f>IF(SUM(M32:P32)=0,"",SUM(M32:P32))</f>
        <v/>
      </c>
      <c r="R32" s="36">
        <f>IF(Q32="","",Q32/'④설정'!$B$3)</f>
        <v/>
      </c>
      <c r="S32" s="37">
        <f>IF($H32="","",IF(AND(S$3&lt;&gt;"",$H32&lt;=S$3,$J32&gt;=S$3),"■",""))</f>
        <v/>
      </c>
      <c r="T32" s="37">
        <f>IF($H32="","",IF(AND(T$3&lt;&gt;"",$H32&lt;=T$3,$J32&gt;=T$3),"■",""))</f>
        <v/>
      </c>
      <c r="U32" s="37">
        <f>IF($H32="","",IF(AND(U$3&lt;&gt;"",$H32&lt;=U$3,$J32&gt;=U$3),"■",""))</f>
        <v/>
      </c>
      <c r="V32" s="37">
        <f>IF($H32="","",IF(AND(V$3&lt;&gt;"",$H32&lt;=V$3,$J32&gt;=V$3),"■",""))</f>
        <v/>
      </c>
      <c r="W32" s="37">
        <f>IF($H32="","",IF(AND(W$3&lt;&gt;"",$H32&lt;=W$3,$J32&gt;=W$3),"■",""))</f>
        <v/>
      </c>
      <c r="X32" s="37">
        <f>IF($H32="","",IF(AND(X$3&lt;&gt;"",$H32&lt;=X$3,$J32&gt;=X$3),"■",""))</f>
        <v/>
      </c>
      <c r="Y32" s="37">
        <f>IF($H32="","",IF(AND(Y$3&lt;&gt;"",$H32&lt;=Y$3,$J32&gt;=Y$3),"■",""))</f>
        <v/>
      </c>
      <c r="Z32" s="37">
        <f>IF($H32="","",IF(AND(Z$3&lt;&gt;"",$H32&lt;=Z$3,$J32&gt;=Z$3),"■",""))</f>
        <v/>
      </c>
      <c r="AA32" s="37">
        <f>IF($H32="","",IF(AND(AA$3&lt;&gt;"",$H32&lt;=AA$3,$J32&gt;=AA$3),"■",""))</f>
        <v/>
      </c>
      <c r="AB32" s="37">
        <f>IF($H32="","",IF(AND(AB$3&lt;&gt;"",$H32&lt;=AB$3,$J32&gt;=AB$3),"■",""))</f>
        <v/>
      </c>
      <c r="AC32" s="37">
        <f>IF($H32="","",IF(AND(AC$3&lt;&gt;"",$H32&lt;=AC$3,$J32&gt;=AC$3),"■",""))</f>
        <v/>
      </c>
      <c r="AD32" s="37">
        <f>IF($H32="","",IF(AND(AD$3&lt;&gt;"",$H32&lt;=AD$3,$J32&gt;=AD$3),"■",""))</f>
        <v/>
      </c>
      <c r="AE32" s="37">
        <f>IF($H32="","",IF(AND(AE$3&lt;&gt;"",$H32&lt;=AE$3,$J32&gt;=AE$3),"■",""))</f>
        <v/>
      </c>
      <c r="AF32" s="37">
        <f>IF($H32="","",IF(AND(AF$3&lt;&gt;"",$H32&lt;=AF$3,$J32&gt;=AF$3),"■",""))</f>
        <v/>
      </c>
      <c r="AG32" s="37">
        <f>IF($H32="","",IF(AND(AG$3&lt;&gt;"",$H32&lt;=AG$3,$J32&gt;=AG$3),"■",""))</f>
        <v/>
      </c>
      <c r="AH32" s="37">
        <f>IF($H32="","",IF(AND(AH$3&lt;&gt;"",$H32&lt;=AH$3,$J32&gt;=AH$3),"■",""))</f>
        <v/>
      </c>
      <c r="AI32" s="37">
        <f>IF($H32="","",IF(AND(AI$3&lt;&gt;"",$H32&lt;=AI$3,$J32&gt;=AI$3),"■",""))</f>
        <v/>
      </c>
      <c r="AJ32" s="37">
        <f>IF($H32="","",IF(AND(AJ$3&lt;&gt;"",$H32&lt;=AJ$3,$J32&gt;=AJ$3),"■",""))</f>
        <v/>
      </c>
      <c r="AK32" s="37">
        <f>IF($H32="","",IF(AND(AK$3&lt;&gt;"",$H32&lt;=AK$3,$J32&gt;=AK$3),"■",""))</f>
        <v/>
      </c>
      <c r="AL32" s="37">
        <f>IF($H32="","",IF(AND(AL$3&lt;&gt;"",$H32&lt;=AL$3,$J32&gt;=AL$3),"■",""))</f>
        <v/>
      </c>
      <c r="AM32" s="37">
        <f>IF($H32="","",IF(AND(AM$3&lt;&gt;"",$H32&lt;=AM$3,$J32&gt;=AM$3),"■",""))</f>
        <v/>
      </c>
      <c r="AN32" s="37">
        <f>IF($H32="","",IF(AND(AN$3&lt;&gt;"",$H32&lt;=AN$3,$J32&gt;=AN$3),"■",""))</f>
        <v/>
      </c>
      <c r="AO32" s="37">
        <f>IF($H32="","",IF(AND(AO$3&lt;&gt;"",$H32&lt;=AO$3,$J32&gt;=AO$3),"■",""))</f>
        <v/>
      </c>
      <c r="AP32" s="37">
        <f>IF($H32="","",IF(AND(AP$3&lt;&gt;"",$H32&lt;=AP$3,$J32&gt;=AP$3),"■",""))</f>
        <v/>
      </c>
      <c r="AQ32" s="37">
        <f>IF($H32="","",IF(AND(AQ$3&lt;&gt;"",$H32&lt;=AQ$3,$J32&gt;=AQ$3),"■",""))</f>
        <v/>
      </c>
      <c r="AR32" s="37">
        <f>IF($H32="","",IF(AND(AR$3&lt;&gt;"",$H32&lt;=AR$3,$J32&gt;=AR$3),"■",""))</f>
        <v/>
      </c>
      <c r="AS32" s="37">
        <f>IF($H32="","",IF(AND(AS$3&lt;&gt;"",$H32&lt;=AS$3,$J32&gt;=AS$3),"■",""))</f>
        <v/>
      </c>
      <c r="AT32" s="37">
        <f>IF($H32="","",IF(AND(AT$3&lt;&gt;"",$H32&lt;=AT$3,$J32&gt;=AT$3),"■",""))</f>
        <v/>
      </c>
      <c r="AU32" s="37">
        <f>IF($H32="","",IF(AND(AU$3&lt;&gt;"",$H32&lt;=AU$3,$J32&gt;=AU$3),"■",""))</f>
        <v/>
      </c>
      <c r="AV32" s="37">
        <f>IF($H32="","",IF(AND(AV$3&lt;&gt;"",$H32&lt;=AV$3,$J32&gt;=AV$3),"■",""))</f>
        <v/>
      </c>
      <c r="AW32" s="37">
        <f>IF($H32="","",IF(AND(AW$3&lt;&gt;"",$H32&lt;=AW$3,$J32&gt;=AW$3),"■",""))</f>
        <v/>
      </c>
    </row>
    <row r="33">
      <c r="A33" s="27" t="n"/>
      <c r="B33" s="27" t="n"/>
      <c r="C33" s="28" t="n"/>
      <c r="D33" s="19" t="n"/>
      <c r="E33" s="28" t="n"/>
      <c r="F33" s="19" t="n"/>
      <c r="G33" s="29" t="n"/>
      <c r="H33" s="30" t="n"/>
      <c r="I33" s="17">
        <f>IFERROR(INDEX('④설정'!$E$7:$E$16,MATCH(C33,'④설정'!$D$7:$D$16,0)),"")</f>
        <v/>
      </c>
      <c r="J33" s="31">
        <f>IF(OR($H33="",$I33=""),"",WORKDAY($H33,$I33-1))</f>
        <v/>
      </c>
      <c r="K33" s="32">
        <f>IF($J33="","",IF($F33="완료","완료",$J33-'④설정'!$B$1))</f>
        <v/>
      </c>
      <c r="L33" s="33">
        <f>IF($J33="","",IF($F33="완료","✅완료",IF($J33&lt;'④설정'!$B$1,"🔴지연",IF($J33&lt;='④설정'!$B$1+2,"🔴임박",IF($J33&lt;='④설정'!$B$1+5,"🟡주의","🟢여유")))))</f>
        <v/>
      </c>
      <c r="M33" s="34" t="n"/>
      <c r="N33" s="34" t="n"/>
      <c r="O33" s="34" t="n"/>
      <c r="P33" s="34" t="n"/>
      <c r="Q33" s="35">
        <f>IF(SUM(M33:P33)=0,"",SUM(M33:P33))</f>
        <v/>
      </c>
      <c r="R33" s="36">
        <f>IF(Q33="","",Q33/'④설정'!$B$3)</f>
        <v/>
      </c>
      <c r="S33" s="37">
        <f>IF($H33="","",IF(AND(S$3&lt;&gt;"",$H33&lt;=S$3,$J33&gt;=S$3),"■",""))</f>
        <v/>
      </c>
      <c r="T33" s="37">
        <f>IF($H33="","",IF(AND(T$3&lt;&gt;"",$H33&lt;=T$3,$J33&gt;=T$3),"■",""))</f>
        <v/>
      </c>
      <c r="U33" s="37">
        <f>IF($H33="","",IF(AND(U$3&lt;&gt;"",$H33&lt;=U$3,$J33&gt;=U$3),"■",""))</f>
        <v/>
      </c>
      <c r="V33" s="37">
        <f>IF($H33="","",IF(AND(V$3&lt;&gt;"",$H33&lt;=V$3,$J33&gt;=V$3),"■",""))</f>
        <v/>
      </c>
      <c r="W33" s="37">
        <f>IF($H33="","",IF(AND(W$3&lt;&gt;"",$H33&lt;=W$3,$J33&gt;=W$3),"■",""))</f>
        <v/>
      </c>
      <c r="X33" s="37">
        <f>IF($H33="","",IF(AND(X$3&lt;&gt;"",$H33&lt;=X$3,$J33&gt;=X$3),"■",""))</f>
        <v/>
      </c>
      <c r="Y33" s="37">
        <f>IF($H33="","",IF(AND(Y$3&lt;&gt;"",$H33&lt;=Y$3,$J33&gt;=Y$3),"■",""))</f>
        <v/>
      </c>
      <c r="Z33" s="37">
        <f>IF($H33="","",IF(AND(Z$3&lt;&gt;"",$H33&lt;=Z$3,$J33&gt;=Z$3),"■",""))</f>
        <v/>
      </c>
      <c r="AA33" s="37">
        <f>IF($H33="","",IF(AND(AA$3&lt;&gt;"",$H33&lt;=AA$3,$J33&gt;=AA$3),"■",""))</f>
        <v/>
      </c>
      <c r="AB33" s="37">
        <f>IF($H33="","",IF(AND(AB$3&lt;&gt;"",$H33&lt;=AB$3,$J33&gt;=AB$3),"■",""))</f>
        <v/>
      </c>
      <c r="AC33" s="37">
        <f>IF($H33="","",IF(AND(AC$3&lt;&gt;"",$H33&lt;=AC$3,$J33&gt;=AC$3),"■",""))</f>
        <v/>
      </c>
      <c r="AD33" s="37">
        <f>IF($H33="","",IF(AND(AD$3&lt;&gt;"",$H33&lt;=AD$3,$J33&gt;=AD$3),"■",""))</f>
        <v/>
      </c>
      <c r="AE33" s="37">
        <f>IF($H33="","",IF(AND(AE$3&lt;&gt;"",$H33&lt;=AE$3,$J33&gt;=AE$3),"■",""))</f>
        <v/>
      </c>
      <c r="AF33" s="37">
        <f>IF($H33="","",IF(AND(AF$3&lt;&gt;"",$H33&lt;=AF$3,$J33&gt;=AF$3),"■",""))</f>
        <v/>
      </c>
      <c r="AG33" s="37">
        <f>IF($H33="","",IF(AND(AG$3&lt;&gt;"",$H33&lt;=AG$3,$J33&gt;=AG$3),"■",""))</f>
        <v/>
      </c>
      <c r="AH33" s="37">
        <f>IF($H33="","",IF(AND(AH$3&lt;&gt;"",$H33&lt;=AH$3,$J33&gt;=AH$3),"■",""))</f>
        <v/>
      </c>
      <c r="AI33" s="37">
        <f>IF($H33="","",IF(AND(AI$3&lt;&gt;"",$H33&lt;=AI$3,$J33&gt;=AI$3),"■",""))</f>
        <v/>
      </c>
      <c r="AJ33" s="37">
        <f>IF($H33="","",IF(AND(AJ$3&lt;&gt;"",$H33&lt;=AJ$3,$J33&gt;=AJ$3),"■",""))</f>
        <v/>
      </c>
      <c r="AK33" s="37">
        <f>IF($H33="","",IF(AND(AK$3&lt;&gt;"",$H33&lt;=AK$3,$J33&gt;=AK$3),"■",""))</f>
        <v/>
      </c>
      <c r="AL33" s="37">
        <f>IF($H33="","",IF(AND(AL$3&lt;&gt;"",$H33&lt;=AL$3,$J33&gt;=AL$3),"■",""))</f>
        <v/>
      </c>
      <c r="AM33" s="37">
        <f>IF($H33="","",IF(AND(AM$3&lt;&gt;"",$H33&lt;=AM$3,$J33&gt;=AM$3),"■",""))</f>
        <v/>
      </c>
      <c r="AN33" s="37">
        <f>IF($H33="","",IF(AND(AN$3&lt;&gt;"",$H33&lt;=AN$3,$J33&gt;=AN$3),"■",""))</f>
        <v/>
      </c>
      <c r="AO33" s="37">
        <f>IF($H33="","",IF(AND(AO$3&lt;&gt;"",$H33&lt;=AO$3,$J33&gt;=AO$3),"■",""))</f>
        <v/>
      </c>
      <c r="AP33" s="37">
        <f>IF($H33="","",IF(AND(AP$3&lt;&gt;"",$H33&lt;=AP$3,$J33&gt;=AP$3),"■",""))</f>
        <v/>
      </c>
      <c r="AQ33" s="37">
        <f>IF($H33="","",IF(AND(AQ$3&lt;&gt;"",$H33&lt;=AQ$3,$J33&gt;=AQ$3),"■",""))</f>
        <v/>
      </c>
      <c r="AR33" s="37">
        <f>IF($H33="","",IF(AND(AR$3&lt;&gt;"",$H33&lt;=AR$3,$J33&gt;=AR$3),"■",""))</f>
        <v/>
      </c>
      <c r="AS33" s="37">
        <f>IF($H33="","",IF(AND(AS$3&lt;&gt;"",$H33&lt;=AS$3,$J33&gt;=AS$3),"■",""))</f>
        <v/>
      </c>
      <c r="AT33" s="37">
        <f>IF($H33="","",IF(AND(AT$3&lt;&gt;"",$H33&lt;=AT$3,$J33&gt;=AT$3),"■",""))</f>
        <v/>
      </c>
      <c r="AU33" s="37">
        <f>IF($H33="","",IF(AND(AU$3&lt;&gt;"",$H33&lt;=AU$3,$J33&gt;=AU$3),"■",""))</f>
        <v/>
      </c>
      <c r="AV33" s="37">
        <f>IF($H33="","",IF(AND(AV$3&lt;&gt;"",$H33&lt;=AV$3,$J33&gt;=AV$3),"■",""))</f>
        <v/>
      </c>
      <c r="AW33" s="37">
        <f>IF($H33="","",IF(AND(AW$3&lt;&gt;"",$H33&lt;=AW$3,$J33&gt;=AW$3),"■",""))</f>
        <v/>
      </c>
    </row>
    <row r="34">
      <c r="A34" s="27" t="n"/>
      <c r="B34" s="27" t="n"/>
      <c r="C34" s="28" t="n"/>
      <c r="D34" s="19" t="n"/>
      <c r="E34" s="28" t="n"/>
      <c r="F34" s="19" t="n"/>
      <c r="G34" s="29" t="n"/>
      <c r="H34" s="30" t="n"/>
      <c r="I34" s="17">
        <f>IFERROR(INDEX('④설정'!$E$7:$E$16,MATCH(C34,'④설정'!$D$7:$D$16,0)),"")</f>
        <v/>
      </c>
      <c r="J34" s="31">
        <f>IF(OR($H34="",$I34=""),"",WORKDAY($H34,$I34-1))</f>
        <v/>
      </c>
      <c r="K34" s="32">
        <f>IF($J34="","",IF($F34="완료","완료",$J34-'④설정'!$B$1))</f>
        <v/>
      </c>
      <c r="L34" s="33">
        <f>IF($J34="","",IF($F34="완료","✅완료",IF($J34&lt;'④설정'!$B$1,"🔴지연",IF($J34&lt;='④설정'!$B$1+2,"🔴임박",IF($J34&lt;='④설정'!$B$1+5,"🟡주의","🟢여유")))))</f>
        <v/>
      </c>
      <c r="M34" s="34" t="n"/>
      <c r="N34" s="34" t="n"/>
      <c r="O34" s="34" t="n"/>
      <c r="P34" s="34" t="n"/>
      <c r="Q34" s="35">
        <f>IF(SUM(M34:P34)=0,"",SUM(M34:P34))</f>
        <v/>
      </c>
      <c r="R34" s="36">
        <f>IF(Q34="","",Q34/'④설정'!$B$3)</f>
        <v/>
      </c>
      <c r="S34" s="37">
        <f>IF($H34="","",IF(AND(S$3&lt;&gt;"",$H34&lt;=S$3,$J34&gt;=S$3),"■",""))</f>
        <v/>
      </c>
      <c r="T34" s="37">
        <f>IF($H34="","",IF(AND(T$3&lt;&gt;"",$H34&lt;=T$3,$J34&gt;=T$3),"■",""))</f>
        <v/>
      </c>
      <c r="U34" s="37">
        <f>IF($H34="","",IF(AND(U$3&lt;&gt;"",$H34&lt;=U$3,$J34&gt;=U$3),"■",""))</f>
        <v/>
      </c>
      <c r="V34" s="37">
        <f>IF($H34="","",IF(AND(V$3&lt;&gt;"",$H34&lt;=V$3,$J34&gt;=V$3),"■",""))</f>
        <v/>
      </c>
      <c r="W34" s="37">
        <f>IF($H34="","",IF(AND(W$3&lt;&gt;"",$H34&lt;=W$3,$J34&gt;=W$3),"■",""))</f>
        <v/>
      </c>
      <c r="X34" s="37">
        <f>IF($H34="","",IF(AND(X$3&lt;&gt;"",$H34&lt;=X$3,$J34&gt;=X$3),"■",""))</f>
        <v/>
      </c>
      <c r="Y34" s="37">
        <f>IF($H34="","",IF(AND(Y$3&lt;&gt;"",$H34&lt;=Y$3,$J34&gt;=Y$3),"■",""))</f>
        <v/>
      </c>
      <c r="Z34" s="37">
        <f>IF($H34="","",IF(AND(Z$3&lt;&gt;"",$H34&lt;=Z$3,$J34&gt;=Z$3),"■",""))</f>
        <v/>
      </c>
      <c r="AA34" s="37">
        <f>IF($H34="","",IF(AND(AA$3&lt;&gt;"",$H34&lt;=AA$3,$J34&gt;=AA$3),"■",""))</f>
        <v/>
      </c>
      <c r="AB34" s="37">
        <f>IF($H34="","",IF(AND(AB$3&lt;&gt;"",$H34&lt;=AB$3,$J34&gt;=AB$3),"■",""))</f>
        <v/>
      </c>
      <c r="AC34" s="37">
        <f>IF($H34="","",IF(AND(AC$3&lt;&gt;"",$H34&lt;=AC$3,$J34&gt;=AC$3),"■",""))</f>
        <v/>
      </c>
      <c r="AD34" s="37">
        <f>IF($H34="","",IF(AND(AD$3&lt;&gt;"",$H34&lt;=AD$3,$J34&gt;=AD$3),"■",""))</f>
        <v/>
      </c>
      <c r="AE34" s="37">
        <f>IF($H34="","",IF(AND(AE$3&lt;&gt;"",$H34&lt;=AE$3,$J34&gt;=AE$3),"■",""))</f>
        <v/>
      </c>
      <c r="AF34" s="37">
        <f>IF($H34="","",IF(AND(AF$3&lt;&gt;"",$H34&lt;=AF$3,$J34&gt;=AF$3),"■",""))</f>
        <v/>
      </c>
      <c r="AG34" s="37">
        <f>IF($H34="","",IF(AND(AG$3&lt;&gt;"",$H34&lt;=AG$3,$J34&gt;=AG$3),"■",""))</f>
        <v/>
      </c>
      <c r="AH34" s="37">
        <f>IF($H34="","",IF(AND(AH$3&lt;&gt;"",$H34&lt;=AH$3,$J34&gt;=AH$3),"■",""))</f>
        <v/>
      </c>
      <c r="AI34" s="37">
        <f>IF($H34="","",IF(AND(AI$3&lt;&gt;"",$H34&lt;=AI$3,$J34&gt;=AI$3),"■",""))</f>
        <v/>
      </c>
      <c r="AJ34" s="37">
        <f>IF($H34="","",IF(AND(AJ$3&lt;&gt;"",$H34&lt;=AJ$3,$J34&gt;=AJ$3),"■",""))</f>
        <v/>
      </c>
      <c r="AK34" s="37">
        <f>IF($H34="","",IF(AND(AK$3&lt;&gt;"",$H34&lt;=AK$3,$J34&gt;=AK$3),"■",""))</f>
        <v/>
      </c>
      <c r="AL34" s="37">
        <f>IF($H34="","",IF(AND(AL$3&lt;&gt;"",$H34&lt;=AL$3,$J34&gt;=AL$3),"■",""))</f>
        <v/>
      </c>
      <c r="AM34" s="37">
        <f>IF($H34="","",IF(AND(AM$3&lt;&gt;"",$H34&lt;=AM$3,$J34&gt;=AM$3),"■",""))</f>
        <v/>
      </c>
      <c r="AN34" s="37">
        <f>IF($H34="","",IF(AND(AN$3&lt;&gt;"",$H34&lt;=AN$3,$J34&gt;=AN$3),"■",""))</f>
        <v/>
      </c>
      <c r="AO34" s="37">
        <f>IF($H34="","",IF(AND(AO$3&lt;&gt;"",$H34&lt;=AO$3,$J34&gt;=AO$3),"■",""))</f>
        <v/>
      </c>
      <c r="AP34" s="37">
        <f>IF($H34="","",IF(AND(AP$3&lt;&gt;"",$H34&lt;=AP$3,$J34&gt;=AP$3),"■",""))</f>
        <v/>
      </c>
      <c r="AQ34" s="37">
        <f>IF($H34="","",IF(AND(AQ$3&lt;&gt;"",$H34&lt;=AQ$3,$J34&gt;=AQ$3),"■",""))</f>
        <v/>
      </c>
      <c r="AR34" s="37">
        <f>IF($H34="","",IF(AND(AR$3&lt;&gt;"",$H34&lt;=AR$3,$J34&gt;=AR$3),"■",""))</f>
        <v/>
      </c>
      <c r="AS34" s="37">
        <f>IF($H34="","",IF(AND(AS$3&lt;&gt;"",$H34&lt;=AS$3,$J34&gt;=AS$3),"■",""))</f>
        <v/>
      </c>
      <c r="AT34" s="37">
        <f>IF($H34="","",IF(AND(AT$3&lt;&gt;"",$H34&lt;=AT$3,$J34&gt;=AT$3),"■",""))</f>
        <v/>
      </c>
      <c r="AU34" s="37">
        <f>IF($H34="","",IF(AND(AU$3&lt;&gt;"",$H34&lt;=AU$3,$J34&gt;=AU$3),"■",""))</f>
        <v/>
      </c>
      <c r="AV34" s="37">
        <f>IF($H34="","",IF(AND(AV$3&lt;&gt;"",$H34&lt;=AV$3,$J34&gt;=AV$3),"■",""))</f>
        <v/>
      </c>
      <c r="AW34" s="37">
        <f>IF($H34="","",IF(AND(AW$3&lt;&gt;"",$H34&lt;=AW$3,$J34&gt;=AW$3),"■",""))</f>
        <v/>
      </c>
    </row>
    <row r="35">
      <c r="A35" s="27" t="n"/>
      <c r="B35" s="27" t="n"/>
      <c r="C35" s="28" t="n"/>
      <c r="D35" s="19" t="n"/>
      <c r="E35" s="28" t="n"/>
      <c r="F35" s="19" t="n"/>
      <c r="G35" s="29" t="n"/>
      <c r="H35" s="30" t="n"/>
      <c r="I35" s="17">
        <f>IFERROR(INDEX('④설정'!$E$7:$E$16,MATCH(C35,'④설정'!$D$7:$D$16,0)),"")</f>
        <v/>
      </c>
      <c r="J35" s="31">
        <f>IF(OR($H35="",$I35=""),"",WORKDAY($H35,$I35-1))</f>
        <v/>
      </c>
      <c r="K35" s="32">
        <f>IF($J35="","",IF($F35="완료","완료",$J35-'④설정'!$B$1))</f>
        <v/>
      </c>
      <c r="L35" s="33">
        <f>IF($J35="","",IF($F35="완료","✅완료",IF($J35&lt;'④설정'!$B$1,"🔴지연",IF($J35&lt;='④설정'!$B$1+2,"🔴임박",IF($J35&lt;='④설정'!$B$1+5,"🟡주의","🟢여유")))))</f>
        <v/>
      </c>
      <c r="M35" s="34" t="n"/>
      <c r="N35" s="34" t="n"/>
      <c r="O35" s="34" t="n"/>
      <c r="P35" s="34" t="n"/>
      <c r="Q35" s="35">
        <f>IF(SUM(M35:P35)=0,"",SUM(M35:P35))</f>
        <v/>
      </c>
      <c r="R35" s="36">
        <f>IF(Q35="","",Q35/'④설정'!$B$3)</f>
        <v/>
      </c>
      <c r="S35" s="37">
        <f>IF($H35="","",IF(AND(S$3&lt;&gt;"",$H35&lt;=S$3,$J35&gt;=S$3),"■",""))</f>
        <v/>
      </c>
      <c r="T35" s="37">
        <f>IF($H35="","",IF(AND(T$3&lt;&gt;"",$H35&lt;=T$3,$J35&gt;=T$3),"■",""))</f>
        <v/>
      </c>
      <c r="U35" s="37">
        <f>IF($H35="","",IF(AND(U$3&lt;&gt;"",$H35&lt;=U$3,$J35&gt;=U$3),"■",""))</f>
        <v/>
      </c>
      <c r="V35" s="37">
        <f>IF($H35="","",IF(AND(V$3&lt;&gt;"",$H35&lt;=V$3,$J35&gt;=V$3),"■",""))</f>
        <v/>
      </c>
      <c r="W35" s="37">
        <f>IF($H35="","",IF(AND(W$3&lt;&gt;"",$H35&lt;=W$3,$J35&gt;=W$3),"■",""))</f>
        <v/>
      </c>
      <c r="X35" s="37">
        <f>IF($H35="","",IF(AND(X$3&lt;&gt;"",$H35&lt;=X$3,$J35&gt;=X$3),"■",""))</f>
        <v/>
      </c>
      <c r="Y35" s="37">
        <f>IF($H35="","",IF(AND(Y$3&lt;&gt;"",$H35&lt;=Y$3,$J35&gt;=Y$3),"■",""))</f>
        <v/>
      </c>
      <c r="Z35" s="37">
        <f>IF($H35="","",IF(AND(Z$3&lt;&gt;"",$H35&lt;=Z$3,$J35&gt;=Z$3),"■",""))</f>
        <v/>
      </c>
      <c r="AA35" s="37">
        <f>IF($H35="","",IF(AND(AA$3&lt;&gt;"",$H35&lt;=AA$3,$J35&gt;=AA$3),"■",""))</f>
        <v/>
      </c>
      <c r="AB35" s="37">
        <f>IF($H35="","",IF(AND(AB$3&lt;&gt;"",$H35&lt;=AB$3,$J35&gt;=AB$3),"■",""))</f>
        <v/>
      </c>
      <c r="AC35" s="37">
        <f>IF($H35="","",IF(AND(AC$3&lt;&gt;"",$H35&lt;=AC$3,$J35&gt;=AC$3),"■",""))</f>
        <v/>
      </c>
      <c r="AD35" s="37">
        <f>IF($H35="","",IF(AND(AD$3&lt;&gt;"",$H35&lt;=AD$3,$J35&gt;=AD$3),"■",""))</f>
        <v/>
      </c>
      <c r="AE35" s="37">
        <f>IF($H35="","",IF(AND(AE$3&lt;&gt;"",$H35&lt;=AE$3,$J35&gt;=AE$3),"■",""))</f>
        <v/>
      </c>
      <c r="AF35" s="37">
        <f>IF($H35="","",IF(AND(AF$3&lt;&gt;"",$H35&lt;=AF$3,$J35&gt;=AF$3),"■",""))</f>
        <v/>
      </c>
      <c r="AG35" s="37">
        <f>IF($H35="","",IF(AND(AG$3&lt;&gt;"",$H35&lt;=AG$3,$J35&gt;=AG$3),"■",""))</f>
        <v/>
      </c>
      <c r="AH35" s="37">
        <f>IF($H35="","",IF(AND(AH$3&lt;&gt;"",$H35&lt;=AH$3,$J35&gt;=AH$3),"■",""))</f>
        <v/>
      </c>
      <c r="AI35" s="37">
        <f>IF($H35="","",IF(AND(AI$3&lt;&gt;"",$H35&lt;=AI$3,$J35&gt;=AI$3),"■",""))</f>
        <v/>
      </c>
      <c r="AJ35" s="37">
        <f>IF($H35="","",IF(AND(AJ$3&lt;&gt;"",$H35&lt;=AJ$3,$J35&gt;=AJ$3),"■",""))</f>
        <v/>
      </c>
      <c r="AK35" s="37">
        <f>IF($H35="","",IF(AND(AK$3&lt;&gt;"",$H35&lt;=AK$3,$J35&gt;=AK$3),"■",""))</f>
        <v/>
      </c>
      <c r="AL35" s="37">
        <f>IF($H35="","",IF(AND(AL$3&lt;&gt;"",$H35&lt;=AL$3,$J35&gt;=AL$3),"■",""))</f>
        <v/>
      </c>
      <c r="AM35" s="37">
        <f>IF($H35="","",IF(AND(AM$3&lt;&gt;"",$H35&lt;=AM$3,$J35&gt;=AM$3),"■",""))</f>
        <v/>
      </c>
      <c r="AN35" s="37">
        <f>IF($H35="","",IF(AND(AN$3&lt;&gt;"",$H35&lt;=AN$3,$J35&gt;=AN$3),"■",""))</f>
        <v/>
      </c>
      <c r="AO35" s="37">
        <f>IF($H35="","",IF(AND(AO$3&lt;&gt;"",$H35&lt;=AO$3,$J35&gt;=AO$3),"■",""))</f>
        <v/>
      </c>
      <c r="AP35" s="37">
        <f>IF($H35="","",IF(AND(AP$3&lt;&gt;"",$H35&lt;=AP$3,$J35&gt;=AP$3),"■",""))</f>
        <v/>
      </c>
      <c r="AQ35" s="37">
        <f>IF($H35="","",IF(AND(AQ$3&lt;&gt;"",$H35&lt;=AQ$3,$J35&gt;=AQ$3),"■",""))</f>
        <v/>
      </c>
      <c r="AR35" s="37">
        <f>IF($H35="","",IF(AND(AR$3&lt;&gt;"",$H35&lt;=AR$3,$J35&gt;=AR$3),"■",""))</f>
        <v/>
      </c>
      <c r="AS35" s="37">
        <f>IF($H35="","",IF(AND(AS$3&lt;&gt;"",$H35&lt;=AS$3,$J35&gt;=AS$3),"■",""))</f>
        <v/>
      </c>
      <c r="AT35" s="37">
        <f>IF($H35="","",IF(AND(AT$3&lt;&gt;"",$H35&lt;=AT$3,$J35&gt;=AT$3),"■",""))</f>
        <v/>
      </c>
      <c r="AU35" s="37">
        <f>IF($H35="","",IF(AND(AU$3&lt;&gt;"",$H35&lt;=AU$3,$J35&gt;=AU$3),"■",""))</f>
        <v/>
      </c>
      <c r="AV35" s="37">
        <f>IF($H35="","",IF(AND(AV$3&lt;&gt;"",$H35&lt;=AV$3,$J35&gt;=AV$3),"■",""))</f>
        <v/>
      </c>
      <c r="AW35" s="37">
        <f>IF($H35="","",IF(AND(AW$3&lt;&gt;"",$H35&lt;=AW$3,$J35&gt;=AW$3),"■",""))</f>
        <v/>
      </c>
    </row>
    <row r="36">
      <c r="A36" s="27" t="n"/>
      <c r="B36" s="27" t="n"/>
      <c r="C36" s="28" t="n"/>
      <c r="D36" s="19" t="n"/>
      <c r="E36" s="28" t="n"/>
      <c r="F36" s="19" t="n"/>
      <c r="G36" s="29" t="n"/>
      <c r="H36" s="30" t="n"/>
      <c r="I36" s="17">
        <f>IFERROR(INDEX('④설정'!$E$7:$E$16,MATCH(C36,'④설정'!$D$7:$D$16,0)),"")</f>
        <v/>
      </c>
      <c r="J36" s="31">
        <f>IF(OR($H36="",$I36=""),"",WORKDAY($H36,$I36-1))</f>
        <v/>
      </c>
      <c r="K36" s="32">
        <f>IF($J36="","",IF($F36="완료","완료",$J36-'④설정'!$B$1))</f>
        <v/>
      </c>
      <c r="L36" s="33">
        <f>IF($J36="","",IF($F36="완료","✅완료",IF($J36&lt;'④설정'!$B$1,"🔴지연",IF($J36&lt;='④설정'!$B$1+2,"🔴임박",IF($J36&lt;='④설정'!$B$1+5,"🟡주의","🟢여유")))))</f>
        <v/>
      </c>
      <c r="M36" s="34" t="n"/>
      <c r="N36" s="34" t="n"/>
      <c r="O36" s="34" t="n"/>
      <c r="P36" s="34" t="n"/>
      <c r="Q36" s="35">
        <f>IF(SUM(M36:P36)=0,"",SUM(M36:P36))</f>
        <v/>
      </c>
      <c r="R36" s="36">
        <f>IF(Q36="","",Q36/'④설정'!$B$3)</f>
        <v/>
      </c>
      <c r="S36" s="37">
        <f>IF($H36="","",IF(AND(S$3&lt;&gt;"",$H36&lt;=S$3,$J36&gt;=S$3),"■",""))</f>
        <v/>
      </c>
      <c r="T36" s="37">
        <f>IF($H36="","",IF(AND(T$3&lt;&gt;"",$H36&lt;=T$3,$J36&gt;=T$3),"■",""))</f>
        <v/>
      </c>
      <c r="U36" s="37">
        <f>IF($H36="","",IF(AND(U$3&lt;&gt;"",$H36&lt;=U$3,$J36&gt;=U$3),"■",""))</f>
        <v/>
      </c>
      <c r="V36" s="37">
        <f>IF($H36="","",IF(AND(V$3&lt;&gt;"",$H36&lt;=V$3,$J36&gt;=V$3),"■",""))</f>
        <v/>
      </c>
      <c r="W36" s="37">
        <f>IF($H36="","",IF(AND(W$3&lt;&gt;"",$H36&lt;=W$3,$J36&gt;=W$3),"■",""))</f>
        <v/>
      </c>
      <c r="X36" s="37">
        <f>IF($H36="","",IF(AND(X$3&lt;&gt;"",$H36&lt;=X$3,$J36&gt;=X$3),"■",""))</f>
        <v/>
      </c>
      <c r="Y36" s="37">
        <f>IF($H36="","",IF(AND(Y$3&lt;&gt;"",$H36&lt;=Y$3,$J36&gt;=Y$3),"■",""))</f>
        <v/>
      </c>
      <c r="Z36" s="37">
        <f>IF($H36="","",IF(AND(Z$3&lt;&gt;"",$H36&lt;=Z$3,$J36&gt;=Z$3),"■",""))</f>
        <v/>
      </c>
      <c r="AA36" s="37">
        <f>IF($H36="","",IF(AND(AA$3&lt;&gt;"",$H36&lt;=AA$3,$J36&gt;=AA$3),"■",""))</f>
        <v/>
      </c>
      <c r="AB36" s="37">
        <f>IF($H36="","",IF(AND(AB$3&lt;&gt;"",$H36&lt;=AB$3,$J36&gt;=AB$3),"■",""))</f>
        <v/>
      </c>
      <c r="AC36" s="37">
        <f>IF($H36="","",IF(AND(AC$3&lt;&gt;"",$H36&lt;=AC$3,$J36&gt;=AC$3),"■",""))</f>
        <v/>
      </c>
      <c r="AD36" s="37">
        <f>IF($H36="","",IF(AND(AD$3&lt;&gt;"",$H36&lt;=AD$3,$J36&gt;=AD$3),"■",""))</f>
        <v/>
      </c>
      <c r="AE36" s="37">
        <f>IF($H36="","",IF(AND(AE$3&lt;&gt;"",$H36&lt;=AE$3,$J36&gt;=AE$3),"■",""))</f>
        <v/>
      </c>
      <c r="AF36" s="37">
        <f>IF($H36="","",IF(AND(AF$3&lt;&gt;"",$H36&lt;=AF$3,$J36&gt;=AF$3),"■",""))</f>
        <v/>
      </c>
      <c r="AG36" s="37">
        <f>IF($H36="","",IF(AND(AG$3&lt;&gt;"",$H36&lt;=AG$3,$J36&gt;=AG$3),"■",""))</f>
        <v/>
      </c>
      <c r="AH36" s="37">
        <f>IF($H36="","",IF(AND(AH$3&lt;&gt;"",$H36&lt;=AH$3,$J36&gt;=AH$3),"■",""))</f>
        <v/>
      </c>
      <c r="AI36" s="37">
        <f>IF($H36="","",IF(AND(AI$3&lt;&gt;"",$H36&lt;=AI$3,$J36&gt;=AI$3),"■",""))</f>
        <v/>
      </c>
      <c r="AJ36" s="37">
        <f>IF($H36="","",IF(AND(AJ$3&lt;&gt;"",$H36&lt;=AJ$3,$J36&gt;=AJ$3),"■",""))</f>
        <v/>
      </c>
      <c r="AK36" s="37">
        <f>IF($H36="","",IF(AND(AK$3&lt;&gt;"",$H36&lt;=AK$3,$J36&gt;=AK$3),"■",""))</f>
        <v/>
      </c>
      <c r="AL36" s="37">
        <f>IF($H36="","",IF(AND(AL$3&lt;&gt;"",$H36&lt;=AL$3,$J36&gt;=AL$3),"■",""))</f>
        <v/>
      </c>
      <c r="AM36" s="37">
        <f>IF($H36="","",IF(AND(AM$3&lt;&gt;"",$H36&lt;=AM$3,$J36&gt;=AM$3),"■",""))</f>
        <v/>
      </c>
      <c r="AN36" s="37">
        <f>IF($H36="","",IF(AND(AN$3&lt;&gt;"",$H36&lt;=AN$3,$J36&gt;=AN$3),"■",""))</f>
        <v/>
      </c>
      <c r="AO36" s="37">
        <f>IF($H36="","",IF(AND(AO$3&lt;&gt;"",$H36&lt;=AO$3,$J36&gt;=AO$3),"■",""))</f>
        <v/>
      </c>
      <c r="AP36" s="37">
        <f>IF($H36="","",IF(AND(AP$3&lt;&gt;"",$H36&lt;=AP$3,$J36&gt;=AP$3),"■",""))</f>
        <v/>
      </c>
      <c r="AQ36" s="37">
        <f>IF($H36="","",IF(AND(AQ$3&lt;&gt;"",$H36&lt;=AQ$3,$J36&gt;=AQ$3),"■",""))</f>
        <v/>
      </c>
      <c r="AR36" s="37">
        <f>IF($H36="","",IF(AND(AR$3&lt;&gt;"",$H36&lt;=AR$3,$J36&gt;=AR$3),"■",""))</f>
        <v/>
      </c>
      <c r="AS36" s="37">
        <f>IF($H36="","",IF(AND(AS$3&lt;&gt;"",$H36&lt;=AS$3,$J36&gt;=AS$3),"■",""))</f>
        <v/>
      </c>
      <c r="AT36" s="37">
        <f>IF($H36="","",IF(AND(AT$3&lt;&gt;"",$H36&lt;=AT$3,$J36&gt;=AT$3),"■",""))</f>
        <v/>
      </c>
      <c r="AU36" s="37">
        <f>IF($H36="","",IF(AND(AU$3&lt;&gt;"",$H36&lt;=AU$3,$J36&gt;=AU$3),"■",""))</f>
        <v/>
      </c>
      <c r="AV36" s="37">
        <f>IF($H36="","",IF(AND(AV$3&lt;&gt;"",$H36&lt;=AV$3,$J36&gt;=AV$3),"■",""))</f>
        <v/>
      </c>
      <c r="AW36" s="37">
        <f>IF($H36="","",IF(AND(AW$3&lt;&gt;"",$H36&lt;=AW$3,$J36&gt;=AW$3),"■",""))</f>
        <v/>
      </c>
    </row>
    <row r="37">
      <c r="A37" s="27" t="n"/>
      <c r="B37" s="27" t="n"/>
      <c r="C37" s="28" t="n"/>
      <c r="D37" s="19" t="n"/>
      <c r="E37" s="28" t="n"/>
      <c r="F37" s="19" t="n"/>
      <c r="G37" s="29" t="n"/>
      <c r="H37" s="30" t="n"/>
      <c r="I37" s="17">
        <f>IFERROR(INDEX('④설정'!$E$7:$E$16,MATCH(C37,'④설정'!$D$7:$D$16,0)),"")</f>
        <v/>
      </c>
      <c r="J37" s="31">
        <f>IF(OR($H37="",$I37=""),"",WORKDAY($H37,$I37-1))</f>
        <v/>
      </c>
      <c r="K37" s="32">
        <f>IF($J37="","",IF($F37="완료","완료",$J37-'④설정'!$B$1))</f>
        <v/>
      </c>
      <c r="L37" s="33">
        <f>IF($J37="","",IF($F37="완료","✅완료",IF($J37&lt;'④설정'!$B$1,"🔴지연",IF($J37&lt;='④설정'!$B$1+2,"🔴임박",IF($J37&lt;='④설정'!$B$1+5,"🟡주의","🟢여유")))))</f>
        <v/>
      </c>
      <c r="M37" s="34" t="n"/>
      <c r="N37" s="34" t="n"/>
      <c r="O37" s="34" t="n"/>
      <c r="P37" s="34" t="n"/>
      <c r="Q37" s="35">
        <f>IF(SUM(M37:P37)=0,"",SUM(M37:P37))</f>
        <v/>
      </c>
      <c r="R37" s="36">
        <f>IF(Q37="","",Q37/'④설정'!$B$3)</f>
        <v/>
      </c>
      <c r="S37" s="37">
        <f>IF($H37="","",IF(AND(S$3&lt;&gt;"",$H37&lt;=S$3,$J37&gt;=S$3),"■",""))</f>
        <v/>
      </c>
      <c r="T37" s="37">
        <f>IF($H37="","",IF(AND(T$3&lt;&gt;"",$H37&lt;=T$3,$J37&gt;=T$3),"■",""))</f>
        <v/>
      </c>
      <c r="U37" s="37">
        <f>IF($H37="","",IF(AND(U$3&lt;&gt;"",$H37&lt;=U$3,$J37&gt;=U$3),"■",""))</f>
        <v/>
      </c>
      <c r="V37" s="37">
        <f>IF($H37="","",IF(AND(V$3&lt;&gt;"",$H37&lt;=V$3,$J37&gt;=V$3),"■",""))</f>
        <v/>
      </c>
      <c r="W37" s="37">
        <f>IF($H37="","",IF(AND(W$3&lt;&gt;"",$H37&lt;=W$3,$J37&gt;=W$3),"■",""))</f>
        <v/>
      </c>
      <c r="X37" s="37">
        <f>IF($H37="","",IF(AND(X$3&lt;&gt;"",$H37&lt;=X$3,$J37&gt;=X$3),"■",""))</f>
        <v/>
      </c>
      <c r="Y37" s="37">
        <f>IF($H37="","",IF(AND(Y$3&lt;&gt;"",$H37&lt;=Y$3,$J37&gt;=Y$3),"■",""))</f>
        <v/>
      </c>
      <c r="Z37" s="37">
        <f>IF($H37="","",IF(AND(Z$3&lt;&gt;"",$H37&lt;=Z$3,$J37&gt;=Z$3),"■",""))</f>
        <v/>
      </c>
      <c r="AA37" s="37">
        <f>IF($H37="","",IF(AND(AA$3&lt;&gt;"",$H37&lt;=AA$3,$J37&gt;=AA$3),"■",""))</f>
        <v/>
      </c>
      <c r="AB37" s="37">
        <f>IF($H37="","",IF(AND(AB$3&lt;&gt;"",$H37&lt;=AB$3,$J37&gt;=AB$3),"■",""))</f>
        <v/>
      </c>
      <c r="AC37" s="37">
        <f>IF($H37="","",IF(AND(AC$3&lt;&gt;"",$H37&lt;=AC$3,$J37&gt;=AC$3),"■",""))</f>
        <v/>
      </c>
      <c r="AD37" s="37">
        <f>IF($H37="","",IF(AND(AD$3&lt;&gt;"",$H37&lt;=AD$3,$J37&gt;=AD$3),"■",""))</f>
        <v/>
      </c>
      <c r="AE37" s="37">
        <f>IF($H37="","",IF(AND(AE$3&lt;&gt;"",$H37&lt;=AE$3,$J37&gt;=AE$3),"■",""))</f>
        <v/>
      </c>
      <c r="AF37" s="37">
        <f>IF($H37="","",IF(AND(AF$3&lt;&gt;"",$H37&lt;=AF$3,$J37&gt;=AF$3),"■",""))</f>
        <v/>
      </c>
      <c r="AG37" s="37">
        <f>IF($H37="","",IF(AND(AG$3&lt;&gt;"",$H37&lt;=AG$3,$J37&gt;=AG$3),"■",""))</f>
        <v/>
      </c>
      <c r="AH37" s="37">
        <f>IF($H37="","",IF(AND(AH$3&lt;&gt;"",$H37&lt;=AH$3,$J37&gt;=AH$3),"■",""))</f>
        <v/>
      </c>
      <c r="AI37" s="37">
        <f>IF($H37="","",IF(AND(AI$3&lt;&gt;"",$H37&lt;=AI$3,$J37&gt;=AI$3),"■",""))</f>
        <v/>
      </c>
      <c r="AJ37" s="37">
        <f>IF($H37="","",IF(AND(AJ$3&lt;&gt;"",$H37&lt;=AJ$3,$J37&gt;=AJ$3),"■",""))</f>
        <v/>
      </c>
      <c r="AK37" s="37">
        <f>IF($H37="","",IF(AND(AK$3&lt;&gt;"",$H37&lt;=AK$3,$J37&gt;=AK$3),"■",""))</f>
        <v/>
      </c>
      <c r="AL37" s="37">
        <f>IF($H37="","",IF(AND(AL$3&lt;&gt;"",$H37&lt;=AL$3,$J37&gt;=AL$3),"■",""))</f>
        <v/>
      </c>
      <c r="AM37" s="37">
        <f>IF($H37="","",IF(AND(AM$3&lt;&gt;"",$H37&lt;=AM$3,$J37&gt;=AM$3),"■",""))</f>
        <v/>
      </c>
      <c r="AN37" s="37">
        <f>IF($H37="","",IF(AND(AN$3&lt;&gt;"",$H37&lt;=AN$3,$J37&gt;=AN$3),"■",""))</f>
        <v/>
      </c>
      <c r="AO37" s="37">
        <f>IF($H37="","",IF(AND(AO$3&lt;&gt;"",$H37&lt;=AO$3,$J37&gt;=AO$3),"■",""))</f>
        <v/>
      </c>
      <c r="AP37" s="37">
        <f>IF($H37="","",IF(AND(AP$3&lt;&gt;"",$H37&lt;=AP$3,$J37&gt;=AP$3),"■",""))</f>
        <v/>
      </c>
      <c r="AQ37" s="37">
        <f>IF($H37="","",IF(AND(AQ$3&lt;&gt;"",$H37&lt;=AQ$3,$J37&gt;=AQ$3),"■",""))</f>
        <v/>
      </c>
      <c r="AR37" s="37">
        <f>IF($H37="","",IF(AND(AR$3&lt;&gt;"",$H37&lt;=AR$3,$J37&gt;=AR$3),"■",""))</f>
        <v/>
      </c>
      <c r="AS37" s="37">
        <f>IF($H37="","",IF(AND(AS$3&lt;&gt;"",$H37&lt;=AS$3,$J37&gt;=AS$3),"■",""))</f>
        <v/>
      </c>
      <c r="AT37" s="37">
        <f>IF($H37="","",IF(AND(AT$3&lt;&gt;"",$H37&lt;=AT$3,$J37&gt;=AT$3),"■",""))</f>
        <v/>
      </c>
      <c r="AU37" s="37">
        <f>IF($H37="","",IF(AND(AU$3&lt;&gt;"",$H37&lt;=AU$3,$J37&gt;=AU$3),"■",""))</f>
        <v/>
      </c>
      <c r="AV37" s="37">
        <f>IF($H37="","",IF(AND(AV$3&lt;&gt;"",$H37&lt;=AV$3,$J37&gt;=AV$3),"■",""))</f>
        <v/>
      </c>
      <c r="AW37" s="37">
        <f>IF($H37="","",IF(AND(AW$3&lt;&gt;"",$H37&lt;=AW$3,$J37&gt;=AW$3),"■",""))</f>
        <v/>
      </c>
    </row>
    <row r="38">
      <c r="A38" s="27" t="n"/>
      <c r="B38" s="27" t="n"/>
      <c r="C38" s="28" t="n"/>
      <c r="D38" s="19" t="n"/>
      <c r="E38" s="28" t="n"/>
      <c r="F38" s="19" t="n"/>
      <c r="G38" s="29" t="n"/>
      <c r="H38" s="30" t="n"/>
      <c r="I38" s="17">
        <f>IFERROR(INDEX('④설정'!$E$7:$E$16,MATCH(C38,'④설정'!$D$7:$D$16,0)),"")</f>
        <v/>
      </c>
      <c r="J38" s="31">
        <f>IF(OR($H38="",$I38=""),"",WORKDAY($H38,$I38-1))</f>
        <v/>
      </c>
      <c r="K38" s="32">
        <f>IF($J38="","",IF($F38="완료","완료",$J38-'④설정'!$B$1))</f>
        <v/>
      </c>
      <c r="L38" s="33">
        <f>IF($J38="","",IF($F38="완료","✅완료",IF($J38&lt;'④설정'!$B$1,"🔴지연",IF($J38&lt;='④설정'!$B$1+2,"🔴임박",IF($J38&lt;='④설정'!$B$1+5,"🟡주의","🟢여유")))))</f>
        <v/>
      </c>
      <c r="M38" s="34" t="n"/>
      <c r="N38" s="34" t="n"/>
      <c r="O38" s="34" t="n"/>
      <c r="P38" s="34" t="n"/>
      <c r="Q38" s="35">
        <f>IF(SUM(M38:P38)=0,"",SUM(M38:P38))</f>
        <v/>
      </c>
      <c r="R38" s="36">
        <f>IF(Q38="","",Q38/'④설정'!$B$3)</f>
        <v/>
      </c>
      <c r="S38" s="37">
        <f>IF($H38="","",IF(AND(S$3&lt;&gt;"",$H38&lt;=S$3,$J38&gt;=S$3),"■",""))</f>
        <v/>
      </c>
      <c r="T38" s="37">
        <f>IF($H38="","",IF(AND(T$3&lt;&gt;"",$H38&lt;=T$3,$J38&gt;=T$3),"■",""))</f>
        <v/>
      </c>
      <c r="U38" s="37">
        <f>IF($H38="","",IF(AND(U$3&lt;&gt;"",$H38&lt;=U$3,$J38&gt;=U$3),"■",""))</f>
        <v/>
      </c>
      <c r="V38" s="37">
        <f>IF($H38="","",IF(AND(V$3&lt;&gt;"",$H38&lt;=V$3,$J38&gt;=V$3),"■",""))</f>
        <v/>
      </c>
      <c r="W38" s="37">
        <f>IF($H38="","",IF(AND(W$3&lt;&gt;"",$H38&lt;=W$3,$J38&gt;=W$3),"■",""))</f>
        <v/>
      </c>
      <c r="X38" s="37">
        <f>IF($H38="","",IF(AND(X$3&lt;&gt;"",$H38&lt;=X$3,$J38&gt;=X$3),"■",""))</f>
        <v/>
      </c>
      <c r="Y38" s="37">
        <f>IF($H38="","",IF(AND(Y$3&lt;&gt;"",$H38&lt;=Y$3,$J38&gt;=Y$3),"■",""))</f>
        <v/>
      </c>
      <c r="Z38" s="37">
        <f>IF($H38="","",IF(AND(Z$3&lt;&gt;"",$H38&lt;=Z$3,$J38&gt;=Z$3),"■",""))</f>
        <v/>
      </c>
      <c r="AA38" s="37">
        <f>IF($H38="","",IF(AND(AA$3&lt;&gt;"",$H38&lt;=AA$3,$J38&gt;=AA$3),"■",""))</f>
        <v/>
      </c>
      <c r="AB38" s="37">
        <f>IF($H38="","",IF(AND(AB$3&lt;&gt;"",$H38&lt;=AB$3,$J38&gt;=AB$3),"■",""))</f>
        <v/>
      </c>
      <c r="AC38" s="37">
        <f>IF($H38="","",IF(AND(AC$3&lt;&gt;"",$H38&lt;=AC$3,$J38&gt;=AC$3),"■",""))</f>
        <v/>
      </c>
      <c r="AD38" s="37">
        <f>IF($H38="","",IF(AND(AD$3&lt;&gt;"",$H38&lt;=AD$3,$J38&gt;=AD$3),"■",""))</f>
        <v/>
      </c>
      <c r="AE38" s="37">
        <f>IF($H38="","",IF(AND(AE$3&lt;&gt;"",$H38&lt;=AE$3,$J38&gt;=AE$3),"■",""))</f>
        <v/>
      </c>
      <c r="AF38" s="37">
        <f>IF($H38="","",IF(AND(AF$3&lt;&gt;"",$H38&lt;=AF$3,$J38&gt;=AF$3),"■",""))</f>
        <v/>
      </c>
      <c r="AG38" s="37">
        <f>IF($H38="","",IF(AND(AG$3&lt;&gt;"",$H38&lt;=AG$3,$J38&gt;=AG$3),"■",""))</f>
        <v/>
      </c>
      <c r="AH38" s="37">
        <f>IF($H38="","",IF(AND(AH$3&lt;&gt;"",$H38&lt;=AH$3,$J38&gt;=AH$3),"■",""))</f>
        <v/>
      </c>
      <c r="AI38" s="37">
        <f>IF($H38="","",IF(AND(AI$3&lt;&gt;"",$H38&lt;=AI$3,$J38&gt;=AI$3),"■",""))</f>
        <v/>
      </c>
      <c r="AJ38" s="37">
        <f>IF($H38="","",IF(AND(AJ$3&lt;&gt;"",$H38&lt;=AJ$3,$J38&gt;=AJ$3),"■",""))</f>
        <v/>
      </c>
      <c r="AK38" s="37">
        <f>IF($H38="","",IF(AND(AK$3&lt;&gt;"",$H38&lt;=AK$3,$J38&gt;=AK$3),"■",""))</f>
        <v/>
      </c>
      <c r="AL38" s="37">
        <f>IF($H38="","",IF(AND(AL$3&lt;&gt;"",$H38&lt;=AL$3,$J38&gt;=AL$3),"■",""))</f>
        <v/>
      </c>
      <c r="AM38" s="37">
        <f>IF($H38="","",IF(AND(AM$3&lt;&gt;"",$H38&lt;=AM$3,$J38&gt;=AM$3),"■",""))</f>
        <v/>
      </c>
      <c r="AN38" s="37">
        <f>IF($H38="","",IF(AND(AN$3&lt;&gt;"",$H38&lt;=AN$3,$J38&gt;=AN$3),"■",""))</f>
        <v/>
      </c>
      <c r="AO38" s="37">
        <f>IF($H38="","",IF(AND(AO$3&lt;&gt;"",$H38&lt;=AO$3,$J38&gt;=AO$3),"■",""))</f>
        <v/>
      </c>
      <c r="AP38" s="37">
        <f>IF($H38="","",IF(AND(AP$3&lt;&gt;"",$H38&lt;=AP$3,$J38&gt;=AP$3),"■",""))</f>
        <v/>
      </c>
      <c r="AQ38" s="37">
        <f>IF($H38="","",IF(AND(AQ$3&lt;&gt;"",$H38&lt;=AQ$3,$J38&gt;=AQ$3),"■",""))</f>
        <v/>
      </c>
      <c r="AR38" s="37">
        <f>IF($H38="","",IF(AND(AR$3&lt;&gt;"",$H38&lt;=AR$3,$J38&gt;=AR$3),"■",""))</f>
        <v/>
      </c>
      <c r="AS38" s="37">
        <f>IF($H38="","",IF(AND(AS$3&lt;&gt;"",$H38&lt;=AS$3,$J38&gt;=AS$3),"■",""))</f>
        <v/>
      </c>
      <c r="AT38" s="37">
        <f>IF($H38="","",IF(AND(AT$3&lt;&gt;"",$H38&lt;=AT$3,$J38&gt;=AT$3),"■",""))</f>
        <v/>
      </c>
      <c r="AU38" s="37">
        <f>IF($H38="","",IF(AND(AU$3&lt;&gt;"",$H38&lt;=AU$3,$J38&gt;=AU$3),"■",""))</f>
        <v/>
      </c>
      <c r="AV38" s="37">
        <f>IF($H38="","",IF(AND(AV$3&lt;&gt;"",$H38&lt;=AV$3,$J38&gt;=AV$3),"■",""))</f>
        <v/>
      </c>
      <c r="AW38" s="37">
        <f>IF($H38="","",IF(AND(AW$3&lt;&gt;"",$H38&lt;=AW$3,$J38&gt;=AW$3),"■",""))</f>
        <v/>
      </c>
    </row>
    <row r="39">
      <c r="A39" s="27" t="n"/>
      <c r="B39" s="27" t="n"/>
      <c r="C39" s="28" t="n"/>
      <c r="D39" s="19" t="n"/>
      <c r="E39" s="28" t="n"/>
      <c r="F39" s="19" t="n"/>
      <c r="G39" s="29" t="n"/>
      <c r="H39" s="30" t="n"/>
      <c r="I39" s="17">
        <f>IFERROR(INDEX('④설정'!$E$7:$E$16,MATCH(C39,'④설정'!$D$7:$D$16,0)),"")</f>
        <v/>
      </c>
      <c r="J39" s="31">
        <f>IF(OR($H39="",$I39=""),"",WORKDAY($H39,$I39-1))</f>
        <v/>
      </c>
      <c r="K39" s="32">
        <f>IF($J39="","",IF($F39="완료","완료",$J39-'④설정'!$B$1))</f>
        <v/>
      </c>
      <c r="L39" s="33">
        <f>IF($J39="","",IF($F39="완료","✅완료",IF($J39&lt;'④설정'!$B$1,"🔴지연",IF($J39&lt;='④설정'!$B$1+2,"🔴임박",IF($J39&lt;='④설정'!$B$1+5,"🟡주의","🟢여유")))))</f>
        <v/>
      </c>
      <c r="M39" s="34" t="n"/>
      <c r="N39" s="34" t="n"/>
      <c r="O39" s="34" t="n"/>
      <c r="P39" s="34" t="n"/>
      <c r="Q39" s="35">
        <f>IF(SUM(M39:P39)=0,"",SUM(M39:P39))</f>
        <v/>
      </c>
      <c r="R39" s="36">
        <f>IF(Q39="","",Q39/'④설정'!$B$3)</f>
        <v/>
      </c>
      <c r="S39" s="37">
        <f>IF($H39="","",IF(AND(S$3&lt;&gt;"",$H39&lt;=S$3,$J39&gt;=S$3),"■",""))</f>
        <v/>
      </c>
      <c r="T39" s="37">
        <f>IF($H39="","",IF(AND(T$3&lt;&gt;"",$H39&lt;=T$3,$J39&gt;=T$3),"■",""))</f>
        <v/>
      </c>
      <c r="U39" s="37">
        <f>IF($H39="","",IF(AND(U$3&lt;&gt;"",$H39&lt;=U$3,$J39&gt;=U$3),"■",""))</f>
        <v/>
      </c>
      <c r="V39" s="37">
        <f>IF($H39="","",IF(AND(V$3&lt;&gt;"",$H39&lt;=V$3,$J39&gt;=V$3),"■",""))</f>
        <v/>
      </c>
      <c r="W39" s="37">
        <f>IF($H39="","",IF(AND(W$3&lt;&gt;"",$H39&lt;=W$3,$J39&gt;=W$3),"■",""))</f>
        <v/>
      </c>
      <c r="X39" s="37">
        <f>IF($H39="","",IF(AND(X$3&lt;&gt;"",$H39&lt;=X$3,$J39&gt;=X$3),"■",""))</f>
        <v/>
      </c>
      <c r="Y39" s="37">
        <f>IF($H39="","",IF(AND(Y$3&lt;&gt;"",$H39&lt;=Y$3,$J39&gt;=Y$3),"■",""))</f>
        <v/>
      </c>
      <c r="Z39" s="37">
        <f>IF($H39="","",IF(AND(Z$3&lt;&gt;"",$H39&lt;=Z$3,$J39&gt;=Z$3),"■",""))</f>
        <v/>
      </c>
      <c r="AA39" s="37">
        <f>IF($H39="","",IF(AND(AA$3&lt;&gt;"",$H39&lt;=AA$3,$J39&gt;=AA$3),"■",""))</f>
        <v/>
      </c>
      <c r="AB39" s="37">
        <f>IF($H39="","",IF(AND(AB$3&lt;&gt;"",$H39&lt;=AB$3,$J39&gt;=AB$3),"■",""))</f>
        <v/>
      </c>
      <c r="AC39" s="37">
        <f>IF($H39="","",IF(AND(AC$3&lt;&gt;"",$H39&lt;=AC$3,$J39&gt;=AC$3),"■",""))</f>
        <v/>
      </c>
      <c r="AD39" s="37">
        <f>IF($H39="","",IF(AND(AD$3&lt;&gt;"",$H39&lt;=AD$3,$J39&gt;=AD$3),"■",""))</f>
        <v/>
      </c>
      <c r="AE39" s="37">
        <f>IF($H39="","",IF(AND(AE$3&lt;&gt;"",$H39&lt;=AE$3,$J39&gt;=AE$3),"■",""))</f>
        <v/>
      </c>
      <c r="AF39" s="37">
        <f>IF($H39="","",IF(AND(AF$3&lt;&gt;"",$H39&lt;=AF$3,$J39&gt;=AF$3),"■",""))</f>
        <v/>
      </c>
      <c r="AG39" s="37">
        <f>IF($H39="","",IF(AND(AG$3&lt;&gt;"",$H39&lt;=AG$3,$J39&gt;=AG$3),"■",""))</f>
        <v/>
      </c>
      <c r="AH39" s="37">
        <f>IF($H39="","",IF(AND(AH$3&lt;&gt;"",$H39&lt;=AH$3,$J39&gt;=AH$3),"■",""))</f>
        <v/>
      </c>
      <c r="AI39" s="37">
        <f>IF($H39="","",IF(AND(AI$3&lt;&gt;"",$H39&lt;=AI$3,$J39&gt;=AI$3),"■",""))</f>
        <v/>
      </c>
      <c r="AJ39" s="37">
        <f>IF($H39="","",IF(AND(AJ$3&lt;&gt;"",$H39&lt;=AJ$3,$J39&gt;=AJ$3),"■",""))</f>
        <v/>
      </c>
      <c r="AK39" s="37">
        <f>IF($H39="","",IF(AND(AK$3&lt;&gt;"",$H39&lt;=AK$3,$J39&gt;=AK$3),"■",""))</f>
        <v/>
      </c>
      <c r="AL39" s="37">
        <f>IF($H39="","",IF(AND(AL$3&lt;&gt;"",$H39&lt;=AL$3,$J39&gt;=AL$3),"■",""))</f>
        <v/>
      </c>
      <c r="AM39" s="37">
        <f>IF($H39="","",IF(AND(AM$3&lt;&gt;"",$H39&lt;=AM$3,$J39&gt;=AM$3),"■",""))</f>
        <v/>
      </c>
      <c r="AN39" s="37">
        <f>IF($H39="","",IF(AND(AN$3&lt;&gt;"",$H39&lt;=AN$3,$J39&gt;=AN$3),"■",""))</f>
        <v/>
      </c>
      <c r="AO39" s="37">
        <f>IF($H39="","",IF(AND(AO$3&lt;&gt;"",$H39&lt;=AO$3,$J39&gt;=AO$3),"■",""))</f>
        <v/>
      </c>
      <c r="AP39" s="37">
        <f>IF($H39="","",IF(AND(AP$3&lt;&gt;"",$H39&lt;=AP$3,$J39&gt;=AP$3),"■",""))</f>
        <v/>
      </c>
      <c r="AQ39" s="37">
        <f>IF($H39="","",IF(AND(AQ$3&lt;&gt;"",$H39&lt;=AQ$3,$J39&gt;=AQ$3),"■",""))</f>
        <v/>
      </c>
      <c r="AR39" s="37">
        <f>IF($H39="","",IF(AND(AR$3&lt;&gt;"",$H39&lt;=AR$3,$J39&gt;=AR$3),"■",""))</f>
        <v/>
      </c>
      <c r="AS39" s="37">
        <f>IF($H39="","",IF(AND(AS$3&lt;&gt;"",$H39&lt;=AS$3,$J39&gt;=AS$3),"■",""))</f>
        <v/>
      </c>
      <c r="AT39" s="37">
        <f>IF($H39="","",IF(AND(AT$3&lt;&gt;"",$H39&lt;=AT$3,$J39&gt;=AT$3),"■",""))</f>
        <v/>
      </c>
      <c r="AU39" s="37">
        <f>IF($H39="","",IF(AND(AU$3&lt;&gt;"",$H39&lt;=AU$3,$J39&gt;=AU$3),"■",""))</f>
        <v/>
      </c>
      <c r="AV39" s="37">
        <f>IF($H39="","",IF(AND(AV$3&lt;&gt;"",$H39&lt;=AV$3,$J39&gt;=AV$3),"■",""))</f>
        <v/>
      </c>
      <c r="AW39" s="37">
        <f>IF($H39="","",IF(AND(AW$3&lt;&gt;"",$H39&lt;=AW$3,$J39&gt;=AW$3),"■",""))</f>
        <v/>
      </c>
    </row>
    <row r="40">
      <c r="A40" s="27" t="n"/>
      <c r="B40" s="27" t="n"/>
      <c r="C40" s="28" t="n"/>
      <c r="D40" s="19" t="n"/>
      <c r="E40" s="28" t="n"/>
      <c r="F40" s="19" t="n"/>
      <c r="G40" s="29" t="n"/>
      <c r="H40" s="30" t="n"/>
      <c r="I40" s="17">
        <f>IFERROR(INDEX('④설정'!$E$7:$E$16,MATCH(C40,'④설정'!$D$7:$D$16,0)),"")</f>
        <v/>
      </c>
      <c r="J40" s="31">
        <f>IF(OR($H40="",$I40=""),"",WORKDAY($H40,$I40-1))</f>
        <v/>
      </c>
      <c r="K40" s="32">
        <f>IF($J40="","",IF($F40="완료","완료",$J40-'④설정'!$B$1))</f>
        <v/>
      </c>
      <c r="L40" s="33">
        <f>IF($J40="","",IF($F40="완료","✅완료",IF($J40&lt;'④설정'!$B$1,"🔴지연",IF($J40&lt;='④설정'!$B$1+2,"🔴임박",IF($J40&lt;='④설정'!$B$1+5,"🟡주의","🟢여유")))))</f>
        <v/>
      </c>
      <c r="M40" s="34" t="n"/>
      <c r="N40" s="34" t="n"/>
      <c r="O40" s="34" t="n"/>
      <c r="P40" s="34" t="n"/>
      <c r="Q40" s="35">
        <f>IF(SUM(M40:P40)=0,"",SUM(M40:P40))</f>
        <v/>
      </c>
      <c r="R40" s="36">
        <f>IF(Q40="","",Q40/'④설정'!$B$3)</f>
        <v/>
      </c>
      <c r="S40" s="37">
        <f>IF($H40="","",IF(AND(S$3&lt;&gt;"",$H40&lt;=S$3,$J40&gt;=S$3),"■",""))</f>
        <v/>
      </c>
      <c r="T40" s="37">
        <f>IF($H40="","",IF(AND(T$3&lt;&gt;"",$H40&lt;=T$3,$J40&gt;=T$3),"■",""))</f>
        <v/>
      </c>
      <c r="U40" s="37">
        <f>IF($H40="","",IF(AND(U$3&lt;&gt;"",$H40&lt;=U$3,$J40&gt;=U$3),"■",""))</f>
        <v/>
      </c>
      <c r="V40" s="37">
        <f>IF($H40="","",IF(AND(V$3&lt;&gt;"",$H40&lt;=V$3,$J40&gt;=V$3),"■",""))</f>
        <v/>
      </c>
      <c r="W40" s="37">
        <f>IF($H40="","",IF(AND(W$3&lt;&gt;"",$H40&lt;=W$3,$J40&gt;=W$3),"■",""))</f>
        <v/>
      </c>
      <c r="X40" s="37">
        <f>IF($H40="","",IF(AND(X$3&lt;&gt;"",$H40&lt;=X$3,$J40&gt;=X$3),"■",""))</f>
        <v/>
      </c>
      <c r="Y40" s="37">
        <f>IF($H40="","",IF(AND(Y$3&lt;&gt;"",$H40&lt;=Y$3,$J40&gt;=Y$3),"■",""))</f>
        <v/>
      </c>
      <c r="Z40" s="37">
        <f>IF($H40="","",IF(AND(Z$3&lt;&gt;"",$H40&lt;=Z$3,$J40&gt;=Z$3),"■",""))</f>
        <v/>
      </c>
      <c r="AA40" s="37">
        <f>IF($H40="","",IF(AND(AA$3&lt;&gt;"",$H40&lt;=AA$3,$J40&gt;=AA$3),"■",""))</f>
        <v/>
      </c>
      <c r="AB40" s="37">
        <f>IF($H40="","",IF(AND(AB$3&lt;&gt;"",$H40&lt;=AB$3,$J40&gt;=AB$3),"■",""))</f>
        <v/>
      </c>
      <c r="AC40" s="37">
        <f>IF($H40="","",IF(AND(AC$3&lt;&gt;"",$H40&lt;=AC$3,$J40&gt;=AC$3),"■",""))</f>
        <v/>
      </c>
      <c r="AD40" s="37">
        <f>IF($H40="","",IF(AND(AD$3&lt;&gt;"",$H40&lt;=AD$3,$J40&gt;=AD$3),"■",""))</f>
        <v/>
      </c>
      <c r="AE40" s="37">
        <f>IF($H40="","",IF(AND(AE$3&lt;&gt;"",$H40&lt;=AE$3,$J40&gt;=AE$3),"■",""))</f>
        <v/>
      </c>
      <c r="AF40" s="37">
        <f>IF($H40="","",IF(AND(AF$3&lt;&gt;"",$H40&lt;=AF$3,$J40&gt;=AF$3),"■",""))</f>
        <v/>
      </c>
      <c r="AG40" s="37">
        <f>IF($H40="","",IF(AND(AG$3&lt;&gt;"",$H40&lt;=AG$3,$J40&gt;=AG$3),"■",""))</f>
        <v/>
      </c>
      <c r="AH40" s="37">
        <f>IF($H40="","",IF(AND(AH$3&lt;&gt;"",$H40&lt;=AH$3,$J40&gt;=AH$3),"■",""))</f>
        <v/>
      </c>
      <c r="AI40" s="37">
        <f>IF($H40="","",IF(AND(AI$3&lt;&gt;"",$H40&lt;=AI$3,$J40&gt;=AI$3),"■",""))</f>
        <v/>
      </c>
      <c r="AJ40" s="37">
        <f>IF($H40="","",IF(AND(AJ$3&lt;&gt;"",$H40&lt;=AJ$3,$J40&gt;=AJ$3),"■",""))</f>
        <v/>
      </c>
      <c r="AK40" s="37">
        <f>IF($H40="","",IF(AND(AK$3&lt;&gt;"",$H40&lt;=AK$3,$J40&gt;=AK$3),"■",""))</f>
        <v/>
      </c>
      <c r="AL40" s="37">
        <f>IF($H40="","",IF(AND(AL$3&lt;&gt;"",$H40&lt;=AL$3,$J40&gt;=AL$3),"■",""))</f>
        <v/>
      </c>
      <c r="AM40" s="37">
        <f>IF($H40="","",IF(AND(AM$3&lt;&gt;"",$H40&lt;=AM$3,$J40&gt;=AM$3),"■",""))</f>
        <v/>
      </c>
      <c r="AN40" s="37">
        <f>IF($H40="","",IF(AND(AN$3&lt;&gt;"",$H40&lt;=AN$3,$J40&gt;=AN$3),"■",""))</f>
        <v/>
      </c>
      <c r="AO40" s="37">
        <f>IF($H40="","",IF(AND(AO$3&lt;&gt;"",$H40&lt;=AO$3,$J40&gt;=AO$3),"■",""))</f>
        <v/>
      </c>
      <c r="AP40" s="37">
        <f>IF($H40="","",IF(AND(AP$3&lt;&gt;"",$H40&lt;=AP$3,$J40&gt;=AP$3),"■",""))</f>
        <v/>
      </c>
      <c r="AQ40" s="37">
        <f>IF($H40="","",IF(AND(AQ$3&lt;&gt;"",$H40&lt;=AQ$3,$J40&gt;=AQ$3),"■",""))</f>
        <v/>
      </c>
      <c r="AR40" s="37">
        <f>IF($H40="","",IF(AND(AR$3&lt;&gt;"",$H40&lt;=AR$3,$J40&gt;=AR$3),"■",""))</f>
        <v/>
      </c>
      <c r="AS40" s="37">
        <f>IF($H40="","",IF(AND(AS$3&lt;&gt;"",$H40&lt;=AS$3,$J40&gt;=AS$3),"■",""))</f>
        <v/>
      </c>
      <c r="AT40" s="37">
        <f>IF($H40="","",IF(AND(AT$3&lt;&gt;"",$H40&lt;=AT$3,$J40&gt;=AT$3),"■",""))</f>
        <v/>
      </c>
      <c r="AU40" s="37">
        <f>IF($H40="","",IF(AND(AU$3&lt;&gt;"",$H40&lt;=AU$3,$J40&gt;=AU$3),"■",""))</f>
        <v/>
      </c>
      <c r="AV40" s="37">
        <f>IF($H40="","",IF(AND(AV$3&lt;&gt;"",$H40&lt;=AV$3,$J40&gt;=AV$3),"■",""))</f>
        <v/>
      </c>
      <c r="AW40" s="37">
        <f>IF($H40="","",IF(AND(AW$3&lt;&gt;"",$H40&lt;=AW$3,$J40&gt;=AW$3),"■",""))</f>
        <v/>
      </c>
    </row>
    <row r="41">
      <c r="A41" s="27" t="n"/>
      <c r="B41" s="27" t="n"/>
      <c r="C41" s="28" t="n"/>
      <c r="D41" s="19" t="n"/>
      <c r="E41" s="28" t="n"/>
      <c r="F41" s="19" t="n"/>
      <c r="G41" s="29" t="n"/>
      <c r="H41" s="30" t="n"/>
      <c r="I41" s="17">
        <f>IFERROR(INDEX('④설정'!$E$7:$E$16,MATCH(C41,'④설정'!$D$7:$D$16,0)),"")</f>
        <v/>
      </c>
      <c r="J41" s="31">
        <f>IF(OR($H41="",$I41=""),"",WORKDAY($H41,$I41-1))</f>
        <v/>
      </c>
      <c r="K41" s="32">
        <f>IF($J41="","",IF($F41="완료","완료",$J41-'④설정'!$B$1))</f>
        <v/>
      </c>
      <c r="L41" s="33">
        <f>IF($J41="","",IF($F41="완료","✅완료",IF($J41&lt;'④설정'!$B$1,"🔴지연",IF($J41&lt;='④설정'!$B$1+2,"🔴임박",IF($J41&lt;='④설정'!$B$1+5,"🟡주의","🟢여유")))))</f>
        <v/>
      </c>
      <c r="M41" s="34" t="n"/>
      <c r="N41" s="34" t="n"/>
      <c r="O41" s="34" t="n"/>
      <c r="P41" s="34" t="n"/>
      <c r="Q41" s="35">
        <f>IF(SUM(M41:P41)=0,"",SUM(M41:P41))</f>
        <v/>
      </c>
      <c r="R41" s="36">
        <f>IF(Q41="","",Q41/'④설정'!$B$3)</f>
        <v/>
      </c>
      <c r="S41" s="37">
        <f>IF($H41="","",IF(AND(S$3&lt;&gt;"",$H41&lt;=S$3,$J41&gt;=S$3),"■",""))</f>
        <v/>
      </c>
      <c r="T41" s="37">
        <f>IF($H41="","",IF(AND(T$3&lt;&gt;"",$H41&lt;=T$3,$J41&gt;=T$3),"■",""))</f>
        <v/>
      </c>
      <c r="U41" s="37">
        <f>IF($H41="","",IF(AND(U$3&lt;&gt;"",$H41&lt;=U$3,$J41&gt;=U$3),"■",""))</f>
        <v/>
      </c>
      <c r="V41" s="37">
        <f>IF($H41="","",IF(AND(V$3&lt;&gt;"",$H41&lt;=V$3,$J41&gt;=V$3),"■",""))</f>
        <v/>
      </c>
      <c r="W41" s="37">
        <f>IF($H41="","",IF(AND(W$3&lt;&gt;"",$H41&lt;=W$3,$J41&gt;=W$3),"■",""))</f>
        <v/>
      </c>
      <c r="X41" s="37">
        <f>IF($H41="","",IF(AND(X$3&lt;&gt;"",$H41&lt;=X$3,$J41&gt;=X$3),"■",""))</f>
        <v/>
      </c>
      <c r="Y41" s="37">
        <f>IF($H41="","",IF(AND(Y$3&lt;&gt;"",$H41&lt;=Y$3,$J41&gt;=Y$3),"■",""))</f>
        <v/>
      </c>
      <c r="Z41" s="37">
        <f>IF($H41="","",IF(AND(Z$3&lt;&gt;"",$H41&lt;=Z$3,$J41&gt;=Z$3),"■",""))</f>
        <v/>
      </c>
      <c r="AA41" s="37">
        <f>IF($H41="","",IF(AND(AA$3&lt;&gt;"",$H41&lt;=AA$3,$J41&gt;=AA$3),"■",""))</f>
        <v/>
      </c>
      <c r="AB41" s="37">
        <f>IF($H41="","",IF(AND(AB$3&lt;&gt;"",$H41&lt;=AB$3,$J41&gt;=AB$3),"■",""))</f>
        <v/>
      </c>
      <c r="AC41" s="37">
        <f>IF($H41="","",IF(AND(AC$3&lt;&gt;"",$H41&lt;=AC$3,$J41&gt;=AC$3),"■",""))</f>
        <v/>
      </c>
      <c r="AD41" s="37">
        <f>IF($H41="","",IF(AND(AD$3&lt;&gt;"",$H41&lt;=AD$3,$J41&gt;=AD$3),"■",""))</f>
        <v/>
      </c>
      <c r="AE41" s="37">
        <f>IF($H41="","",IF(AND(AE$3&lt;&gt;"",$H41&lt;=AE$3,$J41&gt;=AE$3),"■",""))</f>
        <v/>
      </c>
      <c r="AF41" s="37">
        <f>IF($H41="","",IF(AND(AF$3&lt;&gt;"",$H41&lt;=AF$3,$J41&gt;=AF$3),"■",""))</f>
        <v/>
      </c>
      <c r="AG41" s="37">
        <f>IF($H41="","",IF(AND(AG$3&lt;&gt;"",$H41&lt;=AG$3,$J41&gt;=AG$3),"■",""))</f>
        <v/>
      </c>
      <c r="AH41" s="37">
        <f>IF($H41="","",IF(AND(AH$3&lt;&gt;"",$H41&lt;=AH$3,$J41&gt;=AH$3),"■",""))</f>
        <v/>
      </c>
      <c r="AI41" s="37">
        <f>IF($H41="","",IF(AND(AI$3&lt;&gt;"",$H41&lt;=AI$3,$J41&gt;=AI$3),"■",""))</f>
        <v/>
      </c>
      <c r="AJ41" s="37">
        <f>IF($H41="","",IF(AND(AJ$3&lt;&gt;"",$H41&lt;=AJ$3,$J41&gt;=AJ$3),"■",""))</f>
        <v/>
      </c>
      <c r="AK41" s="37">
        <f>IF($H41="","",IF(AND(AK$3&lt;&gt;"",$H41&lt;=AK$3,$J41&gt;=AK$3),"■",""))</f>
        <v/>
      </c>
      <c r="AL41" s="37">
        <f>IF($H41="","",IF(AND(AL$3&lt;&gt;"",$H41&lt;=AL$3,$J41&gt;=AL$3),"■",""))</f>
        <v/>
      </c>
      <c r="AM41" s="37">
        <f>IF($H41="","",IF(AND(AM$3&lt;&gt;"",$H41&lt;=AM$3,$J41&gt;=AM$3),"■",""))</f>
        <v/>
      </c>
      <c r="AN41" s="37">
        <f>IF($H41="","",IF(AND(AN$3&lt;&gt;"",$H41&lt;=AN$3,$J41&gt;=AN$3),"■",""))</f>
        <v/>
      </c>
      <c r="AO41" s="37">
        <f>IF($H41="","",IF(AND(AO$3&lt;&gt;"",$H41&lt;=AO$3,$J41&gt;=AO$3),"■",""))</f>
        <v/>
      </c>
      <c r="AP41" s="37">
        <f>IF($H41="","",IF(AND(AP$3&lt;&gt;"",$H41&lt;=AP$3,$J41&gt;=AP$3),"■",""))</f>
        <v/>
      </c>
      <c r="AQ41" s="37">
        <f>IF($H41="","",IF(AND(AQ$3&lt;&gt;"",$H41&lt;=AQ$3,$J41&gt;=AQ$3),"■",""))</f>
        <v/>
      </c>
      <c r="AR41" s="37">
        <f>IF($H41="","",IF(AND(AR$3&lt;&gt;"",$H41&lt;=AR$3,$J41&gt;=AR$3),"■",""))</f>
        <v/>
      </c>
      <c r="AS41" s="37">
        <f>IF($H41="","",IF(AND(AS$3&lt;&gt;"",$H41&lt;=AS$3,$J41&gt;=AS$3),"■",""))</f>
        <v/>
      </c>
      <c r="AT41" s="37">
        <f>IF($H41="","",IF(AND(AT$3&lt;&gt;"",$H41&lt;=AT$3,$J41&gt;=AT$3),"■",""))</f>
        <v/>
      </c>
      <c r="AU41" s="37">
        <f>IF($H41="","",IF(AND(AU$3&lt;&gt;"",$H41&lt;=AU$3,$J41&gt;=AU$3),"■",""))</f>
        <v/>
      </c>
      <c r="AV41" s="37">
        <f>IF($H41="","",IF(AND(AV$3&lt;&gt;"",$H41&lt;=AV$3,$J41&gt;=AV$3),"■",""))</f>
        <v/>
      </c>
      <c r="AW41" s="37">
        <f>IF($H41="","",IF(AND(AW$3&lt;&gt;"",$H41&lt;=AW$3,$J41&gt;=AW$3),"■",""))</f>
        <v/>
      </c>
    </row>
    <row r="42">
      <c r="A42" s="27" t="n"/>
      <c r="B42" s="27" t="n"/>
      <c r="C42" s="28" t="n"/>
      <c r="D42" s="19" t="n"/>
      <c r="E42" s="28" t="n"/>
      <c r="F42" s="19" t="n"/>
      <c r="G42" s="29" t="n"/>
      <c r="H42" s="30" t="n"/>
      <c r="I42" s="17">
        <f>IFERROR(INDEX('④설정'!$E$7:$E$16,MATCH(C42,'④설정'!$D$7:$D$16,0)),"")</f>
        <v/>
      </c>
      <c r="J42" s="31">
        <f>IF(OR($H42="",$I42=""),"",WORKDAY($H42,$I42-1))</f>
        <v/>
      </c>
      <c r="K42" s="32">
        <f>IF($J42="","",IF($F42="완료","완료",$J42-'④설정'!$B$1))</f>
        <v/>
      </c>
      <c r="L42" s="33">
        <f>IF($J42="","",IF($F42="완료","✅완료",IF($J42&lt;'④설정'!$B$1,"🔴지연",IF($J42&lt;='④설정'!$B$1+2,"🔴임박",IF($J42&lt;='④설정'!$B$1+5,"🟡주의","🟢여유")))))</f>
        <v/>
      </c>
      <c r="M42" s="34" t="n"/>
      <c r="N42" s="34" t="n"/>
      <c r="O42" s="34" t="n"/>
      <c r="P42" s="34" t="n"/>
      <c r="Q42" s="35">
        <f>IF(SUM(M42:P42)=0,"",SUM(M42:P42))</f>
        <v/>
      </c>
      <c r="R42" s="36">
        <f>IF(Q42="","",Q42/'④설정'!$B$3)</f>
        <v/>
      </c>
      <c r="S42" s="37">
        <f>IF($H42="","",IF(AND(S$3&lt;&gt;"",$H42&lt;=S$3,$J42&gt;=S$3),"■",""))</f>
        <v/>
      </c>
      <c r="T42" s="37">
        <f>IF($H42="","",IF(AND(T$3&lt;&gt;"",$H42&lt;=T$3,$J42&gt;=T$3),"■",""))</f>
        <v/>
      </c>
      <c r="U42" s="37">
        <f>IF($H42="","",IF(AND(U$3&lt;&gt;"",$H42&lt;=U$3,$J42&gt;=U$3),"■",""))</f>
        <v/>
      </c>
      <c r="V42" s="37">
        <f>IF($H42="","",IF(AND(V$3&lt;&gt;"",$H42&lt;=V$3,$J42&gt;=V$3),"■",""))</f>
        <v/>
      </c>
      <c r="W42" s="37">
        <f>IF($H42="","",IF(AND(W$3&lt;&gt;"",$H42&lt;=W$3,$J42&gt;=W$3),"■",""))</f>
        <v/>
      </c>
      <c r="X42" s="37">
        <f>IF($H42="","",IF(AND(X$3&lt;&gt;"",$H42&lt;=X$3,$J42&gt;=X$3),"■",""))</f>
        <v/>
      </c>
      <c r="Y42" s="37">
        <f>IF($H42="","",IF(AND(Y$3&lt;&gt;"",$H42&lt;=Y$3,$J42&gt;=Y$3),"■",""))</f>
        <v/>
      </c>
      <c r="Z42" s="37">
        <f>IF($H42="","",IF(AND(Z$3&lt;&gt;"",$H42&lt;=Z$3,$J42&gt;=Z$3),"■",""))</f>
        <v/>
      </c>
      <c r="AA42" s="37">
        <f>IF($H42="","",IF(AND(AA$3&lt;&gt;"",$H42&lt;=AA$3,$J42&gt;=AA$3),"■",""))</f>
        <v/>
      </c>
      <c r="AB42" s="37">
        <f>IF($H42="","",IF(AND(AB$3&lt;&gt;"",$H42&lt;=AB$3,$J42&gt;=AB$3),"■",""))</f>
        <v/>
      </c>
      <c r="AC42" s="37">
        <f>IF($H42="","",IF(AND(AC$3&lt;&gt;"",$H42&lt;=AC$3,$J42&gt;=AC$3),"■",""))</f>
        <v/>
      </c>
      <c r="AD42" s="37">
        <f>IF($H42="","",IF(AND(AD$3&lt;&gt;"",$H42&lt;=AD$3,$J42&gt;=AD$3),"■",""))</f>
        <v/>
      </c>
      <c r="AE42" s="37">
        <f>IF($H42="","",IF(AND(AE$3&lt;&gt;"",$H42&lt;=AE$3,$J42&gt;=AE$3),"■",""))</f>
        <v/>
      </c>
      <c r="AF42" s="37">
        <f>IF($H42="","",IF(AND(AF$3&lt;&gt;"",$H42&lt;=AF$3,$J42&gt;=AF$3),"■",""))</f>
        <v/>
      </c>
      <c r="AG42" s="37">
        <f>IF($H42="","",IF(AND(AG$3&lt;&gt;"",$H42&lt;=AG$3,$J42&gt;=AG$3),"■",""))</f>
        <v/>
      </c>
      <c r="AH42" s="37">
        <f>IF($H42="","",IF(AND(AH$3&lt;&gt;"",$H42&lt;=AH$3,$J42&gt;=AH$3),"■",""))</f>
        <v/>
      </c>
      <c r="AI42" s="37">
        <f>IF($H42="","",IF(AND(AI$3&lt;&gt;"",$H42&lt;=AI$3,$J42&gt;=AI$3),"■",""))</f>
        <v/>
      </c>
      <c r="AJ42" s="37">
        <f>IF($H42="","",IF(AND(AJ$3&lt;&gt;"",$H42&lt;=AJ$3,$J42&gt;=AJ$3),"■",""))</f>
        <v/>
      </c>
      <c r="AK42" s="37">
        <f>IF($H42="","",IF(AND(AK$3&lt;&gt;"",$H42&lt;=AK$3,$J42&gt;=AK$3),"■",""))</f>
        <v/>
      </c>
      <c r="AL42" s="37">
        <f>IF($H42="","",IF(AND(AL$3&lt;&gt;"",$H42&lt;=AL$3,$J42&gt;=AL$3),"■",""))</f>
        <v/>
      </c>
      <c r="AM42" s="37">
        <f>IF($H42="","",IF(AND(AM$3&lt;&gt;"",$H42&lt;=AM$3,$J42&gt;=AM$3),"■",""))</f>
        <v/>
      </c>
      <c r="AN42" s="37">
        <f>IF($H42="","",IF(AND(AN$3&lt;&gt;"",$H42&lt;=AN$3,$J42&gt;=AN$3),"■",""))</f>
        <v/>
      </c>
      <c r="AO42" s="37">
        <f>IF($H42="","",IF(AND(AO$3&lt;&gt;"",$H42&lt;=AO$3,$J42&gt;=AO$3),"■",""))</f>
        <v/>
      </c>
      <c r="AP42" s="37">
        <f>IF($H42="","",IF(AND(AP$3&lt;&gt;"",$H42&lt;=AP$3,$J42&gt;=AP$3),"■",""))</f>
        <v/>
      </c>
      <c r="AQ42" s="37">
        <f>IF($H42="","",IF(AND(AQ$3&lt;&gt;"",$H42&lt;=AQ$3,$J42&gt;=AQ$3),"■",""))</f>
        <v/>
      </c>
      <c r="AR42" s="37">
        <f>IF($H42="","",IF(AND(AR$3&lt;&gt;"",$H42&lt;=AR$3,$J42&gt;=AR$3),"■",""))</f>
        <v/>
      </c>
      <c r="AS42" s="37">
        <f>IF($H42="","",IF(AND(AS$3&lt;&gt;"",$H42&lt;=AS$3,$J42&gt;=AS$3),"■",""))</f>
        <v/>
      </c>
      <c r="AT42" s="37">
        <f>IF($H42="","",IF(AND(AT$3&lt;&gt;"",$H42&lt;=AT$3,$J42&gt;=AT$3),"■",""))</f>
        <v/>
      </c>
      <c r="AU42" s="37">
        <f>IF($H42="","",IF(AND(AU$3&lt;&gt;"",$H42&lt;=AU$3,$J42&gt;=AU$3),"■",""))</f>
        <v/>
      </c>
      <c r="AV42" s="37">
        <f>IF($H42="","",IF(AND(AV$3&lt;&gt;"",$H42&lt;=AV$3,$J42&gt;=AV$3),"■",""))</f>
        <v/>
      </c>
      <c r="AW42" s="37">
        <f>IF($H42="","",IF(AND(AW$3&lt;&gt;"",$H42&lt;=AW$3,$J42&gt;=AW$3),"■",""))</f>
        <v/>
      </c>
    </row>
    <row r="43">
      <c r="A43" s="27" t="n"/>
      <c r="B43" s="27" t="n"/>
      <c r="C43" s="28" t="n"/>
      <c r="D43" s="19" t="n"/>
      <c r="E43" s="28" t="n"/>
      <c r="F43" s="19" t="n"/>
      <c r="G43" s="29" t="n"/>
      <c r="H43" s="30" t="n"/>
      <c r="I43" s="17">
        <f>IFERROR(INDEX('④설정'!$E$7:$E$16,MATCH(C43,'④설정'!$D$7:$D$16,0)),"")</f>
        <v/>
      </c>
      <c r="J43" s="31">
        <f>IF(OR($H43="",$I43=""),"",WORKDAY($H43,$I43-1))</f>
        <v/>
      </c>
      <c r="K43" s="32">
        <f>IF($J43="","",IF($F43="완료","완료",$J43-'④설정'!$B$1))</f>
        <v/>
      </c>
      <c r="L43" s="33">
        <f>IF($J43="","",IF($F43="완료","✅완료",IF($J43&lt;'④설정'!$B$1,"🔴지연",IF($J43&lt;='④설정'!$B$1+2,"🔴임박",IF($J43&lt;='④설정'!$B$1+5,"🟡주의","🟢여유")))))</f>
        <v/>
      </c>
      <c r="M43" s="34" t="n"/>
      <c r="N43" s="34" t="n"/>
      <c r="O43" s="34" t="n"/>
      <c r="P43" s="34" t="n"/>
      <c r="Q43" s="35">
        <f>IF(SUM(M43:P43)=0,"",SUM(M43:P43))</f>
        <v/>
      </c>
      <c r="R43" s="36">
        <f>IF(Q43="","",Q43/'④설정'!$B$3)</f>
        <v/>
      </c>
      <c r="S43" s="37">
        <f>IF($H43="","",IF(AND(S$3&lt;&gt;"",$H43&lt;=S$3,$J43&gt;=S$3),"■",""))</f>
        <v/>
      </c>
      <c r="T43" s="37">
        <f>IF($H43="","",IF(AND(T$3&lt;&gt;"",$H43&lt;=T$3,$J43&gt;=T$3),"■",""))</f>
        <v/>
      </c>
      <c r="U43" s="37">
        <f>IF($H43="","",IF(AND(U$3&lt;&gt;"",$H43&lt;=U$3,$J43&gt;=U$3),"■",""))</f>
        <v/>
      </c>
      <c r="V43" s="37">
        <f>IF($H43="","",IF(AND(V$3&lt;&gt;"",$H43&lt;=V$3,$J43&gt;=V$3),"■",""))</f>
        <v/>
      </c>
      <c r="W43" s="37">
        <f>IF($H43="","",IF(AND(W$3&lt;&gt;"",$H43&lt;=W$3,$J43&gt;=W$3),"■",""))</f>
        <v/>
      </c>
      <c r="X43" s="37">
        <f>IF($H43="","",IF(AND(X$3&lt;&gt;"",$H43&lt;=X$3,$J43&gt;=X$3),"■",""))</f>
        <v/>
      </c>
      <c r="Y43" s="37">
        <f>IF($H43="","",IF(AND(Y$3&lt;&gt;"",$H43&lt;=Y$3,$J43&gt;=Y$3),"■",""))</f>
        <v/>
      </c>
      <c r="Z43" s="37">
        <f>IF($H43="","",IF(AND(Z$3&lt;&gt;"",$H43&lt;=Z$3,$J43&gt;=Z$3),"■",""))</f>
        <v/>
      </c>
      <c r="AA43" s="37">
        <f>IF($H43="","",IF(AND(AA$3&lt;&gt;"",$H43&lt;=AA$3,$J43&gt;=AA$3),"■",""))</f>
        <v/>
      </c>
      <c r="AB43" s="37">
        <f>IF($H43="","",IF(AND(AB$3&lt;&gt;"",$H43&lt;=AB$3,$J43&gt;=AB$3),"■",""))</f>
        <v/>
      </c>
      <c r="AC43" s="37">
        <f>IF($H43="","",IF(AND(AC$3&lt;&gt;"",$H43&lt;=AC$3,$J43&gt;=AC$3),"■",""))</f>
        <v/>
      </c>
      <c r="AD43" s="37">
        <f>IF($H43="","",IF(AND(AD$3&lt;&gt;"",$H43&lt;=AD$3,$J43&gt;=AD$3),"■",""))</f>
        <v/>
      </c>
      <c r="AE43" s="37">
        <f>IF($H43="","",IF(AND(AE$3&lt;&gt;"",$H43&lt;=AE$3,$J43&gt;=AE$3),"■",""))</f>
        <v/>
      </c>
      <c r="AF43" s="37">
        <f>IF($H43="","",IF(AND(AF$3&lt;&gt;"",$H43&lt;=AF$3,$J43&gt;=AF$3),"■",""))</f>
        <v/>
      </c>
      <c r="AG43" s="37">
        <f>IF($H43="","",IF(AND(AG$3&lt;&gt;"",$H43&lt;=AG$3,$J43&gt;=AG$3),"■",""))</f>
        <v/>
      </c>
      <c r="AH43" s="37">
        <f>IF($H43="","",IF(AND(AH$3&lt;&gt;"",$H43&lt;=AH$3,$J43&gt;=AH$3),"■",""))</f>
        <v/>
      </c>
      <c r="AI43" s="37">
        <f>IF($H43="","",IF(AND(AI$3&lt;&gt;"",$H43&lt;=AI$3,$J43&gt;=AI$3),"■",""))</f>
        <v/>
      </c>
      <c r="AJ43" s="37">
        <f>IF($H43="","",IF(AND(AJ$3&lt;&gt;"",$H43&lt;=AJ$3,$J43&gt;=AJ$3),"■",""))</f>
        <v/>
      </c>
      <c r="AK43" s="37">
        <f>IF($H43="","",IF(AND(AK$3&lt;&gt;"",$H43&lt;=AK$3,$J43&gt;=AK$3),"■",""))</f>
        <v/>
      </c>
      <c r="AL43" s="37">
        <f>IF($H43="","",IF(AND(AL$3&lt;&gt;"",$H43&lt;=AL$3,$J43&gt;=AL$3),"■",""))</f>
        <v/>
      </c>
      <c r="AM43" s="37">
        <f>IF($H43="","",IF(AND(AM$3&lt;&gt;"",$H43&lt;=AM$3,$J43&gt;=AM$3),"■",""))</f>
        <v/>
      </c>
      <c r="AN43" s="37">
        <f>IF($H43="","",IF(AND(AN$3&lt;&gt;"",$H43&lt;=AN$3,$J43&gt;=AN$3),"■",""))</f>
        <v/>
      </c>
      <c r="AO43" s="37">
        <f>IF($H43="","",IF(AND(AO$3&lt;&gt;"",$H43&lt;=AO$3,$J43&gt;=AO$3),"■",""))</f>
        <v/>
      </c>
      <c r="AP43" s="37">
        <f>IF($H43="","",IF(AND(AP$3&lt;&gt;"",$H43&lt;=AP$3,$J43&gt;=AP$3),"■",""))</f>
        <v/>
      </c>
      <c r="AQ43" s="37">
        <f>IF($H43="","",IF(AND(AQ$3&lt;&gt;"",$H43&lt;=AQ$3,$J43&gt;=AQ$3),"■",""))</f>
        <v/>
      </c>
      <c r="AR43" s="37">
        <f>IF($H43="","",IF(AND(AR$3&lt;&gt;"",$H43&lt;=AR$3,$J43&gt;=AR$3),"■",""))</f>
        <v/>
      </c>
      <c r="AS43" s="37">
        <f>IF($H43="","",IF(AND(AS$3&lt;&gt;"",$H43&lt;=AS$3,$J43&gt;=AS$3),"■",""))</f>
        <v/>
      </c>
      <c r="AT43" s="37">
        <f>IF($H43="","",IF(AND(AT$3&lt;&gt;"",$H43&lt;=AT$3,$J43&gt;=AT$3),"■",""))</f>
        <v/>
      </c>
      <c r="AU43" s="37">
        <f>IF($H43="","",IF(AND(AU$3&lt;&gt;"",$H43&lt;=AU$3,$J43&gt;=AU$3),"■",""))</f>
        <v/>
      </c>
      <c r="AV43" s="37">
        <f>IF($H43="","",IF(AND(AV$3&lt;&gt;"",$H43&lt;=AV$3,$J43&gt;=AV$3),"■",""))</f>
        <v/>
      </c>
      <c r="AW43" s="37">
        <f>IF($H43="","",IF(AND(AW$3&lt;&gt;"",$H43&lt;=AW$3,$J43&gt;=AW$3),"■",""))</f>
        <v/>
      </c>
    </row>
    <row r="44">
      <c r="A44" s="27" t="n"/>
      <c r="B44" s="27" t="n"/>
      <c r="C44" s="28" t="n"/>
      <c r="D44" s="19" t="n"/>
      <c r="E44" s="28" t="n"/>
      <c r="F44" s="19" t="n"/>
      <c r="G44" s="29" t="n"/>
      <c r="H44" s="30" t="n"/>
      <c r="I44" s="17">
        <f>IFERROR(INDEX('④설정'!$E$7:$E$16,MATCH(C44,'④설정'!$D$7:$D$16,0)),"")</f>
        <v/>
      </c>
      <c r="J44" s="31">
        <f>IF(OR($H44="",$I44=""),"",WORKDAY($H44,$I44-1))</f>
        <v/>
      </c>
      <c r="K44" s="32">
        <f>IF($J44="","",IF($F44="완료","완료",$J44-'④설정'!$B$1))</f>
        <v/>
      </c>
      <c r="L44" s="33">
        <f>IF($J44="","",IF($F44="완료","✅완료",IF($J44&lt;'④설정'!$B$1,"🔴지연",IF($J44&lt;='④설정'!$B$1+2,"🔴임박",IF($J44&lt;='④설정'!$B$1+5,"🟡주의","🟢여유")))))</f>
        <v/>
      </c>
      <c r="M44" s="34" t="n"/>
      <c r="N44" s="34" t="n"/>
      <c r="O44" s="34" t="n"/>
      <c r="P44" s="34" t="n"/>
      <c r="Q44" s="35">
        <f>IF(SUM(M44:P44)=0,"",SUM(M44:P44))</f>
        <v/>
      </c>
      <c r="R44" s="36">
        <f>IF(Q44="","",Q44/'④설정'!$B$3)</f>
        <v/>
      </c>
      <c r="S44" s="37">
        <f>IF($H44="","",IF(AND(S$3&lt;&gt;"",$H44&lt;=S$3,$J44&gt;=S$3),"■",""))</f>
        <v/>
      </c>
      <c r="T44" s="37">
        <f>IF($H44="","",IF(AND(T$3&lt;&gt;"",$H44&lt;=T$3,$J44&gt;=T$3),"■",""))</f>
        <v/>
      </c>
      <c r="U44" s="37">
        <f>IF($H44="","",IF(AND(U$3&lt;&gt;"",$H44&lt;=U$3,$J44&gt;=U$3),"■",""))</f>
        <v/>
      </c>
      <c r="V44" s="37">
        <f>IF($H44="","",IF(AND(V$3&lt;&gt;"",$H44&lt;=V$3,$J44&gt;=V$3),"■",""))</f>
        <v/>
      </c>
      <c r="W44" s="37">
        <f>IF($H44="","",IF(AND(W$3&lt;&gt;"",$H44&lt;=W$3,$J44&gt;=W$3),"■",""))</f>
        <v/>
      </c>
      <c r="X44" s="37">
        <f>IF($H44="","",IF(AND(X$3&lt;&gt;"",$H44&lt;=X$3,$J44&gt;=X$3),"■",""))</f>
        <v/>
      </c>
      <c r="Y44" s="37">
        <f>IF($H44="","",IF(AND(Y$3&lt;&gt;"",$H44&lt;=Y$3,$J44&gt;=Y$3),"■",""))</f>
        <v/>
      </c>
      <c r="Z44" s="37">
        <f>IF($H44="","",IF(AND(Z$3&lt;&gt;"",$H44&lt;=Z$3,$J44&gt;=Z$3),"■",""))</f>
        <v/>
      </c>
      <c r="AA44" s="37">
        <f>IF($H44="","",IF(AND(AA$3&lt;&gt;"",$H44&lt;=AA$3,$J44&gt;=AA$3),"■",""))</f>
        <v/>
      </c>
      <c r="AB44" s="37">
        <f>IF($H44="","",IF(AND(AB$3&lt;&gt;"",$H44&lt;=AB$3,$J44&gt;=AB$3),"■",""))</f>
        <v/>
      </c>
      <c r="AC44" s="37">
        <f>IF($H44="","",IF(AND(AC$3&lt;&gt;"",$H44&lt;=AC$3,$J44&gt;=AC$3),"■",""))</f>
        <v/>
      </c>
      <c r="AD44" s="37">
        <f>IF($H44="","",IF(AND(AD$3&lt;&gt;"",$H44&lt;=AD$3,$J44&gt;=AD$3),"■",""))</f>
        <v/>
      </c>
      <c r="AE44" s="37">
        <f>IF($H44="","",IF(AND(AE$3&lt;&gt;"",$H44&lt;=AE$3,$J44&gt;=AE$3),"■",""))</f>
        <v/>
      </c>
      <c r="AF44" s="37">
        <f>IF($H44="","",IF(AND(AF$3&lt;&gt;"",$H44&lt;=AF$3,$J44&gt;=AF$3),"■",""))</f>
        <v/>
      </c>
      <c r="AG44" s="37">
        <f>IF($H44="","",IF(AND(AG$3&lt;&gt;"",$H44&lt;=AG$3,$J44&gt;=AG$3),"■",""))</f>
        <v/>
      </c>
      <c r="AH44" s="37">
        <f>IF($H44="","",IF(AND(AH$3&lt;&gt;"",$H44&lt;=AH$3,$J44&gt;=AH$3),"■",""))</f>
        <v/>
      </c>
      <c r="AI44" s="37">
        <f>IF($H44="","",IF(AND(AI$3&lt;&gt;"",$H44&lt;=AI$3,$J44&gt;=AI$3),"■",""))</f>
        <v/>
      </c>
      <c r="AJ44" s="37">
        <f>IF($H44="","",IF(AND(AJ$3&lt;&gt;"",$H44&lt;=AJ$3,$J44&gt;=AJ$3),"■",""))</f>
        <v/>
      </c>
      <c r="AK44" s="37">
        <f>IF($H44="","",IF(AND(AK$3&lt;&gt;"",$H44&lt;=AK$3,$J44&gt;=AK$3),"■",""))</f>
        <v/>
      </c>
      <c r="AL44" s="37">
        <f>IF($H44="","",IF(AND(AL$3&lt;&gt;"",$H44&lt;=AL$3,$J44&gt;=AL$3),"■",""))</f>
        <v/>
      </c>
      <c r="AM44" s="37">
        <f>IF($H44="","",IF(AND(AM$3&lt;&gt;"",$H44&lt;=AM$3,$J44&gt;=AM$3),"■",""))</f>
        <v/>
      </c>
      <c r="AN44" s="37">
        <f>IF($H44="","",IF(AND(AN$3&lt;&gt;"",$H44&lt;=AN$3,$J44&gt;=AN$3),"■",""))</f>
        <v/>
      </c>
      <c r="AO44" s="37">
        <f>IF($H44="","",IF(AND(AO$3&lt;&gt;"",$H44&lt;=AO$3,$J44&gt;=AO$3),"■",""))</f>
        <v/>
      </c>
      <c r="AP44" s="37">
        <f>IF($H44="","",IF(AND(AP$3&lt;&gt;"",$H44&lt;=AP$3,$J44&gt;=AP$3),"■",""))</f>
        <v/>
      </c>
      <c r="AQ44" s="37">
        <f>IF($H44="","",IF(AND(AQ$3&lt;&gt;"",$H44&lt;=AQ$3,$J44&gt;=AQ$3),"■",""))</f>
        <v/>
      </c>
      <c r="AR44" s="37">
        <f>IF($H44="","",IF(AND(AR$3&lt;&gt;"",$H44&lt;=AR$3,$J44&gt;=AR$3),"■",""))</f>
        <v/>
      </c>
      <c r="AS44" s="37">
        <f>IF($H44="","",IF(AND(AS$3&lt;&gt;"",$H44&lt;=AS$3,$J44&gt;=AS$3),"■",""))</f>
        <v/>
      </c>
      <c r="AT44" s="37">
        <f>IF($H44="","",IF(AND(AT$3&lt;&gt;"",$H44&lt;=AT$3,$J44&gt;=AT$3),"■",""))</f>
        <v/>
      </c>
      <c r="AU44" s="37">
        <f>IF($H44="","",IF(AND(AU$3&lt;&gt;"",$H44&lt;=AU$3,$J44&gt;=AU$3),"■",""))</f>
        <v/>
      </c>
      <c r="AV44" s="37">
        <f>IF($H44="","",IF(AND(AV$3&lt;&gt;"",$H44&lt;=AV$3,$J44&gt;=AV$3),"■",""))</f>
        <v/>
      </c>
      <c r="AW44" s="37">
        <f>IF($H44="","",IF(AND(AW$3&lt;&gt;"",$H44&lt;=AW$3,$J44&gt;=AW$3),"■",""))</f>
        <v/>
      </c>
    </row>
    <row r="45">
      <c r="A45" s="27" t="n"/>
      <c r="B45" s="27" t="n"/>
      <c r="C45" s="28" t="n"/>
      <c r="D45" s="19" t="n"/>
      <c r="E45" s="28" t="n"/>
      <c r="F45" s="19" t="n"/>
      <c r="G45" s="29" t="n"/>
      <c r="H45" s="30" t="n"/>
      <c r="I45" s="17">
        <f>IFERROR(INDEX('④설정'!$E$7:$E$16,MATCH(C45,'④설정'!$D$7:$D$16,0)),"")</f>
        <v/>
      </c>
      <c r="J45" s="31">
        <f>IF(OR($H45="",$I45=""),"",WORKDAY($H45,$I45-1))</f>
        <v/>
      </c>
      <c r="K45" s="32">
        <f>IF($J45="","",IF($F45="완료","완료",$J45-'④설정'!$B$1))</f>
        <v/>
      </c>
      <c r="L45" s="33">
        <f>IF($J45="","",IF($F45="완료","✅완료",IF($J45&lt;'④설정'!$B$1,"🔴지연",IF($J45&lt;='④설정'!$B$1+2,"🔴임박",IF($J45&lt;='④설정'!$B$1+5,"🟡주의","🟢여유")))))</f>
        <v/>
      </c>
      <c r="M45" s="34" t="n"/>
      <c r="N45" s="34" t="n"/>
      <c r="O45" s="34" t="n"/>
      <c r="P45" s="34" t="n"/>
      <c r="Q45" s="35">
        <f>IF(SUM(M45:P45)=0,"",SUM(M45:P45))</f>
        <v/>
      </c>
      <c r="R45" s="36">
        <f>IF(Q45="","",Q45/'④설정'!$B$3)</f>
        <v/>
      </c>
      <c r="S45" s="37">
        <f>IF($H45="","",IF(AND(S$3&lt;&gt;"",$H45&lt;=S$3,$J45&gt;=S$3),"■",""))</f>
        <v/>
      </c>
      <c r="T45" s="37">
        <f>IF($H45="","",IF(AND(T$3&lt;&gt;"",$H45&lt;=T$3,$J45&gt;=T$3),"■",""))</f>
        <v/>
      </c>
      <c r="U45" s="37">
        <f>IF($H45="","",IF(AND(U$3&lt;&gt;"",$H45&lt;=U$3,$J45&gt;=U$3),"■",""))</f>
        <v/>
      </c>
      <c r="V45" s="37">
        <f>IF($H45="","",IF(AND(V$3&lt;&gt;"",$H45&lt;=V$3,$J45&gt;=V$3),"■",""))</f>
        <v/>
      </c>
      <c r="W45" s="37">
        <f>IF($H45="","",IF(AND(W$3&lt;&gt;"",$H45&lt;=W$3,$J45&gt;=W$3),"■",""))</f>
        <v/>
      </c>
      <c r="X45" s="37">
        <f>IF($H45="","",IF(AND(X$3&lt;&gt;"",$H45&lt;=X$3,$J45&gt;=X$3),"■",""))</f>
        <v/>
      </c>
      <c r="Y45" s="37">
        <f>IF($H45="","",IF(AND(Y$3&lt;&gt;"",$H45&lt;=Y$3,$J45&gt;=Y$3),"■",""))</f>
        <v/>
      </c>
      <c r="Z45" s="37">
        <f>IF($H45="","",IF(AND(Z$3&lt;&gt;"",$H45&lt;=Z$3,$J45&gt;=Z$3),"■",""))</f>
        <v/>
      </c>
      <c r="AA45" s="37">
        <f>IF($H45="","",IF(AND(AA$3&lt;&gt;"",$H45&lt;=AA$3,$J45&gt;=AA$3),"■",""))</f>
        <v/>
      </c>
      <c r="AB45" s="37">
        <f>IF($H45="","",IF(AND(AB$3&lt;&gt;"",$H45&lt;=AB$3,$J45&gt;=AB$3),"■",""))</f>
        <v/>
      </c>
      <c r="AC45" s="37">
        <f>IF($H45="","",IF(AND(AC$3&lt;&gt;"",$H45&lt;=AC$3,$J45&gt;=AC$3),"■",""))</f>
        <v/>
      </c>
      <c r="AD45" s="37">
        <f>IF($H45="","",IF(AND(AD$3&lt;&gt;"",$H45&lt;=AD$3,$J45&gt;=AD$3),"■",""))</f>
        <v/>
      </c>
      <c r="AE45" s="37">
        <f>IF($H45="","",IF(AND(AE$3&lt;&gt;"",$H45&lt;=AE$3,$J45&gt;=AE$3),"■",""))</f>
        <v/>
      </c>
      <c r="AF45" s="37">
        <f>IF($H45="","",IF(AND(AF$3&lt;&gt;"",$H45&lt;=AF$3,$J45&gt;=AF$3),"■",""))</f>
        <v/>
      </c>
      <c r="AG45" s="37">
        <f>IF($H45="","",IF(AND(AG$3&lt;&gt;"",$H45&lt;=AG$3,$J45&gt;=AG$3),"■",""))</f>
        <v/>
      </c>
      <c r="AH45" s="37">
        <f>IF($H45="","",IF(AND(AH$3&lt;&gt;"",$H45&lt;=AH$3,$J45&gt;=AH$3),"■",""))</f>
        <v/>
      </c>
      <c r="AI45" s="37">
        <f>IF($H45="","",IF(AND(AI$3&lt;&gt;"",$H45&lt;=AI$3,$J45&gt;=AI$3),"■",""))</f>
        <v/>
      </c>
      <c r="AJ45" s="37">
        <f>IF($H45="","",IF(AND(AJ$3&lt;&gt;"",$H45&lt;=AJ$3,$J45&gt;=AJ$3),"■",""))</f>
        <v/>
      </c>
      <c r="AK45" s="37">
        <f>IF($H45="","",IF(AND(AK$3&lt;&gt;"",$H45&lt;=AK$3,$J45&gt;=AK$3),"■",""))</f>
        <v/>
      </c>
      <c r="AL45" s="37">
        <f>IF($H45="","",IF(AND(AL$3&lt;&gt;"",$H45&lt;=AL$3,$J45&gt;=AL$3),"■",""))</f>
        <v/>
      </c>
      <c r="AM45" s="37">
        <f>IF($H45="","",IF(AND(AM$3&lt;&gt;"",$H45&lt;=AM$3,$J45&gt;=AM$3),"■",""))</f>
        <v/>
      </c>
      <c r="AN45" s="37">
        <f>IF($H45="","",IF(AND(AN$3&lt;&gt;"",$H45&lt;=AN$3,$J45&gt;=AN$3),"■",""))</f>
        <v/>
      </c>
      <c r="AO45" s="37">
        <f>IF($H45="","",IF(AND(AO$3&lt;&gt;"",$H45&lt;=AO$3,$J45&gt;=AO$3),"■",""))</f>
        <v/>
      </c>
      <c r="AP45" s="37">
        <f>IF($H45="","",IF(AND(AP$3&lt;&gt;"",$H45&lt;=AP$3,$J45&gt;=AP$3),"■",""))</f>
        <v/>
      </c>
      <c r="AQ45" s="37">
        <f>IF($H45="","",IF(AND(AQ$3&lt;&gt;"",$H45&lt;=AQ$3,$J45&gt;=AQ$3),"■",""))</f>
        <v/>
      </c>
      <c r="AR45" s="37">
        <f>IF($H45="","",IF(AND(AR$3&lt;&gt;"",$H45&lt;=AR$3,$J45&gt;=AR$3),"■",""))</f>
        <v/>
      </c>
      <c r="AS45" s="37">
        <f>IF($H45="","",IF(AND(AS$3&lt;&gt;"",$H45&lt;=AS$3,$J45&gt;=AS$3),"■",""))</f>
        <v/>
      </c>
      <c r="AT45" s="37">
        <f>IF($H45="","",IF(AND(AT$3&lt;&gt;"",$H45&lt;=AT$3,$J45&gt;=AT$3),"■",""))</f>
        <v/>
      </c>
      <c r="AU45" s="37">
        <f>IF($H45="","",IF(AND(AU$3&lt;&gt;"",$H45&lt;=AU$3,$J45&gt;=AU$3),"■",""))</f>
        <v/>
      </c>
      <c r="AV45" s="37">
        <f>IF($H45="","",IF(AND(AV$3&lt;&gt;"",$H45&lt;=AV$3,$J45&gt;=AV$3),"■",""))</f>
        <v/>
      </c>
      <c r="AW45" s="37">
        <f>IF($H45="","",IF(AND(AW$3&lt;&gt;"",$H45&lt;=AW$3,$J45&gt;=AW$3),"■",""))</f>
        <v/>
      </c>
    </row>
    <row r="46">
      <c r="A46" s="27" t="n"/>
      <c r="B46" s="27" t="n"/>
      <c r="C46" s="28" t="n"/>
      <c r="D46" s="19" t="n"/>
      <c r="E46" s="28" t="n"/>
      <c r="F46" s="19" t="n"/>
      <c r="G46" s="29" t="n"/>
      <c r="H46" s="30" t="n"/>
      <c r="I46" s="17">
        <f>IFERROR(INDEX('④설정'!$E$7:$E$16,MATCH(C46,'④설정'!$D$7:$D$16,0)),"")</f>
        <v/>
      </c>
      <c r="J46" s="31">
        <f>IF(OR($H46="",$I46=""),"",WORKDAY($H46,$I46-1))</f>
        <v/>
      </c>
      <c r="K46" s="32">
        <f>IF($J46="","",IF($F46="완료","완료",$J46-'④설정'!$B$1))</f>
        <v/>
      </c>
      <c r="L46" s="33">
        <f>IF($J46="","",IF($F46="완료","✅완료",IF($J46&lt;'④설정'!$B$1,"🔴지연",IF($J46&lt;='④설정'!$B$1+2,"🔴임박",IF($J46&lt;='④설정'!$B$1+5,"🟡주의","🟢여유")))))</f>
        <v/>
      </c>
      <c r="M46" s="34" t="n"/>
      <c r="N46" s="34" t="n"/>
      <c r="O46" s="34" t="n"/>
      <c r="P46" s="34" t="n"/>
      <c r="Q46" s="35">
        <f>IF(SUM(M46:P46)=0,"",SUM(M46:P46))</f>
        <v/>
      </c>
      <c r="R46" s="36">
        <f>IF(Q46="","",Q46/'④설정'!$B$3)</f>
        <v/>
      </c>
      <c r="S46" s="37">
        <f>IF($H46="","",IF(AND(S$3&lt;&gt;"",$H46&lt;=S$3,$J46&gt;=S$3),"■",""))</f>
        <v/>
      </c>
      <c r="T46" s="37">
        <f>IF($H46="","",IF(AND(T$3&lt;&gt;"",$H46&lt;=T$3,$J46&gt;=T$3),"■",""))</f>
        <v/>
      </c>
      <c r="U46" s="37">
        <f>IF($H46="","",IF(AND(U$3&lt;&gt;"",$H46&lt;=U$3,$J46&gt;=U$3),"■",""))</f>
        <v/>
      </c>
      <c r="V46" s="37">
        <f>IF($H46="","",IF(AND(V$3&lt;&gt;"",$H46&lt;=V$3,$J46&gt;=V$3),"■",""))</f>
        <v/>
      </c>
      <c r="W46" s="37">
        <f>IF($H46="","",IF(AND(W$3&lt;&gt;"",$H46&lt;=W$3,$J46&gt;=W$3),"■",""))</f>
        <v/>
      </c>
      <c r="X46" s="37">
        <f>IF($H46="","",IF(AND(X$3&lt;&gt;"",$H46&lt;=X$3,$J46&gt;=X$3),"■",""))</f>
        <v/>
      </c>
      <c r="Y46" s="37">
        <f>IF($H46="","",IF(AND(Y$3&lt;&gt;"",$H46&lt;=Y$3,$J46&gt;=Y$3),"■",""))</f>
        <v/>
      </c>
      <c r="Z46" s="37">
        <f>IF($H46="","",IF(AND(Z$3&lt;&gt;"",$H46&lt;=Z$3,$J46&gt;=Z$3),"■",""))</f>
        <v/>
      </c>
      <c r="AA46" s="37">
        <f>IF($H46="","",IF(AND(AA$3&lt;&gt;"",$H46&lt;=AA$3,$J46&gt;=AA$3),"■",""))</f>
        <v/>
      </c>
      <c r="AB46" s="37">
        <f>IF($H46="","",IF(AND(AB$3&lt;&gt;"",$H46&lt;=AB$3,$J46&gt;=AB$3),"■",""))</f>
        <v/>
      </c>
      <c r="AC46" s="37">
        <f>IF($H46="","",IF(AND(AC$3&lt;&gt;"",$H46&lt;=AC$3,$J46&gt;=AC$3),"■",""))</f>
        <v/>
      </c>
      <c r="AD46" s="37">
        <f>IF($H46="","",IF(AND(AD$3&lt;&gt;"",$H46&lt;=AD$3,$J46&gt;=AD$3),"■",""))</f>
        <v/>
      </c>
      <c r="AE46" s="37">
        <f>IF($H46="","",IF(AND(AE$3&lt;&gt;"",$H46&lt;=AE$3,$J46&gt;=AE$3),"■",""))</f>
        <v/>
      </c>
      <c r="AF46" s="37">
        <f>IF($H46="","",IF(AND(AF$3&lt;&gt;"",$H46&lt;=AF$3,$J46&gt;=AF$3),"■",""))</f>
        <v/>
      </c>
      <c r="AG46" s="37">
        <f>IF($H46="","",IF(AND(AG$3&lt;&gt;"",$H46&lt;=AG$3,$J46&gt;=AG$3),"■",""))</f>
        <v/>
      </c>
      <c r="AH46" s="37">
        <f>IF($H46="","",IF(AND(AH$3&lt;&gt;"",$H46&lt;=AH$3,$J46&gt;=AH$3),"■",""))</f>
        <v/>
      </c>
      <c r="AI46" s="37">
        <f>IF($H46="","",IF(AND(AI$3&lt;&gt;"",$H46&lt;=AI$3,$J46&gt;=AI$3),"■",""))</f>
        <v/>
      </c>
      <c r="AJ46" s="37">
        <f>IF($H46="","",IF(AND(AJ$3&lt;&gt;"",$H46&lt;=AJ$3,$J46&gt;=AJ$3),"■",""))</f>
        <v/>
      </c>
      <c r="AK46" s="37">
        <f>IF($H46="","",IF(AND(AK$3&lt;&gt;"",$H46&lt;=AK$3,$J46&gt;=AK$3),"■",""))</f>
        <v/>
      </c>
      <c r="AL46" s="37">
        <f>IF($H46="","",IF(AND(AL$3&lt;&gt;"",$H46&lt;=AL$3,$J46&gt;=AL$3),"■",""))</f>
        <v/>
      </c>
      <c r="AM46" s="37">
        <f>IF($H46="","",IF(AND(AM$3&lt;&gt;"",$H46&lt;=AM$3,$J46&gt;=AM$3),"■",""))</f>
        <v/>
      </c>
      <c r="AN46" s="37">
        <f>IF($H46="","",IF(AND(AN$3&lt;&gt;"",$H46&lt;=AN$3,$J46&gt;=AN$3),"■",""))</f>
        <v/>
      </c>
      <c r="AO46" s="37">
        <f>IF($H46="","",IF(AND(AO$3&lt;&gt;"",$H46&lt;=AO$3,$J46&gt;=AO$3),"■",""))</f>
        <v/>
      </c>
      <c r="AP46" s="37">
        <f>IF($H46="","",IF(AND(AP$3&lt;&gt;"",$H46&lt;=AP$3,$J46&gt;=AP$3),"■",""))</f>
        <v/>
      </c>
      <c r="AQ46" s="37">
        <f>IF($H46="","",IF(AND(AQ$3&lt;&gt;"",$H46&lt;=AQ$3,$J46&gt;=AQ$3),"■",""))</f>
        <v/>
      </c>
      <c r="AR46" s="37">
        <f>IF($H46="","",IF(AND(AR$3&lt;&gt;"",$H46&lt;=AR$3,$J46&gt;=AR$3),"■",""))</f>
        <v/>
      </c>
      <c r="AS46" s="37">
        <f>IF($H46="","",IF(AND(AS$3&lt;&gt;"",$H46&lt;=AS$3,$J46&gt;=AS$3),"■",""))</f>
        <v/>
      </c>
      <c r="AT46" s="37">
        <f>IF($H46="","",IF(AND(AT$3&lt;&gt;"",$H46&lt;=AT$3,$J46&gt;=AT$3),"■",""))</f>
        <v/>
      </c>
      <c r="AU46" s="37">
        <f>IF($H46="","",IF(AND(AU$3&lt;&gt;"",$H46&lt;=AU$3,$J46&gt;=AU$3),"■",""))</f>
        <v/>
      </c>
      <c r="AV46" s="37">
        <f>IF($H46="","",IF(AND(AV$3&lt;&gt;"",$H46&lt;=AV$3,$J46&gt;=AV$3),"■",""))</f>
        <v/>
      </c>
      <c r="AW46" s="37">
        <f>IF($H46="","",IF(AND(AW$3&lt;&gt;"",$H46&lt;=AW$3,$J46&gt;=AW$3),"■",""))</f>
        <v/>
      </c>
    </row>
    <row r="47">
      <c r="A47" s="27" t="n"/>
      <c r="B47" s="27" t="n"/>
      <c r="C47" s="28" t="n"/>
      <c r="D47" s="19" t="n"/>
      <c r="E47" s="28" t="n"/>
      <c r="F47" s="19" t="n"/>
      <c r="G47" s="29" t="n"/>
      <c r="H47" s="30" t="n"/>
      <c r="I47" s="17">
        <f>IFERROR(INDEX('④설정'!$E$7:$E$16,MATCH(C47,'④설정'!$D$7:$D$16,0)),"")</f>
        <v/>
      </c>
      <c r="J47" s="31">
        <f>IF(OR($H47="",$I47=""),"",WORKDAY($H47,$I47-1))</f>
        <v/>
      </c>
      <c r="K47" s="32">
        <f>IF($J47="","",IF($F47="완료","완료",$J47-'④설정'!$B$1))</f>
        <v/>
      </c>
      <c r="L47" s="33">
        <f>IF($J47="","",IF($F47="완료","✅완료",IF($J47&lt;'④설정'!$B$1,"🔴지연",IF($J47&lt;='④설정'!$B$1+2,"🔴임박",IF($J47&lt;='④설정'!$B$1+5,"🟡주의","🟢여유")))))</f>
        <v/>
      </c>
      <c r="M47" s="34" t="n"/>
      <c r="N47" s="34" t="n"/>
      <c r="O47" s="34" t="n"/>
      <c r="P47" s="34" t="n"/>
      <c r="Q47" s="35">
        <f>IF(SUM(M47:P47)=0,"",SUM(M47:P47))</f>
        <v/>
      </c>
      <c r="R47" s="36">
        <f>IF(Q47="","",Q47/'④설정'!$B$3)</f>
        <v/>
      </c>
      <c r="S47" s="37">
        <f>IF($H47="","",IF(AND(S$3&lt;&gt;"",$H47&lt;=S$3,$J47&gt;=S$3),"■",""))</f>
        <v/>
      </c>
      <c r="T47" s="37">
        <f>IF($H47="","",IF(AND(T$3&lt;&gt;"",$H47&lt;=T$3,$J47&gt;=T$3),"■",""))</f>
        <v/>
      </c>
      <c r="U47" s="37">
        <f>IF($H47="","",IF(AND(U$3&lt;&gt;"",$H47&lt;=U$3,$J47&gt;=U$3),"■",""))</f>
        <v/>
      </c>
      <c r="V47" s="37">
        <f>IF($H47="","",IF(AND(V$3&lt;&gt;"",$H47&lt;=V$3,$J47&gt;=V$3),"■",""))</f>
        <v/>
      </c>
      <c r="W47" s="37">
        <f>IF($H47="","",IF(AND(W$3&lt;&gt;"",$H47&lt;=W$3,$J47&gt;=W$3),"■",""))</f>
        <v/>
      </c>
      <c r="X47" s="37">
        <f>IF($H47="","",IF(AND(X$3&lt;&gt;"",$H47&lt;=X$3,$J47&gt;=X$3),"■",""))</f>
        <v/>
      </c>
      <c r="Y47" s="37">
        <f>IF($H47="","",IF(AND(Y$3&lt;&gt;"",$H47&lt;=Y$3,$J47&gt;=Y$3),"■",""))</f>
        <v/>
      </c>
      <c r="Z47" s="37">
        <f>IF($H47="","",IF(AND(Z$3&lt;&gt;"",$H47&lt;=Z$3,$J47&gt;=Z$3),"■",""))</f>
        <v/>
      </c>
      <c r="AA47" s="37">
        <f>IF($H47="","",IF(AND(AA$3&lt;&gt;"",$H47&lt;=AA$3,$J47&gt;=AA$3),"■",""))</f>
        <v/>
      </c>
      <c r="AB47" s="37">
        <f>IF($H47="","",IF(AND(AB$3&lt;&gt;"",$H47&lt;=AB$3,$J47&gt;=AB$3),"■",""))</f>
        <v/>
      </c>
      <c r="AC47" s="37">
        <f>IF($H47="","",IF(AND(AC$3&lt;&gt;"",$H47&lt;=AC$3,$J47&gt;=AC$3),"■",""))</f>
        <v/>
      </c>
      <c r="AD47" s="37">
        <f>IF($H47="","",IF(AND(AD$3&lt;&gt;"",$H47&lt;=AD$3,$J47&gt;=AD$3),"■",""))</f>
        <v/>
      </c>
      <c r="AE47" s="37">
        <f>IF($H47="","",IF(AND(AE$3&lt;&gt;"",$H47&lt;=AE$3,$J47&gt;=AE$3),"■",""))</f>
        <v/>
      </c>
      <c r="AF47" s="37">
        <f>IF($H47="","",IF(AND(AF$3&lt;&gt;"",$H47&lt;=AF$3,$J47&gt;=AF$3),"■",""))</f>
        <v/>
      </c>
      <c r="AG47" s="37">
        <f>IF($H47="","",IF(AND(AG$3&lt;&gt;"",$H47&lt;=AG$3,$J47&gt;=AG$3),"■",""))</f>
        <v/>
      </c>
      <c r="AH47" s="37">
        <f>IF($H47="","",IF(AND(AH$3&lt;&gt;"",$H47&lt;=AH$3,$J47&gt;=AH$3),"■",""))</f>
        <v/>
      </c>
      <c r="AI47" s="37">
        <f>IF($H47="","",IF(AND(AI$3&lt;&gt;"",$H47&lt;=AI$3,$J47&gt;=AI$3),"■",""))</f>
        <v/>
      </c>
      <c r="AJ47" s="37">
        <f>IF($H47="","",IF(AND(AJ$3&lt;&gt;"",$H47&lt;=AJ$3,$J47&gt;=AJ$3),"■",""))</f>
        <v/>
      </c>
      <c r="AK47" s="37">
        <f>IF($H47="","",IF(AND(AK$3&lt;&gt;"",$H47&lt;=AK$3,$J47&gt;=AK$3),"■",""))</f>
        <v/>
      </c>
      <c r="AL47" s="37">
        <f>IF($H47="","",IF(AND(AL$3&lt;&gt;"",$H47&lt;=AL$3,$J47&gt;=AL$3),"■",""))</f>
        <v/>
      </c>
      <c r="AM47" s="37">
        <f>IF($H47="","",IF(AND(AM$3&lt;&gt;"",$H47&lt;=AM$3,$J47&gt;=AM$3),"■",""))</f>
        <v/>
      </c>
      <c r="AN47" s="37">
        <f>IF($H47="","",IF(AND(AN$3&lt;&gt;"",$H47&lt;=AN$3,$J47&gt;=AN$3),"■",""))</f>
        <v/>
      </c>
      <c r="AO47" s="37">
        <f>IF($H47="","",IF(AND(AO$3&lt;&gt;"",$H47&lt;=AO$3,$J47&gt;=AO$3),"■",""))</f>
        <v/>
      </c>
      <c r="AP47" s="37">
        <f>IF($H47="","",IF(AND(AP$3&lt;&gt;"",$H47&lt;=AP$3,$J47&gt;=AP$3),"■",""))</f>
        <v/>
      </c>
      <c r="AQ47" s="37">
        <f>IF($H47="","",IF(AND(AQ$3&lt;&gt;"",$H47&lt;=AQ$3,$J47&gt;=AQ$3),"■",""))</f>
        <v/>
      </c>
      <c r="AR47" s="37">
        <f>IF($H47="","",IF(AND(AR$3&lt;&gt;"",$H47&lt;=AR$3,$J47&gt;=AR$3),"■",""))</f>
        <v/>
      </c>
      <c r="AS47" s="37">
        <f>IF($H47="","",IF(AND(AS$3&lt;&gt;"",$H47&lt;=AS$3,$J47&gt;=AS$3),"■",""))</f>
        <v/>
      </c>
      <c r="AT47" s="37">
        <f>IF($H47="","",IF(AND(AT$3&lt;&gt;"",$H47&lt;=AT$3,$J47&gt;=AT$3),"■",""))</f>
        <v/>
      </c>
      <c r="AU47" s="37">
        <f>IF($H47="","",IF(AND(AU$3&lt;&gt;"",$H47&lt;=AU$3,$J47&gt;=AU$3),"■",""))</f>
        <v/>
      </c>
      <c r="AV47" s="37">
        <f>IF($H47="","",IF(AND(AV$3&lt;&gt;"",$H47&lt;=AV$3,$J47&gt;=AV$3),"■",""))</f>
        <v/>
      </c>
      <c r="AW47" s="37">
        <f>IF($H47="","",IF(AND(AW$3&lt;&gt;"",$H47&lt;=AW$3,$J47&gt;=AW$3),"■",""))</f>
        <v/>
      </c>
    </row>
    <row r="48">
      <c r="A48" s="27" t="n"/>
      <c r="B48" s="27" t="n"/>
      <c r="C48" s="28" t="n"/>
      <c r="D48" s="19" t="n"/>
      <c r="E48" s="28" t="n"/>
      <c r="F48" s="19" t="n"/>
      <c r="G48" s="29" t="n"/>
      <c r="H48" s="30" t="n"/>
      <c r="I48" s="17">
        <f>IFERROR(INDEX('④설정'!$E$7:$E$16,MATCH(C48,'④설정'!$D$7:$D$16,0)),"")</f>
        <v/>
      </c>
      <c r="J48" s="31">
        <f>IF(OR($H48="",$I48=""),"",WORKDAY($H48,$I48-1))</f>
        <v/>
      </c>
      <c r="K48" s="32">
        <f>IF($J48="","",IF($F48="완료","완료",$J48-'④설정'!$B$1))</f>
        <v/>
      </c>
      <c r="L48" s="33">
        <f>IF($J48="","",IF($F48="완료","✅완료",IF($J48&lt;'④설정'!$B$1,"🔴지연",IF($J48&lt;='④설정'!$B$1+2,"🔴임박",IF($J48&lt;='④설정'!$B$1+5,"🟡주의","🟢여유")))))</f>
        <v/>
      </c>
      <c r="M48" s="34" t="n"/>
      <c r="N48" s="34" t="n"/>
      <c r="O48" s="34" t="n"/>
      <c r="P48" s="34" t="n"/>
      <c r="Q48" s="35">
        <f>IF(SUM(M48:P48)=0,"",SUM(M48:P48))</f>
        <v/>
      </c>
      <c r="R48" s="36">
        <f>IF(Q48="","",Q48/'④설정'!$B$3)</f>
        <v/>
      </c>
      <c r="S48" s="37">
        <f>IF($H48="","",IF(AND(S$3&lt;&gt;"",$H48&lt;=S$3,$J48&gt;=S$3),"■",""))</f>
        <v/>
      </c>
      <c r="T48" s="37">
        <f>IF($H48="","",IF(AND(T$3&lt;&gt;"",$H48&lt;=T$3,$J48&gt;=T$3),"■",""))</f>
        <v/>
      </c>
      <c r="U48" s="37">
        <f>IF($H48="","",IF(AND(U$3&lt;&gt;"",$H48&lt;=U$3,$J48&gt;=U$3),"■",""))</f>
        <v/>
      </c>
      <c r="V48" s="37">
        <f>IF($H48="","",IF(AND(V$3&lt;&gt;"",$H48&lt;=V$3,$J48&gt;=V$3),"■",""))</f>
        <v/>
      </c>
      <c r="W48" s="37">
        <f>IF($H48="","",IF(AND(W$3&lt;&gt;"",$H48&lt;=W$3,$J48&gt;=W$3),"■",""))</f>
        <v/>
      </c>
      <c r="X48" s="37">
        <f>IF($H48="","",IF(AND(X$3&lt;&gt;"",$H48&lt;=X$3,$J48&gt;=X$3),"■",""))</f>
        <v/>
      </c>
      <c r="Y48" s="37">
        <f>IF($H48="","",IF(AND(Y$3&lt;&gt;"",$H48&lt;=Y$3,$J48&gt;=Y$3),"■",""))</f>
        <v/>
      </c>
      <c r="Z48" s="37">
        <f>IF($H48="","",IF(AND(Z$3&lt;&gt;"",$H48&lt;=Z$3,$J48&gt;=Z$3),"■",""))</f>
        <v/>
      </c>
      <c r="AA48" s="37">
        <f>IF($H48="","",IF(AND(AA$3&lt;&gt;"",$H48&lt;=AA$3,$J48&gt;=AA$3),"■",""))</f>
        <v/>
      </c>
      <c r="AB48" s="37">
        <f>IF($H48="","",IF(AND(AB$3&lt;&gt;"",$H48&lt;=AB$3,$J48&gt;=AB$3),"■",""))</f>
        <v/>
      </c>
      <c r="AC48" s="37">
        <f>IF($H48="","",IF(AND(AC$3&lt;&gt;"",$H48&lt;=AC$3,$J48&gt;=AC$3),"■",""))</f>
        <v/>
      </c>
      <c r="AD48" s="37">
        <f>IF($H48="","",IF(AND(AD$3&lt;&gt;"",$H48&lt;=AD$3,$J48&gt;=AD$3),"■",""))</f>
        <v/>
      </c>
      <c r="AE48" s="37">
        <f>IF($H48="","",IF(AND(AE$3&lt;&gt;"",$H48&lt;=AE$3,$J48&gt;=AE$3),"■",""))</f>
        <v/>
      </c>
      <c r="AF48" s="37">
        <f>IF($H48="","",IF(AND(AF$3&lt;&gt;"",$H48&lt;=AF$3,$J48&gt;=AF$3),"■",""))</f>
        <v/>
      </c>
      <c r="AG48" s="37">
        <f>IF($H48="","",IF(AND(AG$3&lt;&gt;"",$H48&lt;=AG$3,$J48&gt;=AG$3),"■",""))</f>
        <v/>
      </c>
      <c r="AH48" s="37">
        <f>IF($H48="","",IF(AND(AH$3&lt;&gt;"",$H48&lt;=AH$3,$J48&gt;=AH$3),"■",""))</f>
        <v/>
      </c>
      <c r="AI48" s="37">
        <f>IF($H48="","",IF(AND(AI$3&lt;&gt;"",$H48&lt;=AI$3,$J48&gt;=AI$3),"■",""))</f>
        <v/>
      </c>
      <c r="AJ48" s="37">
        <f>IF($H48="","",IF(AND(AJ$3&lt;&gt;"",$H48&lt;=AJ$3,$J48&gt;=AJ$3),"■",""))</f>
        <v/>
      </c>
      <c r="AK48" s="37">
        <f>IF($H48="","",IF(AND(AK$3&lt;&gt;"",$H48&lt;=AK$3,$J48&gt;=AK$3),"■",""))</f>
        <v/>
      </c>
      <c r="AL48" s="37">
        <f>IF($H48="","",IF(AND(AL$3&lt;&gt;"",$H48&lt;=AL$3,$J48&gt;=AL$3),"■",""))</f>
        <v/>
      </c>
      <c r="AM48" s="37">
        <f>IF($H48="","",IF(AND(AM$3&lt;&gt;"",$H48&lt;=AM$3,$J48&gt;=AM$3),"■",""))</f>
        <v/>
      </c>
      <c r="AN48" s="37">
        <f>IF($H48="","",IF(AND(AN$3&lt;&gt;"",$H48&lt;=AN$3,$J48&gt;=AN$3),"■",""))</f>
        <v/>
      </c>
      <c r="AO48" s="37">
        <f>IF($H48="","",IF(AND(AO$3&lt;&gt;"",$H48&lt;=AO$3,$J48&gt;=AO$3),"■",""))</f>
        <v/>
      </c>
      <c r="AP48" s="37">
        <f>IF($H48="","",IF(AND(AP$3&lt;&gt;"",$H48&lt;=AP$3,$J48&gt;=AP$3),"■",""))</f>
        <v/>
      </c>
      <c r="AQ48" s="37">
        <f>IF($H48="","",IF(AND(AQ$3&lt;&gt;"",$H48&lt;=AQ$3,$J48&gt;=AQ$3),"■",""))</f>
        <v/>
      </c>
      <c r="AR48" s="37">
        <f>IF($H48="","",IF(AND(AR$3&lt;&gt;"",$H48&lt;=AR$3,$J48&gt;=AR$3),"■",""))</f>
        <v/>
      </c>
      <c r="AS48" s="37">
        <f>IF($H48="","",IF(AND(AS$3&lt;&gt;"",$H48&lt;=AS$3,$J48&gt;=AS$3),"■",""))</f>
        <v/>
      </c>
      <c r="AT48" s="37">
        <f>IF($H48="","",IF(AND(AT$3&lt;&gt;"",$H48&lt;=AT$3,$J48&gt;=AT$3),"■",""))</f>
        <v/>
      </c>
      <c r="AU48" s="37">
        <f>IF($H48="","",IF(AND(AU$3&lt;&gt;"",$H48&lt;=AU$3,$J48&gt;=AU$3),"■",""))</f>
        <v/>
      </c>
      <c r="AV48" s="37">
        <f>IF($H48="","",IF(AND(AV$3&lt;&gt;"",$H48&lt;=AV$3,$J48&gt;=AV$3),"■",""))</f>
        <v/>
      </c>
      <c r="AW48" s="37">
        <f>IF($H48="","",IF(AND(AW$3&lt;&gt;"",$H48&lt;=AW$3,$J48&gt;=AW$3),"■",""))</f>
        <v/>
      </c>
    </row>
  </sheetData>
  <mergeCells count="5">
    <mergeCell ref="M2:R2"/>
    <mergeCell ref="A1:AW1"/>
    <mergeCell ref="A2:F2"/>
    <mergeCell ref="S2:AW2"/>
    <mergeCell ref="G2:L2"/>
  </mergeCells>
  <conditionalFormatting sqref="S4:AW48">
    <cfRule type="expression" priority="1" dxfId="3">
      <formula>S4="■"</formula>
    </cfRule>
  </conditionalFormatting>
  <conditionalFormatting sqref="L4:L48">
    <cfRule type="expression" priority="2" dxfId="0">
      <formula>ISNUMBER(SEARCH("지연",L4))</formula>
    </cfRule>
    <cfRule type="expression" priority="3" dxfId="0">
      <formula>ISNUMBER(SEARCH("임박",L4))</formula>
    </cfRule>
    <cfRule type="expression" priority="4" dxfId="1">
      <formula>ISNUMBER(SEARCH("주의",L4))</formula>
    </cfRule>
    <cfRule type="expression" priority="5" dxfId="2">
      <formula>ISNUMBER(SEARCH("여유",L4))</formula>
    </cfRule>
    <cfRule type="expression" priority="6" dxfId="4">
      <formula>ISNUMBER(SEARCH("완료",L4))</formula>
    </cfRule>
  </conditionalFormatting>
  <dataValidations count="3">
    <dataValidation sqref="C4:C48" showDropDown="0" showInputMessage="0" showErrorMessage="0" allowBlank="1" type="list">
      <formula1>'④설정'!$D$7:$D$16</formula1>
    </dataValidation>
    <dataValidation sqref="E4:E48" showDropDown="0" showInputMessage="0" showErrorMessage="0" allowBlank="1" type="list">
      <formula1>'④설정'!$G$7:$G$11</formula1>
    </dataValidation>
    <dataValidation sqref="F4:F48" showDropDown="0" showInputMessage="0" showErrorMessage="0" allowBlank="1" type="list">
      <formula1>'④설정'!$L$6:$L$10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2C8D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 ht="24" customHeight="1">
      <c r="A1" s="21" t="inlineStr">
        <is>
          <t>실·팀별 리소스 현황 (대상월 기준 · 자동집계)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대상 월</t>
        </is>
      </c>
      <c r="B2" s="38">
        <f>'④설정'!B2</f>
        <v/>
      </c>
    </row>
    <row r="3">
      <c r="A3" s="14" t="inlineStr">
        <is>
          <t>실·팀</t>
        </is>
      </c>
      <c r="B3" s="14" t="inlineStr">
        <is>
          <t>월 캐파(MD)</t>
        </is>
      </c>
      <c r="C3" s="14" t="inlineStr">
        <is>
          <t>투입 MD</t>
        </is>
      </c>
      <c r="D3" s="14" t="inlineStr">
        <is>
          <t>가동률</t>
        </is>
      </c>
      <c r="E3" s="14" t="inlineStr">
        <is>
          <t>잔여 MD</t>
        </is>
      </c>
      <c r="F3" s="14" t="inlineStr">
        <is>
          <t>투입 MM</t>
        </is>
      </c>
      <c r="G3" s="14" t="inlineStr">
        <is>
          <t>진행중</t>
        </is>
      </c>
      <c r="H3" s="14" t="inlineStr">
        <is>
          <t>지연</t>
        </is>
      </c>
    </row>
    <row r="4">
      <c r="A4" s="15" t="inlineStr">
        <is>
          <t>기획실</t>
        </is>
      </c>
      <c r="B4" s="17">
        <f>'④설정'!J7</f>
        <v/>
      </c>
      <c r="C4" s="16">
        <f>SUMIFS('②업무마스터'!$M$4:$M$48,'②업무마스터'!$J$4:$J$48,"&gt;="&amp;'④설정'!$B$2,'②업무마스터'!$J$4:$J$48,"&lt;="&amp;DATE(YEAR('④설정'!$B$2),MONTH('④설정'!$B$2)+1,0))</f>
        <v/>
      </c>
      <c r="D4" s="18">
        <f>IFERROR(C4/B4,0)</f>
        <v/>
      </c>
      <c r="E4" s="16">
        <f>B4-C4</f>
        <v/>
      </c>
      <c r="F4" s="36">
        <f>C4/'④설정'!$B$3</f>
        <v/>
      </c>
      <c r="G4" s="17">
        <f>COUNTIFS('②업무마스터'!$E$4:$E$48,A4,'②업무마스터'!$F$4:$F$48,"진행중")</f>
        <v/>
      </c>
      <c r="H4" s="17">
        <f>SUMPRODUCT(('②업무마스터'!$E$4:$E$48=A4)*('②업무마스터'!$J$4:$J$48&lt;&gt;"")*('②업무마스터'!$J$4:$J$48&lt;'④설정'!$B$1)*('②업무마스터'!$F$4:$F$48&lt;&gt;"완료"))</f>
        <v/>
      </c>
    </row>
    <row r="5">
      <c r="A5" s="15" t="inlineStr">
        <is>
          <t>디자인실</t>
        </is>
      </c>
      <c r="B5" s="17">
        <f>'④설정'!J8</f>
        <v/>
      </c>
      <c r="C5" s="16">
        <f>SUMIFS('②업무마스터'!$N$4:$N$48,'②업무마스터'!$J$4:$J$48,"&gt;="&amp;'④설정'!$B$2,'②업무마스터'!$J$4:$J$48,"&lt;="&amp;DATE(YEAR('④설정'!$B$2),MONTH('④설정'!$B$2)+1,0))</f>
        <v/>
      </c>
      <c r="D5" s="18">
        <f>IFERROR(C5/B5,0)</f>
        <v/>
      </c>
      <c r="E5" s="16">
        <f>B5-C5</f>
        <v/>
      </c>
      <c r="F5" s="36">
        <f>C5/'④설정'!$B$3</f>
        <v/>
      </c>
      <c r="G5" s="17">
        <f>COUNTIFS('②업무마스터'!$E$4:$E$48,A5,'②업무마스터'!$F$4:$F$48,"진행중")</f>
        <v/>
      </c>
      <c r="H5" s="17">
        <f>SUMPRODUCT(('②업무마스터'!$E$4:$E$48=A5)*('②업무마스터'!$J$4:$J$48&lt;&gt;"")*('②업무마스터'!$J$4:$J$48&lt;'④설정'!$B$1)*('②업무마스터'!$F$4:$F$48&lt;&gt;"완료"))</f>
        <v/>
      </c>
    </row>
    <row r="6">
      <c r="A6" s="15" t="inlineStr">
        <is>
          <t>MAX실(영상)</t>
        </is>
      </c>
      <c r="B6" s="17">
        <f>'④설정'!J9</f>
        <v/>
      </c>
      <c r="C6" s="16">
        <f>SUMIFS('②업무마스터'!$O$4:$O$48,'②업무마스터'!$J$4:$J$48,"&gt;="&amp;'④설정'!$B$2,'②업무마스터'!$J$4:$J$48,"&lt;="&amp;DATE(YEAR('④설정'!$B$2),MONTH('④설정'!$B$2)+1,0))</f>
        <v/>
      </c>
      <c r="D6" s="18">
        <f>IFERROR(C6/B6,0)</f>
        <v/>
      </c>
      <c r="E6" s="16">
        <f>B6-C6</f>
        <v/>
      </c>
      <c r="F6" s="36">
        <f>C6/'④설정'!$B$3</f>
        <v/>
      </c>
      <c r="G6" s="17">
        <f>COUNTIFS('②업무마스터'!$E$4:$E$48,A6,'②업무마스터'!$F$4:$F$48,"진행중")</f>
        <v/>
      </c>
      <c r="H6" s="17">
        <f>SUMPRODUCT(('②업무마스터'!$E$4:$E$48=A6)*('②업무마스터'!$J$4:$J$48&lt;&gt;"")*('②업무마스터'!$J$4:$J$48&lt;'④설정'!$B$1)*('②업무마스터'!$F$4:$F$48&lt;&gt;"완료"))</f>
        <v/>
      </c>
    </row>
    <row r="7">
      <c r="A7" s="15" t="inlineStr">
        <is>
          <t>VINA(영상+이미지)</t>
        </is>
      </c>
      <c r="B7" s="17">
        <f>'④설정'!J10+'④설정'!J11</f>
        <v/>
      </c>
      <c r="C7" s="16">
        <f>SUMIFS('②업무마스터'!$P$4:$P$48,'②업무마스터'!$J$4:$J$48,"&gt;="&amp;'④설정'!$B$2,'②업무마스터'!$J$4:$J$48,"&lt;="&amp;DATE(YEAR('④설정'!$B$2),MONTH('④설정'!$B$2)+1,0))</f>
        <v/>
      </c>
      <c r="D7" s="18">
        <f>IFERROR(C7/B7,0)</f>
        <v/>
      </c>
      <c r="E7" s="16">
        <f>B7-C7</f>
        <v/>
      </c>
      <c r="F7" s="36">
        <f>C7/'④설정'!$B$3</f>
        <v/>
      </c>
      <c r="G7" s="17">
        <f>COUNTIFS('②업무마스터'!$E$4:$E$48,A7,'②업무마스터'!$F$4:$F$48,"진행중")</f>
        <v/>
      </c>
      <c r="H7" s="17">
        <f>SUMPRODUCT(('②업무마스터'!$E$4:$E$48=A7)*('②업무마스터'!$J$4:$J$48&lt;&gt;"")*('②업무마스터'!$J$4:$J$48&lt;'④설정'!$B$1)*('②업무마스터'!$F$4:$F$48&lt;&gt;"완료"))</f>
        <v/>
      </c>
    </row>
    <row r="8">
      <c r="A8" s="22" t="inlineStr">
        <is>
          <t>합계</t>
        </is>
      </c>
      <c r="B8" s="39">
        <f>SUM(B4:B7)</f>
        <v/>
      </c>
      <c r="C8" s="40">
        <f>SUM(C4:C7)</f>
        <v/>
      </c>
      <c r="D8" s="41">
        <f>IFERROR(C8/B8,0)</f>
        <v/>
      </c>
      <c r="E8" s="40">
        <f>SUM(E4:E7)</f>
        <v/>
      </c>
      <c r="F8" s="40">
        <f>SUM(F4:F7)</f>
        <v/>
      </c>
      <c r="G8" s="39">
        <f>SUM(G4:G7)</f>
        <v/>
      </c>
      <c r="H8" s="39">
        <f>SUM(H4:H7)</f>
        <v/>
      </c>
    </row>
    <row r="10">
      <c r="A10" s="20" t="inlineStr">
        <is>
          <t>가동률 100%↑ 🔴과부하 · 80~100% 🟡타이트 · ~80% 🟢여유</t>
        </is>
      </c>
    </row>
  </sheetData>
  <mergeCells count="2">
    <mergeCell ref="A10:H10"/>
    <mergeCell ref="A1:H1"/>
  </mergeCells>
  <conditionalFormatting sqref="D4:D8">
    <cfRule type="expression" priority="1" dxfId="0">
      <formula>D4&gt;1</formula>
    </cfRule>
    <cfRule type="expression" priority="2" dxfId="1">
      <formula>AND(D4&gt;0.8,D4&lt;=1)</formula>
    </cfRule>
    <cfRule type="expression" priority="3" dxfId="2">
      <formula>AND(D4&gt;0,D4&lt;=0.8)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B35"/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2" customWidth="1" min="12" max="12"/>
    <col width="22" customWidth="1" min="14" max="14"/>
    <col width="52" customWidth="1" min="15" max="15"/>
  </cols>
  <sheetData>
    <row r="1">
      <c r="A1" s="42" t="inlineStr">
        <is>
          <t>기준일 (오늘·자동)</t>
        </is>
      </c>
      <c r="B1" s="43">
        <f>TODAY()</f>
        <v/>
      </c>
    </row>
    <row r="2">
      <c r="A2" s="42" t="inlineStr">
        <is>
          <t>대상 월 (1일 날짜 입력)</t>
        </is>
      </c>
      <c r="B2" s="44" t="n">
        <v>46204</v>
      </c>
    </row>
    <row r="3">
      <c r="A3" s="42" t="inlineStr">
        <is>
          <t>월 환산기준 (MD/MM)</t>
        </is>
      </c>
      <c r="B3" s="45" t="n">
        <v>20</v>
      </c>
    </row>
    <row r="5">
      <c r="A5" s="46" t="inlineStr">
        <is>
          <t>■ 시간 → MD 환산  (근무 1일 = 1.0MD = 8시간)</t>
        </is>
      </c>
      <c r="B5" s="3" t="n"/>
      <c r="D5" s="46" t="inlineStr">
        <is>
          <t>■ 업무유형별 표준 소요일 (영업일) — 마감 자동계산 근거</t>
        </is>
      </c>
      <c r="E5" s="3" t="n"/>
      <c r="G5" s="46" t="inlineStr">
        <is>
          <t>■ 실·팀별 월 캐파 (인원 × 1인 캐파)</t>
        </is>
      </c>
      <c r="H5" s="2" t="n"/>
      <c r="I5" s="2" t="n"/>
      <c r="J5" s="3" t="n"/>
      <c r="L5" s="47" t="inlineStr">
        <is>
          <t>■ 상태값</t>
        </is>
      </c>
      <c r="N5" s="46" t="inlineStr">
        <is>
          <t>■ 비나(VINA) 운영 시나리오</t>
        </is>
      </c>
      <c r="O5" s="3" t="n"/>
    </row>
    <row r="6">
      <c r="A6" s="48" t="inlineStr">
        <is>
          <t>시간</t>
        </is>
      </c>
      <c r="B6" s="48" t="inlineStr">
        <is>
          <t>MD</t>
        </is>
      </c>
      <c r="D6" s="48" t="inlineStr">
        <is>
          <t>업무유형</t>
        </is>
      </c>
      <c r="E6" s="48" t="inlineStr">
        <is>
          <t>표준소요일</t>
        </is>
      </c>
      <c r="G6" s="49" t="inlineStr">
        <is>
          <t>실·팀</t>
        </is>
      </c>
      <c r="H6" s="49" t="inlineStr">
        <is>
          <t>인원(TO)</t>
        </is>
      </c>
      <c r="I6" s="49" t="inlineStr">
        <is>
          <t>1인월캐파(MD)</t>
        </is>
      </c>
      <c r="J6" s="49" t="inlineStr">
        <is>
          <t>실 월캐파(MD)</t>
        </is>
      </c>
      <c r="L6" s="19" t="inlineStr">
        <is>
          <t>대기</t>
        </is>
      </c>
      <c r="N6" s="15" t="inlineStr">
        <is>
          <t>현재 적용 시나리오 (1~4)</t>
        </is>
      </c>
      <c r="O6" s="50" t="n">
        <v>1</v>
      </c>
    </row>
    <row r="7">
      <c r="A7" s="19" t="inlineStr">
        <is>
          <t>1h</t>
        </is>
      </c>
      <c r="B7" s="51" t="n">
        <v>0.125</v>
      </c>
      <c r="D7" s="27" t="inlineStr">
        <is>
          <t>시안(신규)</t>
        </is>
      </c>
      <c r="E7" s="52" t="n">
        <v>4</v>
      </c>
      <c r="G7" s="27" t="inlineStr">
        <is>
          <t>기획실</t>
        </is>
      </c>
      <c r="H7" s="52" t="n">
        <v>2</v>
      </c>
      <c r="I7" s="52" t="n">
        <v>20</v>
      </c>
      <c r="J7" s="17">
        <f>H7*I7</f>
        <v/>
      </c>
      <c r="L7" s="19" t="inlineStr">
        <is>
          <t>진행중</t>
        </is>
      </c>
      <c r="N7" s="33" t="inlineStr">
        <is>
          <t>1</t>
        </is>
      </c>
      <c r="O7" s="27" t="inlineStr">
        <is>
          <t>기획+내부디자인+비나영상 : 공수%로 기획/디자인/MAX 각각 분배</t>
        </is>
      </c>
    </row>
    <row r="8">
      <c r="A8" s="19" t="inlineStr">
        <is>
          <t>2h</t>
        </is>
      </c>
      <c r="B8" s="51" t="n">
        <v>0.25</v>
      </c>
      <c r="D8" s="27" t="inlineStr">
        <is>
          <t>사이즈베리</t>
        </is>
      </c>
      <c r="E8" s="52" t="n">
        <v>1</v>
      </c>
      <c r="G8" s="27" t="inlineStr">
        <is>
          <t>디자인실</t>
        </is>
      </c>
      <c r="H8" s="52" t="n">
        <v>4</v>
      </c>
      <c r="I8" s="52" t="n">
        <v>20</v>
      </c>
      <c r="J8" s="17">
        <f>H8*I8</f>
        <v/>
      </c>
      <c r="L8" s="19" t="inlineStr">
        <is>
          <t>검수</t>
        </is>
      </c>
      <c r="N8" s="33" t="inlineStr">
        <is>
          <t>2</t>
        </is>
      </c>
      <c r="O8" s="27" t="inlineStr">
        <is>
          <t>비나=베리만 : 영상 사이즈베리는 디자인실이 진행</t>
        </is>
      </c>
    </row>
    <row r="9">
      <c r="A9" s="19" t="inlineStr">
        <is>
          <t>3h</t>
        </is>
      </c>
      <c r="B9" s="51" t="n">
        <v>0.375</v>
      </c>
      <c r="D9" s="27" t="inlineStr">
        <is>
          <t>다국어베리</t>
        </is>
      </c>
      <c r="E9" s="52" t="n">
        <v>1</v>
      </c>
      <c r="G9" s="27" t="inlineStr">
        <is>
          <t>MAX실(영상)</t>
        </is>
      </c>
      <c r="H9" s="52" t="n">
        <v>3</v>
      </c>
      <c r="I9" s="52" t="n">
        <v>20</v>
      </c>
      <c r="J9" s="17">
        <f>H9*I9</f>
        <v/>
      </c>
      <c r="L9" s="19" t="inlineStr">
        <is>
          <t>보류</t>
        </is>
      </c>
      <c r="N9" s="33" t="inlineStr">
        <is>
          <t>3</t>
        </is>
      </c>
      <c r="O9" s="27" t="inlineStr">
        <is>
          <t>비나 이미지팀 TO 추가발주 : 영상 전담 배치(추가비 발생)</t>
        </is>
      </c>
    </row>
    <row r="10">
      <c r="A10" s="19" t="inlineStr">
        <is>
          <t>4h</t>
        </is>
      </c>
      <c r="B10" s="51" t="n">
        <v>0.5</v>
      </c>
      <c r="D10" s="27" t="inlineStr">
        <is>
          <t>컬러베리</t>
        </is>
      </c>
      <c r="E10" s="52" t="n">
        <v>1</v>
      </c>
      <c r="G10" s="27" t="inlineStr">
        <is>
          <t>VINA영상</t>
        </is>
      </c>
      <c r="H10" s="52" t="n">
        <v>2</v>
      </c>
      <c r="I10" s="52" t="n">
        <v>20</v>
      </c>
      <c r="J10" s="17">
        <f>H10*I10</f>
        <v/>
      </c>
      <c r="L10" s="19" t="inlineStr">
        <is>
          <t>완료</t>
        </is>
      </c>
      <c r="N10" s="33" t="inlineStr">
        <is>
          <t>4</t>
        </is>
      </c>
      <c r="O10" s="27" t="inlineStr">
        <is>
          <t>본사형 : 비나 영상팀+이미지팀 협업 (이미지 TO 추가 X)</t>
        </is>
      </c>
    </row>
    <row r="11">
      <c r="A11" s="19" t="inlineStr">
        <is>
          <t>5h</t>
        </is>
      </c>
      <c r="B11" s="51" t="n">
        <v>0.625</v>
      </c>
      <c r="D11" s="27" t="inlineStr">
        <is>
          <t>수정</t>
        </is>
      </c>
      <c r="E11" s="52" t="n">
        <v>1</v>
      </c>
      <c r="G11" s="27" t="inlineStr">
        <is>
          <t>VINA이미지</t>
        </is>
      </c>
      <c r="H11" s="52" t="n">
        <v>2</v>
      </c>
      <c r="I11" s="52" t="n">
        <v>20</v>
      </c>
      <c r="J11" s="17">
        <f>H11*I11</f>
        <v/>
      </c>
    </row>
    <row r="12">
      <c r="A12" s="19" t="inlineStr">
        <is>
          <t>6h</t>
        </is>
      </c>
      <c r="B12" s="51" t="n">
        <v>0.75</v>
      </c>
      <c r="D12" s="27" t="inlineStr">
        <is>
          <t>슬림이벤트</t>
        </is>
      </c>
      <c r="E12" s="52" t="n">
        <v>2</v>
      </c>
    </row>
    <row r="13">
      <c r="A13" s="19" t="inlineStr">
        <is>
          <t>7h</t>
        </is>
      </c>
      <c r="B13" s="51" t="n">
        <v>0.875</v>
      </c>
      <c r="D13" s="27" t="inlineStr">
        <is>
          <t>베이직이벤트</t>
        </is>
      </c>
      <c r="E13" s="52" t="n">
        <v>4</v>
      </c>
    </row>
    <row r="14">
      <c r="A14" s="19" t="inlineStr">
        <is>
          <t>8h</t>
        </is>
      </c>
      <c r="B14" s="51" t="n">
        <v>1</v>
      </c>
      <c r="D14" s="27" t="inlineStr">
        <is>
          <t>스페셜이벤트</t>
        </is>
      </c>
      <c r="E14" s="52" t="n">
        <v>6</v>
      </c>
    </row>
    <row r="15">
      <c r="D15" s="27" t="inlineStr">
        <is>
          <t>영상제작(신규)</t>
        </is>
      </c>
      <c r="E15" s="52" t="n">
        <v>5</v>
      </c>
    </row>
    <row r="16">
      <c r="A16" s="53" t="inlineStr">
        <is>
          <t>※ 노란칸만 입력. 나머지는 자동계산.</t>
        </is>
      </c>
      <c r="D16" s="27" t="inlineStr">
        <is>
          <t>영상베리(사이즈)</t>
        </is>
      </c>
      <c r="E16" s="52" t="n">
        <v>2</v>
      </c>
    </row>
  </sheetData>
  <mergeCells count="5">
    <mergeCell ref="A16:B16"/>
    <mergeCell ref="D5:E5"/>
    <mergeCell ref="A5:B5"/>
    <mergeCell ref="N5:O5"/>
    <mergeCell ref="G5:J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6E99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21" t="inlineStr">
        <is>
          <t>비나(VINA) 활용 시나리오 · 금액/공수 배분 시뮬레이터</t>
        </is>
      </c>
      <c r="B1" s="2" t="n"/>
      <c r="C1" s="2" t="n"/>
      <c r="D1" s="2" t="n"/>
      <c r="E1" s="2" t="n"/>
      <c r="F1" s="2" t="n"/>
      <c r="G1" s="3" t="n"/>
    </row>
    <row r="3">
      <c r="A3" s="54" t="inlineStr">
        <is>
          <t>■ 입력 (노란칸)</t>
        </is>
      </c>
      <c r="B3" s="2" t="n"/>
      <c r="C3" s="3" t="n"/>
    </row>
    <row r="4">
      <c r="A4" s="15" t="inlineStr">
        <is>
          <t>영상 프로젝트 총 견적(원)</t>
        </is>
      </c>
      <c r="B4" s="55" t="n">
        <v>92000000</v>
      </c>
    </row>
    <row r="5">
      <c r="A5" s="15" t="inlineStr">
        <is>
          <t>기획 공수 비중</t>
        </is>
      </c>
      <c r="B5" s="56" t="n">
        <v>0.2</v>
      </c>
    </row>
    <row r="6">
      <c r="A6" s="15" t="inlineStr">
        <is>
          <t>디자인 공수 비중</t>
        </is>
      </c>
      <c r="B6" s="56" t="n">
        <v>0.3</v>
      </c>
    </row>
    <row r="7">
      <c r="A7" s="15" t="inlineStr">
        <is>
          <t>영상 공수 비중</t>
        </is>
      </c>
      <c r="B7" s="56" t="n">
        <v>0.5</v>
      </c>
    </row>
    <row r="8">
      <c r="A8" s="15" t="inlineStr">
        <is>
          <t>비나 이미지 TO 추가발주비(원)</t>
        </is>
      </c>
      <c r="B8" s="55" t="n">
        <v>8000000</v>
      </c>
    </row>
    <row r="9">
      <c r="A9" s="57" t="inlineStr">
        <is>
          <t>합계 비중(=100% 확인)</t>
        </is>
      </c>
      <c r="B9" s="18">
        <f>B5+B6+B7</f>
        <v/>
      </c>
    </row>
    <row r="11">
      <c r="A11" s="54" t="inlineStr">
        <is>
          <t>■ 시나리오별 실 배분 (금액)</t>
        </is>
      </c>
      <c r="B11" s="2" t="n"/>
      <c r="C11" s="2" t="n"/>
      <c r="D11" s="2" t="n"/>
      <c r="E11" s="2" t="n"/>
      <c r="F11" s="2" t="n"/>
      <c r="G11" s="3" t="n"/>
    </row>
    <row r="12">
      <c r="A12" s="14" t="inlineStr">
        <is>
          <t>시나리오</t>
        </is>
      </c>
      <c r="B12" s="14" t="inlineStr">
        <is>
          <t>기획실</t>
        </is>
      </c>
      <c r="C12" s="14" t="inlineStr">
        <is>
          <t>디자인실</t>
        </is>
      </c>
      <c r="D12" s="14" t="inlineStr">
        <is>
          <t>MAX실(영상)</t>
        </is>
      </c>
      <c r="E12" s="14" t="inlineStr">
        <is>
          <t>VINA 정산</t>
        </is>
      </c>
      <c r="F12" s="14" t="inlineStr">
        <is>
          <t>추가발주</t>
        </is>
      </c>
      <c r="G12" s="14" t="inlineStr">
        <is>
          <t>합계검증</t>
        </is>
      </c>
    </row>
    <row r="13">
      <c r="A13" s="15" t="inlineStr">
        <is>
          <t>① 공수 %분배</t>
        </is>
      </c>
      <c r="B13" s="58">
        <f>$B$4*$B$5</f>
        <v/>
      </c>
      <c r="C13" s="58">
        <f>$B$4*$B$6</f>
        <v/>
      </c>
      <c r="D13" s="58">
        <f>$B$4*$B$7</f>
        <v/>
      </c>
      <c r="E13" s="59" t="inlineStr">
        <is>
          <t>0</t>
        </is>
      </c>
      <c r="F13" s="58" t="inlineStr">
        <is>
          <t>0</t>
        </is>
      </c>
      <c r="G13" s="60">
        <f>B13+C13+D13+F13</f>
        <v/>
      </c>
    </row>
    <row r="14">
      <c r="A14" s="15" t="inlineStr">
        <is>
          <t>② 비나=베리만</t>
        </is>
      </c>
      <c r="B14" s="58">
        <f>$B$4*$B$5</f>
        <v/>
      </c>
      <c r="C14" s="58">
        <f>$B$4*$B$6+$B$4*$B$7*0.3</f>
        <v/>
      </c>
      <c r="D14" s="58">
        <f>$B$4*$B$7*0.7</f>
        <v/>
      </c>
      <c r="E14" s="59" t="inlineStr">
        <is>
          <t>0</t>
        </is>
      </c>
      <c r="F14" s="58" t="inlineStr">
        <is>
          <t>0</t>
        </is>
      </c>
      <c r="G14" s="60">
        <f>B14+C14+D14+F14</f>
        <v/>
      </c>
    </row>
    <row r="15">
      <c r="A15" s="15" t="inlineStr">
        <is>
          <t>③ 이미지TO 추가발주</t>
        </is>
      </c>
      <c r="B15" s="58">
        <f>$B$4*$B$5</f>
        <v/>
      </c>
      <c r="C15" s="58">
        <f>$B$4*$B$6</f>
        <v/>
      </c>
      <c r="D15" s="58">
        <f>$B$4*$B$7</f>
        <v/>
      </c>
      <c r="E15" s="59" t="inlineStr">
        <is>
          <t>0</t>
        </is>
      </c>
      <c r="F15" s="58">
        <f>$B$8</f>
        <v/>
      </c>
      <c r="G15" s="60">
        <f>B15+C15+D15+F15</f>
        <v/>
      </c>
    </row>
    <row r="16">
      <c r="A16" s="15" t="inlineStr">
        <is>
          <t>④ 본사형(협업)</t>
        </is>
      </c>
      <c r="B16" s="58">
        <f>$B$4*$B$5</f>
        <v/>
      </c>
      <c r="C16" s="58">
        <f>$B$4*$B$6</f>
        <v/>
      </c>
      <c r="D16" s="58">
        <f>$B$4*$B$7</f>
        <v/>
      </c>
      <c r="E16" s="59">
        <f>$B$4*$B$7*0.4</f>
        <v/>
      </c>
      <c r="F16" s="58" t="inlineStr">
        <is>
          <t>0</t>
        </is>
      </c>
      <c r="G16" s="60">
        <f>B16+C16+D16+F16</f>
        <v/>
      </c>
    </row>
    <row r="18">
      <c r="A18" s="20" t="inlineStr">
        <is>
          <t>※ E열(VINA 정산)은 MAX실 금액 내부에서 비나에 지급되는 참고값(총액 합산 제외). ④본사형은 MAX실이 비나 협업으로 소화(추가발주 X).</t>
        </is>
      </c>
    </row>
    <row r="19">
      <c r="A19" s="20" t="inlineStr">
        <is>
          <t>※ 현재 [④설정]에서 선택한 시나리오 번호에 맞는 행을 실 배분 기준으로 사용.</t>
        </is>
      </c>
    </row>
  </sheetData>
  <mergeCells count="5">
    <mergeCell ref="A1:G1"/>
    <mergeCell ref="A18:G18"/>
    <mergeCell ref="A3:C3"/>
    <mergeCell ref="A19:G19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2026-07-24T07:58:36Z</dcterms:created>
  <dcterms:modified xsi:type="dcterms:W3CDTF">2026-07-24T07:58:36Z</dcterms:modified>
</cp:coreProperties>
</file>