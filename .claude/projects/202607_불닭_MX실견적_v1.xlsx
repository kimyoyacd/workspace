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(안B_권장)" sheetId="1" state="visible" r:id="rId1"/>
    <sheet name="시나리오비교" sheetId="2" state="visible" r:id="rId2"/>
    <sheet name="월별투입_안B(9-12월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C00000"/>
      <sz val="10"/>
    </font>
    <font>
      <name val="Arial"/>
      <color rgb="00000000"/>
      <sz val="9"/>
    </font>
    <font>
      <name val="Arial"/>
      <b val="1"/>
      <color rgb="00000000"/>
      <sz val="13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color rgb="00555555"/>
      <sz val="9"/>
    </font>
    <font>
      <name val="Arial"/>
      <color rgb="00C00000"/>
      <sz val="10"/>
    </font>
    <font>
      <name val="Arial"/>
      <color rgb="00BBBBBB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CFE0F4"/>
      </patternFill>
    </fill>
    <fill>
      <patternFill patternType="solid">
        <fgColor rgb="00F4F6FA"/>
      </patternFill>
    </fill>
    <fill>
      <patternFill patternType="solid">
        <fgColor rgb="00FAFAFA"/>
      </patternFill>
    </fill>
    <fill>
      <patternFill patternType="solid">
        <fgColor rgb="00FFF2B8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0" fontId="2" fillId="4" borderId="1" pivotButton="0" quotePrefix="0" xfId="0"/>
    <xf numFmtId="0" fontId="0" fillId="4" borderId="1" pivotButton="0" quotePrefix="0" xfId="0"/>
    <xf numFmtId="0" fontId="2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right" vertical="center"/>
    </xf>
    <xf numFmtId="0" fontId="3" fillId="0" borderId="1" pivotButton="0" quotePrefix="0" xfId="0"/>
    <xf numFmtId="0" fontId="0" fillId="0" borderId="1" pivotButton="0" quotePrefix="0" xfId="0"/>
    <xf numFmtId="9" fontId="4" fillId="3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  <xf numFmtId="0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2" fillId="0" borderId="1" pivotButton="0" quotePrefix="0" xfId="0"/>
    <xf numFmtId="164" fontId="3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8" fillId="5" borderId="1" pivotButton="0" quotePrefix="0" xfId="0"/>
    <xf numFmtId="3" fontId="8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horizontal="center" vertical="center" wrapText="1"/>
    </xf>
    <xf numFmtId="0" fontId="2" fillId="8" borderId="6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left" vertical="center"/>
    </xf>
    <xf numFmtId="0" fontId="12" fillId="0" borderId="6" applyAlignment="1" pivotButton="0" quotePrefix="0" xfId="0">
      <alignment horizontal="center" vertical="center" wrapText="1"/>
    </xf>
    <xf numFmtId="0" fontId="2" fillId="9" borderId="6" applyAlignment="1" pivotButton="0" quotePrefix="0" xfId="0">
      <alignment horizontal="right" vertical="center"/>
    </xf>
    <xf numFmtId="0" fontId="0" fillId="9" borderId="6" pivotButton="0" quotePrefix="0" xfId="0"/>
    <xf numFmtId="0" fontId="2" fillId="9" borderId="6" applyAlignment="1" pivotButton="0" quotePrefix="0" xfId="0">
      <alignment horizontal="center" vertical="center" wrapText="1"/>
    </xf>
    <xf numFmtId="0" fontId="8" fillId="9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8" customWidth="1" min="4" max="4"/>
    <col width="15" customWidth="1" min="5" max="5"/>
    <col width="15" customWidth="1" min="6" max="6"/>
    <col width="9" customWidth="1" min="7" max="7"/>
    <col width="16" customWidth="1" min="8" max="8"/>
  </cols>
  <sheetData>
    <row r="1">
      <c r="A1" s="1" t="inlineStr">
        <is>
          <t>삼양식품 불닭닷컴 리뉴얼 제작 견적서 (MX실 안)</t>
        </is>
      </c>
    </row>
    <row r="3">
      <c r="A3" s="2" t="inlineStr">
        <is>
          <t>수신</t>
        </is>
      </c>
      <c r="B3" s="3" t="inlineStr">
        <is>
          <t>㈜삼양식품 임소현 파트장님 귀중</t>
        </is>
      </c>
    </row>
    <row r="4">
      <c r="A4" s="2" t="inlineStr">
        <is>
          <t>견적명칭</t>
        </is>
      </c>
      <c r="B4" s="3" t="inlineStr">
        <is>
          <t>삼양식품 불닭닷컴 리뉴얼 제작 견적 (MX실)</t>
        </is>
      </c>
    </row>
    <row r="5">
      <c r="A5" s="2" t="inlineStr">
        <is>
          <t>견적일자</t>
        </is>
      </c>
      <c r="B5" s="3" t="inlineStr">
        <is>
          <t>2026-07-27 (유효기간 발급일로부터 15일)</t>
        </is>
      </c>
    </row>
    <row r="6">
      <c r="A6" s="2" t="inlineStr">
        <is>
          <t>공급자</t>
        </is>
      </c>
      <c r="B6" s="3" t="inlineStr">
        <is>
          <t>㈜하이브랩 / 사업자 144-81-01176 / 대표 서종혁</t>
        </is>
      </c>
    </row>
    <row r="8">
      <c r="A8" s="4" t="inlineStr">
        <is>
          <t>분류</t>
        </is>
      </c>
      <c r="B8" s="4" t="inlineStr">
        <is>
          <t>전문인력 등급</t>
        </is>
      </c>
      <c r="C8" s="4" t="inlineStr">
        <is>
          <t>인원수</t>
        </is>
      </c>
      <c r="D8" s="4" t="inlineStr">
        <is>
          <t>M/M</t>
        </is>
      </c>
      <c r="E8" s="4" t="inlineStr">
        <is>
          <t>1일 노임단가</t>
        </is>
      </c>
      <c r="F8" s="4" t="inlineStr">
        <is>
          <t>월 노임단가</t>
        </is>
      </c>
      <c r="G8" s="4" t="inlineStr">
        <is>
          <t>참여율</t>
        </is>
      </c>
      <c r="H8" s="4" t="inlineStr">
        <is>
          <t>직접인건비</t>
        </is>
      </c>
    </row>
    <row r="9">
      <c r="A9" s="5" t="inlineStr">
        <is>
          <t>Project Manager</t>
        </is>
      </c>
      <c r="B9" s="6" t="inlineStr">
        <is>
          <t>고급</t>
        </is>
      </c>
      <c r="C9" s="7" t="n">
        <v>1</v>
      </c>
      <c r="D9" s="7" t="n">
        <v>2</v>
      </c>
      <c r="E9" s="8" t="n">
        <v>421089</v>
      </c>
      <c r="F9" s="8" t="n">
        <v>8758645.8336</v>
      </c>
      <c r="G9" s="7" t="n">
        <v>1</v>
      </c>
      <c r="H9" s="8">
        <f>C9*D9*F9*G9</f>
        <v/>
      </c>
    </row>
    <row r="10">
      <c r="A10" s="5" t="inlineStr">
        <is>
          <t>UX Design / Content Planning</t>
        </is>
      </c>
      <c r="B10" s="6" t="inlineStr">
        <is>
          <t>중급</t>
        </is>
      </c>
      <c r="C10" s="7" t="n">
        <v>1</v>
      </c>
      <c r="D10" s="7" t="n">
        <v>2</v>
      </c>
      <c r="E10" s="8" t="n">
        <v>335165</v>
      </c>
      <c r="F10" s="8" t="n">
        <v>6971423.5344</v>
      </c>
      <c r="G10" s="7" t="n">
        <v>1</v>
      </c>
      <c r="H10" s="8">
        <f>C10*D10*F10*G10</f>
        <v/>
      </c>
    </row>
    <row r="11">
      <c r="A11" s="5" t="inlineStr">
        <is>
          <t>UI Design (CD)</t>
        </is>
      </c>
      <c r="B11" s="6" t="inlineStr">
        <is>
          <t>고급</t>
        </is>
      </c>
      <c r="C11" s="7" t="n">
        <v>1</v>
      </c>
      <c r="D11" s="7" t="n">
        <v>1</v>
      </c>
      <c r="E11" s="8" t="n">
        <v>421089</v>
      </c>
      <c r="F11" s="8" t="n">
        <v>8758645.8336</v>
      </c>
      <c r="G11" s="7" t="n">
        <v>1</v>
      </c>
      <c r="H11" s="8">
        <f>C11*D11*F11*G11</f>
        <v/>
      </c>
    </row>
    <row r="12">
      <c r="A12" s="5" t="inlineStr">
        <is>
          <t>UI Design</t>
        </is>
      </c>
      <c r="B12" s="6" t="inlineStr">
        <is>
          <t>중급</t>
        </is>
      </c>
      <c r="C12" s="7" t="n">
        <v>1</v>
      </c>
      <c r="D12" s="7" t="n">
        <v>3.5</v>
      </c>
      <c r="E12" s="8" t="n">
        <v>335165</v>
      </c>
      <c r="F12" s="8" t="n">
        <v>6971423.5344</v>
      </c>
      <c r="G12" s="7" t="n">
        <v>1</v>
      </c>
      <c r="H12" s="8">
        <f>C12*D12*F12*G12</f>
        <v/>
      </c>
    </row>
    <row r="13">
      <c r="A13" s="5" t="inlineStr">
        <is>
          <t>UI Design (+2D모션 겸)</t>
        </is>
      </c>
      <c r="B13" s="6" t="inlineStr">
        <is>
          <t>초급</t>
        </is>
      </c>
      <c r="C13" s="7" t="n">
        <v>1</v>
      </c>
      <c r="D13" s="7" t="n">
        <v>2.5</v>
      </c>
      <c r="E13" s="8" t="n">
        <v>305687</v>
      </c>
      <c r="F13" s="8" t="n">
        <v>6358296.984</v>
      </c>
      <c r="G13" s="7" t="n">
        <v>1</v>
      </c>
      <c r="H13" s="8">
        <f>C13*D13*F13*G13</f>
        <v/>
      </c>
    </row>
    <row r="14">
      <c r="A14" s="9" t="inlineStr">
        <is>
          <t>합계 (직접인건비)</t>
        </is>
      </c>
      <c r="B14" s="29" t="n"/>
      <c r="C14" s="30" t="n"/>
      <c r="D14" s="11">
        <f>SUM(D9:D13)</f>
        <v/>
      </c>
      <c r="E14" s="10" t="n"/>
      <c r="F14" s="10" t="n"/>
      <c r="G14" s="10" t="n"/>
      <c r="H14" s="12">
        <f>SUM(H9:H13)</f>
        <v/>
      </c>
    </row>
    <row r="15">
      <c r="A15" s="13" t="inlineStr">
        <is>
          <t>제경비 (직접인건비 × 제경비율)</t>
        </is>
      </c>
      <c r="B15" s="29" t="n"/>
      <c r="C15" s="29" t="n"/>
      <c r="D15" s="29" t="n"/>
      <c r="E15" s="29" t="n"/>
      <c r="F15" s="30" t="n"/>
      <c r="G15" s="15" t="n">
        <v>1.1</v>
      </c>
      <c r="H15" s="8">
        <f>H14*G15</f>
        <v/>
      </c>
    </row>
    <row r="16">
      <c r="A16" s="13" t="inlineStr">
        <is>
          <t>기술료 ((직접인건비+제경비) × 기술료율)</t>
        </is>
      </c>
      <c r="B16" s="29" t="n"/>
      <c r="C16" s="29" t="n"/>
      <c r="D16" s="29" t="n"/>
      <c r="E16" s="29" t="n"/>
      <c r="F16" s="30" t="n"/>
      <c r="G16" s="15" t="n">
        <v>0.2</v>
      </c>
      <c r="H16" s="8">
        <f>(H14+H15)*G16</f>
        <v/>
      </c>
    </row>
    <row r="17">
      <c r="A17" s="9" t="inlineStr">
        <is>
          <t>개발비 (할인 전)</t>
        </is>
      </c>
      <c r="B17" s="29" t="n"/>
      <c r="C17" s="29" t="n"/>
      <c r="D17" s="29" t="n"/>
      <c r="E17" s="29" t="n"/>
      <c r="F17" s="30" t="n"/>
      <c r="G17" s="10" t="n"/>
      <c r="H17" s="12">
        <f>H14+H15+H16</f>
        <v/>
      </c>
    </row>
    <row r="18">
      <c r="A18" s="13" t="inlineStr">
        <is>
          <t>할인율 적용 (52% 할인)</t>
        </is>
      </c>
      <c r="B18" s="29" t="n"/>
      <c r="C18" s="29" t="n"/>
      <c r="D18" s="29" t="n"/>
      <c r="E18" s="29" t="n"/>
      <c r="F18" s="30" t="n"/>
      <c r="G18" s="15" t="n">
        <v>0.52</v>
      </c>
      <c r="H18" s="8">
        <f>H17*(1-G18)</f>
        <v/>
      </c>
    </row>
    <row r="19">
      <c r="A19" s="16" t="inlineStr">
        <is>
          <t>최종 견적금액 (만원 절사, VAT별도)</t>
        </is>
      </c>
      <c r="B19" s="29" t="n"/>
      <c r="C19" s="29" t="n"/>
      <c r="D19" s="29" t="n"/>
      <c r="E19" s="29" t="n"/>
      <c r="F19" s="30" t="n"/>
      <c r="G19" s="17" t="n"/>
      <c r="H19" s="18">
        <f>ROUNDDOWN(H18,-4)</f>
        <v/>
      </c>
    </row>
    <row r="21">
      <c r="A21" s="19" t="inlineStr">
        <is>
          <t>★ MX실 매출 (UI Design 직접인건비 합계)</t>
        </is>
      </c>
      <c r="B21" s="29" t="n"/>
      <c r="C21" s="29" t="n"/>
      <c r="D21" s="29" t="n"/>
      <c r="E21" s="29" t="n"/>
      <c r="F21" s="30" t="n"/>
      <c r="G21" s="14" t="n"/>
      <c r="H21" s="20">
        <f>H11+H12+H13</f>
        <v/>
      </c>
    </row>
    <row r="23">
      <c r="A23" s="21" t="inlineStr">
        <is>
          <t>[산정 기준] SW산업협회 2026 SW기술자 평균임금 · 개발비=직접인건비+제경비(110%)+기술료((DL+제경비)×20%) · 52% 할인 후 만원 절사(VAT별도)
[MX실 축소안] 타부서(디지털컨버전스) 21.5 M/M(1.89억) 대비 기획(PM·UX) 슬림화 + 퍼블·개발 제외로 총 11 M/M. 핵심 페이지 집중 + AI 활용으로 공수 절감.
[우리실 매출 규칙] 견적 총액 중 UI Design 직군 직접인건비만 MX실 매출로 계상.
※ 노랑 셀(인원·M/M·참여율·할인율)만 수정하면 전체 자동 재계산. 최종 M/M·할인율·견적가는 실장 확정 필요.</t>
        </is>
      </c>
    </row>
    <row r="24"/>
    <row r="25"/>
    <row r="26"/>
    <row r="27"/>
  </sheetData>
  <mergeCells count="13">
    <mergeCell ref="A16:F16"/>
    <mergeCell ref="A19:F19"/>
    <mergeCell ref="B4:H4"/>
    <mergeCell ref="A14:C14"/>
    <mergeCell ref="B6:H6"/>
    <mergeCell ref="A17:F17"/>
    <mergeCell ref="A18:F18"/>
    <mergeCell ref="A23:H27"/>
    <mergeCell ref="A1:H1"/>
    <mergeCell ref="B3:H3"/>
    <mergeCell ref="B5:H5"/>
    <mergeCell ref="A21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2" t="inlineStr">
        <is>
          <t>MX실 견적 시나리오 비교 (M/M 조절 → 총액·MX매출)</t>
        </is>
      </c>
    </row>
    <row r="3">
      <c r="A3" s="4" t="inlineStr">
        <is>
          <t>직군 / 등급</t>
        </is>
      </c>
      <c r="B3" s="4" t="inlineStr">
        <is>
          <t>월노임단가</t>
        </is>
      </c>
      <c r="C3" s="4" t="inlineStr">
        <is>
          <t>안A(최저)</t>
        </is>
      </c>
      <c r="D3" s="4" t="inlineStr">
        <is>
          <t>안B(권장)</t>
        </is>
      </c>
      <c r="E3" s="4" t="inlineStr">
        <is>
          <t>안C(범위확보)</t>
        </is>
      </c>
    </row>
    <row r="4">
      <c r="A4" s="5" t="inlineStr">
        <is>
          <t>Project Manager · 고급</t>
        </is>
      </c>
      <c r="B4" s="8" t="n">
        <v>8758645.8336</v>
      </c>
      <c r="C4" s="7" t="n">
        <v>1.5</v>
      </c>
      <c r="D4" s="7" t="n">
        <v>2</v>
      </c>
      <c r="E4" s="7" t="n">
        <v>2.5</v>
      </c>
    </row>
    <row r="5">
      <c r="A5" s="5" t="inlineStr">
        <is>
          <t>UX / Content Planning · 중급</t>
        </is>
      </c>
      <c r="B5" s="8" t="n">
        <v>6971423.5344</v>
      </c>
      <c r="C5" s="7" t="n">
        <v>1.5</v>
      </c>
      <c r="D5" s="7" t="n">
        <v>2</v>
      </c>
      <c r="E5" s="7" t="n">
        <v>2.5</v>
      </c>
    </row>
    <row r="6">
      <c r="A6" s="5" t="inlineStr">
        <is>
          <t>UX / Content Planning · 초급</t>
        </is>
      </c>
      <c r="B6" s="8" t="n">
        <v>6358296.984</v>
      </c>
      <c r="C6" s="7" t="n">
        <v>0</v>
      </c>
      <c r="D6" s="7" t="n">
        <v>0</v>
      </c>
      <c r="E6" s="7" t="n">
        <v>1</v>
      </c>
    </row>
    <row r="7">
      <c r="A7" s="5" t="inlineStr">
        <is>
          <t>UI Design (CD) · 고급</t>
        </is>
      </c>
      <c r="B7" s="8" t="n">
        <v>8758645.8336</v>
      </c>
      <c r="C7" s="7" t="n">
        <v>1</v>
      </c>
      <c r="D7" s="7" t="n">
        <v>1</v>
      </c>
      <c r="E7" s="7" t="n">
        <v>1.5</v>
      </c>
    </row>
    <row r="8">
      <c r="A8" s="5" t="inlineStr">
        <is>
          <t>UI Design · 중급</t>
        </is>
      </c>
      <c r="B8" s="8" t="n">
        <v>6971423.5344</v>
      </c>
      <c r="C8" s="7" t="n">
        <v>3</v>
      </c>
      <c r="D8" s="7" t="n">
        <v>3.5</v>
      </c>
      <c r="E8" s="7" t="n">
        <v>4</v>
      </c>
    </row>
    <row r="9">
      <c r="A9" s="5" t="inlineStr">
        <is>
          <t>UI Design (+2D모션) · 초급</t>
        </is>
      </c>
      <c r="B9" s="8" t="n">
        <v>6358296.984</v>
      </c>
      <c r="C9" s="7" t="n">
        <v>2</v>
      </c>
      <c r="D9" s="7" t="n">
        <v>2.5</v>
      </c>
      <c r="E9" s="7" t="n">
        <v>2</v>
      </c>
    </row>
    <row r="10">
      <c r="A10" s="23" t="inlineStr">
        <is>
          <t>총 M/M</t>
        </is>
      </c>
      <c r="B10" s="14" t="n"/>
      <c r="C10" s="24">
        <f>SUM(C4:C9)</f>
        <v/>
      </c>
      <c r="D10" s="24">
        <f>SUM(D4:D9)</f>
        <v/>
      </c>
      <c r="E10" s="24">
        <f>SUM(E4:E9)</f>
        <v/>
      </c>
    </row>
    <row r="11">
      <c r="A11" s="23" t="inlineStr">
        <is>
          <t>직접인건비 (DL)</t>
        </is>
      </c>
      <c r="B11" s="14" t="n"/>
      <c r="C11" s="25">
        <f>$B4*C4+$B5*C5+$B6*C6+$B7*C7+$B8*C8+$B9*C9</f>
        <v/>
      </c>
      <c r="D11" s="25">
        <f>$B4*D4+$B5*D5+$B6*D6+$B7*D7+$B8*D8+$B9*D9</f>
        <v/>
      </c>
      <c r="E11" s="25">
        <f>$B4*E4+$B5*E5+$B6*E6+$B7*E7+$B8*E8+$B9*E9</f>
        <v/>
      </c>
    </row>
    <row r="12">
      <c r="A12" s="13" t="inlineStr">
        <is>
          <t>개발비 (할인 전, DL×2.52)</t>
        </is>
      </c>
      <c r="B12" s="14" t="n"/>
      <c r="C12" s="8">
        <f>C11*2.52</f>
        <v/>
      </c>
      <c r="D12" s="8">
        <f>D11*2.52</f>
        <v/>
      </c>
      <c r="E12" s="8">
        <f>E11*2.52</f>
        <v/>
      </c>
    </row>
    <row r="13">
      <c r="A13" s="26" t="inlineStr">
        <is>
          <t>최종 견적금액 (52% 할인, 만원 절사)</t>
        </is>
      </c>
      <c r="B13" s="17" t="n"/>
      <c r="C13" s="27">
        <f>ROUNDDOWN(C12*0.48,-4)</f>
        <v/>
      </c>
      <c r="D13" s="27">
        <f>ROUNDDOWN(D12*0.48,-4)</f>
        <v/>
      </c>
      <c r="E13" s="27">
        <f>ROUNDDOWN(E12*0.48,-4)</f>
        <v/>
      </c>
    </row>
    <row r="14">
      <c r="A14" s="19" t="inlineStr">
        <is>
          <t>★ MX실 매출 (UI Design DL)</t>
        </is>
      </c>
      <c r="B14" s="14" t="n"/>
      <c r="C14" s="20">
        <f>$B7*C7+$B8*C8+$B9*C9</f>
        <v/>
      </c>
      <c r="D14" s="20">
        <f>$B7*D7+$B8*D8+$B9*D9</f>
        <v/>
      </c>
      <c r="E14" s="20">
        <f>$B7*E7+$B8*E8+$B9*E9</f>
        <v/>
      </c>
    </row>
    <row r="16">
      <c r="A16" s="2" t="inlineStr">
        <is>
          <t>참고 · 타부서(디지털컨버전스) 안</t>
        </is>
      </c>
      <c r="C16" s="3" t="inlineStr">
        <is>
          <t>21.5 M/M</t>
        </is>
      </c>
      <c r="D16" s="3" t="inlineStr">
        <is>
          <t>최종 1.89억 (52% 할인)</t>
        </is>
      </c>
      <c r="E16" s="28" t="inlineStr">
        <is>
          <t>1억 예산 초과 → 최소범위 기준 산정</t>
        </is>
      </c>
    </row>
    <row r="17">
      <c r="A17" s="2" t="inlineStr">
        <is>
          <t>MX실 목표</t>
        </is>
      </c>
      <c r="C17" s="3" t="inlineStr">
        <is>
          <t>11 M/M 내외</t>
        </is>
      </c>
      <c r="D17" s="3" t="inlineStr">
        <is>
          <t>1억 이내</t>
        </is>
      </c>
      <c r="E17" s="28" t="inlineStr">
        <is>
          <t>기획 슬림 + 퍼블·개발 제외, 핵심 집중</t>
        </is>
      </c>
    </row>
  </sheetData>
  <mergeCells count="3">
    <mergeCell ref="E17:G17"/>
    <mergeCell ref="A1:G1"/>
    <mergeCell ref="E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</cols>
  <sheetData>
    <row r="1">
      <c r="A1" s="31" t="inlineStr">
        <is>
          <t>불닭닷컴 리뉴얼 · MX실 M/M 산정 (9월 착수~12월 · 안B 권장)</t>
        </is>
      </c>
    </row>
    <row r="2">
      <c r="A2" s="32" t="inlineStr">
        <is>
          <t>52% 할인 후 최종 97,390,000원(VAT별도) · 총 11.0 M/M · UI Design(MX매출) 7.0MM/4,905만</t>
        </is>
      </c>
    </row>
    <row r="4">
      <c r="A4" s="33" t="inlineStr">
        <is>
          <t>파트</t>
        </is>
      </c>
      <c r="B4" s="33" t="inlineStr">
        <is>
          <t>역할</t>
        </is>
      </c>
      <c r="C4" s="33" t="inlineStr">
        <is>
          <t>등급</t>
        </is>
      </c>
      <c r="D4" s="33" t="inlineStr">
        <is>
          <t>9월</t>
        </is>
      </c>
      <c r="E4" s="33" t="inlineStr">
        <is>
          <t>10월</t>
        </is>
      </c>
      <c r="F4" s="33" t="inlineStr">
        <is>
          <t>11월</t>
        </is>
      </c>
      <c r="G4" s="33" t="inlineStr">
        <is>
          <t>12월</t>
        </is>
      </c>
      <c r="H4" s="33" t="inlineStr">
        <is>
          <t>M/M</t>
        </is>
      </c>
    </row>
    <row r="5">
      <c r="A5" s="34" t="inlineStr">
        <is>
          <t>기획</t>
        </is>
      </c>
      <c r="B5" s="35" t="inlineStr">
        <is>
          <t>PM</t>
        </is>
      </c>
      <c r="C5" s="36" t="inlineStr">
        <is>
          <t>고급</t>
        </is>
      </c>
      <c r="D5" s="36" t="n">
        <v>0.5</v>
      </c>
      <c r="E5" s="36" t="n">
        <v>0.5</v>
      </c>
      <c r="F5" s="36" t="n">
        <v>0.5</v>
      </c>
      <c r="G5" s="36" t="n">
        <v>0.5</v>
      </c>
      <c r="H5" s="37">
        <f>SUM(D5:G5)</f>
        <v/>
      </c>
    </row>
    <row r="6">
      <c r="A6" s="34" t="inlineStr">
        <is>
          <t>기획</t>
        </is>
      </c>
      <c r="B6" s="35" t="inlineStr">
        <is>
          <t>PA</t>
        </is>
      </c>
      <c r="C6" s="36" t="inlineStr">
        <is>
          <t>중급</t>
        </is>
      </c>
      <c r="D6" s="36" t="n">
        <v>0.5</v>
      </c>
      <c r="E6" s="36" t="n">
        <v>0.5</v>
      </c>
      <c r="F6" s="36" t="n">
        <v>0.5</v>
      </c>
      <c r="G6" s="36" t="n">
        <v>0.5</v>
      </c>
      <c r="H6" s="37">
        <f>SUM(D6:G6)</f>
        <v/>
      </c>
    </row>
    <row r="7">
      <c r="A7" s="34" t="inlineStr">
        <is>
          <t>디자인</t>
        </is>
      </c>
      <c r="B7" s="38" t="inlineStr">
        <is>
          <t>CD (UI)</t>
        </is>
      </c>
      <c r="C7" s="36" t="inlineStr">
        <is>
          <t>고급</t>
        </is>
      </c>
      <c r="D7" s="36" t="n">
        <v>0.5</v>
      </c>
      <c r="E7" s="36" t="n">
        <v>0.5</v>
      </c>
      <c r="F7" s="39" t="inlineStr">
        <is>
          <t>–</t>
        </is>
      </c>
      <c r="G7" s="39" t="inlineStr">
        <is>
          <t>–</t>
        </is>
      </c>
      <c r="H7" s="37">
        <f>SUM(D7:G7)</f>
        <v/>
      </c>
    </row>
    <row r="8">
      <c r="A8" s="34" t="inlineStr">
        <is>
          <t>디자인</t>
        </is>
      </c>
      <c r="B8" s="38" t="inlineStr">
        <is>
          <t>Designer (UI)</t>
        </is>
      </c>
      <c r="C8" s="36" t="inlineStr">
        <is>
          <t>중급</t>
        </is>
      </c>
      <c r="D8" s="36" t="n">
        <v>0.5</v>
      </c>
      <c r="E8" s="36" t="n">
        <v>1</v>
      </c>
      <c r="F8" s="36" t="n">
        <v>1</v>
      </c>
      <c r="G8" s="36" t="n">
        <v>1</v>
      </c>
      <c r="H8" s="37">
        <f>SUM(D8:G8)</f>
        <v/>
      </c>
    </row>
    <row r="9">
      <c r="A9" s="34" t="inlineStr">
        <is>
          <t>디자인</t>
        </is>
      </c>
      <c r="B9" s="38" t="inlineStr">
        <is>
          <t>Designer (UI)</t>
        </is>
      </c>
      <c r="C9" s="36" t="inlineStr">
        <is>
          <t>초급</t>
        </is>
      </c>
      <c r="D9" s="39" t="inlineStr">
        <is>
          <t>–</t>
        </is>
      </c>
      <c r="E9" s="36" t="n">
        <v>0.5</v>
      </c>
      <c r="F9" s="36" t="n">
        <v>0.5</v>
      </c>
      <c r="G9" s="36" t="n">
        <v>0.5</v>
      </c>
      <c r="H9" s="37">
        <f>SUM(D9:G9)</f>
        <v/>
      </c>
    </row>
    <row r="10">
      <c r="A10" s="34" t="inlineStr">
        <is>
          <t>디자인</t>
        </is>
      </c>
      <c r="B10" s="38" t="inlineStr">
        <is>
          <t>2D 모셔너·프로토타입 (UI)</t>
        </is>
      </c>
      <c r="C10" s="36" t="inlineStr">
        <is>
          <t>초급</t>
        </is>
      </c>
      <c r="D10" s="39" t="inlineStr">
        <is>
          <t>–</t>
        </is>
      </c>
      <c r="E10" s="39" t="inlineStr">
        <is>
          <t>–</t>
        </is>
      </c>
      <c r="F10" s="36" t="n">
        <v>0.5</v>
      </c>
      <c r="G10" s="36" t="n">
        <v>0.5</v>
      </c>
      <c r="H10" s="37">
        <f>SUM(D10:G10)</f>
        <v/>
      </c>
    </row>
    <row r="11">
      <c r="A11" s="40" t="inlineStr">
        <is>
          <t>월별 투입 / 총합</t>
        </is>
      </c>
      <c r="B11" s="41" t="n"/>
      <c r="C11" s="41" t="n"/>
      <c r="D11" s="42">
        <f>SUM(D5:D10)</f>
        <v/>
      </c>
      <c r="E11" s="42">
        <f>SUM(E5:E10)</f>
        <v/>
      </c>
      <c r="F11" s="42">
        <f>SUM(F5:F10)</f>
        <v/>
      </c>
      <c r="G11" s="42">
        <f>SUM(G5:G10)</f>
        <v/>
      </c>
      <c r="H11" s="43">
        <f>SUM(H5:H10)</f>
        <v/>
      </c>
    </row>
    <row r="13">
      <c r="A13" s="44" t="inlineStr">
        <is>
          <t>[산정] SW산업협회 2026 · 개발비=DL+제경비(110%)+기술료((DL+제경비)×20%) · 52% 할인 후 만원 절사(VAT별도)
[MX 축소] 타부서 21.5MM 대비 기획 슬림+퍼블/개발 제외+핵심집중+AI공수절감 → 11MM. 비정형·바이럴·2D모션 유지.
[리스크] 9월 착수=실디자인 4개월 압축. BI(8월)·사진(9~10월)과 병행. 페이지 우선순위·소스 적시전달 전제, 미확보시 단계분리(2a/2b).</t>
        </is>
      </c>
    </row>
    <row r="14"/>
    <row r="15"/>
    <row r="16"/>
  </sheetData>
  <mergeCells count="4">
    <mergeCell ref="A13:H16"/>
    <mergeCell ref="A2:H2"/>
    <mergeCell ref="A11:C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2026-07-27T04:05:39Z</dcterms:created>
  <dcterms:modified xsi:type="dcterms:W3CDTF">2026-07-27T04:52:48Z</dcterms:modified>
</cp:coreProperties>
</file>