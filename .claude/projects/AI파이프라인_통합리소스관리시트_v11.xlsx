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법" sheetId="1" state="visible" r:id="rId1"/>
    <sheet name="마스터" sheetId="2" state="visible" r:id="rId2"/>
    <sheet name="연간요약" sheetId="3" state="visible" r:id="rId3"/>
    <sheet name="1월" sheetId="4" state="visible" r:id="rId4"/>
    <sheet name="2월" sheetId="5" state="visible" r:id="rId5"/>
    <sheet name="3월" sheetId="6" state="visible" r:id="rId6"/>
    <sheet name="4월" sheetId="7" state="visible" r:id="rId7"/>
    <sheet name="5월" sheetId="8" state="visible" r:id="rId8"/>
    <sheet name="6월" sheetId="9" state="visible" r:id="rId9"/>
    <sheet name="7월" sheetId="10" state="visible" r:id="rId10"/>
    <sheet name="8월" sheetId="11" state="visible" r:id="rId11"/>
    <sheet name="9월" sheetId="12" state="visible" r:id="rId12"/>
    <sheet name="10월" sheetId="13" state="visible" r:id="rId13"/>
    <sheet name="11월" sheetId="14" state="visible" r:id="rId14"/>
    <sheet name="12월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yyyy-mm-dd"/>
    <numFmt numFmtId="165" formatCode="d"/>
    <numFmt numFmtId="166" formatCode="0.0"/>
    <numFmt numFmtId="167" formatCode="0.0;;"/>
    <numFmt numFmtId="168" formatCode="m/d"/>
    <numFmt numFmtId="169" formatCode="0;-0;0"/>
    <numFmt numFmtId="170" formatCode="0.0#"/>
    <numFmt numFmtId="171" formatCode="0;;"/>
    <numFmt numFmtId="172" formatCode="0.0#;;"/>
    <numFmt numFmtId="173" formatCode="0.0%"/>
  </numFmts>
  <fonts count="21">
    <font>
      <name val="Calibri"/>
      <family val="2"/>
      <color theme="1"/>
      <sz val="11"/>
      <scheme val="minor"/>
    </font>
    <font>
      <name val="맑은 고딕"/>
      <b val="1"/>
      <color rgb="00FFFFFF"/>
      <sz val="15"/>
    </font>
    <font>
      <name val="맑은 고딕"/>
      <color rgb="00444444"/>
      <sz val="10"/>
    </font>
    <font>
      <name val="맑은 고딕"/>
      <b val="1"/>
      <color rgb="00FFFFFF"/>
      <sz val="11"/>
    </font>
    <font>
      <name val="맑은 고딕"/>
      <b val="1"/>
      <color rgb="00000000"/>
      <sz val="9"/>
    </font>
    <font>
      <name val="맑은 고딕"/>
      <color rgb="00000000"/>
      <sz val="9"/>
    </font>
    <font>
      <name val="맑은 고딕"/>
      <b val="1"/>
      <color rgb="00FFFFFF"/>
      <sz val="14"/>
    </font>
    <font>
      <name val="맑은 고딕"/>
      <b val="1"/>
      <color rgb="00000000"/>
      <sz val="10"/>
    </font>
    <font>
      <name val="맑은 고딕"/>
      <color rgb="000000FF"/>
      <sz val="9"/>
    </font>
    <font>
      <name val="맑은 고딕"/>
      <b val="1"/>
      <color rgb="000000FF"/>
      <sz val="9"/>
    </font>
    <font>
      <name val="맑은 고딕"/>
      <b val="1"/>
      <color rgb="00FFFFFF"/>
      <sz val="9"/>
    </font>
    <font>
      <name val="맑은 고딕"/>
      <b val="1"/>
      <color rgb="00FFFFFF"/>
      <sz val="8"/>
    </font>
    <font>
      <name val="맑은 고딕"/>
      <b val="1"/>
      <color rgb="00000000"/>
      <sz val="8"/>
    </font>
    <font>
      <name val="맑은 고딕"/>
      <color rgb="00C00000"/>
      <sz val="8"/>
    </font>
    <font>
      <name val="맑은 고딕"/>
      <b val="1"/>
      <color rgb="00FFFFFF"/>
      <sz val="10"/>
    </font>
    <font>
      <name val="맑은 고딕"/>
      <color rgb="00808080"/>
      <sz val="9"/>
    </font>
    <font>
      <name val="맑은 고딕"/>
      <color rgb="00606060"/>
      <sz val="9"/>
    </font>
    <font>
      <name val="맑은 고딕"/>
      <color rgb="000000FF"/>
      <sz val="8"/>
    </font>
    <font>
      <name val="맑은 고딕"/>
      <color rgb="00909090"/>
      <sz val="9"/>
    </font>
    <font>
      <name val="맑은 고딕"/>
      <color rgb="00909090"/>
      <sz val="8"/>
    </font>
    <font>
      <name val="맑은 고딕"/>
      <color rgb="00666666"/>
      <sz val="9"/>
    </font>
  </fonts>
  <fills count="19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C0392B"/>
      </patternFill>
    </fill>
    <fill>
      <patternFill patternType="solid">
        <fgColor rgb="002E7D32"/>
      </patternFill>
    </fill>
    <fill>
      <patternFill patternType="solid">
        <fgColor rgb="005B2C8D"/>
      </patternFill>
    </fill>
    <fill>
      <patternFill patternType="solid">
        <fgColor rgb="00555555"/>
      </patternFill>
    </fill>
    <fill>
      <patternFill patternType="solid">
        <fgColor rgb="000B6E99"/>
      </patternFill>
    </fill>
    <fill>
      <patternFill patternType="solid">
        <fgColor rgb="004A5568"/>
      </patternFill>
    </fill>
    <fill>
      <patternFill patternType="solid">
        <fgColor rgb="00FFF4E6"/>
      </patternFill>
    </fill>
    <fill>
      <patternFill patternType="solid">
        <fgColor rgb="00E8F4EC"/>
      </patternFill>
    </fill>
    <fill>
      <patternFill patternType="solid">
        <fgColor rgb="00EFEFEF"/>
      </patternFill>
    </fill>
    <fill>
      <patternFill patternType="solid">
        <fgColor rgb="00E4E4E4"/>
      </patternFill>
    </fill>
    <fill>
      <patternFill patternType="solid">
        <fgColor rgb="00E7EEF8"/>
      </patternFill>
    </fill>
    <fill>
      <patternFill patternType="solid">
        <fgColor rgb="00FF6B35"/>
      </patternFill>
    </fill>
    <fill>
      <patternFill patternType="solid">
        <fgColor rgb="00FDE9DF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  <border>
      <left/>
      <right/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/>
    </xf>
    <xf numFmtId="0" fontId="0" fillId="0" borderId="5" pivotButton="0" quotePrefix="0" xfId="0"/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1" fontId="9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71" fontId="5" fillId="0" borderId="1" applyAlignment="1" pivotButton="0" quotePrefix="0" xfId="0">
      <alignment horizontal="center" vertical="center"/>
    </xf>
    <xf numFmtId="173" fontId="4" fillId="0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center" vertical="center"/>
    </xf>
    <xf numFmtId="166" fontId="7" fillId="18" borderId="1" applyAlignment="1" pivotButton="0" quotePrefix="0" xfId="0">
      <alignment horizontal="center" vertical="center"/>
    </xf>
    <xf numFmtId="171" fontId="7" fillId="18" borderId="1" applyAlignment="1" pivotButton="0" quotePrefix="0" xfId="0">
      <alignment horizontal="center" vertical="center"/>
    </xf>
    <xf numFmtId="173" fontId="7" fillId="18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165" fontId="11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7" fontId="12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14" fillId="11" borderId="1" applyAlignment="1" pivotButton="0" quotePrefix="0" xfId="0">
      <alignment horizontal="left" vertical="center"/>
    </xf>
    <xf numFmtId="1" fontId="15" fillId="12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168" fontId="9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170" fontId="4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70" fontId="5" fillId="12" borderId="1" applyAlignment="1" pivotButton="0" quotePrefix="0" xfId="0">
      <alignment horizontal="center" vertical="center"/>
    </xf>
    <xf numFmtId="168" fontId="16" fillId="12" borderId="1" applyAlignment="1" pivotButton="0" quotePrefix="0" xfId="0">
      <alignment horizontal="center" vertical="center"/>
    </xf>
    <xf numFmtId="171" fontId="8" fillId="5" borderId="1" applyAlignment="1" pivotButton="0" quotePrefix="0" xfId="0">
      <alignment horizontal="center" vertical="center"/>
    </xf>
    <xf numFmtId="172" fontId="17" fillId="0" borderId="1" applyAlignment="1" pivotButton="0" quotePrefix="0" xfId="0">
      <alignment horizontal="center" vertical="center"/>
    </xf>
    <xf numFmtId="1" fontId="15" fillId="13" borderId="1" applyAlignment="1" pivotButton="0" quotePrefix="0" xfId="0">
      <alignment horizontal="center" vertical="center"/>
    </xf>
    <xf numFmtId="0" fontId="18" fillId="14" borderId="1" applyAlignment="1" pivotButton="0" quotePrefix="0" xfId="0">
      <alignment horizontal="left" vertical="center"/>
    </xf>
    <xf numFmtId="0" fontId="15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168" fontId="18" fillId="14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170" fontId="5" fillId="13" borderId="1" applyAlignment="1" pivotButton="0" quotePrefix="0" xfId="0">
      <alignment horizontal="center" vertical="center"/>
    </xf>
    <xf numFmtId="168" fontId="16" fillId="13" borderId="1" applyAlignment="1" pivotButton="0" quotePrefix="0" xfId="0">
      <alignment horizontal="center" vertical="center"/>
    </xf>
    <xf numFmtId="1" fontId="15" fillId="16" borderId="1" applyAlignment="1" pivotButton="0" quotePrefix="0" xfId="0">
      <alignment horizontal="center" vertical="center"/>
    </xf>
    <xf numFmtId="0" fontId="15" fillId="16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170" fontId="5" fillId="16" borderId="1" applyAlignment="1" pivotButton="0" quotePrefix="0" xfId="0">
      <alignment horizontal="center" vertical="center"/>
    </xf>
    <xf numFmtId="168" fontId="16" fillId="16" borderId="1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166" fontId="19" fillId="0" borderId="0" applyAlignment="1" pivotButton="0" quotePrefix="0" xfId="0">
      <alignment horizontal="center" vertical="center"/>
    </xf>
    <xf numFmtId="164" fontId="19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15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  <dxf>
      <font>
        <name val="맑은 고딕"/>
        <b val="1"/>
        <color rgb="004B0082"/>
        <sz val="8"/>
      </font>
      <fill>
        <patternFill patternType="solid">
          <fgColor rgb="00D9C2E9"/>
        </patternFill>
      </fill>
    </dxf>
    <dxf>
      <font>
        <name val="맑은 고딕"/>
        <b val="1"/>
        <color rgb="001F4E79"/>
        <sz val="8"/>
      </font>
      <fill>
        <patternFill patternType="solid">
          <fgColor rgb="00BDD7EE"/>
        </patternFill>
      </fill>
    </dxf>
    <dxf>
      <fill>
        <patternFill patternType="solid">
          <fgColor rgb="00BFBFBF"/>
        </patternFill>
      </fill>
    </dxf>
    <dxf>
      <fill>
        <patternFill patternType="solid">
          <fgColor rgb="00F2F2F2"/>
        </patternFill>
      </fill>
    </dxf>
    <dxf>
      <font>
        <name val="맑은 고딕"/>
        <b val="1"/>
        <color rgb="009C0006"/>
        <sz val="8"/>
      </font>
      <fill>
        <patternFill patternType="solid">
          <fgColor rgb="00FFC7CE"/>
        </patternFill>
      </fill>
    </dxf>
    <dxf>
      <font>
        <name val="맑은 고딕"/>
        <b val="1"/>
        <color rgb="00C00000"/>
        <sz val="8"/>
      </font>
      <fill>
        <patternFill patternType="solid">
          <fgColor rgb="00F8CBAD"/>
        </patternFill>
      </fill>
    </dxf>
    <dxf>
      <font>
        <name val="맑은 고딕"/>
        <b val="1"/>
        <color rgb="001F2A44"/>
        <sz val="8"/>
      </font>
      <fill>
        <patternFill patternType="solid">
          <fgColor rgb="00FFF4E6"/>
        </patternFill>
      </fill>
    </dxf>
    <dxf>
      <font>
        <name val="맑은 고딕"/>
        <b val="1"/>
        <color rgb="001F2A44"/>
        <sz val="8"/>
      </font>
      <fill>
        <patternFill patternType="solid">
          <fgColor rgb="00E8F4EC"/>
        </patternFill>
      </fill>
    </dxf>
    <dxf>
      <font>
        <name val="맑은 고딕"/>
        <b val="1"/>
        <color rgb="001F2A44"/>
        <sz val="8"/>
      </font>
      <fill>
        <patternFill patternType="solid">
          <fgColor rgb="00E7EEF8"/>
        </patternFill>
      </fill>
    </dxf>
    <dxf>
      <font>
        <name val="맑은 고딕"/>
        <b val="1"/>
        <color rgb="009C0006"/>
        <sz val="9"/>
      </font>
      <fill>
        <patternFill patternType="solid">
          <fgColor rgb="00FFC7CE"/>
        </patternFill>
      </fill>
    </dxf>
    <dxf>
      <font>
        <name val="맑은 고딕"/>
        <b val="1"/>
        <color rgb="009C6500"/>
        <sz val="9"/>
      </font>
      <fill>
        <patternFill patternType="solid">
          <fgColor rgb="00FFEB9C"/>
        </patternFill>
      </fill>
    </dxf>
    <dxf>
      <font>
        <name val="맑은 고딕"/>
        <b val="1"/>
        <color rgb="00006100"/>
        <sz val="9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6B35"/>
    <outlinePr summaryBelow="1" summaryRight="1"/>
    <pageSetUpPr/>
  </sheetPr>
  <dimension ref="B2:C31"/>
  <sheetViews>
    <sheetView workbookViewId="0">
      <selection activeCell="A1" sqref="A1"/>
    </sheetView>
  </sheetViews>
  <sheetFormatPr baseColWidth="8" defaultRowHeight="15"/>
  <cols>
    <col width="26" customWidth="1" min="2" max="2"/>
    <col width="108" customWidth="1" min="3" max="3"/>
  </cols>
  <sheetData>
    <row r="2" ht="28" customHeight="1">
      <c r="B2" s="1" t="inlineStr">
        <is>
          <t>AI 파이프라인 통합 리소스/스케줄 관리시트 v11</t>
        </is>
      </c>
    </row>
    <row r="3">
      <c r="B3" s="2" t="inlineStr">
        <is>
          <t>한 소재 = 3줄 고정(기획/이미지/영상). 소재명·전달일은 첫줄만 입력하고 아래 2줄은 자동 상속됩니다.</t>
        </is>
      </c>
    </row>
    <row r="5" ht="20" customHeight="1">
      <c r="B5" s="3" t="inlineStr">
        <is>
          <t>1. 입력 규칙 - 어디에 뭘 넣나</t>
        </is>
      </c>
      <c r="C5" s="4" t="n"/>
    </row>
    <row r="6" ht="26" customHeight="1">
      <c r="B6" s="5" t="inlineStr">
        <is>
          <t>블록 첫줄(기획 줄)</t>
        </is>
      </c>
      <c r="C6" s="6" t="inlineStr">
        <is>
          <t>게임 타이틀 · 소재명 · 고객사 전달일 · 영상수/사이즈베리/다국어베리 · 상태. 이 6가지는 첫줄에만 넣습니다.</t>
        </is>
      </c>
    </row>
    <row r="7" ht="26" customHeight="1">
      <c r="B7" s="5" t="inlineStr">
        <is>
          <t>모든 줄</t>
        </is>
      </c>
      <c r="C7" s="6" t="inlineStr">
        <is>
          <t>담당자 + 오른쪽 날짜 칸의 MD. 직군마다 담당자가 다르므로 줄마다 각자 입력합니다.</t>
        </is>
      </c>
    </row>
    <row r="8" ht="26" customHeight="1">
      <c r="B8" s="5" t="inlineStr">
        <is>
          <t>자동 상속(회색칸)</t>
        </is>
      </c>
      <c r="C8" s="6" t="inlineStr">
        <is>
          <t>2·3줄의 게임타이틀/소재명/전달일은 첫줄을 그대로 따라옵니다. 수식이니 덮어쓰지 마세요.</t>
        </is>
      </c>
    </row>
    <row r="9" ht="26" customHeight="1">
      <c r="B9" s="5" t="inlineStr">
        <is>
          <t>직군 칸</t>
        </is>
      </c>
      <c r="C9" s="6" t="inlineStr">
        <is>
          <t>기획/이미지/영상이 미리 고정돼 있습니다. 안 쓰는 직군은 담당자·MD를 비워두면 집계에서 자동 제외됩니다.</t>
        </is>
      </c>
    </row>
    <row r="11" ht="20" customHeight="1">
      <c r="B11" s="3" t="inlineStr">
        <is>
          <t>2. MD 입력 - 날짜 칸에 실제 값 그대로</t>
        </is>
      </c>
      <c r="C11" s="4" t="n"/>
    </row>
    <row r="12" ht="26" customHeight="1">
      <c r="B12" s="5" t="inlineStr">
        <is>
          <t>직접 입력</t>
        </is>
      </c>
      <c r="C12" s="6" t="inlineStr">
        <is>
          <t>그날 실제 투입 MD를 그 날짜 칸에 씁니다. 균등분산이 아닙니다. 예) 8/5 기획 0.5 / 8/5 이미지 0.4 / 8/6 영상 1.0 / 8/7 영상 1.0</t>
        </is>
      </c>
    </row>
    <row r="13" ht="26" customHeight="1">
      <c r="B13" s="5" t="inlineStr">
        <is>
          <t>자동 계산</t>
        </is>
      </c>
      <c r="C13" s="6" t="inlineStr">
        <is>
          <t>직군MD·시작일·완료일은 그 줄에 넣은 날짜에서 자동으로 나옵니다. 소재 총MD와 최종완료일은 3줄을 묶어 첫줄에 표시됩니다.</t>
        </is>
      </c>
    </row>
    <row r="14" ht="26" customHeight="1">
      <c r="B14" s="5" t="inlineStr">
        <is>
          <t>시간→MD</t>
        </is>
      </c>
      <c r="C14" s="6" t="inlineStr">
        <is>
          <t>1h=0.13 / 2h=0.25 / 4h=0.5 / 8h=1.0 (근무 1일 = 1.0MD)</t>
        </is>
      </c>
    </row>
    <row r="16" ht="20" customHeight="1">
      <c r="B16" s="3" t="inlineStr">
        <is>
          <t>3. 고객사 전달일 - 이 시트의 기준선</t>
        </is>
      </c>
      <c r="C16" s="4" t="n"/>
    </row>
    <row r="17" ht="26" customHeight="1">
      <c r="B17" s="5" t="inlineStr">
        <is>
          <t>전달일 여유</t>
        </is>
      </c>
      <c r="C17" s="6" t="inlineStr">
        <is>
          <t>전달일 - 소재 최종완료일. 음수면 전달일을 넘긴 겁니다.</t>
        </is>
      </c>
    </row>
    <row r="18" ht="26" customHeight="1">
      <c r="B18" s="5" t="inlineStr">
        <is>
          <t>신호</t>
        </is>
      </c>
      <c r="C18" s="6" t="inlineStr">
        <is>
          <t>🔴지연(여유 음수) / 🟡임박(0~1일) / 🟢여유(2일 이상). 소재 블록 첫줄에 뜹니다.</t>
        </is>
      </c>
    </row>
    <row r="19" ht="26" customHeight="1">
      <c r="B19" s="5" t="inlineStr">
        <is>
          <t>빨간 날짜 칸</t>
        </is>
      </c>
      <c r="C19" s="6" t="inlineStr">
        <is>
          <t>전달일보다 뒤인 날짜에 MD를 넣으면 그 칸이 빨갛게 변합니다. 전달일을 넘겨 작업 중이라는 뜻입니다.</t>
        </is>
      </c>
    </row>
    <row r="21" ht="20" customHeight="1">
      <c r="B21" s="3" t="inlineStr">
        <is>
          <t>4. 색으로 보는 신호</t>
        </is>
      </c>
      <c r="C21" s="4" t="n"/>
    </row>
    <row r="22" ht="26" customHeight="1">
      <c r="B22" s="5" t="inlineStr">
        <is>
          <t>파랑(상단)</t>
        </is>
      </c>
      <c r="C22" s="6" t="inlineStr">
        <is>
          <t>그 직군 정원(TO)의 80~100%가 찬 날</t>
        </is>
      </c>
    </row>
    <row r="23" ht="26" customHeight="1">
      <c r="B23" s="5" t="inlineStr">
        <is>
          <t>보라(상단)</t>
        </is>
      </c>
      <c r="C23" s="6" t="inlineStr">
        <is>
          <t>정원 초과 - 배정 조율 필요</t>
        </is>
      </c>
    </row>
    <row r="24" ht="26" customHeight="1">
      <c r="B24" s="5" t="inlineStr">
        <is>
          <t>빨강(날짜칸)</t>
        </is>
      </c>
      <c r="C24" s="6" t="inlineStr">
        <is>
          <t>같은 담당자가 같은 날 여러 소재 합쳐 1.0MD(8시간)를 넘김, 또는 전달일을 넘겨 작업 중</t>
        </is>
      </c>
    </row>
    <row r="25" ht="26" customHeight="1">
      <c r="B25" s="5" t="inlineStr">
        <is>
          <t>회색(세로줄)</t>
        </is>
      </c>
      <c r="C25" s="6" t="inlineStr">
        <is>
          <t>주말 또는 대한민국 공휴일 - 워킹데이 아님</t>
        </is>
      </c>
    </row>
    <row r="26" ht="26" customHeight="1">
      <c r="B26" s="5" t="inlineStr">
        <is>
          <t>줄 배경색</t>
        </is>
      </c>
      <c r="C26" s="6" t="inlineStr">
        <is>
          <t>기획=주황 / 이미지=초록 / 영상=파랑 계열로 직군을 구분합니다.</t>
        </is>
      </c>
    </row>
    <row r="28" ht="20" customHeight="1">
      <c r="B28" s="3" t="inlineStr">
        <is>
          <t>5. 용량과 구조</t>
        </is>
      </c>
      <c r="C28" s="4" t="n"/>
    </row>
    <row r="29" ht="26" customHeight="1">
      <c r="B29" s="5" t="inlineStr">
        <is>
          <t>팀별 구간</t>
        </is>
      </c>
      <c r="C29" s="6" t="inlineStr">
        <is>
          <t>마케팅1~4팀 + 기타. 팀당 소재 20개(60행) 고정, 전체 월 100소재.</t>
        </is>
      </c>
    </row>
    <row r="30" ht="26" customHeight="1">
      <c r="B30" s="5" t="inlineStr">
        <is>
          <t>행이 모자라면</t>
        </is>
      </c>
      <c r="C30" s="6" t="inlineStr">
        <is>
          <t>그 팀 구간 안에서 3줄 단위로 삽입하고, 상단 합계와 연간요약의 참조 범위를 함께 넓혀야 합니다.</t>
        </is>
      </c>
    </row>
    <row r="31" ht="26" customHeight="1">
      <c r="B31" s="5" t="inlineStr">
        <is>
          <t>연간요약</t>
        </is>
      </c>
      <c r="C31" s="6" t="inlineStr">
        <is>
          <t>12개 월 탭에서 직접 집계합니다. 입력은 각 월 탭에서만 하세요.</t>
        </is>
      </c>
    </row>
  </sheetData>
  <mergeCells count="7">
    <mergeCell ref="B21:C21"/>
    <mergeCell ref="B16:C16"/>
    <mergeCell ref="B2:C2"/>
    <mergeCell ref="B11:C11"/>
    <mergeCell ref="B3:C3"/>
    <mergeCell ref="B5:C5"/>
    <mergeCell ref="B28:C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08080"/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22" customWidth="1" min="1" max="1"/>
    <col width="3" customWidth="1" min="2" max="2"/>
    <col width="14" customWidth="1" min="3" max="3"/>
    <col width="3" customWidth="1" min="4" max="4"/>
    <col width="10" customWidth="1" min="5" max="5"/>
    <col width="3" customWidth="1" min="6" max="6"/>
    <col width="10" customWidth="1" min="7" max="7"/>
    <col width="3" customWidth="1" min="8" max="8"/>
    <col width="26" customWidth="1" min="9" max="9"/>
    <col width="12" customWidth="1" min="10" max="10"/>
  </cols>
  <sheetData>
    <row r="1" ht="24" customHeight="1">
      <c r="A1" s="7" t="inlineStr">
        <is>
          <t>마스터 / 기준정보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4" t="n"/>
    </row>
    <row r="2">
      <c r="A2" s="9" t="inlineStr">
        <is>
          <t>게임 타이틀</t>
        </is>
      </c>
      <c r="C2" s="9" t="inlineStr">
        <is>
          <t>고객팀</t>
        </is>
      </c>
      <c r="E2" s="9" t="inlineStr">
        <is>
          <t>직군</t>
        </is>
      </c>
      <c r="G2" s="9" t="inlineStr">
        <is>
          <t>상태</t>
        </is>
      </c>
      <c r="I2" s="9" t="inlineStr">
        <is>
          <t>운영 파라미터</t>
        </is>
      </c>
      <c r="J2" s="9" t="inlineStr">
        <is>
          <t>값</t>
        </is>
      </c>
    </row>
    <row r="3">
      <c r="A3" s="10" t="inlineStr">
        <is>
          <t>뱀피르</t>
        </is>
      </c>
      <c r="C3" s="11" t="inlineStr">
        <is>
          <t>마케팅1팀</t>
        </is>
      </c>
      <c r="E3" s="11" t="inlineStr">
        <is>
          <t>기획</t>
        </is>
      </c>
      <c r="G3" s="11" t="inlineStr">
        <is>
          <t>대기</t>
        </is>
      </c>
      <c r="I3" s="5" t="inlineStr">
        <is>
          <t>연도</t>
        </is>
      </c>
      <c r="J3" s="12" t="n">
        <v>2026</v>
      </c>
    </row>
    <row r="4">
      <c r="A4" s="10" t="inlineStr">
        <is>
          <t>RF 글로벌</t>
        </is>
      </c>
      <c r="C4" s="11" t="inlineStr">
        <is>
          <t>마케팅2팀</t>
        </is>
      </c>
      <c r="E4" s="11" t="inlineStr">
        <is>
          <t>이미지</t>
        </is>
      </c>
      <c r="G4" s="11" t="inlineStr">
        <is>
          <t>진행</t>
        </is>
      </c>
      <c r="I4" s="5" t="inlineStr">
        <is>
          <t>월 가동일수</t>
        </is>
      </c>
      <c r="J4" s="12" t="n">
        <v>20</v>
      </c>
    </row>
    <row r="5">
      <c r="A5" s="10" t="inlineStr">
        <is>
          <t>SOL 인챈트</t>
        </is>
      </c>
      <c r="C5" s="11" t="inlineStr">
        <is>
          <t>마케팅3팀</t>
        </is>
      </c>
      <c r="E5" s="11" t="inlineStr">
        <is>
          <t>영상</t>
        </is>
      </c>
      <c r="G5" s="11" t="inlineStr">
        <is>
          <t>검수</t>
        </is>
      </c>
      <c r="I5" s="5" t="inlineStr">
        <is>
          <t>담당자 1일 캐파(MD)</t>
        </is>
      </c>
      <c r="J5" s="12" t="n">
        <v>1</v>
      </c>
    </row>
    <row r="6">
      <c r="A6" s="10" t="inlineStr">
        <is>
          <t>스톤에이지펫월드</t>
        </is>
      </c>
      <c r="C6" s="11" t="inlineStr">
        <is>
          <t>마케팅4팀</t>
        </is>
      </c>
      <c r="G6" s="11" t="inlineStr">
        <is>
          <t>완료</t>
        </is>
      </c>
    </row>
    <row r="7">
      <c r="A7" s="10" t="inlineStr">
        <is>
          <t>칠대죄오리진</t>
        </is>
      </c>
      <c r="C7" s="11" t="inlineStr">
        <is>
          <t>기타</t>
        </is>
      </c>
      <c r="I7" s="13" t="inlineStr">
        <is>
          <t>직군 일 TO 정원</t>
        </is>
      </c>
      <c r="J7" s="9" t="inlineStr">
        <is>
          <t>명</t>
        </is>
      </c>
    </row>
    <row r="8">
      <c r="A8" s="10" t="inlineStr">
        <is>
          <t>세나리버스</t>
        </is>
      </c>
      <c r="I8" s="5" t="inlineStr">
        <is>
          <t>영상</t>
        </is>
      </c>
      <c r="J8" s="12" t="n">
        <v>6</v>
      </c>
    </row>
    <row r="9">
      <c r="A9" s="10" t="inlineStr">
        <is>
          <t>몬길</t>
        </is>
      </c>
      <c r="I9" s="5" t="inlineStr">
        <is>
          <t>이미지</t>
        </is>
      </c>
      <c r="J9" s="12" t="n">
        <v>8</v>
      </c>
    </row>
    <row r="10">
      <c r="A10" s="10" t="inlineStr">
        <is>
          <t>왕겜(GOT)</t>
        </is>
      </c>
      <c r="I10" s="5" t="inlineStr">
        <is>
          <t>기획</t>
        </is>
      </c>
      <c r="J10" s="12" t="n">
        <v>3</v>
      </c>
    </row>
    <row r="11">
      <c r="A11" s="10" t="inlineStr">
        <is>
          <t>몬스터길들이기</t>
        </is>
      </c>
    </row>
    <row r="12">
      <c r="A12" s="10" t="inlineStr">
        <is>
          <t>라이즈오브</t>
        </is>
      </c>
      <c r="I12" s="13" t="inlineStr">
        <is>
          <t>대한민국 공휴일 (연도별 확인/수정 필요)</t>
        </is>
      </c>
      <c r="J12" s="9" t="inlineStr">
        <is>
          <t>날짜</t>
        </is>
      </c>
    </row>
    <row r="13">
      <c r="I13" s="14" t="inlineStr">
        <is>
          <t>신정</t>
        </is>
      </c>
      <c r="J13" s="15">
        <f>DATE($J$3,1,1)</f>
        <v/>
      </c>
    </row>
    <row r="14">
      <c r="I14" s="14" t="inlineStr">
        <is>
          <t>설날연휴</t>
        </is>
      </c>
      <c r="J14" s="15">
        <f>DATE($J$3,2,16)</f>
        <v/>
      </c>
    </row>
    <row r="15">
      <c r="I15" s="14" t="inlineStr">
        <is>
          <t>설날</t>
        </is>
      </c>
      <c r="J15" s="15">
        <f>DATE($J$3,2,17)</f>
        <v/>
      </c>
    </row>
    <row r="16">
      <c r="I16" s="14" t="inlineStr">
        <is>
          <t>설날연휴</t>
        </is>
      </c>
      <c r="J16" s="15">
        <f>DATE($J$3,2,18)</f>
        <v/>
      </c>
    </row>
    <row r="17">
      <c r="I17" s="14" t="inlineStr">
        <is>
          <t>삼일절(대체)</t>
        </is>
      </c>
      <c r="J17" s="15">
        <f>DATE($J$3,3,2)</f>
        <v/>
      </c>
    </row>
    <row r="18">
      <c r="I18" s="14" t="inlineStr">
        <is>
          <t>어린이날</t>
        </is>
      </c>
      <c r="J18" s="15">
        <f>DATE($J$3,5,5)</f>
        <v/>
      </c>
    </row>
    <row r="19">
      <c r="I19" s="14" t="inlineStr">
        <is>
          <t>부처님오신날(음력,확인필요)</t>
        </is>
      </c>
      <c r="J19" s="15">
        <f>DATE($J$3,5,24)</f>
        <v/>
      </c>
    </row>
    <row r="20">
      <c r="I20" s="14" t="inlineStr">
        <is>
          <t>현충일</t>
        </is>
      </c>
      <c r="J20" s="15">
        <f>DATE($J$3,6,6)</f>
        <v/>
      </c>
    </row>
    <row r="21">
      <c r="I21" s="14" t="inlineStr">
        <is>
          <t>광복절</t>
        </is>
      </c>
      <c r="J21" s="15">
        <f>DATE($J$3,8,15)</f>
        <v/>
      </c>
    </row>
    <row r="22">
      <c r="I22" s="14" t="inlineStr">
        <is>
          <t>추석연휴(음력,확인필요)</t>
        </is>
      </c>
      <c r="J22" s="15">
        <f>DATE($J$3,9,24)</f>
        <v/>
      </c>
    </row>
    <row r="23">
      <c r="I23" s="14" t="inlineStr">
        <is>
          <t>추석(음력,확인필요)</t>
        </is>
      </c>
      <c r="J23" s="15">
        <f>DATE($J$3,9,25)</f>
        <v/>
      </c>
    </row>
    <row r="24">
      <c r="I24" s="14" t="inlineStr">
        <is>
          <t>추석연휴(음력,확인필요)</t>
        </is>
      </c>
      <c r="J24" s="15">
        <f>DATE($J$3,9,26)</f>
        <v/>
      </c>
    </row>
    <row r="25">
      <c r="I25" s="14" t="inlineStr">
        <is>
          <t>개천절</t>
        </is>
      </c>
      <c r="J25" s="15">
        <f>DATE($J$3,10,3)</f>
        <v/>
      </c>
    </row>
    <row r="26">
      <c r="I26" s="14" t="inlineStr">
        <is>
          <t>한글날</t>
        </is>
      </c>
      <c r="J26" s="15">
        <f>DATE($J$3,10,9)</f>
        <v/>
      </c>
    </row>
    <row r="27">
      <c r="I27" s="14" t="inlineStr">
        <is>
          <t>성탄절</t>
        </is>
      </c>
      <c r="J27" s="15">
        <f>DATE($J$3,12,25)</f>
        <v/>
      </c>
    </row>
    <row r="30">
      <c r="A30" s="3" t="inlineStr">
        <is>
          <t>비나(VINA) 운영 시나리오 (참고)</t>
        </is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4" t="n"/>
    </row>
    <row r="31">
      <c r="A31" s="5" t="inlineStr">
        <is>
          <t>방안 1</t>
        </is>
      </c>
      <c r="C31" s="14" t="inlineStr">
        <is>
          <t>기획+내부디자인+비나영상 - 비나 영상공수는 영상실 매출 귀속</t>
        </is>
      </c>
      <c r="D31" s="8" t="n"/>
      <c r="E31" s="8" t="n"/>
      <c r="F31" s="8" t="n"/>
      <c r="G31" s="8" t="n"/>
      <c r="H31" s="8" t="n"/>
      <c r="I31" s="8" t="n"/>
      <c r="J31" s="4" t="n"/>
    </row>
    <row r="32">
      <c r="A32" s="5" t="inlineStr">
        <is>
          <t>방안 2</t>
        </is>
      </c>
      <c r="C32" s="14" t="inlineStr">
        <is>
          <t>비나=사이즈베리만 - 영상 베리는 디자인 흡수</t>
        </is>
      </c>
      <c r="D32" s="8" t="n"/>
      <c r="E32" s="8" t="n"/>
      <c r="F32" s="8" t="n"/>
      <c r="G32" s="8" t="n"/>
      <c r="H32" s="8" t="n"/>
      <c r="I32" s="8" t="n"/>
      <c r="J32" s="4" t="n"/>
    </row>
    <row r="33">
      <c r="A33" s="5" t="inlineStr">
        <is>
          <t>방안 3</t>
        </is>
      </c>
      <c r="C33" s="14" t="inlineStr">
        <is>
          <t>비나 이미지TO 추가발주+추가비용</t>
        </is>
      </c>
      <c r="D33" s="8" t="n"/>
      <c r="E33" s="8" t="n"/>
      <c r="F33" s="8" t="n"/>
      <c r="G33" s="8" t="n"/>
      <c r="H33" s="8" t="n"/>
      <c r="I33" s="8" t="n"/>
      <c r="J33" s="4" t="n"/>
    </row>
    <row r="34">
      <c r="A34" s="5" t="inlineStr">
        <is>
          <t>방안 4</t>
        </is>
      </c>
      <c r="C34" s="14" t="inlineStr">
        <is>
          <t>본사 프로세스 통합(이미지TO 추가X)</t>
        </is>
      </c>
      <c r="D34" s="8" t="n"/>
      <c r="E34" s="8" t="n"/>
      <c r="F34" s="8" t="n"/>
      <c r="G34" s="8" t="n"/>
      <c r="H34" s="8" t="n"/>
      <c r="I34" s="8" t="n"/>
      <c r="J34" s="4" t="n"/>
    </row>
  </sheetData>
  <mergeCells count="6">
    <mergeCell ref="A1:J1"/>
    <mergeCell ref="C34:J34"/>
    <mergeCell ref="C33:J33"/>
    <mergeCell ref="C32:J32"/>
    <mergeCell ref="A30:J30"/>
    <mergeCell ref="C31:J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6B35"/>
    <outlinePr summaryBelow="1" summaryRight="1"/>
    <pageSetUpPr/>
  </sheetPr>
  <dimension ref="B2:L21"/>
  <sheetViews>
    <sheetView workbookViewId="0">
      <selection activeCell="A1" sqref="A1"/>
    </sheetView>
  </sheetViews>
  <sheetFormatPr baseColWidth="8" defaultRowHeight="15"/>
  <cols>
    <col width="3" customWidth="1" min="1" max="1"/>
    <col width="9" customWidth="1" min="2" max="2"/>
    <col width="11" customWidth="1" min="3" max="3"/>
    <col width="11" customWidth="1" min="4" max="4"/>
    <col width="11" customWidth="1" min="5" max="5"/>
    <col width="11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2" ht="24" customHeight="1">
      <c r="B2" s="7" t="inlineStr">
        <is>
          <t>연간요약 - 월별 / 누적 / 가동률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4" t="n"/>
    </row>
    <row r="3">
      <c r="B3" s="16" t="inlineStr">
        <is>
          <t>각 월 탭에서 직접 집계합니다. 입력은 해당 월 탭에서만 하세요.</t>
        </is>
      </c>
    </row>
    <row r="5">
      <c r="B5" s="17" t="inlineStr">
        <is>
          <t>월</t>
        </is>
      </c>
      <c r="C5" s="17" t="inlineStr">
        <is>
          <t>영상MD</t>
        </is>
      </c>
      <c r="D5" s="17" t="inlineStr">
        <is>
          <t>이미지MD</t>
        </is>
      </c>
      <c r="E5" s="17" t="inlineStr">
        <is>
          <t>기획MD</t>
        </is>
      </c>
      <c r="F5" s="17" t="inlineStr">
        <is>
          <t>합계MD</t>
        </is>
      </c>
      <c r="G5" s="17" t="inlineStr">
        <is>
          <t>누적MD</t>
        </is>
      </c>
      <c r="H5" s="17" t="inlineStr">
        <is>
          <t>영상수</t>
        </is>
      </c>
      <c r="I5" s="17" t="inlineStr">
        <is>
          <t>사이즈베리</t>
        </is>
      </c>
      <c r="J5" s="17" t="inlineStr">
        <is>
          <t>다국어베리</t>
        </is>
      </c>
      <c r="K5" s="17" t="inlineStr">
        <is>
          <t>소재수</t>
        </is>
      </c>
      <c r="L5" s="17" t="inlineStr">
        <is>
          <t>가동률</t>
        </is>
      </c>
    </row>
    <row r="6">
      <c r="B6" s="18" t="inlineStr">
        <is>
          <t>1월</t>
        </is>
      </c>
      <c r="C6" s="19">
        <f>SUMIF('1월'!$E$9:$E$312,"영상",'1월'!$L$9:$L$312)</f>
        <v/>
      </c>
      <c r="D6" s="19">
        <f>SUMIF('1월'!$E$9:$E$312,"이미지",'1월'!$L$9:$L$312)</f>
        <v/>
      </c>
      <c r="E6" s="19">
        <f>SUMIF('1월'!$E$9:$E$312,"기획",'1월'!$L$9:$L$312)</f>
        <v/>
      </c>
      <c r="F6" s="20">
        <f>SUM(C6:E6)</f>
        <v/>
      </c>
      <c r="G6" s="19">
        <f>SUM($F$6:F6)</f>
        <v/>
      </c>
      <c r="H6" s="21">
        <f>SUM('1월'!$O$9:$O$312)</f>
        <v/>
      </c>
      <c r="I6" s="21">
        <f>SUM('1월'!$P$9:$P$312)</f>
        <v/>
      </c>
      <c r="J6" s="21">
        <f>SUM('1월'!$Q$9:$Q$312)</f>
        <v/>
      </c>
      <c r="K6" s="21">
        <f>COUNTIF('1월'!$A$9:$A$312,"&gt;0")</f>
        <v/>
      </c>
      <c r="L6" s="22">
        <f>IFERROR(F6/(SUM('마스터'!$J$8:$J$10)*'마스터'!$J$4),0)</f>
        <v/>
      </c>
    </row>
    <row r="7">
      <c r="B7" s="18" t="inlineStr">
        <is>
          <t>2월</t>
        </is>
      </c>
      <c r="C7" s="19">
        <f>SUMIF('2월'!$E$9:$E$312,"영상",'2월'!$L$9:$L$312)</f>
        <v/>
      </c>
      <c r="D7" s="19">
        <f>SUMIF('2월'!$E$9:$E$312,"이미지",'2월'!$L$9:$L$312)</f>
        <v/>
      </c>
      <c r="E7" s="19">
        <f>SUMIF('2월'!$E$9:$E$312,"기획",'2월'!$L$9:$L$312)</f>
        <v/>
      </c>
      <c r="F7" s="20">
        <f>SUM(C7:E7)</f>
        <v/>
      </c>
      <c r="G7" s="19">
        <f>SUM($F$6:F7)</f>
        <v/>
      </c>
      <c r="H7" s="21">
        <f>SUM('2월'!$O$9:$O$312)</f>
        <v/>
      </c>
      <c r="I7" s="21">
        <f>SUM('2월'!$P$9:$P$312)</f>
        <v/>
      </c>
      <c r="J7" s="21">
        <f>SUM('2월'!$Q$9:$Q$312)</f>
        <v/>
      </c>
      <c r="K7" s="21">
        <f>COUNTIF('2월'!$A$9:$A$312,"&gt;0")</f>
        <v/>
      </c>
      <c r="L7" s="22">
        <f>IFERROR(F7/(SUM('마스터'!$J$8:$J$10)*'마스터'!$J$4),0)</f>
        <v/>
      </c>
    </row>
    <row r="8">
      <c r="B8" s="18" t="inlineStr">
        <is>
          <t>3월</t>
        </is>
      </c>
      <c r="C8" s="19">
        <f>SUMIF('3월'!$E$9:$E$312,"영상",'3월'!$L$9:$L$312)</f>
        <v/>
      </c>
      <c r="D8" s="19">
        <f>SUMIF('3월'!$E$9:$E$312,"이미지",'3월'!$L$9:$L$312)</f>
        <v/>
      </c>
      <c r="E8" s="19">
        <f>SUMIF('3월'!$E$9:$E$312,"기획",'3월'!$L$9:$L$312)</f>
        <v/>
      </c>
      <c r="F8" s="20">
        <f>SUM(C8:E8)</f>
        <v/>
      </c>
      <c r="G8" s="19">
        <f>SUM($F$6:F8)</f>
        <v/>
      </c>
      <c r="H8" s="21">
        <f>SUM('3월'!$O$9:$O$312)</f>
        <v/>
      </c>
      <c r="I8" s="21">
        <f>SUM('3월'!$P$9:$P$312)</f>
        <v/>
      </c>
      <c r="J8" s="21">
        <f>SUM('3월'!$Q$9:$Q$312)</f>
        <v/>
      </c>
      <c r="K8" s="21">
        <f>COUNTIF('3월'!$A$9:$A$312,"&gt;0")</f>
        <v/>
      </c>
      <c r="L8" s="22">
        <f>IFERROR(F8/(SUM('마스터'!$J$8:$J$10)*'마스터'!$J$4),0)</f>
        <v/>
      </c>
    </row>
    <row r="9">
      <c r="B9" s="18" t="inlineStr">
        <is>
          <t>4월</t>
        </is>
      </c>
      <c r="C9" s="19">
        <f>SUMIF('4월'!$E$9:$E$312,"영상",'4월'!$L$9:$L$312)</f>
        <v/>
      </c>
      <c r="D9" s="19">
        <f>SUMIF('4월'!$E$9:$E$312,"이미지",'4월'!$L$9:$L$312)</f>
        <v/>
      </c>
      <c r="E9" s="19">
        <f>SUMIF('4월'!$E$9:$E$312,"기획",'4월'!$L$9:$L$312)</f>
        <v/>
      </c>
      <c r="F9" s="20">
        <f>SUM(C9:E9)</f>
        <v/>
      </c>
      <c r="G9" s="19">
        <f>SUM($F$6:F9)</f>
        <v/>
      </c>
      <c r="H9" s="21">
        <f>SUM('4월'!$O$9:$O$312)</f>
        <v/>
      </c>
      <c r="I9" s="21">
        <f>SUM('4월'!$P$9:$P$312)</f>
        <v/>
      </c>
      <c r="J9" s="21">
        <f>SUM('4월'!$Q$9:$Q$312)</f>
        <v/>
      </c>
      <c r="K9" s="21">
        <f>COUNTIF('4월'!$A$9:$A$312,"&gt;0")</f>
        <v/>
      </c>
      <c r="L9" s="22">
        <f>IFERROR(F9/(SUM('마스터'!$J$8:$J$10)*'마스터'!$J$4),0)</f>
        <v/>
      </c>
    </row>
    <row r="10">
      <c r="B10" s="18" t="inlineStr">
        <is>
          <t>5월</t>
        </is>
      </c>
      <c r="C10" s="19">
        <f>SUMIF('5월'!$E$9:$E$312,"영상",'5월'!$L$9:$L$312)</f>
        <v/>
      </c>
      <c r="D10" s="19">
        <f>SUMIF('5월'!$E$9:$E$312,"이미지",'5월'!$L$9:$L$312)</f>
        <v/>
      </c>
      <c r="E10" s="19">
        <f>SUMIF('5월'!$E$9:$E$312,"기획",'5월'!$L$9:$L$312)</f>
        <v/>
      </c>
      <c r="F10" s="20">
        <f>SUM(C10:E10)</f>
        <v/>
      </c>
      <c r="G10" s="19">
        <f>SUM($F$6:F10)</f>
        <v/>
      </c>
      <c r="H10" s="21">
        <f>SUM('5월'!$O$9:$O$312)</f>
        <v/>
      </c>
      <c r="I10" s="21">
        <f>SUM('5월'!$P$9:$P$312)</f>
        <v/>
      </c>
      <c r="J10" s="21">
        <f>SUM('5월'!$Q$9:$Q$312)</f>
        <v/>
      </c>
      <c r="K10" s="21">
        <f>COUNTIF('5월'!$A$9:$A$312,"&gt;0")</f>
        <v/>
      </c>
      <c r="L10" s="22">
        <f>IFERROR(F10/(SUM('마스터'!$J$8:$J$10)*'마스터'!$J$4),0)</f>
        <v/>
      </c>
    </row>
    <row r="11">
      <c r="B11" s="18" t="inlineStr">
        <is>
          <t>6월</t>
        </is>
      </c>
      <c r="C11" s="19">
        <f>SUMIF('6월'!$E$9:$E$312,"영상",'6월'!$L$9:$L$312)</f>
        <v/>
      </c>
      <c r="D11" s="19">
        <f>SUMIF('6월'!$E$9:$E$312,"이미지",'6월'!$L$9:$L$312)</f>
        <v/>
      </c>
      <c r="E11" s="19">
        <f>SUMIF('6월'!$E$9:$E$312,"기획",'6월'!$L$9:$L$312)</f>
        <v/>
      </c>
      <c r="F11" s="20">
        <f>SUM(C11:E11)</f>
        <v/>
      </c>
      <c r="G11" s="19">
        <f>SUM($F$6:F11)</f>
        <v/>
      </c>
      <c r="H11" s="21">
        <f>SUM('6월'!$O$9:$O$312)</f>
        <v/>
      </c>
      <c r="I11" s="21">
        <f>SUM('6월'!$P$9:$P$312)</f>
        <v/>
      </c>
      <c r="J11" s="21">
        <f>SUM('6월'!$Q$9:$Q$312)</f>
        <v/>
      </c>
      <c r="K11" s="21">
        <f>COUNTIF('6월'!$A$9:$A$312,"&gt;0")</f>
        <v/>
      </c>
      <c r="L11" s="22">
        <f>IFERROR(F11/(SUM('마스터'!$J$8:$J$10)*'마스터'!$J$4),0)</f>
        <v/>
      </c>
    </row>
    <row r="12">
      <c r="B12" s="18" t="inlineStr">
        <is>
          <t>7월</t>
        </is>
      </c>
      <c r="C12" s="19">
        <f>SUMIF('7월'!$E$9:$E$312,"영상",'7월'!$L$9:$L$312)</f>
        <v/>
      </c>
      <c r="D12" s="19">
        <f>SUMIF('7월'!$E$9:$E$312,"이미지",'7월'!$L$9:$L$312)</f>
        <v/>
      </c>
      <c r="E12" s="19">
        <f>SUMIF('7월'!$E$9:$E$312,"기획",'7월'!$L$9:$L$312)</f>
        <v/>
      </c>
      <c r="F12" s="20">
        <f>SUM(C12:E12)</f>
        <v/>
      </c>
      <c r="G12" s="19">
        <f>SUM($F$6:F12)</f>
        <v/>
      </c>
      <c r="H12" s="21">
        <f>SUM('7월'!$O$9:$O$312)</f>
        <v/>
      </c>
      <c r="I12" s="21">
        <f>SUM('7월'!$P$9:$P$312)</f>
        <v/>
      </c>
      <c r="J12" s="21">
        <f>SUM('7월'!$Q$9:$Q$312)</f>
        <v/>
      </c>
      <c r="K12" s="21">
        <f>COUNTIF('7월'!$A$9:$A$312,"&gt;0")</f>
        <v/>
      </c>
      <c r="L12" s="22">
        <f>IFERROR(F12/(SUM('마스터'!$J$8:$J$10)*'마스터'!$J$4),0)</f>
        <v/>
      </c>
    </row>
    <row r="13">
      <c r="B13" s="18" t="inlineStr">
        <is>
          <t>8월</t>
        </is>
      </c>
      <c r="C13" s="19">
        <f>SUMIF('8월'!$E$9:$E$312,"영상",'8월'!$L$9:$L$312)</f>
        <v/>
      </c>
      <c r="D13" s="19">
        <f>SUMIF('8월'!$E$9:$E$312,"이미지",'8월'!$L$9:$L$312)</f>
        <v/>
      </c>
      <c r="E13" s="19">
        <f>SUMIF('8월'!$E$9:$E$312,"기획",'8월'!$L$9:$L$312)</f>
        <v/>
      </c>
      <c r="F13" s="20">
        <f>SUM(C13:E13)</f>
        <v/>
      </c>
      <c r="G13" s="19">
        <f>SUM($F$6:F13)</f>
        <v/>
      </c>
      <c r="H13" s="21">
        <f>SUM('8월'!$O$9:$O$312)</f>
        <v/>
      </c>
      <c r="I13" s="21">
        <f>SUM('8월'!$P$9:$P$312)</f>
        <v/>
      </c>
      <c r="J13" s="21">
        <f>SUM('8월'!$Q$9:$Q$312)</f>
        <v/>
      </c>
      <c r="K13" s="21">
        <f>COUNTIF('8월'!$A$9:$A$312,"&gt;0")</f>
        <v/>
      </c>
      <c r="L13" s="22">
        <f>IFERROR(F13/(SUM('마스터'!$J$8:$J$10)*'마스터'!$J$4),0)</f>
        <v/>
      </c>
    </row>
    <row r="14">
      <c r="B14" s="18" t="inlineStr">
        <is>
          <t>9월</t>
        </is>
      </c>
      <c r="C14" s="19">
        <f>SUMIF('9월'!$E$9:$E$312,"영상",'9월'!$L$9:$L$312)</f>
        <v/>
      </c>
      <c r="D14" s="19">
        <f>SUMIF('9월'!$E$9:$E$312,"이미지",'9월'!$L$9:$L$312)</f>
        <v/>
      </c>
      <c r="E14" s="19">
        <f>SUMIF('9월'!$E$9:$E$312,"기획",'9월'!$L$9:$L$312)</f>
        <v/>
      </c>
      <c r="F14" s="20">
        <f>SUM(C14:E14)</f>
        <v/>
      </c>
      <c r="G14" s="19">
        <f>SUM($F$6:F14)</f>
        <v/>
      </c>
      <c r="H14" s="21">
        <f>SUM('9월'!$O$9:$O$312)</f>
        <v/>
      </c>
      <c r="I14" s="21">
        <f>SUM('9월'!$P$9:$P$312)</f>
        <v/>
      </c>
      <c r="J14" s="21">
        <f>SUM('9월'!$Q$9:$Q$312)</f>
        <v/>
      </c>
      <c r="K14" s="21">
        <f>COUNTIF('9월'!$A$9:$A$312,"&gt;0")</f>
        <v/>
      </c>
      <c r="L14" s="22">
        <f>IFERROR(F14/(SUM('마스터'!$J$8:$J$10)*'마스터'!$J$4),0)</f>
        <v/>
      </c>
    </row>
    <row r="15">
      <c r="B15" s="18" t="inlineStr">
        <is>
          <t>10월</t>
        </is>
      </c>
      <c r="C15" s="19">
        <f>SUMIF('10월'!$E$9:$E$312,"영상",'10월'!$L$9:$L$312)</f>
        <v/>
      </c>
      <c r="D15" s="19">
        <f>SUMIF('10월'!$E$9:$E$312,"이미지",'10월'!$L$9:$L$312)</f>
        <v/>
      </c>
      <c r="E15" s="19">
        <f>SUMIF('10월'!$E$9:$E$312,"기획",'10월'!$L$9:$L$312)</f>
        <v/>
      </c>
      <c r="F15" s="20">
        <f>SUM(C15:E15)</f>
        <v/>
      </c>
      <c r="G15" s="19">
        <f>SUM($F$6:F15)</f>
        <v/>
      </c>
      <c r="H15" s="21">
        <f>SUM('10월'!$O$9:$O$312)</f>
        <v/>
      </c>
      <c r="I15" s="21">
        <f>SUM('10월'!$P$9:$P$312)</f>
        <v/>
      </c>
      <c r="J15" s="21">
        <f>SUM('10월'!$Q$9:$Q$312)</f>
        <v/>
      </c>
      <c r="K15" s="21">
        <f>COUNTIF('10월'!$A$9:$A$312,"&gt;0")</f>
        <v/>
      </c>
      <c r="L15" s="22">
        <f>IFERROR(F15/(SUM('마스터'!$J$8:$J$10)*'마스터'!$J$4),0)</f>
        <v/>
      </c>
    </row>
    <row r="16">
      <c r="B16" s="18" t="inlineStr">
        <is>
          <t>11월</t>
        </is>
      </c>
      <c r="C16" s="19">
        <f>SUMIF('11월'!$E$9:$E$312,"영상",'11월'!$L$9:$L$312)</f>
        <v/>
      </c>
      <c r="D16" s="19">
        <f>SUMIF('11월'!$E$9:$E$312,"이미지",'11월'!$L$9:$L$312)</f>
        <v/>
      </c>
      <c r="E16" s="19">
        <f>SUMIF('11월'!$E$9:$E$312,"기획",'11월'!$L$9:$L$312)</f>
        <v/>
      </c>
      <c r="F16" s="20">
        <f>SUM(C16:E16)</f>
        <v/>
      </c>
      <c r="G16" s="19">
        <f>SUM($F$6:F16)</f>
        <v/>
      </c>
      <c r="H16" s="21">
        <f>SUM('11월'!$O$9:$O$312)</f>
        <v/>
      </c>
      <c r="I16" s="21">
        <f>SUM('11월'!$P$9:$P$312)</f>
        <v/>
      </c>
      <c r="J16" s="21">
        <f>SUM('11월'!$Q$9:$Q$312)</f>
        <v/>
      </c>
      <c r="K16" s="21">
        <f>COUNTIF('11월'!$A$9:$A$312,"&gt;0")</f>
        <v/>
      </c>
      <c r="L16" s="22">
        <f>IFERROR(F16/(SUM('마스터'!$J$8:$J$10)*'마스터'!$J$4),0)</f>
        <v/>
      </c>
    </row>
    <row r="17">
      <c r="B17" s="18" t="inlineStr">
        <is>
          <t>12월</t>
        </is>
      </c>
      <c r="C17" s="19">
        <f>SUMIF('12월'!$E$9:$E$312,"영상",'12월'!$L$9:$L$312)</f>
        <v/>
      </c>
      <c r="D17" s="19">
        <f>SUMIF('12월'!$E$9:$E$312,"이미지",'12월'!$L$9:$L$312)</f>
        <v/>
      </c>
      <c r="E17" s="19">
        <f>SUMIF('12월'!$E$9:$E$312,"기획",'12월'!$L$9:$L$312)</f>
        <v/>
      </c>
      <c r="F17" s="20">
        <f>SUM(C17:E17)</f>
        <v/>
      </c>
      <c r="G17" s="19">
        <f>SUM($F$6:F17)</f>
        <v/>
      </c>
      <c r="H17" s="21">
        <f>SUM('12월'!$O$9:$O$312)</f>
        <v/>
      </c>
      <c r="I17" s="21">
        <f>SUM('12월'!$P$9:$P$312)</f>
        <v/>
      </c>
      <c r="J17" s="21">
        <f>SUM('12월'!$Q$9:$Q$312)</f>
        <v/>
      </c>
      <c r="K17" s="21">
        <f>COUNTIF('12월'!$A$9:$A$312,"&gt;0")</f>
        <v/>
      </c>
      <c r="L17" s="22">
        <f>IFERROR(F17/(SUM('마스터'!$J$8:$J$10)*'마스터'!$J$4),0)</f>
        <v/>
      </c>
    </row>
    <row r="18">
      <c r="B18" s="23" t="inlineStr">
        <is>
          <t>연간 합계</t>
        </is>
      </c>
      <c r="C18" s="24">
        <f>SUM(C6:C17)</f>
        <v/>
      </c>
      <c r="D18" s="24">
        <f>SUM(D6:D17)</f>
        <v/>
      </c>
      <c r="E18" s="24">
        <f>SUM(E6:E17)</f>
        <v/>
      </c>
      <c r="F18" s="24">
        <f>SUM(F6:F17)</f>
        <v/>
      </c>
      <c r="G18" s="24">
        <f>F18</f>
        <v/>
      </c>
      <c r="H18" s="25">
        <f>SUM(H6:H17)</f>
        <v/>
      </c>
      <c r="I18" s="25">
        <f>SUM(I6:I17)</f>
        <v/>
      </c>
      <c r="J18" s="25">
        <f>SUM(J6:J17)</f>
        <v/>
      </c>
      <c r="K18" s="25">
        <f>SUM(K6:K17)</f>
        <v/>
      </c>
      <c r="L18" s="26">
        <f>IFERROR(F18/(SUM('마스터'!$J$8:$J$10)*'마스터'!$J$4*12),0)</f>
        <v/>
      </c>
    </row>
    <row r="20">
      <c r="B20" s="18" t="inlineStr">
        <is>
          <t>상반기(1~6월)</t>
        </is>
      </c>
      <c r="C20" s="19">
        <f>SUM(C6:C11)</f>
        <v/>
      </c>
      <c r="D20" s="19">
        <f>SUM(D6:D11)</f>
        <v/>
      </c>
      <c r="E20" s="19">
        <f>SUM(E6:E11)</f>
        <v/>
      </c>
      <c r="F20" s="19">
        <f>SUM(F6:F11)</f>
        <v/>
      </c>
      <c r="H20" s="21">
        <f>SUM(H6:H11)</f>
        <v/>
      </c>
      <c r="I20" s="21">
        <f>SUM(I6:I11)</f>
        <v/>
      </c>
      <c r="J20" s="21">
        <f>SUM(J6:J11)</f>
        <v/>
      </c>
      <c r="K20" s="21">
        <f>SUM(K6:K11)</f>
        <v/>
      </c>
    </row>
    <row r="21">
      <c r="B21" s="18" t="inlineStr">
        <is>
          <t>하반기(7~12월)</t>
        </is>
      </c>
      <c r="C21" s="19">
        <f>SUM(C12:C17)</f>
        <v/>
      </c>
      <c r="D21" s="19">
        <f>SUM(D12:D17)</f>
        <v/>
      </c>
      <c r="E21" s="19">
        <f>SUM(E12:E17)</f>
        <v/>
      </c>
      <c r="F21" s="19">
        <f>SUM(F12:F17)</f>
        <v/>
      </c>
      <c r="H21" s="21">
        <f>SUM(H12:H17)</f>
        <v/>
      </c>
      <c r="I21" s="21">
        <f>SUM(I12:I17)</f>
        <v/>
      </c>
      <c r="J21" s="21">
        <f>SUM(J12:J17)</f>
        <v/>
      </c>
      <c r="K21" s="21">
        <f>SUM(K12:K17)</f>
        <v/>
      </c>
    </row>
  </sheetData>
  <mergeCells count="2">
    <mergeCell ref="B2:L2"/>
    <mergeCell ref="B3:L3"/>
  </mergeCells>
  <conditionalFormatting sqref="L6:L18">
    <cfRule type="expression" priority="1" dxfId="0">
      <formula>L6&gt;1</formula>
    </cfRule>
    <cfRule type="expression" priority="2" dxfId="1">
      <formula>AND(L6&gt;0.8,L6&lt;=1)</formula>
    </cfRule>
    <cfRule type="expression" priority="3" dxfId="2">
      <formula>AND(L6&gt;0,L6&lt;=0.8)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2A44"/>
    <outlinePr summaryBelow="1" summaryRight="1"/>
    <pageSetUpPr/>
  </sheetPr>
  <dimension ref="A1:AY331"/>
  <sheetViews>
    <sheetView workbookViewId="0">
      <pane xSplit="8" ySplit="8" topLeftCell="I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28" customWidth="1" min="4" max="4"/>
    <col width="8" customWidth="1" min="5" max="5"/>
    <col width="10" customWidth="1" min="6" max="6"/>
    <col width="11" customWidth="1" min="7" max="7"/>
    <col width="9" customWidth="1" min="8" max="8"/>
    <col width="8" customWidth="1" min="9" max="9"/>
    <col width="8" customWidth="1" min="10" max="10"/>
    <col width="11" customWidth="1" min="11" max="11"/>
    <col width="8" customWidth="1" min="12" max="12"/>
    <col width="10" customWidth="1" min="13" max="13"/>
    <col width="10" customWidth="1" min="14" max="14"/>
    <col width="6" customWidth="1" min="15" max="15"/>
    <col width="6" customWidth="1" min="16" max="16"/>
    <col width="6" customWidth="1" min="17" max="17"/>
    <col width="8" customWidth="1" min="18" max="18"/>
    <col width="16" customWidth="1" min="19" max="19"/>
    <col width="2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3.6" customWidth="1" min="33" max="33"/>
    <col width="3.6" customWidth="1" min="34" max="34"/>
    <col width="3.6" customWidth="1" min="35" max="35"/>
    <col width="3.6" customWidth="1" min="36" max="36"/>
    <col width="3.6" customWidth="1" min="37" max="37"/>
    <col width="3.6" customWidth="1" min="38" max="38"/>
    <col width="3.6" customWidth="1" min="39" max="39"/>
    <col width="3.6" customWidth="1" min="40" max="40"/>
    <col width="3.6" customWidth="1" min="41" max="41"/>
    <col width="3.6" customWidth="1" min="42" max="42"/>
    <col width="3.6" customWidth="1" min="43" max="43"/>
    <col width="3.6" customWidth="1" min="44" max="44"/>
    <col width="3.6" customWidth="1" min="45" max="45"/>
    <col width="3.6" customWidth="1" min="46" max="46"/>
    <col width="3.6" customWidth="1" min="47" max="47"/>
    <col width="3.6" customWidth="1" min="48" max="48"/>
    <col width="3.6" customWidth="1" min="49" max="49"/>
    <col width="3.6" customWidth="1" min="50" max="50"/>
    <col width="3.6" customWidth="1" min="51" max="51"/>
  </cols>
  <sheetData>
    <row r="1" ht="22" customHeight="1">
      <c r="A1" s="27" t="inlineStr">
        <is>
          <t>1월 소재 정보  (소재 1개 = 기획/이미지/영상 3줄)</t>
        </is>
      </c>
      <c r="B1" s="8" t="n"/>
      <c r="C1" s="8" t="n"/>
      <c r="D1" s="8" t="n"/>
      <c r="E1" s="8" t="n"/>
      <c r="F1" s="4" t="n"/>
      <c r="G1" s="28" t="inlineStr">
        <is>
          <t>고객사 전달일 기준 (자동)</t>
        </is>
      </c>
      <c r="H1" s="8" t="n"/>
      <c r="I1" s="8" t="n"/>
      <c r="J1" s="8" t="n"/>
      <c r="K1" s="4" t="n"/>
      <c r="L1" s="29" t="inlineStr">
        <is>
          <t>직군별 집계 (자동)</t>
        </is>
      </c>
      <c r="M1" s="8" t="n"/>
      <c r="N1" s="4" t="n"/>
      <c r="O1" s="30" t="inlineStr">
        <is>
          <t>수량 (소재당 1번)</t>
        </is>
      </c>
      <c r="P1" s="8" t="n"/>
      <c r="Q1" s="4" t="n"/>
      <c r="R1" s="31" t="inlineStr">
        <is>
          <t>관리</t>
        </is>
      </c>
      <c r="S1" s="4" t="n"/>
      <c r="U1" s="32" t="inlineStr">
        <is>
          <t>1월 간트 - 날짜 칸에 실제 MD 직접 입력   |   상단 4줄 = 일자별 직군 TO 상태</t>
        </is>
      </c>
      <c r="V1" s="8" t="n"/>
      <c r="W1" s="8" t="n"/>
      <c r="X1" s="8" t="n"/>
      <c r="Y1" s="8" t="n"/>
      <c r="Z1" s="8" t="n"/>
      <c r="AA1" s="8" t="n"/>
      <c r="AB1" s="8" t="n"/>
      <c r="AC1" s="8" t="n"/>
      <c r="AD1" s="8" t="n"/>
      <c r="AE1" s="8" t="n"/>
      <c r="AF1" s="8" t="n"/>
      <c r="AG1" s="8" t="n"/>
      <c r="AH1" s="8" t="n"/>
      <c r="AI1" s="8" t="n"/>
      <c r="AJ1" s="8" t="n"/>
      <c r="AK1" s="8" t="n"/>
      <c r="AL1" s="8" t="n"/>
      <c r="AM1" s="8" t="n"/>
      <c r="AN1" s="8" t="n"/>
      <c r="AO1" s="8" t="n"/>
      <c r="AP1" s="8" t="n"/>
      <c r="AQ1" s="8" t="n"/>
      <c r="AR1" s="8" t="n"/>
      <c r="AS1" s="8" t="n"/>
      <c r="AT1" s="8" t="n"/>
      <c r="AU1" s="8" t="n"/>
      <c r="AV1" s="8" t="n"/>
      <c r="AW1" s="8" t="n"/>
      <c r="AX1" s="8" t="n"/>
      <c r="AY1" s="4" t="n"/>
    </row>
    <row r="2" ht="30" customHeight="1">
      <c r="A2" s="17" t="inlineStr">
        <is>
          <t>No</t>
        </is>
      </c>
      <c r="B2" s="17" t="inlineStr">
        <is>
          <t>게임 타이틀</t>
        </is>
      </c>
      <c r="C2" s="17" t="inlineStr">
        <is>
          <t>고객팀</t>
        </is>
      </c>
      <c r="D2" s="17" t="inlineStr">
        <is>
          <t>소재명(업무명)</t>
        </is>
      </c>
      <c r="E2" s="17" t="inlineStr">
        <is>
          <t>직군</t>
        </is>
      </c>
      <c r="F2" s="17" t="inlineStr">
        <is>
          <t>담당자</t>
        </is>
      </c>
      <c r="G2" s="17" t="inlineStr">
        <is>
          <t>고객사
전달일</t>
        </is>
      </c>
      <c r="H2" s="17" t="inlineStr">
        <is>
          <t>신호</t>
        </is>
      </c>
      <c r="I2" s="17" t="inlineStr">
        <is>
          <t>전달일
여유</t>
        </is>
      </c>
      <c r="J2" s="17" t="inlineStr">
        <is>
          <t>소재
총MD</t>
        </is>
      </c>
      <c r="K2" s="17" t="inlineStr">
        <is>
          <t>소재
최종완료</t>
        </is>
      </c>
      <c r="L2" s="17" t="inlineStr">
        <is>
          <t>직군
MD</t>
        </is>
      </c>
      <c r="M2" s="17" t="inlineStr">
        <is>
          <t>직군
시작일</t>
        </is>
      </c>
      <c r="N2" s="17" t="inlineStr">
        <is>
          <t>직군
완료일</t>
        </is>
      </c>
      <c r="O2" s="17" t="inlineStr">
        <is>
          <t>영상
수</t>
        </is>
      </c>
      <c r="P2" s="17" t="inlineStr">
        <is>
          <t>사이즈
베리</t>
        </is>
      </c>
      <c r="Q2" s="17" t="inlineStr">
        <is>
          <t>다국어
베리</t>
        </is>
      </c>
      <c r="R2" s="17" t="inlineStr">
        <is>
          <t>상태</t>
        </is>
      </c>
      <c r="S2" s="17" t="inlineStr">
        <is>
          <t>비고</t>
        </is>
      </c>
      <c r="U2" s="33">
        <f>IF(MONTH(DATE('마스터'!$J$3,1,1)+0)=1,DATE('마스터'!$J$3,1,1)+0,"")</f>
        <v/>
      </c>
      <c r="V2" s="33">
        <f>IF(MONTH(DATE('마스터'!$J$3,1,1)+1)=1,DATE('마스터'!$J$3,1,1)+1,"")</f>
        <v/>
      </c>
      <c r="W2" s="33">
        <f>IF(MONTH(DATE('마스터'!$J$3,1,1)+2)=1,DATE('마스터'!$J$3,1,1)+2,"")</f>
        <v/>
      </c>
      <c r="X2" s="33">
        <f>IF(MONTH(DATE('마스터'!$J$3,1,1)+3)=1,DATE('마스터'!$J$3,1,1)+3,"")</f>
        <v/>
      </c>
      <c r="Y2" s="33">
        <f>IF(MONTH(DATE('마스터'!$J$3,1,1)+4)=1,DATE('마스터'!$J$3,1,1)+4,"")</f>
        <v/>
      </c>
      <c r="Z2" s="33">
        <f>IF(MONTH(DATE('마스터'!$J$3,1,1)+5)=1,DATE('마스터'!$J$3,1,1)+5,"")</f>
        <v/>
      </c>
      <c r="AA2" s="33">
        <f>IF(MONTH(DATE('마스터'!$J$3,1,1)+6)=1,DATE('마스터'!$J$3,1,1)+6,"")</f>
        <v/>
      </c>
      <c r="AB2" s="33">
        <f>IF(MONTH(DATE('마스터'!$J$3,1,1)+7)=1,DATE('마스터'!$J$3,1,1)+7,"")</f>
        <v/>
      </c>
      <c r="AC2" s="33">
        <f>IF(MONTH(DATE('마스터'!$J$3,1,1)+8)=1,DATE('마스터'!$J$3,1,1)+8,"")</f>
        <v/>
      </c>
      <c r="AD2" s="33">
        <f>IF(MONTH(DATE('마스터'!$J$3,1,1)+9)=1,DATE('마스터'!$J$3,1,1)+9,"")</f>
        <v/>
      </c>
      <c r="AE2" s="33">
        <f>IF(MONTH(DATE('마스터'!$J$3,1,1)+10)=1,DATE('마스터'!$J$3,1,1)+10,"")</f>
        <v/>
      </c>
      <c r="AF2" s="33">
        <f>IF(MONTH(DATE('마스터'!$J$3,1,1)+11)=1,DATE('마스터'!$J$3,1,1)+11,"")</f>
        <v/>
      </c>
      <c r="AG2" s="33">
        <f>IF(MONTH(DATE('마스터'!$J$3,1,1)+12)=1,DATE('마스터'!$J$3,1,1)+12,"")</f>
        <v/>
      </c>
      <c r="AH2" s="33">
        <f>IF(MONTH(DATE('마스터'!$J$3,1,1)+13)=1,DATE('마스터'!$J$3,1,1)+13,"")</f>
        <v/>
      </c>
      <c r="AI2" s="33">
        <f>IF(MONTH(DATE('마스터'!$J$3,1,1)+14)=1,DATE('마스터'!$J$3,1,1)+14,"")</f>
        <v/>
      </c>
      <c r="AJ2" s="33">
        <f>IF(MONTH(DATE('마스터'!$J$3,1,1)+15)=1,DATE('마스터'!$J$3,1,1)+15,"")</f>
        <v/>
      </c>
      <c r="AK2" s="33">
        <f>IF(MONTH(DATE('마스터'!$J$3,1,1)+16)=1,DATE('마스터'!$J$3,1,1)+16,"")</f>
        <v/>
      </c>
      <c r="AL2" s="33">
        <f>IF(MONTH(DATE('마스터'!$J$3,1,1)+17)=1,DATE('마스터'!$J$3,1,1)+17,"")</f>
        <v/>
      </c>
      <c r="AM2" s="33">
        <f>IF(MONTH(DATE('마스터'!$J$3,1,1)+18)=1,DATE('마스터'!$J$3,1,1)+18,"")</f>
        <v/>
      </c>
      <c r="AN2" s="33">
        <f>IF(MONTH(DATE('마스터'!$J$3,1,1)+19)=1,DATE('마스터'!$J$3,1,1)+19,"")</f>
        <v/>
      </c>
      <c r="AO2" s="33">
        <f>IF(MONTH(DATE('마스터'!$J$3,1,1)+20)=1,DATE('마스터'!$J$3,1,1)+20,"")</f>
        <v/>
      </c>
      <c r="AP2" s="33">
        <f>IF(MONTH(DATE('마스터'!$J$3,1,1)+21)=1,DATE('마스터'!$J$3,1,1)+21,"")</f>
        <v/>
      </c>
      <c r="AQ2" s="33">
        <f>IF(MONTH(DATE('마스터'!$J$3,1,1)+22)=1,DATE('마스터'!$J$3,1,1)+22,"")</f>
        <v/>
      </c>
      <c r="AR2" s="33">
        <f>IF(MONTH(DATE('마스터'!$J$3,1,1)+23)=1,DATE('마스터'!$J$3,1,1)+23,"")</f>
        <v/>
      </c>
      <c r="AS2" s="33">
        <f>IF(MONTH(DATE('마스터'!$J$3,1,1)+24)=1,DATE('마스터'!$J$3,1,1)+24,"")</f>
        <v/>
      </c>
      <c r="AT2" s="33">
        <f>IF(MONTH(DATE('마스터'!$J$3,1,1)+25)=1,DATE('마스터'!$J$3,1,1)+25,"")</f>
        <v/>
      </c>
      <c r="AU2" s="33">
        <f>IF(MONTH(DATE('마스터'!$J$3,1,1)+26)=1,DATE('마스터'!$J$3,1,1)+26,"")</f>
        <v/>
      </c>
      <c r="AV2" s="33">
        <f>IF(MONTH(DATE('마스터'!$J$3,1,1)+27)=1,DATE('마스터'!$J$3,1,1)+27,"")</f>
        <v/>
      </c>
      <c r="AW2" s="33">
        <f>IF(MONTH(DATE('마스터'!$J$3,1,1)+28)=1,DATE('마스터'!$J$3,1,1)+28,"")</f>
        <v/>
      </c>
      <c r="AX2" s="33">
        <f>IF(MONTH(DATE('마스터'!$J$3,1,1)+29)=1,DATE('마스터'!$J$3,1,1)+29,"")</f>
        <v/>
      </c>
      <c r="AY2" s="33">
        <f>IF(MONTH(DATE('마스터'!$J$3,1,1)+30)=1,DATE('마스터'!$J$3,1,1)+30,"")</f>
        <v/>
      </c>
    </row>
    <row r="3" ht="15" customHeight="1">
      <c r="A3" s="5" t="inlineStr">
        <is>
          <t>전체 TO (일자별 부하)</t>
        </is>
      </c>
      <c r="B3" s="8" t="n"/>
      <c r="C3" s="8" t="n"/>
      <c r="D3" s="8" t="n"/>
      <c r="E3" s="8" t="n"/>
      <c r="F3" s="4" t="n"/>
      <c r="G3" s="34" t="inlineStr">
        <is>
          <t>정원</t>
        </is>
      </c>
      <c r="H3" s="35">
        <f>SUM('마스터'!$J$8:$J$10)</f>
        <v/>
      </c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U3" s="37">
        <f>SUM(U$9:U$312)</f>
        <v/>
      </c>
      <c r="V3" s="37">
        <f>SUM(V$9:V$312)</f>
        <v/>
      </c>
      <c r="W3" s="37">
        <f>SUM(W$9:W$312)</f>
        <v/>
      </c>
      <c r="X3" s="37">
        <f>SUM(X$9:X$312)</f>
        <v/>
      </c>
      <c r="Y3" s="37">
        <f>SUM(Y$9:Y$312)</f>
        <v/>
      </c>
      <c r="Z3" s="37">
        <f>SUM(Z$9:Z$312)</f>
        <v/>
      </c>
      <c r="AA3" s="37">
        <f>SUM(AA$9:AA$312)</f>
        <v/>
      </c>
      <c r="AB3" s="37">
        <f>SUM(AB$9:AB$312)</f>
        <v/>
      </c>
      <c r="AC3" s="37">
        <f>SUM(AC$9:AC$312)</f>
        <v/>
      </c>
      <c r="AD3" s="37">
        <f>SUM(AD$9:AD$312)</f>
        <v/>
      </c>
      <c r="AE3" s="37">
        <f>SUM(AE$9:AE$312)</f>
        <v/>
      </c>
      <c r="AF3" s="37">
        <f>SUM(AF$9:AF$312)</f>
        <v/>
      </c>
      <c r="AG3" s="37">
        <f>SUM(AG$9:AG$312)</f>
        <v/>
      </c>
      <c r="AH3" s="37">
        <f>SUM(AH$9:AH$312)</f>
        <v/>
      </c>
      <c r="AI3" s="37">
        <f>SUM(AI$9:AI$312)</f>
        <v/>
      </c>
      <c r="AJ3" s="37">
        <f>SUM(AJ$9:AJ$312)</f>
        <v/>
      </c>
      <c r="AK3" s="37">
        <f>SUM(AK$9:AK$312)</f>
        <v/>
      </c>
      <c r="AL3" s="37">
        <f>SUM(AL$9:AL$312)</f>
        <v/>
      </c>
      <c r="AM3" s="37">
        <f>SUM(AM$9:AM$312)</f>
        <v/>
      </c>
      <c r="AN3" s="37">
        <f>SUM(AN$9:AN$312)</f>
        <v/>
      </c>
      <c r="AO3" s="37">
        <f>SUM(AO$9:AO$312)</f>
        <v/>
      </c>
      <c r="AP3" s="37">
        <f>SUM(AP$9:AP$312)</f>
        <v/>
      </c>
      <c r="AQ3" s="37">
        <f>SUM(AQ$9:AQ$312)</f>
        <v/>
      </c>
      <c r="AR3" s="37">
        <f>SUM(AR$9:AR$312)</f>
        <v/>
      </c>
      <c r="AS3" s="37">
        <f>SUM(AS$9:AS$312)</f>
        <v/>
      </c>
      <c r="AT3" s="37">
        <f>SUM(AT$9:AT$312)</f>
        <v/>
      </c>
      <c r="AU3" s="37">
        <f>SUM(AU$9:AU$312)</f>
        <v/>
      </c>
      <c r="AV3" s="37">
        <f>SUM(AV$9:AV$312)</f>
        <v/>
      </c>
      <c r="AW3" s="37">
        <f>SUM(AW$9:AW$312)</f>
        <v/>
      </c>
      <c r="AX3" s="37">
        <f>SUM(AX$9:AX$312)</f>
        <v/>
      </c>
      <c r="AY3" s="37">
        <f>SUM(AY$9:AY$312)</f>
        <v/>
      </c>
    </row>
    <row r="4" ht="15" customHeight="1">
      <c r="A4" s="5" t="inlineStr">
        <is>
          <t>영상 TO</t>
        </is>
      </c>
      <c r="B4" s="8" t="n"/>
      <c r="C4" s="8" t="n"/>
      <c r="D4" s="8" t="n"/>
      <c r="E4" s="8" t="n"/>
      <c r="F4" s="4" t="n"/>
      <c r="G4" s="34" t="inlineStr">
        <is>
          <t>정원</t>
        </is>
      </c>
      <c r="H4" s="35">
        <f>'마스터'!$J$8</f>
        <v/>
      </c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U4" s="37">
        <f>SUMIF($E$9:$E$312,"영상",U$9:U$312)</f>
        <v/>
      </c>
      <c r="V4" s="37">
        <f>SUMIF($E$9:$E$312,"영상",V$9:V$312)</f>
        <v/>
      </c>
      <c r="W4" s="37">
        <f>SUMIF($E$9:$E$312,"영상",W$9:W$312)</f>
        <v/>
      </c>
      <c r="X4" s="37">
        <f>SUMIF($E$9:$E$312,"영상",X$9:X$312)</f>
        <v/>
      </c>
      <c r="Y4" s="37">
        <f>SUMIF($E$9:$E$312,"영상",Y$9:Y$312)</f>
        <v/>
      </c>
      <c r="Z4" s="37">
        <f>SUMIF($E$9:$E$312,"영상",Z$9:Z$312)</f>
        <v/>
      </c>
      <c r="AA4" s="37">
        <f>SUMIF($E$9:$E$312,"영상",AA$9:AA$312)</f>
        <v/>
      </c>
      <c r="AB4" s="37">
        <f>SUMIF($E$9:$E$312,"영상",AB$9:AB$312)</f>
        <v/>
      </c>
      <c r="AC4" s="37">
        <f>SUMIF($E$9:$E$312,"영상",AC$9:AC$312)</f>
        <v/>
      </c>
      <c r="AD4" s="37">
        <f>SUMIF($E$9:$E$312,"영상",AD$9:AD$312)</f>
        <v/>
      </c>
      <c r="AE4" s="37">
        <f>SUMIF($E$9:$E$312,"영상",AE$9:AE$312)</f>
        <v/>
      </c>
      <c r="AF4" s="37">
        <f>SUMIF($E$9:$E$312,"영상",AF$9:AF$312)</f>
        <v/>
      </c>
      <c r="AG4" s="37">
        <f>SUMIF($E$9:$E$312,"영상",AG$9:AG$312)</f>
        <v/>
      </c>
      <c r="AH4" s="37">
        <f>SUMIF($E$9:$E$312,"영상",AH$9:AH$312)</f>
        <v/>
      </c>
      <c r="AI4" s="37">
        <f>SUMIF($E$9:$E$312,"영상",AI$9:AI$312)</f>
        <v/>
      </c>
      <c r="AJ4" s="37">
        <f>SUMIF($E$9:$E$312,"영상",AJ$9:AJ$312)</f>
        <v/>
      </c>
      <c r="AK4" s="37">
        <f>SUMIF($E$9:$E$312,"영상",AK$9:AK$312)</f>
        <v/>
      </c>
      <c r="AL4" s="37">
        <f>SUMIF($E$9:$E$312,"영상",AL$9:AL$312)</f>
        <v/>
      </c>
      <c r="AM4" s="37">
        <f>SUMIF($E$9:$E$312,"영상",AM$9:AM$312)</f>
        <v/>
      </c>
      <c r="AN4" s="37">
        <f>SUMIF($E$9:$E$312,"영상",AN$9:AN$312)</f>
        <v/>
      </c>
      <c r="AO4" s="37">
        <f>SUMIF($E$9:$E$312,"영상",AO$9:AO$312)</f>
        <v/>
      </c>
      <c r="AP4" s="37">
        <f>SUMIF($E$9:$E$312,"영상",AP$9:AP$312)</f>
        <v/>
      </c>
      <c r="AQ4" s="37">
        <f>SUMIF($E$9:$E$312,"영상",AQ$9:AQ$312)</f>
        <v/>
      </c>
      <c r="AR4" s="37">
        <f>SUMIF($E$9:$E$312,"영상",AR$9:AR$312)</f>
        <v/>
      </c>
      <c r="AS4" s="37">
        <f>SUMIF($E$9:$E$312,"영상",AS$9:AS$312)</f>
        <v/>
      </c>
      <c r="AT4" s="37">
        <f>SUMIF($E$9:$E$312,"영상",AT$9:AT$312)</f>
        <v/>
      </c>
      <c r="AU4" s="37">
        <f>SUMIF($E$9:$E$312,"영상",AU$9:AU$312)</f>
        <v/>
      </c>
      <c r="AV4" s="37">
        <f>SUMIF($E$9:$E$312,"영상",AV$9:AV$312)</f>
        <v/>
      </c>
      <c r="AW4" s="37">
        <f>SUMIF($E$9:$E$312,"영상",AW$9:AW$312)</f>
        <v/>
      </c>
      <c r="AX4" s="37">
        <f>SUMIF($E$9:$E$312,"영상",AX$9:AX$312)</f>
        <v/>
      </c>
      <c r="AY4" s="37">
        <f>SUMIF($E$9:$E$312,"영상",AY$9:AY$312)</f>
        <v/>
      </c>
    </row>
    <row r="5" ht="15" customHeight="1">
      <c r="A5" s="5" t="inlineStr">
        <is>
          <t>이미지 TO</t>
        </is>
      </c>
      <c r="B5" s="8" t="n"/>
      <c r="C5" s="8" t="n"/>
      <c r="D5" s="8" t="n"/>
      <c r="E5" s="8" t="n"/>
      <c r="F5" s="4" t="n"/>
      <c r="G5" s="34" t="inlineStr">
        <is>
          <t>정원</t>
        </is>
      </c>
      <c r="H5" s="35">
        <f>'마스터'!$J$9</f>
        <v/>
      </c>
      <c r="I5" s="36" t="n"/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  <c r="S5" s="36" t="n"/>
      <c r="U5" s="37">
        <f>SUMIF($E$9:$E$312,"이미지",U$9:U$312)</f>
        <v/>
      </c>
      <c r="V5" s="37">
        <f>SUMIF($E$9:$E$312,"이미지",V$9:V$312)</f>
        <v/>
      </c>
      <c r="W5" s="37">
        <f>SUMIF($E$9:$E$312,"이미지",W$9:W$312)</f>
        <v/>
      </c>
      <c r="X5" s="37">
        <f>SUMIF($E$9:$E$312,"이미지",X$9:X$312)</f>
        <v/>
      </c>
      <c r="Y5" s="37">
        <f>SUMIF($E$9:$E$312,"이미지",Y$9:Y$312)</f>
        <v/>
      </c>
      <c r="Z5" s="37">
        <f>SUMIF($E$9:$E$312,"이미지",Z$9:Z$312)</f>
        <v/>
      </c>
      <c r="AA5" s="37">
        <f>SUMIF($E$9:$E$312,"이미지",AA$9:AA$312)</f>
        <v/>
      </c>
      <c r="AB5" s="37">
        <f>SUMIF($E$9:$E$312,"이미지",AB$9:AB$312)</f>
        <v/>
      </c>
      <c r="AC5" s="37">
        <f>SUMIF($E$9:$E$312,"이미지",AC$9:AC$312)</f>
        <v/>
      </c>
      <c r="AD5" s="37">
        <f>SUMIF($E$9:$E$312,"이미지",AD$9:AD$312)</f>
        <v/>
      </c>
      <c r="AE5" s="37">
        <f>SUMIF($E$9:$E$312,"이미지",AE$9:AE$312)</f>
        <v/>
      </c>
      <c r="AF5" s="37">
        <f>SUMIF($E$9:$E$312,"이미지",AF$9:AF$312)</f>
        <v/>
      </c>
      <c r="AG5" s="37">
        <f>SUMIF($E$9:$E$312,"이미지",AG$9:AG$312)</f>
        <v/>
      </c>
      <c r="AH5" s="37">
        <f>SUMIF($E$9:$E$312,"이미지",AH$9:AH$312)</f>
        <v/>
      </c>
      <c r="AI5" s="37">
        <f>SUMIF($E$9:$E$312,"이미지",AI$9:AI$312)</f>
        <v/>
      </c>
      <c r="AJ5" s="37">
        <f>SUMIF($E$9:$E$312,"이미지",AJ$9:AJ$312)</f>
        <v/>
      </c>
      <c r="AK5" s="37">
        <f>SUMIF($E$9:$E$312,"이미지",AK$9:AK$312)</f>
        <v/>
      </c>
      <c r="AL5" s="37">
        <f>SUMIF($E$9:$E$312,"이미지",AL$9:AL$312)</f>
        <v/>
      </c>
      <c r="AM5" s="37">
        <f>SUMIF($E$9:$E$312,"이미지",AM$9:AM$312)</f>
        <v/>
      </c>
      <c r="AN5" s="37">
        <f>SUMIF($E$9:$E$312,"이미지",AN$9:AN$312)</f>
        <v/>
      </c>
      <c r="AO5" s="37">
        <f>SUMIF($E$9:$E$312,"이미지",AO$9:AO$312)</f>
        <v/>
      </c>
      <c r="AP5" s="37">
        <f>SUMIF($E$9:$E$312,"이미지",AP$9:AP$312)</f>
        <v/>
      </c>
      <c r="AQ5" s="37">
        <f>SUMIF($E$9:$E$312,"이미지",AQ$9:AQ$312)</f>
        <v/>
      </c>
      <c r="AR5" s="37">
        <f>SUMIF($E$9:$E$312,"이미지",AR$9:AR$312)</f>
        <v/>
      </c>
      <c r="AS5" s="37">
        <f>SUMIF($E$9:$E$312,"이미지",AS$9:AS$312)</f>
        <v/>
      </c>
      <c r="AT5" s="37">
        <f>SUMIF($E$9:$E$312,"이미지",AT$9:AT$312)</f>
        <v/>
      </c>
      <c r="AU5" s="37">
        <f>SUMIF($E$9:$E$312,"이미지",AU$9:AU$312)</f>
        <v/>
      </c>
      <c r="AV5" s="37">
        <f>SUMIF($E$9:$E$312,"이미지",AV$9:AV$312)</f>
        <v/>
      </c>
      <c r="AW5" s="37">
        <f>SUMIF($E$9:$E$312,"이미지",AW$9:AW$312)</f>
        <v/>
      </c>
      <c r="AX5" s="37">
        <f>SUMIF($E$9:$E$312,"이미지",AX$9:AX$312)</f>
        <v/>
      </c>
      <c r="AY5" s="37">
        <f>SUMIF($E$9:$E$312,"이미지",AY$9:AY$312)</f>
        <v/>
      </c>
    </row>
    <row r="6" ht="15" customHeight="1">
      <c r="A6" s="5" t="inlineStr">
        <is>
          <t>기획 TO</t>
        </is>
      </c>
      <c r="B6" s="8" t="n"/>
      <c r="C6" s="8" t="n"/>
      <c r="D6" s="8" t="n"/>
      <c r="E6" s="8" t="n"/>
      <c r="F6" s="4" t="n"/>
      <c r="G6" s="34" t="inlineStr">
        <is>
          <t>정원</t>
        </is>
      </c>
      <c r="H6" s="35">
        <f>'마스터'!$J$10</f>
        <v/>
      </c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6" t="n"/>
      <c r="S6" s="36" t="n"/>
      <c r="U6" s="37">
        <f>SUMIF($E$9:$E$312,"기획",U$9:U$312)</f>
        <v/>
      </c>
      <c r="V6" s="37">
        <f>SUMIF($E$9:$E$312,"기획",V$9:V$312)</f>
        <v/>
      </c>
      <c r="W6" s="37">
        <f>SUMIF($E$9:$E$312,"기획",W$9:W$312)</f>
        <v/>
      </c>
      <c r="X6" s="37">
        <f>SUMIF($E$9:$E$312,"기획",X$9:X$312)</f>
        <v/>
      </c>
      <c r="Y6" s="37">
        <f>SUMIF($E$9:$E$312,"기획",Y$9:Y$312)</f>
        <v/>
      </c>
      <c r="Z6" s="37">
        <f>SUMIF($E$9:$E$312,"기획",Z$9:Z$312)</f>
        <v/>
      </c>
      <c r="AA6" s="37">
        <f>SUMIF($E$9:$E$312,"기획",AA$9:AA$312)</f>
        <v/>
      </c>
      <c r="AB6" s="37">
        <f>SUMIF($E$9:$E$312,"기획",AB$9:AB$312)</f>
        <v/>
      </c>
      <c r="AC6" s="37">
        <f>SUMIF($E$9:$E$312,"기획",AC$9:AC$312)</f>
        <v/>
      </c>
      <c r="AD6" s="37">
        <f>SUMIF($E$9:$E$312,"기획",AD$9:AD$312)</f>
        <v/>
      </c>
      <c r="AE6" s="37">
        <f>SUMIF($E$9:$E$312,"기획",AE$9:AE$312)</f>
        <v/>
      </c>
      <c r="AF6" s="37">
        <f>SUMIF($E$9:$E$312,"기획",AF$9:AF$312)</f>
        <v/>
      </c>
      <c r="AG6" s="37">
        <f>SUMIF($E$9:$E$312,"기획",AG$9:AG$312)</f>
        <v/>
      </c>
      <c r="AH6" s="37">
        <f>SUMIF($E$9:$E$312,"기획",AH$9:AH$312)</f>
        <v/>
      </c>
      <c r="AI6" s="37">
        <f>SUMIF($E$9:$E$312,"기획",AI$9:AI$312)</f>
        <v/>
      </c>
      <c r="AJ6" s="37">
        <f>SUMIF($E$9:$E$312,"기획",AJ$9:AJ$312)</f>
        <v/>
      </c>
      <c r="AK6" s="37">
        <f>SUMIF($E$9:$E$312,"기획",AK$9:AK$312)</f>
        <v/>
      </c>
      <c r="AL6" s="37">
        <f>SUMIF($E$9:$E$312,"기획",AL$9:AL$312)</f>
        <v/>
      </c>
      <c r="AM6" s="37">
        <f>SUMIF($E$9:$E$312,"기획",AM$9:AM$312)</f>
        <v/>
      </c>
      <c r="AN6" s="37">
        <f>SUMIF($E$9:$E$312,"기획",AN$9:AN$312)</f>
        <v/>
      </c>
      <c r="AO6" s="37">
        <f>SUMIF($E$9:$E$312,"기획",AO$9:AO$312)</f>
        <v/>
      </c>
      <c r="AP6" s="37">
        <f>SUMIF($E$9:$E$312,"기획",AP$9:AP$312)</f>
        <v/>
      </c>
      <c r="AQ6" s="37">
        <f>SUMIF($E$9:$E$312,"기획",AQ$9:AQ$312)</f>
        <v/>
      </c>
      <c r="AR6" s="37">
        <f>SUMIF($E$9:$E$312,"기획",AR$9:AR$312)</f>
        <v/>
      </c>
      <c r="AS6" s="37">
        <f>SUMIF($E$9:$E$312,"기획",AS$9:AS$312)</f>
        <v/>
      </c>
      <c r="AT6" s="37">
        <f>SUMIF($E$9:$E$312,"기획",AT$9:AT$312)</f>
        <v/>
      </c>
      <c r="AU6" s="37">
        <f>SUMIF($E$9:$E$312,"기획",AU$9:AU$312)</f>
        <v/>
      </c>
      <c r="AV6" s="37">
        <f>SUMIF($E$9:$E$312,"기획",AV$9:AV$312)</f>
        <v/>
      </c>
      <c r="AW6" s="37">
        <f>SUMIF($E$9:$E$312,"기획",AW$9:AW$312)</f>
        <v/>
      </c>
      <c r="AX6" s="37">
        <f>SUMIF($E$9:$E$312,"기획",AX$9:AX$312)</f>
        <v/>
      </c>
      <c r="AY6" s="37">
        <f>SUMIF($E$9:$E$312,"기획",AY$9:AY$312)</f>
        <v/>
      </c>
    </row>
    <row r="7">
      <c r="A7" s="38" t="inlineStr">
        <is>
          <t>▼ 아래부터 입력. 노란칸=직접 입력 / 회색칸=자동(건드리지 마세요)</t>
        </is>
      </c>
    </row>
    <row r="8" ht="18" customHeight="1">
      <c r="A8" s="39" t="inlineStr">
        <is>
          <t>마케팅1팀   (9~68행 · 소재 20개)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4" t="n"/>
    </row>
    <row r="9" ht="15" customHeight="1">
      <c r="A9" s="40">
        <f>IF($D$9="","",1)</f>
        <v/>
      </c>
      <c r="B9" s="10" t="n"/>
      <c r="C9" s="41" t="inlineStr">
        <is>
          <t>마케팅1팀</t>
        </is>
      </c>
      <c r="D9" s="42" t="n"/>
      <c r="E9" s="43" t="inlineStr">
        <is>
          <t>기획</t>
        </is>
      </c>
      <c r="F9" s="44" t="n"/>
      <c r="G9" s="45" t="n"/>
      <c r="H9" s="46">
        <f>IF($I$9="","",IF($I$9&lt;0,"🔴지연",IF($I$9&lt;=1,"🟡임박","🟢여유")))</f>
        <v/>
      </c>
      <c r="I9" s="47">
        <f>IF(OR($G$9="",$K$9=""),"",$G$9-$K$9)</f>
        <v/>
      </c>
      <c r="J9" s="48">
        <f>IF(SUM($L$9:$L$11)=0,"",SUM($L$9:$L$11))</f>
        <v/>
      </c>
      <c r="K9" s="49">
        <f>IF($J$9="","",MAX($N$9:$N$11))</f>
        <v/>
      </c>
      <c r="L9" s="50">
        <f>IF(SUM(U9:AY9)=0,"",SUM(U9:AY9))</f>
        <v/>
      </c>
      <c r="M9" s="51">
        <f>IFERROR(INDEX(U$2:AY$2,MATCH(TRUE,INDEX(U9:AY9&lt;&gt;"",0),0)),"")</f>
        <v/>
      </c>
      <c r="N9" s="51">
        <f>IFERROR(LOOKUP(2,1/(U9:AY9&lt;&gt;""),U$2:AY$2),"")</f>
        <v/>
      </c>
      <c r="O9" s="52" t="n"/>
      <c r="P9" s="52" t="n"/>
      <c r="Q9" s="52" t="n"/>
      <c r="R9" s="44" t="n"/>
      <c r="S9" s="14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</row>
    <row r="10" ht="15" customHeight="1">
      <c r="A10" s="54" t="n"/>
      <c r="B10" s="55">
        <f>IF($B$9="","",$B$9)</f>
        <v/>
      </c>
      <c r="C10" s="56" t="inlineStr">
        <is>
          <t>마케팅1팀</t>
        </is>
      </c>
      <c r="D10" s="55">
        <f>IF($D$9="","",$D$9)</f>
        <v/>
      </c>
      <c r="E10" s="57" t="inlineStr">
        <is>
          <t>이미지</t>
        </is>
      </c>
      <c r="F10" s="44" t="n"/>
      <c r="G10" s="58">
        <f>IF($G$9="","",$G$9)</f>
        <v/>
      </c>
      <c r="H10" s="59" t="n"/>
      <c r="I10" s="59" t="n"/>
      <c r="J10" s="59" t="n"/>
      <c r="K10" s="59" t="n"/>
      <c r="L10" s="60">
        <f>IF(SUM(U10:AY10)=0,"",SUM(U10:AY10))</f>
        <v/>
      </c>
      <c r="M10" s="61">
        <f>IFERROR(INDEX(U$2:AY$2,MATCH(TRUE,INDEX(U10:AY10&lt;&gt;"",0),0)),"")</f>
        <v/>
      </c>
      <c r="N10" s="61">
        <f>IFERROR(LOOKUP(2,1/(U10:AY10&lt;&gt;""),U$2:AY$2),"")</f>
        <v/>
      </c>
      <c r="O10" s="59" t="n"/>
      <c r="P10" s="59" t="n"/>
      <c r="Q10" s="59" t="n"/>
      <c r="R10" s="59" t="n"/>
      <c r="S10" s="14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</row>
    <row r="11" ht="15" customHeight="1">
      <c r="A11" s="62" t="n"/>
      <c r="B11" s="55">
        <f>IF($B$9="","",$B$9)</f>
        <v/>
      </c>
      <c r="C11" s="63" t="inlineStr">
        <is>
          <t>마케팅1팀</t>
        </is>
      </c>
      <c r="D11" s="55">
        <f>IF($D$9="","",$D$9)</f>
        <v/>
      </c>
      <c r="E11" s="64" t="inlineStr">
        <is>
          <t>영상</t>
        </is>
      </c>
      <c r="F11" s="44" t="n"/>
      <c r="G11" s="58">
        <f>IF($G$9="","",$G$9)</f>
        <v/>
      </c>
      <c r="H11" s="59" t="n"/>
      <c r="I11" s="59" t="n"/>
      <c r="J11" s="59" t="n"/>
      <c r="K11" s="59" t="n"/>
      <c r="L11" s="65">
        <f>IF(SUM(U11:AY11)=0,"",SUM(U11:AY11))</f>
        <v/>
      </c>
      <c r="M11" s="66">
        <f>IFERROR(INDEX(U$2:AY$2,MATCH(TRUE,INDEX(U11:AY11&lt;&gt;"",0),0)),"")</f>
        <v/>
      </c>
      <c r="N11" s="66">
        <f>IFERROR(LOOKUP(2,1/(U11:AY11&lt;&gt;""),U$2:AY$2),"")</f>
        <v/>
      </c>
      <c r="O11" s="59" t="n"/>
      <c r="P11" s="59" t="n"/>
      <c r="Q11" s="59" t="n"/>
      <c r="R11" s="59" t="n"/>
      <c r="S11" s="14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</row>
    <row r="12" ht="15" customHeight="1">
      <c r="A12" s="40">
        <f>IF($D$12="","",2)</f>
        <v/>
      </c>
      <c r="B12" s="10" t="n"/>
      <c r="C12" s="41" t="inlineStr">
        <is>
          <t>마케팅1팀</t>
        </is>
      </c>
      <c r="D12" s="42" t="n"/>
      <c r="E12" s="43" t="inlineStr">
        <is>
          <t>기획</t>
        </is>
      </c>
      <c r="F12" s="44" t="n"/>
      <c r="G12" s="45" t="n"/>
      <c r="H12" s="46">
        <f>IF($I$12="","",IF($I$12&lt;0,"🔴지연",IF($I$12&lt;=1,"🟡임박","🟢여유")))</f>
        <v/>
      </c>
      <c r="I12" s="47">
        <f>IF(OR($G$12="",$K$12=""),"",$G$12-$K$12)</f>
        <v/>
      </c>
      <c r="J12" s="48">
        <f>IF(SUM($L$12:$L$14)=0,"",SUM($L$12:$L$14))</f>
        <v/>
      </c>
      <c r="K12" s="49">
        <f>IF($J$12="","",MAX($N$12:$N$14))</f>
        <v/>
      </c>
      <c r="L12" s="50">
        <f>IF(SUM(U12:AY12)=0,"",SUM(U12:AY12))</f>
        <v/>
      </c>
      <c r="M12" s="51">
        <f>IFERROR(INDEX(U$2:AY$2,MATCH(TRUE,INDEX(U12:AY12&lt;&gt;"",0),0)),"")</f>
        <v/>
      </c>
      <c r="N12" s="51">
        <f>IFERROR(LOOKUP(2,1/(U12:AY12&lt;&gt;""),U$2:AY$2),"")</f>
        <v/>
      </c>
      <c r="O12" s="52" t="n"/>
      <c r="P12" s="52" t="n"/>
      <c r="Q12" s="52" t="n"/>
      <c r="R12" s="44" t="n"/>
      <c r="S12" s="14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</row>
    <row r="13" ht="15" customHeight="1">
      <c r="A13" s="54" t="n"/>
      <c r="B13" s="55">
        <f>IF($B$12="","",$B$12)</f>
        <v/>
      </c>
      <c r="C13" s="56" t="inlineStr">
        <is>
          <t>마케팅1팀</t>
        </is>
      </c>
      <c r="D13" s="55">
        <f>IF($D$12="","",$D$12)</f>
        <v/>
      </c>
      <c r="E13" s="57" t="inlineStr">
        <is>
          <t>이미지</t>
        </is>
      </c>
      <c r="F13" s="44" t="n"/>
      <c r="G13" s="58">
        <f>IF($G$12="","",$G$12)</f>
        <v/>
      </c>
      <c r="H13" s="59" t="n"/>
      <c r="I13" s="59" t="n"/>
      <c r="J13" s="59" t="n"/>
      <c r="K13" s="59" t="n"/>
      <c r="L13" s="60">
        <f>IF(SUM(U13:AY13)=0,"",SUM(U13:AY13))</f>
        <v/>
      </c>
      <c r="M13" s="61">
        <f>IFERROR(INDEX(U$2:AY$2,MATCH(TRUE,INDEX(U13:AY13&lt;&gt;"",0),0)),"")</f>
        <v/>
      </c>
      <c r="N13" s="61">
        <f>IFERROR(LOOKUP(2,1/(U13:AY13&lt;&gt;""),U$2:AY$2),"")</f>
        <v/>
      </c>
      <c r="O13" s="59" t="n"/>
      <c r="P13" s="59" t="n"/>
      <c r="Q13" s="59" t="n"/>
      <c r="R13" s="59" t="n"/>
      <c r="S13" s="14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</row>
    <row r="14" ht="15" customHeight="1">
      <c r="A14" s="62" t="n"/>
      <c r="B14" s="55">
        <f>IF($B$12="","",$B$12)</f>
        <v/>
      </c>
      <c r="C14" s="63" t="inlineStr">
        <is>
          <t>마케팅1팀</t>
        </is>
      </c>
      <c r="D14" s="55">
        <f>IF($D$12="","",$D$12)</f>
        <v/>
      </c>
      <c r="E14" s="64" t="inlineStr">
        <is>
          <t>영상</t>
        </is>
      </c>
      <c r="F14" s="44" t="n"/>
      <c r="G14" s="58">
        <f>IF($G$12="","",$G$12)</f>
        <v/>
      </c>
      <c r="H14" s="59" t="n"/>
      <c r="I14" s="59" t="n"/>
      <c r="J14" s="59" t="n"/>
      <c r="K14" s="59" t="n"/>
      <c r="L14" s="65">
        <f>IF(SUM(U14:AY14)=0,"",SUM(U14:AY14))</f>
        <v/>
      </c>
      <c r="M14" s="66">
        <f>IFERROR(INDEX(U$2:AY$2,MATCH(TRUE,INDEX(U14:AY14&lt;&gt;"",0),0)),"")</f>
        <v/>
      </c>
      <c r="N14" s="66">
        <f>IFERROR(LOOKUP(2,1/(U14:AY14&lt;&gt;""),U$2:AY$2),"")</f>
        <v/>
      </c>
      <c r="O14" s="59" t="n"/>
      <c r="P14" s="59" t="n"/>
      <c r="Q14" s="59" t="n"/>
      <c r="R14" s="59" t="n"/>
      <c r="S14" s="14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</row>
    <row r="15" ht="15" customHeight="1">
      <c r="A15" s="40">
        <f>IF($D$15="","",3)</f>
        <v/>
      </c>
      <c r="B15" s="10" t="n"/>
      <c r="C15" s="41" t="inlineStr">
        <is>
          <t>마케팅1팀</t>
        </is>
      </c>
      <c r="D15" s="42" t="n"/>
      <c r="E15" s="43" t="inlineStr">
        <is>
          <t>기획</t>
        </is>
      </c>
      <c r="F15" s="44" t="n"/>
      <c r="G15" s="45" t="n"/>
      <c r="H15" s="46">
        <f>IF($I$15="","",IF($I$15&lt;0,"🔴지연",IF($I$15&lt;=1,"🟡임박","🟢여유")))</f>
        <v/>
      </c>
      <c r="I15" s="47">
        <f>IF(OR($G$15="",$K$15=""),"",$G$15-$K$15)</f>
        <v/>
      </c>
      <c r="J15" s="48">
        <f>IF(SUM($L$15:$L$17)=0,"",SUM($L$15:$L$17))</f>
        <v/>
      </c>
      <c r="K15" s="49">
        <f>IF($J$15="","",MAX($N$15:$N$17))</f>
        <v/>
      </c>
      <c r="L15" s="50">
        <f>IF(SUM(U15:AY15)=0,"",SUM(U15:AY15))</f>
        <v/>
      </c>
      <c r="M15" s="51">
        <f>IFERROR(INDEX(U$2:AY$2,MATCH(TRUE,INDEX(U15:AY15&lt;&gt;"",0),0)),"")</f>
        <v/>
      </c>
      <c r="N15" s="51">
        <f>IFERROR(LOOKUP(2,1/(U15:AY15&lt;&gt;""),U$2:AY$2),"")</f>
        <v/>
      </c>
      <c r="O15" s="52" t="n"/>
      <c r="P15" s="52" t="n"/>
      <c r="Q15" s="52" t="n"/>
      <c r="R15" s="44" t="n"/>
      <c r="S15" s="14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</row>
    <row r="16" ht="15" customHeight="1">
      <c r="A16" s="54" t="n"/>
      <c r="B16" s="55">
        <f>IF($B$15="","",$B$15)</f>
        <v/>
      </c>
      <c r="C16" s="56" t="inlineStr">
        <is>
          <t>마케팅1팀</t>
        </is>
      </c>
      <c r="D16" s="55">
        <f>IF($D$15="","",$D$15)</f>
        <v/>
      </c>
      <c r="E16" s="57" t="inlineStr">
        <is>
          <t>이미지</t>
        </is>
      </c>
      <c r="F16" s="44" t="n"/>
      <c r="G16" s="58">
        <f>IF($G$15="","",$G$15)</f>
        <v/>
      </c>
      <c r="H16" s="59" t="n"/>
      <c r="I16" s="59" t="n"/>
      <c r="J16" s="59" t="n"/>
      <c r="K16" s="59" t="n"/>
      <c r="L16" s="60">
        <f>IF(SUM(U16:AY16)=0,"",SUM(U16:AY16))</f>
        <v/>
      </c>
      <c r="M16" s="61">
        <f>IFERROR(INDEX(U$2:AY$2,MATCH(TRUE,INDEX(U16:AY16&lt;&gt;"",0),0)),"")</f>
        <v/>
      </c>
      <c r="N16" s="61">
        <f>IFERROR(LOOKUP(2,1/(U16:AY16&lt;&gt;""),U$2:AY$2),"")</f>
        <v/>
      </c>
      <c r="O16" s="59" t="n"/>
      <c r="P16" s="59" t="n"/>
      <c r="Q16" s="59" t="n"/>
      <c r="R16" s="59" t="n"/>
      <c r="S16" s="14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</row>
    <row r="17" ht="15" customHeight="1">
      <c r="A17" s="62" t="n"/>
      <c r="B17" s="55">
        <f>IF($B$15="","",$B$15)</f>
        <v/>
      </c>
      <c r="C17" s="63" t="inlineStr">
        <is>
          <t>마케팅1팀</t>
        </is>
      </c>
      <c r="D17" s="55">
        <f>IF($D$15="","",$D$15)</f>
        <v/>
      </c>
      <c r="E17" s="64" t="inlineStr">
        <is>
          <t>영상</t>
        </is>
      </c>
      <c r="F17" s="44" t="n"/>
      <c r="G17" s="58">
        <f>IF($G$15="","",$G$15)</f>
        <v/>
      </c>
      <c r="H17" s="59" t="n"/>
      <c r="I17" s="59" t="n"/>
      <c r="J17" s="59" t="n"/>
      <c r="K17" s="59" t="n"/>
      <c r="L17" s="65">
        <f>IF(SUM(U17:AY17)=0,"",SUM(U17:AY17))</f>
        <v/>
      </c>
      <c r="M17" s="66">
        <f>IFERROR(INDEX(U$2:AY$2,MATCH(TRUE,INDEX(U17:AY17&lt;&gt;"",0),0)),"")</f>
        <v/>
      </c>
      <c r="N17" s="66">
        <f>IFERROR(LOOKUP(2,1/(U17:AY17&lt;&gt;""),U$2:AY$2),"")</f>
        <v/>
      </c>
      <c r="O17" s="59" t="n"/>
      <c r="P17" s="59" t="n"/>
      <c r="Q17" s="59" t="n"/>
      <c r="R17" s="59" t="n"/>
      <c r="S17" s="14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</row>
    <row r="18" ht="15" customHeight="1">
      <c r="A18" s="40">
        <f>IF($D$18="","",4)</f>
        <v/>
      </c>
      <c r="B18" s="10" t="n"/>
      <c r="C18" s="41" t="inlineStr">
        <is>
          <t>마케팅1팀</t>
        </is>
      </c>
      <c r="D18" s="42" t="n"/>
      <c r="E18" s="43" t="inlineStr">
        <is>
          <t>기획</t>
        </is>
      </c>
      <c r="F18" s="44" t="n"/>
      <c r="G18" s="45" t="n"/>
      <c r="H18" s="46">
        <f>IF($I$18="","",IF($I$18&lt;0,"🔴지연",IF($I$18&lt;=1,"🟡임박","🟢여유")))</f>
        <v/>
      </c>
      <c r="I18" s="47">
        <f>IF(OR($G$18="",$K$18=""),"",$G$18-$K$18)</f>
        <v/>
      </c>
      <c r="J18" s="48">
        <f>IF(SUM($L$18:$L$20)=0,"",SUM($L$18:$L$20))</f>
        <v/>
      </c>
      <c r="K18" s="49">
        <f>IF($J$18="","",MAX($N$18:$N$20))</f>
        <v/>
      </c>
      <c r="L18" s="50">
        <f>IF(SUM(U18:AY18)=0,"",SUM(U18:AY18))</f>
        <v/>
      </c>
      <c r="M18" s="51">
        <f>IFERROR(INDEX(U$2:AY$2,MATCH(TRUE,INDEX(U18:AY18&lt;&gt;"",0),0)),"")</f>
        <v/>
      </c>
      <c r="N18" s="51">
        <f>IFERROR(LOOKUP(2,1/(U18:AY18&lt;&gt;""),U$2:AY$2),"")</f>
        <v/>
      </c>
      <c r="O18" s="52" t="n"/>
      <c r="P18" s="52" t="n"/>
      <c r="Q18" s="52" t="n"/>
      <c r="R18" s="44" t="n"/>
      <c r="S18" s="14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</row>
    <row r="19" ht="15" customHeight="1">
      <c r="A19" s="54" t="n"/>
      <c r="B19" s="55">
        <f>IF($B$18="","",$B$18)</f>
        <v/>
      </c>
      <c r="C19" s="56" t="inlineStr">
        <is>
          <t>마케팅1팀</t>
        </is>
      </c>
      <c r="D19" s="55">
        <f>IF($D$18="","",$D$18)</f>
        <v/>
      </c>
      <c r="E19" s="57" t="inlineStr">
        <is>
          <t>이미지</t>
        </is>
      </c>
      <c r="F19" s="44" t="n"/>
      <c r="G19" s="58">
        <f>IF($G$18="","",$G$18)</f>
        <v/>
      </c>
      <c r="H19" s="59" t="n"/>
      <c r="I19" s="59" t="n"/>
      <c r="J19" s="59" t="n"/>
      <c r="K19" s="59" t="n"/>
      <c r="L19" s="60">
        <f>IF(SUM(U19:AY19)=0,"",SUM(U19:AY19))</f>
        <v/>
      </c>
      <c r="M19" s="61">
        <f>IFERROR(INDEX(U$2:AY$2,MATCH(TRUE,INDEX(U19:AY19&lt;&gt;"",0),0)),"")</f>
        <v/>
      </c>
      <c r="N19" s="61">
        <f>IFERROR(LOOKUP(2,1/(U19:AY19&lt;&gt;""),U$2:AY$2),"")</f>
        <v/>
      </c>
      <c r="O19" s="59" t="n"/>
      <c r="P19" s="59" t="n"/>
      <c r="Q19" s="59" t="n"/>
      <c r="R19" s="59" t="n"/>
      <c r="S19" s="14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</row>
    <row r="20" ht="15" customHeight="1">
      <c r="A20" s="62" t="n"/>
      <c r="B20" s="55">
        <f>IF($B$18="","",$B$18)</f>
        <v/>
      </c>
      <c r="C20" s="63" t="inlineStr">
        <is>
          <t>마케팅1팀</t>
        </is>
      </c>
      <c r="D20" s="55">
        <f>IF($D$18="","",$D$18)</f>
        <v/>
      </c>
      <c r="E20" s="64" t="inlineStr">
        <is>
          <t>영상</t>
        </is>
      </c>
      <c r="F20" s="44" t="n"/>
      <c r="G20" s="58">
        <f>IF($G$18="","",$G$18)</f>
        <v/>
      </c>
      <c r="H20" s="59" t="n"/>
      <c r="I20" s="59" t="n"/>
      <c r="J20" s="59" t="n"/>
      <c r="K20" s="59" t="n"/>
      <c r="L20" s="65">
        <f>IF(SUM(U20:AY20)=0,"",SUM(U20:AY20))</f>
        <v/>
      </c>
      <c r="M20" s="66">
        <f>IFERROR(INDEX(U$2:AY$2,MATCH(TRUE,INDEX(U20:AY20&lt;&gt;"",0),0)),"")</f>
        <v/>
      </c>
      <c r="N20" s="66">
        <f>IFERROR(LOOKUP(2,1/(U20:AY20&lt;&gt;""),U$2:AY$2),"")</f>
        <v/>
      </c>
      <c r="O20" s="59" t="n"/>
      <c r="P20" s="59" t="n"/>
      <c r="Q20" s="59" t="n"/>
      <c r="R20" s="59" t="n"/>
      <c r="S20" s="14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</row>
    <row r="21" ht="15" customHeight="1">
      <c r="A21" s="40">
        <f>IF($D$21="","",5)</f>
        <v/>
      </c>
      <c r="B21" s="10" t="n"/>
      <c r="C21" s="41" t="inlineStr">
        <is>
          <t>마케팅1팀</t>
        </is>
      </c>
      <c r="D21" s="42" t="n"/>
      <c r="E21" s="43" t="inlineStr">
        <is>
          <t>기획</t>
        </is>
      </c>
      <c r="F21" s="44" t="n"/>
      <c r="G21" s="45" t="n"/>
      <c r="H21" s="46">
        <f>IF($I$21="","",IF($I$21&lt;0,"🔴지연",IF($I$21&lt;=1,"🟡임박","🟢여유")))</f>
        <v/>
      </c>
      <c r="I21" s="47">
        <f>IF(OR($G$21="",$K$21=""),"",$G$21-$K$21)</f>
        <v/>
      </c>
      <c r="J21" s="48">
        <f>IF(SUM($L$21:$L$23)=0,"",SUM($L$21:$L$23))</f>
        <v/>
      </c>
      <c r="K21" s="49">
        <f>IF($J$21="","",MAX($N$21:$N$23))</f>
        <v/>
      </c>
      <c r="L21" s="50">
        <f>IF(SUM(U21:AY21)=0,"",SUM(U21:AY21))</f>
        <v/>
      </c>
      <c r="M21" s="51">
        <f>IFERROR(INDEX(U$2:AY$2,MATCH(TRUE,INDEX(U21:AY21&lt;&gt;"",0),0)),"")</f>
        <v/>
      </c>
      <c r="N21" s="51">
        <f>IFERROR(LOOKUP(2,1/(U21:AY21&lt;&gt;""),U$2:AY$2),"")</f>
        <v/>
      </c>
      <c r="O21" s="52" t="n"/>
      <c r="P21" s="52" t="n"/>
      <c r="Q21" s="52" t="n"/>
      <c r="R21" s="44" t="n"/>
      <c r="S21" s="14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</row>
    <row r="22" ht="15" customHeight="1">
      <c r="A22" s="54" t="n"/>
      <c r="B22" s="55">
        <f>IF($B$21="","",$B$21)</f>
        <v/>
      </c>
      <c r="C22" s="56" t="inlineStr">
        <is>
          <t>마케팅1팀</t>
        </is>
      </c>
      <c r="D22" s="55">
        <f>IF($D$21="","",$D$21)</f>
        <v/>
      </c>
      <c r="E22" s="57" t="inlineStr">
        <is>
          <t>이미지</t>
        </is>
      </c>
      <c r="F22" s="44" t="n"/>
      <c r="G22" s="58">
        <f>IF($G$21="","",$G$21)</f>
        <v/>
      </c>
      <c r="H22" s="59" t="n"/>
      <c r="I22" s="59" t="n"/>
      <c r="J22" s="59" t="n"/>
      <c r="K22" s="59" t="n"/>
      <c r="L22" s="60">
        <f>IF(SUM(U22:AY22)=0,"",SUM(U22:AY22))</f>
        <v/>
      </c>
      <c r="M22" s="61">
        <f>IFERROR(INDEX(U$2:AY$2,MATCH(TRUE,INDEX(U22:AY22&lt;&gt;"",0),0)),"")</f>
        <v/>
      </c>
      <c r="N22" s="61">
        <f>IFERROR(LOOKUP(2,1/(U22:AY22&lt;&gt;""),U$2:AY$2),"")</f>
        <v/>
      </c>
      <c r="O22" s="59" t="n"/>
      <c r="P22" s="59" t="n"/>
      <c r="Q22" s="59" t="n"/>
      <c r="R22" s="59" t="n"/>
      <c r="S22" s="14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</row>
    <row r="23" ht="15" customHeight="1">
      <c r="A23" s="62" t="n"/>
      <c r="B23" s="55">
        <f>IF($B$21="","",$B$21)</f>
        <v/>
      </c>
      <c r="C23" s="63" t="inlineStr">
        <is>
          <t>마케팅1팀</t>
        </is>
      </c>
      <c r="D23" s="55">
        <f>IF($D$21="","",$D$21)</f>
        <v/>
      </c>
      <c r="E23" s="64" t="inlineStr">
        <is>
          <t>영상</t>
        </is>
      </c>
      <c r="F23" s="44" t="n"/>
      <c r="G23" s="58">
        <f>IF($G$21="","",$G$21)</f>
        <v/>
      </c>
      <c r="H23" s="59" t="n"/>
      <c r="I23" s="59" t="n"/>
      <c r="J23" s="59" t="n"/>
      <c r="K23" s="59" t="n"/>
      <c r="L23" s="65">
        <f>IF(SUM(U23:AY23)=0,"",SUM(U23:AY23))</f>
        <v/>
      </c>
      <c r="M23" s="66">
        <f>IFERROR(INDEX(U$2:AY$2,MATCH(TRUE,INDEX(U23:AY23&lt;&gt;"",0),0)),"")</f>
        <v/>
      </c>
      <c r="N23" s="66">
        <f>IFERROR(LOOKUP(2,1/(U23:AY23&lt;&gt;""),U$2:AY$2),"")</f>
        <v/>
      </c>
      <c r="O23" s="59" t="n"/>
      <c r="P23" s="59" t="n"/>
      <c r="Q23" s="59" t="n"/>
      <c r="R23" s="59" t="n"/>
      <c r="S23" s="14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</row>
    <row r="24" ht="15" customHeight="1">
      <c r="A24" s="40">
        <f>IF($D$24="","",6)</f>
        <v/>
      </c>
      <c r="B24" s="10" t="n"/>
      <c r="C24" s="41" t="inlineStr">
        <is>
          <t>마케팅1팀</t>
        </is>
      </c>
      <c r="D24" s="42" t="n"/>
      <c r="E24" s="43" t="inlineStr">
        <is>
          <t>기획</t>
        </is>
      </c>
      <c r="F24" s="44" t="n"/>
      <c r="G24" s="45" t="n"/>
      <c r="H24" s="46">
        <f>IF($I$24="","",IF($I$24&lt;0,"🔴지연",IF($I$24&lt;=1,"🟡임박","🟢여유")))</f>
        <v/>
      </c>
      <c r="I24" s="47">
        <f>IF(OR($G$24="",$K$24=""),"",$G$24-$K$24)</f>
        <v/>
      </c>
      <c r="J24" s="48">
        <f>IF(SUM($L$24:$L$26)=0,"",SUM($L$24:$L$26))</f>
        <v/>
      </c>
      <c r="K24" s="49">
        <f>IF($J$24="","",MAX($N$24:$N$26))</f>
        <v/>
      </c>
      <c r="L24" s="50">
        <f>IF(SUM(U24:AY24)=0,"",SUM(U24:AY24))</f>
        <v/>
      </c>
      <c r="M24" s="51">
        <f>IFERROR(INDEX(U$2:AY$2,MATCH(TRUE,INDEX(U24:AY24&lt;&gt;"",0),0)),"")</f>
        <v/>
      </c>
      <c r="N24" s="51">
        <f>IFERROR(LOOKUP(2,1/(U24:AY24&lt;&gt;""),U$2:AY$2),"")</f>
        <v/>
      </c>
      <c r="O24" s="52" t="n"/>
      <c r="P24" s="52" t="n"/>
      <c r="Q24" s="52" t="n"/>
      <c r="R24" s="44" t="n"/>
      <c r="S24" s="14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</row>
    <row r="25" ht="15" customHeight="1">
      <c r="A25" s="54" t="n"/>
      <c r="B25" s="55">
        <f>IF($B$24="","",$B$24)</f>
        <v/>
      </c>
      <c r="C25" s="56" t="inlineStr">
        <is>
          <t>마케팅1팀</t>
        </is>
      </c>
      <c r="D25" s="55">
        <f>IF($D$24="","",$D$24)</f>
        <v/>
      </c>
      <c r="E25" s="57" t="inlineStr">
        <is>
          <t>이미지</t>
        </is>
      </c>
      <c r="F25" s="44" t="n"/>
      <c r="G25" s="58">
        <f>IF($G$24="","",$G$24)</f>
        <v/>
      </c>
      <c r="H25" s="59" t="n"/>
      <c r="I25" s="59" t="n"/>
      <c r="J25" s="59" t="n"/>
      <c r="K25" s="59" t="n"/>
      <c r="L25" s="60">
        <f>IF(SUM(U25:AY25)=0,"",SUM(U25:AY25))</f>
        <v/>
      </c>
      <c r="M25" s="61">
        <f>IFERROR(INDEX(U$2:AY$2,MATCH(TRUE,INDEX(U25:AY25&lt;&gt;"",0),0)),"")</f>
        <v/>
      </c>
      <c r="N25" s="61">
        <f>IFERROR(LOOKUP(2,1/(U25:AY25&lt;&gt;""),U$2:AY$2),"")</f>
        <v/>
      </c>
      <c r="O25" s="59" t="n"/>
      <c r="P25" s="59" t="n"/>
      <c r="Q25" s="59" t="n"/>
      <c r="R25" s="59" t="n"/>
      <c r="S25" s="14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</row>
    <row r="26" ht="15" customHeight="1">
      <c r="A26" s="62" t="n"/>
      <c r="B26" s="55">
        <f>IF($B$24="","",$B$24)</f>
        <v/>
      </c>
      <c r="C26" s="63" t="inlineStr">
        <is>
          <t>마케팅1팀</t>
        </is>
      </c>
      <c r="D26" s="55">
        <f>IF($D$24="","",$D$24)</f>
        <v/>
      </c>
      <c r="E26" s="64" t="inlineStr">
        <is>
          <t>영상</t>
        </is>
      </c>
      <c r="F26" s="44" t="n"/>
      <c r="G26" s="58">
        <f>IF($G$24="","",$G$24)</f>
        <v/>
      </c>
      <c r="H26" s="59" t="n"/>
      <c r="I26" s="59" t="n"/>
      <c r="J26" s="59" t="n"/>
      <c r="K26" s="59" t="n"/>
      <c r="L26" s="65">
        <f>IF(SUM(U26:AY26)=0,"",SUM(U26:AY26))</f>
        <v/>
      </c>
      <c r="M26" s="66">
        <f>IFERROR(INDEX(U$2:AY$2,MATCH(TRUE,INDEX(U26:AY26&lt;&gt;"",0),0)),"")</f>
        <v/>
      </c>
      <c r="N26" s="66">
        <f>IFERROR(LOOKUP(2,1/(U26:AY26&lt;&gt;""),U$2:AY$2),"")</f>
        <v/>
      </c>
      <c r="O26" s="59" t="n"/>
      <c r="P26" s="59" t="n"/>
      <c r="Q26" s="59" t="n"/>
      <c r="R26" s="59" t="n"/>
      <c r="S26" s="14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</row>
    <row r="27" ht="15" customHeight="1">
      <c r="A27" s="40">
        <f>IF($D$27="","",7)</f>
        <v/>
      </c>
      <c r="B27" s="10" t="n"/>
      <c r="C27" s="41" t="inlineStr">
        <is>
          <t>마케팅1팀</t>
        </is>
      </c>
      <c r="D27" s="42" t="n"/>
      <c r="E27" s="43" t="inlineStr">
        <is>
          <t>기획</t>
        </is>
      </c>
      <c r="F27" s="44" t="n"/>
      <c r="G27" s="45" t="n"/>
      <c r="H27" s="46">
        <f>IF($I$27="","",IF($I$27&lt;0,"🔴지연",IF($I$27&lt;=1,"🟡임박","🟢여유")))</f>
        <v/>
      </c>
      <c r="I27" s="47">
        <f>IF(OR($G$27="",$K$27=""),"",$G$27-$K$27)</f>
        <v/>
      </c>
      <c r="J27" s="48">
        <f>IF(SUM($L$27:$L$29)=0,"",SUM($L$27:$L$29))</f>
        <v/>
      </c>
      <c r="K27" s="49">
        <f>IF($J$27="","",MAX($N$27:$N$29))</f>
        <v/>
      </c>
      <c r="L27" s="50">
        <f>IF(SUM(U27:AY27)=0,"",SUM(U27:AY27))</f>
        <v/>
      </c>
      <c r="M27" s="51">
        <f>IFERROR(INDEX(U$2:AY$2,MATCH(TRUE,INDEX(U27:AY27&lt;&gt;"",0),0)),"")</f>
        <v/>
      </c>
      <c r="N27" s="51">
        <f>IFERROR(LOOKUP(2,1/(U27:AY27&lt;&gt;""),U$2:AY$2),"")</f>
        <v/>
      </c>
      <c r="O27" s="52" t="n"/>
      <c r="P27" s="52" t="n"/>
      <c r="Q27" s="52" t="n"/>
      <c r="R27" s="44" t="n"/>
      <c r="S27" s="14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</row>
    <row r="28" ht="15" customHeight="1">
      <c r="A28" s="54" t="n"/>
      <c r="B28" s="55">
        <f>IF($B$27="","",$B$27)</f>
        <v/>
      </c>
      <c r="C28" s="56" t="inlineStr">
        <is>
          <t>마케팅1팀</t>
        </is>
      </c>
      <c r="D28" s="55">
        <f>IF($D$27="","",$D$27)</f>
        <v/>
      </c>
      <c r="E28" s="57" t="inlineStr">
        <is>
          <t>이미지</t>
        </is>
      </c>
      <c r="F28" s="44" t="n"/>
      <c r="G28" s="58">
        <f>IF($G$27="","",$G$27)</f>
        <v/>
      </c>
      <c r="H28" s="59" t="n"/>
      <c r="I28" s="59" t="n"/>
      <c r="J28" s="59" t="n"/>
      <c r="K28" s="59" t="n"/>
      <c r="L28" s="60">
        <f>IF(SUM(U28:AY28)=0,"",SUM(U28:AY28))</f>
        <v/>
      </c>
      <c r="M28" s="61">
        <f>IFERROR(INDEX(U$2:AY$2,MATCH(TRUE,INDEX(U28:AY28&lt;&gt;"",0),0)),"")</f>
        <v/>
      </c>
      <c r="N28" s="61">
        <f>IFERROR(LOOKUP(2,1/(U28:AY28&lt;&gt;""),U$2:AY$2),"")</f>
        <v/>
      </c>
      <c r="O28" s="59" t="n"/>
      <c r="P28" s="59" t="n"/>
      <c r="Q28" s="59" t="n"/>
      <c r="R28" s="59" t="n"/>
      <c r="S28" s="14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3" t="n"/>
      <c r="AQ28" s="53" t="n"/>
      <c r="AR28" s="53" t="n"/>
      <c r="AS28" s="53" t="n"/>
      <c r="AT28" s="53" t="n"/>
      <c r="AU28" s="53" t="n"/>
      <c r="AV28" s="53" t="n"/>
      <c r="AW28" s="53" t="n"/>
      <c r="AX28" s="53" t="n"/>
      <c r="AY28" s="53" t="n"/>
    </row>
    <row r="29" ht="15" customHeight="1">
      <c r="A29" s="62" t="n"/>
      <c r="B29" s="55">
        <f>IF($B$27="","",$B$27)</f>
        <v/>
      </c>
      <c r="C29" s="63" t="inlineStr">
        <is>
          <t>마케팅1팀</t>
        </is>
      </c>
      <c r="D29" s="55">
        <f>IF($D$27="","",$D$27)</f>
        <v/>
      </c>
      <c r="E29" s="64" t="inlineStr">
        <is>
          <t>영상</t>
        </is>
      </c>
      <c r="F29" s="44" t="n"/>
      <c r="G29" s="58">
        <f>IF($G$27="","",$G$27)</f>
        <v/>
      </c>
      <c r="H29" s="59" t="n"/>
      <c r="I29" s="59" t="n"/>
      <c r="J29" s="59" t="n"/>
      <c r="K29" s="59" t="n"/>
      <c r="L29" s="65">
        <f>IF(SUM(U29:AY29)=0,"",SUM(U29:AY29))</f>
        <v/>
      </c>
      <c r="M29" s="66">
        <f>IFERROR(INDEX(U$2:AY$2,MATCH(TRUE,INDEX(U29:AY29&lt;&gt;"",0),0)),"")</f>
        <v/>
      </c>
      <c r="N29" s="66">
        <f>IFERROR(LOOKUP(2,1/(U29:AY29&lt;&gt;""),U$2:AY$2),"")</f>
        <v/>
      </c>
      <c r="O29" s="59" t="n"/>
      <c r="P29" s="59" t="n"/>
      <c r="Q29" s="59" t="n"/>
      <c r="R29" s="59" t="n"/>
      <c r="S29" s="14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</row>
    <row r="30" ht="15" customHeight="1">
      <c r="A30" s="40">
        <f>IF($D$30="","",8)</f>
        <v/>
      </c>
      <c r="B30" s="10" t="n"/>
      <c r="C30" s="41" t="inlineStr">
        <is>
          <t>마케팅1팀</t>
        </is>
      </c>
      <c r="D30" s="42" t="n"/>
      <c r="E30" s="43" t="inlineStr">
        <is>
          <t>기획</t>
        </is>
      </c>
      <c r="F30" s="44" t="n"/>
      <c r="G30" s="45" t="n"/>
      <c r="H30" s="46">
        <f>IF($I$30="","",IF($I$30&lt;0,"🔴지연",IF($I$30&lt;=1,"🟡임박","🟢여유")))</f>
        <v/>
      </c>
      <c r="I30" s="47">
        <f>IF(OR($G$30="",$K$30=""),"",$G$30-$K$30)</f>
        <v/>
      </c>
      <c r="J30" s="48">
        <f>IF(SUM($L$30:$L$32)=0,"",SUM($L$30:$L$32))</f>
        <v/>
      </c>
      <c r="K30" s="49">
        <f>IF($J$30="","",MAX($N$30:$N$32))</f>
        <v/>
      </c>
      <c r="L30" s="50">
        <f>IF(SUM(U30:AY30)=0,"",SUM(U30:AY30))</f>
        <v/>
      </c>
      <c r="M30" s="51">
        <f>IFERROR(INDEX(U$2:AY$2,MATCH(TRUE,INDEX(U30:AY30&lt;&gt;"",0),0)),"")</f>
        <v/>
      </c>
      <c r="N30" s="51">
        <f>IFERROR(LOOKUP(2,1/(U30:AY30&lt;&gt;""),U$2:AY$2),"")</f>
        <v/>
      </c>
      <c r="O30" s="52" t="n"/>
      <c r="P30" s="52" t="n"/>
      <c r="Q30" s="52" t="n"/>
      <c r="R30" s="44" t="n"/>
      <c r="S30" s="14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53" t="n"/>
      <c r="AH30" s="53" t="n"/>
      <c r="AI30" s="53" t="n"/>
      <c r="AJ30" s="53" t="n"/>
      <c r="AK30" s="53" t="n"/>
      <c r="AL30" s="53" t="n"/>
      <c r="AM30" s="53" t="n"/>
      <c r="AN30" s="53" t="n"/>
      <c r="AO30" s="53" t="n"/>
      <c r="AP30" s="53" t="n"/>
      <c r="AQ30" s="53" t="n"/>
      <c r="AR30" s="53" t="n"/>
      <c r="AS30" s="53" t="n"/>
      <c r="AT30" s="53" t="n"/>
      <c r="AU30" s="53" t="n"/>
      <c r="AV30" s="53" t="n"/>
      <c r="AW30" s="53" t="n"/>
      <c r="AX30" s="53" t="n"/>
      <c r="AY30" s="53" t="n"/>
    </row>
    <row r="31" ht="15" customHeight="1">
      <c r="A31" s="54" t="n"/>
      <c r="B31" s="55">
        <f>IF($B$30="","",$B$30)</f>
        <v/>
      </c>
      <c r="C31" s="56" t="inlineStr">
        <is>
          <t>마케팅1팀</t>
        </is>
      </c>
      <c r="D31" s="55">
        <f>IF($D$30="","",$D$30)</f>
        <v/>
      </c>
      <c r="E31" s="57" t="inlineStr">
        <is>
          <t>이미지</t>
        </is>
      </c>
      <c r="F31" s="44" t="n"/>
      <c r="G31" s="58">
        <f>IF($G$30="","",$G$30)</f>
        <v/>
      </c>
      <c r="H31" s="59" t="n"/>
      <c r="I31" s="59" t="n"/>
      <c r="J31" s="59" t="n"/>
      <c r="K31" s="59" t="n"/>
      <c r="L31" s="60">
        <f>IF(SUM(U31:AY31)=0,"",SUM(U31:AY31))</f>
        <v/>
      </c>
      <c r="M31" s="61">
        <f>IFERROR(INDEX(U$2:AY$2,MATCH(TRUE,INDEX(U31:AY31&lt;&gt;"",0),0)),"")</f>
        <v/>
      </c>
      <c r="N31" s="61">
        <f>IFERROR(LOOKUP(2,1/(U31:AY31&lt;&gt;""),U$2:AY$2),"")</f>
        <v/>
      </c>
      <c r="O31" s="59" t="n"/>
      <c r="P31" s="59" t="n"/>
      <c r="Q31" s="59" t="n"/>
      <c r="R31" s="59" t="n"/>
      <c r="S31" s="14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53" t="n"/>
      <c r="AH31" s="53" t="n"/>
      <c r="AI31" s="53" t="n"/>
      <c r="AJ31" s="53" t="n"/>
      <c r="AK31" s="53" t="n"/>
      <c r="AL31" s="53" t="n"/>
      <c r="AM31" s="53" t="n"/>
      <c r="AN31" s="53" t="n"/>
      <c r="AO31" s="53" t="n"/>
      <c r="AP31" s="53" t="n"/>
      <c r="AQ31" s="53" t="n"/>
      <c r="AR31" s="53" t="n"/>
      <c r="AS31" s="53" t="n"/>
      <c r="AT31" s="53" t="n"/>
      <c r="AU31" s="53" t="n"/>
      <c r="AV31" s="53" t="n"/>
      <c r="AW31" s="53" t="n"/>
      <c r="AX31" s="53" t="n"/>
      <c r="AY31" s="53" t="n"/>
    </row>
    <row r="32" ht="15" customHeight="1">
      <c r="A32" s="62" t="n"/>
      <c r="B32" s="55">
        <f>IF($B$30="","",$B$30)</f>
        <v/>
      </c>
      <c r="C32" s="63" t="inlineStr">
        <is>
          <t>마케팅1팀</t>
        </is>
      </c>
      <c r="D32" s="55">
        <f>IF($D$30="","",$D$30)</f>
        <v/>
      </c>
      <c r="E32" s="64" t="inlineStr">
        <is>
          <t>영상</t>
        </is>
      </c>
      <c r="F32" s="44" t="n"/>
      <c r="G32" s="58">
        <f>IF($G$30="","",$G$30)</f>
        <v/>
      </c>
      <c r="H32" s="59" t="n"/>
      <c r="I32" s="59" t="n"/>
      <c r="J32" s="59" t="n"/>
      <c r="K32" s="59" t="n"/>
      <c r="L32" s="65">
        <f>IF(SUM(U32:AY32)=0,"",SUM(U32:AY32))</f>
        <v/>
      </c>
      <c r="M32" s="66">
        <f>IFERROR(INDEX(U$2:AY$2,MATCH(TRUE,INDEX(U32:AY32&lt;&gt;"",0),0)),"")</f>
        <v/>
      </c>
      <c r="N32" s="66">
        <f>IFERROR(LOOKUP(2,1/(U32:AY32&lt;&gt;""),U$2:AY$2),"")</f>
        <v/>
      </c>
      <c r="O32" s="59" t="n"/>
      <c r="P32" s="59" t="n"/>
      <c r="Q32" s="59" t="n"/>
      <c r="R32" s="59" t="n"/>
      <c r="S32" s="14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53" t="n"/>
      <c r="AK32" s="53" t="n"/>
      <c r="AL32" s="53" t="n"/>
      <c r="AM32" s="53" t="n"/>
      <c r="AN32" s="53" t="n"/>
      <c r="AO32" s="53" t="n"/>
      <c r="AP32" s="53" t="n"/>
      <c r="AQ32" s="53" t="n"/>
      <c r="AR32" s="53" t="n"/>
      <c r="AS32" s="53" t="n"/>
      <c r="AT32" s="53" t="n"/>
      <c r="AU32" s="53" t="n"/>
      <c r="AV32" s="53" t="n"/>
      <c r="AW32" s="53" t="n"/>
      <c r="AX32" s="53" t="n"/>
      <c r="AY32" s="53" t="n"/>
    </row>
    <row r="33" ht="15" customHeight="1">
      <c r="A33" s="40">
        <f>IF($D$33="","",9)</f>
        <v/>
      </c>
      <c r="B33" s="10" t="n"/>
      <c r="C33" s="41" t="inlineStr">
        <is>
          <t>마케팅1팀</t>
        </is>
      </c>
      <c r="D33" s="42" t="n"/>
      <c r="E33" s="43" t="inlineStr">
        <is>
          <t>기획</t>
        </is>
      </c>
      <c r="F33" s="44" t="n"/>
      <c r="G33" s="45" t="n"/>
      <c r="H33" s="46">
        <f>IF($I$33="","",IF($I$33&lt;0,"🔴지연",IF($I$33&lt;=1,"🟡임박","🟢여유")))</f>
        <v/>
      </c>
      <c r="I33" s="47">
        <f>IF(OR($G$33="",$K$33=""),"",$G$33-$K$33)</f>
        <v/>
      </c>
      <c r="J33" s="48">
        <f>IF(SUM($L$33:$L$35)=0,"",SUM($L$33:$L$35))</f>
        <v/>
      </c>
      <c r="K33" s="49">
        <f>IF($J$33="","",MAX($N$33:$N$35))</f>
        <v/>
      </c>
      <c r="L33" s="50">
        <f>IF(SUM(U33:AY33)=0,"",SUM(U33:AY33))</f>
        <v/>
      </c>
      <c r="M33" s="51">
        <f>IFERROR(INDEX(U$2:AY$2,MATCH(TRUE,INDEX(U33:AY33&lt;&gt;"",0),0)),"")</f>
        <v/>
      </c>
      <c r="N33" s="51">
        <f>IFERROR(LOOKUP(2,1/(U33:AY33&lt;&gt;""),U$2:AY$2),"")</f>
        <v/>
      </c>
      <c r="O33" s="52" t="n"/>
      <c r="P33" s="52" t="n"/>
      <c r="Q33" s="52" t="n"/>
      <c r="R33" s="44" t="n"/>
      <c r="S33" s="14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53" t="n"/>
    </row>
    <row r="34" ht="15" customHeight="1">
      <c r="A34" s="54" t="n"/>
      <c r="B34" s="55">
        <f>IF($B$33="","",$B$33)</f>
        <v/>
      </c>
      <c r="C34" s="56" t="inlineStr">
        <is>
          <t>마케팅1팀</t>
        </is>
      </c>
      <c r="D34" s="55">
        <f>IF($D$33="","",$D$33)</f>
        <v/>
      </c>
      <c r="E34" s="57" t="inlineStr">
        <is>
          <t>이미지</t>
        </is>
      </c>
      <c r="F34" s="44" t="n"/>
      <c r="G34" s="58">
        <f>IF($G$33="","",$G$33)</f>
        <v/>
      </c>
      <c r="H34" s="59" t="n"/>
      <c r="I34" s="59" t="n"/>
      <c r="J34" s="59" t="n"/>
      <c r="K34" s="59" t="n"/>
      <c r="L34" s="60">
        <f>IF(SUM(U34:AY34)=0,"",SUM(U34:AY34))</f>
        <v/>
      </c>
      <c r="M34" s="61">
        <f>IFERROR(INDEX(U$2:AY$2,MATCH(TRUE,INDEX(U34:AY34&lt;&gt;"",0),0)),"")</f>
        <v/>
      </c>
      <c r="N34" s="61">
        <f>IFERROR(LOOKUP(2,1/(U34:AY34&lt;&gt;""),U$2:AY$2),"")</f>
        <v/>
      </c>
      <c r="O34" s="59" t="n"/>
      <c r="P34" s="59" t="n"/>
      <c r="Q34" s="59" t="n"/>
      <c r="R34" s="59" t="n"/>
      <c r="S34" s="14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  <c r="AD34" s="53" t="n"/>
      <c r="AE34" s="53" t="n"/>
      <c r="AF34" s="53" t="n"/>
      <c r="AG34" s="53" t="n"/>
      <c r="AH34" s="53" t="n"/>
      <c r="AI34" s="53" t="n"/>
      <c r="AJ34" s="53" t="n"/>
      <c r="AK34" s="53" t="n"/>
      <c r="AL34" s="53" t="n"/>
      <c r="AM34" s="53" t="n"/>
      <c r="AN34" s="53" t="n"/>
      <c r="AO34" s="53" t="n"/>
      <c r="AP34" s="53" t="n"/>
      <c r="AQ34" s="53" t="n"/>
      <c r="AR34" s="53" t="n"/>
      <c r="AS34" s="53" t="n"/>
      <c r="AT34" s="53" t="n"/>
      <c r="AU34" s="53" t="n"/>
      <c r="AV34" s="53" t="n"/>
      <c r="AW34" s="53" t="n"/>
      <c r="AX34" s="53" t="n"/>
      <c r="AY34" s="53" t="n"/>
    </row>
    <row r="35" ht="15" customHeight="1">
      <c r="A35" s="62" t="n"/>
      <c r="B35" s="55">
        <f>IF($B$33="","",$B$33)</f>
        <v/>
      </c>
      <c r="C35" s="63" t="inlineStr">
        <is>
          <t>마케팅1팀</t>
        </is>
      </c>
      <c r="D35" s="55">
        <f>IF($D$33="","",$D$33)</f>
        <v/>
      </c>
      <c r="E35" s="64" t="inlineStr">
        <is>
          <t>영상</t>
        </is>
      </c>
      <c r="F35" s="44" t="n"/>
      <c r="G35" s="58">
        <f>IF($G$33="","",$G$33)</f>
        <v/>
      </c>
      <c r="H35" s="59" t="n"/>
      <c r="I35" s="59" t="n"/>
      <c r="J35" s="59" t="n"/>
      <c r="K35" s="59" t="n"/>
      <c r="L35" s="65">
        <f>IF(SUM(U35:AY35)=0,"",SUM(U35:AY35))</f>
        <v/>
      </c>
      <c r="M35" s="66">
        <f>IFERROR(INDEX(U$2:AY$2,MATCH(TRUE,INDEX(U35:AY35&lt;&gt;"",0),0)),"")</f>
        <v/>
      </c>
      <c r="N35" s="66">
        <f>IFERROR(LOOKUP(2,1/(U35:AY35&lt;&gt;""),U$2:AY$2),"")</f>
        <v/>
      </c>
      <c r="O35" s="59" t="n"/>
      <c r="P35" s="59" t="n"/>
      <c r="Q35" s="59" t="n"/>
      <c r="R35" s="59" t="n"/>
      <c r="S35" s="14" t="n"/>
      <c r="U35" s="53" t="n"/>
      <c r="V35" s="53" t="n"/>
      <c r="W35" s="53" t="n"/>
      <c r="X35" s="53" t="n"/>
      <c r="Y35" s="53" t="n"/>
      <c r="Z35" s="53" t="n"/>
      <c r="AA35" s="53" t="n"/>
      <c r="AB35" s="53" t="n"/>
      <c r="AC35" s="53" t="n"/>
      <c r="AD35" s="53" t="n"/>
      <c r="AE35" s="53" t="n"/>
      <c r="AF35" s="53" t="n"/>
      <c r="AG35" s="53" t="n"/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</row>
    <row r="36" ht="15" customHeight="1">
      <c r="A36" s="40">
        <f>IF($D$36="","",10)</f>
        <v/>
      </c>
      <c r="B36" s="10" t="n"/>
      <c r="C36" s="41" t="inlineStr">
        <is>
          <t>마케팅1팀</t>
        </is>
      </c>
      <c r="D36" s="42" t="n"/>
      <c r="E36" s="43" t="inlineStr">
        <is>
          <t>기획</t>
        </is>
      </c>
      <c r="F36" s="44" t="n"/>
      <c r="G36" s="45" t="n"/>
      <c r="H36" s="46">
        <f>IF($I$36="","",IF($I$36&lt;0,"🔴지연",IF($I$36&lt;=1,"🟡임박","🟢여유")))</f>
        <v/>
      </c>
      <c r="I36" s="47">
        <f>IF(OR($G$36="",$K$36=""),"",$G$36-$K$36)</f>
        <v/>
      </c>
      <c r="J36" s="48">
        <f>IF(SUM($L$36:$L$38)=0,"",SUM($L$36:$L$38))</f>
        <v/>
      </c>
      <c r="K36" s="49">
        <f>IF($J$36="","",MAX($N$36:$N$38))</f>
        <v/>
      </c>
      <c r="L36" s="50">
        <f>IF(SUM(U36:AY36)=0,"",SUM(U36:AY36))</f>
        <v/>
      </c>
      <c r="M36" s="51">
        <f>IFERROR(INDEX(U$2:AY$2,MATCH(TRUE,INDEX(U36:AY36&lt;&gt;"",0),0)),"")</f>
        <v/>
      </c>
      <c r="N36" s="51">
        <f>IFERROR(LOOKUP(2,1/(U36:AY36&lt;&gt;""),U$2:AY$2),"")</f>
        <v/>
      </c>
      <c r="O36" s="52" t="n"/>
      <c r="P36" s="52" t="n"/>
      <c r="Q36" s="52" t="n"/>
      <c r="R36" s="44" t="n"/>
      <c r="S36" s="14" t="n"/>
      <c r="U36" s="53" t="n"/>
      <c r="V36" s="53" t="n"/>
      <c r="W36" s="53" t="n"/>
      <c r="X36" s="53" t="n"/>
      <c r="Y36" s="53" t="n"/>
      <c r="Z36" s="53" t="n"/>
      <c r="AA36" s="53" t="n"/>
      <c r="AB36" s="53" t="n"/>
      <c r="AC36" s="53" t="n"/>
      <c r="AD36" s="53" t="n"/>
      <c r="AE36" s="53" t="n"/>
      <c r="AF36" s="53" t="n"/>
      <c r="AG36" s="53" t="n"/>
      <c r="AH36" s="53" t="n"/>
      <c r="AI36" s="53" t="n"/>
      <c r="AJ36" s="53" t="n"/>
      <c r="AK36" s="53" t="n"/>
      <c r="AL36" s="53" t="n"/>
      <c r="AM36" s="53" t="n"/>
      <c r="AN36" s="53" t="n"/>
      <c r="AO36" s="53" t="n"/>
      <c r="AP36" s="53" t="n"/>
      <c r="AQ36" s="53" t="n"/>
      <c r="AR36" s="53" t="n"/>
      <c r="AS36" s="53" t="n"/>
      <c r="AT36" s="53" t="n"/>
      <c r="AU36" s="53" t="n"/>
      <c r="AV36" s="53" t="n"/>
      <c r="AW36" s="53" t="n"/>
      <c r="AX36" s="53" t="n"/>
      <c r="AY36" s="53" t="n"/>
    </row>
    <row r="37" ht="15" customHeight="1">
      <c r="A37" s="54" t="n"/>
      <c r="B37" s="55">
        <f>IF($B$36="","",$B$36)</f>
        <v/>
      </c>
      <c r="C37" s="56" t="inlineStr">
        <is>
          <t>마케팅1팀</t>
        </is>
      </c>
      <c r="D37" s="55">
        <f>IF($D$36="","",$D$36)</f>
        <v/>
      </c>
      <c r="E37" s="57" t="inlineStr">
        <is>
          <t>이미지</t>
        </is>
      </c>
      <c r="F37" s="44" t="n"/>
      <c r="G37" s="58">
        <f>IF($G$36="","",$G$36)</f>
        <v/>
      </c>
      <c r="H37" s="59" t="n"/>
      <c r="I37" s="59" t="n"/>
      <c r="J37" s="59" t="n"/>
      <c r="K37" s="59" t="n"/>
      <c r="L37" s="60">
        <f>IF(SUM(U37:AY37)=0,"",SUM(U37:AY37))</f>
        <v/>
      </c>
      <c r="M37" s="61">
        <f>IFERROR(INDEX(U$2:AY$2,MATCH(TRUE,INDEX(U37:AY37&lt;&gt;"",0),0)),"")</f>
        <v/>
      </c>
      <c r="N37" s="61">
        <f>IFERROR(LOOKUP(2,1/(U37:AY37&lt;&gt;""),U$2:AY$2),"")</f>
        <v/>
      </c>
      <c r="O37" s="59" t="n"/>
      <c r="P37" s="59" t="n"/>
      <c r="Q37" s="59" t="n"/>
      <c r="R37" s="59" t="n"/>
      <c r="S37" s="14" t="n"/>
      <c r="U37" s="53" t="n"/>
      <c r="V37" s="53" t="n"/>
      <c r="W37" s="53" t="n"/>
      <c r="X37" s="53" t="n"/>
      <c r="Y37" s="53" t="n"/>
      <c r="Z37" s="53" t="n"/>
      <c r="AA37" s="53" t="n"/>
      <c r="AB37" s="53" t="n"/>
      <c r="AC37" s="53" t="n"/>
      <c r="AD37" s="53" t="n"/>
      <c r="AE37" s="53" t="n"/>
      <c r="AF37" s="53" t="n"/>
      <c r="AG37" s="53" t="n"/>
      <c r="AH37" s="53" t="n"/>
      <c r="AI37" s="53" t="n"/>
      <c r="AJ37" s="53" t="n"/>
      <c r="AK37" s="53" t="n"/>
      <c r="AL37" s="53" t="n"/>
      <c r="AM37" s="53" t="n"/>
      <c r="AN37" s="53" t="n"/>
      <c r="AO37" s="53" t="n"/>
      <c r="AP37" s="53" t="n"/>
      <c r="AQ37" s="53" t="n"/>
      <c r="AR37" s="53" t="n"/>
      <c r="AS37" s="53" t="n"/>
      <c r="AT37" s="53" t="n"/>
      <c r="AU37" s="53" t="n"/>
      <c r="AV37" s="53" t="n"/>
      <c r="AW37" s="53" t="n"/>
      <c r="AX37" s="53" t="n"/>
      <c r="AY37" s="53" t="n"/>
    </row>
    <row r="38" ht="15" customHeight="1">
      <c r="A38" s="62" t="n"/>
      <c r="B38" s="55">
        <f>IF($B$36="","",$B$36)</f>
        <v/>
      </c>
      <c r="C38" s="63" t="inlineStr">
        <is>
          <t>마케팅1팀</t>
        </is>
      </c>
      <c r="D38" s="55">
        <f>IF($D$36="","",$D$36)</f>
        <v/>
      </c>
      <c r="E38" s="64" t="inlineStr">
        <is>
          <t>영상</t>
        </is>
      </c>
      <c r="F38" s="44" t="n"/>
      <c r="G38" s="58">
        <f>IF($G$36="","",$G$36)</f>
        <v/>
      </c>
      <c r="H38" s="59" t="n"/>
      <c r="I38" s="59" t="n"/>
      <c r="J38" s="59" t="n"/>
      <c r="K38" s="59" t="n"/>
      <c r="L38" s="65">
        <f>IF(SUM(U38:AY38)=0,"",SUM(U38:AY38))</f>
        <v/>
      </c>
      <c r="M38" s="66">
        <f>IFERROR(INDEX(U$2:AY$2,MATCH(TRUE,INDEX(U38:AY38&lt;&gt;"",0),0)),"")</f>
        <v/>
      </c>
      <c r="N38" s="66">
        <f>IFERROR(LOOKUP(2,1/(U38:AY38&lt;&gt;""),U$2:AY$2),"")</f>
        <v/>
      </c>
      <c r="O38" s="59" t="n"/>
      <c r="P38" s="59" t="n"/>
      <c r="Q38" s="59" t="n"/>
      <c r="R38" s="59" t="n"/>
      <c r="S38" s="14" t="n"/>
      <c r="U38" s="53" t="n"/>
      <c r="V38" s="53" t="n"/>
      <c r="W38" s="53" t="n"/>
      <c r="X38" s="53" t="n"/>
      <c r="Y38" s="53" t="n"/>
      <c r="Z38" s="53" t="n"/>
      <c r="AA38" s="53" t="n"/>
      <c r="AB38" s="53" t="n"/>
      <c r="AC38" s="53" t="n"/>
      <c r="AD38" s="53" t="n"/>
      <c r="AE38" s="53" t="n"/>
      <c r="AF38" s="53" t="n"/>
      <c r="AG38" s="53" t="n"/>
      <c r="AH38" s="53" t="n"/>
      <c r="AI38" s="53" t="n"/>
      <c r="AJ38" s="53" t="n"/>
      <c r="AK38" s="53" t="n"/>
      <c r="AL38" s="53" t="n"/>
      <c r="AM38" s="53" t="n"/>
      <c r="AN38" s="53" t="n"/>
      <c r="AO38" s="53" t="n"/>
      <c r="AP38" s="53" t="n"/>
      <c r="AQ38" s="53" t="n"/>
      <c r="AR38" s="53" t="n"/>
      <c r="AS38" s="53" t="n"/>
      <c r="AT38" s="53" t="n"/>
      <c r="AU38" s="53" t="n"/>
      <c r="AV38" s="53" t="n"/>
      <c r="AW38" s="53" t="n"/>
      <c r="AX38" s="53" t="n"/>
      <c r="AY38" s="53" t="n"/>
    </row>
    <row r="39" ht="15" customHeight="1">
      <c r="A39" s="40">
        <f>IF($D$39="","",11)</f>
        <v/>
      </c>
      <c r="B39" s="10" t="n"/>
      <c r="C39" s="41" t="inlineStr">
        <is>
          <t>마케팅1팀</t>
        </is>
      </c>
      <c r="D39" s="42" t="n"/>
      <c r="E39" s="43" t="inlineStr">
        <is>
          <t>기획</t>
        </is>
      </c>
      <c r="F39" s="44" t="n"/>
      <c r="G39" s="45" t="n"/>
      <c r="H39" s="46">
        <f>IF($I$39="","",IF($I$39&lt;0,"🔴지연",IF($I$39&lt;=1,"🟡임박","🟢여유")))</f>
        <v/>
      </c>
      <c r="I39" s="47">
        <f>IF(OR($G$39="",$K$39=""),"",$G$39-$K$39)</f>
        <v/>
      </c>
      <c r="J39" s="48">
        <f>IF(SUM($L$39:$L$41)=0,"",SUM($L$39:$L$41))</f>
        <v/>
      </c>
      <c r="K39" s="49">
        <f>IF($J$39="","",MAX($N$39:$N$41))</f>
        <v/>
      </c>
      <c r="L39" s="50">
        <f>IF(SUM(U39:AY39)=0,"",SUM(U39:AY39))</f>
        <v/>
      </c>
      <c r="M39" s="51">
        <f>IFERROR(INDEX(U$2:AY$2,MATCH(TRUE,INDEX(U39:AY39&lt;&gt;"",0),0)),"")</f>
        <v/>
      </c>
      <c r="N39" s="51">
        <f>IFERROR(LOOKUP(2,1/(U39:AY39&lt;&gt;""),U$2:AY$2),"")</f>
        <v/>
      </c>
      <c r="O39" s="52" t="n"/>
      <c r="P39" s="52" t="n"/>
      <c r="Q39" s="52" t="n"/>
      <c r="R39" s="44" t="n"/>
      <c r="S39" s="14" t="n"/>
      <c r="U39" s="53" t="n"/>
      <c r="V39" s="53" t="n"/>
      <c r="W39" s="53" t="n"/>
      <c r="X39" s="53" t="n"/>
      <c r="Y39" s="53" t="n"/>
      <c r="Z39" s="53" t="n"/>
      <c r="AA39" s="53" t="n"/>
      <c r="AB39" s="53" t="n"/>
      <c r="AC39" s="53" t="n"/>
      <c r="AD39" s="53" t="n"/>
      <c r="AE39" s="53" t="n"/>
      <c r="AF39" s="53" t="n"/>
      <c r="AG39" s="53" t="n"/>
      <c r="AH39" s="53" t="n"/>
      <c r="AI39" s="53" t="n"/>
      <c r="AJ39" s="53" t="n"/>
      <c r="AK39" s="53" t="n"/>
      <c r="AL39" s="53" t="n"/>
      <c r="AM39" s="53" t="n"/>
      <c r="AN39" s="53" t="n"/>
      <c r="AO39" s="53" t="n"/>
      <c r="AP39" s="53" t="n"/>
      <c r="AQ39" s="53" t="n"/>
      <c r="AR39" s="53" t="n"/>
      <c r="AS39" s="53" t="n"/>
      <c r="AT39" s="53" t="n"/>
      <c r="AU39" s="53" t="n"/>
      <c r="AV39" s="53" t="n"/>
      <c r="AW39" s="53" t="n"/>
      <c r="AX39" s="53" t="n"/>
      <c r="AY39" s="53" t="n"/>
    </row>
    <row r="40" ht="15" customHeight="1">
      <c r="A40" s="54" t="n"/>
      <c r="B40" s="55">
        <f>IF($B$39="","",$B$39)</f>
        <v/>
      </c>
      <c r="C40" s="56" t="inlineStr">
        <is>
          <t>마케팅1팀</t>
        </is>
      </c>
      <c r="D40" s="55">
        <f>IF($D$39="","",$D$39)</f>
        <v/>
      </c>
      <c r="E40" s="57" t="inlineStr">
        <is>
          <t>이미지</t>
        </is>
      </c>
      <c r="F40" s="44" t="n"/>
      <c r="G40" s="58">
        <f>IF($G$39="","",$G$39)</f>
        <v/>
      </c>
      <c r="H40" s="59" t="n"/>
      <c r="I40" s="59" t="n"/>
      <c r="J40" s="59" t="n"/>
      <c r="K40" s="59" t="n"/>
      <c r="L40" s="60">
        <f>IF(SUM(U40:AY40)=0,"",SUM(U40:AY40))</f>
        <v/>
      </c>
      <c r="M40" s="61">
        <f>IFERROR(INDEX(U$2:AY$2,MATCH(TRUE,INDEX(U40:AY40&lt;&gt;"",0),0)),"")</f>
        <v/>
      </c>
      <c r="N40" s="61">
        <f>IFERROR(LOOKUP(2,1/(U40:AY40&lt;&gt;""),U$2:AY$2),"")</f>
        <v/>
      </c>
      <c r="O40" s="59" t="n"/>
      <c r="P40" s="59" t="n"/>
      <c r="Q40" s="59" t="n"/>
      <c r="R40" s="59" t="n"/>
      <c r="S40" s="14" t="n"/>
      <c r="U40" s="53" t="n"/>
      <c r="V40" s="53" t="n"/>
      <c r="W40" s="53" t="n"/>
      <c r="X40" s="53" t="n"/>
      <c r="Y40" s="53" t="n"/>
      <c r="Z40" s="53" t="n"/>
      <c r="AA40" s="53" t="n"/>
      <c r="AB40" s="53" t="n"/>
      <c r="AC40" s="53" t="n"/>
      <c r="AD40" s="53" t="n"/>
      <c r="AE40" s="53" t="n"/>
      <c r="AF40" s="53" t="n"/>
      <c r="AG40" s="53" t="n"/>
      <c r="AH40" s="53" t="n"/>
      <c r="AI40" s="53" t="n"/>
      <c r="AJ40" s="53" t="n"/>
      <c r="AK40" s="53" t="n"/>
      <c r="AL40" s="53" t="n"/>
      <c r="AM40" s="53" t="n"/>
      <c r="AN40" s="53" t="n"/>
      <c r="AO40" s="53" t="n"/>
      <c r="AP40" s="53" t="n"/>
      <c r="AQ40" s="53" t="n"/>
      <c r="AR40" s="53" t="n"/>
      <c r="AS40" s="53" t="n"/>
      <c r="AT40" s="53" t="n"/>
      <c r="AU40" s="53" t="n"/>
      <c r="AV40" s="53" t="n"/>
      <c r="AW40" s="53" t="n"/>
      <c r="AX40" s="53" t="n"/>
      <c r="AY40" s="53" t="n"/>
    </row>
    <row r="41" ht="15" customHeight="1">
      <c r="A41" s="62" t="n"/>
      <c r="B41" s="55">
        <f>IF($B$39="","",$B$39)</f>
        <v/>
      </c>
      <c r="C41" s="63" t="inlineStr">
        <is>
          <t>마케팅1팀</t>
        </is>
      </c>
      <c r="D41" s="55">
        <f>IF($D$39="","",$D$39)</f>
        <v/>
      </c>
      <c r="E41" s="64" t="inlineStr">
        <is>
          <t>영상</t>
        </is>
      </c>
      <c r="F41" s="44" t="n"/>
      <c r="G41" s="58">
        <f>IF($G$39="","",$G$39)</f>
        <v/>
      </c>
      <c r="H41" s="59" t="n"/>
      <c r="I41" s="59" t="n"/>
      <c r="J41" s="59" t="n"/>
      <c r="K41" s="59" t="n"/>
      <c r="L41" s="65">
        <f>IF(SUM(U41:AY41)=0,"",SUM(U41:AY41))</f>
        <v/>
      </c>
      <c r="M41" s="66">
        <f>IFERROR(INDEX(U$2:AY$2,MATCH(TRUE,INDEX(U41:AY41&lt;&gt;"",0),0)),"")</f>
        <v/>
      </c>
      <c r="N41" s="66">
        <f>IFERROR(LOOKUP(2,1/(U41:AY41&lt;&gt;""),U$2:AY$2),"")</f>
        <v/>
      </c>
      <c r="O41" s="59" t="n"/>
      <c r="P41" s="59" t="n"/>
      <c r="Q41" s="59" t="n"/>
      <c r="R41" s="59" t="n"/>
      <c r="S41" s="14" t="n"/>
      <c r="U41" s="53" t="n"/>
      <c r="V41" s="53" t="n"/>
      <c r="W41" s="53" t="n"/>
      <c r="X41" s="53" t="n"/>
      <c r="Y41" s="53" t="n"/>
      <c r="Z41" s="53" t="n"/>
      <c r="AA41" s="53" t="n"/>
      <c r="AB41" s="53" t="n"/>
      <c r="AC41" s="53" t="n"/>
      <c r="AD41" s="53" t="n"/>
      <c r="AE41" s="53" t="n"/>
      <c r="AF41" s="53" t="n"/>
      <c r="AG41" s="53" t="n"/>
      <c r="AH41" s="53" t="n"/>
      <c r="AI41" s="53" t="n"/>
      <c r="AJ41" s="53" t="n"/>
      <c r="AK41" s="53" t="n"/>
      <c r="AL41" s="53" t="n"/>
      <c r="AM41" s="53" t="n"/>
      <c r="AN41" s="53" t="n"/>
      <c r="AO41" s="53" t="n"/>
      <c r="AP41" s="53" t="n"/>
      <c r="AQ41" s="53" t="n"/>
      <c r="AR41" s="53" t="n"/>
      <c r="AS41" s="53" t="n"/>
      <c r="AT41" s="53" t="n"/>
      <c r="AU41" s="53" t="n"/>
      <c r="AV41" s="53" t="n"/>
      <c r="AW41" s="53" t="n"/>
      <c r="AX41" s="53" t="n"/>
      <c r="AY41" s="53" t="n"/>
    </row>
    <row r="42" ht="15" customHeight="1">
      <c r="A42" s="40">
        <f>IF($D$42="","",12)</f>
        <v/>
      </c>
      <c r="B42" s="10" t="n"/>
      <c r="C42" s="41" t="inlineStr">
        <is>
          <t>마케팅1팀</t>
        </is>
      </c>
      <c r="D42" s="42" t="n"/>
      <c r="E42" s="43" t="inlineStr">
        <is>
          <t>기획</t>
        </is>
      </c>
      <c r="F42" s="44" t="n"/>
      <c r="G42" s="45" t="n"/>
      <c r="H42" s="46">
        <f>IF($I$42="","",IF($I$42&lt;0,"🔴지연",IF($I$42&lt;=1,"🟡임박","🟢여유")))</f>
        <v/>
      </c>
      <c r="I42" s="47">
        <f>IF(OR($G$42="",$K$42=""),"",$G$42-$K$42)</f>
        <v/>
      </c>
      <c r="J42" s="48">
        <f>IF(SUM($L$42:$L$44)=0,"",SUM($L$42:$L$44))</f>
        <v/>
      </c>
      <c r="K42" s="49">
        <f>IF($J$42="","",MAX($N$42:$N$44))</f>
        <v/>
      </c>
      <c r="L42" s="50">
        <f>IF(SUM(U42:AY42)=0,"",SUM(U42:AY42))</f>
        <v/>
      </c>
      <c r="M42" s="51">
        <f>IFERROR(INDEX(U$2:AY$2,MATCH(TRUE,INDEX(U42:AY42&lt;&gt;"",0),0)),"")</f>
        <v/>
      </c>
      <c r="N42" s="51">
        <f>IFERROR(LOOKUP(2,1/(U42:AY42&lt;&gt;""),U$2:AY$2),"")</f>
        <v/>
      </c>
      <c r="O42" s="52" t="n"/>
      <c r="P42" s="52" t="n"/>
      <c r="Q42" s="52" t="n"/>
      <c r="R42" s="44" t="n"/>
      <c r="S42" s="14" t="n"/>
      <c r="U42" s="53" t="n"/>
      <c r="V42" s="53" t="n"/>
      <c r="W42" s="53" t="n"/>
      <c r="X42" s="53" t="n"/>
      <c r="Y42" s="53" t="n"/>
      <c r="Z42" s="53" t="n"/>
      <c r="AA42" s="53" t="n"/>
      <c r="AB42" s="53" t="n"/>
      <c r="AC42" s="53" t="n"/>
      <c r="AD42" s="53" t="n"/>
      <c r="AE42" s="53" t="n"/>
      <c r="AF42" s="53" t="n"/>
      <c r="AG42" s="53" t="n"/>
      <c r="AH42" s="53" t="n"/>
      <c r="AI42" s="53" t="n"/>
      <c r="AJ42" s="53" t="n"/>
      <c r="AK42" s="53" t="n"/>
      <c r="AL42" s="53" t="n"/>
      <c r="AM42" s="53" t="n"/>
      <c r="AN42" s="53" t="n"/>
      <c r="AO42" s="53" t="n"/>
      <c r="AP42" s="53" t="n"/>
      <c r="AQ42" s="53" t="n"/>
      <c r="AR42" s="53" t="n"/>
      <c r="AS42" s="53" t="n"/>
      <c r="AT42" s="53" t="n"/>
      <c r="AU42" s="53" t="n"/>
      <c r="AV42" s="53" t="n"/>
      <c r="AW42" s="53" t="n"/>
      <c r="AX42" s="53" t="n"/>
      <c r="AY42" s="53" t="n"/>
    </row>
    <row r="43" ht="15" customHeight="1">
      <c r="A43" s="54" t="n"/>
      <c r="B43" s="55">
        <f>IF($B$42="","",$B$42)</f>
        <v/>
      </c>
      <c r="C43" s="56" t="inlineStr">
        <is>
          <t>마케팅1팀</t>
        </is>
      </c>
      <c r="D43" s="55">
        <f>IF($D$42="","",$D$42)</f>
        <v/>
      </c>
      <c r="E43" s="57" t="inlineStr">
        <is>
          <t>이미지</t>
        </is>
      </c>
      <c r="F43" s="44" t="n"/>
      <c r="G43" s="58">
        <f>IF($G$42="","",$G$42)</f>
        <v/>
      </c>
      <c r="H43" s="59" t="n"/>
      <c r="I43" s="59" t="n"/>
      <c r="J43" s="59" t="n"/>
      <c r="K43" s="59" t="n"/>
      <c r="L43" s="60">
        <f>IF(SUM(U43:AY43)=0,"",SUM(U43:AY43))</f>
        <v/>
      </c>
      <c r="M43" s="61">
        <f>IFERROR(INDEX(U$2:AY$2,MATCH(TRUE,INDEX(U43:AY43&lt;&gt;"",0),0)),"")</f>
        <v/>
      </c>
      <c r="N43" s="61">
        <f>IFERROR(LOOKUP(2,1/(U43:AY43&lt;&gt;""),U$2:AY$2),"")</f>
        <v/>
      </c>
      <c r="O43" s="59" t="n"/>
      <c r="P43" s="59" t="n"/>
      <c r="Q43" s="59" t="n"/>
      <c r="R43" s="59" t="n"/>
      <c r="S43" s="14" t="n"/>
      <c r="U43" s="53" t="n"/>
      <c r="V43" s="53" t="n"/>
      <c r="W43" s="53" t="n"/>
      <c r="X43" s="53" t="n"/>
      <c r="Y43" s="53" t="n"/>
      <c r="Z43" s="53" t="n"/>
      <c r="AA43" s="53" t="n"/>
      <c r="AB43" s="53" t="n"/>
      <c r="AC43" s="53" t="n"/>
      <c r="AD43" s="53" t="n"/>
      <c r="AE43" s="53" t="n"/>
      <c r="AF43" s="53" t="n"/>
      <c r="AG43" s="53" t="n"/>
      <c r="AH43" s="53" t="n"/>
      <c r="AI43" s="53" t="n"/>
      <c r="AJ43" s="53" t="n"/>
      <c r="AK43" s="53" t="n"/>
      <c r="AL43" s="53" t="n"/>
      <c r="AM43" s="53" t="n"/>
      <c r="AN43" s="53" t="n"/>
      <c r="AO43" s="53" t="n"/>
      <c r="AP43" s="53" t="n"/>
      <c r="AQ43" s="53" t="n"/>
      <c r="AR43" s="53" t="n"/>
      <c r="AS43" s="53" t="n"/>
      <c r="AT43" s="53" t="n"/>
      <c r="AU43" s="53" t="n"/>
      <c r="AV43" s="53" t="n"/>
      <c r="AW43" s="53" t="n"/>
      <c r="AX43" s="53" t="n"/>
      <c r="AY43" s="53" t="n"/>
    </row>
    <row r="44" ht="15" customHeight="1">
      <c r="A44" s="62" t="n"/>
      <c r="B44" s="55">
        <f>IF($B$42="","",$B$42)</f>
        <v/>
      </c>
      <c r="C44" s="63" t="inlineStr">
        <is>
          <t>마케팅1팀</t>
        </is>
      </c>
      <c r="D44" s="55">
        <f>IF($D$42="","",$D$42)</f>
        <v/>
      </c>
      <c r="E44" s="64" t="inlineStr">
        <is>
          <t>영상</t>
        </is>
      </c>
      <c r="F44" s="44" t="n"/>
      <c r="G44" s="58">
        <f>IF($G$42="","",$G$42)</f>
        <v/>
      </c>
      <c r="H44" s="59" t="n"/>
      <c r="I44" s="59" t="n"/>
      <c r="J44" s="59" t="n"/>
      <c r="K44" s="59" t="n"/>
      <c r="L44" s="65">
        <f>IF(SUM(U44:AY44)=0,"",SUM(U44:AY44))</f>
        <v/>
      </c>
      <c r="M44" s="66">
        <f>IFERROR(INDEX(U$2:AY$2,MATCH(TRUE,INDEX(U44:AY44&lt;&gt;"",0),0)),"")</f>
        <v/>
      </c>
      <c r="N44" s="66">
        <f>IFERROR(LOOKUP(2,1/(U44:AY44&lt;&gt;""),U$2:AY$2),"")</f>
        <v/>
      </c>
      <c r="O44" s="59" t="n"/>
      <c r="P44" s="59" t="n"/>
      <c r="Q44" s="59" t="n"/>
      <c r="R44" s="59" t="n"/>
      <c r="S44" s="14" t="n"/>
      <c r="U44" s="53" t="n"/>
      <c r="V44" s="53" t="n"/>
      <c r="W44" s="53" t="n"/>
      <c r="X44" s="53" t="n"/>
      <c r="Y44" s="53" t="n"/>
      <c r="Z44" s="53" t="n"/>
      <c r="AA44" s="53" t="n"/>
      <c r="AB44" s="53" t="n"/>
      <c r="AC44" s="53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53" t="n"/>
      <c r="AN44" s="53" t="n"/>
      <c r="AO44" s="53" t="n"/>
      <c r="AP44" s="53" t="n"/>
      <c r="AQ44" s="53" t="n"/>
      <c r="AR44" s="53" t="n"/>
      <c r="AS44" s="53" t="n"/>
      <c r="AT44" s="53" t="n"/>
      <c r="AU44" s="53" t="n"/>
      <c r="AV44" s="53" t="n"/>
      <c r="AW44" s="53" t="n"/>
      <c r="AX44" s="53" t="n"/>
      <c r="AY44" s="53" t="n"/>
    </row>
    <row r="45" ht="15" customHeight="1">
      <c r="A45" s="40">
        <f>IF($D$45="","",13)</f>
        <v/>
      </c>
      <c r="B45" s="10" t="n"/>
      <c r="C45" s="41" t="inlineStr">
        <is>
          <t>마케팅1팀</t>
        </is>
      </c>
      <c r="D45" s="42" t="n"/>
      <c r="E45" s="43" t="inlineStr">
        <is>
          <t>기획</t>
        </is>
      </c>
      <c r="F45" s="44" t="n"/>
      <c r="G45" s="45" t="n"/>
      <c r="H45" s="46">
        <f>IF($I$45="","",IF($I$45&lt;0,"🔴지연",IF($I$45&lt;=1,"🟡임박","🟢여유")))</f>
        <v/>
      </c>
      <c r="I45" s="47">
        <f>IF(OR($G$45="",$K$45=""),"",$G$45-$K$45)</f>
        <v/>
      </c>
      <c r="J45" s="48">
        <f>IF(SUM($L$45:$L$47)=0,"",SUM($L$45:$L$47))</f>
        <v/>
      </c>
      <c r="K45" s="49">
        <f>IF($J$45="","",MAX($N$45:$N$47))</f>
        <v/>
      </c>
      <c r="L45" s="50">
        <f>IF(SUM(U45:AY45)=0,"",SUM(U45:AY45))</f>
        <v/>
      </c>
      <c r="M45" s="51">
        <f>IFERROR(INDEX(U$2:AY$2,MATCH(TRUE,INDEX(U45:AY45&lt;&gt;"",0),0)),"")</f>
        <v/>
      </c>
      <c r="N45" s="51">
        <f>IFERROR(LOOKUP(2,1/(U45:AY45&lt;&gt;""),U$2:AY$2),"")</f>
        <v/>
      </c>
      <c r="O45" s="52" t="n"/>
      <c r="P45" s="52" t="n"/>
      <c r="Q45" s="52" t="n"/>
      <c r="R45" s="44" t="n"/>
      <c r="S45" s="14" t="n"/>
      <c r="U45" s="53" t="n"/>
      <c r="V45" s="53" t="n"/>
      <c r="W45" s="53" t="n"/>
      <c r="X45" s="53" t="n"/>
      <c r="Y45" s="53" t="n"/>
      <c r="Z45" s="53" t="n"/>
      <c r="AA45" s="53" t="n"/>
      <c r="AB45" s="53" t="n"/>
      <c r="AC45" s="53" t="n"/>
      <c r="AD45" s="53" t="n"/>
      <c r="AE45" s="53" t="n"/>
      <c r="AF45" s="53" t="n"/>
      <c r="AG45" s="53" t="n"/>
      <c r="AH45" s="53" t="n"/>
      <c r="AI45" s="53" t="n"/>
      <c r="AJ45" s="53" t="n"/>
      <c r="AK45" s="53" t="n"/>
      <c r="AL45" s="53" t="n"/>
      <c r="AM45" s="53" t="n"/>
      <c r="AN45" s="53" t="n"/>
      <c r="AO45" s="53" t="n"/>
      <c r="AP45" s="53" t="n"/>
      <c r="AQ45" s="53" t="n"/>
      <c r="AR45" s="53" t="n"/>
      <c r="AS45" s="53" t="n"/>
      <c r="AT45" s="53" t="n"/>
      <c r="AU45" s="53" t="n"/>
      <c r="AV45" s="53" t="n"/>
      <c r="AW45" s="53" t="n"/>
      <c r="AX45" s="53" t="n"/>
      <c r="AY45" s="53" t="n"/>
    </row>
    <row r="46" ht="15" customHeight="1">
      <c r="A46" s="54" t="n"/>
      <c r="B46" s="55">
        <f>IF($B$45="","",$B$45)</f>
        <v/>
      </c>
      <c r="C46" s="56" t="inlineStr">
        <is>
          <t>마케팅1팀</t>
        </is>
      </c>
      <c r="D46" s="55">
        <f>IF($D$45="","",$D$45)</f>
        <v/>
      </c>
      <c r="E46" s="57" t="inlineStr">
        <is>
          <t>이미지</t>
        </is>
      </c>
      <c r="F46" s="44" t="n"/>
      <c r="G46" s="58">
        <f>IF($G$45="","",$G$45)</f>
        <v/>
      </c>
      <c r="H46" s="59" t="n"/>
      <c r="I46" s="59" t="n"/>
      <c r="J46" s="59" t="n"/>
      <c r="K46" s="59" t="n"/>
      <c r="L46" s="60">
        <f>IF(SUM(U46:AY46)=0,"",SUM(U46:AY46))</f>
        <v/>
      </c>
      <c r="M46" s="61">
        <f>IFERROR(INDEX(U$2:AY$2,MATCH(TRUE,INDEX(U46:AY46&lt;&gt;"",0),0)),"")</f>
        <v/>
      </c>
      <c r="N46" s="61">
        <f>IFERROR(LOOKUP(2,1/(U46:AY46&lt;&gt;""),U$2:AY$2),"")</f>
        <v/>
      </c>
      <c r="O46" s="59" t="n"/>
      <c r="P46" s="59" t="n"/>
      <c r="Q46" s="59" t="n"/>
      <c r="R46" s="59" t="n"/>
      <c r="S46" s="14" t="n"/>
      <c r="U46" s="53" t="n"/>
      <c r="V46" s="53" t="n"/>
      <c r="W46" s="53" t="n"/>
      <c r="X46" s="53" t="n"/>
      <c r="Y46" s="53" t="n"/>
      <c r="Z46" s="53" t="n"/>
      <c r="AA46" s="53" t="n"/>
      <c r="AB46" s="53" t="n"/>
      <c r="AC46" s="53" t="n"/>
      <c r="AD46" s="53" t="n"/>
      <c r="AE46" s="53" t="n"/>
      <c r="AF46" s="53" t="n"/>
      <c r="AG46" s="53" t="n"/>
      <c r="AH46" s="53" t="n"/>
      <c r="AI46" s="53" t="n"/>
      <c r="AJ46" s="53" t="n"/>
      <c r="AK46" s="53" t="n"/>
      <c r="AL46" s="53" t="n"/>
      <c r="AM46" s="53" t="n"/>
      <c r="AN46" s="53" t="n"/>
      <c r="AO46" s="53" t="n"/>
      <c r="AP46" s="53" t="n"/>
      <c r="AQ46" s="53" t="n"/>
      <c r="AR46" s="53" t="n"/>
      <c r="AS46" s="53" t="n"/>
      <c r="AT46" s="53" t="n"/>
      <c r="AU46" s="53" t="n"/>
      <c r="AV46" s="53" t="n"/>
      <c r="AW46" s="53" t="n"/>
      <c r="AX46" s="53" t="n"/>
      <c r="AY46" s="53" t="n"/>
    </row>
    <row r="47" ht="15" customHeight="1">
      <c r="A47" s="62" t="n"/>
      <c r="B47" s="55">
        <f>IF($B$45="","",$B$45)</f>
        <v/>
      </c>
      <c r="C47" s="63" t="inlineStr">
        <is>
          <t>마케팅1팀</t>
        </is>
      </c>
      <c r="D47" s="55">
        <f>IF($D$45="","",$D$45)</f>
        <v/>
      </c>
      <c r="E47" s="64" t="inlineStr">
        <is>
          <t>영상</t>
        </is>
      </c>
      <c r="F47" s="44" t="n"/>
      <c r="G47" s="58">
        <f>IF($G$45="","",$G$45)</f>
        <v/>
      </c>
      <c r="H47" s="59" t="n"/>
      <c r="I47" s="59" t="n"/>
      <c r="J47" s="59" t="n"/>
      <c r="K47" s="59" t="n"/>
      <c r="L47" s="65">
        <f>IF(SUM(U47:AY47)=0,"",SUM(U47:AY47))</f>
        <v/>
      </c>
      <c r="M47" s="66">
        <f>IFERROR(INDEX(U$2:AY$2,MATCH(TRUE,INDEX(U47:AY47&lt;&gt;"",0),0)),"")</f>
        <v/>
      </c>
      <c r="N47" s="66">
        <f>IFERROR(LOOKUP(2,1/(U47:AY47&lt;&gt;""),U$2:AY$2),"")</f>
        <v/>
      </c>
      <c r="O47" s="59" t="n"/>
      <c r="P47" s="59" t="n"/>
      <c r="Q47" s="59" t="n"/>
      <c r="R47" s="59" t="n"/>
      <c r="S47" s="14" t="n"/>
      <c r="U47" s="53" t="n"/>
      <c r="V47" s="53" t="n"/>
      <c r="W47" s="53" t="n"/>
      <c r="X47" s="53" t="n"/>
      <c r="Y47" s="53" t="n"/>
      <c r="Z47" s="53" t="n"/>
      <c r="AA47" s="53" t="n"/>
      <c r="AB47" s="53" t="n"/>
      <c r="AC47" s="53" t="n"/>
      <c r="AD47" s="53" t="n"/>
      <c r="AE47" s="53" t="n"/>
      <c r="AF47" s="53" t="n"/>
      <c r="AG47" s="53" t="n"/>
      <c r="AH47" s="53" t="n"/>
      <c r="AI47" s="53" t="n"/>
      <c r="AJ47" s="53" t="n"/>
      <c r="AK47" s="53" t="n"/>
      <c r="AL47" s="53" t="n"/>
      <c r="AM47" s="53" t="n"/>
      <c r="AN47" s="53" t="n"/>
      <c r="AO47" s="53" t="n"/>
      <c r="AP47" s="53" t="n"/>
      <c r="AQ47" s="53" t="n"/>
      <c r="AR47" s="53" t="n"/>
      <c r="AS47" s="53" t="n"/>
      <c r="AT47" s="53" t="n"/>
      <c r="AU47" s="53" t="n"/>
      <c r="AV47" s="53" t="n"/>
      <c r="AW47" s="53" t="n"/>
      <c r="AX47" s="53" t="n"/>
      <c r="AY47" s="53" t="n"/>
    </row>
    <row r="48" ht="15" customHeight="1">
      <c r="A48" s="40">
        <f>IF($D$48="","",14)</f>
        <v/>
      </c>
      <c r="B48" s="10" t="n"/>
      <c r="C48" s="41" t="inlineStr">
        <is>
          <t>마케팅1팀</t>
        </is>
      </c>
      <c r="D48" s="42" t="n"/>
      <c r="E48" s="43" t="inlineStr">
        <is>
          <t>기획</t>
        </is>
      </c>
      <c r="F48" s="44" t="n"/>
      <c r="G48" s="45" t="n"/>
      <c r="H48" s="46">
        <f>IF($I$48="","",IF($I$48&lt;0,"🔴지연",IF($I$48&lt;=1,"🟡임박","🟢여유")))</f>
        <v/>
      </c>
      <c r="I48" s="47">
        <f>IF(OR($G$48="",$K$48=""),"",$G$48-$K$48)</f>
        <v/>
      </c>
      <c r="J48" s="48">
        <f>IF(SUM($L$48:$L$50)=0,"",SUM($L$48:$L$50))</f>
        <v/>
      </c>
      <c r="K48" s="49">
        <f>IF($J$48="","",MAX($N$48:$N$50))</f>
        <v/>
      </c>
      <c r="L48" s="50">
        <f>IF(SUM(U48:AY48)=0,"",SUM(U48:AY48))</f>
        <v/>
      </c>
      <c r="M48" s="51">
        <f>IFERROR(INDEX(U$2:AY$2,MATCH(TRUE,INDEX(U48:AY48&lt;&gt;"",0),0)),"")</f>
        <v/>
      </c>
      <c r="N48" s="51">
        <f>IFERROR(LOOKUP(2,1/(U48:AY48&lt;&gt;""),U$2:AY$2),"")</f>
        <v/>
      </c>
      <c r="O48" s="52" t="n"/>
      <c r="P48" s="52" t="n"/>
      <c r="Q48" s="52" t="n"/>
      <c r="R48" s="44" t="n"/>
      <c r="S48" s="14" t="n"/>
      <c r="U48" s="53" t="n"/>
      <c r="V48" s="53" t="n"/>
      <c r="W48" s="53" t="n"/>
      <c r="X48" s="53" t="n"/>
      <c r="Y48" s="53" t="n"/>
      <c r="Z48" s="53" t="n"/>
      <c r="AA48" s="53" t="n"/>
      <c r="AB48" s="53" t="n"/>
      <c r="AC48" s="53" t="n"/>
      <c r="AD48" s="53" t="n"/>
      <c r="AE48" s="53" t="n"/>
      <c r="AF48" s="53" t="n"/>
      <c r="AG48" s="53" t="n"/>
      <c r="AH48" s="53" t="n"/>
      <c r="AI48" s="53" t="n"/>
      <c r="AJ48" s="53" t="n"/>
      <c r="AK48" s="53" t="n"/>
      <c r="AL48" s="53" t="n"/>
      <c r="AM48" s="53" t="n"/>
      <c r="AN48" s="53" t="n"/>
      <c r="AO48" s="53" t="n"/>
      <c r="AP48" s="53" t="n"/>
      <c r="AQ48" s="53" t="n"/>
      <c r="AR48" s="53" t="n"/>
      <c r="AS48" s="53" t="n"/>
      <c r="AT48" s="53" t="n"/>
      <c r="AU48" s="53" t="n"/>
      <c r="AV48" s="53" t="n"/>
      <c r="AW48" s="53" t="n"/>
      <c r="AX48" s="53" t="n"/>
      <c r="AY48" s="53" t="n"/>
    </row>
    <row r="49" ht="15" customHeight="1">
      <c r="A49" s="54" t="n"/>
      <c r="B49" s="55">
        <f>IF($B$48="","",$B$48)</f>
        <v/>
      </c>
      <c r="C49" s="56" t="inlineStr">
        <is>
          <t>마케팅1팀</t>
        </is>
      </c>
      <c r="D49" s="55">
        <f>IF($D$48="","",$D$48)</f>
        <v/>
      </c>
      <c r="E49" s="57" t="inlineStr">
        <is>
          <t>이미지</t>
        </is>
      </c>
      <c r="F49" s="44" t="n"/>
      <c r="G49" s="58">
        <f>IF($G$48="","",$G$48)</f>
        <v/>
      </c>
      <c r="H49" s="59" t="n"/>
      <c r="I49" s="59" t="n"/>
      <c r="J49" s="59" t="n"/>
      <c r="K49" s="59" t="n"/>
      <c r="L49" s="60">
        <f>IF(SUM(U49:AY49)=0,"",SUM(U49:AY49))</f>
        <v/>
      </c>
      <c r="M49" s="61">
        <f>IFERROR(INDEX(U$2:AY$2,MATCH(TRUE,INDEX(U49:AY49&lt;&gt;"",0),0)),"")</f>
        <v/>
      </c>
      <c r="N49" s="61">
        <f>IFERROR(LOOKUP(2,1/(U49:AY49&lt;&gt;""),U$2:AY$2),"")</f>
        <v/>
      </c>
      <c r="O49" s="59" t="n"/>
      <c r="P49" s="59" t="n"/>
      <c r="Q49" s="59" t="n"/>
      <c r="R49" s="59" t="n"/>
      <c r="S49" s="14" t="n"/>
      <c r="U49" s="53" t="n"/>
      <c r="V49" s="53" t="n"/>
      <c r="W49" s="53" t="n"/>
      <c r="X49" s="53" t="n"/>
      <c r="Y49" s="53" t="n"/>
      <c r="Z49" s="53" t="n"/>
      <c r="AA49" s="53" t="n"/>
      <c r="AB49" s="53" t="n"/>
      <c r="AC49" s="53" t="n"/>
      <c r="AD49" s="53" t="n"/>
      <c r="AE49" s="53" t="n"/>
      <c r="AF49" s="53" t="n"/>
      <c r="AG49" s="53" t="n"/>
      <c r="AH49" s="53" t="n"/>
      <c r="AI49" s="53" t="n"/>
      <c r="AJ49" s="53" t="n"/>
      <c r="AK49" s="53" t="n"/>
      <c r="AL49" s="53" t="n"/>
      <c r="AM49" s="53" t="n"/>
      <c r="AN49" s="53" t="n"/>
      <c r="AO49" s="53" t="n"/>
      <c r="AP49" s="53" t="n"/>
      <c r="AQ49" s="53" t="n"/>
      <c r="AR49" s="53" t="n"/>
      <c r="AS49" s="53" t="n"/>
      <c r="AT49" s="53" t="n"/>
      <c r="AU49" s="53" t="n"/>
      <c r="AV49" s="53" t="n"/>
      <c r="AW49" s="53" t="n"/>
      <c r="AX49" s="53" t="n"/>
      <c r="AY49" s="53" t="n"/>
    </row>
    <row r="50" ht="15" customHeight="1">
      <c r="A50" s="62" t="n"/>
      <c r="B50" s="55">
        <f>IF($B$48="","",$B$48)</f>
        <v/>
      </c>
      <c r="C50" s="63" t="inlineStr">
        <is>
          <t>마케팅1팀</t>
        </is>
      </c>
      <c r="D50" s="55">
        <f>IF($D$48="","",$D$48)</f>
        <v/>
      </c>
      <c r="E50" s="64" t="inlineStr">
        <is>
          <t>영상</t>
        </is>
      </c>
      <c r="F50" s="44" t="n"/>
      <c r="G50" s="58">
        <f>IF($G$48="","",$G$48)</f>
        <v/>
      </c>
      <c r="H50" s="59" t="n"/>
      <c r="I50" s="59" t="n"/>
      <c r="J50" s="59" t="n"/>
      <c r="K50" s="59" t="n"/>
      <c r="L50" s="65">
        <f>IF(SUM(U50:AY50)=0,"",SUM(U50:AY50))</f>
        <v/>
      </c>
      <c r="M50" s="66">
        <f>IFERROR(INDEX(U$2:AY$2,MATCH(TRUE,INDEX(U50:AY50&lt;&gt;"",0),0)),"")</f>
        <v/>
      </c>
      <c r="N50" s="66">
        <f>IFERROR(LOOKUP(2,1/(U50:AY50&lt;&gt;""),U$2:AY$2),"")</f>
        <v/>
      </c>
      <c r="O50" s="59" t="n"/>
      <c r="P50" s="59" t="n"/>
      <c r="Q50" s="59" t="n"/>
      <c r="R50" s="59" t="n"/>
      <c r="S50" s="14" t="n"/>
      <c r="U50" s="53" t="n"/>
      <c r="V50" s="53" t="n"/>
      <c r="W50" s="53" t="n"/>
      <c r="X50" s="53" t="n"/>
      <c r="Y50" s="53" t="n"/>
      <c r="Z50" s="53" t="n"/>
      <c r="AA50" s="53" t="n"/>
      <c r="AB50" s="53" t="n"/>
      <c r="AC50" s="53" t="n"/>
      <c r="AD50" s="53" t="n"/>
      <c r="AE50" s="53" t="n"/>
      <c r="AF50" s="53" t="n"/>
      <c r="AG50" s="53" t="n"/>
      <c r="AH50" s="53" t="n"/>
      <c r="AI50" s="53" t="n"/>
      <c r="AJ50" s="53" t="n"/>
      <c r="AK50" s="53" t="n"/>
      <c r="AL50" s="53" t="n"/>
      <c r="AM50" s="53" t="n"/>
      <c r="AN50" s="53" t="n"/>
      <c r="AO50" s="53" t="n"/>
      <c r="AP50" s="53" t="n"/>
      <c r="AQ50" s="53" t="n"/>
      <c r="AR50" s="53" t="n"/>
      <c r="AS50" s="53" t="n"/>
      <c r="AT50" s="53" t="n"/>
      <c r="AU50" s="53" t="n"/>
      <c r="AV50" s="53" t="n"/>
      <c r="AW50" s="53" t="n"/>
      <c r="AX50" s="53" t="n"/>
      <c r="AY50" s="53" t="n"/>
    </row>
    <row r="51" ht="15" customHeight="1">
      <c r="A51" s="40">
        <f>IF($D$51="","",15)</f>
        <v/>
      </c>
      <c r="B51" s="10" t="n"/>
      <c r="C51" s="41" t="inlineStr">
        <is>
          <t>마케팅1팀</t>
        </is>
      </c>
      <c r="D51" s="42" t="n"/>
      <c r="E51" s="43" t="inlineStr">
        <is>
          <t>기획</t>
        </is>
      </c>
      <c r="F51" s="44" t="n"/>
      <c r="G51" s="45" t="n"/>
      <c r="H51" s="46">
        <f>IF($I$51="","",IF($I$51&lt;0,"🔴지연",IF($I$51&lt;=1,"🟡임박","🟢여유")))</f>
        <v/>
      </c>
      <c r="I51" s="47">
        <f>IF(OR($G$51="",$K$51=""),"",$G$51-$K$51)</f>
        <v/>
      </c>
      <c r="J51" s="48">
        <f>IF(SUM($L$51:$L$53)=0,"",SUM($L$51:$L$53))</f>
        <v/>
      </c>
      <c r="K51" s="49">
        <f>IF($J$51="","",MAX($N$51:$N$53))</f>
        <v/>
      </c>
      <c r="L51" s="50">
        <f>IF(SUM(U51:AY51)=0,"",SUM(U51:AY51))</f>
        <v/>
      </c>
      <c r="M51" s="51">
        <f>IFERROR(INDEX(U$2:AY$2,MATCH(TRUE,INDEX(U51:AY51&lt;&gt;"",0),0)),"")</f>
        <v/>
      </c>
      <c r="N51" s="51">
        <f>IFERROR(LOOKUP(2,1/(U51:AY51&lt;&gt;""),U$2:AY$2),"")</f>
        <v/>
      </c>
      <c r="O51" s="52" t="n"/>
      <c r="P51" s="52" t="n"/>
      <c r="Q51" s="52" t="n"/>
      <c r="R51" s="44" t="n"/>
      <c r="S51" s="14" t="n"/>
      <c r="U51" s="53" t="n"/>
      <c r="V51" s="53" t="n"/>
      <c r="W51" s="53" t="n"/>
      <c r="X51" s="53" t="n"/>
      <c r="Y51" s="53" t="n"/>
      <c r="Z51" s="53" t="n"/>
      <c r="AA51" s="53" t="n"/>
      <c r="AB51" s="53" t="n"/>
      <c r="AC51" s="53" t="n"/>
      <c r="AD51" s="53" t="n"/>
      <c r="AE51" s="53" t="n"/>
      <c r="AF51" s="53" t="n"/>
      <c r="AG51" s="53" t="n"/>
      <c r="AH51" s="53" t="n"/>
      <c r="AI51" s="53" t="n"/>
      <c r="AJ51" s="53" t="n"/>
      <c r="AK51" s="53" t="n"/>
      <c r="AL51" s="53" t="n"/>
      <c r="AM51" s="53" t="n"/>
      <c r="AN51" s="53" t="n"/>
      <c r="AO51" s="53" t="n"/>
      <c r="AP51" s="53" t="n"/>
      <c r="AQ51" s="53" t="n"/>
      <c r="AR51" s="53" t="n"/>
      <c r="AS51" s="53" t="n"/>
      <c r="AT51" s="53" t="n"/>
      <c r="AU51" s="53" t="n"/>
      <c r="AV51" s="53" t="n"/>
      <c r="AW51" s="53" t="n"/>
      <c r="AX51" s="53" t="n"/>
      <c r="AY51" s="53" t="n"/>
    </row>
    <row r="52" ht="15" customHeight="1">
      <c r="A52" s="54" t="n"/>
      <c r="B52" s="55">
        <f>IF($B$51="","",$B$51)</f>
        <v/>
      </c>
      <c r="C52" s="56" t="inlineStr">
        <is>
          <t>마케팅1팀</t>
        </is>
      </c>
      <c r="D52" s="55">
        <f>IF($D$51="","",$D$51)</f>
        <v/>
      </c>
      <c r="E52" s="57" t="inlineStr">
        <is>
          <t>이미지</t>
        </is>
      </c>
      <c r="F52" s="44" t="n"/>
      <c r="G52" s="58">
        <f>IF($G$51="","",$G$51)</f>
        <v/>
      </c>
      <c r="H52" s="59" t="n"/>
      <c r="I52" s="59" t="n"/>
      <c r="J52" s="59" t="n"/>
      <c r="K52" s="59" t="n"/>
      <c r="L52" s="60">
        <f>IF(SUM(U52:AY52)=0,"",SUM(U52:AY52))</f>
        <v/>
      </c>
      <c r="M52" s="61">
        <f>IFERROR(INDEX(U$2:AY$2,MATCH(TRUE,INDEX(U52:AY52&lt;&gt;"",0),0)),"")</f>
        <v/>
      </c>
      <c r="N52" s="61">
        <f>IFERROR(LOOKUP(2,1/(U52:AY52&lt;&gt;""),U$2:AY$2),"")</f>
        <v/>
      </c>
      <c r="O52" s="59" t="n"/>
      <c r="P52" s="59" t="n"/>
      <c r="Q52" s="59" t="n"/>
      <c r="R52" s="59" t="n"/>
      <c r="S52" s="14" t="n"/>
      <c r="U52" s="53" t="n"/>
      <c r="V52" s="53" t="n"/>
      <c r="W52" s="53" t="n"/>
      <c r="X52" s="53" t="n"/>
      <c r="Y52" s="53" t="n"/>
      <c r="Z52" s="53" t="n"/>
      <c r="AA52" s="53" t="n"/>
      <c r="AB52" s="53" t="n"/>
      <c r="AC52" s="53" t="n"/>
      <c r="AD52" s="53" t="n"/>
      <c r="AE52" s="53" t="n"/>
      <c r="AF52" s="53" t="n"/>
      <c r="AG52" s="53" t="n"/>
      <c r="AH52" s="53" t="n"/>
      <c r="AI52" s="53" t="n"/>
      <c r="AJ52" s="53" t="n"/>
      <c r="AK52" s="53" t="n"/>
      <c r="AL52" s="53" t="n"/>
      <c r="AM52" s="53" t="n"/>
      <c r="AN52" s="53" t="n"/>
      <c r="AO52" s="53" t="n"/>
      <c r="AP52" s="53" t="n"/>
      <c r="AQ52" s="53" t="n"/>
      <c r="AR52" s="53" t="n"/>
      <c r="AS52" s="53" t="n"/>
      <c r="AT52" s="53" t="n"/>
      <c r="AU52" s="53" t="n"/>
      <c r="AV52" s="53" t="n"/>
      <c r="AW52" s="53" t="n"/>
      <c r="AX52" s="53" t="n"/>
      <c r="AY52" s="53" t="n"/>
    </row>
    <row r="53" ht="15" customHeight="1">
      <c r="A53" s="62" t="n"/>
      <c r="B53" s="55">
        <f>IF($B$51="","",$B$51)</f>
        <v/>
      </c>
      <c r="C53" s="63" t="inlineStr">
        <is>
          <t>마케팅1팀</t>
        </is>
      </c>
      <c r="D53" s="55">
        <f>IF($D$51="","",$D$51)</f>
        <v/>
      </c>
      <c r="E53" s="64" t="inlineStr">
        <is>
          <t>영상</t>
        </is>
      </c>
      <c r="F53" s="44" t="n"/>
      <c r="G53" s="58">
        <f>IF($G$51="","",$G$51)</f>
        <v/>
      </c>
      <c r="H53" s="59" t="n"/>
      <c r="I53" s="59" t="n"/>
      <c r="J53" s="59" t="n"/>
      <c r="K53" s="59" t="n"/>
      <c r="L53" s="65">
        <f>IF(SUM(U53:AY53)=0,"",SUM(U53:AY53))</f>
        <v/>
      </c>
      <c r="M53" s="66">
        <f>IFERROR(INDEX(U$2:AY$2,MATCH(TRUE,INDEX(U53:AY53&lt;&gt;"",0),0)),"")</f>
        <v/>
      </c>
      <c r="N53" s="66">
        <f>IFERROR(LOOKUP(2,1/(U53:AY53&lt;&gt;""),U$2:AY$2),"")</f>
        <v/>
      </c>
      <c r="O53" s="59" t="n"/>
      <c r="P53" s="59" t="n"/>
      <c r="Q53" s="59" t="n"/>
      <c r="R53" s="59" t="n"/>
      <c r="S53" s="14" t="n"/>
      <c r="U53" s="53" t="n"/>
      <c r="V53" s="53" t="n"/>
      <c r="W53" s="53" t="n"/>
      <c r="X53" s="53" t="n"/>
      <c r="Y53" s="53" t="n"/>
      <c r="Z53" s="53" t="n"/>
      <c r="AA53" s="53" t="n"/>
      <c r="AB53" s="53" t="n"/>
      <c r="AC53" s="53" t="n"/>
      <c r="AD53" s="53" t="n"/>
      <c r="AE53" s="53" t="n"/>
      <c r="AF53" s="53" t="n"/>
      <c r="AG53" s="53" t="n"/>
      <c r="AH53" s="53" t="n"/>
      <c r="AI53" s="53" t="n"/>
      <c r="AJ53" s="53" t="n"/>
      <c r="AK53" s="53" t="n"/>
      <c r="AL53" s="53" t="n"/>
      <c r="AM53" s="53" t="n"/>
      <c r="AN53" s="53" t="n"/>
      <c r="AO53" s="53" t="n"/>
      <c r="AP53" s="53" t="n"/>
      <c r="AQ53" s="53" t="n"/>
      <c r="AR53" s="53" t="n"/>
      <c r="AS53" s="53" t="n"/>
      <c r="AT53" s="53" t="n"/>
      <c r="AU53" s="53" t="n"/>
      <c r="AV53" s="53" t="n"/>
      <c r="AW53" s="53" t="n"/>
      <c r="AX53" s="53" t="n"/>
      <c r="AY53" s="53" t="n"/>
    </row>
    <row r="54" ht="15" customHeight="1">
      <c r="A54" s="40">
        <f>IF($D$54="","",16)</f>
        <v/>
      </c>
      <c r="B54" s="10" t="n"/>
      <c r="C54" s="41" t="inlineStr">
        <is>
          <t>마케팅1팀</t>
        </is>
      </c>
      <c r="D54" s="42" t="n"/>
      <c r="E54" s="43" t="inlineStr">
        <is>
          <t>기획</t>
        </is>
      </c>
      <c r="F54" s="44" t="n"/>
      <c r="G54" s="45" t="n"/>
      <c r="H54" s="46">
        <f>IF($I$54="","",IF($I$54&lt;0,"🔴지연",IF($I$54&lt;=1,"🟡임박","🟢여유")))</f>
        <v/>
      </c>
      <c r="I54" s="47">
        <f>IF(OR($G$54="",$K$54=""),"",$G$54-$K$54)</f>
        <v/>
      </c>
      <c r="J54" s="48">
        <f>IF(SUM($L$54:$L$56)=0,"",SUM($L$54:$L$56))</f>
        <v/>
      </c>
      <c r="K54" s="49">
        <f>IF($J$54="","",MAX($N$54:$N$56))</f>
        <v/>
      </c>
      <c r="L54" s="50">
        <f>IF(SUM(U54:AY54)=0,"",SUM(U54:AY54))</f>
        <v/>
      </c>
      <c r="M54" s="51">
        <f>IFERROR(INDEX(U$2:AY$2,MATCH(TRUE,INDEX(U54:AY54&lt;&gt;"",0),0)),"")</f>
        <v/>
      </c>
      <c r="N54" s="51">
        <f>IFERROR(LOOKUP(2,1/(U54:AY54&lt;&gt;""),U$2:AY$2),"")</f>
        <v/>
      </c>
      <c r="O54" s="52" t="n"/>
      <c r="P54" s="52" t="n"/>
      <c r="Q54" s="52" t="n"/>
      <c r="R54" s="44" t="n"/>
      <c r="S54" s="14" t="n"/>
      <c r="U54" s="53" t="n"/>
      <c r="V54" s="53" t="n"/>
      <c r="W54" s="53" t="n"/>
      <c r="X54" s="53" t="n"/>
      <c r="Y54" s="53" t="n"/>
      <c r="Z54" s="53" t="n"/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s="53" t="n"/>
      <c r="AJ54" s="53" t="n"/>
      <c r="AK54" s="53" t="n"/>
      <c r="AL54" s="53" t="n"/>
      <c r="AM54" s="53" t="n"/>
      <c r="AN54" s="53" t="n"/>
      <c r="AO54" s="53" t="n"/>
      <c r="AP54" s="53" t="n"/>
      <c r="AQ54" s="53" t="n"/>
      <c r="AR54" s="53" t="n"/>
      <c r="AS54" s="53" t="n"/>
      <c r="AT54" s="53" t="n"/>
      <c r="AU54" s="53" t="n"/>
      <c r="AV54" s="53" t="n"/>
      <c r="AW54" s="53" t="n"/>
      <c r="AX54" s="53" t="n"/>
      <c r="AY54" s="53" t="n"/>
    </row>
    <row r="55" ht="15" customHeight="1">
      <c r="A55" s="54" t="n"/>
      <c r="B55" s="55">
        <f>IF($B$54="","",$B$54)</f>
        <v/>
      </c>
      <c r="C55" s="56" t="inlineStr">
        <is>
          <t>마케팅1팀</t>
        </is>
      </c>
      <c r="D55" s="55">
        <f>IF($D$54="","",$D$54)</f>
        <v/>
      </c>
      <c r="E55" s="57" t="inlineStr">
        <is>
          <t>이미지</t>
        </is>
      </c>
      <c r="F55" s="44" t="n"/>
      <c r="G55" s="58">
        <f>IF($G$54="","",$G$54)</f>
        <v/>
      </c>
      <c r="H55" s="59" t="n"/>
      <c r="I55" s="59" t="n"/>
      <c r="J55" s="59" t="n"/>
      <c r="K55" s="59" t="n"/>
      <c r="L55" s="60">
        <f>IF(SUM(U55:AY55)=0,"",SUM(U55:AY55))</f>
        <v/>
      </c>
      <c r="M55" s="61">
        <f>IFERROR(INDEX(U$2:AY$2,MATCH(TRUE,INDEX(U55:AY55&lt;&gt;"",0),0)),"")</f>
        <v/>
      </c>
      <c r="N55" s="61">
        <f>IFERROR(LOOKUP(2,1/(U55:AY55&lt;&gt;""),U$2:AY$2),"")</f>
        <v/>
      </c>
      <c r="O55" s="59" t="n"/>
      <c r="P55" s="59" t="n"/>
      <c r="Q55" s="59" t="n"/>
      <c r="R55" s="59" t="n"/>
      <c r="S55" s="14" t="n"/>
      <c r="U55" s="53" t="n"/>
      <c r="V55" s="53" t="n"/>
      <c r="W55" s="53" t="n"/>
      <c r="X55" s="53" t="n"/>
      <c r="Y55" s="53" t="n"/>
      <c r="Z55" s="53" t="n"/>
      <c r="AA55" s="53" t="n"/>
      <c r="AB55" s="53" t="n"/>
      <c r="AC55" s="53" t="n"/>
      <c r="AD55" s="53" t="n"/>
      <c r="AE55" s="53" t="n"/>
      <c r="AF55" s="53" t="n"/>
      <c r="AG55" s="53" t="n"/>
      <c r="AH55" s="53" t="n"/>
      <c r="AI55" s="53" t="n"/>
      <c r="AJ55" s="53" t="n"/>
      <c r="AK55" s="53" t="n"/>
      <c r="AL55" s="53" t="n"/>
      <c r="AM55" s="53" t="n"/>
      <c r="AN55" s="53" t="n"/>
      <c r="AO55" s="53" t="n"/>
      <c r="AP55" s="53" t="n"/>
      <c r="AQ55" s="53" t="n"/>
      <c r="AR55" s="53" t="n"/>
      <c r="AS55" s="53" t="n"/>
      <c r="AT55" s="53" t="n"/>
      <c r="AU55" s="53" t="n"/>
      <c r="AV55" s="53" t="n"/>
      <c r="AW55" s="53" t="n"/>
      <c r="AX55" s="53" t="n"/>
      <c r="AY55" s="53" t="n"/>
    </row>
    <row r="56" ht="15" customHeight="1">
      <c r="A56" s="62" t="n"/>
      <c r="B56" s="55">
        <f>IF($B$54="","",$B$54)</f>
        <v/>
      </c>
      <c r="C56" s="63" t="inlineStr">
        <is>
          <t>마케팅1팀</t>
        </is>
      </c>
      <c r="D56" s="55">
        <f>IF($D$54="","",$D$54)</f>
        <v/>
      </c>
      <c r="E56" s="64" t="inlineStr">
        <is>
          <t>영상</t>
        </is>
      </c>
      <c r="F56" s="44" t="n"/>
      <c r="G56" s="58">
        <f>IF($G$54="","",$G$54)</f>
        <v/>
      </c>
      <c r="H56" s="59" t="n"/>
      <c r="I56" s="59" t="n"/>
      <c r="J56" s="59" t="n"/>
      <c r="K56" s="59" t="n"/>
      <c r="L56" s="65">
        <f>IF(SUM(U56:AY56)=0,"",SUM(U56:AY56))</f>
        <v/>
      </c>
      <c r="M56" s="66">
        <f>IFERROR(INDEX(U$2:AY$2,MATCH(TRUE,INDEX(U56:AY56&lt;&gt;"",0),0)),"")</f>
        <v/>
      </c>
      <c r="N56" s="66">
        <f>IFERROR(LOOKUP(2,1/(U56:AY56&lt;&gt;""),U$2:AY$2),"")</f>
        <v/>
      </c>
      <c r="O56" s="59" t="n"/>
      <c r="P56" s="59" t="n"/>
      <c r="Q56" s="59" t="n"/>
      <c r="R56" s="59" t="n"/>
      <c r="S56" s="14" t="n"/>
      <c r="U56" s="53" t="n"/>
      <c r="V56" s="53" t="n"/>
      <c r="W56" s="53" t="n"/>
      <c r="X56" s="5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s="53" t="n"/>
      <c r="AJ56" s="53" t="n"/>
      <c r="AK56" s="53" t="n"/>
      <c r="AL56" s="53" t="n"/>
      <c r="AM56" s="53" t="n"/>
      <c r="AN56" s="53" t="n"/>
      <c r="AO56" s="53" t="n"/>
      <c r="AP56" s="53" t="n"/>
      <c r="AQ56" s="53" t="n"/>
      <c r="AR56" s="53" t="n"/>
      <c r="AS56" s="53" t="n"/>
      <c r="AT56" s="53" t="n"/>
      <c r="AU56" s="53" t="n"/>
      <c r="AV56" s="53" t="n"/>
      <c r="AW56" s="53" t="n"/>
      <c r="AX56" s="53" t="n"/>
      <c r="AY56" s="53" t="n"/>
    </row>
    <row r="57" ht="15" customHeight="1">
      <c r="A57" s="40">
        <f>IF($D$57="","",17)</f>
        <v/>
      </c>
      <c r="B57" s="10" t="n"/>
      <c r="C57" s="41" t="inlineStr">
        <is>
          <t>마케팅1팀</t>
        </is>
      </c>
      <c r="D57" s="42" t="n"/>
      <c r="E57" s="43" t="inlineStr">
        <is>
          <t>기획</t>
        </is>
      </c>
      <c r="F57" s="44" t="n"/>
      <c r="G57" s="45" t="n"/>
      <c r="H57" s="46">
        <f>IF($I$57="","",IF($I$57&lt;0,"🔴지연",IF($I$57&lt;=1,"🟡임박","🟢여유")))</f>
        <v/>
      </c>
      <c r="I57" s="47">
        <f>IF(OR($G$57="",$K$57=""),"",$G$57-$K$57)</f>
        <v/>
      </c>
      <c r="J57" s="48">
        <f>IF(SUM($L$57:$L$59)=0,"",SUM($L$57:$L$59))</f>
        <v/>
      </c>
      <c r="K57" s="49">
        <f>IF($J$57="","",MAX($N$57:$N$59))</f>
        <v/>
      </c>
      <c r="L57" s="50">
        <f>IF(SUM(U57:AY57)=0,"",SUM(U57:AY57))</f>
        <v/>
      </c>
      <c r="M57" s="51">
        <f>IFERROR(INDEX(U$2:AY$2,MATCH(TRUE,INDEX(U57:AY57&lt;&gt;"",0),0)),"")</f>
        <v/>
      </c>
      <c r="N57" s="51">
        <f>IFERROR(LOOKUP(2,1/(U57:AY57&lt;&gt;""),U$2:AY$2),"")</f>
        <v/>
      </c>
      <c r="O57" s="52" t="n"/>
      <c r="P57" s="52" t="n"/>
      <c r="Q57" s="52" t="n"/>
      <c r="R57" s="44" t="n"/>
      <c r="S57" s="14" t="n"/>
      <c r="U57" s="53" t="n"/>
      <c r="V57" s="53" t="n"/>
      <c r="W57" s="53" t="n"/>
      <c r="X57" s="53" t="n"/>
      <c r="Y57" s="53" t="n"/>
      <c r="Z57" s="53" t="n"/>
      <c r="AA57" s="53" t="n"/>
      <c r="AB57" s="53" t="n"/>
      <c r="AC57" s="53" t="n"/>
      <c r="AD57" s="53" t="n"/>
      <c r="AE57" s="53" t="n"/>
      <c r="AF57" s="53" t="n"/>
      <c r="AG57" s="53" t="n"/>
      <c r="AH57" s="53" t="n"/>
      <c r="AI57" s="53" t="n"/>
      <c r="AJ57" s="53" t="n"/>
      <c r="AK57" s="53" t="n"/>
      <c r="AL57" s="53" t="n"/>
      <c r="AM57" s="53" t="n"/>
      <c r="AN57" s="53" t="n"/>
      <c r="AO57" s="53" t="n"/>
      <c r="AP57" s="53" t="n"/>
      <c r="AQ57" s="53" t="n"/>
      <c r="AR57" s="53" t="n"/>
      <c r="AS57" s="53" t="n"/>
      <c r="AT57" s="53" t="n"/>
      <c r="AU57" s="53" t="n"/>
      <c r="AV57" s="53" t="n"/>
      <c r="AW57" s="53" t="n"/>
      <c r="AX57" s="53" t="n"/>
      <c r="AY57" s="53" t="n"/>
    </row>
    <row r="58" ht="15" customHeight="1">
      <c r="A58" s="54" t="n"/>
      <c r="B58" s="55">
        <f>IF($B$57="","",$B$57)</f>
        <v/>
      </c>
      <c r="C58" s="56" t="inlineStr">
        <is>
          <t>마케팅1팀</t>
        </is>
      </c>
      <c r="D58" s="55">
        <f>IF($D$57="","",$D$57)</f>
        <v/>
      </c>
      <c r="E58" s="57" t="inlineStr">
        <is>
          <t>이미지</t>
        </is>
      </c>
      <c r="F58" s="44" t="n"/>
      <c r="G58" s="58">
        <f>IF($G$57="","",$G$57)</f>
        <v/>
      </c>
      <c r="H58" s="59" t="n"/>
      <c r="I58" s="59" t="n"/>
      <c r="J58" s="59" t="n"/>
      <c r="K58" s="59" t="n"/>
      <c r="L58" s="60">
        <f>IF(SUM(U58:AY58)=0,"",SUM(U58:AY58))</f>
        <v/>
      </c>
      <c r="M58" s="61">
        <f>IFERROR(INDEX(U$2:AY$2,MATCH(TRUE,INDEX(U58:AY58&lt;&gt;"",0),0)),"")</f>
        <v/>
      </c>
      <c r="N58" s="61">
        <f>IFERROR(LOOKUP(2,1/(U58:AY58&lt;&gt;""),U$2:AY$2),"")</f>
        <v/>
      </c>
      <c r="O58" s="59" t="n"/>
      <c r="P58" s="59" t="n"/>
      <c r="Q58" s="59" t="n"/>
      <c r="R58" s="59" t="n"/>
      <c r="S58" s="14" t="n"/>
      <c r="U58" s="53" t="n"/>
      <c r="V58" s="53" t="n"/>
      <c r="W58" s="53" t="n"/>
      <c r="X58" s="53" t="n"/>
      <c r="Y58" s="53" t="n"/>
      <c r="Z58" s="53" t="n"/>
      <c r="AA58" s="53" t="n"/>
      <c r="AB58" s="53" t="n"/>
      <c r="AC58" s="53" t="n"/>
      <c r="AD58" s="53" t="n"/>
      <c r="AE58" s="53" t="n"/>
      <c r="AF58" s="53" t="n"/>
      <c r="AG58" s="53" t="n"/>
      <c r="AH58" s="53" t="n"/>
      <c r="AI58" s="53" t="n"/>
      <c r="AJ58" s="53" t="n"/>
      <c r="AK58" s="53" t="n"/>
      <c r="AL58" s="53" t="n"/>
      <c r="AM58" s="53" t="n"/>
      <c r="AN58" s="53" t="n"/>
      <c r="AO58" s="53" t="n"/>
      <c r="AP58" s="53" t="n"/>
      <c r="AQ58" s="53" t="n"/>
      <c r="AR58" s="53" t="n"/>
      <c r="AS58" s="53" t="n"/>
      <c r="AT58" s="53" t="n"/>
      <c r="AU58" s="53" t="n"/>
      <c r="AV58" s="53" t="n"/>
      <c r="AW58" s="53" t="n"/>
      <c r="AX58" s="53" t="n"/>
      <c r="AY58" s="53" t="n"/>
    </row>
    <row r="59" ht="15" customHeight="1">
      <c r="A59" s="62" t="n"/>
      <c r="B59" s="55">
        <f>IF($B$57="","",$B$57)</f>
        <v/>
      </c>
      <c r="C59" s="63" t="inlineStr">
        <is>
          <t>마케팅1팀</t>
        </is>
      </c>
      <c r="D59" s="55">
        <f>IF($D$57="","",$D$57)</f>
        <v/>
      </c>
      <c r="E59" s="64" t="inlineStr">
        <is>
          <t>영상</t>
        </is>
      </c>
      <c r="F59" s="44" t="n"/>
      <c r="G59" s="58">
        <f>IF($G$57="","",$G$57)</f>
        <v/>
      </c>
      <c r="H59" s="59" t="n"/>
      <c r="I59" s="59" t="n"/>
      <c r="J59" s="59" t="n"/>
      <c r="K59" s="59" t="n"/>
      <c r="L59" s="65">
        <f>IF(SUM(U59:AY59)=0,"",SUM(U59:AY59))</f>
        <v/>
      </c>
      <c r="M59" s="66">
        <f>IFERROR(INDEX(U$2:AY$2,MATCH(TRUE,INDEX(U59:AY59&lt;&gt;"",0),0)),"")</f>
        <v/>
      </c>
      <c r="N59" s="66">
        <f>IFERROR(LOOKUP(2,1/(U59:AY59&lt;&gt;""),U$2:AY$2),"")</f>
        <v/>
      </c>
      <c r="O59" s="59" t="n"/>
      <c r="P59" s="59" t="n"/>
      <c r="Q59" s="59" t="n"/>
      <c r="R59" s="59" t="n"/>
      <c r="S59" s="14" t="n"/>
      <c r="U59" s="53" t="n"/>
      <c r="V59" s="53" t="n"/>
      <c r="W59" s="53" t="n"/>
      <c r="X59" s="53" t="n"/>
      <c r="Y59" s="53" t="n"/>
      <c r="Z59" s="53" t="n"/>
      <c r="AA59" s="53" t="n"/>
      <c r="AB59" s="53" t="n"/>
      <c r="AC59" s="53" t="n"/>
      <c r="AD59" s="53" t="n"/>
      <c r="AE59" s="53" t="n"/>
      <c r="AF59" s="53" t="n"/>
      <c r="AG59" s="53" t="n"/>
      <c r="AH59" s="53" t="n"/>
      <c r="AI59" s="53" t="n"/>
      <c r="AJ59" s="53" t="n"/>
      <c r="AK59" s="53" t="n"/>
      <c r="AL59" s="53" t="n"/>
      <c r="AM59" s="53" t="n"/>
      <c r="AN59" s="53" t="n"/>
      <c r="AO59" s="53" t="n"/>
      <c r="AP59" s="53" t="n"/>
      <c r="AQ59" s="53" t="n"/>
      <c r="AR59" s="53" t="n"/>
      <c r="AS59" s="53" t="n"/>
      <c r="AT59" s="53" t="n"/>
      <c r="AU59" s="53" t="n"/>
      <c r="AV59" s="53" t="n"/>
      <c r="AW59" s="53" t="n"/>
      <c r="AX59" s="53" t="n"/>
      <c r="AY59" s="53" t="n"/>
    </row>
    <row r="60" ht="15" customHeight="1">
      <c r="A60" s="40">
        <f>IF($D$60="","",18)</f>
        <v/>
      </c>
      <c r="B60" s="10" t="n"/>
      <c r="C60" s="41" t="inlineStr">
        <is>
          <t>마케팅1팀</t>
        </is>
      </c>
      <c r="D60" s="42" t="n"/>
      <c r="E60" s="43" t="inlineStr">
        <is>
          <t>기획</t>
        </is>
      </c>
      <c r="F60" s="44" t="n"/>
      <c r="G60" s="45" t="n"/>
      <c r="H60" s="46">
        <f>IF($I$60="","",IF($I$60&lt;0,"🔴지연",IF($I$60&lt;=1,"🟡임박","🟢여유")))</f>
        <v/>
      </c>
      <c r="I60" s="47">
        <f>IF(OR($G$60="",$K$60=""),"",$G$60-$K$60)</f>
        <v/>
      </c>
      <c r="J60" s="48">
        <f>IF(SUM($L$60:$L$62)=0,"",SUM($L$60:$L$62))</f>
        <v/>
      </c>
      <c r="K60" s="49">
        <f>IF($J$60="","",MAX($N$60:$N$62))</f>
        <v/>
      </c>
      <c r="L60" s="50">
        <f>IF(SUM(U60:AY60)=0,"",SUM(U60:AY60))</f>
        <v/>
      </c>
      <c r="M60" s="51">
        <f>IFERROR(INDEX(U$2:AY$2,MATCH(TRUE,INDEX(U60:AY60&lt;&gt;"",0),0)),"")</f>
        <v/>
      </c>
      <c r="N60" s="51">
        <f>IFERROR(LOOKUP(2,1/(U60:AY60&lt;&gt;""),U$2:AY$2),"")</f>
        <v/>
      </c>
      <c r="O60" s="52" t="n"/>
      <c r="P60" s="52" t="n"/>
      <c r="Q60" s="52" t="n"/>
      <c r="R60" s="44" t="n"/>
      <c r="S60" s="14" t="n"/>
      <c r="U60" s="53" t="n"/>
      <c r="V60" s="53" t="n"/>
      <c r="W60" s="53" t="n"/>
      <c r="X60" s="53" t="n"/>
      <c r="Y60" s="53" t="n"/>
      <c r="Z60" s="53" t="n"/>
      <c r="AA60" s="53" t="n"/>
      <c r="AB60" s="53" t="n"/>
      <c r="AC60" s="53" t="n"/>
      <c r="AD60" s="53" t="n"/>
      <c r="AE60" s="53" t="n"/>
      <c r="AF60" s="53" t="n"/>
      <c r="AG60" s="53" t="n"/>
      <c r="AH60" s="53" t="n"/>
      <c r="AI60" s="53" t="n"/>
      <c r="AJ60" s="53" t="n"/>
      <c r="AK60" s="53" t="n"/>
      <c r="AL60" s="53" t="n"/>
      <c r="AM60" s="53" t="n"/>
      <c r="AN60" s="53" t="n"/>
      <c r="AO60" s="53" t="n"/>
      <c r="AP60" s="53" t="n"/>
      <c r="AQ60" s="53" t="n"/>
      <c r="AR60" s="53" t="n"/>
      <c r="AS60" s="53" t="n"/>
      <c r="AT60" s="53" t="n"/>
      <c r="AU60" s="53" t="n"/>
      <c r="AV60" s="53" t="n"/>
      <c r="AW60" s="53" t="n"/>
      <c r="AX60" s="53" t="n"/>
      <c r="AY60" s="53" t="n"/>
    </row>
    <row r="61" ht="15" customHeight="1">
      <c r="A61" s="54" t="n"/>
      <c r="B61" s="55">
        <f>IF($B$60="","",$B$60)</f>
        <v/>
      </c>
      <c r="C61" s="56" t="inlineStr">
        <is>
          <t>마케팅1팀</t>
        </is>
      </c>
      <c r="D61" s="55">
        <f>IF($D$60="","",$D$60)</f>
        <v/>
      </c>
      <c r="E61" s="57" t="inlineStr">
        <is>
          <t>이미지</t>
        </is>
      </c>
      <c r="F61" s="44" t="n"/>
      <c r="G61" s="58">
        <f>IF($G$60="","",$G$60)</f>
        <v/>
      </c>
      <c r="H61" s="59" t="n"/>
      <c r="I61" s="59" t="n"/>
      <c r="J61" s="59" t="n"/>
      <c r="K61" s="59" t="n"/>
      <c r="L61" s="60">
        <f>IF(SUM(U61:AY61)=0,"",SUM(U61:AY61))</f>
        <v/>
      </c>
      <c r="M61" s="61">
        <f>IFERROR(INDEX(U$2:AY$2,MATCH(TRUE,INDEX(U61:AY61&lt;&gt;"",0),0)),"")</f>
        <v/>
      </c>
      <c r="N61" s="61">
        <f>IFERROR(LOOKUP(2,1/(U61:AY61&lt;&gt;""),U$2:AY$2),"")</f>
        <v/>
      </c>
      <c r="O61" s="59" t="n"/>
      <c r="P61" s="59" t="n"/>
      <c r="Q61" s="59" t="n"/>
      <c r="R61" s="59" t="n"/>
      <c r="S61" s="14" t="n"/>
      <c r="U61" s="53" t="n"/>
      <c r="V61" s="53" t="n"/>
      <c r="W61" s="53" t="n"/>
      <c r="X61" s="53" t="n"/>
      <c r="Y61" s="53" t="n"/>
      <c r="Z61" s="53" t="n"/>
      <c r="AA61" s="53" t="n"/>
      <c r="AB61" s="53" t="n"/>
      <c r="AC61" s="53" t="n"/>
      <c r="AD61" s="53" t="n"/>
      <c r="AE61" s="53" t="n"/>
      <c r="AF61" s="53" t="n"/>
      <c r="AG61" s="53" t="n"/>
      <c r="AH61" s="53" t="n"/>
      <c r="AI61" s="53" t="n"/>
      <c r="AJ61" s="53" t="n"/>
      <c r="AK61" s="53" t="n"/>
      <c r="AL61" s="53" t="n"/>
      <c r="AM61" s="53" t="n"/>
      <c r="AN61" s="53" t="n"/>
      <c r="AO61" s="53" t="n"/>
      <c r="AP61" s="53" t="n"/>
      <c r="AQ61" s="53" t="n"/>
      <c r="AR61" s="53" t="n"/>
      <c r="AS61" s="53" t="n"/>
      <c r="AT61" s="53" t="n"/>
      <c r="AU61" s="53" t="n"/>
      <c r="AV61" s="53" t="n"/>
      <c r="AW61" s="53" t="n"/>
      <c r="AX61" s="53" t="n"/>
      <c r="AY61" s="53" t="n"/>
    </row>
    <row r="62" ht="15" customHeight="1">
      <c r="A62" s="62" t="n"/>
      <c r="B62" s="55">
        <f>IF($B$60="","",$B$60)</f>
        <v/>
      </c>
      <c r="C62" s="63" t="inlineStr">
        <is>
          <t>마케팅1팀</t>
        </is>
      </c>
      <c r="D62" s="55">
        <f>IF($D$60="","",$D$60)</f>
        <v/>
      </c>
      <c r="E62" s="64" t="inlineStr">
        <is>
          <t>영상</t>
        </is>
      </c>
      <c r="F62" s="44" t="n"/>
      <c r="G62" s="58">
        <f>IF($G$60="","",$G$60)</f>
        <v/>
      </c>
      <c r="H62" s="59" t="n"/>
      <c r="I62" s="59" t="n"/>
      <c r="J62" s="59" t="n"/>
      <c r="K62" s="59" t="n"/>
      <c r="L62" s="65">
        <f>IF(SUM(U62:AY62)=0,"",SUM(U62:AY62))</f>
        <v/>
      </c>
      <c r="M62" s="66">
        <f>IFERROR(INDEX(U$2:AY$2,MATCH(TRUE,INDEX(U62:AY62&lt;&gt;"",0),0)),"")</f>
        <v/>
      </c>
      <c r="N62" s="66">
        <f>IFERROR(LOOKUP(2,1/(U62:AY62&lt;&gt;""),U$2:AY$2),"")</f>
        <v/>
      </c>
      <c r="O62" s="59" t="n"/>
      <c r="P62" s="59" t="n"/>
      <c r="Q62" s="59" t="n"/>
      <c r="R62" s="59" t="n"/>
      <c r="S62" s="14" t="n"/>
      <c r="U62" s="53" t="n"/>
      <c r="V62" s="53" t="n"/>
      <c r="W62" s="53" t="n"/>
      <c r="X62" s="53" t="n"/>
      <c r="Y62" s="53" t="n"/>
      <c r="Z62" s="53" t="n"/>
      <c r="AA62" s="53" t="n"/>
      <c r="AB62" s="53" t="n"/>
      <c r="AC62" s="53" t="n"/>
      <c r="AD62" s="53" t="n"/>
      <c r="AE62" s="53" t="n"/>
      <c r="AF62" s="53" t="n"/>
      <c r="AG62" s="53" t="n"/>
      <c r="AH62" s="53" t="n"/>
      <c r="AI62" s="53" t="n"/>
      <c r="AJ62" s="53" t="n"/>
      <c r="AK62" s="53" t="n"/>
      <c r="AL62" s="53" t="n"/>
      <c r="AM62" s="53" t="n"/>
      <c r="AN62" s="53" t="n"/>
      <c r="AO62" s="53" t="n"/>
      <c r="AP62" s="53" t="n"/>
      <c r="AQ62" s="53" t="n"/>
      <c r="AR62" s="53" t="n"/>
      <c r="AS62" s="53" t="n"/>
      <c r="AT62" s="53" t="n"/>
      <c r="AU62" s="53" t="n"/>
      <c r="AV62" s="53" t="n"/>
      <c r="AW62" s="53" t="n"/>
      <c r="AX62" s="53" t="n"/>
      <c r="AY62" s="53" t="n"/>
    </row>
    <row r="63" ht="15" customHeight="1">
      <c r="A63" s="40">
        <f>IF($D$63="","",19)</f>
        <v/>
      </c>
      <c r="B63" s="10" t="n"/>
      <c r="C63" s="41" t="inlineStr">
        <is>
          <t>마케팅1팀</t>
        </is>
      </c>
      <c r="D63" s="42" t="n"/>
      <c r="E63" s="43" t="inlineStr">
        <is>
          <t>기획</t>
        </is>
      </c>
      <c r="F63" s="44" t="n"/>
      <c r="G63" s="45" t="n"/>
      <c r="H63" s="46">
        <f>IF($I$63="","",IF($I$63&lt;0,"🔴지연",IF($I$63&lt;=1,"🟡임박","🟢여유")))</f>
        <v/>
      </c>
      <c r="I63" s="47">
        <f>IF(OR($G$63="",$K$63=""),"",$G$63-$K$63)</f>
        <v/>
      </c>
      <c r="J63" s="48">
        <f>IF(SUM($L$63:$L$65)=0,"",SUM($L$63:$L$65))</f>
        <v/>
      </c>
      <c r="K63" s="49">
        <f>IF($J$63="","",MAX($N$63:$N$65))</f>
        <v/>
      </c>
      <c r="L63" s="50">
        <f>IF(SUM(U63:AY63)=0,"",SUM(U63:AY63))</f>
        <v/>
      </c>
      <c r="M63" s="51">
        <f>IFERROR(INDEX(U$2:AY$2,MATCH(TRUE,INDEX(U63:AY63&lt;&gt;"",0),0)),"")</f>
        <v/>
      </c>
      <c r="N63" s="51">
        <f>IFERROR(LOOKUP(2,1/(U63:AY63&lt;&gt;""),U$2:AY$2),"")</f>
        <v/>
      </c>
      <c r="O63" s="52" t="n"/>
      <c r="P63" s="52" t="n"/>
      <c r="Q63" s="52" t="n"/>
      <c r="R63" s="44" t="n"/>
      <c r="S63" s="14" t="n"/>
      <c r="U63" s="53" t="n"/>
      <c r="V63" s="53" t="n"/>
      <c r="W63" s="53" t="n"/>
      <c r="X63" s="53" t="n"/>
      <c r="Y63" s="53" t="n"/>
      <c r="Z63" s="53" t="n"/>
      <c r="AA63" s="53" t="n"/>
      <c r="AB63" s="53" t="n"/>
      <c r="AC63" s="53" t="n"/>
      <c r="AD63" s="53" t="n"/>
      <c r="AE63" s="53" t="n"/>
      <c r="AF63" s="53" t="n"/>
      <c r="AG63" s="53" t="n"/>
      <c r="AH63" s="53" t="n"/>
      <c r="AI63" s="53" t="n"/>
      <c r="AJ63" s="53" t="n"/>
      <c r="AK63" s="53" t="n"/>
      <c r="AL63" s="53" t="n"/>
      <c r="AM63" s="53" t="n"/>
      <c r="AN63" s="53" t="n"/>
      <c r="AO63" s="53" t="n"/>
      <c r="AP63" s="53" t="n"/>
      <c r="AQ63" s="53" t="n"/>
      <c r="AR63" s="53" t="n"/>
      <c r="AS63" s="53" t="n"/>
      <c r="AT63" s="53" t="n"/>
      <c r="AU63" s="53" t="n"/>
      <c r="AV63" s="53" t="n"/>
      <c r="AW63" s="53" t="n"/>
      <c r="AX63" s="53" t="n"/>
      <c r="AY63" s="53" t="n"/>
    </row>
    <row r="64" ht="15" customHeight="1">
      <c r="A64" s="54" t="n"/>
      <c r="B64" s="55">
        <f>IF($B$63="","",$B$63)</f>
        <v/>
      </c>
      <c r="C64" s="56" t="inlineStr">
        <is>
          <t>마케팅1팀</t>
        </is>
      </c>
      <c r="D64" s="55">
        <f>IF($D$63="","",$D$63)</f>
        <v/>
      </c>
      <c r="E64" s="57" t="inlineStr">
        <is>
          <t>이미지</t>
        </is>
      </c>
      <c r="F64" s="44" t="n"/>
      <c r="G64" s="58">
        <f>IF($G$63="","",$G$63)</f>
        <v/>
      </c>
      <c r="H64" s="59" t="n"/>
      <c r="I64" s="59" t="n"/>
      <c r="J64" s="59" t="n"/>
      <c r="K64" s="59" t="n"/>
      <c r="L64" s="60">
        <f>IF(SUM(U64:AY64)=0,"",SUM(U64:AY64))</f>
        <v/>
      </c>
      <c r="M64" s="61">
        <f>IFERROR(INDEX(U$2:AY$2,MATCH(TRUE,INDEX(U64:AY64&lt;&gt;"",0),0)),"")</f>
        <v/>
      </c>
      <c r="N64" s="61">
        <f>IFERROR(LOOKUP(2,1/(U64:AY64&lt;&gt;""),U$2:AY$2),"")</f>
        <v/>
      </c>
      <c r="O64" s="59" t="n"/>
      <c r="P64" s="59" t="n"/>
      <c r="Q64" s="59" t="n"/>
      <c r="R64" s="59" t="n"/>
      <c r="S64" s="14" t="n"/>
      <c r="U64" s="53" t="n"/>
      <c r="V64" s="53" t="n"/>
      <c r="W64" s="53" t="n"/>
      <c r="X64" s="53" t="n"/>
      <c r="Y64" s="53" t="n"/>
      <c r="Z64" s="53" t="n"/>
      <c r="AA64" s="53" t="n"/>
      <c r="AB64" s="53" t="n"/>
      <c r="AC64" s="53" t="n"/>
      <c r="AD64" s="53" t="n"/>
      <c r="AE64" s="53" t="n"/>
      <c r="AF64" s="53" t="n"/>
      <c r="AG64" s="53" t="n"/>
      <c r="AH64" s="53" t="n"/>
      <c r="AI64" s="53" t="n"/>
      <c r="AJ64" s="53" t="n"/>
      <c r="AK64" s="53" t="n"/>
      <c r="AL64" s="53" t="n"/>
      <c r="AM64" s="53" t="n"/>
      <c r="AN64" s="53" t="n"/>
      <c r="AO64" s="53" t="n"/>
      <c r="AP64" s="53" t="n"/>
      <c r="AQ64" s="53" t="n"/>
      <c r="AR64" s="53" t="n"/>
      <c r="AS64" s="53" t="n"/>
      <c r="AT64" s="53" t="n"/>
      <c r="AU64" s="53" t="n"/>
      <c r="AV64" s="53" t="n"/>
      <c r="AW64" s="53" t="n"/>
      <c r="AX64" s="53" t="n"/>
      <c r="AY64" s="53" t="n"/>
    </row>
    <row r="65" ht="15" customHeight="1">
      <c r="A65" s="62" t="n"/>
      <c r="B65" s="55">
        <f>IF($B$63="","",$B$63)</f>
        <v/>
      </c>
      <c r="C65" s="63" t="inlineStr">
        <is>
          <t>마케팅1팀</t>
        </is>
      </c>
      <c r="D65" s="55">
        <f>IF($D$63="","",$D$63)</f>
        <v/>
      </c>
      <c r="E65" s="64" t="inlineStr">
        <is>
          <t>영상</t>
        </is>
      </c>
      <c r="F65" s="44" t="n"/>
      <c r="G65" s="58">
        <f>IF($G$63="","",$G$63)</f>
        <v/>
      </c>
      <c r="H65" s="59" t="n"/>
      <c r="I65" s="59" t="n"/>
      <c r="J65" s="59" t="n"/>
      <c r="K65" s="59" t="n"/>
      <c r="L65" s="65">
        <f>IF(SUM(U65:AY65)=0,"",SUM(U65:AY65))</f>
        <v/>
      </c>
      <c r="M65" s="66">
        <f>IFERROR(INDEX(U$2:AY$2,MATCH(TRUE,INDEX(U65:AY65&lt;&gt;"",0),0)),"")</f>
        <v/>
      </c>
      <c r="N65" s="66">
        <f>IFERROR(LOOKUP(2,1/(U65:AY65&lt;&gt;""),U$2:AY$2),"")</f>
        <v/>
      </c>
      <c r="O65" s="59" t="n"/>
      <c r="P65" s="59" t="n"/>
      <c r="Q65" s="59" t="n"/>
      <c r="R65" s="59" t="n"/>
      <c r="S65" s="14" t="n"/>
      <c r="U65" s="53" t="n"/>
      <c r="V65" s="53" t="n"/>
      <c r="W65" s="53" t="n"/>
      <c r="X65" s="53" t="n"/>
      <c r="Y65" s="53" t="n"/>
      <c r="Z65" s="53" t="n"/>
      <c r="AA65" s="53" t="n"/>
      <c r="AB65" s="53" t="n"/>
      <c r="AC65" s="53" t="n"/>
      <c r="AD65" s="53" t="n"/>
      <c r="AE65" s="53" t="n"/>
      <c r="AF65" s="53" t="n"/>
      <c r="AG65" s="53" t="n"/>
      <c r="AH65" s="53" t="n"/>
      <c r="AI65" s="53" t="n"/>
      <c r="AJ65" s="53" t="n"/>
      <c r="AK65" s="53" t="n"/>
      <c r="AL65" s="53" t="n"/>
      <c r="AM65" s="53" t="n"/>
      <c r="AN65" s="53" t="n"/>
      <c r="AO65" s="53" t="n"/>
      <c r="AP65" s="53" t="n"/>
      <c r="AQ65" s="53" t="n"/>
      <c r="AR65" s="53" t="n"/>
      <c r="AS65" s="53" t="n"/>
      <c r="AT65" s="53" t="n"/>
      <c r="AU65" s="53" t="n"/>
      <c r="AV65" s="53" t="n"/>
      <c r="AW65" s="53" t="n"/>
      <c r="AX65" s="53" t="n"/>
      <c r="AY65" s="53" t="n"/>
    </row>
    <row r="66" ht="15" customHeight="1">
      <c r="A66" s="40">
        <f>IF($D$66="","",20)</f>
        <v/>
      </c>
      <c r="B66" s="10" t="n"/>
      <c r="C66" s="41" t="inlineStr">
        <is>
          <t>마케팅1팀</t>
        </is>
      </c>
      <c r="D66" s="42" t="n"/>
      <c r="E66" s="43" t="inlineStr">
        <is>
          <t>기획</t>
        </is>
      </c>
      <c r="F66" s="44" t="n"/>
      <c r="G66" s="45" t="n"/>
      <c r="H66" s="46">
        <f>IF($I$66="","",IF($I$66&lt;0,"🔴지연",IF($I$66&lt;=1,"🟡임박","🟢여유")))</f>
        <v/>
      </c>
      <c r="I66" s="47">
        <f>IF(OR($G$66="",$K$66=""),"",$G$66-$K$66)</f>
        <v/>
      </c>
      <c r="J66" s="48">
        <f>IF(SUM($L$66:$L$68)=0,"",SUM($L$66:$L$68))</f>
        <v/>
      </c>
      <c r="K66" s="49">
        <f>IF($J$66="","",MAX($N$66:$N$68))</f>
        <v/>
      </c>
      <c r="L66" s="50">
        <f>IF(SUM(U66:AY66)=0,"",SUM(U66:AY66))</f>
        <v/>
      </c>
      <c r="M66" s="51">
        <f>IFERROR(INDEX(U$2:AY$2,MATCH(TRUE,INDEX(U66:AY66&lt;&gt;"",0),0)),"")</f>
        <v/>
      </c>
      <c r="N66" s="51">
        <f>IFERROR(LOOKUP(2,1/(U66:AY66&lt;&gt;""),U$2:AY$2),"")</f>
        <v/>
      </c>
      <c r="O66" s="52" t="n"/>
      <c r="P66" s="52" t="n"/>
      <c r="Q66" s="52" t="n"/>
      <c r="R66" s="44" t="n"/>
      <c r="S66" s="14" t="n"/>
      <c r="U66" s="53" t="n"/>
      <c r="V66" s="53" t="n"/>
      <c r="W66" s="53" t="n"/>
      <c r="X66" s="53" t="n"/>
      <c r="Y66" s="53" t="n"/>
      <c r="Z66" s="53" t="n"/>
      <c r="AA66" s="53" t="n"/>
      <c r="AB66" s="53" t="n"/>
      <c r="AC66" s="53" t="n"/>
      <c r="AD66" s="53" t="n"/>
      <c r="AE66" s="53" t="n"/>
      <c r="AF66" s="53" t="n"/>
      <c r="AG66" s="53" t="n"/>
      <c r="AH66" s="53" t="n"/>
      <c r="AI66" s="53" t="n"/>
      <c r="AJ66" s="53" t="n"/>
      <c r="AK66" s="53" t="n"/>
      <c r="AL66" s="53" t="n"/>
      <c r="AM66" s="53" t="n"/>
      <c r="AN66" s="53" t="n"/>
      <c r="AO66" s="53" t="n"/>
      <c r="AP66" s="53" t="n"/>
      <c r="AQ66" s="53" t="n"/>
      <c r="AR66" s="53" t="n"/>
      <c r="AS66" s="53" t="n"/>
      <c r="AT66" s="53" t="n"/>
      <c r="AU66" s="53" t="n"/>
      <c r="AV66" s="53" t="n"/>
      <c r="AW66" s="53" t="n"/>
      <c r="AX66" s="53" t="n"/>
      <c r="AY66" s="53" t="n"/>
    </row>
    <row r="67" ht="15" customHeight="1">
      <c r="A67" s="54" t="n"/>
      <c r="B67" s="55">
        <f>IF($B$66="","",$B$66)</f>
        <v/>
      </c>
      <c r="C67" s="56" t="inlineStr">
        <is>
          <t>마케팅1팀</t>
        </is>
      </c>
      <c r="D67" s="55">
        <f>IF($D$66="","",$D$66)</f>
        <v/>
      </c>
      <c r="E67" s="57" t="inlineStr">
        <is>
          <t>이미지</t>
        </is>
      </c>
      <c r="F67" s="44" t="n"/>
      <c r="G67" s="58">
        <f>IF($G$66="","",$G$66)</f>
        <v/>
      </c>
      <c r="H67" s="59" t="n"/>
      <c r="I67" s="59" t="n"/>
      <c r="J67" s="59" t="n"/>
      <c r="K67" s="59" t="n"/>
      <c r="L67" s="60">
        <f>IF(SUM(U67:AY67)=0,"",SUM(U67:AY67))</f>
        <v/>
      </c>
      <c r="M67" s="61">
        <f>IFERROR(INDEX(U$2:AY$2,MATCH(TRUE,INDEX(U67:AY67&lt;&gt;"",0),0)),"")</f>
        <v/>
      </c>
      <c r="N67" s="61">
        <f>IFERROR(LOOKUP(2,1/(U67:AY67&lt;&gt;""),U$2:AY$2),"")</f>
        <v/>
      </c>
      <c r="O67" s="59" t="n"/>
      <c r="P67" s="59" t="n"/>
      <c r="Q67" s="59" t="n"/>
      <c r="R67" s="59" t="n"/>
      <c r="S67" s="14" t="n"/>
      <c r="U67" s="53" t="n"/>
      <c r="V67" s="53" t="n"/>
      <c r="W67" s="53" t="n"/>
      <c r="X67" s="53" t="n"/>
      <c r="Y67" s="53" t="n"/>
      <c r="Z67" s="53" t="n"/>
      <c r="AA67" s="53" t="n"/>
      <c r="AB67" s="53" t="n"/>
      <c r="AC67" s="53" t="n"/>
      <c r="AD67" s="53" t="n"/>
      <c r="AE67" s="53" t="n"/>
      <c r="AF67" s="53" t="n"/>
      <c r="AG67" s="53" t="n"/>
      <c r="AH67" s="53" t="n"/>
      <c r="AI67" s="53" t="n"/>
      <c r="AJ67" s="53" t="n"/>
      <c r="AK67" s="53" t="n"/>
      <c r="AL67" s="53" t="n"/>
      <c r="AM67" s="53" t="n"/>
      <c r="AN67" s="53" t="n"/>
      <c r="AO67" s="53" t="n"/>
      <c r="AP67" s="53" t="n"/>
      <c r="AQ67" s="53" t="n"/>
      <c r="AR67" s="53" t="n"/>
      <c r="AS67" s="53" t="n"/>
      <c r="AT67" s="53" t="n"/>
      <c r="AU67" s="53" t="n"/>
      <c r="AV67" s="53" t="n"/>
      <c r="AW67" s="53" t="n"/>
      <c r="AX67" s="53" t="n"/>
      <c r="AY67" s="53" t="n"/>
    </row>
    <row r="68" ht="15" customHeight="1">
      <c r="A68" s="62" t="n"/>
      <c r="B68" s="55">
        <f>IF($B$66="","",$B$66)</f>
        <v/>
      </c>
      <c r="C68" s="63" t="inlineStr">
        <is>
          <t>마케팅1팀</t>
        </is>
      </c>
      <c r="D68" s="55">
        <f>IF($D$66="","",$D$66)</f>
        <v/>
      </c>
      <c r="E68" s="64" t="inlineStr">
        <is>
          <t>영상</t>
        </is>
      </c>
      <c r="F68" s="44" t="n"/>
      <c r="G68" s="58">
        <f>IF($G$66="","",$G$66)</f>
        <v/>
      </c>
      <c r="H68" s="59" t="n"/>
      <c r="I68" s="59" t="n"/>
      <c r="J68" s="59" t="n"/>
      <c r="K68" s="59" t="n"/>
      <c r="L68" s="65">
        <f>IF(SUM(U68:AY68)=0,"",SUM(U68:AY68))</f>
        <v/>
      </c>
      <c r="M68" s="66">
        <f>IFERROR(INDEX(U$2:AY$2,MATCH(TRUE,INDEX(U68:AY68&lt;&gt;"",0),0)),"")</f>
        <v/>
      </c>
      <c r="N68" s="66">
        <f>IFERROR(LOOKUP(2,1/(U68:AY68&lt;&gt;""),U$2:AY$2),"")</f>
        <v/>
      </c>
      <c r="O68" s="59" t="n"/>
      <c r="P68" s="59" t="n"/>
      <c r="Q68" s="59" t="n"/>
      <c r="R68" s="59" t="n"/>
      <c r="S68" s="14" t="n"/>
      <c r="U68" s="53" t="n"/>
      <c r="V68" s="53" t="n"/>
      <c r="W68" s="53" t="n"/>
      <c r="X68" s="53" t="n"/>
      <c r="Y68" s="53" t="n"/>
      <c r="Z68" s="53" t="n"/>
      <c r="AA68" s="53" t="n"/>
      <c r="AB68" s="53" t="n"/>
      <c r="AC68" s="53" t="n"/>
      <c r="AD68" s="53" t="n"/>
      <c r="AE68" s="53" t="n"/>
      <c r="AF68" s="53" t="n"/>
      <c r="AG68" s="53" t="n"/>
      <c r="AH68" s="53" t="n"/>
      <c r="AI68" s="53" t="n"/>
      <c r="AJ68" s="53" t="n"/>
      <c r="AK68" s="53" t="n"/>
      <c r="AL68" s="53" t="n"/>
      <c r="AM68" s="53" t="n"/>
      <c r="AN68" s="53" t="n"/>
      <c r="AO68" s="53" t="n"/>
      <c r="AP68" s="53" t="n"/>
      <c r="AQ68" s="53" t="n"/>
      <c r="AR68" s="53" t="n"/>
      <c r="AS68" s="53" t="n"/>
      <c r="AT68" s="53" t="n"/>
      <c r="AU68" s="53" t="n"/>
      <c r="AV68" s="53" t="n"/>
      <c r="AW68" s="53" t="n"/>
      <c r="AX68" s="53" t="n"/>
      <c r="AY68" s="53" t="n"/>
    </row>
    <row r="69" ht="18" customHeight="1">
      <c r="A69" s="39" t="inlineStr">
        <is>
          <t>마케팅2팀   (70~129행 · 소재 20개)</t>
        </is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4" t="n"/>
    </row>
    <row r="70" ht="15" customHeight="1">
      <c r="A70" s="40">
        <f>IF($D$70="","",21)</f>
        <v/>
      </c>
      <c r="B70" s="10" t="n"/>
      <c r="C70" s="41" t="inlineStr">
        <is>
          <t>마케팅2팀</t>
        </is>
      </c>
      <c r="D70" s="42" t="n"/>
      <c r="E70" s="43" t="inlineStr">
        <is>
          <t>기획</t>
        </is>
      </c>
      <c r="F70" s="44" t="n"/>
      <c r="G70" s="45" t="n"/>
      <c r="H70" s="46">
        <f>IF($I$70="","",IF($I$70&lt;0,"🔴지연",IF($I$70&lt;=1,"🟡임박","🟢여유")))</f>
        <v/>
      </c>
      <c r="I70" s="47">
        <f>IF(OR($G$70="",$K$70=""),"",$G$70-$K$70)</f>
        <v/>
      </c>
      <c r="J70" s="48">
        <f>IF(SUM($L$70:$L$72)=0,"",SUM($L$70:$L$72))</f>
        <v/>
      </c>
      <c r="K70" s="49">
        <f>IF($J$70="","",MAX($N$70:$N$72))</f>
        <v/>
      </c>
      <c r="L70" s="50">
        <f>IF(SUM(U70:AY70)=0,"",SUM(U70:AY70))</f>
        <v/>
      </c>
      <c r="M70" s="51">
        <f>IFERROR(INDEX(U$2:AY$2,MATCH(TRUE,INDEX(U70:AY70&lt;&gt;"",0),0)),"")</f>
        <v/>
      </c>
      <c r="N70" s="51">
        <f>IFERROR(LOOKUP(2,1/(U70:AY70&lt;&gt;""),U$2:AY$2),"")</f>
        <v/>
      </c>
      <c r="O70" s="52" t="n"/>
      <c r="P70" s="52" t="n"/>
      <c r="Q70" s="52" t="n"/>
      <c r="R70" s="44" t="n"/>
      <c r="S70" s="14" t="n"/>
      <c r="U70" s="53" t="n"/>
      <c r="V70" s="53" t="n"/>
      <c r="W70" s="53" t="n"/>
      <c r="X70" s="53" t="n"/>
      <c r="Y70" s="53" t="n"/>
      <c r="Z70" s="53" t="n"/>
      <c r="AA70" s="53" t="n"/>
      <c r="AB70" s="53" t="n"/>
      <c r="AC70" s="53" t="n"/>
      <c r="AD70" s="53" t="n"/>
      <c r="AE70" s="53" t="n"/>
      <c r="AF70" s="53" t="n"/>
      <c r="AG70" s="53" t="n"/>
      <c r="AH70" s="53" t="n"/>
      <c r="AI70" s="53" t="n"/>
      <c r="AJ70" s="53" t="n"/>
      <c r="AK70" s="53" t="n"/>
      <c r="AL70" s="53" t="n"/>
      <c r="AM70" s="53" t="n"/>
      <c r="AN70" s="53" t="n"/>
      <c r="AO70" s="53" t="n"/>
      <c r="AP70" s="53" t="n"/>
      <c r="AQ70" s="53" t="n"/>
      <c r="AR70" s="53" t="n"/>
      <c r="AS70" s="53" t="n"/>
      <c r="AT70" s="53" t="n"/>
      <c r="AU70" s="53" t="n"/>
      <c r="AV70" s="53" t="n"/>
      <c r="AW70" s="53" t="n"/>
      <c r="AX70" s="53" t="n"/>
      <c r="AY70" s="53" t="n"/>
    </row>
    <row r="71" ht="15" customHeight="1">
      <c r="A71" s="54" t="n"/>
      <c r="B71" s="55">
        <f>IF($B$70="","",$B$70)</f>
        <v/>
      </c>
      <c r="C71" s="56" t="inlineStr">
        <is>
          <t>마케팅2팀</t>
        </is>
      </c>
      <c r="D71" s="55">
        <f>IF($D$70="","",$D$70)</f>
        <v/>
      </c>
      <c r="E71" s="57" t="inlineStr">
        <is>
          <t>이미지</t>
        </is>
      </c>
      <c r="F71" s="44" t="n"/>
      <c r="G71" s="58">
        <f>IF($G$70="","",$G$70)</f>
        <v/>
      </c>
      <c r="H71" s="59" t="n"/>
      <c r="I71" s="59" t="n"/>
      <c r="J71" s="59" t="n"/>
      <c r="K71" s="59" t="n"/>
      <c r="L71" s="60">
        <f>IF(SUM(U71:AY71)=0,"",SUM(U71:AY71))</f>
        <v/>
      </c>
      <c r="M71" s="61">
        <f>IFERROR(INDEX(U$2:AY$2,MATCH(TRUE,INDEX(U71:AY71&lt;&gt;"",0),0)),"")</f>
        <v/>
      </c>
      <c r="N71" s="61">
        <f>IFERROR(LOOKUP(2,1/(U71:AY71&lt;&gt;""),U$2:AY$2),"")</f>
        <v/>
      </c>
      <c r="O71" s="59" t="n"/>
      <c r="P71" s="59" t="n"/>
      <c r="Q71" s="59" t="n"/>
      <c r="R71" s="59" t="n"/>
      <c r="S71" s="14" t="n"/>
      <c r="U71" s="53" t="n"/>
      <c r="V71" s="53" t="n"/>
      <c r="W71" s="53" t="n"/>
      <c r="X71" s="53" t="n"/>
      <c r="Y71" s="53" t="n"/>
      <c r="Z71" s="53" t="n"/>
      <c r="AA71" s="53" t="n"/>
      <c r="AB71" s="53" t="n"/>
      <c r="AC71" s="53" t="n"/>
      <c r="AD71" s="53" t="n"/>
      <c r="AE71" s="53" t="n"/>
      <c r="AF71" s="53" t="n"/>
      <c r="AG71" s="53" t="n"/>
      <c r="AH71" s="53" t="n"/>
      <c r="AI71" s="53" t="n"/>
      <c r="AJ71" s="53" t="n"/>
      <c r="AK71" s="53" t="n"/>
      <c r="AL71" s="53" t="n"/>
      <c r="AM71" s="53" t="n"/>
      <c r="AN71" s="53" t="n"/>
      <c r="AO71" s="53" t="n"/>
      <c r="AP71" s="53" t="n"/>
      <c r="AQ71" s="53" t="n"/>
      <c r="AR71" s="53" t="n"/>
      <c r="AS71" s="53" t="n"/>
      <c r="AT71" s="53" t="n"/>
      <c r="AU71" s="53" t="n"/>
      <c r="AV71" s="53" t="n"/>
      <c r="AW71" s="53" t="n"/>
      <c r="AX71" s="53" t="n"/>
      <c r="AY71" s="53" t="n"/>
    </row>
    <row r="72" ht="15" customHeight="1">
      <c r="A72" s="62" t="n"/>
      <c r="B72" s="55">
        <f>IF($B$70="","",$B$70)</f>
        <v/>
      </c>
      <c r="C72" s="63" t="inlineStr">
        <is>
          <t>마케팅2팀</t>
        </is>
      </c>
      <c r="D72" s="55">
        <f>IF($D$70="","",$D$70)</f>
        <v/>
      </c>
      <c r="E72" s="64" t="inlineStr">
        <is>
          <t>영상</t>
        </is>
      </c>
      <c r="F72" s="44" t="n"/>
      <c r="G72" s="58">
        <f>IF($G$70="","",$G$70)</f>
        <v/>
      </c>
      <c r="H72" s="59" t="n"/>
      <c r="I72" s="59" t="n"/>
      <c r="J72" s="59" t="n"/>
      <c r="K72" s="59" t="n"/>
      <c r="L72" s="65">
        <f>IF(SUM(U72:AY72)=0,"",SUM(U72:AY72))</f>
        <v/>
      </c>
      <c r="M72" s="66">
        <f>IFERROR(INDEX(U$2:AY$2,MATCH(TRUE,INDEX(U72:AY72&lt;&gt;"",0),0)),"")</f>
        <v/>
      </c>
      <c r="N72" s="66">
        <f>IFERROR(LOOKUP(2,1/(U72:AY72&lt;&gt;""),U$2:AY$2),"")</f>
        <v/>
      </c>
      <c r="O72" s="59" t="n"/>
      <c r="P72" s="59" t="n"/>
      <c r="Q72" s="59" t="n"/>
      <c r="R72" s="59" t="n"/>
      <c r="S72" s="14" t="n"/>
      <c r="U72" s="53" t="n"/>
      <c r="V72" s="53" t="n"/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53" t="n"/>
      <c r="AF72" s="53" t="n"/>
      <c r="AG72" s="53" t="n"/>
      <c r="AH72" s="53" t="n"/>
      <c r="AI72" s="53" t="n"/>
      <c r="AJ72" s="53" t="n"/>
      <c r="AK72" s="53" t="n"/>
      <c r="AL72" s="53" t="n"/>
      <c r="AM72" s="53" t="n"/>
      <c r="AN72" s="53" t="n"/>
      <c r="AO72" s="53" t="n"/>
      <c r="AP72" s="53" t="n"/>
      <c r="AQ72" s="53" t="n"/>
      <c r="AR72" s="53" t="n"/>
      <c r="AS72" s="53" t="n"/>
      <c r="AT72" s="53" t="n"/>
      <c r="AU72" s="53" t="n"/>
      <c r="AV72" s="53" t="n"/>
      <c r="AW72" s="53" t="n"/>
      <c r="AX72" s="53" t="n"/>
      <c r="AY72" s="53" t="n"/>
    </row>
    <row r="73" ht="15" customHeight="1">
      <c r="A73" s="40">
        <f>IF($D$73="","",22)</f>
        <v/>
      </c>
      <c r="B73" s="10" t="n"/>
      <c r="C73" s="41" t="inlineStr">
        <is>
          <t>마케팅2팀</t>
        </is>
      </c>
      <c r="D73" s="42" t="n"/>
      <c r="E73" s="43" t="inlineStr">
        <is>
          <t>기획</t>
        </is>
      </c>
      <c r="F73" s="44" t="n"/>
      <c r="G73" s="45" t="n"/>
      <c r="H73" s="46">
        <f>IF($I$73="","",IF($I$73&lt;0,"🔴지연",IF($I$73&lt;=1,"🟡임박","🟢여유")))</f>
        <v/>
      </c>
      <c r="I73" s="47">
        <f>IF(OR($G$73="",$K$73=""),"",$G$73-$K$73)</f>
        <v/>
      </c>
      <c r="J73" s="48">
        <f>IF(SUM($L$73:$L$75)=0,"",SUM($L$73:$L$75))</f>
        <v/>
      </c>
      <c r="K73" s="49">
        <f>IF($J$73="","",MAX($N$73:$N$75))</f>
        <v/>
      </c>
      <c r="L73" s="50">
        <f>IF(SUM(U73:AY73)=0,"",SUM(U73:AY73))</f>
        <v/>
      </c>
      <c r="M73" s="51">
        <f>IFERROR(INDEX(U$2:AY$2,MATCH(TRUE,INDEX(U73:AY73&lt;&gt;"",0),0)),"")</f>
        <v/>
      </c>
      <c r="N73" s="51">
        <f>IFERROR(LOOKUP(2,1/(U73:AY73&lt;&gt;""),U$2:AY$2),"")</f>
        <v/>
      </c>
      <c r="O73" s="52" t="n"/>
      <c r="P73" s="52" t="n"/>
      <c r="Q73" s="52" t="n"/>
      <c r="R73" s="44" t="n"/>
      <c r="S73" s="14" t="n"/>
      <c r="U73" s="53" t="n"/>
      <c r="V73" s="53" t="n"/>
      <c r="W73" s="53" t="n"/>
      <c r="X73" s="53" t="n"/>
      <c r="Y73" s="53" t="n"/>
      <c r="Z73" s="53" t="n"/>
      <c r="AA73" s="53" t="n"/>
      <c r="AB73" s="53" t="n"/>
      <c r="AC73" s="53" t="n"/>
      <c r="AD73" s="53" t="n"/>
      <c r="AE73" s="53" t="n"/>
      <c r="AF73" s="53" t="n"/>
      <c r="AG73" s="53" t="n"/>
      <c r="AH73" s="53" t="n"/>
      <c r="AI73" s="53" t="n"/>
      <c r="AJ73" s="53" t="n"/>
      <c r="AK73" s="53" t="n"/>
      <c r="AL73" s="53" t="n"/>
      <c r="AM73" s="53" t="n"/>
      <c r="AN73" s="53" t="n"/>
      <c r="AO73" s="53" t="n"/>
      <c r="AP73" s="53" t="n"/>
      <c r="AQ73" s="53" t="n"/>
      <c r="AR73" s="53" t="n"/>
      <c r="AS73" s="53" t="n"/>
      <c r="AT73" s="53" t="n"/>
      <c r="AU73" s="53" t="n"/>
      <c r="AV73" s="53" t="n"/>
      <c r="AW73" s="53" t="n"/>
      <c r="AX73" s="53" t="n"/>
      <c r="AY73" s="53" t="n"/>
    </row>
    <row r="74" ht="15" customHeight="1">
      <c r="A74" s="54" t="n"/>
      <c r="B74" s="55">
        <f>IF($B$73="","",$B$73)</f>
        <v/>
      </c>
      <c r="C74" s="56" t="inlineStr">
        <is>
          <t>마케팅2팀</t>
        </is>
      </c>
      <c r="D74" s="55">
        <f>IF($D$73="","",$D$73)</f>
        <v/>
      </c>
      <c r="E74" s="57" t="inlineStr">
        <is>
          <t>이미지</t>
        </is>
      </c>
      <c r="F74" s="44" t="n"/>
      <c r="G74" s="58">
        <f>IF($G$73="","",$G$73)</f>
        <v/>
      </c>
      <c r="H74" s="59" t="n"/>
      <c r="I74" s="59" t="n"/>
      <c r="J74" s="59" t="n"/>
      <c r="K74" s="59" t="n"/>
      <c r="L74" s="60">
        <f>IF(SUM(U74:AY74)=0,"",SUM(U74:AY74))</f>
        <v/>
      </c>
      <c r="M74" s="61">
        <f>IFERROR(INDEX(U$2:AY$2,MATCH(TRUE,INDEX(U74:AY74&lt;&gt;"",0),0)),"")</f>
        <v/>
      </c>
      <c r="N74" s="61">
        <f>IFERROR(LOOKUP(2,1/(U74:AY74&lt;&gt;""),U$2:AY$2),"")</f>
        <v/>
      </c>
      <c r="O74" s="59" t="n"/>
      <c r="P74" s="59" t="n"/>
      <c r="Q74" s="59" t="n"/>
      <c r="R74" s="59" t="n"/>
      <c r="S74" s="14" t="n"/>
      <c r="U74" s="53" t="n"/>
      <c r="V74" s="53" t="n"/>
      <c r="W74" s="53" t="n"/>
      <c r="X74" s="53" t="n"/>
      <c r="Y74" s="53" t="n"/>
      <c r="Z74" s="53" t="n"/>
      <c r="AA74" s="53" t="n"/>
      <c r="AB74" s="53" t="n"/>
      <c r="AC74" s="53" t="n"/>
      <c r="AD74" s="53" t="n"/>
      <c r="AE74" s="53" t="n"/>
      <c r="AF74" s="53" t="n"/>
      <c r="AG74" s="53" t="n"/>
      <c r="AH74" s="53" t="n"/>
      <c r="AI74" s="53" t="n"/>
      <c r="AJ74" s="53" t="n"/>
      <c r="AK74" s="53" t="n"/>
      <c r="AL74" s="53" t="n"/>
      <c r="AM74" s="53" t="n"/>
      <c r="AN74" s="53" t="n"/>
      <c r="AO74" s="53" t="n"/>
      <c r="AP74" s="53" t="n"/>
      <c r="AQ74" s="53" t="n"/>
      <c r="AR74" s="53" t="n"/>
      <c r="AS74" s="53" t="n"/>
      <c r="AT74" s="53" t="n"/>
      <c r="AU74" s="53" t="n"/>
      <c r="AV74" s="53" t="n"/>
      <c r="AW74" s="53" t="n"/>
      <c r="AX74" s="53" t="n"/>
      <c r="AY74" s="53" t="n"/>
    </row>
    <row r="75" ht="15" customHeight="1">
      <c r="A75" s="62" t="n"/>
      <c r="B75" s="55">
        <f>IF($B$73="","",$B$73)</f>
        <v/>
      </c>
      <c r="C75" s="63" t="inlineStr">
        <is>
          <t>마케팅2팀</t>
        </is>
      </c>
      <c r="D75" s="55">
        <f>IF($D$73="","",$D$73)</f>
        <v/>
      </c>
      <c r="E75" s="64" t="inlineStr">
        <is>
          <t>영상</t>
        </is>
      </c>
      <c r="F75" s="44" t="n"/>
      <c r="G75" s="58">
        <f>IF($G$73="","",$G$73)</f>
        <v/>
      </c>
      <c r="H75" s="59" t="n"/>
      <c r="I75" s="59" t="n"/>
      <c r="J75" s="59" t="n"/>
      <c r="K75" s="59" t="n"/>
      <c r="L75" s="65">
        <f>IF(SUM(U75:AY75)=0,"",SUM(U75:AY75))</f>
        <v/>
      </c>
      <c r="M75" s="66">
        <f>IFERROR(INDEX(U$2:AY$2,MATCH(TRUE,INDEX(U75:AY75&lt;&gt;"",0),0)),"")</f>
        <v/>
      </c>
      <c r="N75" s="66">
        <f>IFERROR(LOOKUP(2,1/(U75:AY75&lt;&gt;""),U$2:AY$2),"")</f>
        <v/>
      </c>
      <c r="O75" s="59" t="n"/>
      <c r="P75" s="59" t="n"/>
      <c r="Q75" s="59" t="n"/>
      <c r="R75" s="59" t="n"/>
      <c r="S75" s="14" t="n"/>
      <c r="U75" s="53" t="n"/>
      <c r="V75" s="53" t="n"/>
      <c r="W75" s="53" t="n"/>
      <c r="X75" s="53" t="n"/>
      <c r="Y75" s="53" t="n"/>
      <c r="Z75" s="53" t="n"/>
      <c r="AA75" s="53" t="n"/>
      <c r="AB75" s="53" t="n"/>
      <c r="AC75" s="53" t="n"/>
      <c r="AD75" s="53" t="n"/>
      <c r="AE75" s="53" t="n"/>
      <c r="AF75" s="53" t="n"/>
      <c r="AG75" s="53" t="n"/>
      <c r="AH75" s="53" t="n"/>
      <c r="AI75" s="53" t="n"/>
      <c r="AJ75" s="53" t="n"/>
      <c r="AK75" s="53" t="n"/>
      <c r="AL75" s="53" t="n"/>
      <c r="AM75" s="53" t="n"/>
      <c r="AN75" s="53" t="n"/>
      <c r="AO75" s="53" t="n"/>
      <c r="AP75" s="53" t="n"/>
      <c r="AQ75" s="53" t="n"/>
      <c r="AR75" s="53" t="n"/>
      <c r="AS75" s="53" t="n"/>
      <c r="AT75" s="53" t="n"/>
      <c r="AU75" s="53" t="n"/>
      <c r="AV75" s="53" t="n"/>
      <c r="AW75" s="53" t="n"/>
      <c r="AX75" s="53" t="n"/>
      <c r="AY75" s="53" t="n"/>
    </row>
    <row r="76" ht="15" customHeight="1">
      <c r="A76" s="40">
        <f>IF($D$76="","",23)</f>
        <v/>
      </c>
      <c r="B76" s="10" t="n"/>
      <c r="C76" s="41" t="inlineStr">
        <is>
          <t>마케팅2팀</t>
        </is>
      </c>
      <c r="D76" s="42" t="n"/>
      <c r="E76" s="43" t="inlineStr">
        <is>
          <t>기획</t>
        </is>
      </c>
      <c r="F76" s="44" t="n"/>
      <c r="G76" s="45" t="n"/>
      <c r="H76" s="46">
        <f>IF($I$76="","",IF($I$76&lt;0,"🔴지연",IF($I$76&lt;=1,"🟡임박","🟢여유")))</f>
        <v/>
      </c>
      <c r="I76" s="47">
        <f>IF(OR($G$76="",$K$76=""),"",$G$76-$K$76)</f>
        <v/>
      </c>
      <c r="J76" s="48">
        <f>IF(SUM($L$76:$L$78)=0,"",SUM($L$76:$L$78))</f>
        <v/>
      </c>
      <c r="K76" s="49">
        <f>IF($J$76="","",MAX($N$76:$N$78))</f>
        <v/>
      </c>
      <c r="L76" s="50">
        <f>IF(SUM(U76:AY76)=0,"",SUM(U76:AY76))</f>
        <v/>
      </c>
      <c r="M76" s="51">
        <f>IFERROR(INDEX(U$2:AY$2,MATCH(TRUE,INDEX(U76:AY76&lt;&gt;"",0),0)),"")</f>
        <v/>
      </c>
      <c r="N76" s="51">
        <f>IFERROR(LOOKUP(2,1/(U76:AY76&lt;&gt;""),U$2:AY$2),"")</f>
        <v/>
      </c>
      <c r="O76" s="52" t="n"/>
      <c r="P76" s="52" t="n"/>
      <c r="Q76" s="52" t="n"/>
      <c r="R76" s="44" t="n"/>
      <c r="S76" s="14" t="n"/>
      <c r="U76" s="53" t="n"/>
      <c r="V76" s="53" t="n"/>
      <c r="W76" s="53" t="n"/>
      <c r="X76" s="53" t="n"/>
      <c r="Y76" s="53" t="n"/>
      <c r="Z76" s="53" t="n"/>
      <c r="AA76" s="53" t="n"/>
      <c r="AB76" s="53" t="n"/>
      <c r="AC76" s="53" t="n"/>
      <c r="AD76" s="53" t="n"/>
      <c r="AE76" s="53" t="n"/>
      <c r="AF76" s="53" t="n"/>
      <c r="AG76" s="53" t="n"/>
      <c r="AH76" s="53" t="n"/>
      <c r="AI76" s="53" t="n"/>
      <c r="AJ76" s="53" t="n"/>
      <c r="AK76" s="53" t="n"/>
      <c r="AL76" s="53" t="n"/>
      <c r="AM76" s="53" t="n"/>
      <c r="AN76" s="53" t="n"/>
      <c r="AO76" s="53" t="n"/>
      <c r="AP76" s="53" t="n"/>
      <c r="AQ76" s="53" t="n"/>
      <c r="AR76" s="53" t="n"/>
      <c r="AS76" s="53" t="n"/>
      <c r="AT76" s="53" t="n"/>
      <c r="AU76" s="53" t="n"/>
      <c r="AV76" s="53" t="n"/>
      <c r="AW76" s="53" t="n"/>
      <c r="AX76" s="53" t="n"/>
      <c r="AY76" s="53" t="n"/>
    </row>
    <row r="77" ht="15" customHeight="1">
      <c r="A77" s="54" t="n"/>
      <c r="B77" s="55">
        <f>IF($B$76="","",$B$76)</f>
        <v/>
      </c>
      <c r="C77" s="56" t="inlineStr">
        <is>
          <t>마케팅2팀</t>
        </is>
      </c>
      <c r="D77" s="55">
        <f>IF($D$76="","",$D$76)</f>
        <v/>
      </c>
      <c r="E77" s="57" t="inlineStr">
        <is>
          <t>이미지</t>
        </is>
      </c>
      <c r="F77" s="44" t="n"/>
      <c r="G77" s="58">
        <f>IF($G$76="","",$G$76)</f>
        <v/>
      </c>
      <c r="H77" s="59" t="n"/>
      <c r="I77" s="59" t="n"/>
      <c r="J77" s="59" t="n"/>
      <c r="K77" s="59" t="n"/>
      <c r="L77" s="60">
        <f>IF(SUM(U77:AY77)=0,"",SUM(U77:AY77))</f>
        <v/>
      </c>
      <c r="M77" s="61">
        <f>IFERROR(INDEX(U$2:AY$2,MATCH(TRUE,INDEX(U77:AY77&lt;&gt;"",0),0)),"")</f>
        <v/>
      </c>
      <c r="N77" s="61">
        <f>IFERROR(LOOKUP(2,1/(U77:AY77&lt;&gt;""),U$2:AY$2),"")</f>
        <v/>
      </c>
      <c r="O77" s="59" t="n"/>
      <c r="P77" s="59" t="n"/>
      <c r="Q77" s="59" t="n"/>
      <c r="R77" s="59" t="n"/>
      <c r="S77" s="14" t="n"/>
      <c r="U77" s="53" t="n"/>
      <c r="V77" s="53" t="n"/>
      <c r="W77" s="53" t="n"/>
      <c r="X77" s="53" t="n"/>
      <c r="Y77" s="53" t="n"/>
      <c r="Z77" s="53" t="n"/>
      <c r="AA77" s="53" t="n"/>
      <c r="AB77" s="53" t="n"/>
      <c r="AC77" s="53" t="n"/>
      <c r="AD77" s="53" t="n"/>
      <c r="AE77" s="53" t="n"/>
      <c r="AF77" s="53" t="n"/>
      <c r="AG77" s="53" t="n"/>
      <c r="AH77" s="53" t="n"/>
      <c r="AI77" s="53" t="n"/>
      <c r="AJ77" s="53" t="n"/>
      <c r="AK77" s="53" t="n"/>
      <c r="AL77" s="53" t="n"/>
      <c r="AM77" s="53" t="n"/>
      <c r="AN77" s="53" t="n"/>
      <c r="AO77" s="53" t="n"/>
      <c r="AP77" s="53" t="n"/>
      <c r="AQ77" s="53" t="n"/>
      <c r="AR77" s="53" t="n"/>
      <c r="AS77" s="53" t="n"/>
      <c r="AT77" s="53" t="n"/>
      <c r="AU77" s="53" t="n"/>
      <c r="AV77" s="53" t="n"/>
      <c r="AW77" s="53" t="n"/>
      <c r="AX77" s="53" t="n"/>
      <c r="AY77" s="53" t="n"/>
    </row>
    <row r="78" ht="15" customHeight="1">
      <c r="A78" s="62" t="n"/>
      <c r="B78" s="55">
        <f>IF($B$76="","",$B$76)</f>
        <v/>
      </c>
      <c r="C78" s="63" t="inlineStr">
        <is>
          <t>마케팅2팀</t>
        </is>
      </c>
      <c r="D78" s="55">
        <f>IF($D$76="","",$D$76)</f>
        <v/>
      </c>
      <c r="E78" s="64" t="inlineStr">
        <is>
          <t>영상</t>
        </is>
      </c>
      <c r="F78" s="44" t="n"/>
      <c r="G78" s="58">
        <f>IF($G$76="","",$G$76)</f>
        <v/>
      </c>
      <c r="H78" s="59" t="n"/>
      <c r="I78" s="59" t="n"/>
      <c r="J78" s="59" t="n"/>
      <c r="K78" s="59" t="n"/>
      <c r="L78" s="65">
        <f>IF(SUM(U78:AY78)=0,"",SUM(U78:AY78))</f>
        <v/>
      </c>
      <c r="M78" s="66">
        <f>IFERROR(INDEX(U$2:AY$2,MATCH(TRUE,INDEX(U78:AY78&lt;&gt;"",0),0)),"")</f>
        <v/>
      </c>
      <c r="N78" s="66">
        <f>IFERROR(LOOKUP(2,1/(U78:AY78&lt;&gt;""),U$2:AY$2),"")</f>
        <v/>
      </c>
      <c r="O78" s="59" t="n"/>
      <c r="P78" s="59" t="n"/>
      <c r="Q78" s="59" t="n"/>
      <c r="R78" s="59" t="n"/>
      <c r="S78" s="14" t="n"/>
      <c r="U78" s="53" t="n"/>
      <c r="V78" s="53" t="n"/>
      <c r="W78" s="53" t="n"/>
      <c r="X78" s="53" t="n"/>
      <c r="Y78" s="53" t="n"/>
      <c r="Z78" s="53" t="n"/>
      <c r="AA78" s="53" t="n"/>
      <c r="AB78" s="53" t="n"/>
      <c r="AC78" s="53" t="n"/>
      <c r="AD78" s="53" t="n"/>
      <c r="AE78" s="53" t="n"/>
      <c r="AF78" s="53" t="n"/>
      <c r="AG78" s="53" t="n"/>
      <c r="AH78" s="53" t="n"/>
      <c r="AI78" s="53" t="n"/>
      <c r="AJ78" s="53" t="n"/>
      <c r="AK78" s="53" t="n"/>
      <c r="AL78" s="53" t="n"/>
      <c r="AM78" s="53" t="n"/>
      <c r="AN78" s="53" t="n"/>
      <c r="AO78" s="53" t="n"/>
      <c r="AP78" s="53" t="n"/>
      <c r="AQ78" s="53" t="n"/>
      <c r="AR78" s="53" t="n"/>
      <c r="AS78" s="53" t="n"/>
      <c r="AT78" s="53" t="n"/>
      <c r="AU78" s="53" t="n"/>
      <c r="AV78" s="53" t="n"/>
      <c r="AW78" s="53" t="n"/>
      <c r="AX78" s="53" t="n"/>
      <c r="AY78" s="53" t="n"/>
    </row>
    <row r="79" ht="15" customHeight="1">
      <c r="A79" s="40">
        <f>IF($D$79="","",24)</f>
        <v/>
      </c>
      <c r="B79" s="10" t="n"/>
      <c r="C79" s="41" t="inlineStr">
        <is>
          <t>마케팅2팀</t>
        </is>
      </c>
      <c r="D79" s="42" t="n"/>
      <c r="E79" s="43" t="inlineStr">
        <is>
          <t>기획</t>
        </is>
      </c>
      <c r="F79" s="44" t="n"/>
      <c r="G79" s="45" t="n"/>
      <c r="H79" s="46">
        <f>IF($I$79="","",IF($I$79&lt;0,"🔴지연",IF($I$79&lt;=1,"🟡임박","🟢여유")))</f>
        <v/>
      </c>
      <c r="I79" s="47">
        <f>IF(OR($G$79="",$K$79=""),"",$G$79-$K$79)</f>
        <v/>
      </c>
      <c r="J79" s="48">
        <f>IF(SUM($L$79:$L$81)=0,"",SUM($L$79:$L$81))</f>
        <v/>
      </c>
      <c r="K79" s="49">
        <f>IF($J$79="","",MAX($N$79:$N$81))</f>
        <v/>
      </c>
      <c r="L79" s="50">
        <f>IF(SUM(U79:AY79)=0,"",SUM(U79:AY79))</f>
        <v/>
      </c>
      <c r="M79" s="51">
        <f>IFERROR(INDEX(U$2:AY$2,MATCH(TRUE,INDEX(U79:AY79&lt;&gt;"",0),0)),"")</f>
        <v/>
      </c>
      <c r="N79" s="51">
        <f>IFERROR(LOOKUP(2,1/(U79:AY79&lt;&gt;""),U$2:AY$2),"")</f>
        <v/>
      </c>
      <c r="O79" s="52" t="n"/>
      <c r="P79" s="52" t="n"/>
      <c r="Q79" s="52" t="n"/>
      <c r="R79" s="44" t="n"/>
      <c r="S79" s="14" t="n"/>
      <c r="U79" s="53" t="n"/>
      <c r="V79" s="53" t="n"/>
      <c r="W79" s="53" t="n"/>
      <c r="X79" s="53" t="n"/>
      <c r="Y79" s="53" t="n"/>
      <c r="Z79" s="53" t="n"/>
      <c r="AA79" s="53" t="n"/>
      <c r="AB79" s="53" t="n"/>
      <c r="AC79" s="53" t="n"/>
      <c r="AD79" s="53" t="n"/>
      <c r="AE79" s="53" t="n"/>
      <c r="AF79" s="53" t="n"/>
      <c r="AG79" s="53" t="n"/>
      <c r="AH79" s="53" t="n"/>
      <c r="AI79" s="53" t="n"/>
      <c r="AJ79" s="53" t="n"/>
      <c r="AK79" s="53" t="n"/>
      <c r="AL79" s="53" t="n"/>
      <c r="AM79" s="53" t="n"/>
      <c r="AN79" s="53" t="n"/>
      <c r="AO79" s="53" t="n"/>
      <c r="AP79" s="53" t="n"/>
      <c r="AQ79" s="53" t="n"/>
      <c r="AR79" s="53" t="n"/>
      <c r="AS79" s="53" t="n"/>
      <c r="AT79" s="53" t="n"/>
      <c r="AU79" s="53" t="n"/>
      <c r="AV79" s="53" t="n"/>
      <c r="AW79" s="53" t="n"/>
      <c r="AX79" s="53" t="n"/>
      <c r="AY79" s="53" t="n"/>
    </row>
    <row r="80" ht="15" customHeight="1">
      <c r="A80" s="54" t="n"/>
      <c r="B80" s="55">
        <f>IF($B$79="","",$B$79)</f>
        <v/>
      </c>
      <c r="C80" s="56" t="inlineStr">
        <is>
          <t>마케팅2팀</t>
        </is>
      </c>
      <c r="D80" s="55">
        <f>IF($D$79="","",$D$79)</f>
        <v/>
      </c>
      <c r="E80" s="57" t="inlineStr">
        <is>
          <t>이미지</t>
        </is>
      </c>
      <c r="F80" s="44" t="n"/>
      <c r="G80" s="58">
        <f>IF($G$79="","",$G$79)</f>
        <v/>
      </c>
      <c r="H80" s="59" t="n"/>
      <c r="I80" s="59" t="n"/>
      <c r="J80" s="59" t="n"/>
      <c r="K80" s="59" t="n"/>
      <c r="L80" s="60">
        <f>IF(SUM(U80:AY80)=0,"",SUM(U80:AY80))</f>
        <v/>
      </c>
      <c r="M80" s="61">
        <f>IFERROR(INDEX(U$2:AY$2,MATCH(TRUE,INDEX(U80:AY80&lt;&gt;"",0),0)),"")</f>
        <v/>
      </c>
      <c r="N80" s="61">
        <f>IFERROR(LOOKUP(2,1/(U80:AY80&lt;&gt;""),U$2:AY$2),"")</f>
        <v/>
      </c>
      <c r="O80" s="59" t="n"/>
      <c r="P80" s="59" t="n"/>
      <c r="Q80" s="59" t="n"/>
      <c r="R80" s="59" t="n"/>
      <c r="S80" s="14" t="n"/>
      <c r="U80" s="53" t="n"/>
      <c r="V80" s="53" t="n"/>
      <c r="W80" s="53" t="n"/>
      <c r="X80" s="53" t="n"/>
      <c r="Y80" s="53" t="n"/>
      <c r="Z80" s="53" t="n"/>
      <c r="AA80" s="53" t="n"/>
      <c r="AB80" s="53" t="n"/>
      <c r="AC80" s="53" t="n"/>
      <c r="AD80" s="53" t="n"/>
      <c r="AE80" s="53" t="n"/>
      <c r="AF80" s="53" t="n"/>
      <c r="AG80" s="53" t="n"/>
      <c r="AH80" s="53" t="n"/>
      <c r="AI80" s="53" t="n"/>
      <c r="AJ80" s="53" t="n"/>
      <c r="AK80" s="53" t="n"/>
      <c r="AL80" s="53" t="n"/>
      <c r="AM80" s="53" t="n"/>
      <c r="AN80" s="53" t="n"/>
      <c r="AO80" s="53" t="n"/>
      <c r="AP80" s="53" t="n"/>
      <c r="AQ80" s="53" t="n"/>
      <c r="AR80" s="53" t="n"/>
      <c r="AS80" s="53" t="n"/>
      <c r="AT80" s="53" t="n"/>
      <c r="AU80" s="53" t="n"/>
      <c r="AV80" s="53" t="n"/>
      <c r="AW80" s="53" t="n"/>
      <c r="AX80" s="53" t="n"/>
      <c r="AY80" s="53" t="n"/>
    </row>
    <row r="81" ht="15" customHeight="1">
      <c r="A81" s="62" t="n"/>
      <c r="B81" s="55">
        <f>IF($B$79="","",$B$79)</f>
        <v/>
      </c>
      <c r="C81" s="63" t="inlineStr">
        <is>
          <t>마케팅2팀</t>
        </is>
      </c>
      <c r="D81" s="55">
        <f>IF($D$79="","",$D$79)</f>
        <v/>
      </c>
      <c r="E81" s="64" t="inlineStr">
        <is>
          <t>영상</t>
        </is>
      </c>
      <c r="F81" s="44" t="n"/>
      <c r="G81" s="58">
        <f>IF($G$79="","",$G$79)</f>
        <v/>
      </c>
      <c r="H81" s="59" t="n"/>
      <c r="I81" s="59" t="n"/>
      <c r="J81" s="59" t="n"/>
      <c r="K81" s="59" t="n"/>
      <c r="L81" s="65">
        <f>IF(SUM(U81:AY81)=0,"",SUM(U81:AY81))</f>
        <v/>
      </c>
      <c r="M81" s="66">
        <f>IFERROR(INDEX(U$2:AY$2,MATCH(TRUE,INDEX(U81:AY81&lt;&gt;"",0),0)),"")</f>
        <v/>
      </c>
      <c r="N81" s="66">
        <f>IFERROR(LOOKUP(2,1/(U81:AY81&lt;&gt;""),U$2:AY$2),"")</f>
        <v/>
      </c>
      <c r="O81" s="59" t="n"/>
      <c r="P81" s="59" t="n"/>
      <c r="Q81" s="59" t="n"/>
      <c r="R81" s="59" t="n"/>
      <c r="S81" s="14" t="n"/>
      <c r="U81" s="53" t="n"/>
      <c r="V81" s="53" t="n"/>
      <c r="W81" s="53" t="n"/>
      <c r="X81" s="53" t="n"/>
      <c r="Y81" s="53" t="n"/>
      <c r="Z81" s="53" t="n"/>
      <c r="AA81" s="53" t="n"/>
      <c r="AB81" s="53" t="n"/>
      <c r="AC81" s="53" t="n"/>
      <c r="AD81" s="53" t="n"/>
      <c r="AE81" s="53" t="n"/>
      <c r="AF81" s="53" t="n"/>
      <c r="AG81" s="53" t="n"/>
      <c r="AH81" s="53" t="n"/>
      <c r="AI81" s="53" t="n"/>
      <c r="AJ81" s="53" t="n"/>
      <c r="AK81" s="53" t="n"/>
      <c r="AL81" s="53" t="n"/>
      <c r="AM81" s="53" t="n"/>
      <c r="AN81" s="53" t="n"/>
      <c r="AO81" s="53" t="n"/>
      <c r="AP81" s="53" t="n"/>
      <c r="AQ81" s="53" t="n"/>
      <c r="AR81" s="53" t="n"/>
      <c r="AS81" s="53" t="n"/>
      <c r="AT81" s="53" t="n"/>
      <c r="AU81" s="53" t="n"/>
      <c r="AV81" s="53" t="n"/>
      <c r="AW81" s="53" t="n"/>
      <c r="AX81" s="53" t="n"/>
      <c r="AY81" s="53" t="n"/>
    </row>
    <row r="82" ht="15" customHeight="1">
      <c r="A82" s="40">
        <f>IF($D$82="","",25)</f>
        <v/>
      </c>
      <c r="B82" s="10" t="n"/>
      <c r="C82" s="41" t="inlineStr">
        <is>
          <t>마케팅2팀</t>
        </is>
      </c>
      <c r="D82" s="42" t="n"/>
      <c r="E82" s="43" t="inlineStr">
        <is>
          <t>기획</t>
        </is>
      </c>
      <c r="F82" s="44" t="n"/>
      <c r="G82" s="45" t="n"/>
      <c r="H82" s="46">
        <f>IF($I$82="","",IF($I$82&lt;0,"🔴지연",IF($I$82&lt;=1,"🟡임박","🟢여유")))</f>
        <v/>
      </c>
      <c r="I82" s="47">
        <f>IF(OR($G$82="",$K$82=""),"",$G$82-$K$82)</f>
        <v/>
      </c>
      <c r="J82" s="48">
        <f>IF(SUM($L$82:$L$84)=0,"",SUM($L$82:$L$84))</f>
        <v/>
      </c>
      <c r="K82" s="49">
        <f>IF($J$82="","",MAX($N$82:$N$84))</f>
        <v/>
      </c>
      <c r="L82" s="50">
        <f>IF(SUM(U82:AY82)=0,"",SUM(U82:AY82))</f>
        <v/>
      </c>
      <c r="M82" s="51">
        <f>IFERROR(INDEX(U$2:AY$2,MATCH(TRUE,INDEX(U82:AY82&lt;&gt;"",0),0)),"")</f>
        <v/>
      </c>
      <c r="N82" s="51">
        <f>IFERROR(LOOKUP(2,1/(U82:AY82&lt;&gt;""),U$2:AY$2),"")</f>
        <v/>
      </c>
      <c r="O82" s="52" t="n"/>
      <c r="P82" s="52" t="n"/>
      <c r="Q82" s="52" t="n"/>
      <c r="R82" s="44" t="n"/>
      <c r="S82" s="14" t="n"/>
      <c r="U82" s="53" t="n"/>
      <c r="V82" s="53" t="n"/>
      <c r="W82" s="53" t="n"/>
      <c r="X82" s="53" t="n"/>
      <c r="Y82" s="53" t="n"/>
      <c r="Z82" s="53" t="n"/>
      <c r="AA82" s="53" t="n"/>
      <c r="AB82" s="53" t="n"/>
      <c r="AC82" s="53" t="n"/>
      <c r="AD82" s="53" t="n"/>
      <c r="AE82" s="53" t="n"/>
      <c r="AF82" s="53" t="n"/>
      <c r="AG82" s="53" t="n"/>
      <c r="AH82" s="53" t="n"/>
      <c r="AI82" s="53" t="n"/>
      <c r="AJ82" s="53" t="n"/>
      <c r="AK82" s="53" t="n"/>
      <c r="AL82" s="53" t="n"/>
      <c r="AM82" s="53" t="n"/>
      <c r="AN82" s="53" t="n"/>
      <c r="AO82" s="53" t="n"/>
      <c r="AP82" s="53" t="n"/>
      <c r="AQ82" s="53" t="n"/>
      <c r="AR82" s="53" t="n"/>
      <c r="AS82" s="53" t="n"/>
      <c r="AT82" s="53" t="n"/>
      <c r="AU82" s="53" t="n"/>
      <c r="AV82" s="53" t="n"/>
      <c r="AW82" s="53" t="n"/>
      <c r="AX82" s="53" t="n"/>
      <c r="AY82" s="53" t="n"/>
    </row>
    <row r="83" ht="15" customHeight="1">
      <c r="A83" s="54" t="n"/>
      <c r="B83" s="55">
        <f>IF($B$82="","",$B$82)</f>
        <v/>
      </c>
      <c r="C83" s="56" t="inlineStr">
        <is>
          <t>마케팅2팀</t>
        </is>
      </c>
      <c r="D83" s="55">
        <f>IF($D$82="","",$D$82)</f>
        <v/>
      </c>
      <c r="E83" s="57" t="inlineStr">
        <is>
          <t>이미지</t>
        </is>
      </c>
      <c r="F83" s="44" t="n"/>
      <c r="G83" s="58">
        <f>IF($G$82="","",$G$82)</f>
        <v/>
      </c>
      <c r="H83" s="59" t="n"/>
      <c r="I83" s="59" t="n"/>
      <c r="J83" s="59" t="n"/>
      <c r="K83" s="59" t="n"/>
      <c r="L83" s="60">
        <f>IF(SUM(U83:AY83)=0,"",SUM(U83:AY83))</f>
        <v/>
      </c>
      <c r="M83" s="61">
        <f>IFERROR(INDEX(U$2:AY$2,MATCH(TRUE,INDEX(U83:AY83&lt;&gt;"",0),0)),"")</f>
        <v/>
      </c>
      <c r="N83" s="61">
        <f>IFERROR(LOOKUP(2,1/(U83:AY83&lt;&gt;""),U$2:AY$2),"")</f>
        <v/>
      </c>
      <c r="O83" s="59" t="n"/>
      <c r="P83" s="59" t="n"/>
      <c r="Q83" s="59" t="n"/>
      <c r="R83" s="59" t="n"/>
      <c r="S83" s="14" t="n"/>
      <c r="U83" s="53" t="n"/>
      <c r="V83" s="53" t="n"/>
      <c r="W83" s="53" t="n"/>
      <c r="X83" s="53" t="n"/>
      <c r="Y83" s="53" t="n"/>
      <c r="Z83" s="53" t="n"/>
      <c r="AA83" s="53" t="n"/>
      <c r="AB83" s="53" t="n"/>
      <c r="AC83" s="53" t="n"/>
      <c r="AD83" s="53" t="n"/>
      <c r="AE83" s="53" t="n"/>
      <c r="AF83" s="53" t="n"/>
      <c r="AG83" s="53" t="n"/>
      <c r="AH83" s="53" t="n"/>
      <c r="AI83" s="53" t="n"/>
      <c r="AJ83" s="53" t="n"/>
      <c r="AK83" s="53" t="n"/>
      <c r="AL83" s="53" t="n"/>
      <c r="AM83" s="53" t="n"/>
      <c r="AN83" s="53" t="n"/>
      <c r="AO83" s="53" t="n"/>
      <c r="AP83" s="53" t="n"/>
      <c r="AQ83" s="53" t="n"/>
      <c r="AR83" s="53" t="n"/>
      <c r="AS83" s="53" t="n"/>
      <c r="AT83" s="53" t="n"/>
      <c r="AU83" s="53" t="n"/>
      <c r="AV83" s="53" t="n"/>
      <c r="AW83" s="53" t="n"/>
      <c r="AX83" s="53" t="n"/>
      <c r="AY83" s="53" t="n"/>
    </row>
    <row r="84" ht="15" customHeight="1">
      <c r="A84" s="62" t="n"/>
      <c r="B84" s="55">
        <f>IF($B$82="","",$B$82)</f>
        <v/>
      </c>
      <c r="C84" s="63" t="inlineStr">
        <is>
          <t>마케팅2팀</t>
        </is>
      </c>
      <c r="D84" s="55">
        <f>IF($D$82="","",$D$82)</f>
        <v/>
      </c>
      <c r="E84" s="64" t="inlineStr">
        <is>
          <t>영상</t>
        </is>
      </c>
      <c r="F84" s="44" t="n"/>
      <c r="G84" s="58">
        <f>IF($G$82="","",$G$82)</f>
        <v/>
      </c>
      <c r="H84" s="59" t="n"/>
      <c r="I84" s="59" t="n"/>
      <c r="J84" s="59" t="n"/>
      <c r="K84" s="59" t="n"/>
      <c r="L84" s="65">
        <f>IF(SUM(U84:AY84)=0,"",SUM(U84:AY84))</f>
        <v/>
      </c>
      <c r="M84" s="66">
        <f>IFERROR(INDEX(U$2:AY$2,MATCH(TRUE,INDEX(U84:AY84&lt;&gt;"",0),0)),"")</f>
        <v/>
      </c>
      <c r="N84" s="66">
        <f>IFERROR(LOOKUP(2,1/(U84:AY84&lt;&gt;""),U$2:AY$2),"")</f>
        <v/>
      </c>
      <c r="O84" s="59" t="n"/>
      <c r="P84" s="59" t="n"/>
      <c r="Q84" s="59" t="n"/>
      <c r="R84" s="59" t="n"/>
      <c r="S84" s="14" t="n"/>
      <c r="U84" s="53" t="n"/>
      <c r="V84" s="53" t="n"/>
      <c r="W84" s="53" t="n"/>
      <c r="X84" s="53" t="n"/>
      <c r="Y84" s="53" t="n"/>
      <c r="Z84" s="53" t="n"/>
      <c r="AA84" s="53" t="n"/>
      <c r="AB84" s="53" t="n"/>
      <c r="AC84" s="53" t="n"/>
      <c r="AD84" s="53" t="n"/>
      <c r="AE84" s="53" t="n"/>
      <c r="AF84" s="53" t="n"/>
      <c r="AG84" s="53" t="n"/>
      <c r="AH84" s="53" t="n"/>
      <c r="AI84" s="53" t="n"/>
      <c r="AJ84" s="53" t="n"/>
      <c r="AK84" s="53" t="n"/>
      <c r="AL84" s="53" t="n"/>
      <c r="AM84" s="53" t="n"/>
      <c r="AN84" s="53" t="n"/>
      <c r="AO84" s="53" t="n"/>
      <c r="AP84" s="53" t="n"/>
      <c r="AQ84" s="53" t="n"/>
      <c r="AR84" s="53" t="n"/>
      <c r="AS84" s="53" t="n"/>
      <c r="AT84" s="53" t="n"/>
      <c r="AU84" s="53" t="n"/>
      <c r="AV84" s="53" t="n"/>
      <c r="AW84" s="53" t="n"/>
      <c r="AX84" s="53" t="n"/>
      <c r="AY84" s="53" t="n"/>
    </row>
    <row r="85" ht="15" customHeight="1">
      <c r="A85" s="40">
        <f>IF($D$85="","",26)</f>
        <v/>
      </c>
      <c r="B85" s="10" t="n"/>
      <c r="C85" s="41" t="inlineStr">
        <is>
          <t>마케팅2팀</t>
        </is>
      </c>
      <c r="D85" s="42" t="n"/>
      <c r="E85" s="43" t="inlineStr">
        <is>
          <t>기획</t>
        </is>
      </c>
      <c r="F85" s="44" t="n"/>
      <c r="G85" s="45" t="n"/>
      <c r="H85" s="46">
        <f>IF($I$85="","",IF($I$85&lt;0,"🔴지연",IF($I$85&lt;=1,"🟡임박","🟢여유")))</f>
        <v/>
      </c>
      <c r="I85" s="47">
        <f>IF(OR($G$85="",$K$85=""),"",$G$85-$K$85)</f>
        <v/>
      </c>
      <c r="J85" s="48">
        <f>IF(SUM($L$85:$L$87)=0,"",SUM($L$85:$L$87))</f>
        <v/>
      </c>
      <c r="K85" s="49">
        <f>IF($J$85="","",MAX($N$85:$N$87))</f>
        <v/>
      </c>
      <c r="L85" s="50">
        <f>IF(SUM(U85:AY85)=0,"",SUM(U85:AY85))</f>
        <v/>
      </c>
      <c r="M85" s="51">
        <f>IFERROR(INDEX(U$2:AY$2,MATCH(TRUE,INDEX(U85:AY85&lt;&gt;"",0),0)),"")</f>
        <v/>
      </c>
      <c r="N85" s="51">
        <f>IFERROR(LOOKUP(2,1/(U85:AY85&lt;&gt;""),U$2:AY$2),"")</f>
        <v/>
      </c>
      <c r="O85" s="52" t="n"/>
      <c r="P85" s="52" t="n"/>
      <c r="Q85" s="52" t="n"/>
      <c r="R85" s="44" t="n"/>
      <c r="S85" s="14" t="n"/>
      <c r="U85" s="53" t="n"/>
      <c r="V85" s="53" t="n"/>
      <c r="W85" s="53" t="n"/>
      <c r="X85" s="53" t="n"/>
      <c r="Y85" s="53" t="n"/>
      <c r="Z85" s="53" t="n"/>
      <c r="AA85" s="53" t="n"/>
      <c r="AB85" s="53" t="n"/>
      <c r="AC85" s="53" t="n"/>
      <c r="AD85" s="53" t="n"/>
      <c r="AE85" s="53" t="n"/>
      <c r="AF85" s="53" t="n"/>
      <c r="AG85" s="53" t="n"/>
      <c r="AH85" s="53" t="n"/>
      <c r="AI85" s="53" t="n"/>
      <c r="AJ85" s="53" t="n"/>
      <c r="AK85" s="53" t="n"/>
      <c r="AL85" s="53" t="n"/>
      <c r="AM85" s="53" t="n"/>
      <c r="AN85" s="53" t="n"/>
      <c r="AO85" s="53" t="n"/>
      <c r="AP85" s="53" t="n"/>
      <c r="AQ85" s="53" t="n"/>
      <c r="AR85" s="53" t="n"/>
      <c r="AS85" s="53" t="n"/>
      <c r="AT85" s="53" t="n"/>
      <c r="AU85" s="53" t="n"/>
      <c r="AV85" s="53" t="n"/>
      <c r="AW85" s="53" t="n"/>
      <c r="AX85" s="53" t="n"/>
      <c r="AY85" s="53" t="n"/>
    </row>
    <row r="86" ht="15" customHeight="1">
      <c r="A86" s="54" t="n"/>
      <c r="B86" s="55">
        <f>IF($B$85="","",$B$85)</f>
        <v/>
      </c>
      <c r="C86" s="56" t="inlineStr">
        <is>
          <t>마케팅2팀</t>
        </is>
      </c>
      <c r="D86" s="55">
        <f>IF($D$85="","",$D$85)</f>
        <v/>
      </c>
      <c r="E86" s="57" t="inlineStr">
        <is>
          <t>이미지</t>
        </is>
      </c>
      <c r="F86" s="44" t="n"/>
      <c r="G86" s="58">
        <f>IF($G$85="","",$G$85)</f>
        <v/>
      </c>
      <c r="H86" s="59" t="n"/>
      <c r="I86" s="59" t="n"/>
      <c r="J86" s="59" t="n"/>
      <c r="K86" s="59" t="n"/>
      <c r="L86" s="60">
        <f>IF(SUM(U86:AY86)=0,"",SUM(U86:AY86))</f>
        <v/>
      </c>
      <c r="M86" s="61">
        <f>IFERROR(INDEX(U$2:AY$2,MATCH(TRUE,INDEX(U86:AY86&lt;&gt;"",0),0)),"")</f>
        <v/>
      </c>
      <c r="N86" s="61">
        <f>IFERROR(LOOKUP(2,1/(U86:AY86&lt;&gt;""),U$2:AY$2),"")</f>
        <v/>
      </c>
      <c r="O86" s="59" t="n"/>
      <c r="P86" s="59" t="n"/>
      <c r="Q86" s="59" t="n"/>
      <c r="R86" s="59" t="n"/>
      <c r="S86" s="14" t="n"/>
      <c r="U86" s="53" t="n"/>
      <c r="V86" s="53" t="n"/>
      <c r="W86" s="53" t="n"/>
      <c r="X86" s="53" t="n"/>
      <c r="Y86" s="53" t="n"/>
      <c r="Z86" s="53" t="n"/>
      <c r="AA86" s="53" t="n"/>
      <c r="AB86" s="53" t="n"/>
      <c r="AC86" s="53" t="n"/>
      <c r="AD86" s="53" t="n"/>
      <c r="AE86" s="53" t="n"/>
      <c r="AF86" s="53" t="n"/>
      <c r="AG86" s="53" t="n"/>
      <c r="AH86" s="53" t="n"/>
      <c r="AI86" s="53" t="n"/>
      <c r="AJ86" s="53" t="n"/>
      <c r="AK86" s="53" t="n"/>
      <c r="AL86" s="53" t="n"/>
      <c r="AM86" s="53" t="n"/>
      <c r="AN86" s="53" t="n"/>
      <c r="AO86" s="53" t="n"/>
      <c r="AP86" s="53" t="n"/>
      <c r="AQ86" s="53" t="n"/>
      <c r="AR86" s="53" t="n"/>
      <c r="AS86" s="53" t="n"/>
      <c r="AT86" s="53" t="n"/>
      <c r="AU86" s="53" t="n"/>
      <c r="AV86" s="53" t="n"/>
      <c r="AW86" s="53" t="n"/>
      <c r="AX86" s="53" t="n"/>
      <c r="AY86" s="53" t="n"/>
    </row>
    <row r="87" ht="15" customHeight="1">
      <c r="A87" s="62" t="n"/>
      <c r="B87" s="55">
        <f>IF($B$85="","",$B$85)</f>
        <v/>
      </c>
      <c r="C87" s="63" t="inlineStr">
        <is>
          <t>마케팅2팀</t>
        </is>
      </c>
      <c r="D87" s="55">
        <f>IF($D$85="","",$D$85)</f>
        <v/>
      </c>
      <c r="E87" s="64" t="inlineStr">
        <is>
          <t>영상</t>
        </is>
      </c>
      <c r="F87" s="44" t="n"/>
      <c r="G87" s="58">
        <f>IF($G$85="","",$G$85)</f>
        <v/>
      </c>
      <c r="H87" s="59" t="n"/>
      <c r="I87" s="59" t="n"/>
      <c r="J87" s="59" t="n"/>
      <c r="K87" s="59" t="n"/>
      <c r="L87" s="65">
        <f>IF(SUM(U87:AY87)=0,"",SUM(U87:AY87))</f>
        <v/>
      </c>
      <c r="M87" s="66">
        <f>IFERROR(INDEX(U$2:AY$2,MATCH(TRUE,INDEX(U87:AY87&lt;&gt;"",0),0)),"")</f>
        <v/>
      </c>
      <c r="N87" s="66">
        <f>IFERROR(LOOKUP(2,1/(U87:AY87&lt;&gt;""),U$2:AY$2),"")</f>
        <v/>
      </c>
      <c r="O87" s="59" t="n"/>
      <c r="P87" s="59" t="n"/>
      <c r="Q87" s="59" t="n"/>
      <c r="R87" s="59" t="n"/>
      <c r="S87" s="14" t="n"/>
      <c r="U87" s="53" t="n"/>
      <c r="V87" s="53" t="n"/>
      <c r="W87" s="53" t="n"/>
      <c r="X87" s="53" t="n"/>
      <c r="Y87" s="53" t="n"/>
      <c r="Z87" s="53" t="n"/>
      <c r="AA87" s="53" t="n"/>
      <c r="AB87" s="53" t="n"/>
      <c r="AC87" s="53" t="n"/>
      <c r="AD87" s="53" t="n"/>
      <c r="AE87" s="53" t="n"/>
      <c r="AF87" s="53" t="n"/>
      <c r="AG87" s="53" t="n"/>
      <c r="AH87" s="53" t="n"/>
      <c r="AI87" s="53" t="n"/>
      <c r="AJ87" s="53" t="n"/>
      <c r="AK87" s="53" t="n"/>
      <c r="AL87" s="53" t="n"/>
      <c r="AM87" s="53" t="n"/>
      <c r="AN87" s="53" t="n"/>
      <c r="AO87" s="53" t="n"/>
      <c r="AP87" s="53" t="n"/>
      <c r="AQ87" s="53" t="n"/>
      <c r="AR87" s="53" t="n"/>
      <c r="AS87" s="53" t="n"/>
      <c r="AT87" s="53" t="n"/>
      <c r="AU87" s="53" t="n"/>
      <c r="AV87" s="53" t="n"/>
      <c r="AW87" s="53" t="n"/>
      <c r="AX87" s="53" t="n"/>
      <c r="AY87" s="53" t="n"/>
    </row>
    <row r="88" ht="15" customHeight="1">
      <c r="A88" s="40">
        <f>IF($D$88="","",27)</f>
        <v/>
      </c>
      <c r="B88" s="10" t="n"/>
      <c r="C88" s="41" t="inlineStr">
        <is>
          <t>마케팅2팀</t>
        </is>
      </c>
      <c r="D88" s="42" t="n"/>
      <c r="E88" s="43" t="inlineStr">
        <is>
          <t>기획</t>
        </is>
      </c>
      <c r="F88" s="44" t="n"/>
      <c r="G88" s="45" t="n"/>
      <c r="H88" s="46">
        <f>IF($I$88="","",IF($I$88&lt;0,"🔴지연",IF($I$88&lt;=1,"🟡임박","🟢여유")))</f>
        <v/>
      </c>
      <c r="I88" s="47">
        <f>IF(OR($G$88="",$K$88=""),"",$G$88-$K$88)</f>
        <v/>
      </c>
      <c r="J88" s="48">
        <f>IF(SUM($L$88:$L$90)=0,"",SUM($L$88:$L$90))</f>
        <v/>
      </c>
      <c r="K88" s="49">
        <f>IF($J$88="","",MAX($N$88:$N$90))</f>
        <v/>
      </c>
      <c r="L88" s="50">
        <f>IF(SUM(U88:AY88)=0,"",SUM(U88:AY88))</f>
        <v/>
      </c>
      <c r="M88" s="51">
        <f>IFERROR(INDEX(U$2:AY$2,MATCH(TRUE,INDEX(U88:AY88&lt;&gt;"",0),0)),"")</f>
        <v/>
      </c>
      <c r="N88" s="51">
        <f>IFERROR(LOOKUP(2,1/(U88:AY88&lt;&gt;""),U$2:AY$2),"")</f>
        <v/>
      </c>
      <c r="O88" s="52" t="n"/>
      <c r="P88" s="52" t="n"/>
      <c r="Q88" s="52" t="n"/>
      <c r="R88" s="44" t="n"/>
      <c r="S88" s="14" t="n"/>
      <c r="U88" s="53" t="n"/>
      <c r="V88" s="53" t="n"/>
      <c r="W88" s="53" t="n"/>
      <c r="X88" s="53" t="n"/>
      <c r="Y88" s="53" t="n"/>
      <c r="Z88" s="53" t="n"/>
      <c r="AA88" s="53" t="n"/>
      <c r="AB88" s="53" t="n"/>
      <c r="AC88" s="53" t="n"/>
      <c r="AD88" s="53" t="n"/>
      <c r="AE88" s="53" t="n"/>
      <c r="AF88" s="53" t="n"/>
      <c r="AG88" s="53" t="n"/>
      <c r="AH88" s="53" t="n"/>
      <c r="AI88" s="53" t="n"/>
      <c r="AJ88" s="53" t="n"/>
      <c r="AK88" s="53" t="n"/>
      <c r="AL88" s="53" t="n"/>
      <c r="AM88" s="53" t="n"/>
      <c r="AN88" s="53" t="n"/>
      <c r="AO88" s="53" t="n"/>
      <c r="AP88" s="53" t="n"/>
      <c r="AQ88" s="53" t="n"/>
      <c r="AR88" s="53" t="n"/>
      <c r="AS88" s="53" t="n"/>
      <c r="AT88" s="53" t="n"/>
      <c r="AU88" s="53" t="n"/>
      <c r="AV88" s="53" t="n"/>
      <c r="AW88" s="53" t="n"/>
      <c r="AX88" s="53" t="n"/>
      <c r="AY88" s="53" t="n"/>
    </row>
    <row r="89" ht="15" customHeight="1">
      <c r="A89" s="54" t="n"/>
      <c r="B89" s="55">
        <f>IF($B$88="","",$B$88)</f>
        <v/>
      </c>
      <c r="C89" s="56" t="inlineStr">
        <is>
          <t>마케팅2팀</t>
        </is>
      </c>
      <c r="D89" s="55">
        <f>IF($D$88="","",$D$88)</f>
        <v/>
      </c>
      <c r="E89" s="57" t="inlineStr">
        <is>
          <t>이미지</t>
        </is>
      </c>
      <c r="F89" s="44" t="n"/>
      <c r="G89" s="58">
        <f>IF($G$88="","",$G$88)</f>
        <v/>
      </c>
      <c r="H89" s="59" t="n"/>
      <c r="I89" s="59" t="n"/>
      <c r="J89" s="59" t="n"/>
      <c r="K89" s="59" t="n"/>
      <c r="L89" s="60">
        <f>IF(SUM(U89:AY89)=0,"",SUM(U89:AY89))</f>
        <v/>
      </c>
      <c r="M89" s="61">
        <f>IFERROR(INDEX(U$2:AY$2,MATCH(TRUE,INDEX(U89:AY89&lt;&gt;"",0),0)),"")</f>
        <v/>
      </c>
      <c r="N89" s="61">
        <f>IFERROR(LOOKUP(2,1/(U89:AY89&lt;&gt;""),U$2:AY$2),"")</f>
        <v/>
      </c>
      <c r="O89" s="59" t="n"/>
      <c r="P89" s="59" t="n"/>
      <c r="Q89" s="59" t="n"/>
      <c r="R89" s="59" t="n"/>
      <c r="S89" s="14" t="n"/>
      <c r="U89" s="53" t="n"/>
      <c r="V89" s="53" t="n"/>
      <c r="W89" s="53" t="n"/>
      <c r="X89" s="53" t="n"/>
      <c r="Y89" s="53" t="n"/>
      <c r="Z89" s="53" t="n"/>
      <c r="AA89" s="53" t="n"/>
      <c r="AB89" s="53" t="n"/>
      <c r="AC89" s="53" t="n"/>
      <c r="AD89" s="53" t="n"/>
      <c r="AE89" s="53" t="n"/>
      <c r="AF89" s="53" t="n"/>
      <c r="AG89" s="53" t="n"/>
      <c r="AH89" s="53" t="n"/>
      <c r="AI89" s="53" t="n"/>
      <c r="AJ89" s="53" t="n"/>
      <c r="AK89" s="53" t="n"/>
      <c r="AL89" s="53" t="n"/>
      <c r="AM89" s="53" t="n"/>
      <c r="AN89" s="53" t="n"/>
      <c r="AO89" s="53" t="n"/>
      <c r="AP89" s="53" t="n"/>
      <c r="AQ89" s="53" t="n"/>
      <c r="AR89" s="53" t="n"/>
      <c r="AS89" s="53" t="n"/>
      <c r="AT89" s="53" t="n"/>
      <c r="AU89" s="53" t="n"/>
      <c r="AV89" s="53" t="n"/>
      <c r="AW89" s="53" t="n"/>
      <c r="AX89" s="53" t="n"/>
      <c r="AY89" s="53" t="n"/>
    </row>
    <row r="90" ht="15" customHeight="1">
      <c r="A90" s="62" t="n"/>
      <c r="B90" s="55">
        <f>IF($B$88="","",$B$88)</f>
        <v/>
      </c>
      <c r="C90" s="63" t="inlineStr">
        <is>
          <t>마케팅2팀</t>
        </is>
      </c>
      <c r="D90" s="55">
        <f>IF($D$88="","",$D$88)</f>
        <v/>
      </c>
      <c r="E90" s="64" t="inlineStr">
        <is>
          <t>영상</t>
        </is>
      </c>
      <c r="F90" s="44" t="n"/>
      <c r="G90" s="58">
        <f>IF($G$88="","",$G$88)</f>
        <v/>
      </c>
      <c r="H90" s="59" t="n"/>
      <c r="I90" s="59" t="n"/>
      <c r="J90" s="59" t="n"/>
      <c r="K90" s="59" t="n"/>
      <c r="L90" s="65">
        <f>IF(SUM(U90:AY90)=0,"",SUM(U90:AY90))</f>
        <v/>
      </c>
      <c r="M90" s="66">
        <f>IFERROR(INDEX(U$2:AY$2,MATCH(TRUE,INDEX(U90:AY90&lt;&gt;"",0),0)),"")</f>
        <v/>
      </c>
      <c r="N90" s="66">
        <f>IFERROR(LOOKUP(2,1/(U90:AY90&lt;&gt;""),U$2:AY$2),"")</f>
        <v/>
      </c>
      <c r="O90" s="59" t="n"/>
      <c r="P90" s="59" t="n"/>
      <c r="Q90" s="59" t="n"/>
      <c r="R90" s="59" t="n"/>
      <c r="S90" s="14" t="n"/>
      <c r="U90" s="53" t="n"/>
      <c r="V90" s="53" t="n"/>
      <c r="W90" s="53" t="n"/>
      <c r="X90" s="53" t="n"/>
      <c r="Y90" s="53" t="n"/>
      <c r="Z90" s="53" t="n"/>
      <c r="AA90" s="53" t="n"/>
      <c r="AB90" s="53" t="n"/>
      <c r="AC90" s="53" t="n"/>
      <c r="AD90" s="53" t="n"/>
      <c r="AE90" s="53" t="n"/>
      <c r="AF90" s="53" t="n"/>
      <c r="AG90" s="53" t="n"/>
      <c r="AH90" s="53" t="n"/>
      <c r="AI90" s="53" t="n"/>
      <c r="AJ90" s="53" t="n"/>
      <c r="AK90" s="53" t="n"/>
      <c r="AL90" s="53" t="n"/>
      <c r="AM90" s="53" t="n"/>
      <c r="AN90" s="53" t="n"/>
      <c r="AO90" s="53" t="n"/>
      <c r="AP90" s="53" t="n"/>
      <c r="AQ90" s="53" t="n"/>
      <c r="AR90" s="53" t="n"/>
      <c r="AS90" s="53" t="n"/>
      <c r="AT90" s="53" t="n"/>
      <c r="AU90" s="53" t="n"/>
      <c r="AV90" s="53" t="n"/>
      <c r="AW90" s="53" t="n"/>
      <c r="AX90" s="53" t="n"/>
      <c r="AY90" s="53" t="n"/>
    </row>
    <row r="91" ht="15" customHeight="1">
      <c r="A91" s="40">
        <f>IF($D$91="","",28)</f>
        <v/>
      </c>
      <c r="B91" s="10" t="n"/>
      <c r="C91" s="41" t="inlineStr">
        <is>
          <t>마케팅2팀</t>
        </is>
      </c>
      <c r="D91" s="42" t="n"/>
      <c r="E91" s="43" t="inlineStr">
        <is>
          <t>기획</t>
        </is>
      </c>
      <c r="F91" s="44" t="n"/>
      <c r="G91" s="45" t="n"/>
      <c r="H91" s="46">
        <f>IF($I$91="","",IF($I$91&lt;0,"🔴지연",IF($I$91&lt;=1,"🟡임박","🟢여유")))</f>
        <v/>
      </c>
      <c r="I91" s="47">
        <f>IF(OR($G$91="",$K$91=""),"",$G$91-$K$91)</f>
        <v/>
      </c>
      <c r="J91" s="48">
        <f>IF(SUM($L$91:$L$93)=0,"",SUM($L$91:$L$93))</f>
        <v/>
      </c>
      <c r="K91" s="49">
        <f>IF($J$91="","",MAX($N$91:$N$93))</f>
        <v/>
      </c>
      <c r="L91" s="50">
        <f>IF(SUM(U91:AY91)=0,"",SUM(U91:AY91))</f>
        <v/>
      </c>
      <c r="M91" s="51">
        <f>IFERROR(INDEX(U$2:AY$2,MATCH(TRUE,INDEX(U91:AY91&lt;&gt;"",0),0)),"")</f>
        <v/>
      </c>
      <c r="N91" s="51">
        <f>IFERROR(LOOKUP(2,1/(U91:AY91&lt;&gt;""),U$2:AY$2),"")</f>
        <v/>
      </c>
      <c r="O91" s="52" t="n"/>
      <c r="P91" s="52" t="n"/>
      <c r="Q91" s="52" t="n"/>
      <c r="R91" s="44" t="n"/>
      <c r="S91" s="14" t="n"/>
      <c r="U91" s="53" t="n"/>
      <c r="V91" s="53" t="n"/>
      <c r="W91" s="53" t="n"/>
      <c r="X91" s="53" t="n"/>
      <c r="Y91" s="53" t="n"/>
      <c r="Z91" s="53" t="n"/>
      <c r="AA91" s="53" t="n"/>
      <c r="AB91" s="53" t="n"/>
      <c r="AC91" s="53" t="n"/>
      <c r="AD91" s="53" t="n"/>
      <c r="AE91" s="53" t="n"/>
      <c r="AF91" s="53" t="n"/>
      <c r="AG91" s="53" t="n"/>
      <c r="AH91" s="53" t="n"/>
      <c r="AI91" s="53" t="n"/>
      <c r="AJ91" s="53" t="n"/>
      <c r="AK91" s="53" t="n"/>
      <c r="AL91" s="53" t="n"/>
      <c r="AM91" s="53" t="n"/>
      <c r="AN91" s="53" t="n"/>
      <c r="AO91" s="53" t="n"/>
      <c r="AP91" s="53" t="n"/>
      <c r="AQ91" s="53" t="n"/>
      <c r="AR91" s="53" t="n"/>
      <c r="AS91" s="53" t="n"/>
      <c r="AT91" s="53" t="n"/>
      <c r="AU91" s="53" t="n"/>
      <c r="AV91" s="53" t="n"/>
      <c r="AW91" s="53" t="n"/>
      <c r="AX91" s="53" t="n"/>
      <c r="AY91" s="53" t="n"/>
    </row>
    <row r="92" ht="15" customHeight="1">
      <c r="A92" s="54" t="n"/>
      <c r="B92" s="55">
        <f>IF($B$91="","",$B$91)</f>
        <v/>
      </c>
      <c r="C92" s="56" t="inlineStr">
        <is>
          <t>마케팅2팀</t>
        </is>
      </c>
      <c r="D92" s="55">
        <f>IF($D$91="","",$D$91)</f>
        <v/>
      </c>
      <c r="E92" s="57" t="inlineStr">
        <is>
          <t>이미지</t>
        </is>
      </c>
      <c r="F92" s="44" t="n"/>
      <c r="G92" s="58">
        <f>IF($G$91="","",$G$91)</f>
        <v/>
      </c>
      <c r="H92" s="59" t="n"/>
      <c r="I92" s="59" t="n"/>
      <c r="J92" s="59" t="n"/>
      <c r="K92" s="59" t="n"/>
      <c r="L92" s="60">
        <f>IF(SUM(U92:AY92)=0,"",SUM(U92:AY92))</f>
        <v/>
      </c>
      <c r="M92" s="61">
        <f>IFERROR(INDEX(U$2:AY$2,MATCH(TRUE,INDEX(U92:AY92&lt;&gt;"",0),0)),"")</f>
        <v/>
      </c>
      <c r="N92" s="61">
        <f>IFERROR(LOOKUP(2,1/(U92:AY92&lt;&gt;""),U$2:AY$2),"")</f>
        <v/>
      </c>
      <c r="O92" s="59" t="n"/>
      <c r="P92" s="59" t="n"/>
      <c r="Q92" s="59" t="n"/>
      <c r="R92" s="59" t="n"/>
      <c r="S92" s="14" t="n"/>
      <c r="U92" s="53" t="n"/>
      <c r="V92" s="53" t="n"/>
      <c r="W92" s="53" t="n"/>
      <c r="X92" s="53" t="n"/>
      <c r="Y92" s="53" t="n"/>
      <c r="Z92" s="53" t="n"/>
      <c r="AA92" s="53" t="n"/>
      <c r="AB92" s="53" t="n"/>
      <c r="AC92" s="53" t="n"/>
      <c r="AD92" s="53" t="n"/>
      <c r="AE92" s="53" t="n"/>
      <c r="AF92" s="53" t="n"/>
      <c r="AG92" s="53" t="n"/>
      <c r="AH92" s="53" t="n"/>
      <c r="AI92" s="53" t="n"/>
      <c r="AJ92" s="53" t="n"/>
      <c r="AK92" s="53" t="n"/>
      <c r="AL92" s="53" t="n"/>
      <c r="AM92" s="53" t="n"/>
      <c r="AN92" s="53" t="n"/>
      <c r="AO92" s="53" t="n"/>
      <c r="AP92" s="53" t="n"/>
      <c r="AQ92" s="53" t="n"/>
      <c r="AR92" s="53" t="n"/>
      <c r="AS92" s="53" t="n"/>
      <c r="AT92" s="53" t="n"/>
      <c r="AU92" s="53" t="n"/>
      <c r="AV92" s="53" t="n"/>
      <c r="AW92" s="53" t="n"/>
      <c r="AX92" s="53" t="n"/>
      <c r="AY92" s="53" t="n"/>
    </row>
    <row r="93" ht="15" customHeight="1">
      <c r="A93" s="62" t="n"/>
      <c r="B93" s="55">
        <f>IF($B$91="","",$B$91)</f>
        <v/>
      </c>
      <c r="C93" s="63" t="inlineStr">
        <is>
          <t>마케팅2팀</t>
        </is>
      </c>
      <c r="D93" s="55">
        <f>IF($D$91="","",$D$91)</f>
        <v/>
      </c>
      <c r="E93" s="64" t="inlineStr">
        <is>
          <t>영상</t>
        </is>
      </c>
      <c r="F93" s="44" t="n"/>
      <c r="G93" s="58">
        <f>IF($G$91="","",$G$91)</f>
        <v/>
      </c>
      <c r="H93" s="59" t="n"/>
      <c r="I93" s="59" t="n"/>
      <c r="J93" s="59" t="n"/>
      <c r="K93" s="59" t="n"/>
      <c r="L93" s="65">
        <f>IF(SUM(U93:AY93)=0,"",SUM(U93:AY93))</f>
        <v/>
      </c>
      <c r="M93" s="66">
        <f>IFERROR(INDEX(U$2:AY$2,MATCH(TRUE,INDEX(U93:AY93&lt;&gt;"",0),0)),"")</f>
        <v/>
      </c>
      <c r="N93" s="66">
        <f>IFERROR(LOOKUP(2,1/(U93:AY93&lt;&gt;""),U$2:AY$2),"")</f>
        <v/>
      </c>
      <c r="O93" s="59" t="n"/>
      <c r="P93" s="59" t="n"/>
      <c r="Q93" s="59" t="n"/>
      <c r="R93" s="59" t="n"/>
      <c r="S93" s="14" t="n"/>
      <c r="U93" s="53" t="n"/>
      <c r="V93" s="53" t="n"/>
      <c r="W93" s="53" t="n"/>
      <c r="X93" s="53" t="n"/>
      <c r="Y93" s="53" t="n"/>
      <c r="Z93" s="53" t="n"/>
      <c r="AA93" s="53" t="n"/>
      <c r="AB93" s="53" t="n"/>
      <c r="AC93" s="53" t="n"/>
      <c r="AD93" s="53" t="n"/>
      <c r="AE93" s="53" t="n"/>
      <c r="AF93" s="53" t="n"/>
      <c r="AG93" s="53" t="n"/>
      <c r="AH93" s="53" t="n"/>
      <c r="AI93" s="53" t="n"/>
      <c r="AJ93" s="53" t="n"/>
      <c r="AK93" s="53" t="n"/>
      <c r="AL93" s="53" t="n"/>
      <c r="AM93" s="53" t="n"/>
      <c r="AN93" s="53" t="n"/>
      <c r="AO93" s="53" t="n"/>
      <c r="AP93" s="53" t="n"/>
      <c r="AQ93" s="53" t="n"/>
      <c r="AR93" s="53" t="n"/>
      <c r="AS93" s="53" t="n"/>
      <c r="AT93" s="53" t="n"/>
      <c r="AU93" s="53" t="n"/>
      <c r="AV93" s="53" t="n"/>
      <c r="AW93" s="53" t="n"/>
      <c r="AX93" s="53" t="n"/>
      <c r="AY93" s="53" t="n"/>
    </row>
    <row r="94" ht="15" customHeight="1">
      <c r="A94" s="40">
        <f>IF($D$94="","",29)</f>
        <v/>
      </c>
      <c r="B94" s="10" t="n"/>
      <c r="C94" s="41" t="inlineStr">
        <is>
          <t>마케팅2팀</t>
        </is>
      </c>
      <c r="D94" s="42" t="n"/>
      <c r="E94" s="43" t="inlineStr">
        <is>
          <t>기획</t>
        </is>
      </c>
      <c r="F94" s="44" t="n"/>
      <c r="G94" s="45" t="n"/>
      <c r="H94" s="46">
        <f>IF($I$94="","",IF($I$94&lt;0,"🔴지연",IF($I$94&lt;=1,"🟡임박","🟢여유")))</f>
        <v/>
      </c>
      <c r="I94" s="47">
        <f>IF(OR($G$94="",$K$94=""),"",$G$94-$K$94)</f>
        <v/>
      </c>
      <c r="J94" s="48">
        <f>IF(SUM($L$94:$L$96)=0,"",SUM($L$94:$L$96))</f>
        <v/>
      </c>
      <c r="K94" s="49">
        <f>IF($J$94="","",MAX($N$94:$N$96))</f>
        <v/>
      </c>
      <c r="L94" s="50">
        <f>IF(SUM(U94:AY94)=0,"",SUM(U94:AY94))</f>
        <v/>
      </c>
      <c r="M94" s="51">
        <f>IFERROR(INDEX(U$2:AY$2,MATCH(TRUE,INDEX(U94:AY94&lt;&gt;"",0),0)),"")</f>
        <v/>
      </c>
      <c r="N94" s="51">
        <f>IFERROR(LOOKUP(2,1/(U94:AY94&lt;&gt;""),U$2:AY$2),"")</f>
        <v/>
      </c>
      <c r="O94" s="52" t="n"/>
      <c r="P94" s="52" t="n"/>
      <c r="Q94" s="52" t="n"/>
      <c r="R94" s="44" t="n"/>
      <c r="S94" s="14" t="n"/>
      <c r="U94" s="53" t="n"/>
      <c r="V94" s="53" t="n"/>
      <c r="W94" s="53" t="n"/>
      <c r="X94" s="53" t="n"/>
      <c r="Y94" s="53" t="n"/>
      <c r="Z94" s="53" t="n"/>
      <c r="AA94" s="53" t="n"/>
      <c r="AB94" s="53" t="n"/>
      <c r="AC94" s="53" t="n"/>
      <c r="AD94" s="53" t="n"/>
      <c r="AE94" s="53" t="n"/>
      <c r="AF94" s="53" t="n"/>
      <c r="AG94" s="53" t="n"/>
      <c r="AH94" s="53" t="n"/>
      <c r="AI94" s="53" t="n"/>
      <c r="AJ94" s="53" t="n"/>
      <c r="AK94" s="53" t="n"/>
      <c r="AL94" s="53" t="n"/>
      <c r="AM94" s="53" t="n"/>
      <c r="AN94" s="53" t="n"/>
      <c r="AO94" s="53" t="n"/>
      <c r="AP94" s="53" t="n"/>
      <c r="AQ94" s="53" t="n"/>
      <c r="AR94" s="53" t="n"/>
      <c r="AS94" s="53" t="n"/>
      <c r="AT94" s="53" t="n"/>
      <c r="AU94" s="53" t="n"/>
      <c r="AV94" s="53" t="n"/>
      <c r="AW94" s="53" t="n"/>
      <c r="AX94" s="53" t="n"/>
      <c r="AY94" s="53" t="n"/>
    </row>
    <row r="95" ht="15" customHeight="1">
      <c r="A95" s="54" t="n"/>
      <c r="B95" s="55">
        <f>IF($B$94="","",$B$94)</f>
        <v/>
      </c>
      <c r="C95" s="56" t="inlineStr">
        <is>
          <t>마케팅2팀</t>
        </is>
      </c>
      <c r="D95" s="55">
        <f>IF($D$94="","",$D$94)</f>
        <v/>
      </c>
      <c r="E95" s="57" t="inlineStr">
        <is>
          <t>이미지</t>
        </is>
      </c>
      <c r="F95" s="44" t="n"/>
      <c r="G95" s="58">
        <f>IF($G$94="","",$G$94)</f>
        <v/>
      </c>
      <c r="H95" s="59" t="n"/>
      <c r="I95" s="59" t="n"/>
      <c r="J95" s="59" t="n"/>
      <c r="K95" s="59" t="n"/>
      <c r="L95" s="60">
        <f>IF(SUM(U95:AY95)=0,"",SUM(U95:AY95))</f>
        <v/>
      </c>
      <c r="M95" s="61">
        <f>IFERROR(INDEX(U$2:AY$2,MATCH(TRUE,INDEX(U95:AY95&lt;&gt;"",0),0)),"")</f>
        <v/>
      </c>
      <c r="N95" s="61">
        <f>IFERROR(LOOKUP(2,1/(U95:AY95&lt;&gt;""),U$2:AY$2),"")</f>
        <v/>
      </c>
      <c r="O95" s="59" t="n"/>
      <c r="P95" s="59" t="n"/>
      <c r="Q95" s="59" t="n"/>
      <c r="R95" s="59" t="n"/>
      <c r="S95" s="14" t="n"/>
      <c r="U95" s="53" t="n"/>
      <c r="V95" s="53" t="n"/>
      <c r="W95" s="53" t="n"/>
      <c r="X95" s="53" t="n"/>
      <c r="Y95" s="53" t="n"/>
      <c r="Z95" s="53" t="n"/>
      <c r="AA95" s="53" t="n"/>
      <c r="AB95" s="53" t="n"/>
      <c r="AC95" s="53" t="n"/>
      <c r="AD95" s="53" t="n"/>
      <c r="AE95" s="53" t="n"/>
      <c r="AF95" s="53" t="n"/>
      <c r="AG95" s="53" t="n"/>
      <c r="AH95" s="53" t="n"/>
      <c r="AI95" s="53" t="n"/>
      <c r="AJ95" s="53" t="n"/>
      <c r="AK95" s="53" t="n"/>
      <c r="AL95" s="53" t="n"/>
      <c r="AM95" s="53" t="n"/>
      <c r="AN95" s="53" t="n"/>
      <c r="AO95" s="53" t="n"/>
      <c r="AP95" s="53" t="n"/>
      <c r="AQ95" s="53" t="n"/>
      <c r="AR95" s="53" t="n"/>
      <c r="AS95" s="53" t="n"/>
      <c r="AT95" s="53" t="n"/>
      <c r="AU95" s="53" t="n"/>
      <c r="AV95" s="53" t="n"/>
      <c r="AW95" s="53" t="n"/>
      <c r="AX95" s="53" t="n"/>
      <c r="AY95" s="53" t="n"/>
    </row>
    <row r="96" ht="15" customHeight="1">
      <c r="A96" s="62" t="n"/>
      <c r="B96" s="55">
        <f>IF($B$94="","",$B$94)</f>
        <v/>
      </c>
      <c r="C96" s="63" t="inlineStr">
        <is>
          <t>마케팅2팀</t>
        </is>
      </c>
      <c r="D96" s="55">
        <f>IF($D$94="","",$D$94)</f>
        <v/>
      </c>
      <c r="E96" s="64" t="inlineStr">
        <is>
          <t>영상</t>
        </is>
      </c>
      <c r="F96" s="44" t="n"/>
      <c r="G96" s="58">
        <f>IF($G$94="","",$G$94)</f>
        <v/>
      </c>
      <c r="H96" s="59" t="n"/>
      <c r="I96" s="59" t="n"/>
      <c r="J96" s="59" t="n"/>
      <c r="K96" s="59" t="n"/>
      <c r="L96" s="65">
        <f>IF(SUM(U96:AY96)=0,"",SUM(U96:AY96))</f>
        <v/>
      </c>
      <c r="M96" s="66">
        <f>IFERROR(INDEX(U$2:AY$2,MATCH(TRUE,INDEX(U96:AY96&lt;&gt;"",0),0)),"")</f>
        <v/>
      </c>
      <c r="N96" s="66">
        <f>IFERROR(LOOKUP(2,1/(U96:AY96&lt;&gt;""),U$2:AY$2),"")</f>
        <v/>
      </c>
      <c r="O96" s="59" t="n"/>
      <c r="P96" s="59" t="n"/>
      <c r="Q96" s="59" t="n"/>
      <c r="R96" s="59" t="n"/>
      <c r="S96" s="14" t="n"/>
      <c r="U96" s="53" t="n"/>
      <c r="V96" s="53" t="n"/>
      <c r="W96" s="53" t="n"/>
      <c r="X96" s="53" t="n"/>
      <c r="Y96" s="53" t="n"/>
      <c r="Z96" s="53" t="n"/>
      <c r="AA96" s="53" t="n"/>
      <c r="AB96" s="53" t="n"/>
      <c r="AC96" s="53" t="n"/>
      <c r="AD96" s="53" t="n"/>
      <c r="AE96" s="53" t="n"/>
      <c r="AF96" s="53" t="n"/>
      <c r="AG96" s="53" t="n"/>
      <c r="AH96" s="53" t="n"/>
      <c r="AI96" s="53" t="n"/>
      <c r="AJ96" s="53" t="n"/>
      <c r="AK96" s="53" t="n"/>
      <c r="AL96" s="53" t="n"/>
      <c r="AM96" s="53" t="n"/>
      <c r="AN96" s="53" t="n"/>
      <c r="AO96" s="53" t="n"/>
      <c r="AP96" s="53" t="n"/>
      <c r="AQ96" s="53" t="n"/>
      <c r="AR96" s="53" t="n"/>
      <c r="AS96" s="53" t="n"/>
      <c r="AT96" s="53" t="n"/>
      <c r="AU96" s="53" t="n"/>
      <c r="AV96" s="53" t="n"/>
      <c r="AW96" s="53" t="n"/>
      <c r="AX96" s="53" t="n"/>
      <c r="AY96" s="53" t="n"/>
    </row>
    <row r="97" ht="15" customHeight="1">
      <c r="A97" s="40">
        <f>IF($D$97="","",30)</f>
        <v/>
      </c>
      <c r="B97" s="10" t="n"/>
      <c r="C97" s="41" t="inlineStr">
        <is>
          <t>마케팅2팀</t>
        </is>
      </c>
      <c r="D97" s="42" t="n"/>
      <c r="E97" s="43" t="inlineStr">
        <is>
          <t>기획</t>
        </is>
      </c>
      <c r="F97" s="44" t="n"/>
      <c r="G97" s="45" t="n"/>
      <c r="H97" s="46">
        <f>IF($I$97="","",IF($I$97&lt;0,"🔴지연",IF($I$97&lt;=1,"🟡임박","🟢여유")))</f>
        <v/>
      </c>
      <c r="I97" s="47">
        <f>IF(OR($G$97="",$K$97=""),"",$G$97-$K$97)</f>
        <v/>
      </c>
      <c r="J97" s="48">
        <f>IF(SUM($L$97:$L$99)=0,"",SUM($L$97:$L$99))</f>
        <v/>
      </c>
      <c r="K97" s="49">
        <f>IF($J$97="","",MAX($N$97:$N$99))</f>
        <v/>
      </c>
      <c r="L97" s="50">
        <f>IF(SUM(U97:AY97)=0,"",SUM(U97:AY97))</f>
        <v/>
      </c>
      <c r="M97" s="51">
        <f>IFERROR(INDEX(U$2:AY$2,MATCH(TRUE,INDEX(U97:AY97&lt;&gt;"",0),0)),"")</f>
        <v/>
      </c>
      <c r="N97" s="51">
        <f>IFERROR(LOOKUP(2,1/(U97:AY97&lt;&gt;""),U$2:AY$2),"")</f>
        <v/>
      </c>
      <c r="O97" s="52" t="n"/>
      <c r="P97" s="52" t="n"/>
      <c r="Q97" s="52" t="n"/>
      <c r="R97" s="44" t="n"/>
      <c r="S97" s="14" t="n"/>
      <c r="U97" s="53" t="n"/>
      <c r="V97" s="53" t="n"/>
      <c r="W97" s="53" t="n"/>
      <c r="X97" s="53" t="n"/>
      <c r="Y97" s="53" t="n"/>
      <c r="Z97" s="53" t="n"/>
      <c r="AA97" s="53" t="n"/>
      <c r="AB97" s="53" t="n"/>
      <c r="AC97" s="53" t="n"/>
      <c r="AD97" s="53" t="n"/>
      <c r="AE97" s="53" t="n"/>
      <c r="AF97" s="53" t="n"/>
      <c r="AG97" s="53" t="n"/>
      <c r="AH97" s="53" t="n"/>
      <c r="AI97" s="53" t="n"/>
      <c r="AJ97" s="53" t="n"/>
      <c r="AK97" s="53" t="n"/>
      <c r="AL97" s="53" t="n"/>
      <c r="AM97" s="53" t="n"/>
      <c r="AN97" s="53" t="n"/>
      <c r="AO97" s="53" t="n"/>
      <c r="AP97" s="53" t="n"/>
      <c r="AQ97" s="53" t="n"/>
      <c r="AR97" s="53" t="n"/>
      <c r="AS97" s="53" t="n"/>
      <c r="AT97" s="53" t="n"/>
      <c r="AU97" s="53" t="n"/>
      <c r="AV97" s="53" t="n"/>
      <c r="AW97" s="53" t="n"/>
      <c r="AX97" s="53" t="n"/>
      <c r="AY97" s="53" t="n"/>
    </row>
    <row r="98" ht="15" customHeight="1">
      <c r="A98" s="54" t="n"/>
      <c r="B98" s="55">
        <f>IF($B$97="","",$B$97)</f>
        <v/>
      </c>
      <c r="C98" s="56" t="inlineStr">
        <is>
          <t>마케팅2팀</t>
        </is>
      </c>
      <c r="D98" s="55">
        <f>IF($D$97="","",$D$97)</f>
        <v/>
      </c>
      <c r="E98" s="57" t="inlineStr">
        <is>
          <t>이미지</t>
        </is>
      </c>
      <c r="F98" s="44" t="n"/>
      <c r="G98" s="58">
        <f>IF($G$97="","",$G$97)</f>
        <v/>
      </c>
      <c r="H98" s="59" t="n"/>
      <c r="I98" s="59" t="n"/>
      <c r="J98" s="59" t="n"/>
      <c r="K98" s="59" t="n"/>
      <c r="L98" s="60">
        <f>IF(SUM(U98:AY98)=0,"",SUM(U98:AY98))</f>
        <v/>
      </c>
      <c r="M98" s="61">
        <f>IFERROR(INDEX(U$2:AY$2,MATCH(TRUE,INDEX(U98:AY98&lt;&gt;"",0),0)),"")</f>
        <v/>
      </c>
      <c r="N98" s="61">
        <f>IFERROR(LOOKUP(2,1/(U98:AY98&lt;&gt;""),U$2:AY$2),"")</f>
        <v/>
      </c>
      <c r="O98" s="59" t="n"/>
      <c r="P98" s="59" t="n"/>
      <c r="Q98" s="59" t="n"/>
      <c r="R98" s="59" t="n"/>
      <c r="S98" s="14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3" t="n"/>
      <c r="AN98" s="53" t="n"/>
      <c r="AO98" s="53" t="n"/>
      <c r="AP98" s="53" t="n"/>
      <c r="AQ98" s="53" t="n"/>
      <c r="AR98" s="53" t="n"/>
      <c r="AS98" s="53" t="n"/>
      <c r="AT98" s="53" t="n"/>
      <c r="AU98" s="53" t="n"/>
      <c r="AV98" s="53" t="n"/>
      <c r="AW98" s="53" t="n"/>
      <c r="AX98" s="53" t="n"/>
      <c r="AY98" s="53" t="n"/>
    </row>
    <row r="99" ht="15" customHeight="1">
      <c r="A99" s="62" t="n"/>
      <c r="B99" s="55">
        <f>IF($B$97="","",$B$97)</f>
        <v/>
      </c>
      <c r="C99" s="63" t="inlineStr">
        <is>
          <t>마케팅2팀</t>
        </is>
      </c>
      <c r="D99" s="55">
        <f>IF($D$97="","",$D$97)</f>
        <v/>
      </c>
      <c r="E99" s="64" t="inlineStr">
        <is>
          <t>영상</t>
        </is>
      </c>
      <c r="F99" s="44" t="n"/>
      <c r="G99" s="58">
        <f>IF($G$97="","",$G$97)</f>
        <v/>
      </c>
      <c r="H99" s="59" t="n"/>
      <c r="I99" s="59" t="n"/>
      <c r="J99" s="59" t="n"/>
      <c r="K99" s="59" t="n"/>
      <c r="L99" s="65">
        <f>IF(SUM(U99:AY99)=0,"",SUM(U99:AY99))</f>
        <v/>
      </c>
      <c r="M99" s="66">
        <f>IFERROR(INDEX(U$2:AY$2,MATCH(TRUE,INDEX(U99:AY99&lt;&gt;"",0),0)),"")</f>
        <v/>
      </c>
      <c r="N99" s="66">
        <f>IFERROR(LOOKUP(2,1/(U99:AY99&lt;&gt;""),U$2:AY$2),"")</f>
        <v/>
      </c>
      <c r="O99" s="59" t="n"/>
      <c r="P99" s="59" t="n"/>
      <c r="Q99" s="59" t="n"/>
      <c r="R99" s="59" t="n"/>
      <c r="S99" s="14" t="n"/>
      <c r="U99" s="53" t="n"/>
      <c r="V99" s="53" t="n"/>
      <c r="W99" s="53" t="n"/>
      <c r="X99" s="53" t="n"/>
      <c r="Y99" s="53" t="n"/>
      <c r="Z99" s="53" t="n"/>
      <c r="AA99" s="53" t="n"/>
      <c r="AB99" s="53" t="n"/>
      <c r="AC99" s="53" t="n"/>
      <c r="AD99" s="53" t="n"/>
      <c r="AE99" s="53" t="n"/>
      <c r="AF99" s="53" t="n"/>
      <c r="AG99" s="53" t="n"/>
      <c r="AH99" s="53" t="n"/>
      <c r="AI99" s="53" t="n"/>
      <c r="AJ99" s="53" t="n"/>
      <c r="AK99" s="53" t="n"/>
      <c r="AL99" s="53" t="n"/>
      <c r="AM99" s="53" t="n"/>
      <c r="AN99" s="53" t="n"/>
      <c r="AO99" s="53" t="n"/>
      <c r="AP99" s="53" t="n"/>
      <c r="AQ99" s="53" t="n"/>
      <c r="AR99" s="53" t="n"/>
      <c r="AS99" s="53" t="n"/>
      <c r="AT99" s="53" t="n"/>
      <c r="AU99" s="53" t="n"/>
      <c r="AV99" s="53" t="n"/>
      <c r="AW99" s="53" t="n"/>
      <c r="AX99" s="53" t="n"/>
      <c r="AY99" s="53" t="n"/>
    </row>
    <row r="100" ht="15" customHeight="1">
      <c r="A100" s="40">
        <f>IF($D$100="","",31)</f>
        <v/>
      </c>
      <c r="B100" s="10" t="n"/>
      <c r="C100" s="41" t="inlineStr">
        <is>
          <t>마케팅2팀</t>
        </is>
      </c>
      <c r="D100" s="42" t="n"/>
      <c r="E100" s="43" t="inlineStr">
        <is>
          <t>기획</t>
        </is>
      </c>
      <c r="F100" s="44" t="n"/>
      <c r="G100" s="45" t="n"/>
      <c r="H100" s="46">
        <f>IF($I$100="","",IF($I$100&lt;0,"🔴지연",IF($I$100&lt;=1,"🟡임박","🟢여유")))</f>
        <v/>
      </c>
      <c r="I100" s="47">
        <f>IF(OR($G$100="",$K$100=""),"",$G$100-$K$100)</f>
        <v/>
      </c>
      <c r="J100" s="48">
        <f>IF(SUM($L$100:$L$102)=0,"",SUM($L$100:$L$102))</f>
        <v/>
      </c>
      <c r="K100" s="49">
        <f>IF($J$100="","",MAX($N$100:$N$102))</f>
        <v/>
      </c>
      <c r="L100" s="50">
        <f>IF(SUM(U100:AY100)=0,"",SUM(U100:AY100))</f>
        <v/>
      </c>
      <c r="M100" s="51">
        <f>IFERROR(INDEX(U$2:AY$2,MATCH(TRUE,INDEX(U100:AY100&lt;&gt;"",0),0)),"")</f>
        <v/>
      </c>
      <c r="N100" s="51">
        <f>IFERROR(LOOKUP(2,1/(U100:AY100&lt;&gt;""),U$2:AY$2),"")</f>
        <v/>
      </c>
      <c r="O100" s="52" t="n"/>
      <c r="P100" s="52" t="n"/>
      <c r="Q100" s="52" t="n"/>
      <c r="R100" s="44" t="n"/>
      <c r="S100" s="14" t="n"/>
      <c r="U100" s="53" t="n"/>
      <c r="V100" s="53" t="n"/>
      <c r="W100" s="53" t="n"/>
      <c r="X100" s="53" t="n"/>
      <c r="Y100" s="53" t="n"/>
      <c r="Z100" s="53" t="n"/>
      <c r="AA100" s="53" t="n"/>
      <c r="AB100" s="53" t="n"/>
      <c r="AC100" s="53" t="n"/>
      <c r="AD100" s="53" t="n"/>
      <c r="AE100" s="53" t="n"/>
      <c r="AF100" s="53" t="n"/>
      <c r="AG100" s="53" t="n"/>
      <c r="AH100" s="53" t="n"/>
      <c r="AI100" s="53" t="n"/>
      <c r="AJ100" s="53" t="n"/>
      <c r="AK100" s="53" t="n"/>
      <c r="AL100" s="53" t="n"/>
      <c r="AM100" s="53" t="n"/>
      <c r="AN100" s="53" t="n"/>
      <c r="AO100" s="53" t="n"/>
      <c r="AP100" s="53" t="n"/>
      <c r="AQ100" s="53" t="n"/>
      <c r="AR100" s="53" t="n"/>
      <c r="AS100" s="53" t="n"/>
      <c r="AT100" s="53" t="n"/>
      <c r="AU100" s="53" t="n"/>
      <c r="AV100" s="53" t="n"/>
      <c r="AW100" s="53" t="n"/>
      <c r="AX100" s="53" t="n"/>
      <c r="AY100" s="53" t="n"/>
    </row>
    <row r="101" ht="15" customHeight="1">
      <c r="A101" s="54" t="n"/>
      <c r="B101" s="55">
        <f>IF($B$100="","",$B$100)</f>
        <v/>
      </c>
      <c r="C101" s="56" t="inlineStr">
        <is>
          <t>마케팅2팀</t>
        </is>
      </c>
      <c r="D101" s="55">
        <f>IF($D$100="","",$D$100)</f>
        <v/>
      </c>
      <c r="E101" s="57" t="inlineStr">
        <is>
          <t>이미지</t>
        </is>
      </c>
      <c r="F101" s="44" t="n"/>
      <c r="G101" s="58">
        <f>IF($G$100="","",$G$100)</f>
        <v/>
      </c>
      <c r="H101" s="59" t="n"/>
      <c r="I101" s="59" t="n"/>
      <c r="J101" s="59" t="n"/>
      <c r="K101" s="59" t="n"/>
      <c r="L101" s="60">
        <f>IF(SUM(U101:AY101)=0,"",SUM(U101:AY101))</f>
        <v/>
      </c>
      <c r="M101" s="61">
        <f>IFERROR(INDEX(U$2:AY$2,MATCH(TRUE,INDEX(U101:AY101&lt;&gt;"",0),0)),"")</f>
        <v/>
      </c>
      <c r="N101" s="61">
        <f>IFERROR(LOOKUP(2,1/(U101:AY101&lt;&gt;""),U$2:AY$2),"")</f>
        <v/>
      </c>
      <c r="O101" s="59" t="n"/>
      <c r="P101" s="59" t="n"/>
      <c r="Q101" s="59" t="n"/>
      <c r="R101" s="59" t="n"/>
      <c r="S101" s="14" t="n"/>
      <c r="U101" s="53" t="n"/>
      <c r="V101" s="53" t="n"/>
      <c r="W101" s="53" t="n"/>
      <c r="X101" s="53" t="n"/>
      <c r="Y101" s="53" t="n"/>
      <c r="Z101" s="53" t="n"/>
      <c r="AA101" s="53" t="n"/>
      <c r="AB101" s="53" t="n"/>
      <c r="AC101" s="53" t="n"/>
      <c r="AD101" s="53" t="n"/>
      <c r="AE101" s="53" t="n"/>
      <c r="AF101" s="53" t="n"/>
      <c r="AG101" s="53" t="n"/>
      <c r="AH101" s="53" t="n"/>
      <c r="AI101" s="53" t="n"/>
      <c r="AJ101" s="53" t="n"/>
      <c r="AK101" s="53" t="n"/>
      <c r="AL101" s="53" t="n"/>
      <c r="AM101" s="53" t="n"/>
      <c r="AN101" s="53" t="n"/>
      <c r="AO101" s="53" t="n"/>
      <c r="AP101" s="53" t="n"/>
      <c r="AQ101" s="53" t="n"/>
      <c r="AR101" s="53" t="n"/>
      <c r="AS101" s="53" t="n"/>
      <c r="AT101" s="53" t="n"/>
      <c r="AU101" s="53" t="n"/>
      <c r="AV101" s="53" t="n"/>
      <c r="AW101" s="53" t="n"/>
      <c r="AX101" s="53" t="n"/>
      <c r="AY101" s="53" t="n"/>
    </row>
    <row r="102" ht="15" customHeight="1">
      <c r="A102" s="62" t="n"/>
      <c r="B102" s="55">
        <f>IF($B$100="","",$B$100)</f>
        <v/>
      </c>
      <c r="C102" s="63" t="inlineStr">
        <is>
          <t>마케팅2팀</t>
        </is>
      </c>
      <c r="D102" s="55">
        <f>IF($D$100="","",$D$100)</f>
        <v/>
      </c>
      <c r="E102" s="64" t="inlineStr">
        <is>
          <t>영상</t>
        </is>
      </c>
      <c r="F102" s="44" t="n"/>
      <c r="G102" s="58">
        <f>IF($G$100="","",$G$100)</f>
        <v/>
      </c>
      <c r="H102" s="59" t="n"/>
      <c r="I102" s="59" t="n"/>
      <c r="J102" s="59" t="n"/>
      <c r="K102" s="59" t="n"/>
      <c r="L102" s="65">
        <f>IF(SUM(U102:AY102)=0,"",SUM(U102:AY102))</f>
        <v/>
      </c>
      <c r="M102" s="66">
        <f>IFERROR(INDEX(U$2:AY$2,MATCH(TRUE,INDEX(U102:AY102&lt;&gt;"",0),0)),"")</f>
        <v/>
      </c>
      <c r="N102" s="66">
        <f>IFERROR(LOOKUP(2,1/(U102:AY102&lt;&gt;""),U$2:AY$2),"")</f>
        <v/>
      </c>
      <c r="O102" s="59" t="n"/>
      <c r="P102" s="59" t="n"/>
      <c r="Q102" s="59" t="n"/>
      <c r="R102" s="59" t="n"/>
      <c r="S102" s="14" t="n"/>
      <c r="U102" s="53" t="n"/>
      <c r="V102" s="53" t="n"/>
      <c r="W102" s="53" t="n"/>
      <c r="X102" s="53" t="n"/>
      <c r="Y102" s="53" t="n"/>
      <c r="Z102" s="53" t="n"/>
      <c r="AA102" s="53" t="n"/>
      <c r="AB102" s="53" t="n"/>
      <c r="AC102" s="53" t="n"/>
      <c r="AD102" s="53" t="n"/>
      <c r="AE102" s="53" t="n"/>
      <c r="AF102" s="53" t="n"/>
      <c r="AG102" s="53" t="n"/>
      <c r="AH102" s="53" t="n"/>
      <c r="AI102" s="53" t="n"/>
      <c r="AJ102" s="53" t="n"/>
      <c r="AK102" s="53" t="n"/>
      <c r="AL102" s="53" t="n"/>
      <c r="AM102" s="53" t="n"/>
      <c r="AN102" s="53" t="n"/>
      <c r="AO102" s="53" t="n"/>
      <c r="AP102" s="53" t="n"/>
      <c r="AQ102" s="53" t="n"/>
      <c r="AR102" s="53" t="n"/>
      <c r="AS102" s="53" t="n"/>
      <c r="AT102" s="53" t="n"/>
      <c r="AU102" s="53" t="n"/>
      <c r="AV102" s="53" t="n"/>
      <c r="AW102" s="53" t="n"/>
      <c r="AX102" s="53" t="n"/>
      <c r="AY102" s="53" t="n"/>
    </row>
    <row r="103" ht="15" customHeight="1">
      <c r="A103" s="40">
        <f>IF($D$103="","",32)</f>
        <v/>
      </c>
      <c r="B103" s="10" t="n"/>
      <c r="C103" s="41" t="inlineStr">
        <is>
          <t>마케팅2팀</t>
        </is>
      </c>
      <c r="D103" s="42" t="n"/>
      <c r="E103" s="43" t="inlineStr">
        <is>
          <t>기획</t>
        </is>
      </c>
      <c r="F103" s="44" t="n"/>
      <c r="G103" s="45" t="n"/>
      <c r="H103" s="46">
        <f>IF($I$103="","",IF($I$103&lt;0,"🔴지연",IF($I$103&lt;=1,"🟡임박","🟢여유")))</f>
        <v/>
      </c>
      <c r="I103" s="47">
        <f>IF(OR($G$103="",$K$103=""),"",$G$103-$K$103)</f>
        <v/>
      </c>
      <c r="J103" s="48">
        <f>IF(SUM($L$103:$L$105)=0,"",SUM($L$103:$L$105))</f>
        <v/>
      </c>
      <c r="K103" s="49">
        <f>IF($J$103="","",MAX($N$103:$N$105))</f>
        <v/>
      </c>
      <c r="L103" s="50">
        <f>IF(SUM(U103:AY103)=0,"",SUM(U103:AY103))</f>
        <v/>
      </c>
      <c r="M103" s="51">
        <f>IFERROR(INDEX(U$2:AY$2,MATCH(TRUE,INDEX(U103:AY103&lt;&gt;"",0),0)),"")</f>
        <v/>
      </c>
      <c r="N103" s="51">
        <f>IFERROR(LOOKUP(2,1/(U103:AY103&lt;&gt;""),U$2:AY$2),"")</f>
        <v/>
      </c>
      <c r="O103" s="52" t="n"/>
      <c r="P103" s="52" t="n"/>
      <c r="Q103" s="52" t="n"/>
      <c r="R103" s="44" t="n"/>
      <c r="S103" s="14" t="n"/>
      <c r="U103" s="53" t="n"/>
      <c r="V103" s="53" t="n"/>
      <c r="W103" s="53" t="n"/>
      <c r="X103" s="53" t="n"/>
      <c r="Y103" s="53" t="n"/>
      <c r="Z103" s="53" t="n"/>
      <c r="AA103" s="53" t="n"/>
      <c r="AB103" s="53" t="n"/>
      <c r="AC103" s="53" t="n"/>
      <c r="AD103" s="53" t="n"/>
      <c r="AE103" s="53" t="n"/>
      <c r="AF103" s="53" t="n"/>
      <c r="AG103" s="53" t="n"/>
      <c r="AH103" s="53" t="n"/>
      <c r="AI103" s="53" t="n"/>
      <c r="AJ103" s="53" t="n"/>
      <c r="AK103" s="53" t="n"/>
      <c r="AL103" s="53" t="n"/>
      <c r="AM103" s="53" t="n"/>
      <c r="AN103" s="53" t="n"/>
      <c r="AO103" s="53" t="n"/>
      <c r="AP103" s="53" t="n"/>
      <c r="AQ103" s="53" t="n"/>
      <c r="AR103" s="53" t="n"/>
      <c r="AS103" s="53" t="n"/>
      <c r="AT103" s="53" t="n"/>
      <c r="AU103" s="53" t="n"/>
      <c r="AV103" s="53" t="n"/>
      <c r="AW103" s="53" t="n"/>
      <c r="AX103" s="53" t="n"/>
      <c r="AY103" s="53" t="n"/>
    </row>
    <row r="104" ht="15" customHeight="1">
      <c r="A104" s="54" t="n"/>
      <c r="B104" s="55">
        <f>IF($B$103="","",$B$103)</f>
        <v/>
      </c>
      <c r="C104" s="56" t="inlineStr">
        <is>
          <t>마케팅2팀</t>
        </is>
      </c>
      <c r="D104" s="55">
        <f>IF($D$103="","",$D$103)</f>
        <v/>
      </c>
      <c r="E104" s="57" t="inlineStr">
        <is>
          <t>이미지</t>
        </is>
      </c>
      <c r="F104" s="44" t="n"/>
      <c r="G104" s="58">
        <f>IF($G$103="","",$G$103)</f>
        <v/>
      </c>
      <c r="H104" s="59" t="n"/>
      <c r="I104" s="59" t="n"/>
      <c r="J104" s="59" t="n"/>
      <c r="K104" s="59" t="n"/>
      <c r="L104" s="60">
        <f>IF(SUM(U104:AY104)=0,"",SUM(U104:AY104))</f>
        <v/>
      </c>
      <c r="M104" s="61">
        <f>IFERROR(INDEX(U$2:AY$2,MATCH(TRUE,INDEX(U104:AY104&lt;&gt;"",0),0)),"")</f>
        <v/>
      </c>
      <c r="N104" s="61">
        <f>IFERROR(LOOKUP(2,1/(U104:AY104&lt;&gt;""),U$2:AY$2),"")</f>
        <v/>
      </c>
      <c r="O104" s="59" t="n"/>
      <c r="P104" s="59" t="n"/>
      <c r="Q104" s="59" t="n"/>
      <c r="R104" s="59" t="n"/>
      <c r="S104" s="14" t="n"/>
      <c r="U104" s="53" t="n"/>
      <c r="V104" s="53" t="n"/>
      <c r="W104" s="53" t="n"/>
      <c r="X104" s="53" t="n"/>
      <c r="Y104" s="53" t="n"/>
      <c r="Z104" s="53" t="n"/>
      <c r="AA104" s="53" t="n"/>
      <c r="AB104" s="53" t="n"/>
      <c r="AC104" s="53" t="n"/>
      <c r="AD104" s="53" t="n"/>
      <c r="AE104" s="53" t="n"/>
      <c r="AF104" s="53" t="n"/>
      <c r="AG104" s="53" t="n"/>
      <c r="AH104" s="53" t="n"/>
      <c r="AI104" s="53" t="n"/>
      <c r="AJ104" s="53" t="n"/>
      <c r="AK104" s="53" t="n"/>
      <c r="AL104" s="53" t="n"/>
      <c r="AM104" s="53" t="n"/>
      <c r="AN104" s="53" t="n"/>
      <c r="AO104" s="53" t="n"/>
      <c r="AP104" s="53" t="n"/>
      <c r="AQ104" s="53" t="n"/>
      <c r="AR104" s="53" t="n"/>
      <c r="AS104" s="53" t="n"/>
      <c r="AT104" s="53" t="n"/>
      <c r="AU104" s="53" t="n"/>
      <c r="AV104" s="53" t="n"/>
      <c r="AW104" s="53" t="n"/>
      <c r="AX104" s="53" t="n"/>
      <c r="AY104" s="53" t="n"/>
    </row>
    <row r="105" ht="15" customHeight="1">
      <c r="A105" s="62" t="n"/>
      <c r="B105" s="55">
        <f>IF($B$103="","",$B$103)</f>
        <v/>
      </c>
      <c r="C105" s="63" t="inlineStr">
        <is>
          <t>마케팅2팀</t>
        </is>
      </c>
      <c r="D105" s="55">
        <f>IF($D$103="","",$D$103)</f>
        <v/>
      </c>
      <c r="E105" s="64" t="inlineStr">
        <is>
          <t>영상</t>
        </is>
      </c>
      <c r="F105" s="44" t="n"/>
      <c r="G105" s="58">
        <f>IF($G$103="","",$G$103)</f>
        <v/>
      </c>
      <c r="H105" s="59" t="n"/>
      <c r="I105" s="59" t="n"/>
      <c r="J105" s="59" t="n"/>
      <c r="K105" s="59" t="n"/>
      <c r="L105" s="65">
        <f>IF(SUM(U105:AY105)=0,"",SUM(U105:AY105))</f>
        <v/>
      </c>
      <c r="M105" s="66">
        <f>IFERROR(INDEX(U$2:AY$2,MATCH(TRUE,INDEX(U105:AY105&lt;&gt;"",0),0)),"")</f>
        <v/>
      </c>
      <c r="N105" s="66">
        <f>IFERROR(LOOKUP(2,1/(U105:AY105&lt;&gt;""),U$2:AY$2),"")</f>
        <v/>
      </c>
      <c r="O105" s="59" t="n"/>
      <c r="P105" s="59" t="n"/>
      <c r="Q105" s="59" t="n"/>
      <c r="R105" s="59" t="n"/>
      <c r="S105" s="14" t="n"/>
      <c r="U105" s="53" t="n"/>
      <c r="V105" s="53" t="n"/>
      <c r="W105" s="53" t="n"/>
      <c r="X105" s="53" t="n"/>
      <c r="Y105" s="53" t="n"/>
      <c r="Z105" s="53" t="n"/>
      <c r="AA105" s="53" t="n"/>
      <c r="AB105" s="53" t="n"/>
      <c r="AC105" s="53" t="n"/>
      <c r="AD105" s="53" t="n"/>
      <c r="AE105" s="53" t="n"/>
      <c r="AF105" s="53" t="n"/>
      <c r="AG105" s="53" t="n"/>
      <c r="AH105" s="53" t="n"/>
      <c r="AI105" s="53" t="n"/>
      <c r="AJ105" s="53" t="n"/>
      <c r="AK105" s="53" t="n"/>
      <c r="AL105" s="53" t="n"/>
      <c r="AM105" s="53" t="n"/>
      <c r="AN105" s="53" t="n"/>
      <c r="AO105" s="53" t="n"/>
      <c r="AP105" s="53" t="n"/>
      <c r="AQ105" s="53" t="n"/>
      <c r="AR105" s="53" t="n"/>
      <c r="AS105" s="53" t="n"/>
      <c r="AT105" s="53" t="n"/>
      <c r="AU105" s="53" t="n"/>
      <c r="AV105" s="53" t="n"/>
      <c r="AW105" s="53" t="n"/>
      <c r="AX105" s="53" t="n"/>
      <c r="AY105" s="53" t="n"/>
    </row>
    <row r="106" ht="15" customHeight="1">
      <c r="A106" s="40">
        <f>IF($D$106="","",33)</f>
        <v/>
      </c>
      <c r="B106" s="10" t="n"/>
      <c r="C106" s="41" t="inlineStr">
        <is>
          <t>마케팅2팀</t>
        </is>
      </c>
      <c r="D106" s="42" t="n"/>
      <c r="E106" s="43" t="inlineStr">
        <is>
          <t>기획</t>
        </is>
      </c>
      <c r="F106" s="44" t="n"/>
      <c r="G106" s="45" t="n"/>
      <c r="H106" s="46">
        <f>IF($I$106="","",IF($I$106&lt;0,"🔴지연",IF($I$106&lt;=1,"🟡임박","🟢여유")))</f>
        <v/>
      </c>
      <c r="I106" s="47">
        <f>IF(OR($G$106="",$K$106=""),"",$G$106-$K$106)</f>
        <v/>
      </c>
      <c r="J106" s="48">
        <f>IF(SUM($L$106:$L$108)=0,"",SUM($L$106:$L$108))</f>
        <v/>
      </c>
      <c r="K106" s="49">
        <f>IF($J$106="","",MAX($N$106:$N$108))</f>
        <v/>
      </c>
      <c r="L106" s="50">
        <f>IF(SUM(U106:AY106)=0,"",SUM(U106:AY106))</f>
        <v/>
      </c>
      <c r="M106" s="51">
        <f>IFERROR(INDEX(U$2:AY$2,MATCH(TRUE,INDEX(U106:AY106&lt;&gt;"",0),0)),"")</f>
        <v/>
      </c>
      <c r="N106" s="51">
        <f>IFERROR(LOOKUP(2,1/(U106:AY106&lt;&gt;""),U$2:AY$2),"")</f>
        <v/>
      </c>
      <c r="O106" s="52" t="n"/>
      <c r="P106" s="52" t="n"/>
      <c r="Q106" s="52" t="n"/>
      <c r="R106" s="44" t="n"/>
      <c r="S106" s="14" t="n"/>
      <c r="U106" s="53" t="n"/>
      <c r="V106" s="53" t="n"/>
      <c r="W106" s="53" t="n"/>
      <c r="X106" s="53" t="n"/>
      <c r="Y106" s="53" t="n"/>
      <c r="Z106" s="53" t="n"/>
      <c r="AA106" s="53" t="n"/>
      <c r="AB106" s="53" t="n"/>
      <c r="AC106" s="53" t="n"/>
      <c r="AD106" s="53" t="n"/>
      <c r="AE106" s="53" t="n"/>
      <c r="AF106" s="53" t="n"/>
      <c r="AG106" s="53" t="n"/>
      <c r="AH106" s="53" t="n"/>
      <c r="AI106" s="53" t="n"/>
      <c r="AJ106" s="53" t="n"/>
      <c r="AK106" s="53" t="n"/>
      <c r="AL106" s="53" t="n"/>
      <c r="AM106" s="53" t="n"/>
      <c r="AN106" s="53" t="n"/>
      <c r="AO106" s="53" t="n"/>
      <c r="AP106" s="53" t="n"/>
      <c r="AQ106" s="53" t="n"/>
      <c r="AR106" s="53" t="n"/>
      <c r="AS106" s="53" t="n"/>
      <c r="AT106" s="53" t="n"/>
      <c r="AU106" s="53" t="n"/>
      <c r="AV106" s="53" t="n"/>
      <c r="AW106" s="53" t="n"/>
      <c r="AX106" s="53" t="n"/>
      <c r="AY106" s="53" t="n"/>
    </row>
    <row r="107" ht="15" customHeight="1">
      <c r="A107" s="54" t="n"/>
      <c r="B107" s="55">
        <f>IF($B$106="","",$B$106)</f>
        <v/>
      </c>
      <c r="C107" s="56" t="inlineStr">
        <is>
          <t>마케팅2팀</t>
        </is>
      </c>
      <c r="D107" s="55">
        <f>IF($D$106="","",$D$106)</f>
        <v/>
      </c>
      <c r="E107" s="57" t="inlineStr">
        <is>
          <t>이미지</t>
        </is>
      </c>
      <c r="F107" s="44" t="n"/>
      <c r="G107" s="58">
        <f>IF($G$106="","",$G$106)</f>
        <v/>
      </c>
      <c r="H107" s="59" t="n"/>
      <c r="I107" s="59" t="n"/>
      <c r="J107" s="59" t="n"/>
      <c r="K107" s="59" t="n"/>
      <c r="L107" s="60">
        <f>IF(SUM(U107:AY107)=0,"",SUM(U107:AY107))</f>
        <v/>
      </c>
      <c r="M107" s="61">
        <f>IFERROR(INDEX(U$2:AY$2,MATCH(TRUE,INDEX(U107:AY107&lt;&gt;"",0),0)),"")</f>
        <v/>
      </c>
      <c r="N107" s="61">
        <f>IFERROR(LOOKUP(2,1/(U107:AY107&lt;&gt;""),U$2:AY$2),"")</f>
        <v/>
      </c>
      <c r="O107" s="59" t="n"/>
      <c r="P107" s="59" t="n"/>
      <c r="Q107" s="59" t="n"/>
      <c r="R107" s="59" t="n"/>
      <c r="S107" s="14" t="n"/>
      <c r="U107" s="53" t="n"/>
      <c r="V107" s="53" t="n"/>
      <c r="W107" s="53" t="n"/>
      <c r="X107" s="53" t="n"/>
      <c r="Y107" s="53" t="n"/>
      <c r="Z107" s="53" t="n"/>
      <c r="AA107" s="53" t="n"/>
      <c r="AB107" s="53" t="n"/>
      <c r="AC107" s="53" t="n"/>
      <c r="AD107" s="53" t="n"/>
      <c r="AE107" s="53" t="n"/>
      <c r="AF107" s="53" t="n"/>
      <c r="AG107" s="53" t="n"/>
      <c r="AH107" s="53" t="n"/>
      <c r="AI107" s="53" t="n"/>
      <c r="AJ107" s="53" t="n"/>
      <c r="AK107" s="53" t="n"/>
      <c r="AL107" s="53" t="n"/>
      <c r="AM107" s="53" t="n"/>
      <c r="AN107" s="53" t="n"/>
      <c r="AO107" s="53" t="n"/>
      <c r="AP107" s="53" t="n"/>
      <c r="AQ107" s="53" t="n"/>
      <c r="AR107" s="53" t="n"/>
      <c r="AS107" s="53" t="n"/>
      <c r="AT107" s="53" t="n"/>
      <c r="AU107" s="53" t="n"/>
      <c r="AV107" s="53" t="n"/>
      <c r="AW107" s="53" t="n"/>
      <c r="AX107" s="53" t="n"/>
      <c r="AY107" s="53" t="n"/>
    </row>
    <row r="108" ht="15" customHeight="1">
      <c r="A108" s="62" t="n"/>
      <c r="B108" s="55">
        <f>IF($B$106="","",$B$106)</f>
        <v/>
      </c>
      <c r="C108" s="63" t="inlineStr">
        <is>
          <t>마케팅2팀</t>
        </is>
      </c>
      <c r="D108" s="55">
        <f>IF($D$106="","",$D$106)</f>
        <v/>
      </c>
      <c r="E108" s="64" t="inlineStr">
        <is>
          <t>영상</t>
        </is>
      </c>
      <c r="F108" s="44" t="n"/>
      <c r="G108" s="58">
        <f>IF($G$106="","",$G$106)</f>
        <v/>
      </c>
      <c r="H108" s="59" t="n"/>
      <c r="I108" s="59" t="n"/>
      <c r="J108" s="59" t="n"/>
      <c r="K108" s="59" t="n"/>
      <c r="L108" s="65">
        <f>IF(SUM(U108:AY108)=0,"",SUM(U108:AY108))</f>
        <v/>
      </c>
      <c r="M108" s="66">
        <f>IFERROR(INDEX(U$2:AY$2,MATCH(TRUE,INDEX(U108:AY108&lt;&gt;"",0),0)),"")</f>
        <v/>
      </c>
      <c r="N108" s="66">
        <f>IFERROR(LOOKUP(2,1/(U108:AY108&lt;&gt;""),U$2:AY$2),"")</f>
        <v/>
      </c>
      <c r="O108" s="59" t="n"/>
      <c r="P108" s="59" t="n"/>
      <c r="Q108" s="59" t="n"/>
      <c r="R108" s="59" t="n"/>
      <c r="S108" s="14" t="n"/>
      <c r="U108" s="53" t="n"/>
      <c r="V108" s="53" t="n"/>
      <c r="W108" s="53" t="n"/>
      <c r="X108" s="53" t="n"/>
      <c r="Y108" s="53" t="n"/>
      <c r="Z108" s="53" t="n"/>
      <c r="AA108" s="53" t="n"/>
      <c r="AB108" s="53" t="n"/>
      <c r="AC108" s="53" t="n"/>
      <c r="AD108" s="53" t="n"/>
      <c r="AE108" s="53" t="n"/>
      <c r="AF108" s="53" t="n"/>
      <c r="AG108" s="53" t="n"/>
      <c r="AH108" s="53" t="n"/>
      <c r="AI108" s="53" t="n"/>
      <c r="AJ108" s="53" t="n"/>
      <c r="AK108" s="53" t="n"/>
      <c r="AL108" s="53" t="n"/>
      <c r="AM108" s="53" t="n"/>
      <c r="AN108" s="53" t="n"/>
      <c r="AO108" s="53" t="n"/>
      <c r="AP108" s="53" t="n"/>
      <c r="AQ108" s="53" t="n"/>
      <c r="AR108" s="53" t="n"/>
      <c r="AS108" s="53" t="n"/>
      <c r="AT108" s="53" t="n"/>
      <c r="AU108" s="53" t="n"/>
      <c r="AV108" s="53" t="n"/>
      <c r="AW108" s="53" t="n"/>
      <c r="AX108" s="53" t="n"/>
      <c r="AY108" s="53" t="n"/>
    </row>
    <row r="109" ht="15" customHeight="1">
      <c r="A109" s="40">
        <f>IF($D$109="","",34)</f>
        <v/>
      </c>
      <c r="B109" s="10" t="n"/>
      <c r="C109" s="41" t="inlineStr">
        <is>
          <t>마케팅2팀</t>
        </is>
      </c>
      <c r="D109" s="42" t="n"/>
      <c r="E109" s="43" t="inlineStr">
        <is>
          <t>기획</t>
        </is>
      </c>
      <c r="F109" s="44" t="n"/>
      <c r="G109" s="45" t="n"/>
      <c r="H109" s="46">
        <f>IF($I$109="","",IF($I$109&lt;0,"🔴지연",IF($I$109&lt;=1,"🟡임박","🟢여유")))</f>
        <v/>
      </c>
      <c r="I109" s="47">
        <f>IF(OR($G$109="",$K$109=""),"",$G$109-$K$109)</f>
        <v/>
      </c>
      <c r="J109" s="48">
        <f>IF(SUM($L$109:$L$111)=0,"",SUM($L$109:$L$111))</f>
        <v/>
      </c>
      <c r="K109" s="49">
        <f>IF($J$109="","",MAX($N$109:$N$111))</f>
        <v/>
      </c>
      <c r="L109" s="50">
        <f>IF(SUM(U109:AY109)=0,"",SUM(U109:AY109))</f>
        <v/>
      </c>
      <c r="M109" s="51">
        <f>IFERROR(INDEX(U$2:AY$2,MATCH(TRUE,INDEX(U109:AY109&lt;&gt;"",0),0)),"")</f>
        <v/>
      </c>
      <c r="N109" s="51">
        <f>IFERROR(LOOKUP(2,1/(U109:AY109&lt;&gt;""),U$2:AY$2),"")</f>
        <v/>
      </c>
      <c r="O109" s="52" t="n"/>
      <c r="P109" s="52" t="n"/>
      <c r="Q109" s="52" t="n"/>
      <c r="R109" s="44" t="n"/>
      <c r="S109" s="14" t="n"/>
      <c r="U109" s="53" t="n"/>
      <c r="V109" s="53" t="n"/>
      <c r="W109" s="53" t="n"/>
      <c r="X109" s="53" t="n"/>
      <c r="Y109" s="53" t="n"/>
      <c r="Z109" s="53" t="n"/>
      <c r="AA109" s="53" t="n"/>
      <c r="AB109" s="53" t="n"/>
      <c r="AC109" s="53" t="n"/>
      <c r="AD109" s="53" t="n"/>
      <c r="AE109" s="53" t="n"/>
      <c r="AF109" s="53" t="n"/>
      <c r="AG109" s="53" t="n"/>
      <c r="AH109" s="53" t="n"/>
      <c r="AI109" s="53" t="n"/>
      <c r="AJ109" s="53" t="n"/>
      <c r="AK109" s="53" t="n"/>
      <c r="AL109" s="53" t="n"/>
      <c r="AM109" s="53" t="n"/>
      <c r="AN109" s="53" t="n"/>
      <c r="AO109" s="53" t="n"/>
      <c r="AP109" s="53" t="n"/>
      <c r="AQ109" s="53" t="n"/>
      <c r="AR109" s="53" t="n"/>
      <c r="AS109" s="53" t="n"/>
      <c r="AT109" s="53" t="n"/>
      <c r="AU109" s="53" t="n"/>
      <c r="AV109" s="53" t="n"/>
      <c r="AW109" s="53" t="n"/>
      <c r="AX109" s="53" t="n"/>
      <c r="AY109" s="53" t="n"/>
    </row>
    <row r="110" ht="15" customHeight="1">
      <c r="A110" s="54" t="n"/>
      <c r="B110" s="55">
        <f>IF($B$109="","",$B$109)</f>
        <v/>
      </c>
      <c r="C110" s="56" t="inlineStr">
        <is>
          <t>마케팅2팀</t>
        </is>
      </c>
      <c r="D110" s="55">
        <f>IF($D$109="","",$D$109)</f>
        <v/>
      </c>
      <c r="E110" s="57" t="inlineStr">
        <is>
          <t>이미지</t>
        </is>
      </c>
      <c r="F110" s="44" t="n"/>
      <c r="G110" s="58">
        <f>IF($G$109="","",$G$109)</f>
        <v/>
      </c>
      <c r="H110" s="59" t="n"/>
      <c r="I110" s="59" t="n"/>
      <c r="J110" s="59" t="n"/>
      <c r="K110" s="59" t="n"/>
      <c r="L110" s="60">
        <f>IF(SUM(U110:AY110)=0,"",SUM(U110:AY110))</f>
        <v/>
      </c>
      <c r="M110" s="61">
        <f>IFERROR(INDEX(U$2:AY$2,MATCH(TRUE,INDEX(U110:AY110&lt;&gt;"",0),0)),"")</f>
        <v/>
      </c>
      <c r="N110" s="61">
        <f>IFERROR(LOOKUP(2,1/(U110:AY110&lt;&gt;""),U$2:AY$2),"")</f>
        <v/>
      </c>
      <c r="O110" s="59" t="n"/>
      <c r="P110" s="59" t="n"/>
      <c r="Q110" s="59" t="n"/>
      <c r="R110" s="59" t="n"/>
      <c r="S110" s="14" t="n"/>
      <c r="U110" s="53" t="n"/>
      <c r="V110" s="53" t="n"/>
      <c r="W110" s="53" t="n"/>
      <c r="X110" s="53" t="n"/>
      <c r="Y110" s="53" t="n"/>
      <c r="Z110" s="53" t="n"/>
      <c r="AA110" s="53" t="n"/>
      <c r="AB110" s="53" t="n"/>
      <c r="AC110" s="53" t="n"/>
      <c r="AD110" s="53" t="n"/>
      <c r="AE110" s="53" t="n"/>
      <c r="AF110" s="53" t="n"/>
      <c r="AG110" s="53" t="n"/>
      <c r="AH110" s="53" t="n"/>
      <c r="AI110" s="53" t="n"/>
      <c r="AJ110" s="53" t="n"/>
      <c r="AK110" s="53" t="n"/>
      <c r="AL110" s="53" t="n"/>
      <c r="AM110" s="53" t="n"/>
      <c r="AN110" s="53" t="n"/>
      <c r="AO110" s="53" t="n"/>
      <c r="AP110" s="53" t="n"/>
      <c r="AQ110" s="53" t="n"/>
      <c r="AR110" s="53" t="n"/>
      <c r="AS110" s="53" t="n"/>
      <c r="AT110" s="53" t="n"/>
      <c r="AU110" s="53" t="n"/>
      <c r="AV110" s="53" t="n"/>
      <c r="AW110" s="53" t="n"/>
      <c r="AX110" s="53" t="n"/>
      <c r="AY110" s="53" t="n"/>
    </row>
    <row r="111" ht="15" customHeight="1">
      <c r="A111" s="62" t="n"/>
      <c r="B111" s="55">
        <f>IF($B$109="","",$B$109)</f>
        <v/>
      </c>
      <c r="C111" s="63" t="inlineStr">
        <is>
          <t>마케팅2팀</t>
        </is>
      </c>
      <c r="D111" s="55">
        <f>IF($D$109="","",$D$109)</f>
        <v/>
      </c>
      <c r="E111" s="64" t="inlineStr">
        <is>
          <t>영상</t>
        </is>
      </c>
      <c r="F111" s="44" t="n"/>
      <c r="G111" s="58">
        <f>IF($G$109="","",$G$109)</f>
        <v/>
      </c>
      <c r="H111" s="59" t="n"/>
      <c r="I111" s="59" t="n"/>
      <c r="J111" s="59" t="n"/>
      <c r="K111" s="59" t="n"/>
      <c r="L111" s="65">
        <f>IF(SUM(U111:AY111)=0,"",SUM(U111:AY111))</f>
        <v/>
      </c>
      <c r="M111" s="66">
        <f>IFERROR(INDEX(U$2:AY$2,MATCH(TRUE,INDEX(U111:AY111&lt;&gt;"",0),0)),"")</f>
        <v/>
      </c>
      <c r="N111" s="66">
        <f>IFERROR(LOOKUP(2,1/(U111:AY111&lt;&gt;""),U$2:AY$2),"")</f>
        <v/>
      </c>
      <c r="O111" s="59" t="n"/>
      <c r="P111" s="59" t="n"/>
      <c r="Q111" s="59" t="n"/>
      <c r="R111" s="59" t="n"/>
      <c r="S111" s="14" t="n"/>
      <c r="U111" s="53" t="n"/>
      <c r="V111" s="53" t="n"/>
      <c r="W111" s="53" t="n"/>
      <c r="X111" s="53" t="n"/>
      <c r="Y111" s="53" t="n"/>
      <c r="Z111" s="53" t="n"/>
      <c r="AA111" s="53" t="n"/>
      <c r="AB111" s="53" t="n"/>
      <c r="AC111" s="53" t="n"/>
      <c r="AD111" s="53" t="n"/>
      <c r="AE111" s="53" t="n"/>
      <c r="AF111" s="53" t="n"/>
      <c r="AG111" s="53" t="n"/>
      <c r="AH111" s="53" t="n"/>
      <c r="AI111" s="53" t="n"/>
      <c r="AJ111" s="53" t="n"/>
      <c r="AK111" s="53" t="n"/>
      <c r="AL111" s="53" t="n"/>
      <c r="AM111" s="53" t="n"/>
      <c r="AN111" s="53" t="n"/>
      <c r="AO111" s="53" t="n"/>
      <c r="AP111" s="53" t="n"/>
      <c r="AQ111" s="53" t="n"/>
      <c r="AR111" s="53" t="n"/>
      <c r="AS111" s="53" t="n"/>
      <c r="AT111" s="53" t="n"/>
      <c r="AU111" s="53" t="n"/>
      <c r="AV111" s="53" t="n"/>
      <c r="AW111" s="53" t="n"/>
      <c r="AX111" s="53" t="n"/>
      <c r="AY111" s="53" t="n"/>
    </row>
    <row r="112" ht="15" customHeight="1">
      <c r="A112" s="40">
        <f>IF($D$112="","",35)</f>
        <v/>
      </c>
      <c r="B112" s="10" t="n"/>
      <c r="C112" s="41" t="inlineStr">
        <is>
          <t>마케팅2팀</t>
        </is>
      </c>
      <c r="D112" s="42" t="n"/>
      <c r="E112" s="43" t="inlineStr">
        <is>
          <t>기획</t>
        </is>
      </c>
      <c r="F112" s="44" t="n"/>
      <c r="G112" s="45" t="n"/>
      <c r="H112" s="46">
        <f>IF($I$112="","",IF($I$112&lt;0,"🔴지연",IF($I$112&lt;=1,"🟡임박","🟢여유")))</f>
        <v/>
      </c>
      <c r="I112" s="47">
        <f>IF(OR($G$112="",$K$112=""),"",$G$112-$K$112)</f>
        <v/>
      </c>
      <c r="J112" s="48">
        <f>IF(SUM($L$112:$L$114)=0,"",SUM($L$112:$L$114))</f>
        <v/>
      </c>
      <c r="K112" s="49">
        <f>IF($J$112="","",MAX($N$112:$N$114))</f>
        <v/>
      </c>
      <c r="L112" s="50">
        <f>IF(SUM(U112:AY112)=0,"",SUM(U112:AY112))</f>
        <v/>
      </c>
      <c r="M112" s="51">
        <f>IFERROR(INDEX(U$2:AY$2,MATCH(TRUE,INDEX(U112:AY112&lt;&gt;"",0),0)),"")</f>
        <v/>
      </c>
      <c r="N112" s="51">
        <f>IFERROR(LOOKUP(2,1/(U112:AY112&lt;&gt;""),U$2:AY$2),"")</f>
        <v/>
      </c>
      <c r="O112" s="52" t="n"/>
      <c r="P112" s="52" t="n"/>
      <c r="Q112" s="52" t="n"/>
      <c r="R112" s="44" t="n"/>
      <c r="S112" s="14" t="n"/>
      <c r="U112" s="53" t="n"/>
      <c r="V112" s="53" t="n"/>
      <c r="W112" s="53" t="n"/>
      <c r="X112" s="53" t="n"/>
      <c r="Y112" s="53" t="n"/>
      <c r="Z112" s="53" t="n"/>
      <c r="AA112" s="53" t="n"/>
      <c r="AB112" s="53" t="n"/>
      <c r="AC112" s="53" t="n"/>
      <c r="AD112" s="53" t="n"/>
      <c r="AE112" s="53" t="n"/>
      <c r="AF112" s="53" t="n"/>
      <c r="AG112" s="53" t="n"/>
      <c r="AH112" s="53" t="n"/>
      <c r="AI112" s="53" t="n"/>
      <c r="AJ112" s="53" t="n"/>
      <c r="AK112" s="53" t="n"/>
      <c r="AL112" s="53" t="n"/>
      <c r="AM112" s="53" t="n"/>
      <c r="AN112" s="53" t="n"/>
      <c r="AO112" s="53" t="n"/>
      <c r="AP112" s="53" t="n"/>
      <c r="AQ112" s="53" t="n"/>
      <c r="AR112" s="53" t="n"/>
      <c r="AS112" s="53" t="n"/>
      <c r="AT112" s="53" t="n"/>
      <c r="AU112" s="53" t="n"/>
      <c r="AV112" s="53" t="n"/>
      <c r="AW112" s="53" t="n"/>
      <c r="AX112" s="53" t="n"/>
      <c r="AY112" s="53" t="n"/>
    </row>
    <row r="113" ht="15" customHeight="1">
      <c r="A113" s="54" t="n"/>
      <c r="B113" s="55">
        <f>IF($B$112="","",$B$112)</f>
        <v/>
      </c>
      <c r="C113" s="56" t="inlineStr">
        <is>
          <t>마케팅2팀</t>
        </is>
      </c>
      <c r="D113" s="55">
        <f>IF($D$112="","",$D$112)</f>
        <v/>
      </c>
      <c r="E113" s="57" t="inlineStr">
        <is>
          <t>이미지</t>
        </is>
      </c>
      <c r="F113" s="44" t="n"/>
      <c r="G113" s="58">
        <f>IF($G$112="","",$G$112)</f>
        <v/>
      </c>
      <c r="H113" s="59" t="n"/>
      <c r="I113" s="59" t="n"/>
      <c r="J113" s="59" t="n"/>
      <c r="K113" s="59" t="n"/>
      <c r="L113" s="60">
        <f>IF(SUM(U113:AY113)=0,"",SUM(U113:AY113))</f>
        <v/>
      </c>
      <c r="M113" s="61">
        <f>IFERROR(INDEX(U$2:AY$2,MATCH(TRUE,INDEX(U113:AY113&lt;&gt;"",0),0)),"")</f>
        <v/>
      </c>
      <c r="N113" s="61">
        <f>IFERROR(LOOKUP(2,1/(U113:AY113&lt;&gt;""),U$2:AY$2),"")</f>
        <v/>
      </c>
      <c r="O113" s="59" t="n"/>
      <c r="P113" s="59" t="n"/>
      <c r="Q113" s="59" t="n"/>
      <c r="R113" s="59" t="n"/>
      <c r="S113" s="14" t="n"/>
      <c r="U113" s="53" t="n"/>
      <c r="V113" s="53" t="n"/>
      <c r="W113" s="53" t="n"/>
      <c r="X113" s="53" t="n"/>
      <c r="Y113" s="53" t="n"/>
      <c r="Z113" s="53" t="n"/>
      <c r="AA113" s="53" t="n"/>
      <c r="AB113" s="53" t="n"/>
      <c r="AC113" s="53" t="n"/>
      <c r="AD113" s="53" t="n"/>
      <c r="AE113" s="53" t="n"/>
      <c r="AF113" s="53" t="n"/>
      <c r="AG113" s="53" t="n"/>
      <c r="AH113" s="53" t="n"/>
      <c r="AI113" s="53" t="n"/>
      <c r="AJ113" s="53" t="n"/>
      <c r="AK113" s="53" t="n"/>
      <c r="AL113" s="53" t="n"/>
      <c r="AM113" s="53" t="n"/>
      <c r="AN113" s="53" t="n"/>
      <c r="AO113" s="53" t="n"/>
      <c r="AP113" s="53" t="n"/>
      <c r="AQ113" s="53" t="n"/>
      <c r="AR113" s="53" t="n"/>
      <c r="AS113" s="53" t="n"/>
      <c r="AT113" s="53" t="n"/>
      <c r="AU113" s="53" t="n"/>
      <c r="AV113" s="53" t="n"/>
      <c r="AW113" s="53" t="n"/>
      <c r="AX113" s="53" t="n"/>
      <c r="AY113" s="53" t="n"/>
    </row>
    <row r="114" ht="15" customHeight="1">
      <c r="A114" s="62" t="n"/>
      <c r="B114" s="55">
        <f>IF($B$112="","",$B$112)</f>
        <v/>
      </c>
      <c r="C114" s="63" t="inlineStr">
        <is>
          <t>마케팅2팀</t>
        </is>
      </c>
      <c r="D114" s="55">
        <f>IF($D$112="","",$D$112)</f>
        <v/>
      </c>
      <c r="E114" s="64" t="inlineStr">
        <is>
          <t>영상</t>
        </is>
      </c>
      <c r="F114" s="44" t="n"/>
      <c r="G114" s="58">
        <f>IF($G$112="","",$G$112)</f>
        <v/>
      </c>
      <c r="H114" s="59" t="n"/>
      <c r="I114" s="59" t="n"/>
      <c r="J114" s="59" t="n"/>
      <c r="K114" s="59" t="n"/>
      <c r="L114" s="65">
        <f>IF(SUM(U114:AY114)=0,"",SUM(U114:AY114))</f>
        <v/>
      </c>
      <c r="M114" s="66">
        <f>IFERROR(INDEX(U$2:AY$2,MATCH(TRUE,INDEX(U114:AY114&lt;&gt;"",0),0)),"")</f>
        <v/>
      </c>
      <c r="N114" s="66">
        <f>IFERROR(LOOKUP(2,1/(U114:AY114&lt;&gt;""),U$2:AY$2),"")</f>
        <v/>
      </c>
      <c r="O114" s="59" t="n"/>
      <c r="P114" s="59" t="n"/>
      <c r="Q114" s="59" t="n"/>
      <c r="R114" s="59" t="n"/>
      <c r="S114" s="14" t="n"/>
      <c r="U114" s="53" t="n"/>
      <c r="V114" s="53" t="n"/>
      <c r="W114" s="53" t="n"/>
      <c r="X114" s="53" t="n"/>
      <c r="Y114" s="53" t="n"/>
      <c r="Z114" s="53" t="n"/>
      <c r="AA114" s="53" t="n"/>
      <c r="AB114" s="53" t="n"/>
      <c r="AC114" s="53" t="n"/>
      <c r="AD114" s="53" t="n"/>
      <c r="AE114" s="53" t="n"/>
      <c r="AF114" s="53" t="n"/>
      <c r="AG114" s="53" t="n"/>
      <c r="AH114" s="53" t="n"/>
      <c r="AI114" s="53" t="n"/>
      <c r="AJ114" s="53" t="n"/>
      <c r="AK114" s="53" t="n"/>
      <c r="AL114" s="53" t="n"/>
      <c r="AM114" s="53" t="n"/>
      <c r="AN114" s="53" t="n"/>
      <c r="AO114" s="53" t="n"/>
      <c r="AP114" s="53" t="n"/>
      <c r="AQ114" s="53" t="n"/>
      <c r="AR114" s="53" t="n"/>
      <c r="AS114" s="53" t="n"/>
      <c r="AT114" s="53" t="n"/>
      <c r="AU114" s="53" t="n"/>
      <c r="AV114" s="53" t="n"/>
      <c r="AW114" s="53" t="n"/>
      <c r="AX114" s="53" t="n"/>
      <c r="AY114" s="53" t="n"/>
    </row>
    <row r="115" ht="15" customHeight="1">
      <c r="A115" s="40">
        <f>IF($D$115="","",36)</f>
        <v/>
      </c>
      <c r="B115" s="10" t="n"/>
      <c r="C115" s="41" t="inlineStr">
        <is>
          <t>마케팅2팀</t>
        </is>
      </c>
      <c r="D115" s="42" t="n"/>
      <c r="E115" s="43" t="inlineStr">
        <is>
          <t>기획</t>
        </is>
      </c>
      <c r="F115" s="44" t="n"/>
      <c r="G115" s="45" t="n"/>
      <c r="H115" s="46">
        <f>IF($I$115="","",IF($I$115&lt;0,"🔴지연",IF($I$115&lt;=1,"🟡임박","🟢여유")))</f>
        <v/>
      </c>
      <c r="I115" s="47">
        <f>IF(OR($G$115="",$K$115=""),"",$G$115-$K$115)</f>
        <v/>
      </c>
      <c r="J115" s="48">
        <f>IF(SUM($L$115:$L$117)=0,"",SUM($L$115:$L$117))</f>
        <v/>
      </c>
      <c r="K115" s="49">
        <f>IF($J$115="","",MAX($N$115:$N$117))</f>
        <v/>
      </c>
      <c r="L115" s="50">
        <f>IF(SUM(U115:AY115)=0,"",SUM(U115:AY115))</f>
        <v/>
      </c>
      <c r="M115" s="51">
        <f>IFERROR(INDEX(U$2:AY$2,MATCH(TRUE,INDEX(U115:AY115&lt;&gt;"",0),0)),"")</f>
        <v/>
      </c>
      <c r="N115" s="51">
        <f>IFERROR(LOOKUP(2,1/(U115:AY115&lt;&gt;""),U$2:AY$2),"")</f>
        <v/>
      </c>
      <c r="O115" s="52" t="n"/>
      <c r="P115" s="52" t="n"/>
      <c r="Q115" s="52" t="n"/>
      <c r="R115" s="44" t="n"/>
      <c r="S115" s="14" t="n"/>
      <c r="U115" s="53" t="n"/>
      <c r="V115" s="53" t="n"/>
      <c r="W115" s="53" t="n"/>
      <c r="X115" s="53" t="n"/>
      <c r="Y115" s="53" t="n"/>
      <c r="Z115" s="53" t="n"/>
      <c r="AA115" s="53" t="n"/>
      <c r="AB115" s="53" t="n"/>
      <c r="AC115" s="53" t="n"/>
      <c r="AD115" s="53" t="n"/>
      <c r="AE115" s="53" t="n"/>
      <c r="AF115" s="53" t="n"/>
      <c r="AG115" s="53" t="n"/>
      <c r="AH115" s="53" t="n"/>
      <c r="AI115" s="53" t="n"/>
      <c r="AJ115" s="53" t="n"/>
      <c r="AK115" s="53" t="n"/>
      <c r="AL115" s="53" t="n"/>
      <c r="AM115" s="53" t="n"/>
      <c r="AN115" s="53" t="n"/>
      <c r="AO115" s="53" t="n"/>
      <c r="AP115" s="53" t="n"/>
      <c r="AQ115" s="53" t="n"/>
      <c r="AR115" s="53" t="n"/>
      <c r="AS115" s="53" t="n"/>
      <c r="AT115" s="53" t="n"/>
      <c r="AU115" s="53" t="n"/>
      <c r="AV115" s="53" t="n"/>
      <c r="AW115" s="53" t="n"/>
      <c r="AX115" s="53" t="n"/>
      <c r="AY115" s="53" t="n"/>
    </row>
    <row r="116" ht="15" customHeight="1">
      <c r="A116" s="54" t="n"/>
      <c r="B116" s="55">
        <f>IF($B$115="","",$B$115)</f>
        <v/>
      </c>
      <c r="C116" s="56" t="inlineStr">
        <is>
          <t>마케팅2팀</t>
        </is>
      </c>
      <c r="D116" s="55">
        <f>IF($D$115="","",$D$115)</f>
        <v/>
      </c>
      <c r="E116" s="57" t="inlineStr">
        <is>
          <t>이미지</t>
        </is>
      </c>
      <c r="F116" s="44" t="n"/>
      <c r="G116" s="58">
        <f>IF($G$115="","",$G$115)</f>
        <v/>
      </c>
      <c r="H116" s="59" t="n"/>
      <c r="I116" s="59" t="n"/>
      <c r="J116" s="59" t="n"/>
      <c r="K116" s="59" t="n"/>
      <c r="L116" s="60">
        <f>IF(SUM(U116:AY116)=0,"",SUM(U116:AY116))</f>
        <v/>
      </c>
      <c r="M116" s="61">
        <f>IFERROR(INDEX(U$2:AY$2,MATCH(TRUE,INDEX(U116:AY116&lt;&gt;"",0),0)),"")</f>
        <v/>
      </c>
      <c r="N116" s="61">
        <f>IFERROR(LOOKUP(2,1/(U116:AY116&lt;&gt;""),U$2:AY$2),"")</f>
        <v/>
      </c>
      <c r="O116" s="59" t="n"/>
      <c r="P116" s="59" t="n"/>
      <c r="Q116" s="59" t="n"/>
      <c r="R116" s="59" t="n"/>
      <c r="S116" s="14" t="n"/>
      <c r="U116" s="53" t="n"/>
      <c r="V116" s="53" t="n"/>
      <c r="W116" s="53" t="n"/>
      <c r="X116" s="53" t="n"/>
      <c r="Y116" s="53" t="n"/>
      <c r="Z116" s="53" t="n"/>
      <c r="AA116" s="53" t="n"/>
      <c r="AB116" s="53" t="n"/>
      <c r="AC116" s="53" t="n"/>
      <c r="AD116" s="53" t="n"/>
      <c r="AE116" s="53" t="n"/>
      <c r="AF116" s="53" t="n"/>
      <c r="AG116" s="53" t="n"/>
      <c r="AH116" s="53" t="n"/>
      <c r="AI116" s="53" t="n"/>
      <c r="AJ116" s="53" t="n"/>
      <c r="AK116" s="53" t="n"/>
      <c r="AL116" s="53" t="n"/>
      <c r="AM116" s="53" t="n"/>
      <c r="AN116" s="53" t="n"/>
      <c r="AO116" s="53" t="n"/>
      <c r="AP116" s="53" t="n"/>
      <c r="AQ116" s="53" t="n"/>
      <c r="AR116" s="53" t="n"/>
      <c r="AS116" s="53" t="n"/>
      <c r="AT116" s="53" t="n"/>
      <c r="AU116" s="53" t="n"/>
      <c r="AV116" s="53" t="n"/>
      <c r="AW116" s="53" t="n"/>
      <c r="AX116" s="53" t="n"/>
      <c r="AY116" s="53" t="n"/>
    </row>
    <row r="117" ht="15" customHeight="1">
      <c r="A117" s="62" t="n"/>
      <c r="B117" s="55">
        <f>IF($B$115="","",$B$115)</f>
        <v/>
      </c>
      <c r="C117" s="63" t="inlineStr">
        <is>
          <t>마케팅2팀</t>
        </is>
      </c>
      <c r="D117" s="55">
        <f>IF($D$115="","",$D$115)</f>
        <v/>
      </c>
      <c r="E117" s="64" t="inlineStr">
        <is>
          <t>영상</t>
        </is>
      </c>
      <c r="F117" s="44" t="n"/>
      <c r="G117" s="58">
        <f>IF($G$115="","",$G$115)</f>
        <v/>
      </c>
      <c r="H117" s="59" t="n"/>
      <c r="I117" s="59" t="n"/>
      <c r="J117" s="59" t="n"/>
      <c r="K117" s="59" t="n"/>
      <c r="L117" s="65">
        <f>IF(SUM(U117:AY117)=0,"",SUM(U117:AY117))</f>
        <v/>
      </c>
      <c r="M117" s="66">
        <f>IFERROR(INDEX(U$2:AY$2,MATCH(TRUE,INDEX(U117:AY117&lt;&gt;"",0),0)),"")</f>
        <v/>
      </c>
      <c r="N117" s="66">
        <f>IFERROR(LOOKUP(2,1/(U117:AY117&lt;&gt;""),U$2:AY$2),"")</f>
        <v/>
      </c>
      <c r="O117" s="59" t="n"/>
      <c r="P117" s="59" t="n"/>
      <c r="Q117" s="59" t="n"/>
      <c r="R117" s="59" t="n"/>
      <c r="S117" s="14" t="n"/>
      <c r="U117" s="53" t="n"/>
      <c r="V117" s="53" t="n"/>
      <c r="W117" s="53" t="n"/>
      <c r="X117" s="53" t="n"/>
      <c r="Y117" s="53" t="n"/>
      <c r="Z117" s="53" t="n"/>
      <c r="AA117" s="53" t="n"/>
      <c r="AB117" s="53" t="n"/>
      <c r="AC117" s="53" t="n"/>
      <c r="AD117" s="53" t="n"/>
      <c r="AE117" s="53" t="n"/>
      <c r="AF117" s="53" t="n"/>
      <c r="AG117" s="53" t="n"/>
      <c r="AH117" s="53" t="n"/>
      <c r="AI117" s="53" t="n"/>
      <c r="AJ117" s="53" t="n"/>
      <c r="AK117" s="53" t="n"/>
      <c r="AL117" s="53" t="n"/>
      <c r="AM117" s="53" t="n"/>
      <c r="AN117" s="53" t="n"/>
      <c r="AO117" s="53" t="n"/>
      <c r="AP117" s="53" t="n"/>
      <c r="AQ117" s="53" t="n"/>
      <c r="AR117" s="53" t="n"/>
      <c r="AS117" s="53" t="n"/>
      <c r="AT117" s="53" t="n"/>
      <c r="AU117" s="53" t="n"/>
      <c r="AV117" s="53" t="n"/>
      <c r="AW117" s="53" t="n"/>
      <c r="AX117" s="53" t="n"/>
      <c r="AY117" s="53" t="n"/>
    </row>
    <row r="118" ht="15" customHeight="1">
      <c r="A118" s="40">
        <f>IF($D$118="","",37)</f>
        <v/>
      </c>
      <c r="B118" s="10" t="n"/>
      <c r="C118" s="41" t="inlineStr">
        <is>
          <t>마케팅2팀</t>
        </is>
      </c>
      <c r="D118" s="42" t="n"/>
      <c r="E118" s="43" t="inlineStr">
        <is>
          <t>기획</t>
        </is>
      </c>
      <c r="F118" s="44" t="n"/>
      <c r="G118" s="45" t="n"/>
      <c r="H118" s="46">
        <f>IF($I$118="","",IF($I$118&lt;0,"🔴지연",IF($I$118&lt;=1,"🟡임박","🟢여유")))</f>
        <v/>
      </c>
      <c r="I118" s="47">
        <f>IF(OR($G$118="",$K$118=""),"",$G$118-$K$118)</f>
        <v/>
      </c>
      <c r="J118" s="48">
        <f>IF(SUM($L$118:$L$120)=0,"",SUM($L$118:$L$120))</f>
        <v/>
      </c>
      <c r="K118" s="49">
        <f>IF($J$118="","",MAX($N$118:$N$120))</f>
        <v/>
      </c>
      <c r="L118" s="50">
        <f>IF(SUM(U118:AY118)=0,"",SUM(U118:AY118))</f>
        <v/>
      </c>
      <c r="M118" s="51">
        <f>IFERROR(INDEX(U$2:AY$2,MATCH(TRUE,INDEX(U118:AY118&lt;&gt;"",0),0)),"")</f>
        <v/>
      </c>
      <c r="N118" s="51">
        <f>IFERROR(LOOKUP(2,1/(U118:AY118&lt;&gt;""),U$2:AY$2),"")</f>
        <v/>
      </c>
      <c r="O118" s="52" t="n"/>
      <c r="P118" s="52" t="n"/>
      <c r="Q118" s="52" t="n"/>
      <c r="R118" s="44" t="n"/>
      <c r="S118" s="14" t="n"/>
      <c r="U118" s="53" t="n"/>
      <c r="V118" s="53" t="n"/>
      <c r="W118" s="53" t="n"/>
      <c r="X118" s="53" t="n"/>
      <c r="Y118" s="53" t="n"/>
      <c r="Z118" s="53" t="n"/>
      <c r="AA118" s="53" t="n"/>
      <c r="AB118" s="53" t="n"/>
      <c r="AC118" s="53" t="n"/>
      <c r="AD118" s="53" t="n"/>
      <c r="AE118" s="53" t="n"/>
      <c r="AF118" s="53" t="n"/>
      <c r="AG118" s="53" t="n"/>
      <c r="AH118" s="53" t="n"/>
      <c r="AI118" s="53" t="n"/>
      <c r="AJ118" s="53" t="n"/>
      <c r="AK118" s="53" t="n"/>
      <c r="AL118" s="53" t="n"/>
      <c r="AM118" s="53" t="n"/>
      <c r="AN118" s="53" t="n"/>
      <c r="AO118" s="53" t="n"/>
      <c r="AP118" s="53" t="n"/>
      <c r="AQ118" s="53" t="n"/>
      <c r="AR118" s="53" t="n"/>
      <c r="AS118" s="53" t="n"/>
      <c r="AT118" s="53" t="n"/>
      <c r="AU118" s="53" t="n"/>
      <c r="AV118" s="53" t="n"/>
      <c r="AW118" s="53" t="n"/>
      <c r="AX118" s="53" t="n"/>
      <c r="AY118" s="53" t="n"/>
    </row>
    <row r="119" ht="15" customHeight="1">
      <c r="A119" s="54" t="n"/>
      <c r="B119" s="55">
        <f>IF($B$118="","",$B$118)</f>
        <v/>
      </c>
      <c r="C119" s="56" t="inlineStr">
        <is>
          <t>마케팅2팀</t>
        </is>
      </c>
      <c r="D119" s="55">
        <f>IF($D$118="","",$D$118)</f>
        <v/>
      </c>
      <c r="E119" s="57" t="inlineStr">
        <is>
          <t>이미지</t>
        </is>
      </c>
      <c r="F119" s="44" t="n"/>
      <c r="G119" s="58">
        <f>IF($G$118="","",$G$118)</f>
        <v/>
      </c>
      <c r="H119" s="59" t="n"/>
      <c r="I119" s="59" t="n"/>
      <c r="J119" s="59" t="n"/>
      <c r="K119" s="59" t="n"/>
      <c r="L119" s="60">
        <f>IF(SUM(U119:AY119)=0,"",SUM(U119:AY119))</f>
        <v/>
      </c>
      <c r="M119" s="61">
        <f>IFERROR(INDEX(U$2:AY$2,MATCH(TRUE,INDEX(U119:AY119&lt;&gt;"",0),0)),"")</f>
        <v/>
      </c>
      <c r="N119" s="61">
        <f>IFERROR(LOOKUP(2,1/(U119:AY119&lt;&gt;""),U$2:AY$2),"")</f>
        <v/>
      </c>
      <c r="O119" s="59" t="n"/>
      <c r="P119" s="59" t="n"/>
      <c r="Q119" s="59" t="n"/>
      <c r="R119" s="59" t="n"/>
      <c r="S119" s="14" t="n"/>
      <c r="U119" s="53" t="n"/>
      <c r="V119" s="53" t="n"/>
      <c r="W119" s="53" t="n"/>
      <c r="X119" s="53" t="n"/>
      <c r="Y119" s="53" t="n"/>
      <c r="Z119" s="53" t="n"/>
      <c r="AA119" s="53" t="n"/>
      <c r="AB119" s="53" t="n"/>
      <c r="AC119" s="53" t="n"/>
      <c r="AD119" s="53" t="n"/>
      <c r="AE119" s="53" t="n"/>
      <c r="AF119" s="53" t="n"/>
      <c r="AG119" s="53" t="n"/>
      <c r="AH119" s="53" t="n"/>
      <c r="AI119" s="53" t="n"/>
      <c r="AJ119" s="53" t="n"/>
      <c r="AK119" s="53" t="n"/>
      <c r="AL119" s="53" t="n"/>
      <c r="AM119" s="53" t="n"/>
      <c r="AN119" s="53" t="n"/>
      <c r="AO119" s="53" t="n"/>
      <c r="AP119" s="53" t="n"/>
      <c r="AQ119" s="53" t="n"/>
      <c r="AR119" s="53" t="n"/>
      <c r="AS119" s="53" t="n"/>
      <c r="AT119" s="53" t="n"/>
      <c r="AU119" s="53" t="n"/>
      <c r="AV119" s="53" t="n"/>
      <c r="AW119" s="53" t="n"/>
      <c r="AX119" s="53" t="n"/>
      <c r="AY119" s="53" t="n"/>
    </row>
    <row r="120" ht="15" customHeight="1">
      <c r="A120" s="62" t="n"/>
      <c r="B120" s="55">
        <f>IF($B$118="","",$B$118)</f>
        <v/>
      </c>
      <c r="C120" s="63" t="inlineStr">
        <is>
          <t>마케팅2팀</t>
        </is>
      </c>
      <c r="D120" s="55">
        <f>IF($D$118="","",$D$118)</f>
        <v/>
      </c>
      <c r="E120" s="64" t="inlineStr">
        <is>
          <t>영상</t>
        </is>
      </c>
      <c r="F120" s="44" t="n"/>
      <c r="G120" s="58">
        <f>IF($G$118="","",$G$118)</f>
        <v/>
      </c>
      <c r="H120" s="59" t="n"/>
      <c r="I120" s="59" t="n"/>
      <c r="J120" s="59" t="n"/>
      <c r="K120" s="59" t="n"/>
      <c r="L120" s="65">
        <f>IF(SUM(U120:AY120)=0,"",SUM(U120:AY120))</f>
        <v/>
      </c>
      <c r="M120" s="66">
        <f>IFERROR(INDEX(U$2:AY$2,MATCH(TRUE,INDEX(U120:AY120&lt;&gt;"",0),0)),"")</f>
        <v/>
      </c>
      <c r="N120" s="66">
        <f>IFERROR(LOOKUP(2,1/(U120:AY120&lt;&gt;""),U$2:AY$2),"")</f>
        <v/>
      </c>
      <c r="O120" s="59" t="n"/>
      <c r="P120" s="59" t="n"/>
      <c r="Q120" s="59" t="n"/>
      <c r="R120" s="59" t="n"/>
      <c r="S120" s="14" t="n"/>
      <c r="U120" s="53" t="n"/>
      <c r="V120" s="53" t="n"/>
      <c r="W120" s="53" t="n"/>
      <c r="X120" s="53" t="n"/>
      <c r="Y120" s="53" t="n"/>
      <c r="Z120" s="53" t="n"/>
      <c r="AA120" s="53" t="n"/>
      <c r="AB120" s="53" t="n"/>
      <c r="AC120" s="53" t="n"/>
      <c r="AD120" s="53" t="n"/>
      <c r="AE120" s="53" t="n"/>
      <c r="AF120" s="53" t="n"/>
      <c r="AG120" s="53" t="n"/>
      <c r="AH120" s="53" t="n"/>
      <c r="AI120" s="53" t="n"/>
      <c r="AJ120" s="53" t="n"/>
      <c r="AK120" s="53" t="n"/>
      <c r="AL120" s="53" t="n"/>
      <c r="AM120" s="53" t="n"/>
      <c r="AN120" s="53" t="n"/>
      <c r="AO120" s="53" t="n"/>
      <c r="AP120" s="53" t="n"/>
      <c r="AQ120" s="53" t="n"/>
      <c r="AR120" s="53" t="n"/>
      <c r="AS120" s="53" t="n"/>
      <c r="AT120" s="53" t="n"/>
      <c r="AU120" s="53" t="n"/>
      <c r="AV120" s="53" t="n"/>
      <c r="AW120" s="53" t="n"/>
      <c r="AX120" s="53" t="n"/>
      <c r="AY120" s="53" t="n"/>
    </row>
    <row r="121" ht="15" customHeight="1">
      <c r="A121" s="40">
        <f>IF($D$121="","",38)</f>
        <v/>
      </c>
      <c r="B121" s="10" t="n"/>
      <c r="C121" s="41" t="inlineStr">
        <is>
          <t>마케팅2팀</t>
        </is>
      </c>
      <c r="D121" s="42" t="n"/>
      <c r="E121" s="43" t="inlineStr">
        <is>
          <t>기획</t>
        </is>
      </c>
      <c r="F121" s="44" t="n"/>
      <c r="G121" s="45" t="n"/>
      <c r="H121" s="46">
        <f>IF($I$121="","",IF($I$121&lt;0,"🔴지연",IF($I$121&lt;=1,"🟡임박","🟢여유")))</f>
        <v/>
      </c>
      <c r="I121" s="47">
        <f>IF(OR($G$121="",$K$121=""),"",$G$121-$K$121)</f>
        <v/>
      </c>
      <c r="J121" s="48">
        <f>IF(SUM($L$121:$L$123)=0,"",SUM($L$121:$L$123))</f>
        <v/>
      </c>
      <c r="K121" s="49">
        <f>IF($J$121="","",MAX($N$121:$N$123))</f>
        <v/>
      </c>
      <c r="L121" s="50">
        <f>IF(SUM(U121:AY121)=0,"",SUM(U121:AY121))</f>
        <v/>
      </c>
      <c r="M121" s="51">
        <f>IFERROR(INDEX(U$2:AY$2,MATCH(TRUE,INDEX(U121:AY121&lt;&gt;"",0),0)),"")</f>
        <v/>
      </c>
      <c r="N121" s="51">
        <f>IFERROR(LOOKUP(2,1/(U121:AY121&lt;&gt;""),U$2:AY$2),"")</f>
        <v/>
      </c>
      <c r="O121" s="52" t="n"/>
      <c r="P121" s="52" t="n"/>
      <c r="Q121" s="52" t="n"/>
      <c r="R121" s="44" t="n"/>
      <c r="S121" s="14" t="n"/>
      <c r="U121" s="53" t="n"/>
      <c r="V121" s="53" t="n"/>
      <c r="W121" s="53" t="n"/>
      <c r="X121" s="53" t="n"/>
      <c r="Y121" s="53" t="n"/>
      <c r="Z121" s="53" t="n"/>
      <c r="AA121" s="53" t="n"/>
      <c r="AB121" s="53" t="n"/>
      <c r="AC121" s="53" t="n"/>
      <c r="AD121" s="53" t="n"/>
      <c r="AE121" s="53" t="n"/>
      <c r="AF121" s="53" t="n"/>
      <c r="AG121" s="53" t="n"/>
      <c r="AH121" s="53" t="n"/>
      <c r="AI121" s="53" t="n"/>
      <c r="AJ121" s="53" t="n"/>
      <c r="AK121" s="53" t="n"/>
      <c r="AL121" s="53" t="n"/>
      <c r="AM121" s="53" t="n"/>
      <c r="AN121" s="53" t="n"/>
      <c r="AO121" s="53" t="n"/>
      <c r="AP121" s="53" t="n"/>
      <c r="AQ121" s="53" t="n"/>
      <c r="AR121" s="53" t="n"/>
      <c r="AS121" s="53" t="n"/>
      <c r="AT121" s="53" t="n"/>
      <c r="AU121" s="53" t="n"/>
      <c r="AV121" s="53" t="n"/>
      <c r="AW121" s="53" t="n"/>
      <c r="AX121" s="53" t="n"/>
      <c r="AY121" s="53" t="n"/>
    </row>
    <row r="122" ht="15" customHeight="1">
      <c r="A122" s="54" t="n"/>
      <c r="B122" s="55">
        <f>IF($B$121="","",$B$121)</f>
        <v/>
      </c>
      <c r="C122" s="56" t="inlineStr">
        <is>
          <t>마케팅2팀</t>
        </is>
      </c>
      <c r="D122" s="55">
        <f>IF($D$121="","",$D$121)</f>
        <v/>
      </c>
      <c r="E122" s="57" t="inlineStr">
        <is>
          <t>이미지</t>
        </is>
      </c>
      <c r="F122" s="44" t="n"/>
      <c r="G122" s="58">
        <f>IF($G$121="","",$G$121)</f>
        <v/>
      </c>
      <c r="H122" s="59" t="n"/>
      <c r="I122" s="59" t="n"/>
      <c r="J122" s="59" t="n"/>
      <c r="K122" s="59" t="n"/>
      <c r="L122" s="60">
        <f>IF(SUM(U122:AY122)=0,"",SUM(U122:AY122))</f>
        <v/>
      </c>
      <c r="M122" s="61">
        <f>IFERROR(INDEX(U$2:AY$2,MATCH(TRUE,INDEX(U122:AY122&lt;&gt;"",0),0)),"")</f>
        <v/>
      </c>
      <c r="N122" s="61">
        <f>IFERROR(LOOKUP(2,1/(U122:AY122&lt;&gt;""),U$2:AY$2),"")</f>
        <v/>
      </c>
      <c r="O122" s="59" t="n"/>
      <c r="P122" s="59" t="n"/>
      <c r="Q122" s="59" t="n"/>
      <c r="R122" s="59" t="n"/>
      <c r="S122" s="14" t="n"/>
      <c r="U122" s="53" t="n"/>
      <c r="V122" s="53" t="n"/>
      <c r="W122" s="53" t="n"/>
      <c r="X122" s="53" t="n"/>
      <c r="Y122" s="53" t="n"/>
      <c r="Z122" s="53" t="n"/>
      <c r="AA122" s="53" t="n"/>
      <c r="AB122" s="53" t="n"/>
      <c r="AC122" s="53" t="n"/>
      <c r="AD122" s="53" t="n"/>
      <c r="AE122" s="53" t="n"/>
      <c r="AF122" s="53" t="n"/>
      <c r="AG122" s="53" t="n"/>
      <c r="AH122" s="53" t="n"/>
      <c r="AI122" s="53" t="n"/>
      <c r="AJ122" s="53" t="n"/>
      <c r="AK122" s="53" t="n"/>
      <c r="AL122" s="53" t="n"/>
      <c r="AM122" s="53" t="n"/>
      <c r="AN122" s="53" t="n"/>
      <c r="AO122" s="53" t="n"/>
      <c r="AP122" s="53" t="n"/>
      <c r="AQ122" s="53" t="n"/>
      <c r="AR122" s="53" t="n"/>
      <c r="AS122" s="53" t="n"/>
      <c r="AT122" s="53" t="n"/>
      <c r="AU122" s="53" t="n"/>
      <c r="AV122" s="53" t="n"/>
      <c r="AW122" s="53" t="n"/>
      <c r="AX122" s="53" t="n"/>
      <c r="AY122" s="53" t="n"/>
    </row>
    <row r="123" ht="15" customHeight="1">
      <c r="A123" s="62" t="n"/>
      <c r="B123" s="55">
        <f>IF($B$121="","",$B$121)</f>
        <v/>
      </c>
      <c r="C123" s="63" t="inlineStr">
        <is>
          <t>마케팅2팀</t>
        </is>
      </c>
      <c r="D123" s="55">
        <f>IF($D$121="","",$D$121)</f>
        <v/>
      </c>
      <c r="E123" s="64" t="inlineStr">
        <is>
          <t>영상</t>
        </is>
      </c>
      <c r="F123" s="44" t="n"/>
      <c r="G123" s="58">
        <f>IF($G$121="","",$G$121)</f>
        <v/>
      </c>
      <c r="H123" s="59" t="n"/>
      <c r="I123" s="59" t="n"/>
      <c r="J123" s="59" t="n"/>
      <c r="K123" s="59" t="n"/>
      <c r="L123" s="65">
        <f>IF(SUM(U123:AY123)=0,"",SUM(U123:AY123))</f>
        <v/>
      </c>
      <c r="M123" s="66">
        <f>IFERROR(INDEX(U$2:AY$2,MATCH(TRUE,INDEX(U123:AY123&lt;&gt;"",0),0)),"")</f>
        <v/>
      </c>
      <c r="N123" s="66">
        <f>IFERROR(LOOKUP(2,1/(U123:AY123&lt;&gt;""),U$2:AY$2),"")</f>
        <v/>
      </c>
      <c r="O123" s="59" t="n"/>
      <c r="P123" s="59" t="n"/>
      <c r="Q123" s="59" t="n"/>
      <c r="R123" s="59" t="n"/>
      <c r="S123" s="14" t="n"/>
      <c r="U123" s="53" t="n"/>
      <c r="V123" s="53" t="n"/>
      <c r="W123" s="53" t="n"/>
      <c r="X123" s="53" t="n"/>
      <c r="Y123" s="53" t="n"/>
      <c r="Z123" s="53" t="n"/>
      <c r="AA123" s="53" t="n"/>
      <c r="AB123" s="53" t="n"/>
      <c r="AC123" s="53" t="n"/>
      <c r="AD123" s="53" t="n"/>
      <c r="AE123" s="53" t="n"/>
      <c r="AF123" s="53" t="n"/>
      <c r="AG123" s="53" t="n"/>
      <c r="AH123" s="53" t="n"/>
      <c r="AI123" s="53" t="n"/>
      <c r="AJ123" s="53" t="n"/>
      <c r="AK123" s="53" t="n"/>
      <c r="AL123" s="53" t="n"/>
      <c r="AM123" s="53" t="n"/>
      <c r="AN123" s="53" t="n"/>
      <c r="AO123" s="53" t="n"/>
      <c r="AP123" s="53" t="n"/>
      <c r="AQ123" s="53" t="n"/>
      <c r="AR123" s="53" t="n"/>
      <c r="AS123" s="53" t="n"/>
      <c r="AT123" s="53" t="n"/>
      <c r="AU123" s="53" t="n"/>
      <c r="AV123" s="53" t="n"/>
      <c r="AW123" s="53" t="n"/>
      <c r="AX123" s="53" t="n"/>
      <c r="AY123" s="53" t="n"/>
    </row>
    <row r="124" ht="15" customHeight="1">
      <c r="A124" s="40">
        <f>IF($D$124="","",39)</f>
        <v/>
      </c>
      <c r="B124" s="10" t="n"/>
      <c r="C124" s="41" t="inlineStr">
        <is>
          <t>마케팅2팀</t>
        </is>
      </c>
      <c r="D124" s="42" t="n"/>
      <c r="E124" s="43" t="inlineStr">
        <is>
          <t>기획</t>
        </is>
      </c>
      <c r="F124" s="44" t="n"/>
      <c r="G124" s="45" t="n"/>
      <c r="H124" s="46">
        <f>IF($I$124="","",IF($I$124&lt;0,"🔴지연",IF($I$124&lt;=1,"🟡임박","🟢여유")))</f>
        <v/>
      </c>
      <c r="I124" s="47">
        <f>IF(OR($G$124="",$K$124=""),"",$G$124-$K$124)</f>
        <v/>
      </c>
      <c r="J124" s="48">
        <f>IF(SUM($L$124:$L$126)=0,"",SUM($L$124:$L$126))</f>
        <v/>
      </c>
      <c r="K124" s="49">
        <f>IF($J$124="","",MAX($N$124:$N$126))</f>
        <v/>
      </c>
      <c r="L124" s="50">
        <f>IF(SUM(U124:AY124)=0,"",SUM(U124:AY124))</f>
        <v/>
      </c>
      <c r="M124" s="51">
        <f>IFERROR(INDEX(U$2:AY$2,MATCH(TRUE,INDEX(U124:AY124&lt;&gt;"",0),0)),"")</f>
        <v/>
      </c>
      <c r="N124" s="51">
        <f>IFERROR(LOOKUP(2,1/(U124:AY124&lt;&gt;""),U$2:AY$2),"")</f>
        <v/>
      </c>
      <c r="O124" s="52" t="n"/>
      <c r="P124" s="52" t="n"/>
      <c r="Q124" s="52" t="n"/>
      <c r="R124" s="44" t="n"/>
      <c r="S124" s="14" t="n"/>
      <c r="U124" s="53" t="n"/>
      <c r="V124" s="53" t="n"/>
      <c r="W124" s="53" t="n"/>
      <c r="X124" s="53" t="n"/>
      <c r="Y124" s="53" t="n"/>
      <c r="Z124" s="53" t="n"/>
      <c r="AA124" s="53" t="n"/>
      <c r="AB124" s="53" t="n"/>
      <c r="AC124" s="53" t="n"/>
      <c r="AD124" s="53" t="n"/>
      <c r="AE124" s="53" t="n"/>
      <c r="AF124" s="53" t="n"/>
      <c r="AG124" s="53" t="n"/>
      <c r="AH124" s="53" t="n"/>
      <c r="AI124" s="53" t="n"/>
      <c r="AJ124" s="53" t="n"/>
      <c r="AK124" s="53" t="n"/>
      <c r="AL124" s="53" t="n"/>
      <c r="AM124" s="53" t="n"/>
      <c r="AN124" s="53" t="n"/>
      <c r="AO124" s="53" t="n"/>
      <c r="AP124" s="53" t="n"/>
      <c r="AQ124" s="53" t="n"/>
      <c r="AR124" s="53" t="n"/>
      <c r="AS124" s="53" t="n"/>
      <c r="AT124" s="53" t="n"/>
      <c r="AU124" s="53" t="n"/>
      <c r="AV124" s="53" t="n"/>
      <c r="AW124" s="53" t="n"/>
      <c r="AX124" s="53" t="n"/>
      <c r="AY124" s="53" t="n"/>
    </row>
    <row r="125" ht="15" customHeight="1">
      <c r="A125" s="54" t="n"/>
      <c r="B125" s="55">
        <f>IF($B$124="","",$B$124)</f>
        <v/>
      </c>
      <c r="C125" s="56" t="inlineStr">
        <is>
          <t>마케팅2팀</t>
        </is>
      </c>
      <c r="D125" s="55">
        <f>IF($D$124="","",$D$124)</f>
        <v/>
      </c>
      <c r="E125" s="57" t="inlineStr">
        <is>
          <t>이미지</t>
        </is>
      </c>
      <c r="F125" s="44" t="n"/>
      <c r="G125" s="58">
        <f>IF($G$124="","",$G$124)</f>
        <v/>
      </c>
      <c r="H125" s="59" t="n"/>
      <c r="I125" s="59" t="n"/>
      <c r="J125" s="59" t="n"/>
      <c r="K125" s="59" t="n"/>
      <c r="L125" s="60">
        <f>IF(SUM(U125:AY125)=0,"",SUM(U125:AY125))</f>
        <v/>
      </c>
      <c r="M125" s="61">
        <f>IFERROR(INDEX(U$2:AY$2,MATCH(TRUE,INDEX(U125:AY125&lt;&gt;"",0),0)),"")</f>
        <v/>
      </c>
      <c r="N125" s="61">
        <f>IFERROR(LOOKUP(2,1/(U125:AY125&lt;&gt;""),U$2:AY$2),"")</f>
        <v/>
      </c>
      <c r="O125" s="59" t="n"/>
      <c r="P125" s="59" t="n"/>
      <c r="Q125" s="59" t="n"/>
      <c r="R125" s="59" t="n"/>
      <c r="S125" s="14" t="n"/>
      <c r="U125" s="53" t="n"/>
      <c r="V125" s="53" t="n"/>
      <c r="W125" s="53" t="n"/>
      <c r="X125" s="53" t="n"/>
      <c r="Y125" s="53" t="n"/>
      <c r="Z125" s="53" t="n"/>
      <c r="AA125" s="53" t="n"/>
      <c r="AB125" s="53" t="n"/>
      <c r="AC125" s="53" t="n"/>
      <c r="AD125" s="53" t="n"/>
      <c r="AE125" s="53" t="n"/>
      <c r="AF125" s="53" t="n"/>
      <c r="AG125" s="53" t="n"/>
      <c r="AH125" s="53" t="n"/>
      <c r="AI125" s="53" t="n"/>
      <c r="AJ125" s="53" t="n"/>
      <c r="AK125" s="53" t="n"/>
      <c r="AL125" s="53" t="n"/>
      <c r="AM125" s="53" t="n"/>
      <c r="AN125" s="53" t="n"/>
      <c r="AO125" s="53" t="n"/>
      <c r="AP125" s="53" t="n"/>
      <c r="AQ125" s="53" t="n"/>
      <c r="AR125" s="53" t="n"/>
      <c r="AS125" s="53" t="n"/>
      <c r="AT125" s="53" t="n"/>
      <c r="AU125" s="53" t="n"/>
      <c r="AV125" s="53" t="n"/>
      <c r="AW125" s="53" t="n"/>
      <c r="AX125" s="53" t="n"/>
      <c r="AY125" s="53" t="n"/>
    </row>
    <row r="126" ht="15" customHeight="1">
      <c r="A126" s="62" t="n"/>
      <c r="B126" s="55">
        <f>IF($B$124="","",$B$124)</f>
        <v/>
      </c>
      <c r="C126" s="63" t="inlineStr">
        <is>
          <t>마케팅2팀</t>
        </is>
      </c>
      <c r="D126" s="55">
        <f>IF($D$124="","",$D$124)</f>
        <v/>
      </c>
      <c r="E126" s="64" t="inlineStr">
        <is>
          <t>영상</t>
        </is>
      </c>
      <c r="F126" s="44" t="n"/>
      <c r="G126" s="58">
        <f>IF($G$124="","",$G$124)</f>
        <v/>
      </c>
      <c r="H126" s="59" t="n"/>
      <c r="I126" s="59" t="n"/>
      <c r="J126" s="59" t="n"/>
      <c r="K126" s="59" t="n"/>
      <c r="L126" s="65">
        <f>IF(SUM(U126:AY126)=0,"",SUM(U126:AY126))</f>
        <v/>
      </c>
      <c r="M126" s="66">
        <f>IFERROR(INDEX(U$2:AY$2,MATCH(TRUE,INDEX(U126:AY126&lt;&gt;"",0),0)),"")</f>
        <v/>
      </c>
      <c r="N126" s="66">
        <f>IFERROR(LOOKUP(2,1/(U126:AY126&lt;&gt;""),U$2:AY$2),"")</f>
        <v/>
      </c>
      <c r="O126" s="59" t="n"/>
      <c r="P126" s="59" t="n"/>
      <c r="Q126" s="59" t="n"/>
      <c r="R126" s="59" t="n"/>
      <c r="S126" s="14" t="n"/>
      <c r="U126" s="53" t="n"/>
      <c r="V126" s="53" t="n"/>
      <c r="W126" s="53" t="n"/>
      <c r="X126" s="53" t="n"/>
      <c r="Y126" s="53" t="n"/>
      <c r="Z126" s="53" t="n"/>
      <c r="AA126" s="53" t="n"/>
      <c r="AB126" s="53" t="n"/>
      <c r="AC126" s="53" t="n"/>
      <c r="AD126" s="53" t="n"/>
      <c r="AE126" s="53" t="n"/>
      <c r="AF126" s="53" t="n"/>
      <c r="AG126" s="53" t="n"/>
      <c r="AH126" s="53" t="n"/>
      <c r="AI126" s="53" t="n"/>
      <c r="AJ126" s="53" t="n"/>
      <c r="AK126" s="53" t="n"/>
      <c r="AL126" s="53" t="n"/>
      <c r="AM126" s="53" t="n"/>
      <c r="AN126" s="53" t="n"/>
      <c r="AO126" s="53" t="n"/>
      <c r="AP126" s="53" t="n"/>
      <c r="AQ126" s="53" t="n"/>
      <c r="AR126" s="53" t="n"/>
      <c r="AS126" s="53" t="n"/>
      <c r="AT126" s="53" t="n"/>
      <c r="AU126" s="53" t="n"/>
      <c r="AV126" s="53" t="n"/>
      <c r="AW126" s="53" t="n"/>
      <c r="AX126" s="53" t="n"/>
      <c r="AY126" s="53" t="n"/>
    </row>
    <row r="127" ht="15" customHeight="1">
      <c r="A127" s="40">
        <f>IF($D$127="","",40)</f>
        <v/>
      </c>
      <c r="B127" s="10" t="n"/>
      <c r="C127" s="41" t="inlineStr">
        <is>
          <t>마케팅2팀</t>
        </is>
      </c>
      <c r="D127" s="42" t="n"/>
      <c r="E127" s="43" t="inlineStr">
        <is>
          <t>기획</t>
        </is>
      </c>
      <c r="F127" s="44" t="n"/>
      <c r="G127" s="45" t="n"/>
      <c r="H127" s="46">
        <f>IF($I$127="","",IF($I$127&lt;0,"🔴지연",IF($I$127&lt;=1,"🟡임박","🟢여유")))</f>
        <v/>
      </c>
      <c r="I127" s="47">
        <f>IF(OR($G$127="",$K$127=""),"",$G$127-$K$127)</f>
        <v/>
      </c>
      <c r="J127" s="48">
        <f>IF(SUM($L$127:$L$129)=0,"",SUM($L$127:$L$129))</f>
        <v/>
      </c>
      <c r="K127" s="49">
        <f>IF($J$127="","",MAX($N$127:$N$129))</f>
        <v/>
      </c>
      <c r="L127" s="50">
        <f>IF(SUM(U127:AY127)=0,"",SUM(U127:AY127))</f>
        <v/>
      </c>
      <c r="M127" s="51">
        <f>IFERROR(INDEX(U$2:AY$2,MATCH(TRUE,INDEX(U127:AY127&lt;&gt;"",0),0)),"")</f>
        <v/>
      </c>
      <c r="N127" s="51">
        <f>IFERROR(LOOKUP(2,1/(U127:AY127&lt;&gt;""),U$2:AY$2),"")</f>
        <v/>
      </c>
      <c r="O127" s="52" t="n"/>
      <c r="P127" s="52" t="n"/>
      <c r="Q127" s="52" t="n"/>
      <c r="R127" s="44" t="n"/>
      <c r="S127" s="14" t="n"/>
      <c r="U127" s="53" t="n"/>
      <c r="V127" s="53" t="n"/>
      <c r="W127" s="53" t="n"/>
      <c r="X127" s="53" t="n"/>
      <c r="Y127" s="53" t="n"/>
      <c r="Z127" s="53" t="n"/>
      <c r="AA127" s="53" t="n"/>
      <c r="AB127" s="53" t="n"/>
      <c r="AC127" s="53" t="n"/>
      <c r="AD127" s="53" t="n"/>
      <c r="AE127" s="53" t="n"/>
      <c r="AF127" s="53" t="n"/>
      <c r="AG127" s="53" t="n"/>
      <c r="AH127" s="53" t="n"/>
      <c r="AI127" s="53" t="n"/>
      <c r="AJ127" s="53" t="n"/>
      <c r="AK127" s="53" t="n"/>
      <c r="AL127" s="53" t="n"/>
      <c r="AM127" s="53" t="n"/>
      <c r="AN127" s="53" t="n"/>
      <c r="AO127" s="53" t="n"/>
      <c r="AP127" s="53" t="n"/>
      <c r="AQ127" s="53" t="n"/>
      <c r="AR127" s="53" t="n"/>
      <c r="AS127" s="53" t="n"/>
      <c r="AT127" s="53" t="n"/>
      <c r="AU127" s="53" t="n"/>
      <c r="AV127" s="53" t="n"/>
      <c r="AW127" s="53" t="n"/>
      <c r="AX127" s="53" t="n"/>
      <c r="AY127" s="53" t="n"/>
    </row>
    <row r="128" ht="15" customHeight="1">
      <c r="A128" s="54" t="n"/>
      <c r="B128" s="55">
        <f>IF($B$127="","",$B$127)</f>
        <v/>
      </c>
      <c r="C128" s="56" t="inlineStr">
        <is>
          <t>마케팅2팀</t>
        </is>
      </c>
      <c r="D128" s="55">
        <f>IF($D$127="","",$D$127)</f>
        <v/>
      </c>
      <c r="E128" s="57" t="inlineStr">
        <is>
          <t>이미지</t>
        </is>
      </c>
      <c r="F128" s="44" t="n"/>
      <c r="G128" s="58">
        <f>IF($G$127="","",$G$127)</f>
        <v/>
      </c>
      <c r="H128" s="59" t="n"/>
      <c r="I128" s="59" t="n"/>
      <c r="J128" s="59" t="n"/>
      <c r="K128" s="59" t="n"/>
      <c r="L128" s="60">
        <f>IF(SUM(U128:AY128)=0,"",SUM(U128:AY128))</f>
        <v/>
      </c>
      <c r="M128" s="61">
        <f>IFERROR(INDEX(U$2:AY$2,MATCH(TRUE,INDEX(U128:AY128&lt;&gt;"",0),0)),"")</f>
        <v/>
      </c>
      <c r="N128" s="61">
        <f>IFERROR(LOOKUP(2,1/(U128:AY128&lt;&gt;""),U$2:AY$2),"")</f>
        <v/>
      </c>
      <c r="O128" s="59" t="n"/>
      <c r="P128" s="59" t="n"/>
      <c r="Q128" s="59" t="n"/>
      <c r="R128" s="59" t="n"/>
      <c r="S128" s="14" t="n"/>
      <c r="U128" s="53" t="n"/>
      <c r="V128" s="53" t="n"/>
      <c r="W128" s="53" t="n"/>
      <c r="X128" s="53" t="n"/>
      <c r="Y128" s="53" t="n"/>
      <c r="Z128" s="53" t="n"/>
      <c r="AA128" s="53" t="n"/>
      <c r="AB128" s="53" t="n"/>
      <c r="AC128" s="53" t="n"/>
      <c r="AD128" s="53" t="n"/>
      <c r="AE128" s="53" t="n"/>
      <c r="AF128" s="53" t="n"/>
      <c r="AG128" s="53" t="n"/>
      <c r="AH128" s="53" t="n"/>
      <c r="AI128" s="53" t="n"/>
      <c r="AJ128" s="53" t="n"/>
      <c r="AK128" s="53" t="n"/>
      <c r="AL128" s="53" t="n"/>
      <c r="AM128" s="53" t="n"/>
      <c r="AN128" s="53" t="n"/>
      <c r="AO128" s="53" t="n"/>
      <c r="AP128" s="53" t="n"/>
      <c r="AQ128" s="53" t="n"/>
      <c r="AR128" s="53" t="n"/>
      <c r="AS128" s="53" t="n"/>
      <c r="AT128" s="53" t="n"/>
      <c r="AU128" s="53" t="n"/>
      <c r="AV128" s="53" t="n"/>
      <c r="AW128" s="53" t="n"/>
      <c r="AX128" s="53" t="n"/>
      <c r="AY128" s="53" t="n"/>
    </row>
    <row r="129" ht="15" customHeight="1">
      <c r="A129" s="62" t="n"/>
      <c r="B129" s="55">
        <f>IF($B$127="","",$B$127)</f>
        <v/>
      </c>
      <c r="C129" s="63" t="inlineStr">
        <is>
          <t>마케팅2팀</t>
        </is>
      </c>
      <c r="D129" s="55">
        <f>IF($D$127="","",$D$127)</f>
        <v/>
      </c>
      <c r="E129" s="64" t="inlineStr">
        <is>
          <t>영상</t>
        </is>
      </c>
      <c r="F129" s="44" t="n"/>
      <c r="G129" s="58">
        <f>IF($G$127="","",$G$127)</f>
        <v/>
      </c>
      <c r="H129" s="59" t="n"/>
      <c r="I129" s="59" t="n"/>
      <c r="J129" s="59" t="n"/>
      <c r="K129" s="59" t="n"/>
      <c r="L129" s="65">
        <f>IF(SUM(U129:AY129)=0,"",SUM(U129:AY129))</f>
        <v/>
      </c>
      <c r="M129" s="66">
        <f>IFERROR(INDEX(U$2:AY$2,MATCH(TRUE,INDEX(U129:AY129&lt;&gt;"",0),0)),"")</f>
        <v/>
      </c>
      <c r="N129" s="66">
        <f>IFERROR(LOOKUP(2,1/(U129:AY129&lt;&gt;""),U$2:AY$2),"")</f>
        <v/>
      </c>
      <c r="O129" s="59" t="n"/>
      <c r="P129" s="59" t="n"/>
      <c r="Q129" s="59" t="n"/>
      <c r="R129" s="59" t="n"/>
      <c r="S129" s="14" t="n"/>
      <c r="U129" s="53" t="n"/>
      <c r="V129" s="53" t="n"/>
      <c r="W129" s="53" t="n"/>
      <c r="X129" s="53" t="n"/>
      <c r="Y129" s="53" t="n"/>
      <c r="Z129" s="53" t="n"/>
      <c r="AA129" s="53" t="n"/>
      <c r="AB129" s="53" t="n"/>
      <c r="AC129" s="53" t="n"/>
      <c r="AD129" s="53" t="n"/>
      <c r="AE129" s="53" t="n"/>
      <c r="AF129" s="53" t="n"/>
      <c r="AG129" s="53" t="n"/>
      <c r="AH129" s="53" t="n"/>
      <c r="AI129" s="53" t="n"/>
      <c r="AJ129" s="53" t="n"/>
      <c r="AK129" s="53" t="n"/>
      <c r="AL129" s="53" t="n"/>
      <c r="AM129" s="53" t="n"/>
      <c r="AN129" s="53" t="n"/>
      <c r="AO129" s="53" t="n"/>
      <c r="AP129" s="53" t="n"/>
      <c r="AQ129" s="53" t="n"/>
      <c r="AR129" s="53" t="n"/>
      <c r="AS129" s="53" t="n"/>
      <c r="AT129" s="53" t="n"/>
      <c r="AU129" s="53" t="n"/>
      <c r="AV129" s="53" t="n"/>
      <c r="AW129" s="53" t="n"/>
      <c r="AX129" s="53" t="n"/>
      <c r="AY129" s="53" t="n"/>
    </row>
    <row r="130" ht="18" customHeight="1">
      <c r="A130" s="39" t="inlineStr">
        <is>
          <t>마케팅3팀   (131~190행 · 소재 20개)</t>
        </is>
      </c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  <c r="AN130" s="8" t="n"/>
      <c r="AO130" s="8" t="n"/>
      <c r="AP130" s="8" t="n"/>
      <c r="AQ130" s="8" t="n"/>
      <c r="AR130" s="8" t="n"/>
      <c r="AS130" s="8" t="n"/>
      <c r="AT130" s="8" t="n"/>
      <c r="AU130" s="8" t="n"/>
      <c r="AV130" s="8" t="n"/>
      <c r="AW130" s="8" t="n"/>
      <c r="AX130" s="8" t="n"/>
      <c r="AY130" s="4" t="n"/>
    </row>
    <row r="131" ht="15" customHeight="1">
      <c r="A131" s="40">
        <f>IF($D$131="","",41)</f>
        <v/>
      </c>
      <c r="B131" s="10" t="n"/>
      <c r="C131" s="41" t="inlineStr">
        <is>
          <t>마케팅3팀</t>
        </is>
      </c>
      <c r="D131" s="42" t="n"/>
      <c r="E131" s="43" t="inlineStr">
        <is>
          <t>기획</t>
        </is>
      </c>
      <c r="F131" s="44" t="n"/>
      <c r="G131" s="45" t="n"/>
      <c r="H131" s="46">
        <f>IF($I$131="","",IF($I$131&lt;0,"🔴지연",IF($I$131&lt;=1,"🟡임박","🟢여유")))</f>
        <v/>
      </c>
      <c r="I131" s="47">
        <f>IF(OR($G$131="",$K$131=""),"",$G$131-$K$131)</f>
        <v/>
      </c>
      <c r="J131" s="48">
        <f>IF(SUM($L$131:$L$133)=0,"",SUM($L$131:$L$133))</f>
        <v/>
      </c>
      <c r="K131" s="49">
        <f>IF($J$131="","",MAX($N$131:$N$133))</f>
        <v/>
      </c>
      <c r="L131" s="50">
        <f>IF(SUM(U131:AY131)=0,"",SUM(U131:AY131))</f>
        <v/>
      </c>
      <c r="M131" s="51">
        <f>IFERROR(INDEX(U$2:AY$2,MATCH(TRUE,INDEX(U131:AY131&lt;&gt;"",0),0)),"")</f>
        <v/>
      </c>
      <c r="N131" s="51">
        <f>IFERROR(LOOKUP(2,1/(U131:AY131&lt;&gt;""),U$2:AY$2),"")</f>
        <v/>
      </c>
      <c r="O131" s="52" t="n"/>
      <c r="P131" s="52" t="n"/>
      <c r="Q131" s="52" t="n"/>
      <c r="R131" s="44" t="n"/>
      <c r="S131" s="14" t="n"/>
      <c r="U131" s="53" t="n"/>
      <c r="V131" s="53" t="n"/>
      <c r="W131" s="53" t="n"/>
      <c r="X131" s="53" t="n"/>
      <c r="Y131" s="53" t="n"/>
      <c r="Z131" s="53" t="n"/>
      <c r="AA131" s="53" t="n"/>
      <c r="AB131" s="53" t="n"/>
      <c r="AC131" s="53" t="n"/>
      <c r="AD131" s="53" t="n"/>
      <c r="AE131" s="53" t="n"/>
      <c r="AF131" s="53" t="n"/>
      <c r="AG131" s="53" t="n"/>
      <c r="AH131" s="53" t="n"/>
      <c r="AI131" s="53" t="n"/>
      <c r="AJ131" s="53" t="n"/>
      <c r="AK131" s="53" t="n"/>
      <c r="AL131" s="53" t="n"/>
      <c r="AM131" s="53" t="n"/>
      <c r="AN131" s="53" t="n"/>
      <c r="AO131" s="53" t="n"/>
      <c r="AP131" s="53" t="n"/>
      <c r="AQ131" s="53" t="n"/>
      <c r="AR131" s="53" t="n"/>
      <c r="AS131" s="53" t="n"/>
      <c r="AT131" s="53" t="n"/>
      <c r="AU131" s="53" t="n"/>
      <c r="AV131" s="53" t="n"/>
      <c r="AW131" s="53" t="n"/>
      <c r="AX131" s="53" t="n"/>
      <c r="AY131" s="53" t="n"/>
    </row>
    <row r="132" ht="15" customHeight="1">
      <c r="A132" s="54" t="n"/>
      <c r="B132" s="55">
        <f>IF($B$131="","",$B$131)</f>
        <v/>
      </c>
      <c r="C132" s="56" t="inlineStr">
        <is>
          <t>마케팅3팀</t>
        </is>
      </c>
      <c r="D132" s="55">
        <f>IF($D$131="","",$D$131)</f>
        <v/>
      </c>
      <c r="E132" s="57" t="inlineStr">
        <is>
          <t>이미지</t>
        </is>
      </c>
      <c r="F132" s="44" t="n"/>
      <c r="G132" s="58">
        <f>IF($G$131="","",$G$131)</f>
        <v/>
      </c>
      <c r="H132" s="59" t="n"/>
      <c r="I132" s="59" t="n"/>
      <c r="J132" s="59" t="n"/>
      <c r="K132" s="59" t="n"/>
      <c r="L132" s="60">
        <f>IF(SUM(U132:AY132)=0,"",SUM(U132:AY132))</f>
        <v/>
      </c>
      <c r="M132" s="61">
        <f>IFERROR(INDEX(U$2:AY$2,MATCH(TRUE,INDEX(U132:AY132&lt;&gt;"",0),0)),"")</f>
        <v/>
      </c>
      <c r="N132" s="61">
        <f>IFERROR(LOOKUP(2,1/(U132:AY132&lt;&gt;""),U$2:AY$2),"")</f>
        <v/>
      </c>
      <c r="O132" s="59" t="n"/>
      <c r="P132" s="59" t="n"/>
      <c r="Q132" s="59" t="n"/>
      <c r="R132" s="59" t="n"/>
      <c r="S132" s="14" t="n"/>
      <c r="U132" s="53" t="n"/>
      <c r="V132" s="53" t="n"/>
      <c r="W132" s="53" t="n"/>
      <c r="X132" s="53" t="n"/>
      <c r="Y132" s="53" t="n"/>
      <c r="Z132" s="53" t="n"/>
      <c r="AA132" s="53" t="n"/>
      <c r="AB132" s="53" t="n"/>
      <c r="AC132" s="53" t="n"/>
      <c r="AD132" s="53" t="n"/>
      <c r="AE132" s="53" t="n"/>
      <c r="AF132" s="53" t="n"/>
      <c r="AG132" s="53" t="n"/>
      <c r="AH132" s="53" t="n"/>
      <c r="AI132" s="53" t="n"/>
      <c r="AJ132" s="53" t="n"/>
      <c r="AK132" s="53" t="n"/>
      <c r="AL132" s="53" t="n"/>
      <c r="AM132" s="53" t="n"/>
      <c r="AN132" s="53" t="n"/>
      <c r="AO132" s="53" t="n"/>
      <c r="AP132" s="53" t="n"/>
      <c r="AQ132" s="53" t="n"/>
      <c r="AR132" s="53" t="n"/>
      <c r="AS132" s="53" t="n"/>
      <c r="AT132" s="53" t="n"/>
      <c r="AU132" s="53" t="n"/>
      <c r="AV132" s="53" t="n"/>
      <c r="AW132" s="53" t="n"/>
      <c r="AX132" s="53" t="n"/>
      <c r="AY132" s="53" t="n"/>
    </row>
    <row r="133" ht="15" customHeight="1">
      <c r="A133" s="62" t="n"/>
      <c r="B133" s="55">
        <f>IF($B$131="","",$B$131)</f>
        <v/>
      </c>
      <c r="C133" s="63" t="inlineStr">
        <is>
          <t>마케팅3팀</t>
        </is>
      </c>
      <c r="D133" s="55">
        <f>IF($D$131="","",$D$131)</f>
        <v/>
      </c>
      <c r="E133" s="64" t="inlineStr">
        <is>
          <t>영상</t>
        </is>
      </c>
      <c r="F133" s="44" t="n"/>
      <c r="G133" s="58">
        <f>IF($G$131="","",$G$131)</f>
        <v/>
      </c>
      <c r="H133" s="59" t="n"/>
      <c r="I133" s="59" t="n"/>
      <c r="J133" s="59" t="n"/>
      <c r="K133" s="59" t="n"/>
      <c r="L133" s="65">
        <f>IF(SUM(U133:AY133)=0,"",SUM(U133:AY133))</f>
        <v/>
      </c>
      <c r="M133" s="66">
        <f>IFERROR(INDEX(U$2:AY$2,MATCH(TRUE,INDEX(U133:AY133&lt;&gt;"",0),0)),"")</f>
        <v/>
      </c>
      <c r="N133" s="66">
        <f>IFERROR(LOOKUP(2,1/(U133:AY133&lt;&gt;""),U$2:AY$2),"")</f>
        <v/>
      </c>
      <c r="O133" s="59" t="n"/>
      <c r="P133" s="59" t="n"/>
      <c r="Q133" s="59" t="n"/>
      <c r="R133" s="59" t="n"/>
      <c r="S133" s="14" t="n"/>
      <c r="U133" s="53" t="n"/>
      <c r="V133" s="53" t="n"/>
      <c r="W133" s="53" t="n"/>
      <c r="X133" s="53" t="n"/>
      <c r="Y133" s="53" t="n"/>
      <c r="Z133" s="53" t="n"/>
      <c r="AA133" s="53" t="n"/>
      <c r="AB133" s="53" t="n"/>
      <c r="AC133" s="53" t="n"/>
      <c r="AD133" s="53" t="n"/>
      <c r="AE133" s="53" t="n"/>
      <c r="AF133" s="53" t="n"/>
      <c r="AG133" s="53" t="n"/>
      <c r="AH133" s="53" t="n"/>
      <c r="AI133" s="53" t="n"/>
      <c r="AJ133" s="53" t="n"/>
      <c r="AK133" s="53" t="n"/>
      <c r="AL133" s="53" t="n"/>
      <c r="AM133" s="53" t="n"/>
      <c r="AN133" s="53" t="n"/>
      <c r="AO133" s="53" t="n"/>
      <c r="AP133" s="53" t="n"/>
      <c r="AQ133" s="53" t="n"/>
      <c r="AR133" s="53" t="n"/>
      <c r="AS133" s="53" t="n"/>
      <c r="AT133" s="53" t="n"/>
      <c r="AU133" s="53" t="n"/>
      <c r="AV133" s="53" t="n"/>
      <c r="AW133" s="53" t="n"/>
      <c r="AX133" s="53" t="n"/>
      <c r="AY133" s="53" t="n"/>
    </row>
    <row r="134" ht="15" customHeight="1">
      <c r="A134" s="40">
        <f>IF($D$134="","",42)</f>
        <v/>
      </c>
      <c r="B134" s="10" t="n"/>
      <c r="C134" s="41" t="inlineStr">
        <is>
          <t>마케팅3팀</t>
        </is>
      </c>
      <c r="D134" s="42" t="n"/>
      <c r="E134" s="43" t="inlineStr">
        <is>
          <t>기획</t>
        </is>
      </c>
      <c r="F134" s="44" t="n"/>
      <c r="G134" s="45" t="n"/>
      <c r="H134" s="46">
        <f>IF($I$134="","",IF($I$134&lt;0,"🔴지연",IF($I$134&lt;=1,"🟡임박","🟢여유")))</f>
        <v/>
      </c>
      <c r="I134" s="47">
        <f>IF(OR($G$134="",$K$134=""),"",$G$134-$K$134)</f>
        <v/>
      </c>
      <c r="J134" s="48">
        <f>IF(SUM($L$134:$L$136)=0,"",SUM($L$134:$L$136))</f>
        <v/>
      </c>
      <c r="K134" s="49">
        <f>IF($J$134="","",MAX($N$134:$N$136))</f>
        <v/>
      </c>
      <c r="L134" s="50">
        <f>IF(SUM(U134:AY134)=0,"",SUM(U134:AY134))</f>
        <v/>
      </c>
      <c r="M134" s="51">
        <f>IFERROR(INDEX(U$2:AY$2,MATCH(TRUE,INDEX(U134:AY134&lt;&gt;"",0),0)),"")</f>
        <v/>
      </c>
      <c r="N134" s="51">
        <f>IFERROR(LOOKUP(2,1/(U134:AY134&lt;&gt;""),U$2:AY$2),"")</f>
        <v/>
      </c>
      <c r="O134" s="52" t="n"/>
      <c r="P134" s="52" t="n"/>
      <c r="Q134" s="52" t="n"/>
      <c r="R134" s="44" t="n"/>
      <c r="S134" s="14" t="n"/>
      <c r="U134" s="53" t="n"/>
      <c r="V134" s="53" t="n"/>
      <c r="W134" s="53" t="n"/>
      <c r="X134" s="53" t="n"/>
      <c r="Y134" s="53" t="n"/>
      <c r="Z134" s="53" t="n"/>
      <c r="AA134" s="53" t="n"/>
      <c r="AB134" s="53" t="n"/>
      <c r="AC134" s="53" t="n"/>
      <c r="AD134" s="53" t="n"/>
      <c r="AE134" s="53" t="n"/>
      <c r="AF134" s="53" t="n"/>
      <c r="AG134" s="53" t="n"/>
      <c r="AH134" s="53" t="n"/>
      <c r="AI134" s="53" t="n"/>
      <c r="AJ134" s="53" t="n"/>
      <c r="AK134" s="53" t="n"/>
      <c r="AL134" s="53" t="n"/>
      <c r="AM134" s="53" t="n"/>
      <c r="AN134" s="53" t="n"/>
      <c r="AO134" s="53" t="n"/>
      <c r="AP134" s="53" t="n"/>
      <c r="AQ134" s="53" t="n"/>
      <c r="AR134" s="53" t="n"/>
      <c r="AS134" s="53" t="n"/>
      <c r="AT134" s="53" t="n"/>
      <c r="AU134" s="53" t="n"/>
      <c r="AV134" s="53" t="n"/>
      <c r="AW134" s="53" t="n"/>
      <c r="AX134" s="53" t="n"/>
      <c r="AY134" s="53" t="n"/>
    </row>
    <row r="135" ht="15" customHeight="1">
      <c r="A135" s="54" t="n"/>
      <c r="B135" s="55">
        <f>IF($B$134="","",$B$134)</f>
        <v/>
      </c>
      <c r="C135" s="56" t="inlineStr">
        <is>
          <t>마케팅3팀</t>
        </is>
      </c>
      <c r="D135" s="55">
        <f>IF($D$134="","",$D$134)</f>
        <v/>
      </c>
      <c r="E135" s="57" t="inlineStr">
        <is>
          <t>이미지</t>
        </is>
      </c>
      <c r="F135" s="44" t="n"/>
      <c r="G135" s="58">
        <f>IF($G$134="","",$G$134)</f>
        <v/>
      </c>
      <c r="H135" s="59" t="n"/>
      <c r="I135" s="59" t="n"/>
      <c r="J135" s="59" t="n"/>
      <c r="K135" s="59" t="n"/>
      <c r="L135" s="60">
        <f>IF(SUM(U135:AY135)=0,"",SUM(U135:AY135))</f>
        <v/>
      </c>
      <c r="M135" s="61">
        <f>IFERROR(INDEX(U$2:AY$2,MATCH(TRUE,INDEX(U135:AY135&lt;&gt;"",0),0)),"")</f>
        <v/>
      </c>
      <c r="N135" s="61">
        <f>IFERROR(LOOKUP(2,1/(U135:AY135&lt;&gt;""),U$2:AY$2),"")</f>
        <v/>
      </c>
      <c r="O135" s="59" t="n"/>
      <c r="P135" s="59" t="n"/>
      <c r="Q135" s="59" t="n"/>
      <c r="R135" s="59" t="n"/>
      <c r="S135" s="14" t="n"/>
      <c r="U135" s="53" t="n"/>
      <c r="V135" s="53" t="n"/>
      <c r="W135" s="53" t="n"/>
      <c r="X135" s="53" t="n"/>
      <c r="Y135" s="53" t="n"/>
      <c r="Z135" s="53" t="n"/>
      <c r="AA135" s="53" t="n"/>
      <c r="AB135" s="53" t="n"/>
      <c r="AC135" s="53" t="n"/>
      <c r="AD135" s="53" t="n"/>
      <c r="AE135" s="53" t="n"/>
      <c r="AF135" s="53" t="n"/>
      <c r="AG135" s="53" t="n"/>
      <c r="AH135" s="53" t="n"/>
      <c r="AI135" s="53" t="n"/>
      <c r="AJ135" s="53" t="n"/>
      <c r="AK135" s="53" t="n"/>
      <c r="AL135" s="53" t="n"/>
      <c r="AM135" s="53" t="n"/>
      <c r="AN135" s="53" t="n"/>
      <c r="AO135" s="53" t="n"/>
      <c r="AP135" s="53" t="n"/>
      <c r="AQ135" s="53" t="n"/>
      <c r="AR135" s="53" t="n"/>
      <c r="AS135" s="53" t="n"/>
      <c r="AT135" s="53" t="n"/>
      <c r="AU135" s="53" t="n"/>
      <c r="AV135" s="53" t="n"/>
      <c r="AW135" s="53" t="n"/>
      <c r="AX135" s="53" t="n"/>
      <c r="AY135" s="53" t="n"/>
    </row>
    <row r="136" ht="15" customHeight="1">
      <c r="A136" s="62" t="n"/>
      <c r="B136" s="55">
        <f>IF($B$134="","",$B$134)</f>
        <v/>
      </c>
      <c r="C136" s="63" t="inlineStr">
        <is>
          <t>마케팅3팀</t>
        </is>
      </c>
      <c r="D136" s="55">
        <f>IF($D$134="","",$D$134)</f>
        <v/>
      </c>
      <c r="E136" s="64" t="inlineStr">
        <is>
          <t>영상</t>
        </is>
      </c>
      <c r="F136" s="44" t="n"/>
      <c r="G136" s="58">
        <f>IF($G$134="","",$G$134)</f>
        <v/>
      </c>
      <c r="H136" s="59" t="n"/>
      <c r="I136" s="59" t="n"/>
      <c r="J136" s="59" t="n"/>
      <c r="K136" s="59" t="n"/>
      <c r="L136" s="65">
        <f>IF(SUM(U136:AY136)=0,"",SUM(U136:AY136))</f>
        <v/>
      </c>
      <c r="M136" s="66">
        <f>IFERROR(INDEX(U$2:AY$2,MATCH(TRUE,INDEX(U136:AY136&lt;&gt;"",0),0)),"")</f>
        <v/>
      </c>
      <c r="N136" s="66">
        <f>IFERROR(LOOKUP(2,1/(U136:AY136&lt;&gt;""),U$2:AY$2),"")</f>
        <v/>
      </c>
      <c r="O136" s="59" t="n"/>
      <c r="P136" s="59" t="n"/>
      <c r="Q136" s="59" t="n"/>
      <c r="R136" s="59" t="n"/>
      <c r="S136" s="14" t="n"/>
      <c r="U136" s="53" t="n"/>
      <c r="V136" s="53" t="n"/>
      <c r="W136" s="53" t="n"/>
      <c r="X136" s="53" t="n"/>
      <c r="Y136" s="53" t="n"/>
      <c r="Z136" s="53" t="n"/>
      <c r="AA136" s="53" t="n"/>
      <c r="AB136" s="53" t="n"/>
      <c r="AC136" s="53" t="n"/>
      <c r="AD136" s="53" t="n"/>
      <c r="AE136" s="53" t="n"/>
      <c r="AF136" s="53" t="n"/>
      <c r="AG136" s="53" t="n"/>
      <c r="AH136" s="53" t="n"/>
      <c r="AI136" s="53" t="n"/>
      <c r="AJ136" s="53" t="n"/>
      <c r="AK136" s="53" t="n"/>
      <c r="AL136" s="53" t="n"/>
      <c r="AM136" s="53" t="n"/>
      <c r="AN136" s="53" t="n"/>
      <c r="AO136" s="53" t="n"/>
      <c r="AP136" s="53" t="n"/>
      <c r="AQ136" s="53" t="n"/>
      <c r="AR136" s="53" t="n"/>
      <c r="AS136" s="53" t="n"/>
      <c r="AT136" s="53" t="n"/>
      <c r="AU136" s="53" t="n"/>
      <c r="AV136" s="53" t="n"/>
      <c r="AW136" s="53" t="n"/>
      <c r="AX136" s="53" t="n"/>
      <c r="AY136" s="53" t="n"/>
    </row>
    <row r="137" ht="15" customHeight="1">
      <c r="A137" s="40">
        <f>IF($D$137="","",43)</f>
        <v/>
      </c>
      <c r="B137" s="10" t="n"/>
      <c r="C137" s="41" t="inlineStr">
        <is>
          <t>마케팅3팀</t>
        </is>
      </c>
      <c r="D137" s="42" t="n"/>
      <c r="E137" s="43" t="inlineStr">
        <is>
          <t>기획</t>
        </is>
      </c>
      <c r="F137" s="44" t="n"/>
      <c r="G137" s="45" t="n"/>
      <c r="H137" s="46">
        <f>IF($I$137="","",IF($I$137&lt;0,"🔴지연",IF($I$137&lt;=1,"🟡임박","🟢여유")))</f>
        <v/>
      </c>
      <c r="I137" s="47">
        <f>IF(OR($G$137="",$K$137=""),"",$G$137-$K$137)</f>
        <v/>
      </c>
      <c r="J137" s="48">
        <f>IF(SUM($L$137:$L$139)=0,"",SUM($L$137:$L$139))</f>
        <v/>
      </c>
      <c r="K137" s="49">
        <f>IF($J$137="","",MAX($N$137:$N$139))</f>
        <v/>
      </c>
      <c r="L137" s="50">
        <f>IF(SUM(U137:AY137)=0,"",SUM(U137:AY137))</f>
        <v/>
      </c>
      <c r="M137" s="51">
        <f>IFERROR(INDEX(U$2:AY$2,MATCH(TRUE,INDEX(U137:AY137&lt;&gt;"",0),0)),"")</f>
        <v/>
      </c>
      <c r="N137" s="51">
        <f>IFERROR(LOOKUP(2,1/(U137:AY137&lt;&gt;""),U$2:AY$2),"")</f>
        <v/>
      </c>
      <c r="O137" s="52" t="n"/>
      <c r="P137" s="52" t="n"/>
      <c r="Q137" s="52" t="n"/>
      <c r="R137" s="44" t="n"/>
      <c r="S137" s="14" t="n"/>
      <c r="U137" s="53" t="n"/>
      <c r="V137" s="53" t="n"/>
      <c r="W137" s="53" t="n"/>
      <c r="X137" s="53" t="n"/>
      <c r="Y137" s="53" t="n"/>
      <c r="Z137" s="53" t="n"/>
      <c r="AA137" s="53" t="n"/>
      <c r="AB137" s="53" t="n"/>
      <c r="AC137" s="53" t="n"/>
      <c r="AD137" s="53" t="n"/>
      <c r="AE137" s="53" t="n"/>
      <c r="AF137" s="53" t="n"/>
      <c r="AG137" s="53" t="n"/>
      <c r="AH137" s="53" t="n"/>
      <c r="AI137" s="53" t="n"/>
      <c r="AJ137" s="53" t="n"/>
      <c r="AK137" s="53" t="n"/>
      <c r="AL137" s="53" t="n"/>
      <c r="AM137" s="53" t="n"/>
      <c r="AN137" s="53" t="n"/>
      <c r="AO137" s="53" t="n"/>
      <c r="AP137" s="53" t="n"/>
      <c r="AQ137" s="53" t="n"/>
      <c r="AR137" s="53" t="n"/>
      <c r="AS137" s="53" t="n"/>
      <c r="AT137" s="53" t="n"/>
      <c r="AU137" s="53" t="n"/>
      <c r="AV137" s="53" t="n"/>
      <c r="AW137" s="53" t="n"/>
      <c r="AX137" s="53" t="n"/>
      <c r="AY137" s="53" t="n"/>
    </row>
    <row r="138" ht="15" customHeight="1">
      <c r="A138" s="54" t="n"/>
      <c r="B138" s="55">
        <f>IF($B$137="","",$B$137)</f>
        <v/>
      </c>
      <c r="C138" s="56" t="inlineStr">
        <is>
          <t>마케팅3팀</t>
        </is>
      </c>
      <c r="D138" s="55">
        <f>IF($D$137="","",$D$137)</f>
        <v/>
      </c>
      <c r="E138" s="57" t="inlineStr">
        <is>
          <t>이미지</t>
        </is>
      </c>
      <c r="F138" s="44" t="n"/>
      <c r="G138" s="58">
        <f>IF($G$137="","",$G$137)</f>
        <v/>
      </c>
      <c r="H138" s="59" t="n"/>
      <c r="I138" s="59" t="n"/>
      <c r="J138" s="59" t="n"/>
      <c r="K138" s="59" t="n"/>
      <c r="L138" s="60">
        <f>IF(SUM(U138:AY138)=0,"",SUM(U138:AY138))</f>
        <v/>
      </c>
      <c r="M138" s="61">
        <f>IFERROR(INDEX(U$2:AY$2,MATCH(TRUE,INDEX(U138:AY138&lt;&gt;"",0),0)),"")</f>
        <v/>
      </c>
      <c r="N138" s="61">
        <f>IFERROR(LOOKUP(2,1/(U138:AY138&lt;&gt;""),U$2:AY$2),"")</f>
        <v/>
      </c>
      <c r="O138" s="59" t="n"/>
      <c r="P138" s="59" t="n"/>
      <c r="Q138" s="59" t="n"/>
      <c r="R138" s="59" t="n"/>
      <c r="S138" s="14" t="n"/>
      <c r="U138" s="53" t="n"/>
      <c r="V138" s="53" t="n"/>
      <c r="W138" s="53" t="n"/>
      <c r="X138" s="53" t="n"/>
      <c r="Y138" s="53" t="n"/>
      <c r="Z138" s="53" t="n"/>
      <c r="AA138" s="53" t="n"/>
      <c r="AB138" s="53" t="n"/>
      <c r="AC138" s="53" t="n"/>
      <c r="AD138" s="53" t="n"/>
      <c r="AE138" s="53" t="n"/>
      <c r="AF138" s="53" t="n"/>
      <c r="AG138" s="53" t="n"/>
      <c r="AH138" s="53" t="n"/>
      <c r="AI138" s="53" t="n"/>
      <c r="AJ138" s="53" t="n"/>
      <c r="AK138" s="53" t="n"/>
      <c r="AL138" s="53" t="n"/>
      <c r="AM138" s="53" t="n"/>
      <c r="AN138" s="53" t="n"/>
      <c r="AO138" s="53" t="n"/>
      <c r="AP138" s="53" t="n"/>
      <c r="AQ138" s="53" t="n"/>
      <c r="AR138" s="53" t="n"/>
      <c r="AS138" s="53" t="n"/>
      <c r="AT138" s="53" t="n"/>
      <c r="AU138" s="53" t="n"/>
      <c r="AV138" s="53" t="n"/>
      <c r="AW138" s="53" t="n"/>
      <c r="AX138" s="53" t="n"/>
      <c r="AY138" s="53" t="n"/>
    </row>
    <row r="139" ht="15" customHeight="1">
      <c r="A139" s="62" t="n"/>
      <c r="B139" s="55">
        <f>IF($B$137="","",$B$137)</f>
        <v/>
      </c>
      <c r="C139" s="63" t="inlineStr">
        <is>
          <t>마케팅3팀</t>
        </is>
      </c>
      <c r="D139" s="55">
        <f>IF($D$137="","",$D$137)</f>
        <v/>
      </c>
      <c r="E139" s="64" t="inlineStr">
        <is>
          <t>영상</t>
        </is>
      </c>
      <c r="F139" s="44" t="n"/>
      <c r="G139" s="58">
        <f>IF($G$137="","",$G$137)</f>
        <v/>
      </c>
      <c r="H139" s="59" t="n"/>
      <c r="I139" s="59" t="n"/>
      <c r="J139" s="59" t="n"/>
      <c r="K139" s="59" t="n"/>
      <c r="L139" s="65">
        <f>IF(SUM(U139:AY139)=0,"",SUM(U139:AY139))</f>
        <v/>
      </c>
      <c r="M139" s="66">
        <f>IFERROR(INDEX(U$2:AY$2,MATCH(TRUE,INDEX(U139:AY139&lt;&gt;"",0),0)),"")</f>
        <v/>
      </c>
      <c r="N139" s="66">
        <f>IFERROR(LOOKUP(2,1/(U139:AY139&lt;&gt;""),U$2:AY$2),"")</f>
        <v/>
      </c>
      <c r="O139" s="59" t="n"/>
      <c r="P139" s="59" t="n"/>
      <c r="Q139" s="59" t="n"/>
      <c r="R139" s="59" t="n"/>
      <c r="S139" s="14" t="n"/>
      <c r="U139" s="53" t="n"/>
      <c r="V139" s="53" t="n"/>
      <c r="W139" s="53" t="n"/>
      <c r="X139" s="53" t="n"/>
      <c r="Y139" s="53" t="n"/>
      <c r="Z139" s="53" t="n"/>
      <c r="AA139" s="53" t="n"/>
      <c r="AB139" s="53" t="n"/>
      <c r="AC139" s="53" t="n"/>
      <c r="AD139" s="53" t="n"/>
      <c r="AE139" s="53" t="n"/>
      <c r="AF139" s="53" t="n"/>
      <c r="AG139" s="53" t="n"/>
      <c r="AH139" s="53" t="n"/>
      <c r="AI139" s="53" t="n"/>
      <c r="AJ139" s="53" t="n"/>
      <c r="AK139" s="53" t="n"/>
      <c r="AL139" s="53" t="n"/>
      <c r="AM139" s="53" t="n"/>
      <c r="AN139" s="53" t="n"/>
      <c r="AO139" s="53" t="n"/>
      <c r="AP139" s="53" t="n"/>
      <c r="AQ139" s="53" t="n"/>
      <c r="AR139" s="53" t="n"/>
      <c r="AS139" s="53" t="n"/>
      <c r="AT139" s="53" t="n"/>
      <c r="AU139" s="53" t="n"/>
      <c r="AV139" s="53" t="n"/>
      <c r="AW139" s="53" t="n"/>
      <c r="AX139" s="53" t="n"/>
      <c r="AY139" s="53" t="n"/>
    </row>
    <row r="140" ht="15" customHeight="1">
      <c r="A140" s="40">
        <f>IF($D$140="","",44)</f>
        <v/>
      </c>
      <c r="B140" s="10" t="n"/>
      <c r="C140" s="41" t="inlineStr">
        <is>
          <t>마케팅3팀</t>
        </is>
      </c>
      <c r="D140" s="42" t="n"/>
      <c r="E140" s="43" t="inlineStr">
        <is>
          <t>기획</t>
        </is>
      </c>
      <c r="F140" s="44" t="n"/>
      <c r="G140" s="45" t="n"/>
      <c r="H140" s="46">
        <f>IF($I$140="","",IF($I$140&lt;0,"🔴지연",IF($I$140&lt;=1,"🟡임박","🟢여유")))</f>
        <v/>
      </c>
      <c r="I140" s="47">
        <f>IF(OR($G$140="",$K$140=""),"",$G$140-$K$140)</f>
        <v/>
      </c>
      <c r="J140" s="48">
        <f>IF(SUM($L$140:$L$142)=0,"",SUM($L$140:$L$142))</f>
        <v/>
      </c>
      <c r="K140" s="49">
        <f>IF($J$140="","",MAX($N$140:$N$142))</f>
        <v/>
      </c>
      <c r="L140" s="50">
        <f>IF(SUM(U140:AY140)=0,"",SUM(U140:AY140))</f>
        <v/>
      </c>
      <c r="M140" s="51">
        <f>IFERROR(INDEX(U$2:AY$2,MATCH(TRUE,INDEX(U140:AY140&lt;&gt;"",0),0)),"")</f>
        <v/>
      </c>
      <c r="N140" s="51">
        <f>IFERROR(LOOKUP(2,1/(U140:AY140&lt;&gt;""),U$2:AY$2),"")</f>
        <v/>
      </c>
      <c r="O140" s="52" t="n"/>
      <c r="P140" s="52" t="n"/>
      <c r="Q140" s="52" t="n"/>
      <c r="R140" s="44" t="n"/>
      <c r="S140" s="14" t="n"/>
      <c r="U140" s="53" t="n"/>
      <c r="V140" s="53" t="n"/>
      <c r="W140" s="53" t="n"/>
      <c r="X140" s="53" t="n"/>
      <c r="Y140" s="53" t="n"/>
      <c r="Z140" s="53" t="n"/>
      <c r="AA140" s="53" t="n"/>
      <c r="AB140" s="53" t="n"/>
      <c r="AC140" s="53" t="n"/>
      <c r="AD140" s="53" t="n"/>
      <c r="AE140" s="53" t="n"/>
      <c r="AF140" s="53" t="n"/>
      <c r="AG140" s="53" t="n"/>
      <c r="AH140" s="53" t="n"/>
      <c r="AI140" s="53" t="n"/>
      <c r="AJ140" s="53" t="n"/>
      <c r="AK140" s="53" t="n"/>
      <c r="AL140" s="53" t="n"/>
      <c r="AM140" s="53" t="n"/>
      <c r="AN140" s="53" t="n"/>
      <c r="AO140" s="53" t="n"/>
      <c r="AP140" s="53" t="n"/>
      <c r="AQ140" s="53" t="n"/>
      <c r="AR140" s="53" t="n"/>
      <c r="AS140" s="53" t="n"/>
      <c r="AT140" s="53" t="n"/>
      <c r="AU140" s="53" t="n"/>
      <c r="AV140" s="53" t="n"/>
      <c r="AW140" s="53" t="n"/>
      <c r="AX140" s="53" t="n"/>
      <c r="AY140" s="53" t="n"/>
    </row>
    <row r="141" ht="15" customHeight="1">
      <c r="A141" s="54" t="n"/>
      <c r="B141" s="55">
        <f>IF($B$140="","",$B$140)</f>
        <v/>
      </c>
      <c r="C141" s="56" t="inlineStr">
        <is>
          <t>마케팅3팀</t>
        </is>
      </c>
      <c r="D141" s="55">
        <f>IF($D$140="","",$D$140)</f>
        <v/>
      </c>
      <c r="E141" s="57" t="inlineStr">
        <is>
          <t>이미지</t>
        </is>
      </c>
      <c r="F141" s="44" t="n"/>
      <c r="G141" s="58">
        <f>IF($G$140="","",$G$140)</f>
        <v/>
      </c>
      <c r="H141" s="59" t="n"/>
      <c r="I141" s="59" t="n"/>
      <c r="J141" s="59" t="n"/>
      <c r="K141" s="59" t="n"/>
      <c r="L141" s="60">
        <f>IF(SUM(U141:AY141)=0,"",SUM(U141:AY141))</f>
        <v/>
      </c>
      <c r="M141" s="61">
        <f>IFERROR(INDEX(U$2:AY$2,MATCH(TRUE,INDEX(U141:AY141&lt;&gt;"",0),0)),"")</f>
        <v/>
      </c>
      <c r="N141" s="61">
        <f>IFERROR(LOOKUP(2,1/(U141:AY141&lt;&gt;""),U$2:AY$2),"")</f>
        <v/>
      </c>
      <c r="O141" s="59" t="n"/>
      <c r="P141" s="59" t="n"/>
      <c r="Q141" s="59" t="n"/>
      <c r="R141" s="59" t="n"/>
      <c r="S141" s="14" t="n"/>
      <c r="U141" s="53" t="n"/>
      <c r="V141" s="53" t="n"/>
      <c r="W141" s="53" t="n"/>
      <c r="X141" s="53" t="n"/>
      <c r="Y141" s="53" t="n"/>
      <c r="Z141" s="53" t="n"/>
      <c r="AA141" s="53" t="n"/>
      <c r="AB141" s="53" t="n"/>
      <c r="AC141" s="53" t="n"/>
      <c r="AD141" s="53" t="n"/>
      <c r="AE141" s="53" t="n"/>
      <c r="AF141" s="53" t="n"/>
      <c r="AG141" s="53" t="n"/>
      <c r="AH141" s="53" t="n"/>
      <c r="AI141" s="53" t="n"/>
      <c r="AJ141" s="53" t="n"/>
      <c r="AK141" s="53" t="n"/>
      <c r="AL141" s="53" t="n"/>
      <c r="AM141" s="53" t="n"/>
      <c r="AN141" s="53" t="n"/>
      <c r="AO141" s="53" t="n"/>
      <c r="AP141" s="53" t="n"/>
      <c r="AQ141" s="53" t="n"/>
      <c r="AR141" s="53" t="n"/>
      <c r="AS141" s="53" t="n"/>
      <c r="AT141" s="53" t="n"/>
      <c r="AU141" s="53" t="n"/>
      <c r="AV141" s="53" t="n"/>
      <c r="AW141" s="53" t="n"/>
      <c r="AX141" s="53" t="n"/>
      <c r="AY141" s="53" t="n"/>
    </row>
    <row r="142" ht="15" customHeight="1">
      <c r="A142" s="62" t="n"/>
      <c r="B142" s="55">
        <f>IF($B$140="","",$B$140)</f>
        <v/>
      </c>
      <c r="C142" s="63" t="inlineStr">
        <is>
          <t>마케팅3팀</t>
        </is>
      </c>
      <c r="D142" s="55">
        <f>IF($D$140="","",$D$140)</f>
        <v/>
      </c>
      <c r="E142" s="64" t="inlineStr">
        <is>
          <t>영상</t>
        </is>
      </c>
      <c r="F142" s="44" t="n"/>
      <c r="G142" s="58">
        <f>IF($G$140="","",$G$140)</f>
        <v/>
      </c>
      <c r="H142" s="59" t="n"/>
      <c r="I142" s="59" t="n"/>
      <c r="J142" s="59" t="n"/>
      <c r="K142" s="59" t="n"/>
      <c r="L142" s="65">
        <f>IF(SUM(U142:AY142)=0,"",SUM(U142:AY142))</f>
        <v/>
      </c>
      <c r="M142" s="66">
        <f>IFERROR(INDEX(U$2:AY$2,MATCH(TRUE,INDEX(U142:AY142&lt;&gt;"",0),0)),"")</f>
        <v/>
      </c>
      <c r="N142" s="66">
        <f>IFERROR(LOOKUP(2,1/(U142:AY142&lt;&gt;""),U$2:AY$2),"")</f>
        <v/>
      </c>
      <c r="O142" s="59" t="n"/>
      <c r="P142" s="59" t="n"/>
      <c r="Q142" s="59" t="n"/>
      <c r="R142" s="59" t="n"/>
      <c r="S142" s="14" t="n"/>
      <c r="U142" s="53" t="n"/>
      <c r="V142" s="53" t="n"/>
      <c r="W142" s="53" t="n"/>
      <c r="X142" s="53" t="n"/>
      <c r="Y142" s="53" t="n"/>
      <c r="Z142" s="53" t="n"/>
      <c r="AA142" s="53" t="n"/>
      <c r="AB142" s="53" t="n"/>
      <c r="AC142" s="53" t="n"/>
      <c r="AD142" s="53" t="n"/>
      <c r="AE142" s="53" t="n"/>
      <c r="AF142" s="53" t="n"/>
      <c r="AG142" s="53" t="n"/>
      <c r="AH142" s="53" t="n"/>
      <c r="AI142" s="53" t="n"/>
      <c r="AJ142" s="53" t="n"/>
      <c r="AK142" s="53" t="n"/>
      <c r="AL142" s="53" t="n"/>
      <c r="AM142" s="53" t="n"/>
      <c r="AN142" s="53" t="n"/>
      <c r="AO142" s="53" t="n"/>
      <c r="AP142" s="53" t="n"/>
      <c r="AQ142" s="53" t="n"/>
      <c r="AR142" s="53" t="n"/>
      <c r="AS142" s="53" t="n"/>
      <c r="AT142" s="53" t="n"/>
      <c r="AU142" s="53" t="n"/>
      <c r="AV142" s="53" t="n"/>
      <c r="AW142" s="53" t="n"/>
      <c r="AX142" s="53" t="n"/>
      <c r="AY142" s="53" t="n"/>
    </row>
    <row r="143" ht="15" customHeight="1">
      <c r="A143" s="40">
        <f>IF($D$143="","",45)</f>
        <v/>
      </c>
      <c r="B143" s="10" t="n"/>
      <c r="C143" s="41" t="inlineStr">
        <is>
          <t>마케팅3팀</t>
        </is>
      </c>
      <c r="D143" s="42" t="n"/>
      <c r="E143" s="43" t="inlineStr">
        <is>
          <t>기획</t>
        </is>
      </c>
      <c r="F143" s="44" t="n"/>
      <c r="G143" s="45" t="n"/>
      <c r="H143" s="46">
        <f>IF($I$143="","",IF($I$143&lt;0,"🔴지연",IF($I$143&lt;=1,"🟡임박","🟢여유")))</f>
        <v/>
      </c>
      <c r="I143" s="47">
        <f>IF(OR($G$143="",$K$143=""),"",$G$143-$K$143)</f>
        <v/>
      </c>
      <c r="J143" s="48">
        <f>IF(SUM($L$143:$L$145)=0,"",SUM($L$143:$L$145))</f>
        <v/>
      </c>
      <c r="K143" s="49">
        <f>IF($J$143="","",MAX($N$143:$N$145))</f>
        <v/>
      </c>
      <c r="L143" s="50">
        <f>IF(SUM(U143:AY143)=0,"",SUM(U143:AY143))</f>
        <v/>
      </c>
      <c r="M143" s="51">
        <f>IFERROR(INDEX(U$2:AY$2,MATCH(TRUE,INDEX(U143:AY143&lt;&gt;"",0),0)),"")</f>
        <v/>
      </c>
      <c r="N143" s="51">
        <f>IFERROR(LOOKUP(2,1/(U143:AY143&lt;&gt;""),U$2:AY$2),"")</f>
        <v/>
      </c>
      <c r="O143" s="52" t="n"/>
      <c r="P143" s="52" t="n"/>
      <c r="Q143" s="52" t="n"/>
      <c r="R143" s="44" t="n"/>
      <c r="S143" s="14" t="n"/>
      <c r="U143" s="53" t="n"/>
      <c r="V143" s="53" t="n"/>
      <c r="W143" s="53" t="n"/>
      <c r="X143" s="53" t="n"/>
      <c r="Y143" s="53" t="n"/>
      <c r="Z143" s="53" t="n"/>
      <c r="AA143" s="53" t="n"/>
      <c r="AB143" s="53" t="n"/>
      <c r="AC143" s="53" t="n"/>
      <c r="AD143" s="53" t="n"/>
      <c r="AE143" s="53" t="n"/>
      <c r="AF143" s="53" t="n"/>
      <c r="AG143" s="53" t="n"/>
      <c r="AH143" s="53" t="n"/>
      <c r="AI143" s="53" t="n"/>
      <c r="AJ143" s="53" t="n"/>
      <c r="AK143" s="53" t="n"/>
      <c r="AL143" s="53" t="n"/>
      <c r="AM143" s="53" t="n"/>
      <c r="AN143" s="53" t="n"/>
      <c r="AO143" s="53" t="n"/>
      <c r="AP143" s="53" t="n"/>
      <c r="AQ143" s="53" t="n"/>
      <c r="AR143" s="53" t="n"/>
      <c r="AS143" s="53" t="n"/>
      <c r="AT143" s="53" t="n"/>
      <c r="AU143" s="53" t="n"/>
      <c r="AV143" s="53" t="n"/>
      <c r="AW143" s="53" t="n"/>
      <c r="AX143" s="53" t="n"/>
      <c r="AY143" s="53" t="n"/>
    </row>
    <row r="144" ht="15" customHeight="1">
      <c r="A144" s="54" t="n"/>
      <c r="B144" s="55">
        <f>IF($B$143="","",$B$143)</f>
        <v/>
      </c>
      <c r="C144" s="56" t="inlineStr">
        <is>
          <t>마케팅3팀</t>
        </is>
      </c>
      <c r="D144" s="55">
        <f>IF($D$143="","",$D$143)</f>
        <v/>
      </c>
      <c r="E144" s="57" t="inlineStr">
        <is>
          <t>이미지</t>
        </is>
      </c>
      <c r="F144" s="44" t="n"/>
      <c r="G144" s="58">
        <f>IF($G$143="","",$G$143)</f>
        <v/>
      </c>
      <c r="H144" s="59" t="n"/>
      <c r="I144" s="59" t="n"/>
      <c r="J144" s="59" t="n"/>
      <c r="K144" s="59" t="n"/>
      <c r="L144" s="60">
        <f>IF(SUM(U144:AY144)=0,"",SUM(U144:AY144))</f>
        <v/>
      </c>
      <c r="M144" s="61">
        <f>IFERROR(INDEX(U$2:AY$2,MATCH(TRUE,INDEX(U144:AY144&lt;&gt;"",0),0)),"")</f>
        <v/>
      </c>
      <c r="N144" s="61">
        <f>IFERROR(LOOKUP(2,1/(U144:AY144&lt;&gt;""),U$2:AY$2),"")</f>
        <v/>
      </c>
      <c r="O144" s="59" t="n"/>
      <c r="P144" s="59" t="n"/>
      <c r="Q144" s="59" t="n"/>
      <c r="R144" s="59" t="n"/>
      <c r="S144" s="14" t="n"/>
      <c r="U144" s="53" t="n"/>
      <c r="V144" s="53" t="n"/>
      <c r="W144" s="53" t="n"/>
      <c r="X144" s="53" t="n"/>
      <c r="Y144" s="53" t="n"/>
      <c r="Z144" s="53" t="n"/>
      <c r="AA144" s="53" t="n"/>
      <c r="AB144" s="53" t="n"/>
      <c r="AC144" s="53" t="n"/>
      <c r="AD144" s="53" t="n"/>
      <c r="AE144" s="53" t="n"/>
      <c r="AF144" s="53" t="n"/>
      <c r="AG144" s="53" t="n"/>
      <c r="AH144" s="53" t="n"/>
      <c r="AI144" s="53" t="n"/>
      <c r="AJ144" s="53" t="n"/>
      <c r="AK144" s="53" t="n"/>
      <c r="AL144" s="53" t="n"/>
      <c r="AM144" s="53" t="n"/>
      <c r="AN144" s="53" t="n"/>
      <c r="AO144" s="53" t="n"/>
      <c r="AP144" s="53" t="n"/>
      <c r="AQ144" s="53" t="n"/>
      <c r="AR144" s="53" t="n"/>
      <c r="AS144" s="53" t="n"/>
      <c r="AT144" s="53" t="n"/>
      <c r="AU144" s="53" t="n"/>
      <c r="AV144" s="53" t="n"/>
      <c r="AW144" s="53" t="n"/>
      <c r="AX144" s="53" t="n"/>
      <c r="AY144" s="53" t="n"/>
    </row>
    <row r="145" ht="15" customHeight="1">
      <c r="A145" s="62" t="n"/>
      <c r="B145" s="55">
        <f>IF($B$143="","",$B$143)</f>
        <v/>
      </c>
      <c r="C145" s="63" t="inlineStr">
        <is>
          <t>마케팅3팀</t>
        </is>
      </c>
      <c r="D145" s="55">
        <f>IF($D$143="","",$D$143)</f>
        <v/>
      </c>
      <c r="E145" s="64" t="inlineStr">
        <is>
          <t>영상</t>
        </is>
      </c>
      <c r="F145" s="44" t="n"/>
      <c r="G145" s="58">
        <f>IF($G$143="","",$G$143)</f>
        <v/>
      </c>
      <c r="H145" s="59" t="n"/>
      <c r="I145" s="59" t="n"/>
      <c r="J145" s="59" t="n"/>
      <c r="K145" s="59" t="n"/>
      <c r="L145" s="65">
        <f>IF(SUM(U145:AY145)=0,"",SUM(U145:AY145))</f>
        <v/>
      </c>
      <c r="M145" s="66">
        <f>IFERROR(INDEX(U$2:AY$2,MATCH(TRUE,INDEX(U145:AY145&lt;&gt;"",0),0)),"")</f>
        <v/>
      </c>
      <c r="N145" s="66">
        <f>IFERROR(LOOKUP(2,1/(U145:AY145&lt;&gt;""),U$2:AY$2),"")</f>
        <v/>
      </c>
      <c r="O145" s="59" t="n"/>
      <c r="P145" s="59" t="n"/>
      <c r="Q145" s="59" t="n"/>
      <c r="R145" s="59" t="n"/>
      <c r="S145" s="14" t="n"/>
      <c r="U145" s="53" t="n"/>
      <c r="V145" s="53" t="n"/>
      <c r="W145" s="53" t="n"/>
      <c r="X145" s="53" t="n"/>
      <c r="Y145" s="53" t="n"/>
      <c r="Z145" s="53" t="n"/>
      <c r="AA145" s="53" t="n"/>
      <c r="AB145" s="53" t="n"/>
      <c r="AC145" s="53" t="n"/>
      <c r="AD145" s="53" t="n"/>
      <c r="AE145" s="53" t="n"/>
      <c r="AF145" s="53" t="n"/>
      <c r="AG145" s="53" t="n"/>
      <c r="AH145" s="53" t="n"/>
      <c r="AI145" s="53" t="n"/>
      <c r="AJ145" s="53" t="n"/>
      <c r="AK145" s="53" t="n"/>
      <c r="AL145" s="53" t="n"/>
      <c r="AM145" s="53" t="n"/>
      <c r="AN145" s="53" t="n"/>
      <c r="AO145" s="53" t="n"/>
      <c r="AP145" s="53" t="n"/>
      <c r="AQ145" s="53" t="n"/>
      <c r="AR145" s="53" t="n"/>
      <c r="AS145" s="53" t="n"/>
      <c r="AT145" s="53" t="n"/>
      <c r="AU145" s="53" t="n"/>
      <c r="AV145" s="53" t="n"/>
      <c r="AW145" s="53" t="n"/>
      <c r="AX145" s="53" t="n"/>
      <c r="AY145" s="53" t="n"/>
    </row>
    <row r="146" ht="15" customHeight="1">
      <c r="A146" s="40">
        <f>IF($D$146="","",46)</f>
        <v/>
      </c>
      <c r="B146" s="10" t="n"/>
      <c r="C146" s="41" t="inlineStr">
        <is>
          <t>마케팅3팀</t>
        </is>
      </c>
      <c r="D146" s="42" t="n"/>
      <c r="E146" s="43" t="inlineStr">
        <is>
          <t>기획</t>
        </is>
      </c>
      <c r="F146" s="44" t="n"/>
      <c r="G146" s="45" t="n"/>
      <c r="H146" s="46">
        <f>IF($I$146="","",IF($I$146&lt;0,"🔴지연",IF($I$146&lt;=1,"🟡임박","🟢여유")))</f>
        <v/>
      </c>
      <c r="I146" s="47">
        <f>IF(OR($G$146="",$K$146=""),"",$G$146-$K$146)</f>
        <v/>
      </c>
      <c r="J146" s="48">
        <f>IF(SUM($L$146:$L$148)=0,"",SUM($L$146:$L$148))</f>
        <v/>
      </c>
      <c r="K146" s="49">
        <f>IF($J$146="","",MAX($N$146:$N$148))</f>
        <v/>
      </c>
      <c r="L146" s="50">
        <f>IF(SUM(U146:AY146)=0,"",SUM(U146:AY146))</f>
        <v/>
      </c>
      <c r="M146" s="51">
        <f>IFERROR(INDEX(U$2:AY$2,MATCH(TRUE,INDEX(U146:AY146&lt;&gt;"",0),0)),"")</f>
        <v/>
      </c>
      <c r="N146" s="51">
        <f>IFERROR(LOOKUP(2,1/(U146:AY146&lt;&gt;""),U$2:AY$2),"")</f>
        <v/>
      </c>
      <c r="O146" s="52" t="n"/>
      <c r="P146" s="52" t="n"/>
      <c r="Q146" s="52" t="n"/>
      <c r="R146" s="44" t="n"/>
      <c r="S146" s="14" t="n"/>
      <c r="U146" s="53" t="n"/>
      <c r="V146" s="53" t="n"/>
      <c r="W146" s="53" t="n"/>
      <c r="X146" s="53" t="n"/>
      <c r="Y146" s="53" t="n"/>
      <c r="Z146" s="53" t="n"/>
      <c r="AA146" s="53" t="n"/>
      <c r="AB146" s="53" t="n"/>
      <c r="AC146" s="53" t="n"/>
      <c r="AD146" s="53" t="n"/>
      <c r="AE146" s="53" t="n"/>
      <c r="AF146" s="53" t="n"/>
      <c r="AG146" s="53" t="n"/>
      <c r="AH146" s="53" t="n"/>
      <c r="AI146" s="53" t="n"/>
      <c r="AJ146" s="53" t="n"/>
      <c r="AK146" s="53" t="n"/>
      <c r="AL146" s="53" t="n"/>
      <c r="AM146" s="53" t="n"/>
      <c r="AN146" s="53" t="n"/>
      <c r="AO146" s="53" t="n"/>
      <c r="AP146" s="53" t="n"/>
      <c r="AQ146" s="53" t="n"/>
      <c r="AR146" s="53" t="n"/>
      <c r="AS146" s="53" t="n"/>
      <c r="AT146" s="53" t="n"/>
      <c r="AU146" s="53" t="n"/>
      <c r="AV146" s="53" t="n"/>
      <c r="AW146" s="53" t="n"/>
      <c r="AX146" s="53" t="n"/>
      <c r="AY146" s="53" t="n"/>
    </row>
    <row r="147" ht="15" customHeight="1">
      <c r="A147" s="54" t="n"/>
      <c r="B147" s="55">
        <f>IF($B$146="","",$B$146)</f>
        <v/>
      </c>
      <c r="C147" s="56" t="inlineStr">
        <is>
          <t>마케팅3팀</t>
        </is>
      </c>
      <c r="D147" s="55">
        <f>IF($D$146="","",$D$146)</f>
        <v/>
      </c>
      <c r="E147" s="57" t="inlineStr">
        <is>
          <t>이미지</t>
        </is>
      </c>
      <c r="F147" s="44" t="n"/>
      <c r="G147" s="58">
        <f>IF($G$146="","",$G$146)</f>
        <v/>
      </c>
      <c r="H147" s="59" t="n"/>
      <c r="I147" s="59" t="n"/>
      <c r="J147" s="59" t="n"/>
      <c r="K147" s="59" t="n"/>
      <c r="L147" s="60">
        <f>IF(SUM(U147:AY147)=0,"",SUM(U147:AY147))</f>
        <v/>
      </c>
      <c r="M147" s="61">
        <f>IFERROR(INDEX(U$2:AY$2,MATCH(TRUE,INDEX(U147:AY147&lt;&gt;"",0),0)),"")</f>
        <v/>
      </c>
      <c r="N147" s="61">
        <f>IFERROR(LOOKUP(2,1/(U147:AY147&lt;&gt;""),U$2:AY$2),"")</f>
        <v/>
      </c>
      <c r="O147" s="59" t="n"/>
      <c r="P147" s="59" t="n"/>
      <c r="Q147" s="59" t="n"/>
      <c r="R147" s="59" t="n"/>
      <c r="S147" s="14" t="n"/>
      <c r="U147" s="53" t="n"/>
      <c r="V147" s="53" t="n"/>
      <c r="W147" s="53" t="n"/>
      <c r="X147" s="53" t="n"/>
      <c r="Y147" s="53" t="n"/>
      <c r="Z147" s="53" t="n"/>
      <c r="AA147" s="53" t="n"/>
      <c r="AB147" s="53" t="n"/>
      <c r="AC147" s="53" t="n"/>
      <c r="AD147" s="53" t="n"/>
      <c r="AE147" s="53" t="n"/>
      <c r="AF147" s="53" t="n"/>
      <c r="AG147" s="53" t="n"/>
      <c r="AH147" s="53" t="n"/>
      <c r="AI147" s="53" t="n"/>
      <c r="AJ147" s="53" t="n"/>
      <c r="AK147" s="53" t="n"/>
      <c r="AL147" s="53" t="n"/>
      <c r="AM147" s="53" t="n"/>
      <c r="AN147" s="53" t="n"/>
      <c r="AO147" s="53" t="n"/>
      <c r="AP147" s="53" t="n"/>
      <c r="AQ147" s="53" t="n"/>
      <c r="AR147" s="53" t="n"/>
      <c r="AS147" s="53" t="n"/>
      <c r="AT147" s="53" t="n"/>
      <c r="AU147" s="53" t="n"/>
      <c r="AV147" s="53" t="n"/>
      <c r="AW147" s="53" t="n"/>
      <c r="AX147" s="53" t="n"/>
      <c r="AY147" s="53" t="n"/>
    </row>
    <row r="148" ht="15" customHeight="1">
      <c r="A148" s="62" t="n"/>
      <c r="B148" s="55">
        <f>IF($B$146="","",$B$146)</f>
        <v/>
      </c>
      <c r="C148" s="63" t="inlineStr">
        <is>
          <t>마케팅3팀</t>
        </is>
      </c>
      <c r="D148" s="55">
        <f>IF($D$146="","",$D$146)</f>
        <v/>
      </c>
      <c r="E148" s="64" t="inlineStr">
        <is>
          <t>영상</t>
        </is>
      </c>
      <c r="F148" s="44" t="n"/>
      <c r="G148" s="58">
        <f>IF($G$146="","",$G$146)</f>
        <v/>
      </c>
      <c r="H148" s="59" t="n"/>
      <c r="I148" s="59" t="n"/>
      <c r="J148" s="59" t="n"/>
      <c r="K148" s="59" t="n"/>
      <c r="L148" s="65">
        <f>IF(SUM(U148:AY148)=0,"",SUM(U148:AY148))</f>
        <v/>
      </c>
      <c r="M148" s="66">
        <f>IFERROR(INDEX(U$2:AY$2,MATCH(TRUE,INDEX(U148:AY148&lt;&gt;"",0),0)),"")</f>
        <v/>
      </c>
      <c r="N148" s="66">
        <f>IFERROR(LOOKUP(2,1/(U148:AY148&lt;&gt;""),U$2:AY$2),"")</f>
        <v/>
      </c>
      <c r="O148" s="59" t="n"/>
      <c r="P148" s="59" t="n"/>
      <c r="Q148" s="59" t="n"/>
      <c r="R148" s="59" t="n"/>
      <c r="S148" s="14" t="n"/>
      <c r="U148" s="53" t="n"/>
      <c r="V148" s="53" t="n"/>
      <c r="W148" s="53" t="n"/>
      <c r="X148" s="53" t="n"/>
      <c r="Y148" s="53" t="n"/>
      <c r="Z148" s="53" t="n"/>
      <c r="AA148" s="53" t="n"/>
      <c r="AB148" s="53" t="n"/>
      <c r="AC148" s="53" t="n"/>
      <c r="AD148" s="53" t="n"/>
      <c r="AE148" s="53" t="n"/>
      <c r="AF148" s="53" t="n"/>
      <c r="AG148" s="53" t="n"/>
      <c r="AH148" s="53" t="n"/>
      <c r="AI148" s="53" t="n"/>
      <c r="AJ148" s="53" t="n"/>
      <c r="AK148" s="53" t="n"/>
      <c r="AL148" s="53" t="n"/>
      <c r="AM148" s="53" t="n"/>
      <c r="AN148" s="53" t="n"/>
      <c r="AO148" s="53" t="n"/>
      <c r="AP148" s="53" t="n"/>
      <c r="AQ148" s="53" t="n"/>
      <c r="AR148" s="53" t="n"/>
      <c r="AS148" s="53" t="n"/>
      <c r="AT148" s="53" t="n"/>
      <c r="AU148" s="53" t="n"/>
      <c r="AV148" s="53" t="n"/>
      <c r="AW148" s="53" t="n"/>
      <c r="AX148" s="53" t="n"/>
      <c r="AY148" s="53" t="n"/>
    </row>
    <row r="149" ht="15" customHeight="1">
      <c r="A149" s="40">
        <f>IF($D$149="","",47)</f>
        <v/>
      </c>
      <c r="B149" s="10" t="n"/>
      <c r="C149" s="41" t="inlineStr">
        <is>
          <t>마케팅3팀</t>
        </is>
      </c>
      <c r="D149" s="42" t="n"/>
      <c r="E149" s="43" t="inlineStr">
        <is>
          <t>기획</t>
        </is>
      </c>
      <c r="F149" s="44" t="n"/>
      <c r="G149" s="45" t="n"/>
      <c r="H149" s="46">
        <f>IF($I$149="","",IF($I$149&lt;0,"🔴지연",IF($I$149&lt;=1,"🟡임박","🟢여유")))</f>
        <v/>
      </c>
      <c r="I149" s="47">
        <f>IF(OR($G$149="",$K$149=""),"",$G$149-$K$149)</f>
        <v/>
      </c>
      <c r="J149" s="48">
        <f>IF(SUM($L$149:$L$151)=0,"",SUM($L$149:$L$151))</f>
        <v/>
      </c>
      <c r="K149" s="49">
        <f>IF($J$149="","",MAX($N$149:$N$151))</f>
        <v/>
      </c>
      <c r="L149" s="50">
        <f>IF(SUM(U149:AY149)=0,"",SUM(U149:AY149))</f>
        <v/>
      </c>
      <c r="M149" s="51">
        <f>IFERROR(INDEX(U$2:AY$2,MATCH(TRUE,INDEX(U149:AY149&lt;&gt;"",0),0)),"")</f>
        <v/>
      </c>
      <c r="N149" s="51">
        <f>IFERROR(LOOKUP(2,1/(U149:AY149&lt;&gt;""),U$2:AY$2),"")</f>
        <v/>
      </c>
      <c r="O149" s="52" t="n"/>
      <c r="P149" s="52" t="n"/>
      <c r="Q149" s="52" t="n"/>
      <c r="R149" s="44" t="n"/>
      <c r="S149" s="14" t="n"/>
      <c r="U149" s="53" t="n"/>
      <c r="V149" s="53" t="n"/>
      <c r="W149" s="53" t="n"/>
      <c r="X149" s="53" t="n"/>
      <c r="Y149" s="53" t="n"/>
      <c r="Z149" s="53" t="n"/>
      <c r="AA149" s="53" t="n"/>
      <c r="AB149" s="53" t="n"/>
      <c r="AC149" s="53" t="n"/>
      <c r="AD149" s="53" t="n"/>
      <c r="AE149" s="53" t="n"/>
      <c r="AF149" s="53" t="n"/>
      <c r="AG149" s="53" t="n"/>
      <c r="AH149" s="53" t="n"/>
      <c r="AI149" s="53" t="n"/>
      <c r="AJ149" s="53" t="n"/>
      <c r="AK149" s="53" t="n"/>
      <c r="AL149" s="53" t="n"/>
      <c r="AM149" s="53" t="n"/>
      <c r="AN149" s="53" t="n"/>
      <c r="AO149" s="53" t="n"/>
      <c r="AP149" s="53" t="n"/>
      <c r="AQ149" s="53" t="n"/>
      <c r="AR149" s="53" t="n"/>
      <c r="AS149" s="53" t="n"/>
      <c r="AT149" s="53" t="n"/>
      <c r="AU149" s="53" t="n"/>
      <c r="AV149" s="53" t="n"/>
      <c r="AW149" s="53" t="n"/>
      <c r="AX149" s="53" t="n"/>
      <c r="AY149" s="53" t="n"/>
    </row>
    <row r="150" ht="15" customHeight="1">
      <c r="A150" s="54" t="n"/>
      <c r="B150" s="55">
        <f>IF($B$149="","",$B$149)</f>
        <v/>
      </c>
      <c r="C150" s="56" t="inlineStr">
        <is>
          <t>마케팅3팀</t>
        </is>
      </c>
      <c r="D150" s="55">
        <f>IF($D$149="","",$D$149)</f>
        <v/>
      </c>
      <c r="E150" s="57" t="inlineStr">
        <is>
          <t>이미지</t>
        </is>
      </c>
      <c r="F150" s="44" t="n"/>
      <c r="G150" s="58">
        <f>IF($G$149="","",$G$149)</f>
        <v/>
      </c>
      <c r="H150" s="59" t="n"/>
      <c r="I150" s="59" t="n"/>
      <c r="J150" s="59" t="n"/>
      <c r="K150" s="59" t="n"/>
      <c r="L150" s="60">
        <f>IF(SUM(U150:AY150)=0,"",SUM(U150:AY150))</f>
        <v/>
      </c>
      <c r="M150" s="61">
        <f>IFERROR(INDEX(U$2:AY$2,MATCH(TRUE,INDEX(U150:AY150&lt;&gt;"",0),0)),"")</f>
        <v/>
      </c>
      <c r="N150" s="61">
        <f>IFERROR(LOOKUP(2,1/(U150:AY150&lt;&gt;""),U$2:AY$2),"")</f>
        <v/>
      </c>
      <c r="O150" s="59" t="n"/>
      <c r="P150" s="59" t="n"/>
      <c r="Q150" s="59" t="n"/>
      <c r="R150" s="59" t="n"/>
      <c r="S150" s="14" t="n"/>
      <c r="U150" s="53" t="n"/>
      <c r="V150" s="53" t="n"/>
      <c r="W150" s="53" t="n"/>
      <c r="X150" s="53" t="n"/>
      <c r="Y150" s="53" t="n"/>
      <c r="Z150" s="53" t="n"/>
      <c r="AA150" s="53" t="n"/>
      <c r="AB150" s="53" t="n"/>
      <c r="AC150" s="53" t="n"/>
      <c r="AD150" s="53" t="n"/>
      <c r="AE150" s="53" t="n"/>
      <c r="AF150" s="53" t="n"/>
      <c r="AG150" s="53" t="n"/>
      <c r="AH150" s="53" t="n"/>
      <c r="AI150" s="53" t="n"/>
      <c r="AJ150" s="53" t="n"/>
      <c r="AK150" s="53" t="n"/>
      <c r="AL150" s="53" t="n"/>
      <c r="AM150" s="53" t="n"/>
      <c r="AN150" s="53" t="n"/>
      <c r="AO150" s="53" t="n"/>
      <c r="AP150" s="53" t="n"/>
      <c r="AQ150" s="53" t="n"/>
      <c r="AR150" s="53" t="n"/>
      <c r="AS150" s="53" t="n"/>
      <c r="AT150" s="53" t="n"/>
      <c r="AU150" s="53" t="n"/>
      <c r="AV150" s="53" t="n"/>
      <c r="AW150" s="53" t="n"/>
      <c r="AX150" s="53" t="n"/>
      <c r="AY150" s="53" t="n"/>
    </row>
    <row r="151" ht="15" customHeight="1">
      <c r="A151" s="62" t="n"/>
      <c r="B151" s="55">
        <f>IF($B$149="","",$B$149)</f>
        <v/>
      </c>
      <c r="C151" s="63" t="inlineStr">
        <is>
          <t>마케팅3팀</t>
        </is>
      </c>
      <c r="D151" s="55">
        <f>IF($D$149="","",$D$149)</f>
        <v/>
      </c>
      <c r="E151" s="64" t="inlineStr">
        <is>
          <t>영상</t>
        </is>
      </c>
      <c r="F151" s="44" t="n"/>
      <c r="G151" s="58">
        <f>IF($G$149="","",$G$149)</f>
        <v/>
      </c>
      <c r="H151" s="59" t="n"/>
      <c r="I151" s="59" t="n"/>
      <c r="J151" s="59" t="n"/>
      <c r="K151" s="59" t="n"/>
      <c r="L151" s="65">
        <f>IF(SUM(U151:AY151)=0,"",SUM(U151:AY151))</f>
        <v/>
      </c>
      <c r="M151" s="66">
        <f>IFERROR(INDEX(U$2:AY$2,MATCH(TRUE,INDEX(U151:AY151&lt;&gt;"",0),0)),"")</f>
        <v/>
      </c>
      <c r="N151" s="66">
        <f>IFERROR(LOOKUP(2,1/(U151:AY151&lt;&gt;""),U$2:AY$2),"")</f>
        <v/>
      </c>
      <c r="O151" s="59" t="n"/>
      <c r="P151" s="59" t="n"/>
      <c r="Q151" s="59" t="n"/>
      <c r="R151" s="59" t="n"/>
      <c r="S151" s="14" t="n"/>
      <c r="U151" s="53" t="n"/>
      <c r="V151" s="53" t="n"/>
      <c r="W151" s="53" t="n"/>
      <c r="X151" s="53" t="n"/>
      <c r="Y151" s="53" t="n"/>
      <c r="Z151" s="53" t="n"/>
      <c r="AA151" s="53" t="n"/>
      <c r="AB151" s="53" t="n"/>
      <c r="AC151" s="53" t="n"/>
      <c r="AD151" s="53" t="n"/>
      <c r="AE151" s="53" t="n"/>
      <c r="AF151" s="53" t="n"/>
      <c r="AG151" s="53" t="n"/>
      <c r="AH151" s="53" t="n"/>
      <c r="AI151" s="53" t="n"/>
      <c r="AJ151" s="53" t="n"/>
      <c r="AK151" s="53" t="n"/>
      <c r="AL151" s="53" t="n"/>
      <c r="AM151" s="53" t="n"/>
      <c r="AN151" s="53" t="n"/>
      <c r="AO151" s="53" t="n"/>
      <c r="AP151" s="53" t="n"/>
      <c r="AQ151" s="53" t="n"/>
      <c r="AR151" s="53" t="n"/>
      <c r="AS151" s="53" t="n"/>
      <c r="AT151" s="53" t="n"/>
      <c r="AU151" s="53" t="n"/>
      <c r="AV151" s="53" t="n"/>
      <c r="AW151" s="53" t="n"/>
      <c r="AX151" s="53" t="n"/>
      <c r="AY151" s="53" t="n"/>
    </row>
    <row r="152" ht="15" customHeight="1">
      <c r="A152" s="40">
        <f>IF($D$152="","",48)</f>
        <v/>
      </c>
      <c r="B152" s="10" t="n"/>
      <c r="C152" s="41" t="inlineStr">
        <is>
          <t>마케팅3팀</t>
        </is>
      </c>
      <c r="D152" s="42" t="n"/>
      <c r="E152" s="43" t="inlineStr">
        <is>
          <t>기획</t>
        </is>
      </c>
      <c r="F152" s="44" t="n"/>
      <c r="G152" s="45" t="n"/>
      <c r="H152" s="46">
        <f>IF($I$152="","",IF($I$152&lt;0,"🔴지연",IF($I$152&lt;=1,"🟡임박","🟢여유")))</f>
        <v/>
      </c>
      <c r="I152" s="47">
        <f>IF(OR($G$152="",$K$152=""),"",$G$152-$K$152)</f>
        <v/>
      </c>
      <c r="J152" s="48">
        <f>IF(SUM($L$152:$L$154)=0,"",SUM($L$152:$L$154))</f>
        <v/>
      </c>
      <c r="K152" s="49">
        <f>IF($J$152="","",MAX($N$152:$N$154))</f>
        <v/>
      </c>
      <c r="L152" s="50">
        <f>IF(SUM(U152:AY152)=0,"",SUM(U152:AY152))</f>
        <v/>
      </c>
      <c r="M152" s="51">
        <f>IFERROR(INDEX(U$2:AY$2,MATCH(TRUE,INDEX(U152:AY152&lt;&gt;"",0),0)),"")</f>
        <v/>
      </c>
      <c r="N152" s="51">
        <f>IFERROR(LOOKUP(2,1/(U152:AY152&lt;&gt;""),U$2:AY$2),"")</f>
        <v/>
      </c>
      <c r="O152" s="52" t="n"/>
      <c r="P152" s="52" t="n"/>
      <c r="Q152" s="52" t="n"/>
      <c r="R152" s="44" t="n"/>
      <c r="S152" s="14" t="n"/>
      <c r="U152" s="53" t="n"/>
      <c r="V152" s="53" t="n"/>
      <c r="W152" s="53" t="n"/>
      <c r="X152" s="53" t="n"/>
      <c r="Y152" s="53" t="n"/>
      <c r="Z152" s="53" t="n"/>
      <c r="AA152" s="53" t="n"/>
      <c r="AB152" s="53" t="n"/>
      <c r="AC152" s="53" t="n"/>
      <c r="AD152" s="53" t="n"/>
      <c r="AE152" s="53" t="n"/>
      <c r="AF152" s="53" t="n"/>
      <c r="AG152" s="53" t="n"/>
      <c r="AH152" s="53" t="n"/>
      <c r="AI152" s="53" t="n"/>
      <c r="AJ152" s="53" t="n"/>
      <c r="AK152" s="53" t="n"/>
      <c r="AL152" s="53" t="n"/>
      <c r="AM152" s="53" t="n"/>
      <c r="AN152" s="53" t="n"/>
      <c r="AO152" s="53" t="n"/>
      <c r="AP152" s="53" t="n"/>
      <c r="AQ152" s="53" t="n"/>
      <c r="AR152" s="53" t="n"/>
      <c r="AS152" s="53" t="n"/>
      <c r="AT152" s="53" t="n"/>
      <c r="AU152" s="53" t="n"/>
      <c r="AV152" s="53" t="n"/>
      <c r="AW152" s="53" t="n"/>
      <c r="AX152" s="53" t="n"/>
      <c r="AY152" s="53" t="n"/>
    </row>
    <row r="153" ht="15" customHeight="1">
      <c r="A153" s="54" t="n"/>
      <c r="B153" s="55">
        <f>IF($B$152="","",$B$152)</f>
        <v/>
      </c>
      <c r="C153" s="56" t="inlineStr">
        <is>
          <t>마케팅3팀</t>
        </is>
      </c>
      <c r="D153" s="55">
        <f>IF($D$152="","",$D$152)</f>
        <v/>
      </c>
      <c r="E153" s="57" t="inlineStr">
        <is>
          <t>이미지</t>
        </is>
      </c>
      <c r="F153" s="44" t="n"/>
      <c r="G153" s="58">
        <f>IF($G$152="","",$G$152)</f>
        <v/>
      </c>
      <c r="H153" s="59" t="n"/>
      <c r="I153" s="59" t="n"/>
      <c r="J153" s="59" t="n"/>
      <c r="K153" s="59" t="n"/>
      <c r="L153" s="60">
        <f>IF(SUM(U153:AY153)=0,"",SUM(U153:AY153))</f>
        <v/>
      </c>
      <c r="M153" s="61">
        <f>IFERROR(INDEX(U$2:AY$2,MATCH(TRUE,INDEX(U153:AY153&lt;&gt;"",0),0)),"")</f>
        <v/>
      </c>
      <c r="N153" s="61">
        <f>IFERROR(LOOKUP(2,1/(U153:AY153&lt;&gt;""),U$2:AY$2),"")</f>
        <v/>
      </c>
      <c r="O153" s="59" t="n"/>
      <c r="P153" s="59" t="n"/>
      <c r="Q153" s="59" t="n"/>
      <c r="R153" s="59" t="n"/>
      <c r="S153" s="14" t="n"/>
      <c r="U153" s="53" t="n"/>
      <c r="V153" s="53" t="n"/>
      <c r="W153" s="53" t="n"/>
      <c r="X153" s="53" t="n"/>
      <c r="Y153" s="53" t="n"/>
      <c r="Z153" s="53" t="n"/>
      <c r="AA153" s="53" t="n"/>
      <c r="AB153" s="53" t="n"/>
      <c r="AC153" s="53" t="n"/>
      <c r="AD153" s="53" t="n"/>
      <c r="AE153" s="53" t="n"/>
      <c r="AF153" s="53" t="n"/>
      <c r="AG153" s="53" t="n"/>
      <c r="AH153" s="53" t="n"/>
      <c r="AI153" s="53" t="n"/>
      <c r="AJ153" s="53" t="n"/>
      <c r="AK153" s="53" t="n"/>
      <c r="AL153" s="53" t="n"/>
      <c r="AM153" s="53" t="n"/>
      <c r="AN153" s="53" t="n"/>
      <c r="AO153" s="53" t="n"/>
      <c r="AP153" s="53" t="n"/>
      <c r="AQ153" s="53" t="n"/>
      <c r="AR153" s="53" t="n"/>
      <c r="AS153" s="53" t="n"/>
      <c r="AT153" s="53" t="n"/>
      <c r="AU153" s="53" t="n"/>
      <c r="AV153" s="53" t="n"/>
      <c r="AW153" s="53" t="n"/>
      <c r="AX153" s="53" t="n"/>
      <c r="AY153" s="53" t="n"/>
    </row>
    <row r="154" ht="15" customHeight="1">
      <c r="A154" s="62" t="n"/>
      <c r="B154" s="55">
        <f>IF($B$152="","",$B$152)</f>
        <v/>
      </c>
      <c r="C154" s="63" t="inlineStr">
        <is>
          <t>마케팅3팀</t>
        </is>
      </c>
      <c r="D154" s="55">
        <f>IF($D$152="","",$D$152)</f>
        <v/>
      </c>
      <c r="E154" s="64" t="inlineStr">
        <is>
          <t>영상</t>
        </is>
      </c>
      <c r="F154" s="44" t="n"/>
      <c r="G154" s="58">
        <f>IF($G$152="","",$G$152)</f>
        <v/>
      </c>
      <c r="H154" s="59" t="n"/>
      <c r="I154" s="59" t="n"/>
      <c r="J154" s="59" t="n"/>
      <c r="K154" s="59" t="n"/>
      <c r="L154" s="65">
        <f>IF(SUM(U154:AY154)=0,"",SUM(U154:AY154))</f>
        <v/>
      </c>
      <c r="M154" s="66">
        <f>IFERROR(INDEX(U$2:AY$2,MATCH(TRUE,INDEX(U154:AY154&lt;&gt;"",0),0)),"")</f>
        <v/>
      </c>
      <c r="N154" s="66">
        <f>IFERROR(LOOKUP(2,1/(U154:AY154&lt;&gt;""),U$2:AY$2),"")</f>
        <v/>
      </c>
      <c r="O154" s="59" t="n"/>
      <c r="P154" s="59" t="n"/>
      <c r="Q154" s="59" t="n"/>
      <c r="R154" s="59" t="n"/>
      <c r="S154" s="14" t="n"/>
      <c r="U154" s="53" t="n"/>
      <c r="V154" s="53" t="n"/>
      <c r="W154" s="53" t="n"/>
      <c r="X154" s="53" t="n"/>
      <c r="Y154" s="53" t="n"/>
      <c r="Z154" s="53" t="n"/>
      <c r="AA154" s="53" t="n"/>
      <c r="AB154" s="53" t="n"/>
      <c r="AC154" s="53" t="n"/>
      <c r="AD154" s="53" t="n"/>
      <c r="AE154" s="53" t="n"/>
      <c r="AF154" s="53" t="n"/>
      <c r="AG154" s="53" t="n"/>
      <c r="AH154" s="53" t="n"/>
      <c r="AI154" s="53" t="n"/>
      <c r="AJ154" s="53" t="n"/>
      <c r="AK154" s="53" t="n"/>
      <c r="AL154" s="53" t="n"/>
      <c r="AM154" s="53" t="n"/>
      <c r="AN154" s="53" t="n"/>
      <c r="AO154" s="53" t="n"/>
      <c r="AP154" s="53" t="n"/>
      <c r="AQ154" s="53" t="n"/>
      <c r="AR154" s="53" t="n"/>
      <c r="AS154" s="53" t="n"/>
      <c r="AT154" s="53" t="n"/>
      <c r="AU154" s="53" t="n"/>
      <c r="AV154" s="53" t="n"/>
      <c r="AW154" s="53" t="n"/>
      <c r="AX154" s="53" t="n"/>
      <c r="AY154" s="53" t="n"/>
    </row>
    <row r="155" ht="15" customHeight="1">
      <c r="A155" s="40">
        <f>IF($D$155="","",49)</f>
        <v/>
      </c>
      <c r="B155" s="10" t="n"/>
      <c r="C155" s="41" t="inlineStr">
        <is>
          <t>마케팅3팀</t>
        </is>
      </c>
      <c r="D155" s="42" t="n"/>
      <c r="E155" s="43" t="inlineStr">
        <is>
          <t>기획</t>
        </is>
      </c>
      <c r="F155" s="44" t="n"/>
      <c r="G155" s="45" t="n"/>
      <c r="H155" s="46">
        <f>IF($I$155="","",IF($I$155&lt;0,"🔴지연",IF($I$155&lt;=1,"🟡임박","🟢여유")))</f>
        <v/>
      </c>
      <c r="I155" s="47">
        <f>IF(OR($G$155="",$K$155=""),"",$G$155-$K$155)</f>
        <v/>
      </c>
      <c r="J155" s="48">
        <f>IF(SUM($L$155:$L$157)=0,"",SUM($L$155:$L$157))</f>
        <v/>
      </c>
      <c r="K155" s="49">
        <f>IF($J$155="","",MAX($N$155:$N$157))</f>
        <v/>
      </c>
      <c r="L155" s="50">
        <f>IF(SUM(U155:AY155)=0,"",SUM(U155:AY155))</f>
        <v/>
      </c>
      <c r="M155" s="51">
        <f>IFERROR(INDEX(U$2:AY$2,MATCH(TRUE,INDEX(U155:AY155&lt;&gt;"",0),0)),"")</f>
        <v/>
      </c>
      <c r="N155" s="51">
        <f>IFERROR(LOOKUP(2,1/(U155:AY155&lt;&gt;""),U$2:AY$2),"")</f>
        <v/>
      </c>
      <c r="O155" s="52" t="n"/>
      <c r="P155" s="52" t="n"/>
      <c r="Q155" s="52" t="n"/>
      <c r="R155" s="44" t="n"/>
      <c r="S155" s="14" t="n"/>
      <c r="U155" s="53" t="n"/>
      <c r="V155" s="53" t="n"/>
      <c r="W155" s="53" t="n"/>
      <c r="X155" s="53" t="n"/>
      <c r="Y155" s="53" t="n"/>
      <c r="Z155" s="53" t="n"/>
      <c r="AA155" s="53" t="n"/>
      <c r="AB155" s="53" t="n"/>
      <c r="AC155" s="53" t="n"/>
      <c r="AD155" s="53" t="n"/>
      <c r="AE155" s="53" t="n"/>
      <c r="AF155" s="53" t="n"/>
      <c r="AG155" s="53" t="n"/>
      <c r="AH155" s="53" t="n"/>
      <c r="AI155" s="53" t="n"/>
      <c r="AJ155" s="53" t="n"/>
      <c r="AK155" s="53" t="n"/>
      <c r="AL155" s="53" t="n"/>
      <c r="AM155" s="53" t="n"/>
      <c r="AN155" s="53" t="n"/>
      <c r="AO155" s="53" t="n"/>
      <c r="AP155" s="53" t="n"/>
      <c r="AQ155" s="53" t="n"/>
      <c r="AR155" s="53" t="n"/>
      <c r="AS155" s="53" t="n"/>
      <c r="AT155" s="53" t="n"/>
      <c r="AU155" s="53" t="n"/>
      <c r="AV155" s="53" t="n"/>
      <c r="AW155" s="53" t="n"/>
      <c r="AX155" s="53" t="n"/>
      <c r="AY155" s="53" t="n"/>
    </row>
    <row r="156" ht="15" customHeight="1">
      <c r="A156" s="54" t="n"/>
      <c r="B156" s="55">
        <f>IF($B$155="","",$B$155)</f>
        <v/>
      </c>
      <c r="C156" s="56" t="inlineStr">
        <is>
          <t>마케팅3팀</t>
        </is>
      </c>
      <c r="D156" s="55">
        <f>IF($D$155="","",$D$155)</f>
        <v/>
      </c>
      <c r="E156" s="57" t="inlineStr">
        <is>
          <t>이미지</t>
        </is>
      </c>
      <c r="F156" s="44" t="n"/>
      <c r="G156" s="58">
        <f>IF($G$155="","",$G$155)</f>
        <v/>
      </c>
      <c r="H156" s="59" t="n"/>
      <c r="I156" s="59" t="n"/>
      <c r="J156" s="59" t="n"/>
      <c r="K156" s="59" t="n"/>
      <c r="L156" s="60">
        <f>IF(SUM(U156:AY156)=0,"",SUM(U156:AY156))</f>
        <v/>
      </c>
      <c r="M156" s="61">
        <f>IFERROR(INDEX(U$2:AY$2,MATCH(TRUE,INDEX(U156:AY156&lt;&gt;"",0),0)),"")</f>
        <v/>
      </c>
      <c r="N156" s="61">
        <f>IFERROR(LOOKUP(2,1/(U156:AY156&lt;&gt;""),U$2:AY$2),"")</f>
        <v/>
      </c>
      <c r="O156" s="59" t="n"/>
      <c r="P156" s="59" t="n"/>
      <c r="Q156" s="59" t="n"/>
      <c r="R156" s="59" t="n"/>
      <c r="S156" s="14" t="n"/>
      <c r="U156" s="53" t="n"/>
      <c r="V156" s="53" t="n"/>
      <c r="W156" s="53" t="n"/>
      <c r="X156" s="53" t="n"/>
      <c r="Y156" s="53" t="n"/>
      <c r="Z156" s="53" t="n"/>
      <c r="AA156" s="53" t="n"/>
      <c r="AB156" s="53" t="n"/>
      <c r="AC156" s="53" t="n"/>
      <c r="AD156" s="53" t="n"/>
      <c r="AE156" s="53" t="n"/>
      <c r="AF156" s="53" t="n"/>
      <c r="AG156" s="53" t="n"/>
      <c r="AH156" s="53" t="n"/>
      <c r="AI156" s="53" t="n"/>
      <c r="AJ156" s="53" t="n"/>
      <c r="AK156" s="53" t="n"/>
      <c r="AL156" s="53" t="n"/>
      <c r="AM156" s="53" t="n"/>
      <c r="AN156" s="53" t="n"/>
      <c r="AO156" s="53" t="n"/>
      <c r="AP156" s="53" t="n"/>
      <c r="AQ156" s="53" t="n"/>
      <c r="AR156" s="53" t="n"/>
      <c r="AS156" s="53" t="n"/>
      <c r="AT156" s="53" t="n"/>
      <c r="AU156" s="53" t="n"/>
      <c r="AV156" s="53" t="n"/>
      <c r="AW156" s="53" t="n"/>
      <c r="AX156" s="53" t="n"/>
      <c r="AY156" s="53" t="n"/>
    </row>
    <row r="157" ht="15" customHeight="1">
      <c r="A157" s="62" t="n"/>
      <c r="B157" s="55">
        <f>IF($B$155="","",$B$155)</f>
        <v/>
      </c>
      <c r="C157" s="63" t="inlineStr">
        <is>
          <t>마케팅3팀</t>
        </is>
      </c>
      <c r="D157" s="55">
        <f>IF($D$155="","",$D$155)</f>
        <v/>
      </c>
      <c r="E157" s="64" t="inlineStr">
        <is>
          <t>영상</t>
        </is>
      </c>
      <c r="F157" s="44" t="n"/>
      <c r="G157" s="58">
        <f>IF($G$155="","",$G$155)</f>
        <v/>
      </c>
      <c r="H157" s="59" t="n"/>
      <c r="I157" s="59" t="n"/>
      <c r="J157" s="59" t="n"/>
      <c r="K157" s="59" t="n"/>
      <c r="L157" s="65">
        <f>IF(SUM(U157:AY157)=0,"",SUM(U157:AY157))</f>
        <v/>
      </c>
      <c r="M157" s="66">
        <f>IFERROR(INDEX(U$2:AY$2,MATCH(TRUE,INDEX(U157:AY157&lt;&gt;"",0),0)),"")</f>
        <v/>
      </c>
      <c r="N157" s="66">
        <f>IFERROR(LOOKUP(2,1/(U157:AY157&lt;&gt;""),U$2:AY$2),"")</f>
        <v/>
      </c>
      <c r="O157" s="59" t="n"/>
      <c r="P157" s="59" t="n"/>
      <c r="Q157" s="59" t="n"/>
      <c r="R157" s="59" t="n"/>
      <c r="S157" s="14" t="n"/>
      <c r="U157" s="53" t="n"/>
      <c r="V157" s="53" t="n"/>
      <c r="W157" s="53" t="n"/>
      <c r="X157" s="53" t="n"/>
      <c r="Y157" s="53" t="n"/>
      <c r="Z157" s="53" t="n"/>
      <c r="AA157" s="53" t="n"/>
      <c r="AB157" s="53" t="n"/>
      <c r="AC157" s="53" t="n"/>
      <c r="AD157" s="53" t="n"/>
      <c r="AE157" s="53" t="n"/>
      <c r="AF157" s="53" t="n"/>
      <c r="AG157" s="53" t="n"/>
      <c r="AH157" s="53" t="n"/>
      <c r="AI157" s="53" t="n"/>
      <c r="AJ157" s="53" t="n"/>
      <c r="AK157" s="53" t="n"/>
      <c r="AL157" s="53" t="n"/>
      <c r="AM157" s="53" t="n"/>
      <c r="AN157" s="53" t="n"/>
      <c r="AO157" s="53" t="n"/>
      <c r="AP157" s="53" t="n"/>
      <c r="AQ157" s="53" t="n"/>
      <c r="AR157" s="53" t="n"/>
      <c r="AS157" s="53" t="n"/>
      <c r="AT157" s="53" t="n"/>
      <c r="AU157" s="53" t="n"/>
      <c r="AV157" s="53" t="n"/>
      <c r="AW157" s="53" t="n"/>
      <c r="AX157" s="53" t="n"/>
      <c r="AY157" s="53" t="n"/>
    </row>
    <row r="158" ht="15" customHeight="1">
      <c r="A158" s="40">
        <f>IF($D$158="","",50)</f>
        <v/>
      </c>
      <c r="B158" s="10" t="n"/>
      <c r="C158" s="41" t="inlineStr">
        <is>
          <t>마케팅3팀</t>
        </is>
      </c>
      <c r="D158" s="42" t="n"/>
      <c r="E158" s="43" t="inlineStr">
        <is>
          <t>기획</t>
        </is>
      </c>
      <c r="F158" s="44" t="n"/>
      <c r="G158" s="45" t="n"/>
      <c r="H158" s="46">
        <f>IF($I$158="","",IF($I$158&lt;0,"🔴지연",IF($I$158&lt;=1,"🟡임박","🟢여유")))</f>
        <v/>
      </c>
      <c r="I158" s="47">
        <f>IF(OR($G$158="",$K$158=""),"",$G$158-$K$158)</f>
        <v/>
      </c>
      <c r="J158" s="48">
        <f>IF(SUM($L$158:$L$160)=0,"",SUM($L$158:$L$160))</f>
        <v/>
      </c>
      <c r="K158" s="49">
        <f>IF($J$158="","",MAX($N$158:$N$160))</f>
        <v/>
      </c>
      <c r="L158" s="50">
        <f>IF(SUM(U158:AY158)=0,"",SUM(U158:AY158))</f>
        <v/>
      </c>
      <c r="M158" s="51">
        <f>IFERROR(INDEX(U$2:AY$2,MATCH(TRUE,INDEX(U158:AY158&lt;&gt;"",0),0)),"")</f>
        <v/>
      </c>
      <c r="N158" s="51">
        <f>IFERROR(LOOKUP(2,1/(U158:AY158&lt;&gt;""),U$2:AY$2),"")</f>
        <v/>
      </c>
      <c r="O158" s="52" t="n"/>
      <c r="P158" s="52" t="n"/>
      <c r="Q158" s="52" t="n"/>
      <c r="R158" s="44" t="n"/>
      <c r="S158" s="14" t="n"/>
      <c r="U158" s="53" t="n"/>
      <c r="V158" s="53" t="n"/>
      <c r="W158" s="53" t="n"/>
      <c r="X158" s="53" t="n"/>
      <c r="Y158" s="53" t="n"/>
      <c r="Z158" s="53" t="n"/>
      <c r="AA158" s="53" t="n"/>
      <c r="AB158" s="53" t="n"/>
      <c r="AC158" s="53" t="n"/>
      <c r="AD158" s="53" t="n"/>
      <c r="AE158" s="53" t="n"/>
      <c r="AF158" s="53" t="n"/>
      <c r="AG158" s="53" t="n"/>
      <c r="AH158" s="53" t="n"/>
      <c r="AI158" s="53" t="n"/>
      <c r="AJ158" s="53" t="n"/>
      <c r="AK158" s="53" t="n"/>
      <c r="AL158" s="53" t="n"/>
      <c r="AM158" s="53" t="n"/>
      <c r="AN158" s="53" t="n"/>
      <c r="AO158" s="53" t="n"/>
      <c r="AP158" s="53" t="n"/>
      <c r="AQ158" s="53" t="n"/>
      <c r="AR158" s="53" t="n"/>
      <c r="AS158" s="53" t="n"/>
      <c r="AT158" s="53" t="n"/>
      <c r="AU158" s="53" t="n"/>
      <c r="AV158" s="53" t="n"/>
      <c r="AW158" s="53" t="n"/>
      <c r="AX158" s="53" t="n"/>
      <c r="AY158" s="53" t="n"/>
    </row>
    <row r="159" ht="15" customHeight="1">
      <c r="A159" s="54" t="n"/>
      <c r="B159" s="55">
        <f>IF($B$158="","",$B$158)</f>
        <v/>
      </c>
      <c r="C159" s="56" t="inlineStr">
        <is>
          <t>마케팅3팀</t>
        </is>
      </c>
      <c r="D159" s="55">
        <f>IF($D$158="","",$D$158)</f>
        <v/>
      </c>
      <c r="E159" s="57" t="inlineStr">
        <is>
          <t>이미지</t>
        </is>
      </c>
      <c r="F159" s="44" t="n"/>
      <c r="G159" s="58">
        <f>IF($G$158="","",$G$158)</f>
        <v/>
      </c>
      <c r="H159" s="59" t="n"/>
      <c r="I159" s="59" t="n"/>
      <c r="J159" s="59" t="n"/>
      <c r="K159" s="59" t="n"/>
      <c r="L159" s="60">
        <f>IF(SUM(U159:AY159)=0,"",SUM(U159:AY159))</f>
        <v/>
      </c>
      <c r="M159" s="61">
        <f>IFERROR(INDEX(U$2:AY$2,MATCH(TRUE,INDEX(U159:AY159&lt;&gt;"",0),0)),"")</f>
        <v/>
      </c>
      <c r="N159" s="61">
        <f>IFERROR(LOOKUP(2,1/(U159:AY159&lt;&gt;""),U$2:AY$2),"")</f>
        <v/>
      </c>
      <c r="O159" s="59" t="n"/>
      <c r="P159" s="59" t="n"/>
      <c r="Q159" s="59" t="n"/>
      <c r="R159" s="59" t="n"/>
      <c r="S159" s="14" t="n"/>
      <c r="U159" s="53" t="n"/>
      <c r="V159" s="53" t="n"/>
      <c r="W159" s="53" t="n"/>
      <c r="X159" s="53" t="n"/>
      <c r="Y159" s="53" t="n"/>
      <c r="Z159" s="53" t="n"/>
      <c r="AA159" s="53" t="n"/>
      <c r="AB159" s="53" t="n"/>
      <c r="AC159" s="53" t="n"/>
      <c r="AD159" s="53" t="n"/>
      <c r="AE159" s="53" t="n"/>
      <c r="AF159" s="53" t="n"/>
      <c r="AG159" s="53" t="n"/>
      <c r="AH159" s="53" t="n"/>
      <c r="AI159" s="53" t="n"/>
      <c r="AJ159" s="53" t="n"/>
      <c r="AK159" s="53" t="n"/>
      <c r="AL159" s="53" t="n"/>
      <c r="AM159" s="53" t="n"/>
      <c r="AN159" s="53" t="n"/>
      <c r="AO159" s="53" t="n"/>
      <c r="AP159" s="53" t="n"/>
      <c r="AQ159" s="53" t="n"/>
      <c r="AR159" s="53" t="n"/>
      <c r="AS159" s="53" t="n"/>
      <c r="AT159" s="53" t="n"/>
      <c r="AU159" s="53" t="n"/>
      <c r="AV159" s="53" t="n"/>
      <c r="AW159" s="53" t="n"/>
      <c r="AX159" s="53" t="n"/>
      <c r="AY159" s="53" t="n"/>
    </row>
    <row r="160" ht="15" customHeight="1">
      <c r="A160" s="62" t="n"/>
      <c r="B160" s="55">
        <f>IF($B$158="","",$B$158)</f>
        <v/>
      </c>
      <c r="C160" s="63" t="inlineStr">
        <is>
          <t>마케팅3팀</t>
        </is>
      </c>
      <c r="D160" s="55">
        <f>IF($D$158="","",$D$158)</f>
        <v/>
      </c>
      <c r="E160" s="64" t="inlineStr">
        <is>
          <t>영상</t>
        </is>
      </c>
      <c r="F160" s="44" t="n"/>
      <c r="G160" s="58">
        <f>IF($G$158="","",$G$158)</f>
        <v/>
      </c>
      <c r="H160" s="59" t="n"/>
      <c r="I160" s="59" t="n"/>
      <c r="J160" s="59" t="n"/>
      <c r="K160" s="59" t="n"/>
      <c r="L160" s="65">
        <f>IF(SUM(U160:AY160)=0,"",SUM(U160:AY160))</f>
        <v/>
      </c>
      <c r="M160" s="66">
        <f>IFERROR(INDEX(U$2:AY$2,MATCH(TRUE,INDEX(U160:AY160&lt;&gt;"",0),0)),"")</f>
        <v/>
      </c>
      <c r="N160" s="66">
        <f>IFERROR(LOOKUP(2,1/(U160:AY160&lt;&gt;""),U$2:AY$2),"")</f>
        <v/>
      </c>
      <c r="O160" s="59" t="n"/>
      <c r="P160" s="59" t="n"/>
      <c r="Q160" s="59" t="n"/>
      <c r="R160" s="59" t="n"/>
      <c r="S160" s="14" t="n"/>
      <c r="U160" s="53" t="n"/>
      <c r="V160" s="53" t="n"/>
      <c r="W160" s="53" t="n"/>
      <c r="X160" s="53" t="n"/>
      <c r="Y160" s="53" t="n"/>
      <c r="Z160" s="53" t="n"/>
      <c r="AA160" s="53" t="n"/>
      <c r="AB160" s="53" t="n"/>
      <c r="AC160" s="53" t="n"/>
      <c r="AD160" s="53" t="n"/>
      <c r="AE160" s="53" t="n"/>
      <c r="AF160" s="53" t="n"/>
      <c r="AG160" s="53" t="n"/>
      <c r="AH160" s="53" t="n"/>
      <c r="AI160" s="53" t="n"/>
      <c r="AJ160" s="53" t="n"/>
      <c r="AK160" s="53" t="n"/>
      <c r="AL160" s="53" t="n"/>
      <c r="AM160" s="53" t="n"/>
      <c r="AN160" s="53" t="n"/>
      <c r="AO160" s="53" t="n"/>
      <c r="AP160" s="53" t="n"/>
      <c r="AQ160" s="53" t="n"/>
      <c r="AR160" s="53" t="n"/>
      <c r="AS160" s="53" t="n"/>
      <c r="AT160" s="53" t="n"/>
      <c r="AU160" s="53" t="n"/>
      <c r="AV160" s="53" t="n"/>
      <c r="AW160" s="53" t="n"/>
      <c r="AX160" s="53" t="n"/>
      <c r="AY160" s="53" t="n"/>
    </row>
    <row r="161" ht="15" customHeight="1">
      <c r="A161" s="40">
        <f>IF($D$161="","",51)</f>
        <v/>
      </c>
      <c r="B161" s="10" t="n"/>
      <c r="C161" s="41" t="inlineStr">
        <is>
          <t>마케팅3팀</t>
        </is>
      </c>
      <c r="D161" s="42" t="n"/>
      <c r="E161" s="43" t="inlineStr">
        <is>
          <t>기획</t>
        </is>
      </c>
      <c r="F161" s="44" t="n"/>
      <c r="G161" s="45" t="n"/>
      <c r="H161" s="46">
        <f>IF($I$161="","",IF($I$161&lt;0,"🔴지연",IF($I$161&lt;=1,"🟡임박","🟢여유")))</f>
        <v/>
      </c>
      <c r="I161" s="47">
        <f>IF(OR($G$161="",$K$161=""),"",$G$161-$K$161)</f>
        <v/>
      </c>
      <c r="J161" s="48">
        <f>IF(SUM($L$161:$L$163)=0,"",SUM($L$161:$L$163))</f>
        <v/>
      </c>
      <c r="K161" s="49">
        <f>IF($J$161="","",MAX($N$161:$N$163))</f>
        <v/>
      </c>
      <c r="L161" s="50">
        <f>IF(SUM(U161:AY161)=0,"",SUM(U161:AY161))</f>
        <v/>
      </c>
      <c r="M161" s="51">
        <f>IFERROR(INDEX(U$2:AY$2,MATCH(TRUE,INDEX(U161:AY161&lt;&gt;"",0),0)),"")</f>
        <v/>
      </c>
      <c r="N161" s="51">
        <f>IFERROR(LOOKUP(2,1/(U161:AY161&lt;&gt;""),U$2:AY$2),"")</f>
        <v/>
      </c>
      <c r="O161" s="52" t="n"/>
      <c r="P161" s="52" t="n"/>
      <c r="Q161" s="52" t="n"/>
      <c r="R161" s="44" t="n"/>
      <c r="S161" s="14" t="n"/>
      <c r="U161" s="53" t="n"/>
      <c r="V161" s="53" t="n"/>
      <c r="W161" s="53" t="n"/>
      <c r="X161" s="53" t="n"/>
      <c r="Y161" s="53" t="n"/>
      <c r="Z161" s="53" t="n"/>
      <c r="AA161" s="53" t="n"/>
      <c r="AB161" s="53" t="n"/>
      <c r="AC161" s="53" t="n"/>
      <c r="AD161" s="53" t="n"/>
      <c r="AE161" s="53" t="n"/>
      <c r="AF161" s="53" t="n"/>
      <c r="AG161" s="53" t="n"/>
      <c r="AH161" s="53" t="n"/>
      <c r="AI161" s="53" t="n"/>
      <c r="AJ161" s="53" t="n"/>
      <c r="AK161" s="53" t="n"/>
      <c r="AL161" s="53" t="n"/>
      <c r="AM161" s="53" t="n"/>
      <c r="AN161" s="53" t="n"/>
      <c r="AO161" s="53" t="n"/>
      <c r="AP161" s="53" t="n"/>
      <c r="AQ161" s="53" t="n"/>
      <c r="AR161" s="53" t="n"/>
      <c r="AS161" s="53" t="n"/>
      <c r="AT161" s="53" t="n"/>
      <c r="AU161" s="53" t="n"/>
      <c r="AV161" s="53" t="n"/>
      <c r="AW161" s="53" t="n"/>
      <c r="AX161" s="53" t="n"/>
      <c r="AY161" s="53" t="n"/>
    </row>
    <row r="162" ht="15" customHeight="1">
      <c r="A162" s="54" t="n"/>
      <c r="B162" s="55">
        <f>IF($B$161="","",$B$161)</f>
        <v/>
      </c>
      <c r="C162" s="56" t="inlineStr">
        <is>
          <t>마케팅3팀</t>
        </is>
      </c>
      <c r="D162" s="55">
        <f>IF($D$161="","",$D$161)</f>
        <v/>
      </c>
      <c r="E162" s="57" t="inlineStr">
        <is>
          <t>이미지</t>
        </is>
      </c>
      <c r="F162" s="44" t="n"/>
      <c r="G162" s="58">
        <f>IF($G$161="","",$G$161)</f>
        <v/>
      </c>
      <c r="H162" s="59" t="n"/>
      <c r="I162" s="59" t="n"/>
      <c r="J162" s="59" t="n"/>
      <c r="K162" s="59" t="n"/>
      <c r="L162" s="60">
        <f>IF(SUM(U162:AY162)=0,"",SUM(U162:AY162))</f>
        <v/>
      </c>
      <c r="M162" s="61">
        <f>IFERROR(INDEX(U$2:AY$2,MATCH(TRUE,INDEX(U162:AY162&lt;&gt;"",0),0)),"")</f>
        <v/>
      </c>
      <c r="N162" s="61">
        <f>IFERROR(LOOKUP(2,1/(U162:AY162&lt;&gt;""),U$2:AY$2),"")</f>
        <v/>
      </c>
      <c r="O162" s="59" t="n"/>
      <c r="P162" s="59" t="n"/>
      <c r="Q162" s="59" t="n"/>
      <c r="R162" s="59" t="n"/>
      <c r="S162" s="14" t="n"/>
      <c r="U162" s="53" t="n"/>
      <c r="V162" s="53" t="n"/>
      <c r="W162" s="53" t="n"/>
      <c r="X162" s="53" t="n"/>
      <c r="Y162" s="53" t="n"/>
      <c r="Z162" s="53" t="n"/>
      <c r="AA162" s="53" t="n"/>
      <c r="AB162" s="53" t="n"/>
      <c r="AC162" s="53" t="n"/>
      <c r="AD162" s="53" t="n"/>
      <c r="AE162" s="53" t="n"/>
      <c r="AF162" s="53" t="n"/>
      <c r="AG162" s="53" t="n"/>
      <c r="AH162" s="53" t="n"/>
      <c r="AI162" s="53" t="n"/>
      <c r="AJ162" s="53" t="n"/>
      <c r="AK162" s="53" t="n"/>
      <c r="AL162" s="53" t="n"/>
      <c r="AM162" s="53" t="n"/>
      <c r="AN162" s="53" t="n"/>
      <c r="AO162" s="53" t="n"/>
      <c r="AP162" s="53" t="n"/>
      <c r="AQ162" s="53" t="n"/>
      <c r="AR162" s="53" t="n"/>
      <c r="AS162" s="53" t="n"/>
      <c r="AT162" s="53" t="n"/>
      <c r="AU162" s="53" t="n"/>
      <c r="AV162" s="53" t="n"/>
      <c r="AW162" s="53" t="n"/>
      <c r="AX162" s="53" t="n"/>
      <c r="AY162" s="53" t="n"/>
    </row>
    <row r="163" ht="15" customHeight="1">
      <c r="A163" s="62" t="n"/>
      <c r="B163" s="55">
        <f>IF($B$161="","",$B$161)</f>
        <v/>
      </c>
      <c r="C163" s="63" t="inlineStr">
        <is>
          <t>마케팅3팀</t>
        </is>
      </c>
      <c r="D163" s="55">
        <f>IF($D$161="","",$D$161)</f>
        <v/>
      </c>
      <c r="E163" s="64" t="inlineStr">
        <is>
          <t>영상</t>
        </is>
      </c>
      <c r="F163" s="44" t="n"/>
      <c r="G163" s="58">
        <f>IF($G$161="","",$G$161)</f>
        <v/>
      </c>
      <c r="H163" s="59" t="n"/>
      <c r="I163" s="59" t="n"/>
      <c r="J163" s="59" t="n"/>
      <c r="K163" s="59" t="n"/>
      <c r="L163" s="65">
        <f>IF(SUM(U163:AY163)=0,"",SUM(U163:AY163))</f>
        <v/>
      </c>
      <c r="M163" s="66">
        <f>IFERROR(INDEX(U$2:AY$2,MATCH(TRUE,INDEX(U163:AY163&lt;&gt;"",0),0)),"")</f>
        <v/>
      </c>
      <c r="N163" s="66">
        <f>IFERROR(LOOKUP(2,1/(U163:AY163&lt;&gt;""),U$2:AY$2),"")</f>
        <v/>
      </c>
      <c r="O163" s="59" t="n"/>
      <c r="P163" s="59" t="n"/>
      <c r="Q163" s="59" t="n"/>
      <c r="R163" s="59" t="n"/>
      <c r="S163" s="14" t="n"/>
      <c r="U163" s="53" t="n"/>
      <c r="V163" s="53" t="n"/>
      <c r="W163" s="53" t="n"/>
      <c r="X163" s="53" t="n"/>
      <c r="Y163" s="53" t="n"/>
      <c r="Z163" s="53" t="n"/>
      <c r="AA163" s="53" t="n"/>
      <c r="AB163" s="53" t="n"/>
      <c r="AC163" s="53" t="n"/>
      <c r="AD163" s="53" t="n"/>
      <c r="AE163" s="53" t="n"/>
      <c r="AF163" s="53" t="n"/>
      <c r="AG163" s="53" t="n"/>
      <c r="AH163" s="53" t="n"/>
      <c r="AI163" s="53" t="n"/>
      <c r="AJ163" s="53" t="n"/>
      <c r="AK163" s="53" t="n"/>
      <c r="AL163" s="53" t="n"/>
      <c r="AM163" s="53" t="n"/>
      <c r="AN163" s="53" t="n"/>
      <c r="AO163" s="53" t="n"/>
      <c r="AP163" s="53" t="n"/>
      <c r="AQ163" s="53" t="n"/>
      <c r="AR163" s="53" t="n"/>
      <c r="AS163" s="53" t="n"/>
      <c r="AT163" s="53" t="n"/>
      <c r="AU163" s="53" t="n"/>
      <c r="AV163" s="53" t="n"/>
      <c r="AW163" s="53" t="n"/>
      <c r="AX163" s="53" t="n"/>
      <c r="AY163" s="53" t="n"/>
    </row>
    <row r="164" ht="15" customHeight="1">
      <c r="A164" s="40">
        <f>IF($D$164="","",52)</f>
        <v/>
      </c>
      <c r="B164" s="10" t="n"/>
      <c r="C164" s="41" t="inlineStr">
        <is>
          <t>마케팅3팀</t>
        </is>
      </c>
      <c r="D164" s="42" t="n"/>
      <c r="E164" s="43" t="inlineStr">
        <is>
          <t>기획</t>
        </is>
      </c>
      <c r="F164" s="44" t="n"/>
      <c r="G164" s="45" t="n"/>
      <c r="H164" s="46">
        <f>IF($I$164="","",IF($I$164&lt;0,"🔴지연",IF($I$164&lt;=1,"🟡임박","🟢여유")))</f>
        <v/>
      </c>
      <c r="I164" s="47">
        <f>IF(OR($G$164="",$K$164=""),"",$G$164-$K$164)</f>
        <v/>
      </c>
      <c r="J164" s="48">
        <f>IF(SUM($L$164:$L$166)=0,"",SUM($L$164:$L$166))</f>
        <v/>
      </c>
      <c r="K164" s="49">
        <f>IF($J$164="","",MAX($N$164:$N$166))</f>
        <v/>
      </c>
      <c r="L164" s="50">
        <f>IF(SUM(U164:AY164)=0,"",SUM(U164:AY164))</f>
        <v/>
      </c>
      <c r="M164" s="51">
        <f>IFERROR(INDEX(U$2:AY$2,MATCH(TRUE,INDEX(U164:AY164&lt;&gt;"",0),0)),"")</f>
        <v/>
      </c>
      <c r="N164" s="51">
        <f>IFERROR(LOOKUP(2,1/(U164:AY164&lt;&gt;""),U$2:AY$2),"")</f>
        <v/>
      </c>
      <c r="O164" s="52" t="n"/>
      <c r="P164" s="52" t="n"/>
      <c r="Q164" s="52" t="n"/>
      <c r="R164" s="44" t="n"/>
      <c r="S164" s="14" t="n"/>
      <c r="U164" s="53" t="n"/>
      <c r="V164" s="53" t="n"/>
      <c r="W164" s="53" t="n"/>
      <c r="X164" s="53" t="n"/>
      <c r="Y164" s="53" t="n"/>
      <c r="Z164" s="53" t="n"/>
      <c r="AA164" s="53" t="n"/>
      <c r="AB164" s="53" t="n"/>
      <c r="AC164" s="53" t="n"/>
      <c r="AD164" s="53" t="n"/>
      <c r="AE164" s="53" t="n"/>
      <c r="AF164" s="53" t="n"/>
      <c r="AG164" s="53" t="n"/>
      <c r="AH164" s="53" t="n"/>
      <c r="AI164" s="53" t="n"/>
      <c r="AJ164" s="53" t="n"/>
      <c r="AK164" s="53" t="n"/>
      <c r="AL164" s="53" t="n"/>
      <c r="AM164" s="53" t="n"/>
      <c r="AN164" s="53" t="n"/>
      <c r="AO164" s="53" t="n"/>
      <c r="AP164" s="53" t="n"/>
      <c r="AQ164" s="53" t="n"/>
      <c r="AR164" s="53" t="n"/>
      <c r="AS164" s="53" t="n"/>
      <c r="AT164" s="53" t="n"/>
      <c r="AU164" s="53" t="n"/>
      <c r="AV164" s="53" t="n"/>
      <c r="AW164" s="53" t="n"/>
      <c r="AX164" s="53" t="n"/>
      <c r="AY164" s="53" t="n"/>
    </row>
    <row r="165" ht="15" customHeight="1">
      <c r="A165" s="54" t="n"/>
      <c r="B165" s="55">
        <f>IF($B$164="","",$B$164)</f>
        <v/>
      </c>
      <c r="C165" s="56" t="inlineStr">
        <is>
          <t>마케팅3팀</t>
        </is>
      </c>
      <c r="D165" s="55">
        <f>IF($D$164="","",$D$164)</f>
        <v/>
      </c>
      <c r="E165" s="57" t="inlineStr">
        <is>
          <t>이미지</t>
        </is>
      </c>
      <c r="F165" s="44" t="n"/>
      <c r="G165" s="58">
        <f>IF($G$164="","",$G$164)</f>
        <v/>
      </c>
      <c r="H165" s="59" t="n"/>
      <c r="I165" s="59" t="n"/>
      <c r="J165" s="59" t="n"/>
      <c r="K165" s="59" t="n"/>
      <c r="L165" s="60">
        <f>IF(SUM(U165:AY165)=0,"",SUM(U165:AY165))</f>
        <v/>
      </c>
      <c r="M165" s="61">
        <f>IFERROR(INDEX(U$2:AY$2,MATCH(TRUE,INDEX(U165:AY165&lt;&gt;"",0),0)),"")</f>
        <v/>
      </c>
      <c r="N165" s="61">
        <f>IFERROR(LOOKUP(2,1/(U165:AY165&lt;&gt;""),U$2:AY$2),"")</f>
        <v/>
      </c>
      <c r="O165" s="59" t="n"/>
      <c r="P165" s="59" t="n"/>
      <c r="Q165" s="59" t="n"/>
      <c r="R165" s="59" t="n"/>
      <c r="S165" s="14" t="n"/>
      <c r="U165" s="53" t="n"/>
      <c r="V165" s="53" t="n"/>
      <c r="W165" s="53" t="n"/>
      <c r="X165" s="53" t="n"/>
      <c r="Y165" s="53" t="n"/>
      <c r="Z165" s="53" t="n"/>
      <c r="AA165" s="53" t="n"/>
      <c r="AB165" s="53" t="n"/>
      <c r="AC165" s="53" t="n"/>
      <c r="AD165" s="53" t="n"/>
      <c r="AE165" s="53" t="n"/>
      <c r="AF165" s="53" t="n"/>
      <c r="AG165" s="53" t="n"/>
      <c r="AH165" s="53" t="n"/>
      <c r="AI165" s="53" t="n"/>
      <c r="AJ165" s="53" t="n"/>
      <c r="AK165" s="53" t="n"/>
      <c r="AL165" s="53" t="n"/>
      <c r="AM165" s="53" t="n"/>
      <c r="AN165" s="53" t="n"/>
      <c r="AO165" s="53" t="n"/>
      <c r="AP165" s="53" t="n"/>
      <c r="AQ165" s="53" t="n"/>
      <c r="AR165" s="53" t="n"/>
      <c r="AS165" s="53" t="n"/>
      <c r="AT165" s="53" t="n"/>
      <c r="AU165" s="53" t="n"/>
      <c r="AV165" s="53" t="n"/>
      <c r="AW165" s="53" t="n"/>
      <c r="AX165" s="53" t="n"/>
      <c r="AY165" s="53" t="n"/>
    </row>
    <row r="166" ht="15" customHeight="1">
      <c r="A166" s="62" t="n"/>
      <c r="B166" s="55">
        <f>IF($B$164="","",$B$164)</f>
        <v/>
      </c>
      <c r="C166" s="63" t="inlineStr">
        <is>
          <t>마케팅3팀</t>
        </is>
      </c>
      <c r="D166" s="55">
        <f>IF($D$164="","",$D$164)</f>
        <v/>
      </c>
      <c r="E166" s="64" t="inlineStr">
        <is>
          <t>영상</t>
        </is>
      </c>
      <c r="F166" s="44" t="n"/>
      <c r="G166" s="58">
        <f>IF($G$164="","",$G$164)</f>
        <v/>
      </c>
      <c r="H166" s="59" t="n"/>
      <c r="I166" s="59" t="n"/>
      <c r="J166" s="59" t="n"/>
      <c r="K166" s="59" t="n"/>
      <c r="L166" s="65">
        <f>IF(SUM(U166:AY166)=0,"",SUM(U166:AY166))</f>
        <v/>
      </c>
      <c r="M166" s="66">
        <f>IFERROR(INDEX(U$2:AY$2,MATCH(TRUE,INDEX(U166:AY166&lt;&gt;"",0),0)),"")</f>
        <v/>
      </c>
      <c r="N166" s="66">
        <f>IFERROR(LOOKUP(2,1/(U166:AY166&lt;&gt;""),U$2:AY$2),"")</f>
        <v/>
      </c>
      <c r="O166" s="59" t="n"/>
      <c r="P166" s="59" t="n"/>
      <c r="Q166" s="59" t="n"/>
      <c r="R166" s="59" t="n"/>
      <c r="S166" s="14" t="n"/>
      <c r="U166" s="53" t="n"/>
      <c r="V166" s="53" t="n"/>
      <c r="W166" s="53" t="n"/>
      <c r="X166" s="53" t="n"/>
      <c r="Y166" s="53" t="n"/>
      <c r="Z166" s="53" t="n"/>
      <c r="AA166" s="53" t="n"/>
      <c r="AB166" s="53" t="n"/>
      <c r="AC166" s="53" t="n"/>
      <c r="AD166" s="53" t="n"/>
      <c r="AE166" s="53" t="n"/>
      <c r="AF166" s="53" t="n"/>
      <c r="AG166" s="53" t="n"/>
      <c r="AH166" s="53" t="n"/>
      <c r="AI166" s="53" t="n"/>
      <c r="AJ166" s="53" t="n"/>
      <c r="AK166" s="53" t="n"/>
      <c r="AL166" s="53" t="n"/>
      <c r="AM166" s="53" t="n"/>
      <c r="AN166" s="53" t="n"/>
      <c r="AO166" s="53" t="n"/>
      <c r="AP166" s="53" t="n"/>
      <c r="AQ166" s="53" t="n"/>
      <c r="AR166" s="53" t="n"/>
      <c r="AS166" s="53" t="n"/>
      <c r="AT166" s="53" t="n"/>
      <c r="AU166" s="53" t="n"/>
      <c r="AV166" s="53" t="n"/>
      <c r="AW166" s="53" t="n"/>
      <c r="AX166" s="53" t="n"/>
      <c r="AY166" s="53" t="n"/>
    </row>
    <row r="167" ht="15" customHeight="1">
      <c r="A167" s="40">
        <f>IF($D$167="","",53)</f>
        <v/>
      </c>
      <c r="B167" s="10" t="n"/>
      <c r="C167" s="41" t="inlineStr">
        <is>
          <t>마케팅3팀</t>
        </is>
      </c>
      <c r="D167" s="42" t="n"/>
      <c r="E167" s="43" t="inlineStr">
        <is>
          <t>기획</t>
        </is>
      </c>
      <c r="F167" s="44" t="n"/>
      <c r="G167" s="45" t="n"/>
      <c r="H167" s="46">
        <f>IF($I$167="","",IF($I$167&lt;0,"🔴지연",IF($I$167&lt;=1,"🟡임박","🟢여유")))</f>
        <v/>
      </c>
      <c r="I167" s="47">
        <f>IF(OR($G$167="",$K$167=""),"",$G$167-$K$167)</f>
        <v/>
      </c>
      <c r="J167" s="48">
        <f>IF(SUM($L$167:$L$169)=0,"",SUM($L$167:$L$169))</f>
        <v/>
      </c>
      <c r="K167" s="49">
        <f>IF($J$167="","",MAX($N$167:$N$169))</f>
        <v/>
      </c>
      <c r="L167" s="50">
        <f>IF(SUM(U167:AY167)=0,"",SUM(U167:AY167))</f>
        <v/>
      </c>
      <c r="M167" s="51">
        <f>IFERROR(INDEX(U$2:AY$2,MATCH(TRUE,INDEX(U167:AY167&lt;&gt;"",0),0)),"")</f>
        <v/>
      </c>
      <c r="N167" s="51">
        <f>IFERROR(LOOKUP(2,1/(U167:AY167&lt;&gt;""),U$2:AY$2),"")</f>
        <v/>
      </c>
      <c r="O167" s="52" t="n"/>
      <c r="P167" s="52" t="n"/>
      <c r="Q167" s="52" t="n"/>
      <c r="R167" s="44" t="n"/>
      <c r="S167" s="14" t="n"/>
      <c r="U167" s="53" t="n"/>
      <c r="V167" s="53" t="n"/>
      <c r="W167" s="53" t="n"/>
      <c r="X167" s="53" t="n"/>
      <c r="Y167" s="53" t="n"/>
      <c r="Z167" s="53" t="n"/>
      <c r="AA167" s="53" t="n"/>
      <c r="AB167" s="53" t="n"/>
      <c r="AC167" s="53" t="n"/>
      <c r="AD167" s="53" t="n"/>
      <c r="AE167" s="53" t="n"/>
      <c r="AF167" s="53" t="n"/>
      <c r="AG167" s="53" t="n"/>
      <c r="AH167" s="53" t="n"/>
      <c r="AI167" s="53" t="n"/>
      <c r="AJ167" s="53" t="n"/>
      <c r="AK167" s="53" t="n"/>
      <c r="AL167" s="53" t="n"/>
      <c r="AM167" s="53" t="n"/>
      <c r="AN167" s="53" t="n"/>
      <c r="AO167" s="53" t="n"/>
      <c r="AP167" s="53" t="n"/>
      <c r="AQ167" s="53" t="n"/>
      <c r="AR167" s="53" t="n"/>
      <c r="AS167" s="53" t="n"/>
      <c r="AT167" s="53" t="n"/>
      <c r="AU167" s="53" t="n"/>
      <c r="AV167" s="53" t="n"/>
      <c r="AW167" s="53" t="n"/>
      <c r="AX167" s="53" t="n"/>
      <c r="AY167" s="53" t="n"/>
    </row>
    <row r="168" ht="15" customHeight="1">
      <c r="A168" s="54" t="n"/>
      <c r="B168" s="55">
        <f>IF($B$167="","",$B$167)</f>
        <v/>
      </c>
      <c r="C168" s="56" t="inlineStr">
        <is>
          <t>마케팅3팀</t>
        </is>
      </c>
      <c r="D168" s="55">
        <f>IF($D$167="","",$D$167)</f>
        <v/>
      </c>
      <c r="E168" s="57" t="inlineStr">
        <is>
          <t>이미지</t>
        </is>
      </c>
      <c r="F168" s="44" t="n"/>
      <c r="G168" s="58">
        <f>IF($G$167="","",$G$167)</f>
        <v/>
      </c>
      <c r="H168" s="59" t="n"/>
      <c r="I168" s="59" t="n"/>
      <c r="J168" s="59" t="n"/>
      <c r="K168" s="59" t="n"/>
      <c r="L168" s="60">
        <f>IF(SUM(U168:AY168)=0,"",SUM(U168:AY168))</f>
        <v/>
      </c>
      <c r="M168" s="61">
        <f>IFERROR(INDEX(U$2:AY$2,MATCH(TRUE,INDEX(U168:AY168&lt;&gt;"",0),0)),"")</f>
        <v/>
      </c>
      <c r="N168" s="61">
        <f>IFERROR(LOOKUP(2,1/(U168:AY168&lt;&gt;""),U$2:AY$2),"")</f>
        <v/>
      </c>
      <c r="O168" s="59" t="n"/>
      <c r="P168" s="59" t="n"/>
      <c r="Q168" s="59" t="n"/>
      <c r="R168" s="59" t="n"/>
      <c r="S168" s="14" t="n"/>
      <c r="U168" s="53" t="n"/>
      <c r="V168" s="53" t="n"/>
      <c r="W168" s="53" t="n"/>
      <c r="X168" s="53" t="n"/>
      <c r="Y168" s="53" t="n"/>
      <c r="Z168" s="53" t="n"/>
      <c r="AA168" s="53" t="n"/>
      <c r="AB168" s="53" t="n"/>
      <c r="AC168" s="53" t="n"/>
      <c r="AD168" s="53" t="n"/>
      <c r="AE168" s="53" t="n"/>
      <c r="AF168" s="53" t="n"/>
      <c r="AG168" s="53" t="n"/>
      <c r="AH168" s="53" t="n"/>
      <c r="AI168" s="53" t="n"/>
      <c r="AJ168" s="53" t="n"/>
      <c r="AK168" s="53" t="n"/>
      <c r="AL168" s="53" t="n"/>
      <c r="AM168" s="53" t="n"/>
      <c r="AN168" s="53" t="n"/>
      <c r="AO168" s="53" t="n"/>
      <c r="AP168" s="53" t="n"/>
      <c r="AQ168" s="53" t="n"/>
      <c r="AR168" s="53" t="n"/>
      <c r="AS168" s="53" t="n"/>
      <c r="AT168" s="53" t="n"/>
      <c r="AU168" s="53" t="n"/>
      <c r="AV168" s="53" t="n"/>
      <c r="AW168" s="53" t="n"/>
      <c r="AX168" s="53" t="n"/>
      <c r="AY168" s="53" t="n"/>
    </row>
    <row r="169" ht="15" customHeight="1">
      <c r="A169" s="62" t="n"/>
      <c r="B169" s="55">
        <f>IF($B$167="","",$B$167)</f>
        <v/>
      </c>
      <c r="C169" s="63" t="inlineStr">
        <is>
          <t>마케팅3팀</t>
        </is>
      </c>
      <c r="D169" s="55">
        <f>IF($D$167="","",$D$167)</f>
        <v/>
      </c>
      <c r="E169" s="64" t="inlineStr">
        <is>
          <t>영상</t>
        </is>
      </c>
      <c r="F169" s="44" t="n"/>
      <c r="G169" s="58">
        <f>IF($G$167="","",$G$167)</f>
        <v/>
      </c>
      <c r="H169" s="59" t="n"/>
      <c r="I169" s="59" t="n"/>
      <c r="J169" s="59" t="n"/>
      <c r="K169" s="59" t="n"/>
      <c r="L169" s="65">
        <f>IF(SUM(U169:AY169)=0,"",SUM(U169:AY169))</f>
        <v/>
      </c>
      <c r="M169" s="66">
        <f>IFERROR(INDEX(U$2:AY$2,MATCH(TRUE,INDEX(U169:AY169&lt;&gt;"",0),0)),"")</f>
        <v/>
      </c>
      <c r="N169" s="66">
        <f>IFERROR(LOOKUP(2,1/(U169:AY169&lt;&gt;""),U$2:AY$2),"")</f>
        <v/>
      </c>
      <c r="O169" s="59" t="n"/>
      <c r="P169" s="59" t="n"/>
      <c r="Q169" s="59" t="n"/>
      <c r="R169" s="59" t="n"/>
      <c r="S169" s="14" t="n"/>
      <c r="U169" s="53" t="n"/>
      <c r="V169" s="53" t="n"/>
      <c r="W169" s="53" t="n"/>
      <c r="X169" s="53" t="n"/>
      <c r="Y169" s="53" t="n"/>
      <c r="Z169" s="53" t="n"/>
      <c r="AA169" s="53" t="n"/>
      <c r="AB169" s="53" t="n"/>
      <c r="AC169" s="53" t="n"/>
      <c r="AD169" s="53" t="n"/>
      <c r="AE169" s="53" t="n"/>
      <c r="AF169" s="53" t="n"/>
      <c r="AG169" s="53" t="n"/>
      <c r="AH169" s="53" t="n"/>
      <c r="AI169" s="53" t="n"/>
      <c r="AJ169" s="53" t="n"/>
      <c r="AK169" s="53" t="n"/>
      <c r="AL169" s="53" t="n"/>
      <c r="AM169" s="53" t="n"/>
      <c r="AN169" s="53" t="n"/>
      <c r="AO169" s="53" t="n"/>
      <c r="AP169" s="53" t="n"/>
      <c r="AQ169" s="53" t="n"/>
      <c r="AR169" s="53" t="n"/>
      <c r="AS169" s="53" t="n"/>
      <c r="AT169" s="53" t="n"/>
      <c r="AU169" s="53" t="n"/>
      <c r="AV169" s="53" t="n"/>
      <c r="AW169" s="53" t="n"/>
      <c r="AX169" s="53" t="n"/>
      <c r="AY169" s="53" t="n"/>
    </row>
    <row r="170" ht="15" customHeight="1">
      <c r="A170" s="40">
        <f>IF($D$170="","",54)</f>
        <v/>
      </c>
      <c r="B170" s="10" t="n"/>
      <c r="C170" s="41" t="inlineStr">
        <is>
          <t>마케팅3팀</t>
        </is>
      </c>
      <c r="D170" s="42" t="n"/>
      <c r="E170" s="43" t="inlineStr">
        <is>
          <t>기획</t>
        </is>
      </c>
      <c r="F170" s="44" t="n"/>
      <c r="G170" s="45" t="n"/>
      <c r="H170" s="46">
        <f>IF($I$170="","",IF($I$170&lt;0,"🔴지연",IF($I$170&lt;=1,"🟡임박","🟢여유")))</f>
        <v/>
      </c>
      <c r="I170" s="47">
        <f>IF(OR($G$170="",$K$170=""),"",$G$170-$K$170)</f>
        <v/>
      </c>
      <c r="J170" s="48">
        <f>IF(SUM($L$170:$L$172)=0,"",SUM($L$170:$L$172))</f>
        <v/>
      </c>
      <c r="K170" s="49">
        <f>IF($J$170="","",MAX($N$170:$N$172))</f>
        <v/>
      </c>
      <c r="L170" s="50">
        <f>IF(SUM(U170:AY170)=0,"",SUM(U170:AY170))</f>
        <v/>
      </c>
      <c r="M170" s="51">
        <f>IFERROR(INDEX(U$2:AY$2,MATCH(TRUE,INDEX(U170:AY170&lt;&gt;"",0),0)),"")</f>
        <v/>
      </c>
      <c r="N170" s="51">
        <f>IFERROR(LOOKUP(2,1/(U170:AY170&lt;&gt;""),U$2:AY$2),"")</f>
        <v/>
      </c>
      <c r="O170" s="52" t="n"/>
      <c r="P170" s="52" t="n"/>
      <c r="Q170" s="52" t="n"/>
      <c r="R170" s="44" t="n"/>
      <c r="S170" s="14" t="n"/>
      <c r="U170" s="53" t="n"/>
      <c r="V170" s="53" t="n"/>
      <c r="W170" s="53" t="n"/>
      <c r="X170" s="53" t="n"/>
      <c r="Y170" s="53" t="n"/>
      <c r="Z170" s="53" t="n"/>
      <c r="AA170" s="53" t="n"/>
      <c r="AB170" s="53" t="n"/>
      <c r="AC170" s="53" t="n"/>
      <c r="AD170" s="53" t="n"/>
      <c r="AE170" s="53" t="n"/>
      <c r="AF170" s="53" t="n"/>
      <c r="AG170" s="53" t="n"/>
      <c r="AH170" s="53" t="n"/>
      <c r="AI170" s="53" t="n"/>
      <c r="AJ170" s="53" t="n"/>
      <c r="AK170" s="53" t="n"/>
      <c r="AL170" s="53" t="n"/>
      <c r="AM170" s="53" t="n"/>
      <c r="AN170" s="53" t="n"/>
      <c r="AO170" s="53" t="n"/>
      <c r="AP170" s="53" t="n"/>
      <c r="AQ170" s="53" t="n"/>
      <c r="AR170" s="53" t="n"/>
      <c r="AS170" s="53" t="n"/>
      <c r="AT170" s="53" t="n"/>
      <c r="AU170" s="53" t="n"/>
      <c r="AV170" s="53" t="n"/>
      <c r="AW170" s="53" t="n"/>
      <c r="AX170" s="53" t="n"/>
      <c r="AY170" s="53" t="n"/>
    </row>
    <row r="171" ht="15" customHeight="1">
      <c r="A171" s="54" t="n"/>
      <c r="B171" s="55">
        <f>IF($B$170="","",$B$170)</f>
        <v/>
      </c>
      <c r="C171" s="56" t="inlineStr">
        <is>
          <t>마케팅3팀</t>
        </is>
      </c>
      <c r="D171" s="55">
        <f>IF($D$170="","",$D$170)</f>
        <v/>
      </c>
      <c r="E171" s="57" t="inlineStr">
        <is>
          <t>이미지</t>
        </is>
      </c>
      <c r="F171" s="44" t="n"/>
      <c r="G171" s="58">
        <f>IF($G$170="","",$G$170)</f>
        <v/>
      </c>
      <c r="H171" s="59" t="n"/>
      <c r="I171" s="59" t="n"/>
      <c r="J171" s="59" t="n"/>
      <c r="K171" s="59" t="n"/>
      <c r="L171" s="60">
        <f>IF(SUM(U171:AY171)=0,"",SUM(U171:AY171))</f>
        <v/>
      </c>
      <c r="M171" s="61">
        <f>IFERROR(INDEX(U$2:AY$2,MATCH(TRUE,INDEX(U171:AY171&lt;&gt;"",0),0)),"")</f>
        <v/>
      </c>
      <c r="N171" s="61">
        <f>IFERROR(LOOKUP(2,1/(U171:AY171&lt;&gt;""),U$2:AY$2),"")</f>
        <v/>
      </c>
      <c r="O171" s="59" t="n"/>
      <c r="P171" s="59" t="n"/>
      <c r="Q171" s="59" t="n"/>
      <c r="R171" s="59" t="n"/>
      <c r="S171" s="14" t="n"/>
      <c r="U171" s="53" t="n"/>
      <c r="V171" s="53" t="n"/>
      <c r="W171" s="53" t="n"/>
      <c r="X171" s="53" t="n"/>
      <c r="Y171" s="53" t="n"/>
      <c r="Z171" s="53" t="n"/>
      <c r="AA171" s="53" t="n"/>
      <c r="AB171" s="53" t="n"/>
      <c r="AC171" s="53" t="n"/>
      <c r="AD171" s="53" t="n"/>
      <c r="AE171" s="53" t="n"/>
      <c r="AF171" s="53" t="n"/>
      <c r="AG171" s="53" t="n"/>
      <c r="AH171" s="53" t="n"/>
      <c r="AI171" s="53" t="n"/>
      <c r="AJ171" s="53" t="n"/>
      <c r="AK171" s="53" t="n"/>
      <c r="AL171" s="53" t="n"/>
      <c r="AM171" s="53" t="n"/>
      <c r="AN171" s="53" t="n"/>
      <c r="AO171" s="53" t="n"/>
      <c r="AP171" s="53" t="n"/>
      <c r="AQ171" s="53" t="n"/>
      <c r="AR171" s="53" t="n"/>
      <c r="AS171" s="53" t="n"/>
      <c r="AT171" s="53" t="n"/>
      <c r="AU171" s="53" t="n"/>
      <c r="AV171" s="53" t="n"/>
      <c r="AW171" s="53" t="n"/>
      <c r="AX171" s="53" t="n"/>
      <c r="AY171" s="53" t="n"/>
    </row>
    <row r="172" ht="15" customHeight="1">
      <c r="A172" s="62" t="n"/>
      <c r="B172" s="55">
        <f>IF($B$170="","",$B$170)</f>
        <v/>
      </c>
      <c r="C172" s="63" t="inlineStr">
        <is>
          <t>마케팅3팀</t>
        </is>
      </c>
      <c r="D172" s="55">
        <f>IF($D$170="","",$D$170)</f>
        <v/>
      </c>
      <c r="E172" s="64" t="inlineStr">
        <is>
          <t>영상</t>
        </is>
      </c>
      <c r="F172" s="44" t="n"/>
      <c r="G172" s="58">
        <f>IF($G$170="","",$G$170)</f>
        <v/>
      </c>
      <c r="H172" s="59" t="n"/>
      <c r="I172" s="59" t="n"/>
      <c r="J172" s="59" t="n"/>
      <c r="K172" s="59" t="n"/>
      <c r="L172" s="65">
        <f>IF(SUM(U172:AY172)=0,"",SUM(U172:AY172))</f>
        <v/>
      </c>
      <c r="M172" s="66">
        <f>IFERROR(INDEX(U$2:AY$2,MATCH(TRUE,INDEX(U172:AY172&lt;&gt;"",0),0)),"")</f>
        <v/>
      </c>
      <c r="N172" s="66">
        <f>IFERROR(LOOKUP(2,1/(U172:AY172&lt;&gt;""),U$2:AY$2),"")</f>
        <v/>
      </c>
      <c r="O172" s="59" t="n"/>
      <c r="P172" s="59" t="n"/>
      <c r="Q172" s="59" t="n"/>
      <c r="R172" s="59" t="n"/>
      <c r="S172" s="14" t="n"/>
      <c r="U172" s="53" t="n"/>
      <c r="V172" s="53" t="n"/>
      <c r="W172" s="53" t="n"/>
      <c r="X172" s="53" t="n"/>
      <c r="Y172" s="53" t="n"/>
      <c r="Z172" s="53" t="n"/>
      <c r="AA172" s="53" t="n"/>
      <c r="AB172" s="53" t="n"/>
      <c r="AC172" s="53" t="n"/>
      <c r="AD172" s="53" t="n"/>
      <c r="AE172" s="53" t="n"/>
      <c r="AF172" s="53" t="n"/>
      <c r="AG172" s="53" t="n"/>
      <c r="AH172" s="53" t="n"/>
      <c r="AI172" s="53" t="n"/>
      <c r="AJ172" s="53" t="n"/>
      <c r="AK172" s="53" t="n"/>
      <c r="AL172" s="53" t="n"/>
      <c r="AM172" s="53" t="n"/>
      <c r="AN172" s="53" t="n"/>
      <c r="AO172" s="53" t="n"/>
      <c r="AP172" s="53" t="n"/>
      <c r="AQ172" s="53" t="n"/>
      <c r="AR172" s="53" t="n"/>
      <c r="AS172" s="53" t="n"/>
      <c r="AT172" s="53" t="n"/>
      <c r="AU172" s="53" t="n"/>
      <c r="AV172" s="53" t="n"/>
      <c r="AW172" s="53" t="n"/>
      <c r="AX172" s="53" t="n"/>
      <c r="AY172" s="53" t="n"/>
    </row>
    <row r="173" ht="15" customHeight="1">
      <c r="A173" s="40">
        <f>IF($D$173="","",55)</f>
        <v/>
      </c>
      <c r="B173" s="10" t="n"/>
      <c r="C173" s="41" t="inlineStr">
        <is>
          <t>마케팅3팀</t>
        </is>
      </c>
      <c r="D173" s="42" t="n"/>
      <c r="E173" s="43" t="inlineStr">
        <is>
          <t>기획</t>
        </is>
      </c>
      <c r="F173" s="44" t="n"/>
      <c r="G173" s="45" t="n"/>
      <c r="H173" s="46">
        <f>IF($I$173="","",IF($I$173&lt;0,"🔴지연",IF($I$173&lt;=1,"🟡임박","🟢여유")))</f>
        <v/>
      </c>
      <c r="I173" s="47">
        <f>IF(OR($G$173="",$K$173=""),"",$G$173-$K$173)</f>
        <v/>
      </c>
      <c r="J173" s="48">
        <f>IF(SUM($L$173:$L$175)=0,"",SUM($L$173:$L$175))</f>
        <v/>
      </c>
      <c r="K173" s="49">
        <f>IF($J$173="","",MAX($N$173:$N$175))</f>
        <v/>
      </c>
      <c r="L173" s="50">
        <f>IF(SUM(U173:AY173)=0,"",SUM(U173:AY173))</f>
        <v/>
      </c>
      <c r="M173" s="51">
        <f>IFERROR(INDEX(U$2:AY$2,MATCH(TRUE,INDEX(U173:AY173&lt;&gt;"",0),0)),"")</f>
        <v/>
      </c>
      <c r="N173" s="51">
        <f>IFERROR(LOOKUP(2,1/(U173:AY173&lt;&gt;""),U$2:AY$2),"")</f>
        <v/>
      </c>
      <c r="O173" s="52" t="n"/>
      <c r="P173" s="52" t="n"/>
      <c r="Q173" s="52" t="n"/>
      <c r="R173" s="44" t="n"/>
      <c r="S173" s="14" t="n"/>
      <c r="U173" s="53" t="n"/>
      <c r="V173" s="53" t="n"/>
      <c r="W173" s="53" t="n"/>
      <c r="X173" s="53" t="n"/>
      <c r="Y173" s="53" t="n"/>
      <c r="Z173" s="53" t="n"/>
      <c r="AA173" s="53" t="n"/>
      <c r="AB173" s="53" t="n"/>
      <c r="AC173" s="53" t="n"/>
      <c r="AD173" s="53" t="n"/>
      <c r="AE173" s="53" t="n"/>
      <c r="AF173" s="53" t="n"/>
      <c r="AG173" s="53" t="n"/>
      <c r="AH173" s="53" t="n"/>
      <c r="AI173" s="53" t="n"/>
      <c r="AJ173" s="53" t="n"/>
      <c r="AK173" s="53" t="n"/>
      <c r="AL173" s="53" t="n"/>
      <c r="AM173" s="53" t="n"/>
      <c r="AN173" s="53" t="n"/>
      <c r="AO173" s="53" t="n"/>
      <c r="AP173" s="53" t="n"/>
      <c r="AQ173" s="53" t="n"/>
      <c r="AR173" s="53" t="n"/>
      <c r="AS173" s="53" t="n"/>
      <c r="AT173" s="53" t="n"/>
      <c r="AU173" s="53" t="n"/>
      <c r="AV173" s="53" t="n"/>
      <c r="AW173" s="53" t="n"/>
      <c r="AX173" s="53" t="n"/>
      <c r="AY173" s="53" t="n"/>
    </row>
    <row r="174" ht="15" customHeight="1">
      <c r="A174" s="54" t="n"/>
      <c r="B174" s="55">
        <f>IF($B$173="","",$B$173)</f>
        <v/>
      </c>
      <c r="C174" s="56" t="inlineStr">
        <is>
          <t>마케팅3팀</t>
        </is>
      </c>
      <c r="D174" s="55">
        <f>IF($D$173="","",$D$173)</f>
        <v/>
      </c>
      <c r="E174" s="57" t="inlineStr">
        <is>
          <t>이미지</t>
        </is>
      </c>
      <c r="F174" s="44" t="n"/>
      <c r="G174" s="58">
        <f>IF($G$173="","",$G$173)</f>
        <v/>
      </c>
      <c r="H174" s="59" t="n"/>
      <c r="I174" s="59" t="n"/>
      <c r="J174" s="59" t="n"/>
      <c r="K174" s="59" t="n"/>
      <c r="L174" s="60">
        <f>IF(SUM(U174:AY174)=0,"",SUM(U174:AY174))</f>
        <v/>
      </c>
      <c r="M174" s="61">
        <f>IFERROR(INDEX(U$2:AY$2,MATCH(TRUE,INDEX(U174:AY174&lt;&gt;"",0),0)),"")</f>
        <v/>
      </c>
      <c r="N174" s="61">
        <f>IFERROR(LOOKUP(2,1/(U174:AY174&lt;&gt;""),U$2:AY$2),"")</f>
        <v/>
      </c>
      <c r="O174" s="59" t="n"/>
      <c r="P174" s="59" t="n"/>
      <c r="Q174" s="59" t="n"/>
      <c r="R174" s="59" t="n"/>
      <c r="S174" s="14" t="n"/>
      <c r="U174" s="53" t="n"/>
      <c r="V174" s="53" t="n"/>
      <c r="W174" s="53" t="n"/>
      <c r="X174" s="53" t="n"/>
      <c r="Y174" s="53" t="n"/>
      <c r="Z174" s="53" t="n"/>
      <c r="AA174" s="53" t="n"/>
      <c r="AB174" s="53" t="n"/>
      <c r="AC174" s="53" t="n"/>
      <c r="AD174" s="53" t="n"/>
      <c r="AE174" s="53" t="n"/>
      <c r="AF174" s="53" t="n"/>
      <c r="AG174" s="53" t="n"/>
      <c r="AH174" s="53" t="n"/>
      <c r="AI174" s="53" t="n"/>
      <c r="AJ174" s="53" t="n"/>
      <c r="AK174" s="53" t="n"/>
      <c r="AL174" s="53" t="n"/>
      <c r="AM174" s="53" t="n"/>
      <c r="AN174" s="53" t="n"/>
      <c r="AO174" s="53" t="n"/>
      <c r="AP174" s="53" t="n"/>
      <c r="AQ174" s="53" t="n"/>
      <c r="AR174" s="53" t="n"/>
      <c r="AS174" s="53" t="n"/>
      <c r="AT174" s="53" t="n"/>
      <c r="AU174" s="53" t="n"/>
      <c r="AV174" s="53" t="n"/>
      <c r="AW174" s="53" t="n"/>
      <c r="AX174" s="53" t="n"/>
      <c r="AY174" s="53" t="n"/>
    </row>
    <row r="175" ht="15" customHeight="1">
      <c r="A175" s="62" t="n"/>
      <c r="B175" s="55">
        <f>IF($B$173="","",$B$173)</f>
        <v/>
      </c>
      <c r="C175" s="63" t="inlineStr">
        <is>
          <t>마케팅3팀</t>
        </is>
      </c>
      <c r="D175" s="55">
        <f>IF($D$173="","",$D$173)</f>
        <v/>
      </c>
      <c r="E175" s="64" t="inlineStr">
        <is>
          <t>영상</t>
        </is>
      </c>
      <c r="F175" s="44" t="n"/>
      <c r="G175" s="58">
        <f>IF($G$173="","",$G$173)</f>
        <v/>
      </c>
      <c r="H175" s="59" t="n"/>
      <c r="I175" s="59" t="n"/>
      <c r="J175" s="59" t="n"/>
      <c r="K175" s="59" t="n"/>
      <c r="L175" s="65">
        <f>IF(SUM(U175:AY175)=0,"",SUM(U175:AY175))</f>
        <v/>
      </c>
      <c r="M175" s="66">
        <f>IFERROR(INDEX(U$2:AY$2,MATCH(TRUE,INDEX(U175:AY175&lt;&gt;"",0),0)),"")</f>
        <v/>
      </c>
      <c r="N175" s="66">
        <f>IFERROR(LOOKUP(2,1/(U175:AY175&lt;&gt;""),U$2:AY$2),"")</f>
        <v/>
      </c>
      <c r="O175" s="59" t="n"/>
      <c r="P175" s="59" t="n"/>
      <c r="Q175" s="59" t="n"/>
      <c r="R175" s="59" t="n"/>
      <c r="S175" s="14" t="n"/>
      <c r="U175" s="53" t="n"/>
      <c r="V175" s="53" t="n"/>
      <c r="W175" s="53" t="n"/>
      <c r="X175" s="53" t="n"/>
      <c r="Y175" s="53" t="n"/>
      <c r="Z175" s="53" t="n"/>
      <c r="AA175" s="53" t="n"/>
      <c r="AB175" s="53" t="n"/>
      <c r="AC175" s="53" t="n"/>
      <c r="AD175" s="53" t="n"/>
      <c r="AE175" s="53" t="n"/>
      <c r="AF175" s="53" t="n"/>
      <c r="AG175" s="53" t="n"/>
      <c r="AH175" s="53" t="n"/>
      <c r="AI175" s="53" t="n"/>
      <c r="AJ175" s="53" t="n"/>
      <c r="AK175" s="53" t="n"/>
      <c r="AL175" s="53" t="n"/>
      <c r="AM175" s="53" t="n"/>
      <c r="AN175" s="53" t="n"/>
      <c r="AO175" s="53" t="n"/>
      <c r="AP175" s="53" t="n"/>
      <c r="AQ175" s="53" t="n"/>
      <c r="AR175" s="53" t="n"/>
      <c r="AS175" s="53" t="n"/>
      <c r="AT175" s="53" t="n"/>
      <c r="AU175" s="53" t="n"/>
      <c r="AV175" s="53" t="n"/>
      <c r="AW175" s="53" t="n"/>
      <c r="AX175" s="53" t="n"/>
      <c r="AY175" s="53" t="n"/>
    </row>
    <row r="176" ht="15" customHeight="1">
      <c r="A176" s="40">
        <f>IF($D$176="","",56)</f>
        <v/>
      </c>
      <c r="B176" s="10" t="n"/>
      <c r="C176" s="41" t="inlineStr">
        <is>
          <t>마케팅3팀</t>
        </is>
      </c>
      <c r="D176" s="42" t="n"/>
      <c r="E176" s="43" t="inlineStr">
        <is>
          <t>기획</t>
        </is>
      </c>
      <c r="F176" s="44" t="n"/>
      <c r="G176" s="45" t="n"/>
      <c r="H176" s="46">
        <f>IF($I$176="","",IF($I$176&lt;0,"🔴지연",IF($I$176&lt;=1,"🟡임박","🟢여유")))</f>
        <v/>
      </c>
      <c r="I176" s="47">
        <f>IF(OR($G$176="",$K$176=""),"",$G$176-$K$176)</f>
        <v/>
      </c>
      <c r="J176" s="48">
        <f>IF(SUM($L$176:$L$178)=0,"",SUM($L$176:$L$178))</f>
        <v/>
      </c>
      <c r="K176" s="49">
        <f>IF($J$176="","",MAX($N$176:$N$178))</f>
        <v/>
      </c>
      <c r="L176" s="50">
        <f>IF(SUM(U176:AY176)=0,"",SUM(U176:AY176))</f>
        <v/>
      </c>
      <c r="M176" s="51">
        <f>IFERROR(INDEX(U$2:AY$2,MATCH(TRUE,INDEX(U176:AY176&lt;&gt;"",0),0)),"")</f>
        <v/>
      </c>
      <c r="N176" s="51">
        <f>IFERROR(LOOKUP(2,1/(U176:AY176&lt;&gt;""),U$2:AY$2),"")</f>
        <v/>
      </c>
      <c r="O176" s="52" t="n"/>
      <c r="P176" s="52" t="n"/>
      <c r="Q176" s="52" t="n"/>
      <c r="R176" s="44" t="n"/>
      <c r="S176" s="14" t="n"/>
      <c r="U176" s="53" t="n"/>
      <c r="V176" s="53" t="n"/>
      <c r="W176" s="53" t="n"/>
      <c r="X176" s="53" t="n"/>
      <c r="Y176" s="53" t="n"/>
      <c r="Z176" s="53" t="n"/>
      <c r="AA176" s="53" t="n"/>
      <c r="AB176" s="53" t="n"/>
      <c r="AC176" s="53" t="n"/>
      <c r="AD176" s="53" t="n"/>
      <c r="AE176" s="53" t="n"/>
      <c r="AF176" s="53" t="n"/>
      <c r="AG176" s="53" t="n"/>
      <c r="AH176" s="53" t="n"/>
      <c r="AI176" s="53" t="n"/>
      <c r="AJ176" s="53" t="n"/>
      <c r="AK176" s="53" t="n"/>
      <c r="AL176" s="53" t="n"/>
      <c r="AM176" s="53" t="n"/>
      <c r="AN176" s="53" t="n"/>
      <c r="AO176" s="53" t="n"/>
      <c r="AP176" s="53" t="n"/>
      <c r="AQ176" s="53" t="n"/>
      <c r="AR176" s="53" t="n"/>
      <c r="AS176" s="53" t="n"/>
      <c r="AT176" s="53" t="n"/>
      <c r="AU176" s="53" t="n"/>
      <c r="AV176" s="53" t="n"/>
      <c r="AW176" s="53" t="n"/>
      <c r="AX176" s="53" t="n"/>
      <c r="AY176" s="53" t="n"/>
    </row>
    <row r="177" ht="15" customHeight="1">
      <c r="A177" s="54" t="n"/>
      <c r="B177" s="55">
        <f>IF($B$176="","",$B$176)</f>
        <v/>
      </c>
      <c r="C177" s="56" t="inlineStr">
        <is>
          <t>마케팅3팀</t>
        </is>
      </c>
      <c r="D177" s="55">
        <f>IF($D$176="","",$D$176)</f>
        <v/>
      </c>
      <c r="E177" s="57" t="inlineStr">
        <is>
          <t>이미지</t>
        </is>
      </c>
      <c r="F177" s="44" t="n"/>
      <c r="G177" s="58">
        <f>IF($G$176="","",$G$176)</f>
        <v/>
      </c>
      <c r="H177" s="59" t="n"/>
      <c r="I177" s="59" t="n"/>
      <c r="J177" s="59" t="n"/>
      <c r="K177" s="59" t="n"/>
      <c r="L177" s="60">
        <f>IF(SUM(U177:AY177)=0,"",SUM(U177:AY177))</f>
        <v/>
      </c>
      <c r="M177" s="61">
        <f>IFERROR(INDEX(U$2:AY$2,MATCH(TRUE,INDEX(U177:AY177&lt;&gt;"",0),0)),"")</f>
        <v/>
      </c>
      <c r="N177" s="61">
        <f>IFERROR(LOOKUP(2,1/(U177:AY177&lt;&gt;""),U$2:AY$2),"")</f>
        <v/>
      </c>
      <c r="O177" s="59" t="n"/>
      <c r="P177" s="59" t="n"/>
      <c r="Q177" s="59" t="n"/>
      <c r="R177" s="59" t="n"/>
      <c r="S177" s="14" t="n"/>
      <c r="U177" s="53" t="n"/>
      <c r="V177" s="53" t="n"/>
      <c r="W177" s="53" t="n"/>
      <c r="X177" s="53" t="n"/>
      <c r="Y177" s="53" t="n"/>
      <c r="Z177" s="53" t="n"/>
      <c r="AA177" s="53" t="n"/>
      <c r="AB177" s="53" t="n"/>
      <c r="AC177" s="53" t="n"/>
      <c r="AD177" s="53" t="n"/>
      <c r="AE177" s="53" t="n"/>
      <c r="AF177" s="53" t="n"/>
      <c r="AG177" s="53" t="n"/>
      <c r="AH177" s="53" t="n"/>
      <c r="AI177" s="53" t="n"/>
      <c r="AJ177" s="53" t="n"/>
      <c r="AK177" s="53" t="n"/>
      <c r="AL177" s="53" t="n"/>
      <c r="AM177" s="53" t="n"/>
      <c r="AN177" s="53" t="n"/>
      <c r="AO177" s="53" t="n"/>
      <c r="AP177" s="53" t="n"/>
      <c r="AQ177" s="53" t="n"/>
      <c r="AR177" s="53" t="n"/>
      <c r="AS177" s="53" t="n"/>
      <c r="AT177" s="53" t="n"/>
      <c r="AU177" s="53" t="n"/>
      <c r="AV177" s="53" t="n"/>
      <c r="AW177" s="53" t="n"/>
      <c r="AX177" s="53" t="n"/>
      <c r="AY177" s="53" t="n"/>
    </row>
    <row r="178" ht="15" customHeight="1">
      <c r="A178" s="62" t="n"/>
      <c r="B178" s="55">
        <f>IF($B$176="","",$B$176)</f>
        <v/>
      </c>
      <c r="C178" s="63" t="inlineStr">
        <is>
          <t>마케팅3팀</t>
        </is>
      </c>
      <c r="D178" s="55">
        <f>IF($D$176="","",$D$176)</f>
        <v/>
      </c>
      <c r="E178" s="64" t="inlineStr">
        <is>
          <t>영상</t>
        </is>
      </c>
      <c r="F178" s="44" t="n"/>
      <c r="G178" s="58">
        <f>IF($G$176="","",$G$176)</f>
        <v/>
      </c>
      <c r="H178" s="59" t="n"/>
      <c r="I178" s="59" t="n"/>
      <c r="J178" s="59" t="n"/>
      <c r="K178" s="59" t="n"/>
      <c r="L178" s="65">
        <f>IF(SUM(U178:AY178)=0,"",SUM(U178:AY178))</f>
        <v/>
      </c>
      <c r="M178" s="66">
        <f>IFERROR(INDEX(U$2:AY$2,MATCH(TRUE,INDEX(U178:AY178&lt;&gt;"",0),0)),"")</f>
        <v/>
      </c>
      <c r="N178" s="66">
        <f>IFERROR(LOOKUP(2,1/(U178:AY178&lt;&gt;""),U$2:AY$2),"")</f>
        <v/>
      </c>
      <c r="O178" s="59" t="n"/>
      <c r="P178" s="59" t="n"/>
      <c r="Q178" s="59" t="n"/>
      <c r="R178" s="59" t="n"/>
      <c r="S178" s="14" t="n"/>
      <c r="U178" s="53" t="n"/>
      <c r="V178" s="53" t="n"/>
      <c r="W178" s="53" t="n"/>
      <c r="X178" s="53" t="n"/>
      <c r="Y178" s="53" t="n"/>
      <c r="Z178" s="53" t="n"/>
      <c r="AA178" s="53" t="n"/>
      <c r="AB178" s="53" t="n"/>
      <c r="AC178" s="53" t="n"/>
      <c r="AD178" s="53" t="n"/>
      <c r="AE178" s="53" t="n"/>
      <c r="AF178" s="53" t="n"/>
      <c r="AG178" s="53" t="n"/>
      <c r="AH178" s="53" t="n"/>
      <c r="AI178" s="53" t="n"/>
      <c r="AJ178" s="53" t="n"/>
      <c r="AK178" s="53" t="n"/>
      <c r="AL178" s="53" t="n"/>
      <c r="AM178" s="53" t="n"/>
      <c r="AN178" s="53" t="n"/>
      <c r="AO178" s="53" t="n"/>
      <c r="AP178" s="53" t="n"/>
      <c r="AQ178" s="53" t="n"/>
      <c r="AR178" s="53" t="n"/>
      <c r="AS178" s="53" t="n"/>
      <c r="AT178" s="53" t="n"/>
      <c r="AU178" s="53" t="n"/>
      <c r="AV178" s="53" t="n"/>
      <c r="AW178" s="53" t="n"/>
      <c r="AX178" s="53" t="n"/>
      <c r="AY178" s="53" t="n"/>
    </row>
    <row r="179" ht="15" customHeight="1">
      <c r="A179" s="40">
        <f>IF($D$179="","",57)</f>
        <v/>
      </c>
      <c r="B179" s="10" t="n"/>
      <c r="C179" s="41" t="inlineStr">
        <is>
          <t>마케팅3팀</t>
        </is>
      </c>
      <c r="D179" s="42" t="n"/>
      <c r="E179" s="43" t="inlineStr">
        <is>
          <t>기획</t>
        </is>
      </c>
      <c r="F179" s="44" t="n"/>
      <c r="G179" s="45" t="n"/>
      <c r="H179" s="46">
        <f>IF($I$179="","",IF($I$179&lt;0,"🔴지연",IF($I$179&lt;=1,"🟡임박","🟢여유")))</f>
        <v/>
      </c>
      <c r="I179" s="47">
        <f>IF(OR($G$179="",$K$179=""),"",$G$179-$K$179)</f>
        <v/>
      </c>
      <c r="J179" s="48">
        <f>IF(SUM($L$179:$L$181)=0,"",SUM($L$179:$L$181))</f>
        <v/>
      </c>
      <c r="K179" s="49">
        <f>IF($J$179="","",MAX($N$179:$N$181))</f>
        <v/>
      </c>
      <c r="L179" s="50">
        <f>IF(SUM(U179:AY179)=0,"",SUM(U179:AY179))</f>
        <v/>
      </c>
      <c r="M179" s="51">
        <f>IFERROR(INDEX(U$2:AY$2,MATCH(TRUE,INDEX(U179:AY179&lt;&gt;"",0),0)),"")</f>
        <v/>
      </c>
      <c r="N179" s="51">
        <f>IFERROR(LOOKUP(2,1/(U179:AY179&lt;&gt;""),U$2:AY$2),"")</f>
        <v/>
      </c>
      <c r="O179" s="52" t="n"/>
      <c r="P179" s="52" t="n"/>
      <c r="Q179" s="52" t="n"/>
      <c r="R179" s="44" t="n"/>
      <c r="S179" s="14" t="n"/>
      <c r="U179" s="53" t="n"/>
      <c r="V179" s="53" t="n"/>
      <c r="W179" s="53" t="n"/>
      <c r="X179" s="53" t="n"/>
      <c r="Y179" s="53" t="n"/>
      <c r="Z179" s="53" t="n"/>
      <c r="AA179" s="53" t="n"/>
      <c r="AB179" s="53" t="n"/>
      <c r="AC179" s="53" t="n"/>
      <c r="AD179" s="53" t="n"/>
      <c r="AE179" s="53" t="n"/>
      <c r="AF179" s="53" t="n"/>
      <c r="AG179" s="53" t="n"/>
      <c r="AH179" s="53" t="n"/>
      <c r="AI179" s="53" t="n"/>
      <c r="AJ179" s="53" t="n"/>
      <c r="AK179" s="53" t="n"/>
      <c r="AL179" s="53" t="n"/>
      <c r="AM179" s="53" t="n"/>
      <c r="AN179" s="53" t="n"/>
      <c r="AO179" s="53" t="n"/>
      <c r="AP179" s="53" t="n"/>
      <c r="AQ179" s="53" t="n"/>
      <c r="AR179" s="53" t="n"/>
      <c r="AS179" s="53" t="n"/>
      <c r="AT179" s="53" t="n"/>
      <c r="AU179" s="53" t="n"/>
      <c r="AV179" s="53" t="n"/>
      <c r="AW179" s="53" t="n"/>
      <c r="AX179" s="53" t="n"/>
      <c r="AY179" s="53" t="n"/>
    </row>
    <row r="180" ht="15" customHeight="1">
      <c r="A180" s="54" t="n"/>
      <c r="B180" s="55">
        <f>IF($B$179="","",$B$179)</f>
        <v/>
      </c>
      <c r="C180" s="56" t="inlineStr">
        <is>
          <t>마케팅3팀</t>
        </is>
      </c>
      <c r="D180" s="55">
        <f>IF($D$179="","",$D$179)</f>
        <v/>
      </c>
      <c r="E180" s="57" t="inlineStr">
        <is>
          <t>이미지</t>
        </is>
      </c>
      <c r="F180" s="44" t="n"/>
      <c r="G180" s="58">
        <f>IF($G$179="","",$G$179)</f>
        <v/>
      </c>
      <c r="H180" s="59" t="n"/>
      <c r="I180" s="59" t="n"/>
      <c r="J180" s="59" t="n"/>
      <c r="K180" s="59" t="n"/>
      <c r="L180" s="60">
        <f>IF(SUM(U180:AY180)=0,"",SUM(U180:AY180))</f>
        <v/>
      </c>
      <c r="M180" s="61">
        <f>IFERROR(INDEX(U$2:AY$2,MATCH(TRUE,INDEX(U180:AY180&lt;&gt;"",0),0)),"")</f>
        <v/>
      </c>
      <c r="N180" s="61">
        <f>IFERROR(LOOKUP(2,1/(U180:AY180&lt;&gt;""),U$2:AY$2),"")</f>
        <v/>
      </c>
      <c r="O180" s="59" t="n"/>
      <c r="P180" s="59" t="n"/>
      <c r="Q180" s="59" t="n"/>
      <c r="R180" s="59" t="n"/>
      <c r="S180" s="14" t="n"/>
      <c r="U180" s="53" t="n"/>
      <c r="V180" s="53" t="n"/>
      <c r="W180" s="53" t="n"/>
      <c r="X180" s="53" t="n"/>
      <c r="Y180" s="53" t="n"/>
      <c r="Z180" s="53" t="n"/>
      <c r="AA180" s="53" t="n"/>
      <c r="AB180" s="53" t="n"/>
      <c r="AC180" s="53" t="n"/>
      <c r="AD180" s="53" t="n"/>
      <c r="AE180" s="53" t="n"/>
      <c r="AF180" s="53" t="n"/>
      <c r="AG180" s="53" t="n"/>
      <c r="AH180" s="53" t="n"/>
      <c r="AI180" s="53" t="n"/>
      <c r="AJ180" s="53" t="n"/>
      <c r="AK180" s="53" t="n"/>
      <c r="AL180" s="53" t="n"/>
      <c r="AM180" s="53" t="n"/>
      <c r="AN180" s="53" t="n"/>
      <c r="AO180" s="53" t="n"/>
      <c r="AP180" s="53" t="n"/>
      <c r="AQ180" s="53" t="n"/>
      <c r="AR180" s="53" t="n"/>
      <c r="AS180" s="53" t="n"/>
      <c r="AT180" s="53" t="n"/>
      <c r="AU180" s="53" t="n"/>
      <c r="AV180" s="53" t="n"/>
      <c r="AW180" s="53" t="n"/>
      <c r="AX180" s="53" t="n"/>
      <c r="AY180" s="53" t="n"/>
    </row>
    <row r="181" ht="15" customHeight="1">
      <c r="A181" s="62" t="n"/>
      <c r="B181" s="55">
        <f>IF($B$179="","",$B$179)</f>
        <v/>
      </c>
      <c r="C181" s="63" t="inlineStr">
        <is>
          <t>마케팅3팀</t>
        </is>
      </c>
      <c r="D181" s="55">
        <f>IF($D$179="","",$D$179)</f>
        <v/>
      </c>
      <c r="E181" s="64" t="inlineStr">
        <is>
          <t>영상</t>
        </is>
      </c>
      <c r="F181" s="44" t="n"/>
      <c r="G181" s="58">
        <f>IF($G$179="","",$G$179)</f>
        <v/>
      </c>
      <c r="H181" s="59" t="n"/>
      <c r="I181" s="59" t="n"/>
      <c r="J181" s="59" t="n"/>
      <c r="K181" s="59" t="n"/>
      <c r="L181" s="65">
        <f>IF(SUM(U181:AY181)=0,"",SUM(U181:AY181))</f>
        <v/>
      </c>
      <c r="M181" s="66">
        <f>IFERROR(INDEX(U$2:AY$2,MATCH(TRUE,INDEX(U181:AY181&lt;&gt;"",0),0)),"")</f>
        <v/>
      </c>
      <c r="N181" s="66">
        <f>IFERROR(LOOKUP(2,1/(U181:AY181&lt;&gt;""),U$2:AY$2),"")</f>
        <v/>
      </c>
      <c r="O181" s="59" t="n"/>
      <c r="P181" s="59" t="n"/>
      <c r="Q181" s="59" t="n"/>
      <c r="R181" s="59" t="n"/>
      <c r="S181" s="14" t="n"/>
      <c r="U181" s="53" t="n"/>
      <c r="V181" s="53" t="n"/>
      <c r="W181" s="53" t="n"/>
      <c r="X181" s="53" t="n"/>
      <c r="Y181" s="53" t="n"/>
      <c r="Z181" s="53" t="n"/>
      <c r="AA181" s="53" t="n"/>
      <c r="AB181" s="53" t="n"/>
      <c r="AC181" s="53" t="n"/>
      <c r="AD181" s="53" t="n"/>
      <c r="AE181" s="53" t="n"/>
      <c r="AF181" s="53" t="n"/>
      <c r="AG181" s="53" t="n"/>
      <c r="AH181" s="53" t="n"/>
      <c r="AI181" s="53" t="n"/>
      <c r="AJ181" s="53" t="n"/>
      <c r="AK181" s="53" t="n"/>
      <c r="AL181" s="53" t="n"/>
      <c r="AM181" s="53" t="n"/>
      <c r="AN181" s="53" t="n"/>
      <c r="AO181" s="53" t="n"/>
      <c r="AP181" s="53" t="n"/>
      <c r="AQ181" s="53" t="n"/>
      <c r="AR181" s="53" t="n"/>
      <c r="AS181" s="53" t="n"/>
      <c r="AT181" s="53" t="n"/>
      <c r="AU181" s="53" t="n"/>
      <c r="AV181" s="53" t="n"/>
      <c r="AW181" s="53" t="n"/>
      <c r="AX181" s="53" t="n"/>
      <c r="AY181" s="53" t="n"/>
    </row>
    <row r="182" ht="15" customHeight="1">
      <c r="A182" s="40">
        <f>IF($D$182="","",58)</f>
        <v/>
      </c>
      <c r="B182" s="10" t="n"/>
      <c r="C182" s="41" t="inlineStr">
        <is>
          <t>마케팅3팀</t>
        </is>
      </c>
      <c r="D182" s="42" t="n"/>
      <c r="E182" s="43" t="inlineStr">
        <is>
          <t>기획</t>
        </is>
      </c>
      <c r="F182" s="44" t="n"/>
      <c r="G182" s="45" t="n"/>
      <c r="H182" s="46">
        <f>IF($I$182="","",IF($I$182&lt;0,"🔴지연",IF($I$182&lt;=1,"🟡임박","🟢여유")))</f>
        <v/>
      </c>
      <c r="I182" s="47">
        <f>IF(OR($G$182="",$K$182=""),"",$G$182-$K$182)</f>
        <v/>
      </c>
      <c r="J182" s="48">
        <f>IF(SUM($L$182:$L$184)=0,"",SUM($L$182:$L$184))</f>
        <v/>
      </c>
      <c r="K182" s="49">
        <f>IF($J$182="","",MAX($N$182:$N$184))</f>
        <v/>
      </c>
      <c r="L182" s="50">
        <f>IF(SUM(U182:AY182)=0,"",SUM(U182:AY182))</f>
        <v/>
      </c>
      <c r="M182" s="51">
        <f>IFERROR(INDEX(U$2:AY$2,MATCH(TRUE,INDEX(U182:AY182&lt;&gt;"",0),0)),"")</f>
        <v/>
      </c>
      <c r="N182" s="51">
        <f>IFERROR(LOOKUP(2,1/(U182:AY182&lt;&gt;""),U$2:AY$2),"")</f>
        <v/>
      </c>
      <c r="O182" s="52" t="n"/>
      <c r="P182" s="52" t="n"/>
      <c r="Q182" s="52" t="n"/>
      <c r="R182" s="44" t="n"/>
      <c r="S182" s="14" t="n"/>
      <c r="U182" s="53" t="n"/>
      <c r="V182" s="53" t="n"/>
      <c r="W182" s="53" t="n"/>
      <c r="X182" s="53" t="n"/>
      <c r="Y182" s="53" t="n"/>
      <c r="Z182" s="53" t="n"/>
      <c r="AA182" s="53" t="n"/>
      <c r="AB182" s="53" t="n"/>
      <c r="AC182" s="53" t="n"/>
      <c r="AD182" s="53" t="n"/>
      <c r="AE182" s="53" t="n"/>
      <c r="AF182" s="53" t="n"/>
      <c r="AG182" s="53" t="n"/>
      <c r="AH182" s="53" t="n"/>
      <c r="AI182" s="53" t="n"/>
      <c r="AJ182" s="53" t="n"/>
      <c r="AK182" s="53" t="n"/>
      <c r="AL182" s="53" t="n"/>
      <c r="AM182" s="53" t="n"/>
      <c r="AN182" s="53" t="n"/>
      <c r="AO182" s="53" t="n"/>
      <c r="AP182" s="53" t="n"/>
      <c r="AQ182" s="53" t="n"/>
      <c r="AR182" s="53" t="n"/>
      <c r="AS182" s="53" t="n"/>
      <c r="AT182" s="53" t="n"/>
      <c r="AU182" s="53" t="n"/>
      <c r="AV182" s="53" t="n"/>
      <c r="AW182" s="53" t="n"/>
      <c r="AX182" s="53" t="n"/>
      <c r="AY182" s="53" t="n"/>
    </row>
    <row r="183" ht="15" customHeight="1">
      <c r="A183" s="54" t="n"/>
      <c r="B183" s="55">
        <f>IF($B$182="","",$B$182)</f>
        <v/>
      </c>
      <c r="C183" s="56" t="inlineStr">
        <is>
          <t>마케팅3팀</t>
        </is>
      </c>
      <c r="D183" s="55">
        <f>IF($D$182="","",$D$182)</f>
        <v/>
      </c>
      <c r="E183" s="57" t="inlineStr">
        <is>
          <t>이미지</t>
        </is>
      </c>
      <c r="F183" s="44" t="n"/>
      <c r="G183" s="58">
        <f>IF($G$182="","",$G$182)</f>
        <v/>
      </c>
      <c r="H183" s="59" t="n"/>
      <c r="I183" s="59" t="n"/>
      <c r="J183" s="59" t="n"/>
      <c r="K183" s="59" t="n"/>
      <c r="L183" s="60">
        <f>IF(SUM(U183:AY183)=0,"",SUM(U183:AY183))</f>
        <v/>
      </c>
      <c r="M183" s="61">
        <f>IFERROR(INDEX(U$2:AY$2,MATCH(TRUE,INDEX(U183:AY183&lt;&gt;"",0),0)),"")</f>
        <v/>
      </c>
      <c r="N183" s="61">
        <f>IFERROR(LOOKUP(2,1/(U183:AY183&lt;&gt;""),U$2:AY$2),"")</f>
        <v/>
      </c>
      <c r="O183" s="59" t="n"/>
      <c r="P183" s="59" t="n"/>
      <c r="Q183" s="59" t="n"/>
      <c r="R183" s="59" t="n"/>
      <c r="S183" s="14" t="n"/>
      <c r="U183" s="53" t="n"/>
      <c r="V183" s="53" t="n"/>
      <c r="W183" s="53" t="n"/>
      <c r="X183" s="53" t="n"/>
      <c r="Y183" s="53" t="n"/>
      <c r="Z183" s="53" t="n"/>
      <c r="AA183" s="53" t="n"/>
      <c r="AB183" s="53" t="n"/>
      <c r="AC183" s="53" t="n"/>
      <c r="AD183" s="53" t="n"/>
      <c r="AE183" s="53" t="n"/>
      <c r="AF183" s="53" t="n"/>
      <c r="AG183" s="53" t="n"/>
      <c r="AH183" s="53" t="n"/>
      <c r="AI183" s="53" t="n"/>
      <c r="AJ183" s="53" t="n"/>
      <c r="AK183" s="53" t="n"/>
      <c r="AL183" s="53" t="n"/>
      <c r="AM183" s="53" t="n"/>
      <c r="AN183" s="53" t="n"/>
      <c r="AO183" s="53" t="n"/>
      <c r="AP183" s="53" t="n"/>
      <c r="AQ183" s="53" t="n"/>
      <c r="AR183" s="53" t="n"/>
      <c r="AS183" s="53" t="n"/>
      <c r="AT183" s="53" t="n"/>
      <c r="AU183" s="53" t="n"/>
      <c r="AV183" s="53" t="n"/>
      <c r="AW183" s="53" t="n"/>
      <c r="AX183" s="53" t="n"/>
      <c r="AY183" s="53" t="n"/>
    </row>
    <row r="184" ht="15" customHeight="1">
      <c r="A184" s="62" t="n"/>
      <c r="B184" s="55">
        <f>IF($B$182="","",$B$182)</f>
        <v/>
      </c>
      <c r="C184" s="63" t="inlineStr">
        <is>
          <t>마케팅3팀</t>
        </is>
      </c>
      <c r="D184" s="55">
        <f>IF($D$182="","",$D$182)</f>
        <v/>
      </c>
      <c r="E184" s="64" t="inlineStr">
        <is>
          <t>영상</t>
        </is>
      </c>
      <c r="F184" s="44" t="n"/>
      <c r="G184" s="58">
        <f>IF($G$182="","",$G$182)</f>
        <v/>
      </c>
      <c r="H184" s="59" t="n"/>
      <c r="I184" s="59" t="n"/>
      <c r="J184" s="59" t="n"/>
      <c r="K184" s="59" t="n"/>
      <c r="L184" s="65">
        <f>IF(SUM(U184:AY184)=0,"",SUM(U184:AY184))</f>
        <v/>
      </c>
      <c r="M184" s="66">
        <f>IFERROR(INDEX(U$2:AY$2,MATCH(TRUE,INDEX(U184:AY184&lt;&gt;"",0),0)),"")</f>
        <v/>
      </c>
      <c r="N184" s="66">
        <f>IFERROR(LOOKUP(2,1/(U184:AY184&lt;&gt;""),U$2:AY$2),"")</f>
        <v/>
      </c>
      <c r="O184" s="59" t="n"/>
      <c r="P184" s="59" t="n"/>
      <c r="Q184" s="59" t="n"/>
      <c r="R184" s="59" t="n"/>
      <c r="S184" s="14" t="n"/>
      <c r="U184" s="53" t="n"/>
      <c r="V184" s="53" t="n"/>
      <c r="W184" s="53" t="n"/>
      <c r="X184" s="53" t="n"/>
      <c r="Y184" s="53" t="n"/>
      <c r="Z184" s="53" t="n"/>
      <c r="AA184" s="53" t="n"/>
      <c r="AB184" s="53" t="n"/>
      <c r="AC184" s="53" t="n"/>
      <c r="AD184" s="53" t="n"/>
      <c r="AE184" s="53" t="n"/>
      <c r="AF184" s="53" t="n"/>
      <c r="AG184" s="53" t="n"/>
      <c r="AH184" s="53" t="n"/>
      <c r="AI184" s="53" t="n"/>
      <c r="AJ184" s="53" t="n"/>
      <c r="AK184" s="53" t="n"/>
      <c r="AL184" s="53" t="n"/>
      <c r="AM184" s="53" t="n"/>
      <c r="AN184" s="53" t="n"/>
      <c r="AO184" s="53" t="n"/>
      <c r="AP184" s="53" t="n"/>
      <c r="AQ184" s="53" t="n"/>
      <c r="AR184" s="53" t="n"/>
      <c r="AS184" s="53" t="n"/>
      <c r="AT184" s="53" t="n"/>
      <c r="AU184" s="53" t="n"/>
      <c r="AV184" s="53" t="n"/>
      <c r="AW184" s="53" t="n"/>
      <c r="AX184" s="53" t="n"/>
      <c r="AY184" s="53" t="n"/>
    </row>
    <row r="185" ht="15" customHeight="1">
      <c r="A185" s="40">
        <f>IF($D$185="","",59)</f>
        <v/>
      </c>
      <c r="B185" s="10" t="n"/>
      <c r="C185" s="41" t="inlineStr">
        <is>
          <t>마케팅3팀</t>
        </is>
      </c>
      <c r="D185" s="42" t="n"/>
      <c r="E185" s="43" t="inlineStr">
        <is>
          <t>기획</t>
        </is>
      </c>
      <c r="F185" s="44" t="n"/>
      <c r="G185" s="45" t="n"/>
      <c r="H185" s="46">
        <f>IF($I$185="","",IF($I$185&lt;0,"🔴지연",IF($I$185&lt;=1,"🟡임박","🟢여유")))</f>
        <v/>
      </c>
      <c r="I185" s="47">
        <f>IF(OR($G$185="",$K$185=""),"",$G$185-$K$185)</f>
        <v/>
      </c>
      <c r="J185" s="48">
        <f>IF(SUM($L$185:$L$187)=0,"",SUM($L$185:$L$187))</f>
        <v/>
      </c>
      <c r="K185" s="49">
        <f>IF($J$185="","",MAX($N$185:$N$187))</f>
        <v/>
      </c>
      <c r="L185" s="50">
        <f>IF(SUM(U185:AY185)=0,"",SUM(U185:AY185))</f>
        <v/>
      </c>
      <c r="M185" s="51">
        <f>IFERROR(INDEX(U$2:AY$2,MATCH(TRUE,INDEX(U185:AY185&lt;&gt;"",0),0)),"")</f>
        <v/>
      </c>
      <c r="N185" s="51">
        <f>IFERROR(LOOKUP(2,1/(U185:AY185&lt;&gt;""),U$2:AY$2),"")</f>
        <v/>
      </c>
      <c r="O185" s="52" t="n"/>
      <c r="P185" s="52" t="n"/>
      <c r="Q185" s="52" t="n"/>
      <c r="R185" s="44" t="n"/>
      <c r="S185" s="14" t="n"/>
      <c r="U185" s="53" t="n"/>
      <c r="V185" s="53" t="n"/>
      <c r="W185" s="53" t="n"/>
      <c r="X185" s="53" t="n"/>
      <c r="Y185" s="53" t="n"/>
      <c r="Z185" s="53" t="n"/>
      <c r="AA185" s="53" t="n"/>
      <c r="AB185" s="53" t="n"/>
      <c r="AC185" s="53" t="n"/>
      <c r="AD185" s="53" t="n"/>
      <c r="AE185" s="53" t="n"/>
      <c r="AF185" s="53" t="n"/>
      <c r="AG185" s="53" t="n"/>
      <c r="AH185" s="53" t="n"/>
      <c r="AI185" s="53" t="n"/>
      <c r="AJ185" s="53" t="n"/>
      <c r="AK185" s="53" t="n"/>
      <c r="AL185" s="53" t="n"/>
      <c r="AM185" s="53" t="n"/>
      <c r="AN185" s="53" t="n"/>
      <c r="AO185" s="53" t="n"/>
      <c r="AP185" s="53" t="n"/>
      <c r="AQ185" s="53" t="n"/>
      <c r="AR185" s="53" t="n"/>
      <c r="AS185" s="53" t="n"/>
      <c r="AT185" s="53" t="n"/>
      <c r="AU185" s="53" t="n"/>
      <c r="AV185" s="53" t="n"/>
      <c r="AW185" s="53" t="n"/>
      <c r="AX185" s="53" t="n"/>
      <c r="AY185" s="53" t="n"/>
    </row>
    <row r="186" ht="15" customHeight="1">
      <c r="A186" s="54" t="n"/>
      <c r="B186" s="55">
        <f>IF($B$185="","",$B$185)</f>
        <v/>
      </c>
      <c r="C186" s="56" t="inlineStr">
        <is>
          <t>마케팅3팀</t>
        </is>
      </c>
      <c r="D186" s="55">
        <f>IF($D$185="","",$D$185)</f>
        <v/>
      </c>
      <c r="E186" s="57" t="inlineStr">
        <is>
          <t>이미지</t>
        </is>
      </c>
      <c r="F186" s="44" t="n"/>
      <c r="G186" s="58">
        <f>IF($G$185="","",$G$185)</f>
        <v/>
      </c>
      <c r="H186" s="59" t="n"/>
      <c r="I186" s="59" t="n"/>
      <c r="J186" s="59" t="n"/>
      <c r="K186" s="59" t="n"/>
      <c r="L186" s="60">
        <f>IF(SUM(U186:AY186)=0,"",SUM(U186:AY186))</f>
        <v/>
      </c>
      <c r="M186" s="61">
        <f>IFERROR(INDEX(U$2:AY$2,MATCH(TRUE,INDEX(U186:AY186&lt;&gt;"",0),0)),"")</f>
        <v/>
      </c>
      <c r="N186" s="61">
        <f>IFERROR(LOOKUP(2,1/(U186:AY186&lt;&gt;""),U$2:AY$2),"")</f>
        <v/>
      </c>
      <c r="O186" s="59" t="n"/>
      <c r="P186" s="59" t="n"/>
      <c r="Q186" s="59" t="n"/>
      <c r="R186" s="59" t="n"/>
      <c r="S186" s="14" t="n"/>
      <c r="U186" s="53" t="n"/>
      <c r="V186" s="53" t="n"/>
      <c r="W186" s="53" t="n"/>
      <c r="X186" s="53" t="n"/>
      <c r="Y186" s="53" t="n"/>
      <c r="Z186" s="53" t="n"/>
      <c r="AA186" s="53" t="n"/>
      <c r="AB186" s="53" t="n"/>
      <c r="AC186" s="53" t="n"/>
      <c r="AD186" s="53" t="n"/>
      <c r="AE186" s="53" t="n"/>
      <c r="AF186" s="53" t="n"/>
      <c r="AG186" s="53" t="n"/>
      <c r="AH186" s="53" t="n"/>
      <c r="AI186" s="53" t="n"/>
      <c r="AJ186" s="53" t="n"/>
      <c r="AK186" s="53" t="n"/>
      <c r="AL186" s="53" t="n"/>
      <c r="AM186" s="53" t="n"/>
      <c r="AN186" s="53" t="n"/>
      <c r="AO186" s="53" t="n"/>
      <c r="AP186" s="53" t="n"/>
      <c r="AQ186" s="53" t="n"/>
      <c r="AR186" s="53" t="n"/>
      <c r="AS186" s="53" t="n"/>
      <c r="AT186" s="53" t="n"/>
      <c r="AU186" s="53" t="n"/>
      <c r="AV186" s="53" t="n"/>
      <c r="AW186" s="53" t="n"/>
      <c r="AX186" s="53" t="n"/>
      <c r="AY186" s="53" t="n"/>
    </row>
    <row r="187" ht="15" customHeight="1">
      <c r="A187" s="62" t="n"/>
      <c r="B187" s="55">
        <f>IF($B$185="","",$B$185)</f>
        <v/>
      </c>
      <c r="C187" s="63" t="inlineStr">
        <is>
          <t>마케팅3팀</t>
        </is>
      </c>
      <c r="D187" s="55">
        <f>IF($D$185="","",$D$185)</f>
        <v/>
      </c>
      <c r="E187" s="64" t="inlineStr">
        <is>
          <t>영상</t>
        </is>
      </c>
      <c r="F187" s="44" t="n"/>
      <c r="G187" s="58">
        <f>IF($G$185="","",$G$185)</f>
        <v/>
      </c>
      <c r="H187" s="59" t="n"/>
      <c r="I187" s="59" t="n"/>
      <c r="J187" s="59" t="n"/>
      <c r="K187" s="59" t="n"/>
      <c r="L187" s="65">
        <f>IF(SUM(U187:AY187)=0,"",SUM(U187:AY187))</f>
        <v/>
      </c>
      <c r="M187" s="66">
        <f>IFERROR(INDEX(U$2:AY$2,MATCH(TRUE,INDEX(U187:AY187&lt;&gt;"",0),0)),"")</f>
        <v/>
      </c>
      <c r="N187" s="66">
        <f>IFERROR(LOOKUP(2,1/(U187:AY187&lt;&gt;""),U$2:AY$2),"")</f>
        <v/>
      </c>
      <c r="O187" s="59" t="n"/>
      <c r="P187" s="59" t="n"/>
      <c r="Q187" s="59" t="n"/>
      <c r="R187" s="59" t="n"/>
      <c r="S187" s="14" t="n"/>
      <c r="U187" s="53" t="n"/>
      <c r="V187" s="53" t="n"/>
      <c r="W187" s="53" t="n"/>
      <c r="X187" s="53" t="n"/>
      <c r="Y187" s="53" t="n"/>
      <c r="Z187" s="53" t="n"/>
      <c r="AA187" s="53" t="n"/>
      <c r="AB187" s="53" t="n"/>
      <c r="AC187" s="53" t="n"/>
      <c r="AD187" s="53" t="n"/>
      <c r="AE187" s="53" t="n"/>
      <c r="AF187" s="53" t="n"/>
      <c r="AG187" s="53" t="n"/>
      <c r="AH187" s="53" t="n"/>
      <c r="AI187" s="53" t="n"/>
      <c r="AJ187" s="53" t="n"/>
      <c r="AK187" s="53" t="n"/>
      <c r="AL187" s="53" t="n"/>
      <c r="AM187" s="53" t="n"/>
      <c r="AN187" s="53" t="n"/>
      <c r="AO187" s="53" t="n"/>
      <c r="AP187" s="53" t="n"/>
      <c r="AQ187" s="53" t="n"/>
      <c r="AR187" s="53" t="n"/>
      <c r="AS187" s="53" t="n"/>
      <c r="AT187" s="53" t="n"/>
      <c r="AU187" s="53" t="n"/>
      <c r="AV187" s="53" t="n"/>
      <c r="AW187" s="53" t="n"/>
      <c r="AX187" s="53" t="n"/>
      <c r="AY187" s="53" t="n"/>
    </row>
    <row r="188" ht="15" customHeight="1">
      <c r="A188" s="40">
        <f>IF($D$188="","",60)</f>
        <v/>
      </c>
      <c r="B188" s="10" t="n"/>
      <c r="C188" s="41" t="inlineStr">
        <is>
          <t>마케팅3팀</t>
        </is>
      </c>
      <c r="D188" s="42" t="n"/>
      <c r="E188" s="43" t="inlineStr">
        <is>
          <t>기획</t>
        </is>
      </c>
      <c r="F188" s="44" t="n"/>
      <c r="G188" s="45" t="n"/>
      <c r="H188" s="46">
        <f>IF($I$188="","",IF($I$188&lt;0,"🔴지연",IF($I$188&lt;=1,"🟡임박","🟢여유")))</f>
        <v/>
      </c>
      <c r="I188" s="47">
        <f>IF(OR($G$188="",$K$188=""),"",$G$188-$K$188)</f>
        <v/>
      </c>
      <c r="J188" s="48">
        <f>IF(SUM($L$188:$L$190)=0,"",SUM($L$188:$L$190))</f>
        <v/>
      </c>
      <c r="K188" s="49">
        <f>IF($J$188="","",MAX($N$188:$N$190))</f>
        <v/>
      </c>
      <c r="L188" s="50">
        <f>IF(SUM(U188:AY188)=0,"",SUM(U188:AY188))</f>
        <v/>
      </c>
      <c r="M188" s="51">
        <f>IFERROR(INDEX(U$2:AY$2,MATCH(TRUE,INDEX(U188:AY188&lt;&gt;"",0),0)),"")</f>
        <v/>
      </c>
      <c r="N188" s="51">
        <f>IFERROR(LOOKUP(2,1/(U188:AY188&lt;&gt;""),U$2:AY$2),"")</f>
        <v/>
      </c>
      <c r="O188" s="52" t="n"/>
      <c r="P188" s="52" t="n"/>
      <c r="Q188" s="52" t="n"/>
      <c r="R188" s="44" t="n"/>
      <c r="S188" s="14" t="n"/>
      <c r="U188" s="53" t="n"/>
      <c r="V188" s="53" t="n"/>
      <c r="W188" s="53" t="n"/>
      <c r="X188" s="53" t="n"/>
      <c r="Y188" s="53" t="n"/>
      <c r="Z188" s="53" t="n"/>
      <c r="AA188" s="53" t="n"/>
      <c r="AB188" s="53" t="n"/>
      <c r="AC188" s="53" t="n"/>
      <c r="AD188" s="53" t="n"/>
      <c r="AE188" s="53" t="n"/>
      <c r="AF188" s="53" t="n"/>
      <c r="AG188" s="53" t="n"/>
      <c r="AH188" s="53" t="n"/>
      <c r="AI188" s="53" t="n"/>
      <c r="AJ188" s="53" t="n"/>
      <c r="AK188" s="53" t="n"/>
      <c r="AL188" s="53" t="n"/>
      <c r="AM188" s="53" t="n"/>
      <c r="AN188" s="53" t="n"/>
      <c r="AO188" s="53" t="n"/>
      <c r="AP188" s="53" t="n"/>
      <c r="AQ188" s="53" t="n"/>
      <c r="AR188" s="53" t="n"/>
      <c r="AS188" s="53" t="n"/>
      <c r="AT188" s="53" t="n"/>
      <c r="AU188" s="53" t="n"/>
      <c r="AV188" s="53" t="n"/>
      <c r="AW188" s="53" t="n"/>
      <c r="AX188" s="53" t="n"/>
      <c r="AY188" s="53" t="n"/>
    </row>
    <row r="189" ht="15" customHeight="1">
      <c r="A189" s="54" t="n"/>
      <c r="B189" s="55">
        <f>IF($B$188="","",$B$188)</f>
        <v/>
      </c>
      <c r="C189" s="56" t="inlineStr">
        <is>
          <t>마케팅3팀</t>
        </is>
      </c>
      <c r="D189" s="55">
        <f>IF($D$188="","",$D$188)</f>
        <v/>
      </c>
      <c r="E189" s="57" t="inlineStr">
        <is>
          <t>이미지</t>
        </is>
      </c>
      <c r="F189" s="44" t="n"/>
      <c r="G189" s="58">
        <f>IF($G$188="","",$G$188)</f>
        <v/>
      </c>
      <c r="H189" s="59" t="n"/>
      <c r="I189" s="59" t="n"/>
      <c r="J189" s="59" t="n"/>
      <c r="K189" s="59" t="n"/>
      <c r="L189" s="60">
        <f>IF(SUM(U189:AY189)=0,"",SUM(U189:AY189))</f>
        <v/>
      </c>
      <c r="M189" s="61">
        <f>IFERROR(INDEX(U$2:AY$2,MATCH(TRUE,INDEX(U189:AY189&lt;&gt;"",0),0)),"")</f>
        <v/>
      </c>
      <c r="N189" s="61">
        <f>IFERROR(LOOKUP(2,1/(U189:AY189&lt;&gt;""),U$2:AY$2),"")</f>
        <v/>
      </c>
      <c r="O189" s="59" t="n"/>
      <c r="P189" s="59" t="n"/>
      <c r="Q189" s="59" t="n"/>
      <c r="R189" s="59" t="n"/>
      <c r="S189" s="14" t="n"/>
      <c r="U189" s="53" t="n"/>
      <c r="V189" s="53" t="n"/>
      <c r="W189" s="53" t="n"/>
      <c r="X189" s="53" t="n"/>
      <c r="Y189" s="53" t="n"/>
      <c r="Z189" s="53" t="n"/>
      <c r="AA189" s="53" t="n"/>
      <c r="AB189" s="53" t="n"/>
      <c r="AC189" s="53" t="n"/>
      <c r="AD189" s="53" t="n"/>
      <c r="AE189" s="53" t="n"/>
      <c r="AF189" s="53" t="n"/>
      <c r="AG189" s="53" t="n"/>
      <c r="AH189" s="53" t="n"/>
      <c r="AI189" s="53" t="n"/>
      <c r="AJ189" s="53" t="n"/>
      <c r="AK189" s="53" t="n"/>
      <c r="AL189" s="53" t="n"/>
      <c r="AM189" s="53" t="n"/>
      <c r="AN189" s="53" t="n"/>
      <c r="AO189" s="53" t="n"/>
      <c r="AP189" s="53" t="n"/>
      <c r="AQ189" s="53" t="n"/>
      <c r="AR189" s="53" t="n"/>
      <c r="AS189" s="53" t="n"/>
      <c r="AT189" s="53" t="n"/>
      <c r="AU189" s="53" t="n"/>
      <c r="AV189" s="53" t="n"/>
      <c r="AW189" s="53" t="n"/>
      <c r="AX189" s="53" t="n"/>
      <c r="AY189" s="53" t="n"/>
    </row>
    <row r="190" ht="15" customHeight="1">
      <c r="A190" s="62" t="n"/>
      <c r="B190" s="55">
        <f>IF($B$188="","",$B$188)</f>
        <v/>
      </c>
      <c r="C190" s="63" t="inlineStr">
        <is>
          <t>마케팅3팀</t>
        </is>
      </c>
      <c r="D190" s="55">
        <f>IF($D$188="","",$D$188)</f>
        <v/>
      </c>
      <c r="E190" s="64" t="inlineStr">
        <is>
          <t>영상</t>
        </is>
      </c>
      <c r="F190" s="44" t="n"/>
      <c r="G190" s="58">
        <f>IF($G$188="","",$G$188)</f>
        <v/>
      </c>
      <c r="H190" s="59" t="n"/>
      <c r="I190" s="59" t="n"/>
      <c r="J190" s="59" t="n"/>
      <c r="K190" s="59" t="n"/>
      <c r="L190" s="65">
        <f>IF(SUM(U190:AY190)=0,"",SUM(U190:AY190))</f>
        <v/>
      </c>
      <c r="M190" s="66">
        <f>IFERROR(INDEX(U$2:AY$2,MATCH(TRUE,INDEX(U190:AY190&lt;&gt;"",0),0)),"")</f>
        <v/>
      </c>
      <c r="N190" s="66">
        <f>IFERROR(LOOKUP(2,1/(U190:AY190&lt;&gt;""),U$2:AY$2),"")</f>
        <v/>
      </c>
      <c r="O190" s="59" t="n"/>
      <c r="P190" s="59" t="n"/>
      <c r="Q190" s="59" t="n"/>
      <c r="R190" s="59" t="n"/>
      <c r="S190" s="14" t="n"/>
      <c r="U190" s="53" t="n"/>
      <c r="V190" s="53" t="n"/>
      <c r="W190" s="53" t="n"/>
      <c r="X190" s="53" t="n"/>
      <c r="Y190" s="53" t="n"/>
      <c r="Z190" s="53" t="n"/>
      <c r="AA190" s="53" t="n"/>
      <c r="AB190" s="53" t="n"/>
      <c r="AC190" s="53" t="n"/>
      <c r="AD190" s="53" t="n"/>
      <c r="AE190" s="53" t="n"/>
      <c r="AF190" s="53" t="n"/>
      <c r="AG190" s="53" t="n"/>
      <c r="AH190" s="53" t="n"/>
      <c r="AI190" s="53" t="n"/>
      <c r="AJ190" s="53" t="n"/>
      <c r="AK190" s="53" t="n"/>
      <c r="AL190" s="53" t="n"/>
      <c r="AM190" s="53" t="n"/>
      <c r="AN190" s="53" t="n"/>
      <c r="AO190" s="53" t="n"/>
      <c r="AP190" s="53" t="n"/>
      <c r="AQ190" s="53" t="n"/>
      <c r="AR190" s="53" t="n"/>
      <c r="AS190" s="53" t="n"/>
      <c r="AT190" s="53" t="n"/>
      <c r="AU190" s="53" t="n"/>
      <c r="AV190" s="53" t="n"/>
      <c r="AW190" s="53" t="n"/>
      <c r="AX190" s="53" t="n"/>
      <c r="AY190" s="53" t="n"/>
    </row>
    <row r="191" ht="18" customHeight="1">
      <c r="A191" s="39" t="inlineStr">
        <is>
          <t>마케팅4팀   (192~251행 · 소재 20개)</t>
        </is>
      </c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I191" s="8" t="n"/>
      <c r="AJ191" s="8" t="n"/>
      <c r="AK191" s="8" t="n"/>
      <c r="AL191" s="8" t="n"/>
      <c r="AM191" s="8" t="n"/>
      <c r="AN191" s="8" t="n"/>
      <c r="AO191" s="8" t="n"/>
      <c r="AP191" s="8" t="n"/>
      <c r="AQ191" s="8" t="n"/>
      <c r="AR191" s="8" t="n"/>
      <c r="AS191" s="8" t="n"/>
      <c r="AT191" s="8" t="n"/>
      <c r="AU191" s="8" t="n"/>
      <c r="AV191" s="8" t="n"/>
      <c r="AW191" s="8" t="n"/>
      <c r="AX191" s="8" t="n"/>
      <c r="AY191" s="4" t="n"/>
    </row>
    <row r="192" ht="15" customHeight="1">
      <c r="A192" s="40">
        <f>IF($D$192="","",61)</f>
        <v/>
      </c>
      <c r="B192" s="10" t="n"/>
      <c r="C192" s="41" t="inlineStr">
        <is>
          <t>마케팅4팀</t>
        </is>
      </c>
      <c r="D192" s="42" t="n"/>
      <c r="E192" s="43" t="inlineStr">
        <is>
          <t>기획</t>
        </is>
      </c>
      <c r="F192" s="44" t="n"/>
      <c r="G192" s="45" t="n"/>
      <c r="H192" s="46">
        <f>IF($I$192="","",IF($I$192&lt;0,"🔴지연",IF($I$192&lt;=1,"🟡임박","🟢여유")))</f>
        <v/>
      </c>
      <c r="I192" s="47">
        <f>IF(OR($G$192="",$K$192=""),"",$G$192-$K$192)</f>
        <v/>
      </c>
      <c r="J192" s="48">
        <f>IF(SUM($L$192:$L$194)=0,"",SUM($L$192:$L$194))</f>
        <v/>
      </c>
      <c r="K192" s="49">
        <f>IF($J$192="","",MAX($N$192:$N$194))</f>
        <v/>
      </c>
      <c r="L192" s="50">
        <f>IF(SUM(U192:AY192)=0,"",SUM(U192:AY192))</f>
        <v/>
      </c>
      <c r="M192" s="51">
        <f>IFERROR(INDEX(U$2:AY$2,MATCH(TRUE,INDEX(U192:AY192&lt;&gt;"",0),0)),"")</f>
        <v/>
      </c>
      <c r="N192" s="51">
        <f>IFERROR(LOOKUP(2,1/(U192:AY192&lt;&gt;""),U$2:AY$2),"")</f>
        <v/>
      </c>
      <c r="O192" s="52" t="n"/>
      <c r="P192" s="52" t="n"/>
      <c r="Q192" s="52" t="n"/>
      <c r="R192" s="44" t="n"/>
      <c r="S192" s="14" t="n"/>
      <c r="U192" s="53" t="n"/>
      <c r="V192" s="53" t="n"/>
      <c r="W192" s="53" t="n"/>
      <c r="X192" s="53" t="n"/>
      <c r="Y192" s="53" t="n"/>
      <c r="Z192" s="53" t="n"/>
      <c r="AA192" s="53" t="n"/>
      <c r="AB192" s="53" t="n"/>
      <c r="AC192" s="53" t="n"/>
      <c r="AD192" s="53" t="n"/>
      <c r="AE192" s="53" t="n"/>
      <c r="AF192" s="53" t="n"/>
      <c r="AG192" s="53" t="n"/>
      <c r="AH192" s="53" t="n"/>
      <c r="AI192" s="53" t="n"/>
      <c r="AJ192" s="53" t="n"/>
      <c r="AK192" s="53" t="n"/>
      <c r="AL192" s="53" t="n"/>
      <c r="AM192" s="53" t="n"/>
      <c r="AN192" s="53" t="n"/>
      <c r="AO192" s="53" t="n"/>
      <c r="AP192" s="53" t="n"/>
      <c r="AQ192" s="53" t="n"/>
      <c r="AR192" s="53" t="n"/>
      <c r="AS192" s="53" t="n"/>
      <c r="AT192" s="53" t="n"/>
      <c r="AU192" s="53" t="n"/>
      <c r="AV192" s="53" t="n"/>
      <c r="AW192" s="53" t="n"/>
      <c r="AX192" s="53" t="n"/>
      <c r="AY192" s="53" t="n"/>
    </row>
    <row r="193" ht="15" customHeight="1">
      <c r="A193" s="54" t="n"/>
      <c r="B193" s="55">
        <f>IF($B$192="","",$B$192)</f>
        <v/>
      </c>
      <c r="C193" s="56" t="inlineStr">
        <is>
          <t>마케팅4팀</t>
        </is>
      </c>
      <c r="D193" s="55">
        <f>IF($D$192="","",$D$192)</f>
        <v/>
      </c>
      <c r="E193" s="57" t="inlineStr">
        <is>
          <t>이미지</t>
        </is>
      </c>
      <c r="F193" s="44" t="n"/>
      <c r="G193" s="58">
        <f>IF($G$192="","",$G$192)</f>
        <v/>
      </c>
      <c r="H193" s="59" t="n"/>
      <c r="I193" s="59" t="n"/>
      <c r="J193" s="59" t="n"/>
      <c r="K193" s="59" t="n"/>
      <c r="L193" s="60">
        <f>IF(SUM(U193:AY193)=0,"",SUM(U193:AY193))</f>
        <v/>
      </c>
      <c r="M193" s="61">
        <f>IFERROR(INDEX(U$2:AY$2,MATCH(TRUE,INDEX(U193:AY193&lt;&gt;"",0),0)),"")</f>
        <v/>
      </c>
      <c r="N193" s="61">
        <f>IFERROR(LOOKUP(2,1/(U193:AY193&lt;&gt;""),U$2:AY$2),"")</f>
        <v/>
      </c>
      <c r="O193" s="59" t="n"/>
      <c r="P193" s="59" t="n"/>
      <c r="Q193" s="59" t="n"/>
      <c r="R193" s="59" t="n"/>
      <c r="S193" s="14" t="n"/>
      <c r="U193" s="53" t="n"/>
      <c r="V193" s="53" t="n"/>
      <c r="W193" s="53" t="n"/>
      <c r="X193" s="53" t="n"/>
      <c r="Y193" s="53" t="n"/>
      <c r="Z193" s="53" t="n"/>
      <c r="AA193" s="53" t="n"/>
      <c r="AB193" s="53" t="n"/>
      <c r="AC193" s="53" t="n"/>
      <c r="AD193" s="53" t="n"/>
      <c r="AE193" s="53" t="n"/>
      <c r="AF193" s="53" t="n"/>
      <c r="AG193" s="53" t="n"/>
      <c r="AH193" s="53" t="n"/>
      <c r="AI193" s="53" t="n"/>
      <c r="AJ193" s="53" t="n"/>
      <c r="AK193" s="53" t="n"/>
      <c r="AL193" s="53" t="n"/>
      <c r="AM193" s="53" t="n"/>
      <c r="AN193" s="53" t="n"/>
      <c r="AO193" s="53" t="n"/>
      <c r="AP193" s="53" t="n"/>
      <c r="AQ193" s="53" t="n"/>
      <c r="AR193" s="53" t="n"/>
      <c r="AS193" s="53" t="n"/>
      <c r="AT193" s="53" t="n"/>
      <c r="AU193" s="53" t="n"/>
      <c r="AV193" s="53" t="n"/>
      <c r="AW193" s="53" t="n"/>
      <c r="AX193" s="53" t="n"/>
      <c r="AY193" s="53" t="n"/>
    </row>
    <row r="194" ht="15" customHeight="1">
      <c r="A194" s="62" t="n"/>
      <c r="B194" s="55">
        <f>IF($B$192="","",$B$192)</f>
        <v/>
      </c>
      <c r="C194" s="63" t="inlineStr">
        <is>
          <t>마케팅4팀</t>
        </is>
      </c>
      <c r="D194" s="55">
        <f>IF($D$192="","",$D$192)</f>
        <v/>
      </c>
      <c r="E194" s="64" t="inlineStr">
        <is>
          <t>영상</t>
        </is>
      </c>
      <c r="F194" s="44" t="n"/>
      <c r="G194" s="58">
        <f>IF($G$192="","",$G$192)</f>
        <v/>
      </c>
      <c r="H194" s="59" t="n"/>
      <c r="I194" s="59" t="n"/>
      <c r="J194" s="59" t="n"/>
      <c r="K194" s="59" t="n"/>
      <c r="L194" s="65">
        <f>IF(SUM(U194:AY194)=0,"",SUM(U194:AY194))</f>
        <v/>
      </c>
      <c r="M194" s="66">
        <f>IFERROR(INDEX(U$2:AY$2,MATCH(TRUE,INDEX(U194:AY194&lt;&gt;"",0),0)),"")</f>
        <v/>
      </c>
      <c r="N194" s="66">
        <f>IFERROR(LOOKUP(2,1/(U194:AY194&lt;&gt;""),U$2:AY$2),"")</f>
        <v/>
      </c>
      <c r="O194" s="59" t="n"/>
      <c r="P194" s="59" t="n"/>
      <c r="Q194" s="59" t="n"/>
      <c r="R194" s="59" t="n"/>
      <c r="S194" s="14" t="n"/>
      <c r="U194" s="53" t="n"/>
      <c r="V194" s="53" t="n"/>
      <c r="W194" s="53" t="n"/>
      <c r="X194" s="53" t="n"/>
      <c r="Y194" s="53" t="n"/>
      <c r="Z194" s="53" t="n"/>
      <c r="AA194" s="53" t="n"/>
      <c r="AB194" s="53" t="n"/>
      <c r="AC194" s="53" t="n"/>
      <c r="AD194" s="53" t="n"/>
      <c r="AE194" s="53" t="n"/>
      <c r="AF194" s="53" t="n"/>
      <c r="AG194" s="53" t="n"/>
      <c r="AH194" s="53" t="n"/>
      <c r="AI194" s="53" t="n"/>
      <c r="AJ194" s="53" t="n"/>
      <c r="AK194" s="53" t="n"/>
      <c r="AL194" s="53" t="n"/>
      <c r="AM194" s="53" t="n"/>
      <c r="AN194" s="53" t="n"/>
      <c r="AO194" s="53" t="n"/>
      <c r="AP194" s="53" t="n"/>
      <c r="AQ194" s="53" t="n"/>
      <c r="AR194" s="53" t="n"/>
      <c r="AS194" s="53" t="n"/>
      <c r="AT194" s="53" t="n"/>
      <c r="AU194" s="53" t="n"/>
      <c r="AV194" s="53" t="n"/>
      <c r="AW194" s="53" t="n"/>
      <c r="AX194" s="53" t="n"/>
      <c r="AY194" s="53" t="n"/>
    </row>
    <row r="195" ht="15" customHeight="1">
      <c r="A195" s="40">
        <f>IF($D$195="","",62)</f>
        <v/>
      </c>
      <c r="B195" s="10" t="n"/>
      <c r="C195" s="41" t="inlineStr">
        <is>
          <t>마케팅4팀</t>
        </is>
      </c>
      <c r="D195" s="42" t="n"/>
      <c r="E195" s="43" t="inlineStr">
        <is>
          <t>기획</t>
        </is>
      </c>
      <c r="F195" s="44" t="n"/>
      <c r="G195" s="45" t="n"/>
      <c r="H195" s="46">
        <f>IF($I$195="","",IF($I$195&lt;0,"🔴지연",IF($I$195&lt;=1,"🟡임박","🟢여유")))</f>
        <v/>
      </c>
      <c r="I195" s="47">
        <f>IF(OR($G$195="",$K$195=""),"",$G$195-$K$195)</f>
        <v/>
      </c>
      <c r="J195" s="48">
        <f>IF(SUM($L$195:$L$197)=0,"",SUM($L$195:$L$197))</f>
        <v/>
      </c>
      <c r="K195" s="49">
        <f>IF($J$195="","",MAX($N$195:$N$197))</f>
        <v/>
      </c>
      <c r="L195" s="50">
        <f>IF(SUM(U195:AY195)=0,"",SUM(U195:AY195))</f>
        <v/>
      </c>
      <c r="M195" s="51">
        <f>IFERROR(INDEX(U$2:AY$2,MATCH(TRUE,INDEX(U195:AY195&lt;&gt;"",0),0)),"")</f>
        <v/>
      </c>
      <c r="N195" s="51">
        <f>IFERROR(LOOKUP(2,1/(U195:AY195&lt;&gt;""),U$2:AY$2),"")</f>
        <v/>
      </c>
      <c r="O195" s="52" t="n"/>
      <c r="P195" s="52" t="n"/>
      <c r="Q195" s="52" t="n"/>
      <c r="R195" s="44" t="n"/>
      <c r="S195" s="14" t="n"/>
      <c r="U195" s="53" t="n"/>
      <c r="V195" s="53" t="n"/>
      <c r="W195" s="53" t="n"/>
      <c r="X195" s="53" t="n"/>
      <c r="Y195" s="53" t="n"/>
      <c r="Z195" s="53" t="n"/>
      <c r="AA195" s="53" t="n"/>
      <c r="AB195" s="53" t="n"/>
      <c r="AC195" s="53" t="n"/>
      <c r="AD195" s="53" t="n"/>
      <c r="AE195" s="53" t="n"/>
      <c r="AF195" s="53" t="n"/>
      <c r="AG195" s="53" t="n"/>
      <c r="AH195" s="53" t="n"/>
      <c r="AI195" s="53" t="n"/>
      <c r="AJ195" s="53" t="n"/>
      <c r="AK195" s="53" t="n"/>
      <c r="AL195" s="53" t="n"/>
      <c r="AM195" s="53" t="n"/>
      <c r="AN195" s="53" t="n"/>
      <c r="AO195" s="53" t="n"/>
      <c r="AP195" s="53" t="n"/>
      <c r="AQ195" s="53" t="n"/>
      <c r="AR195" s="53" t="n"/>
      <c r="AS195" s="53" t="n"/>
      <c r="AT195" s="53" t="n"/>
      <c r="AU195" s="53" t="n"/>
      <c r="AV195" s="53" t="n"/>
      <c r="AW195" s="53" t="n"/>
      <c r="AX195" s="53" t="n"/>
      <c r="AY195" s="53" t="n"/>
    </row>
    <row r="196" ht="15" customHeight="1">
      <c r="A196" s="54" t="n"/>
      <c r="B196" s="55">
        <f>IF($B$195="","",$B$195)</f>
        <v/>
      </c>
      <c r="C196" s="56" t="inlineStr">
        <is>
          <t>마케팅4팀</t>
        </is>
      </c>
      <c r="D196" s="55">
        <f>IF($D$195="","",$D$195)</f>
        <v/>
      </c>
      <c r="E196" s="57" t="inlineStr">
        <is>
          <t>이미지</t>
        </is>
      </c>
      <c r="F196" s="44" t="n"/>
      <c r="G196" s="58">
        <f>IF($G$195="","",$G$195)</f>
        <v/>
      </c>
      <c r="H196" s="59" t="n"/>
      <c r="I196" s="59" t="n"/>
      <c r="J196" s="59" t="n"/>
      <c r="K196" s="59" t="n"/>
      <c r="L196" s="60">
        <f>IF(SUM(U196:AY196)=0,"",SUM(U196:AY196))</f>
        <v/>
      </c>
      <c r="M196" s="61">
        <f>IFERROR(INDEX(U$2:AY$2,MATCH(TRUE,INDEX(U196:AY196&lt;&gt;"",0),0)),"")</f>
        <v/>
      </c>
      <c r="N196" s="61">
        <f>IFERROR(LOOKUP(2,1/(U196:AY196&lt;&gt;""),U$2:AY$2),"")</f>
        <v/>
      </c>
      <c r="O196" s="59" t="n"/>
      <c r="P196" s="59" t="n"/>
      <c r="Q196" s="59" t="n"/>
      <c r="R196" s="59" t="n"/>
      <c r="S196" s="14" t="n"/>
      <c r="U196" s="53" t="n"/>
      <c r="V196" s="53" t="n"/>
      <c r="W196" s="53" t="n"/>
      <c r="X196" s="53" t="n"/>
      <c r="Y196" s="53" t="n"/>
      <c r="Z196" s="53" t="n"/>
      <c r="AA196" s="53" t="n"/>
      <c r="AB196" s="53" t="n"/>
      <c r="AC196" s="53" t="n"/>
      <c r="AD196" s="53" t="n"/>
      <c r="AE196" s="53" t="n"/>
      <c r="AF196" s="53" t="n"/>
      <c r="AG196" s="53" t="n"/>
      <c r="AH196" s="53" t="n"/>
      <c r="AI196" s="53" t="n"/>
      <c r="AJ196" s="53" t="n"/>
      <c r="AK196" s="53" t="n"/>
      <c r="AL196" s="53" t="n"/>
      <c r="AM196" s="53" t="n"/>
      <c r="AN196" s="53" t="n"/>
      <c r="AO196" s="53" t="n"/>
      <c r="AP196" s="53" t="n"/>
      <c r="AQ196" s="53" t="n"/>
      <c r="AR196" s="53" t="n"/>
      <c r="AS196" s="53" t="n"/>
      <c r="AT196" s="53" t="n"/>
      <c r="AU196" s="53" t="n"/>
      <c r="AV196" s="53" t="n"/>
      <c r="AW196" s="53" t="n"/>
      <c r="AX196" s="53" t="n"/>
      <c r="AY196" s="53" t="n"/>
    </row>
    <row r="197" ht="15" customHeight="1">
      <c r="A197" s="62" t="n"/>
      <c r="B197" s="55">
        <f>IF($B$195="","",$B$195)</f>
        <v/>
      </c>
      <c r="C197" s="63" t="inlineStr">
        <is>
          <t>마케팅4팀</t>
        </is>
      </c>
      <c r="D197" s="55">
        <f>IF($D$195="","",$D$195)</f>
        <v/>
      </c>
      <c r="E197" s="64" t="inlineStr">
        <is>
          <t>영상</t>
        </is>
      </c>
      <c r="F197" s="44" t="n"/>
      <c r="G197" s="58">
        <f>IF($G$195="","",$G$195)</f>
        <v/>
      </c>
      <c r="H197" s="59" t="n"/>
      <c r="I197" s="59" t="n"/>
      <c r="J197" s="59" t="n"/>
      <c r="K197" s="59" t="n"/>
      <c r="L197" s="65">
        <f>IF(SUM(U197:AY197)=0,"",SUM(U197:AY197))</f>
        <v/>
      </c>
      <c r="M197" s="66">
        <f>IFERROR(INDEX(U$2:AY$2,MATCH(TRUE,INDEX(U197:AY197&lt;&gt;"",0),0)),"")</f>
        <v/>
      </c>
      <c r="N197" s="66">
        <f>IFERROR(LOOKUP(2,1/(U197:AY197&lt;&gt;""),U$2:AY$2),"")</f>
        <v/>
      </c>
      <c r="O197" s="59" t="n"/>
      <c r="P197" s="59" t="n"/>
      <c r="Q197" s="59" t="n"/>
      <c r="R197" s="59" t="n"/>
      <c r="S197" s="14" t="n"/>
      <c r="U197" s="53" t="n"/>
      <c r="V197" s="53" t="n"/>
      <c r="W197" s="53" t="n"/>
      <c r="X197" s="53" t="n"/>
      <c r="Y197" s="53" t="n"/>
      <c r="Z197" s="53" t="n"/>
      <c r="AA197" s="53" t="n"/>
      <c r="AB197" s="53" t="n"/>
      <c r="AC197" s="53" t="n"/>
      <c r="AD197" s="53" t="n"/>
      <c r="AE197" s="53" t="n"/>
      <c r="AF197" s="53" t="n"/>
      <c r="AG197" s="53" t="n"/>
      <c r="AH197" s="53" t="n"/>
      <c r="AI197" s="53" t="n"/>
      <c r="AJ197" s="53" t="n"/>
      <c r="AK197" s="53" t="n"/>
      <c r="AL197" s="53" t="n"/>
      <c r="AM197" s="53" t="n"/>
      <c r="AN197" s="53" t="n"/>
      <c r="AO197" s="53" t="n"/>
      <c r="AP197" s="53" t="n"/>
      <c r="AQ197" s="53" t="n"/>
      <c r="AR197" s="53" t="n"/>
      <c r="AS197" s="53" t="n"/>
      <c r="AT197" s="53" t="n"/>
      <c r="AU197" s="53" t="n"/>
      <c r="AV197" s="53" t="n"/>
      <c r="AW197" s="53" t="n"/>
      <c r="AX197" s="53" t="n"/>
      <c r="AY197" s="53" t="n"/>
    </row>
    <row r="198" ht="15" customHeight="1">
      <c r="A198" s="40">
        <f>IF($D$198="","",63)</f>
        <v/>
      </c>
      <c r="B198" s="10" t="n"/>
      <c r="C198" s="41" t="inlineStr">
        <is>
          <t>마케팅4팀</t>
        </is>
      </c>
      <c r="D198" s="42" t="n"/>
      <c r="E198" s="43" t="inlineStr">
        <is>
          <t>기획</t>
        </is>
      </c>
      <c r="F198" s="44" t="n"/>
      <c r="G198" s="45" t="n"/>
      <c r="H198" s="46">
        <f>IF($I$198="","",IF($I$198&lt;0,"🔴지연",IF($I$198&lt;=1,"🟡임박","🟢여유")))</f>
        <v/>
      </c>
      <c r="I198" s="47">
        <f>IF(OR($G$198="",$K$198=""),"",$G$198-$K$198)</f>
        <v/>
      </c>
      <c r="J198" s="48">
        <f>IF(SUM($L$198:$L$200)=0,"",SUM($L$198:$L$200))</f>
        <v/>
      </c>
      <c r="K198" s="49">
        <f>IF($J$198="","",MAX($N$198:$N$200))</f>
        <v/>
      </c>
      <c r="L198" s="50">
        <f>IF(SUM(U198:AY198)=0,"",SUM(U198:AY198))</f>
        <v/>
      </c>
      <c r="M198" s="51">
        <f>IFERROR(INDEX(U$2:AY$2,MATCH(TRUE,INDEX(U198:AY198&lt;&gt;"",0),0)),"")</f>
        <v/>
      </c>
      <c r="N198" s="51">
        <f>IFERROR(LOOKUP(2,1/(U198:AY198&lt;&gt;""),U$2:AY$2),"")</f>
        <v/>
      </c>
      <c r="O198" s="52" t="n"/>
      <c r="P198" s="52" t="n"/>
      <c r="Q198" s="52" t="n"/>
      <c r="R198" s="44" t="n"/>
      <c r="S198" s="14" t="n"/>
      <c r="U198" s="53" t="n"/>
      <c r="V198" s="53" t="n"/>
      <c r="W198" s="53" t="n"/>
      <c r="X198" s="53" t="n"/>
      <c r="Y198" s="53" t="n"/>
      <c r="Z198" s="53" t="n"/>
      <c r="AA198" s="53" t="n"/>
      <c r="AB198" s="53" t="n"/>
      <c r="AC198" s="53" t="n"/>
      <c r="AD198" s="53" t="n"/>
      <c r="AE198" s="53" t="n"/>
      <c r="AF198" s="53" t="n"/>
      <c r="AG198" s="53" t="n"/>
      <c r="AH198" s="53" t="n"/>
      <c r="AI198" s="53" t="n"/>
      <c r="AJ198" s="53" t="n"/>
      <c r="AK198" s="53" t="n"/>
      <c r="AL198" s="53" t="n"/>
      <c r="AM198" s="53" t="n"/>
      <c r="AN198" s="53" t="n"/>
      <c r="AO198" s="53" t="n"/>
      <c r="AP198" s="53" t="n"/>
      <c r="AQ198" s="53" t="n"/>
      <c r="AR198" s="53" t="n"/>
      <c r="AS198" s="53" t="n"/>
      <c r="AT198" s="53" t="n"/>
      <c r="AU198" s="53" t="n"/>
      <c r="AV198" s="53" t="n"/>
      <c r="AW198" s="53" t="n"/>
      <c r="AX198" s="53" t="n"/>
      <c r="AY198" s="53" t="n"/>
    </row>
    <row r="199" ht="15" customHeight="1">
      <c r="A199" s="54" t="n"/>
      <c r="B199" s="55">
        <f>IF($B$198="","",$B$198)</f>
        <v/>
      </c>
      <c r="C199" s="56" t="inlineStr">
        <is>
          <t>마케팅4팀</t>
        </is>
      </c>
      <c r="D199" s="55">
        <f>IF($D$198="","",$D$198)</f>
        <v/>
      </c>
      <c r="E199" s="57" t="inlineStr">
        <is>
          <t>이미지</t>
        </is>
      </c>
      <c r="F199" s="44" t="n"/>
      <c r="G199" s="58">
        <f>IF($G$198="","",$G$198)</f>
        <v/>
      </c>
      <c r="H199" s="59" t="n"/>
      <c r="I199" s="59" t="n"/>
      <c r="J199" s="59" t="n"/>
      <c r="K199" s="59" t="n"/>
      <c r="L199" s="60">
        <f>IF(SUM(U199:AY199)=0,"",SUM(U199:AY199))</f>
        <v/>
      </c>
      <c r="M199" s="61">
        <f>IFERROR(INDEX(U$2:AY$2,MATCH(TRUE,INDEX(U199:AY199&lt;&gt;"",0),0)),"")</f>
        <v/>
      </c>
      <c r="N199" s="61">
        <f>IFERROR(LOOKUP(2,1/(U199:AY199&lt;&gt;""),U$2:AY$2),"")</f>
        <v/>
      </c>
      <c r="O199" s="59" t="n"/>
      <c r="P199" s="59" t="n"/>
      <c r="Q199" s="59" t="n"/>
      <c r="R199" s="59" t="n"/>
      <c r="S199" s="14" t="n"/>
      <c r="U199" s="53" t="n"/>
      <c r="V199" s="53" t="n"/>
      <c r="W199" s="53" t="n"/>
      <c r="X199" s="53" t="n"/>
      <c r="Y199" s="53" t="n"/>
      <c r="Z199" s="53" t="n"/>
      <c r="AA199" s="53" t="n"/>
      <c r="AB199" s="53" t="n"/>
      <c r="AC199" s="53" t="n"/>
      <c r="AD199" s="53" t="n"/>
      <c r="AE199" s="53" t="n"/>
      <c r="AF199" s="53" t="n"/>
      <c r="AG199" s="53" t="n"/>
      <c r="AH199" s="53" t="n"/>
      <c r="AI199" s="53" t="n"/>
      <c r="AJ199" s="53" t="n"/>
      <c r="AK199" s="53" t="n"/>
      <c r="AL199" s="53" t="n"/>
      <c r="AM199" s="53" t="n"/>
      <c r="AN199" s="53" t="n"/>
      <c r="AO199" s="53" t="n"/>
      <c r="AP199" s="53" t="n"/>
      <c r="AQ199" s="53" t="n"/>
      <c r="AR199" s="53" t="n"/>
      <c r="AS199" s="53" t="n"/>
      <c r="AT199" s="53" t="n"/>
      <c r="AU199" s="53" t="n"/>
      <c r="AV199" s="53" t="n"/>
      <c r="AW199" s="53" t="n"/>
      <c r="AX199" s="53" t="n"/>
      <c r="AY199" s="53" t="n"/>
    </row>
    <row r="200" ht="15" customHeight="1">
      <c r="A200" s="62" t="n"/>
      <c r="B200" s="55">
        <f>IF($B$198="","",$B$198)</f>
        <v/>
      </c>
      <c r="C200" s="63" t="inlineStr">
        <is>
          <t>마케팅4팀</t>
        </is>
      </c>
      <c r="D200" s="55">
        <f>IF($D$198="","",$D$198)</f>
        <v/>
      </c>
      <c r="E200" s="64" t="inlineStr">
        <is>
          <t>영상</t>
        </is>
      </c>
      <c r="F200" s="44" t="n"/>
      <c r="G200" s="58">
        <f>IF($G$198="","",$G$198)</f>
        <v/>
      </c>
      <c r="H200" s="59" t="n"/>
      <c r="I200" s="59" t="n"/>
      <c r="J200" s="59" t="n"/>
      <c r="K200" s="59" t="n"/>
      <c r="L200" s="65">
        <f>IF(SUM(U200:AY200)=0,"",SUM(U200:AY200))</f>
        <v/>
      </c>
      <c r="M200" s="66">
        <f>IFERROR(INDEX(U$2:AY$2,MATCH(TRUE,INDEX(U200:AY200&lt;&gt;"",0),0)),"")</f>
        <v/>
      </c>
      <c r="N200" s="66">
        <f>IFERROR(LOOKUP(2,1/(U200:AY200&lt;&gt;""),U$2:AY$2),"")</f>
        <v/>
      </c>
      <c r="O200" s="59" t="n"/>
      <c r="P200" s="59" t="n"/>
      <c r="Q200" s="59" t="n"/>
      <c r="R200" s="59" t="n"/>
      <c r="S200" s="14" t="n"/>
      <c r="U200" s="53" t="n"/>
      <c r="V200" s="53" t="n"/>
      <c r="W200" s="53" t="n"/>
      <c r="X200" s="53" t="n"/>
      <c r="Y200" s="53" t="n"/>
      <c r="Z200" s="53" t="n"/>
      <c r="AA200" s="53" t="n"/>
      <c r="AB200" s="53" t="n"/>
      <c r="AC200" s="53" t="n"/>
      <c r="AD200" s="53" t="n"/>
      <c r="AE200" s="53" t="n"/>
      <c r="AF200" s="53" t="n"/>
      <c r="AG200" s="53" t="n"/>
      <c r="AH200" s="53" t="n"/>
      <c r="AI200" s="53" t="n"/>
      <c r="AJ200" s="53" t="n"/>
      <c r="AK200" s="53" t="n"/>
      <c r="AL200" s="53" t="n"/>
      <c r="AM200" s="53" t="n"/>
      <c r="AN200" s="53" t="n"/>
      <c r="AO200" s="53" t="n"/>
      <c r="AP200" s="53" t="n"/>
      <c r="AQ200" s="53" t="n"/>
      <c r="AR200" s="53" t="n"/>
      <c r="AS200" s="53" t="n"/>
      <c r="AT200" s="53" t="n"/>
      <c r="AU200" s="53" t="n"/>
      <c r="AV200" s="53" t="n"/>
      <c r="AW200" s="53" t="n"/>
      <c r="AX200" s="53" t="n"/>
      <c r="AY200" s="53" t="n"/>
    </row>
    <row r="201" ht="15" customHeight="1">
      <c r="A201" s="40">
        <f>IF($D$201="","",64)</f>
        <v/>
      </c>
      <c r="B201" s="10" t="n"/>
      <c r="C201" s="41" t="inlineStr">
        <is>
          <t>마케팅4팀</t>
        </is>
      </c>
      <c r="D201" s="42" t="n"/>
      <c r="E201" s="43" t="inlineStr">
        <is>
          <t>기획</t>
        </is>
      </c>
      <c r="F201" s="44" t="n"/>
      <c r="G201" s="45" t="n"/>
      <c r="H201" s="46">
        <f>IF($I$201="","",IF($I$201&lt;0,"🔴지연",IF($I$201&lt;=1,"🟡임박","🟢여유")))</f>
        <v/>
      </c>
      <c r="I201" s="47">
        <f>IF(OR($G$201="",$K$201=""),"",$G$201-$K$201)</f>
        <v/>
      </c>
      <c r="J201" s="48">
        <f>IF(SUM($L$201:$L$203)=0,"",SUM($L$201:$L$203))</f>
        <v/>
      </c>
      <c r="K201" s="49">
        <f>IF($J$201="","",MAX($N$201:$N$203))</f>
        <v/>
      </c>
      <c r="L201" s="50">
        <f>IF(SUM(U201:AY201)=0,"",SUM(U201:AY201))</f>
        <v/>
      </c>
      <c r="M201" s="51">
        <f>IFERROR(INDEX(U$2:AY$2,MATCH(TRUE,INDEX(U201:AY201&lt;&gt;"",0),0)),"")</f>
        <v/>
      </c>
      <c r="N201" s="51">
        <f>IFERROR(LOOKUP(2,1/(U201:AY201&lt;&gt;""),U$2:AY$2),"")</f>
        <v/>
      </c>
      <c r="O201" s="52" t="n"/>
      <c r="P201" s="52" t="n"/>
      <c r="Q201" s="52" t="n"/>
      <c r="R201" s="44" t="n"/>
      <c r="S201" s="14" t="n"/>
      <c r="U201" s="53" t="n"/>
      <c r="V201" s="53" t="n"/>
      <c r="W201" s="53" t="n"/>
      <c r="X201" s="53" t="n"/>
      <c r="Y201" s="53" t="n"/>
      <c r="Z201" s="53" t="n"/>
      <c r="AA201" s="53" t="n"/>
      <c r="AB201" s="53" t="n"/>
      <c r="AC201" s="53" t="n"/>
      <c r="AD201" s="53" t="n"/>
      <c r="AE201" s="53" t="n"/>
      <c r="AF201" s="53" t="n"/>
      <c r="AG201" s="53" t="n"/>
      <c r="AH201" s="53" t="n"/>
      <c r="AI201" s="53" t="n"/>
      <c r="AJ201" s="53" t="n"/>
      <c r="AK201" s="53" t="n"/>
      <c r="AL201" s="53" t="n"/>
      <c r="AM201" s="53" t="n"/>
      <c r="AN201" s="53" t="n"/>
      <c r="AO201" s="53" t="n"/>
      <c r="AP201" s="53" t="n"/>
      <c r="AQ201" s="53" t="n"/>
      <c r="AR201" s="53" t="n"/>
      <c r="AS201" s="53" t="n"/>
      <c r="AT201" s="53" t="n"/>
      <c r="AU201" s="53" t="n"/>
      <c r="AV201" s="53" t="n"/>
      <c r="AW201" s="53" t="n"/>
      <c r="AX201" s="53" t="n"/>
      <c r="AY201" s="53" t="n"/>
    </row>
    <row r="202" ht="15" customHeight="1">
      <c r="A202" s="54" t="n"/>
      <c r="B202" s="55">
        <f>IF($B$201="","",$B$201)</f>
        <v/>
      </c>
      <c r="C202" s="56" t="inlineStr">
        <is>
          <t>마케팅4팀</t>
        </is>
      </c>
      <c r="D202" s="55">
        <f>IF($D$201="","",$D$201)</f>
        <v/>
      </c>
      <c r="E202" s="57" t="inlineStr">
        <is>
          <t>이미지</t>
        </is>
      </c>
      <c r="F202" s="44" t="n"/>
      <c r="G202" s="58">
        <f>IF($G$201="","",$G$201)</f>
        <v/>
      </c>
      <c r="H202" s="59" t="n"/>
      <c r="I202" s="59" t="n"/>
      <c r="J202" s="59" t="n"/>
      <c r="K202" s="59" t="n"/>
      <c r="L202" s="60">
        <f>IF(SUM(U202:AY202)=0,"",SUM(U202:AY202))</f>
        <v/>
      </c>
      <c r="M202" s="61">
        <f>IFERROR(INDEX(U$2:AY$2,MATCH(TRUE,INDEX(U202:AY202&lt;&gt;"",0),0)),"")</f>
        <v/>
      </c>
      <c r="N202" s="61">
        <f>IFERROR(LOOKUP(2,1/(U202:AY202&lt;&gt;""),U$2:AY$2),"")</f>
        <v/>
      </c>
      <c r="O202" s="59" t="n"/>
      <c r="P202" s="59" t="n"/>
      <c r="Q202" s="59" t="n"/>
      <c r="R202" s="59" t="n"/>
      <c r="S202" s="14" t="n"/>
      <c r="U202" s="53" t="n"/>
      <c r="V202" s="53" t="n"/>
      <c r="W202" s="53" t="n"/>
      <c r="X202" s="53" t="n"/>
      <c r="Y202" s="53" t="n"/>
      <c r="Z202" s="53" t="n"/>
      <c r="AA202" s="53" t="n"/>
      <c r="AB202" s="53" t="n"/>
      <c r="AC202" s="53" t="n"/>
      <c r="AD202" s="53" t="n"/>
      <c r="AE202" s="53" t="n"/>
      <c r="AF202" s="53" t="n"/>
      <c r="AG202" s="53" t="n"/>
      <c r="AH202" s="53" t="n"/>
      <c r="AI202" s="53" t="n"/>
      <c r="AJ202" s="53" t="n"/>
      <c r="AK202" s="53" t="n"/>
      <c r="AL202" s="53" t="n"/>
      <c r="AM202" s="53" t="n"/>
      <c r="AN202" s="53" t="n"/>
      <c r="AO202" s="53" t="n"/>
      <c r="AP202" s="53" t="n"/>
      <c r="AQ202" s="53" t="n"/>
      <c r="AR202" s="53" t="n"/>
      <c r="AS202" s="53" t="n"/>
      <c r="AT202" s="53" t="n"/>
      <c r="AU202" s="53" t="n"/>
      <c r="AV202" s="53" t="n"/>
      <c r="AW202" s="53" t="n"/>
      <c r="AX202" s="53" t="n"/>
      <c r="AY202" s="53" t="n"/>
    </row>
    <row r="203" ht="15" customHeight="1">
      <c r="A203" s="62" t="n"/>
      <c r="B203" s="55">
        <f>IF($B$201="","",$B$201)</f>
        <v/>
      </c>
      <c r="C203" s="63" t="inlineStr">
        <is>
          <t>마케팅4팀</t>
        </is>
      </c>
      <c r="D203" s="55">
        <f>IF($D$201="","",$D$201)</f>
        <v/>
      </c>
      <c r="E203" s="64" t="inlineStr">
        <is>
          <t>영상</t>
        </is>
      </c>
      <c r="F203" s="44" t="n"/>
      <c r="G203" s="58">
        <f>IF($G$201="","",$G$201)</f>
        <v/>
      </c>
      <c r="H203" s="59" t="n"/>
      <c r="I203" s="59" t="n"/>
      <c r="J203" s="59" t="n"/>
      <c r="K203" s="59" t="n"/>
      <c r="L203" s="65">
        <f>IF(SUM(U203:AY203)=0,"",SUM(U203:AY203))</f>
        <v/>
      </c>
      <c r="M203" s="66">
        <f>IFERROR(INDEX(U$2:AY$2,MATCH(TRUE,INDEX(U203:AY203&lt;&gt;"",0),0)),"")</f>
        <v/>
      </c>
      <c r="N203" s="66">
        <f>IFERROR(LOOKUP(2,1/(U203:AY203&lt;&gt;""),U$2:AY$2),"")</f>
        <v/>
      </c>
      <c r="O203" s="59" t="n"/>
      <c r="P203" s="59" t="n"/>
      <c r="Q203" s="59" t="n"/>
      <c r="R203" s="59" t="n"/>
      <c r="S203" s="14" t="n"/>
      <c r="U203" s="53" t="n"/>
      <c r="V203" s="53" t="n"/>
      <c r="W203" s="53" t="n"/>
      <c r="X203" s="53" t="n"/>
      <c r="Y203" s="53" t="n"/>
      <c r="Z203" s="53" t="n"/>
      <c r="AA203" s="53" t="n"/>
      <c r="AB203" s="53" t="n"/>
      <c r="AC203" s="53" t="n"/>
      <c r="AD203" s="53" t="n"/>
      <c r="AE203" s="53" t="n"/>
      <c r="AF203" s="53" t="n"/>
      <c r="AG203" s="53" t="n"/>
      <c r="AH203" s="53" t="n"/>
      <c r="AI203" s="53" t="n"/>
      <c r="AJ203" s="53" t="n"/>
      <c r="AK203" s="53" t="n"/>
      <c r="AL203" s="53" t="n"/>
      <c r="AM203" s="53" t="n"/>
      <c r="AN203" s="53" t="n"/>
      <c r="AO203" s="53" t="n"/>
      <c r="AP203" s="53" t="n"/>
      <c r="AQ203" s="53" t="n"/>
      <c r="AR203" s="53" t="n"/>
      <c r="AS203" s="53" t="n"/>
      <c r="AT203" s="53" t="n"/>
      <c r="AU203" s="53" t="n"/>
      <c r="AV203" s="53" t="n"/>
      <c r="AW203" s="53" t="n"/>
      <c r="AX203" s="53" t="n"/>
      <c r="AY203" s="53" t="n"/>
    </row>
    <row r="204" ht="15" customHeight="1">
      <c r="A204" s="40">
        <f>IF($D$204="","",65)</f>
        <v/>
      </c>
      <c r="B204" s="10" t="n"/>
      <c r="C204" s="41" t="inlineStr">
        <is>
          <t>마케팅4팀</t>
        </is>
      </c>
      <c r="D204" s="42" t="n"/>
      <c r="E204" s="43" t="inlineStr">
        <is>
          <t>기획</t>
        </is>
      </c>
      <c r="F204" s="44" t="n"/>
      <c r="G204" s="45" t="n"/>
      <c r="H204" s="46">
        <f>IF($I$204="","",IF($I$204&lt;0,"🔴지연",IF($I$204&lt;=1,"🟡임박","🟢여유")))</f>
        <v/>
      </c>
      <c r="I204" s="47">
        <f>IF(OR($G$204="",$K$204=""),"",$G$204-$K$204)</f>
        <v/>
      </c>
      <c r="J204" s="48">
        <f>IF(SUM($L$204:$L$206)=0,"",SUM($L$204:$L$206))</f>
        <v/>
      </c>
      <c r="K204" s="49">
        <f>IF($J$204="","",MAX($N$204:$N$206))</f>
        <v/>
      </c>
      <c r="L204" s="50">
        <f>IF(SUM(U204:AY204)=0,"",SUM(U204:AY204))</f>
        <v/>
      </c>
      <c r="M204" s="51">
        <f>IFERROR(INDEX(U$2:AY$2,MATCH(TRUE,INDEX(U204:AY204&lt;&gt;"",0),0)),"")</f>
        <v/>
      </c>
      <c r="N204" s="51">
        <f>IFERROR(LOOKUP(2,1/(U204:AY204&lt;&gt;""),U$2:AY$2),"")</f>
        <v/>
      </c>
      <c r="O204" s="52" t="n"/>
      <c r="P204" s="52" t="n"/>
      <c r="Q204" s="52" t="n"/>
      <c r="R204" s="44" t="n"/>
      <c r="S204" s="14" t="n"/>
      <c r="U204" s="53" t="n"/>
      <c r="V204" s="53" t="n"/>
      <c r="W204" s="53" t="n"/>
      <c r="X204" s="53" t="n"/>
      <c r="Y204" s="53" t="n"/>
      <c r="Z204" s="53" t="n"/>
      <c r="AA204" s="53" t="n"/>
      <c r="AB204" s="53" t="n"/>
      <c r="AC204" s="53" t="n"/>
      <c r="AD204" s="53" t="n"/>
      <c r="AE204" s="53" t="n"/>
      <c r="AF204" s="53" t="n"/>
      <c r="AG204" s="53" t="n"/>
      <c r="AH204" s="53" t="n"/>
      <c r="AI204" s="53" t="n"/>
      <c r="AJ204" s="53" t="n"/>
      <c r="AK204" s="53" t="n"/>
      <c r="AL204" s="53" t="n"/>
      <c r="AM204" s="53" t="n"/>
      <c r="AN204" s="53" t="n"/>
      <c r="AO204" s="53" t="n"/>
      <c r="AP204" s="53" t="n"/>
      <c r="AQ204" s="53" t="n"/>
      <c r="AR204" s="53" t="n"/>
      <c r="AS204" s="53" t="n"/>
      <c r="AT204" s="53" t="n"/>
      <c r="AU204" s="53" t="n"/>
      <c r="AV204" s="53" t="n"/>
      <c r="AW204" s="53" t="n"/>
      <c r="AX204" s="53" t="n"/>
      <c r="AY204" s="53" t="n"/>
    </row>
    <row r="205" ht="15" customHeight="1">
      <c r="A205" s="54" t="n"/>
      <c r="B205" s="55">
        <f>IF($B$204="","",$B$204)</f>
        <v/>
      </c>
      <c r="C205" s="56" t="inlineStr">
        <is>
          <t>마케팅4팀</t>
        </is>
      </c>
      <c r="D205" s="55">
        <f>IF($D$204="","",$D$204)</f>
        <v/>
      </c>
      <c r="E205" s="57" t="inlineStr">
        <is>
          <t>이미지</t>
        </is>
      </c>
      <c r="F205" s="44" t="n"/>
      <c r="G205" s="58">
        <f>IF($G$204="","",$G$204)</f>
        <v/>
      </c>
      <c r="H205" s="59" t="n"/>
      <c r="I205" s="59" t="n"/>
      <c r="J205" s="59" t="n"/>
      <c r="K205" s="59" t="n"/>
      <c r="L205" s="60">
        <f>IF(SUM(U205:AY205)=0,"",SUM(U205:AY205))</f>
        <v/>
      </c>
      <c r="M205" s="61">
        <f>IFERROR(INDEX(U$2:AY$2,MATCH(TRUE,INDEX(U205:AY205&lt;&gt;"",0),0)),"")</f>
        <v/>
      </c>
      <c r="N205" s="61">
        <f>IFERROR(LOOKUP(2,1/(U205:AY205&lt;&gt;""),U$2:AY$2),"")</f>
        <v/>
      </c>
      <c r="O205" s="59" t="n"/>
      <c r="P205" s="59" t="n"/>
      <c r="Q205" s="59" t="n"/>
      <c r="R205" s="59" t="n"/>
      <c r="S205" s="14" t="n"/>
      <c r="U205" s="53" t="n"/>
      <c r="V205" s="53" t="n"/>
      <c r="W205" s="53" t="n"/>
      <c r="X205" s="53" t="n"/>
      <c r="Y205" s="53" t="n"/>
      <c r="Z205" s="53" t="n"/>
      <c r="AA205" s="53" t="n"/>
      <c r="AB205" s="53" t="n"/>
      <c r="AC205" s="53" t="n"/>
      <c r="AD205" s="53" t="n"/>
      <c r="AE205" s="53" t="n"/>
      <c r="AF205" s="53" t="n"/>
      <c r="AG205" s="53" t="n"/>
      <c r="AH205" s="53" t="n"/>
      <c r="AI205" s="53" t="n"/>
      <c r="AJ205" s="53" t="n"/>
      <c r="AK205" s="53" t="n"/>
      <c r="AL205" s="53" t="n"/>
      <c r="AM205" s="53" t="n"/>
      <c r="AN205" s="53" t="n"/>
      <c r="AO205" s="53" t="n"/>
      <c r="AP205" s="53" t="n"/>
      <c r="AQ205" s="53" t="n"/>
      <c r="AR205" s="53" t="n"/>
      <c r="AS205" s="53" t="n"/>
      <c r="AT205" s="53" t="n"/>
      <c r="AU205" s="53" t="n"/>
      <c r="AV205" s="53" t="n"/>
      <c r="AW205" s="53" t="n"/>
      <c r="AX205" s="53" t="n"/>
      <c r="AY205" s="53" t="n"/>
    </row>
    <row r="206" ht="15" customHeight="1">
      <c r="A206" s="62" t="n"/>
      <c r="B206" s="55">
        <f>IF($B$204="","",$B$204)</f>
        <v/>
      </c>
      <c r="C206" s="63" t="inlineStr">
        <is>
          <t>마케팅4팀</t>
        </is>
      </c>
      <c r="D206" s="55">
        <f>IF($D$204="","",$D$204)</f>
        <v/>
      </c>
      <c r="E206" s="64" t="inlineStr">
        <is>
          <t>영상</t>
        </is>
      </c>
      <c r="F206" s="44" t="n"/>
      <c r="G206" s="58">
        <f>IF($G$204="","",$G$204)</f>
        <v/>
      </c>
      <c r="H206" s="59" t="n"/>
      <c r="I206" s="59" t="n"/>
      <c r="J206" s="59" t="n"/>
      <c r="K206" s="59" t="n"/>
      <c r="L206" s="65">
        <f>IF(SUM(U206:AY206)=0,"",SUM(U206:AY206))</f>
        <v/>
      </c>
      <c r="M206" s="66">
        <f>IFERROR(INDEX(U$2:AY$2,MATCH(TRUE,INDEX(U206:AY206&lt;&gt;"",0),0)),"")</f>
        <v/>
      </c>
      <c r="N206" s="66">
        <f>IFERROR(LOOKUP(2,1/(U206:AY206&lt;&gt;""),U$2:AY$2),"")</f>
        <v/>
      </c>
      <c r="O206" s="59" t="n"/>
      <c r="P206" s="59" t="n"/>
      <c r="Q206" s="59" t="n"/>
      <c r="R206" s="59" t="n"/>
      <c r="S206" s="14" t="n"/>
      <c r="U206" s="53" t="n"/>
      <c r="V206" s="53" t="n"/>
      <c r="W206" s="53" t="n"/>
      <c r="X206" s="53" t="n"/>
      <c r="Y206" s="53" t="n"/>
      <c r="Z206" s="53" t="n"/>
      <c r="AA206" s="53" t="n"/>
      <c r="AB206" s="53" t="n"/>
      <c r="AC206" s="53" t="n"/>
      <c r="AD206" s="53" t="n"/>
      <c r="AE206" s="53" t="n"/>
      <c r="AF206" s="53" t="n"/>
      <c r="AG206" s="53" t="n"/>
      <c r="AH206" s="53" t="n"/>
      <c r="AI206" s="53" t="n"/>
      <c r="AJ206" s="53" t="n"/>
      <c r="AK206" s="53" t="n"/>
      <c r="AL206" s="53" t="n"/>
      <c r="AM206" s="53" t="n"/>
      <c r="AN206" s="53" t="n"/>
      <c r="AO206" s="53" t="n"/>
      <c r="AP206" s="53" t="n"/>
      <c r="AQ206" s="53" t="n"/>
      <c r="AR206" s="53" t="n"/>
      <c r="AS206" s="53" t="n"/>
      <c r="AT206" s="53" t="n"/>
      <c r="AU206" s="53" t="n"/>
      <c r="AV206" s="53" t="n"/>
      <c r="AW206" s="53" t="n"/>
      <c r="AX206" s="53" t="n"/>
      <c r="AY206" s="53" t="n"/>
    </row>
    <row r="207" ht="15" customHeight="1">
      <c r="A207" s="40">
        <f>IF($D$207="","",66)</f>
        <v/>
      </c>
      <c r="B207" s="10" t="n"/>
      <c r="C207" s="41" t="inlineStr">
        <is>
          <t>마케팅4팀</t>
        </is>
      </c>
      <c r="D207" s="42" t="n"/>
      <c r="E207" s="43" t="inlineStr">
        <is>
          <t>기획</t>
        </is>
      </c>
      <c r="F207" s="44" t="n"/>
      <c r="G207" s="45" t="n"/>
      <c r="H207" s="46">
        <f>IF($I$207="","",IF($I$207&lt;0,"🔴지연",IF($I$207&lt;=1,"🟡임박","🟢여유")))</f>
        <v/>
      </c>
      <c r="I207" s="47">
        <f>IF(OR($G$207="",$K$207=""),"",$G$207-$K$207)</f>
        <v/>
      </c>
      <c r="J207" s="48">
        <f>IF(SUM($L$207:$L$209)=0,"",SUM($L$207:$L$209))</f>
        <v/>
      </c>
      <c r="K207" s="49">
        <f>IF($J$207="","",MAX($N$207:$N$209))</f>
        <v/>
      </c>
      <c r="L207" s="50">
        <f>IF(SUM(U207:AY207)=0,"",SUM(U207:AY207))</f>
        <v/>
      </c>
      <c r="M207" s="51">
        <f>IFERROR(INDEX(U$2:AY$2,MATCH(TRUE,INDEX(U207:AY207&lt;&gt;"",0),0)),"")</f>
        <v/>
      </c>
      <c r="N207" s="51">
        <f>IFERROR(LOOKUP(2,1/(U207:AY207&lt;&gt;""),U$2:AY$2),"")</f>
        <v/>
      </c>
      <c r="O207" s="52" t="n"/>
      <c r="P207" s="52" t="n"/>
      <c r="Q207" s="52" t="n"/>
      <c r="R207" s="44" t="n"/>
      <c r="S207" s="14" t="n"/>
      <c r="U207" s="53" t="n"/>
      <c r="V207" s="53" t="n"/>
      <c r="W207" s="53" t="n"/>
      <c r="X207" s="53" t="n"/>
      <c r="Y207" s="53" t="n"/>
      <c r="Z207" s="53" t="n"/>
      <c r="AA207" s="53" t="n"/>
      <c r="AB207" s="53" t="n"/>
      <c r="AC207" s="53" t="n"/>
      <c r="AD207" s="53" t="n"/>
      <c r="AE207" s="53" t="n"/>
      <c r="AF207" s="53" t="n"/>
      <c r="AG207" s="53" t="n"/>
      <c r="AH207" s="53" t="n"/>
      <c r="AI207" s="53" t="n"/>
      <c r="AJ207" s="53" t="n"/>
      <c r="AK207" s="53" t="n"/>
      <c r="AL207" s="53" t="n"/>
      <c r="AM207" s="53" t="n"/>
      <c r="AN207" s="53" t="n"/>
      <c r="AO207" s="53" t="n"/>
      <c r="AP207" s="53" t="n"/>
      <c r="AQ207" s="53" t="n"/>
      <c r="AR207" s="53" t="n"/>
      <c r="AS207" s="53" t="n"/>
      <c r="AT207" s="53" t="n"/>
      <c r="AU207" s="53" t="n"/>
      <c r="AV207" s="53" t="n"/>
      <c r="AW207" s="53" t="n"/>
      <c r="AX207" s="53" t="n"/>
      <c r="AY207" s="53" t="n"/>
    </row>
    <row r="208" ht="15" customHeight="1">
      <c r="A208" s="54" t="n"/>
      <c r="B208" s="55">
        <f>IF($B$207="","",$B$207)</f>
        <v/>
      </c>
      <c r="C208" s="56" t="inlineStr">
        <is>
          <t>마케팅4팀</t>
        </is>
      </c>
      <c r="D208" s="55">
        <f>IF($D$207="","",$D$207)</f>
        <v/>
      </c>
      <c r="E208" s="57" t="inlineStr">
        <is>
          <t>이미지</t>
        </is>
      </c>
      <c r="F208" s="44" t="n"/>
      <c r="G208" s="58">
        <f>IF($G$207="","",$G$207)</f>
        <v/>
      </c>
      <c r="H208" s="59" t="n"/>
      <c r="I208" s="59" t="n"/>
      <c r="J208" s="59" t="n"/>
      <c r="K208" s="59" t="n"/>
      <c r="L208" s="60">
        <f>IF(SUM(U208:AY208)=0,"",SUM(U208:AY208))</f>
        <v/>
      </c>
      <c r="M208" s="61">
        <f>IFERROR(INDEX(U$2:AY$2,MATCH(TRUE,INDEX(U208:AY208&lt;&gt;"",0),0)),"")</f>
        <v/>
      </c>
      <c r="N208" s="61">
        <f>IFERROR(LOOKUP(2,1/(U208:AY208&lt;&gt;""),U$2:AY$2),"")</f>
        <v/>
      </c>
      <c r="O208" s="59" t="n"/>
      <c r="P208" s="59" t="n"/>
      <c r="Q208" s="59" t="n"/>
      <c r="R208" s="59" t="n"/>
      <c r="S208" s="14" t="n"/>
      <c r="U208" s="53" t="n"/>
      <c r="V208" s="53" t="n"/>
      <c r="W208" s="53" t="n"/>
      <c r="X208" s="53" t="n"/>
      <c r="Y208" s="53" t="n"/>
      <c r="Z208" s="53" t="n"/>
      <c r="AA208" s="53" t="n"/>
      <c r="AB208" s="53" t="n"/>
      <c r="AC208" s="53" t="n"/>
      <c r="AD208" s="53" t="n"/>
      <c r="AE208" s="53" t="n"/>
      <c r="AF208" s="53" t="n"/>
      <c r="AG208" s="53" t="n"/>
      <c r="AH208" s="53" t="n"/>
      <c r="AI208" s="53" t="n"/>
      <c r="AJ208" s="53" t="n"/>
      <c r="AK208" s="53" t="n"/>
      <c r="AL208" s="53" t="n"/>
      <c r="AM208" s="53" t="n"/>
      <c r="AN208" s="53" t="n"/>
      <c r="AO208" s="53" t="n"/>
      <c r="AP208" s="53" t="n"/>
      <c r="AQ208" s="53" t="n"/>
      <c r="AR208" s="53" t="n"/>
      <c r="AS208" s="53" t="n"/>
      <c r="AT208" s="53" t="n"/>
      <c r="AU208" s="53" t="n"/>
      <c r="AV208" s="53" t="n"/>
      <c r="AW208" s="53" t="n"/>
      <c r="AX208" s="53" t="n"/>
      <c r="AY208" s="53" t="n"/>
    </row>
    <row r="209" ht="15" customHeight="1">
      <c r="A209" s="62" t="n"/>
      <c r="B209" s="55">
        <f>IF($B$207="","",$B$207)</f>
        <v/>
      </c>
      <c r="C209" s="63" t="inlineStr">
        <is>
          <t>마케팅4팀</t>
        </is>
      </c>
      <c r="D209" s="55">
        <f>IF($D$207="","",$D$207)</f>
        <v/>
      </c>
      <c r="E209" s="64" t="inlineStr">
        <is>
          <t>영상</t>
        </is>
      </c>
      <c r="F209" s="44" t="n"/>
      <c r="G209" s="58">
        <f>IF($G$207="","",$G$207)</f>
        <v/>
      </c>
      <c r="H209" s="59" t="n"/>
      <c r="I209" s="59" t="n"/>
      <c r="J209" s="59" t="n"/>
      <c r="K209" s="59" t="n"/>
      <c r="L209" s="65">
        <f>IF(SUM(U209:AY209)=0,"",SUM(U209:AY209))</f>
        <v/>
      </c>
      <c r="M209" s="66">
        <f>IFERROR(INDEX(U$2:AY$2,MATCH(TRUE,INDEX(U209:AY209&lt;&gt;"",0),0)),"")</f>
        <v/>
      </c>
      <c r="N209" s="66">
        <f>IFERROR(LOOKUP(2,1/(U209:AY209&lt;&gt;""),U$2:AY$2),"")</f>
        <v/>
      </c>
      <c r="O209" s="59" t="n"/>
      <c r="P209" s="59" t="n"/>
      <c r="Q209" s="59" t="n"/>
      <c r="R209" s="59" t="n"/>
      <c r="S209" s="14" t="n"/>
      <c r="U209" s="53" t="n"/>
      <c r="V209" s="53" t="n"/>
      <c r="W209" s="53" t="n"/>
      <c r="X209" s="53" t="n"/>
      <c r="Y209" s="53" t="n"/>
      <c r="Z209" s="53" t="n"/>
      <c r="AA209" s="53" t="n"/>
      <c r="AB209" s="53" t="n"/>
      <c r="AC209" s="53" t="n"/>
      <c r="AD209" s="53" t="n"/>
      <c r="AE209" s="53" t="n"/>
      <c r="AF209" s="53" t="n"/>
      <c r="AG209" s="53" t="n"/>
      <c r="AH209" s="53" t="n"/>
      <c r="AI209" s="53" t="n"/>
      <c r="AJ209" s="53" t="n"/>
      <c r="AK209" s="53" t="n"/>
      <c r="AL209" s="53" t="n"/>
      <c r="AM209" s="53" t="n"/>
      <c r="AN209" s="53" t="n"/>
      <c r="AO209" s="53" t="n"/>
      <c r="AP209" s="53" t="n"/>
      <c r="AQ209" s="53" t="n"/>
      <c r="AR209" s="53" t="n"/>
      <c r="AS209" s="53" t="n"/>
      <c r="AT209" s="53" t="n"/>
      <c r="AU209" s="53" t="n"/>
      <c r="AV209" s="53" t="n"/>
      <c r="AW209" s="53" t="n"/>
      <c r="AX209" s="53" t="n"/>
      <c r="AY209" s="53" t="n"/>
    </row>
    <row r="210" ht="15" customHeight="1">
      <c r="A210" s="40">
        <f>IF($D$210="","",67)</f>
        <v/>
      </c>
      <c r="B210" s="10" t="n"/>
      <c r="C210" s="41" t="inlineStr">
        <is>
          <t>마케팅4팀</t>
        </is>
      </c>
      <c r="D210" s="42" t="n"/>
      <c r="E210" s="43" t="inlineStr">
        <is>
          <t>기획</t>
        </is>
      </c>
      <c r="F210" s="44" t="n"/>
      <c r="G210" s="45" t="n"/>
      <c r="H210" s="46">
        <f>IF($I$210="","",IF($I$210&lt;0,"🔴지연",IF($I$210&lt;=1,"🟡임박","🟢여유")))</f>
        <v/>
      </c>
      <c r="I210" s="47">
        <f>IF(OR($G$210="",$K$210=""),"",$G$210-$K$210)</f>
        <v/>
      </c>
      <c r="J210" s="48">
        <f>IF(SUM($L$210:$L$212)=0,"",SUM($L$210:$L$212))</f>
        <v/>
      </c>
      <c r="K210" s="49">
        <f>IF($J$210="","",MAX($N$210:$N$212))</f>
        <v/>
      </c>
      <c r="L210" s="50">
        <f>IF(SUM(U210:AY210)=0,"",SUM(U210:AY210))</f>
        <v/>
      </c>
      <c r="M210" s="51">
        <f>IFERROR(INDEX(U$2:AY$2,MATCH(TRUE,INDEX(U210:AY210&lt;&gt;"",0),0)),"")</f>
        <v/>
      </c>
      <c r="N210" s="51">
        <f>IFERROR(LOOKUP(2,1/(U210:AY210&lt;&gt;""),U$2:AY$2),"")</f>
        <v/>
      </c>
      <c r="O210" s="52" t="n"/>
      <c r="P210" s="52" t="n"/>
      <c r="Q210" s="52" t="n"/>
      <c r="R210" s="44" t="n"/>
      <c r="S210" s="14" t="n"/>
      <c r="U210" s="53" t="n"/>
      <c r="V210" s="53" t="n"/>
      <c r="W210" s="53" t="n"/>
      <c r="X210" s="53" t="n"/>
      <c r="Y210" s="53" t="n"/>
      <c r="Z210" s="53" t="n"/>
      <c r="AA210" s="53" t="n"/>
      <c r="AB210" s="53" t="n"/>
      <c r="AC210" s="53" t="n"/>
      <c r="AD210" s="53" t="n"/>
      <c r="AE210" s="53" t="n"/>
      <c r="AF210" s="53" t="n"/>
      <c r="AG210" s="53" t="n"/>
      <c r="AH210" s="53" t="n"/>
      <c r="AI210" s="53" t="n"/>
      <c r="AJ210" s="53" t="n"/>
      <c r="AK210" s="53" t="n"/>
      <c r="AL210" s="53" t="n"/>
      <c r="AM210" s="53" t="n"/>
      <c r="AN210" s="53" t="n"/>
      <c r="AO210" s="53" t="n"/>
      <c r="AP210" s="53" t="n"/>
      <c r="AQ210" s="53" t="n"/>
      <c r="AR210" s="53" t="n"/>
      <c r="AS210" s="53" t="n"/>
      <c r="AT210" s="53" t="n"/>
      <c r="AU210" s="53" t="n"/>
      <c r="AV210" s="53" t="n"/>
      <c r="AW210" s="53" t="n"/>
      <c r="AX210" s="53" t="n"/>
      <c r="AY210" s="53" t="n"/>
    </row>
    <row r="211" ht="15" customHeight="1">
      <c r="A211" s="54" t="n"/>
      <c r="B211" s="55">
        <f>IF($B$210="","",$B$210)</f>
        <v/>
      </c>
      <c r="C211" s="56" t="inlineStr">
        <is>
          <t>마케팅4팀</t>
        </is>
      </c>
      <c r="D211" s="55">
        <f>IF($D$210="","",$D$210)</f>
        <v/>
      </c>
      <c r="E211" s="57" t="inlineStr">
        <is>
          <t>이미지</t>
        </is>
      </c>
      <c r="F211" s="44" t="n"/>
      <c r="G211" s="58">
        <f>IF($G$210="","",$G$210)</f>
        <v/>
      </c>
      <c r="H211" s="59" t="n"/>
      <c r="I211" s="59" t="n"/>
      <c r="J211" s="59" t="n"/>
      <c r="K211" s="59" t="n"/>
      <c r="L211" s="60">
        <f>IF(SUM(U211:AY211)=0,"",SUM(U211:AY211))</f>
        <v/>
      </c>
      <c r="M211" s="61">
        <f>IFERROR(INDEX(U$2:AY$2,MATCH(TRUE,INDEX(U211:AY211&lt;&gt;"",0),0)),"")</f>
        <v/>
      </c>
      <c r="N211" s="61">
        <f>IFERROR(LOOKUP(2,1/(U211:AY211&lt;&gt;""),U$2:AY$2),"")</f>
        <v/>
      </c>
      <c r="O211" s="59" t="n"/>
      <c r="P211" s="59" t="n"/>
      <c r="Q211" s="59" t="n"/>
      <c r="R211" s="59" t="n"/>
      <c r="S211" s="14" t="n"/>
      <c r="U211" s="53" t="n"/>
      <c r="V211" s="53" t="n"/>
      <c r="W211" s="53" t="n"/>
      <c r="X211" s="53" t="n"/>
      <c r="Y211" s="53" t="n"/>
      <c r="Z211" s="53" t="n"/>
      <c r="AA211" s="53" t="n"/>
      <c r="AB211" s="53" t="n"/>
      <c r="AC211" s="53" t="n"/>
      <c r="AD211" s="53" t="n"/>
      <c r="AE211" s="53" t="n"/>
      <c r="AF211" s="53" t="n"/>
      <c r="AG211" s="53" t="n"/>
      <c r="AH211" s="53" t="n"/>
      <c r="AI211" s="53" t="n"/>
      <c r="AJ211" s="53" t="n"/>
      <c r="AK211" s="53" t="n"/>
      <c r="AL211" s="53" t="n"/>
      <c r="AM211" s="53" t="n"/>
      <c r="AN211" s="53" t="n"/>
      <c r="AO211" s="53" t="n"/>
      <c r="AP211" s="53" t="n"/>
      <c r="AQ211" s="53" t="n"/>
      <c r="AR211" s="53" t="n"/>
      <c r="AS211" s="53" t="n"/>
      <c r="AT211" s="53" t="n"/>
      <c r="AU211" s="53" t="n"/>
      <c r="AV211" s="53" t="n"/>
      <c r="AW211" s="53" t="n"/>
      <c r="AX211" s="53" t="n"/>
      <c r="AY211" s="53" t="n"/>
    </row>
    <row r="212" ht="15" customHeight="1">
      <c r="A212" s="62" t="n"/>
      <c r="B212" s="55">
        <f>IF($B$210="","",$B$210)</f>
        <v/>
      </c>
      <c r="C212" s="63" t="inlineStr">
        <is>
          <t>마케팅4팀</t>
        </is>
      </c>
      <c r="D212" s="55">
        <f>IF($D$210="","",$D$210)</f>
        <v/>
      </c>
      <c r="E212" s="64" t="inlineStr">
        <is>
          <t>영상</t>
        </is>
      </c>
      <c r="F212" s="44" t="n"/>
      <c r="G212" s="58">
        <f>IF($G$210="","",$G$210)</f>
        <v/>
      </c>
      <c r="H212" s="59" t="n"/>
      <c r="I212" s="59" t="n"/>
      <c r="J212" s="59" t="n"/>
      <c r="K212" s="59" t="n"/>
      <c r="L212" s="65">
        <f>IF(SUM(U212:AY212)=0,"",SUM(U212:AY212))</f>
        <v/>
      </c>
      <c r="M212" s="66">
        <f>IFERROR(INDEX(U$2:AY$2,MATCH(TRUE,INDEX(U212:AY212&lt;&gt;"",0),0)),"")</f>
        <v/>
      </c>
      <c r="N212" s="66">
        <f>IFERROR(LOOKUP(2,1/(U212:AY212&lt;&gt;""),U$2:AY$2),"")</f>
        <v/>
      </c>
      <c r="O212" s="59" t="n"/>
      <c r="P212" s="59" t="n"/>
      <c r="Q212" s="59" t="n"/>
      <c r="R212" s="59" t="n"/>
      <c r="S212" s="14" t="n"/>
      <c r="U212" s="53" t="n"/>
      <c r="V212" s="53" t="n"/>
      <c r="W212" s="53" t="n"/>
      <c r="X212" s="53" t="n"/>
      <c r="Y212" s="53" t="n"/>
      <c r="Z212" s="53" t="n"/>
      <c r="AA212" s="53" t="n"/>
      <c r="AB212" s="53" t="n"/>
      <c r="AC212" s="53" t="n"/>
      <c r="AD212" s="53" t="n"/>
      <c r="AE212" s="53" t="n"/>
      <c r="AF212" s="53" t="n"/>
      <c r="AG212" s="53" t="n"/>
      <c r="AH212" s="53" t="n"/>
      <c r="AI212" s="53" t="n"/>
      <c r="AJ212" s="53" t="n"/>
      <c r="AK212" s="53" t="n"/>
      <c r="AL212" s="53" t="n"/>
      <c r="AM212" s="53" t="n"/>
      <c r="AN212" s="53" t="n"/>
      <c r="AO212" s="53" t="n"/>
      <c r="AP212" s="53" t="n"/>
      <c r="AQ212" s="53" t="n"/>
      <c r="AR212" s="53" t="n"/>
      <c r="AS212" s="53" t="n"/>
      <c r="AT212" s="53" t="n"/>
      <c r="AU212" s="53" t="n"/>
      <c r="AV212" s="53" t="n"/>
      <c r="AW212" s="53" t="n"/>
      <c r="AX212" s="53" t="n"/>
      <c r="AY212" s="53" t="n"/>
    </row>
    <row r="213" ht="15" customHeight="1">
      <c r="A213" s="40">
        <f>IF($D$213="","",68)</f>
        <v/>
      </c>
      <c r="B213" s="10" t="n"/>
      <c r="C213" s="41" t="inlineStr">
        <is>
          <t>마케팅4팀</t>
        </is>
      </c>
      <c r="D213" s="42" t="n"/>
      <c r="E213" s="43" t="inlineStr">
        <is>
          <t>기획</t>
        </is>
      </c>
      <c r="F213" s="44" t="n"/>
      <c r="G213" s="45" t="n"/>
      <c r="H213" s="46">
        <f>IF($I$213="","",IF($I$213&lt;0,"🔴지연",IF($I$213&lt;=1,"🟡임박","🟢여유")))</f>
        <v/>
      </c>
      <c r="I213" s="47">
        <f>IF(OR($G$213="",$K$213=""),"",$G$213-$K$213)</f>
        <v/>
      </c>
      <c r="J213" s="48">
        <f>IF(SUM($L$213:$L$215)=0,"",SUM($L$213:$L$215))</f>
        <v/>
      </c>
      <c r="K213" s="49">
        <f>IF($J$213="","",MAX($N$213:$N$215))</f>
        <v/>
      </c>
      <c r="L213" s="50">
        <f>IF(SUM(U213:AY213)=0,"",SUM(U213:AY213))</f>
        <v/>
      </c>
      <c r="M213" s="51">
        <f>IFERROR(INDEX(U$2:AY$2,MATCH(TRUE,INDEX(U213:AY213&lt;&gt;"",0),0)),"")</f>
        <v/>
      </c>
      <c r="N213" s="51">
        <f>IFERROR(LOOKUP(2,1/(U213:AY213&lt;&gt;""),U$2:AY$2),"")</f>
        <v/>
      </c>
      <c r="O213" s="52" t="n"/>
      <c r="P213" s="52" t="n"/>
      <c r="Q213" s="52" t="n"/>
      <c r="R213" s="44" t="n"/>
      <c r="S213" s="14" t="n"/>
      <c r="U213" s="53" t="n"/>
      <c r="V213" s="53" t="n"/>
      <c r="W213" s="53" t="n"/>
      <c r="X213" s="53" t="n"/>
      <c r="Y213" s="53" t="n"/>
      <c r="Z213" s="53" t="n"/>
      <c r="AA213" s="53" t="n"/>
      <c r="AB213" s="53" t="n"/>
      <c r="AC213" s="53" t="n"/>
      <c r="AD213" s="53" t="n"/>
      <c r="AE213" s="53" t="n"/>
      <c r="AF213" s="53" t="n"/>
      <c r="AG213" s="53" t="n"/>
      <c r="AH213" s="53" t="n"/>
      <c r="AI213" s="53" t="n"/>
      <c r="AJ213" s="53" t="n"/>
      <c r="AK213" s="53" t="n"/>
      <c r="AL213" s="53" t="n"/>
      <c r="AM213" s="53" t="n"/>
      <c r="AN213" s="53" t="n"/>
      <c r="AO213" s="53" t="n"/>
      <c r="AP213" s="53" t="n"/>
      <c r="AQ213" s="53" t="n"/>
      <c r="AR213" s="53" t="n"/>
      <c r="AS213" s="53" t="n"/>
      <c r="AT213" s="53" t="n"/>
      <c r="AU213" s="53" t="n"/>
      <c r="AV213" s="53" t="n"/>
      <c r="AW213" s="53" t="n"/>
      <c r="AX213" s="53" t="n"/>
      <c r="AY213" s="53" t="n"/>
    </row>
    <row r="214" ht="15" customHeight="1">
      <c r="A214" s="54" t="n"/>
      <c r="B214" s="55">
        <f>IF($B$213="","",$B$213)</f>
        <v/>
      </c>
      <c r="C214" s="56" t="inlineStr">
        <is>
          <t>마케팅4팀</t>
        </is>
      </c>
      <c r="D214" s="55">
        <f>IF($D$213="","",$D$213)</f>
        <v/>
      </c>
      <c r="E214" s="57" t="inlineStr">
        <is>
          <t>이미지</t>
        </is>
      </c>
      <c r="F214" s="44" t="n"/>
      <c r="G214" s="58">
        <f>IF($G$213="","",$G$213)</f>
        <v/>
      </c>
      <c r="H214" s="59" t="n"/>
      <c r="I214" s="59" t="n"/>
      <c r="J214" s="59" t="n"/>
      <c r="K214" s="59" t="n"/>
      <c r="L214" s="60">
        <f>IF(SUM(U214:AY214)=0,"",SUM(U214:AY214))</f>
        <v/>
      </c>
      <c r="M214" s="61">
        <f>IFERROR(INDEX(U$2:AY$2,MATCH(TRUE,INDEX(U214:AY214&lt;&gt;"",0),0)),"")</f>
        <v/>
      </c>
      <c r="N214" s="61">
        <f>IFERROR(LOOKUP(2,1/(U214:AY214&lt;&gt;""),U$2:AY$2),"")</f>
        <v/>
      </c>
      <c r="O214" s="59" t="n"/>
      <c r="P214" s="59" t="n"/>
      <c r="Q214" s="59" t="n"/>
      <c r="R214" s="59" t="n"/>
      <c r="S214" s="14" t="n"/>
      <c r="U214" s="53" t="n"/>
      <c r="V214" s="53" t="n"/>
      <c r="W214" s="53" t="n"/>
      <c r="X214" s="53" t="n"/>
      <c r="Y214" s="53" t="n"/>
      <c r="Z214" s="53" t="n"/>
      <c r="AA214" s="53" t="n"/>
      <c r="AB214" s="53" t="n"/>
      <c r="AC214" s="53" t="n"/>
      <c r="AD214" s="53" t="n"/>
      <c r="AE214" s="53" t="n"/>
      <c r="AF214" s="53" t="n"/>
      <c r="AG214" s="53" t="n"/>
      <c r="AH214" s="53" t="n"/>
      <c r="AI214" s="53" t="n"/>
      <c r="AJ214" s="53" t="n"/>
      <c r="AK214" s="53" t="n"/>
      <c r="AL214" s="53" t="n"/>
      <c r="AM214" s="53" t="n"/>
      <c r="AN214" s="53" t="n"/>
      <c r="AO214" s="53" t="n"/>
      <c r="AP214" s="53" t="n"/>
      <c r="AQ214" s="53" t="n"/>
      <c r="AR214" s="53" t="n"/>
      <c r="AS214" s="53" t="n"/>
      <c r="AT214" s="53" t="n"/>
      <c r="AU214" s="53" t="n"/>
      <c r="AV214" s="53" t="n"/>
      <c r="AW214" s="53" t="n"/>
      <c r="AX214" s="53" t="n"/>
      <c r="AY214" s="53" t="n"/>
    </row>
    <row r="215" ht="15" customHeight="1">
      <c r="A215" s="62" t="n"/>
      <c r="B215" s="55">
        <f>IF($B$213="","",$B$213)</f>
        <v/>
      </c>
      <c r="C215" s="63" t="inlineStr">
        <is>
          <t>마케팅4팀</t>
        </is>
      </c>
      <c r="D215" s="55">
        <f>IF($D$213="","",$D$213)</f>
        <v/>
      </c>
      <c r="E215" s="64" t="inlineStr">
        <is>
          <t>영상</t>
        </is>
      </c>
      <c r="F215" s="44" t="n"/>
      <c r="G215" s="58">
        <f>IF($G$213="","",$G$213)</f>
        <v/>
      </c>
      <c r="H215" s="59" t="n"/>
      <c r="I215" s="59" t="n"/>
      <c r="J215" s="59" t="n"/>
      <c r="K215" s="59" t="n"/>
      <c r="L215" s="65">
        <f>IF(SUM(U215:AY215)=0,"",SUM(U215:AY215))</f>
        <v/>
      </c>
      <c r="M215" s="66">
        <f>IFERROR(INDEX(U$2:AY$2,MATCH(TRUE,INDEX(U215:AY215&lt;&gt;"",0),0)),"")</f>
        <v/>
      </c>
      <c r="N215" s="66">
        <f>IFERROR(LOOKUP(2,1/(U215:AY215&lt;&gt;""),U$2:AY$2),"")</f>
        <v/>
      </c>
      <c r="O215" s="59" t="n"/>
      <c r="P215" s="59" t="n"/>
      <c r="Q215" s="59" t="n"/>
      <c r="R215" s="59" t="n"/>
      <c r="S215" s="14" t="n"/>
      <c r="U215" s="53" t="n"/>
      <c r="V215" s="53" t="n"/>
      <c r="W215" s="53" t="n"/>
      <c r="X215" s="53" t="n"/>
      <c r="Y215" s="53" t="n"/>
      <c r="Z215" s="53" t="n"/>
      <c r="AA215" s="53" t="n"/>
      <c r="AB215" s="53" t="n"/>
      <c r="AC215" s="53" t="n"/>
      <c r="AD215" s="53" t="n"/>
      <c r="AE215" s="53" t="n"/>
      <c r="AF215" s="53" t="n"/>
      <c r="AG215" s="53" t="n"/>
      <c r="AH215" s="53" t="n"/>
      <c r="AI215" s="53" t="n"/>
      <c r="AJ215" s="53" t="n"/>
      <c r="AK215" s="53" t="n"/>
      <c r="AL215" s="53" t="n"/>
      <c r="AM215" s="53" t="n"/>
      <c r="AN215" s="53" t="n"/>
      <c r="AO215" s="53" t="n"/>
      <c r="AP215" s="53" t="n"/>
      <c r="AQ215" s="53" t="n"/>
      <c r="AR215" s="53" t="n"/>
      <c r="AS215" s="53" t="n"/>
      <c r="AT215" s="53" t="n"/>
      <c r="AU215" s="53" t="n"/>
      <c r="AV215" s="53" t="n"/>
      <c r="AW215" s="53" t="n"/>
      <c r="AX215" s="53" t="n"/>
      <c r="AY215" s="53" t="n"/>
    </row>
    <row r="216" ht="15" customHeight="1">
      <c r="A216" s="40">
        <f>IF($D$216="","",69)</f>
        <v/>
      </c>
      <c r="B216" s="10" t="n"/>
      <c r="C216" s="41" t="inlineStr">
        <is>
          <t>마케팅4팀</t>
        </is>
      </c>
      <c r="D216" s="42" t="n"/>
      <c r="E216" s="43" t="inlineStr">
        <is>
          <t>기획</t>
        </is>
      </c>
      <c r="F216" s="44" t="n"/>
      <c r="G216" s="45" t="n"/>
      <c r="H216" s="46">
        <f>IF($I$216="","",IF($I$216&lt;0,"🔴지연",IF($I$216&lt;=1,"🟡임박","🟢여유")))</f>
        <v/>
      </c>
      <c r="I216" s="47">
        <f>IF(OR($G$216="",$K$216=""),"",$G$216-$K$216)</f>
        <v/>
      </c>
      <c r="J216" s="48">
        <f>IF(SUM($L$216:$L$218)=0,"",SUM($L$216:$L$218))</f>
        <v/>
      </c>
      <c r="K216" s="49">
        <f>IF($J$216="","",MAX($N$216:$N$218))</f>
        <v/>
      </c>
      <c r="L216" s="50">
        <f>IF(SUM(U216:AY216)=0,"",SUM(U216:AY216))</f>
        <v/>
      </c>
      <c r="M216" s="51">
        <f>IFERROR(INDEX(U$2:AY$2,MATCH(TRUE,INDEX(U216:AY216&lt;&gt;"",0),0)),"")</f>
        <v/>
      </c>
      <c r="N216" s="51">
        <f>IFERROR(LOOKUP(2,1/(U216:AY216&lt;&gt;""),U$2:AY$2),"")</f>
        <v/>
      </c>
      <c r="O216" s="52" t="n"/>
      <c r="P216" s="52" t="n"/>
      <c r="Q216" s="52" t="n"/>
      <c r="R216" s="44" t="n"/>
      <c r="S216" s="14" t="n"/>
      <c r="U216" s="53" t="n"/>
      <c r="V216" s="53" t="n"/>
      <c r="W216" s="53" t="n"/>
      <c r="X216" s="53" t="n"/>
      <c r="Y216" s="53" t="n"/>
      <c r="Z216" s="53" t="n"/>
      <c r="AA216" s="53" t="n"/>
      <c r="AB216" s="53" t="n"/>
      <c r="AC216" s="53" t="n"/>
      <c r="AD216" s="53" t="n"/>
      <c r="AE216" s="53" t="n"/>
      <c r="AF216" s="53" t="n"/>
      <c r="AG216" s="53" t="n"/>
      <c r="AH216" s="53" t="n"/>
      <c r="AI216" s="53" t="n"/>
      <c r="AJ216" s="53" t="n"/>
      <c r="AK216" s="53" t="n"/>
      <c r="AL216" s="53" t="n"/>
      <c r="AM216" s="53" t="n"/>
      <c r="AN216" s="53" t="n"/>
      <c r="AO216" s="53" t="n"/>
      <c r="AP216" s="53" t="n"/>
      <c r="AQ216" s="53" t="n"/>
      <c r="AR216" s="53" t="n"/>
      <c r="AS216" s="53" t="n"/>
      <c r="AT216" s="53" t="n"/>
      <c r="AU216" s="53" t="n"/>
      <c r="AV216" s="53" t="n"/>
      <c r="AW216" s="53" t="n"/>
      <c r="AX216" s="53" t="n"/>
      <c r="AY216" s="53" t="n"/>
    </row>
    <row r="217" ht="15" customHeight="1">
      <c r="A217" s="54" t="n"/>
      <c r="B217" s="55">
        <f>IF($B$216="","",$B$216)</f>
        <v/>
      </c>
      <c r="C217" s="56" t="inlineStr">
        <is>
          <t>마케팅4팀</t>
        </is>
      </c>
      <c r="D217" s="55">
        <f>IF($D$216="","",$D$216)</f>
        <v/>
      </c>
      <c r="E217" s="57" t="inlineStr">
        <is>
          <t>이미지</t>
        </is>
      </c>
      <c r="F217" s="44" t="n"/>
      <c r="G217" s="58">
        <f>IF($G$216="","",$G$216)</f>
        <v/>
      </c>
      <c r="H217" s="59" t="n"/>
      <c r="I217" s="59" t="n"/>
      <c r="J217" s="59" t="n"/>
      <c r="K217" s="59" t="n"/>
      <c r="L217" s="60">
        <f>IF(SUM(U217:AY217)=0,"",SUM(U217:AY217))</f>
        <v/>
      </c>
      <c r="M217" s="61">
        <f>IFERROR(INDEX(U$2:AY$2,MATCH(TRUE,INDEX(U217:AY217&lt;&gt;"",0),0)),"")</f>
        <v/>
      </c>
      <c r="N217" s="61">
        <f>IFERROR(LOOKUP(2,1/(U217:AY217&lt;&gt;""),U$2:AY$2),"")</f>
        <v/>
      </c>
      <c r="O217" s="59" t="n"/>
      <c r="P217" s="59" t="n"/>
      <c r="Q217" s="59" t="n"/>
      <c r="R217" s="59" t="n"/>
      <c r="S217" s="14" t="n"/>
      <c r="U217" s="53" t="n"/>
      <c r="V217" s="53" t="n"/>
      <c r="W217" s="53" t="n"/>
      <c r="X217" s="53" t="n"/>
      <c r="Y217" s="53" t="n"/>
      <c r="Z217" s="53" t="n"/>
      <c r="AA217" s="53" t="n"/>
      <c r="AB217" s="53" t="n"/>
      <c r="AC217" s="53" t="n"/>
      <c r="AD217" s="53" t="n"/>
      <c r="AE217" s="53" t="n"/>
      <c r="AF217" s="53" t="n"/>
      <c r="AG217" s="53" t="n"/>
      <c r="AH217" s="53" t="n"/>
      <c r="AI217" s="53" t="n"/>
      <c r="AJ217" s="53" t="n"/>
      <c r="AK217" s="53" t="n"/>
      <c r="AL217" s="53" t="n"/>
      <c r="AM217" s="53" t="n"/>
      <c r="AN217" s="53" t="n"/>
      <c r="AO217" s="53" t="n"/>
      <c r="AP217" s="53" t="n"/>
      <c r="AQ217" s="53" t="n"/>
      <c r="AR217" s="53" t="n"/>
      <c r="AS217" s="53" t="n"/>
      <c r="AT217" s="53" t="n"/>
      <c r="AU217" s="53" t="n"/>
      <c r="AV217" s="53" t="n"/>
      <c r="AW217" s="53" t="n"/>
      <c r="AX217" s="53" t="n"/>
      <c r="AY217" s="53" t="n"/>
    </row>
    <row r="218" ht="15" customHeight="1">
      <c r="A218" s="62" t="n"/>
      <c r="B218" s="55">
        <f>IF($B$216="","",$B$216)</f>
        <v/>
      </c>
      <c r="C218" s="63" t="inlineStr">
        <is>
          <t>마케팅4팀</t>
        </is>
      </c>
      <c r="D218" s="55">
        <f>IF($D$216="","",$D$216)</f>
        <v/>
      </c>
      <c r="E218" s="64" t="inlineStr">
        <is>
          <t>영상</t>
        </is>
      </c>
      <c r="F218" s="44" t="n"/>
      <c r="G218" s="58">
        <f>IF($G$216="","",$G$216)</f>
        <v/>
      </c>
      <c r="H218" s="59" t="n"/>
      <c r="I218" s="59" t="n"/>
      <c r="J218" s="59" t="n"/>
      <c r="K218" s="59" t="n"/>
      <c r="L218" s="65">
        <f>IF(SUM(U218:AY218)=0,"",SUM(U218:AY218))</f>
        <v/>
      </c>
      <c r="M218" s="66">
        <f>IFERROR(INDEX(U$2:AY$2,MATCH(TRUE,INDEX(U218:AY218&lt;&gt;"",0),0)),"")</f>
        <v/>
      </c>
      <c r="N218" s="66">
        <f>IFERROR(LOOKUP(2,1/(U218:AY218&lt;&gt;""),U$2:AY$2),"")</f>
        <v/>
      </c>
      <c r="O218" s="59" t="n"/>
      <c r="P218" s="59" t="n"/>
      <c r="Q218" s="59" t="n"/>
      <c r="R218" s="59" t="n"/>
      <c r="S218" s="14" t="n"/>
      <c r="U218" s="53" t="n"/>
      <c r="V218" s="53" t="n"/>
      <c r="W218" s="53" t="n"/>
      <c r="X218" s="53" t="n"/>
      <c r="Y218" s="53" t="n"/>
      <c r="Z218" s="53" t="n"/>
      <c r="AA218" s="53" t="n"/>
      <c r="AB218" s="53" t="n"/>
      <c r="AC218" s="53" t="n"/>
      <c r="AD218" s="53" t="n"/>
      <c r="AE218" s="53" t="n"/>
      <c r="AF218" s="53" t="n"/>
      <c r="AG218" s="53" t="n"/>
      <c r="AH218" s="53" t="n"/>
      <c r="AI218" s="53" t="n"/>
      <c r="AJ218" s="53" t="n"/>
      <c r="AK218" s="53" t="n"/>
      <c r="AL218" s="53" t="n"/>
      <c r="AM218" s="53" t="n"/>
      <c r="AN218" s="53" t="n"/>
      <c r="AO218" s="53" t="n"/>
      <c r="AP218" s="53" t="n"/>
      <c r="AQ218" s="53" t="n"/>
      <c r="AR218" s="53" t="n"/>
      <c r="AS218" s="53" t="n"/>
      <c r="AT218" s="53" t="n"/>
      <c r="AU218" s="53" t="n"/>
      <c r="AV218" s="53" t="n"/>
      <c r="AW218" s="53" t="n"/>
      <c r="AX218" s="53" t="n"/>
      <c r="AY218" s="53" t="n"/>
    </row>
    <row r="219" ht="15" customHeight="1">
      <c r="A219" s="40">
        <f>IF($D$219="","",70)</f>
        <v/>
      </c>
      <c r="B219" s="10" t="n"/>
      <c r="C219" s="41" t="inlineStr">
        <is>
          <t>마케팅4팀</t>
        </is>
      </c>
      <c r="D219" s="42" t="n"/>
      <c r="E219" s="43" t="inlineStr">
        <is>
          <t>기획</t>
        </is>
      </c>
      <c r="F219" s="44" t="n"/>
      <c r="G219" s="45" t="n"/>
      <c r="H219" s="46">
        <f>IF($I$219="","",IF($I$219&lt;0,"🔴지연",IF($I$219&lt;=1,"🟡임박","🟢여유")))</f>
        <v/>
      </c>
      <c r="I219" s="47">
        <f>IF(OR($G$219="",$K$219=""),"",$G$219-$K$219)</f>
        <v/>
      </c>
      <c r="J219" s="48">
        <f>IF(SUM($L$219:$L$221)=0,"",SUM($L$219:$L$221))</f>
        <v/>
      </c>
      <c r="K219" s="49">
        <f>IF($J$219="","",MAX($N$219:$N$221))</f>
        <v/>
      </c>
      <c r="L219" s="50">
        <f>IF(SUM(U219:AY219)=0,"",SUM(U219:AY219))</f>
        <v/>
      </c>
      <c r="M219" s="51">
        <f>IFERROR(INDEX(U$2:AY$2,MATCH(TRUE,INDEX(U219:AY219&lt;&gt;"",0),0)),"")</f>
        <v/>
      </c>
      <c r="N219" s="51">
        <f>IFERROR(LOOKUP(2,1/(U219:AY219&lt;&gt;""),U$2:AY$2),"")</f>
        <v/>
      </c>
      <c r="O219" s="52" t="n"/>
      <c r="P219" s="52" t="n"/>
      <c r="Q219" s="52" t="n"/>
      <c r="R219" s="44" t="n"/>
      <c r="S219" s="14" t="n"/>
      <c r="U219" s="53" t="n"/>
      <c r="V219" s="53" t="n"/>
      <c r="W219" s="53" t="n"/>
      <c r="X219" s="53" t="n"/>
      <c r="Y219" s="53" t="n"/>
      <c r="Z219" s="53" t="n"/>
      <c r="AA219" s="53" t="n"/>
      <c r="AB219" s="53" t="n"/>
      <c r="AC219" s="53" t="n"/>
      <c r="AD219" s="53" t="n"/>
      <c r="AE219" s="53" t="n"/>
      <c r="AF219" s="53" t="n"/>
      <c r="AG219" s="53" t="n"/>
      <c r="AH219" s="53" t="n"/>
      <c r="AI219" s="53" t="n"/>
      <c r="AJ219" s="53" t="n"/>
      <c r="AK219" s="53" t="n"/>
      <c r="AL219" s="53" t="n"/>
      <c r="AM219" s="53" t="n"/>
      <c r="AN219" s="53" t="n"/>
      <c r="AO219" s="53" t="n"/>
      <c r="AP219" s="53" t="n"/>
      <c r="AQ219" s="53" t="n"/>
      <c r="AR219" s="53" t="n"/>
      <c r="AS219" s="53" t="n"/>
      <c r="AT219" s="53" t="n"/>
      <c r="AU219" s="53" t="n"/>
      <c r="AV219" s="53" t="n"/>
      <c r="AW219" s="53" t="n"/>
      <c r="AX219" s="53" t="n"/>
      <c r="AY219" s="53" t="n"/>
    </row>
    <row r="220" ht="15" customHeight="1">
      <c r="A220" s="54" t="n"/>
      <c r="B220" s="55">
        <f>IF($B$219="","",$B$219)</f>
        <v/>
      </c>
      <c r="C220" s="56" t="inlineStr">
        <is>
          <t>마케팅4팀</t>
        </is>
      </c>
      <c r="D220" s="55">
        <f>IF($D$219="","",$D$219)</f>
        <v/>
      </c>
      <c r="E220" s="57" t="inlineStr">
        <is>
          <t>이미지</t>
        </is>
      </c>
      <c r="F220" s="44" t="n"/>
      <c r="G220" s="58">
        <f>IF($G$219="","",$G$219)</f>
        <v/>
      </c>
      <c r="H220" s="59" t="n"/>
      <c r="I220" s="59" t="n"/>
      <c r="J220" s="59" t="n"/>
      <c r="K220" s="59" t="n"/>
      <c r="L220" s="60">
        <f>IF(SUM(U220:AY220)=0,"",SUM(U220:AY220))</f>
        <v/>
      </c>
      <c r="M220" s="61">
        <f>IFERROR(INDEX(U$2:AY$2,MATCH(TRUE,INDEX(U220:AY220&lt;&gt;"",0),0)),"")</f>
        <v/>
      </c>
      <c r="N220" s="61">
        <f>IFERROR(LOOKUP(2,1/(U220:AY220&lt;&gt;""),U$2:AY$2),"")</f>
        <v/>
      </c>
      <c r="O220" s="59" t="n"/>
      <c r="P220" s="59" t="n"/>
      <c r="Q220" s="59" t="n"/>
      <c r="R220" s="59" t="n"/>
      <c r="S220" s="14" t="n"/>
      <c r="U220" s="53" t="n"/>
      <c r="V220" s="53" t="n"/>
      <c r="W220" s="53" t="n"/>
      <c r="X220" s="53" t="n"/>
      <c r="Y220" s="53" t="n"/>
      <c r="Z220" s="53" t="n"/>
      <c r="AA220" s="53" t="n"/>
      <c r="AB220" s="53" t="n"/>
      <c r="AC220" s="53" t="n"/>
      <c r="AD220" s="53" t="n"/>
      <c r="AE220" s="53" t="n"/>
      <c r="AF220" s="53" t="n"/>
      <c r="AG220" s="53" t="n"/>
      <c r="AH220" s="53" t="n"/>
      <c r="AI220" s="53" t="n"/>
      <c r="AJ220" s="53" t="n"/>
      <c r="AK220" s="53" t="n"/>
      <c r="AL220" s="53" t="n"/>
      <c r="AM220" s="53" t="n"/>
      <c r="AN220" s="53" t="n"/>
      <c r="AO220" s="53" t="n"/>
      <c r="AP220" s="53" t="n"/>
      <c r="AQ220" s="53" t="n"/>
      <c r="AR220" s="53" t="n"/>
      <c r="AS220" s="53" t="n"/>
      <c r="AT220" s="53" t="n"/>
      <c r="AU220" s="53" t="n"/>
      <c r="AV220" s="53" t="n"/>
      <c r="AW220" s="53" t="n"/>
      <c r="AX220" s="53" t="n"/>
      <c r="AY220" s="53" t="n"/>
    </row>
    <row r="221" ht="15" customHeight="1">
      <c r="A221" s="62" t="n"/>
      <c r="B221" s="55">
        <f>IF($B$219="","",$B$219)</f>
        <v/>
      </c>
      <c r="C221" s="63" t="inlineStr">
        <is>
          <t>마케팅4팀</t>
        </is>
      </c>
      <c r="D221" s="55">
        <f>IF($D$219="","",$D$219)</f>
        <v/>
      </c>
      <c r="E221" s="64" t="inlineStr">
        <is>
          <t>영상</t>
        </is>
      </c>
      <c r="F221" s="44" t="n"/>
      <c r="G221" s="58">
        <f>IF($G$219="","",$G$219)</f>
        <v/>
      </c>
      <c r="H221" s="59" t="n"/>
      <c r="I221" s="59" t="n"/>
      <c r="J221" s="59" t="n"/>
      <c r="K221" s="59" t="n"/>
      <c r="L221" s="65">
        <f>IF(SUM(U221:AY221)=0,"",SUM(U221:AY221))</f>
        <v/>
      </c>
      <c r="M221" s="66">
        <f>IFERROR(INDEX(U$2:AY$2,MATCH(TRUE,INDEX(U221:AY221&lt;&gt;"",0),0)),"")</f>
        <v/>
      </c>
      <c r="N221" s="66">
        <f>IFERROR(LOOKUP(2,1/(U221:AY221&lt;&gt;""),U$2:AY$2),"")</f>
        <v/>
      </c>
      <c r="O221" s="59" t="n"/>
      <c r="P221" s="59" t="n"/>
      <c r="Q221" s="59" t="n"/>
      <c r="R221" s="59" t="n"/>
      <c r="S221" s="14" t="n"/>
      <c r="U221" s="53" t="n"/>
      <c r="V221" s="53" t="n"/>
      <c r="W221" s="53" t="n"/>
      <c r="X221" s="53" t="n"/>
      <c r="Y221" s="53" t="n"/>
      <c r="Z221" s="53" t="n"/>
      <c r="AA221" s="53" t="n"/>
      <c r="AB221" s="53" t="n"/>
      <c r="AC221" s="53" t="n"/>
      <c r="AD221" s="53" t="n"/>
      <c r="AE221" s="53" t="n"/>
      <c r="AF221" s="53" t="n"/>
      <c r="AG221" s="53" t="n"/>
      <c r="AH221" s="53" t="n"/>
      <c r="AI221" s="53" t="n"/>
      <c r="AJ221" s="53" t="n"/>
      <c r="AK221" s="53" t="n"/>
      <c r="AL221" s="53" t="n"/>
      <c r="AM221" s="53" t="n"/>
      <c r="AN221" s="53" t="n"/>
      <c r="AO221" s="53" t="n"/>
      <c r="AP221" s="53" t="n"/>
      <c r="AQ221" s="53" t="n"/>
      <c r="AR221" s="53" t="n"/>
      <c r="AS221" s="53" t="n"/>
      <c r="AT221" s="53" t="n"/>
      <c r="AU221" s="53" t="n"/>
      <c r="AV221" s="53" t="n"/>
      <c r="AW221" s="53" t="n"/>
      <c r="AX221" s="53" t="n"/>
      <c r="AY221" s="53" t="n"/>
    </row>
    <row r="222" ht="15" customHeight="1">
      <c r="A222" s="40">
        <f>IF($D$222="","",71)</f>
        <v/>
      </c>
      <c r="B222" s="10" t="n"/>
      <c r="C222" s="41" t="inlineStr">
        <is>
          <t>마케팅4팀</t>
        </is>
      </c>
      <c r="D222" s="42" t="n"/>
      <c r="E222" s="43" t="inlineStr">
        <is>
          <t>기획</t>
        </is>
      </c>
      <c r="F222" s="44" t="n"/>
      <c r="G222" s="45" t="n"/>
      <c r="H222" s="46">
        <f>IF($I$222="","",IF($I$222&lt;0,"🔴지연",IF($I$222&lt;=1,"🟡임박","🟢여유")))</f>
        <v/>
      </c>
      <c r="I222" s="47">
        <f>IF(OR($G$222="",$K$222=""),"",$G$222-$K$222)</f>
        <v/>
      </c>
      <c r="J222" s="48">
        <f>IF(SUM($L$222:$L$224)=0,"",SUM($L$222:$L$224))</f>
        <v/>
      </c>
      <c r="K222" s="49">
        <f>IF($J$222="","",MAX($N$222:$N$224))</f>
        <v/>
      </c>
      <c r="L222" s="50">
        <f>IF(SUM(U222:AY222)=0,"",SUM(U222:AY222))</f>
        <v/>
      </c>
      <c r="M222" s="51">
        <f>IFERROR(INDEX(U$2:AY$2,MATCH(TRUE,INDEX(U222:AY222&lt;&gt;"",0),0)),"")</f>
        <v/>
      </c>
      <c r="N222" s="51">
        <f>IFERROR(LOOKUP(2,1/(U222:AY222&lt;&gt;""),U$2:AY$2),"")</f>
        <v/>
      </c>
      <c r="O222" s="52" t="n"/>
      <c r="P222" s="52" t="n"/>
      <c r="Q222" s="52" t="n"/>
      <c r="R222" s="44" t="n"/>
      <c r="S222" s="14" t="n"/>
      <c r="U222" s="53" t="n"/>
      <c r="V222" s="53" t="n"/>
      <c r="W222" s="53" t="n"/>
      <c r="X222" s="53" t="n"/>
      <c r="Y222" s="53" t="n"/>
      <c r="Z222" s="53" t="n"/>
      <c r="AA222" s="53" t="n"/>
      <c r="AB222" s="53" t="n"/>
      <c r="AC222" s="53" t="n"/>
      <c r="AD222" s="53" t="n"/>
      <c r="AE222" s="53" t="n"/>
      <c r="AF222" s="53" t="n"/>
      <c r="AG222" s="53" t="n"/>
      <c r="AH222" s="53" t="n"/>
      <c r="AI222" s="53" t="n"/>
      <c r="AJ222" s="53" t="n"/>
      <c r="AK222" s="53" t="n"/>
      <c r="AL222" s="53" t="n"/>
      <c r="AM222" s="53" t="n"/>
      <c r="AN222" s="53" t="n"/>
      <c r="AO222" s="53" t="n"/>
      <c r="AP222" s="53" t="n"/>
      <c r="AQ222" s="53" t="n"/>
      <c r="AR222" s="53" t="n"/>
      <c r="AS222" s="53" t="n"/>
      <c r="AT222" s="53" t="n"/>
      <c r="AU222" s="53" t="n"/>
      <c r="AV222" s="53" t="n"/>
      <c r="AW222" s="53" t="n"/>
      <c r="AX222" s="53" t="n"/>
      <c r="AY222" s="53" t="n"/>
    </row>
    <row r="223" ht="15" customHeight="1">
      <c r="A223" s="54" t="n"/>
      <c r="B223" s="55">
        <f>IF($B$222="","",$B$222)</f>
        <v/>
      </c>
      <c r="C223" s="56" t="inlineStr">
        <is>
          <t>마케팅4팀</t>
        </is>
      </c>
      <c r="D223" s="55">
        <f>IF($D$222="","",$D$222)</f>
        <v/>
      </c>
      <c r="E223" s="57" t="inlineStr">
        <is>
          <t>이미지</t>
        </is>
      </c>
      <c r="F223" s="44" t="n"/>
      <c r="G223" s="58">
        <f>IF($G$222="","",$G$222)</f>
        <v/>
      </c>
      <c r="H223" s="59" t="n"/>
      <c r="I223" s="59" t="n"/>
      <c r="J223" s="59" t="n"/>
      <c r="K223" s="59" t="n"/>
      <c r="L223" s="60">
        <f>IF(SUM(U223:AY223)=0,"",SUM(U223:AY223))</f>
        <v/>
      </c>
      <c r="M223" s="61">
        <f>IFERROR(INDEX(U$2:AY$2,MATCH(TRUE,INDEX(U223:AY223&lt;&gt;"",0),0)),"")</f>
        <v/>
      </c>
      <c r="N223" s="61">
        <f>IFERROR(LOOKUP(2,1/(U223:AY223&lt;&gt;""),U$2:AY$2),"")</f>
        <v/>
      </c>
      <c r="O223" s="59" t="n"/>
      <c r="P223" s="59" t="n"/>
      <c r="Q223" s="59" t="n"/>
      <c r="R223" s="59" t="n"/>
      <c r="S223" s="14" t="n"/>
      <c r="U223" s="53" t="n"/>
      <c r="V223" s="53" t="n"/>
      <c r="W223" s="53" t="n"/>
      <c r="X223" s="53" t="n"/>
      <c r="Y223" s="53" t="n"/>
      <c r="Z223" s="53" t="n"/>
      <c r="AA223" s="53" t="n"/>
      <c r="AB223" s="53" t="n"/>
      <c r="AC223" s="53" t="n"/>
      <c r="AD223" s="53" t="n"/>
      <c r="AE223" s="53" t="n"/>
      <c r="AF223" s="53" t="n"/>
      <c r="AG223" s="53" t="n"/>
      <c r="AH223" s="53" t="n"/>
      <c r="AI223" s="53" t="n"/>
      <c r="AJ223" s="53" t="n"/>
      <c r="AK223" s="53" t="n"/>
      <c r="AL223" s="53" t="n"/>
      <c r="AM223" s="53" t="n"/>
      <c r="AN223" s="53" t="n"/>
      <c r="AO223" s="53" t="n"/>
      <c r="AP223" s="53" t="n"/>
      <c r="AQ223" s="53" t="n"/>
      <c r="AR223" s="53" t="n"/>
      <c r="AS223" s="53" t="n"/>
      <c r="AT223" s="53" t="n"/>
      <c r="AU223" s="53" t="n"/>
      <c r="AV223" s="53" t="n"/>
      <c r="AW223" s="53" t="n"/>
      <c r="AX223" s="53" t="n"/>
      <c r="AY223" s="53" t="n"/>
    </row>
    <row r="224" ht="15" customHeight="1">
      <c r="A224" s="62" t="n"/>
      <c r="B224" s="55">
        <f>IF($B$222="","",$B$222)</f>
        <v/>
      </c>
      <c r="C224" s="63" t="inlineStr">
        <is>
          <t>마케팅4팀</t>
        </is>
      </c>
      <c r="D224" s="55">
        <f>IF($D$222="","",$D$222)</f>
        <v/>
      </c>
      <c r="E224" s="64" t="inlineStr">
        <is>
          <t>영상</t>
        </is>
      </c>
      <c r="F224" s="44" t="n"/>
      <c r="G224" s="58">
        <f>IF($G$222="","",$G$222)</f>
        <v/>
      </c>
      <c r="H224" s="59" t="n"/>
      <c r="I224" s="59" t="n"/>
      <c r="J224" s="59" t="n"/>
      <c r="K224" s="59" t="n"/>
      <c r="L224" s="65">
        <f>IF(SUM(U224:AY224)=0,"",SUM(U224:AY224))</f>
        <v/>
      </c>
      <c r="M224" s="66">
        <f>IFERROR(INDEX(U$2:AY$2,MATCH(TRUE,INDEX(U224:AY224&lt;&gt;"",0),0)),"")</f>
        <v/>
      </c>
      <c r="N224" s="66">
        <f>IFERROR(LOOKUP(2,1/(U224:AY224&lt;&gt;""),U$2:AY$2),"")</f>
        <v/>
      </c>
      <c r="O224" s="59" t="n"/>
      <c r="P224" s="59" t="n"/>
      <c r="Q224" s="59" t="n"/>
      <c r="R224" s="59" t="n"/>
      <c r="S224" s="14" t="n"/>
      <c r="U224" s="53" t="n"/>
      <c r="V224" s="53" t="n"/>
      <c r="W224" s="53" t="n"/>
      <c r="X224" s="53" t="n"/>
      <c r="Y224" s="53" t="n"/>
      <c r="Z224" s="53" t="n"/>
      <c r="AA224" s="53" t="n"/>
      <c r="AB224" s="53" t="n"/>
      <c r="AC224" s="53" t="n"/>
      <c r="AD224" s="53" t="n"/>
      <c r="AE224" s="53" t="n"/>
      <c r="AF224" s="53" t="n"/>
      <c r="AG224" s="53" t="n"/>
      <c r="AH224" s="53" t="n"/>
      <c r="AI224" s="53" t="n"/>
      <c r="AJ224" s="53" t="n"/>
      <c r="AK224" s="53" t="n"/>
      <c r="AL224" s="53" t="n"/>
      <c r="AM224" s="53" t="n"/>
      <c r="AN224" s="53" t="n"/>
      <c r="AO224" s="53" t="n"/>
      <c r="AP224" s="53" t="n"/>
      <c r="AQ224" s="53" t="n"/>
      <c r="AR224" s="53" t="n"/>
      <c r="AS224" s="53" t="n"/>
      <c r="AT224" s="53" t="n"/>
      <c r="AU224" s="53" t="n"/>
      <c r="AV224" s="53" t="n"/>
      <c r="AW224" s="53" t="n"/>
      <c r="AX224" s="53" t="n"/>
      <c r="AY224" s="53" t="n"/>
    </row>
    <row r="225" ht="15" customHeight="1">
      <c r="A225" s="40">
        <f>IF($D$225="","",72)</f>
        <v/>
      </c>
      <c r="B225" s="10" t="n"/>
      <c r="C225" s="41" t="inlineStr">
        <is>
          <t>마케팅4팀</t>
        </is>
      </c>
      <c r="D225" s="42" t="n"/>
      <c r="E225" s="43" t="inlineStr">
        <is>
          <t>기획</t>
        </is>
      </c>
      <c r="F225" s="44" t="n"/>
      <c r="G225" s="45" t="n"/>
      <c r="H225" s="46">
        <f>IF($I$225="","",IF($I$225&lt;0,"🔴지연",IF($I$225&lt;=1,"🟡임박","🟢여유")))</f>
        <v/>
      </c>
      <c r="I225" s="47">
        <f>IF(OR($G$225="",$K$225=""),"",$G$225-$K$225)</f>
        <v/>
      </c>
      <c r="J225" s="48">
        <f>IF(SUM($L$225:$L$227)=0,"",SUM($L$225:$L$227))</f>
        <v/>
      </c>
      <c r="K225" s="49">
        <f>IF($J$225="","",MAX($N$225:$N$227))</f>
        <v/>
      </c>
      <c r="L225" s="50">
        <f>IF(SUM(U225:AY225)=0,"",SUM(U225:AY225))</f>
        <v/>
      </c>
      <c r="M225" s="51">
        <f>IFERROR(INDEX(U$2:AY$2,MATCH(TRUE,INDEX(U225:AY225&lt;&gt;"",0),0)),"")</f>
        <v/>
      </c>
      <c r="N225" s="51">
        <f>IFERROR(LOOKUP(2,1/(U225:AY225&lt;&gt;""),U$2:AY$2),"")</f>
        <v/>
      </c>
      <c r="O225" s="52" t="n"/>
      <c r="P225" s="52" t="n"/>
      <c r="Q225" s="52" t="n"/>
      <c r="R225" s="44" t="n"/>
      <c r="S225" s="14" t="n"/>
      <c r="U225" s="53" t="n"/>
      <c r="V225" s="53" t="n"/>
      <c r="W225" s="53" t="n"/>
      <c r="X225" s="53" t="n"/>
      <c r="Y225" s="53" t="n"/>
      <c r="Z225" s="53" t="n"/>
      <c r="AA225" s="53" t="n"/>
      <c r="AB225" s="53" t="n"/>
      <c r="AC225" s="53" t="n"/>
      <c r="AD225" s="53" t="n"/>
      <c r="AE225" s="53" t="n"/>
      <c r="AF225" s="53" t="n"/>
      <c r="AG225" s="53" t="n"/>
      <c r="AH225" s="53" t="n"/>
      <c r="AI225" s="53" t="n"/>
      <c r="AJ225" s="53" t="n"/>
      <c r="AK225" s="53" t="n"/>
      <c r="AL225" s="53" t="n"/>
      <c r="AM225" s="53" t="n"/>
      <c r="AN225" s="53" t="n"/>
      <c r="AO225" s="53" t="n"/>
      <c r="AP225" s="53" t="n"/>
      <c r="AQ225" s="53" t="n"/>
      <c r="AR225" s="53" t="n"/>
      <c r="AS225" s="53" t="n"/>
      <c r="AT225" s="53" t="n"/>
      <c r="AU225" s="53" t="n"/>
      <c r="AV225" s="53" t="n"/>
      <c r="AW225" s="53" t="n"/>
      <c r="AX225" s="53" t="n"/>
      <c r="AY225" s="53" t="n"/>
    </row>
    <row r="226" ht="15" customHeight="1">
      <c r="A226" s="54" t="n"/>
      <c r="B226" s="55">
        <f>IF($B$225="","",$B$225)</f>
        <v/>
      </c>
      <c r="C226" s="56" t="inlineStr">
        <is>
          <t>마케팅4팀</t>
        </is>
      </c>
      <c r="D226" s="55">
        <f>IF($D$225="","",$D$225)</f>
        <v/>
      </c>
      <c r="E226" s="57" t="inlineStr">
        <is>
          <t>이미지</t>
        </is>
      </c>
      <c r="F226" s="44" t="n"/>
      <c r="G226" s="58">
        <f>IF($G$225="","",$G$225)</f>
        <v/>
      </c>
      <c r="H226" s="59" t="n"/>
      <c r="I226" s="59" t="n"/>
      <c r="J226" s="59" t="n"/>
      <c r="K226" s="59" t="n"/>
      <c r="L226" s="60">
        <f>IF(SUM(U226:AY226)=0,"",SUM(U226:AY226))</f>
        <v/>
      </c>
      <c r="M226" s="61">
        <f>IFERROR(INDEX(U$2:AY$2,MATCH(TRUE,INDEX(U226:AY226&lt;&gt;"",0),0)),"")</f>
        <v/>
      </c>
      <c r="N226" s="61">
        <f>IFERROR(LOOKUP(2,1/(U226:AY226&lt;&gt;""),U$2:AY$2),"")</f>
        <v/>
      </c>
      <c r="O226" s="59" t="n"/>
      <c r="P226" s="59" t="n"/>
      <c r="Q226" s="59" t="n"/>
      <c r="R226" s="59" t="n"/>
      <c r="S226" s="14" t="n"/>
      <c r="U226" s="53" t="n"/>
      <c r="V226" s="53" t="n"/>
      <c r="W226" s="53" t="n"/>
      <c r="X226" s="53" t="n"/>
      <c r="Y226" s="53" t="n"/>
      <c r="Z226" s="53" t="n"/>
      <c r="AA226" s="53" t="n"/>
      <c r="AB226" s="53" t="n"/>
      <c r="AC226" s="53" t="n"/>
      <c r="AD226" s="53" t="n"/>
      <c r="AE226" s="53" t="n"/>
      <c r="AF226" s="53" t="n"/>
      <c r="AG226" s="53" t="n"/>
      <c r="AH226" s="53" t="n"/>
      <c r="AI226" s="53" t="n"/>
      <c r="AJ226" s="53" t="n"/>
      <c r="AK226" s="53" t="n"/>
      <c r="AL226" s="53" t="n"/>
      <c r="AM226" s="53" t="n"/>
      <c r="AN226" s="53" t="n"/>
      <c r="AO226" s="53" t="n"/>
      <c r="AP226" s="53" t="n"/>
      <c r="AQ226" s="53" t="n"/>
      <c r="AR226" s="53" t="n"/>
      <c r="AS226" s="53" t="n"/>
      <c r="AT226" s="53" t="n"/>
      <c r="AU226" s="53" t="n"/>
      <c r="AV226" s="53" t="n"/>
      <c r="AW226" s="53" t="n"/>
      <c r="AX226" s="53" t="n"/>
      <c r="AY226" s="53" t="n"/>
    </row>
    <row r="227" ht="15" customHeight="1">
      <c r="A227" s="62" t="n"/>
      <c r="B227" s="55">
        <f>IF($B$225="","",$B$225)</f>
        <v/>
      </c>
      <c r="C227" s="63" t="inlineStr">
        <is>
          <t>마케팅4팀</t>
        </is>
      </c>
      <c r="D227" s="55">
        <f>IF($D$225="","",$D$225)</f>
        <v/>
      </c>
      <c r="E227" s="64" t="inlineStr">
        <is>
          <t>영상</t>
        </is>
      </c>
      <c r="F227" s="44" t="n"/>
      <c r="G227" s="58">
        <f>IF($G$225="","",$G$225)</f>
        <v/>
      </c>
      <c r="H227" s="59" t="n"/>
      <c r="I227" s="59" t="n"/>
      <c r="J227" s="59" t="n"/>
      <c r="K227" s="59" t="n"/>
      <c r="L227" s="65">
        <f>IF(SUM(U227:AY227)=0,"",SUM(U227:AY227))</f>
        <v/>
      </c>
      <c r="M227" s="66">
        <f>IFERROR(INDEX(U$2:AY$2,MATCH(TRUE,INDEX(U227:AY227&lt;&gt;"",0),0)),"")</f>
        <v/>
      </c>
      <c r="N227" s="66">
        <f>IFERROR(LOOKUP(2,1/(U227:AY227&lt;&gt;""),U$2:AY$2),"")</f>
        <v/>
      </c>
      <c r="O227" s="59" t="n"/>
      <c r="P227" s="59" t="n"/>
      <c r="Q227" s="59" t="n"/>
      <c r="R227" s="59" t="n"/>
      <c r="S227" s="14" t="n"/>
      <c r="U227" s="53" t="n"/>
      <c r="V227" s="53" t="n"/>
      <c r="W227" s="53" t="n"/>
      <c r="X227" s="53" t="n"/>
      <c r="Y227" s="53" t="n"/>
      <c r="Z227" s="53" t="n"/>
      <c r="AA227" s="53" t="n"/>
      <c r="AB227" s="53" t="n"/>
      <c r="AC227" s="53" t="n"/>
      <c r="AD227" s="53" t="n"/>
      <c r="AE227" s="53" t="n"/>
      <c r="AF227" s="53" t="n"/>
      <c r="AG227" s="53" t="n"/>
      <c r="AH227" s="53" t="n"/>
      <c r="AI227" s="53" t="n"/>
      <c r="AJ227" s="53" t="n"/>
      <c r="AK227" s="53" t="n"/>
      <c r="AL227" s="53" t="n"/>
      <c r="AM227" s="53" t="n"/>
      <c r="AN227" s="53" t="n"/>
      <c r="AO227" s="53" t="n"/>
      <c r="AP227" s="53" t="n"/>
      <c r="AQ227" s="53" t="n"/>
      <c r="AR227" s="53" t="n"/>
      <c r="AS227" s="53" t="n"/>
      <c r="AT227" s="53" t="n"/>
      <c r="AU227" s="53" t="n"/>
      <c r="AV227" s="53" t="n"/>
      <c r="AW227" s="53" t="n"/>
      <c r="AX227" s="53" t="n"/>
      <c r="AY227" s="53" t="n"/>
    </row>
    <row r="228" ht="15" customHeight="1">
      <c r="A228" s="40">
        <f>IF($D$228="","",73)</f>
        <v/>
      </c>
      <c r="B228" s="10" t="n"/>
      <c r="C228" s="41" t="inlineStr">
        <is>
          <t>마케팅4팀</t>
        </is>
      </c>
      <c r="D228" s="42" t="n"/>
      <c r="E228" s="43" t="inlineStr">
        <is>
          <t>기획</t>
        </is>
      </c>
      <c r="F228" s="44" t="n"/>
      <c r="G228" s="45" t="n"/>
      <c r="H228" s="46">
        <f>IF($I$228="","",IF($I$228&lt;0,"🔴지연",IF($I$228&lt;=1,"🟡임박","🟢여유")))</f>
        <v/>
      </c>
      <c r="I228" s="47">
        <f>IF(OR($G$228="",$K$228=""),"",$G$228-$K$228)</f>
        <v/>
      </c>
      <c r="J228" s="48">
        <f>IF(SUM($L$228:$L$230)=0,"",SUM($L$228:$L$230))</f>
        <v/>
      </c>
      <c r="K228" s="49">
        <f>IF($J$228="","",MAX($N$228:$N$230))</f>
        <v/>
      </c>
      <c r="L228" s="50">
        <f>IF(SUM(U228:AY228)=0,"",SUM(U228:AY228))</f>
        <v/>
      </c>
      <c r="M228" s="51">
        <f>IFERROR(INDEX(U$2:AY$2,MATCH(TRUE,INDEX(U228:AY228&lt;&gt;"",0),0)),"")</f>
        <v/>
      </c>
      <c r="N228" s="51">
        <f>IFERROR(LOOKUP(2,1/(U228:AY228&lt;&gt;""),U$2:AY$2),"")</f>
        <v/>
      </c>
      <c r="O228" s="52" t="n"/>
      <c r="P228" s="52" t="n"/>
      <c r="Q228" s="52" t="n"/>
      <c r="R228" s="44" t="n"/>
      <c r="S228" s="14" t="n"/>
      <c r="U228" s="53" t="n"/>
      <c r="V228" s="53" t="n"/>
      <c r="W228" s="53" t="n"/>
      <c r="X228" s="53" t="n"/>
      <c r="Y228" s="53" t="n"/>
      <c r="Z228" s="53" t="n"/>
      <c r="AA228" s="53" t="n"/>
      <c r="AB228" s="53" t="n"/>
      <c r="AC228" s="53" t="n"/>
      <c r="AD228" s="53" t="n"/>
      <c r="AE228" s="53" t="n"/>
      <c r="AF228" s="53" t="n"/>
      <c r="AG228" s="53" t="n"/>
      <c r="AH228" s="53" t="n"/>
      <c r="AI228" s="53" t="n"/>
      <c r="AJ228" s="53" t="n"/>
      <c r="AK228" s="53" t="n"/>
      <c r="AL228" s="53" t="n"/>
      <c r="AM228" s="53" t="n"/>
      <c r="AN228" s="53" t="n"/>
      <c r="AO228" s="53" t="n"/>
      <c r="AP228" s="53" t="n"/>
      <c r="AQ228" s="53" t="n"/>
      <c r="AR228" s="53" t="n"/>
      <c r="AS228" s="53" t="n"/>
      <c r="AT228" s="53" t="n"/>
      <c r="AU228" s="53" t="n"/>
      <c r="AV228" s="53" t="n"/>
      <c r="AW228" s="53" t="n"/>
      <c r="AX228" s="53" t="n"/>
      <c r="AY228" s="53" t="n"/>
    </row>
    <row r="229" ht="15" customHeight="1">
      <c r="A229" s="54" t="n"/>
      <c r="B229" s="55">
        <f>IF($B$228="","",$B$228)</f>
        <v/>
      </c>
      <c r="C229" s="56" t="inlineStr">
        <is>
          <t>마케팅4팀</t>
        </is>
      </c>
      <c r="D229" s="55">
        <f>IF($D$228="","",$D$228)</f>
        <v/>
      </c>
      <c r="E229" s="57" t="inlineStr">
        <is>
          <t>이미지</t>
        </is>
      </c>
      <c r="F229" s="44" t="n"/>
      <c r="G229" s="58">
        <f>IF($G$228="","",$G$228)</f>
        <v/>
      </c>
      <c r="H229" s="59" t="n"/>
      <c r="I229" s="59" t="n"/>
      <c r="J229" s="59" t="n"/>
      <c r="K229" s="59" t="n"/>
      <c r="L229" s="60">
        <f>IF(SUM(U229:AY229)=0,"",SUM(U229:AY229))</f>
        <v/>
      </c>
      <c r="M229" s="61">
        <f>IFERROR(INDEX(U$2:AY$2,MATCH(TRUE,INDEX(U229:AY229&lt;&gt;"",0),0)),"")</f>
        <v/>
      </c>
      <c r="N229" s="61">
        <f>IFERROR(LOOKUP(2,1/(U229:AY229&lt;&gt;""),U$2:AY$2),"")</f>
        <v/>
      </c>
      <c r="O229" s="59" t="n"/>
      <c r="P229" s="59" t="n"/>
      <c r="Q229" s="59" t="n"/>
      <c r="R229" s="59" t="n"/>
      <c r="S229" s="14" t="n"/>
      <c r="U229" s="53" t="n"/>
      <c r="V229" s="53" t="n"/>
      <c r="W229" s="53" t="n"/>
      <c r="X229" s="53" t="n"/>
      <c r="Y229" s="53" t="n"/>
      <c r="Z229" s="53" t="n"/>
      <c r="AA229" s="53" t="n"/>
      <c r="AB229" s="53" t="n"/>
      <c r="AC229" s="53" t="n"/>
      <c r="AD229" s="53" t="n"/>
      <c r="AE229" s="53" t="n"/>
      <c r="AF229" s="53" t="n"/>
      <c r="AG229" s="53" t="n"/>
      <c r="AH229" s="53" t="n"/>
      <c r="AI229" s="53" t="n"/>
      <c r="AJ229" s="53" t="n"/>
      <c r="AK229" s="53" t="n"/>
      <c r="AL229" s="53" t="n"/>
      <c r="AM229" s="53" t="n"/>
      <c r="AN229" s="53" t="n"/>
      <c r="AO229" s="53" t="n"/>
      <c r="AP229" s="53" t="n"/>
      <c r="AQ229" s="53" t="n"/>
      <c r="AR229" s="53" t="n"/>
      <c r="AS229" s="53" t="n"/>
      <c r="AT229" s="53" t="n"/>
      <c r="AU229" s="53" t="n"/>
      <c r="AV229" s="53" t="n"/>
      <c r="AW229" s="53" t="n"/>
      <c r="AX229" s="53" t="n"/>
      <c r="AY229" s="53" t="n"/>
    </row>
    <row r="230" ht="15" customHeight="1">
      <c r="A230" s="62" t="n"/>
      <c r="B230" s="55">
        <f>IF($B$228="","",$B$228)</f>
        <v/>
      </c>
      <c r="C230" s="63" t="inlineStr">
        <is>
          <t>마케팅4팀</t>
        </is>
      </c>
      <c r="D230" s="55">
        <f>IF($D$228="","",$D$228)</f>
        <v/>
      </c>
      <c r="E230" s="64" t="inlineStr">
        <is>
          <t>영상</t>
        </is>
      </c>
      <c r="F230" s="44" t="n"/>
      <c r="G230" s="58">
        <f>IF($G$228="","",$G$228)</f>
        <v/>
      </c>
      <c r="H230" s="59" t="n"/>
      <c r="I230" s="59" t="n"/>
      <c r="J230" s="59" t="n"/>
      <c r="K230" s="59" t="n"/>
      <c r="L230" s="65">
        <f>IF(SUM(U230:AY230)=0,"",SUM(U230:AY230))</f>
        <v/>
      </c>
      <c r="M230" s="66">
        <f>IFERROR(INDEX(U$2:AY$2,MATCH(TRUE,INDEX(U230:AY230&lt;&gt;"",0),0)),"")</f>
        <v/>
      </c>
      <c r="N230" s="66">
        <f>IFERROR(LOOKUP(2,1/(U230:AY230&lt;&gt;""),U$2:AY$2),"")</f>
        <v/>
      </c>
      <c r="O230" s="59" t="n"/>
      <c r="P230" s="59" t="n"/>
      <c r="Q230" s="59" t="n"/>
      <c r="R230" s="59" t="n"/>
      <c r="S230" s="14" t="n"/>
      <c r="U230" s="53" t="n"/>
      <c r="V230" s="53" t="n"/>
      <c r="W230" s="53" t="n"/>
      <c r="X230" s="53" t="n"/>
      <c r="Y230" s="53" t="n"/>
      <c r="Z230" s="53" t="n"/>
      <c r="AA230" s="53" t="n"/>
      <c r="AB230" s="53" t="n"/>
      <c r="AC230" s="53" t="n"/>
      <c r="AD230" s="53" t="n"/>
      <c r="AE230" s="53" t="n"/>
      <c r="AF230" s="53" t="n"/>
      <c r="AG230" s="53" t="n"/>
      <c r="AH230" s="53" t="n"/>
      <c r="AI230" s="53" t="n"/>
      <c r="AJ230" s="53" t="n"/>
      <c r="AK230" s="53" t="n"/>
      <c r="AL230" s="53" t="n"/>
      <c r="AM230" s="53" t="n"/>
      <c r="AN230" s="53" t="n"/>
      <c r="AO230" s="53" t="n"/>
      <c r="AP230" s="53" t="n"/>
      <c r="AQ230" s="53" t="n"/>
      <c r="AR230" s="53" t="n"/>
      <c r="AS230" s="53" t="n"/>
      <c r="AT230" s="53" t="n"/>
      <c r="AU230" s="53" t="n"/>
      <c r="AV230" s="53" t="n"/>
      <c r="AW230" s="53" t="n"/>
      <c r="AX230" s="53" t="n"/>
      <c r="AY230" s="53" t="n"/>
    </row>
    <row r="231" ht="15" customHeight="1">
      <c r="A231" s="40">
        <f>IF($D$231="","",74)</f>
        <v/>
      </c>
      <c r="B231" s="10" t="n"/>
      <c r="C231" s="41" t="inlineStr">
        <is>
          <t>마케팅4팀</t>
        </is>
      </c>
      <c r="D231" s="42" t="n"/>
      <c r="E231" s="43" t="inlineStr">
        <is>
          <t>기획</t>
        </is>
      </c>
      <c r="F231" s="44" t="n"/>
      <c r="G231" s="45" t="n"/>
      <c r="H231" s="46">
        <f>IF($I$231="","",IF($I$231&lt;0,"🔴지연",IF($I$231&lt;=1,"🟡임박","🟢여유")))</f>
        <v/>
      </c>
      <c r="I231" s="47">
        <f>IF(OR($G$231="",$K$231=""),"",$G$231-$K$231)</f>
        <v/>
      </c>
      <c r="J231" s="48">
        <f>IF(SUM($L$231:$L$233)=0,"",SUM($L$231:$L$233))</f>
        <v/>
      </c>
      <c r="K231" s="49">
        <f>IF($J$231="","",MAX($N$231:$N$233))</f>
        <v/>
      </c>
      <c r="L231" s="50">
        <f>IF(SUM(U231:AY231)=0,"",SUM(U231:AY231))</f>
        <v/>
      </c>
      <c r="M231" s="51">
        <f>IFERROR(INDEX(U$2:AY$2,MATCH(TRUE,INDEX(U231:AY231&lt;&gt;"",0),0)),"")</f>
        <v/>
      </c>
      <c r="N231" s="51">
        <f>IFERROR(LOOKUP(2,1/(U231:AY231&lt;&gt;""),U$2:AY$2),"")</f>
        <v/>
      </c>
      <c r="O231" s="52" t="n"/>
      <c r="P231" s="52" t="n"/>
      <c r="Q231" s="52" t="n"/>
      <c r="R231" s="44" t="n"/>
      <c r="S231" s="14" t="n"/>
      <c r="U231" s="53" t="n"/>
      <c r="V231" s="53" t="n"/>
      <c r="W231" s="53" t="n"/>
      <c r="X231" s="53" t="n"/>
      <c r="Y231" s="53" t="n"/>
      <c r="Z231" s="53" t="n"/>
      <c r="AA231" s="53" t="n"/>
      <c r="AB231" s="53" t="n"/>
      <c r="AC231" s="53" t="n"/>
      <c r="AD231" s="53" t="n"/>
      <c r="AE231" s="53" t="n"/>
      <c r="AF231" s="53" t="n"/>
      <c r="AG231" s="53" t="n"/>
      <c r="AH231" s="53" t="n"/>
      <c r="AI231" s="53" t="n"/>
      <c r="AJ231" s="53" t="n"/>
      <c r="AK231" s="53" t="n"/>
      <c r="AL231" s="53" t="n"/>
      <c r="AM231" s="53" t="n"/>
      <c r="AN231" s="53" t="n"/>
      <c r="AO231" s="53" t="n"/>
      <c r="AP231" s="53" t="n"/>
      <c r="AQ231" s="53" t="n"/>
      <c r="AR231" s="53" t="n"/>
      <c r="AS231" s="53" t="n"/>
      <c r="AT231" s="53" t="n"/>
      <c r="AU231" s="53" t="n"/>
      <c r="AV231" s="53" t="n"/>
      <c r="AW231" s="53" t="n"/>
      <c r="AX231" s="53" t="n"/>
      <c r="AY231" s="53" t="n"/>
    </row>
    <row r="232" ht="15" customHeight="1">
      <c r="A232" s="54" t="n"/>
      <c r="B232" s="55">
        <f>IF($B$231="","",$B$231)</f>
        <v/>
      </c>
      <c r="C232" s="56" t="inlineStr">
        <is>
          <t>마케팅4팀</t>
        </is>
      </c>
      <c r="D232" s="55">
        <f>IF($D$231="","",$D$231)</f>
        <v/>
      </c>
      <c r="E232" s="57" t="inlineStr">
        <is>
          <t>이미지</t>
        </is>
      </c>
      <c r="F232" s="44" t="n"/>
      <c r="G232" s="58">
        <f>IF($G$231="","",$G$231)</f>
        <v/>
      </c>
      <c r="H232" s="59" t="n"/>
      <c r="I232" s="59" t="n"/>
      <c r="J232" s="59" t="n"/>
      <c r="K232" s="59" t="n"/>
      <c r="L232" s="60">
        <f>IF(SUM(U232:AY232)=0,"",SUM(U232:AY232))</f>
        <v/>
      </c>
      <c r="M232" s="61">
        <f>IFERROR(INDEX(U$2:AY$2,MATCH(TRUE,INDEX(U232:AY232&lt;&gt;"",0),0)),"")</f>
        <v/>
      </c>
      <c r="N232" s="61">
        <f>IFERROR(LOOKUP(2,1/(U232:AY232&lt;&gt;""),U$2:AY$2),"")</f>
        <v/>
      </c>
      <c r="O232" s="59" t="n"/>
      <c r="P232" s="59" t="n"/>
      <c r="Q232" s="59" t="n"/>
      <c r="R232" s="59" t="n"/>
      <c r="S232" s="14" t="n"/>
      <c r="U232" s="53" t="n"/>
      <c r="V232" s="53" t="n"/>
      <c r="W232" s="53" t="n"/>
      <c r="X232" s="53" t="n"/>
      <c r="Y232" s="53" t="n"/>
      <c r="Z232" s="53" t="n"/>
      <c r="AA232" s="53" t="n"/>
      <c r="AB232" s="53" t="n"/>
      <c r="AC232" s="53" t="n"/>
      <c r="AD232" s="53" t="n"/>
      <c r="AE232" s="53" t="n"/>
      <c r="AF232" s="53" t="n"/>
      <c r="AG232" s="53" t="n"/>
      <c r="AH232" s="53" t="n"/>
      <c r="AI232" s="53" t="n"/>
      <c r="AJ232" s="53" t="n"/>
      <c r="AK232" s="53" t="n"/>
      <c r="AL232" s="53" t="n"/>
      <c r="AM232" s="53" t="n"/>
      <c r="AN232" s="53" t="n"/>
      <c r="AO232" s="53" t="n"/>
      <c r="AP232" s="53" t="n"/>
      <c r="AQ232" s="53" t="n"/>
      <c r="AR232" s="53" t="n"/>
      <c r="AS232" s="53" t="n"/>
      <c r="AT232" s="53" t="n"/>
      <c r="AU232" s="53" t="n"/>
      <c r="AV232" s="53" t="n"/>
      <c r="AW232" s="53" t="n"/>
      <c r="AX232" s="53" t="n"/>
      <c r="AY232" s="53" t="n"/>
    </row>
    <row r="233" ht="15" customHeight="1">
      <c r="A233" s="62" t="n"/>
      <c r="B233" s="55">
        <f>IF($B$231="","",$B$231)</f>
        <v/>
      </c>
      <c r="C233" s="63" t="inlineStr">
        <is>
          <t>마케팅4팀</t>
        </is>
      </c>
      <c r="D233" s="55">
        <f>IF($D$231="","",$D$231)</f>
        <v/>
      </c>
      <c r="E233" s="64" t="inlineStr">
        <is>
          <t>영상</t>
        </is>
      </c>
      <c r="F233" s="44" t="n"/>
      <c r="G233" s="58">
        <f>IF($G$231="","",$G$231)</f>
        <v/>
      </c>
      <c r="H233" s="59" t="n"/>
      <c r="I233" s="59" t="n"/>
      <c r="J233" s="59" t="n"/>
      <c r="K233" s="59" t="n"/>
      <c r="L233" s="65">
        <f>IF(SUM(U233:AY233)=0,"",SUM(U233:AY233))</f>
        <v/>
      </c>
      <c r="M233" s="66">
        <f>IFERROR(INDEX(U$2:AY$2,MATCH(TRUE,INDEX(U233:AY233&lt;&gt;"",0),0)),"")</f>
        <v/>
      </c>
      <c r="N233" s="66">
        <f>IFERROR(LOOKUP(2,1/(U233:AY233&lt;&gt;""),U$2:AY$2),"")</f>
        <v/>
      </c>
      <c r="O233" s="59" t="n"/>
      <c r="P233" s="59" t="n"/>
      <c r="Q233" s="59" t="n"/>
      <c r="R233" s="59" t="n"/>
      <c r="S233" s="14" t="n"/>
      <c r="U233" s="53" t="n"/>
      <c r="V233" s="53" t="n"/>
      <c r="W233" s="53" t="n"/>
      <c r="X233" s="53" t="n"/>
      <c r="Y233" s="53" t="n"/>
      <c r="Z233" s="53" t="n"/>
      <c r="AA233" s="53" t="n"/>
      <c r="AB233" s="53" t="n"/>
      <c r="AC233" s="53" t="n"/>
      <c r="AD233" s="53" t="n"/>
      <c r="AE233" s="53" t="n"/>
      <c r="AF233" s="53" t="n"/>
      <c r="AG233" s="53" t="n"/>
      <c r="AH233" s="53" t="n"/>
      <c r="AI233" s="53" t="n"/>
      <c r="AJ233" s="53" t="n"/>
      <c r="AK233" s="53" t="n"/>
      <c r="AL233" s="53" t="n"/>
      <c r="AM233" s="53" t="n"/>
      <c r="AN233" s="53" t="n"/>
      <c r="AO233" s="53" t="n"/>
      <c r="AP233" s="53" t="n"/>
      <c r="AQ233" s="53" t="n"/>
      <c r="AR233" s="53" t="n"/>
      <c r="AS233" s="53" t="n"/>
      <c r="AT233" s="53" t="n"/>
      <c r="AU233" s="53" t="n"/>
      <c r="AV233" s="53" t="n"/>
      <c r="AW233" s="53" t="n"/>
      <c r="AX233" s="53" t="n"/>
      <c r="AY233" s="53" t="n"/>
    </row>
    <row r="234" ht="15" customHeight="1">
      <c r="A234" s="40">
        <f>IF($D$234="","",75)</f>
        <v/>
      </c>
      <c r="B234" s="10" t="n"/>
      <c r="C234" s="41" t="inlineStr">
        <is>
          <t>마케팅4팀</t>
        </is>
      </c>
      <c r="D234" s="42" t="n"/>
      <c r="E234" s="43" t="inlineStr">
        <is>
          <t>기획</t>
        </is>
      </c>
      <c r="F234" s="44" t="n"/>
      <c r="G234" s="45" t="n"/>
      <c r="H234" s="46">
        <f>IF($I$234="","",IF($I$234&lt;0,"🔴지연",IF($I$234&lt;=1,"🟡임박","🟢여유")))</f>
        <v/>
      </c>
      <c r="I234" s="47">
        <f>IF(OR($G$234="",$K$234=""),"",$G$234-$K$234)</f>
        <v/>
      </c>
      <c r="J234" s="48">
        <f>IF(SUM($L$234:$L$236)=0,"",SUM($L$234:$L$236))</f>
        <v/>
      </c>
      <c r="K234" s="49">
        <f>IF($J$234="","",MAX($N$234:$N$236))</f>
        <v/>
      </c>
      <c r="L234" s="50">
        <f>IF(SUM(U234:AY234)=0,"",SUM(U234:AY234))</f>
        <v/>
      </c>
      <c r="M234" s="51">
        <f>IFERROR(INDEX(U$2:AY$2,MATCH(TRUE,INDEX(U234:AY234&lt;&gt;"",0),0)),"")</f>
        <v/>
      </c>
      <c r="N234" s="51">
        <f>IFERROR(LOOKUP(2,1/(U234:AY234&lt;&gt;""),U$2:AY$2),"")</f>
        <v/>
      </c>
      <c r="O234" s="52" t="n"/>
      <c r="P234" s="52" t="n"/>
      <c r="Q234" s="52" t="n"/>
      <c r="R234" s="44" t="n"/>
      <c r="S234" s="14" t="n"/>
      <c r="U234" s="53" t="n"/>
      <c r="V234" s="53" t="n"/>
      <c r="W234" s="53" t="n"/>
      <c r="X234" s="53" t="n"/>
      <c r="Y234" s="53" t="n"/>
      <c r="Z234" s="53" t="n"/>
      <c r="AA234" s="53" t="n"/>
      <c r="AB234" s="53" t="n"/>
      <c r="AC234" s="53" t="n"/>
      <c r="AD234" s="53" t="n"/>
      <c r="AE234" s="53" t="n"/>
      <c r="AF234" s="53" t="n"/>
      <c r="AG234" s="53" t="n"/>
      <c r="AH234" s="53" t="n"/>
      <c r="AI234" s="53" t="n"/>
      <c r="AJ234" s="53" t="n"/>
      <c r="AK234" s="53" t="n"/>
      <c r="AL234" s="53" t="n"/>
      <c r="AM234" s="53" t="n"/>
      <c r="AN234" s="53" t="n"/>
      <c r="AO234" s="53" t="n"/>
      <c r="AP234" s="53" t="n"/>
      <c r="AQ234" s="53" t="n"/>
      <c r="AR234" s="53" t="n"/>
      <c r="AS234" s="53" t="n"/>
      <c r="AT234" s="53" t="n"/>
      <c r="AU234" s="53" t="n"/>
      <c r="AV234" s="53" t="n"/>
      <c r="AW234" s="53" t="n"/>
      <c r="AX234" s="53" t="n"/>
      <c r="AY234" s="53" t="n"/>
    </row>
    <row r="235" ht="15" customHeight="1">
      <c r="A235" s="54" t="n"/>
      <c r="B235" s="55">
        <f>IF($B$234="","",$B$234)</f>
        <v/>
      </c>
      <c r="C235" s="56" t="inlineStr">
        <is>
          <t>마케팅4팀</t>
        </is>
      </c>
      <c r="D235" s="55">
        <f>IF($D$234="","",$D$234)</f>
        <v/>
      </c>
      <c r="E235" s="57" t="inlineStr">
        <is>
          <t>이미지</t>
        </is>
      </c>
      <c r="F235" s="44" t="n"/>
      <c r="G235" s="58">
        <f>IF($G$234="","",$G$234)</f>
        <v/>
      </c>
      <c r="H235" s="59" t="n"/>
      <c r="I235" s="59" t="n"/>
      <c r="J235" s="59" t="n"/>
      <c r="K235" s="59" t="n"/>
      <c r="L235" s="60">
        <f>IF(SUM(U235:AY235)=0,"",SUM(U235:AY235))</f>
        <v/>
      </c>
      <c r="M235" s="61">
        <f>IFERROR(INDEX(U$2:AY$2,MATCH(TRUE,INDEX(U235:AY235&lt;&gt;"",0),0)),"")</f>
        <v/>
      </c>
      <c r="N235" s="61">
        <f>IFERROR(LOOKUP(2,1/(U235:AY235&lt;&gt;""),U$2:AY$2),"")</f>
        <v/>
      </c>
      <c r="O235" s="59" t="n"/>
      <c r="P235" s="59" t="n"/>
      <c r="Q235" s="59" t="n"/>
      <c r="R235" s="59" t="n"/>
      <c r="S235" s="14" t="n"/>
      <c r="U235" s="53" t="n"/>
      <c r="V235" s="53" t="n"/>
      <c r="W235" s="53" t="n"/>
      <c r="X235" s="53" t="n"/>
      <c r="Y235" s="53" t="n"/>
      <c r="Z235" s="53" t="n"/>
      <c r="AA235" s="53" t="n"/>
      <c r="AB235" s="53" t="n"/>
      <c r="AC235" s="53" t="n"/>
      <c r="AD235" s="53" t="n"/>
      <c r="AE235" s="53" t="n"/>
      <c r="AF235" s="53" t="n"/>
      <c r="AG235" s="53" t="n"/>
      <c r="AH235" s="53" t="n"/>
      <c r="AI235" s="53" t="n"/>
      <c r="AJ235" s="53" t="n"/>
      <c r="AK235" s="53" t="n"/>
      <c r="AL235" s="53" t="n"/>
      <c r="AM235" s="53" t="n"/>
      <c r="AN235" s="53" t="n"/>
      <c r="AO235" s="53" t="n"/>
      <c r="AP235" s="53" t="n"/>
      <c r="AQ235" s="53" t="n"/>
      <c r="AR235" s="53" t="n"/>
      <c r="AS235" s="53" t="n"/>
      <c r="AT235" s="53" t="n"/>
      <c r="AU235" s="53" t="n"/>
      <c r="AV235" s="53" t="n"/>
      <c r="AW235" s="53" t="n"/>
      <c r="AX235" s="53" t="n"/>
      <c r="AY235" s="53" t="n"/>
    </row>
    <row r="236" ht="15" customHeight="1">
      <c r="A236" s="62" t="n"/>
      <c r="B236" s="55">
        <f>IF($B$234="","",$B$234)</f>
        <v/>
      </c>
      <c r="C236" s="63" t="inlineStr">
        <is>
          <t>마케팅4팀</t>
        </is>
      </c>
      <c r="D236" s="55">
        <f>IF($D$234="","",$D$234)</f>
        <v/>
      </c>
      <c r="E236" s="64" t="inlineStr">
        <is>
          <t>영상</t>
        </is>
      </c>
      <c r="F236" s="44" t="n"/>
      <c r="G236" s="58">
        <f>IF($G$234="","",$G$234)</f>
        <v/>
      </c>
      <c r="H236" s="59" t="n"/>
      <c r="I236" s="59" t="n"/>
      <c r="J236" s="59" t="n"/>
      <c r="K236" s="59" t="n"/>
      <c r="L236" s="65">
        <f>IF(SUM(U236:AY236)=0,"",SUM(U236:AY236))</f>
        <v/>
      </c>
      <c r="M236" s="66">
        <f>IFERROR(INDEX(U$2:AY$2,MATCH(TRUE,INDEX(U236:AY236&lt;&gt;"",0),0)),"")</f>
        <v/>
      </c>
      <c r="N236" s="66">
        <f>IFERROR(LOOKUP(2,1/(U236:AY236&lt;&gt;""),U$2:AY$2),"")</f>
        <v/>
      </c>
      <c r="O236" s="59" t="n"/>
      <c r="P236" s="59" t="n"/>
      <c r="Q236" s="59" t="n"/>
      <c r="R236" s="59" t="n"/>
      <c r="S236" s="14" t="n"/>
      <c r="U236" s="53" t="n"/>
      <c r="V236" s="53" t="n"/>
      <c r="W236" s="53" t="n"/>
      <c r="X236" s="53" t="n"/>
      <c r="Y236" s="53" t="n"/>
      <c r="Z236" s="53" t="n"/>
      <c r="AA236" s="53" t="n"/>
      <c r="AB236" s="53" t="n"/>
      <c r="AC236" s="53" t="n"/>
      <c r="AD236" s="53" t="n"/>
      <c r="AE236" s="53" t="n"/>
      <c r="AF236" s="53" t="n"/>
      <c r="AG236" s="53" t="n"/>
      <c r="AH236" s="53" t="n"/>
      <c r="AI236" s="53" t="n"/>
      <c r="AJ236" s="53" t="n"/>
      <c r="AK236" s="53" t="n"/>
      <c r="AL236" s="53" t="n"/>
      <c r="AM236" s="53" t="n"/>
      <c r="AN236" s="53" t="n"/>
      <c r="AO236" s="53" t="n"/>
      <c r="AP236" s="53" t="n"/>
      <c r="AQ236" s="53" t="n"/>
      <c r="AR236" s="53" t="n"/>
      <c r="AS236" s="53" t="n"/>
      <c r="AT236" s="53" t="n"/>
      <c r="AU236" s="53" t="n"/>
      <c r="AV236" s="53" t="n"/>
      <c r="AW236" s="53" t="n"/>
      <c r="AX236" s="53" t="n"/>
      <c r="AY236" s="53" t="n"/>
    </row>
    <row r="237" ht="15" customHeight="1">
      <c r="A237" s="40">
        <f>IF($D$237="","",76)</f>
        <v/>
      </c>
      <c r="B237" s="10" t="n"/>
      <c r="C237" s="41" t="inlineStr">
        <is>
          <t>마케팅4팀</t>
        </is>
      </c>
      <c r="D237" s="42" t="n"/>
      <c r="E237" s="43" t="inlineStr">
        <is>
          <t>기획</t>
        </is>
      </c>
      <c r="F237" s="44" t="n"/>
      <c r="G237" s="45" t="n"/>
      <c r="H237" s="46">
        <f>IF($I$237="","",IF($I$237&lt;0,"🔴지연",IF($I$237&lt;=1,"🟡임박","🟢여유")))</f>
        <v/>
      </c>
      <c r="I237" s="47">
        <f>IF(OR($G$237="",$K$237=""),"",$G$237-$K$237)</f>
        <v/>
      </c>
      <c r="J237" s="48">
        <f>IF(SUM($L$237:$L$239)=0,"",SUM($L$237:$L$239))</f>
        <v/>
      </c>
      <c r="K237" s="49">
        <f>IF($J$237="","",MAX($N$237:$N$239))</f>
        <v/>
      </c>
      <c r="L237" s="50">
        <f>IF(SUM(U237:AY237)=0,"",SUM(U237:AY237))</f>
        <v/>
      </c>
      <c r="M237" s="51">
        <f>IFERROR(INDEX(U$2:AY$2,MATCH(TRUE,INDEX(U237:AY237&lt;&gt;"",0),0)),"")</f>
        <v/>
      </c>
      <c r="N237" s="51">
        <f>IFERROR(LOOKUP(2,1/(U237:AY237&lt;&gt;""),U$2:AY$2),"")</f>
        <v/>
      </c>
      <c r="O237" s="52" t="n"/>
      <c r="P237" s="52" t="n"/>
      <c r="Q237" s="52" t="n"/>
      <c r="R237" s="44" t="n"/>
      <c r="S237" s="14" t="n"/>
      <c r="U237" s="53" t="n"/>
      <c r="V237" s="53" t="n"/>
      <c r="W237" s="53" t="n"/>
      <c r="X237" s="53" t="n"/>
      <c r="Y237" s="53" t="n"/>
      <c r="Z237" s="53" t="n"/>
      <c r="AA237" s="53" t="n"/>
      <c r="AB237" s="53" t="n"/>
      <c r="AC237" s="53" t="n"/>
      <c r="AD237" s="53" t="n"/>
      <c r="AE237" s="53" t="n"/>
      <c r="AF237" s="53" t="n"/>
      <c r="AG237" s="53" t="n"/>
      <c r="AH237" s="53" t="n"/>
      <c r="AI237" s="53" t="n"/>
      <c r="AJ237" s="53" t="n"/>
      <c r="AK237" s="53" t="n"/>
      <c r="AL237" s="53" t="n"/>
      <c r="AM237" s="53" t="n"/>
      <c r="AN237" s="53" t="n"/>
      <c r="AO237" s="53" t="n"/>
      <c r="AP237" s="53" t="n"/>
      <c r="AQ237" s="53" t="n"/>
      <c r="AR237" s="53" t="n"/>
      <c r="AS237" s="53" t="n"/>
      <c r="AT237" s="53" t="n"/>
      <c r="AU237" s="53" t="n"/>
      <c r="AV237" s="53" t="n"/>
      <c r="AW237" s="53" t="n"/>
      <c r="AX237" s="53" t="n"/>
      <c r="AY237" s="53" t="n"/>
    </row>
    <row r="238" ht="15" customHeight="1">
      <c r="A238" s="54" t="n"/>
      <c r="B238" s="55">
        <f>IF($B$237="","",$B$237)</f>
        <v/>
      </c>
      <c r="C238" s="56" t="inlineStr">
        <is>
          <t>마케팅4팀</t>
        </is>
      </c>
      <c r="D238" s="55">
        <f>IF($D$237="","",$D$237)</f>
        <v/>
      </c>
      <c r="E238" s="57" t="inlineStr">
        <is>
          <t>이미지</t>
        </is>
      </c>
      <c r="F238" s="44" t="n"/>
      <c r="G238" s="58">
        <f>IF($G$237="","",$G$237)</f>
        <v/>
      </c>
      <c r="H238" s="59" t="n"/>
      <c r="I238" s="59" t="n"/>
      <c r="J238" s="59" t="n"/>
      <c r="K238" s="59" t="n"/>
      <c r="L238" s="60">
        <f>IF(SUM(U238:AY238)=0,"",SUM(U238:AY238))</f>
        <v/>
      </c>
      <c r="M238" s="61">
        <f>IFERROR(INDEX(U$2:AY$2,MATCH(TRUE,INDEX(U238:AY238&lt;&gt;"",0),0)),"")</f>
        <v/>
      </c>
      <c r="N238" s="61">
        <f>IFERROR(LOOKUP(2,1/(U238:AY238&lt;&gt;""),U$2:AY$2),"")</f>
        <v/>
      </c>
      <c r="O238" s="59" t="n"/>
      <c r="P238" s="59" t="n"/>
      <c r="Q238" s="59" t="n"/>
      <c r="R238" s="59" t="n"/>
      <c r="S238" s="14" t="n"/>
      <c r="U238" s="53" t="n"/>
      <c r="V238" s="53" t="n"/>
      <c r="W238" s="53" t="n"/>
      <c r="X238" s="53" t="n"/>
      <c r="Y238" s="53" t="n"/>
      <c r="Z238" s="53" t="n"/>
      <c r="AA238" s="53" t="n"/>
      <c r="AB238" s="53" t="n"/>
      <c r="AC238" s="53" t="n"/>
      <c r="AD238" s="53" t="n"/>
      <c r="AE238" s="53" t="n"/>
      <c r="AF238" s="53" t="n"/>
      <c r="AG238" s="53" t="n"/>
      <c r="AH238" s="53" t="n"/>
      <c r="AI238" s="53" t="n"/>
      <c r="AJ238" s="53" t="n"/>
      <c r="AK238" s="53" t="n"/>
      <c r="AL238" s="53" t="n"/>
      <c r="AM238" s="53" t="n"/>
      <c r="AN238" s="53" t="n"/>
      <c r="AO238" s="53" t="n"/>
      <c r="AP238" s="53" t="n"/>
      <c r="AQ238" s="53" t="n"/>
      <c r="AR238" s="53" t="n"/>
      <c r="AS238" s="53" t="n"/>
      <c r="AT238" s="53" t="n"/>
      <c r="AU238" s="53" t="n"/>
      <c r="AV238" s="53" t="n"/>
      <c r="AW238" s="53" t="n"/>
      <c r="AX238" s="53" t="n"/>
      <c r="AY238" s="53" t="n"/>
    </row>
    <row r="239" ht="15" customHeight="1">
      <c r="A239" s="62" t="n"/>
      <c r="B239" s="55">
        <f>IF($B$237="","",$B$237)</f>
        <v/>
      </c>
      <c r="C239" s="63" t="inlineStr">
        <is>
          <t>마케팅4팀</t>
        </is>
      </c>
      <c r="D239" s="55">
        <f>IF($D$237="","",$D$237)</f>
        <v/>
      </c>
      <c r="E239" s="64" t="inlineStr">
        <is>
          <t>영상</t>
        </is>
      </c>
      <c r="F239" s="44" t="n"/>
      <c r="G239" s="58">
        <f>IF($G$237="","",$G$237)</f>
        <v/>
      </c>
      <c r="H239" s="59" t="n"/>
      <c r="I239" s="59" t="n"/>
      <c r="J239" s="59" t="n"/>
      <c r="K239" s="59" t="n"/>
      <c r="L239" s="65">
        <f>IF(SUM(U239:AY239)=0,"",SUM(U239:AY239))</f>
        <v/>
      </c>
      <c r="M239" s="66">
        <f>IFERROR(INDEX(U$2:AY$2,MATCH(TRUE,INDEX(U239:AY239&lt;&gt;"",0),0)),"")</f>
        <v/>
      </c>
      <c r="N239" s="66">
        <f>IFERROR(LOOKUP(2,1/(U239:AY239&lt;&gt;""),U$2:AY$2),"")</f>
        <v/>
      </c>
      <c r="O239" s="59" t="n"/>
      <c r="P239" s="59" t="n"/>
      <c r="Q239" s="59" t="n"/>
      <c r="R239" s="59" t="n"/>
      <c r="S239" s="14" t="n"/>
      <c r="U239" s="53" t="n"/>
      <c r="V239" s="53" t="n"/>
      <c r="W239" s="53" t="n"/>
      <c r="X239" s="53" t="n"/>
      <c r="Y239" s="53" t="n"/>
      <c r="Z239" s="53" t="n"/>
      <c r="AA239" s="53" t="n"/>
      <c r="AB239" s="53" t="n"/>
      <c r="AC239" s="53" t="n"/>
      <c r="AD239" s="53" t="n"/>
      <c r="AE239" s="53" t="n"/>
      <c r="AF239" s="53" t="n"/>
      <c r="AG239" s="53" t="n"/>
      <c r="AH239" s="53" t="n"/>
      <c r="AI239" s="53" t="n"/>
      <c r="AJ239" s="53" t="n"/>
      <c r="AK239" s="53" t="n"/>
      <c r="AL239" s="53" t="n"/>
      <c r="AM239" s="53" t="n"/>
      <c r="AN239" s="53" t="n"/>
      <c r="AO239" s="53" t="n"/>
      <c r="AP239" s="53" t="n"/>
      <c r="AQ239" s="53" t="n"/>
      <c r="AR239" s="53" t="n"/>
      <c r="AS239" s="53" t="n"/>
      <c r="AT239" s="53" t="n"/>
      <c r="AU239" s="53" t="n"/>
      <c r="AV239" s="53" t="n"/>
      <c r="AW239" s="53" t="n"/>
      <c r="AX239" s="53" t="n"/>
      <c r="AY239" s="53" t="n"/>
    </row>
    <row r="240" ht="15" customHeight="1">
      <c r="A240" s="40">
        <f>IF($D$240="","",77)</f>
        <v/>
      </c>
      <c r="B240" s="10" t="n"/>
      <c r="C240" s="41" t="inlineStr">
        <is>
          <t>마케팅4팀</t>
        </is>
      </c>
      <c r="D240" s="42" t="n"/>
      <c r="E240" s="43" t="inlineStr">
        <is>
          <t>기획</t>
        </is>
      </c>
      <c r="F240" s="44" t="n"/>
      <c r="G240" s="45" t="n"/>
      <c r="H240" s="46">
        <f>IF($I$240="","",IF($I$240&lt;0,"🔴지연",IF($I$240&lt;=1,"🟡임박","🟢여유")))</f>
        <v/>
      </c>
      <c r="I240" s="47">
        <f>IF(OR($G$240="",$K$240=""),"",$G$240-$K$240)</f>
        <v/>
      </c>
      <c r="J240" s="48">
        <f>IF(SUM($L$240:$L$242)=0,"",SUM($L$240:$L$242))</f>
        <v/>
      </c>
      <c r="K240" s="49">
        <f>IF($J$240="","",MAX($N$240:$N$242))</f>
        <v/>
      </c>
      <c r="L240" s="50">
        <f>IF(SUM(U240:AY240)=0,"",SUM(U240:AY240))</f>
        <v/>
      </c>
      <c r="M240" s="51">
        <f>IFERROR(INDEX(U$2:AY$2,MATCH(TRUE,INDEX(U240:AY240&lt;&gt;"",0),0)),"")</f>
        <v/>
      </c>
      <c r="N240" s="51">
        <f>IFERROR(LOOKUP(2,1/(U240:AY240&lt;&gt;""),U$2:AY$2),"")</f>
        <v/>
      </c>
      <c r="O240" s="52" t="n"/>
      <c r="P240" s="52" t="n"/>
      <c r="Q240" s="52" t="n"/>
      <c r="R240" s="44" t="n"/>
      <c r="S240" s="14" t="n"/>
      <c r="U240" s="53" t="n"/>
      <c r="V240" s="53" t="n"/>
      <c r="W240" s="53" t="n"/>
      <c r="X240" s="53" t="n"/>
      <c r="Y240" s="53" t="n"/>
      <c r="Z240" s="53" t="n"/>
      <c r="AA240" s="53" t="n"/>
      <c r="AB240" s="53" t="n"/>
      <c r="AC240" s="53" t="n"/>
      <c r="AD240" s="53" t="n"/>
      <c r="AE240" s="53" t="n"/>
      <c r="AF240" s="53" t="n"/>
      <c r="AG240" s="53" t="n"/>
      <c r="AH240" s="53" t="n"/>
      <c r="AI240" s="53" t="n"/>
      <c r="AJ240" s="53" t="n"/>
      <c r="AK240" s="53" t="n"/>
      <c r="AL240" s="53" t="n"/>
      <c r="AM240" s="53" t="n"/>
      <c r="AN240" s="53" t="n"/>
      <c r="AO240" s="53" t="n"/>
      <c r="AP240" s="53" t="n"/>
      <c r="AQ240" s="53" t="n"/>
      <c r="AR240" s="53" t="n"/>
      <c r="AS240" s="53" t="n"/>
      <c r="AT240" s="53" t="n"/>
      <c r="AU240" s="53" t="n"/>
      <c r="AV240" s="53" t="n"/>
      <c r="AW240" s="53" t="n"/>
      <c r="AX240" s="53" t="n"/>
      <c r="AY240" s="53" t="n"/>
    </row>
    <row r="241" ht="15" customHeight="1">
      <c r="A241" s="54" t="n"/>
      <c r="B241" s="55">
        <f>IF($B$240="","",$B$240)</f>
        <v/>
      </c>
      <c r="C241" s="56" t="inlineStr">
        <is>
          <t>마케팅4팀</t>
        </is>
      </c>
      <c r="D241" s="55">
        <f>IF($D$240="","",$D$240)</f>
        <v/>
      </c>
      <c r="E241" s="57" t="inlineStr">
        <is>
          <t>이미지</t>
        </is>
      </c>
      <c r="F241" s="44" t="n"/>
      <c r="G241" s="58">
        <f>IF($G$240="","",$G$240)</f>
        <v/>
      </c>
      <c r="H241" s="59" t="n"/>
      <c r="I241" s="59" t="n"/>
      <c r="J241" s="59" t="n"/>
      <c r="K241" s="59" t="n"/>
      <c r="L241" s="60">
        <f>IF(SUM(U241:AY241)=0,"",SUM(U241:AY241))</f>
        <v/>
      </c>
      <c r="M241" s="61">
        <f>IFERROR(INDEX(U$2:AY$2,MATCH(TRUE,INDEX(U241:AY241&lt;&gt;"",0),0)),"")</f>
        <v/>
      </c>
      <c r="N241" s="61">
        <f>IFERROR(LOOKUP(2,1/(U241:AY241&lt;&gt;""),U$2:AY$2),"")</f>
        <v/>
      </c>
      <c r="O241" s="59" t="n"/>
      <c r="P241" s="59" t="n"/>
      <c r="Q241" s="59" t="n"/>
      <c r="R241" s="59" t="n"/>
      <c r="S241" s="14" t="n"/>
      <c r="U241" s="53" t="n"/>
      <c r="V241" s="53" t="n"/>
      <c r="W241" s="53" t="n"/>
      <c r="X241" s="53" t="n"/>
      <c r="Y241" s="53" t="n"/>
      <c r="Z241" s="53" t="n"/>
      <c r="AA241" s="53" t="n"/>
      <c r="AB241" s="53" t="n"/>
      <c r="AC241" s="53" t="n"/>
      <c r="AD241" s="53" t="n"/>
      <c r="AE241" s="53" t="n"/>
      <c r="AF241" s="53" t="n"/>
      <c r="AG241" s="53" t="n"/>
      <c r="AH241" s="53" t="n"/>
      <c r="AI241" s="53" t="n"/>
      <c r="AJ241" s="53" t="n"/>
      <c r="AK241" s="53" t="n"/>
      <c r="AL241" s="53" t="n"/>
      <c r="AM241" s="53" t="n"/>
      <c r="AN241" s="53" t="n"/>
      <c r="AO241" s="53" t="n"/>
      <c r="AP241" s="53" t="n"/>
      <c r="AQ241" s="53" t="n"/>
      <c r="AR241" s="53" t="n"/>
      <c r="AS241" s="53" t="n"/>
      <c r="AT241" s="53" t="n"/>
      <c r="AU241" s="53" t="n"/>
      <c r="AV241" s="53" t="n"/>
      <c r="AW241" s="53" t="n"/>
      <c r="AX241" s="53" t="n"/>
      <c r="AY241" s="53" t="n"/>
    </row>
    <row r="242" ht="15" customHeight="1">
      <c r="A242" s="62" t="n"/>
      <c r="B242" s="55">
        <f>IF($B$240="","",$B$240)</f>
        <v/>
      </c>
      <c r="C242" s="63" t="inlineStr">
        <is>
          <t>마케팅4팀</t>
        </is>
      </c>
      <c r="D242" s="55">
        <f>IF($D$240="","",$D$240)</f>
        <v/>
      </c>
      <c r="E242" s="64" t="inlineStr">
        <is>
          <t>영상</t>
        </is>
      </c>
      <c r="F242" s="44" t="n"/>
      <c r="G242" s="58">
        <f>IF($G$240="","",$G$240)</f>
        <v/>
      </c>
      <c r="H242" s="59" t="n"/>
      <c r="I242" s="59" t="n"/>
      <c r="J242" s="59" t="n"/>
      <c r="K242" s="59" t="n"/>
      <c r="L242" s="65">
        <f>IF(SUM(U242:AY242)=0,"",SUM(U242:AY242))</f>
        <v/>
      </c>
      <c r="M242" s="66">
        <f>IFERROR(INDEX(U$2:AY$2,MATCH(TRUE,INDEX(U242:AY242&lt;&gt;"",0),0)),"")</f>
        <v/>
      </c>
      <c r="N242" s="66">
        <f>IFERROR(LOOKUP(2,1/(U242:AY242&lt;&gt;""),U$2:AY$2),"")</f>
        <v/>
      </c>
      <c r="O242" s="59" t="n"/>
      <c r="P242" s="59" t="n"/>
      <c r="Q242" s="59" t="n"/>
      <c r="R242" s="59" t="n"/>
      <c r="S242" s="14" t="n"/>
      <c r="U242" s="53" t="n"/>
      <c r="V242" s="53" t="n"/>
      <c r="W242" s="53" t="n"/>
      <c r="X242" s="53" t="n"/>
      <c r="Y242" s="53" t="n"/>
      <c r="Z242" s="53" t="n"/>
      <c r="AA242" s="53" t="n"/>
      <c r="AB242" s="53" t="n"/>
      <c r="AC242" s="53" t="n"/>
      <c r="AD242" s="53" t="n"/>
      <c r="AE242" s="53" t="n"/>
      <c r="AF242" s="53" t="n"/>
      <c r="AG242" s="53" t="n"/>
      <c r="AH242" s="53" t="n"/>
      <c r="AI242" s="53" t="n"/>
      <c r="AJ242" s="53" t="n"/>
      <c r="AK242" s="53" t="n"/>
      <c r="AL242" s="53" t="n"/>
      <c r="AM242" s="53" t="n"/>
      <c r="AN242" s="53" t="n"/>
      <c r="AO242" s="53" t="n"/>
      <c r="AP242" s="53" t="n"/>
      <c r="AQ242" s="53" t="n"/>
      <c r="AR242" s="53" t="n"/>
      <c r="AS242" s="53" t="n"/>
      <c r="AT242" s="53" t="n"/>
      <c r="AU242" s="53" t="n"/>
      <c r="AV242" s="53" t="n"/>
      <c r="AW242" s="53" t="n"/>
      <c r="AX242" s="53" t="n"/>
      <c r="AY242" s="53" t="n"/>
    </row>
    <row r="243" ht="15" customHeight="1">
      <c r="A243" s="40">
        <f>IF($D$243="","",78)</f>
        <v/>
      </c>
      <c r="B243" s="10" t="n"/>
      <c r="C243" s="41" t="inlineStr">
        <is>
          <t>마케팅4팀</t>
        </is>
      </c>
      <c r="D243" s="42" t="n"/>
      <c r="E243" s="43" t="inlineStr">
        <is>
          <t>기획</t>
        </is>
      </c>
      <c r="F243" s="44" t="n"/>
      <c r="G243" s="45" t="n"/>
      <c r="H243" s="46">
        <f>IF($I$243="","",IF($I$243&lt;0,"🔴지연",IF($I$243&lt;=1,"🟡임박","🟢여유")))</f>
        <v/>
      </c>
      <c r="I243" s="47">
        <f>IF(OR($G$243="",$K$243=""),"",$G$243-$K$243)</f>
        <v/>
      </c>
      <c r="J243" s="48">
        <f>IF(SUM($L$243:$L$245)=0,"",SUM($L$243:$L$245))</f>
        <v/>
      </c>
      <c r="K243" s="49">
        <f>IF($J$243="","",MAX($N$243:$N$245))</f>
        <v/>
      </c>
      <c r="L243" s="50">
        <f>IF(SUM(U243:AY243)=0,"",SUM(U243:AY243))</f>
        <v/>
      </c>
      <c r="M243" s="51">
        <f>IFERROR(INDEX(U$2:AY$2,MATCH(TRUE,INDEX(U243:AY243&lt;&gt;"",0),0)),"")</f>
        <v/>
      </c>
      <c r="N243" s="51">
        <f>IFERROR(LOOKUP(2,1/(U243:AY243&lt;&gt;""),U$2:AY$2),"")</f>
        <v/>
      </c>
      <c r="O243" s="52" t="n"/>
      <c r="P243" s="52" t="n"/>
      <c r="Q243" s="52" t="n"/>
      <c r="R243" s="44" t="n"/>
      <c r="S243" s="14" t="n"/>
      <c r="U243" s="53" t="n"/>
      <c r="V243" s="53" t="n"/>
      <c r="W243" s="53" t="n"/>
      <c r="X243" s="53" t="n"/>
      <c r="Y243" s="53" t="n"/>
      <c r="Z243" s="53" t="n"/>
      <c r="AA243" s="53" t="n"/>
      <c r="AB243" s="53" t="n"/>
      <c r="AC243" s="53" t="n"/>
      <c r="AD243" s="53" t="n"/>
      <c r="AE243" s="53" t="n"/>
      <c r="AF243" s="53" t="n"/>
      <c r="AG243" s="53" t="n"/>
      <c r="AH243" s="53" t="n"/>
      <c r="AI243" s="53" t="n"/>
      <c r="AJ243" s="53" t="n"/>
      <c r="AK243" s="53" t="n"/>
      <c r="AL243" s="53" t="n"/>
      <c r="AM243" s="53" t="n"/>
      <c r="AN243" s="53" t="n"/>
      <c r="AO243" s="53" t="n"/>
      <c r="AP243" s="53" t="n"/>
      <c r="AQ243" s="53" t="n"/>
      <c r="AR243" s="53" t="n"/>
      <c r="AS243" s="53" t="n"/>
      <c r="AT243" s="53" t="n"/>
      <c r="AU243" s="53" t="n"/>
      <c r="AV243" s="53" t="n"/>
      <c r="AW243" s="53" t="n"/>
      <c r="AX243" s="53" t="n"/>
      <c r="AY243" s="53" t="n"/>
    </row>
    <row r="244" ht="15" customHeight="1">
      <c r="A244" s="54" t="n"/>
      <c r="B244" s="55">
        <f>IF($B$243="","",$B$243)</f>
        <v/>
      </c>
      <c r="C244" s="56" t="inlineStr">
        <is>
          <t>마케팅4팀</t>
        </is>
      </c>
      <c r="D244" s="55">
        <f>IF($D$243="","",$D$243)</f>
        <v/>
      </c>
      <c r="E244" s="57" t="inlineStr">
        <is>
          <t>이미지</t>
        </is>
      </c>
      <c r="F244" s="44" t="n"/>
      <c r="G244" s="58">
        <f>IF($G$243="","",$G$243)</f>
        <v/>
      </c>
      <c r="H244" s="59" t="n"/>
      <c r="I244" s="59" t="n"/>
      <c r="J244" s="59" t="n"/>
      <c r="K244" s="59" t="n"/>
      <c r="L244" s="60">
        <f>IF(SUM(U244:AY244)=0,"",SUM(U244:AY244))</f>
        <v/>
      </c>
      <c r="M244" s="61">
        <f>IFERROR(INDEX(U$2:AY$2,MATCH(TRUE,INDEX(U244:AY244&lt;&gt;"",0),0)),"")</f>
        <v/>
      </c>
      <c r="N244" s="61">
        <f>IFERROR(LOOKUP(2,1/(U244:AY244&lt;&gt;""),U$2:AY$2),"")</f>
        <v/>
      </c>
      <c r="O244" s="59" t="n"/>
      <c r="P244" s="59" t="n"/>
      <c r="Q244" s="59" t="n"/>
      <c r="R244" s="59" t="n"/>
      <c r="S244" s="14" t="n"/>
      <c r="U244" s="53" t="n"/>
      <c r="V244" s="53" t="n"/>
      <c r="W244" s="53" t="n"/>
      <c r="X244" s="53" t="n"/>
      <c r="Y244" s="53" t="n"/>
      <c r="Z244" s="53" t="n"/>
      <c r="AA244" s="53" t="n"/>
      <c r="AB244" s="53" t="n"/>
      <c r="AC244" s="53" t="n"/>
      <c r="AD244" s="53" t="n"/>
      <c r="AE244" s="53" t="n"/>
      <c r="AF244" s="53" t="n"/>
      <c r="AG244" s="53" t="n"/>
      <c r="AH244" s="53" t="n"/>
      <c r="AI244" s="53" t="n"/>
      <c r="AJ244" s="53" t="n"/>
      <c r="AK244" s="53" t="n"/>
      <c r="AL244" s="53" t="n"/>
      <c r="AM244" s="53" t="n"/>
      <c r="AN244" s="53" t="n"/>
      <c r="AO244" s="53" t="n"/>
      <c r="AP244" s="53" t="n"/>
      <c r="AQ244" s="53" t="n"/>
      <c r="AR244" s="53" t="n"/>
      <c r="AS244" s="53" t="n"/>
      <c r="AT244" s="53" t="n"/>
      <c r="AU244" s="53" t="n"/>
      <c r="AV244" s="53" t="n"/>
      <c r="AW244" s="53" t="n"/>
      <c r="AX244" s="53" t="n"/>
      <c r="AY244" s="53" t="n"/>
    </row>
    <row r="245" ht="15" customHeight="1">
      <c r="A245" s="62" t="n"/>
      <c r="B245" s="55">
        <f>IF($B$243="","",$B$243)</f>
        <v/>
      </c>
      <c r="C245" s="63" t="inlineStr">
        <is>
          <t>마케팅4팀</t>
        </is>
      </c>
      <c r="D245" s="55">
        <f>IF($D$243="","",$D$243)</f>
        <v/>
      </c>
      <c r="E245" s="64" t="inlineStr">
        <is>
          <t>영상</t>
        </is>
      </c>
      <c r="F245" s="44" t="n"/>
      <c r="G245" s="58">
        <f>IF($G$243="","",$G$243)</f>
        <v/>
      </c>
      <c r="H245" s="59" t="n"/>
      <c r="I245" s="59" t="n"/>
      <c r="J245" s="59" t="n"/>
      <c r="K245" s="59" t="n"/>
      <c r="L245" s="65">
        <f>IF(SUM(U245:AY245)=0,"",SUM(U245:AY245))</f>
        <v/>
      </c>
      <c r="M245" s="66">
        <f>IFERROR(INDEX(U$2:AY$2,MATCH(TRUE,INDEX(U245:AY245&lt;&gt;"",0),0)),"")</f>
        <v/>
      </c>
      <c r="N245" s="66">
        <f>IFERROR(LOOKUP(2,1/(U245:AY245&lt;&gt;""),U$2:AY$2),"")</f>
        <v/>
      </c>
      <c r="O245" s="59" t="n"/>
      <c r="P245" s="59" t="n"/>
      <c r="Q245" s="59" t="n"/>
      <c r="R245" s="59" t="n"/>
      <c r="S245" s="14" t="n"/>
      <c r="U245" s="53" t="n"/>
      <c r="V245" s="53" t="n"/>
      <c r="W245" s="53" t="n"/>
      <c r="X245" s="53" t="n"/>
      <c r="Y245" s="53" t="n"/>
      <c r="Z245" s="53" t="n"/>
      <c r="AA245" s="53" t="n"/>
      <c r="AB245" s="53" t="n"/>
      <c r="AC245" s="53" t="n"/>
      <c r="AD245" s="53" t="n"/>
      <c r="AE245" s="53" t="n"/>
      <c r="AF245" s="53" t="n"/>
      <c r="AG245" s="53" t="n"/>
      <c r="AH245" s="53" t="n"/>
      <c r="AI245" s="53" t="n"/>
      <c r="AJ245" s="53" t="n"/>
      <c r="AK245" s="53" t="n"/>
      <c r="AL245" s="53" t="n"/>
      <c r="AM245" s="53" t="n"/>
      <c r="AN245" s="53" t="n"/>
      <c r="AO245" s="53" t="n"/>
      <c r="AP245" s="53" t="n"/>
      <c r="AQ245" s="53" t="n"/>
      <c r="AR245" s="53" t="n"/>
      <c r="AS245" s="53" t="n"/>
      <c r="AT245" s="53" t="n"/>
      <c r="AU245" s="53" t="n"/>
      <c r="AV245" s="53" t="n"/>
      <c r="AW245" s="53" t="n"/>
      <c r="AX245" s="53" t="n"/>
      <c r="AY245" s="53" t="n"/>
    </row>
    <row r="246" ht="15" customHeight="1">
      <c r="A246" s="40">
        <f>IF($D$246="","",79)</f>
        <v/>
      </c>
      <c r="B246" s="10" t="n"/>
      <c r="C246" s="41" t="inlineStr">
        <is>
          <t>마케팅4팀</t>
        </is>
      </c>
      <c r="D246" s="42" t="n"/>
      <c r="E246" s="43" t="inlineStr">
        <is>
          <t>기획</t>
        </is>
      </c>
      <c r="F246" s="44" t="n"/>
      <c r="G246" s="45" t="n"/>
      <c r="H246" s="46">
        <f>IF($I$246="","",IF($I$246&lt;0,"🔴지연",IF($I$246&lt;=1,"🟡임박","🟢여유")))</f>
        <v/>
      </c>
      <c r="I246" s="47">
        <f>IF(OR($G$246="",$K$246=""),"",$G$246-$K$246)</f>
        <v/>
      </c>
      <c r="J246" s="48">
        <f>IF(SUM($L$246:$L$248)=0,"",SUM($L$246:$L$248))</f>
        <v/>
      </c>
      <c r="K246" s="49">
        <f>IF($J$246="","",MAX($N$246:$N$248))</f>
        <v/>
      </c>
      <c r="L246" s="50">
        <f>IF(SUM(U246:AY246)=0,"",SUM(U246:AY246))</f>
        <v/>
      </c>
      <c r="M246" s="51">
        <f>IFERROR(INDEX(U$2:AY$2,MATCH(TRUE,INDEX(U246:AY246&lt;&gt;"",0),0)),"")</f>
        <v/>
      </c>
      <c r="N246" s="51">
        <f>IFERROR(LOOKUP(2,1/(U246:AY246&lt;&gt;""),U$2:AY$2),"")</f>
        <v/>
      </c>
      <c r="O246" s="52" t="n"/>
      <c r="P246" s="52" t="n"/>
      <c r="Q246" s="52" t="n"/>
      <c r="R246" s="44" t="n"/>
      <c r="S246" s="14" t="n"/>
      <c r="U246" s="53" t="n"/>
      <c r="V246" s="53" t="n"/>
      <c r="W246" s="53" t="n"/>
      <c r="X246" s="53" t="n"/>
      <c r="Y246" s="53" t="n"/>
      <c r="Z246" s="53" t="n"/>
      <c r="AA246" s="53" t="n"/>
      <c r="AB246" s="53" t="n"/>
      <c r="AC246" s="53" t="n"/>
      <c r="AD246" s="53" t="n"/>
      <c r="AE246" s="53" t="n"/>
      <c r="AF246" s="53" t="n"/>
      <c r="AG246" s="53" t="n"/>
      <c r="AH246" s="53" t="n"/>
      <c r="AI246" s="53" t="n"/>
      <c r="AJ246" s="53" t="n"/>
      <c r="AK246" s="53" t="n"/>
      <c r="AL246" s="53" t="n"/>
      <c r="AM246" s="53" t="n"/>
      <c r="AN246" s="53" t="n"/>
      <c r="AO246" s="53" t="n"/>
      <c r="AP246" s="53" t="n"/>
      <c r="AQ246" s="53" t="n"/>
      <c r="AR246" s="53" t="n"/>
      <c r="AS246" s="53" t="n"/>
      <c r="AT246" s="53" t="n"/>
      <c r="AU246" s="53" t="n"/>
      <c r="AV246" s="53" t="n"/>
      <c r="AW246" s="53" t="n"/>
      <c r="AX246" s="53" t="n"/>
      <c r="AY246" s="53" t="n"/>
    </row>
    <row r="247" ht="15" customHeight="1">
      <c r="A247" s="54" t="n"/>
      <c r="B247" s="55">
        <f>IF($B$246="","",$B$246)</f>
        <v/>
      </c>
      <c r="C247" s="56" t="inlineStr">
        <is>
          <t>마케팅4팀</t>
        </is>
      </c>
      <c r="D247" s="55">
        <f>IF($D$246="","",$D$246)</f>
        <v/>
      </c>
      <c r="E247" s="57" t="inlineStr">
        <is>
          <t>이미지</t>
        </is>
      </c>
      <c r="F247" s="44" t="n"/>
      <c r="G247" s="58">
        <f>IF($G$246="","",$G$246)</f>
        <v/>
      </c>
      <c r="H247" s="59" t="n"/>
      <c r="I247" s="59" t="n"/>
      <c r="J247" s="59" t="n"/>
      <c r="K247" s="59" t="n"/>
      <c r="L247" s="60">
        <f>IF(SUM(U247:AY247)=0,"",SUM(U247:AY247))</f>
        <v/>
      </c>
      <c r="M247" s="61">
        <f>IFERROR(INDEX(U$2:AY$2,MATCH(TRUE,INDEX(U247:AY247&lt;&gt;"",0),0)),"")</f>
        <v/>
      </c>
      <c r="N247" s="61">
        <f>IFERROR(LOOKUP(2,1/(U247:AY247&lt;&gt;""),U$2:AY$2),"")</f>
        <v/>
      </c>
      <c r="O247" s="59" t="n"/>
      <c r="P247" s="59" t="n"/>
      <c r="Q247" s="59" t="n"/>
      <c r="R247" s="59" t="n"/>
      <c r="S247" s="14" t="n"/>
      <c r="U247" s="53" t="n"/>
      <c r="V247" s="53" t="n"/>
      <c r="W247" s="53" t="n"/>
      <c r="X247" s="53" t="n"/>
      <c r="Y247" s="53" t="n"/>
      <c r="Z247" s="53" t="n"/>
      <c r="AA247" s="53" t="n"/>
      <c r="AB247" s="53" t="n"/>
      <c r="AC247" s="53" t="n"/>
      <c r="AD247" s="53" t="n"/>
      <c r="AE247" s="53" t="n"/>
      <c r="AF247" s="53" t="n"/>
      <c r="AG247" s="53" t="n"/>
      <c r="AH247" s="53" t="n"/>
      <c r="AI247" s="53" t="n"/>
      <c r="AJ247" s="53" t="n"/>
      <c r="AK247" s="53" t="n"/>
      <c r="AL247" s="53" t="n"/>
      <c r="AM247" s="53" t="n"/>
      <c r="AN247" s="53" t="n"/>
      <c r="AO247" s="53" t="n"/>
      <c r="AP247" s="53" t="n"/>
      <c r="AQ247" s="53" t="n"/>
      <c r="AR247" s="53" t="n"/>
      <c r="AS247" s="53" t="n"/>
      <c r="AT247" s="53" t="n"/>
      <c r="AU247" s="53" t="n"/>
      <c r="AV247" s="53" t="n"/>
      <c r="AW247" s="53" t="n"/>
      <c r="AX247" s="53" t="n"/>
      <c r="AY247" s="53" t="n"/>
    </row>
    <row r="248" ht="15" customHeight="1">
      <c r="A248" s="62" t="n"/>
      <c r="B248" s="55">
        <f>IF($B$246="","",$B$246)</f>
        <v/>
      </c>
      <c r="C248" s="63" t="inlineStr">
        <is>
          <t>마케팅4팀</t>
        </is>
      </c>
      <c r="D248" s="55">
        <f>IF($D$246="","",$D$246)</f>
        <v/>
      </c>
      <c r="E248" s="64" t="inlineStr">
        <is>
          <t>영상</t>
        </is>
      </c>
      <c r="F248" s="44" t="n"/>
      <c r="G248" s="58">
        <f>IF($G$246="","",$G$246)</f>
        <v/>
      </c>
      <c r="H248" s="59" t="n"/>
      <c r="I248" s="59" t="n"/>
      <c r="J248" s="59" t="n"/>
      <c r="K248" s="59" t="n"/>
      <c r="L248" s="65">
        <f>IF(SUM(U248:AY248)=0,"",SUM(U248:AY248))</f>
        <v/>
      </c>
      <c r="M248" s="66">
        <f>IFERROR(INDEX(U$2:AY$2,MATCH(TRUE,INDEX(U248:AY248&lt;&gt;"",0),0)),"")</f>
        <v/>
      </c>
      <c r="N248" s="66">
        <f>IFERROR(LOOKUP(2,1/(U248:AY248&lt;&gt;""),U$2:AY$2),"")</f>
        <v/>
      </c>
      <c r="O248" s="59" t="n"/>
      <c r="P248" s="59" t="n"/>
      <c r="Q248" s="59" t="n"/>
      <c r="R248" s="59" t="n"/>
      <c r="S248" s="14" t="n"/>
      <c r="U248" s="53" t="n"/>
      <c r="V248" s="53" t="n"/>
      <c r="W248" s="53" t="n"/>
      <c r="X248" s="53" t="n"/>
      <c r="Y248" s="53" t="n"/>
      <c r="Z248" s="53" t="n"/>
      <c r="AA248" s="53" t="n"/>
      <c r="AB248" s="53" t="n"/>
      <c r="AC248" s="53" t="n"/>
      <c r="AD248" s="53" t="n"/>
      <c r="AE248" s="53" t="n"/>
      <c r="AF248" s="53" t="n"/>
      <c r="AG248" s="53" t="n"/>
      <c r="AH248" s="53" t="n"/>
      <c r="AI248" s="53" t="n"/>
      <c r="AJ248" s="53" t="n"/>
      <c r="AK248" s="53" t="n"/>
      <c r="AL248" s="53" t="n"/>
      <c r="AM248" s="53" t="n"/>
      <c r="AN248" s="53" t="n"/>
      <c r="AO248" s="53" t="n"/>
      <c r="AP248" s="53" t="n"/>
      <c r="AQ248" s="53" t="n"/>
      <c r="AR248" s="53" t="n"/>
      <c r="AS248" s="53" t="n"/>
      <c r="AT248" s="53" t="n"/>
      <c r="AU248" s="53" t="n"/>
      <c r="AV248" s="53" t="n"/>
      <c r="AW248" s="53" t="n"/>
      <c r="AX248" s="53" t="n"/>
      <c r="AY248" s="53" t="n"/>
    </row>
    <row r="249" ht="15" customHeight="1">
      <c r="A249" s="40">
        <f>IF($D$249="","",80)</f>
        <v/>
      </c>
      <c r="B249" s="10" t="n"/>
      <c r="C249" s="41" t="inlineStr">
        <is>
          <t>마케팅4팀</t>
        </is>
      </c>
      <c r="D249" s="42" t="n"/>
      <c r="E249" s="43" t="inlineStr">
        <is>
          <t>기획</t>
        </is>
      </c>
      <c r="F249" s="44" t="n"/>
      <c r="G249" s="45" t="n"/>
      <c r="H249" s="46">
        <f>IF($I$249="","",IF($I$249&lt;0,"🔴지연",IF($I$249&lt;=1,"🟡임박","🟢여유")))</f>
        <v/>
      </c>
      <c r="I249" s="47">
        <f>IF(OR($G$249="",$K$249=""),"",$G$249-$K$249)</f>
        <v/>
      </c>
      <c r="J249" s="48">
        <f>IF(SUM($L$249:$L$251)=0,"",SUM($L$249:$L$251))</f>
        <v/>
      </c>
      <c r="K249" s="49">
        <f>IF($J$249="","",MAX($N$249:$N$251))</f>
        <v/>
      </c>
      <c r="L249" s="50">
        <f>IF(SUM(U249:AY249)=0,"",SUM(U249:AY249))</f>
        <v/>
      </c>
      <c r="M249" s="51">
        <f>IFERROR(INDEX(U$2:AY$2,MATCH(TRUE,INDEX(U249:AY249&lt;&gt;"",0),0)),"")</f>
        <v/>
      </c>
      <c r="N249" s="51">
        <f>IFERROR(LOOKUP(2,1/(U249:AY249&lt;&gt;""),U$2:AY$2),"")</f>
        <v/>
      </c>
      <c r="O249" s="52" t="n"/>
      <c r="P249" s="52" t="n"/>
      <c r="Q249" s="52" t="n"/>
      <c r="R249" s="44" t="n"/>
      <c r="S249" s="14" t="n"/>
      <c r="U249" s="53" t="n"/>
      <c r="V249" s="53" t="n"/>
      <c r="W249" s="53" t="n"/>
      <c r="X249" s="53" t="n"/>
      <c r="Y249" s="53" t="n"/>
      <c r="Z249" s="53" t="n"/>
      <c r="AA249" s="53" t="n"/>
      <c r="AB249" s="53" t="n"/>
      <c r="AC249" s="53" t="n"/>
      <c r="AD249" s="53" t="n"/>
      <c r="AE249" s="53" t="n"/>
      <c r="AF249" s="53" t="n"/>
      <c r="AG249" s="53" t="n"/>
      <c r="AH249" s="53" t="n"/>
      <c r="AI249" s="53" t="n"/>
      <c r="AJ249" s="53" t="n"/>
      <c r="AK249" s="53" t="n"/>
      <c r="AL249" s="53" t="n"/>
      <c r="AM249" s="53" t="n"/>
      <c r="AN249" s="53" t="n"/>
      <c r="AO249" s="53" t="n"/>
      <c r="AP249" s="53" t="n"/>
      <c r="AQ249" s="53" t="n"/>
      <c r="AR249" s="53" t="n"/>
      <c r="AS249" s="53" t="n"/>
      <c r="AT249" s="53" t="n"/>
      <c r="AU249" s="53" t="n"/>
      <c r="AV249" s="53" t="n"/>
      <c r="AW249" s="53" t="n"/>
      <c r="AX249" s="53" t="n"/>
      <c r="AY249" s="53" t="n"/>
    </row>
    <row r="250" ht="15" customHeight="1">
      <c r="A250" s="54" t="n"/>
      <c r="B250" s="55">
        <f>IF($B$249="","",$B$249)</f>
        <v/>
      </c>
      <c r="C250" s="56" t="inlineStr">
        <is>
          <t>마케팅4팀</t>
        </is>
      </c>
      <c r="D250" s="55">
        <f>IF($D$249="","",$D$249)</f>
        <v/>
      </c>
      <c r="E250" s="57" t="inlineStr">
        <is>
          <t>이미지</t>
        </is>
      </c>
      <c r="F250" s="44" t="n"/>
      <c r="G250" s="58">
        <f>IF($G$249="","",$G$249)</f>
        <v/>
      </c>
      <c r="H250" s="59" t="n"/>
      <c r="I250" s="59" t="n"/>
      <c r="J250" s="59" t="n"/>
      <c r="K250" s="59" t="n"/>
      <c r="L250" s="60">
        <f>IF(SUM(U250:AY250)=0,"",SUM(U250:AY250))</f>
        <v/>
      </c>
      <c r="M250" s="61">
        <f>IFERROR(INDEX(U$2:AY$2,MATCH(TRUE,INDEX(U250:AY250&lt;&gt;"",0),0)),"")</f>
        <v/>
      </c>
      <c r="N250" s="61">
        <f>IFERROR(LOOKUP(2,1/(U250:AY250&lt;&gt;""),U$2:AY$2),"")</f>
        <v/>
      </c>
      <c r="O250" s="59" t="n"/>
      <c r="P250" s="59" t="n"/>
      <c r="Q250" s="59" t="n"/>
      <c r="R250" s="59" t="n"/>
      <c r="S250" s="14" t="n"/>
      <c r="U250" s="53" t="n"/>
      <c r="V250" s="53" t="n"/>
      <c r="W250" s="53" t="n"/>
      <c r="X250" s="53" t="n"/>
      <c r="Y250" s="53" t="n"/>
      <c r="Z250" s="53" t="n"/>
      <c r="AA250" s="53" t="n"/>
      <c r="AB250" s="53" t="n"/>
      <c r="AC250" s="53" t="n"/>
      <c r="AD250" s="53" t="n"/>
      <c r="AE250" s="53" t="n"/>
      <c r="AF250" s="53" t="n"/>
      <c r="AG250" s="53" t="n"/>
      <c r="AH250" s="53" t="n"/>
      <c r="AI250" s="53" t="n"/>
      <c r="AJ250" s="53" t="n"/>
      <c r="AK250" s="53" t="n"/>
      <c r="AL250" s="53" t="n"/>
      <c r="AM250" s="53" t="n"/>
      <c r="AN250" s="53" t="n"/>
      <c r="AO250" s="53" t="n"/>
      <c r="AP250" s="53" t="n"/>
      <c r="AQ250" s="53" t="n"/>
      <c r="AR250" s="53" t="n"/>
      <c r="AS250" s="53" t="n"/>
      <c r="AT250" s="53" t="n"/>
      <c r="AU250" s="53" t="n"/>
      <c r="AV250" s="53" t="n"/>
      <c r="AW250" s="53" t="n"/>
      <c r="AX250" s="53" t="n"/>
      <c r="AY250" s="53" t="n"/>
    </row>
    <row r="251" ht="15" customHeight="1">
      <c r="A251" s="62" t="n"/>
      <c r="B251" s="55">
        <f>IF($B$249="","",$B$249)</f>
        <v/>
      </c>
      <c r="C251" s="63" t="inlineStr">
        <is>
          <t>마케팅4팀</t>
        </is>
      </c>
      <c r="D251" s="55">
        <f>IF($D$249="","",$D$249)</f>
        <v/>
      </c>
      <c r="E251" s="64" t="inlineStr">
        <is>
          <t>영상</t>
        </is>
      </c>
      <c r="F251" s="44" t="n"/>
      <c r="G251" s="58">
        <f>IF($G$249="","",$G$249)</f>
        <v/>
      </c>
      <c r="H251" s="59" t="n"/>
      <c r="I251" s="59" t="n"/>
      <c r="J251" s="59" t="n"/>
      <c r="K251" s="59" t="n"/>
      <c r="L251" s="65">
        <f>IF(SUM(U251:AY251)=0,"",SUM(U251:AY251))</f>
        <v/>
      </c>
      <c r="M251" s="66">
        <f>IFERROR(INDEX(U$2:AY$2,MATCH(TRUE,INDEX(U251:AY251&lt;&gt;"",0),0)),"")</f>
        <v/>
      </c>
      <c r="N251" s="66">
        <f>IFERROR(LOOKUP(2,1/(U251:AY251&lt;&gt;""),U$2:AY$2),"")</f>
        <v/>
      </c>
      <c r="O251" s="59" t="n"/>
      <c r="P251" s="59" t="n"/>
      <c r="Q251" s="59" t="n"/>
      <c r="R251" s="59" t="n"/>
      <c r="S251" s="14" t="n"/>
      <c r="U251" s="53" t="n"/>
      <c r="V251" s="53" t="n"/>
      <c r="W251" s="53" t="n"/>
      <c r="X251" s="53" t="n"/>
      <c r="Y251" s="53" t="n"/>
      <c r="Z251" s="53" t="n"/>
      <c r="AA251" s="53" t="n"/>
      <c r="AB251" s="53" t="n"/>
      <c r="AC251" s="53" t="n"/>
      <c r="AD251" s="53" t="n"/>
      <c r="AE251" s="53" t="n"/>
      <c r="AF251" s="53" t="n"/>
      <c r="AG251" s="53" t="n"/>
      <c r="AH251" s="53" t="n"/>
      <c r="AI251" s="53" t="n"/>
      <c r="AJ251" s="53" t="n"/>
      <c r="AK251" s="53" t="n"/>
      <c r="AL251" s="53" t="n"/>
      <c r="AM251" s="53" t="n"/>
      <c r="AN251" s="53" t="n"/>
      <c r="AO251" s="53" t="n"/>
      <c r="AP251" s="53" t="n"/>
      <c r="AQ251" s="53" t="n"/>
      <c r="AR251" s="53" t="n"/>
      <c r="AS251" s="53" t="n"/>
      <c r="AT251" s="53" t="n"/>
      <c r="AU251" s="53" t="n"/>
      <c r="AV251" s="53" t="n"/>
      <c r="AW251" s="53" t="n"/>
      <c r="AX251" s="53" t="n"/>
      <c r="AY251" s="53" t="n"/>
    </row>
    <row r="252" ht="18" customHeight="1">
      <c r="A252" s="39" t="inlineStr">
        <is>
          <t>기타   (253~312행 · 소재 20개)</t>
        </is>
      </c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  <c r="AA252" s="8" t="n"/>
      <c r="AB252" s="8" t="n"/>
      <c r="AC252" s="8" t="n"/>
      <c r="AD252" s="8" t="n"/>
      <c r="AE252" s="8" t="n"/>
      <c r="AF252" s="8" t="n"/>
      <c r="AG252" s="8" t="n"/>
      <c r="AH252" s="8" t="n"/>
      <c r="AI252" s="8" t="n"/>
      <c r="AJ252" s="8" t="n"/>
      <c r="AK252" s="8" t="n"/>
      <c r="AL252" s="8" t="n"/>
      <c r="AM252" s="8" t="n"/>
      <c r="AN252" s="8" t="n"/>
      <c r="AO252" s="8" t="n"/>
      <c r="AP252" s="8" t="n"/>
      <c r="AQ252" s="8" t="n"/>
      <c r="AR252" s="8" t="n"/>
      <c r="AS252" s="8" t="n"/>
      <c r="AT252" s="8" t="n"/>
      <c r="AU252" s="8" t="n"/>
      <c r="AV252" s="8" t="n"/>
      <c r="AW252" s="8" t="n"/>
      <c r="AX252" s="8" t="n"/>
      <c r="AY252" s="4" t="n"/>
    </row>
    <row r="253" ht="15" customHeight="1">
      <c r="A253" s="40">
        <f>IF($D$253="","",81)</f>
        <v/>
      </c>
      <c r="B253" s="10" t="n"/>
      <c r="C253" s="41" t="inlineStr">
        <is>
          <t>기타</t>
        </is>
      </c>
      <c r="D253" s="42" t="n"/>
      <c r="E253" s="43" t="inlineStr">
        <is>
          <t>기획</t>
        </is>
      </c>
      <c r="F253" s="44" t="n"/>
      <c r="G253" s="45" t="n"/>
      <c r="H253" s="46">
        <f>IF($I$253="","",IF($I$253&lt;0,"🔴지연",IF($I$253&lt;=1,"🟡임박","🟢여유")))</f>
        <v/>
      </c>
      <c r="I253" s="47">
        <f>IF(OR($G$253="",$K$253=""),"",$G$253-$K$253)</f>
        <v/>
      </c>
      <c r="J253" s="48">
        <f>IF(SUM($L$253:$L$255)=0,"",SUM($L$253:$L$255))</f>
        <v/>
      </c>
      <c r="K253" s="49">
        <f>IF($J$253="","",MAX($N$253:$N$255))</f>
        <v/>
      </c>
      <c r="L253" s="50">
        <f>IF(SUM(U253:AY253)=0,"",SUM(U253:AY253))</f>
        <v/>
      </c>
      <c r="M253" s="51">
        <f>IFERROR(INDEX(U$2:AY$2,MATCH(TRUE,INDEX(U253:AY253&lt;&gt;"",0),0)),"")</f>
        <v/>
      </c>
      <c r="N253" s="51">
        <f>IFERROR(LOOKUP(2,1/(U253:AY253&lt;&gt;""),U$2:AY$2),"")</f>
        <v/>
      </c>
      <c r="O253" s="52" t="n"/>
      <c r="P253" s="52" t="n"/>
      <c r="Q253" s="52" t="n"/>
      <c r="R253" s="44" t="n"/>
      <c r="S253" s="14" t="n"/>
      <c r="U253" s="53" t="n"/>
      <c r="V253" s="53" t="n"/>
      <c r="W253" s="53" t="n"/>
      <c r="X253" s="53" t="n"/>
      <c r="Y253" s="53" t="n"/>
      <c r="Z253" s="53" t="n"/>
      <c r="AA253" s="53" t="n"/>
      <c r="AB253" s="53" t="n"/>
      <c r="AC253" s="53" t="n"/>
      <c r="AD253" s="53" t="n"/>
      <c r="AE253" s="53" t="n"/>
      <c r="AF253" s="53" t="n"/>
      <c r="AG253" s="53" t="n"/>
      <c r="AH253" s="53" t="n"/>
      <c r="AI253" s="53" t="n"/>
      <c r="AJ253" s="53" t="n"/>
      <c r="AK253" s="53" t="n"/>
      <c r="AL253" s="53" t="n"/>
      <c r="AM253" s="53" t="n"/>
      <c r="AN253" s="53" t="n"/>
      <c r="AO253" s="53" t="n"/>
      <c r="AP253" s="53" t="n"/>
      <c r="AQ253" s="53" t="n"/>
      <c r="AR253" s="53" t="n"/>
      <c r="AS253" s="53" t="n"/>
      <c r="AT253" s="53" t="n"/>
      <c r="AU253" s="53" t="n"/>
      <c r="AV253" s="53" t="n"/>
      <c r="AW253" s="53" t="n"/>
      <c r="AX253" s="53" t="n"/>
      <c r="AY253" s="53" t="n"/>
    </row>
    <row r="254" ht="15" customHeight="1">
      <c r="A254" s="54" t="n"/>
      <c r="B254" s="55">
        <f>IF($B$253="","",$B$253)</f>
        <v/>
      </c>
      <c r="C254" s="56" t="inlineStr">
        <is>
          <t>기타</t>
        </is>
      </c>
      <c r="D254" s="55">
        <f>IF($D$253="","",$D$253)</f>
        <v/>
      </c>
      <c r="E254" s="57" t="inlineStr">
        <is>
          <t>이미지</t>
        </is>
      </c>
      <c r="F254" s="44" t="n"/>
      <c r="G254" s="58">
        <f>IF($G$253="","",$G$253)</f>
        <v/>
      </c>
      <c r="H254" s="59" t="n"/>
      <c r="I254" s="59" t="n"/>
      <c r="J254" s="59" t="n"/>
      <c r="K254" s="59" t="n"/>
      <c r="L254" s="60">
        <f>IF(SUM(U254:AY254)=0,"",SUM(U254:AY254))</f>
        <v/>
      </c>
      <c r="M254" s="61">
        <f>IFERROR(INDEX(U$2:AY$2,MATCH(TRUE,INDEX(U254:AY254&lt;&gt;"",0),0)),"")</f>
        <v/>
      </c>
      <c r="N254" s="61">
        <f>IFERROR(LOOKUP(2,1/(U254:AY254&lt;&gt;""),U$2:AY$2),"")</f>
        <v/>
      </c>
      <c r="O254" s="59" t="n"/>
      <c r="P254" s="59" t="n"/>
      <c r="Q254" s="59" t="n"/>
      <c r="R254" s="59" t="n"/>
      <c r="S254" s="14" t="n"/>
      <c r="U254" s="53" t="n"/>
      <c r="V254" s="53" t="n"/>
      <c r="W254" s="53" t="n"/>
      <c r="X254" s="53" t="n"/>
      <c r="Y254" s="53" t="n"/>
      <c r="Z254" s="53" t="n"/>
      <c r="AA254" s="53" t="n"/>
      <c r="AB254" s="53" t="n"/>
      <c r="AC254" s="53" t="n"/>
      <c r="AD254" s="53" t="n"/>
      <c r="AE254" s="53" t="n"/>
      <c r="AF254" s="53" t="n"/>
      <c r="AG254" s="53" t="n"/>
      <c r="AH254" s="53" t="n"/>
      <c r="AI254" s="53" t="n"/>
      <c r="AJ254" s="53" t="n"/>
      <c r="AK254" s="53" t="n"/>
      <c r="AL254" s="53" t="n"/>
      <c r="AM254" s="53" t="n"/>
      <c r="AN254" s="53" t="n"/>
      <c r="AO254" s="53" t="n"/>
      <c r="AP254" s="53" t="n"/>
      <c r="AQ254" s="53" t="n"/>
      <c r="AR254" s="53" t="n"/>
      <c r="AS254" s="53" t="n"/>
      <c r="AT254" s="53" t="n"/>
      <c r="AU254" s="53" t="n"/>
      <c r="AV254" s="53" t="n"/>
      <c r="AW254" s="53" t="n"/>
      <c r="AX254" s="53" t="n"/>
      <c r="AY254" s="53" t="n"/>
    </row>
    <row r="255" ht="15" customHeight="1">
      <c r="A255" s="62" t="n"/>
      <c r="B255" s="55">
        <f>IF($B$253="","",$B$253)</f>
        <v/>
      </c>
      <c r="C255" s="63" t="inlineStr">
        <is>
          <t>기타</t>
        </is>
      </c>
      <c r="D255" s="55">
        <f>IF($D$253="","",$D$253)</f>
        <v/>
      </c>
      <c r="E255" s="64" t="inlineStr">
        <is>
          <t>영상</t>
        </is>
      </c>
      <c r="F255" s="44" t="n"/>
      <c r="G255" s="58">
        <f>IF($G$253="","",$G$253)</f>
        <v/>
      </c>
      <c r="H255" s="59" t="n"/>
      <c r="I255" s="59" t="n"/>
      <c r="J255" s="59" t="n"/>
      <c r="K255" s="59" t="n"/>
      <c r="L255" s="65">
        <f>IF(SUM(U255:AY255)=0,"",SUM(U255:AY255))</f>
        <v/>
      </c>
      <c r="M255" s="66">
        <f>IFERROR(INDEX(U$2:AY$2,MATCH(TRUE,INDEX(U255:AY255&lt;&gt;"",0),0)),"")</f>
        <v/>
      </c>
      <c r="N255" s="66">
        <f>IFERROR(LOOKUP(2,1/(U255:AY255&lt;&gt;""),U$2:AY$2),"")</f>
        <v/>
      </c>
      <c r="O255" s="59" t="n"/>
      <c r="P255" s="59" t="n"/>
      <c r="Q255" s="59" t="n"/>
      <c r="R255" s="59" t="n"/>
      <c r="S255" s="14" t="n"/>
      <c r="U255" s="53" t="n"/>
      <c r="V255" s="53" t="n"/>
      <c r="W255" s="53" t="n"/>
      <c r="X255" s="53" t="n"/>
      <c r="Y255" s="53" t="n"/>
      <c r="Z255" s="53" t="n"/>
      <c r="AA255" s="53" t="n"/>
      <c r="AB255" s="53" t="n"/>
      <c r="AC255" s="53" t="n"/>
      <c r="AD255" s="53" t="n"/>
      <c r="AE255" s="53" t="n"/>
      <c r="AF255" s="53" t="n"/>
      <c r="AG255" s="53" t="n"/>
      <c r="AH255" s="53" t="n"/>
      <c r="AI255" s="53" t="n"/>
      <c r="AJ255" s="53" t="n"/>
      <c r="AK255" s="53" t="n"/>
      <c r="AL255" s="53" t="n"/>
      <c r="AM255" s="53" t="n"/>
      <c r="AN255" s="53" t="n"/>
      <c r="AO255" s="53" t="n"/>
      <c r="AP255" s="53" t="n"/>
      <c r="AQ255" s="53" t="n"/>
      <c r="AR255" s="53" t="n"/>
      <c r="AS255" s="53" t="n"/>
      <c r="AT255" s="53" t="n"/>
      <c r="AU255" s="53" t="n"/>
      <c r="AV255" s="53" t="n"/>
      <c r="AW255" s="53" t="n"/>
      <c r="AX255" s="53" t="n"/>
      <c r="AY255" s="53" t="n"/>
    </row>
    <row r="256" ht="15" customHeight="1">
      <c r="A256" s="40">
        <f>IF($D$256="","",82)</f>
        <v/>
      </c>
      <c r="B256" s="10" t="n"/>
      <c r="C256" s="41" t="inlineStr">
        <is>
          <t>기타</t>
        </is>
      </c>
      <c r="D256" s="42" t="n"/>
      <c r="E256" s="43" t="inlineStr">
        <is>
          <t>기획</t>
        </is>
      </c>
      <c r="F256" s="44" t="n"/>
      <c r="G256" s="45" t="n"/>
      <c r="H256" s="46">
        <f>IF($I$256="","",IF($I$256&lt;0,"🔴지연",IF($I$256&lt;=1,"🟡임박","🟢여유")))</f>
        <v/>
      </c>
      <c r="I256" s="47">
        <f>IF(OR($G$256="",$K$256=""),"",$G$256-$K$256)</f>
        <v/>
      </c>
      <c r="J256" s="48">
        <f>IF(SUM($L$256:$L$258)=0,"",SUM($L$256:$L$258))</f>
        <v/>
      </c>
      <c r="K256" s="49">
        <f>IF($J$256="","",MAX($N$256:$N$258))</f>
        <v/>
      </c>
      <c r="L256" s="50">
        <f>IF(SUM(U256:AY256)=0,"",SUM(U256:AY256))</f>
        <v/>
      </c>
      <c r="M256" s="51">
        <f>IFERROR(INDEX(U$2:AY$2,MATCH(TRUE,INDEX(U256:AY256&lt;&gt;"",0),0)),"")</f>
        <v/>
      </c>
      <c r="N256" s="51">
        <f>IFERROR(LOOKUP(2,1/(U256:AY256&lt;&gt;""),U$2:AY$2),"")</f>
        <v/>
      </c>
      <c r="O256" s="52" t="n"/>
      <c r="P256" s="52" t="n"/>
      <c r="Q256" s="52" t="n"/>
      <c r="R256" s="44" t="n"/>
      <c r="S256" s="14" t="n"/>
      <c r="U256" s="53" t="n"/>
      <c r="V256" s="53" t="n"/>
      <c r="W256" s="53" t="n"/>
      <c r="X256" s="53" t="n"/>
      <c r="Y256" s="53" t="n"/>
      <c r="Z256" s="53" t="n"/>
      <c r="AA256" s="53" t="n"/>
      <c r="AB256" s="53" t="n"/>
      <c r="AC256" s="53" t="n"/>
      <c r="AD256" s="53" t="n"/>
      <c r="AE256" s="53" t="n"/>
      <c r="AF256" s="53" t="n"/>
      <c r="AG256" s="53" t="n"/>
      <c r="AH256" s="53" t="n"/>
      <c r="AI256" s="53" t="n"/>
      <c r="AJ256" s="53" t="n"/>
      <c r="AK256" s="53" t="n"/>
      <c r="AL256" s="53" t="n"/>
      <c r="AM256" s="53" t="n"/>
      <c r="AN256" s="53" t="n"/>
      <c r="AO256" s="53" t="n"/>
      <c r="AP256" s="53" t="n"/>
      <c r="AQ256" s="53" t="n"/>
      <c r="AR256" s="53" t="n"/>
      <c r="AS256" s="53" t="n"/>
      <c r="AT256" s="53" t="n"/>
      <c r="AU256" s="53" t="n"/>
      <c r="AV256" s="53" t="n"/>
      <c r="AW256" s="53" t="n"/>
      <c r="AX256" s="53" t="n"/>
      <c r="AY256" s="53" t="n"/>
    </row>
    <row r="257" ht="15" customHeight="1">
      <c r="A257" s="54" t="n"/>
      <c r="B257" s="55">
        <f>IF($B$256="","",$B$256)</f>
        <v/>
      </c>
      <c r="C257" s="56" t="inlineStr">
        <is>
          <t>기타</t>
        </is>
      </c>
      <c r="D257" s="55">
        <f>IF($D$256="","",$D$256)</f>
        <v/>
      </c>
      <c r="E257" s="57" t="inlineStr">
        <is>
          <t>이미지</t>
        </is>
      </c>
      <c r="F257" s="44" t="n"/>
      <c r="G257" s="58">
        <f>IF($G$256="","",$G$256)</f>
        <v/>
      </c>
      <c r="H257" s="59" t="n"/>
      <c r="I257" s="59" t="n"/>
      <c r="J257" s="59" t="n"/>
      <c r="K257" s="59" t="n"/>
      <c r="L257" s="60">
        <f>IF(SUM(U257:AY257)=0,"",SUM(U257:AY257))</f>
        <v/>
      </c>
      <c r="M257" s="61">
        <f>IFERROR(INDEX(U$2:AY$2,MATCH(TRUE,INDEX(U257:AY257&lt;&gt;"",0),0)),"")</f>
        <v/>
      </c>
      <c r="N257" s="61">
        <f>IFERROR(LOOKUP(2,1/(U257:AY257&lt;&gt;""),U$2:AY$2),"")</f>
        <v/>
      </c>
      <c r="O257" s="59" t="n"/>
      <c r="P257" s="59" t="n"/>
      <c r="Q257" s="59" t="n"/>
      <c r="R257" s="59" t="n"/>
      <c r="S257" s="14" t="n"/>
      <c r="U257" s="53" t="n"/>
      <c r="V257" s="53" t="n"/>
      <c r="W257" s="53" t="n"/>
      <c r="X257" s="53" t="n"/>
      <c r="Y257" s="53" t="n"/>
      <c r="Z257" s="53" t="n"/>
      <c r="AA257" s="53" t="n"/>
      <c r="AB257" s="53" t="n"/>
      <c r="AC257" s="53" t="n"/>
      <c r="AD257" s="53" t="n"/>
      <c r="AE257" s="53" t="n"/>
      <c r="AF257" s="53" t="n"/>
      <c r="AG257" s="53" t="n"/>
      <c r="AH257" s="53" t="n"/>
      <c r="AI257" s="53" t="n"/>
      <c r="AJ257" s="53" t="n"/>
      <c r="AK257" s="53" t="n"/>
      <c r="AL257" s="53" t="n"/>
      <c r="AM257" s="53" t="n"/>
      <c r="AN257" s="53" t="n"/>
      <c r="AO257" s="53" t="n"/>
      <c r="AP257" s="53" t="n"/>
      <c r="AQ257" s="53" t="n"/>
      <c r="AR257" s="53" t="n"/>
      <c r="AS257" s="53" t="n"/>
      <c r="AT257" s="53" t="n"/>
      <c r="AU257" s="53" t="n"/>
      <c r="AV257" s="53" t="n"/>
      <c r="AW257" s="53" t="n"/>
      <c r="AX257" s="53" t="n"/>
      <c r="AY257" s="53" t="n"/>
    </row>
    <row r="258" ht="15" customHeight="1">
      <c r="A258" s="62" t="n"/>
      <c r="B258" s="55">
        <f>IF($B$256="","",$B$256)</f>
        <v/>
      </c>
      <c r="C258" s="63" t="inlineStr">
        <is>
          <t>기타</t>
        </is>
      </c>
      <c r="D258" s="55">
        <f>IF($D$256="","",$D$256)</f>
        <v/>
      </c>
      <c r="E258" s="64" t="inlineStr">
        <is>
          <t>영상</t>
        </is>
      </c>
      <c r="F258" s="44" t="n"/>
      <c r="G258" s="58">
        <f>IF($G$256="","",$G$256)</f>
        <v/>
      </c>
      <c r="H258" s="59" t="n"/>
      <c r="I258" s="59" t="n"/>
      <c r="J258" s="59" t="n"/>
      <c r="K258" s="59" t="n"/>
      <c r="L258" s="65">
        <f>IF(SUM(U258:AY258)=0,"",SUM(U258:AY258))</f>
        <v/>
      </c>
      <c r="M258" s="66">
        <f>IFERROR(INDEX(U$2:AY$2,MATCH(TRUE,INDEX(U258:AY258&lt;&gt;"",0),0)),"")</f>
        <v/>
      </c>
      <c r="N258" s="66">
        <f>IFERROR(LOOKUP(2,1/(U258:AY258&lt;&gt;""),U$2:AY$2),"")</f>
        <v/>
      </c>
      <c r="O258" s="59" t="n"/>
      <c r="P258" s="59" t="n"/>
      <c r="Q258" s="59" t="n"/>
      <c r="R258" s="59" t="n"/>
      <c r="S258" s="14" t="n"/>
      <c r="U258" s="53" t="n"/>
      <c r="V258" s="53" t="n"/>
      <c r="W258" s="53" t="n"/>
      <c r="X258" s="53" t="n"/>
      <c r="Y258" s="53" t="n"/>
      <c r="Z258" s="53" t="n"/>
      <c r="AA258" s="53" t="n"/>
      <c r="AB258" s="53" t="n"/>
      <c r="AC258" s="53" t="n"/>
      <c r="AD258" s="53" t="n"/>
      <c r="AE258" s="53" t="n"/>
      <c r="AF258" s="53" t="n"/>
      <c r="AG258" s="53" t="n"/>
      <c r="AH258" s="53" t="n"/>
      <c r="AI258" s="53" t="n"/>
      <c r="AJ258" s="53" t="n"/>
      <c r="AK258" s="53" t="n"/>
      <c r="AL258" s="53" t="n"/>
      <c r="AM258" s="53" t="n"/>
      <c r="AN258" s="53" t="n"/>
      <c r="AO258" s="53" t="n"/>
      <c r="AP258" s="53" t="n"/>
      <c r="AQ258" s="53" t="n"/>
      <c r="AR258" s="53" t="n"/>
      <c r="AS258" s="53" t="n"/>
      <c r="AT258" s="53" t="n"/>
      <c r="AU258" s="53" t="n"/>
      <c r="AV258" s="53" t="n"/>
      <c r="AW258" s="53" t="n"/>
      <c r="AX258" s="53" t="n"/>
      <c r="AY258" s="53" t="n"/>
    </row>
    <row r="259" ht="15" customHeight="1">
      <c r="A259" s="40">
        <f>IF($D$259="","",83)</f>
        <v/>
      </c>
      <c r="B259" s="10" t="n"/>
      <c r="C259" s="41" t="inlineStr">
        <is>
          <t>기타</t>
        </is>
      </c>
      <c r="D259" s="42" t="n"/>
      <c r="E259" s="43" t="inlineStr">
        <is>
          <t>기획</t>
        </is>
      </c>
      <c r="F259" s="44" t="n"/>
      <c r="G259" s="45" t="n"/>
      <c r="H259" s="46">
        <f>IF($I$259="","",IF($I$259&lt;0,"🔴지연",IF($I$259&lt;=1,"🟡임박","🟢여유")))</f>
        <v/>
      </c>
      <c r="I259" s="47">
        <f>IF(OR($G$259="",$K$259=""),"",$G$259-$K$259)</f>
        <v/>
      </c>
      <c r="J259" s="48">
        <f>IF(SUM($L$259:$L$261)=0,"",SUM($L$259:$L$261))</f>
        <v/>
      </c>
      <c r="K259" s="49">
        <f>IF($J$259="","",MAX($N$259:$N$261))</f>
        <v/>
      </c>
      <c r="L259" s="50">
        <f>IF(SUM(U259:AY259)=0,"",SUM(U259:AY259))</f>
        <v/>
      </c>
      <c r="M259" s="51">
        <f>IFERROR(INDEX(U$2:AY$2,MATCH(TRUE,INDEX(U259:AY259&lt;&gt;"",0),0)),"")</f>
        <v/>
      </c>
      <c r="N259" s="51">
        <f>IFERROR(LOOKUP(2,1/(U259:AY259&lt;&gt;""),U$2:AY$2),"")</f>
        <v/>
      </c>
      <c r="O259" s="52" t="n"/>
      <c r="P259" s="52" t="n"/>
      <c r="Q259" s="52" t="n"/>
      <c r="R259" s="44" t="n"/>
      <c r="S259" s="14" t="n"/>
      <c r="U259" s="53" t="n"/>
      <c r="V259" s="53" t="n"/>
      <c r="W259" s="53" t="n"/>
      <c r="X259" s="53" t="n"/>
      <c r="Y259" s="53" t="n"/>
      <c r="Z259" s="53" t="n"/>
      <c r="AA259" s="53" t="n"/>
      <c r="AB259" s="53" t="n"/>
      <c r="AC259" s="53" t="n"/>
      <c r="AD259" s="53" t="n"/>
      <c r="AE259" s="53" t="n"/>
      <c r="AF259" s="53" t="n"/>
      <c r="AG259" s="53" t="n"/>
      <c r="AH259" s="53" t="n"/>
      <c r="AI259" s="53" t="n"/>
      <c r="AJ259" s="53" t="n"/>
      <c r="AK259" s="53" t="n"/>
      <c r="AL259" s="53" t="n"/>
      <c r="AM259" s="53" t="n"/>
      <c r="AN259" s="53" t="n"/>
      <c r="AO259" s="53" t="n"/>
      <c r="AP259" s="53" t="n"/>
      <c r="AQ259" s="53" t="n"/>
      <c r="AR259" s="53" t="n"/>
      <c r="AS259" s="53" t="n"/>
      <c r="AT259" s="53" t="n"/>
      <c r="AU259" s="53" t="n"/>
      <c r="AV259" s="53" t="n"/>
      <c r="AW259" s="53" t="n"/>
      <c r="AX259" s="53" t="n"/>
      <c r="AY259" s="53" t="n"/>
    </row>
    <row r="260" ht="15" customHeight="1">
      <c r="A260" s="54" t="n"/>
      <c r="B260" s="55">
        <f>IF($B$259="","",$B$259)</f>
        <v/>
      </c>
      <c r="C260" s="56" t="inlineStr">
        <is>
          <t>기타</t>
        </is>
      </c>
      <c r="D260" s="55">
        <f>IF($D$259="","",$D$259)</f>
        <v/>
      </c>
      <c r="E260" s="57" t="inlineStr">
        <is>
          <t>이미지</t>
        </is>
      </c>
      <c r="F260" s="44" t="n"/>
      <c r="G260" s="58">
        <f>IF($G$259="","",$G$259)</f>
        <v/>
      </c>
      <c r="H260" s="59" t="n"/>
      <c r="I260" s="59" t="n"/>
      <c r="J260" s="59" t="n"/>
      <c r="K260" s="59" t="n"/>
      <c r="L260" s="60">
        <f>IF(SUM(U260:AY260)=0,"",SUM(U260:AY260))</f>
        <v/>
      </c>
      <c r="M260" s="61">
        <f>IFERROR(INDEX(U$2:AY$2,MATCH(TRUE,INDEX(U260:AY260&lt;&gt;"",0),0)),"")</f>
        <v/>
      </c>
      <c r="N260" s="61">
        <f>IFERROR(LOOKUP(2,1/(U260:AY260&lt;&gt;""),U$2:AY$2),"")</f>
        <v/>
      </c>
      <c r="O260" s="59" t="n"/>
      <c r="P260" s="59" t="n"/>
      <c r="Q260" s="59" t="n"/>
      <c r="R260" s="59" t="n"/>
      <c r="S260" s="14" t="n"/>
      <c r="U260" s="53" t="n"/>
      <c r="V260" s="53" t="n"/>
      <c r="W260" s="53" t="n"/>
      <c r="X260" s="53" t="n"/>
      <c r="Y260" s="53" t="n"/>
      <c r="Z260" s="53" t="n"/>
      <c r="AA260" s="53" t="n"/>
      <c r="AB260" s="53" t="n"/>
      <c r="AC260" s="53" t="n"/>
      <c r="AD260" s="53" t="n"/>
      <c r="AE260" s="53" t="n"/>
      <c r="AF260" s="53" t="n"/>
      <c r="AG260" s="53" t="n"/>
      <c r="AH260" s="53" t="n"/>
      <c r="AI260" s="53" t="n"/>
      <c r="AJ260" s="53" t="n"/>
      <c r="AK260" s="53" t="n"/>
      <c r="AL260" s="53" t="n"/>
      <c r="AM260" s="53" t="n"/>
      <c r="AN260" s="53" t="n"/>
      <c r="AO260" s="53" t="n"/>
      <c r="AP260" s="53" t="n"/>
      <c r="AQ260" s="53" t="n"/>
      <c r="AR260" s="53" t="n"/>
      <c r="AS260" s="53" t="n"/>
      <c r="AT260" s="53" t="n"/>
      <c r="AU260" s="53" t="n"/>
      <c r="AV260" s="53" t="n"/>
      <c r="AW260" s="53" t="n"/>
      <c r="AX260" s="53" t="n"/>
      <c r="AY260" s="53" t="n"/>
    </row>
    <row r="261" ht="15" customHeight="1">
      <c r="A261" s="62" t="n"/>
      <c r="B261" s="55">
        <f>IF($B$259="","",$B$259)</f>
        <v/>
      </c>
      <c r="C261" s="63" t="inlineStr">
        <is>
          <t>기타</t>
        </is>
      </c>
      <c r="D261" s="55">
        <f>IF($D$259="","",$D$259)</f>
        <v/>
      </c>
      <c r="E261" s="64" t="inlineStr">
        <is>
          <t>영상</t>
        </is>
      </c>
      <c r="F261" s="44" t="n"/>
      <c r="G261" s="58">
        <f>IF($G$259="","",$G$259)</f>
        <v/>
      </c>
      <c r="H261" s="59" t="n"/>
      <c r="I261" s="59" t="n"/>
      <c r="J261" s="59" t="n"/>
      <c r="K261" s="59" t="n"/>
      <c r="L261" s="65">
        <f>IF(SUM(U261:AY261)=0,"",SUM(U261:AY261))</f>
        <v/>
      </c>
      <c r="M261" s="66">
        <f>IFERROR(INDEX(U$2:AY$2,MATCH(TRUE,INDEX(U261:AY261&lt;&gt;"",0),0)),"")</f>
        <v/>
      </c>
      <c r="N261" s="66">
        <f>IFERROR(LOOKUP(2,1/(U261:AY261&lt;&gt;""),U$2:AY$2),"")</f>
        <v/>
      </c>
      <c r="O261" s="59" t="n"/>
      <c r="P261" s="59" t="n"/>
      <c r="Q261" s="59" t="n"/>
      <c r="R261" s="59" t="n"/>
      <c r="S261" s="14" t="n"/>
      <c r="U261" s="53" t="n"/>
      <c r="V261" s="53" t="n"/>
      <c r="W261" s="53" t="n"/>
      <c r="X261" s="53" t="n"/>
      <c r="Y261" s="53" t="n"/>
      <c r="Z261" s="53" t="n"/>
      <c r="AA261" s="53" t="n"/>
      <c r="AB261" s="53" t="n"/>
      <c r="AC261" s="53" t="n"/>
      <c r="AD261" s="53" t="n"/>
      <c r="AE261" s="53" t="n"/>
      <c r="AF261" s="53" t="n"/>
      <c r="AG261" s="53" t="n"/>
      <c r="AH261" s="53" t="n"/>
      <c r="AI261" s="53" t="n"/>
      <c r="AJ261" s="53" t="n"/>
      <c r="AK261" s="53" t="n"/>
      <c r="AL261" s="53" t="n"/>
      <c r="AM261" s="53" t="n"/>
      <c r="AN261" s="53" t="n"/>
      <c r="AO261" s="53" t="n"/>
      <c r="AP261" s="53" t="n"/>
      <c r="AQ261" s="53" t="n"/>
      <c r="AR261" s="53" t="n"/>
      <c r="AS261" s="53" t="n"/>
      <c r="AT261" s="53" t="n"/>
      <c r="AU261" s="53" t="n"/>
      <c r="AV261" s="53" t="n"/>
      <c r="AW261" s="53" t="n"/>
      <c r="AX261" s="53" t="n"/>
      <c r="AY261" s="53" t="n"/>
    </row>
    <row r="262" ht="15" customHeight="1">
      <c r="A262" s="40">
        <f>IF($D$262="","",84)</f>
        <v/>
      </c>
      <c r="B262" s="10" t="n"/>
      <c r="C262" s="41" t="inlineStr">
        <is>
          <t>기타</t>
        </is>
      </c>
      <c r="D262" s="42" t="n"/>
      <c r="E262" s="43" t="inlineStr">
        <is>
          <t>기획</t>
        </is>
      </c>
      <c r="F262" s="44" t="n"/>
      <c r="G262" s="45" t="n"/>
      <c r="H262" s="46">
        <f>IF($I$262="","",IF($I$262&lt;0,"🔴지연",IF($I$262&lt;=1,"🟡임박","🟢여유")))</f>
        <v/>
      </c>
      <c r="I262" s="47">
        <f>IF(OR($G$262="",$K$262=""),"",$G$262-$K$262)</f>
        <v/>
      </c>
      <c r="J262" s="48">
        <f>IF(SUM($L$262:$L$264)=0,"",SUM($L$262:$L$264))</f>
        <v/>
      </c>
      <c r="K262" s="49">
        <f>IF($J$262="","",MAX($N$262:$N$264))</f>
        <v/>
      </c>
      <c r="L262" s="50">
        <f>IF(SUM(U262:AY262)=0,"",SUM(U262:AY262))</f>
        <v/>
      </c>
      <c r="M262" s="51">
        <f>IFERROR(INDEX(U$2:AY$2,MATCH(TRUE,INDEX(U262:AY262&lt;&gt;"",0),0)),"")</f>
        <v/>
      </c>
      <c r="N262" s="51">
        <f>IFERROR(LOOKUP(2,1/(U262:AY262&lt;&gt;""),U$2:AY$2),"")</f>
        <v/>
      </c>
      <c r="O262" s="52" t="n"/>
      <c r="P262" s="52" t="n"/>
      <c r="Q262" s="52" t="n"/>
      <c r="R262" s="44" t="n"/>
      <c r="S262" s="14" t="n"/>
      <c r="U262" s="53" t="n"/>
      <c r="V262" s="53" t="n"/>
      <c r="W262" s="53" t="n"/>
      <c r="X262" s="53" t="n"/>
      <c r="Y262" s="53" t="n"/>
      <c r="Z262" s="53" t="n"/>
      <c r="AA262" s="53" t="n"/>
      <c r="AB262" s="53" t="n"/>
      <c r="AC262" s="53" t="n"/>
      <c r="AD262" s="53" t="n"/>
      <c r="AE262" s="53" t="n"/>
      <c r="AF262" s="53" t="n"/>
      <c r="AG262" s="53" t="n"/>
      <c r="AH262" s="53" t="n"/>
      <c r="AI262" s="53" t="n"/>
      <c r="AJ262" s="53" t="n"/>
      <c r="AK262" s="53" t="n"/>
      <c r="AL262" s="53" t="n"/>
      <c r="AM262" s="53" t="n"/>
      <c r="AN262" s="53" t="n"/>
      <c r="AO262" s="53" t="n"/>
      <c r="AP262" s="53" t="n"/>
      <c r="AQ262" s="53" t="n"/>
      <c r="AR262" s="53" t="n"/>
      <c r="AS262" s="53" t="n"/>
      <c r="AT262" s="53" t="n"/>
      <c r="AU262" s="53" t="n"/>
      <c r="AV262" s="53" t="n"/>
      <c r="AW262" s="53" t="n"/>
      <c r="AX262" s="53" t="n"/>
      <c r="AY262" s="53" t="n"/>
    </row>
    <row r="263" ht="15" customHeight="1">
      <c r="A263" s="54" t="n"/>
      <c r="B263" s="55">
        <f>IF($B$262="","",$B$262)</f>
        <v/>
      </c>
      <c r="C263" s="56" t="inlineStr">
        <is>
          <t>기타</t>
        </is>
      </c>
      <c r="D263" s="55">
        <f>IF($D$262="","",$D$262)</f>
        <v/>
      </c>
      <c r="E263" s="57" t="inlineStr">
        <is>
          <t>이미지</t>
        </is>
      </c>
      <c r="F263" s="44" t="n"/>
      <c r="G263" s="58">
        <f>IF($G$262="","",$G$262)</f>
        <v/>
      </c>
      <c r="H263" s="59" t="n"/>
      <c r="I263" s="59" t="n"/>
      <c r="J263" s="59" t="n"/>
      <c r="K263" s="59" t="n"/>
      <c r="L263" s="60">
        <f>IF(SUM(U263:AY263)=0,"",SUM(U263:AY263))</f>
        <v/>
      </c>
      <c r="M263" s="61">
        <f>IFERROR(INDEX(U$2:AY$2,MATCH(TRUE,INDEX(U263:AY263&lt;&gt;"",0),0)),"")</f>
        <v/>
      </c>
      <c r="N263" s="61">
        <f>IFERROR(LOOKUP(2,1/(U263:AY263&lt;&gt;""),U$2:AY$2),"")</f>
        <v/>
      </c>
      <c r="O263" s="59" t="n"/>
      <c r="P263" s="59" t="n"/>
      <c r="Q263" s="59" t="n"/>
      <c r="R263" s="59" t="n"/>
      <c r="S263" s="14" t="n"/>
      <c r="U263" s="53" t="n"/>
      <c r="V263" s="53" t="n"/>
      <c r="W263" s="53" t="n"/>
      <c r="X263" s="53" t="n"/>
      <c r="Y263" s="53" t="n"/>
      <c r="Z263" s="53" t="n"/>
      <c r="AA263" s="53" t="n"/>
      <c r="AB263" s="53" t="n"/>
      <c r="AC263" s="53" t="n"/>
      <c r="AD263" s="53" t="n"/>
      <c r="AE263" s="53" t="n"/>
      <c r="AF263" s="53" t="n"/>
      <c r="AG263" s="53" t="n"/>
      <c r="AH263" s="53" t="n"/>
      <c r="AI263" s="53" t="n"/>
      <c r="AJ263" s="53" t="n"/>
      <c r="AK263" s="53" t="n"/>
      <c r="AL263" s="53" t="n"/>
      <c r="AM263" s="53" t="n"/>
      <c r="AN263" s="53" t="n"/>
      <c r="AO263" s="53" t="n"/>
      <c r="AP263" s="53" t="n"/>
      <c r="AQ263" s="53" t="n"/>
      <c r="AR263" s="53" t="n"/>
      <c r="AS263" s="53" t="n"/>
      <c r="AT263" s="53" t="n"/>
      <c r="AU263" s="53" t="n"/>
      <c r="AV263" s="53" t="n"/>
      <c r="AW263" s="53" t="n"/>
      <c r="AX263" s="53" t="n"/>
      <c r="AY263" s="53" t="n"/>
    </row>
    <row r="264" ht="15" customHeight="1">
      <c r="A264" s="62" t="n"/>
      <c r="B264" s="55">
        <f>IF($B$262="","",$B$262)</f>
        <v/>
      </c>
      <c r="C264" s="63" t="inlineStr">
        <is>
          <t>기타</t>
        </is>
      </c>
      <c r="D264" s="55">
        <f>IF($D$262="","",$D$262)</f>
        <v/>
      </c>
      <c r="E264" s="64" t="inlineStr">
        <is>
          <t>영상</t>
        </is>
      </c>
      <c r="F264" s="44" t="n"/>
      <c r="G264" s="58">
        <f>IF($G$262="","",$G$262)</f>
        <v/>
      </c>
      <c r="H264" s="59" t="n"/>
      <c r="I264" s="59" t="n"/>
      <c r="J264" s="59" t="n"/>
      <c r="K264" s="59" t="n"/>
      <c r="L264" s="65">
        <f>IF(SUM(U264:AY264)=0,"",SUM(U264:AY264))</f>
        <v/>
      </c>
      <c r="M264" s="66">
        <f>IFERROR(INDEX(U$2:AY$2,MATCH(TRUE,INDEX(U264:AY264&lt;&gt;"",0),0)),"")</f>
        <v/>
      </c>
      <c r="N264" s="66">
        <f>IFERROR(LOOKUP(2,1/(U264:AY264&lt;&gt;""),U$2:AY$2),"")</f>
        <v/>
      </c>
      <c r="O264" s="59" t="n"/>
      <c r="P264" s="59" t="n"/>
      <c r="Q264" s="59" t="n"/>
      <c r="R264" s="59" t="n"/>
      <c r="S264" s="14" t="n"/>
      <c r="U264" s="53" t="n"/>
      <c r="V264" s="53" t="n"/>
      <c r="W264" s="53" t="n"/>
      <c r="X264" s="53" t="n"/>
      <c r="Y264" s="53" t="n"/>
      <c r="Z264" s="53" t="n"/>
      <c r="AA264" s="53" t="n"/>
      <c r="AB264" s="53" t="n"/>
      <c r="AC264" s="53" t="n"/>
      <c r="AD264" s="53" t="n"/>
      <c r="AE264" s="53" t="n"/>
      <c r="AF264" s="53" t="n"/>
      <c r="AG264" s="53" t="n"/>
      <c r="AH264" s="53" t="n"/>
      <c r="AI264" s="53" t="n"/>
      <c r="AJ264" s="53" t="n"/>
      <c r="AK264" s="53" t="n"/>
      <c r="AL264" s="53" t="n"/>
      <c r="AM264" s="53" t="n"/>
      <c r="AN264" s="53" t="n"/>
      <c r="AO264" s="53" t="n"/>
      <c r="AP264" s="53" t="n"/>
      <c r="AQ264" s="53" t="n"/>
      <c r="AR264" s="53" t="n"/>
      <c r="AS264" s="53" t="n"/>
      <c r="AT264" s="53" t="n"/>
      <c r="AU264" s="53" t="n"/>
      <c r="AV264" s="53" t="n"/>
      <c r="AW264" s="53" t="n"/>
      <c r="AX264" s="53" t="n"/>
      <c r="AY264" s="53" t="n"/>
    </row>
    <row r="265" ht="15" customHeight="1">
      <c r="A265" s="40">
        <f>IF($D$265="","",85)</f>
        <v/>
      </c>
      <c r="B265" s="10" t="n"/>
      <c r="C265" s="41" t="inlineStr">
        <is>
          <t>기타</t>
        </is>
      </c>
      <c r="D265" s="42" t="n"/>
      <c r="E265" s="43" t="inlineStr">
        <is>
          <t>기획</t>
        </is>
      </c>
      <c r="F265" s="44" t="n"/>
      <c r="G265" s="45" t="n"/>
      <c r="H265" s="46">
        <f>IF($I$265="","",IF($I$265&lt;0,"🔴지연",IF($I$265&lt;=1,"🟡임박","🟢여유")))</f>
        <v/>
      </c>
      <c r="I265" s="47">
        <f>IF(OR($G$265="",$K$265=""),"",$G$265-$K$265)</f>
        <v/>
      </c>
      <c r="J265" s="48">
        <f>IF(SUM($L$265:$L$267)=0,"",SUM($L$265:$L$267))</f>
        <v/>
      </c>
      <c r="K265" s="49">
        <f>IF($J$265="","",MAX($N$265:$N$267))</f>
        <v/>
      </c>
      <c r="L265" s="50">
        <f>IF(SUM(U265:AY265)=0,"",SUM(U265:AY265))</f>
        <v/>
      </c>
      <c r="M265" s="51">
        <f>IFERROR(INDEX(U$2:AY$2,MATCH(TRUE,INDEX(U265:AY265&lt;&gt;"",0),0)),"")</f>
        <v/>
      </c>
      <c r="N265" s="51">
        <f>IFERROR(LOOKUP(2,1/(U265:AY265&lt;&gt;""),U$2:AY$2),"")</f>
        <v/>
      </c>
      <c r="O265" s="52" t="n"/>
      <c r="P265" s="52" t="n"/>
      <c r="Q265" s="52" t="n"/>
      <c r="R265" s="44" t="n"/>
      <c r="S265" s="14" t="n"/>
      <c r="U265" s="53" t="n"/>
      <c r="V265" s="53" t="n"/>
      <c r="W265" s="53" t="n"/>
      <c r="X265" s="53" t="n"/>
      <c r="Y265" s="53" t="n"/>
      <c r="Z265" s="53" t="n"/>
      <c r="AA265" s="53" t="n"/>
      <c r="AB265" s="53" t="n"/>
      <c r="AC265" s="53" t="n"/>
      <c r="AD265" s="53" t="n"/>
      <c r="AE265" s="53" t="n"/>
      <c r="AF265" s="53" t="n"/>
      <c r="AG265" s="53" t="n"/>
      <c r="AH265" s="53" t="n"/>
      <c r="AI265" s="53" t="n"/>
      <c r="AJ265" s="53" t="n"/>
      <c r="AK265" s="53" t="n"/>
      <c r="AL265" s="53" t="n"/>
      <c r="AM265" s="53" t="n"/>
      <c r="AN265" s="53" t="n"/>
      <c r="AO265" s="53" t="n"/>
      <c r="AP265" s="53" t="n"/>
      <c r="AQ265" s="53" t="n"/>
      <c r="AR265" s="53" t="n"/>
      <c r="AS265" s="53" t="n"/>
      <c r="AT265" s="53" t="n"/>
      <c r="AU265" s="53" t="n"/>
      <c r="AV265" s="53" t="n"/>
      <c r="AW265" s="53" t="n"/>
      <c r="AX265" s="53" t="n"/>
      <c r="AY265" s="53" t="n"/>
    </row>
    <row r="266" ht="15" customHeight="1">
      <c r="A266" s="54" t="n"/>
      <c r="B266" s="55">
        <f>IF($B$265="","",$B$265)</f>
        <v/>
      </c>
      <c r="C266" s="56" t="inlineStr">
        <is>
          <t>기타</t>
        </is>
      </c>
      <c r="D266" s="55">
        <f>IF($D$265="","",$D$265)</f>
        <v/>
      </c>
      <c r="E266" s="57" t="inlineStr">
        <is>
          <t>이미지</t>
        </is>
      </c>
      <c r="F266" s="44" t="n"/>
      <c r="G266" s="58">
        <f>IF($G$265="","",$G$265)</f>
        <v/>
      </c>
      <c r="H266" s="59" t="n"/>
      <c r="I266" s="59" t="n"/>
      <c r="J266" s="59" t="n"/>
      <c r="K266" s="59" t="n"/>
      <c r="L266" s="60">
        <f>IF(SUM(U266:AY266)=0,"",SUM(U266:AY266))</f>
        <v/>
      </c>
      <c r="M266" s="61">
        <f>IFERROR(INDEX(U$2:AY$2,MATCH(TRUE,INDEX(U266:AY266&lt;&gt;"",0),0)),"")</f>
        <v/>
      </c>
      <c r="N266" s="61">
        <f>IFERROR(LOOKUP(2,1/(U266:AY266&lt;&gt;""),U$2:AY$2),"")</f>
        <v/>
      </c>
      <c r="O266" s="59" t="n"/>
      <c r="P266" s="59" t="n"/>
      <c r="Q266" s="59" t="n"/>
      <c r="R266" s="59" t="n"/>
      <c r="S266" s="14" t="n"/>
      <c r="U266" s="53" t="n"/>
      <c r="V266" s="53" t="n"/>
      <c r="W266" s="53" t="n"/>
      <c r="X266" s="53" t="n"/>
      <c r="Y266" s="53" t="n"/>
      <c r="Z266" s="53" t="n"/>
      <c r="AA266" s="53" t="n"/>
      <c r="AB266" s="53" t="n"/>
      <c r="AC266" s="53" t="n"/>
      <c r="AD266" s="53" t="n"/>
      <c r="AE266" s="53" t="n"/>
      <c r="AF266" s="53" t="n"/>
      <c r="AG266" s="53" t="n"/>
      <c r="AH266" s="53" t="n"/>
      <c r="AI266" s="53" t="n"/>
      <c r="AJ266" s="53" t="n"/>
      <c r="AK266" s="53" t="n"/>
      <c r="AL266" s="53" t="n"/>
      <c r="AM266" s="53" t="n"/>
      <c r="AN266" s="53" t="n"/>
      <c r="AO266" s="53" t="n"/>
      <c r="AP266" s="53" t="n"/>
      <c r="AQ266" s="53" t="n"/>
      <c r="AR266" s="53" t="n"/>
      <c r="AS266" s="53" t="n"/>
      <c r="AT266" s="53" t="n"/>
      <c r="AU266" s="53" t="n"/>
      <c r="AV266" s="53" t="n"/>
      <c r="AW266" s="53" t="n"/>
      <c r="AX266" s="53" t="n"/>
      <c r="AY266" s="53" t="n"/>
    </row>
    <row r="267" ht="15" customHeight="1">
      <c r="A267" s="62" t="n"/>
      <c r="B267" s="55">
        <f>IF($B$265="","",$B$265)</f>
        <v/>
      </c>
      <c r="C267" s="63" t="inlineStr">
        <is>
          <t>기타</t>
        </is>
      </c>
      <c r="D267" s="55">
        <f>IF($D$265="","",$D$265)</f>
        <v/>
      </c>
      <c r="E267" s="64" t="inlineStr">
        <is>
          <t>영상</t>
        </is>
      </c>
      <c r="F267" s="44" t="n"/>
      <c r="G267" s="58">
        <f>IF($G$265="","",$G$265)</f>
        <v/>
      </c>
      <c r="H267" s="59" t="n"/>
      <c r="I267" s="59" t="n"/>
      <c r="J267" s="59" t="n"/>
      <c r="K267" s="59" t="n"/>
      <c r="L267" s="65">
        <f>IF(SUM(U267:AY267)=0,"",SUM(U267:AY267))</f>
        <v/>
      </c>
      <c r="M267" s="66">
        <f>IFERROR(INDEX(U$2:AY$2,MATCH(TRUE,INDEX(U267:AY267&lt;&gt;"",0),0)),"")</f>
        <v/>
      </c>
      <c r="N267" s="66">
        <f>IFERROR(LOOKUP(2,1/(U267:AY267&lt;&gt;""),U$2:AY$2),"")</f>
        <v/>
      </c>
      <c r="O267" s="59" t="n"/>
      <c r="P267" s="59" t="n"/>
      <c r="Q267" s="59" t="n"/>
      <c r="R267" s="59" t="n"/>
      <c r="S267" s="14" t="n"/>
      <c r="U267" s="53" t="n"/>
      <c r="V267" s="53" t="n"/>
      <c r="W267" s="53" t="n"/>
      <c r="X267" s="53" t="n"/>
      <c r="Y267" s="53" t="n"/>
      <c r="Z267" s="53" t="n"/>
      <c r="AA267" s="53" t="n"/>
      <c r="AB267" s="53" t="n"/>
      <c r="AC267" s="53" t="n"/>
      <c r="AD267" s="53" t="n"/>
      <c r="AE267" s="53" t="n"/>
      <c r="AF267" s="53" t="n"/>
      <c r="AG267" s="53" t="n"/>
      <c r="AH267" s="53" t="n"/>
      <c r="AI267" s="53" t="n"/>
      <c r="AJ267" s="53" t="n"/>
      <c r="AK267" s="53" t="n"/>
      <c r="AL267" s="53" t="n"/>
      <c r="AM267" s="53" t="n"/>
      <c r="AN267" s="53" t="n"/>
      <c r="AO267" s="53" t="n"/>
      <c r="AP267" s="53" t="n"/>
      <c r="AQ267" s="53" t="n"/>
      <c r="AR267" s="53" t="n"/>
      <c r="AS267" s="53" t="n"/>
      <c r="AT267" s="53" t="n"/>
      <c r="AU267" s="53" t="n"/>
      <c r="AV267" s="53" t="n"/>
      <c r="AW267" s="53" t="n"/>
      <c r="AX267" s="53" t="n"/>
      <c r="AY267" s="53" t="n"/>
    </row>
    <row r="268" ht="15" customHeight="1">
      <c r="A268" s="40">
        <f>IF($D$268="","",86)</f>
        <v/>
      </c>
      <c r="B268" s="10" t="n"/>
      <c r="C268" s="41" t="inlineStr">
        <is>
          <t>기타</t>
        </is>
      </c>
      <c r="D268" s="42" t="n"/>
      <c r="E268" s="43" t="inlineStr">
        <is>
          <t>기획</t>
        </is>
      </c>
      <c r="F268" s="44" t="n"/>
      <c r="G268" s="45" t="n"/>
      <c r="H268" s="46">
        <f>IF($I$268="","",IF($I$268&lt;0,"🔴지연",IF($I$268&lt;=1,"🟡임박","🟢여유")))</f>
        <v/>
      </c>
      <c r="I268" s="47">
        <f>IF(OR($G$268="",$K$268=""),"",$G$268-$K$268)</f>
        <v/>
      </c>
      <c r="J268" s="48">
        <f>IF(SUM($L$268:$L$270)=0,"",SUM($L$268:$L$270))</f>
        <v/>
      </c>
      <c r="K268" s="49">
        <f>IF($J$268="","",MAX($N$268:$N$270))</f>
        <v/>
      </c>
      <c r="L268" s="50">
        <f>IF(SUM(U268:AY268)=0,"",SUM(U268:AY268))</f>
        <v/>
      </c>
      <c r="M268" s="51">
        <f>IFERROR(INDEX(U$2:AY$2,MATCH(TRUE,INDEX(U268:AY268&lt;&gt;"",0),0)),"")</f>
        <v/>
      </c>
      <c r="N268" s="51">
        <f>IFERROR(LOOKUP(2,1/(U268:AY268&lt;&gt;""),U$2:AY$2),"")</f>
        <v/>
      </c>
      <c r="O268" s="52" t="n"/>
      <c r="P268" s="52" t="n"/>
      <c r="Q268" s="52" t="n"/>
      <c r="R268" s="44" t="n"/>
      <c r="S268" s="14" t="n"/>
      <c r="U268" s="53" t="n"/>
      <c r="V268" s="53" t="n"/>
      <c r="W268" s="53" t="n"/>
      <c r="X268" s="53" t="n"/>
      <c r="Y268" s="53" t="n"/>
      <c r="Z268" s="53" t="n"/>
      <c r="AA268" s="53" t="n"/>
      <c r="AB268" s="53" t="n"/>
      <c r="AC268" s="53" t="n"/>
      <c r="AD268" s="53" t="n"/>
      <c r="AE268" s="53" t="n"/>
      <c r="AF268" s="53" t="n"/>
      <c r="AG268" s="53" t="n"/>
      <c r="AH268" s="53" t="n"/>
      <c r="AI268" s="53" t="n"/>
      <c r="AJ268" s="53" t="n"/>
      <c r="AK268" s="53" t="n"/>
      <c r="AL268" s="53" t="n"/>
      <c r="AM268" s="53" t="n"/>
      <c r="AN268" s="53" t="n"/>
      <c r="AO268" s="53" t="n"/>
      <c r="AP268" s="53" t="n"/>
      <c r="AQ268" s="53" t="n"/>
      <c r="AR268" s="53" t="n"/>
      <c r="AS268" s="53" t="n"/>
      <c r="AT268" s="53" t="n"/>
      <c r="AU268" s="53" t="n"/>
      <c r="AV268" s="53" t="n"/>
      <c r="AW268" s="53" t="n"/>
      <c r="AX268" s="53" t="n"/>
      <c r="AY268" s="53" t="n"/>
    </row>
    <row r="269" ht="15" customHeight="1">
      <c r="A269" s="54" t="n"/>
      <c r="B269" s="55">
        <f>IF($B$268="","",$B$268)</f>
        <v/>
      </c>
      <c r="C269" s="56" t="inlineStr">
        <is>
          <t>기타</t>
        </is>
      </c>
      <c r="D269" s="55">
        <f>IF($D$268="","",$D$268)</f>
        <v/>
      </c>
      <c r="E269" s="57" t="inlineStr">
        <is>
          <t>이미지</t>
        </is>
      </c>
      <c r="F269" s="44" t="n"/>
      <c r="G269" s="58">
        <f>IF($G$268="","",$G$268)</f>
        <v/>
      </c>
      <c r="H269" s="59" t="n"/>
      <c r="I269" s="59" t="n"/>
      <c r="J269" s="59" t="n"/>
      <c r="K269" s="59" t="n"/>
      <c r="L269" s="60">
        <f>IF(SUM(U269:AY269)=0,"",SUM(U269:AY269))</f>
        <v/>
      </c>
      <c r="M269" s="61">
        <f>IFERROR(INDEX(U$2:AY$2,MATCH(TRUE,INDEX(U269:AY269&lt;&gt;"",0),0)),"")</f>
        <v/>
      </c>
      <c r="N269" s="61">
        <f>IFERROR(LOOKUP(2,1/(U269:AY269&lt;&gt;""),U$2:AY$2),"")</f>
        <v/>
      </c>
      <c r="O269" s="59" t="n"/>
      <c r="P269" s="59" t="n"/>
      <c r="Q269" s="59" t="n"/>
      <c r="R269" s="59" t="n"/>
      <c r="S269" s="14" t="n"/>
      <c r="U269" s="53" t="n"/>
      <c r="V269" s="53" t="n"/>
      <c r="W269" s="53" t="n"/>
      <c r="X269" s="53" t="n"/>
      <c r="Y269" s="53" t="n"/>
      <c r="Z269" s="53" t="n"/>
      <c r="AA269" s="53" t="n"/>
      <c r="AB269" s="53" t="n"/>
      <c r="AC269" s="53" t="n"/>
      <c r="AD269" s="53" t="n"/>
      <c r="AE269" s="53" t="n"/>
      <c r="AF269" s="53" t="n"/>
      <c r="AG269" s="53" t="n"/>
      <c r="AH269" s="53" t="n"/>
      <c r="AI269" s="53" t="n"/>
      <c r="AJ269" s="53" t="n"/>
      <c r="AK269" s="53" t="n"/>
      <c r="AL269" s="53" t="n"/>
      <c r="AM269" s="53" t="n"/>
      <c r="AN269" s="53" t="n"/>
      <c r="AO269" s="53" t="n"/>
      <c r="AP269" s="53" t="n"/>
      <c r="AQ269" s="53" t="n"/>
      <c r="AR269" s="53" t="n"/>
      <c r="AS269" s="53" t="n"/>
      <c r="AT269" s="53" t="n"/>
      <c r="AU269" s="53" t="n"/>
      <c r="AV269" s="53" t="n"/>
      <c r="AW269" s="53" t="n"/>
      <c r="AX269" s="53" t="n"/>
      <c r="AY269" s="53" t="n"/>
    </row>
    <row r="270" ht="15" customHeight="1">
      <c r="A270" s="62" t="n"/>
      <c r="B270" s="55">
        <f>IF($B$268="","",$B$268)</f>
        <v/>
      </c>
      <c r="C270" s="63" t="inlineStr">
        <is>
          <t>기타</t>
        </is>
      </c>
      <c r="D270" s="55">
        <f>IF($D$268="","",$D$268)</f>
        <v/>
      </c>
      <c r="E270" s="64" t="inlineStr">
        <is>
          <t>영상</t>
        </is>
      </c>
      <c r="F270" s="44" t="n"/>
      <c r="G270" s="58">
        <f>IF($G$268="","",$G$268)</f>
        <v/>
      </c>
      <c r="H270" s="59" t="n"/>
      <c r="I270" s="59" t="n"/>
      <c r="J270" s="59" t="n"/>
      <c r="K270" s="59" t="n"/>
      <c r="L270" s="65">
        <f>IF(SUM(U270:AY270)=0,"",SUM(U270:AY270))</f>
        <v/>
      </c>
      <c r="M270" s="66">
        <f>IFERROR(INDEX(U$2:AY$2,MATCH(TRUE,INDEX(U270:AY270&lt;&gt;"",0),0)),"")</f>
        <v/>
      </c>
      <c r="N270" s="66">
        <f>IFERROR(LOOKUP(2,1/(U270:AY270&lt;&gt;""),U$2:AY$2),"")</f>
        <v/>
      </c>
      <c r="O270" s="59" t="n"/>
      <c r="P270" s="59" t="n"/>
      <c r="Q270" s="59" t="n"/>
      <c r="R270" s="59" t="n"/>
      <c r="S270" s="14" t="n"/>
      <c r="U270" s="53" t="n"/>
      <c r="V270" s="53" t="n"/>
      <c r="W270" s="53" t="n"/>
      <c r="X270" s="53" t="n"/>
      <c r="Y270" s="53" t="n"/>
      <c r="Z270" s="53" t="n"/>
      <c r="AA270" s="53" t="n"/>
      <c r="AB270" s="53" t="n"/>
      <c r="AC270" s="53" t="n"/>
      <c r="AD270" s="53" t="n"/>
      <c r="AE270" s="53" t="n"/>
      <c r="AF270" s="53" t="n"/>
      <c r="AG270" s="53" t="n"/>
      <c r="AH270" s="53" t="n"/>
      <c r="AI270" s="53" t="n"/>
      <c r="AJ270" s="53" t="n"/>
      <c r="AK270" s="53" t="n"/>
      <c r="AL270" s="53" t="n"/>
      <c r="AM270" s="53" t="n"/>
      <c r="AN270" s="53" t="n"/>
      <c r="AO270" s="53" t="n"/>
      <c r="AP270" s="53" t="n"/>
      <c r="AQ270" s="53" t="n"/>
      <c r="AR270" s="53" t="n"/>
      <c r="AS270" s="53" t="n"/>
      <c r="AT270" s="53" t="n"/>
      <c r="AU270" s="53" t="n"/>
      <c r="AV270" s="53" t="n"/>
      <c r="AW270" s="53" t="n"/>
      <c r="AX270" s="53" t="n"/>
      <c r="AY270" s="53" t="n"/>
    </row>
    <row r="271" ht="15" customHeight="1">
      <c r="A271" s="40">
        <f>IF($D$271="","",87)</f>
        <v/>
      </c>
      <c r="B271" s="10" t="n"/>
      <c r="C271" s="41" t="inlineStr">
        <is>
          <t>기타</t>
        </is>
      </c>
      <c r="D271" s="42" t="n"/>
      <c r="E271" s="43" t="inlineStr">
        <is>
          <t>기획</t>
        </is>
      </c>
      <c r="F271" s="44" t="n"/>
      <c r="G271" s="45" t="n"/>
      <c r="H271" s="46">
        <f>IF($I$271="","",IF($I$271&lt;0,"🔴지연",IF($I$271&lt;=1,"🟡임박","🟢여유")))</f>
        <v/>
      </c>
      <c r="I271" s="47">
        <f>IF(OR($G$271="",$K$271=""),"",$G$271-$K$271)</f>
        <v/>
      </c>
      <c r="J271" s="48">
        <f>IF(SUM($L$271:$L$273)=0,"",SUM($L$271:$L$273))</f>
        <v/>
      </c>
      <c r="K271" s="49">
        <f>IF($J$271="","",MAX($N$271:$N$273))</f>
        <v/>
      </c>
      <c r="L271" s="50">
        <f>IF(SUM(U271:AY271)=0,"",SUM(U271:AY271))</f>
        <v/>
      </c>
      <c r="M271" s="51">
        <f>IFERROR(INDEX(U$2:AY$2,MATCH(TRUE,INDEX(U271:AY271&lt;&gt;"",0),0)),"")</f>
        <v/>
      </c>
      <c r="N271" s="51">
        <f>IFERROR(LOOKUP(2,1/(U271:AY271&lt;&gt;""),U$2:AY$2),"")</f>
        <v/>
      </c>
      <c r="O271" s="52" t="n"/>
      <c r="P271" s="52" t="n"/>
      <c r="Q271" s="52" t="n"/>
      <c r="R271" s="44" t="n"/>
      <c r="S271" s="14" t="n"/>
      <c r="U271" s="53" t="n"/>
      <c r="V271" s="53" t="n"/>
      <c r="W271" s="53" t="n"/>
      <c r="X271" s="53" t="n"/>
      <c r="Y271" s="53" t="n"/>
      <c r="Z271" s="53" t="n"/>
      <c r="AA271" s="53" t="n"/>
      <c r="AB271" s="53" t="n"/>
      <c r="AC271" s="53" t="n"/>
      <c r="AD271" s="53" t="n"/>
      <c r="AE271" s="53" t="n"/>
      <c r="AF271" s="53" t="n"/>
      <c r="AG271" s="53" t="n"/>
      <c r="AH271" s="53" t="n"/>
      <c r="AI271" s="53" t="n"/>
      <c r="AJ271" s="53" t="n"/>
      <c r="AK271" s="53" t="n"/>
      <c r="AL271" s="53" t="n"/>
      <c r="AM271" s="53" t="n"/>
      <c r="AN271" s="53" t="n"/>
      <c r="AO271" s="53" t="n"/>
      <c r="AP271" s="53" t="n"/>
      <c r="AQ271" s="53" t="n"/>
      <c r="AR271" s="53" t="n"/>
      <c r="AS271" s="53" t="n"/>
      <c r="AT271" s="53" t="n"/>
      <c r="AU271" s="53" t="n"/>
      <c r="AV271" s="53" t="n"/>
      <c r="AW271" s="53" t="n"/>
      <c r="AX271" s="53" t="n"/>
      <c r="AY271" s="53" t="n"/>
    </row>
    <row r="272" ht="15" customHeight="1">
      <c r="A272" s="54" t="n"/>
      <c r="B272" s="55">
        <f>IF($B$271="","",$B$271)</f>
        <v/>
      </c>
      <c r="C272" s="56" t="inlineStr">
        <is>
          <t>기타</t>
        </is>
      </c>
      <c r="D272" s="55">
        <f>IF($D$271="","",$D$271)</f>
        <v/>
      </c>
      <c r="E272" s="57" t="inlineStr">
        <is>
          <t>이미지</t>
        </is>
      </c>
      <c r="F272" s="44" t="n"/>
      <c r="G272" s="58">
        <f>IF($G$271="","",$G$271)</f>
        <v/>
      </c>
      <c r="H272" s="59" t="n"/>
      <c r="I272" s="59" t="n"/>
      <c r="J272" s="59" t="n"/>
      <c r="K272" s="59" t="n"/>
      <c r="L272" s="60">
        <f>IF(SUM(U272:AY272)=0,"",SUM(U272:AY272))</f>
        <v/>
      </c>
      <c r="M272" s="61">
        <f>IFERROR(INDEX(U$2:AY$2,MATCH(TRUE,INDEX(U272:AY272&lt;&gt;"",0),0)),"")</f>
        <v/>
      </c>
      <c r="N272" s="61">
        <f>IFERROR(LOOKUP(2,1/(U272:AY272&lt;&gt;""),U$2:AY$2),"")</f>
        <v/>
      </c>
      <c r="O272" s="59" t="n"/>
      <c r="P272" s="59" t="n"/>
      <c r="Q272" s="59" t="n"/>
      <c r="R272" s="59" t="n"/>
      <c r="S272" s="14" t="n"/>
      <c r="U272" s="53" t="n"/>
      <c r="V272" s="53" t="n"/>
      <c r="W272" s="53" t="n"/>
      <c r="X272" s="53" t="n"/>
      <c r="Y272" s="53" t="n"/>
      <c r="Z272" s="53" t="n"/>
      <c r="AA272" s="53" t="n"/>
      <c r="AB272" s="53" t="n"/>
      <c r="AC272" s="53" t="n"/>
      <c r="AD272" s="53" t="n"/>
      <c r="AE272" s="53" t="n"/>
      <c r="AF272" s="53" t="n"/>
      <c r="AG272" s="53" t="n"/>
      <c r="AH272" s="53" t="n"/>
      <c r="AI272" s="53" t="n"/>
      <c r="AJ272" s="53" t="n"/>
      <c r="AK272" s="53" t="n"/>
      <c r="AL272" s="53" t="n"/>
      <c r="AM272" s="53" t="n"/>
      <c r="AN272" s="53" t="n"/>
      <c r="AO272" s="53" t="n"/>
      <c r="AP272" s="53" t="n"/>
      <c r="AQ272" s="53" t="n"/>
      <c r="AR272" s="53" t="n"/>
      <c r="AS272" s="53" t="n"/>
      <c r="AT272" s="53" t="n"/>
      <c r="AU272" s="53" t="n"/>
      <c r="AV272" s="53" t="n"/>
      <c r="AW272" s="53" t="n"/>
      <c r="AX272" s="53" t="n"/>
      <c r="AY272" s="53" t="n"/>
    </row>
    <row r="273" ht="15" customHeight="1">
      <c r="A273" s="62" t="n"/>
      <c r="B273" s="55">
        <f>IF($B$271="","",$B$271)</f>
        <v/>
      </c>
      <c r="C273" s="63" t="inlineStr">
        <is>
          <t>기타</t>
        </is>
      </c>
      <c r="D273" s="55">
        <f>IF($D$271="","",$D$271)</f>
        <v/>
      </c>
      <c r="E273" s="64" t="inlineStr">
        <is>
          <t>영상</t>
        </is>
      </c>
      <c r="F273" s="44" t="n"/>
      <c r="G273" s="58">
        <f>IF($G$271="","",$G$271)</f>
        <v/>
      </c>
      <c r="H273" s="59" t="n"/>
      <c r="I273" s="59" t="n"/>
      <c r="J273" s="59" t="n"/>
      <c r="K273" s="59" t="n"/>
      <c r="L273" s="65">
        <f>IF(SUM(U273:AY273)=0,"",SUM(U273:AY273))</f>
        <v/>
      </c>
      <c r="M273" s="66">
        <f>IFERROR(INDEX(U$2:AY$2,MATCH(TRUE,INDEX(U273:AY273&lt;&gt;"",0),0)),"")</f>
        <v/>
      </c>
      <c r="N273" s="66">
        <f>IFERROR(LOOKUP(2,1/(U273:AY273&lt;&gt;""),U$2:AY$2),"")</f>
        <v/>
      </c>
      <c r="O273" s="59" t="n"/>
      <c r="P273" s="59" t="n"/>
      <c r="Q273" s="59" t="n"/>
      <c r="R273" s="59" t="n"/>
      <c r="S273" s="14" t="n"/>
      <c r="U273" s="53" t="n"/>
      <c r="V273" s="53" t="n"/>
      <c r="W273" s="53" t="n"/>
      <c r="X273" s="53" t="n"/>
      <c r="Y273" s="53" t="n"/>
      <c r="Z273" s="53" t="n"/>
      <c r="AA273" s="53" t="n"/>
      <c r="AB273" s="53" t="n"/>
      <c r="AC273" s="53" t="n"/>
      <c r="AD273" s="53" t="n"/>
      <c r="AE273" s="53" t="n"/>
      <c r="AF273" s="53" t="n"/>
      <c r="AG273" s="53" t="n"/>
      <c r="AH273" s="53" t="n"/>
      <c r="AI273" s="53" t="n"/>
      <c r="AJ273" s="53" t="n"/>
      <c r="AK273" s="53" t="n"/>
      <c r="AL273" s="53" t="n"/>
      <c r="AM273" s="53" t="n"/>
      <c r="AN273" s="53" t="n"/>
      <c r="AO273" s="53" t="n"/>
      <c r="AP273" s="53" t="n"/>
      <c r="AQ273" s="53" t="n"/>
      <c r="AR273" s="53" t="n"/>
      <c r="AS273" s="53" t="n"/>
      <c r="AT273" s="53" t="n"/>
      <c r="AU273" s="53" t="n"/>
      <c r="AV273" s="53" t="n"/>
      <c r="AW273" s="53" t="n"/>
      <c r="AX273" s="53" t="n"/>
      <c r="AY273" s="53" t="n"/>
    </row>
    <row r="274" ht="15" customHeight="1">
      <c r="A274" s="40">
        <f>IF($D$274="","",88)</f>
        <v/>
      </c>
      <c r="B274" s="10" t="n"/>
      <c r="C274" s="41" t="inlineStr">
        <is>
          <t>기타</t>
        </is>
      </c>
      <c r="D274" s="42" t="n"/>
      <c r="E274" s="43" t="inlineStr">
        <is>
          <t>기획</t>
        </is>
      </c>
      <c r="F274" s="44" t="n"/>
      <c r="G274" s="45" t="n"/>
      <c r="H274" s="46">
        <f>IF($I$274="","",IF($I$274&lt;0,"🔴지연",IF($I$274&lt;=1,"🟡임박","🟢여유")))</f>
        <v/>
      </c>
      <c r="I274" s="47">
        <f>IF(OR($G$274="",$K$274=""),"",$G$274-$K$274)</f>
        <v/>
      </c>
      <c r="J274" s="48">
        <f>IF(SUM($L$274:$L$276)=0,"",SUM($L$274:$L$276))</f>
        <v/>
      </c>
      <c r="K274" s="49">
        <f>IF($J$274="","",MAX($N$274:$N$276))</f>
        <v/>
      </c>
      <c r="L274" s="50">
        <f>IF(SUM(U274:AY274)=0,"",SUM(U274:AY274))</f>
        <v/>
      </c>
      <c r="M274" s="51">
        <f>IFERROR(INDEX(U$2:AY$2,MATCH(TRUE,INDEX(U274:AY274&lt;&gt;"",0),0)),"")</f>
        <v/>
      </c>
      <c r="N274" s="51">
        <f>IFERROR(LOOKUP(2,1/(U274:AY274&lt;&gt;""),U$2:AY$2),"")</f>
        <v/>
      </c>
      <c r="O274" s="52" t="n"/>
      <c r="P274" s="52" t="n"/>
      <c r="Q274" s="52" t="n"/>
      <c r="R274" s="44" t="n"/>
      <c r="S274" s="14" t="n"/>
      <c r="U274" s="53" t="n"/>
      <c r="V274" s="53" t="n"/>
      <c r="W274" s="53" t="n"/>
      <c r="X274" s="53" t="n"/>
      <c r="Y274" s="53" t="n"/>
      <c r="Z274" s="53" t="n"/>
      <c r="AA274" s="53" t="n"/>
      <c r="AB274" s="53" t="n"/>
      <c r="AC274" s="53" t="n"/>
      <c r="AD274" s="53" t="n"/>
      <c r="AE274" s="53" t="n"/>
      <c r="AF274" s="53" t="n"/>
      <c r="AG274" s="53" t="n"/>
      <c r="AH274" s="53" t="n"/>
      <c r="AI274" s="53" t="n"/>
      <c r="AJ274" s="53" t="n"/>
      <c r="AK274" s="53" t="n"/>
      <c r="AL274" s="53" t="n"/>
      <c r="AM274" s="53" t="n"/>
      <c r="AN274" s="53" t="n"/>
      <c r="AO274" s="53" t="n"/>
      <c r="AP274" s="53" t="n"/>
      <c r="AQ274" s="53" t="n"/>
      <c r="AR274" s="53" t="n"/>
      <c r="AS274" s="53" t="n"/>
      <c r="AT274" s="53" t="n"/>
      <c r="AU274" s="53" t="n"/>
      <c r="AV274" s="53" t="n"/>
      <c r="AW274" s="53" t="n"/>
      <c r="AX274" s="53" t="n"/>
      <c r="AY274" s="53" t="n"/>
    </row>
    <row r="275" ht="15" customHeight="1">
      <c r="A275" s="54" t="n"/>
      <c r="B275" s="55">
        <f>IF($B$274="","",$B$274)</f>
        <v/>
      </c>
      <c r="C275" s="56" t="inlineStr">
        <is>
          <t>기타</t>
        </is>
      </c>
      <c r="D275" s="55">
        <f>IF($D$274="","",$D$274)</f>
        <v/>
      </c>
      <c r="E275" s="57" t="inlineStr">
        <is>
          <t>이미지</t>
        </is>
      </c>
      <c r="F275" s="44" t="n"/>
      <c r="G275" s="58">
        <f>IF($G$274="","",$G$274)</f>
        <v/>
      </c>
      <c r="H275" s="59" t="n"/>
      <c r="I275" s="59" t="n"/>
      <c r="J275" s="59" t="n"/>
      <c r="K275" s="59" t="n"/>
      <c r="L275" s="60">
        <f>IF(SUM(U275:AY275)=0,"",SUM(U275:AY275))</f>
        <v/>
      </c>
      <c r="M275" s="61">
        <f>IFERROR(INDEX(U$2:AY$2,MATCH(TRUE,INDEX(U275:AY275&lt;&gt;"",0),0)),"")</f>
        <v/>
      </c>
      <c r="N275" s="61">
        <f>IFERROR(LOOKUP(2,1/(U275:AY275&lt;&gt;""),U$2:AY$2),"")</f>
        <v/>
      </c>
      <c r="O275" s="59" t="n"/>
      <c r="P275" s="59" t="n"/>
      <c r="Q275" s="59" t="n"/>
      <c r="R275" s="59" t="n"/>
      <c r="S275" s="14" t="n"/>
      <c r="U275" s="53" t="n"/>
      <c r="V275" s="53" t="n"/>
      <c r="W275" s="53" t="n"/>
      <c r="X275" s="53" t="n"/>
      <c r="Y275" s="53" t="n"/>
      <c r="Z275" s="53" t="n"/>
      <c r="AA275" s="53" t="n"/>
      <c r="AB275" s="53" t="n"/>
      <c r="AC275" s="53" t="n"/>
      <c r="AD275" s="53" t="n"/>
      <c r="AE275" s="53" t="n"/>
      <c r="AF275" s="53" t="n"/>
      <c r="AG275" s="53" t="n"/>
      <c r="AH275" s="53" t="n"/>
      <c r="AI275" s="53" t="n"/>
      <c r="AJ275" s="53" t="n"/>
      <c r="AK275" s="53" t="n"/>
      <c r="AL275" s="53" t="n"/>
      <c r="AM275" s="53" t="n"/>
      <c r="AN275" s="53" t="n"/>
      <c r="AO275" s="53" t="n"/>
      <c r="AP275" s="53" t="n"/>
      <c r="AQ275" s="53" t="n"/>
      <c r="AR275" s="53" t="n"/>
      <c r="AS275" s="53" t="n"/>
      <c r="AT275" s="53" t="n"/>
      <c r="AU275" s="53" t="n"/>
      <c r="AV275" s="53" t="n"/>
      <c r="AW275" s="53" t="n"/>
      <c r="AX275" s="53" t="n"/>
      <c r="AY275" s="53" t="n"/>
    </row>
    <row r="276" ht="15" customHeight="1">
      <c r="A276" s="62" t="n"/>
      <c r="B276" s="55">
        <f>IF($B$274="","",$B$274)</f>
        <v/>
      </c>
      <c r="C276" s="63" t="inlineStr">
        <is>
          <t>기타</t>
        </is>
      </c>
      <c r="D276" s="55">
        <f>IF($D$274="","",$D$274)</f>
        <v/>
      </c>
      <c r="E276" s="64" t="inlineStr">
        <is>
          <t>영상</t>
        </is>
      </c>
      <c r="F276" s="44" t="n"/>
      <c r="G276" s="58">
        <f>IF($G$274="","",$G$274)</f>
        <v/>
      </c>
      <c r="H276" s="59" t="n"/>
      <c r="I276" s="59" t="n"/>
      <c r="J276" s="59" t="n"/>
      <c r="K276" s="59" t="n"/>
      <c r="L276" s="65">
        <f>IF(SUM(U276:AY276)=0,"",SUM(U276:AY276))</f>
        <v/>
      </c>
      <c r="M276" s="66">
        <f>IFERROR(INDEX(U$2:AY$2,MATCH(TRUE,INDEX(U276:AY276&lt;&gt;"",0),0)),"")</f>
        <v/>
      </c>
      <c r="N276" s="66">
        <f>IFERROR(LOOKUP(2,1/(U276:AY276&lt;&gt;""),U$2:AY$2),"")</f>
        <v/>
      </c>
      <c r="O276" s="59" t="n"/>
      <c r="P276" s="59" t="n"/>
      <c r="Q276" s="59" t="n"/>
      <c r="R276" s="59" t="n"/>
      <c r="S276" s="14" t="n"/>
      <c r="U276" s="53" t="n"/>
      <c r="V276" s="53" t="n"/>
      <c r="W276" s="53" t="n"/>
      <c r="X276" s="53" t="n"/>
      <c r="Y276" s="53" t="n"/>
      <c r="Z276" s="53" t="n"/>
      <c r="AA276" s="53" t="n"/>
      <c r="AB276" s="53" t="n"/>
      <c r="AC276" s="53" t="n"/>
      <c r="AD276" s="53" t="n"/>
      <c r="AE276" s="53" t="n"/>
      <c r="AF276" s="53" t="n"/>
      <c r="AG276" s="53" t="n"/>
      <c r="AH276" s="53" t="n"/>
      <c r="AI276" s="53" t="n"/>
      <c r="AJ276" s="53" t="n"/>
      <c r="AK276" s="53" t="n"/>
      <c r="AL276" s="53" t="n"/>
      <c r="AM276" s="53" t="n"/>
      <c r="AN276" s="53" t="n"/>
      <c r="AO276" s="53" t="n"/>
      <c r="AP276" s="53" t="n"/>
      <c r="AQ276" s="53" t="n"/>
      <c r="AR276" s="53" t="n"/>
      <c r="AS276" s="53" t="n"/>
      <c r="AT276" s="53" t="n"/>
      <c r="AU276" s="53" t="n"/>
      <c r="AV276" s="53" t="n"/>
      <c r="AW276" s="53" t="n"/>
      <c r="AX276" s="53" t="n"/>
      <c r="AY276" s="53" t="n"/>
    </row>
    <row r="277" ht="15" customHeight="1">
      <c r="A277" s="40">
        <f>IF($D$277="","",89)</f>
        <v/>
      </c>
      <c r="B277" s="10" t="n"/>
      <c r="C277" s="41" t="inlineStr">
        <is>
          <t>기타</t>
        </is>
      </c>
      <c r="D277" s="42" t="n"/>
      <c r="E277" s="43" t="inlineStr">
        <is>
          <t>기획</t>
        </is>
      </c>
      <c r="F277" s="44" t="n"/>
      <c r="G277" s="45" t="n"/>
      <c r="H277" s="46">
        <f>IF($I$277="","",IF($I$277&lt;0,"🔴지연",IF($I$277&lt;=1,"🟡임박","🟢여유")))</f>
        <v/>
      </c>
      <c r="I277" s="47">
        <f>IF(OR($G$277="",$K$277=""),"",$G$277-$K$277)</f>
        <v/>
      </c>
      <c r="J277" s="48">
        <f>IF(SUM($L$277:$L$279)=0,"",SUM($L$277:$L$279))</f>
        <v/>
      </c>
      <c r="K277" s="49">
        <f>IF($J$277="","",MAX($N$277:$N$279))</f>
        <v/>
      </c>
      <c r="L277" s="50">
        <f>IF(SUM(U277:AY277)=0,"",SUM(U277:AY277))</f>
        <v/>
      </c>
      <c r="M277" s="51">
        <f>IFERROR(INDEX(U$2:AY$2,MATCH(TRUE,INDEX(U277:AY277&lt;&gt;"",0),0)),"")</f>
        <v/>
      </c>
      <c r="N277" s="51">
        <f>IFERROR(LOOKUP(2,1/(U277:AY277&lt;&gt;""),U$2:AY$2),"")</f>
        <v/>
      </c>
      <c r="O277" s="52" t="n"/>
      <c r="P277" s="52" t="n"/>
      <c r="Q277" s="52" t="n"/>
      <c r="R277" s="44" t="n"/>
      <c r="S277" s="14" t="n"/>
      <c r="U277" s="53" t="n"/>
      <c r="V277" s="53" t="n"/>
      <c r="W277" s="53" t="n"/>
      <c r="X277" s="53" t="n"/>
      <c r="Y277" s="53" t="n"/>
      <c r="Z277" s="53" t="n"/>
      <c r="AA277" s="53" t="n"/>
      <c r="AB277" s="53" t="n"/>
      <c r="AC277" s="53" t="n"/>
      <c r="AD277" s="53" t="n"/>
      <c r="AE277" s="53" t="n"/>
      <c r="AF277" s="53" t="n"/>
      <c r="AG277" s="53" t="n"/>
      <c r="AH277" s="53" t="n"/>
      <c r="AI277" s="53" t="n"/>
      <c r="AJ277" s="53" t="n"/>
      <c r="AK277" s="53" t="n"/>
      <c r="AL277" s="53" t="n"/>
      <c r="AM277" s="53" t="n"/>
      <c r="AN277" s="53" t="n"/>
      <c r="AO277" s="53" t="n"/>
      <c r="AP277" s="53" t="n"/>
      <c r="AQ277" s="53" t="n"/>
      <c r="AR277" s="53" t="n"/>
      <c r="AS277" s="53" t="n"/>
      <c r="AT277" s="53" t="n"/>
      <c r="AU277" s="53" t="n"/>
      <c r="AV277" s="53" t="n"/>
      <c r="AW277" s="53" t="n"/>
      <c r="AX277" s="53" t="n"/>
      <c r="AY277" s="53" t="n"/>
    </row>
    <row r="278" ht="15" customHeight="1">
      <c r="A278" s="54" t="n"/>
      <c r="B278" s="55">
        <f>IF($B$277="","",$B$277)</f>
        <v/>
      </c>
      <c r="C278" s="56" t="inlineStr">
        <is>
          <t>기타</t>
        </is>
      </c>
      <c r="D278" s="55">
        <f>IF($D$277="","",$D$277)</f>
        <v/>
      </c>
      <c r="E278" s="57" t="inlineStr">
        <is>
          <t>이미지</t>
        </is>
      </c>
      <c r="F278" s="44" t="n"/>
      <c r="G278" s="58">
        <f>IF($G$277="","",$G$277)</f>
        <v/>
      </c>
      <c r="H278" s="59" t="n"/>
      <c r="I278" s="59" t="n"/>
      <c r="J278" s="59" t="n"/>
      <c r="K278" s="59" t="n"/>
      <c r="L278" s="60">
        <f>IF(SUM(U278:AY278)=0,"",SUM(U278:AY278))</f>
        <v/>
      </c>
      <c r="M278" s="61">
        <f>IFERROR(INDEX(U$2:AY$2,MATCH(TRUE,INDEX(U278:AY278&lt;&gt;"",0),0)),"")</f>
        <v/>
      </c>
      <c r="N278" s="61">
        <f>IFERROR(LOOKUP(2,1/(U278:AY278&lt;&gt;""),U$2:AY$2),"")</f>
        <v/>
      </c>
      <c r="O278" s="59" t="n"/>
      <c r="P278" s="59" t="n"/>
      <c r="Q278" s="59" t="n"/>
      <c r="R278" s="59" t="n"/>
      <c r="S278" s="14" t="n"/>
      <c r="U278" s="53" t="n"/>
      <c r="V278" s="53" t="n"/>
      <c r="W278" s="53" t="n"/>
      <c r="X278" s="53" t="n"/>
      <c r="Y278" s="53" t="n"/>
      <c r="Z278" s="53" t="n"/>
      <c r="AA278" s="53" t="n"/>
      <c r="AB278" s="53" t="n"/>
      <c r="AC278" s="53" t="n"/>
      <c r="AD278" s="53" t="n"/>
      <c r="AE278" s="53" t="n"/>
      <c r="AF278" s="53" t="n"/>
      <c r="AG278" s="53" t="n"/>
      <c r="AH278" s="53" t="n"/>
      <c r="AI278" s="53" t="n"/>
      <c r="AJ278" s="53" t="n"/>
      <c r="AK278" s="53" t="n"/>
      <c r="AL278" s="53" t="n"/>
      <c r="AM278" s="53" t="n"/>
      <c r="AN278" s="53" t="n"/>
      <c r="AO278" s="53" t="n"/>
      <c r="AP278" s="53" t="n"/>
      <c r="AQ278" s="53" t="n"/>
      <c r="AR278" s="53" t="n"/>
      <c r="AS278" s="53" t="n"/>
      <c r="AT278" s="53" t="n"/>
      <c r="AU278" s="53" t="n"/>
      <c r="AV278" s="53" t="n"/>
      <c r="AW278" s="53" t="n"/>
      <c r="AX278" s="53" t="n"/>
      <c r="AY278" s="53" t="n"/>
    </row>
    <row r="279" ht="15" customHeight="1">
      <c r="A279" s="62" t="n"/>
      <c r="B279" s="55">
        <f>IF($B$277="","",$B$277)</f>
        <v/>
      </c>
      <c r="C279" s="63" t="inlineStr">
        <is>
          <t>기타</t>
        </is>
      </c>
      <c r="D279" s="55">
        <f>IF($D$277="","",$D$277)</f>
        <v/>
      </c>
      <c r="E279" s="64" t="inlineStr">
        <is>
          <t>영상</t>
        </is>
      </c>
      <c r="F279" s="44" t="n"/>
      <c r="G279" s="58">
        <f>IF($G$277="","",$G$277)</f>
        <v/>
      </c>
      <c r="H279" s="59" t="n"/>
      <c r="I279" s="59" t="n"/>
      <c r="J279" s="59" t="n"/>
      <c r="K279" s="59" t="n"/>
      <c r="L279" s="65">
        <f>IF(SUM(U279:AY279)=0,"",SUM(U279:AY279))</f>
        <v/>
      </c>
      <c r="M279" s="66">
        <f>IFERROR(INDEX(U$2:AY$2,MATCH(TRUE,INDEX(U279:AY279&lt;&gt;"",0),0)),"")</f>
        <v/>
      </c>
      <c r="N279" s="66">
        <f>IFERROR(LOOKUP(2,1/(U279:AY279&lt;&gt;""),U$2:AY$2),"")</f>
        <v/>
      </c>
      <c r="O279" s="59" t="n"/>
      <c r="P279" s="59" t="n"/>
      <c r="Q279" s="59" t="n"/>
      <c r="R279" s="59" t="n"/>
      <c r="S279" s="14" t="n"/>
      <c r="U279" s="53" t="n"/>
      <c r="V279" s="53" t="n"/>
      <c r="W279" s="53" t="n"/>
      <c r="X279" s="53" t="n"/>
      <c r="Y279" s="53" t="n"/>
      <c r="Z279" s="53" t="n"/>
      <c r="AA279" s="53" t="n"/>
      <c r="AB279" s="53" t="n"/>
      <c r="AC279" s="53" t="n"/>
      <c r="AD279" s="53" t="n"/>
      <c r="AE279" s="53" t="n"/>
      <c r="AF279" s="53" t="n"/>
      <c r="AG279" s="53" t="n"/>
      <c r="AH279" s="53" t="n"/>
      <c r="AI279" s="53" t="n"/>
      <c r="AJ279" s="53" t="n"/>
      <c r="AK279" s="53" t="n"/>
      <c r="AL279" s="53" t="n"/>
      <c r="AM279" s="53" t="n"/>
      <c r="AN279" s="53" t="n"/>
      <c r="AO279" s="53" t="n"/>
      <c r="AP279" s="53" t="n"/>
      <c r="AQ279" s="53" t="n"/>
      <c r="AR279" s="53" t="n"/>
      <c r="AS279" s="53" t="n"/>
      <c r="AT279" s="53" t="n"/>
      <c r="AU279" s="53" t="n"/>
      <c r="AV279" s="53" t="n"/>
      <c r="AW279" s="53" t="n"/>
      <c r="AX279" s="53" t="n"/>
      <c r="AY279" s="53" t="n"/>
    </row>
    <row r="280" ht="15" customHeight="1">
      <c r="A280" s="40">
        <f>IF($D$280="","",90)</f>
        <v/>
      </c>
      <c r="B280" s="10" t="n"/>
      <c r="C280" s="41" t="inlineStr">
        <is>
          <t>기타</t>
        </is>
      </c>
      <c r="D280" s="42" t="n"/>
      <c r="E280" s="43" t="inlineStr">
        <is>
          <t>기획</t>
        </is>
      </c>
      <c r="F280" s="44" t="n"/>
      <c r="G280" s="45" t="n"/>
      <c r="H280" s="46">
        <f>IF($I$280="","",IF($I$280&lt;0,"🔴지연",IF($I$280&lt;=1,"🟡임박","🟢여유")))</f>
        <v/>
      </c>
      <c r="I280" s="47">
        <f>IF(OR($G$280="",$K$280=""),"",$G$280-$K$280)</f>
        <v/>
      </c>
      <c r="J280" s="48">
        <f>IF(SUM($L$280:$L$282)=0,"",SUM($L$280:$L$282))</f>
        <v/>
      </c>
      <c r="K280" s="49">
        <f>IF($J$280="","",MAX($N$280:$N$282))</f>
        <v/>
      </c>
      <c r="L280" s="50">
        <f>IF(SUM(U280:AY280)=0,"",SUM(U280:AY280))</f>
        <v/>
      </c>
      <c r="M280" s="51">
        <f>IFERROR(INDEX(U$2:AY$2,MATCH(TRUE,INDEX(U280:AY280&lt;&gt;"",0),0)),"")</f>
        <v/>
      </c>
      <c r="N280" s="51">
        <f>IFERROR(LOOKUP(2,1/(U280:AY280&lt;&gt;""),U$2:AY$2),"")</f>
        <v/>
      </c>
      <c r="O280" s="52" t="n"/>
      <c r="P280" s="52" t="n"/>
      <c r="Q280" s="52" t="n"/>
      <c r="R280" s="44" t="n"/>
      <c r="S280" s="14" t="n"/>
      <c r="U280" s="53" t="n"/>
      <c r="V280" s="53" t="n"/>
      <c r="W280" s="53" t="n"/>
      <c r="X280" s="53" t="n"/>
      <c r="Y280" s="53" t="n"/>
      <c r="Z280" s="53" t="n"/>
      <c r="AA280" s="53" t="n"/>
      <c r="AB280" s="53" t="n"/>
      <c r="AC280" s="53" t="n"/>
      <c r="AD280" s="53" t="n"/>
      <c r="AE280" s="53" t="n"/>
      <c r="AF280" s="53" t="n"/>
      <c r="AG280" s="53" t="n"/>
      <c r="AH280" s="53" t="n"/>
      <c r="AI280" s="53" t="n"/>
      <c r="AJ280" s="53" t="n"/>
      <c r="AK280" s="53" t="n"/>
      <c r="AL280" s="53" t="n"/>
      <c r="AM280" s="53" t="n"/>
      <c r="AN280" s="53" t="n"/>
      <c r="AO280" s="53" t="n"/>
      <c r="AP280" s="53" t="n"/>
      <c r="AQ280" s="53" t="n"/>
      <c r="AR280" s="53" t="n"/>
      <c r="AS280" s="53" t="n"/>
      <c r="AT280" s="53" t="n"/>
      <c r="AU280" s="53" t="n"/>
      <c r="AV280" s="53" t="n"/>
      <c r="AW280" s="53" t="n"/>
      <c r="AX280" s="53" t="n"/>
      <c r="AY280" s="53" t="n"/>
    </row>
    <row r="281" ht="15" customHeight="1">
      <c r="A281" s="54" t="n"/>
      <c r="B281" s="55">
        <f>IF($B$280="","",$B$280)</f>
        <v/>
      </c>
      <c r="C281" s="56" t="inlineStr">
        <is>
          <t>기타</t>
        </is>
      </c>
      <c r="D281" s="55">
        <f>IF($D$280="","",$D$280)</f>
        <v/>
      </c>
      <c r="E281" s="57" t="inlineStr">
        <is>
          <t>이미지</t>
        </is>
      </c>
      <c r="F281" s="44" t="n"/>
      <c r="G281" s="58">
        <f>IF($G$280="","",$G$280)</f>
        <v/>
      </c>
      <c r="H281" s="59" t="n"/>
      <c r="I281" s="59" t="n"/>
      <c r="J281" s="59" t="n"/>
      <c r="K281" s="59" t="n"/>
      <c r="L281" s="60">
        <f>IF(SUM(U281:AY281)=0,"",SUM(U281:AY281))</f>
        <v/>
      </c>
      <c r="M281" s="61">
        <f>IFERROR(INDEX(U$2:AY$2,MATCH(TRUE,INDEX(U281:AY281&lt;&gt;"",0),0)),"")</f>
        <v/>
      </c>
      <c r="N281" s="61">
        <f>IFERROR(LOOKUP(2,1/(U281:AY281&lt;&gt;""),U$2:AY$2),"")</f>
        <v/>
      </c>
      <c r="O281" s="59" t="n"/>
      <c r="P281" s="59" t="n"/>
      <c r="Q281" s="59" t="n"/>
      <c r="R281" s="59" t="n"/>
      <c r="S281" s="14" t="n"/>
      <c r="U281" s="53" t="n"/>
      <c r="V281" s="53" t="n"/>
      <c r="W281" s="53" t="n"/>
      <c r="X281" s="53" t="n"/>
      <c r="Y281" s="53" t="n"/>
      <c r="Z281" s="53" t="n"/>
      <c r="AA281" s="53" t="n"/>
      <c r="AB281" s="53" t="n"/>
      <c r="AC281" s="53" t="n"/>
      <c r="AD281" s="53" t="n"/>
      <c r="AE281" s="53" t="n"/>
      <c r="AF281" s="53" t="n"/>
      <c r="AG281" s="53" t="n"/>
      <c r="AH281" s="53" t="n"/>
      <c r="AI281" s="53" t="n"/>
      <c r="AJ281" s="53" t="n"/>
      <c r="AK281" s="53" t="n"/>
      <c r="AL281" s="53" t="n"/>
      <c r="AM281" s="53" t="n"/>
      <c r="AN281" s="53" t="n"/>
      <c r="AO281" s="53" t="n"/>
      <c r="AP281" s="53" t="n"/>
      <c r="AQ281" s="53" t="n"/>
      <c r="AR281" s="53" t="n"/>
      <c r="AS281" s="53" t="n"/>
      <c r="AT281" s="53" t="n"/>
      <c r="AU281" s="53" t="n"/>
      <c r="AV281" s="53" t="n"/>
      <c r="AW281" s="53" t="n"/>
      <c r="AX281" s="53" t="n"/>
      <c r="AY281" s="53" t="n"/>
    </row>
    <row r="282" ht="15" customHeight="1">
      <c r="A282" s="62" t="n"/>
      <c r="B282" s="55">
        <f>IF($B$280="","",$B$280)</f>
        <v/>
      </c>
      <c r="C282" s="63" t="inlineStr">
        <is>
          <t>기타</t>
        </is>
      </c>
      <c r="D282" s="55">
        <f>IF($D$280="","",$D$280)</f>
        <v/>
      </c>
      <c r="E282" s="64" t="inlineStr">
        <is>
          <t>영상</t>
        </is>
      </c>
      <c r="F282" s="44" t="n"/>
      <c r="G282" s="58">
        <f>IF($G$280="","",$G$280)</f>
        <v/>
      </c>
      <c r="H282" s="59" t="n"/>
      <c r="I282" s="59" t="n"/>
      <c r="J282" s="59" t="n"/>
      <c r="K282" s="59" t="n"/>
      <c r="L282" s="65">
        <f>IF(SUM(U282:AY282)=0,"",SUM(U282:AY282))</f>
        <v/>
      </c>
      <c r="M282" s="66">
        <f>IFERROR(INDEX(U$2:AY$2,MATCH(TRUE,INDEX(U282:AY282&lt;&gt;"",0),0)),"")</f>
        <v/>
      </c>
      <c r="N282" s="66">
        <f>IFERROR(LOOKUP(2,1/(U282:AY282&lt;&gt;""),U$2:AY$2),"")</f>
        <v/>
      </c>
      <c r="O282" s="59" t="n"/>
      <c r="P282" s="59" t="n"/>
      <c r="Q282" s="59" t="n"/>
      <c r="R282" s="59" t="n"/>
      <c r="S282" s="14" t="n"/>
      <c r="U282" s="53" t="n"/>
      <c r="V282" s="53" t="n"/>
      <c r="W282" s="53" t="n"/>
      <c r="X282" s="53" t="n"/>
      <c r="Y282" s="53" t="n"/>
      <c r="Z282" s="53" t="n"/>
      <c r="AA282" s="53" t="n"/>
      <c r="AB282" s="53" t="n"/>
      <c r="AC282" s="53" t="n"/>
      <c r="AD282" s="53" t="n"/>
      <c r="AE282" s="53" t="n"/>
      <c r="AF282" s="53" t="n"/>
      <c r="AG282" s="53" t="n"/>
      <c r="AH282" s="53" t="n"/>
      <c r="AI282" s="53" t="n"/>
      <c r="AJ282" s="53" t="n"/>
      <c r="AK282" s="53" t="n"/>
      <c r="AL282" s="53" t="n"/>
      <c r="AM282" s="53" t="n"/>
      <c r="AN282" s="53" t="n"/>
      <c r="AO282" s="53" t="n"/>
      <c r="AP282" s="53" t="n"/>
      <c r="AQ282" s="53" t="n"/>
      <c r="AR282" s="53" t="n"/>
      <c r="AS282" s="53" t="n"/>
      <c r="AT282" s="53" t="n"/>
      <c r="AU282" s="53" t="n"/>
      <c r="AV282" s="53" t="n"/>
      <c r="AW282" s="53" t="n"/>
      <c r="AX282" s="53" t="n"/>
      <c r="AY282" s="53" t="n"/>
    </row>
    <row r="283" ht="15" customHeight="1">
      <c r="A283" s="40">
        <f>IF($D$283="","",91)</f>
        <v/>
      </c>
      <c r="B283" s="10" t="n"/>
      <c r="C283" s="41" t="inlineStr">
        <is>
          <t>기타</t>
        </is>
      </c>
      <c r="D283" s="42" t="n"/>
      <c r="E283" s="43" t="inlineStr">
        <is>
          <t>기획</t>
        </is>
      </c>
      <c r="F283" s="44" t="n"/>
      <c r="G283" s="45" t="n"/>
      <c r="H283" s="46">
        <f>IF($I$283="","",IF($I$283&lt;0,"🔴지연",IF($I$283&lt;=1,"🟡임박","🟢여유")))</f>
        <v/>
      </c>
      <c r="I283" s="47">
        <f>IF(OR($G$283="",$K$283=""),"",$G$283-$K$283)</f>
        <v/>
      </c>
      <c r="J283" s="48">
        <f>IF(SUM($L$283:$L$285)=0,"",SUM($L$283:$L$285))</f>
        <v/>
      </c>
      <c r="K283" s="49">
        <f>IF($J$283="","",MAX($N$283:$N$285))</f>
        <v/>
      </c>
      <c r="L283" s="50">
        <f>IF(SUM(U283:AY283)=0,"",SUM(U283:AY283))</f>
        <v/>
      </c>
      <c r="M283" s="51">
        <f>IFERROR(INDEX(U$2:AY$2,MATCH(TRUE,INDEX(U283:AY283&lt;&gt;"",0),0)),"")</f>
        <v/>
      </c>
      <c r="N283" s="51">
        <f>IFERROR(LOOKUP(2,1/(U283:AY283&lt;&gt;""),U$2:AY$2),"")</f>
        <v/>
      </c>
      <c r="O283" s="52" t="n"/>
      <c r="P283" s="52" t="n"/>
      <c r="Q283" s="52" t="n"/>
      <c r="R283" s="44" t="n"/>
      <c r="S283" s="14" t="n"/>
      <c r="U283" s="53" t="n"/>
      <c r="V283" s="53" t="n"/>
      <c r="W283" s="53" t="n"/>
      <c r="X283" s="53" t="n"/>
      <c r="Y283" s="53" t="n"/>
      <c r="Z283" s="53" t="n"/>
      <c r="AA283" s="53" t="n"/>
      <c r="AB283" s="53" t="n"/>
      <c r="AC283" s="53" t="n"/>
      <c r="AD283" s="53" t="n"/>
      <c r="AE283" s="53" t="n"/>
      <c r="AF283" s="53" t="n"/>
      <c r="AG283" s="53" t="n"/>
      <c r="AH283" s="53" t="n"/>
      <c r="AI283" s="53" t="n"/>
      <c r="AJ283" s="53" t="n"/>
      <c r="AK283" s="53" t="n"/>
      <c r="AL283" s="53" t="n"/>
      <c r="AM283" s="53" t="n"/>
      <c r="AN283" s="53" t="n"/>
      <c r="AO283" s="53" t="n"/>
      <c r="AP283" s="53" t="n"/>
      <c r="AQ283" s="53" t="n"/>
      <c r="AR283" s="53" t="n"/>
      <c r="AS283" s="53" t="n"/>
      <c r="AT283" s="53" t="n"/>
      <c r="AU283" s="53" t="n"/>
      <c r="AV283" s="53" t="n"/>
      <c r="AW283" s="53" t="n"/>
      <c r="AX283" s="53" t="n"/>
      <c r="AY283" s="53" t="n"/>
    </row>
    <row r="284" ht="15" customHeight="1">
      <c r="A284" s="54" t="n"/>
      <c r="B284" s="55">
        <f>IF($B$283="","",$B$283)</f>
        <v/>
      </c>
      <c r="C284" s="56" t="inlineStr">
        <is>
          <t>기타</t>
        </is>
      </c>
      <c r="D284" s="55">
        <f>IF($D$283="","",$D$283)</f>
        <v/>
      </c>
      <c r="E284" s="57" t="inlineStr">
        <is>
          <t>이미지</t>
        </is>
      </c>
      <c r="F284" s="44" t="n"/>
      <c r="G284" s="58">
        <f>IF($G$283="","",$G$283)</f>
        <v/>
      </c>
      <c r="H284" s="59" t="n"/>
      <c r="I284" s="59" t="n"/>
      <c r="J284" s="59" t="n"/>
      <c r="K284" s="59" t="n"/>
      <c r="L284" s="60">
        <f>IF(SUM(U284:AY284)=0,"",SUM(U284:AY284))</f>
        <v/>
      </c>
      <c r="M284" s="61">
        <f>IFERROR(INDEX(U$2:AY$2,MATCH(TRUE,INDEX(U284:AY284&lt;&gt;"",0),0)),"")</f>
        <v/>
      </c>
      <c r="N284" s="61">
        <f>IFERROR(LOOKUP(2,1/(U284:AY284&lt;&gt;""),U$2:AY$2),"")</f>
        <v/>
      </c>
      <c r="O284" s="59" t="n"/>
      <c r="P284" s="59" t="n"/>
      <c r="Q284" s="59" t="n"/>
      <c r="R284" s="59" t="n"/>
      <c r="S284" s="14" t="n"/>
      <c r="U284" s="53" t="n"/>
      <c r="V284" s="53" t="n"/>
      <c r="W284" s="53" t="n"/>
      <c r="X284" s="53" t="n"/>
      <c r="Y284" s="53" t="n"/>
      <c r="Z284" s="53" t="n"/>
      <c r="AA284" s="53" t="n"/>
      <c r="AB284" s="53" t="n"/>
      <c r="AC284" s="53" t="n"/>
      <c r="AD284" s="53" t="n"/>
      <c r="AE284" s="53" t="n"/>
      <c r="AF284" s="53" t="n"/>
      <c r="AG284" s="53" t="n"/>
      <c r="AH284" s="53" t="n"/>
      <c r="AI284" s="53" t="n"/>
      <c r="AJ284" s="53" t="n"/>
      <c r="AK284" s="53" t="n"/>
      <c r="AL284" s="53" t="n"/>
      <c r="AM284" s="53" t="n"/>
      <c r="AN284" s="53" t="n"/>
      <c r="AO284" s="53" t="n"/>
      <c r="AP284" s="53" t="n"/>
      <c r="AQ284" s="53" t="n"/>
      <c r="AR284" s="53" t="n"/>
      <c r="AS284" s="53" t="n"/>
      <c r="AT284" s="53" t="n"/>
      <c r="AU284" s="53" t="n"/>
      <c r="AV284" s="53" t="n"/>
      <c r="AW284" s="53" t="n"/>
      <c r="AX284" s="53" t="n"/>
      <c r="AY284" s="53" t="n"/>
    </row>
    <row r="285" ht="15" customHeight="1">
      <c r="A285" s="62" t="n"/>
      <c r="B285" s="55">
        <f>IF($B$283="","",$B$283)</f>
        <v/>
      </c>
      <c r="C285" s="63" t="inlineStr">
        <is>
          <t>기타</t>
        </is>
      </c>
      <c r="D285" s="55">
        <f>IF($D$283="","",$D$283)</f>
        <v/>
      </c>
      <c r="E285" s="64" t="inlineStr">
        <is>
          <t>영상</t>
        </is>
      </c>
      <c r="F285" s="44" t="n"/>
      <c r="G285" s="58">
        <f>IF($G$283="","",$G$283)</f>
        <v/>
      </c>
      <c r="H285" s="59" t="n"/>
      <c r="I285" s="59" t="n"/>
      <c r="J285" s="59" t="n"/>
      <c r="K285" s="59" t="n"/>
      <c r="L285" s="65">
        <f>IF(SUM(U285:AY285)=0,"",SUM(U285:AY285))</f>
        <v/>
      </c>
      <c r="M285" s="66">
        <f>IFERROR(INDEX(U$2:AY$2,MATCH(TRUE,INDEX(U285:AY285&lt;&gt;"",0),0)),"")</f>
        <v/>
      </c>
      <c r="N285" s="66">
        <f>IFERROR(LOOKUP(2,1/(U285:AY285&lt;&gt;""),U$2:AY$2),"")</f>
        <v/>
      </c>
      <c r="O285" s="59" t="n"/>
      <c r="P285" s="59" t="n"/>
      <c r="Q285" s="59" t="n"/>
      <c r="R285" s="59" t="n"/>
      <c r="S285" s="14" t="n"/>
      <c r="U285" s="53" t="n"/>
      <c r="V285" s="53" t="n"/>
      <c r="W285" s="53" t="n"/>
      <c r="X285" s="53" t="n"/>
      <c r="Y285" s="53" t="n"/>
      <c r="Z285" s="53" t="n"/>
      <c r="AA285" s="53" t="n"/>
      <c r="AB285" s="53" t="n"/>
      <c r="AC285" s="53" t="n"/>
      <c r="AD285" s="53" t="n"/>
      <c r="AE285" s="53" t="n"/>
      <c r="AF285" s="53" t="n"/>
      <c r="AG285" s="53" t="n"/>
      <c r="AH285" s="53" t="n"/>
      <c r="AI285" s="53" t="n"/>
      <c r="AJ285" s="53" t="n"/>
      <c r="AK285" s="53" t="n"/>
      <c r="AL285" s="53" t="n"/>
      <c r="AM285" s="53" t="n"/>
      <c r="AN285" s="53" t="n"/>
      <c r="AO285" s="53" t="n"/>
      <c r="AP285" s="53" t="n"/>
      <c r="AQ285" s="53" t="n"/>
      <c r="AR285" s="53" t="n"/>
      <c r="AS285" s="53" t="n"/>
      <c r="AT285" s="53" t="n"/>
      <c r="AU285" s="53" t="n"/>
      <c r="AV285" s="53" t="n"/>
      <c r="AW285" s="53" t="n"/>
      <c r="AX285" s="53" t="n"/>
      <c r="AY285" s="53" t="n"/>
    </row>
    <row r="286" ht="15" customHeight="1">
      <c r="A286" s="40">
        <f>IF($D$286="","",92)</f>
        <v/>
      </c>
      <c r="B286" s="10" t="n"/>
      <c r="C286" s="41" t="inlineStr">
        <is>
          <t>기타</t>
        </is>
      </c>
      <c r="D286" s="42" t="n"/>
      <c r="E286" s="43" t="inlineStr">
        <is>
          <t>기획</t>
        </is>
      </c>
      <c r="F286" s="44" t="n"/>
      <c r="G286" s="45" t="n"/>
      <c r="H286" s="46">
        <f>IF($I$286="","",IF($I$286&lt;0,"🔴지연",IF($I$286&lt;=1,"🟡임박","🟢여유")))</f>
        <v/>
      </c>
      <c r="I286" s="47">
        <f>IF(OR($G$286="",$K$286=""),"",$G$286-$K$286)</f>
        <v/>
      </c>
      <c r="J286" s="48">
        <f>IF(SUM($L$286:$L$288)=0,"",SUM($L$286:$L$288))</f>
        <v/>
      </c>
      <c r="K286" s="49">
        <f>IF($J$286="","",MAX($N$286:$N$288))</f>
        <v/>
      </c>
      <c r="L286" s="50">
        <f>IF(SUM(U286:AY286)=0,"",SUM(U286:AY286))</f>
        <v/>
      </c>
      <c r="M286" s="51">
        <f>IFERROR(INDEX(U$2:AY$2,MATCH(TRUE,INDEX(U286:AY286&lt;&gt;"",0),0)),"")</f>
        <v/>
      </c>
      <c r="N286" s="51">
        <f>IFERROR(LOOKUP(2,1/(U286:AY286&lt;&gt;""),U$2:AY$2),"")</f>
        <v/>
      </c>
      <c r="O286" s="52" t="n"/>
      <c r="P286" s="52" t="n"/>
      <c r="Q286" s="52" t="n"/>
      <c r="R286" s="44" t="n"/>
      <c r="S286" s="14" t="n"/>
      <c r="U286" s="53" t="n"/>
      <c r="V286" s="53" t="n"/>
      <c r="W286" s="53" t="n"/>
      <c r="X286" s="53" t="n"/>
      <c r="Y286" s="53" t="n"/>
      <c r="Z286" s="53" t="n"/>
      <c r="AA286" s="53" t="n"/>
      <c r="AB286" s="53" t="n"/>
      <c r="AC286" s="53" t="n"/>
      <c r="AD286" s="53" t="n"/>
      <c r="AE286" s="53" t="n"/>
      <c r="AF286" s="53" t="n"/>
      <c r="AG286" s="53" t="n"/>
      <c r="AH286" s="53" t="n"/>
      <c r="AI286" s="53" t="n"/>
      <c r="AJ286" s="53" t="n"/>
      <c r="AK286" s="53" t="n"/>
      <c r="AL286" s="53" t="n"/>
      <c r="AM286" s="53" t="n"/>
      <c r="AN286" s="53" t="n"/>
      <c r="AO286" s="53" t="n"/>
      <c r="AP286" s="53" t="n"/>
      <c r="AQ286" s="53" t="n"/>
      <c r="AR286" s="53" t="n"/>
      <c r="AS286" s="53" t="n"/>
      <c r="AT286" s="53" t="n"/>
      <c r="AU286" s="53" t="n"/>
      <c r="AV286" s="53" t="n"/>
      <c r="AW286" s="53" t="n"/>
      <c r="AX286" s="53" t="n"/>
      <c r="AY286" s="53" t="n"/>
    </row>
    <row r="287" ht="15" customHeight="1">
      <c r="A287" s="54" t="n"/>
      <c r="B287" s="55">
        <f>IF($B$286="","",$B$286)</f>
        <v/>
      </c>
      <c r="C287" s="56" t="inlineStr">
        <is>
          <t>기타</t>
        </is>
      </c>
      <c r="D287" s="55">
        <f>IF($D$286="","",$D$286)</f>
        <v/>
      </c>
      <c r="E287" s="57" t="inlineStr">
        <is>
          <t>이미지</t>
        </is>
      </c>
      <c r="F287" s="44" t="n"/>
      <c r="G287" s="58">
        <f>IF($G$286="","",$G$286)</f>
        <v/>
      </c>
      <c r="H287" s="59" t="n"/>
      <c r="I287" s="59" t="n"/>
      <c r="J287" s="59" t="n"/>
      <c r="K287" s="59" t="n"/>
      <c r="L287" s="60">
        <f>IF(SUM(U287:AY287)=0,"",SUM(U287:AY287))</f>
        <v/>
      </c>
      <c r="M287" s="61">
        <f>IFERROR(INDEX(U$2:AY$2,MATCH(TRUE,INDEX(U287:AY287&lt;&gt;"",0),0)),"")</f>
        <v/>
      </c>
      <c r="N287" s="61">
        <f>IFERROR(LOOKUP(2,1/(U287:AY287&lt;&gt;""),U$2:AY$2),"")</f>
        <v/>
      </c>
      <c r="O287" s="59" t="n"/>
      <c r="P287" s="59" t="n"/>
      <c r="Q287" s="59" t="n"/>
      <c r="R287" s="59" t="n"/>
      <c r="S287" s="14" t="n"/>
      <c r="U287" s="53" t="n"/>
      <c r="V287" s="53" t="n"/>
      <c r="W287" s="53" t="n"/>
      <c r="X287" s="53" t="n"/>
      <c r="Y287" s="53" t="n"/>
      <c r="Z287" s="53" t="n"/>
      <c r="AA287" s="53" t="n"/>
      <c r="AB287" s="53" t="n"/>
      <c r="AC287" s="53" t="n"/>
      <c r="AD287" s="53" t="n"/>
      <c r="AE287" s="53" t="n"/>
      <c r="AF287" s="53" t="n"/>
      <c r="AG287" s="53" t="n"/>
      <c r="AH287" s="53" t="n"/>
      <c r="AI287" s="53" t="n"/>
      <c r="AJ287" s="53" t="n"/>
      <c r="AK287" s="53" t="n"/>
      <c r="AL287" s="53" t="n"/>
      <c r="AM287" s="53" t="n"/>
      <c r="AN287" s="53" t="n"/>
      <c r="AO287" s="53" t="n"/>
      <c r="AP287" s="53" t="n"/>
      <c r="AQ287" s="53" t="n"/>
      <c r="AR287" s="53" t="n"/>
      <c r="AS287" s="53" t="n"/>
      <c r="AT287" s="53" t="n"/>
      <c r="AU287" s="53" t="n"/>
      <c r="AV287" s="53" t="n"/>
      <c r="AW287" s="53" t="n"/>
      <c r="AX287" s="53" t="n"/>
      <c r="AY287" s="53" t="n"/>
    </row>
    <row r="288" ht="15" customHeight="1">
      <c r="A288" s="62" t="n"/>
      <c r="B288" s="55">
        <f>IF($B$286="","",$B$286)</f>
        <v/>
      </c>
      <c r="C288" s="63" t="inlineStr">
        <is>
          <t>기타</t>
        </is>
      </c>
      <c r="D288" s="55">
        <f>IF($D$286="","",$D$286)</f>
        <v/>
      </c>
      <c r="E288" s="64" t="inlineStr">
        <is>
          <t>영상</t>
        </is>
      </c>
      <c r="F288" s="44" t="n"/>
      <c r="G288" s="58">
        <f>IF($G$286="","",$G$286)</f>
        <v/>
      </c>
      <c r="H288" s="59" t="n"/>
      <c r="I288" s="59" t="n"/>
      <c r="J288" s="59" t="n"/>
      <c r="K288" s="59" t="n"/>
      <c r="L288" s="65">
        <f>IF(SUM(U288:AY288)=0,"",SUM(U288:AY288))</f>
        <v/>
      </c>
      <c r="M288" s="66">
        <f>IFERROR(INDEX(U$2:AY$2,MATCH(TRUE,INDEX(U288:AY288&lt;&gt;"",0),0)),"")</f>
        <v/>
      </c>
      <c r="N288" s="66">
        <f>IFERROR(LOOKUP(2,1/(U288:AY288&lt;&gt;""),U$2:AY$2),"")</f>
        <v/>
      </c>
      <c r="O288" s="59" t="n"/>
      <c r="P288" s="59" t="n"/>
      <c r="Q288" s="59" t="n"/>
      <c r="R288" s="59" t="n"/>
      <c r="S288" s="14" t="n"/>
      <c r="U288" s="53" t="n"/>
      <c r="V288" s="53" t="n"/>
      <c r="W288" s="53" t="n"/>
      <c r="X288" s="53" t="n"/>
      <c r="Y288" s="53" t="n"/>
      <c r="Z288" s="53" t="n"/>
      <c r="AA288" s="53" t="n"/>
      <c r="AB288" s="53" t="n"/>
      <c r="AC288" s="53" t="n"/>
      <c r="AD288" s="53" t="n"/>
      <c r="AE288" s="53" t="n"/>
      <c r="AF288" s="53" t="n"/>
      <c r="AG288" s="53" t="n"/>
      <c r="AH288" s="53" t="n"/>
      <c r="AI288" s="53" t="n"/>
      <c r="AJ288" s="53" t="n"/>
      <c r="AK288" s="53" t="n"/>
      <c r="AL288" s="53" t="n"/>
      <c r="AM288" s="53" t="n"/>
      <c r="AN288" s="53" t="n"/>
      <c r="AO288" s="53" t="n"/>
      <c r="AP288" s="53" t="n"/>
      <c r="AQ288" s="53" t="n"/>
      <c r="AR288" s="53" t="n"/>
      <c r="AS288" s="53" t="n"/>
      <c r="AT288" s="53" t="n"/>
      <c r="AU288" s="53" t="n"/>
      <c r="AV288" s="53" t="n"/>
      <c r="AW288" s="53" t="n"/>
      <c r="AX288" s="53" t="n"/>
      <c r="AY288" s="53" t="n"/>
    </row>
    <row r="289" ht="15" customHeight="1">
      <c r="A289" s="40">
        <f>IF($D$289="","",93)</f>
        <v/>
      </c>
      <c r="B289" s="10" t="n"/>
      <c r="C289" s="41" t="inlineStr">
        <is>
          <t>기타</t>
        </is>
      </c>
      <c r="D289" s="42" t="n"/>
      <c r="E289" s="43" t="inlineStr">
        <is>
          <t>기획</t>
        </is>
      </c>
      <c r="F289" s="44" t="n"/>
      <c r="G289" s="45" t="n"/>
      <c r="H289" s="46">
        <f>IF($I$289="","",IF($I$289&lt;0,"🔴지연",IF($I$289&lt;=1,"🟡임박","🟢여유")))</f>
        <v/>
      </c>
      <c r="I289" s="47">
        <f>IF(OR($G$289="",$K$289=""),"",$G$289-$K$289)</f>
        <v/>
      </c>
      <c r="J289" s="48">
        <f>IF(SUM($L$289:$L$291)=0,"",SUM($L$289:$L$291))</f>
        <v/>
      </c>
      <c r="K289" s="49">
        <f>IF($J$289="","",MAX($N$289:$N$291))</f>
        <v/>
      </c>
      <c r="L289" s="50">
        <f>IF(SUM(U289:AY289)=0,"",SUM(U289:AY289))</f>
        <v/>
      </c>
      <c r="M289" s="51">
        <f>IFERROR(INDEX(U$2:AY$2,MATCH(TRUE,INDEX(U289:AY289&lt;&gt;"",0),0)),"")</f>
        <v/>
      </c>
      <c r="N289" s="51">
        <f>IFERROR(LOOKUP(2,1/(U289:AY289&lt;&gt;""),U$2:AY$2),"")</f>
        <v/>
      </c>
      <c r="O289" s="52" t="n"/>
      <c r="P289" s="52" t="n"/>
      <c r="Q289" s="52" t="n"/>
      <c r="R289" s="44" t="n"/>
      <c r="S289" s="14" t="n"/>
      <c r="U289" s="53" t="n"/>
      <c r="V289" s="53" t="n"/>
      <c r="W289" s="53" t="n"/>
      <c r="X289" s="53" t="n"/>
      <c r="Y289" s="53" t="n"/>
      <c r="Z289" s="53" t="n"/>
      <c r="AA289" s="53" t="n"/>
      <c r="AB289" s="53" t="n"/>
      <c r="AC289" s="53" t="n"/>
      <c r="AD289" s="53" t="n"/>
      <c r="AE289" s="53" t="n"/>
      <c r="AF289" s="53" t="n"/>
      <c r="AG289" s="53" t="n"/>
      <c r="AH289" s="53" t="n"/>
      <c r="AI289" s="53" t="n"/>
      <c r="AJ289" s="53" t="n"/>
      <c r="AK289" s="53" t="n"/>
      <c r="AL289" s="53" t="n"/>
      <c r="AM289" s="53" t="n"/>
      <c r="AN289" s="53" t="n"/>
      <c r="AO289" s="53" t="n"/>
      <c r="AP289" s="53" t="n"/>
      <c r="AQ289" s="53" t="n"/>
      <c r="AR289" s="53" t="n"/>
      <c r="AS289" s="53" t="n"/>
      <c r="AT289" s="53" t="n"/>
      <c r="AU289" s="53" t="n"/>
      <c r="AV289" s="53" t="n"/>
      <c r="AW289" s="53" t="n"/>
      <c r="AX289" s="53" t="n"/>
      <c r="AY289" s="53" t="n"/>
    </row>
    <row r="290" ht="15" customHeight="1">
      <c r="A290" s="54" t="n"/>
      <c r="B290" s="55">
        <f>IF($B$289="","",$B$289)</f>
        <v/>
      </c>
      <c r="C290" s="56" t="inlineStr">
        <is>
          <t>기타</t>
        </is>
      </c>
      <c r="D290" s="55">
        <f>IF($D$289="","",$D$289)</f>
        <v/>
      </c>
      <c r="E290" s="57" t="inlineStr">
        <is>
          <t>이미지</t>
        </is>
      </c>
      <c r="F290" s="44" t="n"/>
      <c r="G290" s="58">
        <f>IF($G$289="","",$G$289)</f>
        <v/>
      </c>
      <c r="H290" s="59" t="n"/>
      <c r="I290" s="59" t="n"/>
      <c r="J290" s="59" t="n"/>
      <c r="K290" s="59" t="n"/>
      <c r="L290" s="60">
        <f>IF(SUM(U290:AY290)=0,"",SUM(U290:AY290))</f>
        <v/>
      </c>
      <c r="M290" s="61">
        <f>IFERROR(INDEX(U$2:AY$2,MATCH(TRUE,INDEX(U290:AY290&lt;&gt;"",0),0)),"")</f>
        <v/>
      </c>
      <c r="N290" s="61">
        <f>IFERROR(LOOKUP(2,1/(U290:AY290&lt;&gt;""),U$2:AY$2),"")</f>
        <v/>
      </c>
      <c r="O290" s="59" t="n"/>
      <c r="P290" s="59" t="n"/>
      <c r="Q290" s="59" t="n"/>
      <c r="R290" s="59" t="n"/>
      <c r="S290" s="14" t="n"/>
      <c r="U290" s="53" t="n"/>
      <c r="V290" s="53" t="n"/>
      <c r="W290" s="53" t="n"/>
      <c r="X290" s="53" t="n"/>
      <c r="Y290" s="53" t="n"/>
      <c r="Z290" s="53" t="n"/>
      <c r="AA290" s="53" t="n"/>
      <c r="AB290" s="53" t="n"/>
      <c r="AC290" s="53" t="n"/>
      <c r="AD290" s="53" t="n"/>
      <c r="AE290" s="53" t="n"/>
      <c r="AF290" s="53" t="n"/>
      <c r="AG290" s="53" t="n"/>
      <c r="AH290" s="53" t="n"/>
      <c r="AI290" s="53" t="n"/>
      <c r="AJ290" s="53" t="n"/>
      <c r="AK290" s="53" t="n"/>
      <c r="AL290" s="53" t="n"/>
      <c r="AM290" s="53" t="n"/>
      <c r="AN290" s="53" t="n"/>
      <c r="AO290" s="53" t="n"/>
      <c r="AP290" s="53" t="n"/>
      <c r="AQ290" s="53" t="n"/>
      <c r="AR290" s="53" t="n"/>
      <c r="AS290" s="53" t="n"/>
      <c r="AT290" s="53" t="n"/>
      <c r="AU290" s="53" t="n"/>
      <c r="AV290" s="53" t="n"/>
      <c r="AW290" s="53" t="n"/>
      <c r="AX290" s="53" t="n"/>
      <c r="AY290" s="53" t="n"/>
    </row>
    <row r="291" ht="15" customHeight="1">
      <c r="A291" s="62" t="n"/>
      <c r="B291" s="55">
        <f>IF($B$289="","",$B$289)</f>
        <v/>
      </c>
      <c r="C291" s="63" t="inlineStr">
        <is>
          <t>기타</t>
        </is>
      </c>
      <c r="D291" s="55">
        <f>IF($D$289="","",$D$289)</f>
        <v/>
      </c>
      <c r="E291" s="64" t="inlineStr">
        <is>
          <t>영상</t>
        </is>
      </c>
      <c r="F291" s="44" t="n"/>
      <c r="G291" s="58">
        <f>IF($G$289="","",$G$289)</f>
        <v/>
      </c>
      <c r="H291" s="59" t="n"/>
      <c r="I291" s="59" t="n"/>
      <c r="J291" s="59" t="n"/>
      <c r="K291" s="59" t="n"/>
      <c r="L291" s="65">
        <f>IF(SUM(U291:AY291)=0,"",SUM(U291:AY291))</f>
        <v/>
      </c>
      <c r="M291" s="66">
        <f>IFERROR(INDEX(U$2:AY$2,MATCH(TRUE,INDEX(U291:AY291&lt;&gt;"",0),0)),"")</f>
        <v/>
      </c>
      <c r="N291" s="66">
        <f>IFERROR(LOOKUP(2,1/(U291:AY291&lt;&gt;""),U$2:AY$2),"")</f>
        <v/>
      </c>
      <c r="O291" s="59" t="n"/>
      <c r="P291" s="59" t="n"/>
      <c r="Q291" s="59" t="n"/>
      <c r="R291" s="59" t="n"/>
      <c r="S291" s="14" t="n"/>
      <c r="U291" s="53" t="n"/>
      <c r="V291" s="53" t="n"/>
      <c r="W291" s="53" t="n"/>
      <c r="X291" s="53" t="n"/>
      <c r="Y291" s="53" t="n"/>
      <c r="Z291" s="53" t="n"/>
      <c r="AA291" s="53" t="n"/>
      <c r="AB291" s="53" t="n"/>
      <c r="AC291" s="53" t="n"/>
      <c r="AD291" s="53" t="n"/>
      <c r="AE291" s="53" t="n"/>
      <c r="AF291" s="53" t="n"/>
      <c r="AG291" s="53" t="n"/>
      <c r="AH291" s="53" t="n"/>
      <c r="AI291" s="53" t="n"/>
      <c r="AJ291" s="53" t="n"/>
      <c r="AK291" s="53" t="n"/>
      <c r="AL291" s="53" t="n"/>
      <c r="AM291" s="53" t="n"/>
      <c r="AN291" s="53" t="n"/>
      <c r="AO291" s="53" t="n"/>
      <c r="AP291" s="53" t="n"/>
      <c r="AQ291" s="53" t="n"/>
      <c r="AR291" s="53" t="n"/>
      <c r="AS291" s="53" t="n"/>
      <c r="AT291" s="53" t="n"/>
      <c r="AU291" s="53" t="n"/>
      <c r="AV291" s="53" t="n"/>
      <c r="AW291" s="53" t="n"/>
      <c r="AX291" s="53" t="n"/>
      <c r="AY291" s="53" t="n"/>
    </row>
    <row r="292" ht="15" customHeight="1">
      <c r="A292" s="40">
        <f>IF($D$292="","",94)</f>
        <v/>
      </c>
      <c r="B292" s="10" t="n"/>
      <c r="C292" s="41" t="inlineStr">
        <is>
          <t>기타</t>
        </is>
      </c>
      <c r="D292" s="42" t="n"/>
      <c r="E292" s="43" t="inlineStr">
        <is>
          <t>기획</t>
        </is>
      </c>
      <c r="F292" s="44" t="n"/>
      <c r="G292" s="45" t="n"/>
      <c r="H292" s="46">
        <f>IF($I$292="","",IF($I$292&lt;0,"🔴지연",IF($I$292&lt;=1,"🟡임박","🟢여유")))</f>
        <v/>
      </c>
      <c r="I292" s="47">
        <f>IF(OR($G$292="",$K$292=""),"",$G$292-$K$292)</f>
        <v/>
      </c>
      <c r="J292" s="48">
        <f>IF(SUM($L$292:$L$294)=0,"",SUM($L$292:$L$294))</f>
        <v/>
      </c>
      <c r="K292" s="49">
        <f>IF($J$292="","",MAX($N$292:$N$294))</f>
        <v/>
      </c>
      <c r="L292" s="50">
        <f>IF(SUM(U292:AY292)=0,"",SUM(U292:AY292))</f>
        <v/>
      </c>
      <c r="M292" s="51">
        <f>IFERROR(INDEX(U$2:AY$2,MATCH(TRUE,INDEX(U292:AY292&lt;&gt;"",0),0)),"")</f>
        <v/>
      </c>
      <c r="N292" s="51">
        <f>IFERROR(LOOKUP(2,1/(U292:AY292&lt;&gt;""),U$2:AY$2),"")</f>
        <v/>
      </c>
      <c r="O292" s="52" t="n"/>
      <c r="P292" s="52" t="n"/>
      <c r="Q292" s="52" t="n"/>
      <c r="R292" s="44" t="n"/>
      <c r="S292" s="14" t="n"/>
      <c r="U292" s="53" t="n"/>
      <c r="V292" s="53" t="n"/>
      <c r="W292" s="53" t="n"/>
      <c r="X292" s="53" t="n"/>
      <c r="Y292" s="53" t="n"/>
      <c r="Z292" s="53" t="n"/>
      <c r="AA292" s="53" t="n"/>
      <c r="AB292" s="53" t="n"/>
      <c r="AC292" s="53" t="n"/>
      <c r="AD292" s="53" t="n"/>
      <c r="AE292" s="53" t="n"/>
      <c r="AF292" s="53" t="n"/>
      <c r="AG292" s="53" t="n"/>
      <c r="AH292" s="53" t="n"/>
      <c r="AI292" s="53" t="n"/>
      <c r="AJ292" s="53" t="n"/>
      <c r="AK292" s="53" t="n"/>
      <c r="AL292" s="53" t="n"/>
      <c r="AM292" s="53" t="n"/>
      <c r="AN292" s="53" t="n"/>
      <c r="AO292" s="53" t="n"/>
      <c r="AP292" s="53" t="n"/>
      <c r="AQ292" s="53" t="n"/>
      <c r="AR292" s="53" t="n"/>
      <c r="AS292" s="53" t="n"/>
      <c r="AT292" s="53" t="n"/>
      <c r="AU292" s="53" t="n"/>
      <c r="AV292" s="53" t="n"/>
      <c r="AW292" s="53" t="n"/>
      <c r="AX292" s="53" t="n"/>
      <c r="AY292" s="53" t="n"/>
    </row>
    <row r="293" ht="15" customHeight="1">
      <c r="A293" s="54" t="n"/>
      <c r="B293" s="55">
        <f>IF($B$292="","",$B$292)</f>
        <v/>
      </c>
      <c r="C293" s="56" t="inlineStr">
        <is>
          <t>기타</t>
        </is>
      </c>
      <c r="D293" s="55">
        <f>IF($D$292="","",$D$292)</f>
        <v/>
      </c>
      <c r="E293" s="57" t="inlineStr">
        <is>
          <t>이미지</t>
        </is>
      </c>
      <c r="F293" s="44" t="n"/>
      <c r="G293" s="58">
        <f>IF($G$292="","",$G$292)</f>
        <v/>
      </c>
      <c r="H293" s="59" t="n"/>
      <c r="I293" s="59" t="n"/>
      <c r="J293" s="59" t="n"/>
      <c r="K293" s="59" t="n"/>
      <c r="L293" s="60">
        <f>IF(SUM(U293:AY293)=0,"",SUM(U293:AY293))</f>
        <v/>
      </c>
      <c r="M293" s="61">
        <f>IFERROR(INDEX(U$2:AY$2,MATCH(TRUE,INDEX(U293:AY293&lt;&gt;"",0),0)),"")</f>
        <v/>
      </c>
      <c r="N293" s="61">
        <f>IFERROR(LOOKUP(2,1/(U293:AY293&lt;&gt;""),U$2:AY$2),"")</f>
        <v/>
      </c>
      <c r="O293" s="59" t="n"/>
      <c r="P293" s="59" t="n"/>
      <c r="Q293" s="59" t="n"/>
      <c r="R293" s="59" t="n"/>
      <c r="S293" s="14" t="n"/>
      <c r="U293" s="53" t="n"/>
      <c r="V293" s="53" t="n"/>
      <c r="W293" s="53" t="n"/>
      <c r="X293" s="53" t="n"/>
      <c r="Y293" s="53" t="n"/>
      <c r="Z293" s="53" t="n"/>
      <c r="AA293" s="53" t="n"/>
      <c r="AB293" s="53" t="n"/>
      <c r="AC293" s="53" t="n"/>
      <c r="AD293" s="53" t="n"/>
      <c r="AE293" s="53" t="n"/>
      <c r="AF293" s="53" t="n"/>
      <c r="AG293" s="53" t="n"/>
      <c r="AH293" s="53" t="n"/>
      <c r="AI293" s="53" t="n"/>
      <c r="AJ293" s="53" t="n"/>
      <c r="AK293" s="53" t="n"/>
      <c r="AL293" s="53" t="n"/>
      <c r="AM293" s="53" t="n"/>
      <c r="AN293" s="53" t="n"/>
      <c r="AO293" s="53" t="n"/>
      <c r="AP293" s="53" t="n"/>
      <c r="AQ293" s="53" t="n"/>
      <c r="AR293" s="53" t="n"/>
      <c r="AS293" s="53" t="n"/>
      <c r="AT293" s="53" t="n"/>
      <c r="AU293" s="53" t="n"/>
      <c r="AV293" s="53" t="n"/>
      <c r="AW293" s="53" t="n"/>
      <c r="AX293" s="53" t="n"/>
      <c r="AY293" s="53" t="n"/>
    </row>
    <row r="294" ht="15" customHeight="1">
      <c r="A294" s="62" t="n"/>
      <c r="B294" s="55">
        <f>IF($B$292="","",$B$292)</f>
        <v/>
      </c>
      <c r="C294" s="63" t="inlineStr">
        <is>
          <t>기타</t>
        </is>
      </c>
      <c r="D294" s="55">
        <f>IF($D$292="","",$D$292)</f>
        <v/>
      </c>
      <c r="E294" s="64" t="inlineStr">
        <is>
          <t>영상</t>
        </is>
      </c>
      <c r="F294" s="44" t="n"/>
      <c r="G294" s="58">
        <f>IF($G$292="","",$G$292)</f>
        <v/>
      </c>
      <c r="H294" s="59" t="n"/>
      <c r="I294" s="59" t="n"/>
      <c r="J294" s="59" t="n"/>
      <c r="K294" s="59" t="n"/>
      <c r="L294" s="65">
        <f>IF(SUM(U294:AY294)=0,"",SUM(U294:AY294))</f>
        <v/>
      </c>
      <c r="M294" s="66">
        <f>IFERROR(INDEX(U$2:AY$2,MATCH(TRUE,INDEX(U294:AY294&lt;&gt;"",0),0)),"")</f>
        <v/>
      </c>
      <c r="N294" s="66">
        <f>IFERROR(LOOKUP(2,1/(U294:AY294&lt;&gt;""),U$2:AY$2),"")</f>
        <v/>
      </c>
      <c r="O294" s="59" t="n"/>
      <c r="P294" s="59" t="n"/>
      <c r="Q294" s="59" t="n"/>
      <c r="R294" s="59" t="n"/>
      <c r="S294" s="14" t="n"/>
      <c r="U294" s="53" t="n"/>
      <c r="V294" s="53" t="n"/>
      <c r="W294" s="53" t="n"/>
      <c r="X294" s="53" t="n"/>
      <c r="Y294" s="53" t="n"/>
      <c r="Z294" s="53" t="n"/>
      <c r="AA294" s="53" t="n"/>
      <c r="AB294" s="53" t="n"/>
      <c r="AC294" s="53" t="n"/>
      <c r="AD294" s="53" t="n"/>
      <c r="AE294" s="53" t="n"/>
      <c r="AF294" s="53" t="n"/>
      <c r="AG294" s="53" t="n"/>
      <c r="AH294" s="53" t="n"/>
      <c r="AI294" s="53" t="n"/>
      <c r="AJ294" s="53" t="n"/>
      <c r="AK294" s="53" t="n"/>
      <c r="AL294" s="53" t="n"/>
      <c r="AM294" s="53" t="n"/>
      <c r="AN294" s="53" t="n"/>
      <c r="AO294" s="53" t="n"/>
      <c r="AP294" s="53" t="n"/>
      <c r="AQ294" s="53" t="n"/>
      <c r="AR294" s="53" t="n"/>
      <c r="AS294" s="53" t="n"/>
      <c r="AT294" s="53" t="n"/>
      <c r="AU294" s="53" t="n"/>
      <c r="AV294" s="53" t="n"/>
      <c r="AW294" s="53" t="n"/>
      <c r="AX294" s="53" t="n"/>
      <c r="AY294" s="53" t="n"/>
    </row>
    <row r="295" ht="15" customHeight="1">
      <c r="A295" s="40">
        <f>IF($D$295="","",95)</f>
        <v/>
      </c>
      <c r="B295" s="10" t="n"/>
      <c r="C295" s="41" t="inlineStr">
        <is>
          <t>기타</t>
        </is>
      </c>
      <c r="D295" s="42" t="n"/>
      <c r="E295" s="43" t="inlineStr">
        <is>
          <t>기획</t>
        </is>
      </c>
      <c r="F295" s="44" t="n"/>
      <c r="G295" s="45" t="n"/>
      <c r="H295" s="46">
        <f>IF($I$295="","",IF($I$295&lt;0,"🔴지연",IF($I$295&lt;=1,"🟡임박","🟢여유")))</f>
        <v/>
      </c>
      <c r="I295" s="47">
        <f>IF(OR($G$295="",$K$295=""),"",$G$295-$K$295)</f>
        <v/>
      </c>
      <c r="J295" s="48">
        <f>IF(SUM($L$295:$L$297)=0,"",SUM($L$295:$L$297))</f>
        <v/>
      </c>
      <c r="K295" s="49">
        <f>IF($J$295="","",MAX($N$295:$N$297))</f>
        <v/>
      </c>
      <c r="L295" s="50">
        <f>IF(SUM(U295:AY295)=0,"",SUM(U295:AY295))</f>
        <v/>
      </c>
      <c r="M295" s="51">
        <f>IFERROR(INDEX(U$2:AY$2,MATCH(TRUE,INDEX(U295:AY295&lt;&gt;"",0),0)),"")</f>
        <v/>
      </c>
      <c r="N295" s="51">
        <f>IFERROR(LOOKUP(2,1/(U295:AY295&lt;&gt;""),U$2:AY$2),"")</f>
        <v/>
      </c>
      <c r="O295" s="52" t="n"/>
      <c r="P295" s="52" t="n"/>
      <c r="Q295" s="52" t="n"/>
      <c r="R295" s="44" t="n"/>
      <c r="S295" s="14" t="n"/>
      <c r="U295" s="53" t="n"/>
      <c r="V295" s="53" t="n"/>
      <c r="W295" s="53" t="n"/>
      <c r="X295" s="53" t="n"/>
      <c r="Y295" s="53" t="n"/>
      <c r="Z295" s="53" t="n"/>
      <c r="AA295" s="53" t="n"/>
      <c r="AB295" s="53" t="n"/>
      <c r="AC295" s="53" t="n"/>
      <c r="AD295" s="53" t="n"/>
      <c r="AE295" s="53" t="n"/>
      <c r="AF295" s="53" t="n"/>
      <c r="AG295" s="53" t="n"/>
      <c r="AH295" s="53" t="n"/>
      <c r="AI295" s="53" t="n"/>
      <c r="AJ295" s="53" t="n"/>
      <c r="AK295" s="53" t="n"/>
      <c r="AL295" s="53" t="n"/>
      <c r="AM295" s="53" t="n"/>
      <c r="AN295" s="53" t="n"/>
      <c r="AO295" s="53" t="n"/>
      <c r="AP295" s="53" t="n"/>
      <c r="AQ295" s="53" t="n"/>
      <c r="AR295" s="53" t="n"/>
      <c r="AS295" s="53" t="n"/>
      <c r="AT295" s="53" t="n"/>
      <c r="AU295" s="53" t="n"/>
      <c r="AV295" s="53" t="n"/>
      <c r="AW295" s="53" t="n"/>
      <c r="AX295" s="53" t="n"/>
      <c r="AY295" s="53" t="n"/>
    </row>
    <row r="296" ht="15" customHeight="1">
      <c r="A296" s="54" t="n"/>
      <c r="B296" s="55">
        <f>IF($B$295="","",$B$295)</f>
        <v/>
      </c>
      <c r="C296" s="56" t="inlineStr">
        <is>
          <t>기타</t>
        </is>
      </c>
      <c r="D296" s="55">
        <f>IF($D$295="","",$D$295)</f>
        <v/>
      </c>
      <c r="E296" s="57" t="inlineStr">
        <is>
          <t>이미지</t>
        </is>
      </c>
      <c r="F296" s="44" t="n"/>
      <c r="G296" s="58">
        <f>IF($G$295="","",$G$295)</f>
        <v/>
      </c>
      <c r="H296" s="59" t="n"/>
      <c r="I296" s="59" t="n"/>
      <c r="J296" s="59" t="n"/>
      <c r="K296" s="59" t="n"/>
      <c r="L296" s="60">
        <f>IF(SUM(U296:AY296)=0,"",SUM(U296:AY296))</f>
        <v/>
      </c>
      <c r="M296" s="61">
        <f>IFERROR(INDEX(U$2:AY$2,MATCH(TRUE,INDEX(U296:AY296&lt;&gt;"",0),0)),"")</f>
        <v/>
      </c>
      <c r="N296" s="61">
        <f>IFERROR(LOOKUP(2,1/(U296:AY296&lt;&gt;""),U$2:AY$2),"")</f>
        <v/>
      </c>
      <c r="O296" s="59" t="n"/>
      <c r="P296" s="59" t="n"/>
      <c r="Q296" s="59" t="n"/>
      <c r="R296" s="59" t="n"/>
      <c r="S296" s="14" t="n"/>
      <c r="U296" s="53" t="n"/>
      <c r="V296" s="53" t="n"/>
      <c r="W296" s="53" t="n"/>
      <c r="X296" s="53" t="n"/>
      <c r="Y296" s="53" t="n"/>
      <c r="Z296" s="53" t="n"/>
      <c r="AA296" s="53" t="n"/>
      <c r="AB296" s="53" t="n"/>
      <c r="AC296" s="53" t="n"/>
      <c r="AD296" s="53" t="n"/>
      <c r="AE296" s="53" t="n"/>
      <c r="AF296" s="53" t="n"/>
      <c r="AG296" s="53" t="n"/>
      <c r="AH296" s="53" t="n"/>
      <c r="AI296" s="53" t="n"/>
      <c r="AJ296" s="53" t="n"/>
      <c r="AK296" s="53" t="n"/>
      <c r="AL296" s="53" t="n"/>
      <c r="AM296" s="53" t="n"/>
      <c r="AN296" s="53" t="n"/>
      <c r="AO296" s="53" t="n"/>
      <c r="AP296" s="53" t="n"/>
      <c r="AQ296" s="53" t="n"/>
      <c r="AR296" s="53" t="n"/>
      <c r="AS296" s="53" t="n"/>
      <c r="AT296" s="53" t="n"/>
      <c r="AU296" s="53" t="n"/>
      <c r="AV296" s="53" t="n"/>
      <c r="AW296" s="53" t="n"/>
      <c r="AX296" s="53" t="n"/>
      <c r="AY296" s="53" t="n"/>
    </row>
    <row r="297" ht="15" customHeight="1">
      <c r="A297" s="62" t="n"/>
      <c r="B297" s="55">
        <f>IF($B$295="","",$B$295)</f>
        <v/>
      </c>
      <c r="C297" s="63" t="inlineStr">
        <is>
          <t>기타</t>
        </is>
      </c>
      <c r="D297" s="55">
        <f>IF($D$295="","",$D$295)</f>
        <v/>
      </c>
      <c r="E297" s="64" t="inlineStr">
        <is>
          <t>영상</t>
        </is>
      </c>
      <c r="F297" s="44" t="n"/>
      <c r="G297" s="58">
        <f>IF($G$295="","",$G$295)</f>
        <v/>
      </c>
      <c r="H297" s="59" t="n"/>
      <c r="I297" s="59" t="n"/>
      <c r="J297" s="59" t="n"/>
      <c r="K297" s="59" t="n"/>
      <c r="L297" s="65">
        <f>IF(SUM(U297:AY297)=0,"",SUM(U297:AY297))</f>
        <v/>
      </c>
      <c r="M297" s="66">
        <f>IFERROR(INDEX(U$2:AY$2,MATCH(TRUE,INDEX(U297:AY297&lt;&gt;"",0),0)),"")</f>
        <v/>
      </c>
      <c r="N297" s="66">
        <f>IFERROR(LOOKUP(2,1/(U297:AY297&lt;&gt;""),U$2:AY$2),"")</f>
        <v/>
      </c>
      <c r="O297" s="59" t="n"/>
      <c r="P297" s="59" t="n"/>
      <c r="Q297" s="59" t="n"/>
      <c r="R297" s="59" t="n"/>
      <c r="S297" s="14" t="n"/>
      <c r="U297" s="53" t="n"/>
      <c r="V297" s="53" t="n"/>
      <c r="W297" s="53" t="n"/>
      <c r="X297" s="53" t="n"/>
      <c r="Y297" s="53" t="n"/>
      <c r="Z297" s="53" t="n"/>
      <c r="AA297" s="53" t="n"/>
      <c r="AB297" s="53" t="n"/>
      <c r="AC297" s="53" t="n"/>
      <c r="AD297" s="53" t="n"/>
      <c r="AE297" s="53" t="n"/>
      <c r="AF297" s="53" t="n"/>
      <c r="AG297" s="53" t="n"/>
      <c r="AH297" s="53" t="n"/>
      <c r="AI297" s="53" t="n"/>
      <c r="AJ297" s="53" t="n"/>
      <c r="AK297" s="53" t="n"/>
      <c r="AL297" s="53" t="n"/>
      <c r="AM297" s="53" t="n"/>
      <c r="AN297" s="53" t="n"/>
      <c r="AO297" s="53" t="n"/>
      <c r="AP297" s="53" t="n"/>
      <c r="AQ297" s="53" t="n"/>
      <c r="AR297" s="53" t="n"/>
      <c r="AS297" s="53" t="n"/>
      <c r="AT297" s="53" t="n"/>
      <c r="AU297" s="53" t="n"/>
      <c r="AV297" s="53" t="n"/>
      <c r="AW297" s="53" t="n"/>
      <c r="AX297" s="53" t="n"/>
      <c r="AY297" s="53" t="n"/>
    </row>
    <row r="298" ht="15" customHeight="1">
      <c r="A298" s="40">
        <f>IF($D$298="","",96)</f>
        <v/>
      </c>
      <c r="B298" s="10" t="n"/>
      <c r="C298" s="41" t="inlineStr">
        <is>
          <t>기타</t>
        </is>
      </c>
      <c r="D298" s="42" t="n"/>
      <c r="E298" s="43" t="inlineStr">
        <is>
          <t>기획</t>
        </is>
      </c>
      <c r="F298" s="44" t="n"/>
      <c r="G298" s="45" t="n"/>
      <c r="H298" s="46">
        <f>IF($I$298="","",IF($I$298&lt;0,"🔴지연",IF($I$298&lt;=1,"🟡임박","🟢여유")))</f>
        <v/>
      </c>
      <c r="I298" s="47">
        <f>IF(OR($G$298="",$K$298=""),"",$G$298-$K$298)</f>
        <v/>
      </c>
      <c r="J298" s="48">
        <f>IF(SUM($L$298:$L$300)=0,"",SUM($L$298:$L$300))</f>
        <v/>
      </c>
      <c r="K298" s="49">
        <f>IF($J$298="","",MAX($N$298:$N$300))</f>
        <v/>
      </c>
      <c r="L298" s="50">
        <f>IF(SUM(U298:AY298)=0,"",SUM(U298:AY298))</f>
        <v/>
      </c>
      <c r="M298" s="51">
        <f>IFERROR(INDEX(U$2:AY$2,MATCH(TRUE,INDEX(U298:AY298&lt;&gt;"",0),0)),"")</f>
        <v/>
      </c>
      <c r="N298" s="51">
        <f>IFERROR(LOOKUP(2,1/(U298:AY298&lt;&gt;""),U$2:AY$2),"")</f>
        <v/>
      </c>
      <c r="O298" s="52" t="n"/>
      <c r="P298" s="52" t="n"/>
      <c r="Q298" s="52" t="n"/>
      <c r="R298" s="44" t="n"/>
      <c r="S298" s="14" t="n"/>
      <c r="U298" s="53" t="n"/>
      <c r="V298" s="53" t="n"/>
      <c r="W298" s="53" t="n"/>
      <c r="X298" s="53" t="n"/>
      <c r="Y298" s="53" t="n"/>
      <c r="Z298" s="53" t="n"/>
      <c r="AA298" s="53" t="n"/>
      <c r="AB298" s="53" t="n"/>
      <c r="AC298" s="53" t="n"/>
      <c r="AD298" s="53" t="n"/>
      <c r="AE298" s="53" t="n"/>
      <c r="AF298" s="53" t="n"/>
      <c r="AG298" s="53" t="n"/>
      <c r="AH298" s="53" t="n"/>
      <c r="AI298" s="53" t="n"/>
      <c r="AJ298" s="53" t="n"/>
      <c r="AK298" s="53" t="n"/>
      <c r="AL298" s="53" t="n"/>
      <c r="AM298" s="53" t="n"/>
      <c r="AN298" s="53" t="n"/>
      <c r="AO298" s="53" t="n"/>
      <c r="AP298" s="53" t="n"/>
      <c r="AQ298" s="53" t="n"/>
      <c r="AR298" s="53" t="n"/>
      <c r="AS298" s="53" t="n"/>
      <c r="AT298" s="53" t="n"/>
      <c r="AU298" s="53" t="n"/>
      <c r="AV298" s="53" t="n"/>
      <c r="AW298" s="53" t="n"/>
      <c r="AX298" s="53" t="n"/>
      <c r="AY298" s="53" t="n"/>
    </row>
    <row r="299" ht="15" customHeight="1">
      <c r="A299" s="54" t="n"/>
      <c r="B299" s="55">
        <f>IF($B$298="","",$B$298)</f>
        <v/>
      </c>
      <c r="C299" s="56" t="inlineStr">
        <is>
          <t>기타</t>
        </is>
      </c>
      <c r="D299" s="55">
        <f>IF($D$298="","",$D$298)</f>
        <v/>
      </c>
      <c r="E299" s="57" t="inlineStr">
        <is>
          <t>이미지</t>
        </is>
      </c>
      <c r="F299" s="44" t="n"/>
      <c r="G299" s="58">
        <f>IF($G$298="","",$G$298)</f>
        <v/>
      </c>
      <c r="H299" s="59" t="n"/>
      <c r="I299" s="59" t="n"/>
      <c r="J299" s="59" t="n"/>
      <c r="K299" s="59" t="n"/>
      <c r="L299" s="60">
        <f>IF(SUM(U299:AY299)=0,"",SUM(U299:AY299))</f>
        <v/>
      </c>
      <c r="M299" s="61">
        <f>IFERROR(INDEX(U$2:AY$2,MATCH(TRUE,INDEX(U299:AY299&lt;&gt;"",0),0)),"")</f>
        <v/>
      </c>
      <c r="N299" s="61">
        <f>IFERROR(LOOKUP(2,1/(U299:AY299&lt;&gt;""),U$2:AY$2),"")</f>
        <v/>
      </c>
      <c r="O299" s="59" t="n"/>
      <c r="P299" s="59" t="n"/>
      <c r="Q299" s="59" t="n"/>
      <c r="R299" s="59" t="n"/>
      <c r="S299" s="14" t="n"/>
      <c r="U299" s="53" t="n"/>
      <c r="V299" s="53" t="n"/>
      <c r="W299" s="53" t="n"/>
      <c r="X299" s="53" t="n"/>
      <c r="Y299" s="53" t="n"/>
      <c r="Z299" s="53" t="n"/>
      <c r="AA299" s="53" t="n"/>
      <c r="AB299" s="53" t="n"/>
      <c r="AC299" s="53" t="n"/>
      <c r="AD299" s="53" t="n"/>
      <c r="AE299" s="53" t="n"/>
      <c r="AF299" s="53" t="n"/>
      <c r="AG299" s="53" t="n"/>
      <c r="AH299" s="53" t="n"/>
      <c r="AI299" s="53" t="n"/>
      <c r="AJ299" s="53" t="n"/>
      <c r="AK299" s="53" t="n"/>
      <c r="AL299" s="53" t="n"/>
      <c r="AM299" s="53" t="n"/>
      <c r="AN299" s="53" t="n"/>
      <c r="AO299" s="53" t="n"/>
      <c r="AP299" s="53" t="n"/>
      <c r="AQ299" s="53" t="n"/>
      <c r="AR299" s="53" t="n"/>
      <c r="AS299" s="53" t="n"/>
      <c r="AT299" s="53" t="n"/>
      <c r="AU299" s="53" t="n"/>
      <c r="AV299" s="53" t="n"/>
      <c r="AW299" s="53" t="n"/>
      <c r="AX299" s="53" t="n"/>
      <c r="AY299" s="53" t="n"/>
    </row>
    <row r="300" ht="15" customHeight="1">
      <c r="A300" s="62" t="n"/>
      <c r="B300" s="55">
        <f>IF($B$298="","",$B$298)</f>
        <v/>
      </c>
      <c r="C300" s="63" t="inlineStr">
        <is>
          <t>기타</t>
        </is>
      </c>
      <c r="D300" s="55">
        <f>IF($D$298="","",$D$298)</f>
        <v/>
      </c>
      <c r="E300" s="64" t="inlineStr">
        <is>
          <t>영상</t>
        </is>
      </c>
      <c r="F300" s="44" t="n"/>
      <c r="G300" s="58">
        <f>IF($G$298="","",$G$298)</f>
        <v/>
      </c>
      <c r="H300" s="59" t="n"/>
      <c r="I300" s="59" t="n"/>
      <c r="J300" s="59" t="n"/>
      <c r="K300" s="59" t="n"/>
      <c r="L300" s="65">
        <f>IF(SUM(U300:AY300)=0,"",SUM(U300:AY300))</f>
        <v/>
      </c>
      <c r="M300" s="66">
        <f>IFERROR(INDEX(U$2:AY$2,MATCH(TRUE,INDEX(U300:AY300&lt;&gt;"",0),0)),"")</f>
        <v/>
      </c>
      <c r="N300" s="66">
        <f>IFERROR(LOOKUP(2,1/(U300:AY300&lt;&gt;""),U$2:AY$2),"")</f>
        <v/>
      </c>
      <c r="O300" s="59" t="n"/>
      <c r="P300" s="59" t="n"/>
      <c r="Q300" s="59" t="n"/>
      <c r="R300" s="59" t="n"/>
      <c r="S300" s="14" t="n"/>
      <c r="U300" s="53" t="n"/>
      <c r="V300" s="53" t="n"/>
      <c r="W300" s="53" t="n"/>
      <c r="X300" s="53" t="n"/>
      <c r="Y300" s="53" t="n"/>
      <c r="Z300" s="53" t="n"/>
      <c r="AA300" s="53" t="n"/>
      <c r="AB300" s="53" t="n"/>
      <c r="AC300" s="53" t="n"/>
      <c r="AD300" s="53" t="n"/>
      <c r="AE300" s="53" t="n"/>
      <c r="AF300" s="53" t="n"/>
      <c r="AG300" s="53" t="n"/>
      <c r="AH300" s="53" t="n"/>
      <c r="AI300" s="53" t="n"/>
      <c r="AJ300" s="53" t="n"/>
      <c r="AK300" s="53" t="n"/>
      <c r="AL300" s="53" t="n"/>
      <c r="AM300" s="53" t="n"/>
      <c r="AN300" s="53" t="n"/>
      <c r="AO300" s="53" t="n"/>
      <c r="AP300" s="53" t="n"/>
      <c r="AQ300" s="53" t="n"/>
      <c r="AR300" s="53" t="n"/>
      <c r="AS300" s="53" t="n"/>
      <c r="AT300" s="53" t="n"/>
      <c r="AU300" s="53" t="n"/>
      <c r="AV300" s="53" t="n"/>
      <c r="AW300" s="53" t="n"/>
      <c r="AX300" s="53" t="n"/>
      <c r="AY300" s="53" t="n"/>
    </row>
    <row r="301" ht="15" customHeight="1">
      <c r="A301" s="40">
        <f>IF($D$301="","",97)</f>
        <v/>
      </c>
      <c r="B301" s="10" t="n"/>
      <c r="C301" s="41" t="inlineStr">
        <is>
          <t>기타</t>
        </is>
      </c>
      <c r="D301" s="42" t="n"/>
      <c r="E301" s="43" t="inlineStr">
        <is>
          <t>기획</t>
        </is>
      </c>
      <c r="F301" s="44" t="n"/>
      <c r="G301" s="45" t="n"/>
      <c r="H301" s="46">
        <f>IF($I$301="","",IF($I$301&lt;0,"🔴지연",IF($I$301&lt;=1,"🟡임박","🟢여유")))</f>
        <v/>
      </c>
      <c r="I301" s="47">
        <f>IF(OR($G$301="",$K$301=""),"",$G$301-$K$301)</f>
        <v/>
      </c>
      <c r="J301" s="48">
        <f>IF(SUM($L$301:$L$303)=0,"",SUM($L$301:$L$303))</f>
        <v/>
      </c>
      <c r="K301" s="49">
        <f>IF($J$301="","",MAX($N$301:$N$303))</f>
        <v/>
      </c>
      <c r="L301" s="50">
        <f>IF(SUM(U301:AY301)=0,"",SUM(U301:AY301))</f>
        <v/>
      </c>
      <c r="M301" s="51">
        <f>IFERROR(INDEX(U$2:AY$2,MATCH(TRUE,INDEX(U301:AY301&lt;&gt;"",0),0)),"")</f>
        <v/>
      </c>
      <c r="N301" s="51">
        <f>IFERROR(LOOKUP(2,1/(U301:AY301&lt;&gt;""),U$2:AY$2),"")</f>
        <v/>
      </c>
      <c r="O301" s="52" t="n"/>
      <c r="P301" s="52" t="n"/>
      <c r="Q301" s="52" t="n"/>
      <c r="R301" s="44" t="n"/>
      <c r="S301" s="14" t="n"/>
      <c r="U301" s="53" t="n"/>
      <c r="V301" s="53" t="n"/>
      <c r="W301" s="53" t="n"/>
      <c r="X301" s="53" t="n"/>
      <c r="Y301" s="53" t="n"/>
      <c r="Z301" s="53" t="n"/>
      <c r="AA301" s="53" t="n"/>
      <c r="AB301" s="53" t="n"/>
      <c r="AC301" s="53" t="n"/>
      <c r="AD301" s="53" t="n"/>
      <c r="AE301" s="53" t="n"/>
      <c r="AF301" s="53" t="n"/>
      <c r="AG301" s="53" t="n"/>
      <c r="AH301" s="53" t="n"/>
      <c r="AI301" s="53" t="n"/>
      <c r="AJ301" s="53" t="n"/>
      <c r="AK301" s="53" t="n"/>
      <c r="AL301" s="53" t="n"/>
      <c r="AM301" s="53" t="n"/>
      <c r="AN301" s="53" t="n"/>
      <c r="AO301" s="53" t="n"/>
      <c r="AP301" s="53" t="n"/>
      <c r="AQ301" s="53" t="n"/>
      <c r="AR301" s="53" t="n"/>
      <c r="AS301" s="53" t="n"/>
      <c r="AT301" s="53" t="n"/>
      <c r="AU301" s="53" t="n"/>
      <c r="AV301" s="53" t="n"/>
      <c r="AW301" s="53" t="n"/>
      <c r="AX301" s="53" t="n"/>
      <c r="AY301" s="53" t="n"/>
    </row>
    <row r="302" ht="15" customHeight="1">
      <c r="A302" s="54" t="n"/>
      <c r="B302" s="55">
        <f>IF($B$301="","",$B$301)</f>
        <v/>
      </c>
      <c r="C302" s="56" t="inlineStr">
        <is>
          <t>기타</t>
        </is>
      </c>
      <c r="D302" s="55">
        <f>IF($D$301="","",$D$301)</f>
        <v/>
      </c>
      <c r="E302" s="57" t="inlineStr">
        <is>
          <t>이미지</t>
        </is>
      </c>
      <c r="F302" s="44" t="n"/>
      <c r="G302" s="58">
        <f>IF($G$301="","",$G$301)</f>
        <v/>
      </c>
      <c r="H302" s="59" t="n"/>
      <c r="I302" s="59" t="n"/>
      <c r="J302" s="59" t="n"/>
      <c r="K302" s="59" t="n"/>
      <c r="L302" s="60">
        <f>IF(SUM(U302:AY302)=0,"",SUM(U302:AY302))</f>
        <v/>
      </c>
      <c r="M302" s="61">
        <f>IFERROR(INDEX(U$2:AY$2,MATCH(TRUE,INDEX(U302:AY302&lt;&gt;"",0),0)),"")</f>
        <v/>
      </c>
      <c r="N302" s="61">
        <f>IFERROR(LOOKUP(2,1/(U302:AY302&lt;&gt;""),U$2:AY$2),"")</f>
        <v/>
      </c>
      <c r="O302" s="59" t="n"/>
      <c r="P302" s="59" t="n"/>
      <c r="Q302" s="59" t="n"/>
      <c r="R302" s="59" t="n"/>
      <c r="S302" s="14" t="n"/>
      <c r="U302" s="53" t="n"/>
      <c r="V302" s="53" t="n"/>
      <c r="W302" s="53" t="n"/>
      <c r="X302" s="53" t="n"/>
      <c r="Y302" s="53" t="n"/>
      <c r="Z302" s="53" t="n"/>
      <c r="AA302" s="53" t="n"/>
      <c r="AB302" s="53" t="n"/>
      <c r="AC302" s="53" t="n"/>
      <c r="AD302" s="53" t="n"/>
      <c r="AE302" s="53" t="n"/>
      <c r="AF302" s="53" t="n"/>
      <c r="AG302" s="53" t="n"/>
      <c r="AH302" s="53" t="n"/>
      <c r="AI302" s="53" t="n"/>
      <c r="AJ302" s="53" t="n"/>
      <c r="AK302" s="53" t="n"/>
      <c r="AL302" s="53" t="n"/>
      <c r="AM302" s="53" t="n"/>
      <c r="AN302" s="53" t="n"/>
      <c r="AO302" s="53" t="n"/>
      <c r="AP302" s="53" t="n"/>
      <c r="AQ302" s="53" t="n"/>
      <c r="AR302" s="53" t="n"/>
      <c r="AS302" s="53" t="n"/>
      <c r="AT302" s="53" t="n"/>
      <c r="AU302" s="53" t="n"/>
      <c r="AV302" s="53" t="n"/>
      <c r="AW302" s="53" t="n"/>
      <c r="AX302" s="53" t="n"/>
      <c r="AY302" s="53" t="n"/>
    </row>
    <row r="303" ht="15" customHeight="1">
      <c r="A303" s="62" t="n"/>
      <c r="B303" s="55">
        <f>IF($B$301="","",$B$301)</f>
        <v/>
      </c>
      <c r="C303" s="63" t="inlineStr">
        <is>
          <t>기타</t>
        </is>
      </c>
      <c r="D303" s="55">
        <f>IF($D$301="","",$D$301)</f>
        <v/>
      </c>
      <c r="E303" s="64" t="inlineStr">
        <is>
          <t>영상</t>
        </is>
      </c>
      <c r="F303" s="44" t="n"/>
      <c r="G303" s="58">
        <f>IF($G$301="","",$G$301)</f>
        <v/>
      </c>
      <c r="H303" s="59" t="n"/>
      <c r="I303" s="59" t="n"/>
      <c r="J303" s="59" t="n"/>
      <c r="K303" s="59" t="n"/>
      <c r="L303" s="65">
        <f>IF(SUM(U303:AY303)=0,"",SUM(U303:AY303))</f>
        <v/>
      </c>
      <c r="M303" s="66">
        <f>IFERROR(INDEX(U$2:AY$2,MATCH(TRUE,INDEX(U303:AY303&lt;&gt;"",0),0)),"")</f>
        <v/>
      </c>
      <c r="N303" s="66">
        <f>IFERROR(LOOKUP(2,1/(U303:AY303&lt;&gt;""),U$2:AY$2),"")</f>
        <v/>
      </c>
      <c r="O303" s="59" t="n"/>
      <c r="P303" s="59" t="n"/>
      <c r="Q303" s="59" t="n"/>
      <c r="R303" s="59" t="n"/>
      <c r="S303" s="14" t="n"/>
      <c r="U303" s="53" t="n"/>
      <c r="V303" s="53" t="n"/>
      <c r="W303" s="53" t="n"/>
      <c r="X303" s="53" t="n"/>
      <c r="Y303" s="53" t="n"/>
      <c r="Z303" s="53" t="n"/>
      <c r="AA303" s="53" t="n"/>
      <c r="AB303" s="53" t="n"/>
      <c r="AC303" s="53" t="n"/>
      <c r="AD303" s="53" t="n"/>
      <c r="AE303" s="53" t="n"/>
      <c r="AF303" s="53" t="n"/>
      <c r="AG303" s="53" t="n"/>
      <c r="AH303" s="53" t="n"/>
      <c r="AI303" s="53" t="n"/>
      <c r="AJ303" s="53" t="n"/>
      <c r="AK303" s="53" t="n"/>
      <c r="AL303" s="53" t="n"/>
      <c r="AM303" s="53" t="n"/>
      <c r="AN303" s="53" t="n"/>
      <c r="AO303" s="53" t="n"/>
      <c r="AP303" s="53" t="n"/>
      <c r="AQ303" s="53" t="n"/>
      <c r="AR303" s="53" t="n"/>
      <c r="AS303" s="53" t="n"/>
      <c r="AT303" s="53" t="n"/>
      <c r="AU303" s="53" t="n"/>
      <c r="AV303" s="53" t="n"/>
      <c r="AW303" s="53" t="n"/>
      <c r="AX303" s="53" t="n"/>
      <c r="AY303" s="53" t="n"/>
    </row>
    <row r="304" ht="15" customHeight="1">
      <c r="A304" s="40">
        <f>IF($D$304="","",98)</f>
        <v/>
      </c>
      <c r="B304" s="10" t="n"/>
      <c r="C304" s="41" t="inlineStr">
        <is>
          <t>기타</t>
        </is>
      </c>
      <c r="D304" s="42" t="n"/>
      <c r="E304" s="43" t="inlineStr">
        <is>
          <t>기획</t>
        </is>
      </c>
      <c r="F304" s="44" t="n"/>
      <c r="G304" s="45" t="n"/>
      <c r="H304" s="46">
        <f>IF($I$304="","",IF($I$304&lt;0,"🔴지연",IF($I$304&lt;=1,"🟡임박","🟢여유")))</f>
        <v/>
      </c>
      <c r="I304" s="47">
        <f>IF(OR($G$304="",$K$304=""),"",$G$304-$K$304)</f>
        <v/>
      </c>
      <c r="J304" s="48">
        <f>IF(SUM($L$304:$L$306)=0,"",SUM($L$304:$L$306))</f>
        <v/>
      </c>
      <c r="K304" s="49">
        <f>IF($J$304="","",MAX($N$304:$N$306))</f>
        <v/>
      </c>
      <c r="L304" s="50">
        <f>IF(SUM(U304:AY304)=0,"",SUM(U304:AY304))</f>
        <v/>
      </c>
      <c r="M304" s="51">
        <f>IFERROR(INDEX(U$2:AY$2,MATCH(TRUE,INDEX(U304:AY304&lt;&gt;"",0),0)),"")</f>
        <v/>
      </c>
      <c r="N304" s="51">
        <f>IFERROR(LOOKUP(2,1/(U304:AY304&lt;&gt;""),U$2:AY$2),"")</f>
        <v/>
      </c>
      <c r="O304" s="52" t="n"/>
      <c r="P304" s="52" t="n"/>
      <c r="Q304" s="52" t="n"/>
      <c r="R304" s="44" t="n"/>
      <c r="S304" s="14" t="n"/>
      <c r="U304" s="53" t="n"/>
      <c r="V304" s="53" t="n"/>
      <c r="W304" s="53" t="n"/>
      <c r="X304" s="53" t="n"/>
      <c r="Y304" s="53" t="n"/>
      <c r="Z304" s="53" t="n"/>
      <c r="AA304" s="53" t="n"/>
      <c r="AB304" s="53" t="n"/>
      <c r="AC304" s="53" t="n"/>
      <c r="AD304" s="53" t="n"/>
      <c r="AE304" s="53" t="n"/>
      <c r="AF304" s="53" t="n"/>
      <c r="AG304" s="53" t="n"/>
      <c r="AH304" s="53" t="n"/>
      <c r="AI304" s="53" t="n"/>
      <c r="AJ304" s="53" t="n"/>
      <c r="AK304" s="53" t="n"/>
      <c r="AL304" s="53" t="n"/>
      <c r="AM304" s="53" t="n"/>
      <c r="AN304" s="53" t="n"/>
      <c r="AO304" s="53" t="n"/>
      <c r="AP304" s="53" t="n"/>
      <c r="AQ304" s="53" t="n"/>
      <c r="AR304" s="53" t="n"/>
      <c r="AS304" s="53" t="n"/>
      <c r="AT304" s="53" t="n"/>
      <c r="AU304" s="53" t="n"/>
      <c r="AV304" s="53" t="n"/>
      <c r="AW304" s="53" t="n"/>
      <c r="AX304" s="53" t="n"/>
      <c r="AY304" s="53" t="n"/>
    </row>
    <row r="305" ht="15" customHeight="1">
      <c r="A305" s="54" t="n"/>
      <c r="B305" s="55">
        <f>IF($B$304="","",$B$304)</f>
        <v/>
      </c>
      <c r="C305" s="56" t="inlineStr">
        <is>
          <t>기타</t>
        </is>
      </c>
      <c r="D305" s="55">
        <f>IF($D$304="","",$D$304)</f>
        <v/>
      </c>
      <c r="E305" s="57" t="inlineStr">
        <is>
          <t>이미지</t>
        </is>
      </c>
      <c r="F305" s="44" t="n"/>
      <c r="G305" s="58">
        <f>IF($G$304="","",$G$304)</f>
        <v/>
      </c>
      <c r="H305" s="59" t="n"/>
      <c r="I305" s="59" t="n"/>
      <c r="J305" s="59" t="n"/>
      <c r="K305" s="59" t="n"/>
      <c r="L305" s="60">
        <f>IF(SUM(U305:AY305)=0,"",SUM(U305:AY305))</f>
        <v/>
      </c>
      <c r="M305" s="61">
        <f>IFERROR(INDEX(U$2:AY$2,MATCH(TRUE,INDEX(U305:AY305&lt;&gt;"",0),0)),"")</f>
        <v/>
      </c>
      <c r="N305" s="61">
        <f>IFERROR(LOOKUP(2,1/(U305:AY305&lt;&gt;""),U$2:AY$2),"")</f>
        <v/>
      </c>
      <c r="O305" s="59" t="n"/>
      <c r="P305" s="59" t="n"/>
      <c r="Q305" s="59" t="n"/>
      <c r="R305" s="59" t="n"/>
      <c r="S305" s="14" t="n"/>
      <c r="U305" s="53" t="n"/>
      <c r="V305" s="53" t="n"/>
      <c r="W305" s="53" t="n"/>
      <c r="X305" s="53" t="n"/>
      <c r="Y305" s="53" t="n"/>
      <c r="Z305" s="53" t="n"/>
      <c r="AA305" s="53" t="n"/>
      <c r="AB305" s="53" t="n"/>
      <c r="AC305" s="53" t="n"/>
      <c r="AD305" s="53" t="n"/>
      <c r="AE305" s="53" t="n"/>
      <c r="AF305" s="53" t="n"/>
      <c r="AG305" s="53" t="n"/>
      <c r="AH305" s="53" t="n"/>
      <c r="AI305" s="53" t="n"/>
      <c r="AJ305" s="53" t="n"/>
      <c r="AK305" s="53" t="n"/>
      <c r="AL305" s="53" t="n"/>
      <c r="AM305" s="53" t="n"/>
      <c r="AN305" s="53" t="n"/>
      <c r="AO305" s="53" t="n"/>
      <c r="AP305" s="53" t="n"/>
      <c r="AQ305" s="53" t="n"/>
      <c r="AR305" s="53" t="n"/>
      <c r="AS305" s="53" t="n"/>
      <c r="AT305" s="53" t="n"/>
      <c r="AU305" s="53" t="n"/>
      <c r="AV305" s="53" t="n"/>
      <c r="AW305" s="53" t="n"/>
      <c r="AX305" s="53" t="n"/>
      <c r="AY305" s="53" t="n"/>
    </row>
    <row r="306" ht="15" customHeight="1">
      <c r="A306" s="62" t="n"/>
      <c r="B306" s="55">
        <f>IF($B$304="","",$B$304)</f>
        <v/>
      </c>
      <c r="C306" s="63" t="inlineStr">
        <is>
          <t>기타</t>
        </is>
      </c>
      <c r="D306" s="55">
        <f>IF($D$304="","",$D$304)</f>
        <v/>
      </c>
      <c r="E306" s="64" t="inlineStr">
        <is>
          <t>영상</t>
        </is>
      </c>
      <c r="F306" s="44" t="n"/>
      <c r="G306" s="58">
        <f>IF($G$304="","",$G$304)</f>
        <v/>
      </c>
      <c r="H306" s="59" t="n"/>
      <c r="I306" s="59" t="n"/>
      <c r="J306" s="59" t="n"/>
      <c r="K306" s="59" t="n"/>
      <c r="L306" s="65">
        <f>IF(SUM(U306:AY306)=0,"",SUM(U306:AY306))</f>
        <v/>
      </c>
      <c r="M306" s="66">
        <f>IFERROR(INDEX(U$2:AY$2,MATCH(TRUE,INDEX(U306:AY306&lt;&gt;"",0),0)),"")</f>
        <v/>
      </c>
      <c r="N306" s="66">
        <f>IFERROR(LOOKUP(2,1/(U306:AY306&lt;&gt;""),U$2:AY$2),"")</f>
        <v/>
      </c>
      <c r="O306" s="59" t="n"/>
      <c r="P306" s="59" t="n"/>
      <c r="Q306" s="59" t="n"/>
      <c r="R306" s="59" t="n"/>
      <c r="S306" s="14" t="n"/>
      <c r="U306" s="53" t="n"/>
      <c r="V306" s="53" t="n"/>
      <c r="W306" s="53" t="n"/>
      <c r="X306" s="53" t="n"/>
      <c r="Y306" s="53" t="n"/>
      <c r="Z306" s="53" t="n"/>
      <c r="AA306" s="53" t="n"/>
      <c r="AB306" s="53" t="n"/>
      <c r="AC306" s="53" t="n"/>
      <c r="AD306" s="53" t="n"/>
      <c r="AE306" s="53" t="n"/>
      <c r="AF306" s="53" t="n"/>
      <c r="AG306" s="53" t="n"/>
      <c r="AH306" s="53" t="n"/>
      <c r="AI306" s="53" t="n"/>
      <c r="AJ306" s="53" t="n"/>
      <c r="AK306" s="53" t="n"/>
      <c r="AL306" s="53" t="n"/>
      <c r="AM306" s="53" t="n"/>
      <c r="AN306" s="53" t="n"/>
      <c r="AO306" s="53" t="n"/>
      <c r="AP306" s="53" t="n"/>
      <c r="AQ306" s="53" t="n"/>
      <c r="AR306" s="53" t="n"/>
      <c r="AS306" s="53" t="n"/>
      <c r="AT306" s="53" t="n"/>
      <c r="AU306" s="53" t="n"/>
      <c r="AV306" s="53" t="n"/>
      <c r="AW306" s="53" t="n"/>
      <c r="AX306" s="53" t="n"/>
      <c r="AY306" s="53" t="n"/>
    </row>
    <row r="307" ht="15" customHeight="1">
      <c r="A307" s="40">
        <f>IF($D$307="","",99)</f>
        <v/>
      </c>
      <c r="B307" s="10" t="n"/>
      <c r="C307" s="41" t="inlineStr">
        <is>
          <t>기타</t>
        </is>
      </c>
      <c r="D307" s="42" t="n"/>
      <c r="E307" s="43" t="inlineStr">
        <is>
          <t>기획</t>
        </is>
      </c>
      <c r="F307" s="44" t="n"/>
      <c r="G307" s="45" t="n"/>
      <c r="H307" s="46">
        <f>IF($I$307="","",IF($I$307&lt;0,"🔴지연",IF($I$307&lt;=1,"🟡임박","🟢여유")))</f>
        <v/>
      </c>
      <c r="I307" s="47">
        <f>IF(OR($G$307="",$K$307=""),"",$G$307-$K$307)</f>
        <v/>
      </c>
      <c r="J307" s="48">
        <f>IF(SUM($L$307:$L$309)=0,"",SUM($L$307:$L$309))</f>
        <v/>
      </c>
      <c r="K307" s="49">
        <f>IF($J$307="","",MAX($N$307:$N$309))</f>
        <v/>
      </c>
      <c r="L307" s="50">
        <f>IF(SUM(U307:AY307)=0,"",SUM(U307:AY307))</f>
        <v/>
      </c>
      <c r="M307" s="51">
        <f>IFERROR(INDEX(U$2:AY$2,MATCH(TRUE,INDEX(U307:AY307&lt;&gt;"",0),0)),"")</f>
        <v/>
      </c>
      <c r="N307" s="51">
        <f>IFERROR(LOOKUP(2,1/(U307:AY307&lt;&gt;""),U$2:AY$2),"")</f>
        <v/>
      </c>
      <c r="O307" s="52" t="n"/>
      <c r="P307" s="52" t="n"/>
      <c r="Q307" s="52" t="n"/>
      <c r="R307" s="44" t="n"/>
      <c r="S307" s="14" t="n"/>
      <c r="U307" s="53" t="n"/>
      <c r="V307" s="53" t="n"/>
      <c r="W307" s="53" t="n"/>
      <c r="X307" s="53" t="n"/>
      <c r="Y307" s="53" t="n"/>
      <c r="Z307" s="53" t="n"/>
      <c r="AA307" s="53" t="n"/>
      <c r="AB307" s="53" t="n"/>
      <c r="AC307" s="53" t="n"/>
      <c r="AD307" s="53" t="n"/>
      <c r="AE307" s="53" t="n"/>
      <c r="AF307" s="53" t="n"/>
      <c r="AG307" s="53" t="n"/>
      <c r="AH307" s="53" t="n"/>
      <c r="AI307" s="53" t="n"/>
      <c r="AJ307" s="53" t="n"/>
      <c r="AK307" s="53" t="n"/>
      <c r="AL307" s="53" t="n"/>
      <c r="AM307" s="53" t="n"/>
      <c r="AN307" s="53" t="n"/>
      <c r="AO307" s="53" t="n"/>
      <c r="AP307" s="53" t="n"/>
      <c r="AQ307" s="53" t="n"/>
      <c r="AR307" s="53" t="n"/>
      <c r="AS307" s="53" t="n"/>
      <c r="AT307" s="53" t="n"/>
      <c r="AU307" s="53" t="n"/>
      <c r="AV307" s="53" t="n"/>
      <c r="AW307" s="53" t="n"/>
      <c r="AX307" s="53" t="n"/>
      <c r="AY307" s="53" t="n"/>
    </row>
    <row r="308" ht="15" customHeight="1">
      <c r="A308" s="54" t="n"/>
      <c r="B308" s="55">
        <f>IF($B$307="","",$B$307)</f>
        <v/>
      </c>
      <c r="C308" s="56" t="inlineStr">
        <is>
          <t>기타</t>
        </is>
      </c>
      <c r="D308" s="55">
        <f>IF($D$307="","",$D$307)</f>
        <v/>
      </c>
      <c r="E308" s="57" t="inlineStr">
        <is>
          <t>이미지</t>
        </is>
      </c>
      <c r="F308" s="44" t="n"/>
      <c r="G308" s="58">
        <f>IF($G$307="","",$G$307)</f>
        <v/>
      </c>
      <c r="H308" s="59" t="n"/>
      <c r="I308" s="59" t="n"/>
      <c r="J308" s="59" t="n"/>
      <c r="K308" s="59" t="n"/>
      <c r="L308" s="60">
        <f>IF(SUM(U308:AY308)=0,"",SUM(U308:AY308))</f>
        <v/>
      </c>
      <c r="M308" s="61">
        <f>IFERROR(INDEX(U$2:AY$2,MATCH(TRUE,INDEX(U308:AY308&lt;&gt;"",0),0)),"")</f>
        <v/>
      </c>
      <c r="N308" s="61">
        <f>IFERROR(LOOKUP(2,1/(U308:AY308&lt;&gt;""),U$2:AY$2),"")</f>
        <v/>
      </c>
      <c r="O308" s="59" t="n"/>
      <c r="P308" s="59" t="n"/>
      <c r="Q308" s="59" t="n"/>
      <c r="R308" s="59" t="n"/>
      <c r="S308" s="14" t="n"/>
      <c r="U308" s="53" t="n"/>
      <c r="V308" s="53" t="n"/>
      <c r="W308" s="53" t="n"/>
      <c r="X308" s="53" t="n"/>
      <c r="Y308" s="53" t="n"/>
      <c r="Z308" s="53" t="n"/>
      <c r="AA308" s="53" t="n"/>
      <c r="AB308" s="53" t="n"/>
      <c r="AC308" s="53" t="n"/>
      <c r="AD308" s="53" t="n"/>
      <c r="AE308" s="53" t="n"/>
      <c r="AF308" s="53" t="n"/>
      <c r="AG308" s="53" t="n"/>
      <c r="AH308" s="53" t="n"/>
      <c r="AI308" s="53" t="n"/>
      <c r="AJ308" s="53" t="n"/>
      <c r="AK308" s="53" t="n"/>
      <c r="AL308" s="53" t="n"/>
      <c r="AM308" s="53" t="n"/>
      <c r="AN308" s="53" t="n"/>
      <c r="AO308" s="53" t="n"/>
      <c r="AP308" s="53" t="n"/>
      <c r="AQ308" s="53" t="n"/>
      <c r="AR308" s="53" t="n"/>
      <c r="AS308" s="53" t="n"/>
      <c r="AT308" s="53" t="n"/>
      <c r="AU308" s="53" t="n"/>
      <c r="AV308" s="53" t="n"/>
      <c r="AW308" s="53" t="n"/>
      <c r="AX308" s="53" t="n"/>
      <c r="AY308" s="53" t="n"/>
    </row>
    <row r="309" ht="15" customHeight="1">
      <c r="A309" s="62" t="n"/>
      <c r="B309" s="55">
        <f>IF($B$307="","",$B$307)</f>
        <v/>
      </c>
      <c r="C309" s="63" t="inlineStr">
        <is>
          <t>기타</t>
        </is>
      </c>
      <c r="D309" s="55">
        <f>IF($D$307="","",$D$307)</f>
        <v/>
      </c>
      <c r="E309" s="64" t="inlineStr">
        <is>
          <t>영상</t>
        </is>
      </c>
      <c r="F309" s="44" t="n"/>
      <c r="G309" s="58">
        <f>IF($G$307="","",$G$307)</f>
        <v/>
      </c>
      <c r="H309" s="59" t="n"/>
      <c r="I309" s="59" t="n"/>
      <c r="J309" s="59" t="n"/>
      <c r="K309" s="59" t="n"/>
      <c r="L309" s="65">
        <f>IF(SUM(U309:AY309)=0,"",SUM(U309:AY309))</f>
        <v/>
      </c>
      <c r="M309" s="66">
        <f>IFERROR(INDEX(U$2:AY$2,MATCH(TRUE,INDEX(U309:AY309&lt;&gt;"",0),0)),"")</f>
        <v/>
      </c>
      <c r="N309" s="66">
        <f>IFERROR(LOOKUP(2,1/(U309:AY309&lt;&gt;""),U$2:AY$2),"")</f>
        <v/>
      </c>
      <c r="O309" s="59" t="n"/>
      <c r="P309" s="59" t="n"/>
      <c r="Q309" s="59" t="n"/>
      <c r="R309" s="59" t="n"/>
      <c r="S309" s="14" t="n"/>
      <c r="U309" s="53" t="n"/>
      <c r="V309" s="53" t="n"/>
      <c r="W309" s="53" t="n"/>
      <c r="X309" s="53" t="n"/>
      <c r="Y309" s="53" t="n"/>
      <c r="Z309" s="53" t="n"/>
      <c r="AA309" s="53" t="n"/>
      <c r="AB309" s="53" t="n"/>
      <c r="AC309" s="53" t="n"/>
      <c r="AD309" s="53" t="n"/>
      <c r="AE309" s="53" t="n"/>
      <c r="AF309" s="53" t="n"/>
      <c r="AG309" s="53" t="n"/>
      <c r="AH309" s="53" t="n"/>
      <c r="AI309" s="53" t="n"/>
      <c r="AJ309" s="53" t="n"/>
      <c r="AK309" s="53" t="n"/>
      <c r="AL309" s="53" t="n"/>
      <c r="AM309" s="53" t="n"/>
      <c r="AN309" s="53" t="n"/>
      <c r="AO309" s="53" t="n"/>
      <c r="AP309" s="53" t="n"/>
      <c r="AQ309" s="53" t="n"/>
      <c r="AR309" s="53" t="n"/>
      <c r="AS309" s="53" t="n"/>
      <c r="AT309" s="53" t="n"/>
      <c r="AU309" s="53" t="n"/>
      <c r="AV309" s="53" t="n"/>
      <c r="AW309" s="53" t="n"/>
      <c r="AX309" s="53" t="n"/>
      <c r="AY309" s="53" t="n"/>
    </row>
    <row r="310" ht="15" customHeight="1">
      <c r="A310" s="40">
        <f>IF($D$310="","",100)</f>
        <v/>
      </c>
      <c r="B310" s="10" t="n"/>
      <c r="C310" s="41" t="inlineStr">
        <is>
          <t>기타</t>
        </is>
      </c>
      <c r="D310" s="42" t="n"/>
      <c r="E310" s="43" t="inlineStr">
        <is>
          <t>기획</t>
        </is>
      </c>
      <c r="F310" s="44" t="n"/>
      <c r="G310" s="45" t="n"/>
      <c r="H310" s="46">
        <f>IF($I$310="","",IF($I$310&lt;0,"🔴지연",IF($I$310&lt;=1,"🟡임박","🟢여유")))</f>
        <v/>
      </c>
      <c r="I310" s="47">
        <f>IF(OR($G$310="",$K$310=""),"",$G$310-$K$310)</f>
        <v/>
      </c>
      <c r="J310" s="48">
        <f>IF(SUM($L$310:$L$312)=0,"",SUM($L$310:$L$312))</f>
        <v/>
      </c>
      <c r="K310" s="49">
        <f>IF($J$310="","",MAX($N$310:$N$312))</f>
        <v/>
      </c>
      <c r="L310" s="50">
        <f>IF(SUM(U310:AY310)=0,"",SUM(U310:AY310))</f>
        <v/>
      </c>
      <c r="M310" s="51">
        <f>IFERROR(INDEX(U$2:AY$2,MATCH(TRUE,INDEX(U310:AY310&lt;&gt;"",0),0)),"")</f>
        <v/>
      </c>
      <c r="N310" s="51">
        <f>IFERROR(LOOKUP(2,1/(U310:AY310&lt;&gt;""),U$2:AY$2),"")</f>
        <v/>
      </c>
      <c r="O310" s="52" t="n"/>
      <c r="P310" s="52" t="n"/>
      <c r="Q310" s="52" t="n"/>
      <c r="R310" s="44" t="n"/>
      <c r="S310" s="14" t="n"/>
      <c r="U310" s="53" t="n"/>
      <c r="V310" s="53" t="n"/>
      <c r="W310" s="53" t="n"/>
      <c r="X310" s="53" t="n"/>
      <c r="Y310" s="53" t="n"/>
      <c r="Z310" s="53" t="n"/>
      <c r="AA310" s="53" t="n"/>
      <c r="AB310" s="53" t="n"/>
      <c r="AC310" s="53" t="n"/>
      <c r="AD310" s="53" t="n"/>
      <c r="AE310" s="53" t="n"/>
      <c r="AF310" s="53" t="n"/>
      <c r="AG310" s="53" t="n"/>
      <c r="AH310" s="53" t="n"/>
      <c r="AI310" s="53" t="n"/>
      <c r="AJ310" s="53" t="n"/>
      <c r="AK310" s="53" t="n"/>
      <c r="AL310" s="53" t="n"/>
      <c r="AM310" s="53" t="n"/>
      <c r="AN310" s="53" t="n"/>
      <c r="AO310" s="53" t="n"/>
      <c r="AP310" s="53" t="n"/>
      <c r="AQ310" s="53" t="n"/>
      <c r="AR310" s="53" t="n"/>
      <c r="AS310" s="53" t="n"/>
      <c r="AT310" s="53" t="n"/>
      <c r="AU310" s="53" t="n"/>
      <c r="AV310" s="53" t="n"/>
      <c r="AW310" s="53" t="n"/>
      <c r="AX310" s="53" t="n"/>
      <c r="AY310" s="53" t="n"/>
    </row>
    <row r="311" ht="15" customHeight="1">
      <c r="A311" s="54" t="n"/>
      <c r="B311" s="55">
        <f>IF($B$310="","",$B$310)</f>
        <v/>
      </c>
      <c r="C311" s="56" t="inlineStr">
        <is>
          <t>기타</t>
        </is>
      </c>
      <c r="D311" s="55">
        <f>IF($D$310="","",$D$310)</f>
        <v/>
      </c>
      <c r="E311" s="57" t="inlineStr">
        <is>
          <t>이미지</t>
        </is>
      </c>
      <c r="F311" s="44" t="n"/>
      <c r="G311" s="58">
        <f>IF($G$310="","",$G$310)</f>
        <v/>
      </c>
      <c r="H311" s="59" t="n"/>
      <c r="I311" s="59" t="n"/>
      <c r="J311" s="59" t="n"/>
      <c r="K311" s="59" t="n"/>
      <c r="L311" s="60">
        <f>IF(SUM(U311:AY311)=0,"",SUM(U311:AY311))</f>
        <v/>
      </c>
      <c r="M311" s="61">
        <f>IFERROR(INDEX(U$2:AY$2,MATCH(TRUE,INDEX(U311:AY311&lt;&gt;"",0),0)),"")</f>
        <v/>
      </c>
      <c r="N311" s="61">
        <f>IFERROR(LOOKUP(2,1/(U311:AY311&lt;&gt;""),U$2:AY$2),"")</f>
        <v/>
      </c>
      <c r="O311" s="59" t="n"/>
      <c r="P311" s="59" t="n"/>
      <c r="Q311" s="59" t="n"/>
      <c r="R311" s="59" t="n"/>
      <c r="S311" s="14" t="n"/>
      <c r="U311" s="53" t="n"/>
      <c r="V311" s="53" t="n"/>
      <c r="W311" s="53" t="n"/>
      <c r="X311" s="53" t="n"/>
      <c r="Y311" s="53" t="n"/>
      <c r="Z311" s="53" t="n"/>
      <c r="AA311" s="53" t="n"/>
      <c r="AB311" s="53" t="n"/>
      <c r="AC311" s="53" t="n"/>
      <c r="AD311" s="53" t="n"/>
      <c r="AE311" s="53" t="n"/>
      <c r="AF311" s="53" t="n"/>
      <c r="AG311" s="53" t="n"/>
      <c r="AH311" s="53" t="n"/>
      <c r="AI311" s="53" t="n"/>
      <c r="AJ311" s="53" t="n"/>
      <c r="AK311" s="53" t="n"/>
      <c r="AL311" s="53" t="n"/>
      <c r="AM311" s="53" t="n"/>
      <c r="AN311" s="53" t="n"/>
      <c r="AO311" s="53" t="n"/>
      <c r="AP311" s="53" t="n"/>
      <c r="AQ311" s="53" t="n"/>
      <c r="AR311" s="53" t="n"/>
      <c r="AS311" s="53" t="n"/>
      <c r="AT311" s="53" t="n"/>
      <c r="AU311" s="53" t="n"/>
      <c r="AV311" s="53" t="n"/>
      <c r="AW311" s="53" t="n"/>
      <c r="AX311" s="53" t="n"/>
      <c r="AY311" s="53" t="n"/>
    </row>
    <row r="312" ht="15" customHeight="1">
      <c r="A312" s="62" t="n"/>
      <c r="B312" s="55">
        <f>IF($B$310="","",$B$310)</f>
        <v/>
      </c>
      <c r="C312" s="63" t="inlineStr">
        <is>
          <t>기타</t>
        </is>
      </c>
      <c r="D312" s="55">
        <f>IF($D$310="","",$D$310)</f>
        <v/>
      </c>
      <c r="E312" s="64" t="inlineStr">
        <is>
          <t>영상</t>
        </is>
      </c>
      <c r="F312" s="44" t="n"/>
      <c r="G312" s="58">
        <f>IF($G$310="","",$G$310)</f>
        <v/>
      </c>
      <c r="H312" s="59" t="n"/>
      <c r="I312" s="59" t="n"/>
      <c r="J312" s="59" t="n"/>
      <c r="K312" s="59" t="n"/>
      <c r="L312" s="65">
        <f>IF(SUM(U312:AY312)=0,"",SUM(U312:AY312))</f>
        <v/>
      </c>
      <c r="M312" s="66">
        <f>IFERROR(INDEX(U$2:AY$2,MATCH(TRUE,INDEX(U312:AY312&lt;&gt;"",0),0)),"")</f>
        <v/>
      </c>
      <c r="N312" s="66">
        <f>IFERROR(LOOKUP(2,1/(U312:AY312&lt;&gt;""),U$2:AY$2),"")</f>
        <v/>
      </c>
      <c r="O312" s="59" t="n"/>
      <c r="P312" s="59" t="n"/>
      <c r="Q312" s="59" t="n"/>
      <c r="R312" s="59" t="n"/>
      <c r="S312" s="14" t="n"/>
      <c r="U312" s="53" t="n"/>
      <c r="V312" s="53" t="n"/>
      <c r="W312" s="53" t="n"/>
      <c r="X312" s="53" t="n"/>
      <c r="Y312" s="53" t="n"/>
      <c r="Z312" s="53" t="n"/>
      <c r="AA312" s="53" t="n"/>
      <c r="AB312" s="53" t="n"/>
      <c r="AC312" s="53" t="n"/>
      <c r="AD312" s="53" t="n"/>
      <c r="AE312" s="53" t="n"/>
      <c r="AF312" s="53" t="n"/>
      <c r="AG312" s="53" t="n"/>
      <c r="AH312" s="53" t="n"/>
      <c r="AI312" s="53" t="n"/>
      <c r="AJ312" s="53" t="n"/>
      <c r="AK312" s="53" t="n"/>
      <c r="AL312" s="53" t="n"/>
      <c r="AM312" s="53" t="n"/>
      <c r="AN312" s="53" t="n"/>
      <c r="AO312" s="53" t="n"/>
      <c r="AP312" s="53" t="n"/>
      <c r="AQ312" s="53" t="n"/>
      <c r="AR312" s="53" t="n"/>
      <c r="AS312" s="53" t="n"/>
      <c r="AT312" s="53" t="n"/>
      <c r="AU312" s="53" t="n"/>
      <c r="AV312" s="53" t="n"/>
      <c r="AW312" s="53" t="n"/>
      <c r="AX312" s="53" t="n"/>
      <c r="AY312" s="53" t="n"/>
    </row>
    <row r="315">
      <c r="A315" s="67" t="inlineStr">
        <is>
          <t>담당자 1일 캐파(MD)</t>
        </is>
      </c>
      <c r="B315" s="68">
        <f>'마스터'!$J$5</f>
        <v/>
      </c>
    </row>
    <row r="316">
      <c r="A316" s="67" t="inlineStr">
        <is>
          <t>공휴일(자동 연동)</t>
        </is>
      </c>
    </row>
    <row r="317">
      <c r="A317" s="67">
        <f>'마스터'!$I$13</f>
        <v/>
      </c>
      <c r="B317" s="69">
        <f>'마스터'!$J$13</f>
        <v/>
      </c>
    </row>
    <row r="318">
      <c r="A318" s="67">
        <f>'마스터'!$I$14</f>
        <v/>
      </c>
      <c r="B318" s="69">
        <f>'마스터'!$J$14</f>
        <v/>
      </c>
    </row>
    <row r="319">
      <c r="A319" s="67">
        <f>'마스터'!$I$15</f>
        <v/>
      </c>
      <c r="B319" s="69">
        <f>'마스터'!$J$15</f>
        <v/>
      </c>
    </row>
    <row r="320">
      <c r="A320" s="67">
        <f>'마스터'!$I$16</f>
        <v/>
      </c>
      <c r="B320" s="69">
        <f>'마스터'!$J$16</f>
        <v/>
      </c>
    </row>
    <row r="321">
      <c r="A321" s="67">
        <f>'마스터'!$I$17</f>
        <v/>
      </c>
      <c r="B321" s="69">
        <f>'마스터'!$J$17</f>
        <v/>
      </c>
    </row>
    <row r="322">
      <c r="A322" s="67">
        <f>'마스터'!$I$18</f>
        <v/>
      </c>
      <c r="B322" s="69">
        <f>'마스터'!$J$18</f>
        <v/>
      </c>
    </row>
    <row r="323">
      <c r="A323" s="67">
        <f>'마스터'!$I$19</f>
        <v/>
      </c>
      <c r="B323" s="69">
        <f>'마스터'!$J$19</f>
        <v/>
      </c>
    </row>
    <row r="324">
      <c r="A324" s="67">
        <f>'마스터'!$I$20</f>
        <v/>
      </c>
      <c r="B324" s="69">
        <f>'마스터'!$J$20</f>
        <v/>
      </c>
    </row>
    <row r="325">
      <c r="A325" s="67">
        <f>'마스터'!$I$21</f>
        <v/>
      </c>
      <c r="B325" s="69">
        <f>'마스터'!$J$21</f>
        <v/>
      </c>
    </row>
    <row r="326">
      <c r="A326" s="67">
        <f>'마스터'!$I$22</f>
        <v/>
      </c>
      <c r="B326" s="69">
        <f>'마스터'!$J$22</f>
        <v/>
      </c>
    </row>
    <row r="327">
      <c r="A327" s="67">
        <f>'마스터'!$I$23</f>
        <v/>
      </c>
      <c r="B327" s="69">
        <f>'마스터'!$J$23</f>
        <v/>
      </c>
    </row>
    <row r="328">
      <c r="A328" s="67">
        <f>'마스터'!$I$24</f>
        <v/>
      </c>
      <c r="B328" s="69">
        <f>'마스터'!$J$24</f>
        <v/>
      </c>
    </row>
    <row r="329">
      <c r="A329" s="67">
        <f>'마스터'!$I$25</f>
        <v/>
      </c>
      <c r="B329" s="69">
        <f>'마스터'!$J$25</f>
        <v/>
      </c>
    </row>
    <row r="330">
      <c r="A330" s="67">
        <f>'마스터'!$I$26</f>
        <v/>
      </c>
      <c r="B330" s="69">
        <f>'마스터'!$J$26</f>
        <v/>
      </c>
    </row>
    <row r="331">
      <c r="A331" s="67">
        <f>'마스터'!$I$27</f>
        <v/>
      </c>
      <c r="B331" s="69">
        <f>'마스터'!$J$27</f>
        <v/>
      </c>
    </row>
  </sheetData>
  <mergeCells count="16">
    <mergeCell ref="L1:N1"/>
    <mergeCell ref="A252:AY252"/>
    <mergeCell ref="O1:Q1"/>
    <mergeCell ref="A191:AY191"/>
    <mergeCell ref="A1:F1"/>
    <mergeCell ref="A5:F5"/>
    <mergeCell ref="A130:AY130"/>
    <mergeCell ref="G1:K1"/>
    <mergeCell ref="A8:AY8"/>
    <mergeCell ref="U1:AY1"/>
    <mergeCell ref="A6:F6"/>
    <mergeCell ref="A4:F4"/>
    <mergeCell ref="A3:F3"/>
    <mergeCell ref="A7:AY7"/>
    <mergeCell ref="A69:AY69"/>
    <mergeCell ref="R1:S1"/>
  </mergeCells>
  <conditionalFormatting sqref="U3:AY6">
    <cfRule type="expression" priority="1" dxfId="3">
      <formula>AND(U3&lt;&gt;"",U3&gt;$H3)</formula>
    </cfRule>
    <cfRule type="expression" priority="2" dxfId="4">
      <formula>AND(U3&gt;0,U3&gt;=$H3*0.8)</formula>
    </cfRule>
  </conditionalFormatting>
  <conditionalFormatting sqref="U3:AY312">
    <cfRule type="expression" priority="3" dxfId="5">
      <formula>U$2=""</formula>
    </cfRule>
    <cfRule type="expression" priority="4" dxfId="6">
      <formula>AND(U$2&lt;&gt;"",OR(WEEKDAY(U$2,2)&gt;5,COUNTIF($B$317:$B$331,U$2)&gt;0))</formula>
    </cfRule>
  </conditionalFormatting>
  <conditionalFormatting sqref="U9:AY312">
    <cfRule type="expression" priority="5" dxfId="7">
      <formula>AND(U9&lt;&gt;"",$G9&lt;&gt;"",U$2&lt;&gt;"",U$2&gt;$G9)</formula>
    </cfRule>
    <cfRule type="expression" priority="6" dxfId="8">
      <formula>AND($F9&lt;&gt;"",U9&lt;&gt;"",SUMIF($F$9:$F$312,$F9,U$9:U$312)&gt;$B$315)</formula>
    </cfRule>
    <cfRule type="expression" priority="7" dxfId="9">
      <formula>AND($E9="기획",U9&lt;&gt;"")</formula>
    </cfRule>
    <cfRule type="expression" priority="8" dxfId="10">
      <formula>AND($E9="이미지",U9&lt;&gt;"")</formula>
    </cfRule>
    <cfRule type="expression" priority="9" dxfId="11">
      <formula>AND($E9="영상",U9&lt;&gt;"")</formula>
    </cfRule>
  </conditionalFormatting>
  <conditionalFormatting sqref="H9:I312">
    <cfRule type="expression" priority="10" dxfId="12">
      <formula>AND($I9&lt;&gt;"",$I9&lt;0)</formula>
    </cfRule>
    <cfRule type="expression" priority="11" dxfId="13">
      <formula>AND($I9&lt;&gt;"",$I9&lt;=1)</formula>
    </cfRule>
    <cfRule type="expression" priority="12" dxfId="14">
      <formula>$I9&lt;&gt;""</formula>
    </cfRule>
  </conditionalFormatting>
  <dataValidations count="2">
    <dataValidation sqref="B9:B312" showDropDown="0" showInputMessage="0" showErrorMessage="0" allowBlank="1" type="list">
      <formula1>'마스터'!$A$3:$A$12</formula1>
    </dataValidation>
    <dataValidation sqref="R9:R312" showDropDown="0" showInputMessage="0" showErrorMessage="0" allowBlank="1" type="list">
      <formula1>'마스터'!$G$3:$G$6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2A44"/>
    <outlinePr summaryBelow="1" summaryRight="1"/>
    <pageSetUpPr/>
  </sheetPr>
  <dimension ref="A1:AY331"/>
  <sheetViews>
    <sheetView workbookViewId="0">
      <pane xSplit="8" ySplit="8" topLeftCell="I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28" customWidth="1" min="4" max="4"/>
    <col width="8" customWidth="1" min="5" max="5"/>
    <col width="10" customWidth="1" min="6" max="6"/>
    <col width="11" customWidth="1" min="7" max="7"/>
    <col width="9" customWidth="1" min="8" max="8"/>
    <col width="8" customWidth="1" min="9" max="9"/>
    <col width="8" customWidth="1" min="10" max="10"/>
    <col width="11" customWidth="1" min="11" max="11"/>
    <col width="8" customWidth="1" min="12" max="12"/>
    <col width="10" customWidth="1" min="13" max="13"/>
    <col width="10" customWidth="1" min="14" max="14"/>
    <col width="6" customWidth="1" min="15" max="15"/>
    <col width="6" customWidth="1" min="16" max="16"/>
    <col width="6" customWidth="1" min="17" max="17"/>
    <col width="8" customWidth="1" min="18" max="18"/>
    <col width="16" customWidth="1" min="19" max="19"/>
    <col width="2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3.6" customWidth="1" min="33" max="33"/>
    <col width="3.6" customWidth="1" min="34" max="34"/>
    <col width="3.6" customWidth="1" min="35" max="35"/>
    <col width="3.6" customWidth="1" min="36" max="36"/>
    <col width="3.6" customWidth="1" min="37" max="37"/>
    <col width="3.6" customWidth="1" min="38" max="38"/>
    <col width="3.6" customWidth="1" min="39" max="39"/>
    <col width="3.6" customWidth="1" min="40" max="40"/>
    <col width="3.6" customWidth="1" min="41" max="41"/>
    <col width="3.6" customWidth="1" min="42" max="42"/>
    <col width="3.6" customWidth="1" min="43" max="43"/>
    <col width="3.6" customWidth="1" min="44" max="44"/>
    <col width="3.6" customWidth="1" min="45" max="45"/>
    <col width="3.6" customWidth="1" min="46" max="46"/>
    <col width="3.6" customWidth="1" min="47" max="47"/>
    <col width="3.6" customWidth="1" min="48" max="48"/>
    <col width="3.6" customWidth="1" min="49" max="49"/>
    <col width="3.6" customWidth="1" min="50" max="50"/>
    <col width="3.6" customWidth="1" min="51" max="51"/>
  </cols>
  <sheetData>
    <row r="1" ht="22" customHeight="1">
      <c r="A1" s="27" t="inlineStr">
        <is>
          <t>2월 소재 정보  (소재 1개 = 기획/이미지/영상 3줄)</t>
        </is>
      </c>
      <c r="B1" s="8" t="n"/>
      <c r="C1" s="8" t="n"/>
      <c r="D1" s="8" t="n"/>
      <c r="E1" s="8" t="n"/>
      <c r="F1" s="4" t="n"/>
      <c r="G1" s="28" t="inlineStr">
        <is>
          <t>고객사 전달일 기준 (자동)</t>
        </is>
      </c>
      <c r="H1" s="8" t="n"/>
      <c r="I1" s="8" t="n"/>
      <c r="J1" s="8" t="n"/>
      <c r="K1" s="4" t="n"/>
      <c r="L1" s="29" t="inlineStr">
        <is>
          <t>직군별 집계 (자동)</t>
        </is>
      </c>
      <c r="M1" s="8" t="n"/>
      <c r="N1" s="4" t="n"/>
      <c r="O1" s="30" t="inlineStr">
        <is>
          <t>수량 (소재당 1번)</t>
        </is>
      </c>
      <c r="P1" s="8" t="n"/>
      <c r="Q1" s="4" t="n"/>
      <c r="R1" s="31" t="inlineStr">
        <is>
          <t>관리</t>
        </is>
      </c>
      <c r="S1" s="4" t="n"/>
      <c r="U1" s="32" t="inlineStr">
        <is>
          <t>2월 간트 - 날짜 칸에 실제 MD 직접 입력   |   상단 4줄 = 일자별 직군 TO 상태</t>
        </is>
      </c>
      <c r="V1" s="8" t="n"/>
      <c r="W1" s="8" t="n"/>
      <c r="X1" s="8" t="n"/>
      <c r="Y1" s="8" t="n"/>
      <c r="Z1" s="8" t="n"/>
      <c r="AA1" s="8" t="n"/>
      <c r="AB1" s="8" t="n"/>
      <c r="AC1" s="8" t="n"/>
      <c r="AD1" s="8" t="n"/>
      <c r="AE1" s="8" t="n"/>
      <c r="AF1" s="8" t="n"/>
      <c r="AG1" s="8" t="n"/>
      <c r="AH1" s="8" t="n"/>
      <c r="AI1" s="8" t="n"/>
      <c r="AJ1" s="8" t="n"/>
      <c r="AK1" s="8" t="n"/>
      <c r="AL1" s="8" t="n"/>
      <c r="AM1" s="8" t="n"/>
      <c r="AN1" s="8" t="n"/>
      <c r="AO1" s="8" t="n"/>
      <c r="AP1" s="8" t="n"/>
      <c r="AQ1" s="8" t="n"/>
      <c r="AR1" s="8" t="n"/>
      <c r="AS1" s="8" t="n"/>
      <c r="AT1" s="8" t="n"/>
      <c r="AU1" s="8" t="n"/>
      <c r="AV1" s="8" t="n"/>
      <c r="AW1" s="8" t="n"/>
      <c r="AX1" s="8" t="n"/>
      <c r="AY1" s="4" t="n"/>
    </row>
    <row r="2" ht="30" customHeight="1">
      <c r="A2" s="17" t="inlineStr">
        <is>
          <t>No</t>
        </is>
      </c>
      <c r="B2" s="17" t="inlineStr">
        <is>
          <t>게임 타이틀</t>
        </is>
      </c>
      <c r="C2" s="17" t="inlineStr">
        <is>
          <t>고객팀</t>
        </is>
      </c>
      <c r="D2" s="17" t="inlineStr">
        <is>
          <t>소재명(업무명)</t>
        </is>
      </c>
      <c r="E2" s="17" t="inlineStr">
        <is>
          <t>직군</t>
        </is>
      </c>
      <c r="F2" s="17" t="inlineStr">
        <is>
          <t>담당자</t>
        </is>
      </c>
      <c r="G2" s="17" t="inlineStr">
        <is>
          <t>고객사
전달일</t>
        </is>
      </c>
      <c r="H2" s="17" t="inlineStr">
        <is>
          <t>신호</t>
        </is>
      </c>
      <c r="I2" s="17" t="inlineStr">
        <is>
          <t>전달일
여유</t>
        </is>
      </c>
      <c r="J2" s="17" t="inlineStr">
        <is>
          <t>소재
총MD</t>
        </is>
      </c>
      <c r="K2" s="17" t="inlineStr">
        <is>
          <t>소재
최종완료</t>
        </is>
      </c>
      <c r="L2" s="17" t="inlineStr">
        <is>
          <t>직군
MD</t>
        </is>
      </c>
      <c r="M2" s="17" t="inlineStr">
        <is>
          <t>직군
시작일</t>
        </is>
      </c>
      <c r="N2" s="17" t="inlineStr">
        <is>
          <t>직군
완료일</t>
        </is>
      </c>
      <c r="O2" s="17" t="inlineStr">
        <is>
          <t>영상
수</t>
        </is>
      </c>
      <c r="P2" s="17" t="inlineStr">
        <is>
          <t>사이즈
베리</t>
        </is>
      </c>
      <c r="Q2" s="17" t="inlineStr">
        <is>
          <t>다국어
베리</t>
        </is>
      </c>
      <c r="R2" s="17" t="inlineStr">
        <is>
          <t>상태</t>
        </is>
      </c>
      <c r="S2" s="17" t="inlineStr">
        <is>
          <t>비고</t>
        </is>
      </c>
      <c r="U2" s="33">
        <f>IF(MONTH(DATE('마스터'!$J$3,2,1)+0)=2,DATE('마스터'!$J$3,2,1)+0,"")</f>
        <v/>
      </c>
      <c r="V2" s="33">
        <f>IF(MONTH(DATE('마스터'!$J$3,2,1)+1)=2,DATE('마스터'!$J$3,2,1)+1,"")</f>
        <v/>
      </c>
      <c r="W2" s="33">
        <f>IF(MONTH(DATE('마스터'!$J$3,2,1)+2)=2,DATE('마스터'!$J$3,2,1)+2,"")</f>
        <v/>
      </c>
      <c r="X2" s="33">
        <f>IF(MONTH(DATE('마스터'!$J$3,2,1)+3)=2,DATE('마스터'!$J$3,2,1)+3,"")</f>
        <v/>
      </c>
      <c r="Y2" s="33">
        <f>IF(MONTH(DATE('마스터'!$J$3,2,1)+4)=2,DATE('마스터'!$J$3,2,1)+4,"")</f>
        <v/>
      </c>
      <c r="Z2" s="33">
        <f>IF(MONTH(DATE('마스터'!$J$3,2,1)+5)=2,DATE('마스터'!$J$3,2,1)+5,"")</f>
        <v/>
      </c>
      <c r="AA2" s="33">
        <f>IF(MONTH(DATE('마스터'!$J$3,2,1)+6)=2,DATE('마스터'!$J$3,2,1)+6,"")</f>
        <v/>
      </c>
      <c r="AB2" s="33">
        <f>IF(MONTH(DATE('마스터'!$J$3,2,1)+7)=2,DATE('마스터'!$J$3,2,1)+7,"")</f>
        <v/>
      </c>
      <c r="AC2" s="33">
        <f>IF(MONTH(DATE('마스터'!$J$3,2,1)+8)=2,DATE('마스터'!$J$3,2,1)+8,"")</f>
        <v/>
      </c>
      <c r="AD2" s="33">
        <f>IF(MONTH(DATE('마스터'!$J$3,2,1)+9)=2,DATE('마스터'!$J$3,2,1)+9,"")</f>
        <v/>
      </c>
      <c r="AE2" s="33">
        <f>IF(MONTH(DATE('마스터'!$J$3,2,1)+10)=2,DATE('마스터'!$J$3,2,1)+10,"")</f>
        <v/>
      </c>
      <c r="AF2" s="33">
        <f>IF(MONTH(DATE('마스터'!$J$3,2,1)+11)=2,DATE('마스터'!$J$3,2,1)+11,"")</f>
        <v/>
      </c>
      <c r="AG2" s="33">
        <f>IF(MONTH(DATE('마스터'!$J$3,2,1)+12)=2,DATE('마스터'!$J$3,2,1)+12,"")</f>
        <v/>
      </c>
      <c r="AH2" s="33">
        <f>IF(MONTH(DATE('마스터'!$J$3,2,1)+13)=2,DATE('마스터'!$J$3,2,1)+13,"")</f>
        <v/>
      </c>
      <c r="AI2" s="33">
        <f>IF(MONTH(DATE('마스터'!$J$3,2,1)+14)=2,DATE('마스터'!$J$3,2,1)+14,"")</f>
        <v/>
      </c>
      <c r="AJ2" s="33">
        <f>IF(MONTH(DATE('마스터'!$J$3,2,1)+15)=2,DATE('마스터'!$J$3,2,1)+15,"")</f>
        <v/>
      </c>
      <c r="AK2" s="33">
        <f>IF(MONTH(DATE('마스터'!$J$3,2,1)+16)=2,DATE('마스터'!$J$3,2,1)+16,"")</f>
        <v/>
      </c>
      <c r="AL2" s="33">
        <f>IF(MONTH(DATE('마스터'!$J$3,2,1)+17)=2,DATE('마스터'!$J$3,2,1)+17,"")</f>
        <v/>
      </c>
      <c r="AM2" s="33">
        <f>IF(MONTH(DATE('마스터'!$J$3,2,1)+18)=2,DATE('마스터'!$J$3,2,1)+18,"")</f>
        <v/>
      </c>
      <c r="AN2" s="33">
        <f>IF(MONTH(DATE('마스터'!$J$3,2,1)+19)=2,DATE('마스터'!$J$3,2,1)+19,"")</f>
        <v/>
      </c>
      <c r="AO2" s="33">
        <f>IF(MONTH(DATE('마스터'!$J$3,2,1)+20)=2,DATE('마스터'!$J$3,2,1)+20,"")</f>
        <v/>
      </c>
      <c r="AP2" s="33">
        <f>IF(MONTH(DATE('마스터'!$J$3,2,1)+21)=2,DATE('마스터'!$J$3,2,1)+21,"")</f>
        <v/>
      </c>
      <c r="AQ2" s="33">
        <f>IF(MONTH(DATE('마스터'!$J$3,2,1)+22)=2,DATE('마스터'!$J$3,2,1)+22,"")</f>
        <v/>
      </c>
      <c r="AR2" s="33">
        <f>IF(MONTH(DATE('마스터'!$J$3,2,1)+23)=2,DATE('마스터'!$J$3,2,1)+23,"")</f>
        <v/>
      </c>
      <c r="AS2" s="33">
        <f>IF(MONTH(DATE('마스터'!$J$3,2,1)+24)=2,DATE('마스터'!$J$3,2,1)+24,"")</f>
        <v/>
      </c>
      <c r="AT2" s="33">
        <f>IF(MONTH(DATE('마스터'!$J$3,2,1)+25)=2,DATE('마스터'!$J$3,2,1)+25,"")</f>
        <v/>
      </c>
      <c r="AU2" s="33">
        <f>IF(MONTH(DATE('마스터'!$J$3,2,1)+26)=2,DATE('마스터'!$J$3,2,1)+26,"")</f>
        <v/>
      </c>
      <c r="AV2" s="33">
        <f>IF(MONTH(DATE('마스터'!$J$3,2,1)+27)=2,DATE('마스터'!$J$3,2,1)+27,"")</f>
        <v/>
      </c>
      <c r="AW2" s="33">
        <f>IF(MONTH(DATE('마스터'!$J$3,2,1)+28)=2,DATE('마스터'!$J$3,2,1)+28,"")</f>
        <v/>
      </c>
      <c r="AX2" s="33">
        <f>IF(MONTH(DATE('마스터'!$J$3,2,1)+29)=2,DATE('마스터'!$J$3,2,1)+29,"")</f>
        <v/>
      </c>
      <c r="AY2" s="33">
        <f>IF(MONTH(DATE('마스터'!$J$3,2,1)+30)=2,DATE('마스터'!$J$3,2,1)+30,"")</f>
        <v/>
      </c>
    </row>
    <row r="3" ht="15" customHeight="1">
      <c r="A3" s="5" t="inlineStr">
        <is>
          <t>전체 TO (일자별 부하)</t>
        </is>
      </c>
      <c r="B3" s="8" t="n"/>
      <c r="C3" s="8" t="n"/>
      <c r="D3" s="8" t="n"/>
      <c r="E3" s="8" t="n"/>
      <c r="F3" s="4" t="n"/>
      <c r="G3" s="34" t="inlineStr">
        <is>
          <t>정원</t>
        </is>
      </c>
      <c r="H3" s="35">
        <f>SUM('마스터'!$J$8:$J$10)</f>
        <v/>
      </c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U3" s="37">
        <f>SUM(U$9:U$312)</f>
        <v/>
      </c>
      <c r="V3" s="37">
        <f>SUM(V$9:V$312)</f>
        <v/>
      </c>
      <c r="W3" s="37">
        <f>SUM(W$9:W$312)</f>
        <v/>
      </c>
      <c r="X3" s="37">
        <f>SUM(X$9:X$312)</f>
        <v/>
      </c>
      <c r="Y3" s="37">
        <f>SUM(Y$9:Y$312)</f>
        <v/>
      </c>
      <c r="Z3" s="37">
        <f>SUM(Z$9:Z$312)</f>
        <v/>
      </c>
      <c r="AA3" s="37">
        <f>SUM(AA$9:AA$312)</f>
        <v/>
      </c>
      <c r="AB3" s="37">
        <f>SUM(AB$9:AB$312)</f>
        <v/>
      </c>
      <c r="AC3" s="37">
        <f>SUM(AC$9:AC$312)</f>
        <v/>
      </c>
      <c r="AD3" s="37">
        <f>SUM(AD$9:AD$312)</f>
        <v/>
      </c>
      <c r="AE3" s="37">
        <f>SUM(AE$9:AE$312)</f>
        <v/>
      </c>
      <c r="AF3" s="37">
        <f>SUM(AF$9:AF$312)</f>
        <v/>
      </c>
      <c r="AG3" s="37">
        <f>SUM(AG$9:AG$312)</f>
        <v/>
      </c>
      <c r="AH3" s="37">
        <f>SUM(AH$9:AH$312)</f>
        <v/>
      </c>
      <c r="AI3" s="37">
        <f>SUM(AI$9:AI$312)</f>
        <v/>
      </c>
      <c r="AJ3" s="37">
        <f>SUM(AJ$9:AJ$312)</f>
        <v/>
      </c>
      <c r="AK3" s="37">
        <f>SUM(AK$9:AK$312)</f>
        <v/>
      </c>
      <c r="AL3" s="37">
        <f>SUM(AL$9:AL$312)</f>
        <v/>
      </c>
      <c r="AM3" s="37">
        <f>SUM(AM$9:AM$312)</f>
        <v/>
      </c>
      <c r="AN3" s="37">
        <f>SUM(AN$9:AN$312)</f>
        <v/>
      </c>
      <c r="AO3" s="37">
        <f>SUM(AO$9:AO$312)</f>
        <v/>
      </c>
      <c r="AP3" s="37">
        <f>SUM(AP$9:AP$312)</f>
        <v/>
      </c>
      <c r="AQ3" s="37">
        <f>SUM(AQ$9:AQ$312)</f>
        <v/>
      </c>
      <c r="AR3" s="37">
        <f>SUM(AR$9:AR$312)</f>
        <v/>
      </c>
      <c r="AS3" s="37">
        <f>SUM(AS$9:AS$312)</f>
        <v/>
      </c>
      <c r="AT3" s="37">
        <f>SUM(AT$9:AT$312)</f>
        <v/>
      </c>
      <c r="AU3" s="37">
        <f>SUM(AU$9:AU$312)</f>
        <v/>
      </c>
      <c r="AV3" s="37">
        <f>SUM(AV$9:AV$312)</f>
        <v/>
      </c>
      <c r="AW3" s="37">
        <f>SUM(AW$9:AW$312)</f>
        <v/>
      </c>
      <c r="AX3" s="37">
        <f>SUM(AX$9:AX$312)</f>
        <v/>
      </c>
      <c r="AY3" s="37">
        <f>SUM(AY$9:AY$312)</f>
        <v/>
      </c>
    </row>
    <row r="4" ht="15" customHeight="1">
      <c r="A4" s="5" t="inlineStr">
        <is>
          <t>영상 TO</t>
        </is>
      </c>
      <c r="B4" s="8" t="n"/>
      <c r="C4" s="8" t="n"/>
      <c r="D4" s="8" t="n"/>
      <c r="E4" s="8" t="n"/>
      <c r="F4" s="4" t="n"/>
      <c r="G4" s="34" t="inlineStr">
        <is>
          <t>정원</t>
        </is>
      </c>
      <c r="H4" s="35">
        <f>'마스터'!$J$8</f>
        <v/>
      </c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U4" s="37">
        <f>SUMIF($E$9:$E$312,"영상",U$9:U$312)</f>
        <v/>
      </c>
      <c r="V4" s="37">
        <f>SUMIF($E$9:$E$312,"영상",V$9:V$312)</f>
        <v/>
      </c>
      <c r="W4" s="37">
        <f>SUMIF($E$9:$E$312,"영상",W$9:W$312)</f>
        <v/>
      </c>
      <c r="X4" s="37">
        <f>SUMIF($E$9:$E$312,"영상",X$9:X$312)</f>
        <v/>
      </c>
      <c r="Y4" s="37">
        <f>SUMIF($E$9:$E$312,"영상",Y$9:Y$312)</f>
        <v/>
      </c>
      <c r="Z4" s="37">
        <f>SUMIF($E$9:$E$312,"영상",Z$9:Z$312)</f>
        <v/>
      </c>
      <c r="AA4" s="37">
        <f>SUMIF($E$9:$E$312,"영상",AA$9:AA$312)</f>
        <v/>
      </c>
      <c r="AB4" s="37">
        <f>SUMIF($E$9:$E$312,"영상",AB$9:AB$312)</f>
        <v/>
      </c>
      <c r="AC4" s="37">
        <f>SUMIF($E$9:$E$312,"영상",AC$9:AC$312)</f>
        <v/>
      </c>
      <c r="AD4" s="37">
        <f>SUMIF($E$9:$E$312,"영상",AD$9:AD$312)</f>
        <v/>
      </c>
      <c r="AE4" s="37">
        <f>SUMIF($E$9:$E$312,"영상",AE$9:AE$312)</f>
        <v/>
      </c>
      <c r="AF4" s="37">
        <f>SUMIF($E$9:$E$312,"영상",AF$9:AF$312)</f>
        <v/>
      </c>
      <c r="AG4" s="37">
        <f>SUMIF($E$9:$E$312,"영상",AG$9:AG$312)</f>
        <v/>
      </c>
      <c r="AH4" s="37">
        <f>SUMIF($E$9:$E$312,"영상",AH$9:AH$312)</f>
        <v/>
      </c>
      <c r="AI4" s="37">
        <f>SUMIF($E$9:$E$312,"영상",AI$9:AI$312)</f>
        <v/>
      </c>
      <c r="AJ4" s="37">
        <f>SUMIF($E$9:$E$312,"영상",AJ$9:AJ$312)</f>
        <v/>
      </c>
      <c r="AK4" s="37">
        <f>SUMIF($E$9:$E$312,"영상",AK$9:AK$312)</f>
        <v/>
      </c>
      <c r="AL4" s="37">
        <f>SUMIF($E$9:$E$312,"영상",AL$9:AL$312)</f>
        <v/>
      </c>
      <c r="AM4" s="37">
        <f>SUMIF($E$9:$E$312,"영상",AM$9:AM$312)</f>
        <v/>
      </c>
      <c r="AN4" s="37">
        <f>SUMIF($E$9:$E$312,"영상",AN$9:AN$312)</f>
        <v/>
      </c>
      <c r="AO4" s="37">
        <f>SUMIF($E$9:$E$312,"영상",AO$9:AO$312)</f>
        <v/>
      </c>
      <c r="AP4" s="37">
        <f>SUMIF($E$9:$E$312,"영상",AP$9:AP$312)</f>
        <v/>
      </c>
      <c r="AQ4" s="37">
        <f>SUMIF($E$9:$E$312,"영상",AQ$9:AQ$312)</f>
        <v/>
      </c>
      <c r="AR4" s="37">
        <f>SUMIF($E$9:$E$312,"영상",AR$9:AR$312)</f>
        <v/>
      </c>
      <c r="AS4" s="37">
        <f>SUMIF($E$9:$E$312,"영상",AS$9:AS$312)</f>
        <v/>
      </c>
      <c r="AT4" s="37">
        <f>SUMIF($E$9:$E$312,"영상",AT$9:AT$312)</f>
        <v/>
      </c>
      <c r="AU4" s="37">
        <f>SUMIF($E$9:$E$312,"영상",AU$9:AU$312)</f>
        <v/>
      </c>
      <c r="AV4" s="37">
        <f>SUMIF($E$9:$E$312,"영상",AV$9:AV$312)</f>
        <v/>
      </c>
      <c r="AW4" s="37">
        <f>SUMIF($E$9:$E$312,"영상",AW$9:AW$312)</f>
        <v/>
      </c>
      <c r="AX4" s="37">
        <f>SUMIF($E$9:$E$312,"영상",AX$9:AX$312)</f>
        <v/>
      </c>
      <c r="AY4" s="37">
        <f>SUMIF($E$9:$E$312,"영상",AY$9:AY$312)</f>
        <v/>
      </c>
    </row>
    <row r="5" ht="15" customHeight="1">
      <c r="A5" s="5" t="inlineStr">
        <is>
          <t>이미지 TO</t>
        </is>
      </c>
      <c r="B5" s="8" t="n"/>
      <c r="C5" s="8" t="n"/>
      <c r="D5" s="8" t="n"/>
      <c r="E5" s="8" t="n"/>
      <c r="F5" s="4" t="n"/>
      <c r="G5" s="34" t="inlineStr">
        <is>
          <t>정원</t>
        </is>
      </c>
      <c r="H5" s="35">
        <f>'마스터'!$J$9</f>
        <v/>
      </c>
      <c r="I5" s="36" t="n"/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  <c r="S5" s="36" t="n"/>
      <c r="U5" s="37">
        <f>SUMIF($E$9:$E$312,"이미지",U$9:U$312)</f>
        <v/>
      </c>
      <c r="V5" s="37">
        <f>SUMIF($E$9:$E$312,"이미지",V$9:V$312)</f>
        <v/>
      </c>
      <c r="W5" s="37">
        <f>SUMIF($E$9:$E$312,"이미지",W$9:W$312)</f>
        <v/>
      </c>
      <c r="X5" s="37">
        <f>SUMIF($E$9:$E$312,"이미지",X$9:X$312)</f>
        <v/>
      </c>
      <c r="Y5" s="37">
        <f>SUMIF($E$9:$E$312,"이미지",Y$9:Y$312)</f>
        <v/>
      </c>
      <c r="Z5" s="37">
        <f>SUMIF($E$9:$E$312,"이미지",Z$9:Z$312)</f>
        <v/>
      </c>
      <c r="AA5" s="37">
        <f>SUMIF($E$9:$E$312,"이미지",AA$9:AA$312)</f>
        <v/>
      </c>
      <c r="AB5" s="37">
        <f>SUMIF($E$9:$E$312,"이미지",AB$9:AB$312)</f>
        <v/>
      </c>
      <c r="AC5" s="37">
        <f>SUMIF($E$9:$E$312,"이미지",AC$9:AC$312)</f>
        <v/>
      </c>
      <c r="AD5" s="37">
        <f>SUMIF($E$9:$E$312,"이미지",AD$9:AD$312)</f>
        <v/>
      </c>
      <c r="AE5" s="37">
        <f>SUMIF($E$9:$E$312,"이미지",AE$9:AE$312)</f>
        <v/>
      </c>
      <c r="AF5" s="37">
        <f>SUMIF($E$9:$E$312,"이미지",AF$9:AF$312)</f>
        <v/>
      </c>
      <c r="AG5" s="37">
        <f>SUMIF($E$9:$E$312,"이미지",AG$9:AG$312)</f>
        <v/>
      </c>
      <c r="AH5" s="37">
        <f>SUMIF($E$9:$E$312,"이미지",AH$9:AH$312)</f>
        <v/>
      </c>
      <c r="AI5" s="37">
        <f>SUMIF($E$9:$E$312,"이미지",AI$9:AI$312)</f>
        <v/>
      </c>
      <c r="AJ5" s="37">
        <f>SUMIF($E$9:$E$312,"이미지",AJ$9:AJ$312)</f>
        <v/>
      </c>
      <c r="AK5" s="37">
        <f>SUMIF($E$9:$E$312,"이미지",AK$9:AK$312)</f>
        <v/>
      </c>
      <c r="AL5" s="37">
        <f>SUMIF($E$9:$E$312,"이미지",AL$9:AL$312)</f>
        <v/>
      </c>
      <c r="AM5" s="37">
        <f>SUMIF($E$9:$E$312,"이미지",AM$9:AM$312)</f>
        <v/>
      </c>
      <c r="AN5" s="37">
        <f>SUMIF($E$9:$E$312,"이미지",AN$9:AN$312)</f>
        <v/>
      </c>
      <c r="AO5" s="37">
        <f>SUMIF($E$9:$E$312,"이미지",AO$9:AO$312)</f>
        <v/>
      </c>
      <c r="AP5" s="37">
        <f>SUMIF($E$9:$E$312,"이미지",AP$9:AP$312)</f>
        <v/>
      </c>
      <c r="AQ5" s="37">
        <f>SUMIF($E$9:$E$312,"이미지",AQ$9:AQ$312)</f>
        <v/>
      </c>
      <c r="AR5" s="37">
        <f>SUMIF($E$9:$E$312,"이미지",AR$9:AR$312)</f>
        <v/>
      </c>
      <c r="AS5" s="37">
        <f>SUMIF($E$9:$E$312,"이미지",AS$9:AS$312)</f>
        <v/>
      </c>
      <c r="AT5" s="37">
        <f>SUMIF($E$9:$E$312,"이미지",AT$9:AT$312)</f>
        <v/>
      </c>
      <c r="AU5" s="37">
        <f>SUMIF($E$9:$E$312,"이미지",AU$9:AU$312)</f>
        <v/>
      </c>
      <c r="AV5" s="37">
        <f>SUMIF($E$9:$E$312,"이미지",AV$9:AV$312)</f>
        <v/>
      </c>
      <c r="AW5" s="37">
        <f>SUMIF($E$9:$E$312,"이미지",AW$9:AW$312)</f>
        <v/>
      </c>
      <c r="AX5" s="37">
        <f>SUMIF($E$9:$E$312,"이미지",AX$9:AX$312)</f>
        <v/>
      </c>
      <c r="AY5" s="37">
        <f>SUMIF($E$9:$E$312,"이미지",AY$9:AY$312)</f>
        <v/>
      </c>
    </row>
    <row r="6" ht="15" customHeight="1">
      <c r="A6" s="5" t="inlineStr">
        <is>
          <t>기획 TO</t>
        </is>
      </c>
      <c r="B6" s="8" t="n"/>
      <c r="C6" s="8" t="n"/>
      <c r="D6" s="8" t="n"/>
      <c r="E6" s="8" t="n"/>
      <c r="F6" s="4" t="n"/>
      <c r="G6" s="34" t="inlineStr">
        <is>
          <t>정원</t>
        </is>
      </c>
      <c r="H6" s="35">
        <f>'마스터'!$J$10</f>
        <v/>
      </c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6" t="n"/>
      <c r="S6" s="36" t="n"/>
      <c r="U6" s="37">
        <f>SUMIF($E$9:$E$312,"기획",U$9:U$312)</f>
        <v/>
      </c>
      <c r="V6" s="37">
        <f>SUMIF($E$9:$E$312,"기획",V$9:V$312)</f>
        <v/>
      </c>
      <c r="W6" s="37">
        <f>SUMIF($E$9:$E$312,"기획",W$9:W$312)</f>
        <v/>
      </c>
      <c r="X6" s="37">
        <f>SUMIF($E$9:$E$312,"기획",X$9:X$312)</f>
        <v/>
      </c>
      <c r="Y6" s="37">
        <f>SUMIF($E$9:$E$312,"기획",Y$9:Y$312)</f>
        <v/>
      </c>
      <c r="Z6" s="37">
        <f>SUMIF($E$9:$E$312,"기획",Z$9:Z$312)</f>
        <v/>
      </c>
      <c r="AA6" s="37">
        <f>SUMIF($E$9:$E$312,"기획",AA$9:AA$312)</f>
        <v/>
      </c>
      <c r="AB6" s="37">
        <f>SUMIF($E$9:$E$312,"기획",AB$9:AB$312)</f>
        <v/>
      </c>
      <c r="AC6" s="37">
        <f>SUMIF($E$9:$E$312,"기획",AC$9:AC$312)</f>
        <v/>
      </c>
      <c r="AD6" s="37">
        <f>SUMIF($E$9:$E$312,"기획",AD$9:AD$312)</f>
        <v/>
      </c>
      <c r="AE6" s="37">
        <f>SUMIF($E$9:$E$312,"기획",AE$9:AE$312)</f>
        <v/>
      </c>
      <c r="AF6" s="37">
        <f>SUMIF($E$9:$E$312,"기획",AF$9:AF$312)</f>
        <v/>
      </c>
      <c r="AG6" s="37">
        <f>SUMIF($E$9:$E$312,"기획",AG$9:AG$312)</f>
        <v/>
      </c>
      <c r="AH6" s="37">
        <f>SUMIF($E$9:$E$312,"기획",AH$9:AH$312)</f>
        <v/>
      </c>
      <c r="AI6" s="37">
        <f>SUMIF($E$9:$E$312,"기획",AI$9:AI$312)</f>
        <v/>
      </c>
      <c r="AJ6" s="37">
        <f>SUMIF($E$9:$E$312,"기획",AJ$9:AJ$312)</f>
        <v/>
      </c>
      <c r="AK6" s="37">
        <f>SUMIF($E$9:$E$312,"기획",AK$9:AK$312)</f>
        <v/>
      </c>
      <c r="AL6" s="37">
        <f>SUMIF($E$9:$E$312,"기획",AL$9:AL$312)</f>
        <v/>
      </c>
      <c r="AM6" s="37">
        <f>SUMIF($E$9:$E$312,"기획",AM$9:AM$312)</f>
        <v/>
      </c>
      <c r="AN6" s="37">
        <f>SUMIF($E$9:$E$312,"기획",AN$9:AN$312)</f>
        <v/>
      </c>
      <c r="AO6" s="37">
        <f>SUMIF($E$9:$E$312,"기획",AO$9:AO$312)</f>
        <v/>
      </c>
      <c r="AP6" s="37">
        <f>SUMIF($E$9:$E$312,"기획",AP$9:AP$312)</f>
        <v/>
      </c>
      <c r="AQ6" s="37">
        <f>SUMIF($E$9:$E$312,"기획",AQ$9:AQ$312)</f>
        <v/>
      </c>
      <c r="AR6" s="37">
        <f>SUMIF($E$9:$E$312,"기획",AR$9:AR$312)</f>
        <v/>
      </c>
      <c r="AS6" s="37">
        <f>SUMIF($E$9:$E$312,"기획",AS$9:AS$312)</f>
        <v/>
      </c>
      <c r="AT6" s="37">
        <f>SUMIF($E$9:$E$312,"기획",AT$9:AT$312)</f>
        <v/>
      </c>
      <c r="AU6" s="37">
        <f>SUMIF($E$9:$E$312,"기획",AU$9:AU$312)</f>
        <v/>
      </c>
      <c r="AV6" s="37">
        <f>SUMIF($E$9:$E$312,"기획",AV$9:AV$312)</f>
        <v/>
      </c>
      <c r="AW6" s="37">
        <f>SUMIF($E$9:$E$312,"기획",AW$9:AW$312)</f>
        <v/>
      </c>
      <c r="AX6" s="37">
        <f>SUMIF($E$9:$E$312,"기획",AX$9:AX$312)</f>
        <v/>
      </c>
      <c r="AY6" s="37">
        <f>SUMIF($E$9:$E$312,"기획",AY$9:AY$312)</f>
        <v/>
      </c>
    </row>
    <row r="7">
      <c r="A7" s="38" t="inlineStr">
        <is>
          <t>▼ 아래부터 입력. 노란칸=직접 입력 / 회색칸=자동(건드리지 마세요)</t>
        </is>
      </c>
    </row>
    <row r="8" ht="18" customHeight="1">
      <c r="A8" s="39" t="inlineStr">
        <is>
          <t>마케팅1팀   (9~68행 · 소재 20개)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4" t="n"/>
    </row>
    <row r="9" ht="15" customHeight="1">
      <c r="A9" s="40">
        <f>IF($D$9="","",1)</f>
        <v/>
      </c>
      <c r="B9" s="10" t="n"/>
      <c r="C9" s="41" t="inlineStr">
        <is>
          <t>마케팅1팀</t>
        </is>
      </c>
      <c r="D9" s="42" t="n"/>
      <c r="E9" s="43" t="inlineStr">
        <is>
          <t>기획</t>
        </is>
      </c>
      <c r="F9" s="44" t="n"/>
      <c r="G9" s="45" t="n"/>
      <c r="H9" s="46">
        <f>IF($I$9="","",IF($I$9&lt;0,"🔴지연",IF($I$9&lt;=1,"🟡임박","🟢여유")))</f>
        <v/>
      </c>
      <c r="I9" s="47">
        <f>IF(OR($G$9="",$K$9=""),"",$G$9-$K$9)</f>
        <v/>
      </c>
      <c r="J9" s="48">
        <f>IF(SUM($L$9:$L$11)=0,"",SUM($L$9:$L$11))</f>
        <v/>
      </c>
      <c r="K9" s="49">
        <f>IF($J$9="","",MAX($N$9:$N$11))</f>
        <v/>
      </c>
      <c r="L9" s="50">
        <f>IF(SUM(U9:AY9)=0,"",SUM(U9:AY9))</f>
        <v/>
      </c>
      <c r="M9" s="51">
        <f>IFERROR(INDEX(U$2:AY$2,MATCH(TRUE,INDEX(U9:AY9&lt;&gt;"",0),0)),"")</f>
        <v/>
      </c>
      <c r="N9" s="51">
        <f>IFERROR(LOOKUP(2,1/(U9:AY9&lt;&gt;""),U$2:AY$2),"")</f>
        <v/>
      </c>
      <c r="O9" s="52" t="n"/>
      <c r="P9" s="52" t="n"/>
      <c r="Q9" s="52" t="n"/>
      <c r="R9" s="44" t="n"/>
      <c r="S9" s="14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</row>
    <row r="10" ht="15" customHeight="1">
      <c r="A10" s="54" t="n"/>
      <c r="B10" s="55">
        <f>IF($B$9="","",$B$9)</f>
        <v/>
      </c>
      <c r="C10" s="56" t="inlineStr">
        <is>
          <t>마케팅1팀</t>
        </is>
      </c>
      <c r="D10" s="55">
        <f>IF($D$9="","",$D$9)</f>
        <v/>
      </c>
      <c r="E10" s="57" t="inlineStr">
        <is>
          <t>이미지</t>
        </is>
      </c>
      <c r="F10" s="44" t="n"/>
      <c r="G10" s="58">
        <f>IF($G$9="","",$G$9)</f>
        <v/>
      </c>
      <c r="H10" s="59" t="n"/>
      <c r="I10" s="59" t="n"/>
      <c r="J10" s="59" t="n"/>
      <c r="K10" s="59" t="n"/>
      <c r="L10" s="60">
        <f>IF(SUM(U10:AY10)=0,"",SUM(U10:AY10))</f>
        <v/>
      </c>
      <c r="M10" s="61">
        <f>IFERROR(INDEX(U$2:AY$2,MATCH(TRUE,INDEX(U10:AY10&lt;&gt;"",0),0)),"")</f>
        <v/>
      </c>
      <c r="N10" s="61">
        <f>IFERROR(LOOKUP(2,1/(U10:AY10&lt;&gt;""),U$2:AY$2),"")</f>
        <v/>
      </c>
      <c r="O10" s="59" t="n"/>
      <c r="P10" s="59" t="n"/>
      <c r="Q10" s="59" t="n"/>
      <c r="R10" s="59" t="n"/>
      <c r="S10" s="14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</row>
    <row r="11" ht="15" customHeight="1">
      <c r="A11" s="62" t="n"/>
      <c r="B11" s="55">
        <f>IF($B$9="","",$B$9)</f>
        <v/>
      </c>
      <c r="C11" s="63" t="inlineStr">
        <is>
          <t>마케팅1팀</t>
        </is>
      </c>
      <c r="D11" s="55">
        <f>IF($D$9="","",$D$9)</f>
        <v/>
      </c>
      <c r="E11" s="64" t="inlineStr">
        <is>
          <t>영상</t>
        </is>
      </c>
      <c r="F11" s="44" t="n"/>
      <c r="G11" s="58">
        <f>IF($G$9="","",$G$9)</f>
        <v/>
      </c>
      <c r="H11" s="59" t="n"/>
      <c r="I11" s="59" t="n"/>
      <c r="J11" s="59" t="n"/>
      <c r="K11" s="59" t="n"/>
      <c r="L11" s="65">
        <f>IF(SUM(U11:AY11)=0,"",SUM(U11:AY11))</f>
        <v/>
      </c>
      <c r="M11" s="66">
        <f>IFERROR(INDEX(U$2:AY$2,MATCH(TRUE,INDEX(U11:AY11&lt;&gt;"",0),0)),"")</f>
        <v/>
      </c>
      <c r="N11" s="66">
        <f>IFERROR(LOOKUP(2,1/(U11:AY11&lt;&gt;""),U$2:AY$2),"")</f>
        <v/>
      </c>
      <c r="O11" s="59" t="n"/>
      <c r="P11" s="59" t="n"/>
      <c r="Q11" s="59" t="n"/>
      <c r="R11" s="59" t="n"/>
      <c r="S11" s="14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</row>
    <row r="12" ht="15" customHeight="1">
      <c r="A12" s="40">
        <f>IF($D$12="","",2)</f>
        <v/>
      </c>
      <c r="B12" s="10" t="n"/>
      <c r="C12" s="41" t="inlineStr">
        <is>
          <t>마케팅1팀</t>
        </is>
      </c>
      <c r="D12" s="42" t="n"/>
      <c r="E12" s="43" t="inlineStr">
        <is>
          <t>기획</t>
        </is>
      </c>
      <c r="F12" s="44" t="n"/>
      <c r="G12" s="45" t="n"/>
      <c r="H12" s="46">
        <f>IF($I$12="","",IF($I$12&lt;0,"🔴지연",IF($I$12&lt;=1,"🟡임박","🟢여유")))</f>
        <v/>
      </c>
      <c r="I12" s="47">
        <f>IF(OR($G$12="",$K$12=""),"",$G$12-$K$12)</f>
        <v/>
      </c>
      <c r="J12" s="48">
        <f>IF(SUM($L$12:$L$14)=0,"",SUM($L$12:$L$14))</f>
        <v/>
      </c>
      <c r="K12" s="49">
        <f>IF($J$12="","",MAX($N$12:$N$14))</f>
        <v/>
      </c>
      <c r="L12" s="50">
        <f>IF(SUM(U12:AY12)=0,"",SUM(U12:AY12))</f>
        <v/>
      </c>
      <c r="M12" s="51">
        <f>IFERROR(INDEX(U$2:AY$2,MATCH(TRUE,INDEX(U12:AY12&lt;&gt;"",0),0)),"")</f>
        <v/>
      </c>
      <c r="N12" s="51">
        <f>IFERROR(LOOKUP(2,1/(U12:AY12&lt;&gt;""),U$2:AY$2),"")</f>
        <v/>
      </c>
      <c r="O12" s="52" t="n"/>
      <c r="P12" s="52" t="n"/>
      <c r="Q12" s="52" t="n"/>
      <c r="R12" s="44" t="n"/>
      <c r="S12" s="14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</row>
    <row r="13" ht="15" customHeight="1">
      <c r="A13" s="54" t="n"/>
      <c r="B13" s="55">
        <f>IF($B$12="","",$B$12)</f>
        <v/>
      </c>
      <c r="C13" s="56" t="inlineStr">
        <is>
          <t>마케팅1팀</t>
        </is>
      </c>
      <c r="D13" s="55">
        <f>IF($D$12="","",$D$12)</f>
        <v/>
      </c>
      <c r="E13" s="57" t="inlineStr">
        <is>
          <t>이미지</t>
        </is>
      </c>
      <c r="F13" s="44" t="n"/>
      <c r="G13" s="58">
        <f>IF($G$12="","",$G$12)</f>
        <v/>
      </c>
      <c r="H13" s="59" t="n"/>
      <c r="I13" s="59" t="n"/>
      <c r="J13" s="59" t="n"/>
      <c r="K13" s="59" t="n"/>
      <c r="L13" s="60">
        <f>IF(SUM(U13:AY13)=0,"",SUM(U13:AY13))</f>
        <v/>
      </c>
      <c r="M13" s="61">
        <f>IFERROR(INDEX(U$2:AY$2,MATCH(TRUE,INDEX(U13:AY13&lt;&gt;"",0),0)),"")</f>
        <v/>
      </c>
      <c r="N13" s="61">
        <f>IFERROR(LOOKUP(2,1/(U13:AY13&lt;&gt;""),U$2:AY$2),"")</f>
        <v/>
      </c>
      <c r="O13" s="59" t="n"/>
      <c r="P13" s="59" t="n"/>
      <c r="Q13" s="59" t="n"/>
      <c r="R13" s="59" t="n"/>
      <c r="S13" s="14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</row>
    <row r="14" ht="15" customHeight="1">
      <c r="A14" s="62" t="n"/>
      <c r="B14" s="55">
        <f>IF($B$12="","",$B$12)</f>
        <v/>
      </c>
      <c r="C14" s="63" t="inlineStr">
        <is>
          <t>마케팅1팀</t>
        </is>
      </c>
      <c r="D14" s="55">
        <f>IF($D$12="","",$D$12)</f>
        <v/>
      </c>
      <c r="E14" s="64" t="inlineStr">
        <is>
          <t>영상</t>
        </is>
      </c>
      <c r="F14" s="44" t="n"/>
      <c r="G14" s="58">
        <f>IF($G$12="","",$G$12)</f>
        <v/>
      </c>
      <c r="H14" s="59" t="n"/>
      <c r="I14" s="59" t="n"/>
      <c r="J14" s="59" t="n"/>
      <c r="K14" s="59" t="n"/>
      <c r="L14" s="65">
        <f>IF(SUM(U14:AY14)=0,"",SUM(U14:AY14))</f>
        <v/>
      </c>
      <c r="M14" s="66">
        <f>IFERROR(INDEX(U$2:AY$2,MATCH(TRUE,INDEX(U14:AY14&lt;&gt;"",0),0)),"")</f>
        <v/>
      </c>
      <c r="N14" s="66">
        <f>IFERROR(LOOKUP(2,1/(U14:AY14&lt;&gt;""),U$2:AY$2),"")</f>
        <v/>
      </c>
      <c r="O14" s="59" t="n"/>
      <c r="P14" s="59" t="n"/>
      <c r="Q14" s="59" t="n"/>
      <c r="R14" s="59" t="n"/>
      <c r="S14" s="14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</row>
    <row r="15" ht="15" customHeight="1">
      <c r="A15" s="40">
        <f>IF($D$15="","",3)</f>
        <v/>
      </c>
      <c r="B15" s="10" t="n"/>
      <c r="C15" s="41" t="inlineStr">
        <is>
          <t>마케팅1팀</t>
        </is>
      </c>
      <c r="D15" s="42" t="n"/>
      <c r="E15" s="43" t="inlineStr">
        <is>
          <t>기획</t>
        </is>
      </c>
      <c r="F15" s="44" t="n"/>
      <c r="G15" s="45" t="n"/>
      <c r="H15" s="46">
        <f>IF($I$15="","",IF($I$15&lt;0,"🔴지연",IF($I$15&lt;=1,"🟡임박","🟢여유")))</f>
        <v/>
      </c>
      <c r="I15" s="47">
        <f>IF(OR($G$15="",$K$15=""),"",$G$15-$K$15)</f>
        <v/>
      </c>
      <c r="J15" s="48">
        <f>IF(SUM($L$15:$L$17)=0,"",SUM($L$15:$L$17))</f>
        <v/>
      </c>
      <c r="K15" s="49">
        <f>IF($J$15="","",MAX($N$15:$N$17))</f>
        <v/>
      </c>
      <c r="L15" s="50">
        <f>IF(SUM(U15:AY15)=0,"",SUM(U15:AY15))</f>
        <v/>
      </c>
      <c r="M15" s="51">
        <f>IFERROR(INDEX(U$2:AY$2,MATCH(TRUE,INDEX(U15:AY15&lt;&gt;"",0),0)),"")</f>
        <v/>
      </c>
      <c r="N15" s="51">
        <f>IFERROR(LOOKUP(2,1/(U15:AY15&lt;&gt;""),U$2:AY$2),"")</f>
        <v/>
      </c>
      <c r="O15" s="52" t="n"/>
      <c r="P15" s="52" t="n"/>
      <c r="Q15" s="52" t="n"/>
      <c r="R15" s="44" t="n"/>
      <c r="S15" s="14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</row>
    <row r="16" ht="15" customHeight="1">
      <c r="A16" s="54" t="n"/>
      <c r="B16" s="55">
        <f>IF($B$15="","",$B$15)</f>
        <v/>
      </c>
      <c r="C16" s="56" t="inlineStr">
        <is>
          <t>마케팅1팀</t>
        </is>
      </c>
      <c r="D16" s="55">
        <f>IF($D$15="","",$D$15)</f>
        <v/>
      </c>
      <c r="E16" s="57" t="inlineStr">
        <is>
          <t>이미지</t>
        </is>
      </c>
      <c r="F16" s="44" t="n"/>
      <c r="G16" s="58">
        <f>IF($G$15="","",$G$15)</f>
        <v/>
      </c>
      <c r="H16" s="59" t="n"/>
      <c r="I16" s="59" t="n"/>
      <c r="J16" s="59" t="n"/>
      <c r="K16" s="59" t="n"/>
      <c r="L16" s="60">
        <f>IF(SUM(U16:AY16)=0,"",SUM(U16:AY16))</f>
        <v/>
      </c>
      <c r="M16" s="61">
        <f>IFERROR(INDEX(U$2:AY$2,MATCH(TRUE,INDEX(U16:AY16&lt;&gt;"",0),0)),"")</f>
        <v/>
      </c>
      <c r="N16" s="61">
        <f>IFERROR(LOOKUP(2,1/(U16:AY16&lt;&gt;""),U$2:AY$2),"")</f>
        <v/>
      </c>
      <c r="O16" s="59" t="n"/>
      <c r="P16" s="59" t="n"/>
      <c r="Q16" s="59" t="n"/>
      <c r="R16" s="59" t="n"/>
      <c r="S16" s="14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</row>
    <row r="17" ht="15" customHeight="1">
      <c r="A17" s="62" t="n"/>
      <c r="B17" s="55">
        <f>IF($B$15="","",$B$15)</f>
        <v/>
      </c>
      <c r="C17" s="63" t="inlineStr">
        <is>
          <t>마케팅1팀</t>
        </is>
      </c>
      <c r="D17" s="55">
        <f>IF($D$15="","",$D$15)</f>
        <v/>
      </c>
      <c r="E17" s="64" t="inlineStr">
        <is>
          <t>영상</t>
        </is>
      </c>
      <c r="F17" s="44" t="n"/>
      <c r="G17" s="58">
        <f>IF($G$15="","",$G$15)</f>
        <v/>
      </c>
      <c r="H17" s="59" t="n"/>
      <c r="I17" s="59" t="n"/>
      <c r="J17" s="59" t="n"/>
      <c r="K17" s="59" t="n"/>
      <c r="L17" s="65">
        <f>IF(SUM(U17:AY17)=0,"",SUM(U17:AY17))</f>
        <v/>
      </c>
      <c r="M17" s="66">
        <f>IFERROR(INDEX(U$2:AY$2,MATCH(TRUE,INDEX(U17:AY17&lt;&gt;"",0),0)),"")</f>
        <v/>
      </c>
      <c r="N17" s="66">
        <f>IFERROR(LOOKUP(2,1/(U17:AY17&lt;&gt;""),U$2:AY$2),"")</f>
        <v/>
      </c>
      <c r="O17" s="59" t="n"/>
      <c r="P17" s="59" t="n"/>
      <c r="Q17" s="59" t="n"/>
      <c r="R17" s="59" t="n"/>
      <c r="S17" s="14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</row>
    <row r="18" ht="15" customHeight="1">
      <c r="A18" s="40">
        <f>IF($D$18="","",4)</f>
        <v/>
      </c>
      <c r="B18" s="10" t="n"/>
      <c r="C18" s="41" t="inlineStr">
        <is>
          <t>마케팅1팀</t>
        </is>
      </c>
      <c r="D18" s="42" t="n"/>
      <c r="E18" s="43" t="inlineStr">
        <is>
          <t>기획</t>
        </is>
      </c>
      <c r="F18" s="44" t="n"/>
      <c r="G18" s="45" t="n"/>
      <c r="H18" s="46">
        <f>IF($I$18="","",IF($I$18&lt;0,"🔴지연",IF($I$18&lt;=1,"🟡임박","🟢여유")))</f>
        <v/>
      </c>
      <c r="I18" s="47">
        <f>IF(OR($G$18="",$K$18=""),"",$G$18-$K$18)</f>
        <v/>
      </c>
      <c r="J18" s="48">
        <f>IF(SUM($L$18:$L$20)=0,"",SUM($L$18:$L$20))</f>
        <v/>
      </c>
      <c r="K18" s="49">
        <f>IF($J$18="","",MAX($N$18:$N$20))</f>
        <v/>
      </c>
      <c r="L18" s="50">
        <f>IF(SUM(U18:AY18)=0,"",SUM(U18:AY18))</f>
        <v/>
      </c>
      <c r="M18" s="51">
        <f>IFERROR(INDEX(U$2:AY$2,MATCH(TRUE,INDEX(U18:AY18&lt;&gt;"",0),0)),"")</f>
        <v/>
      </c>
      <c r="N18" s="51">
        <f>IFERROR(LOOKUP(2,1/(U18:AY18&lt;&gt;""),U$2:AY$2),"")</f>
        <v/>
      </c>
      <c r="O18" s="52" t="n"/>
      <c r="P18" s="52" t="n"/>
      <c r="Q18" s="52" t="n"/>
      <c r="R18" s="44" t="n"/>
      <c r="S18" s="14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</row>
    <row r="19" ht="15" customHeight="1">
      <c r="A19" s="54" t="n"/>
      <c r="B19" s="55">
        <f>IF($B$18="","",$B$18)</f>
        <v/>
      </c>
      <c r="C19" s="56" t="inlineStr">
        <is>
          <t>마케팅1팀</t>
        </is>
      </c>
      <c r="D19" s="55">
        <f>IF($D$18="","",$D$18)</f>
        <v/>
      </c>
      <c r="E19" s="57" t="inlineStr">
        <is>
          <t>이미지</t>
        </is>
      </c>
      <c r="F19" s="44" t="n"/>
      <c r="G19" s="58">
        <f>IF($G$18="","",$G$18)</f>
        <v/>
      </c>
      <c r="H19" s="59" t="n"/>
      <c r="I19" s="59" t="n"/>
      <c r="J19" s="59" t="n"/>
      <c r="K19" s="59" t="n"/>
      <c r="L19" s="60">
        <f>IF(SUM(U19:AY19)=0,"",SUM(U19:AY19))</f>
        <v/>
      </c>
      <c r="M19" s="61">
        <f>IFERROR(INDEX(U$2:AY$2,MATCH(TRUE,INDEX(U19:AY19&lt;&gt;"",0),0)),"")</f>
        <v/>
      </c>
      <c r="N19" s="61">
        <f>IFERROR(LOOKUP(2,1/(U19:AY19&lt;&gt;""),U$2:AY$2),"")</f>
        <v/>
      </c>
      <c r="O19" s="59" t="n"/>
      <c r="P19" s="59" t="n"/>
      <c r="Q19" s="59" t="n"/>
      <c r="R19" s="59" t="n"/>
      <c r="S19" s="14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</row>
    <row r="20" ht="15" customHeight="1">
      <c r="A20" s="62" t="n"/>
      <c r="B20" s="55">
        <f>IF($B$18="","",$B$18)</f>
        <v/>
      </c>
      <c r="C20" s="63" t="inlineStr">
        <is>
          <t>마케팅1팀</t>
        </is>
      </c>
      <c r="D20" s="55">
        <f>IF($D$18="","",$D$18)</f>
        <v/>
      </c>
      <c r="E20" s="64" t="inlineStr">
        <is>
          <t>영상</t>
        </is>
      </c>
      <c r="F20" s="44" t="n"/>
      <c r="G20" s="58">
        <f>IF($G$18="","",$G$18)</f>
        <v/>
      </c>
      <c r="H20" s="59" t="n"/>
      <c r="I20" s="59" t="n"/>
      <c r="J20" s="59" t="n"/>
      <c r="K20" s="59" t="n"/>
      <c r="L20" s="65">
        <f>IF(SUM(U20:AY20)=0,"",SUM(U20:AY20))</f>
        <v/>
      </c>
      <c r="M20" s="66">
        <f>IFERROR(INDEX(U$2:AY$2,MATCH(TRUE,INDEX(U20:AY20&lt;&gt;"",0),0)),"")</f>
        <v/>
      </c>
      <c r="N20" s="66">
        <f>IFERROR(LOOKUP(2,1/(U20:AY20&lt;&gt;""),U$2:AY$2),"")</f>
        <v/>
      </c>
      <c r="O20" s="59" t="n"/>
      <c r="P20" s="59" t="n"/>
      <c r="Q20" s="59" t="n"/>
      <c r="R20" s="59" t="n"/>
      <c r="S20" s="14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</row>
    <row r="21" ht="15" customHeight="1">
      <c r="A21" s="40">
        <f>IF($D$21="","",5)</f>
        <v/>
      </c>
      <c r="B21" s="10" t="n"/>
      <c r="C21" s="41" t="inlineStr">
        <is>
          <t>마케팅1팀</t>
        </is>
      </c>
      <c r="D21" s="42" t="n"/>
      <c r="E21" s="43" t="inlineStr">
        <is>
          <t>기획</t>
        </is>
      </c>
      <c r="F21" s="44" t="n"/>
      <c r="G21" s="45" t="n"/>
      <c r="H21" s="46">
        <f>IF($I$21="","",IF($I$21&lt;0,"🔴지연",IF($I$21&lt;=1,"🟡임박","🟢여유")))</f>
        <v/>
      </c>
      <c r="I21" s="47">
        <f>IF(OR($G$21="",$K$21=""),"",$G$21-$K$21)</f>
        <v/>
      </c>
      <c r="J21" s="48">
        <f>IF(SUM($L$21:$L$23)=0,"",SUM($L$21:$L$23))</f>
        <v/>
      </c>
      <c r="K21" s="49">
        <f>IF($J$21="","",MAX($N$21:$N$23))</f>
        <v/>
      </c>
      <c r="L21" s="50">
        <f>IF(SUM(U21:AY21)=0,"",SUM(U21:AY21))</f>
        <v/>
      </c>
      <c r="M21" s="51">
        <f>IFERROR(INDEX(U$2:AY$2,MATCH(TRUE,INDEX(U21:AY21&lt;&gt;"",0),0)),"")</f>
        <v/>
      </c>
      <c r="N21" s="51">
        <f>IFERROR(LOOKUP(2,1/(U21:AY21&lt;&gt;""),U$2:AY$2),"")</f>
        <v/>
      </c>
      <c r="O21" s="52" t="n"/>
      <c r="P21" s="52" t="n"/>
      <c r="Q21" s="52" t="n"/>
      <c r="R21" s="44" t="n"/>
      <c r="S21" s="14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</row>
    <row r="22" ht="15" customHeight="1">
      <c r="A22" s="54" t="n"/>
      <c r="B22" s="55">
        <f>IF($B$21="","",$B$21)</f>
        <v/>
      </c>
      <c r="C22" s="56" t="inlineStr">
        <is>
          <t>마케팅1팀</t>
        </is>
      </c>
      <c r="D22" s="55">
        <f>IF($D$21="","",$D$21)</f>
        <v/>
      </c>
      <c r="E22" s="57" t="inlineStr">
        <is>
          <t>이미지</t>
        </is>
      </c>
      <c r="F22" s="44" t="n"/>
      <c r="G22" s="58">
        <f>IF($G$21="","",$G$21)</f>
        <v/>
      </c>
      <c r="H22" s="59" t="n"/>
      <c r="I22" s="59" t="n"/>
      <c r="J22" s="59" t="n"/>
      <c r="K22" s="59" t="n"/>
      <c r="L22" s="60">
        <f>IF(SUM(U22:AY22)=0,"",SUM(U22:AY22))</f>
        <v/>
      </c>
      <c r="M22" s="61">
        <f>IFERROR(INDEX(U$2:AY$2,MATCH(TRUE,INDEX(U22:AY22&lt;&gt;"",0),0)),"")</f>
        <v/>
      </c>
      <c r="N22" s="61">
        <f>IFERROR(LOOKUP(2,1/(U22:AY22&lt;&gt;""),U$2:AY$2),"")</f>
        <v/>
      </c>
      <c r="O22" s="59" t="n"/>
      <c r="P22" s="59" t="n"/>
      <c r="Q22" s="59" t="n"/>
      <c r="R22" s="59" t="n"/>
      <c r="S22" s="14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</row>
    <row r="23" ht="15" customHeight="1">
      <c r="A23" s="62" t="n"/>
      <c r="B23" s="55">
        <f>IF($B$21="","",$B$21)</f>
        <v/>
      </c>
      <c r="C23" s="63" t="inlineStr">
        <is>
          <t>마케팅1팀</t>
        </is>
      </c>
      <c r="D23" s="55">
        <f>IF($D$21="","",$D$21)</f>
        <v/>
      </c>
      <c r="E23" s="64" t="inlineStr">
        <is>
          <t>영상</t>
        </is>
      </c>
      <c r="F23" s="44" t="n"/>
      <c r="G23" s="58">
        <f>IF($G$21="","",$G$21)</f>
        <v/>
      </c>
      <c r="H23" s="59" t="n"/>
      <c r="I23" s="59" t="n"/>
      <c r="J23" s="59" t="n"/>
      <c r="K23" s="59" t="n"/>
      <c r="L23" s="65">
        <f>IF(SUM(U23:AY23)=0,"",SUM(U23:AY23))</f>
        <v/>
      </c>
      <c r="M23" s="66">
        <f>IFERROR(INDEX(U$2:AY$2,MATCH(TRUE,INDEX(U23:AY23&lt;&gt;"",0),0)),"")</f>
        <v/>
      </c>
      <c r="N23" s="66">
        <f>IFERROR(LOOKUP(2,1/(U23:AY23&lt;&gt;""),U$2:AY$2),"")</f>
        <v/>
      </c>
      <c r="O23" s="59" t="n"/>
      <c r="P23" s="59" t="n"/>
      <c r="Q23" s="59" t="n"/>
      <c r="R23" s="59" t="n"/>
      <c r="S23" s="14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</row>
    <row r="24" ht="15" customHeight="1">
      <c r="A24" s="40">
        <f>IF($D$24="","",6)</f>
        <v/>
      </c>
      <c r="B24" s="10" t="n"/>
      <c r="C24" s="41" t="inlineStr">
        <is>
          <t>마케팅1팀</t>
        </is>
      </c>
      <c r="D24" s="42" t="n"/>
      <c r="E24" s="43" t="inlineStr">
        <is>
          <t>기획</t>
        </is>
      </c>
      <c r="F24" s="44" t="n"/>
      <c r="G24" s="45" t="n"/>
      <c r="H24" s="46">
        <f>IF($I$24="","",IF($I$24&lt;0,"🔴지연",IF($I$24&lt;=1,"🟡임박","🟢여유")))</f>
        <v/>
      </c>
      <c r="I24" s="47">
        <f>IF(OR($G$24="",$K$24=""),"",$G$24-$K$24)</f>
        <v/>
      </c>
      <c r="J24" s="48">
        <f>IF(SUM($L$24:$L$26)=0,"",SUM($L$24:$L$26))</f>
        <v/>
      </c>
      <c r="K24" s="49">
        <f>IF($J$24="","",MAX($N$24:$N$26))</f>
        <v/>
      </c>
      <c r="L24" s="50">
        <f>IF(SUM(U24:AY24)=0,"",SUM(U24:AY24))</f>
        <v/>
      </c>
      <c r="M24" s="51">
        <f>IFERROR(INDEX(U$2:AY$2,MATCH(TRUE,INDEX(U24:AY24&lt;&gt;"",0),0)),"")</f>
        <v/>
      </c>
      <c r="N24" s="51">
        <f>IFERROR(LOOKUP(2,1/(U24:AY24&lt;&gt;""),U$2:AY$2),"")</f>
        <v/>
      </c>
      <c r="O24" s="52" t="n"/>
      <c r="P24" s="52" t="n"/>
      <c r="Q24" s="52" t="n"/>
      <c r="R24" s="44" t="n"/>
      <c r="S24" s="14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</row>
    <row r="25" ht="15" customHeight="1">
      <c r="A25" s="54" t="n"/>
      <c r="B25" s="55">
        <f>IF($B$24="","",$B$24)</f>
        <v/>
      </c>
      <c r="C25" s="56" t="inlineStr">
        <is>
          <t>마케팅1팀</t>
        </is>
      </c>
      <c r="D25" s="55">
        <f>IF($D$24="","",$D$24)</f>
        <v/>
      </c>
      <c r="E25" s="57" t="inlineStr">
        <is>
          <t>이미지</t>
        </is>
      </c>
      <c r="F25" s="44" t="n"/>
      <c r="G25" s="58">
        <f>IF($G$24="","",$G$24)</f>
        <v/>
      </c>
      <c r="H25" s="59" t="n"/>
      <c r="I25" s="59" t="n"/>
      <c r="J25" s="59" t="n"/>
      <c r="K25" s="59" t="n"/>
      <c r="L25" s="60">
        <f>IF(SUM(U25:AY25)=0,"",SUM(U25:AY25))</f>
        <v/>
      </c>
      <c r="M25" s="61">
        <f>IFERROR(INDEX(U$2:AY$2,MATCH(TRUE,INDEX(U25:AY25&lt;&gt;"",0),0)),"")</f>
        <v/>
      </c>
      <c r="N25" s="61">
        <f>IFERROR(LOOKUP(2,1/(U25:AY25&lt;&gt;""),U$2:AY$2),"")</f>
        <v/>
      </c>
      <c r="O25" s="59" t="n"/>
      <c r="P25" s="59" t="n"/>
      <c r="Q25" s="59" t="n"/>
      <c r="R25" s="59" t="n"/>
      <c r="S25" s="14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</row>
    <row r="26" ht="15" customHeight="1">
      <c r="A26" s="62" t="n"/>
      <c r="B26" s="55">
        <f>IF($B$24="","",$B$24)</f>
        <v/>
      </c>
      <c r="C26" s="63" t="inlineStr">
        <is>
          <t>마케팅1팀</t>
        </is>
      </c>
      <c r="D26" s="55">
        <f>IF($D$24="","",$D$24)</f>
        <v/>
      </c>
      <c r="E26" s="64" t="inlineStr">
        <is>
          <t>영상</t>
        </is>
      </c>
      <c r="F26" s="44" t="n"/>
      <c r="G26" s="58">
        <f>IF($G$24="","",$G$24)</f>
        <v/>
      </c>
      <c r="H26" s="59" t="n"/>
      <c r="I26" s="59" t="n"/>
      <c r="J26" s="59" t="n"/>
      <c r="K26" s="59" t="n"/>
      <c r="L26" s="65">
        <f>IF(SUM(U26:AY26)=0,"",SUM(U26:AY26))</f>
        <v/>
      </c>
      <c r="M26" s="66">
        <f>IFERROR(INDEX(U$2:AY$2,MATCH(TRUE,INDEX(U26:AY26&lt;&gt;"",0),0)),"")</f>
        <v/>
      </c>
      <c r="N26" s="66">
        <f>IFERROR(LOOKUP(2,1/(U26:AY26&lt;&gt;""),U$2:AY$2),"")</f>
        <v/>
      </c>
      <c r="O26" s="59" t="n"/>
      <c r="P26" s="59" t="n"/>
      <c r="Q26" s="59" t="n"/>
      <c r="R26" s="59" t="n"/>
      <c r="S26" s="14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</row>
    <row r="27" ht="15" customHeight="1">
      <c r="A27" s="40">
        <f>IF($D$27="","",7)</f>
        <v/>
      </c>
      <c r="B27" s="10" t="n"/>
      <c r="C27" s="41" t="inlineStr">
        <is>
          <t>마케팅1팀</t>
        </is>
      </c>
      <c r="D27" s="42" t="n"/>
      <c r="E27" s="43" t="inlineStr">
        <is>
          <t>기획</t>
        </is>
      </c>
      <c r="F27" s="44" t="n"/>
      <c r="G27" s="45" t="n"/>
      <c r="H27" s="46">
        <f>IF($I$27="","",IF($I$27&lt;0,"🔴지연",IF($I$27&lt;=1,"🟡임박","🟢여유")))</f>
        <v/>
      </c>
      <c r="I27" s="47">
        <f>IF(OR($G$27="",$K$27=""),"",$G$27-$K$27)</f>
        <v/>
      </c>
      <c r="J27" s="48">
        <f>IF(SUM($L$27:$L$29)=0,"",SUM($L$27:$L$29))</f>
        <v/>
      </c>
      <c r="K27" s="49">
        <f>IF($J$27="","",MAX($N$27:$N$29))</f>
        <v/>
      </c>
      <c r="L27" s="50">
        <f>IF(SUM(U27:AY27)=0,"",SUM(U27:AY27))</f>
        <v/>
      </c>
      <c r="M27" s="51">
        <f>IFERROR(INDEX(U$2:AY$2,MATCH(TRUE,INDEX(U27:AY27&lt;&gt;"",0),0)),"")</f>
        <v/>
      </c>
      <c r="N27" s="51">
        <f>IFERROR(LOOKUP(2,1/(U27:AY27&lt;&gt;""),U$2:AY$2),"")</f>
        <v/>
      </c>
      <c r="O27" s="52" t="n"/>
      <c r="P27" s="52" t="n"/>
      <c r="Q27" s="52" t="n"/>
      <c r="R27" s="44" t="n"/>
      <c r="S27" s="14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</row>
    <row r="28" ht="15" customHeight="1">
      <c r="A28" s="54" t="n"/>
      <c r="B28" s="55">
        <f>IF($B$27="","",$B$27)</f>
        <v/>
      </c>
      <c r="C28" s="56" t="inlineStr">
        <is>
          <t>마케팅1팀</t>
        </is>
      </c>
      <c r="D28" s="55">
        <f>IF($D$27="","",$D$27)</f>
        <v/>
      </c>
      <c r="E28" s="57" t="inlineStr">
        <is>
          <t>이미지</t>
        </is>
      </c>
      <c r="F28" s="44" t="n"/>
      <c r="G28" s="58">
        <f>IF($G$27="","",$G$27)</f>
        <v/>
      </c>
      <c r="H28" s="59" t="n"/>
      <c r="I28" s="59" t="n"/>
      <c r="J28" s="59" t="n"/>
      <c r="K28" s="59" t="n"/>
      <c r="L28" s="60">
        <f>IF(SUM(U28:AY28)=0,"",SUM(U28:AY28))</f>
        <v/>
      </c>
      <c r="M28" s="61">
        <f>IFERROR(INDEX(U$2:AY$2,MATCH(TRUE,INDEX(U28:AY28&lt;&gt;"",0),0)),"")</f>
        <v/>
      </c>
      <c r="N28" s="61">
        <f>IFERROR(LOOKUP(2,1/(U28:AY28&lt;&gt;""),U$2:AY$2),"")</f>
        <v/>
      </c>
      <c r="O28" s="59" t="n"/>
      <c r="P28" s="59" t="n"/>
      <c r="Q28" s="59" t="n"/>
      <c r="R28" s="59" t="n"/>
      <c r="S28" s="14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3" t="n"/>
      <c r="AQ28" s="53" t="n"/>
      <c r="AR28" s="53" t="n"/>
      <c r="AS28" s="53" t="n"/>
      <c r="AT28" s="53" t="n"/>
      <c r="AU28" s="53" t="n"/>
      <c r="AV28" s="53" t="n"/>
      <c r="AW28" s="53" t="n"/>
      <c r="AX28" s="53" t="n"/>
      <c r="AY28" s="53" t="n"/>
    </row>
    <row r="29" ht="15" customHeight="1">
      <c r="A29" s="62" t="n"/>
      <c r="B29" s="55">
        <f>IF($B$27="","",$B$27)</f>
        <v/>
      </c>
      <c r="C29" s="63" t="inlineStr">
        <is>
          <t>마케팅1팀</t>
        </is>
      </c>
      <c r="D29" s="55">
        <f>IF($D$27="","",$D$27)</f>
        <v/>
      </c>
      <c r="E29" s="64" t="inlineStr">
        <is>
          <t>영상</t>
        </is>
      </c>
      <c r="F29" s="44" t="n"/>
      <c r="G29" s="58">
        <f>IF($G$27="","",$G$27)</f>
        <v/>
      </c>
      <c r="H29" s="59" t="n"/>
      <c r="I29" s="59" t="n"/>
      <c r="J29" s="59" t="n"/>
      <c r="K29" s="59" t="n"/>
      <c r="L29" s="65">
        <f>IF(SUM(U29:AY29)=0,"",SUM(U29:AY29))</f>
        <v/>
      </c>
      <c r="M29" s="66">
        <f>IFERROR(INDEX(U$2:AY$2,MATCH(TRUE,INDEX(U29:AY29&lt;&gt;"",0),0)),"")</f>
        <v/>
      </c>
      <c r="N29" s="66">
        <f>IFERROR(LOOKUP(2,1/(U29:AY29&lt;&gt;""),U$2:AY$2),"")</f>
        <v/>
      </c>
      <c r="O29" s="59" t="n"/>
      <c r="P29" s="59" t="n"/>
      <c r="Q29" s="59" t="n"/>
      <c r="R29" s="59" t="n"/>
      <c r="S29" s="14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</row>
    <row r="30" ht="15" customHeight="1">
      <c r="A30" s="40">
        <f>IF($D$30="","",8)</f>
        <v/>
      </c>
      <c r="B30" s="10" t="n"/>
      <c r="C30" s="41" t="inlineStr">
        <is>
          <t>마케팅1팀</t>
        </is>
      </c>
      <c r="D30" s="42" t="n"/>
      <c r="E30" s="43" t="inlineStr">
        <is>
          <t>기획</t>
        </is>
      </c>
      <c r="F30" s="44" t="n"/>
      <c r="G30" s="45" t="n"/>
      <c r="H30" s="46">
        <f>IF($I$30="","",IF($I$30&lt;0,"🔴지연",IF($I$30&lt;=1,"🟡임박","🟢여유")))</f>
        <v/>
      </c>
      <c r="I30" s="47">
        <f>IF(OR($G$30="",$K$30=""),"",$G$30-$K$30)</f>
        <v/>
      </c>
      <c r="J30" s="48">
        <f>IF(SUM($L$30:$L$32)=0,"",SUM($L$30:$L$32))</f>
        <v/>
      </c>
      <c r="K30" s="49">
        <f>IF($J$30="","",MAX($N$30:$N$32))</f>
        <v/>
      </c>
      <c r="L30" s="50">
        <f>IF(SUM(U30:AY30)=0,"",SUM(U30:AY30))</f>
        <v/>
      </c>
      <c r="M30" s="51">
        <f>IFERROR(INDEX(U$2:AY$2,MATCH(TRUE,INDEX(U30:AY30&lt;&gt;"",0),0)),"")</f>
        <v/>
      </c>
      <c r="N30" s="51">
        <f>IFERROR(LOOKUP(2,1/(U30:AY30&lt;&gt;""),U$2:AY$2),"")</f>
        <v/>
      </c>
      <c r="O30" s="52" t="n"/>
      <c r="P30" s="52" t="n"/>
      <c r="Q30" s="52" t="n"/>
      <c r="R30" s="44" t="n"/>
      <c r="S30" s="14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53" t="n"/>
      <c r="AH30" s="53" t="n"/>
      <c r="AI30" s="53" t="n"/>
      <c r="AJ30" s="53" t="n"/>
      <c r="AK30" s="53" t="n"/>
      <c r="AL30" s="53" t="n"/>
      <c r="AM30" s="53" t="n"/>
      <c r="AN30" s="53" t="n"/>
      <c r="AO30" s="53" t="n"/>
      <c r="AP30" s="53" t="n"/>
      <c r="AQ30" s="53" t="n"/>
      <c r="AR30" s="53" t="n"/>
      <c r="AS30" s="53" t="n"/>
      <c r="AT30" s="53" t="n"/>
      <c r="AU30" s="53" t="n"/>
      <c r="AV30" s="53" t="n"/>
      <c r="AW30" s="53" t="n"/>
      <c r="AX30" s="53" t="n"/>
      <c r="AY30" s="53" t="n"/>
    </row>
    <row r="31" ht="15" customHeight="1">
      <c r="A31" s="54" t="n"/>
      <c r="B31" s="55">
        <f>IF($B$30="","",$B$30)</f>
        <v/>
      </c>
      <c r="C31" s="56" t="inlineStr">
        <is>
          <t>마케팅1팀</t>
        </is>
      </c>
      <c r="D31" s="55">
        <f>IF($D$30="","",$D$30)</f>
        <v/>
      </c>
      <c r="E31" s="57" t="inlineStr">
        <is>
          <t>이미지</t>
        </is>
      </c>
      <c r="F31" s="44" t="n"/>
      <c r="G31" s="58">
        <f>IF($G$30="","",$G$30)</f>
        <v/>
      </c>
      <c r="H31" s="59" t="n"/>
      <c r="I31" s="59" t="n"/>
      <c r="J31" s="59" t="n"/>
      <c r="K31" s="59" t="n"/>
      <c r="L31" s="60">
        <f>IF(SUM(U31:AY31)=0,"",SUM(U31:AY31))</f>
        <v/>
      </c>
      <c r="M31" s="61">
        <f>IFERROR(INDEX(U$2:AY$2,MATCH(TRUE,INDEX(U31:AY31&lt;&gt;"",0),0)),"")</f>
        <v/>
      </c>
      <c r="N31" s="61">
        <f>IFERROR(LOOKUP(2,1/(U31:AY31&lt;&gt;""),U$2:AY$2),"")</f>
        <v/>
      </c>
      <c r="O31" s="59" t="n"/>
      <c r="P31" s="59" t="n"/>
      <c r="Q31" s="59" t="n"/>
      <c r="R31" s="59" t="n"/>
      <c r="S31" s="14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53" t="n"/>
      <c r="AH31" s="53" t="n"/>
      <c r="AI31" s="53" t="n"/>
      <c r="AJ31" s="53" t="n"/>
      <c r="AK31" s="53" t="n"/>
      <c r="AL31" s="53" t="n"/>
      <c r="AM31" s="53" t="n"/>
      <c r="AN31" s="53" t="n"/>
      <c r="AO31" s="53" t="n"/>
      <c r="AP31" s="53" t="n"/>
      <c r="AQ31" s="53" t="n"/>
      <c r="AR31" s="53" t="n"/>
      <c r="AS31" s="53" t="n"/>
      <c r="AT31" s="53" t="n"/>
      <c r="AU31" s="53" t="n"/>
      <c r="AV31" s="53" t="n"/>
      <c r="AW31" s="53" t="n"/>
      <c r="AX31" s="53" t="n"/>
      <c r="AY31" s="53" t="n"/>
    </row>
    <row r="32" ht="15" customHeight="1">
      <c r="A32" s="62" t="n"/>
      <c r="B32" s="55">
        <f>IF($B$30="","",$B$30)</f>
        <v/>
      </c>
      <c r="C32" s="63" t="inlineStr">
        <is>
          <t>마케팅1팀</t>
        </is>
      </c>
      <c r="D32" s="55">
        <f>IF($D$30="","",$D$30)</f>
        <v/>
      </c>
      <c r="E32" s="64" t="inlineStr">
        <is>
          <t>영상</t>
        </is>
      </c>
      <c r="F32" s="44" t="n"/>
      <c r="G32" s="58">
        <f>IF($G$30="","",$G$30)</f>
        <v/>
      </c>
      <c r="H32" s="59" t="n"/>
      <c r="I32" s="59" t="n"/>
      <c r="J32" s="59" t="n"/>
      <c r="K32" s="59" t="n"/>
      <c r="L32" s="65">
        <f>IF(SUM(U32:AY32)=0,"",SUM(U32:AY32))</f>
        <v/>
      </c>
      <c r="M32" s="66">
        <f>IFERROR(INDEX(U$2:AY$2,MATCH(TRUE,INDEX(U32:AY32&lt;&gt;"",0),0)),"")</f>
        <v/>
      </c>
      <c r="N32" s="66">
        <f>IFERROR(LOOKUP(2,1/(U32:AY32&lt;&gt;""),U$2:AY$2),"")</f>
        <v/>
      </c>
      <c r="O32" s="59" t="n"/>
      <c r="P32" s="59" t="n"/>
      <c r="Q32" s="59" t="n"/>
      <c r="R32" s="59" t="n"/>
      <c r="S32" s="14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53" t="n"/>
      <c r="AK32" s="53" t="n"/>
      <c r="AL32" s="53" t="n"/>
      <c r="AM32" s="53" t="n"/>
      <c r="AN32" s="53" t="n"/>
      <c r="AO32" s="53" t="n"/>
      <c r="AP32" s="53" t="n"/>
      <c r="AQ32" s="53" t="n"/>
      <c r="AR32" s="53" t="n"/>
      <c r="AS32" s="53" t="n"/>
      <c r="AT32" s="53" t="n"/>
      <c r="AU32" s="53" t="n"/>
      <c r="AV32" s="53" t="n"/>
      <c r="AW32" s="53" t="n"/>
      <c r="AX32" s="53" t="n"/>
      <c r="AY32" s="53" t="n"/>
    </row>
    <row r="33" ht="15" customHeight="1">
      <c r="A33" s="40">
        <f>IF($D$33="","",9)</f>
        <v/>
      </c>
      <c r="B33" s="10" t="n"/>
      <c r="C33" s="41" t="inlineStr">
        <is>
          <t>마케팅1팀</t>
        </is>
      </c>
      <c r="D33" s="42" t="n"/>
      <c r="E33" s="43" t="inlineStr">
        <is>
          <t>기획</t>
        </is>
      </c>
      <c r="F33" s="44" t="n"/>
      <c r="G33" s="45" t="n"/>
      <c r="H33" s="46">
        <f>IF($I$33="","",IF($I$33&lt;0,"🔴지연",IF($I$33&lt;=1,"🟡임박","🟢여유")))</f>
        <v/>
      </c>
      <c r="I33" s="47">
        <f>IF(OR($G$33="",$K$33=""),"",$G$33-$K$33)</f>
        <v/>
      </c>
      <c r="J33" s="48">
        <f>IF(SUM($L$33:$L$35)=0,"",SUM($L$33:$L$35))</f>
        <v/>
      </c>
      <c r="K33" s="49">
        <f>IF($J$33="","",MAX($N$33:$N$35))</f>
        <v/>
      </c>
      <c r="L33" s="50">
        <f>IF(SUM(U33:AY33)=0,"",SUM(U33:AY33))</f>
        <v/>
      </c>
      <c r="M33" s="51">
        <f>IFERROR(INDEX(U$2:AY$2,MATCH(TRUE,INDEX(U33:AY33&lt;&gt;"",0),0)),"")</f>
        <v/>
      </c>
      <c r="N33" s="51">
        <f>IFERROR(LOOKUP(2,1/(U33:AY33&lt;&gt;""),U$2:AY$2),"")</f>
        <v/>
      </c>
      <c r="O33" s="52" t="n"/>
      <c r="P33" s="52" t="n"/>
      <c r="Q33" s="52" t="n"/>
      <c r="R33" s="44" t="n"/>
      <c r="S33" s="14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53" t="n"/>
    </row>
    <row r="34" ht="15" customHeight="1">
      <c r="A34" s="54" t="n"/>
      <c r="B34" s="55">
        <f>IF($B$33="","",$B$33)</f>
        <v/>
      </c>
      <c r="C34" s="56" t="inlineStr">
        <is>
          <t>마케팅1팀</t>
        </is>
      </c>
      <c r="D34" s="55">
        <f>IF($D$33="","",$D$33)</f>
        <v/>
      </c>
      <c r="E34" s="57" t="inlineStr">
        <is>
          <t>이미지</t>
        </is>
      </c>
      <c r="F34" s="44" t="n"/>
      <c r="G34" s="58">
        <f>IF($G$33="","",$G$33)</f>
        <v/>
      </c>
      <c r="H34" s="59" t="n"/>
      <c r="I34" s="59" t="n"/>
      <c r="J34" s="59" t="n"/>
      <c r="K34" s="59" t="n"/>
      <c r="L34" s="60">
        <f>IF(SUM(U34:AY34)=0,"",SUM(U34:AY34))</f>
        <v/>
      </c>
      <c r="M34" s="61">
        <f>IFERROR(INDEX(U$2:AY$2,MATCH(TRUE,INDEX(U34:AY34&lt;&gt;"",0),0)),"")</f>
        <v/>
      </c>
      <c r="N34" s="61">
        <f>IFERROR(LOOKUP(2,1/(U34:AY34&lt;&gt;""),U$2:AY$2),"")</f>
        <v/>
      </c>
      <c r="O34" s="59" t="n"/>
      <c r="P34" s="59" t="n"/>
      <c r="Q34" s="59" t="n"/>
      <c r="R34" s="59" t="n"/>
      <c r="S34" s="14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  <c r="AD34" s="53" t="n"/>
      <c r="AE34" s="53" t="n"/>
      <c r="AF34" s="53" t="n"/>
      <c r="AG34" s="53" t="n"/>
      <c r="AH34" s="53" t="n"/>
      <c r="AI34" s="53" t="n"/>
      <c r="AJ34" s="53" t="n"/>
      <c r="AK34" s="53" t="n"/>
      <c r="AL34" s="53" t="n"/>
      <c r="AM34" s="53" t="n"/>
      <c r="AN34" s="53" t="n"/>
      <c r="AO34" s="53" t="n"/>
      <c r="AP34" s="53" t="n"/>
      <c r="AQ34" s="53" t="n"/>
      <c r="AR34" s="53" t="n"/>
      <c r="AS34" s="53" t="n"/>
      <c r="AT34" s="53" t="n"/>
      <c r="AU34" s="53" t="n"/>
      <c r="AV34" s="53" t="n"/>
      <c r="AW34" s="53" t="n"/>
      <c r="AX34" s="53" t="n"/>
      <c r="AY34" s="53" t="n"/>
    </row>
    <row r="35" ht="15" customHeight="1">
      <c r="A35" s="62" t="n"/>
      <c r="B35" s="55">
        <f>IF($B$33="","",$B$33)</f>
        <v/>
      </c>
      <c r="C35" s="63" t="inlineStr">
        <is>
          <t>마케팅1팀</t>
        </is>
      </c>
      <c r="D35" s="55">
        <f>IF($D$33="","",$D$33)</f>
        <v/>
      </c>
      <c r="E35" s="64" t="inlineStr">
        <is>
          <t>영상</t>
        </is>
      </c>
      <c r="F35" s="44" t="n"/>
      <c r="G35" s="58">
        <f>IF($G$33="","",$G$33)</f>
        <v/>
      </c>
      <c r="H35" s="59" t="n"/>
      <c r="I35" s="59" t="n"/>
      <c r="J35" s="59" t="n"/>
      <c r="K35" s="59" t="n"/>
      <c r="L35" s="65">
        <f>IF(SUM(U35:AY35)=0,"",SUM(U35:AY35))</f>
        <v/>
      </c>
      <c r="M35" s="66">
        <f>IFERROR(INDEX(U$2:AY$2,MATCH(TRUE,INDEX(U35:AY35&lt;&gt;"",0),0)),"")</f>
        <v/>
      </c>
      <c r="N35" s="66">
        <f>IFERROR(LOOKUP(2,1/(U35:AY35&lt;&gt;""),U$2:AY$2),"")</f>
        <v/>
      </c>
      <c r="O35" s="59" t="n"/>
      <c r="P35" s="59" t="n"/>
      <c r="Q35" s="59" t="n"/>
      <c r="R35" s="59" t="n"/>
      <c r="S35" s="14" t="n"/>
      <c r="U35" s="53" t="n"/>
      <c r="V35" s="53" t="n"/>
      <c r="W35" s="53" t="n"/>
      <c r="X35" s="53" t="n"/>
      <c r="Y35" s="53" t="n"/>
      <c r="Z35" s="53" t="n"/>
      <c r="AA35" s="53" t="n"/>
      <c r="AB35" s="53" t="n"/>
      <c r="AC35" s="53" t="n"/>
      <c r="AD35" s="53" t="n"/>
      <c r="AE35" s="53" t="n"/>
      <c r="AF35" s="53" t="n"/>
      <c r="AG35" s="53" t="n"/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</row>
    <row r="36" ht="15" customHeight="1">
      <c r="A36" s="40">
        <f>IF($D$36="","",10)</f>
        <v/>
      </c>
      <c r="B36" s="10" t="n"/>
      <c r="C36" s="41" t="inlineStr">
        <is>
          <t>마케팅1팀</t>
        </is>
      </c>
      <c r="D36" s="42" t="n"/>
      <c r="E36" s="43" t="inlineStr">
        <is>
          <t>기획</t>
        </is>
      </c>
      <c r="F36" s="44" t="n"/>
      <c r="G36" s="45" t="n"/>
      <c r="H36" s="46">
        <f>IF($I$36="","",IF($I$36&lt;0,"🔴지연",IF($I$36&lt;=1,"🟡임박","🟢여유")))</f>
        <v/>
      </c>
      <c r="I36" s="47">
        <f>IF(OR($G$36="",$K$36=""),"",$G$36-$K$36)</f>
        <v/>
      </c>
      <c r="J36" s="48">
        <f>IF(SUM($L$36:$L$38)=0,"",SUM($L$36:$L$38))</f>
        <v/>
      </c>
      <c r="K36" s="49">
        <f>IF($J$36="","",MAX($N$36:$N$38))</f>
        <v/>
      </c>
      <c r="L36" s="50">
        <f>IF(SUM(U36:AY36)=0,"",SUM(U36:AY36))</f>
        <v/>
      </c>
      <c r="M36" s="51">
        <f>IFERROR(INDEX(U$2:AY$2,MATCH(TRUE,INDEX(U36:AY36&lt;&gt;"",0),0)),"")</f>
        <v/>
      </c>
      <c r="N36" s="51">
        <f>IFERROR(LOOKUP(2,1/(U36:AY36&lt;&gt;""),U$2:AY$2),"")</f>
        <v/>
      </c>
      <c r="O36" s="52" t="n"/>
      <c r="P36" s="52" t="n"/>
      <c r="Q36" s="52" t="n"/>
      <c r="R36" s="44" t="n"/>
      <c r="S36" s="14" t="n"/>
      <c r="U36" s="53" t="n"/>
      <c r="V36" s="53" t="n"/>
      <c r="W36" s="53" t="n"/>
      <c r="X36" s="53" t="n"/>
      <c r="Y36" s="53" t="n"/>
      <c r="Z36" s="53" t="n"/>
      <c r="AA36" s="53" t="n"/>
      <c r="AB36" s="53" t="n"/>
      <c r="AC36" s="53" t="n"/>
      <c r="AD36" s="53" t="n"/>
      <c r="AE36" s="53" t="n"/>
      <c r="AF36" s="53" t="n"/>
      <c r="AG36" s="53" t="n"/>
      <c r="AH36" s="53" t="n"/>
      <c r="AI36" s="53" t="n"/>
      <c r="AJ36" s="53" t="n"/>
      <c r="AK36" s="53" t="n"/>
      <c r="AL36" s="53" t="n"/>
      <c r="AM36" s="53" t="n"/>
      <c r="AN36" s="53" t="n"/>
      <c r="AO36" s="53" t="n"/>
      <c r="AP36" s="53" t="n"/>
      <c r="AQ36" s="53" t="n"/>
      <c r="AR36" s="53" t="n"/>
      <c r="AS36" s="53" t="n"/>
      <c r="AT36" s="53" t="n"/>
      <c r="AU36" s="53" t="n"/>
      <c r="AV36" s="53" t="n"/>
      <c r="AW36" s="53" t="n"/>
      <c r="AX36" s="53" t="n"/>
      <c r="AY36" s="53" t="n"/>
    </row>
    <row r="37" ht="15" customHeight="1">
      <c r="A37" s="54" t="n"/>
      <c r="B37" s="55">
        <f>IF($B$36="","",$B$36)</f>
        <v/>
      </c>
      <c r="C37" s="56" t="inlineStr">
        <is>
          <t>마케팅1팀</t>
        </is>
      </c>
      <c r="D37" s="55">
        <f>IF($D$36="","",$D$36)</f>
        <v/>
      </c>
      <c r="E37" s="57" t="inlineStr">
        <is>
          <t>이미지</t>
        </is>
      </c>
      <c r="F37" s="44" t="n"/>
      <c r="G37" s="58">
        <f>IF($G$36="","",$G$36)</f>
        <v/>
      </c>
      <c r="H37" s="59" t="n"/>
      <c r="I37" s="59" t="n"/>
      <c r="J37" s="59" t="n"/>
      <c r="K37" s="59" t="n"/>
      <c r="L37" s="60">
        <f>IF(SUM(U37:AY37)=0,"",SUM(U37:AY37))</f>
        <v/>
      </c>
      <c r="M37" s="61">
        <f>IFERROR(INDEX(U$2:AY$2,MATCH(TRUE,INDEX(U37:AY37&lt;&gt;"",0),0)),"")</f>
        <v/>
      </c>
      <c r="N37" s="61">
        <f>IFERROR(LOOKUP(2,1/(U37:AY37&lt;&gt;""),U$2:AY$2),"")</f>
        <v/>
      </c>
      <c r="O37" s="59" t="n"/>
      <c r="P37" s="59" t="n"/>
      <c r="Q37" s="59" t="n"/>
      <c r="R37" s="59" t="n"/>
      <c r="S37" s="14" t="n"/>
      <c r="U37" s="53" t="n"/>
      <c r="V37" s="53" t="n"/>
      <c r="W37" s="53" t="n"/>
      <c r="X37" s="53" t="n"/>
      <c r="Y37" s="53" t="n"/>
      <c r="Z37" s="53" t="n"/>
      <c r="AA37" s="53" t="n"/>
      <c r="AB37" s="53" t="n"/>
      <c r="AC37" s="53" t="n"/>
      <c r="AD37" s="53" t="n"/>
      <c r="AE37" s="53" t="n"/>
      <c r="AF37" s="53" t="n"/>
      <c r="AG37" s="53" t="n"/>
      <c r="AH37" s="53" t="n"/>
      <c r="AI37" s="53" t="n"/>
      <c r="AJ37" s="53" t="n"/>
      <c r="AK37" s="53" t="n"/>
      <c r="AL37" s="53" t="n"/>
      <c r="AM37" s="53" t="n"/>
      <c r="AN37" s="53" t="n"/>
      <c r="AO37" s="53" t="n"/>
      <c r="AP37" s="53" t="n"/>
      <c r="AQ37" s="53" t="n"/>
      <c r="AR37" s="53" t="n"/>
      <c r="AS37" s="53" t="n"/>
      <c r="AT37" s="53" t="n"/>
      <c r="AU37" s="53" t="n"/>
      <c r="AV37" s="53" t="n"/>
      <c r="AW37" s="53" t="n"/>
      <c r="AX37" s="53" t="n"/>
      <c r="AY37" s="53" t="n"/>
    </row>
    <row r="38" ht="15" customHeight="1">
      <c r="A38" s="62" t="n"/>
      <c r="B38" s="55">
        <f>IF($B$36="","",$B$36)</f>
        <v/>
      </c>
      <c r="C38" s="63" t="inlineStr">
        <is>
          <t>마케팅1팀</t>
        </is>
      </c>
      <c r="D38" s="55">
        <f>IF($D$36="","",$D$36)</f>
        <v/>
      </c>
      <c r="E38" s="64" t="inlineStr">
        <is>
          <t>영상</t>
        </is>
      </c>
      <c r="F38" s="44" t="n"/>
      <c r="G38" s="58">
        <f>IF($G$36="","",$G$36)</f>
        <v/>
      </c>
      <c r="H38" s="59" t="n"/>
      <c r="I38" s="59" t="n"/>
      <c r="J38" s="59" t="n"/>
      <c r="K38" s="59" t="n"/>
      <c r="L38" s="65">
        <f>IF(SUM(U38:AY38)=0,"",SUM(U38:AY38))</f>
        <v/>
      </c>
      <c r="M38" s="66">
        <f>IFERROR(INDEX(U$2:AY$2,MATCH(TRUE,INDEX(U38:AY38&lt;&gt;"",0),0)),"")</f>
        <v/>
      </c>
      <c r="N38" s="66">
        <f>IFERROR(LOOKUP(2,1/(U38:AY38&lt;&gt;""),U$2:AY$2),"")</f>
        <v/>
      </c>
      <c r="O38" s="59" t="n"/>
      <c r="P38" s="59" t="n"/>
      <c r="Q38" s="59" t="n"/>
      <c r="R38" s="59" t="n"/>
      <c r="S38" s="14" t="n"/>
      <c r="U38" s="53" t="n"/>
      <c r="V38" s="53" t="n"/>
      <c r="W38" s="53" t="n"/>
      <c r="X38" s="53" t="n"/>
      <c r="Y38" s="53" t="n"/>
      <c r="Z38" s="53" t="n"/>
      <c r="AA38" s="53" t="n"/>
      <c r="AB38" s="53" t="n"/>
      <c r="AC38" s="53" t="n"/>
      <c r="AD38" s="53" t="n"/>
      <c r="AE38" s="53" t="n"/>
      <c r="AF38" s="53" t="n"/>
      <c r="AG38" s="53" t="n"/>
      <c r="AH38" s="53" t="n"/>
      <c r="AI38" s="53" t="n"/>
      <c r="AJ38" s="53" t="n"/>
      <c r="AK38" s="53" t="n"/>
      <c r="AL38" s="53" t="n"/>
      <c r="AM38" s="53" t="n"/>
      <c r="AN38" s="53" t="n"/>
      <c r="AO38" s="53" t="n"/>
      <c r="AP38" s="53" t="n"/>
      <c r="AQ38" s="53" t="n"/>
      <c r="AR38" s="53" t="n"/>
      <c r="AS38" s="53" t="n"/>
      <c r="AT38" s="53" t="n"/>
      <c r="AU38" s="53" t="n"/>
      <c r="AV38" s="53" t="n"/>
      <c r="AW38" s="53" t="n"/>
      <c r="AX38" s="53" t="n"/>
      <c r="AY38" s="53" t="n"/>
    </row>
    <row r="39" ht="15" customHeight="1">
      <c r="A39" s="40">
        <f>IF($D$39="","",11)</f>
        <v/>
      </c>
      <c r="B39" s="10" t="n"/>
      <c r="C39" s="41" t="inlineStr">
        <is>
          <t>마케팅1팀</t>
        </is>
      </c>
      <c r="D39" s="42" t="n"/>
      <c r="E39" s="43" t="inlineStr">
        <is>
          <t>기획</t>
        </is>
      </c>
      <c r="F39" s="44" t="n"/>
      <c r="G39" s="45" t="n"/>
      <c r="H39" s="46">
        <f>IF($I$39="","",IF($I$39&lt;0,"🔴지연",IF($I$39&lt;=1,"🟡임박","🟢여유")))</f>
        <v/>
      </c>
      <c r="I39" s="47">
        <f>IF(OR($G$39="",$K$39=""),"",$G$39-$K$39)</f>
        <v/>
      </c>
      <c r="J39" s="48">
        <f>IF(SUM($L$39:$L$41)=0,"",SUM($L$39:$L$41))</f>
        <v/>
      </c>
      <c r="K39" s="49">
        <f>IF($J$39="","",MAX($N$39:$N$41))</f>
        <v/>
      </c>
      <c r="L39" s="50">
        <f>IF(SUM(U39:AY39)=0,"",SUM(U39:AY39))</f>
        <v/>
      </c>
      <c r="M39" s="51">
        <f>IFERROR(INDEX(U$2:AY$2,MATCH(TRUE,INDEX(U39:AY39&lt;&gt;"",0),0)),"")</f>
        <v/>
      </c>
      <c r="N39" s="51">
        <f>IFERROR(LOOKUP(2,1/(U39:AY39&lt;&gt;""),U$2:AY$2),"")</f>
        <v/>
      </c>
      <c r="O39" s="52" t="n"/>
      <c r="P39" s="52" t="n"/>
      <c r="Q39" s="52" t="n"/>
      <c r="R39" s="44" t="n"/>
      <c r="S39" s="14" t="n"/>
      <c r="U39" s="53" t="n"/>
      <c r="V39" s="53" t="n"/>
      <c r="W39" s="53" t="n"/>
      <c r="X39" s="53" t="n"/>
      <c r="Y39" s="53" t="n"/>
      <c r="Z39" s="53" t="n"/>
      <c r="AA39" s="53" t="n"/>
      <c r="AB39" s="53" t="n"/>
      <c r="AC39" s="53" t="n"/>
      <c r="AD39" s="53" t="n"/>
      <c r="AE39" s="53" t="n"/>
      <c r="AF39" s="53" t="n"/>
      <c r="AG39" s="53" t="n"/>
      <c r="AH39" s="53" t="n"/>
      <c r="AI39" s="53" t="n"/>
      <c r="AJ39" s="53" t="n"/>
      <c r="AK39" s="53" t="n"/>
      <c r="AL39" s="53" t="n"/>
      <c r="AM39" s="53" t="n"/>
      <c r="AN39" s="53" t="n"/>
      <c r="AO39" s="53" t="n"/>
      <c r="AP39" s="53" t="n"/>
      <c r="AQ39" s="53" t="n"/>
      <c r="AR39" s="53" t="n"/>
      <c r="AS39" s="53" t="n"/>
      <c r="AT39" s="53" t="n"/>
      <c r="AU39" s="53" t="n"/>
      <c r="AV39" s="53" t="n"/>
      <c r="AW39" s="53" t="n"/>
      <c r="AX39" s="53" t="n"/>
      <c r="AY39" s="53" t="n"/>
    </row>
    <row r="40" ht="15" customHeight="1">
      <c r="A40" s="54" t="n"/>
      <c r="B40" s="55">
        <f>IF($B$39="","",$B$39)</f>
        <v/>
      </c>
      <c r="C40" s="56" t="inlineStr">
        <is>
          <t>마케팅1팀</t>
        </is>
      </c>
      <c r="D40" s="55">
        <f>IF($D$39="","",$D$39)</f>
        <v/>
      </c>
      <c r="E40" s="57" t="inlineStr">
        <is>
          <t>이미지</t>
        </is>
      </c>
      <c r="F40" s="44" t="n"/>
      <c r="G40" s="58">
        <f>IF($G$39="","",$G$39)</f>
        <v/>
      </c>
      <c r="H40" s="59" t="n"/>
      <c r="I40" s="59" t="n"/>
      <c r="J40" s="59" t="n"/>
      <c r="K40" s="59" t="n"/>
      <c r="L40" s="60">
        <f>IF(SUM(U40:AY40)=0,"",SUM(U40:AY40))</f>
        <v/>
      </c>
      <c r="M40" s="61">
        <f>IFERROR(INDEX(U$2:AY$2,MATCH(TRUE,INDEX(U40:AY40&lt;&gt;"",0),0)),"")</f>
        <v/>
      </c>
      <c r="N40" s="61">
        <f>IFERROR(LOOKUP(2,1/(U40:AY40&lt;&gt;""),U$2:AY$2),"")</f>
        <v/>
      </c>
      <c r="O40" s="59" t="n"/>
      <c r="P40" s="59" t="n"/>
      <c r="Q40" s="59" t="n"/>
      <c r="R40" s="59" t="n"/>
      <c r="S40" s="14" t="n"/>
      <c r="U40" s="53" t="n"/>
      <c r="V40" s="53" t="n"/>
      <c r="W40" s="53" t="n"/>
      <c r="X40" s="53" t="n"/>
      <c r="Y40" s="53" t="n"/>
      <c r="Z40" s="53" t="n"/>
      <c r="AA40" s="53" t="n"/>
      <c r="AB40" s="53" t="n"/>
      <c r="AC40" s="53" t="n"/>
      <c r="AD40" s="53" t="n"/>
      <c r="AE40" s="53" t="n"/>
      <c r="AF40" s="53" t="n"/>
      <c r="AG40" s="53" t="n"/>
      <c r="AH40" s="53" t="n"/>
      <c r="AI40" s="53" t="n"/>
      <c r="AJ40" s="53" t="n"/>
      <c r="AK40" s="53" t="n"/>
      <c r="AL40" s="53" t="n"/>
      <c r="AM40" s="53" t="n"/>
      <c r="AN40" s="53" t="n"/>
      <c r="AO40" s="53" t="n"/>
      <c r="AP40" s="53" t="n"/>
      <c r="AQ40" s="53" t="n"/>
      <c r="AR40" s="53" t="n"/>
      <c r="AS40" s="53" t="n"/>
      <c r="AT40" s="53" t="n"/>
      <c r="AU40" s="53" t="n"/>
      <c r="AV40" s="53" t="n"/>
      <c r="AW40" s="53" t="n"/>
      <c r="AX40" s="53" t="n"/>
      <c r="AY40" s="53" t="n"/>
    </row>
    <row r="41" ht="15" customHeight="1">
      <c r="A41" s="62" t="n"/>
      <c r="B41" s="55">
        <f>IF($B$39="","",$B$39)</f>
        <v/>
      </c>
      <c r="C41" s="63" t="inlineStr">
        <is>
          <t>마케팅1팀</t>
        </is>
      </c>
      <c r="D41" s="55">
        <f>IF($D$39="","",$D$39)</f>
        <v/>
      </c>
      <c r="E41" s="64" t="inlineStr">
        <is>
          <t>영상</t>
        </is>
      </c>
      <c r="F41" s="44" t="n"/>
      <c r="G41" s="58">
        <f>IF($G$39="","",$G$39)</f>
        <v/>
      </c>
      <c r="H41" s="59" t="n"/>
      <c r="I41" s="59" t="n"/>
      <c r="J41" s="59" t="n"/>
      <c r="K41" s="59" t="n"/>
      <c r="L41" s="65">
        <f>IF(SUM(U41:AY41)=0,"",SUM(U41:AY41))</f>
        <v/>
      </c>
      <c r="M41" s="66">
        <f>IFERROR(INDEX(U$2:AY$2,MATCH(TRUE,INDEX(U41:AY41&lt;&gt;"",0),0)),"")</f>
        <v/>
      </c>
      <c r="N41" s="66">
        <f>IFERROR(LOOKUP(2,1/(U41:AY41&lt;&gt;""),U$2:AY$2),"")</f>
        <v/>
      </c>
      <c r="O41" s="59" t="n"/>
      <c r="P41" s="59" t="n"/>
      <c r="Q41" s="59" t="n"/>
      <c r="R41" s="59" t="n"/>
      <c r="S41" s="14" t="n"/>
      <c r="U41" s="53" t="n"/>
      <c r="V41" s="53" t="n"/>
      <c r="W41" s="53" t="n"/>
      <c r="X41" s="53" t="n"/>
      <c r="Y41" s="53" t="n"/>
      <c r="Z41" s="53" t="n"/>
      <c r="AA41" s="53" t="n"/>
      <c r="AB41" s="53" t="n"/>
      <c r="AC41" s="53" t="n"/>
      <c r="AD41" s="53" t="n"/>
      <c r="AE41" s="53" t="n"/>
      <c r="AF41" s="53" t="n"/>
      <c r="AG41" s="53" t="n"/>
      <c r="AH41" s="53" t="n"/>
      <c r="AI41" s="53" t="n"/>
      <c r="AJ41" s="53" t="n"/>
      <c r="AK41" s="53" t="n"/>
      <c r="AL41" s="53" t="n"/>
      <c r="AM41" s="53" t="n"/>
      <c r="AN41" s="53" t="n"/>
      <c r="AO41" s="53" t="n"/>
      <c r="AP41" s="53" t="n"/>
      <c r="AQ41" s="53" t="n"/>
      <c r="AR41" s="53" t="n"/>
      <c r="AS41" s="53" t="n"/>
      <c r="AT41" s="53" t="n"/>
      <c r="AU41" s="53" t="n"/>
      <c r="AV41" s="53" t="n"/>
      <c r="AW41" s="53" t="n"/>
      <c r="AX41" s="53" t="n"/>
      <c r="AY41" s="53" t="n"/>
    </row>
    <row r="42" ht="15" customHeight="1">
      <c r="A42" s="40">
        <f>IF($D$42="","",12)</f>
        <v/>
      </c>
      <c r="B42" s="10" t="n"/>
      <c r="C42" s="41" t="inlineStr">
        <is>
          <t>마케팅1팀</t>
        </is>
      </c>
      <c r="D42" s="42" t="n"/>
      <c r="E42" s="43" t="inlineStr">
        <is>
          <t>기획</t>
        </is>
      </c>
      <c r="F42" s="44" t="n"/>
      <c r="G42" s="45" t="n"/>
      <c r="H42" s="46">
        <f>IF($I$42="","",IF($I$42&lt;0,"🔴지연",IF($I$42&lt;=1,"🟡임박","🟢여유")))</f>
        <v/>
      </c>
      <c r="I42" s="47">
        <f>IF(OR($G$42="",$K$42=""),"",$G$42-$K$42)</f>
        <v/>
      </c>
      <c r="J42" s="48">
        <f>IF(SUM($L$42:$L$44)=0,"",SUM($L$42:$L$44))</f>
        <v/>
      </c>
      <c r="K42" s="49">
        <f>IF($J$42="","",MAX($N$42:$N$44))</f>
        <v/>
      </c>
      <c r="L42" s="50">
        <f>IF(SUM(U42:AY42)=0,"",SUM(U42:AY42))</f>
        <v/>
      </c>
      <c r="M42" s="51">
        <f>IFERROR(INDEX(U$2:AY$2,MATCH(TRUE,INDEX(U42:AY42&lt;&gt;"",0),0)),"")</f>
        <v/>
      </c>
      <c r="N42" s="51">
        <f>IFERROR(LOOKUP(2,1/(U42:AY42&lt;&gt;""),U$2:AY$2),"")</f>
        <v/>
      </c>
      <c r="O42" s="52" t="n"/>
      <c r="P42" s="52" t="n"/>
      <c r="Q42" s="52" t="n"/>
      <c r="R42" s="44" t="n"/>
      <c r="S42" s="14" t="n"/>
      <c r="U42" s="53" t="n"/>
      <c r="V42" s="53" t="n"/>
      <c r="W42" s="53" t="n"/>
      <c r="X42" s="53" t="n"/>
      <c r="Y42" s="53" t="n"/>
      <c r="Z42" s="53" t="n"/>
      <c r="AA42" s="53" t="n"/>
      <c r="AB42" s="53" t="n"/>
      <c r="AC42" s="53" t="n"/>
      <c r="AD42" s="53" t="n"/>
      <c r="AE42" s="53" t="n"/>
      <c r="AF42" s="53" t="n"/>
      <c r="AG42" s="53" t="n"/>
      <c r="AH42" s="53" t="n"/>
      <c r="AI42" s="53" t="n"/>
      <c r="AJ42" s="53" t="n"/>
      <c r="AK42" s="53" t="n"/>
      <c r="AL42" s="53" t="n"/>
      <c r="AM42" s="53" t="n"/>
      <c r="AN42" s="53" t="n"/>
      <c r="AO42" s="53" t="n"/>
      <c r="AP42" s="53" t="n"/>
      <c r="AQ42" s="53" t="n"/>
      <c r="AR42" s="53" t="n"/>
      <c r="AS42" s="53" t="n"/>
      <c r="AT42" s="53" t="n"/>
      <c r="AU42" s="53" t="n"/>
      <c r="AV42" s="53" t="n"/>
      <c r="AW42" s="53" t="n"/>
      <c r="AX42" s="53" t="n"/>
      <c r="AY42" s="53" t="n"/>
    </row>
    <row r="43" ht="15" customHeight="1">
      <c r="A43" s="54" t="n"/>
      <c r="B43" s="55">
        <f>IF($B$42="","",$B$42)</f>
        <v/>
      </c>
      <c r="C43" s="56" t="inlineStr">
        <is>
          <t>마케팅1팀</t>
        </is>
      </c>
      <c r="D43" s="55">
        <f>IF($D$42="","",$D$42)</f>
        <v/>
      </c>
      <c r="E43" s="57" t="inlineStr">
        <is>
          <t>이미지</t>
        </is>
      </c>
      <c r="F43" s="44" t="n"/>
      <c r="G43" s="58">
        <f>IF($G$42="","",$G$42)</f>
        <v/>
      </c>
      <c r="H43" s="59" t="n"/>
      <c r="I43" s="59" t="n"/>
      <c r="J43" s="59" t="n"/>
      <c r="K43" s="59" t="n"/>
      <c r="L43" s="60">
        <f>IF(SUM(U43:AY43)=0,"",SUM(U43:AY43))</f>
        <v/>
      </c>
      <c r="M43" s="61">
        <f>IFERROR(INDEX(U$2:AY$2,MATCH(TRUE,INDEX(U43:AY43&lt;&gt;"",0),0)),"")</f>
        <v/>
      </c>
      <c r="N43" s="61">
        <f>IFERROR(LOOKUP(2,1/(U43:AY43&lt;&gt;""),U$2:AY$2),"")</f>
        <v/>
      </c>
      <c r="O43" s="59" t="n"/>
      <c r="P43" s="59" t="n"/>
      <c r="Q43" s="59" t="n"/>
      <c r="R43" s="59" t="n"/>
      <c r="S43" s="14" t="n"/>
      <c r="U43" s="53" t="n"/>
      <c r="V43" s="53" t="n"/>
      <c r="W43" s="53" t="n"/>
      <c r="X43" s="53" t="n"/>
      <c r="Y43" s="53" t="n"/>
      <c r="Z43" s="53" t="n"/>
      <c r="AA43" s="53" t="n"/>
      <c r="AB43" s="53" t="n"/>
      <c r="AC43" s="53" t="n"/>
      <c r="AD43" s="53" t="n"/>
      <c r="AE43" s="53" t="n"/>
      <c r="AF43" s="53" t="n"/>
      <c r="AG43" s="53" t="n"/>
      <c r="AH43" s="53" t="n"/>
      <c r="AI43" s="53" t="n"/>
      <c r="AJ43" s="53" t="n"/>
      <c r="AK43" s="53" t="n"/>
      <c r="AL43" s="53" t="n"/>
      <c r="AM43" s="53" t="n"/>
      <c r="AN43" s="53" t="n"/>
      <c r="AO43" s="53" t="n"/>
      <c r="AP43" s="53" t="n"/>
      <c r="AQ43" s="53" t="n"/>
      <c r="AR43" s="53" t="n"/>
      <c r="AS43" s="53" t="n"/>
      <c r="AT43" s="53" t="n"/>
      <c r="AU43" s="53" t="n"/>
      <c r="AV43" s="53" t="n"/>
      <c r="AW43" s="53" t="n"/>
      <c r="AX43" s="53" t="n"/>
      <c r="AY43" s="53" t="n"/>
    </row>
    <row r="44" ht="15" customHeight="1">
      <c r="A44" s="62" t="n"/>
      <c r="B44" s="55">
        <f>IF($B$42="","",$B$42)</f>
        <v/>
      </c>
      <c r="C44" s="63" t="inlineStr">
        <is>
          <t>마케팅1팀</t>
        </is>
      </c>
      <c r="D44" s="55">
        <f>IF($D$42="","",$D$42)</f>
        <v/>
      </c>
      <c r="E44" s="64" t="inlineStr">
        <is>
          <t>영상</t>
        </is>
      </c>
      <c r="F44" s="44" t="n"/>
      <c r="G44" s="58">
        <f>IF($G$42="","",$G$42)</f>
        <v/>
      </c>
      <c r="H44" s="59" t="n"/>
      <c r="I44" s="59" t="n"/>
      <c r="J44" s="59" t="n"/>
      <c r="K44" s="59" t="n"/>
      <c r="L44" s="65">
        <f>IF(SUM(U44:AY44)=0,"",SUM(U44:AY44))</f>
        <v/>
      </c>
      <c r="M44" s="66">
        <f>IFERROR(INDEX(U$2:AY$2,MATCH(TRUE,INDEX(U44:AY44&lt;&gt;"",0),0)),"")</f>
        <v/>
      </c>
      <c r="N44" s="66">
        <f>IFERROR(LOOKUP(2,1/(U44:AY44&lt;&gt;""),U$2:AY$2),"")</f>
        <v/>
      </c>
      <c r="O44" s="59" t="n"/>
      <c r="P44" s="59" t="n"/>
      <c r="Q44" s="59" t="n"/>
      <c r="R44" s="59" t="n"/>
      <c r="S44" s="14" t="n"/>
      <c r="U44" s="53" t="n"/>
      <c r="V44" s="53" t="n"/>
      <c r="W44" s="53" t="n"/>
      <c r="X44" s="53" t="n"/>
      <c r="Y44" s="53" t="n"/>
      <c r="Z44" s="53" t="n"/>
      <c r="AA44" s="53" t="n"/>
      <c r="AB44" s="53" t="n"/>
      <c r="AC44" s="53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53" t="n"/>
      <c r="AN44" s="53" t="n"/>
      <c r="AO44" s="53" t="n"/>
      <c r="AP44" s="53" t="n"/>
      <c r="AQ44" s="53" t="n"/>
      <c r="AR44" s="53" t="n"/>
      <c r="AS44" s="53" t="n"/>
      <c r="AT44" s="53" t="n"/>
      <c r="AU44" s="53" t="n"/>
      <c r="AV44" s="53" t="n"/>
      <c r="AW44" s="53" t="n"/>
      <c r="AX44" s="53" t="n"/>
      <c r="AY44" s="53" t="n"/>
    </row>
    <row r="45" ht="15" customHeight="1">
      <c r="A45" s="40">
        <f>IF($D$45="","",13)</f>
        <v/>
      </c>
      <c r="B45" s="10" t="n"/>
      <c r="C45" s="41" t="inlineStr">
        <is>
          <t>마케팅1팀</t>
        </is>
      </c>
      <c r="D45" s="42" t="n"/>
      <c r="E45" s="43" t="inlineStr">
        <is>
          <t>기획</t>
        </is>
      </c>
      <c r="F45" s="44" t="n"/>
      <c r="G45" s="45" t="n"/>
      <c r="H45" s="46">
        <f>IF($I$45="","",IF($I$45&lt;0,"🔴지연",IF($I$45&lt;=1,"🟡임박","🟢여유")))</f>
        <v/>
      </c>
      <c r="I45" s="47">
        <f>IF(OR($G$45="",$K$45=""),"",$G$45-$K$45)</f>
        <v/>
      </c>
      <c r="J45" s="48">
        <f>IF(SUM($L$45:$L$47)=0,"",SUM($L$45:$L$47))</f>
        <v/>
      </c>
      <c r="K45" s="49">
        <f>IF($J$45="","",MAX($N$45:$N$47))</f>
        <v/>
      </c>
      <c r="L45" s="50">
        <f>IF(SUM(U45:AY45)=0,"",SUM(U45:AY45))</f>
        <v/>
      </c>
      <c r="M45" s="51">
        <f>IFERROR(INDEX(U$2:AY$2,MATCH(TRUE,INDEX(U45:AY45&lt;&gt;"",0),0)),"")</f>
        <v/>
      </c>
      <c r="N45" s="51">
        <f>IFERROR(LOOKUP(2,1/(U45:AY45&lt;&gt;""),U$2:AY$2),"")</f>
        <v/>
      </c>
      <c r="O45" s="52" t="n"/>
      <c r="P45" s="52" t="n"/>
      <c r="Q45" s="52" t="n"/>
      <c r="R45" s="44" t="n"/>
      <c r="S45" s="14" t="n"/>
      <c r="U45" s="53" t="n"/>
      <c r="V45" s="53" t="n"/>
      <c r="W45" s="53" t="n"/>
      <c r="X45" s="53" t="n"/>
      <c r="Y45" s="53" t="n"/>
      <c r="Z45" s="53" t="n"/>
      <c r="AA45" s="53" t="n"/>
      <c r="AB45" s="53" t="n"/>
      <c r="AC45" s="53" t="n"/>
      <c r="AD45" s="53" t="n"/>
      <c r="AE45" s="53" t="n"/>
      <c r="AF45" s="53" t="n"/>
      <c r="AG45" s="53" t="n"/>
      <c r="AH45" s="53" t="n"/>
      <c r="AI45" s="53" t="n"/>
      <c r="AJ45" s="53" t="n"/>
      <c r="AK45" s="53" t="n"/>
      <c r="AL45" s="53" t="n"/>
      <c r="AM45" s="53" t="n"/>
      <c r="AN45" s="53" t="n"/>
      <c r="AO45" s="53" t="n"/>
      <c r="AP45" s="53" t="n"/>
      <c r="AQ45" s="53" t="n"/>
      <c r="AR45" s="53" t="n"/>
      <c r="AS45" s="53" t="n"/>
      <c r="AT45" s="53" t="n"/>
      <c r="AU45" s="53" t="n"/>
      <c r="AV45" s="53" t="n"/>
      <c r="AW45" s="53" t="n"/>
      <c r="AX45" s="53" t="n"/>
      <c r="AY45" s="53" t="n"/>
    </row>
    <row r="46" ht="15" customHeight="1">
      <c r="A46" s="54" t="n"/>
      <c r="B46" s="55">
        <f>IF($B$45="","",$B$45)</f>
        <v/>
      </c>
      <c r="C46" s="56" t="inlineStr">
        <is>
          <t>마케팅1팀</t>
        </is>
      </c>
      <c r="D46" s="55">
        <f>IF($D$45="","",$D$45)</f>
        <v/>
      </c>
      <c r="E46" s="57" t="inlineStr">
        <is>
          <t>이미지</t>
        </is>
      </c>
      <c r="F46" s="44" t="n"/>
      <c r="G46" s="58">
        <f>IF($G$45="","",$G$45)</f>
        <v/>
      </c>
      <c r="H46" s="59" t="n"/>
      <c r="I46" s="59" t="n"/>
      <c r="J46" s="59" t="n"/>
      <c r="K46" s="59" t="n"/>
      <c r="L46" s="60">
        <f>IF(SUM(U46:AY46)=0,"",SUM(U46:AY46))</f>
        <v/>
      </c>
      <c r="M46" s="61">
        <f>IFERROR(INDEX(U$2:AY$2,MATCH(TRUE,INDEX(U46:AY46&lt;&gt;"",0),0)),"")</f>
        <v/>
      </c>
      <c r="N46" s="61">
        <f>IFERROR(LOOKUP(2,1/(U46:AY46&lt;&gt;""),U$2:AY$2),"")</f>
        <v/>
      </c>
      <c r="O46" s="59" t="n"/>
      <c r="P46" s="59" t="n"/>
      <c r="Q46" s="59" t="n"/>
      <c r="R46" s="59" t="n"/>
      <c r="S46" s="14" t="n"/>
      <c r="U46" s="53" t="n"/>
      <c r="V46" s="53" t="n"/>
      <c r="W46" s="53" t="n"/>
      <c r="X46" s="53" t="n"/>
      <c r="Y46" s="53" t="n"/>
      <c r="Z46" s="53" t="n"/>
      <c r="AA46" s="53" t="n"/>
      <c r="AB46" s="53" t="n"/>
      <c r="AC46" s="53" t="n"/>
      <c r="AD46" s="53" t="n"/>
      <c r="AE46" s="53" t="n"/>
      <c r="AF46" s="53" t="n"/>
      <c r="AG46" s="53" t="n"/>
      <c r="AH46" s="53" t="n"/>
      <c r="AI46" s="53" t="n"/>
      <c r="AJ46" s="53" t="n"/>
      <c r="AK46" s="53" t="n"/>
      <c r="AL46" s="53" t="n"/>
      <c r="AM46" s="53" t="n"/>
      <c r="AN46" s="53" t="n"/>
      <c r="AO46" s="53" t="n"/>
      <c r="AP46" s="53" t="n"/>
      <c r="AQ46" s="53" t="n"/>
      <c r="AR46" s="53" t="n"/>
      <c r="AS46" s="53" t="n"/>
      <c r="AT46" s="53" t="n"/>
      <c r="AU46" s="53" t="n"/>
      <c r="AV46" s="53" t="n"/>
      <c r="AW46" s="53" t="n"/>
      <c r="AX46" s="53" t="n"/>
      <c r="AY46" s="53" t="n"/>
    </row>
    <row r="47" ht="15" customHeight="1">
      <c r="A47" s="62" t="n"/>
      <c r="B47" s="55">
        <f>IF($B$45="","",$B$45)</f>
        <v/>
      </c>
      <c r="C47" s="63" t="inlineStr">
        <is>
          <t>마케팅1팀</t>
        </is>
      </c>
      <c r="D47" s="55">
        <f>IF($D$45="","",$D$45)</f>
        <v/>
      </c>
      <c r="E47" s="64" t="inlineStr">
        <is>
          <t>영상</t>
        </is>
      </c>
      <c r="F47" s="44" t="n"/>
      <c r="G47" s="58">
        <f>IF($G$45="","",$G$45)</f>
        <v/>
      </c>
      <c r="H47" s="59" t="n"/>
      <c r="I47" s="59" t="n"/>
      <c r="J47" s="59" t="n"/>
      <c r="K47" s="59" t="n"/>
      <c r="L47" s="65">
        <f>IF(SUM(U47:AY47)=0,"",SUM(U47:AY47))</f>
        <v/>
      </c>
      <c r="M47" s="66">
        <f>IFERROR(INDEX(U$2:AY$2,MATCH(TRUE,INDEX(U47:AY47&lt;&gt;"",0),0)),"")</f>
        <v/>
      </c>
      <c r="N47" s="66">
        <f>IFERROR(LOOKUP(2,1/(U47:AY47&lt;&gt;""),U$2:AY$2),"")</f>
        <v/>
      </c>
      <c r="O47" s="59" t="n"/>
      <c r="P47" s="59" t="n"/>
      <c r="Q47" s="59" t="n"/>
      <c r="R47" s="59" t="n"/>
      <c r="S47" s="14" t="n"/>
      <c r="U47" s="53" t="n"/>
      <c r="V47" s="53" t="n"/>
      <c r="W47" s="53" t="n"/>
      <c r="X47" s="53" t="n"/>
      <c r="Y47" s="53" t="n"/>
      <c r="Z47" s="53" t="n"/>
      <c r="AA47" s="53" t="n"/>
      <c r="AB47" s="53" t="n"/>
      <c r="AC47" s="53" t="n"/>
      <c r="AD47" s="53" t="n"/>
      <c r="AE47" s="53" t="n"/>
      <c r="AF47" s="53" t="n"/>
      <c r="AG47" s="53" t="n"/>
      <c r="AH47" s="53" t="n"/>
      <c r="AI47" s="53" t="n"/>
      <c r="AJ47" s="53" t="n"/>
      <c r="AK47" s="53" t="n"/>
      <c r="AL47" s="53" t="n"/>
      <c r="AM47" s="53" t="n"/>
      <c r="AN47" s="53" t="n"/>
      <c r="AO47" s="53" t="n"/>
      <c r="AP47" s="53" t="n"/>
      <c r="AQ47" s="53" t="n"/>
      <c r="AR47" s="53" t="n"/>
      <c r="AS47" s="53" t="n"/>
      <c r="AT47" s="53" t="n"/>
      <c r="AU47" s="53" t="n"/>
      <c r="AV47" s="53" t="n"/>
      <c r="AW47" s="53" t="n"/>
      <c r="AX47" s="53" t="n"/>
      <c r="AY47" s="53" t="n"/>
    </row>
    <row r="48" ht="15" customHeight="1">
      <c r="A48" s="40">
        <f>IF($D$48="","",14)</f>
        <v/>
      </c>
      <c r="B48" s="10" t="n"/>
      <c r="C48" s="41" t="inlineStr">
        <is>
          <t>마케팅1팀</t>
        </is>
      </c>
      <c r="D48" s="42" t="n"/>
      <c r="E48" s="43" t="inlineStr">
        <is>
          <t>기획</t>
        </is>
      </c>
      <c r="F48" s="44" t="n"/>
      <c r="G48" s="45" t="n"/>
      <c r="H48" s="46">
        <f>IF($I$48="","",IF($I$48&lt;0,"🔴지연",IF($I$48&lt;=1,"🟡임박","🟢여유")))</f>
        <v/>
      </c>
      <c r="I48" s="47">
        <f>IF(OR($G$48="",$K$48=""),"",$G$48-$K$48)</f>
        <v/>
      </c>
      <c r="J48" s="48">
        <f>IF(SUM($L$48:$L$50)=0,"",SUM($L$48:$L$50))</f>
        <v/>
      </c>
      <c r="K48" s="49">
        <f>IF($J$48="","",MAX($N$48:$N$50))</f>
        <v/>
      </c>
      <c r="L48" s="50">
        <f>IF(SUM(U48:AY48)=0,"",SUM(U48:AY48))</f>
        <v/>
      </c>
      <c r="M48" s="51">
        <f>IFERROR(INDEX(U$2:AY$2,MATCH(TRUE,INDEX(U48:AY48&lt;&gt;"",0),0)),"")</f>
        <v/>
      </c>
      <c r="N48" s="51">
        <f>IFERROR(LOOKUP(2,1/(U48:AY48&lt;&gt;""),U$2:AY$2),"")</f>
        <v/>
      </c>
      <c r="O48" s="52" t="n"/>
      <c r="P48" s="52" t="n"/>
      <c r="Q48" s="52" t="n"/>
      <c r="R48" s="44" t="n"/>
      <c r="S48" s="14" t="n"/>
      <c r="U48" s="53" t="n"/>
      <c r="V48" s="53" t="n"/>
      <c r="W48" s="53" t="n"/>
      <c r="X48" s="53" t="n"/>
      <c r="Y48" s="53" t="n"/>
      <c r="Z48" s="53" t="n"/>
      <c r="AA48" s="53" t="n"/>
      <c r="AB48" s="53" t="n"/>
      <c r="AC48" s="53" t="n"/>
      <c r="AD48" s="53" t="n"/>
      <c r="AE48" s="53" t="n"/>
      <c r="AF48" s="53" t="n"/>
      <c r="AG48" s="53" t="n"/>
      <c r="AH48" s="53" t="n"/>
      <c r="AI48" s="53" t="n"/>
      <c r="AJ48" s="53" t="n"/>
      <c r="AK48" s="53" t="n"/>
      <c r="AL48" s="53" t="n"/>
      <c r="AM48" s="53" t="n"/>
      <c r="AN48" s="53" t="n"/>
      <c r="AO48" s="53" t="n"/>
      <c r="AP48" s="53" t="n"/>
      <c r="AQ48" s="53" t="n"/>
      <c r="AR48" s="53" t="n"/>
      <c r="AS48" s="53" t="n"/>
      <c r="AT48" s="53" t="n"/>
      <c r="AU48" s="53" t="n"/>
      <c r="AV48" s="53" t="n"/>
      <c r="AW48" s="53" t="n"/>
      <c r="AX48" s="53" t="n"/>
      <c r="AY48" s="53" t="n"/>
    </row>
    <row r="49" ht="15" customHeight="1">
      <c r="A49" s="54" t="n"/>
      <c r="B49" s="55">
        <f>IF($B$48="","",$B$48)</f>
        <v/>
      </c>
      <c r="C49" s="56" t="inlineStr">
        <is>
          <t>마케팅1팀</t>
        </is>
      </c>
      <c r="D49" s="55">
        <f>IF($D$48="","",$D$48)</f>
        <v/>
      </c>
      <c r="E49" s="57" t="inlineStr">
        <is>
          <t>이미지</t>
        </is>
      </c>
      <c r="F49" s="44" t="n"/>
      <c r="G49" s="58">
        <f>IF($G$48="","",$G$48)</f>
        <v/>
      </c>
      <c r="H49" s="59" t="n"/>
      <c r="I49" s="59" t="n"/>
      <c r="J49" s="59" t="n"/>
      <c r="K49" s="59" t="n"/>
      <c r="L49" s="60">
        <f>IF(SUM(U49:AY49)=0,"",SUM(U49:AY49))</f>
        <v/>
      </c>
      <c r="M49" s="61">
        <f>IFERROR(INDEX(U$2:AY$2,MATCH(TRUE,INDEX(U49:AY49&lt;&gt;"",0),0)),"")</f>
        <v/>
      </c>
      <c r="N49" s="61">
        <f>IFERROR(LOOKUP(2,1/(U49:AY49&lt;&gt;""),U$2:AY$2),"")</f>
        <v/>
      </c>
      <c r="O49" s="59" t="n"/>
      <c r="P49" s="59" t="n"/>
      <c r="Q49" s="59" t="n"/>
      <c r="R49" s="59" t="n"/>
      <c r="S49" s="14" t="n"/>
      <c r="U49" s="53" t="n"/>
      <c r="V49" s="53" t="n"/>
      <c r="W49" s="53" t="n"/>
      <c r="X49" s="53" t="n"/>
      <c r="Y49" s="53" t="n"/>
      <c r="Z49" s="53" t="n"/>
      <c r="AA49" s="53" t="n"/>
      <c r="AB49" s="53" t="n"/>
      <c r="AC49" s="53" t="n"/>
      <c r="AD49" s="53" t="n"/>
      <c r="AE49" s="53" t="n"/>
      <c r="AF49" s="53" t="n"/>
      <c r="AG49" s="53" t="n"/>
      <c r="AH49" s="53" t="n"/>
      <c r="AI49" s="53" t="n"/>
      <c r="AJ49" s="53" t="n"/>
      <c r="AK49" s="53" t="n"/>
      <c r="AL49" s="53" t="n"/>
      <c r="AM49" s="53" t="n"/>
      <c r="AN49" s="53" t="n"/>
      <c r="AO49" s="53" t="n"/>
      <c r="AP49" s="53" t="n"/>
      <c r="AQ49" s="53" t="n"/>
      <c r="AR49" s="53" t="n"/>
      <c r="AS49" s="53" t="n"/>
      <c r="AT49" s="53" t="n"/>
      <c r="AU49" s="53" t="n"/>
      <c r="AV49" s="53" t="n"/>
      <c r="AW49" s="53" t="n"/>
      <c r="AX49" s="53" t="n"/>
      <c r="AY49" s="53" t="n"/>
    </row>
    <row r="50" ht="15" customHeight="1">
      <c r="A50" s="62" t="n"/>
      <c r="B50" s="55">
        <f>IF($B$48="","",$B$48)</f>
        <v/>
      </c>
      <c r="C50" s="63" t="inlineStr">
        <is>
          <t>마케팅1팀</t>
        </is>
      </c>
      <c r="D50" s="55">
        <f>IF($D$48="","",$D$48)</f>
        <v/>
      </c>
      <c r="E50" s="64" t="inlineStr">
        <is>
          <t>영상</t>
        </is>
      </c>
      <c r="F50" s="44" t="n"/>
      <c r="G50" s="58">
        <f>IF($G$48="","",$G$48)</f>
        <v/>
      </c>
      <c r="H50" s="59" t="n"/>
      <c r="I50" s="59" t="n"/>
      <c r="J50" s="59" t="n"/>
      <c r="K50" s="59" t="n"/>
      <c r="L50" s="65">
        <f>IF(SUM(U50:AY50)=0,"",SUM(U50:AY50))</f>
        <v/>
      </c>
      <c r="M50" s="66">
        <f>IFERROR(INDEX(U$2:AY$2,MATCH(TRUE,INDEX(U50:AY50&lt;&gt;"",0),0)),"")</f>
        <v/>
      </c>
      <c r="N50" s="66">
        <f>IFERROR(LOOKUP(2,1/(U50:AY50&lt;&gt;""),U$2:AY$2),"")</f>
        <v/>
      </c>
      <c r="O50" s="59" t="n"/>
      <c r="P50" s="59" t="n"/>
      <c r="Q50" s="59" t="n"/>
      <c r="R50" s="59" t="n"/>
      <c r="S50" s="14" t="n"/>
      <c r="U50" s="53" t="n"/>
      <c r="V50" s="53" t="n"/>
      <c r="W50" s="53" t="n"/>
      <c r="X50" s="53" t="n"/>
      <c r="Y50" s="53" t="n"/>
      <c r="Z50" s="53" t="n"/>
      <c r="AA50" s="53" t="n"/>
      <c r="AB50" s="53" t="n"/>
      <c r="AC50" s="53" t="n"/>
      <c r="AD50" s="53" t="n"/>
      <c r="AE50" s="53" t="n"/>
      <c r="AF50" s="53" t="n"/>
      <c r="AG50" s="53" t="n"/>
      <c r="AH50" s="53" t="n"/>
      <c r="AI50" s="53" t="n"/>
      <c r="AJ50" s="53" t="n"/>
      <c r="AK50" s="53" t="n"/>
      <c r="AL50" s="53" t="n"/>
      <c r="AM50" s="53" t="n"/>
      <c r="AN50" s="53" t="n"/>
      <c r="AO50" s="53" t="n"/>
      <c r="AP50" s="53" t="n"/>
      <c r="AQ50" s="53" t="n"/>
      <c r="AR50" s="53" t="n"/>
      <c r="AS50" s="53" t="n"/>
      <c r="AT50" s="53" t="n"/>
      <c r="AU50" s="53" t="n"/>
      <c r="AV50" s="53" t="n"/>
      <c r="AW50" s="53" t="n"/>
      <c r="AX50" s="53" t="n"/>
      <c r="AY50" s="53" t="n"/>
    </row>
    <row r="51" ht="15" customHeight="1">
      <c r="A51" s="40">
        <f>IF($D$51="","",15)</f>
        <v/>
      </c>
      <c r="B51" s="10" t="n"/>
      <c r="C51" s="41" t="inlineStr">
        <is>
          <t>마케팅1팀</t>
        </is>
      </c>
      <c r="D51" s="42" t="n"/>
      <c r="E51" s="43" t="inlineStr">
        <is>
          <t>기획</t>
        </is>
      </c>
      <c r="F51" s="44" t="n"/>
      <c r="G51" s="45" t="n"/>
      <c r="H51" s="46">
        <f>IF($I$51="","",IF($I$51&lt;0,"🔴지연",IF($I$51&lt;=1,"🟡임박","🟢여유")))</f>
        <v/>
      </c>
      <c r="I51" s="47">
        <f>IF(OR($G$51="",$K$51=""),"",$G$51-$K$51)</f>
        <v/>
      </c>
      <c r="J51" s="48">
        <f>IF(SUM($L$51:$L$53)=0,"",SUM($L$51:$L$53))</f>
        <v/>
      </c>
      <c r="K51" s="49">
        <f>IF($J$51="","",MAX($N$51:$N$53))</f>
        <v/>
      </c>
      <c r="L51" s="50">
        <f>IF(SUM(U51:AY51)=0,"",SUM(U51:AY51))</f>
        <v/>
      </c>
      <c r="M51" s="51">
        <f>IFERROR(INDEX(U$2:AY$2,MATCH(TRUE,INDEX(U51:AY51&lt;&gt;"",0),0)),"")</f>
        <v/>
      </c>
      <c r="N51" s="51">
        <f>IFERROR(LOOKUP(2,1/(U51:AY51&lt;&gt;""),U$2:AY$2),"")</f>
        <v/>
      </c>
      <c r="O51" s="52" t="n"/>
      <c r="P51" s="52" t="n"/>
      <c r="Q51" s="52" t="n"/>
      <c r="R51" s="44" t="n"/>
      <c r="S51" s="14" t="n"/>
      <c r="U51" s="53" t="n"/>
      <c r="V51" s="53" t="n"/>
      <c r="W51" s="53" t="n"/>
      <c r="X51" s="53" t="n"/>
      <c r="Y51" s="53" t="n"/>
      <c r="Z51" s="53" t="n"/>
      <c r="AA51" s="53" t="n"/>
      <c r="AB51" s="53" t="n"/>
      <c r="AC51" s="53" t="n"/>
      <c r="AD51" s="53" t="n"/>
      <c r="AE51" s="53" t="n"/>
      <c r="AF51" s="53" t="n"/>
      <c r="AG51" s="53" t="n"/>
      <c r="AH51" s="53" t="n"/>
      <c r="AI51" s="53" t="n"/>
      <c r="AJ51" s="53" t="n"/>
      <c r="AK51" s="53" t="n"/>
      <c r="AL51" s="53" t="n"/>
      <c r="AM51" s="53" t="n"/>
      <c r="AN51" s="53" t="n"/>
      <c r="AO51" s="53" t="n"/>
      <c r="AP51" s="53" t="n"/>
      <c r="AQ51" s="53" t="n"/>
      <c r="AR51" s="53" t="n"/>
      <c r="AS51" s="53" t="n"/>
      <c r="AT51" s="53" t="n"/>
      <c r="AU51" s="53" t="n"/>
      <c r="AV51" s="53" t="n"/>
      <c r="AW51" s="53" t="n"/>
      <c r="AX51" s="53" t="n"/>
      <c r="AY51" s="53" t="n"/>
    </row>
    <row r="52" ht="15" customHeight="1">
      <c r="A52" s="54" t="n"/>
      <c r="B52" s="55">
        <f>IF($B$51="","",$B$51)</f>
        <v/>
      </c>
      <c r="C52" s="56" t="inlineStr">
        <is>
          <t>마케팅1팀</t>
        </is>
      </c>
      <c r="D52" s="55">
        <f>IF($D$51="","",$D$51)</f>
        <v/>
      </c>
      <c r="E52" s="57" t="inlineStr">
        <is>
          <t>이미지</t>
        </is>
      </c>
      <c r="F52" s="44" t="n"/>
      <c r="G52" s="58">
        <f>IF($G$51="","",$G$51)</f>
        <v/>
      </c>
      <c r="H52" s="59" t="n"/>
      <c r="I52" s="59" t="n"/>
      <c r="J52" s="59" t="n"/>
      <c r="K52" s="59" t="n"/>
      <c r="L52" s="60">
        <f>IF(SUM(U52:AY52)=0,"",SUM(U52:AY52))</f>
        <v/>
      </c>
      <c r="M52" s="61">
        <f>IFERROR(INDEX(U$2:AY$2,MATCH(TRUE,INDEX(U52:AY52&lt;&gt;"",0),0)),"")</f>
        <v/>
      </c>
      <c r="N52" s="61">
        <f>IFERROR(LOOKUP(2,1/(U52:AY52&lt;&gt;""),U$2:AY$2),"")</f>
        <v/>
      </c>
      <c r="O52" s="59" t="n"/>
      <c r="P52" s="59" t="n"/>
      <c r="Q52" s="59" t="n"/>
      <c r="R52" s="59" t="n"/>
      <c r="S52" s="14" t="n"/>
      <c r="U52" s="53" t="n"/>
      <c r="V52" s="53" t="n"/>
      <c r="W52" s="53" t="n"/>
      <c r="X52" s="53" t="n"/>
      <c r="Y52" s="53" t="n"/>
      <c r="Z52" s="53" t="n"/>
      <c r="AA52" s="53" t="n"/>
      <c r="AB52" s="53" t="n"/>
      <c r="AC52" s="53" t="n"/>
      <c r="AD52" s="53" t="n"/>
      <c r="AE52" s="53" t="n"/>
      <c r="AF52" s="53" t="n"/>
      <c r="AG52" s="53" t="n"/>
      <c r="AH52" s="53" t="n"/>
      <c r="AI52" s="53" t="n"/>
      <c r="AJ52" s="53" t="n"/>
      <c r="AK52" s="53" t="n"/>
      <c r="AL52" s="53" t="n"/>
      <c r="AM52" s="53" t="n"/>
      <c r="AN52" s="53" t="n"/>
      <c r="AO52" s="53" t="n"/>
      <c r="AP52" s="53" t="n"/>
      <c r="AQ52" s="53" t="n"/>
      <c r="AR52" s="53" t="n"/>
      <c r="AS52" s="53" t="n"/>
      <c r="AT52" s="53" t="n"/>
      <c r="AU52" s="53" t="n"/>
      <c r="AV52" s="53" t="n"/>
      <c r="AW52" s="53" t="n"/>
      <c r="AX52" s="53" t="n"/>
      <c r="AY52" s="53" t="n"/>
    </row>
    <row r="53" ht="15" customHeight="1">
      <c r="A53" s="62" t="n"/>
      <c r="B53" s="55">
        <f>IF($B$51="","",$B$51)</f>
        <v/>
      </c>
      <c r="C53" s="63" t="inlineStr">
        <is>
          <t>마케팅1팀</t>
        </is>
      </c>
      <c r="D53" s="55">
        <f>IF($D$51="","",$D$51)</f>
        <v/>
      </c>
      <c r="E53" s="64" t="inlineStr">
        <is>
          <t>영상</t>
        </is>
      </c>
      <c r="F53" s="44" t="n"/>
      <c r="G53" s="58">
        <f>IF($G$51="","",$G$51)</f>
        <v/>
      </c>
      <c r="H53" s="59" t="n"/>
      <c r="I53" s="59" t="n"/>
      <c r="J53" s="59" t="n"/>
      <c r="K53" s="59" t="n"/>
      <c r="L53" s="65">
        <f>IF(SUM(U53:AY53)=0,"",SUM(U53:AY53))</f>
        <v/>
      </c>
      <c r="M53" s="66">
        <f>IFERROR(INDEX(U$2:AY$2,MATCH(TRUE,INDEX(U53:AY53&lt;&gt;"",0),0)),"")</f>
        <v/>
      </c>
      <c r="N53" s="66">
        <f>IFERROR(LOOKUP(2,1/(U53:AY53&lt;&gt;""),U$2:AY$2),"")</f>
        <v/>
      </c>
      <c r="O53" s="59" t="n"/>
      <c r="P53" s="59" t="n"/>
      <c r="Q53" s="59" t="n"/>
      <c r="R53" s="59" t="n"/>
      <c r="S53" s="14" t="n"/>
      <c r="U53" s="53" t="n"/>
      <c r="V53" s="53" t="n"/>
      <c r="W53" s="53" t="n"/>
      <c r="X53" s="53" t="n"/>
      <c r="Y53" s="53" t="n"/>
      <c r="Z53" s="53" t="n"/>
      <c r="AA53" s="53" t="n"/>
      <c r="AB53" s="53" t="n"/>
      <c r="AC53" s="53" t="n"/>
      <c r="AD53" s="53" t="n"/>
      <c r="AE53" s="53" t="n"/>
      <c r="AF53" s="53" t="n"/>
      <c r="AG53" s="53" t="n"/>
      <c r="AH53" s="53" t="n"/>
      <c r="AI53" s="53" t="n"/>
      <c r="AJ53" s="53" t="n"/>
      <c r="AK53" s="53" t="n"/>
      <c r="AL53" s="53" t="n"/>
      <c r="AM53" s="53" t="n"/>
      <c r="AN53" s="53" t="n"/>
      <c r="AO53" s="53" t="n"/>
      <c r="AP53" s="53" t="n"/>
      <c r="AQ53" s="53" t="n"/>
      <c r="AR53" s="53" t="n"/>
      <c r="AS53" s="53" t="n"/>
      <c r="AT53" s="53" t="n"/>
      <c r="AU53" s="53" t="n"/>
      <c r="AV53" s="53" t="n"/>
      <c r="AW53" s="53" t="n"/>
      <c r="AX53" s="53" t="n"/>
      <c r="AY53" s="53" t="n"/>
    </row>
    <row r="54" ht="15" customHeight="1">
      <c r="A54" s="40">
        <f>IF($D$54="","",16)</f>
        <v/>
      </c>
      <c r="B54" s="10" t="n"/>
      <c r="C54" s="41" t="inlineStr">
        <is>
          <t>마케팅1팀</t>
        </is>
      </c>
      <c r="D54" s="42" t="n"/>
      <c r="E54" s="43" t="inlineStr">
        <is>
          <t>기획</t>
        </is>
      </c>
      <c r="F54" s="44" t="n"/>
      <c r="G54" s="45" t="n"/>
      <c r="H54" s="46">
        <f>IF($I$54="","",IF($I$54&lt;0,"🔴지연",IF($I$54&lt;=1,"🟡임박","🟢여유")))</f>
        <v/>
      </c>
      <c r="I54" s="47">
        <f>IF(OR($G$54="",$K$54=""),"",$G$54-$K$54)</f>
        <v/>
      </c>
      <c r="J54" s="48">
        <f>IF(SUM($L$54:$L$56)=0,"",SUM($L$54:$L$56))</f>
        <v/>
      </c>
      <c r="K54" s="49">
        <f>IF($J$54="","",MAX($N$54:$N$56))</f>
        <v/>
      </c>
      <c r="L54" s="50">
        <f>IF(SUM(U54:AY54)=0,"",SUM(U54:AY54))</f>
        <v/>
      </c>
      <c r="M54" s="51">
        <f>IFERROR(INDEX(U$2:AY$2,MATCH(TRUE,INDEX(U54:AY54&lt;&gt;"",0),0)),"")</f>
        <v/>
      </c>
      <c r="N54" s="51">
        <f>IFERROR(LOOKUP(2,1/(U54:AY54&lt;&gt;""),U$2:AY$2),"")</f>
        <v/>
      </c>
      <c r="O54" s="52" t="n"/>
      <c r="P54" s="52" t="n"/>
      <c r="Q54" s="52" t="n"/>
      <c r="R54" s="44" t="n"/>
      <c r="S54" s="14" t="n"/>
      <c r="U54" s="53" t="n"/>
      <c r="V54" s="53" t="n"/>
      <c r="W54" s="53" t="n"/>
      <c r="X54" s="53" t="n"/>
      <c r="Y54" s="53" t="n"/>
      <c r="Z54" s="53" t="n"/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s="53" t="n"/>
      <c r="AJ54" s="53" t="n"/>
      <c r="AK54" s="53" t="n"/>
      <c r="AL54" s="53" t="n"/>
      <c r="AM54" s="53" t="n"/>
      <c r="AN54" s="53" t="n"/>
      <c r="AO54" s="53" t="n"/>
      <c r="AP54" s="53" t="n"/>
      <c r="AQ54" s="53" t="n"/>
      <c r="AR54" s="53" t="n"/>
      <c r="AS54" s="53" t="n"/>
      <c r="AT54" s="53" t="n"/>
      <c r="AU54" s="53" t="n"/>
      <c r="AV54" s="53" t="n"/>
      <c r="AW54" s="53" t="n"/>
      <c r="AX54" s="53" t="n"/>
      <c r="AY54" s="53" t="n"/>
    </row>
    <row r="55" ht="15" customHeight="1">
      <c r="A55" s="54" t="n"/>
      <c r="B55" s="55">
        <f>IF($B$54="","",$B$54)</f>
        <v/>
      </c>
      <c r="C55" s="56" t="inlineStr">
        <is>
          <t>마케팅1팀</t>
        </is>
      </c>
      <c r="D55" s="55">
        <f>IF($D$54="","",$D$54)</f>
        <v/>
      </c>
      <c r="E55" s="57" t="inlineStr">
        <is>
          <t>이미지</t>
        </is>
      </c>
      <c r="F55" s="44" t="n"/>
      <c r="G55" s="58">
        <f>IF($G$54="","",$G$54)</f>
        <v/>
      </c>
      <c r="H55" s="59" t="n"/>
      <c r="I55" s="59" t="n"/>
      <c r="J55" s="59" t="n"/>
      <c r="K55" s="59" t="n"/>
      <c r="L55" s="60">
        <f>IF(SUM(U55:AY55)=0,"",SUM(U55:AY55))</f>
        <v/>
      </c>
      <c r="M55" s="61">
        <f>IFERROR(INDEX(U$2:AY$2,MATCH(TRUE,INDEX(U55:AY55&lt;&gt;"",0),0)),"")</f>
        <v/>
      </c>
      <c r="N55" s="61">
        <f>IFERROR(LOOKUP(2,1/(U55:AY55&lt;&gt;""),U$2:AY$2),"")</f>
        <v/>
      </c>
      <c r="O55" s="59" t="n"/>
      <c r="P55" s="59" t="n"/>
      <c r="Q55" s="59" t="n"/>
      <c r="R55" s="59" t="n"/>
      <c r="S55" s="14" t="n"/>
      <c r="U55" s="53" t="n"/>
      <c r="V55" s="53" t="n"/>
      <c r="W55" s="53" t="n"/>
      <c r="X55" s="53" t="n"/>
      <c r="Y55" s="53" t="n"/>
      <c r="Z55" s="53" t="n"/>
      <c r="AA55" s="53" t="n"/>
      <c r="AB55" s="53" t="n"/>
      <c r="AC55" s="53" t="n"/>
      <c r="AD55" s="53" t="n"/>
      <c r="AE55" s="53" t="n"/>
      <c r="AF55" s="53" t="n"/>
      <c r="AG55" s="53" t="n"/>
      <c r="AH55" s="53" t="n"/>
      <c r="AI55" s="53" t="n"/>
      <c r="AJ55" s="53" t="n"/>
      <c r="AK55" s="53" t="n"/>
      <c r="AL55" s="53" t="n"/>
      <c r="AM55" s="53" t="n"/>
      <c r="AN55" s="53" t="n"/>
      <c r="AO55" s="53" t="n"/>
      <c r="AP55" s="53" t="n"/>
      <c r="AQ55" s="53" t="n"/>
      <c r="AR55" s="53" t="n"/>
      <c r="AS55" s="53" t="n"/>
      <c r="AT55" s="53" t="n"/>
      <c r="AU55" s="53" t="n"/>
      <c r="AV55" s="53" t="n"/>
      <c r="AW55" s="53" t="n"/>
      <c r="AX55" s="53" t="n"/>
      <c r="AY55" s="53" t="n"/>
    </row>
    <row r="56" ht="15" customHeight="1">
      <c r="A56" s="62" t="n"/>
      <c r="B56" s="55">
        <f>IF($B$54="","",$B$54)</f>
        <v/>
      </c>
      <c r="C56" s="63" t="inlineStr">
        <is>
          <t>마케팅1팀</t>
        </is>
      </c>
      <c r="D56" s="55">
        <f>IF($D$54="","",$D$54)</f>
        <v/>
      </c>
      <c r="E56" s="64" t="inlineStr">
        <is>
          <t>영상</t>
        </is>
      </c>
      <c r="F56" s="44" t="n"/>
      <c r="G56" s="58">
        <f>IF($G$54="","",$G$54)</f>
        <v/>
      </c>
      <c r="H56" s="59" t="n"/>
      <c r="I56" s="59" t="n"/>
      <c r="J56" s="59" t="n"/>
      <c r="K56" s="59" t="n"/>
      <c r="L56" s="65">
        <f>IF(SUM(U56:AY56)=0,"",SUM(U56:AY56))</f>
        <v/>
      </c>
      <c r="M56" s="66">
        <f>IFERROR(INDEX(U$2:AY$2,MATCH(TRUE,INDEX(U56:AY56&lt;&gt;"",0),0)),"")</f>
        <v/>
      </c>
      <c r="N56" s="66">
        <f>IFERROR(LOOKUP(2,1/(U56:AY56&lt;&gt;""),U$2:AY$2),"")</f>
        <v/>
      </c>
      <c r="O56" s="59" t="n"/>
      <c r="P56" s="59" t="n"/>
      <c r="Q56" s="59" t="n"/>
      <c r="R56" s="59" t="n"/>
      <c r="S56" s="14" t="n"/>
      <c r="U56" s="53" t="n"/>
      <c r="V56" s="53" t="n"/>
      <c r="W56" s="53" t="n"/>
      <c r="X56" s="5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s="53" t="n"/>
      <c r="AJ56" s="53" t="n"/>
      <c r="AK56" s="53" t="n"/>
      <c r="AL56" s="53" t="n"/>
      <c r="AM56" s="53" t="n"/>
      <c r="AN56" s="53" t="n"/>
      <c r="AO56" s="53" t="n"/>
      <c r="AP56" s="53" t="n"/>
      <c r="AQ56" s="53" t="n"/>
      <c r="AR56" s="53" t="n"/>
      <c r="AS56" s="53" t="n"/>
      <c r="AT56" s="53" t="n"/>
      <c r="AU56" s="53" t="n"/>
      <c r="AV56" s="53" t="n"/>
      <c r="AW56" s="53" t="n"/>
      <c r="AX56" s="53" t="n"/>
      <c r="AY56" s="53" t="n"/>
    </row>
    <row r="57" ht="15" customHeight="1">
      <c r="A57" s="40">
        <f>IF($D$57="","",17)</f>
        <v/>
      </c>
      <c r="B57" s="10" t="n"/>
      <c r="C57" s="41" t="inlineStr">
        <is>
          <t>마케팅1팀</t>
        </is>
      </c>
      <c r="D57" s="42" t="n"/>
      <c r="E57" s="43" t="inlineStr">
        <is>
          <t>기획</t>
        </is>
      </c>
      <c r="F57" s="44" t="n"/>
      <c r="G57" s="45" t="n"/>
      <c r="H57" s="46">
        <f>IF($I$57="","",IF($I$57&lt;0,"🔴지연",IF($I$57&lt;=1,"🟡임박","🟢여유")))</f>
        <v/>
      </c>
      <c r="I57" s="47">
        <f>IF(OR($G$57="",$K$57=""),"",$G$57-$K$57)</f>
        <v/>
      </c>
      <c r="J57" s="48">
        <f>IF(SUM($L$57:$L$59)=0,"",SUM($L$57:$L$59))</f>
        <v/>
      </c>
      <c r="K57" s="49">
        <f>IF($J$57="","",MAX($N$57:$N$59))</f>
        <v/>
      </c>
      <c r="L57" s="50">
        <f>IF(SUM(U57:AY57)=0,"",SUM(U57:AY57))</f>
        <v/>
      </c>
      <c r="M57" s="51">
        <f>IFERROR(INDEX(U$2:AY$2,MATCH(TRUE,INDEX(U57:AY57&lt;&gt;"",0),0)),"")</f>
        <v/>
      </c>
      <c r="N57" s="51">
        <f>IFERROR(LOOKUP(2,1/(U57:AY57&lt;&gt;""),U$2:AY$2),"")</f>
        <v/>
      </c>
      <c r="O57" s="52" t="n"/>
      <c r="P57" s="52" t="n"/>
      <c r="Q57" s="52" t="n"/>
      <c r="R57" s="44" t="n"/>
      <c r="S57" s="14" t="n"/>
      <c r="U57" s="53" t="n"/>
      <c r="V57" s="53" t="n"/>
      <c r="W57" s="53" t="n"/>
      <c r="X57" s="53" t="n"/>
      <c r="Y57" s="53" t="n"/>
      <c r="Z57" s="53" t="n"/>
      <c r="AA57" s="53" t="n"/>
      <c r="AB57" s="53" t="n"/>
      <c r="AC57" s="53" t="n"/>
      <c r="AD57" s="53" t="n"/>
      <c r="AE57" s="53" t="n"/>
      <c r="AF57" s="53" t="n"/>
      <c r="AG57" s="53" t="n"/>
      <c r="AH57" s="53" t="n"/>
      <c r="AI57" s="53" t="n"/>
      <c r="AJ57" s="53" t="n"/>
      <c r="AK57" s="53" t="n"/>
      <c r="AL57" s="53" t="n"/>
      <c r="AM57" s="53" t="n"/>
      <c r="AN57" s="53" t="n"/>
      <c r="AO57" s="53" t="n"/>
      <c r="AP57" s="53" t="n"/>
      <c r="AQ57" s="53" t="n"/>
      <c r="AR57" s="53" t="n"/>
      <c r="AS57" s="53" t="n"/>
      <c r="AT57" s="53" t="n"/>
      <c r="AU57" s="53" t="n"/>
      <c r="AV57" s="53" t="n"/>
      <c r="AW57" s="53" t="n"/>
      <c r="AX57" s="53" t="n"/>
      <c r="AY57" s="53" t="n"/>
    </row>
    <row r="58" ht="15" customHeight="1">
      <c r="A58" s="54" t="n"/>
      <c r="B58" s="55">
        <f>IF($B$57="","",$B$57)</f>
        <v/>
      </c>
      <c r="C58" s="56" t="inlineStr">
        <is>
          <t>마케팅1팀</t>
        </is>
      </c>
      <c r="D58" s="55">
        <f>IF($D$57="","",$D$57)</f>
        <v/>
      </c>
      <c r="E58" s="57" t="inlineStr">
        <is>
          <t>이미지</t>
        </is>
      </c>
      <c r="F58" s="44" t="n"/>
      <c r="G58" s="58">
        <f>IF($G$57="","",$G$57)</f>
        <v/>
      </c>
      <c r="H58" s="59" t="n"/>
      <c r="I58" s="59" t="n"/>
      <c r="J58" s="59" t="n"/>
      <c r="K58" s="59" t="n"/>
      <c r="L58" s="60">
        <f>IF(SUM(U58:AY58)=0,"",SUM(U58:AY58))</f>
        <v/>
      </c>
      <c r="M58" s="61">
        <f>IFERROR(INDEX(U$2:AY$2,MATCH(TRUE,INDEX(U58:AY58&lt;&gt;"",0),0)),"")</f>
        <v/>
      </c>
      <c r="N58" s="61">
        <f>IFERROR(LOOKUP(2,1/(U58:AY58&lt;&gt;""),U$2:AY$2),"")</f>
        <v/>
      </c>
      <c r="O58" s="59" t="n"/>
      <c r="P58" s="59" t="n"/>
      <c r="Q58" s="59" t="n"/>
      <c r="R58" s="59" t="n"/>
      <c r="S58" s="14" t="n"/>
      <c r="U58" s="53" t="n"/>
      <c r="V58" s="53" t="n"/>
      <c r="W58" s="53" t="n"/>
      <c r="X58" s="53" t="n"/>
      <c r="Y58" s="53" t="n"/>
      <c r="Z58" s="53" t="n"/>
      <c r="AA58" s="53" t="n"/>
      <c r="AB58" s="53" t="n"/>
      <c r="AC58" s="53" t="n"/>
      <c r="AD58" s="53" t="n"/>
      <c r="AE58" s="53" t="n"/>
      <c r="AF58" s="53" t="n"/>
      <c r="AG58" s="53" t="n"/>
      <c r="AH58" s="53" t="n"/>
      <c r="AI58" s="53" t="n"/>
      <c r="AJ58" s="53" t="n"/>
      <c r="AK58" s="53" t="n"/>
      <c r="AL58" s="53" t="n"/>
      <c r="AM58" s="53" t="n"/>
      <c r="AN58" s="53" t="n"/>
      <c r="AO58" s="53" t="n"/>
      <c r="AP58" s="53" t="n"/>
      <c r="AQ58" s="53" t="n"/>
      <c r="AR58" s="53" t="n"/>
      <c r="AS58" s="53" t="n"/>
      <c r="AT58" s="53" t="n"/>
      <c r="AU58" s="53" t="n"/>
      <c r="AV58" s="53" t="n"/>
      <c r="AW58" s="53" t="n"/>
      <c r="AX58" s="53" t="n"/>
      <c r="AY58" s="53" t="n"/>
    </row>
    <row r="59" ht="15" customHeight="1">
      <c r="A59" s="62" t="n"/>
      <c r="B59" s="55">
        <f>IF($B$57="","",$B$57)</f>
        <v/>
      </c>
      <c r="C59" s="63" t="inlineStr">
        <is>
          <t>마케팅1팀</t>
        </is>
      </c>
      <c r="D59" s="55">
        <f>IF($D$57="","",$D$57)</f>
        <v/>
      </c>
      <c r="E59" s="64" t="inlineStr">
        <is>
          <t>영상</t>
        </is>
      </c>
      <c r="F59" s="44" t="n"/>
      <c r="G59" s="58">
        <f>IF($G$57="","",$G$57)</f>
        <v/>
      </c>
      <c r="H59" s="59" t="n"/>
      <c r="I59" s="59" t="n"/>
      <c r="J59" s="59" t="n"/>
      <c r="K59" s="59" t="n"/>
      <c r="L59" s="65">
        <f>IF(SUM(U59:AY59)=0,"",SUM(U59:AY59))</f>
        <v/>
      </c>
      <c r="M59" s="66">
        <f>IFERROR(INDEX(U$2:AY$2,MATCH(TRUE,INDEX(U59:AY59&lt;&gt;"",0),0)),"")</f>
        <v/>
      </c>
      <c r="N59" s="66">
        <f>IFERROR(LOOKUP(2,1/(U59:AY59&lt;&gt;""),U$2:AY$2),"")</f>
        <v/>
      </c>
      <c r="O59" s="59" t="n"/>
      <c r="P59" s="59" t="n"/>
      <c r="Q59" s="59" t="n"/>
      <c r="R59" s="59" t="n"/>
      <c r="S59" s="14" t="n"/>
      <c r="U59" s="53" t="n"/>
      <c r="V59" s="53" t="n"/>
      <c r="W59" s="53" t="n"/>
      <c r="X59" s="53" t="n"/>
      <c r="Y59" s="53" t="n"/>
      <c r="Z59" s="53" t="n"/>
      <c r="AA59" s="53" t="n"/>
      <c r="AB59" s="53" t="n"/>
      <c r="AC59" s="53" t="n"/>
      <c r="AD59" s="53" t="n"/>
      <c r="AE59" s="53" t="n"/>
      <c r="AF59" s="53" t="n"/>
      <c r="AG59" s="53" t="n"/>
      <c r="AH59" s="53" t="n"/>
      <c r="AI59" s="53" t="n"/>
      <c r="AJ59" s="53" t="n"/>
      <c r="AK59" s="53" t="n"/>
      <c r="AL59" s="53" t="n"/>
      <c r="AM59" s="53" t="n"/>
      <c r="AN59" s="53" t="n"/>
      <c r="AO59" s="53" t="n"/>
      <c r="AP59" s="53" t="n"/>
      <c r="AQ59" s="53" t="n"/>
      <c r="AR59" s="53" t="n"/>
      <c r="AS59" s="53" t="n"/>
      <c r="AT59" s="53" t="n"/>
      <c r="AU59" s="53" t="n"/>
      <c r="AV59" s="53" t="n"/>
      <c r="AW59" s="53" t="n"/>
      <c r="AX59" s="53" t="n"/>
      <c r="AY59" s="53" t="n"/>
    </row>
    <row r="60" ht="15" customHeight="1">
      <c r="A60" s="40">
        <f>IF($D$60="","",18)</f>
        <v/>
      </c>
      <c r="B60" s="10" t="n"/>
      <c r="C60" s="41" t="inlineStr">
        <is>
          <t>마케팅1팀</t>
        </is>
      </c>
      <c r="D60" s="42" t="n"/>
      <c r="E60" s="43" t="inlineStr">
        <is>
          <t>기획</t>
        </is>
      </c>
      <c r="F60" s="44" t="n"/>
      <c r="G60" s="45" t="n"/>
      <c r="H60" s="46">
        <f>IF($I$60="","",IF($I$60&lt;0,"🔴지연",IF($I$60&lt;=1,"🟡임박","🟢여유")))</f>
        <v/>
      </c>
      <c r="I60" s="47">
        <f>IF(OR($G$60="",$K$60=""),"",$G$60-$K$60)</f>
        <v/>
      </c>
      <c r="J60" s="48">
        <f>IF(SUM($L$60:$L$62)=0,"",SUM($L$60:$L$62))</f>
        <v/>
      </c>
      <c r="K60" s="49">
        <f>IF($J$60="","",MAX($N$60:$N$62))</f>
        <v/>
      </c>
      <c r="L60" s="50">
        <f>IF(SUM(U60:AY60)=0,"",SUM(U60:AY60))</f>
        <v/>
      </c>
      <c r="M60" s="51">
        <f>IFERROR(INDEX(U$2:AY$2,MATCH(TRUE,INDEX(U60:AY60&lt;&gt;"",0),0)),"")</f>
        <v/>
      </c>
      <c r="N60" s="51">
        <f>IFERROR(LOOKUP(2,1/(U60:AY60&lt;&gt;""),U$2:AY$2),"")</f>
        <v/>
      </c>
      <c r="O60" s="52" t="n"/>
      <c r="P60" s="52" t="n"/>
      <c r="Q60" s="52" t="n"/>
      <c r="R60" s="44" t="n"/>
      <c r="S60" s="14" t="n"/>
      <c r="U60" s="53" t="n"/>
      <c r="V60" s="53" t="n"/>
      <c r="W60" s="53" t="n"/>
      <c r="X60" s="53" t="n"/>
      <c r="Y60" s="53" t="n"/>
      <c r="Z60" s="53" t="n"/>
      <c r="AA60" s="53" t="n"/>
      <c r="AB60" s="53" t="n"/>
      <c r="AC60" s="53" t="n"/>
      <c r="AD60" s="53" t="n"/>
      <c r="AE60" s="53" t="n"/>
      <c r="AF60" s="53" t="n"/>
      <c r="AG60" s="53" t="n"/>
      <c r="AH60" s="53" t="n"/>
      <c r="AI60" s="53" t="n"/>
      <c r="AJ60" s="53" t="n"/>
      <c r="AK60" s="53" t="n"/>
      <c r="AL60" s="53" t="n"/>
      <c r="AM60" s="53" t="n"/>
      <c r="AN60" s="53" t="n"/>
      <c r="AO60" s="53" t="n"/>
      <c r="AP60" s="53" t="n"/>
      <c r="AQ60" s="53" t="n"/>
      <c r="AR60" s="53" t="n"/>
      <c r="AS60" s="53" t="n"/>
      <c r="AT60" s="53" t="n"/>
      <c r="AU60" s="53" t="n"/>
      <c r="AV60" s="53" t="n"/>
      <c r="AW60" s="53" t="n"/>
      <c r="AX60" s="53" t="n"/>
      <c r="AY60" s="53" t="n"/>
    </row>
    <row r="61" ht="15" customHeight="1">
      <c r="A61" s="54" t="n"/>
      <c r="B61" s="55">
        <f>IF($B$60="","",$B$60)</f>
        <v/>
      </c>
      <c r="C61" s="56" t="inlineStr">
        <is>
          <t>마케팅1팀</t>
        </is>
      </c>
      <c r="D61" s="55">
        <f>IF($D$60="","",$D$60)</f>
        <v/>
      </c>
      <c r="E61" s="57" t="inlineStr">
        <is>
          <t>이미지</t>
        </is>
      </c>
      <c r="F61" s="44" t="n"/>
      <c r="G61" s="58">
        <f>IF($G$60="","",$G$60)</f>
        <v/>
      </c>
      <c r="H61" s="59" t="n"/>
      <c r="I61" s="59" t="n"/>
      <c r="J61" s="59" t="n"/>
      <c r="K61" s="59" t="n"/>
      <c r="L61" s="60">
        <f>IF(SUM(U61:AY61)=0,"",SUM(U61:AY61))</f>
        <v/>
      </c>
      <c r="M61" s="61">
        <f>IFERROR(INDEX(U$2:AY$2,MATCH(TRUE,INDEX(U61:AY61&lt;&gt;"",0),0)),"")</f>
        <v/>
      </c>
      <c r="N61" s="61">
        <f>IFERROR(LOOKUP(2,1/(U61:AY61&lt;&gt;""),U$2:AY$2),"")</f>
        <v/>
      </c>
      <c r="O61" s="59" t="n"/>
      <c r="P61" s="59" t="n"/>
      <c r="Q61" s="59" t="n"/>
      <c r="R61" s="59" t="n"/>
      <c r="S61" s="14" t="n"/>
      <c r="U61" s="53" t="n"/>
      <c r="V61" s="53" t="n"/>
      <c r="W61" s="53" t="n"/>
      <c r="X61" s="53" t="n"/>
      <c r="Y61" s="53" t="n"/>
      <c r="Z61" s="53" t="n"/>
      <c r="AA61" s="53" t="n"/>
      <c r="AB61" s="53" t="n"/>
      <c r="AC61" s="53" t="n"/>
      <c r="AD61" s="53" t="n"/>
      <c r="AE61" s="53" t="n"/>
      <c r="AF61" s="53" t="n"/>
      <c r="AG61" s="53" t="n"/>
      <c r="AH61" s="53" t="n"/>
      <c r="AI61" s="53" t="n"/>
      <c r="AJ61" s="53" t="n"/>
      <c r="AK61" s="53" t="n"/>
      <c r="AL61" s="53" t="n"/>
      <c r="AM61" s="53" t="n"/>
      <c r="AN61" s="53" t="n"/>
      <c r="AO61" s="53" t="n"/>
      <c r="AP61" s="53" t="n"/>
      <c r="AQ61" s="53" t="n"/>
      <c r="AR61" s="53" t="n"/>
      <c r="AS61" s="53" t="n"/>
      <c r="AT61" s="53" t="n"/>
      <c r="AU61" s="53" t="n"/>
      <c r="AV61" s="53" t="n"/>
      <c r="AW61" s="53" t="n"/>
      <c r="AX61" s="53" t="n"/>
      <c r="AY61" s="53" t="n"/>
    </row>
    <row r="62" ht="15" customHeight="1">
      <c r="A62" s="62" t="n"/>
      <c r="B62" s="55">
        <f>IF($B$60="","",$B$60)</f>
        <v/>
      </c>
      <c r="C62" s="63" t="inlineStr">
        <is>
          <t>마케팅1팀</t>
        </is>
      </c>
      <c r="D62" s="55">
        <f>IF($D$60="","",$D$60)</f>
        <v/>
      </c>
      <c r="E62" s="64" t="inlineStr">
        <is>
          <t>영상</t>
        </is>
      </c>
      <c r="F62" s="44" t="n"/>
      <c r="G62" s="58">
        <f>IF($G$60="","",$G$60)</f>
        <v/>
      </c>
      <c r="H62" s="59" t="n"/>
      <c r="I62" s="59" t="n"/>
      <c r="J62" s="59" t="n"/>
      <c r="K62" s="59" t="n"/>
      <c r="L62" s="65">
        <f>IF(SUM(U62:AY62)=0,"",SUM(U62:AY62))</f>
        <v/>
      </c>
      <c r="M62" s="66">
        <f>IFERROR(INDEX(U$2:AY$2,MATCH(TRUE,INDEX(U62:AY62&lt;&gt;"",0),0)),"")</f>
        <v/>
      </c>
      <c r="N62" s="66">
        <f>IFERROR(LOOKUP(2,1/(U62:AY62&lt;&gt;""),U$2:AY$2),"")</f>
        <v/>
      </c>
      <c r="O62" s="59" t="n"/>
      <c r="P62" s="59" t="n"/>
      <c r="Q62" s="59" t="n"/>
      <c r="R62" s="59" t="n"/>
      <c r="S62" s="14" t="n"/>
      <c r="U62" s="53" t="n"/>
      <c r="V62" s="53" t="n"/>
      <c r="W62" s="53" t="n"/>
      <c r="X62" s="53" t="n"/>
      <c r="Y62" s="53" t="n"/>
      <c r="Z62" s="53" t="n"/>
      <c r="AA62" s="53" t="n"/>
      <c r="AB62" s="53" t="n"/>
      <c r="AC62" s="53" t="n"/>
      <c r="AD62" s="53" t="n"/>
      <c r="AE62" s="53" t="n"/>
      <c r="AF62" s="53" t="n"/>
      <c r="AG62" s="53" t="n"/>
      <c r="AH62" s="53" t="n"/>
      <c r="AI62" s="53" t="n"/>
      <c r="AJ62" s="53" t="n"/>
      <c r="AK62" s="53" t="n"/>
      <c r="AL62" s="53" t="n"/>
      <c r="AM62" s="53" t="n"/>
      <c r="AN62" s="53" t="n"/>
      <c r="AO62" s="53" t="n"/>
      <c r="AP62" s="53" t="n"/>
      <c r="AQ62" s="53" t="n"/>
      <c r="AR62" s="53" t="n"/>
      <c r="AS62" s="53" t="n"/>
      <c r="AT62" s="53" t="n"/>
      <c r="AU62" s="53" t="n"/>
      <c r="AV62" s="53" t="n"/>
      <c r="AW62" s="53" t="n"/>
      <c r="AX62" s="53" t="n"/>
      <c r="AY62" s="53" t="n"/>
    </row>
    <row r="63" ht="15" customHeight="1">
      <c r="A63" s="40">
        <f>IF($D$63="","",19)</f>
        <v/>
      </c>
      <c r="B63" s="10" t="n"/>
      <c r="C63" s="41" t="inlineStr">
        <is>
          <t>마케팅1팀</t>
        </is>
      </c>
      <c r="D63" s="42" t="n"/>
      <c r="E63" s="43" t="inlineStr">
        <is>
          <t>기획</t>
        </is>
      </c>
      <c r="F63" s="44" t="n"/>
      <c r="G63" s="45" t="n"/>
      <c r="H63" s="46">
        <f>IF($I$63="","",IF($I$63&lt;0,"🔴지연",IF($I$63&lt;=1,"🟡임박","🟢여유")))</f>
        <v/>
      </c>
      <c r="I63" s="47">
        <f>IF(OR($G$63="",$K$63=""),"",$G$63-$K$63)</f>
        <v/>
      </c>
      <c r="J63" s="48">
        <f>IF(SUM($L$63:$L$65)=0,"",SUM($L$63:$L$65))</f>
        <v/>
      </c>
      <c r="K63" s="49">
        <f>IF($J$63="","",MAX($N$63:$N$65))</f>
        <v/>
      </c>
      <c r="L63" s="50">
        <f>IF(SUM(U63:AY63)=0,"",SUM(U63:AY63))</f>
        <v/>
      </c>
      <c r="M63" s="51">
        <f>IFERROR(INDEX(U$2:AY$2,MATCH(TRUE,INDEX(U63:AY63&lt;&gt;"",0),0)),"")</f>
        <v/>
      </c>
      <c r="N63" s="51">
        <f>IFERROR(LOOKUP(2,1/(U63:AY63&lt;&gt;""),U$2:AY$2),"")</f>
        <v/>
      </c>
      <c r="O63" s="52" t="n"/>
      <c r="P63" s="52" t="n"/>
      <c r="Q63" s="52" t="n"/>
      <c r="R63" s="44" t="n"/>
      <c r="S63" s="14" t="n"/>
      <c r="U63" s="53" t="n"/>
      <c r="V63" s="53" t="n"/>
      <c r="W63" s="53" t="n"/>
      <c r="X63" s="53" t="n"/>
      <c r="Y63" s="53" t="n"/>
      <c r="Z63" s="53" t="n"/>
      <c r="AA63" s="53" t="n"/>
      <c r="AB63" s="53" t="n"/>
      <c r="AC63" s="53" t="n"/>
      <c r="AD63" s="53" t="n"/>
      <c r="AE63" s="53" t="n"/>
      <c r="AF63" s="53" t="n"/>
      <c r="AG63" s="53" t="n"/>
      <c r="AH63" s="53" t="n"/>
      <c r="AI63" s="53" t="n"/>
      <c r="AJ63" s="53" t="n"/>
      <c r="AK63" s="53" t="n"/>
      <c r="AL63" s="53" t="n"/>
      <c r="AM63" s="53" t="n"/>
      <c r="AN63" s="53" t="n"/>
      <c r="AO63" s="53" t="n"/>
      <c r="AP63" s="53" t="n"/>
      <c r="AQ63" s="53" t="n"/>
      <c r="AR63" s="53" t="n"/>
      <c r="AS63" s="53" t="n"/>
      <c r="AT63" s="53" t="n"/>
      <c r="AU63" s="53" t="n"/>
      <c r="AV63" s="53" t="n"/>
      <c r="AW63" s="53" t="n"/>
      <c r="AX63" s="53" t="n"/>
      <c r="AY63" s="53" t="n"/>
    </row>
    <row r="64" ht="15" customHeight="1">
      <c r="A64" s="54" t="n"/>
      <c r="B64" s="55">
        <f>IF($B$63="","",$B$63)</f>
        <v/>
      </c>
      <c r="C64" s="56" t="inlineStr">
        <is>
          <t>마케팅1팀</t>
        </is>
      </c>
      <c r="D64" s="55">
        <f>IF($D$63="","",$D$63)</f>
        <v/>
      </c>
      <c r="E64" s="57" t="inlineStr">
        <is>
          <t>이미지</t>
        </is>
      </c>
      <c r="F64" s="44" t="n"/>
      <c r="G64" s="58">
        <f>IF($G$63="","",$G$63)</f>
        <v/>
      </c>
      <c r="H64" s="59" t="n"/>
      <c r="I64" s="59" t="n"/>
      <c r="J64" s="59" t="n"/>
      <c r="K64" s="59" t="n"/>
      <c r="L64" s="60">
        <f>IF(SUM(U64:AY64)=0,"",SUM(U64:AY64))</f>
        <v/>
      </c>
      <c r="M64" s="61">
        <f>IFERROR(INDEX(U$2:AY$2,MATCH(TRUE,INDEX(U64:AY64&lt;&gt;"",0),0)),"")</f>
        <v/>
      </c>
      <c r="N64" s="61">
        <f>IFERROR(LOOKUP(2,1/(U64:AY64&lt;&gt;""),U$2:AY$2),"")</f>
        <v/>
      </c>
      <c r="O64" s="59" t="n"/>
      <c r="P64" s="59" t="n"/>
      <c r="Q64" s="59" t="n"/>
      <c r="R64" s="59" t="n"/>
      <c r="S64" s="14" t="n"/>
      <c r="U64" s="53" t="n"/>
      <c r="V64" s="53" t="n"/>
      <c r="W64" s="53" t="n"/>
      <c r="X64" s="53" t="n"/>
      <c r="Y64" s="53" t="n"/>
      <c r="Z64" s="53" t="n"/>
      <c r="AA64" s="53" t="n"/>
      <c r="AB64" s="53" t="n"/>
      <c r="AC64" s="53" t="n"/>
      <c r="AD64" s="53" t="n"/>
      <c r="AE64" s="53" t="n"/>
      <c r="AF64" s="53" t="n"/>
      <c r="AG64" s="53" t="n"/>
      <c r="AH64" s="53" t="n"/>
      <c r="AI64" s="53" t="n"/>
      <c r="AJ64" s="53" t="n"/>
      <c r="AK64" s="53" t="n"/>
      <c r="AL64" s="53" t="n"/>
      <c r="AM64" s="53" t="n"/>
      <c r="AN64" s="53" t="n"/>
      <c r="AO64" s="53" t="n"/>
      <c r="AP64" s="53" t="n"/>
      <c r="AQ64" s="53" t="n"/>
      <c r="AR64" s="53" t="n"/>
      <c r="AS64" s="53" t="n"/>
      <c r="AT64" s="53" t="n"/>
      <c r="AU64" s="53" t="n"/>
      <c r="AV64" s="53" t="n"/>
      <c r="AW64" s="53" t="n"/>
      <c r="AX64" s="53" t="n"/>
      <c r="AY64" s="53" t="n"/>
    </row>
    <row r="65" ht="15" customHeight="1">
      <c r="A65" s="62" t="n"/>
      <c r="B65" s="55">
        <f>IF($B$63="","",$B$63)</f>
        <v/>
      </c>
      <c r="C65" s="63" t="inlineStr">
        <is>
          <t>마케팅1팀</t>
        </is>
      </c>
      <c r="D65" s="55">
        <f>IF($D$63="","",$D$63)</f>
        <v/>
      </c>
      <c r="E65" s="64" t="inlineStr">
        <is>
          <t>영상</t>
        </is>
      </c>
      <c r="F65" s="44" t="n"/>
      <c r="G65" s="58">
        <f>IF($G$63="","",$G$63)</f>
        <v/>
      </c>
      <c r="H65" s="59" t="n"/>
      <c r="I65" s="59" t="n"/>
      <c r="J65" s="59" t="n"/>
      <c r="K65" s="59" t="n"/>
      <c r="L65" s="65">
        <f>IF(SUM(U65:AY65)=0,"",SUM(U65:AY65))</f>
        <v/>
      </c>
      <c r="M65" s="66">
        <f>IFERROR(INDEX(U$2:AY$2,MATCH(TRUE,INDEX(U65:AY65&lt;&gt;"",0),0)),"")</f>
        <v/>
      </c>
      <c r="N65" s="66">
        <f>IFERROR(LOOKUP(2,1/(U65:AY65&lt;&gt;""),U$2:AY$2),"")</f>
        <v/>
      </c>
      <c r="O65" s="59" t="n"/>
      <c r="P65" s="59" t="n"/>
      <c r="Q65" s="59" t="n"/>
      <c r="R65" s="59" t="n"/>
      <c r="S65" s="14" t="n"/>
      <c r="U65" s="53" t="n"/>
      <c r="V65" s="53" t="n"/>
      <c r="W65" s="53" t="n"/>
      <c r="X65" s="53" t="n"/>
      <c r="Y65" s="53" t="n"/>
      <c r="Z65" s="53" t="n"/>
      <c r="AA65" s="53" t="n"/>
      <c r="AB65" s="53" t="n"/>
      <c r="AC65" s="53" t="n"/>
      <c r="AD65" s="53" t="n"/>
      <c r="AE65" s="53" t="n"/>
      <c r="AF65" s="53" t="n"/>
      <c r="AG65" s="53" t="n"/>
      <c r="AH65" s="53" t="n"/>
      <c r="AI65" s="53" t="n"/>
      <c r="AJ65" s="53" t="n"/>
      <c r="AK65" s="53" t="n"/>
      <c r="AL65" s="53" t="n"/>
      <c r="AM65" s="53" t="n"/>
      <c r="AN65" s="53" t="n"/>
      <c r="AO65" s="53" t="n"/>
      <c r="AP65" s="53" t="n"/>
      <c r="AQ65" s="53" t="n"/>
      <c r="AR65" s="53" t="n"/>
      <c r="AS65" s="53" t="n"/>
      <c r="AT65" s="53" t="n"/>
      <c r="AU65" s="53" t="n"/>
      <c r="AV65" s="53" t="n"/>
      <c r="AW65" s="53" t="n"/>
      <c r="AX65" s="53" t="n"/>
      <c r="AY65" s="53" t="n"/>
    </row>
    <row r="66" ht="15" customHeight="1">
      <c r="A66" s="40">
        <f>IF($D$66="","",20)</f>
        <v/>
      </c>
      <c r="B66" s="10" t="n"/>
      <c r="C66" s="41" t="inlineStr">
        <is>
          <t>마케팅1팀</t>
        </is>
      </c>
      <c r="D66" s="42" t="n"/>
      <c r="E66" s="43" t="inlineStr">
        <is>
          <t>기획</t>
        </is>
      </c>
      <c r="F66" s="44" t="n"/>
      <c r="G66" s="45" t="n"/>
      <c r="H66" s="46">
        <f>IF($I$66="","",IF($I$66&lt;0,"🔴지연",IF($I$66&lt;=1,"🟡임박","🟢여유")))</f>
        <v/>
      </c>
      <c r="I66" s="47">
        <f>IF(OR($G$66="",$K$66=""),"",$G$66-$K$66)</f>
        <v/>
      </c>
      <c r="J66" s="48">
        <f>IF(SUM($L$66:$L$68)=0,"",SUM($L$66:$L$68))</f>
        <v/>
      </c>
      <c r="K66" s="49">
        <f>IF($J$66="","",MAX($N$66:$N$68))</f>
        <v/>
      </c>
      <c r="L66" s="50">
        <f>IF(SUM(U66:AY66)=0,"",SUM(U66:AY66))</f>
        <v/>
      </c>
      <c r="M66" s="51">
        <f>IFERROR(INDEX(U$2:AY$2,MATCH(TRUE,INDEX(U66:AY66&lt;&gt;"",0),0)),"")</f>
        <v/>
      </c>
      <c r="N66" s="51">
        <f>IFERROR(LOOKUP(2,1/(U66:AY66&lt;&gt;""),U$2:AY$2),"")</f>
        <v/>
      </c>
      <c r="O66" s="52" t="n"/>
      <c r="P66" s="52" t="n"/>
      <c r="Q66" s="52" t="n"/>
      <c r="R66" s="44" t="n"/>
      <c r="S66" s="14" t="n"/>
      <c r="U66" s="53" t="n"/>
      <c r="V66" s="53" t="n"/>
      <c r="W66" s="53" t="n"/>
      <c r="X66" s="53" t="n"/>
      <c r="Y66" s="53" t="n"/>
      <c r="Z66" s="53" t="n"/>
      <c r="AA66" s="53" t="n"/>
      <c r="AB66" s="53" t="n"/>
      <c r="AC66" s="53" t="n"/>
      <c r="AD66" s="53" t="n"/>
      <c r="AE66" s="53" t="n"/>
      <c r="AF66" s="53" t="n"/>
      <c r="AG66" s="53" t="n"/>
      <c r="AH66" s="53" t="n"/>
      <c r="AI66" s="53" t="n"/>
      <c r="AJ66" s="53" t="n"/>
      <c r="AK66" s="53" t="n"/>
      <c r="AL66" s="53" t="n"/>
      <c r="AM66" s="53" t="n"/>
      <c r="AN66" s="53" t="n"/>
      <c r="AO66" s="53" t="n"/>
      <c r="AP66" s="53" t="n"/>
      <c r="AQ66" s="53" t="n"/>
      <c r="AR66" s="53" t="n"/>
      <c r="AS66" s="53" t="n"/>
      <c r="AT66" s="53" t="n"/>
      <c r="AU66" s="53" t="n"/>
      <c r="AV66" s="53" t="n"/>
      <c r="AW66" s="53" t="n"/>
      <c r="AX66" s="53" t="n"/>
      <c r="AY66" s="53" t="n"/>
    </row>
    <row r="67" ht="15" customHeight="1">
      <c r="A67" s="54" t="n"/>
      <c r="B67" s="55">
        <f>IF($B$66="","",$B$66)</f>
        <v/>
      </c>
      <c r="C67" s="56" t="inlineStr">
        <is>
          <t>마케팅1팀</t>
        </is>
      </c>
      <c r="D67" s="55">
        <f>IF($D$66="","",$D$66)</f>
        <v/>
      </c>
      <c r="E67" s="57" t="inlineStr">
        <is>
          <t>이미지</t>
        </is>
      </c>
      <c r="F67" s="44" t="n"/>
      <c r="G67" s="58">
        <f>IF($G$66="","",$G$66)</f>
        <v/>
      </c>
      <c r="H67" s="59" t="n"/>
      <c r="I67" s="59" t="n"/>
      <c r="J67" s="59" t="n"/>
      <c r="K67" s="59" t="n"/>
      <c r="L67" s="60">
        <f>IF(SUM(U67:AY67)=0,"",SUM(U67:AY67))</f>
        <v/>
      </c>
      <c r="M67" s="61">
        <f>IFERROR(INDEX(U$2:AY$2,MATCH(TRUE,INDEX(U67:AY67&lt;&gt;"",0),0)),"")</f>
        <v/>
      </c>
      <c r="N67" s="61">
        <f>IFERROR(LOOKUP(2,1/(U67:AY67&lt;&gt;""),U$2:AY$2),"")</f>
        <v/>
      </c>
      <c r="O67" s="59" t="n"/>
      <c r="P67" s="59" t="n"/>
      <c r="Q67" s="59" t="n"/>
      <c r="R67" s="59" t="n"/>
      <c r="S67" s="14" t="n"/>
      <c r="U67" s="53" t="n"/>
      <c r="V67" s="53" t="n"/>
      <c r="W67" s="53" t="n"/>
      <c r="X67" s="53" t="n"/>
      <c r="Y67" s="53" t="n"/>
      <c r="Z67" s="53" t="n"/>
      <c r="AA67" s="53" t="n"/>
      <c r="AB67" s="53" t="n"/>
      <c r="AC67" s="53" t="n"/>
      <c r="AD67" s="53" t="n"/>
      <c r="AE67" s="53" t="n"/>
      <c r="AF67" s="53" t="n"/>
      <c r="AG67" s="53" t="n"/>
      <c r="AH67" s="53" t="n"/>
      <c r="AI67" s="53" t="n"/>
      <c r="AJ67" s="53" t="n"/>
      <c r="AK67" s="53" t="n"/>
      <c r="AL67" s="53" t="n"/>
      <c r="AM67" s="53" t="n"/>
      <c r="AN67" s="53" t="n"/>
      <c r="AO67" s="53" t="n"/>
      <c r="AP67" s="53" t="n"/>
      <c r="AQ67" s="53" t="n"/>
      <c r="AR67" s="53" t="n"/>
      <c r="AS67" s="53" t="n"/>
      <c r="AT67" s="53" t="n"/>
      <c r="AU67" s="53" t="n"/>
      <c r="AV67" s="53" t="n"/>
      <c r="AW67" s="53" t="n"/>
      <c r="AX67" s="53" t="n"/>
      <c r="AY67" s="53" t="n"/>
    </row>
    <row r="68" ht="15" customHeight="1">
      <c r="A68" s="62" t="n"/>
      <c r="B68" s="55">
        <f>IF($B$66="","",$B$66)</f>
        <v/>
      </c>
      <c r="C68" s="63" t="inlineStr">
        <is>
          <t>마케팅1팀</t>
        </is>
      </c>
      <c r="D68" s="55">
        <f>IF($D$66="","",$D$66)</f>
        <v/>
      </c>
      <c r="E68" s="64" t="inlineStr">
        <is>
          <t>영상</t>
        </is>
      </c>
      <c r="F68" s="44" t="n"/>
      <c r="G68" s="58">
        <f>IF($G$66="","",$G$66)</f>
        <v/>
      </c>
      <c r="H68" s="59" t="n"/>
      <c r="I68" s="59" t="n"/>
      <c r="J68" s="59" t="n"/>
      <c r="K68" s="59" t="n"/>
      <c r="L68" s="65">
        <f>IF(SUM(U68:AY68)=0,"",SUM(U68:AY68))</f>
        <v/>
      </c>
      <c r="M68" s="66">
        <f>IFERROR(INDEX(U$2:AY$2,MATCH(TRUE,INDEX(U68:AY68&lt;&gt;"",0),0)),"")</f>
        <v/>
      </c>
      <c r="N68" s="66">
        <f>IFERROR(LOOKUP(2,1/(U68:AY68&lt;&gt;""),U$2:AY$2),"")</f>
        <v/>
      </c>
      <c r="O68" s="59" t="n"/>
      <c r="P68" s="59" t="n"/>
      <c r="Q68" s="59" t="n"/>
      <c r="R68" s="59" t="n"/>
      <c r="S68" s="14" t="n"/>
      <c r="U68" s="53" t="n"/>
      <c r="V68" s="53" t="n"/>
      <c r="W68" s="53" t="n"/>
      <c r="X68" s="53" t="n"/>
      <c r="Y68" s="53" t="n"/>
      <c r="Z68" s="53" t="n"/>
      <c r="AA68" s="53" t="n"/>
      <c r="AB68" s="53" t="n"/>
      <c r="AC68" s="53" t="n"/>
      <c r="AD68" s="53" t="n"/>
      <c r="AE68" s="53" t="n"/>
      <c r="AF68" s="53" t="n"/>
      <c r="AG68" s="53" t="n"/>
      <c r="AH68" s="53" t="n"/>
      <c r="AI68" s="53" t="n"/>
      <c r="AJ68" s="53" t="n"/>
      <c r="AK68" s="53" t="n"/>
      <c r="AL68" s="53" t="n"/>
      <c r="AM68" s="53" t="n"/>
      <c r="AN68" s="53" t="n"/>
      <c r="AO68" s="53" t="n"/>
      <c r="AP68" s="53" t="n"/>
      <c r="AQ68" s="53" t="n"/>
      <c r="AR68" s="53" t="n"/>
      <c r="AS68" s="53" t="n"/>
      <c r="AT68" s="53" t="n"/>
      <c r="AU68" s="53" t="n"/>
      <c r="AV68" s="53" t="n"/>
      <c r="AW68" s="53" t="n"/>
      <c r="AX68" s="53" t="n"/>
      <c r="AY68" s="53" t="n"/>
    </row>
    <row r="69" ht="18" customHeight="1">
      <c r="A69" s="39" t="inlineStr">
        <is>
          <t>마케팅2팀   (70~129행 · 소재 20개)</t>
        </is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4" t="n"/>
    </row>
    <row r="70" ht="15" customHeight="1">
      <c r="A70" s="40">
        <f>IF($D$70="","",21)</f>
        <v/>
      </c>
      <c r="B70" s="10" t="n"/>
      <c r="C70" s="41" t="inlineStr">
        <is>
          <t>마케팅2팀</t>
        </is>
      </c>
      <c r="D70" s="42" t="n"/>
      <c r="E70" s="43" t="inlineStr">
        <is>
          <t>기획</t>
        </is>
      </c>
      <c r="F70" s="44" t="n"/>
      <c r="G70" s="45" t="n"/>
      <c r="H70" s="46">
        <f>IF($I$70="","",IF($I$70&lt;0,"🔴지연",IF($I$70&lt;=1,"🟡임박","🟢여유")))</f>
        <v/>
      </c>
      <c r="I70" s="47">
        <f>IF(OR($G$70="",$K$70=""),"",$G$70-$K$70)</f>
        <v/>
      </c>
      <c r="J70" s="48">
        <f>IF(SUM($L$70:$L$72)=0,"",SUM($L$70:$L$72))</f>
        <v/>
      </c>
      <c r="K70" s="49">
        <f>IF($J$70="","",MAX($N$70:$N$72))</f>
        <v/>
      </c>
      <c r="L70" s="50">
        <f>IF(SUM(U70:AY70)=0,"",SUM(U70:AY70))</f>
        <v/>
      </c>
      <c r="M70" s="51">
        <f>IFERROR(INDEX(U$2:AY$2,MATCH(TRUE,INDEX(U70:AY70&lt;&gt;"",0),0)),"")</f>
        <v/>
      </c>
      <c r="N70" s="51">
        <f>IFERROR(LOOKUP(2,1/(U70:AY70&lt;&gt;""),U$2:AY$2),"")</f>
        <v/>
      </c>
      <c r="O70" s="52" t="n"/>
      <c r="P70" s="52" t="n"/>
      <c r="Q70" s="52" t="n"/>
      <c r="R70" s="44" t="n"/>
      <c r="S70" s="14" t="n"/>
      <c r="U70" s="53" t="n"/>
      <c r="V70" s="53" t="n"/>
      <c r="W70" s="53" t="n"/>
      <c r="X70" s="53" t="n"/>
      <c r="Y70" s="53" t="n"/>
      <c r="Z70" s="53" t="n"/>
      <c r="AA70" s="53" t="n"/>
      <c r="AB70" s="53" t="n"/>
      <c r="AC70" s="53" t="n"/>
      <c r="AD70" s="53" t="n"/>
      <c r="AE70" s="53" t="n"/>
      <c r="AF70" s="53" t="n"/>
      <c r="AG70" s="53" t="n"/>
      <c r="AH70" s="53" t="n"/>
      <c r="AI70" s="53" t="n"/>
      <c r="AJ70" s="53" t="n"/>
      <c r="AK70" s="53" t="n"/>
      <c r="AL70" s="53" t="n"/>
      <c r="AM70" s="53" t="n"/>
      <c r="AN70" s="53" t="n"/>
      <c r="AO70" s="53" t="n"/>
      <c r="AP70" s="53" t="n"/>
      <c r="AQ70" s="53" t="n"/>
      <c r="AR70" s="53" t="n"/>
      <c r="AS70" s="53" t="n"/>
      <c r="AT70" s="53" t="n"/>
      <c r="AU70" s="53" t="n"/>
      <c r="AV70" s="53" t="n"/>
      <c r="AW70" s="53" t="n"/>
      <c r="AX70" s="53" t="n"/>
      <c r="AY70" s="53" t="n"/>
    </row>
    <row r="71" ht="15" customHeight="1">
      <c r="A71" s="54" t="n"/>
      <c r="B71" s="55">
        <f>IF($B$70="","",$B$70)</f>
        <v/>
      </c>
      <c r="C71" s="56" t="inlineStr">
        <is>
          <t>마케팅2팀</t>
        </is>
      </c>
      <c r="D71" s="55">
        <f>IF($D$70="","",$D$70)</f>
        <v/>
      </c>
      <c r="E71" s="57" t="inlineStr">
        <is>
          <t>이미지</t>
        </is>
      </c>
      <c r="F71" s="44" t="n"/>
      <c r="G71" s="58">
        <f>IF($G$70="","",$G$70)</f>
        <v/>
      </c>
      <c r="H71" s="59" t="n"/>
      <c r="I71" s="59" t="n"/>
      <c r="J71" s="59" t="n"/>
      <c r="K71" s="59" t="n"/>
      <c r="L71" s="60">
        <f>IF(SUM(U71:AY71)=0,"",SUM(U71:AY71))</f>
        <v/>
      </c>
      <c r="M71" s="61">
        <f>IFERROR(INDEX(U$2:AY$2,MATCH(TRUE,INDEX(U71:AY71&lt;&gt;"",0),0)),"")</f>
        <v/>
      </c>
      <c r="N71" s="61">
        <f>IFERROR(LOOKUP(2,1/(U71:AY71&lt;&gt;""),U$2:AY$2),"")</f>
        <v/>
      </c>
      <c r="O71" s="59" t="n"/>
      <c r="P71" s="59" t="n"/>
      <c r="Q71" s="59" t="n"/>
      <c r="R71" s="59" t="n"/>
      <c r="S71" s="14" t="n"/>
      <c r="U71" s="53" t="n"/>
      <c r="V71" s="53" t="n"/>
      <c r="W71" s="53" t="n"/>
      <c r="X71" s="53" t="n"/>
      <c r="Y71" s="53" t="n"/>
      <c r="Z71" s="53" t="n"/>
      <c r="AA71" s="53" t="n"/>
      <c r="AB71" s="53" t="n"/>
      <c r="AC71" s="53" t="n"/>
      <c r="AD71" s="53" t="n"/>
      <c r="AE71" s="53" t="n"/>
      <c r="AF71" s="53" t="n"/>
      <c r="AG71" s="53" t="n"/>
      <c r="AH71" s="53" t="n"/>
      <c r="AI71" s="53" t="n"/>
      <c r="AJ71" s="53" t="n"/>
      <c r="AK71" s="53" t="n"/>
      <c r="AL71" s="53" t="n"/>
      <c r="AM71" s="53" t="n"/>
      <c r="AN71" s="53" t="n"/>
      <c r="AO71" s="53" t="n"/>
      <c r="AP71" s="53" t="n"/>
      <c r="AQ71" s="53" t="n"/>
      <c r="AR71" s="53" t="n"/>
      <c r="AS71" s="53" t="n"/>
      <c r="AT71" s="53" t="n"/>
      <c r="AU71" s="53" t="n"/>
      <c r="AV71" s="53" t="n"/>
      <c r="AW71" s="53" t="n"/>
      <c r="AX71" s="53" t="n"/>
      <c r="AY71" s="53" t="n"/>
    </row>
    <row r="72" ht="15" customHeight="1">
      <c r="A72" s="62" t="n"/>
      <c r="B72" s="55">
        <f>IF($B$70="","",$B$70)</f>
        <v/>
      </c>
      <c r="C72" s="63" t="inlineStr">
        <is>
          <t>마케팅2팀</t>
        </is>
      </c>
      <c r="D72" s="55">
        <f>IF($D$70="","",$D$70)</f>
        <v/>
      </c>
      <c r="E72" s="64" t="inlineStr">
        <is>
          <t>영상</t>
        </is>
      </c>
      <c r="F72" s="44" t="n"/>
      <c r="G72" s="58">
        <f>IF($G$70="","",$G$70)</f>
        <v/>
      </c>
      <c r="H72" s="59" t="n"/>
      <c r="I72" s="59" t="n"/>
      <c r="J72" s="59" t="n"/>
      <c r="K72" s="59" t="n"/>
      <c r="L72" s="65">
        <f>IF(SUM(U72:AY72)=0,"",SUM(U72:AY72))</f>
        <v/>
      </c>
      <c r="M72" s="66">
        <f>IFERROR(INDEX(U$2:AY$2,MATCH(TRUE,INDEX(U72:AY72&lt;&gt;"",0),0)),"")</f>
        <v/>
      </c>
      <c r="N72" s="66">
        <f>IFERROR(LOOKUP(2,1/(U72:AY72&lt;&gt;""),U$2:AY$2),"")</f>
        <v/>
      </c>
      <c r="O72" s="59" t="n"/>
      <c r="P72" s="59" t="n"/>
      <c r="Q72" s="59" t="n"/>
      <c r="R72" s="59" t="n"/>
      <c r="S72" s="14" t="n"/>
      <c r="U72" s="53" t="n"/>
      <c r="V72" s="53" t="n"/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53" t="n"/>
      <c r="AF72" s="53" t="n"/>
      <c r="AG72" s="53" t="n"/>
      <c r="AH72" s="53" t="n"/>
      <c r="AI72" s="53" t="n"/>
      <c r="AJ72" s="53" t="n"/>
      <c r="AK72" s="53" t="n"/>
      <c r="AL72" s="53" t="n"/>
      <c r="AM72" s="53" t="n"/>
      <c r="AN72" s="53" t="n"/>
      <c r="AO72" s="53" t="n"/>
      <c r="AP72" s="53" t="n"/>
      <c r="AQ72" s="53" t="n"/>
      <c r="AR72" s="53" t="n"/>
      <c r="AS72" s="53" t="n"/>
      <c r="AT72" s="53" t="n"/>
      <c r="AU72" s="53" t="n"/>
      <c r="AV72" s="53" t="n"/>
      <c r="AW72" s="53" t="n"/>
      <c r="AX72" s="53" t="n"/>
      <c r="AY72" s="53" t="n"/>
    </row>
    <row r="73" ht="15" customHeight="1">
      <c r="A73" s="40">
        <f>IF($D$73="","",22)</f>
        <v/>
      </c>
      <c r="B73" s="10" t="n"/>
      <c r="C73" s="41" t="inlineStr">
        <is>
          <t>마케팅2팀</t>
        </is>
      </c>
      <c r="D73" s="42" t="n"/>
      <c r="E73" s="43" t="inlineStr">
        <is>
          <t>기획</t>
        </is>
      </c>
      <c r="F73" s="44" t="n"/>
      <c r="G73" s="45" t="n"/>
      <c r="H73" s="46">
        <f>IF($I$73="","",IF($I$73&lt;0,"🔴지연",IF($I$73&lt;=1,"🟡임박","🟢여유")))</f>
        <v/>
      </c>
      <c r="I73" s="47">
        <f>IF(OR($G$73="",$K$73=""),"",$G$73-$K$73)</f>
        <v/>
      </c>
      <c r="J73" s="48">
        <f>IF(SUM($L$73:$L$75)=0,"",SUM($L$73:$L$75))</f>
        <v/>
      </c>
      <c r="K73" s="49">
        <f>IF($J$73="","",MAX($N$73:$N$75))</f>
        <v/>
      </c>
      <c r="L73" s="50">
        <f>IF(SUM(U73:AY73)=0,"",SUM(U73:AY73))</f>
        <v/>
      </c>
      <c r="M73" s="51">
        <f>IFERROR(INDEX(U$2:AY$2,MATCH(TRUE,INDEX(U73:AY73&lt;&gt;"",0),0)),"")</f>
        <v/>
      </c>
      <c r="N73" s="51">
        <f>IFERROR(LOOKUP(2,1/(U73:AY73&lt;&gt;""),U$2:AY$2),"")</f>
        <v/>
      </c>
      <c r="O73" s="52" t="n"/>
      <c r="P73" s="52" t="n"/>
      <c r="Q73" s="52" t="n"/>
      <c r="R73" s="44" t="n"/>
      <c r="S73" s="14" t="n"/>
      <c r="U73" s="53" t="n"/>
      <c r="V73" s="53" t="n"/>
      <c r="W73" s="53" t="n"/>
      <c r="X73" s="53" t="n"/>
      <c r="Y73" s="53" t="n"/>
      <c r="Z73" s="53" t="n"/>
      <c r="AA73" s="53" t="n"/>
      <c r="AB73" s="53" t="n"/>
      <c r="AC73" s="53" t="n"/>
      <c r="AD73" s="53" t="n"/>
      <c r="AE73" s="53" t="n"/>
      <c r="AF73" s="53" t="n"/>
      <c r="AG73" s="53" t="n"/>
      <c r="AH73" s="53" t="n"/>
      <c r="AI73" s="53" t="n"/>
      <c r="AJ73" s="53" t="n"/>
      <c r="AK73" s="53" t="n"/>
      <c r="AL73" s="53" t="n"/>
      <c r="AM73" s="53" t="n"/>
      <c r="AN73" s="53" t="n"/>
      <c r="AO73" s="53" t="n"/>
      <c r="AP73" s="53" t="n"/>
      <c r="AQ73" s="53" t="n"/>
      <c r="AR73" s="53" t="n"/>
      <c r="AS73" s="53" t="n"/>
      <c r="AT73" s="53" t="n"/>
      <c r="AU73" s="53" t="n"/>
      <c r="AV73" s="53" t="n"/>
      <c r="AW73" s="53" t="n"/>
      <c r="AX73" s="53" t="n"/>
      <c r="AY73" s="53" t="n"/>
    </row>
    <row r="74" ht="15" customHeight="1">
      <c r="A74" s="54" t="n"/>
      <c r="B74" s="55">
        <f>IF($B$73="","",$B$73)</f>
        <v/>
      </c>
      <c r="C74" s="56" t="inlineStr">
        <is>
          <t>마케팅2팀</t>
        </is>
      </c>
      <c r="D74" s="55">
        <f>IF($D$73="","",$D$73)</f>
        <v/>
      </c>
      <c r="E74" s="57" t="inlineStr">
        <is>
          <t>이미지</t>
        </is>
      </c>
      <c r="F74" s="44" t="n"/>
      <c r="G74" s="58">
        <f>IF($G$73="","",$G$73)</f>
        <v/>
      </c>
      <c r="H74" s="59" t="n"/>
      <c r="I74" s="59" t="n"/>
      <c r="J74" s="59" t="n"/>
      <c r="K74" s="59" t="n"/>
      <c r="L74" s="60">
        <f>IF(SUM(U74:AY74)=0,"",SUM(U74:AY74))</f>
        <v/>
      </c>
      <c r="M74" s="61">
        <f>IFERROR(INDEX(U$2:AY$2,MATCH(TRUE,INDEX(U74:AY74&lt;&gt;"",0),0)),"")</f>
        <v/>
      </c>
      <c r="N74" s="61">
        <f>IFERROR(LOOKUP(2,1/(U74:AY74&lt;&gt;""),U$2:AY$2),"")</f>
        <v/>
      </c>
      <c r="O74" s="59" t="n"/>
      <c r="P74" s="59" t="n"/>
      <c r="Q74" s="59" t="n"/>
      <c r="R74" s="59" t="n"/>
      <c r="S74" s="14" t="n"/>
      <c r="U74" s="53" t="n"/>
      <c r="V74" s="53" t="n"/>
      <c r="W74" s="53" t="n"/>
      <c r="X74" s="53" t="n"/>
      <c r="Y74" s="53" t="n"/>
      <c r="Z74" s="53" t="n"/>
      <c r="AA74" s="53" t="n"/>
      <c r="AB74" s="53" t="n"/>
      <c r="AC74" s="53" t="n"/>
      <c r="AD74" s="53" t="n"/>
      <c r="AE74" s="53" t="n"/>
      <c r="AF74" s="53" t="n"/>
      <c r="AG74" s="53" t="n"/>
      <c r="AH74" s="53" t="n"/>
      <c r="AI74" s="53" t="n"/>
      <c r="AJ74" s="53" t="n"/>
      <c r="AK74" s="53" t="n"/>
      <c r="AL74" s="53" t="n"/>
      <c r="AM74" s="53" t="n"/>
      <c r="AN74" s="53" t="n"/>
      <c r="AO74" s="53" t="n"/>
      <c r="AP74" s="53" t="n"/>
      <c r="AQ74" s="53" t="n"/>
      <c r="AR74" s="53" t="n"/>
      <c r="AS74" s="53" t="n"/>
      <c r="AT74" s="53" t="n"/>
      <c r="AU74" s="53" t="n"/>
      <c r="AV74" s="53" t="n"/>
      <c r="AW74" s="53" t="n"/>
      <c r="AX74" s="53" t="n"/>
      <c r="AY74" s="53" t="n"/>
    </row>
    <row r="75" ht="15" customHeight="1">
      <c r="A75" s="62" t="n"/>
      <c r="B75" s="55">
        <f>IF($B$73="","",$B$73)</f>
        <v/>
      </c>
      <c r="C75" s="63" t="inlineStr">
        <is>
          <t>마케팅2팀</t>
        </is>
      </c>
      <c r="D75" s="55">
        <f>IF($D$73="","",$D$73)</f>
        <v/>
      </c>
      <c r="E75" s="64" t="inlineStr">
        <is>
          <t>영상</t>
        </is>
      </c>
      <c r="F75" s="44" t="n"/>
      <c r="G75" s="58">
        <f>IF($G$73="","",$G$73)</f>
        <v/>
      </c>
      <c r="H75" s="59" t="n"/>
      <c r="I75" s="59" t="n"/>
      <c r="J75" s="59" t="n"/>
      <c r="K75" s="59" t="n"/>
      <c r="L75" s="65">
        <f>IF(SUM(U75:AY75)=0,"",SUM(U75:AY75))</f>
        <v/>
      </c>
      <c r="M75" s="66">
        <f>IFERROR(INDEX(U$2:AY$2,MATCH(TRUE,INDEX(U75:AY75&lt;&gt;"",0),0)),"")</f>
        <v/>
      </c>
      <c r="N75" s="66">
        <f>IFERROR(LOOKUP(2,1/(U75:AY75&lt;&gt;""),U$2:AY$2),"")</f>
        <v/>
      </c>
      <c r="O75" s="59" t="n"/>
      <c r="P75" s="59" t="n"/>
      <c r="Q75" s="59" t="n"/>
      <c r="R75" s="59" t="n"/>
      <c r="S75" s="14" t="n"/>
      <c r="U75" s="53" t="n"/>
      <c r="V75" s="53" t="n"/>
      <c r="W75" s="53" t="n"/>
      <c r="X75" s="53" t="n"/>
      <c r="Y75" s="53" t="n"/>
      <c r="Z75" s="53" t="n"/>
      <c r="AA75" s="53" t="n"/>
      <c r="AB75" s="53" t="n"/>
      <c r="AC75" s="53" t="n"/>
      <c r="AD75" s="53" t="n"/>
      <c r="AE75" s="53" t="n"/>
      <c r="AF75" s="53" t="n"/>
      <c r="AG75" s="53" t="n"/>
      <c r="AH75" s="53" t="n"/>
      <c r="AI75" s="53" t="n"/>
      <c r="AJ75" s="53" t="n"/>
      <c r="AK75" s="53" t="n"/>
      <c r="AL75" s="53" t="n"/>
      <c r="AM75" s="53" t="n"/>
      <c r="AN75" s="53" t="n"/>
      <c r="AO75" s="53" t="n"/>
      <c r="AP75" s="53" t="n"/>
      <c r="AQ75" s="53" t="n"/>
      <c r="AR75" s="53" t="n"/>
      <c r="AS75" s="53" t="n"/>
      <c r="AT75" s="53" t="n"/>
      <c r="AU75" s="53" t="n"/>
      <c r="AV75" s="53" t="n"/>
      <c r="AW75" s="53" t="n"/>
      <c r="AX75" s="53" t="n"/>
      <c r="AY75" s="53" t="n"/>
    </row>
    <row r="76" ht="15" customHeight="1">
      <c r="A76" s="40">
        <f>IF($D$76="","",23)</f>
        <v/>
      </c>
      <c r="B76" s="10" t="n"/>
      <c r="C76" s="41" t="inlineStr">
        <is>
          <t>마케팅2팀</t>
        </is>
      </c>
      <c r="D76" s="42" t="n"/>
      <c r="E76" s="43" t="inlineStr">
        <is>
          <t>기획</t>
        </is>
      </c>
      <c r="F76" s="44" t="n"/>
      <c r="G76" s="45" t="n"/>
      <c r="H76" s="46">
        <f>IF($I$76="","",IF($I$76&lt;0,"🔴지연",IF($I$76&lt;=1,"🟡임박","🟢여유")))</f>
        <v/>
      </c>
      <c r="I76" s="47">
        <f>IF(OR($G$76="",$K$76=""),"",$G$76-$K$76)</f>
        <v/>
      </c>
      <c r="J76" s="48">
        <f>IF(SUM($L$76:$L$78)=0,"",SUM($L$76:$L$78))</f>
        <v/>
      </c>
      <c r="K76" s="49">
        <f>IF($J$76="","",MAX($N$76:$N$78))</f>
        <v/>
      </c>
      <c r="L76" s="50">
        <f>IF(SUM(U76:AY76)=0,"",SUM(U76:AY76))</f>
        <v/>
      </c>
      <c r="M76" s="51">
        <f>IFERROR(INDEX(U$2:AY$2,MATCH(TRUE,INDEX(U76:AY76&lt;&gt;"",0),0)),"")</f>
        <v/>
      </c>
      <c r="N76" s="51">
        <f>IFERROR(LOOKUP(2,1/(U76:AY76&lt;&gt;""),U$2:AY$2),"")</f>
        <v/>
      </c>
      <c r="O76" s="52" t="n"/>
      <c r="P76" s="52" t="n"/>
      <c r="Q76" s="52" t="n"/>
      <c r="R76" s="44" t="n"/>
      <c r="S76" s="14" t="n"/>
      <c r="U76" s="53" t="n"/>
      <c r="V76" s="53" t="n"/>
      <c r="W76" s="53" t="n"/>
      <c r="X76" s="53" t="n"/>
      <c r="Y76" s="53" t="n"/>
      <c r="Z76" s="53" t="n"/>
      <c r="AA76" s="53" t="n"/>
      <c r="AB76" s="53" t="n"/>
      <c r="AC76" s="53" t="n"/>
      <c r="AD76" s="53" t="n"/>
      <c r="AE76" s="53" t="n"/>
      <c r="AF76" s="53" t="n"/>
      <c r="AG76" s="53" t="n"/>
      <c r="AH76" s="53" t="n"/>
      <c r="AI76" s="53" t="n"/>
      <c r="AJ76" s="53" t="n"/>
      <c r="AK76" s="53" t="n"/>
      <c r="AL76" s="53" t="n"/>
      <c r="AM76" s="53" t="n"/>
      <c r="AN76" s="53" t="n"/>
      <c r="AO76" s="53" t="n"/>
      <c r="AP76" s="53" t="n"/>
      <c r="AQ76" s="53" t="n"/>
      <c r="AR76" s="53" t="n"/>
      <c r="AS76" s="53" t="n"/>
      <c r="AT76" s="53" t="n"/>
      <c r="AU76" s="53" t="n"/>
      <c r="AV76" s="53" t="n"/>
      <c r="AW76" s="53" t="n"/>
      <c r="AX76" s="53" t="n"/>
      <c r="AY76" s="53" t="n"/>
    </row>
    <row r="77" ht="15" customHeight="1">
      <c r="A77" s="54" t="n"/>
      <c r="B77" s="55">
        <f>IF($B$76="","",$B$76)</f>
        <v/>
      </c>
      <c r="C77" s="56" t="inlineStr">
        <is>
          <t>마케팅2팀</t>
        </is>
      </c>
      <c r="D77" s="55">
        <f>IF($D$76="","",$D$76)</f>
        <v/>
      </c>
      <c r="E77" s="57" t="inlineStr">
        <is>
          <t>이미지</t>
        </is>
      </c>
      <c r="F77" s="44" t="n"/>
      <c r="G77" s="58">
        <f>IF($G$76="","",$G$76)</f>
        <v/>
      </c>
      <c r="H77" s="59" t="n"/>
      <c r="I77" s="59" t="n"/>
      <c r="J77" s="59" t="n"/>
      <c r="K77" s="59" t="n"/>
      <c r="L77" s="60">
        <f>IF(SUM(U77:AY77)=0,"",SUM(U77:AY77))</f>
        <v/>
      </c>
      <c r="M77" s="61">
        <f>IFERROR(INDEX(U$2:AY$2,MATCH(TRUE,INDEX(U77:AY77&lt;&gt;"",0),0)),"")</f>
        <v/>
      </c>
      <c r="N77" s="61">
        <f>IFERROR(LOOKUP(2,1/(U77:AY77&lt;&gt;""),U$2:AY$2),"")</f>
        <v/>
      </c>
      <c r="O77" s="59" t="n"/>
      <c r="P77" s="59" t="n"/>
      <c r="Q77" s="59" t="n"/>
      <c r="R77" s="59" t="n"/>
      <c r="S77" s="14" t="n"/>
      <c r="U77" s="53" t="n"/>
      <c r="V77" s="53" t="n"/>
      <c r="W77" s="53" t="n"/>
      <c r="X77" s="53" t="n"/>
      <c r="Y77" s="53" t="n"/>
      <c r="Z77" s="53" t="n"/>
      <c r="AA77" s="53" t="n"/>
      <c r="AB77" s="53" t="n"/>
      <c r="AC77" s="53" t="n"/>
      <c r="AD77" s="53" t="n"/>
      <c r="AE77" s="53" t="n"/>
      <c r="AF77" s="53" t="n"/>
      <c r="AG77" s="53" t="n"/>
      <c r="AH77" s="53" t="n"/>
      <c r="AI77" s="53" t="n"/>
      <c r="AJ77" s="53" t="n"/>
      <c r="AK77" s="53" t="n"/>
      <c r="AL77" s="53" t="n"/>
      <c r="AM77" s="53" t="n"/>
      <c r="AN77" s="53" t="n"/>
      <c r="AO77" s="53" t="n"/>
      <c r="AP77" s="53" t="n"/>
      <c r="AQ77" s="53" t="n"/>
      <c r="AR77" s="53" t="n"/>
      <c r="AS77" s="53" t="n"/>
      <c r="AT77" s="53" t="n"/>
      <c r="AU77" s="53" t="n"/>
      <c r="AV77" s="53" t="n"/>
      <c r="AW77" s="53" t="n"/>
      <c r="AX77" s="53" t="n"/>
      <c r="AY77" s="53" t="n"/>
    </row>
    <row r="78" ht="15" customHeight="1">
      <c r="A78" s="62" t="n"/>
      <c r="B78" s="55">
        <f>IF($B$76="","",$B$76)</f>
        <v/>
      </c>
      <c r="C78" s="63" t="inlineStr">
        <is>
          <t>마케팅2팀</t>
        </is>
      </c>
      <c r="D78" s="55">
        <f>IF($D$76="","",$D$76)</f>
        <v/>
      </c>
      <c r="E78" s="64" t="inlineStr">
        <is>
          <t>영상</t>
        </is>
      </c>
      <c r="F78" s="44" t="n"/>
      <c r="G78" s="58">
        <f>IF($G$76="","",$G$76)</f>
        <v/>
      </c>
      <c r="H78" s="59" t="n"/>
      <c r="I78" s="59" t="n"/>
      <c r="J78" s="59" t="n"/>
      <c r="K78" s="59" t="n"/>
      <c r="L78" s="65">
        <f>IF(SUM(U78:AY78)=0,"",SUM(U78:AY78))</f>
        <v/>
      </c>
      <c r="M78" s="66">
        <f>IFERROR(INDEX(U$2:AY$2,MATCH(TRUE,INDEX(U78:AY78&lt;&gt;"",0),0)),"")</f>
        <v/>
      </c>
      <c r="N78" s="66">
        <f>IFERROR(LOOKUP(2,1/(U78:AY78&lt;&gt;""),U$2:AY$2),"")</f>
        <v/>
      </c>
      <c r="O78" s="59" t="n"/>
      <c r="P78" s="59" t="n"/>
      <c r="Q78" s="59" t="n"/>
      <c r="R78" s="59" t="n"/>
      <c r="S78" s="14" t="n"/>
      <c r="U78" s="53" t="n"/>
      <c r="V78" s="53" t="n"/>
      <c r="W78" s="53" t="n"/>
      <c r="X78" s="53" t="n"/>
      <c r="Y78" s="53" t="n"/>
      <c r="Z78" s="53" t="n"/>
      <c r="AA78" s="53" t="n"/>
      <c r="AB78" s="53" t="n"/>
      <c r="AC78" s="53" t="n"/>
      <c r="AD78" s="53" t="n"/>
      <c r="AE78" s="53" t="n"/>
      <c r="AF78" s="53" t="n"/>
      <c r="AG78" s="53" t="n"/>
      <c r="AH78" s="53" t="n"/>
      <c r="AI78" s="53" t="n"/>
      <c r="AJ78" s="53" t="n"/>
      <c r="AK78" s="53" t="n"/>
      <c r="AL78" s="53" t="n"/>
      <c r="AM78" s="53" t="n"/>
      <c r="AN78" s="53" t="n"/>
      <c r="AO78" s="53" t="n"/>
      <c r="AP78" s="53" t="n"/>
      <c r="AQ78" s="53" t="n"/>
      <c r="AR78" s="53" t="n"/>
      <c r="AS78" s="53" t="n"/>
      <c r="AT78" s="53" t="n"/>
      <c r="AU78" s="53" t="n"/>
      <c r="AV78" s="53" t="n"/>
      <c r="AW78" s="53" t="n"/>
      <c r="AX78" s="53" t="n"/>
      <c r="AY78" s="53" t="n"/>
    </row>
    <row r="79" ht="15" customHeight="1">
      <c r="A79" s="40">
        <f>IF($D$79="","",24)</f>
        <v/>
      </c>
      <c r="B79" s="10" t="n"/>
      <c r="C79" s="41" t="inlineStr">
        <is>
          <t>마케팅2팀</t>
        </is>
      </c>
      <c r="D79" s="42" t="n"/>
      <c r="E79" s="43" t="inlineStr">
        <is>
          <t>기획</t>
        </is>
      </c>
      <c r="F79" s="44" t="n"/>
      <c r="G79" s="45" t="n"/>
      <c r="H79" s="46">
        <f>IF($I$79="","",IF($I$79&lt;0,"🔴지연",IF($I$79&lt;=1,"🟡임박","🟢여유")))</f>
        <v/>
      </c>
      <c r="I79" s="47">
        <f>IF(OR($G$79="",$K$79=""),"",$G$79-$K$79)</f>
        <v/>
      </c>
      <c r="J79" s="48">
        <f>IF(SUM($L$79:$L$81)=0,"",SUM($L$79:$L$81))</f>
        <v/>
      </c>
      <c r="K79" s="49">
        <f>IF($J$79="","",MAX($N$79:$N$81))</f>
        <v/>
      </c>
      <c r="L79" s="50">
        <f>IF(SUM(U79:AY79)=0,"",SUM(U79:AY79))</f>
        <v/>
      </c>
      <c r="M79" s="51">
        <f>IFERROR(INDEX(U$2:AY$2,MATCH(TRUE,INDEX(U79:AY79&lt;&gt;"",0),0)),"")</f>
        <v/>
      </c>
      <c r="N79" s="51">
        <f>IFERROR(LOOKUP(2,1/(U79:AY79&lt;&gt;""),U$2:AY$2),"")</f>
        <v/>
      </c>
      <c r="O79" s="52" t="n"/>
      <c r="P79" s="52" t="n"/>
      <c r="Q79" s="52" t="n"/>
      <c r="R79" s="44" t="n"/>
      <c r="S79" s="14" t="n"/>
      <c r="U79" s="53" t="n"/>
      <c r="V79" s="53" t="n"/>
      <c r="W79" s="53" t="n"/>
      <c r="X79" s="53" t="n"/>
      <c r="Y79" s="53" t="n"/>
      <c r="Z79" s="53" t="n"/>
      <c r="AA79" s="53" t="n"/>
      <c r="AB79" s="53" t="n"/>
      <c r="AC79" s="53" t="n"/>
      <c r="AD79" s="53" t="n"/>
      <c r="AE79" s="53" t="n"/>
      <c r="AF79" s="53" t="n"/>
      <c r="AG79" s="53" t="n"/>
      <c r="AH79" s="53" t="n"/>
      <c r="AI79" s="53" t="n"/>
      <c r="AJ79" s="53" t="n"/>
      <c r="AK79" s="53" t="n"/>
      <c r="AL79" s="53" t="n"/>
      <c r="AM79" s="53" t="n"/>
      <c r="AN79" s="53" t="n"/>
      <c r="AO79" s="53" t="n"/>
      <c r="AP79" s="53" t="n"/>
      <c r="AQ79" s="53" t="n"/>
      <c r="AR79" s="53" t="n"/>
      <c r="AS79" s="53" t="n"/>
      <c r="AT79" s="53" t="n"/>
      <c r="AU79" s="53" t="n"/>
      <c r="AV79" s="53" t="n"/>
      <c r="AW79" s="53" t="n"/>
      <c r="AX79" s="53" t="n"/>
      <c r="AY79" s="53" t="n"/>
    </row>
    <row r="80" ht="15" customHeight="1">
      <c r="A80" s="54" t="n"/>
      <c r="B80" s="55">
        <f>IF($B$79="","",$B$79)</f>
        <v/>
      </c>
      <c r="C80" s="56" t="inlineStr">
        <is>
          <t>마케팅2팀</t>
        </is>
      </c>
      <c r="D80" s="55">
        <f>IF($D$79="","",$D$79)</f>
        <v/>
      </c>
      <c r="E80" s="57" t="inlineStr">
        <is>
          <t>이미지</t>
        </is>
      </c>
      <c r="F80" s="44" t="n"/>
      <c r="G80" s="58">
        <f>IF($G$79="","",$G$79)</f>
        <v/>
      </c>
      <c r="H80" s="59" t="n"/>
      <c r="I80" s="59" t="n"/>
      <c r="J80" s="59" t="n"/>
      <c r="K80" s="59" t="n"/>
      <c r="L80" s="60">
        <f>IF(SUM(U80:AY80)=0,"",SUM(U80:AY80))</f>
        <v/>
      </c>
      <c r="M80" s="61">
        <f>IFERROR(INDEX(U$2:AY$2,MATCH(TRUE,INDEX(U80:AY80&lt;&gt;"",0),0)),"")</f>
        <v/>
      </c>
      <c r="N80" s="61">
        <f>IFERROR(LOOKUP(2,1/(U80:AY80&lt;&gt;""),U$2:AY$2),"")</f>
        <v/>
      </c>
      <c r="O80" s="59" t="n"/>
      <c r="P80" s="59" t="n"/>
      <c r="Q80" s="59" t="n"/>
      <c r="R80" s="59" t="n"/>
      <c r="S80" s="14" t="n"/>
      <c r="U80" s="53" t="n"/>
      <c r="V80" s="53" t="n"/>
      <c r="W80" s="53" t="n"/>
      <c r="X80" s="53" t="n"/>
      <c r="Y80" s="53" t="n"/>
      <c r="Z80" s="53" t="n"/>
      <c r="AA80" s="53" t="n"/>
      <c r="AB80" s="53" t="n"/>
      <c r="AC80" s="53" t="n"/>
      <c r="AD80" s="53" t="n"/>
      <c r="AE80" s="53" t="n"/>
      <c r="AF80" s="53" t="n"/>
      <c r="AG80" s="53" t="n"/>
      <c r="AH80" s="53" t="n"/>
      <c r="AI80" s="53" t="n"/>
      <c r="AJ80" s="53" t="n"/>
      <c r="AK80" s="53" t="n"/>
      <c r="AL80" s="53" t="n"/>
      <c r="AM80" s="53" t="n"/>
      <c r="AN80" s="53" t="n"/>
      <c r="AO80" s="53" t="n"/>
      <c r="AP80" s="53" t="n"/>
      <c r="AQ80" s="53" t="n"/>
      <c r="AR80" s="53" t="n"/>
      <c r="AS80" s="53" t="n"/>
      <c r="AT80" s="53" t="n"/>
      <c r="AU80" s="53" t="n"/>
      <c r="AV80" s="53" t="n"/>
      <c r="AW80" s="53" t="n"/>
      <c r="AX80" s="53" t="n"/>
      <c r="AY80" s="53" t="n"/>
    </row>
    <row r="81" ht="15" customHeight="1">
      <c r="A81" s="62" t="n"/>
      <c r="B81" s="55">
        <f>IF($B$79="","",$B$79)</f>
        <v/>
      </c>
      <c r="C81" s="63" t="inlineStr">
        <is>
          <t>마케팅2팀</t>
        </is>
      </c>
      <c r="D81" s="55">
        <f>IF($D$79="","",$D$79)</f>
        <v/>
      </c>
      <c r="E81" s="64" t="inlineStr">
        <is>
          <t>영상</t>
        </is>
      </c>
      <c r="F81" s="44" t="n"/>
      <c r="G81" s="58">
        <f>IF($G$79="","",$G$79)</f>
        <v/>
      </c>
      <c r="H81" s="59" t="n"/>
      <c r="I81" s="59" t="n"/>
      <c r="J81" s="59" t="n"/>
      <c r="K81" s="59" t="n"/>
      <c r="L81" s="65">
        <f>IF(SUM(U81:AY81)=0,"",SUM(U81:AY81))</f>
        <v/>
      </c>
      <c r="M81" s="66">
        <f>IFERROR(INDEX(U$2:AY$2,MATCH(TRUE,INDEX(U81:AY81&lt;&gt;"",0),0)),"")</f>
        <v/>
      </c>
      <c r="N81" s="66">
        <f>IFERROR(LOOKUP(2,1/(U81:AY81&lt;&gt;""),U$2:AY$2),"")</f>
        <v/>
      </c>
      <c r="O81" s="59" t="n"/>
      <c r="P81" s="59" t="n"/>
      <c r="Q81" s="59" t="n"/>
      <c r="R81" s="59" t="n"/>
      <c r="S81" s="14" t="n"/>
      <c r="U81" s="53" t="n"/>
      <c r="V81" s="53" t="n"/>
      <c r="W81" s="53" t="n"/>
      <c r="X81" s="53" t="n"/>
      <c r="Y81" s="53" t="n"/>
      <c r="Z81" s="53" t="n"/>
      <c r="AA81" s="53" t="n"/>
      <c r="AB81" s="53" t="n"/>
      <c r="AC81" s="53" t="n"/>
      <c r="AD81" s="53" t="n"/>
      <c r="AE81" s="53" t="n"/>
      <c r="AF81" s="53" t="n"/>
      <c r="AG81" s="53" t="n"/>
      <c r="AH81" s="53" t="n"/>
      <c r="AI81" s="53" t="n"/>
      <c r="AJ81" s="53" t="n"/>
      <c r="AK81" s="53" t="n"/>
      <c r="AL81" s="53" t="n"/>
      <c r="AM81" s="53" t="n"/>
      <c r="AN81" s="53" t="n"/>
      <c r="AO81" s="53" t="n"/>
      <c r="AP81" s="53" t="n"/>
      <c r="AQ81" s="53" t="n"/>
      <c r="AR81" s="53" t="n"/>
      <c r="AS81" s="53" t="n"/>
      <c r="AT81" s="53" t="n"/>
      <c r="AU81" s="53" t="n"/>
      <c r="AV81" s="53" t="n"/>
      <c r="AW81" s="53" t="n"/>
      <c r="AX81" s="53" t="n"/>
      <c r="AY81" s="53" t="n"/>
    </row>
    <row r="82" ht="15" customHeight="1">
      <c r="A82" s="40">
        <f>IF($D$82="","",25)</f>
        <v/>
      </c>
      <c r="B82" s="10" t="n"/>
      <c r="C82" s="41" t="inlineStr">
        <is>
          <t>마케팅2팀</t>
        </is>
      </c>
      <c r="D82" s="42" t="n"/>
      <c r="E82" s="43" t="inlineStr">
        <is>
          <t>기획</t>
        </is>
      </c>
      <c r="F82" s="44" t="n"/>
      <c r="G82" s="45" t="n"/>
      <c r="H82" s="46">
        <f>IF($I$82="","",IF($I$82&lt;0,"🔴지연",IF($I$82&lt;=1,"🟡임박","🟢여유")))</f>
        <v/>
      </c>
      <c r="I82" s="47">
        <f>IF(OR($G$82="",$K$82=""),"",$G$82-$K$82)</f>
        <v/>
      </c>
      <c r="J82" s="48">
        <f>IF(SUM($L$82:$L$84)=0,"",SUM($L$82:$L$84))</f>
        <v/>
      </c>
      <c r="K82" s="49">
        <f>IF($J$82="","",MAX($N$82:$N$84))</f>
        <v/>
      </c>
      <c r="L82" s="50">
        <f>IF(SUM(U82:AY82)=0,"",SUM(U82:AY82))</f>
        <v/>
      </c>
      <c r="M82" s="51">
        <f>IFERROR(INDEX(U$2:AY$2,MATCH(TRUE,INDEX(U82:AY82&lt;&gt;"",0),0)),"")</f>
        <v/>
      </c>
      <c r="N82" s="51">
        <f>IFERROR(LOOKUP(2,1/(U82:AY82&lt;&gt;""),U$2:AY$2),"")</f>
        <v/>
      </c>
      <c r="O82" s="52" t="n"/>
      <c r="P82" s="52" t="n"/>
      <c r="Q82" s="52" t="n"/>
      <c r="R82" s="44" t="n"/>
      <c r="S82" s="14" t="n"/>
      <c r="U82" s="53" t="n"/>
      <c r="V82" s="53" t="n"/>
      <c r="W82" s="53" t="n"/>
      <c r="X82" s="53" t="n"/>
      <c r="Y82" s="53" t="n"/>
      <c r="Z82" s="53" t="n"/>
      <c r="AA82" s="53" t="n"/>
      <c r="AB82" s="53" t="n"/>
      <c r="AC82" s="53" t="n"/>
      <c r="AD82" s="53" t="n"/>
      <c r="AE82" s="53" t="n"/>
      <c r="AF82" s="53" t="n"/>
      <c r="AG82" s="53" t="n"/>
      <c r="AH82" s="53" t="n"/>
      <c r="AI82" s="53" t="n"/>
      <c r="AJ82" s="53" t="n"/>
      <c r="AK82" s="53" t="n"/>
      <c r="AL82" s="53" t="n"/>
      <c r="AM82" s="53" t="n"/>
      <c r="AN82" s="53" t="n"/>
      <c r="AO82" s="53" t="n"/>
      <c r="AP82" s="53" t="n"/>
      <c r="AQ82" s="53" t="n"/>
      <c r="AR82" s="53" t="n"/>
      <c r="AS82" s="53" t="n"/>
      <c r="AT82" s="53" t="n"/>
      <c r="AU82" s="53" t="n"/>
      <c r="AV82" s="53" t="n"/>
      <c r="AW82" s="53" t="n"/>
      <c r="AX82" s="53" t="n"/>
      <c r="AY82" s="53" t="n"/>
    </row>
    <row r="83" ht="15" customHeight="1">
      <c r="A83" s="54" t="n"/>
      <c r="B83" s="55">
        <f>IF($B$82="","",$B$82)</f>
        <v/>
      </c>
      <c r="C83" s="56" t="inlineStr">
        <is>
          <t>마케팅2팀</t>
        </is>
      </c>
      <c r="D83" s="55">
        <f>IF($D$82="","",$D$82)</f>
        <v/>
      </c>
      <c r="E83" s="57" t="inlineStr">
        <is>
          <t>이미지</t>
        </is>
      </c>
      <c r="F83" s="44" t="n"/>
      <c r="G83" s="58">
        <f>IF($G$82="","",$G$82)</f>
        <v/>
      </c>
      <c r="H83" s="59" t="n"/>
      <c r="I83" s="59" t="n"/>
      <c r="J83" s="59" t="n"/>
      <c r="K83" s="59" t="n"/>
      <c r="L83" s="60">
        <f>IF(SUM(U83:AY83)=0,"",SUM(U83:AY83))</f>
        <v/>
      </c>
      <c r="M83" s="61">
        <f>IFERROR(INDEX(U$2:AY$2,MATCH(TRUE,INDEX(U83:AY83&lt;&gt;"",0),0)),"")</f>
        <v/>
      </c>
      <c r="N83" s="61">
        <f>IFERROR(LOOKUP(2,1/(U83:AY83&lt;&gt;""),U$2:AY$2),"")</f>
        <v/>
      </c>
      <c r="O83" s="59" t="n"/>
      <c r="P83" s="59" t="n"/>
      <c r="Q83" s="59" t="n"/>
      <c r="R83" s="59" t="n"/>
      <c r="S83" s="14" t="n"/>
      <c r="U83" s="53" t="n"/>
      <c r="V83" s="53" t="n"/>
      <c r="W83" s="53" t="n"/>
      <c r="X83" s="53" t="n"/>
      <c r="Y83" s="53" t="n"/>
      <c r="Z83" s="53" t="n"/>
      <c r="AA83" s="53" t="n"/>
      <c r="AB83" s="53" t="n"/>
      <c r="AC83" s="53" t="n"/>
      <c r="AD83" s="53" t="n"/>
      <c r="AE83" s="53" t="n"/>
      <c r="AF83" s="53" t="n"/>
      <c r="AG83" s="53" t="n"/>
      <c r="AH83" s="53" t="n"/>
      <c r="AI83" s="53" t="n"/>
      <c r="AJ83" s="53" t="n"/>
      <c r="AK83" s="53" t="n"/>
      <c r="AL83" s="53" t="n"/>
      <c r="AM83" s="53" t="n"/>
      <c r="AN83" s="53" t="n"/>
      <c r="AO83" s="53" t="n"/>
      <c r="AP83" s="53" t="n"/>
      <c r="AQ83" s="53" t="n"/>
      <c r="AR83" s="53" t="n"/>
      <c r="AS83" s="53" t="n"/>
      <c r="AT83" s="53" t="n"/>
      <c r="AU83" s="53" t="n"/>
      <c r="AV83" s="53" t="n"/>
      <c r="AW83" s="53" t="n"/>
      <c r="AX83" s="53" t="n"/>
      <c r="AY83" s="53" t="n"/>
    </row>
    <row r="84" ht="15" customHeight="1">
      <c r="A84" s="62" t="n"/>
      <c r="B84" s="55">
        <f>IF($B$82="","",$B$82)</f>
        <v/>
      </c>
      <c r="C84" s="63" t="inlineStr">
        <is>
          <t>마케팅2팀</t>
        </is>
      </c>
      <c r="D84" s="55">
        <f>IF($D$82="","",$D$82)</f>
        <v/>
      </c>
      <c r="E84" s="64" t="inlineStr">
        <is>
          <t>영상</t>
        </is>
      </c>
      <c r="F84" s="44" t="n"/>
      <c r="G84" s="58">
        <f>IF($G$82="","",$G$82)</f>
        <v/>
      </c>
      <c r="H84" s="59" t="n"/>
      <c r="I84" s="59" t="n"/>
      <c r="J84" s="59" t="n"/>
      <c r="K84" s="59" t="n"/>
      <c r="L84" s="65">
        <f>IF(SUM(U84:AY84)=0,"",SUM(U84:AY84))</f>
        <v/>
      </c>
      <c r="M84" s="66">
        <f>IFERROR(INDEX(U$2:AY$2,MATCH(TRUE,INDEX(U84:AY84&lt;&gt;"",0),0)),"")</f>
        <v/>
      </c>
      <c r="N84" s="66">
        <f>IFERROR(LOOKUP(2,1/(U84:AY84&lt;&gt;""),U$2:AY$2),"")</f>
        <v/>
      </c>
      <c r="O84" s="59" t="n"/>
      <c r="P84" s="59" t="n"/>
      <c r="Q84" s="59" t="n"/>
      <c r="R84" s="59" t="n"/>
      <c r="S84" s="14" t="n"/>
      <c r="U84" s="53" t="n"/>
      <c r="V84" s="53" t="n"/>
      <c r="W84" s="53" t="n"/>
      <c r="X84" s="53" t="n"/>
      <c r="Y84" s="53" t="n"/>
      <c r="Z84" s="53" t="n"/>
      <c r="AA84" s="53" t="n"/>
      <c r="AB84" s="53" t="n"/>
      <c r="AC84" s="53" t="n"/>
      <c r="AD84" s="53" t="n"/>
      <c r="AE84" s="53" t="n"/>
      <c r="AF84" s="53" t="n"/>
      <c r="AG84" s="53" t="n"/>
      <c r="AH84" s="53" t="n"/>
      <c r="AI84" s="53" t="n"/>
      <c r="AJ84" s="53" t="n"/>
      <c r="AK84" s="53" t="n"/>
      <c r="AL84" s="53" t="n"/>
      <c r="AM84" s="53" t="n"/>
      <c r="AN84" s="53" t="n"/>
      <c r="AO84" s="53" t="n"/>
      <c r="AP84" s="53" t="n"/>
      <c r="AQ84" s="53" t="n"/>
      <c r="AR84" s="53" t="n"/>
      <c r="AS84" s="53" t="n"/>
      <c r="AT84" s="53" t="n"/>
      <c r="AU84" s="53" t="n"/>
      <c r="AV84" s="53" t="n"/>
      <c r="AW84" s="53" t="n"/>
      <c r="AX84" s="53" t="n"/>
      <c r="AY84" s="53" t="n"/>
    </row>
    <row r="85" ht="15" customHeight="1">
      <c r="A85" s="40">
        <f>IF($D$85="","",26)</f>
        <v/>
      </c>
      <c r="B85" s="10" t="n"/>
      <c r="C85" s="41" t="inlineStr">
        <is>
          <t>마케팅2팀</t>
        </is>
      </c>
      <c r="D85" s="42" t="n"/>
      <c r="E85" s="43" t="inlineStr">
        <is>
          <t>기획</t>
        </is>
      </c>
      <c r="F85" s="44" t="n"/>
      <c r="G85" s="45" t="n"/>
      <c r="H85" s="46">
        <f>IF($I$85="","",IF($I$85&lt;0,"🔴지연",IF($I$85&lt;=1,"🟡임박","🟢여유")))</f>
        <v/>
      </c>
      <c r="I85" s="47">
        <f>IF(OR($G$85="",$K$85=""),"",$G$85-$K$85)</f>
        <v/>
      </c>
      <c r="J85" s="48">
        <f>IF(SUM($L$85:$L$87)=0,"",SUM($L$85:$L$87))</f>
        <v/>
      </c>
      <c r="K85" s="49">
        <f>IF($J$85="","",MAX($N$85:$N$87))</f>
        <v/>
      </c>
      <c r="L85" s="50">
        <f>IF(SUM(U85:AY85)=0,"",SUM(U85:AY85))</f>
        <v/>
      </c>
      <c r="M85" s="51">
        <f>IFERROR(INDEX(U$2:AY$2,MATCH(TRUE,INDEX(U85:AY85&lt;&gt;"",0),0)),"")</f>
        <v/>
      </c>
      <c r="N85" s="51">
        <f>IFERROR(LOOKUP(2,1/(U85:AY85&lt;&gt;""),U$2:AY$2),"")</f>
        <v/>
      </c>
      <c r="O85" s="52" t="n"/>
      <c r="P85" s="52" t="n"/>
      <c r="Q85" s="52" t="n"/>
      <c r="R85" s="44" t="n"/>
      <c r="S85" s="14" t="n"/>
      <c r="U85" s="53" t="n"/>
      <c r="V85" s="53" t="n"/>
      <c r="W85" s="53" t="n"/>
      <c r="X85" s="53" t="n"/>
      <c r="Y85" s="53" t="n"/>
      <c r="Z85" s="53" t="n"/>
      <c r="AA85" s="53" t="n"/>
      <c r="AB85" s="53" t="n"/>
      <c r="AC85" s="53" t="n"/>
      <c r="AD85" s="53" t="n"/>
      <c r="AE85" s="53" t="n"/>
      <c r="AF85" s="53" t="n"/>
      <c r="AG85" s="53" t="n"/>
      <c r="AH85" s="53" t="n"/>
      <c r="AI85" s="53" t="n"/>
      <c r="AJ85" s="53" t="n"/>
      <c r="AK85" s="53" t="n"/>
      <c r="AL85" s="53" t="n"/>
      <c r="AM85" s="53" t="n"/>
      <c r="AN85" s="53" t="n"/>
      <c r="AO85" s="53" t="n"/>
      <c r="AP85" s="53" t="n"/>
      <c r="AQ85" s="53" t="n"/>
      <c r="AR85" s="53" t="n"/>
      <c r="AS85" s="53" t="n"/>
      <c r="AT85" s="53" t="n"/>
      <c r="AU85" s="53" t="n"/>
      <c r="AV85" s="53" t="n"/>
      <c r="AW85" s="53" t="n"/>
      <c r="AX85" s="53" t="n"/>
      <c r="AY85" s="53" t="n"/>
    </row>
    <row r="86" ht="15" customHeight="1">
      <c r="A86" s="54" t="n"/>
      <c r="B86" s="55">
        <f>IF($B$85="","",$B$85)</f>
        <v/>
      </c>
      <c r="C86" s="56" t="inlineStr">
        <is>
          <t>마케팅2팀</t>
        </is>
      </c>
      <c r="D86" s="55">
        <f>IF($D$85="","",$D$85)</f>
        <v/>
      </c>
      <c r="E86" s="57" t="inlineStr">
        <is>
          <t>이미지</t>
        </is>
      </c>
      <c r="F86" s="44" t="n"/>
      <c r="G86" s="58">
        <f>IF($G$85="","",$G$85)</f>
        <v/>
      </c>
      <c r="H86" s="59" t="n"/>
      <c r="I86" s="59" t="n"/>
      <c r="J86" s="59" t="n"/>
      <c r="K86" s="59" t="n"/>
      <c r="L86" s="60">
        <f>IF(SUM(U86:AY86)=0,"",SUM(U86:AY86))</f>
        <v/>
      </c>
      <c r="M86" s="61">
        <f>IFERROR(INDEX(U$2:AY$2,MATCH(TRUE,INDEX(U86:AY86&lt;&gt;"",0),0)),"")</f>
        <v/>
      </c>
      <c r="N86" s="61">
        <f>IFERROR(LOOKUP(2,1/(U86:AY86&lt;&gt;""),U$2:AY$2),"")</f>
        <v/>
      </c>
      <c r="O86" s="59" t="n"/>
      <c r="P86" s="59" t="n"/>
      <c r="Q86" s="59" t="n"/>
      <c r="R86" s="59" t="n"/>
      <c r="S86" s="14" t="n"/>
      <c r="U86" s="53" t="n"/>
      <c r="V86" s="53" t="n"/>
      <c r="W86" s="53" t="n"/>
      <c r="X86" s="53" t="n"/>
      <c r="Y86" s="53" t="n"/>
      <c r="Z86" s="53" t="n"/>
      <c r="AA86" s="53" t="n"/>
      <c r="AB86" s="53" t="n"/>
      <c r="AC86" s="53" t="n"/>
      <c r="AD86" s="53" t="n"/>
      <c r="AE86" s="53" t="n"/>
      <c r="AF86" s="53" t="n"/>
      <c r="AG86" s="53" t="n"/>
      <c r="AH86" s="53" t="n"/>
      <c r="AI86" s="53" t="n"/>
      <c r="AJ86" s="53" t="n"/>
      <c r="AK86" s="53" t="n"/>
      <c r="AL86" s="53" t="n"/>
      <c r="AM86" s="53" t="n"/>
      <c r="AN86" s="53" t="n"/>
      <c r="AO86" s="53" t="n"/>
      <c r="AP86" s="53" t="n"/>
      <c r="AQ86" s="53" t="n"/>
      <c r="AR86" s="53" t="n"/>
      <c r="AS86" s="53" t="n"/>
      <c r="AT86" s="53" t="n"/>
      <c r="AU86" s="53" t="n"/>
      <c r="AV86" s="53" t="n"/>
      <c r="AW86" s="53" t="n"/>
      <c r="AX86" s="53" t="n"/>
      <c r="AY86" s="53" t="n"/>
    </row>
    <row r="87" ht="15" customHeight="1">
      <c r="A87" s="62" t="n"/>
      <c r="B87" s="55">
        <f>IF($B$85="","",$B$85)</f>
        <v/>
      </c>
      <c r="C87" s="63" t="inlineStr">
        <is>
          <t>마케팅2팀</t>
        </is>
      </c>
      <c r="D87" s="55">
        <f>IF($D$85="","",$D$85)</f>
        <v/>
      </c>
      <c r="E87" s="64" t="inlineStr">
        <is>
          <t>영상</t>
        </is>
      </c>
      <c r="F87" s="44" t="n"/>
      <c r="G87" s="58">
        <f>IF($G$85="","",$G$85)</f>
        <v/>
      </c>
      <c r="H87" s="59" t="n"/>
      <c r="I87" s="59" t="n"/>
      <c r="J87" s="59" t="n"/>
      <c r="K87" s="59" t="n"/>
      <c r="L87" s="65">
        <f>IF(SUM(U87:AY87)=0,"",SUM(U87:AY87))</f>
        <v/>
      </c>
      <c r="M87" s="66">
        <f>IFERROR(INDEX(U$2:AY$2,MATCH(TRUE,INDEX(U87:AY87&lt;&gt;"",0),0)),"")</f>
        <v/>
      </c>
      <c r="N87" s="66">
        <f>IFERROR(LOOKUP(2,1/(U87:AY87&lt;&gt;""),U$2:AY$2),"")</f>
        <v/>
      </c>
      <c r="O87" s="59" t="n"/>
      <c r="P87" s="59" t="n"/>
      <c r="Q87" s="59" t="n"/>
      <c r="R87" s="59" t="n"/>
      <c r="S87" s="14" t="n"/>
      <c r="U87" s="53" t="n"/>
      <c r="V87" s="53" t="n"/>
      <c r="W87" s="53" t="n"/>
      <c r="X87" s="53" t="n"/>
      <c r="Y87" s="53" t="n"/>
      <c r="Z87" s="53" t="n"/>
      <c r="AA87" s="53" t="n"/>
      <c r="AB87" s="53" t="n"/>
      <c r="AC87" s="53" t="n"/>
      <c r="AD87" s="53" t="n"/>
      <c r="AE87" s="53" t="n"/>
      <c r="AF87" s="53" t="n"/>
      <c r="AG87" s="53" t="n"/>
      <c r="AH87" s="53" t="n"/>
      <c r="AI87" s="53" t="n"/>
      <c r="AJ87" s="53" t="n"/>
      <c r="AK87" s="53" t="n"/>
      <c r="AL87" s="53" t="n"/>
      <c r="AM87" s="53" t="n"/>
      <c r="AN87" s="53" t="n"/>
      <c r="AO87" s="53" t="n"/>
      <c r="AP87" s="53" t="n"/>
      <c r="AQ87" s="53" t="n"/>
      <c r="AR87" s="53" t="n"/>
      <c r="AS87" s="53" t="n"/>
      <c r="AT87" s="53" t="n"/>
      <c r="AU87" s="53" t="n"/>
      <c r="AV87" s="53" t="n"/>
      <c r="AW87" s="53" t="n"/>
      <c r="AX87" s="53" t="n"/>
      <c r="AY87" s="53" t="n"/>
    </row>
    <row r="88" ht="15" customHeight="1">
      <c r="A88" s="40">
        <f>IF($D$88="","",27)</f>
        <v/>
      </c>
      <c r="B88" s="10" t="n"/>
      <c r="C88" s="41" t="inlineStr">
        <is>
          <t>마케팅2팀</t>
        </is>
      </c>
      <c r="D88" s="42" t="n"/>
      <c r="E88" s="43" t="inlineStr">
        <is>
          <t>기획</t>
        </is>
      </c>
      <c r="F88" s="44" t="n"/>
      <c r="G88" s="45" t="n"/>
      <c r="H88" s="46">
        <f>IF($I$88="","",IF($I$88&lt;0,"🔴지연",IF($I$88&lt;=1,"🟡임박","🟢여유")))</f>
        <v/>
      </c>
      <c r="I88" s="47">
        <f>IF(OR($G$88="",$K$88=""),"",$G$88-$K$88)</f>
        <v/>
      </c>
      <c r="J88" s="48">
        <f>IF(SUM($L$88:$L$90)=0,"",SUM($L$88:$L$90))</f>
        <v/>
      </c>
      <c r="K88" s="49">
        <f>IF($J$88="","",MAX($N$88:$N$90))</f>
        <v/>
      </c>
      <c r="L88" s="50">
        <f>IF(SUM(U88:AY88)=0,"",SUM(U88:AY88))</f>
        <v/>
      </c>
      <c r="M88" s="51">
        <f>IFERROR(INDEX(U$2:AY$2,MATCH(TRUE,INDEX(U88:AY88&lt;&gt;"",0),0)),"")</f>
        <v/>
      </c>
      <c r="N88" s="51">
        <f>IFERROR(LOOKUP(2,1/(U88:AY88&lt;&gt;""),U$2:AY$2),"")</f>
        <v/>
      </c>
      <c r="O88" s="52" t="n"/>
      <c r="P88" s="52" t="n"/>
      <c r="Q88" s="52" t="n"/>
      <c r="R88" s="44" t="n"/>
      <c r="S88" s="14" t="n"/>
      <c r="U88" s="53" t="n"/>
      <c r="V88" s="53" t="n"/>
      <c r="W88" s="53" t="n"/>
      <c r="X88" s="53" t="n"/>
      <c r="Y88" s="53" t="n"/>
      <c r="Z88" s="53" t="n"/>
      <c r="AA88" s="53" t="n"/>
      <c r="AB88" s="53" t="n"/>
      <c r="AC88" s="53" t="n"/>
      <c r="AD88" s="53" t="n"/>
      <c r="AE88" s="53" t="n"/>
      <c r="AF88" s="53" t="n"/>
      <c r="AG88" s="53" t="n"/>
      <c r="AH88" s="53" t="n"/>
      <c r="AI88" s="53" t="n"/>
      <c r="AJ88" s="53" t="n"/>
      <c r="AK88" s="53" t="n"/>
      <c r="AL88" s="53" t="n"/>
      <c r="AM88" s="53" t="n"/>
      <c r="AN88" s="53" t="n"/>
      <c r="AO88" s="53" t="n"/>
      <c r="AP88" s="53" t="n"/>
      <c r="AQ88" s="53" t="n"/>
      <c r="AR88" s="53" t="n"/>
      <c r="AS88" s="53" t="n"/>
      <c r="AT88" s="53" t="n"/>
      <c r="AU88" s="53" t="n"/>
      <c r="AV88" s="53" t="n"/>
      <c r="AW88" s="53" t="n"/>
      <c r="AX88" s="53" t="n"/>
      <c r="AY88" s="53" t="n"/>
    </row>
    <row r="89" ht="15" customHeight="1">
      <c r="A89" s="54" t="n"/>
      <c r="B89" s="55">
        <f>IF($B$88="","",$B$88)</f>
        <v/>
      </c>
      <c r="C89" s="56" t="inlineStr">
        <is>
          <t>마케팅2팀</t>
        </is>
      </c>
      <c r="D89" s="55">
        <f>IF($D$88="","",$D$88)</f>
        <v/>
      </c>
      <c r="E89" s="57" t="inlineStr">
        <is>
          <t>이미지</t>
        </is>
      </c>
      <c r="F89" s="44" t="n"/>
      <c r="G89" s="58">
        <f>IF($G$88="","",$G$88)</f>
        <v/>
      </c>
      <c r="H89" s="59" t="n"/>
      <c r="I89" s="59" t="n"/>
      <c r="J89" s="59" t="n"/>
      <c r="K89" s="59" t="n"/>
      <c r="L89" s="60">
        <f>IF(SUM(U89:AY89)=0,"",SUM(U89:AY89))</f>
        <v/>
      </c>
      <c r="M89" s="61">
        <f>IFERROR(INDEX(U$2:AY$2,MATCH(TRUE,INDEX(U89:AY89&lt;&gt;"",0),0)),"")</f>
        <v/>
      </c>
      <c r="N89" s="61">
        <f>IFERROR(LOOKUP(2,1/(U89:AY89&lt;&gt;""),U$2:AY$2),"")</f>
        <v/>
      </c>
      <c r="O89" s="59" t="n"/>
      <c r="P89" s="59" t="n"/>
      <c r="Q89" s="59" t="n"/>
      <c r="R89" s="59" t="n"/>
      <c r="S89" s="14" t="n"/>
      <c r="U89" s="53" t="n"/>
      <c r="V89" s="53" t="n"/>
      <c r="W89" s="53" t="n"/>
      <c r="X89" s="53" t="n"/>
      <c r="Y89" s="53" t="n"/>
      <c r="Z89" s="53" t="n"/>
      <c r="AA89" s="53" t="n"/>
      <c r="AB89" s="53" t="n"/>
      <c r="AC89" s="53" t="n"/>
      <c r="AD89" s="53" t="n"/>
      <c r="AE89" s="53" t="n"/>
      <c r="AF89" s="53" t="n"/>
      <c r="AG89" s="53" t="n"/>
      <c r="AH89" s="53" t="n"/>
      <c r="AI89" s="53" t="n"/>
      <c r="AJ89" s="53" t="n"/>
      <c r="AK89" s="53" t="n"/>
      <c r="AL89" s="53" t="n"/>
      <c r="AM89" s="53" t="n"/>
      <c r="AN89" s="53" t="n"/>
      <c r="AO89" s="53" t="n"/>
      <c r="AP89" s="53" t="n"/>
      <c r="AQ89" s="53" t="n"/>
      <c r="AR89" s="53" t="n"/>
      <c r="AS89" s="53" t="n"/>
      <c r="AT89" s="53" t="n"/>
      <c r="AU89" s="53" t="n"/>
      <c r="AV89" s="53" t="n"/>
      <c r="AW89" s="53" t="n"/>
      <c r="AX89" s="53" t="n"/>
      <c r="AY89" s="53" t="n"/>
    </row>
    <row r="90" ht="15" customHeight="1">
      <c r="A90" s="62" t="n"/>
      <c r="B90" s="55">
        <f>IF($B$88="","",$B$88)</f>
        <v/>
      </c>
      <c r="C90" s="63" t="inlineStr">
        <is>
          <t>마케팅2팀</t>
        </is>
      </c>
      <c r="D90" s="55">
        <f>IF($D$88="","",$D$88)</f>
        <v/>
      </c>
      <c r="E90" s="64" t="inlineStr">
        <is>
          <t>영상</t>
        </is>
      </c>
      <c r="F90" s="44" t="n"/>
      <c r="G90" s="58">
        <f>IF($G$88="","",$G$88)</f>
        <v/>
      </c>
      <c r="H90" s="59" t="n"/>
      <c r="I90" s="59" t="n"/>
      <c r="J90" s="59" t="n"/>
      <c r="K90" s="59" t="n"/>
      <c r="L90" s="65">
        <f>IF(SUM(U90:AY90)=0,"",SUM(U90:AY90))</f>
        <v/>
      </c>
      <c r="M90" s="66">
        <f>IFERROR(INDEX(U$2:AY$2,MATCH(TRUE,INDEX(U90:AY90&lt;&gt;"",0),0)),"")</f>
        <v/>
      </c>
      <c r="N90" s="66">
        <f>IFERROR(LOOKUP(2,1/(U90:AY90&lt;&gt;""),U$2:AY$2),"")</f>
        <v/>
      </c>
      <c r="O90" s="59" t="n"/>
      <c r="P90" s="59" t="n"/>
      <c r="Q90" s="59" t="n"/>
      <c r="R90" s="59" t="n"/>
      <c r="S90" s="14" t="n"/>
      <c r="U90" s="53" t="n"/>
      <c r="V90" s="53" t="n"/>
      <c r="W90" s="53" t="n"/>
      <c r="X90" s="53" t="n"/>
      <c r="Y90" s="53" t="n"/>
      <c r="Z90" s="53" t="n"/>
      <c r="AA90" s="53" t="n"/>
      <c r="AB90" s="53" t="n"/>
      <c r="AC90" s="53" t="n"/>
      <c r="AD90" s="53" t="n"/>
      <c r="AE90" s="53" t="n"/>
      <c r="AF90" s="53" t="n"/>
      <c r="AG90" s="53" t="n"/>
      <c r="AH90" s="53" t="n"/>
      <c r="AI90" s="53" t="n"/>
      <c r="AJ90" s="53" t="n"/>
      <c r="AK90" s="53" t="n"/>
      <c r="AL90" s="53" t="n"/>
      <c r="AM90" s="53" t="n"/>
      <c r="AN90" s="53" t="n"/>
      <c r="AO90" s="53" t="n"/>
      <c r="AP90" s="53" t="n"/>
      <c r="AQ90" s="53" t="n"/>
      <c r="AR90" s="53" t="n"/>
      <c r="AS90" s="53" t="n"/>
      <c r="AT90" s="53" t="n"/>
      <c r="AU90" s="53" t="n"/>
      <c r="AV90" s="53" t="n"/>
      <c r="AW90" s="53" t="n"/>
      <c r="AX90" s="53" t="n"/>
      <c r="AY90" s="53" t="n"/>
    </row>
    <row r="91" ht="15" customHeight="1">
      <c r="A91" s="40">
        <f>IF($D$91="","",28)</f>
        <v/>
      </c>
      <c r="B91" s="10" t="n"/>
      <c r="C91" s="41" t="inlineStr">
        <is>
          <t>마케팅2팀</t>
        </is>
      </c>
      <c r="D91" s="42" t="n"/>
      <c r="E91" s="43" t="inlineStr">
        <is>
          <t>기획</t>
        </is>
      </c>
      <c r="F91" s="44" t="n"/>
      <c r="G91" s="45" t="n"/>
      <c r="H91" s="46">
        <f>IF($I$91="","",IF($I$91&lt;0,"🔴지연",IF($I$91&lt;=1,"🟡임박","🟢여유")))</f>
        <v/>
      </c>
      <c r="I91" s="47">
        <f>IF(OR($G$91="",$K$91=""),"",$G$91-$K$91)</f>
        <v/>
      </c>
      <c r="J91" s="48">
        <f>IF(SUM($L$91:$L$93)=0,"",SUM($L$91:$L$93))</f>
        <v/>
      </c>
      <c r="K91" s="49">
        <f>IF($J$91="","",MAX($N$91:$N$93))</f>
        <v/>
      </c>
      <c r="L91" s="50">
        <f>IF(SUM(U91:AY91)=0,"",SUM(U91:AY91))</f>
        <v/>
      </c>
      <c r="M91" s="51">
        <f>IFERROR(INDEX(U$2:AY$2,MATCH(TRUE,INDEX(U91:AY91&lt;&gt;"",0),0)),"")</f>
        <v/>
      </c>
      <c r="N91" s="51">
        <f>IFERROR(LOOKUP(2,1/(U91:AY91&lt;&gt;""),U$2:AY$2),"")</f>
        <v/>
      </c>
      <c r="O91" s="52" t="n"/>
      <c r="P91" s="52" t="n"/>
      <c r="Q91" s="52" t="n"/>
      <c r="R91" s="44" t="n"/>
      <c r="S91" s="14" t="n"/>
      <c r="U91" s="53" t="n"/>
      <c r="V91" s="53" t="n"/>
      <c r="W91" s="53" t="n"/>
      <c r="X91" s="53" t="n"/>
      <c r="Y91" s="53" t="n"/>
      <c r="Z91" s="53" t="n"/>
      <c r="AA91" s="53" t="n"/>
      <c r="AB91" s="53" t="n"/>
      <c r="AC91" s="53" t="n"/>
      <c r="AD91" s="53" t="n"/>
      <c r="AE91" s="53" t="n"/>
      <c r="AF91" s="53" t="n"/>
      <c r="AG91" s="53" t="n"/>
      <c r="AH91" s="53" t="n"/>
      <c r="AI91" s="53" t="n"/>
      <c r="AJ91" s="53" t="n"/>
      <c r="AK91" s="53" t="n"/>
      <c r="AL91" s="53" t="n"/>
      <c r="AM91" s="53" t="n"/>
      <c r="AN91" s="53" t="n"/>
      <c r="AO91" s="53" t="n"/>
      <c r="AP91" s="53" t="n"/>
      <c r="AQ91" s="53" t="n"/>
      <c r="AR91" s="53" t="n"/>
      <c r="AS91" s="53" t="n"/>
      <c r="AT91" s="53" t="n"/>
      <c r="AU91" s="53" t="n"/>
      <c r="AV91" s="53" t="n"/>
      <c r="AW91" s="53" t="n"/>
      <c r="AX91" s="53" t="n"/>
      <c r="AY91" s="53" t="n"/>
    </row>
    <row r="92" ht="15" customHeight="1">
      <c r="A92" s="54" t="n"/>
      <c r="B92" s="55">
        <f>IF($B$91="","",$B$91)</f>
        <v/>
      </c>
      <c r="C92" s="56" t="inlineStr">
        <is>
          <t>마케팅2팀</t>
        </is>
      </c>
      <c r="D92" s="55">
        <f>IF($D$91="","",$D$91)</f>
        <v/>
      </c>
      <c r="E92" s="57" t="inlineStr">
        <is>
          <t>이미지</t>
        </is>
      </c>
      <c r="F92" s="44" t="n"/>
      <c r="G92" s="58">
        <f>IF($G$91="","",$G$91)</f>
        <v/>
      </c>
      <c r="H92" s="59" t="n"/>
      <c r="I92" s="59" t="n"/>
      <c r="J92" s="59" t="n"/>
      <c r="K92" s="59" t="n"/>
      <c r="L92" s="60">
        <f>IF(SUM(U92:AY92)=0,"",SUM(U92:AY92))</f>
        <v/>
      </c>
      <c r="M92" s="61">
        <f>IFERROR(INDEX(U$2:AY$2,MATCH(TRUE,INDEX(U92:AY92&lt;&gt;"",0),0)),"")</f>
        <v/>
      </c>
      <c r="N92" s="61">
        <f>IFERROR(LOOKUP(2,1/(U92:AY92&lt;&gt;""),U$2:AY$2),"")</f>
        <v/>
      </c>
      <c r="O92" s="59" t="n"/>
      <c r="P92" s="59" t="n"/>
      <c r="Q92" s="59" t="n"/>
      <c r="R92" s="59" t="n"/>
      <c r="S92" s="14" t="n"/>
      <c r="U92" s="53" t="n"/>
      <c r="V92" s="53" t="n"/>
      <c r="W92" s="53" t="n"/>
      <c r="X92" s="53" t="n"/>
      <c r="Y92" s="53" t="n"/>
      <c r="Z92" s="53" t="n"/>
      <c r="AA92" s="53" t="n"/>
      <c r="AB92" s="53" t="n"/>
      <c r="AC92" s="53" t="n"/>
      <c r="AD92" s="53" t="n"/>
      <c r="AE92" s="53" t="n"/>
      <c r="AF92" s="53" t="n"/>
      <c r="AG92" s="53" t="n"/>
      <c r="AH92" s="53" t="n"/>
      <c r="AI92" s="53" t="n"/>
      <c r="AJ92" s="53" t="n"/>
      <c r="AK92" s="53" t="n"/>
      <c r="AL92" s="53" t="n"/>
      <c r="AM92" s="53" t="n"/>
      <c r="AN92" s="53" t="n"/>
      <c r="AO92" s="53" t="n"/>
      <c r="AP92" s="53" t="n"/>
      <c r="AQ92" s="53" t="n"/>
      <c r="AR92" s="53" t="n"/>
      <c r="AS92" s="53" t="n"/>
      <c r="AT92" s="53" t="n"/>
      <c r="AU92" s="53" t="n"/>
      <c r="AV92" s="53" t="n"/>
      <c r="AW92" s="53" t="n"/>
      <c r="AX92" s="53" t="n"/>
      <c r="AY92" s="53" t="n"/>
    </row>
    <row r="93" ht="15" customHeight="1">
      <c r="A93" s="62" t="n"/>
      <c r="B93" s="55">
        <f>IF($B$91="","",$B$91)</f>
        <v/>
      </c>
      <c r="C93" s="63" t="inlineStr">
        <is>
          <t>마케팅2팀</t>
        </is>
      </c>
      <c r="D93" s="55">
        <f>IF($D$91="","",$D$91)</f>
        <v/>
      </c>
      <c r="E93" s="64" t="inlineStr">
        <is>
          <t>영상</t>
        </is>
      </c>
      <c r="F93" s="44" t="n"/>
      <c r="G93" s="58">
        <f>IF($G$91="","",$G$91)</f>
        <v/>
      </c>
      <c r="H93" s="59" t="n"/>
      <c r="I93" s="59" t="n"/>
      <c r="J93" s="59" t="n"/>
      <c r="K93" s="59" t="n"/>
      <c r="L93" s="65">
        <f>IF(SUM(U93:AY93)=0,"",SUM(U93:AY93))</f>
        <v/>
      </c>
      <c r="M93" s="66">
        <f>IFERROR(INDEX(U$2:AY$2,MATCH(TRUE,INDEX(U93:AY93&lt;&gt;"",0),0)),"")</f>
        <v/>
      </c>
      <c r="N93" s="66">
        <f>IFERROR(LOOKUP(2,1/(U93:AY93&lt;&gt;""),U$2:AY$2),"")</f>
        <v/>
      </c>
      <c r="O93" s="59" t="n"/>
      <c r="P93" s="59" t="n"/>
      <c r="Q93" s="59" t="n"/>
      <c r="R93" s="59" t="n"/>
      <c r="S93" s="14" t="n"/>
      <c r="U93" s="53" t="n"/>
      <c r="V93" s="53" t="n"/>
      <c r="W93" s="53" t="n"/>
      <c r="X93" s="53" t="n"/>
      <c r="Y93" s="53" t="n"/>
      <c r="Z93" s="53" t="n"/>
      <c r="AA93" s="53" t="n"/>
      <c r="AB93" s="53" t="n"/>
      <c r="AC93" s="53" t="n"/>
      <c r="AD93" s="53" t="n"/>
      <c r="AE93" s="53" t="n"/>
      <c r="AF93" s="53" t="n"/>
      <c r="AG93" s="53" t="n"/>
      <c r="AH93" s="53" t="n"/>
      <c r="AI93" s="53" t="n"/>
      <c r="AJ93" s="53" t="n"/>
      <c r="AK93" s="53" t="n"/>
      <c r="AL93" s="53" t="n"/>
      <c r="AM93" s="53" t="n"/>
      <c r="AN93" s="53" t="n"/>
      <c r="AO93" s="53" t="n"/>
      <c r="AP93" s="53" t="n"/>
      <c r="AQ93" s="53" t="n"/>
      <c r="AR93" s="53" t="n"/>
      <c r="AS93" s="53" t="n"/>
      <c r="AT93" s="53" t="n"/>
      <c r="AU93" s="53" t="n"/>
      <c r="AV93" s="53" t="n"/>
      <c r="AW93" s="53" t="n"/>
      <c r="AX93" s="53" t="n"/>
      <c r="AY93" s="53" t="n"/>
    </row>
    <row r="94" ht="15" customHeight="1">
      <c r="A94" s="40">
        <f>IF($D$94="","",29)</f>
        <v/>
      </c>
      <c r="B94" s="10" t="n"/>
      <c r="C94" s="41" t="inlineStr">
        <is>
          <t>마케팅2팀</t>
        </is>
      </c>
      <c r="D94" s="42" t="n"/>
      <c r="E94" s="43" t="inlineStr">
        <is>
          <t>기획</t>
        </is>
      </c>
      <c r="F94" s="44" t="n"/>
      <c r="G94" s="45" t="n"/>
      <c r="H94" s="46">
        <f>IF($I$94="","",IF($I$94&lt;0,"🔴지연",IF($I$94&lt;=1,"🟡임박","🟢여유")))</f>
        <v/>
      </c>
      <c r="I94" s="47">
        <f>IF(OR($G$94="",$K$94=""),"",$G$94-$K$94)</f>
        <v/>
      </c>
      <c r="J94" s="48">
        <f>IF(SUM($L$94:$L$96)=0,"",SUM($L$94:$L$96))</f>
        <v/>
      </c>
      <c r="K94" s="49">
        <f>IF($J$94="","",MAX($N$94:$N$96))</f>
        <v/>
      </c>
      <c r="L94" s="50">
        <f>IF(SUM(U94:AY94)=0,"",SUM(U94:AY94))</f>
        <v/>
      </c>
      <c r="M94" s="51">
        <f>IFERROR(INDEX(U$2:AY$2,MATCH(TRUE,INDEX(U94:AY94&lt;&gt;"",0),0)),"")</f>
        <v/>
      </c>
      <c r="N94" s="51">
        <f>IFERROR(LOOKUP(2,1/(U94:AY94&lt;&gt;""),U$2:AY$2),"")</f>
        <v/>
      </c>
      <c r="O94" s="52" t="n"/>
      <c r="P94" s="52" t="n"/>
      <c r="Q94" s="52" t="n"/>
      <c r="R94" s="44" t="n"/>
      <c r="S94" s="14" t="n"/>
      <c r="U94" s="53" t="n"/>
      <c r="V94" s="53" t="n"/>
      <c r="W94" s="53" t="n"/>
      <c r="X94" s="53" t="n"/>
      <c r="Y94" s="53" t="n"/>
      <c r="Z94" s="53" t="n"/>
      <c r="AA94" s="53" t="n"/>
      <c r="AB94" s="53" t="n"/>
      <c r="AC94" s="53" t="n"/>
      <c r="AD94" s="53" t="n"/>
      <c r="AE94" s="53" t="n"/>
      <c r="AF94" s="53" t="n"/>
      <c r="AG94" s="53" t="n"/>
      <c r="AH94" s="53" t="n"/>
      <c r="AI94" s="53" t="n"/>
      <c r="AJ94" s="53" t="n"/>
      <c r="AK94" s="53" t="n"/>
      <c r="AL94" s="53" t="n"/>
      <c r="AM94" s="53" t="n"/>
      <c r="AN94" s="53" t="n"/>
      <c r="AO94" s="53" t="n"/>
      <c r="AP94" s="53" t="n"/>
      <c r="AQ94" s="53" t="n"/>
      <c r="AR94" s="53" t="n"/>
      <c r="AS94" s="53" t="n"/>
      <c r="AT94" s="53" t="n"/>
      <c r="AU94" s="53" t="n"/>
      <c r="AV94" s="53" t="n"/>
      <c r="AW94" s="53" t="n"/>
      <c r="AX94" s="53" t="n"/>
      <c r="AY94" s="53" t="n"/>
    </row>
    <row r="95" ht="15" customHeight="1">
      <c r="A95" s="54" t="n"/>
      <c r="B95" s="55">
        <f>IF($B$94="","",$B$94)</f>
        <v/>
      </c>
      <c r="C95" s="56" t="inlineStr">
        <is>
          <t>마케팅2팀</t>
        </is>
      </c>
      <c r="D95" s="55">
        <f>IF($D$94="","",$D$94)</f>
        <v/>
      </c>
      <c r="E95" s="57" t="inlineStr">
        <is>
          <t>이미지</t>
        </is>
      </c>
      <c r="F95" s="44" t="n"/>
      <c r="G95" s="58">
        <f>IF($G$94="","",$G$94)</f>
        <v/>
      </c>
      <c r="H95" s="59" t="n"/>
      <c r="I95" s="59" t="n"/>
      <c r="J95" s="59" t="n"/>
      <c r="K95" s="59" t="n"/>
      <c r="L95" s="60">
        <f>IF(SUM(U95:AY95)=0,"",SUM(U95:AY95))</f>
        <v/>
      </c>
      <c r="M95" s="61">
        <f>IFERROR(INDEX(U$2:AY$2,MATCH(TRUE,INDEX(U95:AY95&lt;&gt;"",0),0)),"")</f>
        <v/>
      </c>
      <c r="N95" s="61">
        <f>IFERROR(LOOKUP(2,1/(U95:AY95&lt;&gt;""),U$2:AY$2),"")</f>
        <v/>
      </c>
      <c r="O95" s="59" t="n"/>
      <c r="P95" s="59" t="n"/>
      <c r="Q95" s="59" t="n"/>
      <c r="R95" s="59" t="n"/>
      <c r="S95" s="14" t="n"/>
      <c r="U95" s="53" t="n"/>
      <c r="V95" s="53" t="n"/>
      <c r="W95" s="53" t="n"/>
      <c r="X95" s="53" t="n"/>
      <c r="Y95" s="53" t="n"/>
      <c r="Z95" s="53" t="n"/>
      <c r="AA95" s="53" t="n"/>
      <c r="AB95" s="53" t="n"/>
      <c r="AC95" s="53" t="n"/>
      <c r="AD95" s="53" t="n"/>
      <c r="AE95" s="53" t="n"/>
      <c r="AF95" s="53" t="n"/>
      <c r="AG95" s="53" t="n"/>
      <c r="AH95" s="53" t="n"/>
      <c r="AI95" s="53" t="n"/>
      <c r="AJ95" s="53" t="n"/>
      <c r="AK95" s="53" t="n"/>
      <c r="AL95" s="53" t="n"/>
      <c r="AM95" s="53" t="n"/>
      <c r="AN95" s="53" t="n"/>
      <c r="AO95" s="53" t="n"/>
      <c r="AP95" s="53" t="n"/>
      <c r="AQ95" s="53" t="n"/>
      <c r="AR95" s="53" t="n"/>
      <c r="AS95" s="53" t="n"/>
      <c r="AT95" s="53" t="n"/>
      <c r="AU95" s="53" t="n"/>
      <c r="AV95" s="53" t="n"/>
      <c r="AW95" s="53" t="n"/>
      <c r="AX95" s="53" t="n"/>
      <c r="AY95" s="53" t="n"/>
    </row>
    <row r="96" ht="15" customHeight="1">
      <c r="A96" s="62" t="n"/>
      <c r="B96" s="55">
        <f>IF($B$94="","",$B$94)</f>
        <v/>
      </c>
      <c r="C96" s="63" t="inlineStr">
        <is>
          <t>마케팅2팀</t>
        </is>
      </c>
      <c r="D96" s="55">
        <f>IF($D$94="","",$D$94)</f>
        <v/>
      </c>
      <c r="E96" s="64" t="inlineStr">
        <is>
          <t>영상</t>
        </is>
      </c>
      <c r="F96" s="44" t="n"/>
      <c r="G96" s="58">
        <f>IF($G$94="","",$G$94)</f>
        <v/>
      </c>
      <c r="H96" s="59" t="n"/>
      <c r="I96" s="59" t="n"/>
      <c r="J96" s="59" t="n"/>
      <c r="K96" s="59" t="n"/>
      <c r="L96" s="65">
        <f>IF(SUM(U96:AY96)=0,"",SUM(U96:AY96))</f>
        <v/>
      </c>
      <c r="M96" s="66">
        <f>IFERROR(INDEX(U$2:AY$2,MATCH(TRUE,INDEX(U96:AY96&lt;&gt;"",0),0)),"")</f>
        <v/>
      </c>
      <c r="N96" s="66">
        <f>IFERROR(LOOKUP(2,1/(U96:AY96&lt;&gt;""),U$2:AY$2),"")</f>
        <v/>
      </c>
      <c r="O96" s="59" t="n"/>
      <c r="P96" s="59" t="n"/>
      <c r="Q96" s="59" t="n"/>
      <c r="R96" s="59" t="n"/>
      <c r="S96" s="14" t="n"/>
      <c r="U96" s="53" t="n"/>
      <c r="V96" s="53" t="n"/>
      <c r="W96" s="53" t="n"/>
      <c r="X96" s="53" t="n"/>
      <c r="Y96" s="53" t="n"/>
      <c r="Z96" s="53" t="n"/>
      <c r="AA96" s="53" t="n"/>
      <c r="AB96" s="53" t="n"/>
      <c r="AC96" s="53" t="n"/>
      <c r="AD96" s="53" t="n"/>
      <c r="AE96" s="53" t="n"/>
      <c r="AF96" s="53" t="n"/>
      <c r="AG96" s="53" t="n"/>
      <c r="AH96" s="53" t="n"/>
      <c r="AI96" s="53" t="n"/>
      <c r="AJ96" s="53" t="n"/>
      <c r="AK96" s="53" t="n"/>
      <c r="AL96" s="53" t="n"/>
      <c r="AM96" s="53" t="n"/>
      <c r="AN96" s="53" t="n"/>
      <c r="AO96" s="53" t="n"/>
      <c r="AP96" s="53" t="n"/>
      <c r="AQ96" s="53" t="n"/>
      <c r="AR96" s="53" t="n"/>
      <c r="AS96" s="53" t="n"/>
      <c r="AT96" s="53" t="n"/>
      <c r="AU96" s="53" t="n"/>
      <c r="AV96" s="53" t="n"/>
      <c r="AW96" s="53" t="n"/>
      <c r="AX96" s="53" t="n"/>
      <c r="AY96" s="53" t="n"/>
    </row>
    <row r="97" ht="15" customHeight="1">
      <c r="A97" s="40">
        <f>IF($D$97="","",30)</f>
        <v/>
      </c>
      <c r="B97" s="10" t="n"/>
      <c r="C97" s="41" t="inlineStr">
        <is>
          <t>마케팅2팀</t>
        </is>
      </c>
      <c r="D97" s="42" t="n"/>
      <c r="E97" s="43" t="inlineStr">
        <is>
          <t>기획</t>
        </is>
      </c>
      <c r="F97" s="44" t="n"/>
      <c r="G97" s="45" t="n"/>
      <c r="H97" s="46">
        <f>IF($I$97="","",IF($I$97&lt;0,"🔴지연",IF($I$97&lt;=1,"🟡임박","🟢여유")))</f>
        <v/>
      </c>
      <c r="I97" s="47">
        <f>IF(OR($G$97="",$K$97=""),"",$G$97-$K$97)</f>
        <v/>
      </c>
      <c r="J97" s="48">
        <f>IF(SUM($L$97:$L$99)=0,"",SUM($L$97:$L$99))</f>
        <v/>
      </c>
      <c r="K97" s="49">
        <f>IF($J$97="","",MAX($N$97:$N$99))</f>
        <v/>
      </c>
      <c r="L97" s="50">
        <f>IF(SUM(U97:AY97)=0,"",SUM(U97:AY97))</f>
        <v/>
      </c>
      <c r="M97" s="51">
        <f>IFERROR(INDEX(U$2:AY$2,MATCH(TRUE,INDEX(U97:AY97&lt;&gt;"",0),0)),"")</f>
        <v/>
      </c>
      <c r="N97" s="51">
        <f>IFERROR(LOOKUP(2,1/(U97:AY97&lt;&gt;""),U$2:AY$2),"")</f>
        <v/>
      </c>
      <c r="O97" s="52" t="n"/>
      <c r="P97" s="52" t="n"/>
      <c r="Q97" s="52" t="n"/>
      <c r="R97" s="44" t="n"/>
      <c r="S97" s="14" t="n"/>
      <c r="U97" s="53" t="n"/>
      <c r="V97" s="53" t="n"/>
      <c r="W97" s="53" t="n"/>
      <c r="X97" s="53" t="n"/>
      <c r="Y97" s="53" t="n"/>
      <c r="Z97" s="53" t="n"/>
      <c r="AA97" s="53" t="n"/>
      <c r="AB97" s="53" t="n"/>
      <c r="AC97" s="53" t="n"/>
      <c r="AD97" s="53" t="n"/>
      <c r="AE97" s="53" t="n"/>
      <c r="AF97" s="53" t="n"/>
      <c r="AG97" s="53" t="n"/>
      <c r="AH97" s="53" t="n"/>
      <c r="AI97" s="53" t="n"/>
      <c r="AJ97" s="53" t="n"/>
      <c r="AK97" s="53" t="n"/>
      <c r="AL97" s="53" t="n"/>
      <c r="AM97" s="53" t="n"/>
      <c r="AN97" s="53" t="n"/>
      <c r="AO97" s="53" t="n"/>
      <c r="AP97" s="53" t="n"/>
      <c r="AQ97" s="53" t="n"/>
      <c r="AR97" s="53" t="n"/>
      <c r="AS97" s="53" t="n"/>
      <c r="AT97" s="53" t="n"/>
      <c r="AU97" s="53" t="n"/>
      <c r="AV97" s="53" t="n"/>
      <c r="AW97" s="53" t="n"/>
      <c r="AX97" s="53" t="n"/>
      <c r="AY97" s="53" t="n"/>
    </row>
    <row r="98" ht="15" customHeight="1">
      <c r="A98" s="54" t="n"/>
      <c r="B98" s="55">
        <f>IF($B$97="","",$B$97)</f>
        <v/>
      </c>
      <c r="C98" s="56" t="inlineStr">
        <is>
          <t>마케팅2팀</t>
        </is>
      </c>
      <c r="D98" s="55">
        <f>IF($D$97="","",$D$97)</f>
        <v/>
      </c>
      <c r="E98" s="57" t="inlineStr">
        <is>
          <t>이미지</t>
        </is>
      </c>
      <c r="F98" s="44" t="n"/>
      <c r="G98" s="58">
        <f>IF($G$97="","",$G$97)</f>
        <v/>
      </c>
      <c r="H98" s="59" t="n"/>
      <c r="I98" s="59" t="n"/>
      <c r="J98" s="59" t="n"/>
      <c r="K98" s="59" t="n"/>
      <c r="L98" s="60">
        <f>IF(SUM(U98:AY98)=0,"",SUM(U98:AY98))</f>
        <v/>
      </c>
      <c r="M98" s="61">
        <f>IFERROR(INDEX(U$2:AY$2,MATCH(TRUE,INDEX(U98:AY98&lt;&gt;"",0),0)),"")</f>
        <v/>
      </c>
      <c r="N98" s="61">
        <f>IFERROR(LOOKUP(2,1/(U98:AY98&lt;&gt;""),U$2:AY$2),"")</f>
        <v/>
      </c>
      <c r="O98" s="59" t="n"/>
      <c r="P98" s="59" t="n"/>
      <c r="Q98" s="59" t="n"/>
      <c r="R98" s="59" t="n"/>
      <c r="S98" s="14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3" t="n"/>
      <c r="AN98" s="53" t="n"/>
      <c r="AO98" s="53" t="n"/>
      <c r="AP98" s="53" t="n"/>
      <c r="AQ98" s="53" t="n"/>
      <c r="AR98" s="53" t="n"/>
      <c r="AS98" s="53" t="n"/>
      <c r="AT98" s="53" t="n"/>
      <c r="AU98" s="53" t="n"/>
      <c r="AV98" s="53" t="n"/>
      <c r="AW98" s="53" t="n"/>
      <c r="AX98" s="53" t="n"/>
      <c r="AY98" s="53" t="n"/>
    </row>
    <row r="99" ht="15" customHeight="1">
      <c r="A99" s="62" t="n"/>
      <c r="B99" s="55">
        <f>IF($B$97="","",$B$97)</f>
        <v/>
      </c>
      <c r="C99" s="63" t="inlineStr">
        <is>
          <t>마케팅2팀</t>
        </is>
      </c>
      <c r="D99" s="55">
        <f>IF($D$97="","",$D$97)</f>
        <v/>
      </c>
      <c r="E99" s="64" t="inlineStr">
        <is>
          <t>영상</t>
        </is>
      </c>
      <c r="F99" s="44" t="n"/>
      <c r="G99" s="58">
        <f>IF($G$97="","",$G$97)</f>
        <v/>
      </c>
      <c r="H99" s="59" t="n"/>
      <c r="I99" s="59" t="n"/>
      <c r="J99" s="59" t="n"/>
      <c r="K99" s="59" t="n"/>
      <c r="L99" s="65">
        <f>IF(SUM(U99:AY99)=0,"",SUM(U99:AY99))</f>
        <v/>
      </c>
      <c r="M99" s="66">
        <f>IFERROR(INDEX(U$2:AY$2,MATCH(TRUE,INDEX(U99:AY99&lt;&gt;"",0),0)),"")</f>
        <v/>
      </c>
      <c r="N99" s="66">
        <f>IFERROR(LOOKUP(2,1/(U99:AY99&lt;&gt;""),U$2:AY$2),"")</f>
        <v/>
      </c>
      <c r="O99" s="59" t="n"/>
      <c r="P99" s="59" t="n"/>
      <c r="Q99" s="59" t="n"/>
      <c r="R99" s="59" t="n"/>
      <c r="S99" s="14" t="n"/>
      <c r="U99" s="53" t="n"/>
      <c r="V99" s="53" t="n"/>
      <c r="W99" s="53" t="n"/>
      <c r="X99" s="53" t="n"/>
      <c r="Y99" s="53" t="n"/>
      <c r="Z99" s="53" t="n"/>
      <c r="AA99" s="53" t="n"/>
      <c r="AB99" s="53" t="n"/>
      <c r="AC99" s="53" t="n"/>
      <c r="AD99" s="53" t="n"/>
      <c r="AE99" s="53" t="n"/>
      <c r="AF99" s="53" t="n"/>
      <c r="AG99" s="53" t="n"/>
      <c r="AH99" s="53" t="n"/>
      <c r="AI99" s="53" t="n"/>
      <c r="AJ99" s="53" t="n"/>
      <c r="AK99" s="53" t="n"/>
      <c r="AL99" s="53" t="n"/>
      <c r="AM99" s="53" t="n"/>
      <c r="AN99" s="53" t="n"/>
      <c r="AO99" s="53" t="n"/>
      <c r="AP99" s="53" t="n"/>
      <c r="AQ99" s="53" t="n"/>
      <c r="AR99" s="53" t="n"/>
      <c r="AS99" s="53" t="n"/>
      <c r="AT99" s="53" t="n"/>
      <c r="AU99" s="53" t="n"/>
      <c r="AV99" s="53" t="n"/>
      <c r="AW99" s="53" t="n"/>
      <c r="AX99" s="53" t="n"/>
      <c r="AY99" s="53" t="n"/>
    </row>
    <row r="100" ht="15" customHeight="1">
      <c r="A100" s="40">
        <f>IF($D$100="","",31)</f>
        <v/>
      </c>
      <c r="B100" s="10" t="n"/>
      <c r="C100" s="41" t="inlineStr">
        <is>
          <t>마케팅2팀</t>
        </is>
      </c>
      <c r="D100" s="42" t="n"/>
      <c r="E100" s="43" t="inlineStr">
        <is>
          <t>기획</t>
        </is>
      </c>
      <c r="F100" s="44" t="n"/>
      <c r="G100" s="45" t="n"/>
      <c r="H100" s="46">
        <f>IF($I$100="","",IF($I$100&lt;0,"🔴지연",IF($I$100&lt;=1,"🟡임박","🟢여유")))</f>
        <v/>
      </c>
      <c r="I100" s="47">
        <f>IF(OR($G$100="",$K$100=""),"",$G$100-$K$100)</f>
        <v/>
      </c>
      <c r="J100" s="48">
        <f>IF(SUM($L$100:$L$102)=0,"",SUM($L$100:$L$102))</f>
        <v/>
      </c>
      <c r="K100" s="49">
        <f>IF($J$100="","",MAX($N$100:$N$102))</f>
        <v/>
      </c>
      <c r="L100" s="50">
        <f>IF(SUM(U100:AY100)=0,"",SUM(U100:AY100))</f>
        <v/>
      </c>
      <c r="M100" s="51">
        <f>IFERROR(INDEX(U$2:AY$2,MATCH(TRUE,INDEX(U100:AY100&lt;&gt;"",0),0)),"")</f>
        <v/>
      </c>
      <c r="N100" s="51">
        <f>IFERROR(LOOKUP(2,1/(U100:AY100&lt;&gt;""),U$2:AY$2),"")</f>
        <v/>
      </c>
      <c r="O100" s="52" t="n"/>
      <c r="P100" s="52" t="n"/>
      <c r="Q100" s="52" t="n"/>
      <c r="R100" s="44" t="n"/>
      <c r="S100" s="14" t="n"/>
      <c r="U100" s="53" t="n"/>
      <c r="V100" s="53" t="n"/>
      <c r="W100" s="53" t="n"/>
      <c r="X100" s="53" t="n"/>
      <c r="Y100" s="53" t="n"/>
      <c r="Z100" s="53" t="n"/>
      <c r="AA100" s="53" t="n"/>
      <c r="AB100" s="53" t="n"/>
      <c r="AC100" s="53" t="n"/>
      <c r="AD100" s="53" t="n"/>
      <c r="AE100" s="53" t="n"/>
      <c r="AF100" s="53" t="n"/>
      <c r="AG100" s="53" t="n"/>
      <c r="AH100" s="53" t="n"/>
      <c r="AI100" s="53" t="n"/>
      <c r="AJ100" s="53" t="n"/>
      <c r="AK100" s="53" t="n"/>
      <c r="AL100" s="53" t="n"/>
      <c r="AM100" s="53" t="n"/>
      <c r="AN100" s="53" t="n"/>
      <c r="AO100" s="53" t="n"/>
      <c r="AP100" s="53" t="n"/>
      <c r="AQ100" s="53" t="n"/>
      <c r="AR100" s="53" t="n"/>
      <c r="AS100" s="53" t="n"/>
      <c r="AT100" s="53" t="n"/>
      <c r="AU100" s="53" t="n"/>
      <c r="AV100" s="53" t="n"/>
      <c r="AW100" s="53" t="n"/>
      <c r="AX100" s="53" t="n"/>
      <c r="AY100" s="53" t="n"/>
    </row>
    <row r="101" ht="15" customHeight="1">
      <c r="A101" s="54" t="n"/>
      <c r="B101" s="55">
        <f>IF($B$100="","",$B$100)</f>
        <v/>
      </c>
      <c r="C101" s="56" t="inlineStr">
        <is>
          <t>마케팅2팀</t>
        </is>
      </c>
      <c r="D101" s="55">
        <f>IF($D$100="","",$D$100)</f>
        <v/>
      </c>
      <c r="E101" s="57" t="inlineStr">
        <is>
          <t>이미지</t>
        </is>
      </c>
      <c r="F101" s="44" t="n"/>
      <c r="G101" s="58">
        <f>IF($G$100="","",$G$100)</f>
        <v/>
      </c>
      <c r="H101" s="59" t="n"/>
      <c r="I101" s="59" t="n"/>
      <c r="J101" s="59" t="n"/>
      <c r="K101" s="59" t="n"/>
      <c r="L101" s="60">
        <f>IF(SUM(U101:AY101)=0,"",SUM(U101:AY101))</f>
        <v/>
      </c>
      <c r="M101" s="61">
        <f>IFERROR(INDEX(U$2:AY$2,MATCH(TRUE,INDEX(U101:AY101&lt;&gt;"",0),0)),"")</f>
        <v/>
      </c>
      <c r="N101" s="61">
        <f>IFERROR(LOOKUP(2,1/(U101:AY101&lt;&gt;""),U$2:AY$2),"")</f>
        <v/>
      </c>
      <c r="O101" s="59" t="n"/>
      <c r="P101" s="59" t="n"/>
      <c r="Q101" s="59" t="n"/>
      <c r="R101" s="59" t="n"/>
      <c r="S101" s="14" t="n"/>
      <c r="U101" s="53" t="n"/>
      <c r="V101" s="53" t="n"/>
      <c r="W101" s="53" t="n"/>
      <c r="X101" s="53" t="n"/>
      <c r="Y101" s="53" t="n"/>
      <c r="Z101" s="53" t="n"/>
      <c r="AA101" s="53" t="n"/>
      <c r="AB101" s="53" t="n"/>
      <c r="AC101" s="53" t="n"/>
      <c r="AD101" s="53" t="n"/>
      <c r="AE101" s="53" t="n"/>
      <c r="AF101" s="53" t="n"/>
      <c r="AG101" s="53" t="n"/>
      <c r="AH101" s="53" t="n"/>
      <c r="AI101" s="53" t="n"/>
      <c r="AJ101" s="53" t="n"/>
      <c r="AK101" s="53" t="n"/>
      <c r="AL101" s="53" t="n"/>
      <c r="AM101" s="53" t="n"/>
      <c r="AN101" s="53" t="n"/>
      <c r="AO101" s="53" t="n"/>
      <c r="AP101" s="53" t="n"/>
      <c r="AQ101" s="53" t="n"/>
      <c r="AR101" s="53" t="n"/>
      <c r="AS101" s="53" t="n"/>
      <c r="AT101" s="53" t="n"/>
      <c r="AU101" s="53" t="n"/>
      <c r="AV101" s="53" t="n"/>
      <c r="AW101" s="53" t="n"/>
      <c r="AX101" s="53" t="n"/>
      <c r="AY101" s="53" t="n"/>
    </row>
    <row r="102" ht="15" customHeight="1">
      <c r="A102" s="62" t="n"/>
      <c r="B102" s="55">
        <f>IF($B$100="","",$B$100)</f>
        <v/>
      </c>
      <c r="C102" s="63" t="inlineStr">
        <is>
          <t>마케팅2팀</t>
        </is>
      </c>
      <c r="D102" s="55">
        <f>IF($D$100="","",$D$100)</f>
        <v/>
      </c>
      <c r="E102" s="64" t="inlineStr">
        <is>
          <t>영상</t>
        </is>
      </c>
      <c r="F102" s="44" t="n"/>
      <c r="G102" s="58">
        <f>IF($G$100="","",$G$100)</f>
        <v/>
      </c>
      <c r="H102" s="59" t="n"/>
      <c r="I102" s="59" t="n"/>
      <c r="J102" s="59" t="n"/>
      <c r="K102" s="59" t="n"/>
      <c r="L102" s="65">
        <f>IF(SUM(U102:AY102)=0,"",SUM(U102:AY102))</f>
        <v/>
      </c>
      <c r="M102" s="66">
        <f>IFERROR(INDEX(U$2:AY$2,MATCH(TRUE,INDEX(U102:AY102&lt;&gt;"",0),0)),"")</f>
        <v/>
      </c>
      <c r="N102" s="66">
        <f>IFERROR(LOOKUP(2,1/(U102:AY102&lt;&gt;""),U$2:AY$2),"")</f>
        <v/>
      </c>
      <c r="O102" s="59" t="n"/>
      <c r="P102" s="59" t="n"/>
      <c r="Q102" s="59" t="n"/>
      <c r="R102" s="59" t="n"/>
      <c r="S102" s="14" t="n"/>
      <c r="U102" s="53" t="n"/>
      <c r="V102" s="53" t="n"/>
      <c r="W102" s="53" t="n"/>
      <c r="X102" s="53" t="n"/>
      <c r="Y102" s="53" t="n"/>
      <c r="Z102" s="53" t="n"/>
      <c r="AA102" s="53" t="n"/>
      <c r="AB102" s="53" t="n"/>
      <c r="AC102" s="53" t="n"/>
      <c r="AD102" s="53" t="n"/>
      <c r="AE102" s="53" t="n"/>
      <c r="AF102" s="53" t="n"/>
      <c r="AG102" s="53" t="n"/>
      <c r="AH102" s="53" t="n"/>
      <c r="AI102" s="53" t="n"/>
      <c r="AJ102" s="53" t="n"/>
      <c r="AK102" s="53" t="n"/>
      <c r="AL102" s="53" t="n"/>
      <c r="AM102" s="53" t="n"/>
      <c r="AN102" s="53" t="n"/>
      <c r="AO102" s="53" t="n"/>
      <c r="AP102" s="53" t="n"/>
      <c r="AQ102" s="53" t="n"/>
      <c r="AR102" s="53" t="n"/>
      <c r="AS102" s="53" t="n"/>
      <c r="AT102" s="53" t="n"/>
      <c r="AU102" s="53" t="n"/>
      <c r="AV102" s="53" t="n"/>
      <c r="AW102" s="53" t="n"/>
      <c r="AX102" s="53" t="n"/>
      <c r="AY102" s="53" t="n"/>
    </row>
    <row r="103" ht="15" customHeight="1">
      <c r="A103" s="40">
        <f>IF($D$103="","",32)</f>
        <v/>
      </c>
      <c r="B103" s="10" t="n"/>
      <c r="C103" s="41" t="inlineStr">
        <is>
          <t>마케팅2팀</t>
        </is>
      </c>
      <c r="D103" s="42" t="n"/>
      <c r="E103" s="43" t="inlineStr">
        <is>
          <t>기획</t>
        </is>
      </c>
      <c r="F103" s="44" t="n"/>
      <c r="G103" s="45" t="n"/>
      <c r="H103" s="46">
        <f>IF($I$103="","",IF($I$103&lt;0,"🔴지연",IF($I$103&lt;=1,"🟡임박","🟢여유")))</f>
        <v/>
      </c>
      <c r="I103" s="47">
        <f>IF(OR($G$103="",$K$103=""),"",$G$103-$K$103)</f>
        <v/>
      </c>
      <c r="J103" s="48">
        <f>IF(SUM($L$103:$L$105)=0,"",SUM($L$103:$L$105))</f>
        <v/>
      </c>
      <c r="K103" s="49">
        <f>IF($J$103="","",MAX($N$103:$N$105))</f>
        <v/>
      </c>
      <c r="L103" s="50">
        <f>IF(SUM(U103:AY103)=0,"",SUM(U103:AY103))</f>
        <v/>
      </c>
      <c r="M103" s="51">
        <f>IFERROR(INDEX(U$2:AY$2,MATCH(TRUE,INDEX(U103:AY103&lt;&gt;"",0),0)),"")</f>
        <v/>
      </c>
      <c r="N103" s="51">
        <f>IFERROR(LOOKUP(2,1/(U103:AY103&lt;&gt;""),U$2:AY$2),"")</f>
        <v/>
      </c>
      <c r="O103" s="52" t="n"/>
      <c r="P103" s="52" t="n"/>
      <c r="Q103" s="52" t="n"/>
      <c r="R103" s="44" t="n"/>
      <c r="S103" s="14" t="n"/>
      <c r="U103" s="53" t="n"/>
      <c r="V103" s="53" t="n"/>
      <c r="W103" s="53" t="n"/>
      <c r="X103" s="53" t="n"/>
      <c r="Y103" s="53" t="n"/>
      <c r="Z103" s="53" t="n"/>
      <c r="AA103" s="53" t="n"/>
      <c r="AB103" s="53" t="n"/>
      <c r="AC103" s="53" t="n"/>
      <c r="AD103" s="53" t="n"/>
      <c r="AE103" s="53" t="n"/>
      <c r="AF103" s="53" t="n"/>
      <c r="AG103" s="53" t="n"/>
      <c r="AH103" s="53" t="n"/>
      <c r="AI103" s="53" t="n"/>
      <c r="AJ103" s="53" t="n"/>
      <c r="AK103" s="53" t="n"/>
      <c r="AL103" s="53" t="n"/>
      <c r="AM103" s="53" t="n"/>
      <c r="AN103" s="53" t="n"/>
      <c r="AO103" s="53" t="n"/>
      <c r="AP103" s="53" t="n"/>
      <c r="AQ103" s="53" t="n"/>
      <c r="AR103" s="53" t="n"/>
      <c r="AS103" s="53" t="n"/>
      <c r="AT103" s="53" t="n"/>
      <c r="AU103" s="53" t="n"/>
      <c r="AV103" s="53" t="n"/>
      <c r="AW103" s="53" t="n"/>
      <c r="AX103" s="53" t="n"/>
      <c r="AY103" s="53" t="n"/>
    </row>
    <row r="104" ht="15" customHeight="1">
      <c r="A104" s="54" t="n"/>
      <c r="B104" s="55">
        <f>IF($B$103="","",$B$103)</f>
        <v/>
      </c>
      <c r="C104" s="56" t="inlineStr">
        <is>
          <t>마케팅2팀</t>
        </is>
      </c>
      <c r="D104" s="55">
        <f>IF($D$103="","",$D$103)</f>
        <v/>
      </c>
      <c r="E104" s="57" t="inlineStr">
        <is>
          <t>이미지</t>
        </is>
      </c>
      <c r="F104" s="44" t="n"/>
      <c r="G104" s="58">
        <f>IF($G$103="","",$G$103)</f>
        <v/>
      </c>
      <c r="H104" s="59" t="n"/>
      <c r="I104" s="59" t="n"/>
      <c r="J104" s="59" t="n"/>
      <c r="K104" s="59" t="n"/>
      <c r="L104" s="60">
        <f>IF(SUM(U104:AY104)=0,"",SUM(U104:AY104))</f>
        <v/>
      </c>
      <c r="M104" s="61">
        <f>IFERROR(INDEX(U$2:AY$2,MATCH(TRUE,INDEX(U104:AY104&lt;&gt;"",0),0)),"")</f>
        <v/>
      </c>
      <c r="N104" s="61">
        <f>IFERROR(LOOKUP(2,1/(U104:AY104&lt;&gt;""),U$2:AY$2),"")</f>
        <v/>
      </c>
      <c r="O104" s="59" t="n"/>
      <c r="P104" s="59" t="n"/>
      <c r="Q104" s="59" t="n"/>
      <c r="R104" s="59" t="n"/>
      <c r="S104" s="14" t="n"/>
      <c r="U104" s="53" t="n"/>
      <c r="V104" s="53" t="n"/>
      <c r="W104" s="53" t="n"/>
      <c r="X104" s="53" t="n"/>
      <c r="Y104" s="53" t="n"/>
      <c r="Z104" s="53" t="n"/>
      <c r="AA104" s="53" t="n"/>
      <c r="AB104" s="53" t="n"/>
      <c r="AC104" s="53" t="n"/>
      <c r="AD104" s="53" t="n"/>
      <c r="AE104" s="53" t="n"/>
      <c r="AF104" s="53" t="n"/>
      <c r="AG104" s="53" t="n"/>
      <c r="AH104" s="53" t="n"/>
      <c r="AI104" s="53" t="n"/>
      <c r="AJ104" s="53" t="n"/>
      <c r="AK104" s="53" t="n"/>
      <c r="AL104" s="53" t="n"/>
      <c r="AM104" s="53" t="n"/>
      <c r="AN104" s="53" t="n"/>
      <c r="AO104" s="53" t="n"/>
      <c r="AP104" s="53" t="n"/>
      <c r="AQ104" s="53" t="n"/>
      <c r="AR104" s="53" t="n"/>
      <c r="AS104" s="53" t="n"/>
      <c r="AT104" s="53" t="n"/>
      <c r="AU104" s="53" t="n"/>
      <c r="AV104" s="53" t="n"/>
      <c r="AW104" s="53" t="n"/>
      <c r="AX104" s="53" t="n"/>
      <c r="AY104" s="53" t="n"/>
    </row>
    <row r="105" ht="15" customHeight="1">
      <c r="A105" s="62" t="n"/>
      <c r="B105" s="55">
        <f>IF($B$103="","",$B$103)</f>
        <v/>
      </c>
      <c r="C105" s="63" t="inlineStr">
        <is>
          <t>마케팅2팀</t>
        </is>
      </c>
      <c r="D105" s="55">
        <f>IF($D$103="","",$D$103)</f>
        <v/>
      </c>
      <c r="E105" s="64" t="inlineStr">
        <is>
          <t>영상</t>
        </is>
      </c>
      <c r="F105" s="44" t="n"/>
      <c r="G105" s="58">
        <f>IF($G$103="","",$G$103)</f>
        <v/>
      </c>
      <c r="H105" s="59" t="n"/>
      <c r="I105" s="59" t="n"/>
      <c r="J105" s="59" t="n"/>
      <c r="K105" s="59" t="n"/>
      <c r="L105" s="65">
        <f>IF(SUM(U105:AY105)=0,"",SUM(U105:AY105))</f>
        <v/>
      </c>
      <c r="M105" s="66">
        <f>IFERROR(INDEX(U$2:AY$2,MATCH(TRUE,INDEX(U105:AY105&lt;&gt;"",0),0)),"")</f>
        <v/>
      </c>
      <c r="N105" s="66">
        <f>IFERROR(LOOKUP(2,1/(U105:AY105&lt;&gt;""),U$2:AY$2),"")</f>
        <v/>
      </c>
      <c r="O105" s="59" t="n"/>
      <c r="P105" s="59" t="n"/>
      <c r="Q105" s="59" t="n"/>
      <c r="R105" s="59" t="n"/>
      <c r="S105" s="14" t="n"/>
      <c r="U105" s="53" t="n"/>
      <c r="V105" s="53" t="n"/>
      <c r="W105" s="53" t="n"/>
      <c r="X105" s="53" t="n"/>
      <c r="Y105" s="53" t="n"/>
      <c r="Z105" s="53" t="n"/>
      <c r="AA105" s="53" t="n"/>
      <c r="AB105" s="53" t="n"/>
      <c r="AC105" s="53" t="n"/>
      <c r="AD105" s="53" t="n"/>
      <c r="AE105" s="53" t="n"/>
      <c r="AF105" s="53" t="n"/>
      <c r="AG105" s="53" t="n"/>
      <c r="AH105" s="53" t="n"/>
      <c r="AI105" s="53" t="n"/>
      <c r="AJ105" s="53" t="n"/>
      <c r="AK105" s="53" t="n"/>
      <c r="AL105" s="53" t="n"/>
      <c r="AM105" s="53" t="n"/>
      <c r="AN105" s="53" t="n"/>
      <c r="AO105" s="53" t="n"/>
      <c r="AP105" s="53" t="n"/>
      <c r="AQ105" s="53" t="n"/>
      <c r="AR105" s="53" t="n"/>
      <c r="AS105" s="53" t="n"/>
      <c r="AT105" s="53" t="n"/>
      <c r="AU105" s="53" t="n"/>
      <c r="AV105" s="53" t="n"/>
      <c r="AW105" s="53" t="n"/>
      <c r="AX105" s="53" t="n"/>
      <c r="AY105" s="53" t="n"/>
    </row>
    <row r="106" ht="15" customHeight="1">
      <c r="A106" s="40">
        <f>IF($D$106="","",33)</f>
        <v/>
      </c>
      <c r="B106" s="10" t="n"/>
      <c r="C106" s="41" t="inlineStr">
        <is>
          <t>마케팅2팀</t>
        </is>
      </c>
      <c r="D106" s="42" t="n"/>
      <c r="E106" s="43" t="inlineStr">
        <is>
          <t>기획</t>
        </is>
      </c>
      <c r="F106" s="44" t="n"/>
      <c r="G106" s="45" t="n"/>
      <c r="H106" s="46">
        <f>IF($I$106="","",IF($I$106&lt;0,"🔴지연",IF($I$106&lt;=1,"🟡임박","🟢여유")))</f>
        <v/>
      </c>
      <c r="I106" s="47">
        <f>IF(OR($G$106="",$K$106=""),"",$G$106-$K$106)</f>
        <v/>
      </c>
      <c r="J106" s="48">
        <f>IF(SUM($L$106:$L$108)=0,"",SUM($L$106:$L$108))</f>
        <v/>
      </c>
      <c r="K106" s="49">
        <f>IF($J$106="","",MAX($N$106:$N$108))</f>
        <v/>
      </c>
      <c r="L106" s="50">
        <f>IF(SUM(U106:AY106)=0,"",SUM(U106:AY106))</f>
        <v/>
      </c>
      <c r="M106" s="51">
        <f>IFERROR(INDEX(U$2:AY$2,MATCH(TRUE,INDEX(U106:AY106&lt;&gt;"",0),0)),"")</f>
        <v/>
      </c>
      <c r="N106" s="51">
        <f>IFERROR(LOOKUP(2,1/(U106:AY106&lt;&gt;""),U$2:AY$2),"")</f>
        <v/>
      </c>
      <c r="O106" s="52" t="n"/>
      <c r="P106" s="52" t="n"/>
      <c r="Q106" s="52" t="n"/>
      <c r="R106" s="44" t="n"/>
      <c r="S106" s="14" t="n"/>
      <c r="U106" s="53" t="n"/>
      <c r="V106" s="53" t="n"/>
      <c r="W106" s="53" t="n"/>
      <c r="X106" s="53" t="n"/>
      <c r="Y106" s="53" t="n"/>
      <c r="Z106" s="53" t="n"/>
      <c r="AA106" s="53" t="n"/>
      <c r="AB106" s="53" t="n"/>
      <c r="AC106" s="53" t="n"/>
      <c r="AD106" s="53" t="n"/>
      <c r="AE106" s="53" t="n"/>
      <c r="AF106" s="53" t="n"/>
      <c r="AG106" s="53" t="n"/>
      <c r="AH106" s="53" t="n"/>
      <c r="AI106" s="53" t="n"/>
      <c r="AJ106" s="53" t="n"/>
      <c r="AK106" s="53" t="n"/>
      <c r="AL106" s="53" t="n"/>
      <c r="AM106" s="53" t="n"/>
      <c r="AN106" s="53" t="n"/>
      <c r="AO106" s="53" t="n"/>
      <c r="AP106" s="53" t="n"/>
      <c r="AQ106" s="53" t="n"/>
      <c r="AR106" s="53" t="n"/>
      <c r="AS106" s="53" t="n"/>
      <c r="AT106" s="53" t="n"/>
      <c r="AU106" s="53" t="n"/>
      <c r="AV106" s="53" t="n"/>
      <c r="AW106" s="53" t="n"/>
      <c r="AX106" s="53" t="n"/>
      <c r="AY106" s="53" t="n"/>
    </row>
    <row r="107" ht="15" customHeight="1">
      <c r="A107" s="54" t="n"/>
      <c r="B107" s="55">
        <f>IF($B$106="","",$B$106)</f>
        <v/>
      </c>
      <c r="C107" s="56" t="inlineStr">
        <is>
          <t>마케팅2팀</t>
        </is>
      </c>
      <c r="D107" s="55">
        <f>IF($D$106="","",$D$106)</f>
        <v/>
      </c>
      <c r="E107" s="57" t="inlineStr">
        <is>
          <t>이미지</t>
        </is>
      </c>
      <c r="F107" s="44" t="n"/>
      <c r="G107" s="58">
        <f>IF($G$106="","",$G$106)</f>
        <v/>
      </c>
      <c r="H107" s="59" t="n"/>
      <c r="I107" s="59" t="n"/>
      <c r="J107" s="59" t="n"/>
      <c r="K107" s="59" t="n"/>
      <c r="L107" s="60">
        <f>IF(SUM(U107:AY107)=0,"",SUM(U107:AY107))</f>
        <v/>
      </c>
      <c r="M107" s="61">
        <f>IFERROR(INDEX(U$2:AY$2,MATCH(TRUE,INDEX(U107:AY107&lt;&gt;"",0),0)),"")</f>
        <v/>
      </c>
      <c r="N107" s="61">
        <f>IFERROR(LOOKUP(2,1/(U107:AY107&lt;&gt;""),U$2:AY$2),"")</f>
        <v/>
      </c>
      <c r="O107" s="59" t="n"/>
      <c r="P107" s="59" t="n"/>
      <c r="Q107" s="59" t="n"/>
      <c r="R107" s="59" t="n"/>
      <c r="S107" s="14" t="n"/>
      <c r="U107" s="53" t="n"/>
      <c r="V107" s="53" t="n"/>
      <c r="W107" s="53" t="n"/>
      <c r="X107" s="53" t="n"/>
      <c r="Y107" s="53" t="n"/>
      <c r="Z107" s="53" t="n"/>
      <c r="AA107" s="53" t="n"/>
      <c r="AB107" s="53" t="n"/>
      <c r="AC107" s="53" t="n"/>
      <c r="AD107" s="53" t="n"/>
      <c r="AE107" s="53" t="n"/>
      <c r="AF107" s="53" t="n"/>
      <c r="AG107" s="53" t="n"/>
      <c r="AH107" s="53" t="n"/>
      <c r="AI107" s="53" t="n"/>
      <c r="AJ107" s="53" t="n"/>
      <c r="AK107" s="53" t="n"/>
      <c r="AL107" s="53" t="n"/>
      <c r="AM107" s="53" t="n"/>
      <c r="AN107" s="53" t="n"/>
      <c r="AO107" s="53" t="n"/>
      <c r="AP107" s="53" t="n"/>
      <c r="AQ107" s="53" t="n"/>
      <c r="AR107" s="53" t="n"/>
      <c r="AS107" s="53" t="n"/>
      <c r="AT107" s="53" t="n"/>
      <c r="AU107" s="53" t="n"/>
      <c r="AV107" s="53" t="n"/>
      <c r="AW107" s="53" t="n"/>
      <c r="AX107" s="53" t="n"/>
      <c r="AY107" s="53" t="n"/>
    </row>
    <row r="108" ht="15" customHeight="1">
      <c r="A108" s="62" t="n"/>
      <c r="B108" s="55">
        <f>IF($B$106="","",$B$106)</f>
        <v/>
      </c>
      <c r="C108" s="63" t="inlineStr">
        <is>
          <t>마케팅2팀</t>
        </is>
      </c>
      <c r="D108" s="55">
        <f>IF($D$106="","",$D$106)</f>
        <v/>
      </c>
      <c r="E108" s="64" t="inlineStr">
        <is>
          <t>영상</t>
        </is>
      </c>
      <c r="F108" s="44" t="n"/>
      <c r="G108" s="58">
        <f>IF($G$106="","",$G$106)</f>
        <v/>
      </c>
      <c r="H108" s="59" t="n"/>
      <c r="I108" s="59" t="n"/>
      <c r="J108" s="59" t="n"/>
      <c r="K108" s="59" t="n"/>
      <c r="L108" s="65">
        <f>IF(SUM(U108:AY108)=0,"",SUM(U108:AY108))</f>
        <v/>
      </c>
      <c r="M108" s="66">
        <f>IFERROR(INDEX(U$2:AY$2,MATCH(TRUE,INDEX(U108:AY108&lt;&gt;"",0),0)),"")</f>
        <v/>
      </c>
      <c r="N108" s="66">
        <f>IFERROR(LOOKUP(2,1/(U108:AY108&lt;&gt;""),U$2:AY$2),"")</f>
        <v/>
      </c>
      <c r="O108" s="59" t="n"/>
      <c r="P108" s="59" t="n"/>
      <c r="Q108" s="59" t="n"/>
      <c r="R108" s="59" t="n"/>
      <c r="S108" s="14" t="n"/>
      <c r="U108" s="53" t="n"/>
      <c r="V108" s="53" t="n"/>
      <c r="W108" s="53" t="n"/>
      <c r="X108" s="53" t="n"/>
      <c r="Y108" s="53" t="n"/>
      <c r="Z108" s="53" t="n"/>
      <c r="AA108" s="53" t="n"/>
      <c r="AB108" s="53" t="n"/>
      <c r="AC108" s="53" t="n"/>
      <c r="AD108" s="53" t="n"/>
      <c r="AE108" s="53" t="n"/>
      <c r="AF108" s="53" t="n"/>
      <c r="AG108" s="53" t="n"/>
      <c r="AH108" s="53" t="n"/>
      <c r="AI108" s="53" t="n"/>
      <c r="AJ108" s="53" t="n"/>
      <c r="AK108" s="53" t="n"/>
      <c r="AL108" s="53" t="n"/>
      <c r="AM108" s="53" t="n"/>
      <c r="AN108" s="53" t="n"/>
      <c r="AO108" s="53" t="n"/>
      <c r="AP108" s="53" t="n"/>
      <c r="AQ108" s="53" t="n"/>
      <c r="AR108" s="53" t="n"/>
      <c r="AS108" s="53" t="n"/>
      <c r="AT108" s="53" t="n"/>
      <c r="AU108" s="53" t="n"/>
      <c r="AV108" s="53" t="n"/>
      <c r="AW108" s="53" t="n"/>
      <c r="AX108" s="53" t="n"/>
      <c r="AY108" s="53" t="n"/>
    </row>
    <row r="109" ht="15" customHeight="1">
      <c r="A109" s="40">
        <f>IF($D$109="","",34)</f>
        <v/>
      </c>
      <c r="B109" s="10" t="n"/>
      <c r="C109" s="41" t="inlineStr">
        <is>
          <t>마케팅2팀</t>
        </is>
      </c>
      <c r="D109" s="42" t="n"/>
      <c r="E109" s="43" t="inlineStr">
        <is>
          <t>기획</t>
        </is>
      </c>
      <c r="F109" s="44" t="n"/>
      <c r="G109" s="45" t="n"/>
      <c r="H109" s="46">
        <f>IF($I$109="","",IF($I$109&lt;0,"🔴지연",IF($I$109&lt;=1,"🟡임박","🟢여유")))</f>
        <v/>
      </c>
      <c r="I109" s="47">
        <f>IF(OR($G$109="",$K$109=""),"",$G$109-$K$109)</f>
        <v/>
      </c>
      <c r="J109" s="48">
        <f>IF(SUM($L$109:$L$111)=0,"",SUM($L$109:$L$111))</f>
        <v/>
      </c>
      <c r="K109" s="49">
        <f>IF($J$109="","",MAX($N$109:$N$111))</f>
        <v/>
      </c>
      <c r="L109" s="50">
        <f>IF(SUM(U109:AY109)=0,"",SUM(U109:AY109))</f>
        <v/>
      </c>
      <c r="M109" s="51">
        <f>IFERROR(INDEX(U$2:AY$2,MATCH(TRUE,INDEX(U109:AY109&lt;&gt;"",0),0)),"")</f>
        <v/>
      </c>
      <c r="N109" s="51">
        <f>IFERROR(LOOKUP(2,1/(U109:AY109&lt;&gt;""),U$2:AY$2),"")</f>
        <v/>
      </c>
      <c r="O109" s="52" t="n"/>
      <c r="P109" s="52" t="n"/>
      <c r="Q109" s="52" t="n"/>
      <c r="R109" s="44" t="n"/>
      <c r="S109" s="14" t="n"/>
      <c r="U109" s="53" t="n"/>
      <c r="V109" s="53" t="n"/>
      <c r="W109" s="53" t="n"/>
      <c r="X109" s="53" t="n"/>
      <c r="Y109" s="53" t="n"/>
      <c r="Z109" s="53" t="n"/>
      <c r="AA109" s="53" t="n"/>
      <c r="AB109" s="53" t="n"/>
      <c r="AC109" s="53" t="n"/>
      <c r="AD109" s="53" t="n"/>
      <c r="AE109" s="53" t="n"/>
      <c r="AF109" s="53" t="n"/>
      <c r="AG109" s="53" t="n"/>
      <c r="AH109" s="53" t="n"/>
      <c r="AI109" s="53" t="n"/>
      <c r="AJ109" s="53" t="n"/>
      <c r="AK109" s="53" t="n"/>
      <c r="AL109" s="53" t="n"/>
      <c r="AM109" s="53" t="n"/>
      <c r="AN109" s="53" t="n"/>
      <c r="AO109" s="53" t="n"/>
      <c r="AP109" s="53" t="n"/>
      <c r="AQ109" s="53" t="n"/>
      <c r="AR109" s="53" t="n"/>
      <c r="AS109" s="53" t="n"/>
      <c r="AT109" s="53" t="n"/>
      <c r="AU109" s="53" t="n"/>
      <c r="AV109" s="53" t="n"/>
      <c r="AW109" s="53" t="n"/>
      <c r="AX109" s="53" t="n"/>
      <c r="AY109" s="53" t="n"/>
    </row>
    <row r="110" ht="15" customHeight="1">
      <c r="A110" s="54" t="n"/>
      <c r="B110" s="55">
        <f>IF($B$109="","",$B$109)</f>
        <v/>
      </c>
      <c r="C110" s="56" t="inlineStr">
        <is>
          <t>마케팅2팀</t>
        </is>
      </c>
      <c r="D110" s="55">
        <f>IF($D$109="","",$D$109)</f>
        <v/>
      </c>
      <c r="E110" s="57" t="inlineStr">
        <is>
          <t>이미지</t>
        </is>
      </c>
      <c r="F110" s="44" t="n"/>
      <c r="G110" s="58">
        <f>IF($G$109="","",$G$109)</f>
        <v/>
      </c>
      <c r="H110" s="59" t="n"/>
      <c r="I110" s="59" t="n"/>
      <c r="J110" s="59" t="n"/>
      <c r="K110" s="59" t="n"/>
      <c r="L110" s="60">
        <f>IF(SUM(U110:AY110)=0,"",SUM(U110:AY110))</f>
        <v/>
      </c>
      <c r="M110" s="61">
        <f>IFERROR(INDEX(U$2:AY$2,MATCH(TRUE,INDEX(U110:AY110&lt;&gt;"",0),0)),"")</f>
        <v/>
      </c>
      <c r="N110" s="61">
        <f>IFERROR(LOOKUP(2,1/(U110:AY110&lt;&gt;""),U$2:AY$2),"")</f>
        <v/>
      </c>
      <c r="O110" s="59" t="n"/>
      <c r="P110" s="59" t="n"/>
      <c r="Q110" s="59" t="n"/>
      <c r="R110" s="59" t="n"/>
      <c r="S110" s="14" t="n"/>
      <c r="U110" s="53" t="n"/>
      <c r="V110" s="53" t="n"/>
      <c r="W110" s="53" t="n"/>
      <c r="X110" s="53" t="n"/>
      <c r="Y110" s="53" t="n"/>
      <c r="Z110" s="53" t="n"/>
      <c r="AA110" s="53" t="n"/>
      <c r="AB110" s="53" t="n"/>
      <c r="AC110" s="53" t="n"/>
      <c r="AD110" s="53" t="n"/>
      <c r="AE110" s="53" t="n"/>
      <c r="AF110" s="53" t="n"/>
      <c r="AG110" s="53" t="n"/>
      <c r="AH110" s="53" t="n"/>
      <c r="AI110" s="53" t="n"/>
      <c r="AJ110" s="53" t="n"/>
      <c r="AK110" s="53" t="n"/>
      <c r="AL110" s="53" t="n"/>
      <c r="AM110" s="53" t="n"/>
      <c r="AN110" s="53" t="n"/>
      <c r="AO110" s="53" t="n"/>
      <c r="AP110" s="53" t="n"/>
      <c r="AQ110" s="53" t="n"/>
      <c r="AR110" s="53" t="n"/>
      <c r="AS110" s="53" t="n"/>
      <c r="AT110" s="53" t="n"/>
      <c r="AU110" s="53" t="n"/>
      <c r="AV110" s="53" t="n"/>
      <c r="AW110" s="53" t="n"/>
      <c r="AX110" s="53" t="n"/>
      <c r="AY110" s="53" t="n"/>
    </row>
    <row r="111" ht="15" customHeight="1">
      <c r="A111" s="62" t="n"/>
      <c r="B111" s="55">
        <f>IF($B$109="","",$B$109)</f>
        <v/>
      </c>
      <c r="C111" s="63" t="inlineStr">
        <is>
          <t>마케팅2팀</t>
        </is>
      </c>
      <c r="D111" s="55">
        <f>IF($D$109="","",$D$109)</f>
        <v/>
      </c>
      <c r="E111" s="64" t="inlineStr">
        <is>
          <t>영상</t>
        </is>
      </c>
      <c r="F111" s="44" t="n"/>
      <c r="G111" s="58">
        <f>IF($G$109="","",$G$109)</f>
        <v/>
      </c>
      <c r="H111" s="59" t="n"/>
      <c r="I111" s="59" t="n"/>
      <c r="J111" s="59" t="n"/>
      <c r="K111" s="59" t="n"/>
      <c r="L111" s="65">
        <f>IF(SUM(U111:AY111)=0,"",SUM(U111:AY111))</f>
        <v/>
      </c>
      <c r="M111" s="66">
        <f>IFERROR(INDEX(U$2:AY$2,MATCH(TRUE,INDEX(U111:AY111&lt;&gt;"",0),0)),"")</f>
        <v/>
      </c>
      <c r="N111" s="66">
        <f>IFERROR(LOOKUP(2,1/(U111:AY111&lt;&gt;""),U$2:AY$2),"")</f>
        <v/>
      </c>
      <c r="O111" s="59" t="n"/>
      <c r="P111" s="59" t="n"/>
      <c r="Q111" s="59" t="n"/>
      <c r="R111" s="59" t="n"/>
      <c r="S111" s="14" t="n"/>
      <c r="U111" s="53" t="n"/>
      <c r="V111" s="53" t="n"/>
      <c r="W111" s="53" t="n"/>
      <c r="X111" s="53" t="n"/>
      <c r="Y111" s="53" t="n"/>
      <c r="Z111" s="53" t="n"/>
      <c r="AA111" s="53" t="n"/>
      <c r="AB111" s="53" t="n"/>
      <c r="AC111" s="53" t="n"/>
      <c r="AD111" s="53" t="n"/>
      <c r="AE111" s="53" t="n"/>
      <c r="AF111" s="53" t="n"/>
      <c r="AG111" s="53" t="n"/>
      <c r="AH111" s="53" t="n"/>
      <c r="AI111" s="53" t="n"/>
      <c r="AJ111" s="53" t="n"/>
      <c r="AK111" s="53" t="n"/>
      <c r="AL111" s="53" t="n"/>
      <c r="AM111" s="53" t="n"/>
      <c r="AN111" s="53" t="n"/>
      <c r="AO111" s="53" t="n"/>
      <c r="AP111" s="53" t="n"/>
      <c r="AQ111" s="53" t="n"/>
      <c r="AR111" s="53" t="n"/>
      <c r="AS111" s="53" t="n"/>
      <c r="AT111" s="53" t="n"/>
      <c r="AU111" s="53" t="n"/>
      <c r="AV111" s="53" t="n"/>
      <c r="AW111" s="53" t="n"/>
      <c r="AX111" s="53" t="n"/>
      <c r="AY111" s="53" t="n"/>
    </row>
    <row r="112" ht="15" customHeight="1">
      <c r="A112" s="40">
        <f>IF($D$112="","",35)</f>
        <v/>
      </c>
      <c r="B112" s="10" t="n"/>
      <c r="C112" s="41" t="inlineStr">
        <is>
          <t>마케팅2팀</t>
        </is>
      </c>
      <c r="D112" s="42" t="n"/>
      <c r="E112" s="43" t="inlineStr">
        <is>
          <t>기획</t>
        </is>
      </c>
      <c r="F112" s="44" t="n"/>
      <c r="G112" s="45" t="n"/>
      <c r="H112" s="46">
        <f>IF($I$112="","",IF($I$112&lt;0,"🔴지연",IF($I$112&lt;=1,"🟡임박","🟢여유")))</f>
        <v/>
      </c>
      <c r="I112" s="47">
        <f>IF(OR($G$112="",$K$112=""),"",$G$112-$K$112)</f>
        <v/>
      </c>
      <c r="J112" s="48">
        <f>IF(SUM($L$112:$L$114)=0,"",SUM($L$112:$L$114))</f>
        <v/>
      </c>
      <c r="K112" s="49">
        <f>IF($J$112="","",MAX($N$112:$N$114))</f>
        <v/>
      </c>
      <c r="L112" s="50">
        <f>IF(SUM(U112:AY112)=0,"",SUM(U112:AY112))</f>
        <v/>
      </c>
      <c r="M112" s="51">
        <f>IFERROR(INDEX(U$2:AY$2,MATCH(TRUE,INDEX(U112:AY112&lt;&gt;"",0),0)),"")</f>
        <v/>
      </c>
      <c r="N112" s="51">
        <f>IFERROR(LOOKUP(2,1/(U112:AY112&lt;&gt;""),U$2:AY$2),"")</f>
        <v/>
      </c>
      <c r="O112" s="52" t="n"/>
      <c r="P112" s="52" t="n"/>
      <c r="Q112" s="52" t="n"/>
      <c r="R112" s="44" t="n"/>
      <c r="S112" s="14" t="n"/>
      <c r="U112" s="53" t="n"/>
      <c r="V112" s="53" t="n"/>
      <c r="W112" s="53" t="n"/>
      <c r="X112" s="53" t="n"/>
      <c r="Y112" s="53" t="n"/>
      <c r="Z112" s="53" t="n"/>
      <c r="AA112" s="53" t="n"/>
      <c r="AB112" s="53" t="n"/>
      <c r="AC112" s="53" t="n"/>
      <c r="AD112" s="53" t="n"/>
      <c r="AE112" s="53" t="n"/>
      <c r="AF112" s="53" t="n"/>
      <c r="AG112" s="53" t="n"/>
      <c r="AH112" s="53" t="n"/>
      <c r="AI112" s="53" t="n"/>
      <c r="AJ112" s="53" t="n"/>
      <c r="AK112" s="53" t="n"/>
      <c r="AL112" s="53" t="n"/>
      <c r="AM112" s="53" t="n"/>
      <c r="AN112" s="53" t="n"/>
      <c r="AO112" s="53" t="n"/>
      <c r="AP112" s="53" t="n"/>
      <c r="AQ112" s="53" t="n"/>
      <c r="AR112" s="53" t="n"/>
      <c r="AS112" s="53" t="n"/>
      <c r="AT112" s="53" t="n"/>
      <c r="AU112" s="53" t="n"/>
      <c r="AV112" s="53" t="n"/>
      <c r="AW112" s="53" t="n"/>
      <c r="AX112" s="53" t="n"/>
      <c r="AY112" s="53" t="n"/>
    </row>
    <row r="113" ht="15" customHeight="1">
      <c r="A113" s="54" t="n"/>
      <c r="B113" s="55">
        <f>IF($B$112="","",$B$112)</f>
        <v/>
      </c>
      <c r="C113" s="56" t="inlineStr">
        <is>
          <t>마케팅2팀</t>
        </is>
      </c>
      <c r="D113" s="55">
        <f>IF($D$112="","",$D$112)</f>
        <v/>
      </c>
      <c r="E113" s="57" t="inlineStr">
        <is>
          <t>이미지</t>
        </is>
      </c>
      <c r="F113" s="44" t="n"/>
      <c r="G113" s="58">
        <f>IF($G$112="","",$G$112)</f>
        <v/>
      </c>
      <c r="H113" s="59" t="n"/>
      <c r="I113" s="59" t="n"/>
      <c r="J113" s="59" t="n"/>
      <c r="K113" s="59" t="n"/>
      <c r="L113" s="60">
        <f>IF(SUM(U113:AY113)=0,"",SUM(U113:AY113))</f>
        <v/>
      </c>
      <c r="M113" s="61">
        <f>IFERROR(INDEX(U$2:AY$2,MATCH(TRUE,INDEX(U113:AY113&lt;&gt;"",0),0)),"")</f>
        <v/>
      </c>
      <c r="N113" s="61">
        <f>IFERROR(LOOKUP(2,1/(U113:AY113&lt;&gt;""),U$2:AY$2),"")</f>
        <v/>
      </c>
      <c r="O113" s="59" t="n"/>
      <c r="P113" s="59" t="n"/>
      <c r="Q113" s="59" t="n"/>
      <c r="R113" s="59" t="n"/>
      <c r="S113" s="14" t="n"/>
      <c r="U113" s="53" t="n"/>
      <c r="V113" s="53" t="n"/>
      <c r="W113" s="53" t="n"/>
      <c r="X113" s="53" t="n"/>
      <c r="Y113" s="53" t="n"/>
      <c r="Z113" s="53" t="n"/>
      <c r="AA113" s="53" t="n"/>
      <c r="AB113" s="53" t="n"/>
      <c r="AC113" s="53" t="n"/>
      <c r="AD113" s="53" t="n"/>
      <c r="AE113" s="53" t="n"/>
      <c r="AF113" s="53" t="n"/>
      <c r="AG113" s="53" t="n"/>
      <c r="AH113" s="53" t="n"/>
      <c r="AI113" s="53" t="n"/>
      <c r="AJ113" s="53" t="n"/>
      <c r="AK113" s="53" t="n"/>
      <c r="AL113" s="53" t="n"/>
      <c r="AM113" s="53" t="n"/>
      <c r="AN113" s="53" t="n"/>
      <c r="AO113" s="53" t="n"/>
      <c r="AP113" s="53" t="n"/>
      <c r="AQ113" s="53" t="n"/>
      <c r="AR113" s="53" t="n"/>
      <c r="AS113" s="53" t="n"/>
      <c r="AT113" s="53" t="n"/>
      <c r="AU113" s="53" t="n"/>
      <c r="AV113" s="53" t="n"/>
      <c r="AW113" s="53" t="n"/>
      <c r="AX113" s="53" t="n"/>
      <c r="AY113" s="53" t="n"/>
    </row>
    <row r="114" ht="15" customHeight="1">
      <c r="A114" s="62" t="n"/>
      <c r="B114" s="55">
        <f>IF($B$112="","",$B$112)</f>
        <v/>
      </c>
      <c r="C114" s="63" t="inlineStr">
        <is>
          <t>마케팅2팀</t>
        </is>
      </c>
      <c r="D114" s="55">
        <f>IF($D$112="","",$D$112)</f>
        <v/>
      </c>
      <c r="E114" s="64" t="inlineStr">
        <is>
          <t>영상</t>
        </is>
      </c>
      <c r="F114" s="44" t="n"/>
      <c r="G114" s="58">
        <f>IF($G$112="","",$G$112)</f>
        <v/>
      </c>
      <c r="H114" s="59" t="n"/>
      <c r="I114" s="59" t="n"/>
      <c r="J114" s="59" t="n"/>
      <c r="K114" s="59" t="n"/>
      <c r="L114" s="65">
        <f>IF(SUM(U114:AY114)=0,"",SUM(U114:AY114))</f>
        <v/>
      </c>
      <c r="M114" s="66">
        <f>IFERROR(INDEX(U$2:AY$2,MATCH(TRUE,INDEX(U114:AY114&lt;&gt;"",0),0)),"")</f>
        <v/>
      </c>
      <c r="N114" s="66">
        <f>IFERROR(LOOKUP(2,1/(U114:AY114&lt;&gt;""),U$2:AY$2),"")</f>
        <v/>
      </c>
      <c r="O114" s="59" t="n"/>
      <c r="P114" s="59" t="n"/>
      <c r="Q114" s="59" t="n"/>
      <c r="R114" s="59" t="n"/>
      <c r="S114" s="14" t="n"/>
      <c r="U114" s="53" t="n"/>
      <c r="V114" s="53" t="n"/>
      <c r="W114" s="53" t="n"/>
      <c r="X114" s="53" t="n"/>
      <c r="Y114" s="53" t="n"/>
      <c r="Z114" s="53" t="n"/>
      <c r="AA114" s="53" t="n"/>
      <c r="AB114" s="53" t="n"/>
      <c r="AC114" s="53" t="n"/>
      <c r="AD114" s="53" t="n"/>
      <c r="AE114" s="53" t="n"/>
      <c r="AF114" s="53" t="n"/>
      <c r="AG114" s="53" t="n"/>
      <c r="AH114" s="53" t="n"/>
      <c r="AI114" s="53" t="n"/>
      <c r="AJ114" s="53" t="n"/>
      <c r="AK114" s="53" t="n"/>
      <c r="AL114" s="53" t="n"/>
      <c r="AM114" s="53" t="n"/>
      <c r="AN114" s="53" t="n"/>
      <c r="AO114" s="53" t="n"/>
      <c r="AP114" s="53" t="n"/>
      <c r="AQ114" s="53" t="n"/>
      <c r="AR114" s="53" t="n"/>
      <c r="AS114" s="53" t="n"/>
      <c r="AT114" s="53" t="n"/>
      <c r="AU114" s="53" t="n"/>
      <c r="AV114" s="53" t="n"/>
      <c r="AW114" s="53" t="n"/>
      <c r="AX114" s="53" t="n"/>
      <c r="AY114" s="53" t="n"/>
    </row>
    <row r="115" ht="15" customHeight="1">
      <c r="A115" s="40">
        <f>IF($D$115="","",36)</f>
        <v/>
      </c>
      <c r="B115" s="10" t="n"/>
      <c r="C115" s="41" t="inlineStr">
        <is>
          <t>마케팅2팀</t>
        </is>
      </c>
      <c r="D115" s="42" t="n"/>
      <c r="E115" s="43" t="inlineStr">
        <is>
          <t>기획</t>
        </is>
      </c>
      <c r="F115" s="44" t="n"/>
      <c r="G115" s="45" t="n"/>
      <c r="H115" s="46">
        <f>IF($I$115="","",IF($I$115&lt;0,"🔴지연",IF($I$115&lt;=1,"🟡임박","🟢여유")))</f>
        <v/>
      </c>
      <c r="I115" s="47">
        <f>IF(OR($G$115="",$K$115=""),"",$G$115-$K$115)</f>
        <v/>
      </c>
      <c r="J115" s="48">
        <f>IF(SUM($L$115:$L$117)=0,"",SUM($L$115:$L$117))</f>
        <v/>
      </c>
      <c r="K115" s="49">
        <f>IF($J$115="","",MAX($N$115:$N$117))</f>
        <v/>
      </c>
      <c r="L115" s="50">
        <f>IF(SUM(U115:AY115)=0,"",SUM(U115:AY115))</f>
        <v/>
      </c>
      <c r="M115" s="51">
        <f>IFERROR(INDEX(U$2:AY$2,MATCH(TRUE,INDEX(U115:AY115&lt;&gt;"",0),0)),"")</f>
        <v/>
      </c>
      <c r="N115" s="51">
        <f>IFERROR(LOOKUP(2,1/(U115:AY115&lt;&gt;""),U$2:AY$2),"")</f>
        <v/>
      </c>
      <c r="O115" s="52" t="n"/>
      <c r="P115" s="52" t="n"/>
      <c r="Q115" s="52" t="n"/>
      <c r="R115" s="44" t="n"/>
      <c r="S115" s="14" t="n"/>
      <c r="U115" s="53" t="n"/>
      <c r="V115" s="53" t="n"/>
      <c r="W115" s="53" t="n"/>
      <c r="X115" s="53" t="n"/>
      <c r="Y115" s="53" t="n"/>
      <c r="Z115" s="53" t="n"/>
      <c r="AA115" s="53" t="n"/>
      <c r="AB115" s="53" t="n"/>
      <c r="AC115" s="53" t="n"/>
      <c r="AD115" s="53" t="n"/>
      <c r="AE115" s="53" t="n"/>
      <c r="AF115" s="53" t="n"/>
      <c r="AG115" s="53" t="n"/>
      <c r="AH115" s="53" t="n"/>
      <c r="AI115" s="53" t="n"/>
      <c r="AJ115" s="53" t="n"/>
      <c r="AK115" s="53" t="n"/>
      <c r="AL115" s="53" t="n"/>
      <c r="AM115" s="53" t="n"/>
      <c r="AN115" s="53" t="n"/>
      <c r="AO115" s="53" t="n"/>
      <c r="AP115" s="53" t="n"/>
      <c r="AQ115" s="53" t="n"/>
      <c r="AR115" s="53" t="n"/>
      <c r="AS115" s="53" t="n"/>
      <c r="AT115" s="53" t="n"/>
      <c r="AU115" s="53" t="n"/>
      <c r="AV115" s="53" t="n"/>
      <c r="AW115" s="53" t="n"/>
      <c r="AX115" s="53" t="n"/>
      <c r="AY115" s="53" t="n"/>
    </row>
    <row r="116" ht="15" customHeight="1">
      <c r="A116" s="54" t="n"/>
      <c r="B116" s="55">
        <f>IF($B$115="","",$B$115)</f>
        <v/>
      </c>
      <c r="C116" s="56" t="inlineStr">
        <is>
          <t>마케팅2팀</t>
        </is>
      </c>
      <c r="D116" s="55">
        <f>IF($D$115="","",$D$115)</f>
        <v/>
      </c>
      <c r="E116" s="57" t="inlineStr">
        <is>
          <t>이미지</t>
        </is>
      </c>
      <c r="F116" s="44" t="n"/>
      <c r="G116" s="58">
        <f>IF($G$115="","",$G$115)</f>
        <v/>
      </c>
      <c r="H116" s="59" t="n"/>
      <c r="I116" s="59" t="n"/>
      <c r="J116" s="59" t="n"/>
      <c r="K116" s="59" t="n"/>
      <c r="L116" s="60">
        <f>IF(SUM(U116:AY116)=0,"",SUM(U116:AY116))</f>
        <v/>
      </c>
      <c r="M116" s="61">
        <f>IFERROR(INDEX(U$2:AY$2,MATCH(TRUE,INDEX(U116:AY116&lt;&gt;"",0),0)),"")</f>
        <v/>
      </c>
      <c r="N116" s="61">
        <f>IFERROR(LOOKUP(2,1/(U116:AY116&lt;&gt;""),U$2:AY$2),"")</f>
        <v/>
      </c>
      <c r="O116" s="59" t="n"/>
      <c r="P116" s="59" t="n"/>
      <c r="Q116" s="59" t="n"/>
      <c r="R116" s="59" t="n"/>
      <c r="S116" s="14" t="n"/>
      <c r="U116" s="53" t="n"/>
      <c r="V116" s="53" t="n"/>
      <c r="W116" s="53" t="n"/>
      <c r="X116" s="53" t="n"/>
      <c r="Y116" s="53" t="n"/>
      <c r="Z116" s="53" t="n"/>
      <c r="AA116" s="53" t="n"/>
      <c r="AB116" s="53" t="n"/>
      <c r="AC116" s="53" t="n"/>
      <c r="AD116" s="53" t="n"/>
      <c r="AE116" s="53" t="n"/>
      <c r="AF116" s="53" t="n"/>
      <c r="AG116" s="53" t="n"/>
      <c r="AH116" s="53" t="n"/>
      <c r="AI116" s="53" t="n"/>
      <c r="AJ116" s="53" t="n"/>
      <c r="AK116" s="53" t="n"/>
      <c r="AL116" s="53" t="n"/>
      <c r="AM116" s="53" t="n"/>
      <c r="AN116" s="53" t="n"/>
      <c r="AO116" s="53" t="n"/>
      <c r="AP116" s="53" t="n"/>
      <c r="AQ116" s="53" t="n"/>
      <c r="AR116" s="53" t="n"/>
      <c r="AS116" s="53" t="n"/>
      <c r="AT116" s="53" t="n"/>
      <c r="AU116" s="53" t="n"/>
      <c r="AV116" s="53" t="n"/>
      <c r="AW116" s="53" t="n"/>
      <c r="AX116" s="53" t="n"/>
      <c r="AY116" s="53" t="n"/>
    </row>
    <row r="117" ht="15" customHeight="1">
      <c r="A117" s="62" t="n"/>
      <c r="B117" s="55">
        <f>IF($B$115="","",$B$115)</f>
        <v/>
      </c>
      <c r="C117" s="63" t="inlineStr">
        <is>
          <t>마케팅2팀</t>
        </is>
      </c>
      <c r="D117" s="55">
        <f>IF($D$115="","",$D$115)</f>
        <v/>
      </c>
      <c r="E117" s="64" t="inlineStr">
        <is>
          <t>영상</t>
        </is>
      </c>
      <c r="F117" s="44" t="n"/>
      <c r="G117" s="58">
        <f>IF($G$115="","",$G$115)</f>
        <v/>
      </c>
      <c r="H117" s="59" t="n"/>
      <c r="I117" s="59" t="n"/>
      <c r="J117" s="59" t="n"/>
      <c r="K117" s="59" t="n"/>
      <c r="L117" s="65">
        <f>IF(SUM(U117:AY117)=0,"",SUM(U117:AY117))</f>
        <v/>
      </c>
      <c r="M117" s="66">
        <f>IFERROR(INDEX(U$2:AY$2,MATCH(TRUE,INDEX(U117:AY117&lt;&gt;"",0),0)),"")</f>
        <v/>
      </c>
      <c r="N117" s="66">
        <f>IFERROR(LOOKUP(2,1/(U117:AY117&lt;&gt;""),U$2:AY$2),"")</f>
        <v/>
      </c>
      <c r="O117" s="59" t="n"/>
      <c r="P117" s="59" t="n"/>
      <c r="Q117" s="59" t="n"/>
      <c r="R117" s="59" t="n"/>
      <c r="S117" s="14" t="n"/>
      <c r="U117" s="53" t="n"/>
      <c r="V117" s="53" t="n"/>
      <c r="W117" s="53" t="n"/>
      <c r="X117" s="53" t="n"/>
      <c r="Y117" s="53" t="n"/>
      <c r="Z117" s="53" t="n"/>
      <c r="AA117" s="53" t="n"/>
      <c r="AB117" s="53" t="n"/>
      <c r="AC117" s="53" t="n"/>
      <c r="AD117" s="53" t="n"/>
      <c r="AE117" s="53" t="n"/>
      <c r="AF117" s="53" t="n"/>
      <c r="AG117" s="53" t="n"/>
      <c r="AH117" s="53" t="n"/>
      <c r="AI117" s="53" t="n"/>
      <c r="AJ117" s="53" t="n"/>
      <c r="AK117" s="53" t="n"/>
      <c r="AL117" s="53" t="n"/>
      <c r="AM117" s="53" t="n"/>
      <c r="AN117" s="53" t="n"/>
      <c r="AO117" s="53" t="n"/>
      <c r="AP117" s="53" t="n"/>
      <c r="AQ117" s="53" t="n"/>
      <c r="AR117" s="53" t="n"/>
      <c r="AS117" s="53" t="n"/>
      <c r="AT117" s="53" t="n"/>
      <c r="AU117" s="53" t="n"/>
      <c r="AV117" s="53" t="n"/>
      <c r="AW117" s="53" t="n"/>
      <c r="AX117" s="53" t="n"/>
      <c r="AY117" s="53" t="n"/>
    </row>
    <row r="118" ht="15" customHeight="1">
      <c r="A118" s="40">
        <f>IF($D$118="","",37)</f>
        <v/>
      </c>
      <c r="B118" s="10" t="n"/>
      <c r="C118" s="41" t="inlineStr">
        <is>
          <t>마케팅2팀</t>
        </is>
      </c>
      <c r="D118" s="42" t="n"/>
      <c r="E118" s="43" t="inlineStr">
        <is>
          <t>기획</t>
        </is>
      </c>
      <c r="F118" s="44" t="n"/>
      <c r="G118" s="45" t="n"/>
      <c r="H118" s="46">
        <f>IF($I$118="","",IF($I$118&lt;0,"🔴지연",IF($I$118&lt;=1,"🟡임박","🟢여유")))</f>
        <v/>
      </c>
      <c r="I118" s="47">
        <f>IF(OR($G$118="",$K$118=""),"",$G$118-$K$118)</f>
        <v/>
      </c>
      <c r="J118" s="48">
        <f>IF(SUM($L$118:$L$120)=0,"",SUM($L$118:$L$120))</f>
        <v/>
      </c>
      <c r="K118" s="49">
        <f>IF($J$118="","",MAX($N$118:$N$120))</f>
        <v/>
      </c>
      <c r="L118" s="50">
        <f>IF(SUM(U118:AY118)=0,"",SUM(U118:AY118))</f>
        <v/>
      </c>
      <c r="M118" s="51">
        <f>IFERROR(INDEX(U$2:AY$2,MATCH(TRUE,INDEX(U118:AY118&lt;&gt;"",0),0)),"")</f>
        <v/>
      </c>
      <c r="N118" s="51">
        <f>IFERROR(LOOKUP(2,1/(U118:AY118&lt;&gt;""),U$2:AY$2),"")</f>
        <v/>
      </c>
      <c r="O118" s="52" t="n"/>
      <c r="P118" s="52" t="n"/>
      <c r="Q118" s="52" t="n"/>
      <c r="R118" s="44" t="n"/>
      <c r="S118" s="14" t="n"/>
      <c r="U118" s="53" t="n"/>
      <c r="V118" s="53" t="n"/>
      <c r="W118" s="53" t="n"/>
      <c r="X118" s="53" t="n"/>
      <c r="Y118" s="53" t="n"/>
      <c r="Z118" s="53" t="n"/>
      <c r="AA118" s="53" t="n"/>
      <c r="AB118" s="53" t="n"/>
      <c r="AC118" s="53" t="n"/>
      <c r="AD118" s="53" t="n"/>
      <c r="AE118" s="53" t="n"/>
      <c r="AF118" s="53" t="n"/>
      <c r="AG118" s="53" t="n"/>
      <c r="AH118" s="53" t="n"/>
      <c r="AI118" s="53" t="n"/>
      <c r="AJ118" s="53" t="n"/>
      <c r="AK118" s="53" t="n"/>
      <c r="AL118" s="53" t="n"/>
      <c r="AM118" s="53" t="n"/>
      <c r="AN118" s="53" t="n"/>
      <c r="AO118" s="53" t="n"/>
      <c r="AP118" s="53" t="n"/>
      <c r="AQ118" s="53" t="n"/>
      <c r="AR118" s="53" t="n"/>
      <c r="AS118" s="53" t="n"/>
      <c r="AT118" s="53" t="n"/>
      <c r="AU118" s="53" t="n"/>
      <c r="AV118" s="53" t="n"/>
      <c r="AW118" s="53" t="n"/>
      <c r="AX118" s="53" t="n"/>
      <c r="AY118" s="53" t="n"/>
    </row>
    <row r="119" ht="15" customHeight="1">
      <c r="A119" s="54" t="n"/>
      <c r="B119" s="55">
        <f>IF($B$118="","",$B$118)</f>
        <v/>
      </c>
      <c r="C119" s="56" t="inlineStr">
        <is>
          <t>마케팅2팀</t>
        </is>
      </c>
      <c r="D119" s="55">
        <f>IF($D$118="","",$D$118)</f>
        <v/>
      </c>
      <c r="E119" s="57" t="inlineStr">
        <is>
          <t>이미지</t>
        </is>
      </c>
      <c r="F119" s="44" t="n"/>
      <c r="G119" s="58">
        <f>IF($G$118="","",$G$118)</f>
        <v/>
      </c>
      <c r="H119" s="59" t="n"/>
      <c r="I119" s="59" t="n"/>
      <c r="J119" s="59" t="n"/>
      <c r="K119" s="59" t="n"/>
      <c r="L119" s="60">
        <f>IF(SUM(U119:AY119)=0,"",SUM(U119:AY119))</f>
        <v/>
      </c>
      <c r="M119" s="61">
        <f>IFERROR(INDEX(U$2:AY$2,MATCH(TRUE,INDEX(U119:AY119&lt;&gt;"",0),0)),"")</f>
        <v/>
      </c>
      <c r="N119" s="61">
        <f>IFERROR(LOOKUP(2,1/(U119:AY119&lt;&gt;""),U$2:AY$2),"")</f>
        <v/>
      </c>
      <c r="O119" s="59" t="n"/>
      <c r="P119" s="59" t="n"/>
      <c r="Q119" s="59" t="n"/>
      <c r="R119" s="59" t="n"/>
      <c r="S119" s="14" t="n"/>
      <c r="U119" s="53" t="n"/>
      <c r="V119" s="53" t="n"/>
      <c r="W119" s="53" t="n"/>
      <c r="X119" s="53" t="n"/>
      <c r="Y119" s="53" t="n"/>
      <c r="Z119" s="53" t="n"/>
      <c r="AA119" s="53" t="n"/>
      <c r="AB119" s="53" t="n"/>
      <c r="AC119" s="53" t="n"/>
      <c r="AD119" s="53" t="n"/>
      <c r="AE119" s="53" t="n"/>
      <c r="AF119" s="53" t="n"/>
      <c r="AG119" s="53" t="n"/>
      <c r="AH119" s="53" t="n"/>
      <c r="AI119" s="53" t="n"/>
      <c r="AJ119" s="53" t="n"/>
      <c r="AK119" s="53" t="n"/>
      <c r="AL119" s="53" t="n"/>
      <c r="AM119" s="53" t="n"/>
      <c r="AN119" s="53" t="n"/>
      <c r="AO119" s="53" t="n"/>
      <c r="AP119" s="53" t="n"/>
      <c r="AQ119" s="53" t="n"/>
      <c r="AR119" s="53" t="n"/>
      <c r="AS119" s="53" t="n"/>
      <c r="AT119" s="53" t="n"/>
      <c r="AU119" s="53" t="n"/>
      <c r="AV119" s="53" t="n"/>
      <c r="AW119" s="53" t="n"/>
      <c r="AX119" s="53" t="n"/>
      <c r="AY119" s="53" t="n"/>
    </row>
    <row r="120" ht="15" customHeight="1">
      <c r="A120" s="62" t="n"/>
      <c r="B120" s="55">
        <f>IF($B$118="","",$B$118)</f>
        <v/>
      </c>
      <c r="C120" s="63" t="inlineStr">
        <is>
          <t>마케팅2팀</t>
        </is>
      </c>
      <c r="D120" s="55">
        <f>IF($D$118="","",$D$118)</f>
        <v/>
      </c>
      <c r="E120" s="64" t="inlineStr">
        <is>
          <t>영상</t>
        </is>
      </c>
      <c r="F120" s="44" t="n"/>
      <c r="G120" s="58">
        <f>IF($G$118="","",$G$118)</f>
        <v/>
      </c>
      <c r="H120" s="59" t="n"/>
      <c r="I120" s="59" t="n"/>
      <c r="J120" s="59" t="n"/>
      <c r="K120" s="59" t="n"/>
      <c r="L120" s="65">
        <f>IF(SUM(U120:AY120)=0,"",SUM(U120:AY120))</f>
        <v/>
      </c>
      <c r="M120" s="66">
        <f>IFERROR(INDEX(U$2:AY$2,MATCH(TRUE,INDEX(U120:AY120&lt;&gt;"",0),0)),"")</f>
        <v/>
      </c>
      <c r="N120" s="66">
        <f>IFERROR(LOOKUP(2,1/(U120:AY120&lt;&gt;""),U$2:AY$2),"")</f>
        <v/>
      </c>
      <c r="O120" s="59" t="n"/>
      <c r="P120" s="59" t="n"/>
      <c r="Q120" s="59" t="n"/>
      <c r="R120" s="59" t="n"/>
      <c r="S120" s="14" t="n"/>
      <c r="U120" s="53" t="n"/>
      <c r="V120" s="53" t="n"/>
      <c r="W120" s="53" t="n"/>
      <c r="X120" s="53" t="n"/>
      <c r="Y120" s="53" t="n"/>
      <c r="Z120" s="53" t="n"/>
      <c r="AA120" s="53" t="n"/>
      <c r="AB120" s="53" t="n"/>
      <c r="AC120" s="53" t="n"/>
      <c r="AD120" s="53" t="n"/>
      <c r="AE120" s="53" t="n"/>
      <c r="AF120" s="53" t="n"/>
      <c r="AG120" s="53" t="n"/>
      <c r="AH120" s="53" t="n"/>
      <c r="AI120" s="53" t="n"/>
      <c r="AJ120" s="53" t="n"/>
      <c r="AK120" s="53" t="n"/>
      <c r="AL120" s="53" t="n"/>
      <c r="AM120" s="53" t="n"/>
      <c r="AN120" s="53" t="n"/>
      <c r="AO120" s="53" t="n"/>
      <c r="AP120" s="53" t="n"/>
      <c r="AQ120" s="53" t="n"/>
      <c r="AR120" s="53" t="n"/>
      <c r="AS120" s="53" t="n"/>
      <c r="AT120" s="53" t="n"/>
      <c r="AU120" s="53" t="n"/>
      <c r="AV120" s="53" t="n"/>
      <c r="AW120" s="53" t="n"/>
      <c r="AX120" s="53" t="n"/>
      <c r="AY120" s="53" t="n"/>
    </row>
    <row r="121" ht="15" customHeight="1">
      <c r="A121" s="40">
        <f>IF($D$121="","",38)</f>
        <v/>
      </c>
      <c r="B121" s="10" t="n"/>
      <c r="C121" s="41" t="inlineStr">
        <is>
          <t>마케팅2팀</t>
        </is>
      </c>
      <c r="D121" s="42" t="n"/>
      <c r="E121" s="43" t="inlineStr">
        <is>
          <t>기획</t>
        </is>
      </c>
      <c r="F121" s="44" t="n"/>
      <c r="G121" s="45" t="n"/>
      <c r="H121" s="46">
        <f>IF($I$121="","",IF($I$121&lt;0,"🔴지연",IF($I$121&lt;=1,"🟡임박","🟢여유")))</f>
        <v/>
      </c>
      <c r="I121" s="47">
        <f>IF(OR($G$121="",$K$121=""),"",$G$121-$K$121)</f>
        <v/>
      </c>
      <c r="J121" s="48">
        <f>IF(SUM($L$121:$L$123)=0,"",SUM($L$121:$L$123))</f>
        <v/>
      </c>
      <c r="K121" s="49">
        <f>IF($J$121="","",MAX($N$121:$N$123))</f>
        <v/>
      </c>
      <c r="L121" s="50">
        <f>IF(SUM(U121:AY121)=0,"",SUM(U121:AY121))</f>
        <v/>
      </c>
      <c r="M121" s="51">
        <f>IFERROR(INDEX(U$2:AY$2,MATCH(TRUE,INDEX(U121:AY121&lt;&gt;"",0),0)),"")</f>
        <v/>
      </c>
      <c r="N121" s="51">
        <f>IFERROR(LOOKUP(2,1/(U121:AY121&lt;&gt;""),U$2:AY$2),"")</f>
        <v/>
      </c>
      <c r="O121" s="52" t="n"/>
      <c r="P121" s="52" t="n"/>
      <c r="Q121" s="52" t="n"/>
      <c r="R121" s="44" t="n"/>
      <c r="S121" s="14" t="n"/>
      <c r="U121" s="53" t="n"/>
      <c r="V121" s="53" t="n"/>
      <c r="W121" s="53" t="n"/>
      <c r="X121" s="53" t="n"/>
      <c r="Y121" s="53" t="n"/>
      <c r="Z121" s="53" t="n"/>
      <c r="AA121" s="53" t="n"/>
      <c r="AB121" s="53" t="n"/>
      <c r="AC121" s="53" t="n"/>
      <c r="AD121" s="53" t="n"/>
      <c r="AE121" s="53" t="n"/>
      <c r="AF121" s="53" t="n"/>
      <c r="AG121" s="53" t="n"/>
      <c r="AH121" s="53" t="n"/>
      <c r="AI121" s="53" t="n"/>
      <c r="AJ121" s="53" t="n"/>
      <c r="AK121" s="53" t="n"/>
      <c r="AL121" s="53" t="n"/>
      <c r="AM121" s="53" t="n"/>
      <c r="AN121" s="53" t="n"/>
      <c r="AO121" s="53" t="n"/>
      <c r="AP121" s="53" t="n"/>
      <c r="AQ121" s="53" t="n"/>
      <c r="AR121" s="53" t="n"/>
      <c r="AS121" s="53" t="n"/>
      <c r="AT121" s="53" t="n"/>
      <c r="AU121" s="53" t="n"/>
      <c r="AV121" s="53" t="n"/>
      <c r="AW121" s="53" t="n"/>
      <c r="AX121" s="53" t="n"/>
      <c r="AY121" s="53" t="n"/>
    </row>
    <row r="122" ht="15" customHeight="1">
      <c r="A122" s="54" t="n"/>
      <c r="B122" s="55">
        <f>IF($B$121="","",$B$121)</f>
        <v/>
      </c>
      <c r="C122" s="56" t="inlineStr">
        <is>
          <t>마케팅2팀</t>
        </is>
      </c>
      <c r="D122" s="55">
        <f>IF($D$121="","",$D$121)</f>
        <v/>
      </c>
      <c r="E122" s="57" t="inlineStr">
        <is>
          <t>이미지</t>
        </is>
      </c>
      <c r="F122" s="44" t="n"/>
      <c r="G122" s="58">
        <f>IF($G$121="","",$G$121)</f>
        <v/>
      </c>
      <c r="H122" s="59" t="n"/>
      <c r="I122" s="59" t="n"/>
      <c r="J122" s="59" t="n"/>
      <c r="K122" s="59" t="n"/>
      <c r="L122" s="60">
        <f>IF(SUM(U122:AY122)=0,"",SUM(U122:AY122))</f>
        <v/>
      </c>
      <c r="M122" s="61">
        <f>IFERROR(INDEX(U$2:AY$2,MATCH(TRUE,INDEX(U122:AY122&lt;&gt;"",0),0)),"")</f>
        <v/>
      </c>
      <c r="N122" s="61">
        <f>IFERROR(LOOKUP(2,1/(U122:AY122&lt;&gt;""),U$2:AY$2),"")</f>
        <v/>
      </c>
      <c r="O122" s="59" t="n"/>
      <c r="P122" s="59" t="n"/>
      <c r="Q122" s="59" t="n"/>
      <c r="R122" s="59" t="n"/>
      <c r="S122" s="14" t="n"/>
      <c r="U122" s="53" t="n"/>
      <c r="V122" s="53" t="n"/>
      <c r="W122" s="53" t="n"/>
      <c r="X122" s="53" t="n"/>
      <c r="Y122" s="53" t="n"/>
      <c r="Z122" s="53" t="n"/>
      <c r="AA122" s="53" t="n"/>
      <c r="AB122" s="53" t="n"/>
      <c r="AC122" s="53" t="n"/>
      <c r="AD122" s="53" t="n"/>
      <c r="AE122" s="53" t="n"/>
      <c r="AF122" s="53" t="n"/>
      <c r="AG122" s="53" t="n"/>
      <c r="AH122" s="53" t="n"/>
      <c r="AI122" s="53" t="n"/>
      <c r="AJ122" s="53" t="n"/>
      <c r="AK122" s="53" t="n"/>
      <c r="AL122" s="53" t="n"/>
      <c r="AM122" s="53" t="n"/>
      <c r="AN122" s="53" t="n"/>
      <c r="AO122" s="53" t="n"/>
      <c r="AP122" s="53" t="n"/>
      <c r="AQ122" s="53" t="n"/>
      <c r="AR122" s="53" t="n"/>
      <c r="AS122" s="53" t="n"/>
      <c r="AT122" s="53" t="n"/>
      <c r="AU122" s="53" t="n"/>
      <c r="AV122" s="53" t="n"/>
      <c r="AW122" s="53" t="n"/>
      <c r="AX122" s="53" t="n"/>
      <c r="AY122" s="53" t="n"/>
    </row>
    <row r="123" ht="15" customHeight="1">
      <c r="A123" s="62" t="n"/>
      <c r="B123" s="55">
        <f>IF($B$121="","",$B$121)</f>
        <v/>
      </c>
      <c r="C123" s="63" t="inlineStr">
        <is>
          <t>마케팅2팀</t>
        </is>
      </c>
      <c r="D123" s="55">
        <f>IF($D$121="","",$D$121)</f>
        <v/>
      </c>
      <c r="E123" s="64" t="inlineStr">
        <is>
          <t>영상</t>
        </is>
      </c>
      <c r="F123" s="44" t="n"/>
      <c r="G123" s="58">
        <f>IF($G$121="","",$G$121)</f>
        <v/>
      </c>
      <c r="H123" s="59" t="n"/>
      <c r="I123" s="59" t="n"/>
      <c r="J123" s="59" t="n"/>
      <c r="K123" s="59" t="n"/>
      <c r="L123" s="65">
        <f>IF(SUM(U123:AY123)=0,"",SUM(U123:AY123))</f>
        <v/>
      </c>
      <c r="M123" s="66">
        <f>IFERROR(INDEX(U$2:AY$2,MATCH(TRUE,INDEX(U123:AY123&lt;&gt;"",0),0)),"")</f>
        <v/>
      </c>
      <c r="N123" s="66">
        <f>IFERROR(LOOKUP(2,1/(U123:AY123&lt;&gt;""),U$2:AY$2),"")</f>
        <v/>
      </c>
      <c r="O123" s="59" t="n"/>
      <c r="P123" s="59" t="n"/>
      <c r="Q123" s="59" t="n"/>
      <c r="R123" s="59" t="n"/>
      <c r="S123" s="14" t="n"/>
      <c r="U123" s="53" t="n"/>
      <c r="V123" s="53" t="n"/>
      <c r="W123" s="53" t="n"/>
      <c r="X123" s="53" t="n"/>
      <c r="Y123" s="53" t="n"/>
      <c r="Z123" s="53" t="n"/>
      <c r="AA123" s="53" t="n"/>
      <c r="AB123" s="53" t="n"/>
      <c r="AC123" s="53" t="n"/>
      <c r="AD123" s="53" t="n"/>
      <c r="AE123" s="53" t="n"/>
      <c r="AF123" s="53" t="n"/>
      <c r="AG123" s="53" t="n"/>
      <c r="AH123" s="53" t="n"/>
      <c r="AI123" s="53" t="n"/>
      <c r="AJ123" s="53" t="n"/>
      <c r="AK123" s="53" t="n"/>
      <c r="AL123" s="53" t="n"/>
      <c r="AM123" s="53" t="n"/>
      <c r="AN123" s="53" t="n"/>
      <c r="AO123" s="53" t="n"/>
      <c r="AP123" s="53" t="n"/>
      <c r="AQ123" s="53" t="n"/>
      <c r="AR123" s="53" t="n"/>
      <c r="AS123" s="53" t="n"/>
      <c r="AT123" s="53" t="n"/>
      <c r="AU123" s="53" t="n"/>
      <c r="AV123" s="53" t="n"/>
      <c r="AW123" s="53" t="n"/>
      <c r="AX123" s="53" t="n"/>
      <c r="AY123" s="53" t="n"/>
    </row>
    <row r="124" ht="15" customHeight="1">
      <c r="A124" s="40">
        <f>IF($D$124="","",39)</f>
        <v/>
      </c>
      <c r="B124" s="10" t="n"/>
      <c r="C124" s="41" t="inlineStr">
        <is>
          <t>마케팅2팀</t>
        </is>
      </c>
      <c r="D124" s="42" t="n"/>
      <c r="E124" s="43" t="inlineStr">
        <is>
          <t>기획</t>
        </is>
      </c>
      <c r="F124" s="44" t="n"/>
      <c r="G124" s="45" t="n"/>
      <c r="H124" s="46">
        <f>IF($I$124="","",IF($I$124&lt;0,"🔴지연",IF($I$124&lt;=1,"🟡임박","🟢여유")))</f>
        <v/>
      </c>
      <c r="I124" s="47">
        <f>IF(OR($G$124="",$K$124=""),"",$G$124-$K$124)</f>
        <v/>
      </c>
      <c r="J124" s="48">
        <f>IF(SUM($L$124:$L$126)=0,"",SUM($L$124:$L$126))</f>
        <v/>
      </c>
      <c r="K124" s="49">
        <f>IF($J$124="","",MAX($N$124:$N$126))</f>
        <v/>
      </c>
      <c r="L124" s="50">
        <f>IF(SUM(U124:AY124)=0,"",SUM(U124:AY124))</f>
        <v/>
      </c>
      <c r="M124" s="51">
        <f>IFERROR(INDEX(U$2:AY$2,MATCH(TRUE,INDEX(U124:AY124&lt;&gt;"",0),0)),"")</f>
        <v/>
      </c>
      <c r="N124" s="51">
        <f>IFERROR(LOOKUP(2,1/(U124:AY124&lt;&gt;""),U$2:AY$2),"")</f>
        <v/>
      </c>
      <c r="O124" s="52" t="n"/>
      <c r="P124" s="52" t="n"/>
      <c r="Q124" s="52" t="n"/>
      <c r="R124" s="44" t="n"/>
      <c r="S124" s="14" t="n"/>
      <c r="U124" s="53" t="n"/>
      <c r="V124" s="53" t="n"/>
      <c r="W124" s="53" t="n"/>
      <c r="X124" s="53" t="n"/>
      <c r="Y124" s="53" t="n"/>
      <c r="Z124" s="53" t="n"/>
      <c r="AA124" s="53" t="n"/>
      <c r="AB124" s="53" t="n"/>
      <c r="AC124" s="53" t="n"/>
      <c r="AD124" s="53" t="n"/>
      <c r="AE124" s="53" t="n"/>
      <c r="AF124" s="53" t="n"/>
      <c r="AG124" s="53" t="n"/>
      <c r="AH124" s="53" t="n"/>
      <c r="AI124" s="53" t="n"/>
      <c r="AJ124" s="53" t="n"/>
      <c r="AK124" s="53" t="n"/>
      <c r="AL124" s="53" t="n"/>
      <c r="AM124" s="53" t="n"/>
      <c r="AN124" s="53" t="n"/>
      <c r="AO124" s="53" t="n"/>
      <c r="AP124" s="53" t="n"/>
      <c r="AQ124" s="53" t="n"/>
      <c r="AR124" s="53" t="n"/>
      <c r="AS124" s="53" t="n"/>
      <c r="AT124" s="53" t="n"/>
      <c r="AU124" s="53" t="n"/>
      <c r="AV124" s="53" t="n"/>
      <c r="AW124" s="53" t="n"/>
      <c r="AX124" s="53" t="n"/>
      <c r="AY124" s="53" t="n"/>
    </row>
    <row r="125" ht="15" customHeight="1">
      <c r="A125" s="54" t="n"/>
      <c r="B125" s="55">
        <f>IF($B$124="","",$B$124)</f>
        <v/>
      </c>
      <c r="C125" s="56" t="inlineStr">
        <is>
          <t>마케팅2팀</t>
        </is>
      </c>
      <c r="D125" s="55">
        <f>IF($D$124="","",$D$124)</f>
        <v/>
      </c>
      <c r="E125" s="57" t="inlineStr">
        <is>
          <t>이미지</t>
        </is>
      </c>
      <c r="F125" s="44" t="n"/>
      <c r="G125" s="58">
        <f>IF($G$124="","",$G$124)</f>
        <v/>
      </c>
      <c r="H125" s="59" t="n"/>
      <c r="I125" s="59" t="n"/>
      <c r="J125" s="59" t="n"/>
      <c r="K125" s="59" t="n"/>
      <c r="L125" s="60">
        <f>IF(SUM(U125:AY125)=0,"",SUM(U125:AY125))</f>
        <v/>
      </c>
      <c r="M125" s="61">
        <f>IFERROR(INDEX(U$2:AY$2,MATCH(TRUE,INDEX(U125:AY125&lt;&gt;"",0),0)),"")</f>
        <v/>
      </c>
      <c r="N125" s="61">
        <f>IFERROR(LOOKUP(2,1/(U125:AY125&lt;&gt;""),U$2:AY$2),"")</f>
        <v/>
      </c>
      <c r="O125" s="59" t="n"/>
      <c r="P125" s="59" t="n"/>
      <c r="Q125" s="59" t="n"/>
      <c r="R125" s="59" t="n"/>
      <c r="S125" s="14" t="n"/>
      <c r="U125" s="53" t="n"/>
      <c r="V125" s="53" t="n"/>
      <c r="W125" s="53" t="n"/>
      <c r="X125" s="53" t="n"/>
      <c r="Y125" s="53" t="n"/>
      <c r="Z125" s="53" t="n"/>
      <c r="AA125" s="53" t="n"/>
      <c r="AB125" s="53" t="n"/>
      <c r="AC125" s="53" t="n"/>
      <c r="AD125" s="53" t="n"/>
      <c r="AE125" s="53" t="n"/>
      <c r="AF125" s="53" t="n"/>
      <c r="AG125" s="53" t="n"/>
      <c r="AH125" s="53" t="n"/>
      <c r="AI125" s="53" t="n"/>
      <c r="AJ125" s="53" t="n"/>
      <c r="AK125" s="53" t="n"/>
      <c r="AL125" s="53" t="n"/>
      <c r="AM125" s="53" t="n"/>
      <c r="AN125" s="53" t="n"/>
      <c r="AO125" s="53" t="n"/>
      <c r="AP125" s="53" t="n"/>
      <c r="AQ125" s="53" t="n"/>
      <c r="AR125" s="53" t="n"/>
      <c r="AS125" s="53" t="n"/>
      <c r="AT125" s="53" t="n"/>
      <c r="AU125" s="53" t="n"/>
      <c r="AV125" s="53" t="n"/>
      <c r="AW125" s="53" t="n"/>
      <c r="AX125" s="53" t="n"/>
      <c r="AY125" s="53" t="n"/>
    </row>
    <row r="126" ht="15" customHeight="1">
      <c r="A126" s="62" t="n"/>
      <c r="B126" s="55">
        <f>IF($B$124="","",$B$124)</f>
        <v/>
      </c>
      <c r="C126" s="63" t="inlineStr">
        <is>
          <t>마케팅2팀</t>
        </is>
      </c>
      <c r="D126" s="55">
        <f>IF($D$124="","",$D$124)</f>
        <v/>
      </c>
      <c r="E126" s="64" t="inlineStr">
        <is>
          <t>영상</t>
        </is>
      </c>
      <c r="F126" s="44" t="n"/>
      <c r="G126" s="58">
        <f>IF($G$124="","",$G$124)</f>
        <v/>
      </c>
      <c r="H126" s="59" t="n"/>
      <c r="I126" s="59" t="n"/>
      <c r="J126" s="59" t="n"/>
      <c r="K126" s="59" t="n"/>
      <c r="L126" s="65">
        <f>IF(SUM(U126:AY126)=0,"",SUM(U126:AY126))</f>
        <v/>
      </c>
      <c r="M126" s="66">
        <f>IFERROR(INDEX(U$2:AY$2,MATCH(TRUE,INDEX(U126:AY126&lt;&gt;"",0),0)),"")</f>
        <v/>
      </c>
      <c r="N126" s="66">
        <f>IFERROR(LOOKUP(2,1/(U126:AY126&lt;&gt;""),U$2:AY$2),"")</f>
        <v/>
      </c>
      <c r="O126" s="59" t="n"/>
      <c r="P126" s="59" t="n"/>
      <c r="Q126" s="59" t="n"/>
      <c r="R126" s="59" t="n"/>
      <c r="S126" s="14" t="n"/>
      <c r="U126" s="53" t="n"/>
      <c r="V126" s="53" t="n"/>
      <c r="W126" s="53" t="n"/>
      <c r="X126" s="53" t="n"/>
      <c r="Y126" s="53" t="n"/>
      <c r="Z126" s="53" t="n"/>
      <c r="AA126" s="53" t="n"/>
      <c r="AB126" s="53" t="n"/>
      <c r="AC126" s="53" t="n"/>
      <c r="AD126" s="53" t="n"/>
      <c r="AE126" s="53" t="n"/>
      <c r="AF126" s="53" t="n"/>
      <c r="AG126" s="53" t="n"/>
      <c r="AH126" s="53" t="n"/>
      <c r="AI126" s="53" t="n"/>
      <c r="AJ126" s="53" t="n"/>
      <c r="AK126" s="53" t="n"/>
      <c r="AL126" s="53" t="n"/>
      <c r="AM126" s="53" t="n"/>
      <c r="AN126" s="53" t="n"/>
      <c r="AO126" s="53" t="n"/>
      <c r="AP126" s="53" t="n"/>
      <c r="AQ126" s="53" t="n"/>
      <c r="AR126" s="53" t="n"/>
      <c r="AS126" s="53" t="n"/>
      <c r="AT126" s="53" t="n"/>
      <c r="AU126" s="53" t="n"/>
      <c r="AV126" s="53" t="n"/>
      <c r="AW126" s="53" t="n"/>
      <c r="AX126" s="53" t="n"/>
      <c r="AY126" s="53" t="n"/>
    </row>
    <row r="127" ht="15" customHeight="1">
      <c r="A127" s="40">
        <f>IF($D$127="","",40)</f>
        <v/>
      </c>
      <c r="B127" s="10" t="n"/>
      <c r="C127" s="41" t="inlineStr">
        <is>
          <t>마케팅2팀</t>
        </is>
      </c>
      <c r="D127" s="42" t="n"/>
      <c r="E127" s="43" t="inlineStr">
        <is>
          <t>기획</t>
        </is>
      </c>
      <c r="F127" s="44" t="n"/>
      <c r="G127" s="45" t="n"/>
      <c r="H127" s="46">
        <f>IF($I$127="","",IF($I$127&lt;0,"🔴지연",IF($I$127&lt;=1,"🟡임박","🟢여유")))</f>
        <v/>
      </c>
      <c r="I127" s="47">
        <f>IF(OR($G$127="",$K$127=""),"",$G$127-$K$127)</f>
        <v/>
      </c>
      <c r="J127" s="48">
        <f>IF(SUM($L$127:$L$129)=0,"",SUM($L$127:$L$129))</f>
        <v/>
      </c>
      <c r="K127" s="49">
        <f>IF($J$127="","",MAX($N$127:$N$129))</f>
        <v/>
      </c>
      <c r="L127" s="50">
        <f>IF(SUM(U127:AY127)=0,"",SUM(U127:AY127))</f>
        <v/>
      </c>
      <c r="M127" s="51">
        <f>IFERROR(INDEX(U$2:AY$2,MATCH(TRUE,INDEX(U127:AY127&lt;&gt;"",0),0)),"")</f>
        <v/>
      </c>
      <c r="N127" s="51">
        <f>IFERROR(LOOKUP(2,1/(U127:AY127&lt;&gt;""),U$2:AY$2),"")</f>
        <v/>
      </c>
      <c r="O127" s="52" t="n"/>
      <c r="P127" s="52" t="n"/>
      <c r="Q127" s="52" t="n"/>
      <c r="R127" s="44" t="n"/>
      <c r="S127" s="14" t="n"/>
      <c r="U127" s="53" t="n"/>
      <c r="V127" s="53" t="n"/>
      <c r="W127" s="53" t="n"/>
      <c r="X127" s="53" t="n"/>
      <c r="Y127" s="53" t="n"/>
      <c r="Z127" s="53" t="n"/>
      <c r="AA127" s="53" t="n"/>
      <c r="AB127" s="53" t="n"/>
      <c r="AC127" s="53" t="n"/>
      <c r="AD127" s="53" t="n"/>
      <c r="AE127" s="53" t="n"/>
      <c r="AF127" s="53" t="n"/>
      <c r="AG127" s="53" t="n"/>
      <c r="AH127" s="53" t="n"/>
      <c r="AI127" s="53" t="n"/>
      <c r="AJ127" s="53" t="n"/>
      <c r="AK127" s="53" t="n"/>
      <c r="AL127" s="53" t="n"/>
      <c r="AM127" s="53" t="n"/>
      <c r="AN127" s="53" t="n"/>
      <c r="AO127" s="53" t="n"/>
      <c r="AP127" s="53" t="n"/>
      <c r="AQ127" s="53" t="n"/>
      <c r="AR127" s="53" t="n"/>
      <c r="AS127" s="53" t="n"/>
      <c r="AT127" s="53" t="n"/>
      <c r="AU127" s="53" t="n"/>
      <c r="AV127" s="53" t="n"/>
      <c r="AW127" s="53" t="n"/>
      <c r="AX127" s="53" t="n"/>
      <c r="AY127" s="53" t="n"/>
    </row>
    <row r="128" ht="15" customHeight="1">
      <c r="A128" s="54" t="n"/>
      <c r="B128" s="55">
        <f>IF($B$127="","",$B$127)</f>
        <v/>
      </c>
      <c r="C128" s="56" t="inlineStr">
        <is>
          <t>마케팅2팀</t>
        </is>
      </c>
      <c r="D128" s="55">
        <f>IF($D$127="","",$D$127)</f>
        <v/>
      </c>
      <c r="E128" s="57" t="inlineStr">
        <is>
          <t>이미지</t>
        </is>
      </c>
      <c r="F128" s="44" t="n"/>
      <c r="G128" s="58">
        <f>IF($G$127="","",$G$127)</f>
        <v/>
      </c>
      <c r="H128" s="59" t="n"/>
      <c r="I128" s="59" t="n"/>
      <c r="J128" s="59" t="n"/>
      <c r="K128" s="59" t="n"/>
      <c r="L128" s="60">
        <f>IF(SUM(U128:AY128)=0,"",SUM(U128:AY128))</f>
        <v/>
      </c>
      <c r="M128" s="61">
        <f>IFERROR(INDEX(U$2:AY$2,MATCH(TRUE,INDEX(U128:AY128&lt;&gt;"",0),0)),"")</f>
        <v/>
      </c>
      <c r="N128" s="61">
        <f>IFERROR(LOOKUP(2,1/(U128:AY128&lt;&gt;""),U$2:AY$2),"")</f>
        <v/>
      </c>
      <c r="O128" s="59" t="n"/>
      <c r="P128" s="59" t="n"/>
      <c r="Q128" s="59" t="n"/>
      <c r="R128" s="59" t="n"/>
      <c r="S128" s="14" t="n"/>
      <c r="U128" s="53" t="n"/>
      <c r="V128" s="53" t="n"/>
      <c r="W128" s="53" t="n"/>
      <c r="X128" s="53" t="n"/>
      <c r="Y128" s="53" t="n"/>
      <c r="Z128" s="53" t="n"/>
      <c r="AA128" s="53" t="n"/>
      <c r="AB128" s="53" t="n"/>
      <c r="AC128" s="53" t="n"/>
      <c r="AD128" s="53" t="n"/>
      <c r="AE128" s="53" t="n"/>
      <c r="AF128" s="53" t="n"/>
      <c r="AG128" s="53" t="n"/>
      <c r="AH128" s="53" t="n"/>
      <c r="AI128" s="53" t="n"/>
      <c r="AJ128" s="53" t="n"/>
      <c r="AK128" s="53" t="n"/>
      <c r="AL128" s="53" t="n"/>
      <c r="AM128" s="53" t="n"/>
      <c r="AN128" s="53" t="n"/>
      <c r="AO128" s="53" t="n"/>
      <c r="AP128" s="53" t="n"/>
      <c r="AQ128" s="53" t="n"/>
      <c r="AR128" s="53" t="n"/>
      <c r="AS128" s="53" t="n"/>
      <c r="AT128" s="53" t="n"/>
      <c r="AU128" s="53" t="n"/>
      <c r="AV128" s="53" t="n"/>
      <c r="AW128" s="53" t="n"/>
      <c r="AX128" s="53" t="n"/>
      <c r="AY128" s="53" t="n"/>
    </row>
    <row r="129" ht="15" customHeight="1">
      <c r="A129" s="62" t="n"/>
      <c r="B129" s="55">
        <f>IF($B$127="","",$B$127)</f>
        <v/>
      </c>
      <c r="C129" s="63" t="inlineStr">
        <is>
          <t>마케팅2팀</t>
        </is>
      </c>
      <c r="D129" s="55">
        <f>IF($D$127="","",$D$127)</f>
        <v/>
      </c>
      <c r="E129" s="64" t="inlineStr">
        <is>
          <t>영상</t>
        </is>
      </c>
      <c r="F129" s="44" t="n"/>
      <c r="G129" s="58">
        <f>IF($G$127="","",$G$127)</f>
        <v/>
      </c>
      <c r="H129" s="59" t="n"/>
      <c r="I129" s="59" t="n"/>
      <c r="J129" s="59" t="n"/>
      <c r="K129" s="59" t="n"/>
      <c r="L129" s="65">
        <f>IF(SUM(U129:AY129)=0,"",SUM(U129:AY129))</f>
        <v/>
      </c>
      <c r="M129" s="66">
        <f>IFERROR(INDEX(U$2:AY$2,MATCH(TRUE,INDEX(U129:AY129&lt;&gt;"",0),0)),"")</f>
        <v/>
      </c>
      <c r="N129" s="66">
        <f>IFERROR(LOOKUP(2,1/(U129:AY129&lt;&gt;""),U$2:AY$2),"")</f>
        <v/>
      </c>
      <c r="O129" s="59" t="n"/>
      <c r="P129" s="59" t="n"/>
      <c r="Q129" s="59" t="n"/>
      <c r="R129" s="59" t="n"/>
      <c r="S129" s="14" t="n"/>
      <c r="U129" s="53" t="n"/>
      <c r="V129" s="53" t="n"/>
      <c r="W129" s="53" t="n"/>
      <c r="X129" s="53" t="n"/>
      <c r="Y129" s="53" t="n"/>
      <c r="Z129" s="53" t="n"/>
      <c r="AA129" s="53" t="n"/>
      <c r="AB129" s="53" t="n"/>
      <c r="AC129" s="53" t="n"/>
      <c r="AD129" s="53" t="n"/>
      <c r="AE129" s="53" t="n"/>
      <c r="AF129" s="53" t="n"/>
      <c r="AG129" s="53" t="n"/>
      <c r="AH129" s="53" t="n"/>
      <c r="AI129" s="53" t="n"/>
      <c r="AJ129" s="53" t="n"/>
      <c r="AK129" s="53" t="n"/>
      <c r="AL129" s="53" t="n"/>
      <c r="AM129" s="53" t="n"/>
      <c r="AN129" s="53" t="n"/>
      <c r="AO129" s="53" t="n"/>
      <c r="AP129" s="53" t="n"/>
      <c r="AQ129" s="53" t="n"/>
      <c r="AR129" s="53" t="n"/>
      <c r="AS129" s="53" t="n"/>
      <c r="AT129" s="53" t="n"/>
      <c r="AU129" s="53" t="n"/>
      <c r="AV129" s="53" t="n"/>
      <c r="AW129" s="53" t="n"/>
      <c r="AX129" s="53" t="n"/>
      <c r="AY129" s="53" t="n"/>
    </row>
    <row r="130" ht="18" customHeight="1">
      <c r="A130" s="39" t="inlineStr">
        <is>
          <t>마케팅3팀   (131~190행 · 소재 20개)</t>
        </is>
      </c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  <c r="AN130" s="8" t="n"/>
      <c r="AO130" s="8" t="n"/>
      <c r="AP130" s="8" t="n"/>
      <c r="AQ130" s="8" t="n"/>
      <c r="AR130" s="8" t="n"/>
      <c r="AS130" s="8" t="n"/>
      <c r="AT130" s="8" t="n"/>
      <c r="AU130" s="8" t="n"/>
      <c r="AV130" s="8" t="n"/>
      <c r="AW130" s="8" t="n"/>
      <c r="AX130" s="8" t="n"/>
      <c r="AY130" s="4" t="n"/>
    </row>
    <row r="131" ht="15" customHeight="1">
      <c r="A131" s="40">
        <f>IF($D$131="","",41)</f>
        <v/>
      </c>
      <c r="B131" s="10" t="n"/>
      <c r="C131" s="41" t="inlineStr">
        <is>
          <t>마케팅3팀</t>
        </is>
      </c>
      <c r="D131" s="42" t="n"/>
      <c r="E131" s="43" t="inlineStr">
        <is>
          <t>기획</t>
        </is>
      </c>
      <c r="F131" s="44" t="n"/>
      <c r="G131" s="45" t="n"/>
      <c r="H131" s="46">
        <f>IF($I$131="","",IF($I$131&lt;0,"🔴지연",IF($I$131&lt;=1,"🟡임박","🟢여유")))</f>
        <v/>
      </c>
      <c r="I131" s="47">
        <f>IF(OR($G$131="",$K$131=""),"",$G$131-$K$131)</f>
        <v/>
      </c>
      <c r="J131" s="48">
        <f>IF(SUM($L$131:$L$133)=0,"",SUM($L$131:$L$133))</f>
        <v/>
      </c>
      <c r="K131" s="49">
        <f>IF($J$131="","",MAX($N$131:$N$133))</f>
        <v/>
      </c>
      <c r="L131" s="50">
        <f>IF(SUM(U131:AY131)=0,"",SUM(U131:AY131))</f>
        <v/>
      </c>
      <c r="M131" s="51">
        <f>IFERROR(INDEX(U$2:AY$2,MATCH(TRUE,INDEX(U131:AY131&lt;&gt;"",0),0)),"")</f>
        <v/>
      </c>
      <c r="N131" s="51">
        <f>IFERROR(LOOKUP(2,1/(U131:AY131&lt;&gt;""),U$2:AY$2),"")</f>
        <v/>
      </c>
      <c r="O131" s="52" t="n"/>
      <c r="P131" s="52" t="n"/>
      <c r="Q131" s="52" t="n"/>
      <c r="R131" s="44" t="n"/>
      <c r="S131" s="14" t="n"/>
      <c r="U131" s="53" t="n"/>
      <c r="V131" s="53" t="n"/>
      <c r="W131" s="53" t="n"/>
      <c r="X131" s="53" t="n"/>
      <c r="Y131" s="53" t="n"/>
      <c r="Z131" s="53" t="n"/>
      <c r="AA131" s="53" t="n"/>
      <c r="AB131" s="53" t="n"/>
      <c r="AC131" s="53" t="n"/>
      <c r="AD131" s="53" t="n"/>
      <c r="AE131" s="53" t="n"/>
      <c r="AF131" s="53" t="n"/>
      <c r="AG131" s="53" t="n"/>
      <c r="AH131" s="53" t="n"/>
      <c r="AI131" s="53" t="n"/>
      <c r="AJ131" s="53" t="n"/>
      <c r="AK131" s="53" t="n"/>
      <c r="AL131" s="53" t="n"/>
      <c r="AM131" s="53" t="n"/>
      <c r="AN131" s="53" t="n"/>
      <c r="AO131" s="53" t="n"/>
      <c r="AP131" s="53" t="n"/>
      <c r="AQ131" s="53" t="n"/>
      <c r="AR131" s="53" t="n"/>
      <c r="AS131" s="53" t="n"/>
      <c r="AT131" s="53" t="n"/>
      <c r="AU131" s="53" t="n"/>
      <c r="AV131" s="53" t="n"/>
      <c r="AW131" s="53" t="n"/>
      <c r="AX131" s="53" t="n"/>
      <c r="AY131" s="53" t="n"/>
    </row>
    <row r="132" ht="15" customHeight="1">
      <c r="A132" s="54" t="n"/>
      <c r="B132" s="55">
        <f>IF($B$131="","",$B$131)</f>
        <v/>
      </c>
      <c r="C132" s="56" t="inlineStr">
        <is>
          <t>마케팅3팀</t>
        </is>
      </c>
      <c r="D132" s="55">
        <f>IF($D$131="","",$D$131)</f>
        <v/>
      </c>
      <c r="E132" s="57" t="inlineStr">
        <is>
          <t>이미지</t>
        </is>
      </c>
      <c r="F132" s="44" t="n"/>
      <c r="G132" s="58">
        <f>IF($G$131="","",$G$131)</f>
        <v/>
      </c>
      <c r="H132" s="59" t="n"/>
      <c r="I132" s="59" t="n"/>
      <c r="J132" s="59" t="n"/>
      <c r="K132" s="59" t="n"/>
      <c r="L132" s="60">
        <f>IF(SUM(U132:AY132)=0,"",SUM(U132:AY132))</f>
        <v/>
      </c>
      <c r="M132" s="61">
        <f>IFERROR(INDEX(U$2:AY$2,MATCH(TRUE,INDEX(U132:AY132&lt;&gt;"",0),0)),"")</f>
        <v/>
      </c>
      <c r="N132" s="61">
        <f>IFERROR(LOOKUP(2,1/(U132:AY132&lt;&gt;""),U$2:AY$2),"")</f>
        <v/>
      </c>
      <c r="O132" s="59" t="n"/>
      <c r="P132" s="59" t="n"/>
      <c r="Q132" s="59" t="n"/>
      <c r="R132" s="59" t="n"/>
      <c r="S132" s="14" t="n"/>
      <c r="U132" s="53" t="n"/>
      <c r="V132" s="53" t="n"/>
      <c r="W132" s="53" t="n"/>
      <c r="X132" s="53" t="n"/>
      <c r="Y132" s="53" t="n"/>
      <c r="Z132" s="53" t="n"/>
      <c r="AA132" s="53" t="n"/>
      <c r="AB132" s="53" t="n"/>
      <c r="AC132" s="53" t="n"/>
      <c r="AD132" s="53" t="n"/>
      <c r="AE132" s="53" t="n"/>
      <c r="AF132" s="53" t="n"/>
      <c r="AG132" s="53" t="n"/>
      <c r="AH132" s="53" t="n"/>
      <c r="AI132" s="53" t="n"/>
      <c r="AJ132" s="53" t="n"/>
      <c r="AK132" s="53" t="n"/>
      <c r="AL132" s="53" t="n"/>
      <c r="AM132" s="53" t="n"/>
      <c r="AN132" s="53" t="n"/>
      <c r="AO132" s="53" t="n"/>
      <c r="AP132" s="53" t="n"/>
      <c r="AQ132" s="53" t="n"/>
      <c r="AR132" s="53" t="n"/>
      <c r="AS132" s="53" t="n"/>
      <c r="AT132" s="53" t="n"/>
      <c r="AU132" s="53" t="n"/>
      <c r="AV132" s="53" t="n"/>
      <c r="AW132" s="53" t="n"/>
      <c r="AX132" s="53" t="n"/>
      <c r="AY132" s="53" t="n"/>
    </row>
    <row r="133" ht="15" customHeight="1">
      <c r="A133" s="62" t="n"/>
      <c r="B133" s="55">
        <f>IF($B$131="","",$B$131)</f>
        <v/>
      </c>
      <c r="C133" s="63" t="inlineStr">
        <is>
          <t>마케팅3팀</t>
        </is>
      </c>
      <c r="D133" s="55">
        <f>IF($D$131="","",$D$131)</f>
        <v/>
      </c>
      <c r="E133" s="64" t="inlineStr">
        <is>
          <t>영상</t>
        </is>
      </c>
      <c r="F133" s="44" t="n"/>
      <c r="G133" s="58">
        <f>IF($G$131="","",$G$131)</f>
        <v/>
      </c>
      <c r="H133" s="59" t="n"/>
      <c r="I133" s="59" t="n"/>
      <c r="J133" s="59" t="n"/>
      <c r="K133" s="59" t="n"/>
      <c r="L133" s="65">
        <f>IF(SUM(U133:AY133)=0,"",SUM(U133:AY133))</f>
        <v/>
      </c>
      <c r="M133" s="66">
        <f>IFERROR(INDEX(U$2:AY$2,MATCH(TRUE,INDEX(U133:AY133&lt;&gt;"",0),0)),"")</f>
        <v/>
      </c>
      <c r="N133" s="66">
        <f>IFERROR(LOOKUP(2,1/(U133:AY133&lt;&gt;""),U$2:AY$2),"")</f>
        <v/>
      </c>
      <c r="O133" s="59" t="n"/>
      <c r="P133" s="59" t="n"/>
      <c r="Q133" s="59" t="n"/>
      <c r="R133" s="59" t="n"/>
      <c r="S133" s="14" t="n"/>
      <c r="U133" s="53" t="n"/>
      <c r="V133" s="53" t="n"/>
      <c r="W133" s="53" t="n"/>
      <c r="X133" s="53" t="n"/>
      <c r="Y133" s="53" t="n"/>
      <c r="Z133" s="53" t="n"/>
      <c r="AA133" s="53" t="n"/>
      <c r="AB133" s="53" t="n"/>
      <c r="AC133" s="53" t="n"/>
      <c r="AD133" s="53" t="n"/>
      <c r="AE133" s="53" t="n"/>
      <c r="AF133" s="53" t="n"/>
      <c r="AG133" s="53" t="n"/>
      <c r="AH133" s="53" t="n"/>
      <c r="AI133" s="53" t="n"/>
      <c r="AJ133" s="53" t="n"/>
      <c r="AK133" s="53" t="n"/>
      <c r="AL133" s="53" t="n"/>
      <c r="AM133" s="53" t="n"/>
      <c r="AN133" s="53" t="n"/>
      <c r="AO133" s="53" t="n"/>
      <c r="AP133" s="53" t="n"/>
      <c r="AQ133" s="53" t="n"/>
      <c r="AR133" s="53" t="n"/>
      <c r="AS133" s="53" t="n"/>
      <c r="AT133" s="53" t="n"/>
      <c r="AU133" s="53" t="n"/>
      <c r="AV133" s="53" t="n"/>
      <c r="AW133" s="53" t="n"/>
      <c r="AX133" s="53" t="n"/>
      <c r="AY133" s="53" t="n"/>
    </row>
    <row r="134" ht="15" customHeight="1">
      <c r="A134" s="40">
        <f>IF($D$134="","",42)</f>
        <v/>
      </c>
      <c r="B134" s="10" t="n"/>
      <c r="C134" s="41" t="inlineStr">
        <is>
          <t>마케팅3팀</t>
        </is>
      </c>
      <c r="D134" s="42" t="n"/>
      <c r="E134" s="43" t="inlineStr">
        <is>
          <t>기획</t>
        </is>
      </c>
      <c r="F134" s="44" t="n"/>
      <c r="G134" s="45" t="n"/>
      <c r="H134" s="46">
        <f>IF($I$134="","",IF($I$134&lt;0,"🔴지연",IF($I$134&lt;=1,"🟡임박","🟢여유")))</f>
        <v/>
      </c>
      <c r="I134" s="47">
        <f>IF(OR($G$134="",$K$134=""),"",$G$134-$K$134)</f>
        <v/>
      </c>
      <c r="J134" s="48">
        <f>IF(SUM($L$134:$L$136)=0,"",SUM($L$134:$L$136))</f>
        <v/>
      </c>
      <c r="K134" s="49">
        <f>IF($J$134="","",MAX($N$134:$N$136))</f>
        <v/>
      </c>
      <c r="L134" s="50">
        <f>IF(SUM(U134:AY134)=0,"",SUM(U134:AY134))</f>
        <v/>
      </c>
      <c r="M134" s="51">
        <f>IFERROR(INDEX(U$2:AY$2,MATCH(TRUE,INDEX(U134:AY134&lt;&gt;"",0),0)),"")</f>
        <v/>
      </c>
      <c r="N134" s="51">
        <f>IFERROR(LOOKUP(2,1/(U134:AY134&lt;&gt;""),U$2:AY$2),"")</f>
        <v/>
      </c>
      <c r="O134" s="52" t="n"/>
      <c r="P134" s="52" t="n"/>
      <c r="Q134" s="52" t="n"/>
      <c r="R134" s="44" t="n"/>
      <c r="S134" s="14" t="n"/>
      <c r="U134" s="53" t="n"/>
      <c r="V134" s="53" t="n"/>
      <c r="W134" s="53" t="n"/>
      <c r="X134" s="53" t="n"/>
      <c r="Y134" s="53" t="n"/>
      <c r="Z134" s="53" t="n"/>
      <c r="AA134" s="53" t="n"/>
      <c r="AB134" s="53" t="n"/>
      <c r="AC134" s="53" t="n"/>
      <c r="AD134" s="53" t="n"/>
      <c r="AE134" s="53" t="n"/>
      <c r="AF134" s="53" t="n"/>
      <c r="AG134" s="53" t="n"/>
      <c r="AH134" s="53" t="n"/>
      <c r="AI134" s="53" t="n"/>
      <c r="AJ134" s="53" t="n"/>
      <c r="AK134" s="53" t="n"/>
      <c r="AL134" s="53" t="n"/>
      <c r="AM134" s="53" t="n"/>
      <c r="AN134" s="53" t="n"/>
      <c r="AO134" s="53" t="n"/>
      <c r="AP134" s="53" t="n"/>
      <c r="AQ134" s="53" t="n"/>
      <c r="AR134" s="53" t="n"/>
      <c r="AS134" s="53" t="n"/>
      <c r="AT134" s="53" t="n"/>
      <c r="AU134" s="53" t="n"/>
      <c r="AV134" s="53" t="n"/>
      <c r="AW134" s="53" t="n"/>
      <c r="AX134" s="53" t="n"/>
      <c r="AY134" s="53" t="n"/>
    </row>
    <row r="135" ht="15" customHeight="1">
      <c r="A135" s="54" t="n"/>
      <c r="B135" s="55">
        <f>IF($B$134="","",$B$134)</f>
        <v/>
      </c>
      <c r="C135" s="56" t="inlineStr">
        <is>
          <t>마케팅3팀</t>
        </is>
      </c>
      <c r="D135" s="55">
        <f>IF($D$134="","",$D$134)</f>
        <v/>
      </c>
      <c r="E135" s="57" t="inlineStr">
        <is>
          <t>이미지</t>
        </is>
      </c>
      <c r="F135" s="44" t="n"/>
      <c r="G135" s="58">
        <f>IF($G$134="","",$G$134)</f>
        <v/>
      </c>
      <c r="H135" s="59" t="n"/>
      <c r="I135" s="59" t="n"/>
      <c r="J135" s="59" t="n"/>
      <c r="K135" s="59" t="n"/>
      <c r="L135" s="60">
        <f>IF(SUM(U135:AY135)=0,"",SUM(U135:AY135))</f>
        <v/>
      </c>
      <c r="M135" s="61">
        <f>IFERROR(INDEX(U$2:AY$2,MATCH(TRUE,INDEX(U135:AY135&lt;&gt;"",0),0)),"")</f>
        <v/>
      </c>
      <c r="N135" s="61">
        <f>IFERROR(LOOKUP(2,1/(U135:AY135&lt;&gt;""),U$2:AY$2),"")</f>
        <v/>
      </c>
      <c r="O135" s="59" t="n"/>
      <c r="P135" s="59" t="n"/>
      <c r="Q135" s="59" t="n"/>
      <c r="R135" s="59" t="n"/>
      <c r="S135" s="14" t="n"/>
      <c r="U135" s="53" t="n"/>
      <c r="V135" s="53" t="n"/>
      <c r="W135" s="53" t="n"/>
      <c r="X135" s="53" t="n"/>
      <c r="Y135" s="53" t="n"/>
      <c r="Z135" s="53" t="n"/>
      <c r="AA135" s="53" t="n"/>
      <c r="AB135" s="53" t="n"/>
      <c r="AC135" s="53" t="n"/>
      <c r="AD135" s="53" t="n"/>
      <c r="AE135" s="53" t="n"/>
      <c r="AF135" s="53" t="n"/>
      <c r="AG135" s="53" t="n"/>
      <c r="AH135" s="53" t="n"/>
      <c r="AI135" s="53" t="n"/>
      <c r="AJ135" s="53" t="n"/>
      <c r="AK135" s="53" t="n"/>
      <c r="AL135" s="53" t="n"/>
      <c r="AM135" s="53" t="n"/>
      <c r="AN135" s="53" t="n"/>
      <c r="AO135" s="53" t="n"/>
      <c r="AP135" s="53" t="n"/>
      <c r="AQ135" s="53" t="n"/>
      <c r="AR135" s="53" t="n"/>
      <c r="AS135" s="53" t="n"/>
      <c r="AT135" s="53" t="n"/>
      <c r="AU135" s="53" t="n"/>
      <c r="AV135" s="53" t="n"/>
      <c r="AW135" s="53" t="n"/>
      <c r="AX135" s="53" t="n"/>
      <c r="AY135" s="53" t="n"/>
    </row>
    <row r="136" ht="15" customHeight="1">
      <c r="A136" s="62" t="n"/>
      <c r="B136" s="55">
        <f>IF($B$134="","",$B$134)</f>
        <v/>
      </c>
      <c r="C136" s="63" t="inlineStr">
        <is>
          <t>마케팅3팀</t>
        </is>
      </c>
      <c r="D136" s="55">
        <f>IF($D$134="","",$D$134)</f>
        <v/>
      </c>
      <c r="E136" s="64" t="inlineStr">
        <is>
          <t>영상</t>
        </is>
      </c>
      <c r="F136" s="44" t="n"/>
      <c r="G136" s="58">
        <f>IF($G$134="","",$G$134)</f>
        <v/>
      </c>
      <c r="H136" s="59" t="n"/>
      <c r="I136" s="59" t="n"/>
      <c r="J136" s="59" t="n"/>
      <c r="K136" s="59" t="n"/>
      <c r="L136" s="65">
        <f>IF(SUM(U136:AY136)=0,"",SUM(U136:AY136))</f>
        <v/>
      </c>
      <c r="M136" s="66">
        <f>IFERROR(INDEX(U$2:AY$2,MATCH(TRUE,INDEX(U136:AY136&lt;&gt;"",0),0)),"")</f>
        <v/>
      </c>
      <c r="N136" s="66">
        <f>IFERROR(LOOKUP(2,1/(U136:AY136&lt;&gt;""),U$2:AY$2),"")</f>
        <v/>
      </c>
      <c r="O136" s="59" t="n"/>
      <c r="P136" s="59" t="n"/>
      <c r="Q136" s="59" t="n"/>
      <c r="R136" s="59" t="n"/>
      <c r="S136" s="14" t="n"/>
      <c r="U136" s="53" t="n"/>
      <c r="V136" s="53" t="n"/>
      <c r="W136" s="53" t="n"/>
      <c r="X136" s="53" t="n"/>
      <c r="Y136" s="53" t="n"/>
      <c r="Z136" s="53" t="n"/>
      <c r="AA136" s="53" t="n"/>
      <c r="AB136" s="53" t="n"/>
      <c r="AC136" s="53" t="n"/>
      <c r="AD136" s="53" t="n"/>
      <c r="AE136" s="53" t="n"/>
      <c r="AF136" s="53" t="n"/>
      <c r="AG136" s="53" t="n"/>
      <c r="AH136" s="53" t="n"/>
      <c r="AI136" s="53" t="n"/>
      <c r="AJ136" s="53" t="n"/>
      <c r="AK136" s="53" t="n"/>
      <c r="AL136" s="53" t="n"/>
      <c r="AM136" s="53" t="n"/>
      <c r="AN136" s="53" t="n"/>
      <c r="AO136" s="53" t="n"/>
      <c r="AP136" s="53" t="n"/>
      <c r="AQ136" s="53" t="n"/>
      <c r="AR136" s="53" t="n"/>
      <c r="AS136" s="53" t="n"/>
      <c r="AT136" s="53" t="n"/>
      <c r="AU136" s="53" t="n"/>
      <c r="AV136" s="53" t="n"/>
      <c r="AW136" s="53" t="n"/>
      <c r="AX136" s="53" t="n"/>
      <c r="AY136" s="53" t="n"/>
    </row>
    <row r="137" ht="15" customHeight="1">
      <c r="A137" s="40">
        <f>IF($D$137="","",43)</f>
        <v/>
      </c>
      <c r="B137" s="10" t="n"/>
      <c r="C137" s="41" t="inlineStr">
        <is>
          <t>마케팅3팀</t>
        </is>
      </c>
      <c r="D137" s="42" t="n"/>
      <c r="E137" s="43" t="inlineStr">
        <is>
          <t>기획</t>
        </is>
      </c>
      <c r="F137" s="44" t="n"/>
      <c r="G137" s="45" t="n"/>
      <c r="H137" s="46">
        <f>IF($I$137="","",IF($I$137&lt;0,"🔴지연",IF($I$137&lt;=1,"🟡임박","🟢여유")))</f>
        <v/>
      </c>
      <c r="I137" s="47">
        <f>IF(OR($G$137="",$K$137=""),"",$G$137-$K$137)</f>
        <v/>
      </c>
      <c r="J137" s="48">
        <f>IF(SUM($L$137:$L$139)=0,"",SUM($L$137:$L$139))</f>
        <v/>
      </c>
      <c r="K137" s="49">
        <f>IF($J$137="","",MAX($N$137:$N$139))</f>
        <v/>
      </c>
      <c r="L137" s="50">
        <f>IF(SUM(U137:AY137)=0,"",SUM(U137:AY137))</f>
        <v/>
      </c>
      <c r="M137" s="51">
        <f>IFERROR(INDEX(U$2:AY$2,MATCH(TRUE,INDEX(U137:AY137&lt;&gt;"",0),0)),"")</f>
        <v/>
      </c>
      <c r="N137" s="51">
        <f>IFERROR(LOOKUP(2,1/(U137:AY137&lt;&gt;""),U$2:AY$2),"")</f>
        <v/>
      </c>
      <c r="O137" s="52" t="n"/>
      <c r="P137" s="52" t="n"/>
      <c r="Q137" s="52" t="n"/>
      <c r="R137" s="44" t="n"/>
      <c r="S137" s="14" t="n"/>
      <c r="U137" s="53" t="n"/>
      <c r="V137" s="53" t="n"/>
      <c r="W137" s="53" t="n"/>
      <c r="X137" s="53" t="n"/>
      <c r="Y137" s="53" t="n"/>
      <c r="Z137" s="53" t="n"/>
      <c r="AA137" s="53" t="n"/>
      <c r="AB137" s="53" t="n"/>
      <c r="AC137" s="53" t="n"/>
      <c r="AD137" s="53" t="n"/>
      <c r="AE137" s="53" t="n"/>
      <c r="AF137" s="53" t="n"/>
      <c r="AG137" s="53" t="n"/>
      <c r="AH137" s="53" t="n"/>
      <c r="AI137" s="53" t="n"/>
      <c r="AJ137" s="53" t="n"/>
      <c r="AK137" s="53" t="n"/>
      <c r="AL137" s="53" t="n"/>
      <c r="AM137" s="53" t="n"/>
      <c r="AN137" s="53" t="n"/>
      <c r="AO137" s="53" t="n"/>
      <c r="AP137" s="53" t="n"/>
      <c r="AQ137" s="53" t="n"/>
      <c r="AR137" s="53" t="n"/>
      <c r="AS137" s="53" t="n"/>
      <c r="AT137" s="53" t="n"/>
      <c r="AU137" s="53" t="n"/>
      <c r="AV137" s="53" t="n"/>
      <c r="AW137" s="53" t="n"/>
      <c r="AX137" s="53" t="n"/>
      <c r="AY137" s="53" t="n"/>
    </row>
    <row r="138" ht="15" customHeight="1">
      <c r="A138" s="54" t="n"/>
      <c r="B138" s="55">
        <f>IF($B$137="","",$B$137)</f>
        <v/>
      </c>
      <c r="C138" s="56" t="inlineStr">
        <is>
          <t>마케팅3팀</t>
        </is>
      </c>
      <c r="D138" s="55">
        <f>IF($D$137="","",$D$137)</f>
        <v/>
      </c>
      <c r="E138" s="57" t="inlineStr">
        <is>
          <t>이미지</t>
        </is>
      </c>
      <c r="F138" s="44" t="n"/>
      <c r="G138" s="58">
        <f>IF($G$137="","",$G$137)</f>
        <v/>
      </c>
      <c r="H138" s="59" t="n"/>
      <c r="I138" s="59" t="n"/>
      <c r="J138" s="59" t="n"/>
      <c r="K138" s="59" t="n"/>
      <c r="L138" s="60">
        <f>IF(SUM(U138:AY138)=0,"",SUM(U138:AY138))</f>
        <v/>
      </c>
      <c r="M138" s="61">
        <f>IFERROR(INDEX(U$2:AY$2,MATCH(TRUE,INDEX(U138:AY138&lt;&gt;"",0),0)),"")</f>
        <v/>
      </c>
      <c r="N138" s="61">
        <f>IFERROR(LOOKUP(2,1/(U138:AY138&lt;&gt;""),U$2:AY$2),"")</f>
        <v/>
      </c>
      <c r="O138" s="59" t="n"/>
      <c r="P138" s="59" t="n"/>
      <c r="Q138" s="59" t="n"/>
      <c r="R138" s="59" t="n"/>
      <c r="S138" s="14" t="n"/>
      <c r="U138" s="53" t="n"/>
      <c r="V138" s="53" t="n"/>
      <c r="W138" s="53" t="n"/>
      <c r="X138" s="53" t="n"/>
      <c r="Y138" s="53" t="n"/>
      <c r="Z138" s="53" t="n"/>
      <c r="AA138" s="53" t="n"/>
      <c r="AB138" s="53" t="n"/>
      <c r="AC138" s="53" t="n"/>
      <c r="AD138" s="53" t="n"/>
      <c r="AE138" s="53" t="n"/>
      <c r="AF138" s="53" t="n"/>
      <c r="AG138" s="53" t="n"/>
      <c r="AH138" s="53" t="n"/>
      <c r="AI138" s="53" t="n"/>
      <c r="AJ138" s="53" t="n"/>
      <c r="AK138" s="53" t="n"/>
      <c r="AL138" s="53" t="n"/>
      <c r="AM138" s="53" t="n"/>
      <c r="AN138" s="53" t="n"/>
      <c r="AO138" s="53" t="n"/>
      <c r="AP138" s="53" t="n"/>
      <c r="AQ138" s="53" t="n"/>
      <c r="AR138" s="53" t="n"/>
      <c r="AS138" s="53" t="n"/>
      <c r="AT138" s="53" t="n"/>
      <c r="AU138" s="53" t="n"/>
      <c r="AV138" s="53" t="n"/>
      <c r="AW138" s="53" t="n"/>
      <c r="AX138" s="53" t="n"/>
      <c r="AY138" s="53" t="n"/>
    </row>
    <row r="139" ht="15" customHeight="1">
      <c r="A139" s="62" t="n"/>
      <c r="B139" s="55">
        <f>IF($B$137="","",$B$137)</f>
        <v/>
      </c>
      <c r="C139" s="63" t="inlineStr">
        <is>
          <t>마케팅3팀</t>
        </is>
      </c>
      <c r="D139" s="55">
        <f>IF($D$137="","",$D$137)</f>
        <v/>
      </c>
      <c r="E139" s="64" t="inlineStr">
        <is>
          <t>영상</t>
        </is>
      </c>
      <c r="F139" s="44" t="n"/>
      <c r="G139" s="58">
        <f>IF($G$137="","",$G$137)</f>
        <v/>
      </c>
      <c r="H139" s="59" t="n"/>
      <c r="I139" s="59" t="n"/>
      <c r="J139" s="59" t="n"/>
      <c r="K139" s="59" t="n"/>
      <c r="L139" s="65">
        <f>IF(SUM(U139:AY139)=0,"",SUM(U139:AY139))</f>
        <v/>
      </c>
      <c r="M139" s="66">
        <f>IFERROR(INDEX(U$2:AY$2,MATCH(TRUE,INDEX(U139:AY139&lt;&gt;"",0),0)),"")</f>
        <v/>
      </c>
      <c r="N139" s="66">
        <f>IFERROR(LOOKUP(2,1/(U139:AY139&lt;&gt;""),U$2:AY$2),"")</f>
        <v/>
      </c>
      <c r="O139" s="59" t="n"/>
      <c r="P139" s="59" t="n"/>
      <c r="Q139" s="59" t="n"/>
      <c r="R139" s="59" t="n"/>
      <c r="S139" s="14" t="n"/>
      <c r="U139" s="53" t="n"/>
      <c r="V139" s="53" t="n"/>
      <c r="W139" s="53" t="n"/>
      <c r="X139" s="53" t="n"/>
      <c r="Y139" s="53" t="n"/>
      <c r="Z139" s="53" t="n"/>
      <c r="AA139" s="53" t="n"/>
      <c r="AB139" s="53" t="n"/>
      <c r="AC139" s="53" t="n"/>
      <c r="AD139" s="53" t="n"/>
      <c r="AE139" s="53" t="n"/>
      <c r="AF139" s="53" t="n"/>
      <c r="AG139" s="53" t="n"/>
      <c r="AH139" s="53" t="n"/>
      <c r="AI139" s="53" t="n"/>
      <c r="AJ139" s="53" t="n"/>
      <c r="AK139" s="53" t="n"/>
      <c r="AL139" s="53" t="n"/>
      <c r="AM139" s="53" t="n"/>
      <c r="AN139" s="53" t="n"/>
      <c r="AO139" s="53" t="n"/>
      <c r="AP139" s="53" t="n"/>
      <c r="AQ139" s="53" t="n"/>
      <c r="AR139" s="53" t="n"/>
      <c r="AS139" s="53" t="n"/>
      <c r="AT139" s="53" t="n"/>
      <c r="AU139" s="53" t="n"/>
      <c r="AV139" s="53" t="n"/>
      <c r="AW139" s="53" t="n"/>
      <c r="AX139" s="53" t="n"/>
      <c r="AY139" s="53" t="n"/>
    </row>
    <row r="140" ht="15" customHeight="1">
      <c r="A140" s="40">
        <f>IF($D$140="","",44)</f>
        <v/>
      </c>
      <c r="B140" s="10" t="n"/>
      <c r="C140" s="41" t="inlineStr">
        <is>
          <t>마케팅3팀</t>
        </is>
      </c>
      <c r="D140" s="42" t="n"/>
      <c r="E140" s="43" t="inlineStr">
        <is>
          <t>기획</t>
        </is>
      </c>
      <c r="F140" s="44" t="n"/>
      <c r="G140" s="45" t="n"/>
      <c r="H140" s="46">
        <f>IF($I$140="","",IF($I$140&lt;0,"🔴지연",IF($I$140&lt;=1,"🟡임박","🟢여유")))</f>
        <v/>
      </c>
      <c r="I140" s="47">
        <f>IF(OR($G$140="",$K$140=""),"",$G$140-$K$140)</f>
        <v/>
      </c>
      <c r="J140" s="48">
        <f>IF(SUM($L$140:$L$142)=0,"",SUM($L$140:$L$142))</f>
        <v/>
      </c>
      <c r="K140" s="49">
        <f>IF($J$140="","",MAX($N$140:$N$142))</f>
        <v/>
      </c>
      <c r="L140" s="50">
        <f>IF(SUM(U140:AY140)=0,"",SUM(U140:AY140))</f>
        <v/>
      </c>
      <c r="M140" s="51">
        <f>IFERROR(INDEX(U$2:AY$2,MATCH(TRUE,INDEX(U140:AY140&lt;&gt;"",0),0)),"")</f>
        <v/>
      </c>
      <c r="N140" s="51">
        <f>IFERROR(LOOKUP(2,1/(U140:AY140&lt;&gt;""),U$2:AY$2),"")</f>
        <v/>
      </c>
      <c r="O140" s="52" t="n"/>
      <c r="P140" s="52" t="n"/>
      <c r="Q140" s="52" t="n"/>
      <c r="R140" s="44" t="n"/>
      <c r="S140" s="14" t="n"/>
      <c r="U140" s="53" t="n"/>
      <c r="V140" s="53" t="n"/>
      <c r="W140" s="53" t="n"/>
      <c r="X140" s="53" t="n"/>
      <c r="Y140" s="53" t="n"/>
      <c r="Z140" s="53" t="n"/>
      <c r="AA140" s="53" t="n"/>
      <c r="AB140" s="53" t="n"/>
      <c r="AC140" s="53" t="n"/>
      <c r="AD140" s="53" t="n"/>
      <c r="AE140" s="53" t="n"/>
      <c r="AF140" s="53" t="n"/>
      <c r="AG140" s="53" t="n"/>
      <c r="AH140" s="53" t="n"/>
      <c r="AI140" s="53" t="n"/>
      <c r="AJ140" s="53" t="n"/>
      <c r="AK140" s="53" t="n"/>
      <c r="AL140" s="53" t="n"/>
      <c r="AM140" s="53" t="n"/>
      <c r="AN140" s="53" t="n"/>
      <c r="AO140" s="53" t="n"/>
      <c r="AP140" s="53" t="n"/>
      <c r="AQ140" s="53" t="n"/>
      <c r="AR140" s="53" t="n"/>
      <c r="AS140" s="53" t="n"/>
      <c r="AT140" s="53" t="n"/>
      <c r="AU140" s="53" t="n"/>
      <c r="AV140" s="53" t="n"/>
      <c r="AW140" s="53" t="n"/>
      <c r="AX140" s="53" t="n"/>
      <c r="AY140" s="53" t="n"/>
    </row>
    <row r="141" ht="15" customHeight="1">
      <c r="A141" s="54" t="n"/>
      <c r="B141" s="55">
        <f>IF($B$140="","",$B$140)</f>
        <v/>
      </c>
      <c r="C141" s="56" t="inlineStr">
        <is>
          <t>마케팅3팀</t>
        </is>
      </c>
      <c r="D141" s="55">
        <f>IF($D$140="","",$D$140)</f>
        <v/>
      </c>
      <c r="E141" s="57" t="inlineStr">
        <is>
          <t>이미지</t>
        </is>
      </c>
      <c r="F141" s="44" t="n"/>
      <c r="G141" s="58">
        <f>IF($G$140="","",$G$140)</f>
        <v/>
      </c>
      <c r="H141" s="59" t="n"/>
      <c r="I141" s="59" t="n"/>
      <c r="J141" s="59" t="n"/>
      <c r="K141" s="59" t="n"/>
      <c r="L141" s="60">
        <f>IF(SUM(U141:AY141)=0,"",SUM(U141:AY141))</f>
        <v/>
      </c>
      <c r="M141" s="61">
        <f>IFERROR(INDEX(U$2:AY$2,MATCH(TRUE,INDEX(U141:AY141&lt;&gt;"",0),0)),"")</f>
        <v/>
      </c>
      <c r="N141" s="61">
        <f>IFERROR(LOOKUP(2,1/(U141:AY141&lt;&gt;""),U$2:AY$2),"")</f>
        <v/>
      </c>
      <c r="O141" s="59" t="n"/>
      <c r="P141" s="59" t="n"/>
      <c r="Q141" s="59" t="n"/>
      <c r="R141" s="59" t="n"/>
      <c r="S141" s="14" t="n"/>
      <c r="U141" s="53" t="n"/>
      <c r="V141" s="53" t="n"/>
      <c r="W141" s="53" t="n"/>
      <c r="X141" s="53" t="n"/>
      <c r="Y141" s="53" t="n"/>
      <c r="Z141" s="53" t="n"/>
      <c r="AA141" s="53" t="n"/>
      <c r="AB141" s="53" t="n"/>
      <c r="AC141" s="53" t="n"/>
      <c r="AD141" s="53" t="n"/>
      <c r="AE141" s="53" t="n"/>
      <c r="AF141" s="53" t="n"/>
      <c r="AG141" s="53" t="n"/>
      <c r="AH141" s="53" t="n"/>
      <c r="AI141" s="53" t="n"/>
      <c r="AJ141" s="53" t="n"/>
      <c r="AK141" s="53" t="n"/>
      <c r="AL141" s="53" t="n"/>
      <c r="AM141" s="53" t="n"/>
      <c r="AN141" s="53" t="n"/>
      <c r="AO141" s="53" t="n"/>
      <c r="AP141" s="53" t="n"/>
      <c r="AQ141" s="53" t="n"/>
      <c r="AR141" s="53" t="n"/>
      <c r="AS141" s="53" t="n"/>
      <c r="AT141" s="53" t="n"/>
      <c r="AU141" s="53" t="n"/>
      <c r="AV141" s="53" t="n"/>
      <c r="AW141" s="53" t="n"/>
      <c r="AX141" s="53" t="n"/>
      <c r="AY141" s="53" t="n"/>
    </row>
    <row r="142" ht="15" customHeight="1">
      <c r="A142" s="62" t="n"/>
      <c r="B142" s="55">
        <f>IF($B$140="","",$B$140)</f>
        <v/>
      </c>
      <c r="C142" s="63" t="inlineStr">
        <is>
          <t>마케팅3팀</t>
        </is>
      </c>
      <c r="D142" s="55">
        <f>IF($D$140="","",$D$140)</f>
        <v/>
      </c>
      <c r="E142" s="64" t="inlineStr">
        <is>
          <t>영상</t>
        </is>
      </c>
      <c r="F142" s="44" t="n"/>
      <c r="G142" s="58">
        <f>IF($G$140="","",$G$140)</f>
        <v/>
      </c>
      <c r="H142" s="59" t="n"/>
      <c r="I142" s="59" t="n"/>
      <c r="J142" s="59" t="n"/>
      <c r="K142" s="59" t="n"/>
      <c r="L142" s="65">
        <f>IF(SUM(U142:AY142)=0,"",SUM(U142:AY142))</f>
        <v/>
      </c>
      <c r="M142" s="66">
        <f>IFERROR(INDEX(U$2:AY$2,MATCH(TRUE,INDEX(U142:AY142&lt;&gt;"",0),0)),"")</f>
        <v/>
      </c>
      <c r="N142" s="66">
        <f>IFERROR(LOOKUP(2,1/(U142:AY142&lt;&gt;""),U$2:AY$2),"")</f>
        <v/>
      </c>
      <c r="O142" s="59" t="n"/>
      <c r="P142" s="59" t="n"/>
      <c r="Q142" s="59" t="n"/>
      <c r="R142" s="59" t="n"/>
      <c r="S142" s="14" t="n"/>
      <c r="U142" s="53" t="n"/>
      <c r="V142" s="53" t="n"/>
      <c r="W142" s="53" t="n"/>
      <c r="X142" s="53" t="n"/>
      <c r="Y142" s="53" t="n"/>
      <c r="Z142" s="53" t="n"/>
      <c r="AA142" s="53" t="n"/>
      <c r="AB142" s="53" t="n"/>
      <c r="AC142" s="53" t="n"/>
      <c r="AD142" s="53" t="n"/>
      <c r="AE142" s="53" t="n"/>
      <c r="AF142" s="53" t="n"/>
      <c r="AG142" s="53" t="n"/>
      <c r="AH142" s="53" t="n"/>
      <c r="AI142" s="53" t="n"/>
      <c r="AJ142" s="53" t="n"/>
      <c r="AK142" s="53" t="n"/>
      <c r="AL142" s="53" t="n"/>
      <c r="AM142" s="53" t="n"/>
      <c r="AN142" s="53" t="n"/>
      <c r="AO142" s="53" t="n"/>
      <c r="AP142" s="53" t="n"/>
      <c r="AQ142" s="53" t="n"/>
      <c r="AR142" s="53" t="n"/>
      <c r="AS142" s="53" t="n"/>
      <c r="AT142" s="53" t="n"/>
      <c r="AU142" s="53" t="n"/>
      <c r="AV142" s="53" t="n"/>
      <c r="AW142" s="53" t="n"/>
      <c r="AX142" s="53" t="n"/>
      <c r="AY142" s="53" t="n"/>
    </row>
    <row r="143" ht="15" customHeight="1">
      <c r="A143" s="40">
        <f>IF($D$143="","",45)</f>
        <v/>
      </c>
      <c r="B143" s="10" t="n"/>
      <c r="C143" s="41" t="inlineStr">
        <is>
          <t>마케팅3팀</t>
        </is>
      </c>
      <c r="D143" s="42" t="n"/>
      <c r="E143" s="43" t="inlineStr">
        <is>
          <t>기획</t>
        </is>
      </c>
      <c r="F143" s="44" t="n"/>
      <c r="G143" s="45" t="n"/>
      <c r="H143" s="46">
        <f>IF($I$143="","",IF($I$143&lt;0,"🔴지연",IF($I$143&lt;=1,"🟡임박","🟢여유")))</f>
        <v/>
      </c>
      <c r="I143" s="47">
        <f>IF(OR($G$143="",$K$143=""),"",$G$143-$K$143)</f>
        <v/>
      </c>
      <c r="J143" s="48">
        <f>IF(SUM($L$143:$L$145)=0,"",SUM($L$143:$L$145))</f>
        <v/>
      </c>
      <c r="K143" s="49">
        <f>IF($J$143="","",MAX($N$143:$N$145))</f>
        <v/>
      </c>
      <c r="L143" s="50">
        <f>IF(SUM(U143:AY143)=0,"",SUM(U143:AY143))</f>
        <v/>
      </c>
      <c r="M143" s="51">
        <f>IFERROR(INDEX(U$2:AY$2,MATCH(TRUE,INDEX(U143:AY143&lt;&gt;"",0),0)),"")</f>
        <v/>
      </c>
      <c r="N143" s="51">
        <f>IFERROR(LOOKUP(2,1/(U143:AY143&lt;&gt;""),U$2:AY$2),"")</f>
        <v/>
      </c>
      <c r="O143" s="52" t="n"/>
      <c r="P143" s="52" t="n"/>
      <c r="Q143" s="52" t="n"/>
      <c r="R143" s="44" t="n"/>
      <c r="S143" s="14" t="n"/>
      <c r="U143" s="53" t="n"/>
      <c r="V143" s="53" t="n"/>
      <c r="W143" s="53" t="n"/>
      <c r="X143" s="53" t="n"/>
      <c r="Y143" s="53" t="n"/>
      <c r="Z143" s="53" t="n"/>
      <c r="AA143" s="53" t="n"/>
      <c r="AB143" s="53" t="n"/>
      <c r="AC143" s="53" t="n"/>
      <c r="AD143" s="53" t="n"/>
      <c r="AE143" s="53" t="n"/>
      <c r="AF143" s="53" t="n"/>
      <c r="AG143" s="53" t="n"/>
      <c r="AH143" s="53" t="n"/>
      <c r="AI143" s="53" t="n"/>
      <c r="AJ143" s="53" t="n"/>
      <c r="AK143" s="53" t="n"/>
      <c r="AL143" s="53" t="n"/>
      <c r="AM143" s="53" t="n"/>
      <c r="AN143" s="53" t="n"/>
      <c r="AO143" s="53" t="n"/>
      <c r="AP143" s="53" t="n"/>
      <c r="AQ143" s="53" t="n"/>
      <c r="AR143" s="53" t="n"/>
      <c r="AS143" s="53" t="n"/>
      <c r="AT143" s="53" t="n"/>
      <c r="AU143" s="53" t="n"/>
      <c r="AV143" s="53" t="n"/>
      <c r="AW143" s="53" t="n"/>
      <c r="AX143" s="53" t="n"/>
      <c r="AY143" s="53" t="n"/>
    </row>
    <row r="144" ht="15" customHeight="1">
      <c r="A144" s="54" t="n"/>
      <c r="B144" s="55">
        <f>IF($B$143="","",$B$143)</f>
        <v/>
      </c>
      <c r="C144" s="56" t="inlineStr">
        <is>
          <t>마케팅3팀</t>
        </is>
      </c>
      <c r="D144" s="55">
        <f>IF($D$143="","",$D$143)</f>
        <v/>
      </c>
      <c r="E144" s="57" t="inlineStr">
        <is>
          <t>이미지</t>
        </is>
      </c>
      <c r="F144" s="44" t="n"/>
      <c r="G144" s="58">
        <f>IF($G$143="","",$G$143)</f>
        <v/>
      </c>
      <c r="H144" s="59" t="n"/>
      <c r="I144" s="59" t="n"/>
      <c r="J144" s="59" t="n"/>
      <c r="K144" s="59" t="n"/>
      <c r="L144" s="60">
        <f>IF(SUM(U144:AY144)=0,"",SUM(U144:AY144))</f>
        <v/>
      </c>
      <c r="M144" s="61">
        <f>IFERROR(INDEX(U$2:AY$2,MATCH(TRUE,INDEX(U144:AY144&lt;&gt;"",0),0)),"")</f>
        <v/>
      </c>
      <c r="N144" s="61">
        <f>IFERROR(LOOKUP(2,1/(U144:AY144&lt;&gt;""),U$2:AY$2),"")</f>
        <v/>
      </c>
      <c r="O144" s="59" t="n"/>
      <c r="P144" s="59" t="n"/>
      <c r="Q144" s="59" t="n"/>
      <c r="R144" s="59" t="n"/>
      <c r="S144" s="14" t="n"/>
      <c r="U144" s="53" t="n"/>
      <c r="V144" s="53" t="n"/>
      <c r="W144" s="53" t="n"/>
      <c r="X144" s="53" t="n"/>
      <c r="Y144" s="53" t="n"/>
      <c r="Z144" s="53" t="n"/>
      <c r="AA144" s="53" t="n"/>
      <c r="AB144" s="53" t="n"/>
      <c r="AC144" s="53" t="n"/>
      <c r="AD144" s="53" t="n"/>
      <c r="AE144" s="53" t="n"/>
      <c r="AF144" s="53" t="n"/>
      <c r="AG144" s="53" t="n"/>
      <c r="AH144" s="53" t="n"/>
      <c r="AI144" s="53" t="n"/>
      <c r="AJ144" s="53" t="n"/>
      <c r="AK144" s="53" t="n"/>
      <c r="AL144" s="53" t="n"/>
      <c r="AM144" s="53" t="n"/>
      <c r="AN144" s="53" t="n"/>
      <c r="AO144" s="53" t="n"/>
      <c r="AP144" s="53" t="n"/>
      <c r="AQ144" s="53" t="n"/>
      <c r="AR144" s="53" t="n"/>
      <c r="AS144" s="53" t="n"/>
      <c r="AT144" s="53" t="n"/>
      <c r="AU144" s="53" t="n"/>
      <c r="AV144" s="53" t="n"/>
      <c r="AW144" s="53" t="n"/>
      <c r="AX144" s="53" t="n"/>
      <c r="AY144" s="53" t="n"/>
    </row>
    <row r="145" ht="15" customHeight="1">
      <c r="A145" s="62" t="n"/>
      <c r="B145" s="55">
        <f>IF($B$143="","",$B$143)</f>
        <v/>
      </c>
      <c r="C145" s="63" t="inlineStr">
        <is>
          <t>마케팅3팀</t>
        </is>
      </c>
      <c r="D145" s="55">
        <f>IF($D$143="","",$D$143)</f>
        <v/>
      </c>
      <c r="E145" s="64" t="inlineStr">
        <is>
          <t>영상</t>
        </is>
      </c>
      <c r="F145" s="44" t="n"/>
      <c r="G145" s="58">
        <f>IF($G$143="","",$G$143)</f>
        <v/>
      </c>
      <c r="H145" s="59" t="n"/>
      <c r="I145" s="59" t="n"/>
      <c r="J145" s="59" t="n"/>
      <c r="K145" s="59" t="n"/>
      <c r="L145" s="65">
        <f>IF(SUM(U145:AY145)=0,"",SUM(U145:AY145))</f>
        <v/>
      </c>
      <c r="M145" s="66">
        <f>IFERROR(INDEX(U$2:AY$2,MATCH(TRUE,INDEX(U145:AY145&lt;&gt;"",0),0)),"")</f>
        <v/>
      </c>
      <c r="N145" s="66">
        <f>IFERROR(LOOKUP(2,1/(U145:AY145&lt;&gt;""),U$2:AY$2),"")</f>
        <v/>
      </c>
      <c r="O145" s="59" t="n"/>
      <c r="P145" s="59" t="n"/>
      <c r="Q145" s="59" t="n"/>
      <c r="R145" s="59" t="n"/>
      <c r="S145" s="14" t="n"/>
      <c r="U145" s="53" t="n"/>
      <c r="V145" s="53" t="n"/>
      <c r="W145" s="53" t="n"/>
      <c r="X145" s="53" t="n"/>
      <c r="Y145" s="53" t="n"/>
      <c r="Z145" s="53" t="n"/>
      <c r="AA145" s="53" t="n"/>
      <c r="AB145" s="53" t="n"/>
      <c r="AC145" s="53" t="n"/>
      <c r="AD145" s="53" t="n"/>
      <c r="AE145" s="53" t="n"/>
      <c r="AF145" s="53" t="n"/>
      <c r="AG145" s="53" t="n"/>
      <c r="AH145" s="53" t="n"/>
      <c r="AI145" s="53" t="n"/>
      <c r="AJ145" s="53" t="n"/>
      <c r="AK145" s="53" t="n"/>
      <c r="AL145" s="53" t="n"/>
      <c r="AM145" s="53" t="n"/>
      <c r="AN145" s="53" t="n"/>
      <c r="AO145" s="53" t="n"/>
      <c r="AP145" s="53" t="n"/>
      <c r="AQ145" s="53" t="n"/>
      <c r="AR145" s="53" t="n"/>
      <c r="AS145" s="53" t="n"/>
      <c r="AT145" s="53" t="n"/>
      <c r="AU145" s="53" t="n"/>
      <c r="AV145" s="53" t="n"/>
      <c r="AW145" s="53" t="n"/>
      <c r="AX145" s="53" t="n"/>
      <c r="AY145" s="53" t="n"/>
    </row>
    <row r="146" ht="15" customHeight="1">
      <c r="A146" s="40">
        <f>IF($D$146="","",46)</f>
        <v/>
      </c>
      <c r="B146" s="10" t="n"/>
      <c r="C146" s="41" t="inlineStr">
        <is>
          <t>마케팅3팀</t>
        </is>
      </c>
      <c r="D146" s="42" t="n"/>
      <c r="E146" s="43" t="inlineStr">
        <is>
          <t>기획</t>
        </is>
      </c>
      <c r="F146" s="44" t="n"/>
      <c r="G146" s="45" t="n"/>
      <c r="H146" s="46">
        <f>IF($I$146="","",IF($I$146&lt;0,"🔴지연",IF($I$146&lt;=1,"🟡임박","🟢여유")))</f>
        <v/>
      </c>
      <c r="I146" s="47">
        <f>IF(OR($G$146="",$K$146=""),"",$G$146-$K$146)</f>
        <v/>
      </c>
      <c r="J146" s="48">
        <f>IF(SUM($L$146:$L$148)=0,"",SUM($L$146:$L$148))</f>
        <v/>
      </c>
      <c r="K146" s="49">
        <f>IF($J$146="","",MAX($N$146:$N$148))</f>
        <v/>
      </c>
      <c r="L146" s="50">
        <f>IF(SUM(U146:AY146)=0,"",SUM(U146:AY146))</f>
        <v/>
      </c>
      <c r="M146" s="51">
        <f>IFERROR(INDEX(U$2:AY$2,MATCH(TRUE,INDEX(U146:AY146&lt;&gt;"",0),0)),"")</f>
        <v/>
      </c>
      <c r="N146" s="51">
        <f>IFERROR(LOOKUP(2,1/(U146:AY146&lt;&gt;""),U$2:AY$2),"")</f>
        <v/>
      </c>
      <c r="O146" s="52" t="n"/>
      <c r="P146" s="52" t="n"/>
      <c r="Q146" s="52" t="n"/>
      <c r="R146" s="44" t="n"/>
      <c r="S146" s="14" t="n"/>
      <c r="U146" s="53" t="n"/>
      <c r="V146" s="53" t="n"/>
      <c r="W146" s="53" t="n"/>
      <c r="X146" s="53" t="n"/>
      <c r="Y146" s="53" t="n"/>
      <c r="Z146" s="53" t="n"/>
      <c r="AA146" s="53" t="n"/>
      <c r="AB146" s="53" t="n"/>
      <c r="AC146" s="53" t="n"/>
      <c r="AD146" s="53" t="n"/>
      <c r="AE146" s="53" t="n"/>
      <c r="AF146" s="53" t="n"/>
      <c r="AG146" s="53" t="n"/>
      <c r="AH146" s="53" t="n"/>
      <c r="AI146" s="53" t="n"/>
      <c r="AJ146" s="53" t="n"/>
      <c r="AK146" s="53" t="n"/>
      <c r="AL146" s="53" t="n"/>
      <c r="AM146" s="53" t="n"/>
      <c r="AN146" s="53" t="n"/>
      <c r="AO146" s="53" t="n"/>
      <c r="AP146" s="53" t="n"/>
      <c r="AQ146" s="53" t="n"/>
      <c r="AR146" s="53" t="n"/>
      <c r="AS146" s="53" t="n"/>
      <c r="AT146" s="53" t="n"/>
      <c r="AU146" s="53" t="n"/>
      <c r="AV146" s="53" t="n"/>
      <c r="AW146" s="53" t="n"/>
      <c r="AX146" s="53" t="n"/>
      <c r="AY146" s="53" t="n"/>
    </row>
    <row r="147" ht="15" customHeight="1">
      <c r="A147" s="54" t="n"/>
      <c r="B147" s="55">
        <f>IF($B$146="","",$B$146)</f>
        <v/>
      </c>
      <c r="C147" s="56" t="inlineStr">
        <is>
          <t>마케팅3팀</t>
        </is>
      </c>
      <c r="D147" s="55">
        <f>IF($D$146="","",$D$146)</f>
        <v/>
      </c>
      <c r="E147" s="57" t="inlineStr">
        <is>
          <t>이미지</t>
        </is>
      </c>
      <c r="F147" s="44" t="n"/>
      <c r="G147" s="58">
        <f>IF($G$146="","",$G$146)</f>
        <v/>
      </c>
      <c r="H147" s="59" t="n"/>
      <c r="I147" s="59" t="n"/>
      <c r="J147" s="59" t="n"/>
      <c r="K147" s="59" t="n"/>
      <c r="L147" s="60">
        <f>IF(SUM(U147:AY147)=0,"",SUM(U147:AY147))</f>
        <v/>
      </c>
      <c r="M147" s="61">
        <f>IFERROR(INDEX(U$2:AY$2,MATCH(TRUE,INDEX(U147:AY147&lt;&gt;"",0),0)),"")</f>
        <v/>
      </c>
      <c r="N147" s="61">
        <f>IFERROR(LOOKUP(2,1/(U147:AY147&lt;&gt;""),U$2:AY$2),"")</f>
        <v/>
      </c>
      <c r="O147" s="59" t="n"/>
      <c r="P147" s="59" t="n"/>
      <c r="Q147" s="59" t="n"/>
      <c r="R147" s="59" t="n"/>
      <c r="S147" s="14" t="n"/>
      <c r="U147" s="53" t="n"/>
      <c r="V147" s="53" t="n"/>
      <c r="W147" s="53" t="n"/>
      <c r="X147" s="53" t="n"/>
      <c r="Y147" s="53" t="n"/>
      <c r="Z147" s="53" t="n"/>
      <c r="AA147" s="53" t="n"/>
      <c r="AB147" s="53" t="n"/>
      <c r="AC147" s="53" t="n"/>
      <c r="AD147" s="53" t="n"/>
      <c r="AE147" s="53" t="n"/>
      <c r="AF147" s="53" t="n"/>
      <c r="AG147" s="53" t="n"/>
      <c r="AH147" s="53" t="n"/>
      <c r="AI147" s="53" t="n"/>
      <c r="AJ147" s="53" t="n"/>
      <c r="AK147" s="53" t="n"/>
      <c r="AL147" s="53" t="n"/>
      <c r="AM147" s="53" t="n"/>
      <c r="AN147" s="53" t="n"/>
      <c r="AO147" s="53" t="n"/>
      <c r="AP147" s="53" t="n"/>
      <c r="AQ147" s="53" t="n"/>
      <c r="AR147" s="53" t="n"/>
      <c r="AS147" s="53" t="n"/>
      <c r="AT147" s="53" t="n"/>
      <c r="AU147" s="53" t="n"/>
      <c r="AV147" s="53" t="n"/>
      <c r="AW147" s="53" t="n"/>
      <c r="AX147" s="53" t="n"/>
      <c r="AY147" s="53" t="n"/>
    </row>
    <row r="148" ht="15" customHeight="1">
      <c r="A148" s="62" t="n"/>
      <c r="B148" s="55">
        <f>IF($B$146="","",$B$146)</f>
        <v/>
      </c>
      <c r="C148" s="63" t="inlineStr">
        <is>
          <t>마케팅3팀</t>
        </is>
      </c>
      <c r="D148" s="55">
        <f>IF($D$146="","",$D$146)</f>
        <v/>
      </c>
      <c r="E148" s="64" t="inlineStr">
        <is>
          <t>영상</t>
        </is>
      </c>
      <c r="F148" s="44" t="n"/>
      <c r="G148" s="58">
        <f>IF($G$146="","",$G$146)</f>
        <v/>
      </c>
      <c r="H148" s="59" t="n"/>
      <c r="I148" s="59" t="n"/>
      <c r="J148" s="59" t="n"/>
      <c r="K148" s="59" t="n"/>
      <c r="L148" s="65">
        <f>IF(SUM(U148:AY148)=0,"",SUM(U148:AY148))</f>
        <v/>
      </c>
      <c r="M148" s="66">
        <f>IFERROR(INDEX(U$2:AY$2,MATCH(TRUE,INDEX(U148:AY148&lt;&gt;"",0),0)),"")</f>
        <v/>
      </c>
      <c r="N148" s="66">
        <f>IFERROR(LOOKUP(2,1/(U148:AY148&lt;&gt;""),U$2:AY$2),"")</f>
        <v/>
      </c>
      <c r="O148" s="59" t="n"/>
      <c r="P148" s="59" t="n"/>
      <c r="Q148" s="59" t="n"/>
      <c r="R148" s="59" t="n"/>
      <c r="S148" s="14" t="n"/>
      <c r="U148" s="53" t="n"/>
      <c r="V148" s="53" t="n"/>
      <c r="W148" s="53" t="n"/>
      <c r="X148" s="53" t="n"/>
      <c r="Y148" s="53" t="n"/>
      <c r="Z148" s="53" t="n"/>
      <c r="AA148" s="53" t="n"/>
      <c r="AB148" s="53" t="n"/>
      <c r="AC148" s="53" t="n"/>
      <c r="AD148" s="53" t="n"/>
      <c r="AE148" s="53" t="n"/>
      <c r="AF148" s="53" t="n"/>
      <c r="AG148" s="53" t="n"/>
      <c r="AH148" s="53" t="n"/>
      <c r="AI148" s="53" t="n"/>
      <c r="AJ148" s="53" t="n"/>
      <c r="AK148" s="53" t="n"/>
      <c r="AL148" s="53" t="n"/>
      <c r="AM148" s="53" t="n"/>
      <c r="AN148" s="53" t="n"/>
      <c r="AO148" s="53" t="n"/>
      <c r="AP148" s="53" t="n"/>
      <c r="AQ148" s="53" t="n"/>
      <c r="AR148" s="53" t="n"/>
      <c r="AS148" s="53" t="n"/>
      <c r="AT148" s="53" t="n"/>
      <c r="AU148" s="53" t="n"/>
      <c r="AV148" s="53" t="n"/>
      <c r="AW148" s="53" t="n"/>
      <c r="AX148" s="53" t="n"/>
      <c r="AY148" s="53" t="n"/>
    </row>
    <row r="149" ht="15" customHeight="1">
      <c r="A149" s="40">
        <f>IF($D$149="","",47)</f>
        <v/>
      </c>
      <c r="B149" s="10" t="n"/>
      <c r="C149" s="41" t="inlineStr">
        <is>
          <t>마케팅3팀</t>
        </is>
      </c>
      <c r="D149" s="42" t="n"/>
      <c r="E149" s="43" t="inlineStr">
        <is>
          <t>기획</t>
        </is>
      </c>
      <c r="F149" s="44" t="n"/>
      <c r="G149" s="45" t="n"/>
      <c r="H149" s="46">
        <f>IF($I$149="","",IF($I$149&lt;0,"🔴지연",IF($I$149&lt;=1,"🟡임박","🟢여유")))</f>
        <v/>
      </c>
      <c r="I149" s="47">
        <f>IF(OR($G$149="",$K$149=""),"",$G$149-$K$149)</f>
        <v/>
      </c>
      <c r="J149" s="48">
        <f>IF(SUM($L$149:$L$151)=0,"",SUM($L$149:$L$151))</f>
        <v/>
      </c>
      <c r="K149" s="49">
        <f>IF($J$149="","",MAX($N$149:$N$151))</f>
        <v/>
      </c>
      <c r="L149" s="50">
        <f>IF(SUM(U149:AY149)=0,"",SUM(U149:AY149))</f>
        <v/>
      </c>
      <c r="M149" s="51">
        <f>IFERROR(INDEX(U$2:AY$2,MATCH(TRUE,INDEX(U149:AY149&lt;&gt;"",0),0)),"")</f>
        <v/>
      </c>
      <c r="N149" s="51">
        <f>IFERROR(LOOKUP(2,1/(U149:AY149&lt;&gt;""),U$2:AY$2),"")</f>
        <v/>
      </c>
      <c r="O149" s="52" t="n"/>
      <c r="P149" s="52" t="n"/>
      <c r="Q149" s="52" t="n"/>
      <c r="R149" s="44" t="n"/>
      <c r="S149" s="14" t="n"/>
      <c r="U149" s="53" t="n"/>
      <c r="V149" s="53" t="n"/>
      <c r="W149" s="53" t="n"/>
      <c r="X149" s="53" t="n"/>
      <c r="Y149" s="53" t="n"/>
      <c r="Z149" s="53" t="n"/>
      <c r="AA149" s="53" t="n"/>
      <c r="AB149" s="53" t="n"/>
      <c r="AC149" s="53" t="n"/>
      <c r="AD149" s="53" t="n"/>
      <c r="AE149" s="53" t="n"/>
      <c r="AF149" s="53" t="n"/>
      <c r="AG149" s="53" t="n"/>
      <c r="AH149" s="53" t="n"/>
      <c r="AI149" s="53" t="n"/>
      <c r="AJ149" s="53" t="n"/>
      <c r="AK149" s="53" t="n"/>
      <c r="AL149" s="53" t="n"/>
      <c r="AM149" s="53" t="n"/>
      <c r="AN149" s="53" t="n"/>
      <c r="AO149" s="53" t="n"/>
      <c r="AP149" s="53" t="n"/>
      <c r="AQ149" s="53" t="n"/>
      <c r="AR149" s="53" t="n"/>
      <c r="AS149" s="53" t="n"/>
      <c r="AT149" s="53" t="n"/>
      <c r="AU149" s="53" t="n"/>
      <c r="AV149" s="53" t="n"/>
      <c r="AW149" s="53" t="n"/>
      <c r="AX149" s="53" t="n"/>
      <c r="AY149" s="53" t="n"/>
    </row>
    <row r="150" ht="15" customHeight="1">
      <c r="A150" s="54" t="n"/>
      <c r="B150" s="55">
        <f>IF($B$149="","",$B$149)</f>
        <v/>
      </c>
      <c r="C150" s="56" t="inlineStr">
        <is>
          <t>마케팅3팀</t>
        </is>
      </c>
      <c r="D150" s="55">
        <f>IF($D$149="","",$D$149)</f>
        <v/>
      </c>
      <c r="E150" s="57" t="inlineStr">
        <is>
          <t>이미지</t>
        </is>
      </c>
      <c r="F150" s="44" t="n"/>
      <c r="G150" s="58">
        <f>IF($G$149="","",$G$149)</f>
        <v/>
      </c>
      <c r="H150" s="59" t="n"/>
      <c r="I150" s="59" t="n"/>
      <c r="J150" s="59" t="n"/>
      <c r="K150" s="59" t="n"/>
      <c r="L150" s="60">
        <f>IF(SUM(U150:AY150)=0,"",SUM(U150:AY150))</f>
        <v/>
      </c>
      <c r="M150" s="61">
        <f>IFERROR(INDEX(U$2:AY$2,MATCH(TRUE,INDEX(U150:AY150&lt;&gt;"",0),0)),"")</f>
        <v/>
      </c>
      <c r="N150" s="61">
        <f>IFERROR(LOOKUP(2,1/(U150:AY150&lt;&gt;""),U$2:AY$2),"")</f>
        <v/>
      </c>
      <c r="O150" s="59" t="n"/>
      <c r="P150" s="59" t="n"/>
      <c r="Q150" s="59" t="n"/>
      <c r="R150" s="59" t="n"/>
      <c r="S150" s="14" t="n"/>
      <c r="U150" s="53" t="n"/>
      <c r="V150" s="53" t="n"/>
      <c r="W150" s="53" t="n"/>
      <c r="X150" s="53" t="n"/>
      <c r="Y150" s="53" t="n"/>
      <c r="Z150" s="53" t="n"/>
      <c r="AA150" s="53" t="n"/>
      <c r="AB150" s="53" t="n"/>
      <c r="AC150" s="53" t="n"/>
      <c r="AD150" s="53" t="n"/>
      <c r="AE150" s="53" t="n"/>
      <c r="AF150" s="53" t="n"/>
      <c r="AG150" s="53" t="n"/>
      <c r="AH150" s="53" t="n"/>
      <c r="AI150" s="53" t="n"/>
      <c r="AJ150" s="53" t="n"/>
      <c r="AK150" s="53" t="n"/>
      <c r="AL150" s="53" t="n"/>
      <c r="AM150" s="53" t="n"/>
      <c r="AN150" s="53" t="n"/>
      <c r="AO150" s="53" t="n"/>
      <c r="AP150" s="53" t="n"/>
      <c r="AQ150" s="53" t="n"/>
      <c r="AR150" s="53" t="n"/>
      <c r="AS150" s="53" t="n"/>
      <c r="AT150" s="53" t="n"/>
      <c r="AU150" s="53" t="n"/>
      <c r="AV150" s="53" t="n"/>
      <c r="AW150" s="53" t="n"/>
      <c r="AX150" s="53" t="n"/>
      <c r="AY150" s="53" t="n"/>
    </row>
    <row r="151" ht="15" customHeight="1">
      <c r="A151" s="62" t="n"/>
      <c r="B151" s="55">
        <f>IF($B$149="","",$B$149)</f>
        <v/>
      </c>
      <c r="C151" s="63" t="inlineStr">
        <is>
          <t>마케팅3팀</t>
        </is>
      </c>
      <c r="D151" s="55">
        <f>IF($D$149="","",$D$149)</f>
        <v/>
      </c>
      <c r="E151" s="64" t="inlineStr">
        <is>
          <t>영상</t>
        </is>
      </c>
      <c r="F151" s="44" t="n"/>
      <c r="G151" s="58">
        <f>IF($G$149="","",$G$149)</f>
        <v/>
      </c>
      <c r="H151" s="59" t="n"/>
      <c r="I151" s="59" t="n"/>
      <c r="J151" s="59" t="n"/>
      <c r="K151" s="59" t="n"/>
      <c r="L151" s="65">
        <f>IF(SUM(U151:AY151)=0,"",SUM(U151:AY151))</f>
        <v/>
      </c>
      <c r="M151" s="66">
        <f>IFERROR(INDEX(U$2:AY$2,MATCH(TRUE,INDEX(U151:AY151&lt;&gt;"",0),0)),"")</f>
        <v/>
      </c>
      <c r="N151" s="66">
        <f>IFERROR(LOOKUP(2,1/(U151:AY151&lt;&gt;""),U$2:AY$2),"")</f>
        <v/>
      </c>
      <c r="O151" s="59" t="n"/>
      <c r="P151" s="59" t="n"/>
      <c r="Q151" s="59" t="n"/>
      <c r="R151" s="59" t="n"/>
      <c r="S151" s="14" t="n"/>
      <c r="U151" s="53" t="n"/>
      <c r="V151" s="53" t="n"/>
      <c r="W151" s="53" t="n"/>
      <c r="X151" s="53" t="n"/>
      <c r="Y151" s="53" t="n"/>
      <c r="Z151" s="53" t="n"/>
      <c r="AA151" s="53" t="n"/>
      <c r="AB151" s="53" t="n"/>
      <c r="AC151" s="53" t="n"/>
      <c r="AD151" s="53" t="n"/>
      <c r="AE151" s="53" t="n"/>
      <c r="AF151" s="53" t="n"/>
      <c r="AG151" s="53" t="n"/>
      <c r="AH151" s="53" t="n"/>
      <c r="AI151" s="53" t="n"/>
      <c r="AJ151" s="53" t="n"/>
      <c r="AK151" s="53" t="n"/>
      <c r="AL151" s="53" t="n"/>
      <c r="AM151" s="53" t="n"/>
      <c r="AN151" s="53" t="n"/>
      <c r="AO151" s="53" t="n"/>
      <c r="AP151" s="53" t="n"/>
      <c r="AQ151" s="53" t="n"/>
      <c r="AR151" s="53" t="n"/>
      <c r="AS151" s="53" t="n"/>
      <c r="AT151" s="53" t="n"/>
      <c r="AU151" s="53" t="n"/>
      <c r="AV151" s="53" t="n"/>
      <c r="AW151" s="53" t="n"/>
      <c r="AX151" s="53" t="n"/>
      <c r="AY151" s="53" t="n"/>
    </row>
    <row r="152" ht="15" customHeight="1">
      <c r="A152" s="40">
        <f>IF($D$152="","",48)</f>
        <v/>
      </c>
      <c r="B152" s="10" t="n"/>
      <c r="C152" s="41" t="inlineStr">
        <is>
          <t>마케팅3팀</t>
        </is>
      </c>
      <c r="D152" s="42" t="n"/>
      <c r="E152" s="43" t="inlineStr">
        <is>
          <t>기획</t>
        </is>
      </c>
      <c r="F152" s="44" t="n"/>
      <c r="G152" s="45" t="n"/>
      <c r="H152" s="46">
        <f>IF($I$152="","",IF($I$152&lt;0,"🔴지연",IF($I$152&lt;=1,"🟡임박","🟢여유")))</f>
        <v/>
      </c>
      <c r="I152" s="47">
        <f>IF(OR($G$152="",$K$152=""),"",$G$152-$K$152)</f>
        <v/>
      </c>
      <c r="J152" s="48">
        <f>IF(SUM($L$152:$L$154)=0,"",SUM($L$152:$L$154))</f>
        <v/>
      </c>
      <c r="K152" s="49">
        <f>IF($J$152="","",MAX($N$152:$N$154))</f>
        <v/>
      </c>
      <c r="L152" s="50">
        <f>IF(SUM(U152:AY152)=0,"",SUM(U152:AY152))</f>
        <v/>
      </c>
      <c r="M152" s="51">
        <f>IFERROR(INDEX(U$2:AY$2,MATCH(TRUE,INDEX(U152:AY152&lt;&gt;"",0),0)),"")</f>
        <v/>
      </c>
      <c r="N152" s="51">
        <f>IFERROR(LOOKUP(2,1/(U152:AY152&lt;&gt;""),U$2:AY$2),"")</f>
        <v/>
      </c>
      <c r="O152" s="52" t="n"/>
      <c r="P152" s="52" t="n"/>
      <c r="Q152" s="52" t="n"/>
      <c r="R152" s="44" t="n"/>
      <c r="S152" s="14" t="n"/>
      <c r="U152" s="53" t="n"/>
      <c r="V152" s="53" t="n"/>
      <c r="W152" s="53" t="n"/>
      <c r="X152" s="53" t="n"/>
      <c r="Y152" s="53" t="n"/>
      <c r="Z152" s="53" t="n"/>
      <c r="AA152" s="53" t="n"/>
      <c r="AB152" s="53" t="n"/>
      <c r="AC152" s="53" t="n"/>
      <c r="AD152" s="53" t="n"/>
      <c r="AE152" s="53" t="n"/>
      <c r="AF152" s="53" t="n"/>
      <c r="AG152" s="53" t="n"/>
      <c r="AH152" s="53" t="n"/>
      <c r="AI152" s="53" t="n"/>
      <c r="AJ152" s="53" t="n"/>
      <c r="AK152" s="53" t="n"/>
      <c r="AL152" s="53" t="n"/>
      <c r="AM152" s="53" t="n"/>
      <c r="AN152" s="53" t="n"/>
      <c r="AO152" s="53" t="n"/>
      <c r="AP152" s="53" t="n"/>
      <c r="AQ152" s="53" t="n"/>
      <c r="AR152" s="53" t="n"/>
      <c r="AS152" s="53" t="n"/>
      <c r="AT152" s="53" t="n"/>
      <c r="AU152" s="53" t="n"/>
      <c r="AV152" s="53" t="n"/>
      <c r="AW152" s="53" t="n"/>
      <c r="AX152" s="53" t="n"/>
      <c r="AY152" s="53" t="n"/>
    </row>
    <row r="153" ht="15" customHeight="1">
      <c r="A153" s="54" t="n"/>
      <c r="B153" s="55">
        <f>IF($B$152="","",$B$152)</f>
        <v/>
      </c>
      <c r="C153" s="56" t="inlineStr">
        <is>
          <t>마케팅3팀</t>
        </is>
      </c>
      <c r="D153" s="55">
        <f>IF($D$152="","",$D$152)</f>
        <v/>
      </c>
      <c r="E153" s="57" t="inlineStr">
        <is>
          <t>이미지</t>
        </is>
      </c>
      <c r="F153" s="44" t="n"/>
      <c r="G153" s="58">
        <f>IF($G$152="","",$G$152)</f>
        <v/>
      </c>
      <c r="H153" s="59" t="n"/>
      <c r="I153" s="59" t="n"/>
      <c r="J153" s="59" t="n"/>
      <c r="K153" s="59" t="n"/>
      <c r="L153" s="60">
        <f>IF(SUM(U153:AY153)=0,"",SUM(U153:AY153))</f>
        <v/>
      </c>
      <c r="M153" s="61">
        <f>IFERROR(INDEX(U$2:AY$2,MATCH(TRUE,INDEX(U153:AY153&lt;&gt;"",0),0)),"")</f>
        <v/>
      </c>
      <c r="N153" s="61">
        <f>IFERROR(LOOKUP(2,1/(U153:AY153&lt;&gt;""),U$2:AY$2),"")</f>
        <v/>
      </c>
      <c r="O153" s="59" t="n"/>
      <c r="P153" s="59" t="n"/>
      <c r="Q153" s="59" t="n"/>
      <c r="R153" s="59" t="n"/>
      <c r="S153" s="14" t="n"/>
      <c r="U153" s="53" t="n"/>
      <c r="V153" s="53" t="n"/>
      <c r="W153" s="53" t="n"/>
      <c r="X153" s="53" t="n"/>
      <c r="Y153" s="53" t="n"/>
      <c r="Z153" s="53" t="n"/>
      <c r="AA153" s="53" t="n"/>
      <c r="AB153" s="53" t="n"/>
      <c r="AC153" s="53" t="n"/>
      <c r="AD153" s="53" t="n"/>
      <c r="AE153" s="53" t="n"/>
      <c r="AF153" s="53" t="n"/>
      <c r="AG153" s="53" t="n"/>
      <c r="AH153" s="53" t="n"/>
      <c r="AI153" s="53" t="n"/>
      <c r="AJ153" s="53" t="n"/>
      <c r="AK153" s="53" t="n"/>
      <c r="AL153" s="53" t="n"/>
      <c r="AM153" s="53" t="n"/>
      <c r="AN153" s="53" t="n"/>
      <c r="AO153" s="53" t="n"/>
      <c r="AP153" s="53" t="n"/>
      <c r="AQ153" s="53" t="n"/>
      <c r="AR153" s="53" t="n"/>
      <c r="AS153" s="53" t="n"/>
      <c r="AT153" s="53" t="n"/>
      <c r="AU153" s="53" t="n"/>
      <c r="AV153" s="53" t="n"/>
      <c r="AW153" s="53" t="n"/>
      <c r="AX153" s="53" t="n"/>
      <c r="AY153" s="53" t="n"/>
    </row>
    <row r="154" ht="15" customHeight="1">
      <c r="A154" s="62" t="n"/>
      <c r="B154" s="55">
        <f>IF($B$152="","",$B$152)</f>
        <v/>
      </c>
      <c r="C154" s="63" t="inlineStr">
        <is>
          <t>마케팅3팀</t>
        </is>
      </c>
      <c r="D154" s="55">
        <f>IF($D$152="","",$D$152)</f>
        <v/>
      </c>
      <c r="E154" s="64" t="inlineStr">
        <is>
          <t>영상</t>
        </is>
      </c>
      <c r="F154" s="44" t="n"/>
      <c r="G154" s="58">
        <f>IF($G$152="","",$G$152)</f>
        <v/>
      </c>
      <c r="H154" s="59" t="n"/>
      <c r="I154" s="59" t="n"/>
      <c r="J154" s="59" t="n"/>
      <c r="K154" s="59" t="n"/>
      <c r="L154" s="65">
        <f>IF(SUM(U154:AY154)=0,"",SUM(U154:AY154))</f>
        <v/>
      </c>
      <c r="M154" s="66">
        <f>IFERROR(INDEX(U$2:AY$2,MATCH(TRUE,INDEX(U154:AY154&lt;&gt;"",0),0)),"")</f>
        <v/>
      </c>
      <c r="N154" s="66">
        <f>IFERROR(LOOKUP(2,1/(U154:AY154&lt;&gt;""),U$2:AY$2),"")</f>
        <v/>
      </c>
      <c r="O154" s="59" t="n"/>
      <c r="P154" s="59" t="n"/>
      <c r="Q154" s="59" t="n"/>
      <c r="R154" s="59" t="n"/>
      <c r="S154" s="14" t="n"/>
      <c r="U154" s="53" t="n"/>
      <c r="V154" s="53" t="n"/>
      <c r="W154" s="53" t="n"/>
      <c r="X154" s="53" t="n"/>
      <c r="Y154" s="53" t="n"/>
      <c r="Z154" s="53" t="n"/>
      <c r="AA154" s="53" t="n"/>
      <c r="AB154" s="53" t="n"/>
      <c r="AC154" s="53" t="n"/>
      <c r="AD154" s="53" t="n"/>
      <c r="AE154" s="53" t="n"/>
      <c r="AF154" s="53" t="n"/>
      <c r="AG154" s="53" t="n"/>
      <c r="AH154" s="53" t="n"/>
      <c r="AI154" s="53" t="n"/>
      <c r="AJ154" s="53" t="n"/>
      <c r="AK154" s="53" t="n"/>
      <c r="AL154" s="53" t="n"/>
      <c r="AM154" s="53" t="n"/>
      <c r="AN154" s="53" t="n"/>
      <c r="AO154" s="53" t="n"/>
      <c r="AP154" s="53" t="n"/>
      <c r="AQ154" s="53" t="n"/>
      <c r="AR154" s="53" t="n"/>
      <c r="AS154" s="53" t="n"/>
      <c r="AT154" s="53" t="n"/>
      <c r="AU154" s="53" t="n"/>
      <c r="AV154" s="53" t="n"/>
      <c r="AW154" s="53" t="n"/>
      <c r="AX154" s="53" t="n"/>
      <c r="AY154" s="53" t="n"/>
    </row>
    <row r="155" ht="15" customHeight="1">
      <c r="A155" s="40">
        <f>IF($D$155="","",49)</f>
        <v/>
      </c>
      <c r="B155" s="10" t="n"/>
      <c r="C155" s="41" t="inlineStr">
        <is>
          <t>마케팅3팀</t>
        </is>
      </c>
      <c r="D155" s="42" t="n"/>
      <c r="E155" s="43" t="inlineStr">
        <is>
          <t>기획</t>
        </is>
      </c>
      <c r="F155" s="44" t="n"/>
      <c r="G155" s="45" t="n"/>
      <c r="H155" s="46">
        <f>IF($I$155="","",IF($I$155&lt;0,"🔴지연",IF($I$155&lt;=1,"🟡임박","🟢여유")))</f>
        <v/>
      </c>
      <c r="I155" s="47">
        <f>IF(OR($G$155="",$K$155=""),"",$G$155-$K$155)</f>
        <v/>
      </c>
      <c r="J155" s="48">
        <f>IF(SUM($L$155:$L$157)=0,"",SUM($L$155:$L$157))</f>
        <v/>
      </c>
      <c r="K155" s="49">
        <f>IF($J$155="","",MAX($N$155:$N$157))</f>
        <v/>
      </c>
      <c r="L155" s="50">
        <f>IF(SUM(U155:AY155)=0,"",SUM(U155:AY155))</f>
        <v/>
      </c>
      <c r="M155" s="51">
        <f>IFERROR(INDEX(U$2:AY$2,MATCH(TRUE,INDEX(U155:AY155&lt;&gt;"",0),0)),"")</f>
        <v/>
      </c>
      <c r="N155" s="51">
        <f>IFERROR(LOOKUP(2,1/(U155:AY155&lt;&gt;""),U$2:AY$2),"")</f>
        <v/>
      </c>
      <c r="O155" s="52" t="n"/>
      <c r="P155" s="52" t="n"/>
      <c r="Q155" s="52" t="n"/>
      <c r="R155" s="44" t="n"/>
      <c r="S155" s="14" t="n"/>
      <c r="U155" s="53" t="n"/>
      <c r="V155" s="53" t="n"/>
      <c r="W155" s="53" t="n"/>
      <c r="X155" s="53" t="n"/>
      <c r="Y155" s="53" t="n"/>
      <c r="Z155" s="53" t="n"/>
      <c r="AA155" s="53" t="n"/>
      <c r="AB155" s="53" t="n"/>
      <c r="AC155" s="53" t="n"/>
      <c r="AD155" s="53" t="n"/>
      <c r="AE155" s="53" t="n"/>
      <c r="AF155" s="53" t="n"/>
      <c r="AG155" s="53" t="n"/>
      <c r="AH155" s="53" t="n"/>
      <c r="AI155" s="53" t="n"/>
      <c r="AJ155" s="53" t="n"/>
      <c r="AK155" s="53" t="n"/>
      <c r="AL155" s="53" t="n"/>
      <c r="AM155" s="53" t="n"/>
      <c r="AN155" s="53" t="n"/>
      <c r="AO155" s="53" t="n"/>
      <c r="AP155" s="53" t="n"/>
      <c r="AQ155" s="53" t="n"/>
      <c r="AR155" s="53" t="n"/>
      <c r="AS155" s="53" t="n"/>
      <c r="AT155" s="53" t="n"/>
      <c r="AU155" s="53" t="n"/>
      <c r="AV155" s="53" t="n"/>
      <c r="AW155" s="53" t="n"/>
      <c r="AX155" s="53" t="n"/>
      <c r="AY155" s="53" t="n"/>
    </row>
    <row r="156" ht="15" customHeight="1">
      <c r="A156" s="54" t="n"/>
      <c r="B156" s="55">
        <f>IF($B$155="","",$B$155)</f>
        <v/>
      </c>
      <c r="C156" s="56" t="inlineStr">
        <is>
          <t>마케팅3팀</t>
        </is>
      </c>
      <c r="D156" s="55">
        <f>IF($D$155="","",$D$155)</f>
        <v/>
      </c>
      <c r="E156" s="57" t="inlineStr">
        <is>
          <t>이미지</t>
        </is>
      </c>
      <c r="F156" s="44" t="n"/>
      <c r="G156" s="58">
        <f>IF($G$155="","",$G$155)</f>
        <v/>
      </c>
      <c r="H156" s="59" t="n"/>
      <c r="I156" s="59" t="n"/>
      <c r="J156" s="59" t="n"/>
      <c r="K156" s="59" t="n"/>
      <c r="L156" s="60">
        <f>IF(SUM(U156:AY156)=0,"",SUM(U156:AY156))</f>
        <v/>
      </c>
      <c r="M156" s="61">
        <f>IFERROR(INDEX(U$2:AY$2,MATCH(TRUE,INDEX(U156:AY156&lt;&gt;"",0),0)),"")</f>
        <v/>
      </c>
      <c r="N156" s="61">
        <f>IFERROR(LOOKUP(2,1/(U156:AY156&lt;&gt;""),U$2:AY$2),"")</f>
        <v/>
      </c>
      <c r="O156" s="59" t="n"/>
      <c r="P156" s="59" t="n"/>
      <c r="Q156" s="59" t="n"/>
      <c r="R156" s="59" t="n"/>
      <c r="S156" s="14" t="n"/>
      <c r="U156" s="53" t="n"/>
      <c r="V156" s="53" t="n"/>
      <c r="W156" s="53" t="n"/>
      <c r="X156" s="53" t="n"/>
      <c r="Y156" s="53" t="n"/>
      <c r="Z156" s="53" t="n"/>
      <c r="AA156" s="53" t="n"/>
      <c r="AB156" s="53" t="n"/>
      <c r="AC156" s="53" t="n"/>
      <c r="AD156" s="53" t="n"/>
      <c r="AE156" s="53" t="n"/>
      <c r="AF156" s="53" t="n"/>
      <c r="AG156" s="53" t="n"/>
      <c r="AH156" s="53" t="n"/>
      <c r="AI156" s="53" t="n"/>
      <c r="AJ156" s="53" t="n"/>
      <c r="AK156" s="53" t="n"/>
      <c r="AL156" s="53" t="n"/>
      <c r="AM156" s="53" t="n"/>
      <c r="AN156" s="53" t="n"/>
      <c r="AO156" s="53" t="n"/>
      <c r="AP156" s="53" t="n"/>
      <c r="AQ156" s="53" t="n"/>
      <c r="AR156" s="53" t="n"/>
      <c r="AS156" s="53" t="n"/>
      <c r="AT156" s="53" t="n"/>
      <c r="AU156" s="53" t="n"/>
      <c r="AV156" s="53" t="n"/>
      <c r="AW156" s="53" t="n"/>
      <c r="AX156" s="53" t="n"/>
      <c r="AY156" s="53" t="n"/>
    </row>
    <row r="157" ht="15" customHeight="1">
      <c r="A157" s="62" t="n"/>
      <c r="B157" s="55">
        <f>IF($B$155="","",$B$155)</f>
        <v/>
      </c>
      <c r="C157" s="63" t="inlineStr">
        <is>
          <t>마케팅3팀</t>
        </is>
      </c>
      <c r="D157" s="55">
        <f>IF($D$155="","",$D$155)</f>
        <v/>
      </c>
      <c r="E157" s="64" t="inlineStr">
        <is>
          <t>영상</t>
        </is>
      </c>
      <c r="F157" s="44" t="n"/>
      <c r="G157" s="58">
        <f>IF($G$155="","",$G$155)</f>
        <v/>
      </c>
      <c r="H157" s="59" t="n"/>
      <c r="I157" s="59" t="n"/>
      <c r="J157" s="59" t="n"/>
      <c r="K157" s="59" t="n"/>
      <c r="L157" s="65">
        <f>IF(SUM(U157:AY157)=0,"",SUM(U157:AY157))</f>
        <v/>
      </c>
      <c r="M157" s="66">
        <f>IFERROR(INDEX(U$2:AY$2,MATCH(TRUE,INDEX(U157:AY157&lt;&gt;"",0),0)),"")</f>
        <v/>
      </c>
      <c r="N157" s="66">
        <f>IFERROR(LOOKUP(2,1/(U157:AY157&lt;&gt;""),U$2:AY$2),"")</f>
        <v/>
      </c>
      <c r="O157" s="59" t="n"/>
      <c r="P157" s="59" t="n"/>
      <c r="Q157" s="59" t="n"/>
      <c r="R157" s="59" t="n"/>
      <c r="S157" s="14" t="n"/>
      <c r="U157" s="53" t="n"/>
      <c r="V157" s="53" t="n"/>
      <c r="W157" s="53" t="n"/>
      <c r="X157" s="53" t="n"/>
      <c r="Y157" s="53" t="n"/>
      <c r="Z157" s="53" t="n"/>
      <c r="AA157" s="53" t="n"/>
      <c r="AB157" s="53" t="n"/>
      <c r="AC157" s="53" t="n"/>
      <c r="AD157" s="53" t="n"/>
      <c r="AE157" s="53" t="n"/>
      <c r="AF157" s="53" t="n"/>
      <c r="AG157" s="53" t="n"/>
      <c r="AH157" s="53" t="n"/>
      <c r="AI157" s="53" t="n"/>
      <c r="AJ157" s="53" t="n"/>
      <c r="AK157" s="53" t="n"/>
      <c r="AL157" s="53" t="n"/>
      <c r="AM157" s="53" t="n"/>
      <c r="AN157" s="53" t="n"/>
      <c r="AO157" s="53" t="n"/>
      <c r="AP157" s="53" t="n"/>
      <c r="AQ157" s="53" t="n"/>
      <c r="AR157" s="53" t="n"/>
      <c r="AS157" s="53" t="n"/>
      <c r="AT157" s="53" t="n"/>
      <c r="AU157" s="53" t="n"/>
      <c r="AV157" s="53" t="n"/>
      <c r="AW157" s="53" t="n"/>
      <c r="AX157" s="53" t="n"/>
      <c r="AY157" s="53" t="n"/>
    </row>
    <row r="158" ht="15" customHeight="1">
      <c r="A158" s="40">
        <f>IF($D$158="","",50)</f>
        <v/>
      </c>
      <c r="B158" s="10" t="n"/>
      <c r="C158" s="41" t="inlineStr">
        <is>
          <t>마케팅3팀</t>
        </is>
      </c>
      <c r="D158" s="42" t="n"/>
      <c r="E158" s="43" t="inlineStr">
        <is>
          <t>기획</t>
        </is>
      </c>
      <c r="F158" s="44" t="n"/>
      <c r="G158" s="45" t="n"/>
      <c r="H158" s="46">
        <f>IF($I$158="","",IF($I$158&lt;0,"🔴지연",IF($I$158&lt;=1,"🟡임박","🟢여유")))</f>
        <v/>
      </c>
      <c r="I158" s="47">
        <f>IF(OR($G$158="",$K$158=""),"",$G$158-$K$158)</f>
        <v/>
      </c>
      <c r="J158" s="48">
        <f>IF(SUM($L$158:$L$160)=0,"",SUM($L$158:$L$160))</f>
        <v/>
      </c>
      <c r="K158" s="49">
        <f>IF($J$158="","",MAX($N$158:$N$160))</f>
        <v/>
      </c>
      <c r="L158" s="50">
        <f>IF(SUM(U158:AY158)=0,"",SUM(U158:AY158))</f>
        <v/>
      </c>
      <c r="M158" s="51">
        <f>IFERROR(INDEX(U$2:AY$2,MATCH(TRUE,INDEX(U158:AY158&lt;&gt;"",0),0)),"")</f>
        <v/>
      </c>
      <c r="N158" s="51">
        <f>IFERROR(LOOKUP(2,1/(U158:AY158&lt;&gt;""),U$2:AY$2),"")</f>
        <v/>
      </c>
      <c r="O158" s="52" t="n"/>
      <c r="P158" s="52" t="n"/>
      <c r="Q158" s="52" t="n"/>
      <c r="R158" s="44" t="n"/>
      <c r="S158" s="14" t="n"/>
      <c r="U158" s="53" t="n"/>
      <c r="V158" s="53" t="n"/>
      <c r="W158" s="53" t="n"/>
      <c r="X158" s="53" t="n"/>
      <c r="Y158" s="53" t="n"/>
      <c r="Z158" s="53" t="n"/>
      <c r="AA158" s="53" t="n"/>
      <c r="AB158" s="53" t="n"/>
      <c r="AC158" s="53" t="n"/>
      <c r="AD158" s="53" t="n"/>
      <c r="AE158" s="53" t="n"/>
      <c r="AF158" s="53" t="n"/>
      <c r="AG158" s="53" t="n"/>
      <c r="AH158" s="53" t="n"/>
      <c r="AI158" s="53" t="n"/>
      <c r="AJ158" s="53" t="n"/>
      <c r="AK158" s="53" t="n"/>
      <c r="AL158" s="53" t="n"/>
      <c r="AM158" s="53" t="n"/>
      <c r="AN158" s="53" t="n"/>
      <c r="AO158" s="53" t="n"/>
      <c r="AP158" s="53" t="n"/>
      <c r="AQ158" s="53" t="n"/>
      <c r="AR158" s="53" t="n"/>
      <c r="AS158" s="53" t="n"/>
      <c r="AT158" s="53" t="n"/>
      <c r="AU158" s="53" t="n"/>
      <c r="AV158" s="53" t="n"/>
      <c r="AW158" s="53" t="n"/>
      <c r="AX158" s="53" t="n"/>
      <c r="AY158" s="53" t="n"/>
    </row>
    <row r="159" ht="15" customHeight="1">
      <c r="A159" s="54" t="n"/>
      <c r="B159" s="55">
        <f>IF($B$158="","",$B$158)</f>
        <v/>
      </c>
      <c r="C159" s="56" t="inlineStr">
        <is>
          <t>마케팅3팀</t>
        </is>
      </c>
      <c r="D159" s="55">
        <f>IF($D$158="","",$D$158)</f>
        <v/>
      </c>
      <c r="E159" s="57" t="inlineStr">
        <is>
          <t>이미지</t>
        </is>
      </c>
      <c r="F159" s="44" t="n"/>
      <c r="G159" s="58">
        <f>IF($G$158="","",$G$158)</f>
        <v/>
      </c>
      <c r="H159" s="59" t="n"/>
      <c r="I159" s="59" t="n"/>
      <c r="J159" s="59" t="n"/>
      <c r="K159" s="59" t="n"/>
      <c r="L159" s="60">
        <f>IF(SUM(U159:AY159)=0,"",SUM(U159:AY159))</f>
        <v/>
      </c>
      <c r="M159" s="61">
        <f>IFERROR(INDEX(U$2:AY$2,MATCH(TRUE,INDEX(U159:AY159&lt;&gt;"",0),0)),"")</f>
        <v/>
      </c>
      <c r="N159" s="61">
        <f>IFERROR(LOOKUP(2,1/(U159:AY159&lt;&gt;""),U$2:AY$2),"")</f>
        <v/>
      </c>
      <c r="O159" s="59" t="n"/>
      <c r="P159" s="59" t="n"/>
      <c r="Q159" s="59" t="n"/>
      <c r="R159" s="59" t="n"/>
      <c r="S159" s="14" t="n"/>
      <c r="U159" s="53" t="n"/>
      <c r="V159" s="53" t="n"/>
      <c r="W159" s="53" t="n"/>
      <c r="X159" s="53" t="n"/>
      <c r="Y159" s="53" t="n"/>
      <c r="Z159" s="53" t="n"/>
      <c r="AA159" s="53" t="n"/>
      <c r="AB159" s="53" t="n"/>
      <c r="AC159" s="53" t="n"/>
      <c r="AD159" s="53" t="n"/>
      <c r="AE159" s="53" t="n"/>
      <c r="AF159" s="53" t="n"/>
      <c r="AG159" s="53" t="n"/>
      <c r="AH159" s="53" t="n"/>
      <c r="AI159" s="53" t="n"/>
      <c r="AJ159" s="53" t="n"/>
      <c r="AK159" s="53" t="n"/>
      <c r="AL159" s="53" t="n"/>
      <c r="AM159" s="53" t="n"/>
      <c r="AN159" s="53" t="n"/>
      <c r="AO159" s="53" t="n"/>
      <c r="AP159" s="53" t="n"/>
      <c r="AQ159" s="53" t="n"/>
      <c r="AR159" s="53" t="n"/>
      <c r="AS159" s="53" t="n"/>
      <c r="AT159" s="53" t="n"/>
      <c r="AU159" s="53" t="n"/>
      <c r="AV159" s="53" t="n"/>
      <c r="AW159" s="53" t="n"/>
      <c r="AX159" s="53" t="n"/>
      <c r="AY159" s="53" t="n"/>
    </row>
    <row r="160" ht="15" customHeight="1">
      <c r="A160" s="62" t="n"/>
      <c r="B160" s="55">
        <f>IF($B$158="","",$B$158)</f>
        <v/>
      </c>
      <c r="C160" s="63" t="inlineStr">
        <is>
          <t>마케팅3팀</t>
        </is>
      </c>
      <c r="D160" s="55">
        <f>IF($D$158="","",$D$158)</f>
        <v/>
      </c>
      <c r="E160" s="64" t="inlineStr">
        <is>
          <t>영상</t>
        </is>
      </c>
      <c r="F160" s="44" t="n"/>
      <c r="G160" s="58">
        <f>IF($G$158="","",$G$158)</f>
        <v/>
      </c>
      <c r="H160" s="59" t="n"/>
      <c r="I160" s="59" t="n"/>
      <c r="J160" s="59" t="n"/>
      <c r="K160" s="59" t="n"/>
      <c r="L160" s="65">
        <f>IF(SUM(U160:AY160)=0,"",SUM(U160:AY160))</f>
        <v/>
      </c>
      <c r="M160" s="66">
        <f>IFERROR(INDEX(U$2:AY$2,MATCH(TRUE,INDEX(U160:AY160&lt;&gt;"",0),0)),"")</f>
        <v/>
      </c>
      <c r="N160" s="66">
        <f>IFERROR(LOOKUP(2,1/(U160:AY160&lt;&gt;""),U$2:AY$2),"")</f>
        <v/>
      </c>
      <c r="O160" s="59" t="n"/>
      <c r="P160" s="59" t="n"/>
      <c r="Q160" s="59" t="n"/>
      <c r="R160" s="59" t="n"/>
      <c r="S160" s="14" t="n"/>
      <c r="U160" s="53" t="n"/>
      <c r="V160" s="53" t="n"/>
      <c r="W160" s="53" t="n"/>
      <c r="X160" s="53" t="n"/>
      <c r="Y160" s="53" t="n"/>
      <c r="Z160" s="53" t="n"/>
      <c r="AA160" s="53" t="n"/>
      <c r="AB160" s="53" t="n"/>
      <c r="AC160" s="53" t="n"/>
      <c r="AD160" s="53" t="n"/>
      <c r="AE160" s="53" t="n"/>
      <c r="AF160" s="53" t="n"/>
      <c r="AG160" s="53" t="n"/>
      <c r="AH160" s="53" t="n"/>
      <c r="AI160" s="53" t="n"/>
      <c r="AJ160" s="53" t="n"/>
      <c r="AK160" s="53" t="n"/>
      <c r="AL160" s="53" t="n"/>
      <c r="AM160" s="53" t="n"/>
      <c r="AN160" s="53" t="n"/>
      <c r="AO160" s="53" t="n"/>
      <c r="AP160" s="53" t="n"/>
      <c r="AQ160" s="53" t="n"/>
      <c r="AR160" s="53" t="n"/>
      <c r="AS160" s="53" t="n"/>
      <c r="AT160" s="53" t="n"/>
      <c r="AU160" s="53" t="n"/>
      <c r="AV160" s="53" t="n"/>
      <c r="AW160" s="53" t="n"/>
      <c r="AX160" s="53" t="n"/>
      <c r="AY160" s="53" t="n"/>
    </row>
    <row r="161" ht="15" customHeight="1">
      <c r="A161" s="40">
        <f>IF($D$161="","",51)</f>
        <v/>
      </c>
      <c r="B161" s="10" t="n"/>
      <c r="C161" s="41" t="inlineStr">
        <is>
          <t>마케팅3팀</t>
        </is>
      </c>
      <c r="D161" s="42" t="n"/>
      <c r="E161" s="43" t="inlineStr">
        <is>
          <t>기획</t>
        </is>
      </c>
      <c r="F161" s="44" t="n"/>
      <c r="G161" s="45" t="n"/>
      <c r="H161" s="46">
        <f>IF($I$161="","",IF($I$161&lt;0,"🔴지연",IF($I$161&lt;=1,"🟡임박","🟢여유")))</f>
        <v/>
      </c>
      <c r="I161" s="47">
        <f>IF(OR($G$161="",$K$161=""),"",$G$161-$K$161)</f>
        <v/>
      </c>
      <c r="J161" s="48">
        <f>IF(SUM($L$161:$L$163)=0,"",SUM($L$161:$L$163))</f>
        <v/>
      </c>
      <c r="K161" s="49">
        <f>IF($J$161="","",MAX($N$161:$N$163))</f>
        <v/>
      </c>
      <c r="L161" s="50">
        <f>IF(SUM(U161:AY161)=0,"",SUM(U161:AY161))</f>
        <v/>
      </c>
      <c r="M161" s="51">
        <f>IFERROR(INDEX(U$2:AY$2,MATCH(TRUE,INDEX(U161:AY161&lt;&gt;"",0),0)),"")</f>
        <v/>
      </c>
      <c r="N161" s="51">
        <f>IFERROR(LOOKUP(2,1/(U161:AY161&lt;&gt;""),U$2:AY$2),"")</f>
        <v/>
      </c>
      <c r="O161" s="52" t="n"/>
      <c r="P161" s="52" t="n"/>
      <c r="Q161" s="52" t="n"/>
      <c r="R161" s="44" t="n"/>
      <c r="S161" s="14" t="n"/>
      <c r="U161" s="53" t="n"/>
      <c r="V161" s="53" t="n"/>
      <c r="W161" s="53" t="n"/>
      <c r="X161" s="53" t="n"/>
      <c r="Y161" s="53" t="n"/>
      <c r="Z161" s="53" t="n"/>
      <c r="AA161" s="53" t="n"/>
      <c r="AB161" s="53" t="n"/>
      <c r="AC161" s="53" t="n"/>
      <c r="AD161" s="53" t="n"/>
      <c r="AE161" s="53" t="n"/>
      <c r="AF161" s="53" t="n"/>
      <c r="AG161" s="53" t="n"/>
      <c r="AH161" s="53" t="n"/>
      <c r="AI161" s="53" t="n"/>
      <c r="AJ161" s="53" t="n"/>
      <c r="AK161" s="53" t="n"/>
      <c r="AL161" s="53" t="n"/>
      <c r="AM161" s="53" t="n"/>
      <c r="AN161" s="53" t="n"/>
      <c r="AO161" s="53" t="n"/>
      <c r="AP161" s="53" t="n"/>
      <c r="AQ161" s="53" t="n"/>
      <c r="AR161" s="53" t="n"/>
      <c r="AS161" s="53" t="n"/>
      <c r="AT161" s="53" t="n"/>
      <c r="AU161" s="53" t="n"/>
      <c r="AV161" s="53" t="n"/>
      <c r="AW161" s="53" t="n"/>
      <c r="AX161" s="53" t="n"/>
      <c r="AY161" s="53" t="n"/>
    </row>
    <row r="162" ht="15" customHeight="1">
      <c r="A162" s="54" t="n"/>
      <c r="B162" s="55">
        <f>IF($B$161="","",$B$161)</f>
        <v/>
      </c>
      <c r="C162" s="56" t="inlineStr">
        <is>
          <t>마케팅3팀</t>
        </is>
      </c>
      <c r="D162" s="55">
        <f>IF($D$161="","",$D$161)</f>
        <v/>
      </c>
      <c r="E162" s="57" t="inlineStr">
        <is>
          <t>이미지</t>
        </is>
      </c>
      <c r="F162" s="44" t="n"/>
      <c r="G162" s="58">
        <f>IF($G$161="","",$G$161)</f>
        <v/>
      </c>
      <c r="H162" s="59" t="n"/>
      <c r="I162" s="59" t="n"/>
      <c r="J162" s="59" t="n"/>
      <c r="K162" s="59" t="n"/>
      <c r="L162" s="60">
        <f>IF(SUM(U162:AY162)=0,"",SUM(U162:AY162))</f>
        <v/>
      </c>
      <c r="M162" s="61">
        <f>IFERROR(INDEX(U$2:AY$2,MATCH(TRUE,INDEX(U162:AY162&lt;&gt;"",0),0)),"")</f>
        <v/>
      </c>
      <c r="N162" s="61">
        <f>IFERROR(LOOKUP(2,1/(U162:AY162&lt;&gt;""),U$2:AY$2),"")</f>
        <v/>
      </c>
      <c r="O162" s="59" t="n"/>
      <c r="P162" s="59" t="n"/>
      <c r="Q162" s="59" t="n"/>
      <c r="R162" s="59" t="n"/>
      <c r="S162" s="14" t="n"/>
      <c r="U162" s="53" t="n"/>
      <c r="V162" s="53" t="n"/>
      <c r="W162" s="53" t="n"/>
      <c r="X162" s="53" t="n"/>
      <c r="Y162" s="53" t="n"/>
      <c r="Z162" s="53" t="n"/>
      <c r="AA162" s="53" t="n"/>
      <c r="AB162" s="53" t="n"/>
      <c r="AC162" s="53" t="n"/>
      <c r="AD162" s="53" t="n"/>
      <c r="AE162" s="53" t="n"/>
      <c r="AF162" s="53" t="n"/>
      <c r="AG162" s="53" t="n"/>
      <c r="AH162" s="53" t="n"/>
      <c r="AI162" s="53" t="n"/>
      <c r="AJ162" s="53" t="n"/>
      <c r="AK162" s="53" t="n"/>
      <c r="AL162" s="53" t="n"/>
      <c r="AM162" s="53" t="n"/>
      <c r="AN162" s="53" t="n"/>
      <c r="AO162" s="53" t="n"/>
      <c r="AP162" s="53" t="n"/>
      <c r="AQ162" s="53" t="n"/>
      <c r="AR162" s="53" t="n"/>
      <c r="AS162" s="53" t="n"/>
      <c r="AT162" s="53" t="n"/>
      <c r="AU162" s="53" t="n"/>
      <c r="AV162" s="53" t="n"/>
      <c r="AW162" s="53" t="n"/>
      <c r="AX162" s="53" t="n"/>
      <c r="AY162" s="53" t="n"/>
    </row>
    <row r="163" ht="15" customHeight="1">
      <c r="A163" s="62" t="n"/>
      <c r="B163" s="55">
        <f>IF($B$161="","",$B$161)</f>
        <v/>
      </c>
      <c r="C163" s="63" t="inlineStr">
        <is>
          <t>마케팅3팀</t>
        </is>
      </c>
      <c r="D163" s="55">
        <f>IF($D$161="","",$D$161)</f>
        <v/>
      </c>
      <c r="E163" s="64" t="inlineStr">
        <is>
          <t>영상</t>
        </is>
      </c>
      <c r="F163" s="44" t="n"/>
      <c r="G163" s="58">
        <f>IF($G$161="","",$G$161)</f>
        <v/>
      </c>
      <c r="H163" s="59" t="n"/>
      <c r="I163" s="59" t="n"/>
      <c r="J163" s="59" t="n"/>
      <c r="K163" s="59" t="n"/>
      <c r="L163" s="65">
        <f>IF(SUM(U163:AY163)=0,"",SUM(U163:AY163))</f>
        <v/>
      </c>
      <c r="M163" s="66">
        <f>IFERROR(INDEX(U$2:AY$2,MATCH(TRUE,INDEX(U163:AY163&lt;&gt;"",0),0)),"")</f>
        <v/>
      </c>
      <c r="N163" s="66">
        <f>IFERROR(LOOKUP(2,1/(U163:AY163&lt;&gt;""),U$2:AY$2),"")</f>
        <v/>
      </c>
      <c r="O163" s="59" t="n"/>
      <c r="P163" s="59" t="n"/>
      <c r="Q163" s="59" t="n"/>
      <c r="R163" s="59" t="n"/>
      <c r="S163" s="14" t="n"/>
      <c r="U163" s="53" t="n"/>
      <c r="V163" s="53" t="n"/>
      <c r="W163" s="53" t="n"/>
      <c r="X163" s="53" t="n"/>
      <c r="Y163" s="53" t="n"/>
      <c r="Z163" s="53" t="n"/>
      <c r="AA163" s="53" t="n"/>
      <c r="AB163" s="53" t="n"/>
      <c r="AC163" s="53" t="n"/>
      <c r="AD163" s="53" t="n"/>
      <c r="AE163" s="53" t="n"/>
      <c r="AF163" s="53" t="n"/>
      <c r="AG163" s="53" t="n"/>
      <c r="AH163" s="53" t="n"/>
      <c r="AI163" s="53" t="n"/>
      <c r="AJ163" s="53" t="n"/>
      <c r="AK163" s="53" t="n"/>
      <c r="AL163" s="53" t="n"/>
      <c r="AM163" s="53" t="n"/>
      <c r="AN163" s="53" t="n"/>
      <c r="AO163" s="53" t="n"/>
      <c r="AP163" s="53" t="n"/>
      <c r="AQ163" s="53" t="n"/>
      <c r="AR163" s="53" t="n"/>
      <c r="AS163" s="53" t="n"/>
      <c r="AT163" s="53" t="n"/>
      <c r="AU163" s="53" t="n"/>
      <c r="AV163" s="53" t="n"/>
      <c r="AW163" s="53" t="n"/>
      <c r="AX163" s="53" t="n"/>
      <c r="AY163" s="53" t="n"/>
    </row>
    <row r="164" ht="15" customHeight="1">
      <c r="A164" s="40">
        <f>IF($D$164="","",52)</f>
        <v/>
      </c>
      <c r="B164" s="10" t="n"/>
      <c r="C164" s="41" t="inlineStr">
        <is>
          <t>마케팅3팀</t>
        </is>
      </c>
      <c r="D164" s="42" t="n"/>
      <c r="E164" s="43" t="inlineStr">
        <is>
          <t>기획</t>
        </is>
      </c>
      <c r="F164" s="44" t="n"/>
      <c r="G164" s="45" t="n"/>
      <c r="H164" s="46">
        <f>IF($I$164="","",IF($I$164&lt;0,"🔴지연",IF($I$164&lt;=1,"🟡임박","🟢여유")))</f>
        <v/>
      </c>
      <c r="I164" s="47">
        <f>IF(OR($G$164="",$K$164=""),"",$G$164-$K$164)</f>
        <v/>
      </c>
      <c r="J164" s="48">
        <f>IF(SUM($L$164:$L$166)=0,"",SUM($L$164:$L$166))</f>
        <v/>
      </c>
      <c r="K164" s="49">
        <f>IF($J$164="","",MAX($N$164:$N$166))</f>
        <v/>
      </c>
      <c r="L164" s="50">
        <f>IF(SUM(U164:AY164)=0,"",SUM(U164:AY164))</f>
        <v/>
      </c>
      <c r="M164" s="51">
        <f>IFERROR(INDEX(U$2:AY$2,MATCH(TRUE,INDEX(U164:AY164&lt;&gt;"",0),0)),"")</f>
        <v/>
      </c>
      <c r="N164" s="51">
        <f>IFERROR(LOOKUP(2,1/(U164:AY164&lt;&gt;""),U$2:AY$2),"")</f>
        <v/>
      </c>
      <c r="O164" s="52" t="n"/>
      <c r="P164" s="52" t="n"/>
      <c r="Q164" s="52" t="n"/>
      <c r="R164" s="44" t="n"/>
      <c r="S164" s="14" t="n"/>
      <c r="U164" s="53" t="n"/>
      <c r="V164" s="53" t="n"/>
      <c r="W164" s="53" t="n"/>
      <c r="X164" s="53" t="n"/>
      <c r="Y164" s="53" t="n"/>
      <c r="Z164" s="53" t="n"/>
      <c r="AA164" s="53" t="n"/>
      <c r="AB164" s="53" t="n"/>
      <c r="AC164" s="53" t="n"/>
      <c r="AD164" s="53" t="n"/>
      <c r="AE164" s="53" t="n"/>
      <c r="AF164" s="53" t="n"/>
      <c r="AG164" s="53" t="n"/>
      <c r="AH164" s="53" t="n"/>
      <c r="AI164" s="53" t="n"/>
      <c r="AJ164" s="53" t="n"/>
      <c r="AK164" s="53" t="n"/>
      <c r="AL164" s="53" t="n"/>
      <c r="AM164" s="53" t="n"/>
      <c r="AN164" s="53" t="n"/>
      <c r="AO164" s="53" t="n"/>
      <c r="AP164" s="53" t="n"/>
      <c r="AQ164" s="53" t="n"/>
      <c r="AR164" s="53" t="n"/>
      <c r="AS164" s="53" t="n"/>
      <c r="AT164" s="53" t="n"/>
      <c r="AU164" s="53" t="n"/>
      <c r="AV164" s="53" t="n"/>
      <c r="AW164" s="53" t="n"/>
      <c r="AX164" s="53" t="n"/>
      <c r="AY164" s="53" t="n"/>
    </row>
    <row r="165" ht="15" customHeight="1">
      <c r="A165" s="54" t="n"/>
      <c r="B165" s="55">
        <f>IF($B$164="","",$B$164)</f>
        <v/>
      </c>
      <c r="C165" s="56" t="inlineStr">
        <is>
          <t>마케팅3팀</t>
        </is>
      </c>
      <c r="D165" s="55">
        <f>IF($D$164="","",$D$164)</f>
        <v/>
      </c>
      <c r="E165" s="57" t="inlineStr">
        <is>
          <t>이미지</t>
        </is>
      </c>
      <c r="F165" s="44" t="n"/>
      <c r="G165" s="58">
        <f>IF($G$164="","",$G$164)</f>
        <v/>
      </c>
      <c r="H165" s="59" t="n"/>
      <c r="I165" s="59" t="n"/>
      <c r="J165" s="59" t="n"/>
      <c r="K165" s="59" t="n"/>
      <c r="L165" s="60">
        <f>IF(SUM(U165:AY165)=0,"",SUM(U165:AY165))</f>
        <v/>
      </c>
      <c r="M165" s="61">
        <f>IFERROR(INDEX(U$2:AY$2,MATCH(TRUE,INDEX(U165:AY165&lt;&gt;"",0),0)),"")</f>
        <v/>
      </c>
      <c r="N165" s="61">
        <f>IFERROR(LOOKUP(2,1/(U165:AY165&lt;&gt;""),U$2:AY$2),"")</f>
        <v/>
      </c>
      <c r="O165" s="59" t="n"/>
      <c r="P165" s="59" t="n"/>
      <c r="Q165" s="59" t="n"/>
      <c r="R165" s="59" t="n"/>
      <c r="S165" s="14" t="n"/>
      <c r="U165" s="53" t="n"/>
      <c r="V165" s="53" t="n"/>
      <c r="W165" s="53" t="n"/>
      <c r="X165" s="53" t="n"/>
      <c r="Y165" s="53" t="n"/>
      <c r="Z165" s="53" t="n"/>
      <c r="AA165" s="53" t="n"/>
      <c r="AB165" s="53" t="n"/>
      <c r="AC165" s="53" t="n"/>
      <c r="AD165" s="53" t="n"/>
      <c r="AE165" s="53" t="n"/>
      <c r="AF165" s="53" t="n"/>
      <c r="AG165" s="53" t="n"/>
      <c r="AH165" s="53" t="n"/>
      <c r="AI165" s="53" t="n"/>
      <c r="AJ165" s="53" t="n"/>
      <c r="AK165" s="53" t="n"/>
      <c r="AL165" s="53" t="n"/>
      <c r="AM165" s="53" t="n"/>
      <c r="AN165" s="53" t="n"/>
      <c r="AO165" s="53" t="n"/>
      <c r="AP165" s="53" t="n"/>
      <c r="AQ165" s="53" t="n"/>
      <c r="AR165" s="53" t="n"/>
      <c r="AS165" s="53" t="n"/>
      <c r="AT165" s="53" t="n"/>
      <c r="AU165" s="53" t="n"/>
      <c r="AV165" s="53" t="n"/>
      <c r="AW165" s="53" t="n"/>
      <c r="AX165" s="53" t="n"/>
      <c r="AY165" s="53" t="n"/>
    </row>
    <row r="166" ht="15" customHeight="1">
      <c r="A166" s="62" t="n"/>
      <c r="B166" s="55">
        <f>IF($B$164="","",$B$164)</f>
        <v/>
      </c>
      <c r="C166" s="63" t="inlineStr">
        <is>
          <t>마케팅3팀</t>
        </is>
      </c>
      <c r="D166" s="55">
        <f>IF($D$164="","",$D$164)</f>
        <v/>
      </c>
      <c r="E166" s="64" t="inlineStr">
        <is>
          <t>영상</t>
        </is>
      </c>
      <c r="F166" s="44" t="n"/>
      <c r="G166" s="58">
        <f>IF($G$164="","",$G$164)</f>
        <v/>
      </c>
      <c r="H166" s="59" t="n"/>
      <c r="I166" s="59" t="n"/>
      <c r="J166" s="59" t="n"/>
      <c r="K166" s="59" t="n"/>
      <c r="L166" s="65">
        <f>IF(SUM(U166:AY166)=0,"",SUM(U166:AY166))</f>
        <v/>
      </c>
      <c r="M166" s="66">
        <f>IFERROR(INDEX(U$2:AY$2,MATCH(TRUE,INDEX(U166:AY166&lt;&gt;"",0),0)),"")</f>
        <v/>
      </c>
      <c r="N166" s="66">
        <f>IFERROR(LOOKUP(2,1/(U166:AY166&lt;&gt;""),U$2:AY$2),"")</f>
        <v/>
      </c>
      <c r="O166" s="59" t="n"/>
      <c r="P166" s="59" t="n"/>
      <c r="Q166" s="59" t="n"/>
      <c r="R166" s="59" t="n"/>
      <c r="S166" s="14" t="n"/>
      <c r="U166" s="53" t="n"/>
      <c r="V166" s="53" t="n"/>
      <c r="W166" s="53" t="n"/>
      <c r="X166" s="53" t="n"/>
      <c r="Y166" s="53" t="n"/>
      <c r="Z166" s="53" t="n"/>
      <c r="AA166" s="53" t="n"/>
      <c r="AB166" s="53" t="n"/>
      <c r="AC166" s="53" t="n"/>
      <c r="AD166" s="53" t="n"/>
      <c r="AE166" s="53" t="n"/>
      <c r="AF166" s="53" t="n"/>
      <c r="AG166" s="53" t="n"/>
      <c r="AH166" s="53" t="n"/>
      <c r="AI166" s="53" t="n"/>
      <c r="AJ166" s="53" t="n"/>
      <c r="AK166" s="53" t="n"/>
      <c r="AL166" s="53" t="n"/>
      <c r="AM166" s="53" t="n"/>
      <c r="AN166" s="53" t="n"/>
      <c r="AO166" s="53" t="n"/>
      <c r="AP166" s="53" t="n"/>
      <c r="AQ166" s="53" t="n"/>
      <c r="AR166" s="53" t="n"/>
      <c r="AS166" s="53" t="n"/>
      <c r="AT166" s="53" t="n"/>
      <c r="AU166" s="53" t="n"/>
      <c r="AV166" s="53" t="n"/>
      <c r="AW166" s="53" t="n"/>
      <c r="AX166" s="53" t="n"/>
      <c r="AY166" s="53" t="n"/>
    </row>
    <row r="167" ht="15" customHeight="1">
      <c r="A167" s="40">
        <f>IF($D$167="","",53)</f>
        <v/>
      </c>
      <c r="B167" s="10" t="n"/>
      <c r="C167" s="41" t="inlineStr">
        <is>
          <t>마케팅3팀</t>
        </is>
      </c>
      <c r="D167" s="42" t="n"/>
      <c r="E167" s="43" t="inlineStr">
        <is>
          <t>기획</t>
        </is>
      </c>
      <c r="F167" s="44" t="n"/>
      <c r="G167" s="45" t="n"/>
      <c r="H167" s="46">
        <f>IF($I$167="","",IF($I$167&lt;0,"🔴지연",IF($I$167&lt;=1,"🟡임박","🟢여유")))</f>
        <v/>
      </c>
      <c r="I167" s="47">
        <f>IF(OR($G$167="",$K$167=""),"",$G$167-$K$167)</f>
        <v/>
      </c>
      <c r="J167" s="48">
        <f>IF(SUM($L$167:$L$169)=0,"",SUM($L$167:$L$169))</f>
        <v/>
      </c>
      <c r="K167" s="49">
        <f>IF($J$167="","",MAX($N$167:$N$169))</f>
        <v/>
      </c>
      <c r="L167" s="50">
        <f>IF(SUM(U167:AY167)=0,"",SUM(U167:AY167))</f>
        <v/>
      </c>
      <c r="M167" s="51">
        <f>IFERROR(INDEX(U$2:AY$2,MATCH(TRUE,INDEX(U167:AY167&lt;&gt;"",0),0)),"")</f>
        <v/>
      </c>
      <c r="N167" s="51">
        <f>IFERROR(LOOKUP(2,1/(U167:AY167&lt;&gt;""),U$2:AY$2),"")</f>
        <v/>
      </c>
      <c r="O167" s="52" t="n"/>
      <c r="P167" s="52" t="n"/>
      <c r="Q167" s="52" t="n"/>
      <c r="R167" s="44" t="n"/>
      <c r="S167" s="14" t="n"/>
      <c r="U167" s="53" t="n"/>
      <c r="V167" s="53" t="n"/>
      <c r="W167" s="53" t="n"/>
      <c r="X167" s="53" t="n"/>
      <c r="Y167" s="53" t="n"/>
      <c r="Z167" s="53" t="n"/>
      <c r="AA167" s="53" t="n"/>
      <c r="AB167" s="53" t="n"/>
      <c r="AC167" s="53" t="n"/>
      <c r="AD167" s="53" t="n"/>
      <c r="AE167" s="53" t="n"/>
      <c r="AF167" s="53" t="n"/>
      <c r="AG167" s="53" t="n"/>
      <c r="AH167" s="53" t="n"/>
      <c r="AI167" s="53" t="n"/>
      <c r="AJ167" s="53" t="n"/>
      <c r="AK167" s="53" t="n"/>
      <c r="AL167" s="53" t="n"/>
      <c r="AM167" s="53" t="n"/>
      <c r="AN167" s="53" t="n"/>
      <c r="AO167" s="53" t="n"/>
      <c r="AP167" s="53" t="n"/>
      <c r="AQ167" s="53" t="n"/>
      <c r="AR167" s="53" t="n"/>
      <c r="AS167" s="53" t="n"/>
      <c r="AT167" s="53" t="n"/>
      <c r="AU167" s="53" t="n"/>
      <c r="AV167" s="53" t="n"/>
      <c r="AW167" s="53" t="n"/>
      <c r="AX167" s="53" t="n"/>
      <c r="AY167" s="53" t="n"/>
    </row>
    <row r="168" ht="15" customHeight="1">
      <c r="A168" s="54" t="n"/>
      <c r="B168" s="55">
        <f>IF($B$167="","",$B$167)</f>
        <v/>
      </c>
      <c r="C168" s="56" t="inlineStr">
        <is>
          <t>마케팅3팀</t>
        </is>
      </c>
      <c r="D168" s="55">
        <f>IF($D$167="","",$D$167)</f>
        <v/>
      </c>
      <c r="E168" s="57" t="inlineStr">
        <is>
          <t>이미지</t>
        </is>
      </c>
      <c r="F168" s="44" t="n"/>
      <c r="G168" s="58">
        <f>IF($G$167="","",$G$167)</f>
        <v/>
      </c>
      <c r="H168" s="59" t="n"/>
      <c r="I168" s="59" t="n"/>
      <c r="J168" s="59" t="n"/>
      <c r="K168" s="59" t="n"/>
      <c r="L168" s="60">
        <f>IF(SUM(U168:AY168)=0,"",SUM(U168:AY168))</f>
        <v/>
      </c>
      <c r="M168" s="61">
        <f>IFERROR(INDEX(U$2:AY$2,MATCH(TRUE,INDEX(U168:AY168&lt;&gt;"",0),0)),"")</f>
        <v/>
      </c>
      <c r="N168" s="61">
        <f>IFERROR(LOOKUP(2,1/(U168:AY168&lt;&gt;""),U$2:AY$2),"")</f>
        <v/>
      </c>
      <c r="O168" s="59" t="n"/>
      <c r="P168" s="59" t="n"/>
      <c r="Q168" s="59" t="n"/>
      <c r="R168" s="59" t="n"/>
      <c r="S168" s="14" t="n"/>
      <c r="U168" s="53" t="n"/>
      <c r="V168" s="53" t="n"/>
      <c r="W168" s="53" t="n"/>
      <c r="X168" s="53" t="n"/>
      <c r="Y168" s="53" t="n"/>
      <c r="Z168" s="53" t="n"/>
      <c r="AA168" s="53" t="n"/>
      <c r="AB168" s="53" t="n"/>
      <c r="AC168" s="53" t="n"/>
      <c r="AD168" s="53" t="n"/>
      <c r="AE168" s="53" t="n"/>
      <c r="AF168" s="53" t="n"/>
      <c r="AG168" s="53" t="n"/>
      <c r="AH168" s="53" t="n"/>
      <c r="AI168" s="53" t="n"/>
      <c r="AJ168" s="53" t="n"/>
      <c r="AK168" s="53" t="n"/>
      <c r="AL168" s="53" t="n"/>
      <c r="AM168" s="53" t="n"/>
      <c r="AN168" s="53" t="n"/>
      <c r="AO168" s="53" t="n"/>
      <c r="AP168" s="53" t="n"/>
      <c r="AQ168" s="53" t="n"/>
      <c r="AR168" s="53" t="n"/>
      <c r="AS168" s="53" t="n"/>
      <c r="AT168" s="53" t="n"/>
      <c r="AU168" s="53" t="n"/>
      <c r="AV168" s="53" t="n"/>
      <c r="AW168" s="53" t="n"/>
      <c r="AX168" s="53" t="n"/>
      <c r="AY168" s="53" t="n"/>
    </row>
    <row r="169" ht="15" customHeight="1">
      <c r="A169" s="62" t="n"/>
      <c r="B169" s="55">
        <f>IF($B$167="","",$B$167)</f>
        <v/>
      </c>
      <c r="C169" s="63" t="inlineStr">
        <is>
          <t>마케팅3팀</t>
        </is>
      </c>
      <c r="D169" s="55">
        <f>IF($D$167="","",$D$167)</f>
        <v/>
      </c>
      <c r="E169" s="64" t="inlineStr">
        <is>
          <t>영상</t>
        </is>
      </c>
      <c r="F169" s="44" t="n"/>
      <c r="G169" s="58">
        <f>IF($G$167="","",$G$167)</f>
        <v/>
      </c>
      <c r="H169" s="59" t="n"/>
      <c r="I169" s="59" t="n"/>
      <c r="J169" s="59" t="n"/>
      <c r="K169" s="59" t="n"/>
      <c r="L169" s="65">
        <f>IF(SUM(U169:AY169)=0,"",SUM(U169:AY169))</f>
        <v/>
      </c>
      <c r="M169" s="66">
        <f>IFERROR(INDEX(U$2:AY$2,MATCH(TRUE,INDEX(U169:AY169&lt;&gt;"",0),0)),"")</f>
        <v/>
      </c>
      <c r="N169" s="66">
        <f>IFERROR(LOOKUP(2,1/(U169:AY169&lt;&gt;""),U$2:AY$2),"")</f>
        <v/>
      </c>
      <c r="O169" s="59" t="n"/>
      <c r="P169" s="59" t="n"/>
      <c r="Q169" s="59" t="n"/>
      <c r="R169" s="59" t="n"/>
      <c r="S169" s="14" t="n"/>
      <c r="U169" s="53" t="n"/>
      <c r="V169" s="53" t="n"/>
      <c r="W169" s="53" t="n"/>
      <c r="X169" s="53" t="n"/>
      <c r="Y169" s="53" t="n"/>
      <c r="Z169" s="53" t="n"/>
      <c r="AA169" s="53" t="n"/>
      <c r="AB169" s="53" t="n"/>
      <c r="AC169" s="53" t="n"/>
      <c r="AD169" s="53" t="n"/>
      <c r="AE169" s="53" t="n"/>
      <c r="AF169" s="53" t="n"/>
      <c r="AG169" s="53" t="n"/>
      <c r="AH169" s="53" t="n"/>
      <c r="AI169" s="53" t="n"/>
      <c r="AJ169" s="53" t="n"/>
      <c r="AK169" s="53" t="n"/>
      <c r="AL169" s="53" t="n"/>
      <c r="AM169" s="53" t="n"/>
      <c r="AN169" s="53" t="n"/>
      <c r="AO169" s="53" t="n"/>
      <c r="AP169" s="53" t="n"/>
      <c r="AQ169" s="53" t="n"/>
      <c r="AR169" s="53" t="n"/>
      <c r="AS169" s="53" t="n"/>
      <c r="AT169" s="53" t="n"/>
      <c r="AU169" s="53" t="n"/>
      <c r="AV169" s="53" t="n"/>
      <c r="AW169" s="53" t="n"/>
      <c r="AX169" s="53" t="n"/>
      <c r="AY169" s="53" t="n"/>
    </row>
    <row r="170" ht="15" customHeight="1">
      <c r="A170" s="40">
        <f>IF($D$170="","",54)</f>
        <v/>
      </c>
      <c r="B170" s="10" t="n"/>
      <c r="C170" s="41" t="inlineStr">
        <is>
          <t>마케팅3팀</t>
        </is>
      </c>
      <c r="D170" s="42" t="n"/>
      <c r="E170" s="43" t="inlineStr">
        <is>
          <t>기획</t>
        </is>
      </c>
      <c r="F170" s="44" t="n"/>
      <c r="G170" s="45" t="n"/>
      <c r="H170" s="46">
        <f>IF($I$170="","",IF($I$170&lt;0,"🔴지연",IF($I$170&lt;=1,"🟡임박","🟢여유")))</f>
        <v/>
      </c>
      <c r="I170" s="47">
        <f>IF(OR($G$170="",$K$170=""),"",$G$170-$K$170)</f>
        <v/>
      </c>
      <c r="J170" s="48">
        <f>IF(SUM($L$170:$L$172)=0,"",SUM($L$170:$L$172))</f>
        <v/>
      </c>
      <c r="K170" s="49">
        <f>IF($J$170="","",MAX($N$170:$N$172))</f>
        <v/>
      </c>
      <c r="L170" s="50">
        <f>IF(SUM(U170:AY170)=0,"",SUM(U170:AY170))</f>
        <v/>
      </c>
      <c r="M170" s="51">
        <f>IFERROR(INDEX(U$2:AY$2,MATCH(TRUE,INDEX(U170:AY170&lt;&gt;"",0),0)),"")</f>
        <v/>
      </c>
      <c r="N170" s="51">
        <f>IFERROR(LOOKUP(2,1/(U170:AY170&lt;&gt;""),U$2:AY$2),"")</f>
        <v/>
      </c>
      <c r="O170" s="52" t="n"/>
      <c r="P170" s="52" t="n"/>
      <c r="Q170" s="52" t="n"/>
      <c r="R170" s="44" t="n"/>
      <c r="S170" s="14" t="n"/>
      <c r="U170" s="53" t="n"/>
      <c r="V170" s="53" t="n"/>
      <c r="W170" s="53" t="n"/>
      <c r="X170" s="53" t="n"/>
      <c r="Y170" s="53" t="n"/>
      <c r="Z170" s="53" t="n"/>
      <c r="AA170" s="53" t="n"/>
      <c r="AB170" s="53" t="n"/>
      <c r="AC170" s="53" t="n"/>
      <c r="AD170" s="53" t="n"/>
      <c r="AE170" s="53" t="n"/>
      <c r="AF170" s="53" t="n"/>
      <c r="AG170" s="53" t="n"/>
      <c r="AH170" s="53" t="n"/>
      <c r="AI170" s="53" t="n"/>
      <c r="AJ170" s="53" t="n"/>
      <c r="AK170" s="53" t="n"/>
      <c r="AL170" s="53" t="n"/>
      <c r="AM170" s="53" t="n"/>
      <c r="AN170" s="53" t="n"/>
      <c r="AO170" s="53" t="n"/>
      <c r="AP170" s="53" t="n"/>
      <c r="AQ170" s="53" t="n"/>
      <c r="AR170" s="53" t="n"/>
      <c r="AS170" s="53" t="n"/>
      <c r="AT170" s="53" t="n"/>
      <c r="AU170" s="53" t="n"/>
      <c r="AV170" s="53" t="n"/>
      <c r="AW170" s="53" t="n"/>
      <c r="AX170" s="53" t="n"/>
      <c r="AY170" s="53" t="n"/>
    </row>
    <row r="171" ht="15" customHeight="1">
      <c r="A171" s="54" t="n"/>
      <c r="B171" s="55">
        <f>IF($B$170="","",$B$170)</f>
        <v/>
      </c>
      <c r="C171" s="56" t="inlineStr">
        <is>
          <t>마케팅3팀</t>
        </is>
      </c>
      <c r="D171" s="55">
        <f>IF($D$170="","",$D$170)</f>
        <v/>
      </c>
      <c r="E171" s="57" t="inlineStr">
        <is>
          <t>이미지</t>
        </is>
      </c>
      <c r="F171" s="44" t="n"/>
      <c r="G171" s="58">
        <f>IF($G$170="","",$G$170)</f>
        <v/>
      </c>
      <c r="H171" s="59" t="n"/>
      <c r="I171" s="59" t="n"/>
      <c r="J171" s="59" t="n"/>
      <c r="K171" s="59" t="n"/>
      <c r="L171" s="60">
        <f>IF(SUM(U171:AY171)=0,"",SUM(U171:AY171))</f>
        <v/>
      </c>
      <c r="M171" s="61">
        <f>IFERROR(INDEX(U$2:AY$2,MATCH(TRUE,INDEX(U171:AY171&lt;&gt;"",0),0)),"")</f>
        <v/>
      </c>
      <c r="N171" s="61">
        <f>IFERROR(LOOKUP(2,1/(U171:AY171&lt;&gt;""),U$2:AY$2),"")</f>
        <v/>
      </c>
      <c r="O171" s="59" t="n"/>
      <c r="P171" s="59" t="n"/>
      <c r="Q171" s="59" t="n"/>
      <c r="R171" s="59" t="n"/>
      <c r="S171" s="14" t="n"/>
      <c r="U171" s="53" t="n"/>
      <c r="V171" s="53" t="n"/>
      <c r="W171" s="53" t="n"/>
      <c r="X171" s="53" t="n"/>
      <c r="Y171" s="53" t="n"/>
      <c r="Z171" s="53" t="n"/>
      <c r="AA171" s="53" t="n"/>
      <c r="AB171" s="53" t="n"/>
      <c r="AC171" s="53" t="n"/>
      <c r="AD171" s="53" t="n"/>
      <c r="AE171" s="53" t="n"/>
      <c r="AF171" s="53" t="n"/>
      <c r="AG171" s="53" t="n"/>
      <c r="AH171" s="53" t="n"/>
      <c r="AI171" s="53" t="n"/>
      <c r="AJ171" s="53" t="n"/>
      <c r="AK171" s="53" t="n"/>
      <c r="AL171" s="53" t="n"/>
      <c r="AM171" s="53" t="n"/>
      <c r="AN171" s="53" t="n"/>
      <c r="AO171" s="53" t="n"/>
      <c r="AP171" s="53" t="n"/>
      <c r="AQ171" s="53" t="n"/>
      <c r="AR171" s="53" t="n"/>
      <c r="AS171" s="53" t="n"/>
      <c r="AT171" s="53" t="n"/>
      <c r="AU171" s="53" t="n"/>
      <c r="AV171" s="53" t="n"/>
      <c r="AW171" s="53" t="n"/>
      <c r="AX171" s="53" t="n"/>
      <c r="AY171" s="53" t="n"/>
    </row>
    <row r="172" ht="15" customHeight="1">
      <c r="A172" s="62" t="n"/>
      <c r="B172" s="55">
        <f>IF($B$170="","",$B$170)</f>
        <v/>
      </c>
      <c r="C172" s="63" t="inlineStr">
        <is>
          <t>마케팅3팀</t>
        </is>
      </c>
      <c r="D172" s="55">
        <f>IF($D$170="","",$D$170)</f>
        <v/>
      </c>
      <c r="E172" s="64" t="inlineStr">
        <is>
          <t>영상</t>
        </is>
      </c>
      <c r="F172" s="44" t="n"/>
      <c r="G172" s="58">
        <f>IF($G$170="","",$G$170)</f>
        <v/>
      </c>
      <c r="H172" s="59" t="n"/>
      <c r="I172" s="59" t="n"/>
      <c r="J172" s="59" t="n"/>
      <c r="K172" s="59" t="n"/>
      <c r="L172" s="65">
        <f>IF(SUM(U172:AY172)=0,"",SUM(U172:AY172))</f>
        <v/>
      </c>
      <c r="M172" s="66">
        <f>IFERROR(INDEX(U$2:AY$2,MATCH(TRUE,INDEX(U172:AY172&lt;&gt;"",0),0)),"")</f>
        <v/>
      </c>
      <c r="N172" s="66">
        <f>IFERROR(LOOKUP(2,1/(U172:AY172&lt;&gt;""),U$2:AY$2),"")</f>
        <v/>
      </c>
      <c r="O172" s="59" t="n"/>
      <c r="P172" s="59" t="n"/>
      <c r="Q172" s="59" t="n"/>
      <c r="R172" s="59" t="n"/>
      <c r="S172" s="14" t="n"/>
      <c r="U172" s="53" t="n"/>
      <c r="V172" s="53" t="n"/>
      <c r="W172" s="53" t="n"/>
      <c r="X172" s="53" t="n"/>
      <c r="Y172" s="53" t="n"/>
      <c r="Z172" s="53" t="n"/>
      <c r="AA172" s="53" t="n"/>
      <c r="AB172" s="53" t="n"/>
      <c r="AC172" s="53" t="n"/>
      <c r="AD172" s="53" t="n"/>
      <c r="AE172" s="53" t="n"/>
      <c r="AF172" s="53" t="n"/>
      <c r="AG172" s="53" t="n"/>
      <c r="AH172" s="53" t="n"/>
      <c r="AI172" s="53" t="n"/>
      <c r="AJ172" s="53" t="n"/>
      <c r="AK172" s="53" t="n"/>
      <c r="AL172" s="53" t="n"/>
      <c r="AM172" s="53" t="n"/>
      <c r="AN172" s="53" t="n"/>
      <c r="AO172" s="53" t="n"/>
      <c r="AP172" s="53" t="n"/>
      <c r="AQ172" s="53" t="n"/>
      <c r="AR172" s="53" t="n"/>
      <c r="AS172" s="53" t="n"/>
      <c r="AT172" s="53" t="n"/>
      <c r="AU172" s="53" t="n"/>
      <c r="AV172" s="53" t="n"/>
      <c r="AW172" s="53" t="n"/>
      <c r="AX172" s="53" t="n"/>
      <c r="AY172" s="53" t="n"/>
    </row>
    <row r="173" ht="15" customHeight="1">
      <c r="A173" s="40">
        <f>IF($D$173="","",55)</f>
        <v/>
      </c>
      <c r="B173" s="10" t="n"/>
      <c r="C173" s="41" t="inlineStr">
        <is>
          <t>마케팅3팀</t>
        </is>
      </c>
      <c r="D173" s="42" t="n"/>
      <c r="E173" s="43" t="inlineStr">
        <is>
          <t>기획</t>
        </is>
      </c>
      <c r="F173" s="44" t="n"/>
      <c r="G173" s="45" t="n"/>
      <c r="H173" s="46">
        <f>IF($I$173="","",IF($I$173&lt;0,"🔴지연",IF($I$173&lt;=1,"🟡임박","🟢여유")))</f>
        <v/>
      </c>
      <c r="I173" s="47">
        <f>IF(OR($G$173="",$K$173=""),"",$G$173-$K$173)</f>
        <v/>
      </c>
      <c r="J173" s="48">
        <f>IF(SUM($L$173:$L$175)=0,"",SUM($L$173:$L$175))</f>
        <v/>
      </c>
      <c r="K173" s="49">
        <f>IF($J$173="","",MAX($N$173:$N$175))</f>
        <v/>
      </c>
      <c r="L173" s="50">
        <f>IF(SUM(U173:AY173)=0,"",SUM(U173:AY173))</f>
        <v/>
      </c>
      <c r="M173" s="51">
        <f>IFERROR(INDEX(U$2:AY$2,MATCH(TRUE,INDEX(U173:AY173&lt;&gt;"",0),0)),"")</f>
        <v/>
      </c>
      <c r="N173" s="51">
        <f>IFERROR(LOOKUP(2,1/(U173:AY173&lt;&gt;""),U$2:AY$2),"")</f>
        <v/>
      </c>
      <c r="O173" s="52" t="n"/>
      <c r="P173" s="52" t="n"/>
      <c r="Q173" s="52" t="n"/>
      <c r="R173" s="44" t="n"/>
      <c r="S173" s="14" t="n"/>
      <c r="U173" s="53" t="n"/>
      <c r="V173" s="53" t="n"/>
      <c r="W173" s="53" t="n"/>
      <c r="X173" s="53" t="n"/>
      <c r="Y173" s="53" t="n"/>
      <c r="Z173" s="53" t="n"/>
      <c r="AA173" s="53" t="n"/>
      <c r="AB173" s="53" t="n"/>
      <c r="AC173" s="53" t="n"/>
      <c r="AD173" s="53" t="n"/>
      <c r="AE173" s="53" t="n"/>
      <c r="AF173" s="53" t="n"/>
      <c r="AG173" s="53" t="n"/>
      <c r="AH173" s="53" t="n"/>
      <c r="AI173" s="53" t="n"/>
      <c r="AJ173" s="53" t="n"/>
      <c r="AK173" s="53" t="n"/>
      <c r="AL173" s="53" t="n"/>
      <c r="AM173" s="53" t="n"/>
      <c r="AN173" s="53" t="n"/>
      <c r="AO173" s="53" t="n"/>
      <c r="AP173" s="53" t="n"/>
      <c r="AQ173" s="53" t="n"/>
      <c r="AR173" s="53" t="n"/>
      <c r="AS173" s="53" t="n"/>
      <c r="AT173" s="53" t="n"/>
      <c r="AU173" s="53" t="n"/>
      <c r="AV173" s="53" t="n"/>
      <c r="AW173" s="53" t="n"/>
      <c r="AX173" s="53" t="n"/>
      <c r="AY173" s="53" t="n"/>
    </row>
    <row r="174" ht="15" customHeight="1">
      <c r="A174" s="54" t="n"/>
      <c r="B174" s="55">
        <f>IF($B$173="","",$B$173)</f>
        <v/>
      </c>
      <c r="C174" s="56" t="inlineStr">
        <is>
          <t>마케팅3팀</t>
        </is>
      </c>
      <c r="D174" s="55">
        <f>IF($D$173="","",$D$173)</f>
        <v/>
      </c>
      <c r="E174" s="57" t="inlineStr">
        <is>
          <t>이미지</t>
        </is>
      </c>
      <c r="F174" s="44" t="n"/>
      <c r="G174" s="58">
        <f>IF($G$173="","",$G$173)</f>
        <v/>
      </c>
      <c r="H174" s="59" t="n"/>
      <c r="I174" s="59" t="n"/>
      <c r="J174" s="59" t="n"/>
      <c r="K174" s="59" t="n"/>
      <c r="L174" s="60">
        <f>IF(SUM(U174:AY174)=0,"",SUM(U174:AY174))</f>
        <v/>
      </c>
      <c r="M174" s="61">
        <f>IFERROR(INDEX(U$2:AY$2,MATCH(TRUE,INDEX(U174:AY174&lt;&gt;"",0),0)),"")</f>
        <v/>
      </c>
      <c r="N174" s="61">
        <f>IFERROR(LOOKUP(2,1/(U174:AY174&lt;&gt;""),U$2:AY$2),"")</f>
        <v/>
      </c>
      <c r="O174" s="59" t="n"/>
      <c r="P174" s="59" t="n"/>
      <c r="Q174" s="59" t="n"/>
      <c r="R174" s="59" t="n"/>
      <c r="S174" s="14" t="n"/>
      <c r="U174" s="53" t="n"/>
      <c r="V174" s="53" t="n"/>
      <c r="W174" s="53" t="n"/>
      <c r="X174" s="53" t="n"/>
      <c r="Y174" s="53" t="n"/>
      <c r="Z174" s="53" t="n"/>
      <c r="AA174" s="53" t="n"/>
      <c r="AB174" s="53" t="n"/>
      <c r="AC174" s="53" t="n"/>
      <c r="AD174" s="53" t="n"/>
      <c r="AE174" s="53" t="n"/>
      <c r="AF174" s="53" t="n"/>
      <c r="AG174" s="53" t="n"/>
      <c r="AH174" s="53" t="n"/>
      <c r="AI174" s="53" t="n"/>
      <c r="AJ174" s="53" t="n"/>
      <c r="AK174" s="53" t="n"/>
      <c r="AL174" s="53" t="n"/>
      <c r="AM174" s="53" t="n"/>
      <c r="AN174" s="53" t="n"/>
      <c r="AO174" s="53" t="n"/>
      <c r="AP174" s="53" t="n"/>
      <c r="AQ174" s="53" t="n"/>
      <c r="AR174" s="53" t="n"/>
      <c r="AS174" s="53" t="n"/>
      <c r="AT174" s="53" t="n"/>
      <c r="AU174" s="53" t="n"/>
      <c r="AV174" s="53" t="n"/>
      <c r="AW174" s="53" t="n"/>
      <c r="AX174" s="53" t="n"/>
      <c r="AY174" s="53" t="n"/>
    </row>
    <row r="175" ht="15" customHeight="1">
      <c r="A175" s="62" t="n"/>
      <c r="B175" s="55">
        <f>IF($B$173="","",$B$173)</f>
        <v/>
      </c>
      <c r="C175" s="63" t="inlineStr">
        <is>
          <t>마케팅3팀</t>
        </is>
      </c>
      <c r="D175" s="55">
        <f>IF($D$173="","",$D$173)</f>
        <v/>
      </c>
      <c r="E175" s="64" t="inlineStr">
        <is>
          <t>영상</t>
        </is>
      </c>
      <c r="F175" s="44" t="n"/>
      <c r="G175" s="58">
        <f>IF($G$173="","",$G$173)</f>
        <v/>
      </c>
      <c r="H175" s="59" t="n"/>
      <c r="I175" s="59" t="n"/>
      <c r="J175" s="59" t="n"/>
      <c r="K175" s="59" t="n"/>
      <c r="L175" s="65">
        <f>IF(SUM(U175:AY175)=0,"",SUM(U175:AY175))</f>
        <v/>
      </c>
      <c r="M175" s="66">
        <f>IFERROR(INDEX(U$2:AY$2,MATCH(TRUE,INDEX(U175:AY175&lt;&gt;"",0),0)),"")</f>
        <v/>
      </c>
      <c r="N175" s="66">
        <f>IFERROR(LOOKUP(2,1/(U175:AY175&lt;&gt;""),U$2:AY$2),"")</f>
        <v/>
      </c>
      <c r="O175" s="59" t="n"/>
      <c r="P175" s="59" t="n"/>
      <c r="Q175" s="59" t="n"/>
      <c r="R175" s="59" t="n"/>
      <c r="S175" s="14" t="n"/>
      <c r="U175" s="53" t="n"/>
      <c r="V175" s="53" t="n"/>
      <c r="W175" s="53" t="n"/>
      <c r="X175" s="53" t="n"/>
      <c r="Y175" s="53" t="n"/>
      <c r="Z175" s="53" t="n"/>
      <c r="AA175" s="53" t="n"/>
      <c r="AB175" s="53" t="n"/>
      <c r="AC175" s="53" t="n"/>
      <c r="AD175" s="53" t="n"/>
      <c r="AE175" s="53" t="n"/>
      <c r="AF175" s="53" t="n"/>
      <c r="AG175" s="53" t="n"/>
      <c r="AH175" s="53" t="n"/>
      <c r="AI175" s="53" t="n"/>
      <c r="AJ175" s="53" t="n"/>
      <c r="AK175" s="53" t="n"/>
      <c r="AL175" s="53" t="n"/>
      <c r="AM175" s="53" t="n"/>
      <c r="AN175" s="53" t="n"/>
      <c r="AO175" s="53" t="n"/>
      <c r="AP175" s="53" t="n"/>
      <c r="AQ175" s="53" t="n"/>
      <c r="AR175" s="53" t="n"/>
      <c r="AS175" s="53" t="n"/>
      <c r="AT175" s="53" t="n"/>
      <c r="AU175" s="53" t="n"/>
      <c r="AV175" s="53" t="n"/>
      <c r="AW175" s="53" t="n"/>
      <c r="AX175" s="53" t="n"/>
      <c r="AY175" s="53" t="n"/>
    </row>
    <row r="176" ht="15" customHeight="1">
      <c r="A176" s="40">
        <f>IF($D$176="","",56)</f>
        <v/>
      </c>
      <c r="B176" s="10" t="n"/>
      <c r="C176" s="41" t="inlineStr">
        <is>
          <t>마케팅3팀</t>
        </is>
      </c>
      <c r="D176" s="42" t="n"/>
      <c r="E176" s="43" t="inlineStr">
        <is>
          <t>기획</t>
        </is>
      </c>
      <c r="F176" s="44" t="n"/>
      <c r="G176" s="45" t="n"/>
      <c r="H176" s="46">
        <f>IF($I$176="","",IF($I$176&lt;0,"🔴지연",IF($I$176&lt;=1,"🟡임박","🟢여유")))</f>
        <v/>
      </c>
      <c r="I176" s="47">
        <f>IF(OR($G$176="",$K$176=""),"",$G$176-$K$176)</f>
        <v/>
      </c>
      <c r="J176" s="48">
        <f>IF(SUM($L$176:$L$178)=0,"",SUM($L$176:$L$178))</f>
        <v/>
      </c>
      <c r="K176" s="49">
        <f>IF($J$176="","",MAX($N$176:$N$178))</f>
        <v/>
      </c>
      <c r="L176" s="50">
        <f>IF(SUM(U176:AY176)=0,"",SUM(U176:AY176))</f>
        <v/>
      </c>
      <c r="M176" s="51">
        <f>IFERROR(INDEX(U$2:AY$2,MATCH(TRUE,INDEX(U176:AY176&lt;&gt;"",0),0)),"")</f>
        <v/>
      </c>
      <c r="N176" s="51">
        <f>IFERROR(LOOKUP(2,1/(U176:AY176&lt;&gt;""),U$2:AY$2),"")</f>
        <v/>
      </c>
      <c r="O176" s="52" t="n"/>
      <c r="P176" s="52" t="n"/>
      <c r="Q176" s="52" t="n"/>
      <c r="R176" s="44" t="n"/>
      <c r="S176" s="14" t="n"/>
      <c r="U176" s="53" t="n"/>
      <c r="V176" s="53" t="n"/>
      <c r="W176" s="53" t="n"/>
      <c r="X176" s="53" t="n"/>
      <c r="Y176" s="53" t="n"/>
      <c r="Z176" s="53" t="n"/>
      <c r="AA176" s="53" t="n"/>
      <c r="AB176" s="53" t="n"/>
      <c r="AC176" s="53" t="n"/>
      <c r="AD176" s="53" t="n"/>
      <c r="AE176" s="53" t="n"/>
      <c r="AF176" s="53" t="n"/>
      <c r="AG176" s="53" t="n"/>
      <c r="AH176" s="53" t="n"/>
      <c r="AI176" s="53" t="n"/>
      <c r="AJ176" s="53" t="n"/>
      <c r="AK176" s="53" t="n"/>
      <c r="AL176" s="53" t="n"/>
      <c r="AM176" s="53" t="n"/>
      <c r="AN176" s="53" t="n"/>
      <c r="AO176" s="53" t="n"/>
      <c r="AP176" s="53" t="n"/>
      <c r="AQ176" s="53" t="n"/>
      <c r="AR176" s="53" t="n"/>
      <c r="AS176" s="53" t="n"/>
      <c r="AT176" s="53" t="n"/>
      <c r="AU176" s="53" t="n"/>
      <c r="AV176" s="53" t="n"/>
      <c r="AW176" s="53" t="n"/>
      <c r="AX176" s="53" t="n"/>
      <c r="AY176" s="53" t="n"/>
    </row>
    <row r="177" ht="15" customHeight="1">
      <c r="A177" s="54" t="n"/>
      <c r="B177" s="55">
        <f>IF($B$176="","",$B$176)</f>
        <v/>
      </c>
      <c r="C177" s="56" t="inlineStr">
        <is>
          <t>마케팅3팀</t>
        </is>
      </c>
      <c r="D177" s="55">
        <f>IF($D$176="","",$D$176)</f>
        <v/>
      </c>
      <c r="E177" s="57" t="inlineStr">
        <is>
          <t>이미지</t>
        </is>
      </c>
      <c r="F177" s="44" t="n"/>
      <c r="G177" s="58">
        <f>IF($G$176="","",$G$176)</f>
        <v/>
      </c>
      <c r="H177" s="59" t="n"/>
      <c r="I177" s="59" t="n"/>
      <c r="J177" s="59" t="n"/>
      <c r="K177" s="59" t="n"/>
      <c r="L177" s="60">
        <f>IF(SUM(U177:AY177)=0,"",SUM(U177:AY177))</f>
        <v/>
      </c>
      <c r="M177" s="61">
        <f>IFERROR(INDEX(U$2:AY$2,MATCH(TRUE,INDEX(U177:AY177&lt;&gt;"",0),0)),"")</f>
        <v/>
      </c>
      <c r="N177" s="61">
        <f>IFERROR(LOOKUP(2,1/(U177:AY177&lt;&gt;""),U$2:AY$2),"")</f>
        <v/>
      </c>
      <c r="O177" s="59" t="n"/>
      <c r="P177" s="59" t="n"/>
      <c r="Q177" s="59" t="n"/>
      <c r="R177" s="59" t="n"/>
      <c r="S177" s="14" t="n"/>
      <c r="U177" s="53" t="n"/>
      <c r="V177" s="53" t="n"/>
      <c r="W177" s="53" t="n"/>
      <c r="X177" s="53" t="n"/>
      <c r="Y177" s="53" t="n"/>
      <c r="Z177" s="53" t="n"/>
      <c r="AA177" s="53" t="n"/>
      <c r="AB177" s="53" t="n"/>
      <c r="AC177" s="53" t="n"/>
      <c r="AD177" s="53" t="n"/>
      <c r="AE177" s="53" t="n"/>
      <c r="AF177" s="53" t="n"/>
      <c r="AG177" s="53" t="n"/>
      <c r="AH177" s="53" t="n"/>
      <c r="AI177" s="53" t="n"/>
      <c r="AJ177" s="53" t="n"/>
      <c r="AK177" s="53" t="n"/>
      <c r="AL177" s="53" t="n"/>
      <c r="AM177" s="53" t="n"/>
      <c r="AN177" s="53" t="n"/>
      <c r="AO177" s="53" t="n"/>
      <c r="AP177" s="53" t="n"/>
      <c r="AQ177" s="53" t="n"/>
      <c r="AR177" s="53" t="n"/>
      <c r="AS177" s="53" t="n"/>
      <c r="AT177" s="53" t="n"/>
      <c r="AU177" s="53" t="n"/>
      <c r="AV177" s="53" t="n"/>
      <c r="AW177" s="53" t="n"/>
      <c r="AX177" s="53" t="n"/>
      <c r="AY177" s="53" t="n"/>
    </row>
    <row r="178" ht="15" customHeight="1">
      <c r="A178" s="62" t="n"/>
      <c r="B178" s="55">
        <f>IF($B$176="","",$B$176)</f>
        <v/>
      </c>
      <c r="C178" s="63" t="inlineStr">
        <is>
          <t>마케팅3팀</t>
        </is>
      </c>
      <c r="D178" s="55">
        <f>IF($D$176="","",$D$176)</f>
        <v/>
      </c>
      <c r="E178" s="64" t="inlineStr">
        <is>
          <t>영상</t>
        </is>
      </c>
      <c r="F178" s="44" t="n"/>
      <c r="G178" s="58">
        <f>IF($G$176="","",$G$176)</f>
        <v/>
      </c>
      <c r="H178" s="59" t="n"/>
      <c r="I178" s="59" t="n"/>
      <c r="J178" s="59" t="n"/>
      <c r="K178" s="59" t="n"/>
      <c r="L178" s="65">
        <f>IF(SUM(U178:AY178)=0,"",SUM(U178:AY178))</f>
        <v/>
      </c>
      <c r="M178" s="66">
        <f>IFERROR(INDEX(U$2:AY$2,MATCH(TRUE,INDEX(U178:AY178&lt;&gt;"",0),0)),"")</f>
        <v/>
      </c>
      <c r="N178" s="66">
        <f>IFERROR(LOOKUP(2,1/(U178:AY178&lt;&gt;""),U$2:AY$2),"")</f>
        <v/>
      </c>
      <c r="O178" s="59" t="n"/>
      <c r="P178" s="59" t="n"/>
      <c r="Q178" s="59" t="n"/>
      <c r="R178" s="59" t="n"/>
      <c r="S178" s="14" t="n"/>
      <c r="U178" s="53" t="n"/>
      <c r="V178" s="53" t="n"/>
      <c r="W178" s="53" t="n"/>
      <c r="X178" s="53" t="n"/>
      <c r="Y178" s="53" t="n"/>
      <c r="Z178" s="53" t="n"/>
      <c r="AA178" s="53" t="n"/>
      <c r="AB178" s="53" t="n"/>
      <c r="AC178" s="53" t="n"/>
      <c r="AD178" s="53" t="n"/>
      <c r="AE178" s="53" t="n"/>
      <c r="AF178" s="53" t="n"/>
      <c r="AG178" s="53" t="n"/>
      <c r="AH178" s="53" t="n"/>
      <c r="AI178" s="53" t="n"/>
      <c r="AJ178" s="53" t="n"/>
      <c r="AK178" s="53" t="n"/>
      <c r="AL178" s="53" t="n"/>
      <c r="AM178" s="53" t="n"/>
      <c r="AN178" s="53" t="n"/>
      <c r="AO178" s="53" t="n"/>
      <c r="AP178" s="53" t="n"/>
      <c r="AQ178" s="53" t="n"/>
      <c r="AR178" s="53" t="n"/>
      <c r="AS178" s="53" t="n"/>
      <c r="AT178" s="53" t="n"/>
      <c r="AU178" s="53" t="n"/>
      <c r="AV178" s="53" t="n"/>
      <c r="AW178" s="53" t="n"/>
      <c r="AX178" s="53" t="n"/>
      <c r="AY178" s="53" t="n"/>
    </row>
    <row r="179" ht="15" customHeight="1">
      <c r="A179" s="40">
        <f>IF($D$179="","",57)</f>
        <v/>
      </c>
      <c r="B179" s="10" t="n"/>
      <c r="C179" s="41" t="inlineStr">
        <is>
          <t>마케팅3팀</t>
        </is>
      </c>
      <c r="D179" s="42" t="n"/>
      <c r="E179" s="43" t="inlineStr">
        <is>
          <t>기획</t>
        </is>
      </c>
      <c r="F179" s="44" t="n"/>
      <c r="G179" s="45" t="n"/>
      <c r="H179" s="46">
        <f>IF($I$179="","",IF($I$179&lt;0,"🔴지연",IF($I$179&lt;=1,"🟡임박","🟢여유")))</f>
        <v/>
      </c>
      <c r="I179" s="47">
        <f>IF(OR($G$179="",$K$179=""),"",$G$179-$K$179)</f>
        <v/>
      </c>
      <c r="J179" s="48">
        <f>IF(SUM($L$179:$L$181)=0,"",SUM($L$179:$L$181))</f>
        <v/>
      </c>
      <c r="K179" s="49">
        <f>IF($J$179="","",MAX($N$179:$N$181))</f>
        <v/>
      </c>
      <c r="L179" s="50">
        <f>IF(SUM(U179:AY179)=0,"",SUM(U179:AY179))</f>
        <v/>
      </c>
      <c r="M179" s="51">
        <f>IFERROR(INDEX(U$2:AY$2,MATCH(TRUE,INDEX(U179:AY179&lt;&gt;"",0),0)),"")</f>
        <v/>
      </c>
      <c r="N179" s="51">
        <f>IFERROR(LOOKUP(2,1/(U179:AY179&lt;&gt;""),U$2:AY$2),"")</f>
        <v/>
      </c>
      <c r="O179" s="52" t="n"/>
      <c r="P179" s="52" t="n"/>
      <c r="Q179" s="52" t="n"/>
      <c r="R179" s="44" t="n"/>
      <c r="S179" s="14" t="n"/>
      <c r="U179" s="53" t="n"/>
      <c r="V179" s="53" t="n"/>
      <c r="W179" s="53" t="n"/>
      <c r="X179" s="53" t="n"/>
      <c r="Y179" s="53" t="n"/>
      <c r="Z179" s="53" t="n"/>
      <c r="AA179" s="53" t="n"/>
      <c r="AB179" s="53" t="n"/>
      <c r="AC179" s="53" t="n"/>
      <c r="AD179" s="53" t="n"/>
      <c r="AE179" s="53" t="n"/>
      <c r="AF179" s="53" t="n"/>
      <c r="AG179" s="53" t="n"/>
      <c r="AH179" s="53" t="n"/>
      <c r="AI179" s="53" t="n"/>
      <c r="AJ179" s="53" t="n"/>
      <c r="AK179" s="53" t="n"/>
      <c r="AL179" s="53" t="n"/>
      <c r="AM179" s="53" t="n"/>
      <c r="AN179" s="53" t="n"/>
      <c r="AO179" s="53" t="n"/>
      <c r="AP179" s="53" t="n"/>
      <c r="AQ179" s="53" t="n"/>
      <c r="AR179" s="53" t="n"/>
      <c r="AS179" s="53" t="n"/>
      <c r="AT179" s="53" t="n"/>
      <c r="AU179" s="53" t="n"/>
      <c r="AV179" s="53" t="n"/>
      <c r="AW179" s="53" t="n"/>
      <c r="AX179" s="53" t="n"/>
      <c r="AY179" s="53" t="n"/>
    </row>
    <row r="180" ht="15" customHeight="1">
      <c r="A180" s="54" t="n"/>
      <c r="B180" s="55">
        <f>IF($B$179="","",$B$179)</f>
        <v/>
      </c>
      <c r="C180" s="56" t="inlineStr">
        <is>
          <t>마케팅3팀</t>
        </is>
      </c>
      <c r="D180" s="55">
        <f>IF($D$179="","",$D$179)</f>
        <v/>
      </c>
      <c r="E180" s="57" t="inlineStr">
        <is>
          <t>이미지</t>
        </is>
      </c>
      <c r="F180" s="44" t="n"/>
      <c r="G180" s="58">
        <f>IF($G$179="","",$G$179)</f>
        <v/>
      </c>
      <c r="H180" s="59" t="n"/>
      <c r="I180" s="59" t="n"/>
      <c r="J180" s="59" t="n"/>
      <c r="K180" s="59" t="n"/>
      <c r="L180" s="60">
        <f>IF(SUM(U180:AY180)=0,"",SUM(U180:AY180))</f>
        <v/>
      </c>
      <c r="M180" s="61">
        <f>IFERROR(INDEX(U$2:AY$2,MATCH(TRUE,INDEX(U180:AY180&lt;&gt;"",0),0)),"")</f>
        <v/>
      </c>
      <c r="N180" s="61">
        <f>IFERROR(LOOKUP(2,1/(U180:AY180&lt;&gt;""),U$2:AY$2),"")</f>
        <v/>
      </c>
      <c r="O180" s="59" t="n"/>
      <c r="P180" s="59" t="n"/>
      <c r="Q180" s="59" t="n"/>
      <c r="R180" s="59" t="n"/>
      <c r="S180" s="14" t="n"/>
      <c r="U180" s="53" t="n"/>
      <c r="V180" s="53" t="n"/>
      <c r="W180" s="53" t="n"/>
      <c r="X180" s="53" t="n"/>
      <c r="Y180" s="53" t="n"/>
      <c r="Z180" s="53" t="n"/>
      <c r="AA180" s="53" t="n"/>
      <c r="AB180" s="53" t="n"/>
      <c r="AC180" s="53" t="n"/>
      <c r="AD180" s="53" t="n"/>
      <c r="AE180" s="53" t="n"/>
      <c r="AF180" s="53" t="n"/>
      <c r="AG180" s="53" t="n"/>
      <c r="AH180" s="53" t="n"/>
      <c r="AI180" s="53" t="n"/>
      <c r="AJ180" s="53" t="n"/>
      <c r="AK180" s="53" t="n"/>
      <c r="AL180" s="53" t="n"/>
      <c r="AM180" s="53" t="n"/>
      <c r="AN180" s="53" t="n"/>
      <c r="AO180" s="53" t="n"/>
      <c r="AP180" s="53" t="n"/>
      <c r="AQ180" s="53" t="n"/>
      <c r="AR180" s="53" t="n"/>
      <c r="AS180" s="53" t="n"/>
      <c r="AT180" s="53" t="n"/>
      <c r="AU180" s="53" t="n"/>
      <c r="AV180" s="53" t="n"/>
      <c r="AW180" s="53" t="n"/>
      <c r="AX180" s="53" t="n"/>
      <c r="AY180" s="53" t="n"/>
    </row>
    <row r="181" ht="15" customHeight="1">
      <c r="A181" s="62" t="n"/>
      <c r="B181" s="55">
        <f>IF($B$179="","",$B$179)</f>
        <v/>
      </c>
      <c r="C181" s="63" t="inlineStr">
        <is>
          <t>마케팅3팀</t>
        </is>
      </c>
      <c r="D181" s="55">
        <f>IF($D$179="","",$D$179)</f>
        <v/>
      </c>
      <c r="E181" s="64" t="inlineStr">
        <is>
          <t>영상</t>
        </is>
      </c>
      <c r="F181" s="44" t="n"/>
      <c r="G181" s="58">
        <f>IF($G$179="","",$G$179)</f>
        <v/>
      </c>
      <c r="H181" s="59" t="n"/>
      <c r="I181" s="59" t="n"/>
      <c r="J181" s="59" t="n"/>
      <c r="K181" s="59" t="n"/>
      <c r="L181" s="65">
        <f>IF(SUM(U181:AY181)=0,"",SUM(U181:AY181))</f>
        <v/>
      </c>
      <c r="M181" s="66">
        <f>IFERROR(INDEX(U$2:AY$2,MATCH(TRUE,INDEX(U181:AY181&lt;&gt;"",0),0)),"")</f>
        <v/>
      </c>
      <c r="N181" s="66">
        <f>IFERROR(LOOKUP(2,1/(U181:AY181&lt;&gt;""),U$2:AY$2),"")</f>
        <v/>
      </c>
      <c r="O181" s="59" t="n"/>
      <c r="P181" s="59" t="n"/>
      <c r="Q181" s="59" t="n"/>
      <c r="R181" s="59" t="n"/>
      <c r="S181" s="14" t="n"/>
      <c r="U181" s="53" t="n"/>
      <c r="V181" s="53" t="n"/>
      <c r="W181" s="53" t="n"/>
      <c r="X181" s="53" t="n"/>
      <c r="Y181" s="53" t="n"/>
      <c r="Z181" s="53" t="n"/>
      <c r="AA181" s="53" t="n"/>
      <c r="AB181" s="53" t="n"/>
      <c r="AC181" s="53" t="n"/>
      <c r="AD181" s="53" t="n"/>
      <c r="AE181" s="53" t="n"/>
      <c r="AF181" s="53" t="n"/>
      <c r="AG181" s="53" t="n"/>
      <c r="AH181" s="53" t="n"/>
      <c r="AI181" s="53" t="n"/>
      <c r="AJ181" s="53" t="n"/>
      <c r="AK181" s="53" t="n"/>
      <c r="AL181" s="53" t="n"/>
      <c r="AM181" s="53" t="n"/>
      <c r="AN181" s="53" t="n"/>
      <c r="AO181" s="53" t="n"/>
      <c r="AP181" s="53" t="n"/>
      <c r="AQ181" s="53" t="n"/>
      <c r="AR181" s="53" t="n"/>
      <c r="AS181" s="53" t="n"/>
      <c r="AT181" s="53" t="n"/>
      <c r="AU181" s="53" t="n"/>
      <c r="AV181" s="53" t="n"/>
      <c r="AW181" s="53" t="n"/>
      <c r="AX181" s="53" t="n"/>
      <c r="AY181" s="53" t="n"/>
    </row>
    <row r="182" ht="15" customHeight="1">
      <c r="A182" s="40">
        <f>IF($D$182="","",58)</f>
        <v/>
      </c>
      <c r="B182" s="10" t="n"/>
      <c r="C182" s="41" t="inlineStr">
        <is>
          <t>마케팅3팀</t>
        </is>
      </c>
      <c r="D182" s="42" t="n"/>
      <c r="E182" s="43" t="inlineStr">
        <is>
          <t>기획</t>
        </is>
      </c>
      <c r="F182" s="44" t="n"/>
      <c r="G182" s="45" t="n"/>
      <c r="H182" s="46">
        <f>IF($I$182="","",IF($I$182&lt;0,"🔴지연",IF($I$182&lt;=1,"🟡임박","🟢여유")))</f>
        <v/>
      </c>
      <c r="I182" s="47">
        <f>IF(OR($G$182="",$K$182=""),"",$G$182-$K$182)</f>
        <v/>
      </c>
      <c r="J182" s="48">
        <f>IF(SUM($L$182:$L$184)=0,"",SUM($L$182:$L$184))</f>
        <v/>
      </c>
      <c r="K182" s="49">
        <f>IF($J$182="","",MAX($N$182:$N$184))</f>
        <v/>
      </c>
      <c r="L182" s="50">
        <f>IF(SUM(U182:AY182)=0,"",SUM(U182:AY182))</f>
        <v/>
      </c>
      <c r="M182" s="51">
        <f>IFERROR(INDEX(U$2:AY$2,MATCH(TRUE,INDEX(U182:AY182&lt;&gt;"",0),0)),"")</f>
        <v/>
      </c>
      <c r="N182" s="51">
        <f>IFERROR(LOOKUP(2,1/(U182:AY182&lt;&gt;""),U$2:AY$2),"")</f>
        <v/>
      </c>
      <c r="O182" s="52" t="n"/>
      <c r="P182" s="52" t="n"/>
      <c r="Q182" s="52" t="n"/>
      <c r="R182" s="44" t="n"/>
      <c r="S182" s="14" t="n"/>
      <c r="U182" s="53" t="n"/>
      <c r="V182" s="53" t="n"/>
      <c r="W182" s="53" t="n"/>
      <c r="X182" s="53" t="n"/>
      <c r="Y182" s="53" t="n"/>
      <c r="Z182" s="53" t="n"/>
      <c r="AA182" s="53" t="n"/>
      <c r="AB182" s="53" t="n"/>
      <c r="AC182" s="53" t="n"/>
      <c r="AD182" s="53" t="n"/>
      <c r="AE182" s="53" t="n"/>
      <c r="AF182" s="53" t="n"/>
      <c r="AG182" s="53" t="n"/>
      <c r="AH182" s="53" t="n"/>
      <c r="AI182" s="53" t="n"/>
      <c r="AJ182" s="53" t="n"/>
      <c r="AK182" s="53" t="n"/>
      <c r="AL182" s="53" t="n"/>
      <c r="AM182" s="53" t="n"/>
      <c r="AN182" s="53" t="n"/>
      <c r="AO182" s="53" t="n"/>
      <c r="AP182" s="53" t="n"/>
      <c r="AQ182" s="53" t="n"/>
      <c r="AR182" s="53" t="n"/>
      <c r="AS182" s="53" t="n"/>
      <c r="AT182" s="53" t="n"/>
      <c r="AU182" s="53" t="n"/>
      <c r="AV182" s="53" t="n"/>
      <c r="AW182" s="53" t="n"/>
      <c r="AX182" s="53" t="n"/>
      <c r="AY182" s="53" t="n"/>
    </row>
    <row r="183" ht="15" customHeight="1">
      <c r="A183" s="54" t="n"/>
      <c r="B183" s="55">
        <f>IF($B$182="","",$B$182)</f>
        <v/>
      </c>
      <c r="C183" s="56" t="inlineStr">
        <is>
          <t>마케팅3팀</t>
        </is>
      </c>
      <c r="D183" s="55">
        <f>IF($D$182="","",$D$182)</f>
        <v/>
      </c>
      <c r="E183" s="57" t="inlineStr">
        <is>
          <t>이미지</t>
        </is>
      </c>
      <c r="F183" s="44" t="n"/>
      <c r="G183" s="58">
        <f>IF($G$182="","",$G$182)</f>
        <v/>
      </c>
      <c r="H183" s="59" t="n"/>
      <c r="I183" s="59" t="n"/>
      <c r="J183" s="59" t="n"/>
      <c r="K183" s="59" t="n"/>
      <c r="L183" s="60">
        <f>IF(SUM(U183:AY183)=0,"",SUM(U183:AY183))</f>
        <v/>
      </c>
      <c r="M183" s="61">
        <f>IFERROR(INDEX(U$2:AY$2,MATCH(TRUE,INDEX(U183:AY183&lt;&gt;"",0),0)),"")</f>
        <v/>
      </c>
      <c r="N183" s="61">
        <f>IFERROR(LOOKUP(2,1/(U183:AY183&lt;&gt;""),U$2:AY$2),"")</f>
        <v/>
      </c>
      <c r="O183" s="59" t="n"/>
      <c r="P183" s="59" t="n"/>
      <c r="Q183" s="59" t="n"/>
      <c r="R183" s="59" t="n"/>
      <c r="S183" s="14" t="n"/>
      <c r="U183" s="53" t="n"/>
      <c r="V183" s="53" t="n"/>
      <c r="W183" s="53" t="n"/>
      <c r="X183" s="53" t="n"/>
      <c r="Y183" s="53" t="n"/>
      <c r="Z183" s="53" t="n"/>
      <c r="AA183" s="53" t="n"/>
      <c r="AB183" s="53" t="n"/>
      <c r="AC183" s="53" t="n"/>
      <c r="AD183" s="53" t="n"/>
      <c r="AE183" s="53" t="n"/>
      <c r="AF183" s="53" t="n"/>
      <c r="AG183" s="53" t="n"/>
      <c r="AH183" s="53" t="n"/>
      <c r="AI183" s="53" t="n"/>
      <c r="AJ183" s="53" t="n"/>
      <c r="AK183" s="53" t="n"/>
      <c r="AL183" s="53" t="n"/>
      <c r="AM183" s="53" t="n"/>
      <c r="AN183" s="53" t="n"/>
      <c r="AO183" s="53" t="n"/>
      <c r="AP183" s="53" t="n"/>
      <c r="AQ183" s="53" t="n"/>
      <c r="AR183" s="53" t="n"/>
      <c r="AS183" s="53" t="n"/>
      <c r="AT183" s="53" t="n"/>
      <c r="AU183" s="53" t="n"/>
      <c r="AV183" s="53" t="n"/>
      <c r="AW183" s="53" t="n"/>
      <c r="AX183" s="53" t="n"/>
      <c r="AY183" s="53" t="n"/>
    </row>
    <row r="184" ht="15" customHeight="1">
      <c r="A184" s="62" t="n"/>
      <c r="B184" s="55">
        <f>IF($B$182="","",$B$182)</f>
        <v/>
      </c>
      <c r="C184" s="63" t="inlineStr">
        <is>
          <t>마케팅3팀</t>
        </is>
      </c>
      <c r="D184" s="55">
        <f>IF($D$182="","",$D$182)</f>
        <v/>
      </c>
      <c r="E184" s="64" t="inlineStr">
        <is>
          <t>영상</t>
        </is>
      </c>
      <c r="F184" s="44" t="n"/>
      <c r="G184" s="58">
        <f>IF($G$182="","",$G$182)</f>
        <v/>
      </c>
      <c r="H184" s="59" t="n"/>
      <c r="I184" s="59" t="n"/>
      <c r="J184" s="59" t="n"/>
      <c r="K184" s="59" t="n"/>
      <c r="L184" s="65">
        <f>IF(SUM(U184:AY184)=0,"",SUM(U184:AY184))</f>
        <v/>
      </c>
      <c r="M184" s="66">
        <f>IFERROR(INDEX(U$2:AY$2,MATCH(TRUE,INDEX(U184:AY184&lt;&gt;"",0),0)),"")</f>
        <v/>
      </c>
      <c r="N184" s="66">
        <f>IFERROR(LOOKUP(2,1/(U184:AY184&lt;&gt;""),U$2:AY$2),"")</f>
        <v/>
      </c>
      <c r="O184" s="59" t="n"/>
      <c r="P184" s="59" t="n"/>
      <c r="Q184" s="59" t="n"/>
      <c r="R184" s="59" t="n"/>
      <c r="S184" s="14" t="n"/>
      <c r="U184" s="53" t="n"/>
      <c r="V184" s="53" t="n"/>
      <c r="W184" s="53" t="n"/>
      <c r="X184" s="53" t="n"/>
      <c r="Y184" s="53" t="n"/>
      <c r="Z184" s="53" t="n"/>
      <c r="AA184" s="53" t="n"/>
      <c r="AB184" s="53" t="n"/>
      <c r="AC184" s="53" t="n"/>
      <c r="AD184" s="53" t="n"/>
      <c r="AE184" s="53" t="n"/>
      <c r="AF184" s="53" t="n"/>
      <c r="AG184" s="53" t="n"/>
      <c r="AH184" s="53" t="n"/>
      <c r="AI184" s="53" t="n"/>
      <c r="AJ184" s="53" t="n"/>
      <c r="AK184" s="53" t="n"/>
      <c r="AL184" s="53" t="n"/>
      <c r="AM184" s="53" t="n"/>
      <c r="AN184" s="53" t="n"/>
      <c r="AO184" s="53" t="n"/>
      <c r="AP184" s="53" t="n"/>
      <c r="AQ184" s="53" t="n"/>
      <c r="AR184" s="53" t="n"/>
      <c r="AS184" s="53" t="n"/>
      <c r="AT184" s="53" t="n"/>
      <c r="AU184" s="53" t="n"/>
      <c r="AV184" s="53" t="n"/>
      <c r="AW184" s="53" t="n"/>
      <c r="AX184" s="53" t="n"/>
      <c r="AY184" s="53" t="n"/>
    </row>
    <row r="185" ht="15" customHeight="1">
      <c r="A185" s="40">
        <f>IF($D$185="","",59)</f>
        <v/>
      </c>
      <c r="B185" s="10" t="n"/>
      <c r="C185" s="41" t="inlineStr">
        <is>
          <t>마케팅3팀</t>
        </is>
      </c>
      <c r="D185" s="42" t="n"/>
      <c r="E185" s="43" t="inlineStr">
        <is>
          <t>기획</t>
        </is>
      </c>
      <c r="F185" s="44" t="n"/>
      <c r="G185" s="45" t="n"/>
      <c r="H185" s="46">
        <f>IF($I$185="","",IF($I$185&lt;0,"🔴지연",IF($I$185&lt;=1,"🟡임박","🟢여유")))</f>
        <v/>
      </c>
      <c r="I185" s="47">
        <f>IF(OR($G$185="",$K$185=""),"",$G$185-$K$185)</f>
        <v/>
      </c>
      <c r="J185" s="48">
        <f>IF(SUM($L$185:$L$187)=0,"",SUM($L$185:$L$187))</f>
        <v/>
      </c>
      <c r="K185" s="49">
        <f>IF($J$185="","",MAX($N$185:$N$187))</f>
        <v/>
      </c>
      <c r="L185" s="50">
        <f>IF(SUM(U185:AY185)=0,"",SUM(U185:AY185))</f>
        <v/>
      </c>
      <c r="M185" s="51">
        <f>IFERROR(INDEX(U$2:AY$2,MATCH(TRUE,INDEX(U185:AY185&lt;&gt;"",0),0)),"")</f>
        <v/>
      </c>
      <c r="N185" s="51">
        <f>IFERROR(LOOKUP(2,1/(U185:AY185&lt;&gt;""),U$2:AY$2),"")</f>
        <v/>
      </c>
      <c r="O185" s="52" t="n"/>
      <c r="P185" s="52" t="n"/>
      <c r="Q185" s="52" t="n"/>
      <c r="R185" s="44" t="n"/>
      <c r="S185" s="14" t="n"/>
      <c r="U185" s="53" t="n"/>
      <c r="V185" s="53" t="n"/>
      <c r="W185" s="53" t="n"/>
      <c r="X185" s="53" t="n"/>
      <c r="Y185" s="53" t="n"/>
      <c r="Z185" s="53" t="n"/>
      <c r="AA185" s="53" t="n"/>
      <c r="AB185" s="53" t="n"/>
      <c r="AC185" s="53" t="n"/>
      <c r="AD185" s="53" t="n"/>
      <c r="AE185" s="53" t="n"/>
      <c r="AF185" s="53" t="n"/>
      <c r="AG185" s="53" t="n"/>
      <c r="AH185" s="53" t="n"/>
      <c r="AI185" s="53" t="n"/>
      <c r="AJ185" s="53" t="n"/>
      <c r="AK185" s="53" t="n"/>
      <c r="AL185" s="53" t="n"/>
      <c r="AM185" s="53" t="n"/>
      <c r="AN185" s="53" t="n"/>
      <c r="AO185" s="53" t="n"/>
      <c r="AP185" s="53" t="n"/>
      <c r="AQ185" s="53" t="n"/>
      <c r="AR185" s="53" t="n"/>
      <c r="AS185" s="53" t="n"/>
      <c r="AT185" s="53" t="n"/>
      <c r="AU185" s="53" t="n"/>
      <c r="AV185" s="53" t="n"/>
      <c r="AW185" s="53" t="n"/>
      <c r="AX185" s="53" t="n"/>
      <c r="AY185" s="53" t="n"/>
    </row>
    <row r="186" ht="15" customHeight="1">
      <c r="A186" s="54" t="n"/>
      <c r="B186" s="55">
        <f>IF($B$185="","",$B$185)</f>
        <v/>
      </c>
      <c r="C186" s="56" t="inlineStr">
        <is>
          <t>마케팅3팀</t>
        </is>
      </c>
      <c r="D186" s="55">
        <f>IF($D$185="","",$D$185)</f>
        <v/>
      </c>
      <c r="E186" s="57" t="inlineStr">
        <is>
          <t>이미지</t>
        </is>
      </c>
      <c r="F186" s="44" t="n"/>
      <c r="G186" s="58">
        <f>IF($G$185="","",$G$185)</f>
        <v/>
      </c>
      <c r="H186" s="59" t="n"/>
      <c r="I186" s="59" t="n"/>
      <c r="J186" s="59" t="n"/>
      <c r="K186" s="59" t="n"/>
      <c r="L186" s="60">
        <f>IF(SUM(U186:AY186)=0,"",SUM(U186:AY186))</f>
        <v/>
      </c>
      <c r="M186" s="61">
        <f>IFERROR(INDEX(U$2:AY$2,MATCH(TRUE,INDEX(U186:AY186&lt;&gt;"",0),0)),"")</f>
        <v/>
      </c>
      <c r="N186" s="61">
        <f>IFERROR(LOOKUP(2,1/(U186:AY186&lt;&gt;""),U$2:AY$2),"")</f>
        <v/>
      </c>
      <c r="O186" s="59" t="n"/>
      <c r="P186" s="59" t="n"/>
      <c r="Q186" s="59" t="n"/>
      <c r="R186" s="59" t="n"/>
      <c r="S186" s="14" t="n"/>
      <c r="U186" s="53" t="n"/>
      <c r="V186" s="53" t="n"/>
      <c r="W186" s="53" t="n"/>
      <c r="X186" s="53" t="n"/>
      <c r="Y186" s="53" t="n"/>
      <c r="Z186" s="53" t="n"/>
      <c r="AA186" s="53" t="n"/>
      <c r="AB186" s="53" t="n"/>
      <c r="AC186" s="53" t="n"/>
      <c r="AD186" s="53" t="n"/>
      <c r="AE186" s="53" t="n"/>
      <c r="AF186" s="53" t="n"/>
      <c r="AG186" s="53" t="n"/>
      <c r="AH186" s="53" t="n"/>
      <c r="AI186" s="53" t="n"/>
      <c r="AJ186" s="53" t="n"/>
      <c r="AK186" s="53" t="n"/>
      <c r="AL186" s="53" t="n"/>
      <c r="AM186" s="53" t="n"/>
      <c r="AN186" s="53" t="n"/>
      <c r="AO186" s="53" t="n"/>
      <c r="AP186" s="53" t="n"/>
      <c r="AQ186" s="53" t="n"/>
      <c r="AR186" s="53" t="n"/>
      <c r="AS186" s="53" t="n"/>
      <c r="AT186" s="53" t="n"/>
      <c r="AU186" s="53" t="n"/>
      <c r="AV186" s="53" t="n"/>
      <c r="AW186" s="53" t="n"/>
      <c r="AX186" s="53" t="n"/>
      <c r="AY186" s="53" t="n"/>
    </row>
    <row r="187" ht="15" customHeight="1">
      <c r="A187" s="62" t="n"/>
      <c r="B187" s="55">
        <f>IF($B$185="","",$B$185)</f>
        <v/>
      </c>
      <c r="C187" s="63" t="inlineStr">
        <is>
          <t>마케팅3팀</t>
        </is>
      </c>
      <c r="D187" s="55">
        <f>IF($D$185="","",$D$185)</f>
        <v/>
      </c>
      <c r="E187" s="64" t="inlineStr">
        <is>
          <t>영상</t>
        </is>
      </c>
      <c r="F187" s="44" t="n"/>
      <c r="G187" s="58">
        <f>IF($G$185="","",$G$185)</f>
        <v/>
      </c>
      <c r="H187" s="59" t="n"/>
      <c r="I187" s="59" t="n"/>
      <c r="J187" s="59" t="n"/>
      <c r="K187" s="59" t="n"/>
      <c r="L187" s="65">
        <f>IF(SUM(U187:AY187)=0,"",SUM(U187:AY187))</f>
        <v/>
      </c>
      <c r="M187" s="66">
        <f>IFERROR(INDEX(U$2:AY$2,MATCH(TRUE,INDEX(U187:AY187&lt;&gt;"",0),0)),"")</f>
        <v/>
      </c>
      <c r="N187" s="66">
        <f>IFERROR(LOOKUP(2,1/(U187:AY187&lt;&gt;""),U$2:AY$2),"")</f>
        <v/>
      </c>
      <c r="O187" s="59" t="n"/>
      <c r="P187" s="59" t="n"/>
      <c r="Q187" s="59" t="n"/>
      <c r="R187" s="59" t="n"/>
      <c r="S187" s="14" t="n"/>
      <c r="U187" s="53" t="n"/>
      <c r="V187" s="53" t="n"/>
      <c r="W187" s="53" t="n"/>
      <c r="X187" s="53" t="n"/>
      <c r="Y187" s="53" t="n"/>
      <c r="Z187" s="53" t="n"/>
      <c r="AA187" s="53" t="n"/>
      <c r="AB187" s="53" t="n"/>
      <c r="AC187" s="53" t="n"/>
      <c r="AD187" s="53" t="n"/>
      <c r="AE187" s="53" t="n"/>
      <c r="AF187" s="53" t="n"/>
      <c r="AG187" s="53" t="n"/>
      <c r="AH187" s="53" t="n"/>
      <c r="AI187" s="53" t="n"/>
      <c r="AJ187" s="53" t="n"/>
      <c r="AK187" s="53" t="n"/>
      <c r="AL187" s="53" t="n"/>
      <c r="AM187" s="53" t="n"/>
      <c r="AN187" s="53" t="n"/>
      <c r="AO187" s="53" t="n"/>
      <c r="AP187" s="53" t="n"/>
      <c r="AQ187" s="53" t="n"/>
      <c r="AR187" s="53" t="n"/>
      <c r="AS187" s="53" t="n"/>
      <c r="AT187" s="53" t="n"/>
      <c r="AU187" s="53" t="n"/>
      <c r="AV187" s="53" t="n"/>
      <c r="AW187" s="53" t="n"/>
      <c r="AX187" s="53" t="n"/>
      <c r="AY187" s="53" t="n"/>
    </row>
    <row r="188" ht="15" customHeight="1">
      <c r="A188" s="40">
        <f>IF($D$188="","",60)</f>
        <v/>
      </c>
      <c r="B188" s="10" t="n"/>
      <c r="C188" s="41" t="inlineStr">
        <is>
          <t>마케팅3팀</t>
        </is>
      </c>
      <c r="D188" s="42" t="n"/>
      <c r="E188" s="43" t="inlineStr">
        <is>
          <t>기획</t>
        </is>
      </c>
      <c r="F188" s="44" t="n"/>
      <c r="G188" s="45" t="n"/>
      <c r="H188" s="46">
        <f>IF($I$188="","",IF($I$188&lt;0,"🔴지연",IF($I$188&lt;=1,"🟡임박","🟢여유")))</f>
        <v/>
      </c>
      <c r="I188" s="47">
        <f>IF(OR($G$188="",$K$188=""),"",$G$188-$K$188)</f>
        <v/>
      </c>
      <c r="J188" s="48">
        <f>IF(SUM($L$188:$L$190)=0,"",SUM($L$188:$L$190))</f>
        <v/>
      </c>
      <c r="K188" s="49">
        <f>IF($J$188="","",MAX($N$188:$N$190))</f>
        <v/>
      </c>
      <c r="L188" s="50">
        <f>IF(SUM(U188:AY188)=0,"",SUM(U188:AY188))</f>
        <v/>
      </c>
      <c r="M188" s="51">
        <f>IFERROR(INDEX(U$2:AY$2,MATCH(TRUE,INDEX(U188:AY188&lt;&gt;"",0),0)),"")</f>
        <v/>
      </c>
      <c r="N188" s="51">
        <f>IFERROR(LOOKUP(2,1/(U188:AY188&lt;&gt;""),U$2:AY$2),"")</f>
        <v/>
      </c>
      <c r="O188" s="52" t="n"/>
      <c r="P188" s="52" t="n"/>
      <c r="Q188" s="52" t="n"/>
      <c r="R188" s="44" t="n"/>
      <c r="S188" s="14" t="n"/>
      <c r="U188" s="53" t="n"/>
      <c r="V188" s="53" t="n"/>
      <c r="W188" s="53" t="n"/>
      <c r="X188" s="53" t="n"/>
      <c r="Y188" s="53" t="n"/>
      <c r="Z188" s="53" t="n"/>
      <c r="AA188" s="53" t="n"/>
      <c r="AB188" s="53" t="n"/>
      <c r="AC188" s="53" t="n"/>
      <c r="AD188" s="53" t="n"/>
      <c r="AE188" s="53" t="n"/>
      <c r="AF188" s="53" t="n"/>
      <c r="AG188" s="53" t="n"/>
      <c r="AH188" s="53" t="n"/>
      <c r="AI188" s="53" t="n"/>
      <c r="AJ188" s="53" t="n"/>
      <c r="AK188" s="53" t="n"/>
      <c r="AL188" s="53" t="n"/>
      <c r="AM188" s="53" t="n"/>
      <c r="AN188" s="53" t="n"/>
      <c r="AO188" s="53" t="n"/>
      <c r="AP188" s="53" t="n"/>
      <c r="AQ188" s="53" t="n"/>
      <c r="AR188" s="53" t="n"/>
      <c r="AS188" s="53" t="n"/>
      <c r="AT188" s="53" t="n"/>
      <c r="AU188" s="53" t="n"/>
      <c r="AV188" s="53" t="n"/>
      <c r="AW188" s="53" t="n"/>
      <c r="AX188" s="53" t="n"/>
      <c r="AY188" s="53" t="n"/>
    </row>
    <row r="189" ht="15" customHeight="1">
      <c r="A189" s="54" t="n"/>
      <c r="B189" s="55">
        <f>IF($B$188="","",$B$188)</f>
        <v/>
      </c>
      <c r="C189" s="56" t="inlineStr">
        <is>
          <t>마케팅3팀</t>
        </is>
      </c>
      <c r="D189" s="55">
        <f>IF($D$188="","",$D$188)</f>
        <v/>
      </c>
      <c r="E189" s="57" t="inlineStr">
        <is>
          <t>이미지</t>
        </is>
      </c>
      <c r="F189" s="44" t="n"/>
      <c r="G189" s="58">
        <f>IF($G$188="","",$G$188)</f>
        <v/>
      </c>
      <c r="H189" s="59" t="n"/>
      <c r="I189" s="59" t="n"/>
      <c r="J189" s="59" t="n"/>
      <c r="K189" s="59" t="n"/>
      <c r="L189" s="60">
        <f>IF(SUM(U189:AY189)=0,"",SUM(U189:AY189))</f>
        <v/>
      </c>
      <c r="M189" s="61">
        <f>IFERROR(INDEX(U$2:AY$2,MATCH(TRUE,INDEX(U189:AY189&lt;&gt;"",0),0)),"")</f>
        <v/>
      </c>
      <c r="N189" s="61">
        <f>IFERROR(LOOKUP(2,1/(U189:AY189&lt;&gt;""),U$2:AY$2),"")</f>
        <v/>
      </c>
      <c r="O189" s="59" t="n"/>
      <c r="P189" s="59" t="n"/>
      <c r="Q189" s="59" t="n"/>
      <c r="R189" s="59" t="n"/>
      <c r="S189" s="14" t="n"/>
      <c r="U189" s="53" t="n"/>
      <c r="V189" s="53" t="n"/>
      <c r="W189" s="53" t="n"/>
      <c r="X189" s="53" t="n"/>
      <c r="Y189" s="53" t="n"/>
      <c r="Z189" s="53" t="n"/>
      <c r="AA189" s="53" t="n"/>
      <c r="AB189" s="53" t="n"/>
      <c r="AC189" s="53" t="n"/>
      <c r="AD189" s="53" t="n"/>
      <c r="AE189" s="53" t="n"/>
      <c r="AF189" s="53" t="n"/>
      <c r="AG189" s="53" t="n"/>
      <c r="AH189" s="53" t="n"/>
      <c r="AI189" s="53" t="n"/>
      <c r="AJ189" s="53" t="n"/>
      <c r="AK189" s="53" t="n"/>
      <c r="AL189" s="53" t="n"/>
      <c r="AM189" s="53" t="n"/>
      <c r="AN189" s="53" t="n"/>
      <c r="AO189" s="53" t="n"/>
      <c r="AP189" s="53" t="n"/>
      <c r="AQ189" s="53" t="n"/>
      <c r="AR189" s="53" t="n"/>
      <c r="AS189" s="53" t="n"/>
      <c r="AT189" s="53" t="n"/>
      <c r="AU189" s="53" t="n"/>
      <c r="AV189" s="53" t="n"/>
      <c r="AW189" s="53" t="n"/>
      <c r="AX189" s="53" t="n"/>
      <c r="AY189" s="53" t="n"/>
    </row>
    <row r="190" ht="15" customHeight="1">
      <c r="A190" s="62" t="n"/>
      <c r="B190" s="55">
        <f>IF($B$188="","",$B$188)</f>
        <v/>
      </c>
      <c r="C190" s="63" t="inlineStr">
        <is>
          <t>마케팅3팀</t>
        </is>
      </c>
      <c r="D190" s="55">
        <f>IF($D$188="","",$D$188)</f>
        <v/>
      </c>
      <c r="E190" s="64" t="inlineStr">
        <is>
          <t>영상</t>
        </is>
      </c>
      <c r="F190" s="44" t="n"/>
      <c r="G190" s="58">
        <f>IF($G$188="","",$G$188)</f>
        <v/>
      </c>
      <c r="H190" s="59" t="n"/>
      <c r="I190" s="59" t="n"/>
      <c r="J190" s="59" t="n"/>
      <c r="K190" s="59" t="n"/>
      <c r="L190" s="65">
        <f>IF(SUM(U190:AY190)=0,"",SUM(U190:AY190))</f>
        <v/>
      </c>
      <c r="M190" s="66">
        <f>IFERROR(INDEX(U$2:AY$2,MATCH(TRUE,INDEX(U190:AY190&lt;&gt;"",0),0)),"")</f>
        <v/>
      </c>
      <c r="N190" s="66">
        <f>IFERROR(LOOKUP(2,1/(U190:AY190&lt;&gt;""),U$2:AY$2),"")</f>
        <v/>
      </c>
      <c r="O190" s="59" t="n"/>
      <c r="P190" s="59" t="n"/>
      <c r="Q190" s="59" t="n"/>
      <c r="R190" s="59" t="n"/>
      <c r="S190" s="14" t="n"/>
      <c r="U190" s="53" t="n"/>
      <c r="V190" s="53" t="n"/>
      <c r="W190" s="53" t="n"/>
      <c r="X190" s="53" t="n"/>
      <c r="Y190" s="53" t="n"/>
      <c r="Z190" s="53" t="n"/>
      <c r="AA190" s="53" t="n"/>
      <c r="AB190" s="53" t="n"/>
      <c r="AC190" s="53" t="n"/>
      <c r="AD190" s="53" t="n"/>
      <c r="AE190" s="53" t="n"/>
      <c r="AF190" s="53" t="n"/>
      <c r="AG190" s="53" t="n"/>
      <c r="AH190" s="53" t="n"/>
      <c r="AI190" s="53" t="n"/>
      <c r="AJ190" s="53" t="n"/>
      <c r="AK190" s="53" t="n"/>
      <c r="AL190" s="53" t="n"/>
      <c r="AM190" s="53" t="n"/>
      <c r="AN190" s="53" t="n"/>
      <c r="AO190" s="53" t="n"/>
      <c r="AP190" s="53" t="n"/>
      <c r="AQ190" s="53" t="n"/>
      <c r="AR190" s="53" t="n"/>
      <c r="AS190" s="53" t="n"/>
      <c r="AT190" s="53" t="n"/>
      <c r="AU190" s="53" t="n"/>
      <c r="AV190" s="53" t="n"/>
      <c r="AW190" s="53" t="n"/>
      <c r="AX190" s="53" t="n"/>
      <c r="AY190" s="53" t="n"/>
    </row>
    <row r="191" ht="18" customHeight="1">
      <c r="A191" s="39" t="inlineStr">
        <is>
          <t>마케팅4팀   (192~251행 · 소재 20개)</t>
        </is>
      </c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I191" s="8" t="n"/>
      <c r="AJ191" s="8" t="n"/>
      <c r="AK191" s="8" t="n"/>
      <c r="AL191" s="8" t="n"/>
      <c r="AM191" s="8" t="n"/>
      <c r="AN191" s="8" t="n"/>
      <c r="AO191" s="8" t="n"/>
      <c r="AP191" s="8" t="n"/>
      <c r="AQ191" s="8" t="n"/>
      <c r="AR191" s="8" t="n"/>
      <c r="AS191" s="8" t="n"/>
      <c r="AT191" s="8" t="n"/>
      <c r="AU191" s="8" t="n"/>
      <c r="AV191" s="8" t="n"/>
      <c r="AW191" s="8" t="n"/>
      <c r="AX191" s="8" t="n"/>
      <c r="AY191" s="4" t="n"/>
    </row>
    <row r="192" ht="15" customHeight="1">
      <c r="A192" s="40">
        <f>IF($D$192="","",61)</f>
        <v/>
      </c>
      <c r="B192" s="10" t="n"/>
      <c r="C192" s="41" t="inlineStr">
        <is>
          <t>마케팅4팀</t>
        </is>
      </c>
      <c r="D192" s="42" t="n"/>
      <c r="E192" s="43" t="inlineStr">
        <is>
          <t>기획</t>
        </is>
      </c>
      <c r="F192" s="44" t="n"/>
      <c r="G192" s="45" t="n"/>
      <c r="H192" s="46">
        <f>IF($I$192="","",IF($I$192&lt;0,"🔴지연",IF($I$192&lt;=1,"🟡임박","🟢여유")))</f>
        <v/>
      </c>
      <c r="I192" s="47">
        <f>IF(OR($G$192="",$K$192=""),"",$G$192-$K$192)</f>
        <v/>
      </c>
      <c r="J192" s="48">
        <f>IF(SUM($L$192:$L$194)=0,"",SUM($L$192:$L$194))</f>
        <v/>
      </c>
      <c r="K192" s="49">
        <f>IF($J$192="","",MAX($N$192:$N$194))</f>
        <v/>
      </c>
      <c r="L192" s="50">
        <f>IF(SUM(U192:AY192)=0,"",SUM(U192:AY192))</f>
        <v/>
      </c>
      <c r="M192" s="51">
        <f>IFERROR(INDEX(U$2:AY$2,MATCH(TRUE,INDEX(U192:AY192&lt;&gt;"",0),0)),"")</f>
        <v/>
      </c>
      <c r="N192" s="51">
        <f>IFERROR(LOOKUP(2,1/(U192:AY192&lt;&gt;""),U$2:AY$2),"")</f>
        <v/>
      </c>
      <c r="O192" s="52" t="n"/>
      <c r="P192" s="52" t="n"/>
      <c r="Q192" s="52" t="n"/>
      <c r="R192" s="44" t="n"/>
      <c r="S192" s="14" t="n"/>
      <c r="U192" s="53" t="n"/>
      <c r="V192" s="53" t="n"/>
      <c r="W192" s="53" t="n"/>
      <c r="X192" s="53" t="n"/>
      <c r="Y192" s="53" t="n"/>
      <c r="Z192" s="53" t="n"/>
      <c r="AA192" s="53" t="n"/>
      <c r="AB192" s="53" t="n"/>
      <c r="AC192" s="53" t="n"/>
      <c r="AD192" s="53" t="n"/>
      <c r="AE192" s="53" t="n"/>
      <c r="AF192" s="53" t="n"/>
      <c r="AG192" s="53" t="n"/>
      <c r="AH192" s="53" t="n"/>
      <c r="AI192" s="53" t="n"/>
      <c r="AJ192" s="53" t="n"/>
      <c r="AK192" s="53" t="n"/>
      <c r="AL192" s="53" t="n"/>
      <c r="AM192" s="53" t="n"/>
      <c r="AN192" s="53" t="n"/>
      <c r="AO192" s="53" t="n"/>
      <c r="AP192" s="53" t="n"/>
      <c r="AQ192" s="53" t="n"/>
      <c r="AR192" s="53" t="n"/>
      <c r="AS192" s="53" t="n"/>
      <c r="AT192" s="53" t="n"/>
      <c r="AU192" s="53" t="n"/>
      <c r="AV192" s="53" t="n"/>
      <c r="AW192" s="53" t="n"/>
      <c r="AX192" s="53" t="n"/>
      <c r="AY192" s="53" t="n"/>
    </row>
    <row r="193" ht="15" customHeight="1">
      <c r="A193" s="54" t="n"/>
      <c r="B193" s="55">
        <f>IF($B$192="","",$B$192)</f>
        <v/>
      </c>
      <c r="C193" s="56" t="inlineStr">
        <is>
          <t>마케팅4팀</t>
        </is>
      </c>
      <c r="D193" s="55">
        <f>IF($D$192="","",$D$192)</f>
        <v/>
      </c>
      <c r="E193" s="57" t="inlineStr">
        <is>
          <t>이미지</t>
        </is>
      </c>
      <c r="F193" s="44" t="n"/>
      <c r="G193" s="58">
        <f>IF($G$192="","",$G$192)</f>
        <v/>
      </c>
      <c r="H193" s="59" t="n"/>
      <c r="I193" s="59" t="n"/>
      <c r="J193" s="59" t="n"/>
      <c r="K193" s="59" t="n"/>
      <c r="L193" s="60">
        <f>IF(SUM(U193:AY193)=0,"",SUM(U193:AY193))</f>
        <v/>
      </c>
      <c r="M193" s="61">
        <f>IFERROR(INDEX(U$2:AY$2,MATCH(TRUE,INDEX(U193:AY193&lt;&gt;"",0),0)),"")</f>
        <v/>
      </c>
      <c r="N193" s="61">
        <f>IFERROR(LOOKUP(2,1/(U193:AY193&lt;&gt;""),U$2:AY$2),"")</f>
        <v/>
      </c>
      <c r="O193" s="59" t="n"/>
      <c r="P193" s="59" t="n"/>
      <c r="Q193" s="59" t="n"/>
      <c r="R193" s="59" t="n"/>
      <c r="S193" s="14" t="n"/>
      <c r="U193" s="53" t="n"/>
      <c r="V193" s="53" t="n"/>
      <c r="W193" s="53" t="n"/>
      <c r="X193" s="53" t="n"/>
      <c r="Y193" s="53" t="n"/>
      <c r="Z193" s="53" t="n"/>
      <c r="AA193" s="53" t="n"/>
      <c r="AB193" s="53" t="n"/>
      <c r="AC193" s="53" t="n"/>
      <c r="AD193" s="53" t="n"/>
      <c r="AE193" s="53" t="n"/>
      <c r="AF193" s="53" t="n"/>
      <c r="AG193" s="53" t="n"/>
      <c r="AH193" s="53" t="n"/>
      <c r="AI193" s="53" t="n"/>
      <c r="AJ193" s="53" t="n"/>
      <c r="AK193" s="53" t="n"/>
      <c r="AL193" s="53" t="n"/>
      <c r="AM193" s="53" t="n"/>
      <c r="AN193" s="53" t="n"/>
      <c r="AO193" s="53" t="n"/>
      <c r="AP193" s="53" t="n"/>
      <c r="AQ193" s="53" t="n"/>
      <c r="AR193" s="53" t="n"/>
      <c r="AS193" s="53" t="n"/>
      <c r="AT193" s="53" t="n"/>
      <c r="AU193" s="53" t="n"/>
      <c r="AV193" s="53" t="n"/>
      <c r="AW193" s="53" t="n"/>
      <c r="AX193" s="53" t="n"/>
      <c r="AY193" s="53" t="n"/>
    </row>
    <row r="194" ht="15" customHeight="1">
      <c r="A194" s="62" t="n"/>
      <c r="B194" s="55">
        <f>IF($B$192="","",$B$192)</f>
        <v/>
      </c>
      <c r="C194" s="63" t="inlineStr">
        <is>
          <t>마케팅4팀</t>
        </is>
      </c>
      <c r="D194" s="55">
        <f>IF($D$192="","",$D$192)</f>
        <v/>
      </c>
      <c r="E194" s="64" t="inlineStr">
        <is>
          <t>영상</t>
        </is>
      </c>
      <c r="F194" s="44" t="n"/>
      <c r="G194" s="58">
        <f>IF($G$192="","",$G$192)</f>
        <v/>
      </c>
      <c r="H194" s="59" t="n"/>
      <c r="I194" s="59" t="n"/>
      <c r="J194" s="59" t="n"/>
      <c r="K194" s="59" t="n"/>
      <c r="L194" s="65">
        <f>IF(SUM(U194:AY194)=0,"",SUM(U194:AY194))</f>
        <v/>
      </c>
      <c r="M194" s="66">
        <f>IFERROR(INDEX(U$2:AY$2,MATCH(TRUE,INDEX(U194:AY194&lt;&gt;"",0),0)),"")</f>
        <v/>
      </c>
      <c r="N194" s="66">
        <f>IFERROR(LOOKUP(2,1/(U194:AY194&lt;&gt;""),U$2:AY$2),"")</f>
        <v/>
      </c>
      <c r="O194" s="59" t="n"/>
      <c r="P194" s="59" t="n"/>
      <c r="Q194" s="59" t="n"/>
      <c r="R194" s="59" t="n"/>
      <c r="S194" s="14" t="n"/>
      <c r="U194" s="53" t="n"/>
      <c r="V194" s="53" t="n"/>
      <c r="W194" s="53" t="n"/>
      <c r="X194" s="53" t="n"/>
      <c r="Y194" s="53" t="n"/>
      <c r="Z194" s="53" t="n"/>
      <c r="AA194" s="53" t="n"/>
      <c r="AB194" s="53" t="n"/>
      <c r="AC194" s="53" t="n"/>
      <c r="AD194" s="53" t="n"/>
      <c r="AE194" s="53" t="n"/>
      <c r="AF194" s="53" t="n"/>
      <c r="AG194" s="53" t="n"/>
      <c r="AH194" s="53" t="n"/>
      <c r="AI194" s="53" t="n"/>
      <c r="AJ194" s="53" t="n"/>
      <c r="AK194" s="53" t="n"/>
      <c r="AL194" s="53" t="n"/>
      <c r="AM194" s="53" t="n"/>
      <c r="AN194" s="53" t="n"/>
      <c r="AO194" s="53" t="n"/>
      <c r="AP194" s="53" t="n"/>
      <c r="AQ194" s="53" t="n"/>
      <c r="AR194" s="53" t="n"/>
      <c r="AS194" s="53" t="n"/>
      <c r="AT194" s="53" t="n"/>
      <c r="AU194" s="53" t="n"/>
      <c r="AV194" s="53" t="n"/>
      <c r="AW194" s="53" t="n"/>
      <c r="AX194" s="53" t="n"/>
      <c r="AY194" s="53" t="n"/>
    </row>
    <row r="195" ht="15" customHeight="1">
      <c r="A195" s="40">
        <f>IF($D$195="","",62)</f>
        <v/>
      </c>
      <c r="B195" s="10" t="n"/>
      <c r="C195" s="41" t="inlineStr">
        <is>
          <t>마케팅4팀</t>
        </is>
      </c>
      <c r="D195" s="42" t="n"/>
      <c r="E195" s="43" t="inlineStr">
        <is>
          <t>기획</t>
        </is>
      </c>
      <c r="F195" s="44" t="n"/>
      <c r="G195" s="45" t="n"/>
      <c r="H195" s="46">
        <f>IF($I$195="","",IF($I$195&lt;0,"🔴지연",IF($I$195&lt;=1,"🟡임박","🟢여유")))</f>
        <v/>
      </c>
      <c r="I195" s="47">
        <f>IF(OR($G$195="",$K$195=""),"",$G$195-$K$195)</f>
        <v/>
      </c>
      <c r="J195" s="48">
        <f>IF(SUM($L$195:$L$197)=0,"",SUM($L$195:$L$197))</f>
        <v/>
      </c>
      <c r="K195" s="49">
        <f>IF($J$195="","",MAX($N$195:$N$197))</f>
        <v/>
      </c>
      <c r="L195" s="50">
        <f>IF(SUM(U195:AY195)=0,"",SUM(U195:AY195))</f>
        <v/>
      </c>
      <c r="M195" s="51">
        <f>IFERROR(INDEX(U$2:AY$2,MATCH(TRUE,INDEX(U195:AY195&lt;&gt;"",0),0)),"")</f>
        <v/>
      </c>
      <c r="N195" s="51">
        <f>IFERROR(LOOKUP(2,1/(U195:AY195&lt;&gt;""),U$2:AY$2),"")</f>
        <v/>
      </c>
      <c r="O195" s="52" t="n"/>
      <c r="P195" s="52" t="n"/>
      <c r="Q195" s="52" t="n"/>
      <c r="R195" s="44" t="n"/>
      <c r="S195" s="14" t="n"/>
      <c r="U195" s="53" t="n"/>
      <c r="V195" s="53" t="n"/>
      <c r="W195" s="53" t="n"/>
      <c r="X195" s="53" t="n"/>
      <c r="Y195" s="53" t="n"/>
      <c r="Z195" s="53" t="n"/>
      <c r="AA195" s="53" t="n"/>
      <c r="AB195" s="53" t="n"/>
      <c r="AC195" s="53" t="n"/>
      <c r="AD195" s="53" t="n"/>
      <c r="AE195" s="53" t="n"/>
      <c r="AF195" s="53" t="n"/>
      <c r="AG195" s="53" t="n"/>
      <c r="AH195" s="53" t="n"/>
      <c r="AI195" s="53" t="n"/>
      <c r="AJ195" s="53" t="n"/>
      <c r="AK195" s="53" t="n"/>
      <c r="AL195" s="53" t="n"/>
      <c r="AM195" s="53" t="n"/>
      <c r="AN195" s="53" t="n"/>
      <c r="AO195" s="53" t="n"/>
      <c r="AP195" s="53" t="n"/>
      <c r="AQ195" s="53" t="n"/>
      <c r="AR195" s="53" t="n"/>
      <c r="AS195" s="53" t="n"/>
      <c r="AT195" s="53" t="n"/>
      <c r="AU195" s="53" t="n"/>
      <c r="AV195" s="53" t="n"/>
      <c r="AW195" s="53" t="n"/>
      <c r="AX195" s="53" t="n"/>
      <c r="AY195" s="53" t="n"/>
    </row>
    <row r="196" ht="15" customHeight="1">
      <c r="A196" s="54" t="n"/>
      <c r="B196" s="55">
        <f>IF($B$195="","",$B$195)</f>
        <v/>
      </c>
      <c r="C196" s="56" t="inlineStr">
        <is>
          <t>마케팅4팀</t>
        </is>
      </c>
      <c r="D196" s="55">
        <f>IF($D$195="","",$D$195)</f>
        <v/>
      </c>
      <c r="E196" s="57" t="inlineStr">
        <is>
          <t>이미지</t>
        </is>
      </c>
      <c r="F196" s="44" t="n"/>
      <c r="G196" s="58">
        <f>IF($G$195="","",$G$195)</f>
        <v/>
      </c>
      <c r="H196" s="59" t="n"/>
      <c r="I196" s="59" t="n"/>
      <c r="J196" s="59" t="n"/>
      <c r="K196" s="59" t="n"/>
      <c r="L196" s="60">
        <f>IF(SUM(U196:AY196)=0,"",SUM(U196:AY196))</f>
        <v/>
      </c>
      <c r="M196" s="61">
        <f>IFERROR(INDEX(U$2:AY$2,MATCH(TRUE,INDEX(U196:AY196&lt;&gt;"",0),0)),"")</f>
        <v/>
      </c>
      <c r="N196" s="61">
        <f>IFERROR(LOOKUP(2,1/(U196:AY196&lt;&gt;""),U$2:AY$2),"")</f>
        <v/>
      </c>
      <c r="O196" s="59" t="n"/>
      <c r="P196" s="59" t="n"/>
      <c r="Q196" s="59" t="n"/>
      <c r="R196" s="59" t="n"/>
      <c r="S196" s="14" t="n"/>
      <c r="U196" s="53" t="n"/>
      <c r="V196" s="53" t="n"/>
      <c r="W196" s="53" t="n"/>
      <c r="X196" s="53" t="n"/>
      <c r="Y196" s="53" t="n"/>
      <c r="Z196" s="53" t="n"/>
      <c r="AA196" s="53" t="n"/>
      <c r="AB196" s="53" t="n"/>
      <c r="AC196" s="53" t="n"/>
      <c r="AD196" s="53" t="n"/>
      <c r="AE196" s="53" t="n"/>
      <c r="AF196" s="53" t="n"/>
      <c r="AG196" s="53" t="n"/>
      <c r="AH196" s="53" t="n"/>
      <c r="AI196" s="53" t="n"/>
      <c r="AJ196" s="53" t="n"/>
      <c r="AK196" s="53" t="n"/>
      <c r="AL196" s="53" t="n"/>
      <c r="AM196" s="53" t="n"/>
      <c r="AN196" s="53" t="n"/>
      <c r="AO196" s="53" t="n"/>
      <c r="AP196" s="53" t="n"/>
      <c r="AQ196" s="53" t="n"/>
      <c r="AR196" s="53" t="n"/>
      <c r="AS196" s="53" t="n"/>
      <c r="AT196" s="53" t="n"/>
      <c r="AU196" s="53" t="n"/>
      <c r="AV196" s="53" t="n"/>
      <c r="AW196" s="53" t="n"/>
      <c r="AX196" s="53" t="n"/>
      <c r="AY196" s="53" t="n"/>
    </row>
    <row r="197" ht="15" customHeight="1">
      <c r="A197" s="62" t="n"/>
      <c r="B197" s="55">
        <f>IF($B$195="","",$B$195)</f>
        <v/>
      </c>
      <c r="C197" s="63" t="inlineStr">
        <is>
          <t>마케팅4팀</t>
        </is>
      </c>
      <c r="D197" s="55">
        <f>IF($D$195="","",$D$195)</f>
        <v/>
      </c>
      <c r="E197" s="64" t="inlineStr">
        <is>
          <t>영상</t>
        </is>
      </c>
      <c r="F197" s="44" t="n"/>
      <c r="G197" s="58">
        <f>IF($G$195="","",$G$195)</f>
        <v/>
      </c>
      <c r="H197" s="59" t="n"/>
      <c r="I197" s="59" t="n"/>
      <c r="J197" s="59" t="n"/>
      <c r="K197" s="59" t="n"/>
      <c r="L197" s="65">
        <f>IF(SUM(U197:AY197)=0,"",SUM(U197:AY197))</f>
        <v/>
      </c>
      <c r="M197" s="66">
        <f>IFERROR(INDEX(U$2:AY$2,MATCH(TRUE,INDEX(U197:AY197&lt;&gt;"",0),0)),"")</f>
        <v/>
      </c>
      <c r="N197" s="66">
        <f>IFERROR(LOOKUP(2,1/(U197:AY197&lt;&gt;""),U$2:AY$2),"")</f>
        <v/>
      </c>
      <c r="O197" s="59" t="n"/>
      <c r="P197" s="59" t="n"/>
      <c r="Q197" s="59" t="n"/>
      <c r="R197" s="59" t="n"/>
      <c r="S197" s="14" t="n"/>
      <c r="U197" s="53" t="n"/>
      <c r="V197" s="53" t="n"/>
      <c r="W197" s="53" t="n"/>
      <c r="X197" s="53" t="n"/>
      <c r="Y197" s="53" t="n"/>
      <c r="Z197" s="53" t="n"/>
      <c r="AA197" s="53" t="n"/>
      <c r="AB197" s="53" t="n"/>
      <c r="AC197" s="53" t="n"/>
      <c r="AD197" s="53" t="n"/>
      <c r="AE197" s="53" t="n"/>
      <c r="AF197" s="53" t="n"/>
      <c r="AG197" s="53" t="n"/>
      <c r="AH197" s="53" t="n"/>
      <c r="AI197" s="53" t="n"/>
      <c r="AJ197" s="53" t="n"/>
      <c r="AK197" s="53" t="n"/>
      <c r="AL197" s="53" t="n"/>
      <c r="AM197" s="53" t="n"/>
      <c r="AN197" s="53" t="n"/>
      <c r="AO197" s="53" t="n"/>
      <c r="AP197" s="53" t="n"/>
      <c r="AQ197" s="53" t="n"/>
      <c r="AR197" s="53" t="n"/>
      <c r="AS197" s="53" t="n"/>
      <c r="AT197" s="53" t="n"/>
      <c r="AU197" s="53" t="n"/>
      <c r="AV197" s="53" t="n"/>
      <c r="AW197" s="53" t="n"/>
      <c r="AX197" s="53" t="n"/>
      <c r="AY197" s="53" t="n"/>
    </row>
    <row r="198" ht="15" customHeight="1">
      <c r="A198" s="40">
        <f>IF($D$198="","",63)</f>
        <v/>
      </c>
      <c r="B198" s="10" t="n"/>
      <c r="C198" s="41" t="inlineStr">
        <is>
          <t>마케팅4팀</t>
        </is>
      </c>
      <c r="D198" s="42" t="n"/>
      <c r="E198" s="43" t="inlineStr">
        <is>
          <t>기획</t>
        </is>
      </c>
      <c r="F198" s="44" t="n"/>
      <c r="G198" s="45" t="n"/>
      <c r="H198" s="46">
        <f>IF($I$198="","",IF($I$198&lt;0,"🔴지연",IF($I$198&lt;=1,"🟡임박","🟢여유")))</f>
        <v/>
      </c>
      <c r="I198" s="47">
        <f>IF(OR($G$198="",$K$198=""),"",$G$198-$K$198)</f>
        <v/>
      </c>
      <c r="J198" s="48">
        <f>IF(SUM($L$198:$L$200)=0,"",SUM($L$198:$L$200))</f>
        <v/>
      </c>
      <c r="K198" s="49">
        <f>IF($J$198="","",MAX($N$198:$N$200))</f>
        <v/>
      </c>
      <c r="L198" s="50">
        <f>IF(SUM(U198:AY198)=0,"",SUM(U198:AY198))</f>
        <v/>
      </c>
      <c r="M198" s="51">
        <f>IFERROR(INDEX(U$2:AY$2,MATCH(TRUE,INDEX(U198:AY198&lt;&gt;"",0),0)),"")</f>
        <v/>
      </c>
      <c r="N198" s="51">
        <f>IFERROR(LOOKUP(2,1/(U198:AY198&lt;&gt;""),U$2:AY$2),"")</f>
        <v/>
      </c>
      <c r="O198" s="52" t="n"/>
      <c r="P198" s="52" t="n"/>
      <c r="Q198" s="52" t="n"/>
      <c r="R198" s="44" t="n"/>
      <c r="S198" s="14" t="n"/>
      <c r="U198" s="53" t="n"/>
      <c r="V198" s="53" t="n"/>
      <c r="W198" s="53" t="n"/>
      <c r="X198" s="53" t="n"/>
      <c r="Y198" s="53" t="n"/>
      <c r="Z198" s="53" t="n"/>
      <c r="AA198" s="53" t="n"/>
      <c r="AB198" s="53" t="n"/>
      <c r="AC198" s="53" t="n"/>
      <c r="AD198" s="53" t="n"/>
      <c r="AE198" s="53" t="n"/>
      <c r="AF198" s="53" t="n"/>
      <c r="AG198" s="53" t="n"/>
      <c r="AH198" s="53" t="n"/>
      <c r="AI198" s="53" t="n"/>
      <c r="AJ198" s="53" t="n"/>
      <c r="AK198" s="53" t="n"/>
      <c r="AL198" s="53" t="n"/>
      <c r="AM198" s="53" t="n"/>
      <c r="AN198" s="53" t="n"/>
      <c r="AO198" s="53" t="n"/>
      <c r="AP198" s="53" t="n"/>
      <c r="AQ198" s="53" t="n"/>
      <c r="AR198" s="53" t="n"/>
      <c r="AS198" s="53" t="n"/>
      <c r="AT198" s="53" t="n"/>
      <c r="AU198" s="53" t="n"/>
      <c r="AV198" s="53" t="n"/>
      <c r="AW198" s="53" t="n"/>
      <c r="AX198" s="53" t="n"/>
      <c r="AY198" s="53" t="n"/>
    </row>
    <row r="199" ht="15" customHeight="1">
      <c r="A199" s="54" t="n"/>
      <c r="B199" s="55">
        <f>IF($B$198="","",$B$198)</f>
        <v/>
      </c>
      <c r="C199" s="56" t="inlineStr">
        <is>
          <t>마케팅4팀</t>
        </is>
      </c>
      <c r="D199" s="55">
        <f>IF($D$198="","",$D$198)</f>
        <v/>
      </c>
      <c r="E199" s="57" t="inlineStr">
        <is>
          <t>이미지</t>
        </is>
      </c>
      <c r="F199" s="44" t="n"/>
      <c r="G199" s="58">
        <f>IF($G$198="","",$G$198)</f>
        <v/>
      </c>
      <c r="H199" s="59" t="n"/>
      <c r="I199" s="59" t="n"/>
      <c r="J199" s="59" t="n"/>
      <c r="K199" s="59" t="n"/>
      <c r="L199" s="60">
        <f>IF(SUM(U199:AY199)=0,"",SUM(U199:AY199))</f>
        <v/>
      </c>
      <c r="M199" s="61">
        <f>IFERROR(INDEX(U$2:AY$2,MATCH(TRUE,INDEX(U199:AY199&lt;&gt;"",0),0)),"")</f>
        <v/>
      </c>
      <c r="N199" s="61">
        <f>IFERROR(LOOKUP(2,1/(U199:AY199&lt;&gt;""),U$2:AY$2),"")</f>
        <v/>
      </c>
      <c r="O199" s="59" t="n"/>
      <c r="P199" s="59" t="n"/>
      <c r="Q199" s="59" t="n"/>
      <c r="R199" s="59" t="n"/>
      <c r="S199" s="14" t="n"/>
      <c r="U199" s="53" t="n"/>
      <c r="V199" s="53" t="n"/>
      <c r="W199" s="53" t="n"/>
      <c r="X199" s="53" t="n"/>
      <c r="Y199" s="53" t="n"/>
      <c r="Z199" s="53" t="n"/>
      <c r="AA199" s="53" t="n"/>
      <c r="AB199" s="53" t="n"/>
      <c r="AC199" s="53" t="n"/>
      <c r="AD199" s="53" t="n"/>
      <c r="AE199" s="53" t="n"/>
      <c r="AF199" s="53" t="n"/>
      <c r="AG199" s="53" t="n"/>
      <c r="AH199" s="53" t="n"/>
      <c r="AI199" s="53" t="n"/>
      <c r="AJ199" s="53" t="n"/>
      <c r="AK199" s="53" t="n"/>
      <c r="AL199" s="53" t="n"/>
      <c r="AM199" s="53" t="n"/>
      <c r="AN199" s="53" t="n"/>
      <c r="AO199" s="53" t="n"/>
      <c r="AP199" s="53" t="n"/>
      <c r="AQ199" s="53" t="n"/>
      <c r="AR199" s="53" t="n"/>
      <c r="AS199" s="53" t="n"/>
      <c r="AT199" s="53" t="n"/>
      <c r="AU199" s="53" t="n"/>
      <c r="AV199" s="53" t="n"/>
      <c r="AW199" s="53" t="n"/>
      <c r="AX199" s="53" t="n"/>
      <c r="AY199" s="53" t="n"/>
    </row>
    <row r="200" ht="15" customHeight="1">
      <c r="A200" s="62" t="n"/>
      <c r="B200" s="55">
        <f>IF($B$198="","",$B$198)</f>
        <v/>
      </c>
      <c r="C200" s="63" t="inlineStr">
        <is>
          <t>마케팅4팀</t>
        </is>
      </c>
      <c r="D200" s="55">
        <f>IF($D$198="","",$D$198)</f>
        <v/>
      </c>
      <c r="E200" s="64" t="inlineStr">
        <is>
          <t>영상</t>
        </is>
      </c>
      <c r="F200" s="44" t="n"/>
      <c r="G200" s="58">
        <f>IF($G$198="","",$G$198)</f>
        <v/>
      </c>
      <c r="H200" s="59" t="n"/>
      <c r="I200" s="59" t="n"/>
      <c r="J200" s="59" t="n"/>
      <c r="K200" s="59" t="n"/>
      <c r="L200" s="65">
        <f>IF(SUM(U200:AY200)=0,"",SUM(U200:AY200))</f>
        <v/>
      </c>
      <c r="M200" s="66">
        <f>IFERROR(INDEX(U$2:AY$2,MATCH(TRUE,INDEX(U200:AY200&lt;&gt;"",0),0)),"")</f>
        <v/>
      </c>
      <c r="N200" s="66">
        <f>IFERROR(LOOKUP(2,1/(U200:AY200&lt;&gt;""),U$2:AY$2),"")</f>
        <v/>
      </c>
      <c r="O200" s="59" t="n"/>
      <c r="P200" s="59" t="n"/>
      <c r="Q200" s="59" t="n"/>
      <c r="R200" s="59" t="n"/>
      <c r="S200" s="14" t="n"/>
      <c r="U200" s="53" t="n"/>
      <c r="V200" s="53" t="n"/>
      <c r="W200" s="53" t="n"/>
      <c r="X200" s="53" t="n"/>
      <c r="Y200" s="53" t="n"/>
      <c r="Z200" s="53" t="n"/>
      <c r="AA200" s="53" t="n"/>
      <c r="AB200" s="53" t="n"/>
      <c r="AC200" s="53" t="n"/>
      <c r="AD200" s="53" t="n"/>
      <c r="AE200" s="53" t="n"/>
      <c r="AF200" s="53" t="n"/>
      <c r="AG200" s="53" t="n"/>
      <c r="AH200" s="53" t="n"/>
      <c r="AI200" s="53" t="n"/>
      <c r="AJ200" s="53" t="n"/>
      <c r="AK200" s="53" t="n"/>
      <c r="AL200" s="53" t="n"/>
      <c r="AM200" s="53" t="n"/>
      <c r="AN200" s="53" t="n"/>
      <c r="AO200" s="53" t="n"/>
      <c r="AP200" s="53" t="n"/>
      <c r="AQ200" s="53" t="n"/>
      <c r="AR200" s="53" t="n"/>
      <c r="AS200" s="53" t="n"/>
      <c r="AT200" s="53" t="n"/>
      <c r="AU200" s="53" t="n"/>
      <c r="AV200" s="53" t="n"/>
      <c r="AW200" s="53" t="n"/>
      <c r="AX200" s="53" t="n"/>
      <c r="AY200" s="53" t="n"/>
    </row>
    <row r="201" ht="15" customHeight="1">
      <c r="A201" s="40">
        <f>IF($D$201="","",64)</f>
        <v/>
      </c>
      <c r="B201" s="10" t="n"/>
      <c r="C201" s="41" t="inlineStr">
        <is>
          <t>마케팅4팀</t>
        </is>
      </c>
      <c r="D201" s="42" t="n"/>
      <c r="E201" s="43" t="inlineStr">
        <is>
          <t>기획</t>
        </is>
      </c>
      <c r="F201" s="44" t="n"/>
      <c r="G201" s="45" t="n"/>
      <c r="H201" s="46">
        <f>IF($I$201="","",IF($I$201&lt;0,"🔴지연",IF($I$201&lt;=1,"🟡임박","🟢여유")))</f>
        <v/>
      </c>
      <c r="I201" s="47">
        <f>IF(OR($G$201="",$K$201=""),"",$G$201-$K$201)</f>
        <v/>
      </c>
      <c r="J201" s="48">
        <f>IF(SUM($L$201:$L$203)=0,"",SUM($L$201:$L$203))</f>
        <v/>
      </c>
      <c r="K201" s="49">
        <f>IF($J$201="","",MAX($N$201:$N$203))</f>
        <v/>
      </c>
      <c r="L201" s="50">
        <f>IF(SUM(U201:AY201)=0,"",SUM(U201:AY201))</f>
        <v/>
      </c>
      <c r="M201" s="51">
        <f>IFERROR(INDEX(U$2:AY$2,MATCH(TRUE,INDEX(U201:AY201&lt;&gt;"",0),0)),"")</f>
        <v/>
      </c>
      <c r="N201" s="51">
        <f>IFERROR(LOOKUP(2,1/(U201:AY201&lt;&gt;""),U$2:AY$2),"")</f>
        <v/>
      </c>
      <c r="O201" s="52" t="n"/>
      <c r="P201" s="52" t="n"/>
      <c r="Q201" s="52" t="n"/>
      <c r="R201" s="44" t="n"/>
      <c r="S201" s="14" t="n"/>
      <c r="U201" s="53" t="n"/>
      <c r="V201" s="53" t="n"/>
      <c r="W201" s="53" t="n"/>
      <c r="X201" s="53" t="n"/>
      <c r="Y201" s="53" t="n"/>
      <c r="Z201" s="53" t="n"/>
      <c r="AA201" s="53" t="n"/>
      <c r="AB201" s="53" t="n"/>
      <c r="AC201" s="53" t="n"/>
      <c r="AD201" s="53" t="n"/>
      <c r="AE201" s="53" t="n"/>
      <c r="AF201" s="53" t="n"/>
      <c r="AG201" s="53" t="n"/>
      <c r="AH201" s="53" t="n"/>
      <c r="AI201" s="53" t="n"/>
      <c r="AJ201" s="53" t="n"/>
      <c r="AK201" s="53" t="n"/>
      <c r="AL201" s="53" t="n"/>
      <c r="AM201" s="53" t="n"/>
      <c r="AN201" s="53" t="n"/>
      <c r="AO201" s="53" t="n"/>
      <c r="AP201" s="53" t="n"/>
      <c r="AQ201" s="53" t="n"/>
      <c r="AR201" s="53" t="n"/>
      <c r="AS201" s="53" t="n"/>
      <c r="AT201" s="53" t="n"/>
      <c r="AU201" s="53" t="n"/>
      <c r="AV201" s="53" t="n"/>
      <c r="AW201" s="53" t="n"/>
      <c r="AX201" s="53" t="n"/>
      <c r="AY201" s="53" t="n"/>
    </row>
    <row r="202" ht="15" customHeight="1">
      <c r="A202" s="54" t="n"/>
      <c r="B202" s="55">
        <f>IF($B$201="","",$B$201)</f>
        <v/>
      </c>
      <c r="C202" s="56" t="inlineStr">
        <is>
          <t>마케팅4팀</t>
        </is>
      </c>
      <c r="D202" s="55">
        <f>IF($D$201="","",$D$201)</f>
        <v/>
      </c>
      <c r="E202" s="57" t="inlineStr">
        <is>
          <t>이미지</t>
        </is>
      </c>
      <c r="F202" s="44" t="n"/>
      <c r="G202" s="58">
        <f>IF($G$201="","",$G$201)</f>
        <v/>
      </c>
      <c r="H202" s="59" t="n"/>
      <c r="I202" s="59" t="n"/>
      <c r="J202" s="59" t="n"/>
      <c r="K202" s="59" t="n"/>
      <c r="L202" s="60">
        <f>IF(SUM(U202:AY202)=0,"",SUM(U202:AY202))</f>
        <v/>
      </c>
      <c r="M202" s="61">
        <f>IFERROR(INDEX(U$2:AY$2,MATCH(TRUE,INDEX(U202:AY202&lt;&gt;"",0),0)),"")</f>
        <v/>
      </c>
      <c r="N202" s="61">
        <f>IFERROR(LOOKUP(2,1/(U202:AY202&lt;&gt;""),U$2:AY$2),"")</f>
        <v/>
      </c>
      <c r="O202" s="59" t="n"/>
      <c r="P202" s="59" t="n"/>
      <c r="Q202" s="59" t="n"/>
      <c r="R202" s="59" t="n"/>
      <c r="S202" s="14" t="n"/>
      <c r="U202" s="53" t="n"/>
      <c r="V202" s="53" t="n"/>
      <c r="W202" s="53" t="n"/>
      <c r="X202" s="53" t="n"/>
      <c r="Y202" s="53" t="n"/>
      <c r="Z202" s="53" t="n"/>
      <c r="AA202" s="53" t="n"/>
      <c r="AB202" s="53" t="n"/>
      <c r="AC202" s="53" t="n"/>
      <c r="AD202" s="53" t="n"/>
      <c r="AE202" s="53" t="n"/>
      <c r="AF202" s="53" t="n"/>
      <c r="AG202" s="53" t="n"/>
      <c r="AH202" s="53" t="n"/>
      <c r="AI202" s="53" t="n"/>
      <c r="AJ202" s="53" t="n"/>
      <c r="AK202" s="53" t="n"/>
      <c r="AL202" s="53" t="n"/>
      <c r="AM202" s="53" t="n"/>
      <c r="AN202" s="53" t="n"/>
      <c r="AO202" s="53" t="n"/>
      <c r="AP202" s="53" t="n"/>
      <c r="AQ202" s="53" t="n"/>
      <c r="AR202" s="53" t="n"/>
      <c r="AS202" s="53" t="n"/>
      <c r="AT202" s="53" t="n"/>
      <c r="AU202" s="53" t="n"/>
      <c r="AV202" s="53" t="n"/>
      <c r="AW202" s="53" t="n"/>
      <c r="AX202" s="53" t="n"/>
      <c r="AY202" s="53" t="n"/>
    </row>
    <row r="203" ht="15" customHeight="1">
      <c r="A203" s="62" t="n"/>
      <c r="B203" s="55">
        <f>IF($B$201="","",$B$201)</f>
        <v/>
      </c>
      <c r="C203" s="63" t="inlineStr">
        <is>
          <t>마케팅4팀</t>
        </is>
      </c>
      <c r="D203" s="55">
        <f>IF($D$201="","",$D$201)</f>
        <v/>
      </c>
      <c r="E203" s="64" t="inlineStr">
        <is>
          <t>영상</t>
        </is>
      </c>
      <c r="F203" s="44" t="n"/>
      <c r="G203" s="58">
        <f>IF($G$201="","",$G$201)</f>
        <v/>
      </c>
      <c r="H203" s="59" t="n"/>
      <c r="I203" s="59" t="n"/>
      <c r="J203" s="59" t="n"/>
      <c r="K203" s="59" t="n"/>
      <c r="L203" s="65">
        <f>IF(SUM(U203:AY203)=0,"",SUM(U203:AY203))</f>
        <v/>
      </c>
      <c r="M203" s="66">
        <f>IFERROR(INDEX(U$2:AY$2,MATCH(TRUE,INDEX(U203:AY203&lt;&gt;"",0),0)),"")</f>
        <v/>
      </c>
      <c r="N203" s="66">
        <f>IFERROR(LOOKUP(2,1/(U203:AY203&lt;&gt;""),U$2:AY$2),"")</f>
        <v/>
      </c>
      <c r="O203" s="59" t="n"/>
      <c r="P203" s="59" t="n"/>
      <c r="Q203" s="59" t="n"/>
      <c r="R203" s="59" t="n"/>
      <c r="S203" s="14" t="n"/>
      <c r="U203" s="53" t="n"/>
      <c r="V203" s="53" t="n"/>
      <c r="W203" s="53" t="n"/>
      <c r="X203" s="53" t="n"/>
      <c r="Y203" s="53" t="n"/>
      <c r="Z203" s="53" t="n"/>
      <c r="AA203" s="53" t="n"/>
      <c r="AB203" s="53" t="n"/>
      <c r="AC203" s="53" t="n"/>
      <c r="AD203" s="53" t="n"/>
      <c r="AE203" s="53" t="n"/>
      <c r="AF203" s="53" t="n"/>
      <c r="AG203" s="53" t="n"/>
      <c r="AH203" s="53" t="n"/>
      <c r="AI203" s="53" t="n"/>
      <c r="AJ203" s="53" t="n"/>
      <c r="AK203" s="53" t="n"/>
      <c r="AL203" s="53" t="n"/>
      <c r="AM203" s="53" t="n"/>
      <c r="AN203" s="53" t="n"/>
      <c r="AO203" s="53" t="n"/>
      <c r="AP203" s="53" t="n"/>
      <c r="AQ203" s="53" t="n"/>
      <c r="AR203" s="53" t="n"/>
      <c r="AS203" s="53" t="n"/>
      <c r="AT203" s="53" t="n"/>
      <c r="AU203" s="53" t="n"/>
      <c r="AV203" s="53" t="n"/>
      <c r="AW203" s="53" t="n"/>
      <c r="AX203" s="53" t="n"/>
      <c r="AY203" s="53" t="n"/>
    </row>
    <row r="204" ht="15" customHeight="1">
      <c r="A204" s="40">
        <f>IF($D$204="","",65)</f>
        <v/>
      </c>
      <c r="B204" s="10" t="n"/>
      <c r="C204" s="41" t="inlineStr">
        <is>
          <t>마케팅4팀</t>
        </is>
      </c>
      <c r="D204" s="42" t="n"/>
      <c r="E204" s="43" t="inlineStr">
        <is>
          <t>기획</t>
        </is>
      </c>
      <c r="F204" s="44" t="n"/>
      <c r="G204" s="45" t="n"/>
      <c r="H204" s="46">
        <f>IF($I$204="","",IF($I$204&lt;0,"🔴지연",IF($I$204&lt;=1,"🟡임박","🟢여유")))</f>
        <v/>
      </c>
      <c r="I204" s="47">
        <f>IF(OR($G$204="",$K$204=""),"",$G$204-$K$204)</f>
        <v/>
      </c>
      <c r="J204" s="48">
        <f>IF(SUM($L$204:$L$206)=0,"",SUM($L$204:$L$206))</f>
        <v/>
      </c>
      <c r="K204" s="49">
        <f>IF($J$204="","",MAX($N$204:$N$206))</f>
        <v/>
      </c>
      <c r="L204" s="50">
        <f>IF(SUM(U204:AY204)=0,"",SUM(U204:AY204))</f>
        <v/>
      </c>
      <c r="M204" s="51">
        <f>IFERROR(INDEX(U$2:AY$2,MATCH(TRUE,INDEX(U204:AY204&lt;&gt;"",0),0)),"")</f>
        <v/>
      </c>
      <c r="N204" s="51">
        <f>IFERROR(LOOKUP(2,1/(U204:AY204&lt;&gt;""),U$2:AY$2),"")</f>
        <v/>
      </c>
      <c r="O204" s="52" t="n"/>
      <c r="P204" s="52" t="n"/>
      <c r="Q204" s="52" t="n"/>
      <c r="R204" s="44" t="n"/>
      <c r="S204" s="14" t="n"/>
      <c r="U204" s="53" t="n"/>
      <c r="V204" s="53" t="n"/>
      <c r="W204" s="53" t="n"/>
      <c r="X204" s="53" t="n"/>
      <c r="Y204" s="53" t="n"/>
      <c r="Z204" s="53" t="n"/>
      <c r="AA204" s="53" t="n"/>
      <c r="AB204" s="53" t="n"/>
      <c r="AC204" s="53" t="n"/>
      <c r="AD204" s="53" t="n"/>
      <c r="AE204" s="53" t="n"/>
      <c r="AF204" s="53" t="n"/>
      <c r="AG204" s="53" t="n"/>
      <c r="AH204" s="53" t="n"/>
      <c r="AI204" s="53" t="n"/>
      <c r="AJ204" s="53" t="n"/>
      <c r="AK204" s="53" t="n"/>
      <c r="AL204" s="53" t="n"/>
      <c r="AM204" s="53" t="n"/>
      <c r="AN204" s="53" t="n"/>
      <c r="AO204" s="53" t="n"/>
      <c r="AP204" s="53" t="n"/>
      <c r="AQ204" s="53" t="n"/>
      <c r="AR204" s="53" t="n"/>
      <c r="AS204" s="53" t="n"/>
      <c r="AT204" s="53" t="n"/>
      <c r="AU204" s="53" t="n"/>
      <c r="AV204" s="53" t="n"/>
      <c r="AW204" s="53" t="n"/>
      <c r="AX204" s="53" t="n"/>
      <c r="AY204" s="53" t="n"/>
    </row>
    <row r="205" ht="15" customHeight="1">
      <c r="A205" s="54" t="n"/>
      <c r="B205" s="55">
        <f>IF($B$204="","",$B$204)</f>
        <v/>
      </c>
      <c r="C205" s="56" t="inlineStr">
        <is>
          <t>마케팅4팀</t>
        </is>
      </c>
      <c r="D205" s="55">
        <f>IF($D$204="","",$D$204)</f>
        <v/>
      </c>
      <c r="E205" s="57" t="inlineStr">
        <is>
          <t>이미지</t>
        </is>
      </c>
      <c r="F205" s="44" t="n"/>
      <c r="G205" s="58">
        <f>IF($G$204="","",$G$204)</f>
        <v/>
      </c>
      <c r="H205" s="59" t="n"/>
      <c r="I205" s="59" t="n"/>
      <c r="J205" s="59" t="n"/>
      <c r="K205" s="59" t="n"/>
      <c r="L205" s="60">
        <f>IF(SUM(U205:AY205)=0,"",SUM(U205:AY205))</f>
        <v/>
      </c>
      <c r="M205" s="61">
        <f>IFERROR(INDEX(U$2:AY$2,MATCH(TRUE,INDEX(U205:AY205&lt;&gt;"",0),0)),"")</f>
        <v/>
      </c>
      <c r="N205" s="61">
        <f>IFERROR(LOOKUP(2,1/(U205:AY205&lt;&gt;""),U$2:AY$2),"")</f>
        <v/>
      </c>
      <c r="O205" s="59" t="n"/>
      <c r="P205" s="59" t="n"/>
      <c r="Q205" s="59" t="n"/>
      <c r="R205" s="59" t="n"/>
      <c r="S205" s="14" t="n"/>
      <c r="U205" s="53" t="n"/>
      <c r="V205" s="53" t="n"/>
      <c r="W205" s="53" t="n"/>
      <c r="X205" s="53" t="n"/>
      <c r="Y205" s="53" t="n"/>
      <c r="Z205" s="53" t="n"/>
      <c r="AA205" s="53" t="n"/>
      <c r="AB205" s="53" t="n"/>
      <c r="AC205" s="53" t="n"/>
      <c r="AD205" s="53" t="n"/>
      <c r="AE205" s="53" t="n"/>
      <c r="AF205" s="53" t="n"/>
      <c r="AG205" s="53" t="n"/>
      <c r="AH205" s="53" t="n"/>
      <c r="AI205" s="53" t="n"/>
      <c r="AJ205" s="53" t="n"/>
      <c r="AK205" s="53" t="n"/>
      <c r="AL205" s="53" t="n"/>
      <c r="AM205" s="53" t="n"/>
      <c r="AN205" s="53" t="n"/>
      <c r="AO205" s="53" t="n"/>
      <c r="AP205" s="53" t="n"/>
      <c r="AQ205" s="53" t="n"/>
      <c r="AR205" s="53" t="n"/>
      <c r="AS205" s="53" t="n"/>
      <c r="AT205" s="53" t="n"/>
      <c r="AU205" s="53" t="n"/>
      <c r="AV205" s="53" t="n"/>
      <c r="AW205" s="53" t="n"/>
      <c r="AX205" s="53" t="n"/>
      <c r="AY205" s="53" t="n"/>
    </row>
    <row r="206" ht="15" customHeight="1">
      <c r="A206" s="62" t="n"/>
      <c r="B206" s="55">
        <f>IF($B$204="","",$B$204)</f>
        <v/>
      </c>
      <c r="C206" s="63" t="inlineStr">
        <is>
          <t>마케팅4팀</t>
        </is>
      </c>
      <c r="D206" s="55">
        <f>IF($D$204="","",$D$204)</f>
        <v/>
      </c>
      <c r="E206" s="64" t="inlineStr">
        <is>
          <t>영상</t>
        </is>
      </c>
      <c r="F206" s="44" t="n"/>
      <c r="G206" s="58">
        <f>IF($G$204="","",$G$204)</f>
        <v/>
      </c>
      <c r="H206" s="59" t="n"/>
      <c r="I206" s="59" t="n"/>
      <c r="J206" s="59" t="n"/>
      <c r="K206" s="59" t="n"/>
      <c r="L206" s="65">
        <f>IF(SUM(U206:AY206)=0,"",SUM(U206:AY206))</f>
        <v/>
      </c>
      <c r="M206" s="66">
        <f>IFERROR(INDEX(U$2:AY$2,MATCH(TRUE,INDEX(U206:AY206&lt;&gt;"",0),0)),"")</f>
        <v/>
      </c>
      <c r="N206" s="66">
        <f>IFERROR(LOOKUP(2,1/(U206:AY206&lt;&gt;""),U$2:AY$2),"")</f>
        <v/>
      </c>
      <c r="O206" s="59" t="n"/>
      <c r="P206" s="59" t="n"/>
      <c r="Q206" s="59" t="n"/>
      <c r="R206" s="59" t="n"/>
      <c r="S206" s="14" t="n"/>
      <c r="U206" s="53" t="n"/>
      <c r="V206" s="53" t="n"/>
      <c r="W206" s="53" t="n"/>
      <c r="X206" s="53" t="n"/>
      <c r="Y206" s="53" t="n"/>
      <c r="Z206" s="53" t="n"/>
      <c r="AA206" s="53" t="n"/>
      <c r="AB206" s="53" t="n"/>
      <c r="AC206" s="53" t="n"/>
      <c r="AD206" s="53" t="n"/>
      <c r="AE206" s="53" t="n"/>
      <c r="AF206" s="53" t="n"/>
      <c r="AG206" s="53" t="n"/>
      <c r="AH206" s="53" t="n"/>
      <c r="AI206" s="53" t="n"/>
      <c r="AJ206" s="53" t="n"/>
      <c r="AK206" s="53" t="n"/>
      <c r="AL206" s="53" t="n"/>
      <c r="AM206" s="53" t="n"/>
      <c r="AN206" s="53" t="n"/>
      <c r="AO206" s="53" t="n"/>
      <c r="AP206" s="53" t="n"/>
      <c r="AQ206" s="53" t="n"/>
      <c r="AR206" s="53" t="n"/>
      <c r="AS206" s="53" t="n"/>
      <c r="AT206" s="53" t="n"/>
      <c r="AU206" s="53" t="n"/>
      <c r="AV206" s="53" t="n"/>
      <c r="AW206" s="53" t="n"/>
      <c r="AX206" s="53" t="n"/>
      <c r="AY206" s="53" t="n"/>
    </row>
    <row r="207" ht="15" customHeight="1">
      <c r="A207" s="40">
        <f>IF($D$207="","",66)</f>
        <v/>
      </c>
      <c r="B207" s="10" t="n"/>
      <c r="C207" s="41" t="inlineStr">
        <is>
          <t>마케팅4팀</t>
        </is>
      </c>
      <c r="D207" s="42" t="n"/>
      <c r="E207" s="43" t="inlineStr">
        <is>
          <t>기획</t>
        </is>
      </c>
      <c r="F207" s="44" t="n"/>
      <c r="G207" s="45" t="n"/>
      <c r="H207" s="46">
        <f>IF($I$207="","",IF($I$207&lt;0,"🔴지연",IF($I$207&lt;=1,"🟡임박","🟢여유")))</f>
        <v/>
      </c>
      <c r="I207" s="47">
        <f>IF(OR($G$207="",$K$207=""),"",$G$207-$K$207)</f>
        <v/>
      </c>
      <c r="J207" s="48">
        <f>IF(SUM($L$207:$L$209)=0,"",SUM($L$207:$L$209))</f>
        <v/>
      </c>
      <c r="K207" s="49">
        <f>IF($J$207="","",MAX($N$207:$N$209))</f>
        <v/>
      </c>
      <c r="L207" s="50">
        <f>IF(SUM(U207:AY207)=0,"",SUM(U207:AY207))</f>
        <v/>
      </c>
      <c r="M207" s="51">
        <f>IFERROR(INDEX(U$2:AY$2,MATCH(TRUE,INDEX(U207:AY207&lt;&gt;"",0),0)),"")</f>
        <v/>
      </c>
      <c r="N207" s="51">
        <f>IFERROR(LOOKUP(2,1/(U207:AY207&lt;&gt;""),U$2:AY$2),"")</f>
        <v/>
      </c>
      <c r="O207" s="52" t="n"/>
      <c r="P207" s="52" t="n"/>
      <c r="Q207" s="52" t="n"/>
      <c r="R207" s="44" t="n"/>
      <c r="S207" s="14" t="n"/>
      <c r="U207" s="53" t="n"/>
      <c r="V207" s="53" t="n"/>
      <c r="W207" s="53" t="n"/>
      <c r="X207" s="53" t="n"/>
      <c r="Y207" s="53" t="n"/>
      <c r="Z207" s="53" t="n"/>
      <c r="AA207" s="53" t="n"/>
      <c r="AB207" s="53" t="n"/>
      <c r="AC207" s="53" t="n"/>
      <c r="AD207" s="53" t="n"/>
      <c r="AE207" s="53" t="n"/>
      <c r="AF207" s="53" t="n"/>
      <c r="AG207" s="53" t="n"/>
      <c r="AH207" s="53" t="n"/>
      <c r="AI207" s="53" t="n"/>
      <c r="AJ207" s="53" t="n"/>
      <c r="AK207" s="53" t="n"/>
      <c r="AL207" s="53" t="n"/>
      <c r="AM207" s="53" t="n"/>
      <c r="AN207" s="53" t="n"/>
      <c r="AO207" s="53" t="n"/>
      <c r="AP207" s="53" t="n"/>
      <c r="AQ207" s="53" t="n"/>
      <c r="AR207" s="53" t="n"/>
      <c r="AS207" s="53" t="n"/>
      <c r="AT207" s="53" t="n"/>
      <c r="AU207" s="53" t="n"/>
      <c r="AV207" s="53" t="n"/>
      <c r="AW207" s="53" t="n"/>
      <c r="AX207" s="53" t="n"/>
      <c r="AY207" s="53" t="n"/>
    </row>
    <row r="208" ht="15" customHeight="1">
      <c r="A208" s="54" t="n"/>
      <c r="B208" s="55">
        <f>IF($B$207="","",$B$207)</f>
        <v/>
      </c>
      <c r="C208" s="56" t="inlineStr">
        <is>
          <t>마케팅4팀</t>
        </is>
      </c>
      <c r="D208" s="55">
        <f>IF($D$207="","",$D$207)</f>
        <v/>
      </c>
      <c r="E208" s="57" t="inlineStr">
        <is>
          <t>이미지</t>
        </is>
      </c>
      <c r="F208" s="44" t="n"/>
      <c r="G208" s="58">
        <f>IF($G$207="","",$G$207)</f>
        <v/>
      </c>
      <c r="H208" s="59" t="n"/>
      <c r="I208" s="59" t="n"/>
      <c r="J208" s="59" t="n"/>
      <c r="K208" s="59" t="n"/>
      <c r="L208" s="60">
        <f>IF(SUM(U208:AY208)=0,"",SUM(U208:AY208))</f>
        <v/>
      </c>
      <c r="M208" s="61">
        <f>IFERROR(INDEX(U$2:AY$2,MATCH(TRUE,INDEX(U208:AY208&lt;&gt;"",0),0)),"")</f>
        <v/>
      </c>
      <c r="N208" s="61">
        <f>IFERROR(LOOKUP(2,1/(U208:AY208&lt;&gt;""),U$2:AY$2),"")</f>
        <v/>
      </c>
      <c r="O208" s="59" t="n"/>
      <c r="P208" s="59" t="n"/>
      <c r="Q208" s="59" t="n"/>
      <c r="R208" s="59" t="n"/>
      <c r="S208" s="14" t="n"/>
      <c r="U208" s="53" t="n"/>
      <c r="V208" s="53" t="n"/>
      <c r="W208" s="53" t="n"/>
      <c r="X208" s="53" t="n"/>
      <c r="Y208" s="53" t="n"/>
      <c r="Z208" s="53" t="n"/>
      <c r="AA208" s="53" t="n"/>
      <c r="AB208" s="53" t="n"/>
      <c r="AC208" s="53" t="n"/>
      <c r="AD208" s="53" t="n"/>
      <c r="AE208" s="53" t="n"/>
      <c r="AF208" s="53" t="n"/>
      <c r="AG208" s="53" t="n"/>
      <c r="AH208" s="53" t="n"/>
      <c r="AI208" s="53" t="n"/>
      <c r="AJ208" s="53" t="n"/>
      <c r="AK208" s="53" t="n"/>
      <c r="AL208" s="53" t="n"/>
      <c r="AM208" s="53" t="n"/>
      <c r="AN208" s="53" t="n"/>
      <c r="AO208" s="53" t="n"/>
      <c r="AP208" s="53" t="n"/>
      <c r="AQ208" s="53" t="n"/>
      <c r="AR208" s="53" t="n"/>
      <c r="AS208" s="53" t="n"/>
      <c r="AT208" s="53" t="n"/>
      <c r="AU208" s="53" t="n"/>
      <c r="AV208" s="53" t="n"/>
      <c r="AW208" s="53" t="n"/>
      <c r="AX208" s="53" t="n"/>
      <c r="AY208" s="53" t="n"/>
    </row>
    <row r="209" ht="15" customHeight="1">
      <c r="A209" s="62" t="n"/>
      <c r="B209" s="55">
        <f>IF($B$207="","",$B$207)</f>
        <v/>
      </c>
      <c r="C209" s="63" t="inlineStr">
        <is>
          <t>마케팅4팀</t>
        </is>
      </c>
      <c r="D209" s="55">
        <f>IF($D$207="","",$D$207)</f>
        <v/>
      </c>
      <c r="E209" s="64" t="inlineStr">
        <is>
          <t>영상</t>
        </is>
      </c>
      <c r="F209" s="44" t="n"/>
      <c r="G209" s="58">
        <f>IF($G$207="","",$G$207)</f>
        <v/>
      </c>
      <c r="H209" s="59" t="n"/>
      <c r="I209" s="59" t="n"/>
      <c r="J209" s="59" t="n"/>
      <c r="K209" s="59" t="n"/>
      <c r="L209" s="65">
        <f>IF(SUM(U209:AY209)=0,"",SUM(U209:AY209))</f>
        <v/>
      </c>
      <c r="M209" s="66">
        <f>IFERROR(INDEX(U$2:AY$2,MATCH(TRUE,INDEX(U209:AY209&lt;&gt;"",0),0)),"")</f>
        <v/>
      </c>
      <c r="N209" s="66">
        <f>IFERROR(LOOKUP(2,1/(U209:AY209&lt;&gt;""),U$2:AY$2),"")</f>
        <v/>
      </c>
      <c r="O209" s="59" t="n"/>
      <c r="P209" s="59" t="n"/>
      <c r="Q209" s="59" t="n"/>
      <c r="R209" s="59" t="n"/>
      <c r="S209" s="14" t="n"/>
      <c r="U209" s="53" t="n"/>
      <c r="V209" s="53" t="n"/>
      <c r="W209" s="53" t="n"/>
      <c r="X209" s="53" t="n"/>
      <c r="Y209" s="53" t="n"/>
      <c r="Z209" s="53" t="n"/>
      <c r="AA209" s="53" t="n"/>
      <c r="AB209" s="53" t="n"/>
      <c r="AC209" s="53" t="n"/>
      <c r="AD209" s="53" t="n"/>
      <c r="AE209" s="53" t="n"/>
      <c r="AF209" s="53" t="n"/>
      <c r="AG209" s="53" t="n"/>
      <c r="AH209" s="53" t="n"/>
      <c r="AI209" s="53" t="n"/>
      <c r="AJ209" s="53" t="n"/>
      <c r="AK209" s="53" t="n"/>
      <c r="AL209" s="53" t="n"/>
      <c r="AM209" s="53" t="n"/>
      <c r="AN209" s="53" t="n"/>
      <c r="AO209" s="53" t="n"/>
      <c r="AP209" s="53" t="n"/>
      <c r="AQ209" s="53" t="n"/>
      <c r="AR209" s="53" t="n"/>
      <c r="AS209" s="53" t="n"/>
      <c r="AT209" s="53" t="n"/>
      <c r="AU209" s="53" t="n"/>
      <c r="AV209" s="53" t="n"/>
      <c r="AW209" s="53" t="n"/>
      <c r="AX209" s="53" t="n"/>
      <c r="AY209" s="53" t="n"/>
    </row>
    <row r="210" ht="15" customHeight="1">
      <c r="A210" s="40">
        <f>IF($D$210="","",67)</f>
        <v/>
      </c>
      <c r="B210" s="10" t="n"/>
      <c r="C210" s="41" t="inlineStr">
        <is>
          <t>마케팅4팀</t>
        </is>
      </c>
      <c r="D210" s="42" t="n"/>
      <c r="E210" s="43" t="inlineStr">
        <is>
          <t>기획</t>
        </is>
      </c>
      <c r="F210" s="44" t="n"/>
      <c r="G210" s="45" t="n"/>
      <c r="H210" s="46">
        <f>IF($I$210="","",IF($I$210&lt;0,"🔴지연",IF($I$210&lt;=1,"🟡임박","🟢여유")))</f>
        <v/>
      </c>
      <c r="I210" s="47">
        <f>IF(OR($G$210="",$K$210=""),"",$G$210-$K$210)</f>
        <v/>
      </c>
      <c r="J210" s="48">
        <f>IF(SUM($L$210:$L$212)=0,"",SUM($L$210:$L$212))</f>
        <v/>
      </c>
      <c r="K210" s="49">
        <f>IF($J$210="","",MAX($N$210:$N$212))</f>
        <v/>
      </c>
      <c r="L210" s="50">
        <f>IF(SUM(U210:AY210)=0,"",SUM(U210:AY210))</f>
        <v/>
      </c>
      <c r="M210" s="51">
        <f>IFERROR(INDEX(U$2:AY$2,MATCH(TRUE,INDEX(U210:AY210&lt;&gt;"",0),0)),"")</f>
        <v/>
      </c>
      <c r="N210" s="51">
        <f>IFERROR(LOOKUP(2,1/(U210:AY210&lt;&gt;""),U$2:AY$2),"")</f>
        <v/>
      </c>
      <c r="O210" s="52" t="n"/>
      <c r="P210" s="52" t="n"/>
      <c r="Q210" s="52" t="n"/>
      <c r="R210" s="44" t="n"/>
      <c r="S210" s="14" t="n"/>
      <c r="U210" s="53" t="n"/>
      <c r="V210" s="53" t="n"/>
      <c r="W210" s="53" t="n"/>
      <c r="X210" s="53" t="n"/>
      <c r="Y210" s="53" t="n"/>
      <c r="Z210" s="53" t="n"/>
      <c r="AA210" s="53" t="n"/>
      <c r="AB210" s="53" t="n"/>
      <c r="AC210" s="53" t="n"/>
      <c r="AD210" s="53" t="n"/>
      <c r="AE210" s="53" t="n"/>
      <c r="AF210" s="53" t="n"/>
      <c r="AG210" s="53" t="n"/>
      <c r="AH210" s="53" t="n"/>
      <c r="AI210" s="53" t="n"/>
      <c r="AJ210" s="53" t="n"/>
      <c r="AK210" s="53" t="n"/>
      <c r="AL210" s="53" t="n"/>
      <c r="AM210" s="53" t="n"/>
      <c r="AN210" s="53" t="n"/>
      <c r="AO210" s="53" t="n"/>
      <c r="AP210" s="53" t="n"/>
      <c r="AQ210" s="53" t="n"/>
      <c r="AR210" s="53" t="n"/>
      <c r="AS210" s="53" t="n"/>
      <c r="AT210" s="53" t="n"/>
      <c r="AU210" s="53" t="n"/>
      <c r="AV210" s="53" t="n"/>
      <c r="AW210" s="53" t="n"/>
      <c r="AX210" s="53" t="n"/>
      <c r="AY210" s="53" t="n"/>
    </row>
    <row r="211" ht="15" customHeight="1">
      <c r="A211" s="54" t="n"/>
      <c r="B211" s="55">
        <f>IF($B$210="","",$B$210)</f>
        <v/>
      </c>
      <c r="C211" s="56" t="inlineStr">
        <is>
          <t>마케팅4팀</t>
        </is>
      </c>
      <c r="D211" s="55">
        <f>IF($D$210="","",$D$210)</f>
        <v/>
      </c>
      <c r="E211" s="57" t="inlineStr">
        <is>
          <t>이미지</t>
        </is>
      </c>
      <c r="F211" s="44" t="n"/>
      <c r="G211" s="58">
        <f>IF($G$210="","",$G$210)</f>
        <v/>
      </c>
      <c r="H211" s="59" t="n"/>
      <c r="I211" s="59" t="n"/>
      <c r="J211" s="59" t="n"/>
      <c r="K211" s="59" t="n"/>
      <c r="L211" s="60">
        <f>IF(SUM(U211:AY211)=0,"",SUM(U211:AY211))</f>
        <v/>
      </c>
      <c r="M211" s="61">
        <f>IFERROR(INDEX(U$2:AY$2,MATCH(TRUE,INDEX(U211:AY211&lt;&gt;"",0),0)),"")</f>
        <v/>
      </c>
      <c r="N211" s="61">
        <f>IFERROR(LOOKUP(2,1/(U211:AY211&lt;&gt;""),U$2:AY$2),"")</f>
        <v/>
      </c>
      <c r="O211" s="59" t="n"/>
      <c r="P211" s="59" t="n"/>
      <c r="Q211" s="59" t="n"/>
      <c r="R211" s="59" t="n"/>
      <c r="S211" s="14" t="n"/>
      <c r="U211" s="53" t="n"/>
      <c r="V211" s="53" t="n"/>
      <c r="W211" s="53" t="n"/>
      <c r="X211" s="53" t="n"/>
      <c r="Y211" s="53" t="n"/>
      <c r="Z211" s="53" t="n"/>
      <c r="AA211" s="53" t="n"/>
      <c r="AB211" s="53" t="n"/>
      <c r="AC211" s="53" t="n"/>
      <c r="AD211" s="53" t="n"/>
      <c r="AE211" s="53" t="n"/>
      <c r="AF211" s="53" t="n"/>
      <c r="AG211" s="53" t="n"/>
      <c r="AH211" s="53" t="n"/>
      <c r="AI211" s="53" t="n"/>
      <c r="AJ211" s="53" t="n"/>
      <c r="AK211" s="53" t="n"/>
      <c r="AL211" s="53" t="n"/>
      <c r="AM211" s="53" t="n"/>
      <c r="AN211" s="53" t="n"/>
      <c r="AO211" s="53" t="n"/>
      <c r="AP211" s="53" t="n"/>
      <c r="AQ211" s="53" t="n"/>
      <c r="AR211" s="53" t="n"/>
      <c r="AS211" s="53" t="n"/>
      <c r="AT211" s="53" t="n"/>
      <c r="AU211" s="53" t="n"/>
      <c r="AV211" s="53" t="n"/>
      <c r="AW211" s="53" t="n"/>
      <c r="AX211" s="53" t="n"/>
      <c r="AY211" s="53" t="n"/>
    </row>
    <row r="212" ht="15" customHeight="1">
      <c r="A212" s="62" t="n"/>
      <c r="B212" s="55">
        <f>IF($B$210="","",$B$210)</f>
        <v/>
      </c>
      <c r="C212" s="63" t="inlineStr">
        <is>
          <t>마케팅4팀</t>
        </is>
      </c>
      <c r="D212" s="55">
        <f>IF($D$210="","",$D$210)</f>
        <v/>
      </c>
      <c r="E212" s="64" t="inlineStr">
        <is>
          <t>영상</t>
        </is>
      </c>
      <c r="F212" s="44" t="n"/>
      <c r="G212" s="58">
        <f>IF($G$210="","",$G$210)</f>
        <v/>
      </c>
      <c r="H212" s="59" t="n"/>
      <c r="I212" s="59" t="n"/>
      <c r="J212" s="59" t="n"/>
      <c r="K212" s="59" t="n"/>
      <c r="L212" s="65">
        <f>IF(SUM(U212:AY212)=0,"",SUM(U212:AY212))</f>
        <v/>
      </c>
      <c r="M212" s="66">
        <f>IFERROR(INDEX(U$2:AY$2,MATCH(TRUE,INDEX(U212:AY212&lt;&gt;"",0),0)),"")</f>
        <v/>
      </c>
      <c r="N212" s="66">
        <f>IFERROR(LOOKUP(2,1/(U212:AY212&lt;&gt;""),U$2:AY$2),"")</f>
        <v/>
      </c>
      <c r="O212" s="59" t="n"/>
      <c r="P212" s="59" t="n"/>
      <c r="Q212" s="59" t="n"/>
      <c r="R212" s="59" t="n"/>
      <c r="S212" s="14" t="n"/>
      <c r="U212" s="53" t="n"/>
      <c r="V212" s="53" t="n"/>
      <c r="W212" s="53" t="n"/>
      <c r="X212" s="53" t="n"/>
      <c r="Y212" s="53" t="n"/>
      <c r="Z212" s="53" t="n"/>
      <c r="AA212" s="53" t="n"/>
      <c r="AB212" s="53" t="n"/>
      <c r="AC212" s="53" t="n"/>
      <c r="AD212" s="53" t="n"/>
      <c r="AE212" s="53" t="n"/>
      <c r="AF212" s="53" t="n"/>
      <c r="AG212" s="53" t="n"/>
      <c r="AH212" s="53" t="n"/>
      <c r="AI212" s="53" t="n"/>
      <c r="AJ212" s="53" t="n"/>
      <c r="AK212" s="53" t="n"/>
      <c r="AL212" s="53" t="n"/>
      <c r="AM212" s="53" t="n"/>
      <c r="AN212" s="53" t="n"/>
      <c r="AO212" s="53" t="n"/>
      <c r="AP212" s="53" t="n"/>
      <c r="AQ212" s="53" t="n"/>
      <c r="AR212" s="53" t="n"/>
      <c r="AS212" s="53" t="n"/>
      <c r="AT212" s="53" t="n"/>
      <c r="AU212" s="53" t="n"/>
      <c r="AV212" s="53" t="n"/>
      <c r="AW212" s="53" t="n"/>
      <c r="AX212" s="53" t="n"/>
      <c r="AY212" s="53" t="n"/>
    </row>
    <row r="213" ht="15" customHeight="1">
      <c r="A213" s="40">
        <f>IF($D$213="","",68)</f>
        <v/>
      </c>
      <c r="B213" s="10" t="n"/>
      <c r="C213" s="41" t="inlineStr">
        <is>
          <t>마케팅4팀</t>
        </is>
      </c>
      <c r="D213" s="42" t="n"/>
      <c r="E213" s="43" t="inlineStr">
        <is>
          <t>기획</t>
        </is>
      </c>
      <c r="F213" s="44" t="n"/>
      <c r="G213" s="45" t="n"/>
      <c r="H213" s="46">
        <f>IF($I$213="","",IF($I$213&lt;0,"🔴지연",IF($I$213&lt;=1,"🟡임박","🟢여유")))</f>
        <v/>
      </c>
      <c r="I213" s="47">
        <f>IF(OR($G$213="",$K$213=""),"",$G$213-$K$213)</f>
        <v/>
      </c>
      <c r="J213" s="48">
        <f>IF(SUM($L$213:$L$215)=0,"",SUM($L$213:$L$215))</f>
        <v/>
      </c>
      <c r="K213" s="49">
        <f>IF($J$213="","",MAX($N$213:$N$215))</f>
        <v/>
      </c>
      <c r="L213" s="50">
        <f>IF(SUM(U213:AY213)=0,"",SUM(U213:AY213))</f>
        <v/>
      </c>
      <c r="M213" s="51">
        <f>IFERROR(INDEX(U$2:AY$2,MATCH(TRUE,INDEX(U213:AY213&lt;&gt;"",0),0)),"")</f>
        <v/>
      </c>
      <c r="N213" s="51">
        <f>IFERROR(LOOKUP(2,1/(U213:AY213&lt;&gt;""),U$2:AY$2),"")</f>
        <v/>
      </c>
      <c r="O213" s="52" t="n"/>
      <c r="P213" s="52" t="n"/>
      <c r="Q213" s="52" t="n"/>
      <c r="R213" s="44" t="n"/>
      <c r="S213" s="14" t="n"/>
      <c r="U213" s="53" t="n"/>
      <c r="V213" s="53" t="n"/>
      <c r="W213" s="53" t="n"/>
      <c r="X213" s="53" t="n"/>
      <c r="Y213" s="53" t="n"/>
      <c r="Z213" s="53" t="n"/>
      <c r="AA213" s="53" t="n"/>
      <c r="AB213" s="53" t="n"/>
      <c r="AC213" s="53" t="n"/>
      <c r="AD213" s="53" t="n"/>
      <c r="AE213" s="53" t="n"/>
      <c r="AF213" s="53" t="n"/>
      <c r="AG213" s="53" t="n"/>
      <c r="AH213" s="53" t="n"/>
      <c r="AI213" s="53" t="n"/>
      <c r="AJ213" s="53" t="n"/>
      <c r="AK213" s="53" t="n"/>
      <c r="AL213" s="53" t="n"/>
      <c r="AM213" s="53" t="n"/>
      <c r="AN213" s="53" t="n"/>
      <c r="AO213" s="53" t="n"/>
      <c r="AP213" s="53" t="n"/>
      <c r="AQ213" s="53" t="n"/>
      <c r="AR213" s="53" t="n"/>
      <c r="AS213" s="53" t="n"/>
      <c r="AT213" s="53" t="n"/>
      <c r="AU213" s="53" t="n"/>
      <c r="AV213" s="53" t="n"/>
      <c r="AW213" s="53" t="n"/>
      <c r="AX213" s="53" t="n"/>
      <c r="AY213" s="53" t="n"/>
    </row>
    <row r="214" ht="15" customHeight="1">
      <c r="A214" s="54" t="n"/>
      <c r="B214" s="55">
        <f>IF($B$213="","",$B$213)</f>
        <v/>
      </c>
      <c r="C214" s="56" t="inlineStr">
        <is>
          <t>마케팅4팀</t>
        </is>
      </c>
      <c r="D214" s="55">
        <f>IF($D$213="","",$D$213)</f>
        <v/>
      </c>
      <c r="E214" s="57" t="inlineStr">
        <is>
          <t>이미지</t>
        </is>
      </c>
      <c r="F214" s="44" t="n"/>
      <c r="G214" s="58">
        <f>IF($G$213="","",$G$213)</f>
        <v/>
      </c>
      <c r="H214" s="59" t="n"/>
      <c r="I214" s="59" t="n"/>
      <c r="J214" s="59" t="n"/>
      <c r="K214" s="59" t="n"/>
      <c r="L214" s="60">
        <f>IF(SUM(U214:AY214)=0,"",SUM(U214:AY214))</f>
        <v/>
      </c>
      <c r="M214" s="61">
        <f>IFERROR(INDEX(U$2:AY$2,MATCH(TRUE,INDEX(U214:AY214&lt;&gt;"",0),0)),"")</f>
        <v/>
      </c>
      <c r="N214" s="61">
        <f>IFERROR(LOOKUP(2,1/(U214:AY214&lt;&gt;""),U$2:AY$2),"")</f>
        <v/>
      </c>
      <c r="O214" s="59" t="n"/>
      <c r="P214" s="59" t="n"/>
      <c r="Q214" s="59" t="n"/>
      <c r="R214" s="59" t="n"/>
      <c r="S214" s="14" t="n"/>
      <c r="U214" s="53" t="n"/>
      <c r="V214" s="53" t="n"/>
      <c r="W214" s="53" t="n"/>
      <c r="X214" s="53" t="n"/>
      <c r="Y214" s="53" t="n"/>
      <c r="Z214" s="53" t="n"/>
      <c r="AA214" s="53" t="n"/>
      <c r="AB214" s="53" t="n"/>
      <c r="AC214" s="53" t="n"/>
      <c r="AD214" s="53" t="n"/>
      <c r="AE214" s="53" t="n"/>
      <c r="AF214" s="53" t="n"/>
      <c r="AG214" s="53" t="n"/>
      <c r="AH214" s="53" t="n"/>
      <c r="AI214" s="53" t="n"/>
      <c r="AJ214" s="53" t="n"/>
      <c r="AK214" s="53" t="n"/>
      <c r="AL214" s="53" t="n"/>
      <c r="AM214" s="53" t="n"/>
      <c r="AN214" s="53" t="n"/>
      <c r="AO214" s="53" t="n"/>
      <c r="AP214" s="53" t="n"/>
      <c r="AQ214" s="53" t="n"/>
      <c r="AR214" s="53" t="n"/>
      <c r="AS214" s="53" t="n"/>
      <c r="AT214" s="53" t="n"/>
      <c r="AU214" s="53" t="n"/>
      <c r="AV214" s="53" t="n"/>
      <c r="AW214" s="53" t="n"/>
      <c r="AX214" s="53" t="n"/>
      <c r="AY214" s="53" t="n"/>
    </row>
    <row r="215" ht="15" customHeight="1">
      <c r="A215" s="62" t="n"/>
      <c r="B215" s="55">
        <f>IF($B$213="","",$B$213)</f>
        <v/>
      </c>
      <c r="C215" s="63" t="inlineStr">
        <is>
          <t>마케팅4팀</t>
        </is>
      </c>
      <c r="D215" s="55">
        <f>IF($D$213="","",$D$213)</f>
        <v/>
      </c>
      <c r="E215" s="64" t="inlineStr">
        <is>
          <t>영상</t>
        </is>
      </c>
      <c r="F215" s="44" t="n"/>
      <c r="G215" s="58">
        <f>IF($G$213="","",$G$213)</f>
        <v/>
      </c>
      <c r="H215" s="59" t="n"/>
      <c r="I215" s="59" t="n"/>
      <c r="J215" s="59" t="n"/>
      <c r="K215" s="59" t="n"/>
      <c r="L215" s="65">
        <f>IF(SUM(U215:AY215)=0,"",SUM(U215:AY215))</f>
        <v/>
      </c>
      <c r="M215" s="66">
        <f>IFERROR(INDEX(U$2:AY$2,MATCH(TRUE,INDEX(U215:AY215&lt;&gt;"",0),0)),"")</f>
        <v/>
      </c>
      <c r="N215" s="66">
        <f>IFERROR(LOOKUP(2,1/(U215:AY215&lt;&gt;""),U$2:AY$2),"")</f>
        <v/>
      </c>
      <c r="O215" s="59" t="n"/>
      <c r="P215" s="59" t="n"/>
      <c r="Q215" s="59" t="n"/>
      <c r="R215" s="59" t="n"/>
      <c r="S215" s="14" t="n"/>
      <c r="U215" s="53" t="n"/>
      <c r="V215" s="53" t="n"/>
      <c r="W215" s="53" t="n"/>
      <c r="X215" s="53" t="n"/>
      <c r="Y215" s="53" t="n"/>
      <c r="Z215" s="53" t="n"/>
      <c r="AA215" s="53" t="n"/>
      <c r="AB215" s="53" t="n"/>
      <c r="AC215" s="53" t="n"/>
      <c r="AD215" s="53" t="n"/>
      <c r="AE215" s="53" t="n"/>
      <c r="AF215" s="53" t="n"/>
      <c r="AG215" s="53" t="n"/>
      <c r="AH215" s="53" t="n"/>
      <c r="AI215" s="53" t="n"/>
      <c r="AJ215" s="53" t="n"/>
      <c r="AK215" s="53" t="n"/>
      <c r="AL215" s="53" t="n"/>
      <c r="AM215" s="53" t="n"/>
      <c r="AN215" s="53" t="n"/>
      <c r="AO215" s="53" t="n"/>
      <c r="AP215" s="53" t="n"/>
      <c r="AQ215" s="53" t="n"/>
      <c r="AR215" s="53" t="n"/>
      <c r="AS215" s="53" t="n"/>
      <c r="AT215" s="53" t="n"/>
      <c r="AU215" s="53" t="n"/>
      <c r="AV215" s="53" t="n"/>
      <c r="AW215" s="53" t="n"/>
      <c r="AX215" s="53" t="n"/>
      <c r="AY215" s="53" t="n"/>
    </row>
    <row r="216" ht="15" customHeight="1">
      <c r="A216" s="40">
        <f>IF($D$216="","",69)</f>
        <v/>
      </c>
      <c r="B216" s="10" t="n"/>
      <c r="C216" s="41" t="inlineStr">
        <is>
          <t>마케팅4팀</t>
        </is>
      </c>
      <c r="D216" s="42" t="n"/>
      <c r="E216" s="43" t="inlineStr">
        <is>
          <t>기획</t>
        </is>
      </c>
      <c r="F216" s="44" t="n"/>
      <c r="G216" s="45" t="n"/>
      <c r="H216" s="46">
        <f>IF($I$216="","",IF($I$216&lt;0,"🔴지연",IF($I$216&lt;=1,"🟡임박","🟢여유")))</f>
        <v/>
      </c>
      <c r="I216" s="47">
        <f>IF(OR($G$216="",$K$216=""),"",$G$216-$K$216)</f>
        <v/>
      </c>
      <c r="J216" s="48">
        <f>IF(SUM($L$216:$L$218)=0,"",SUM($L$216:$L$218))</f>
        <v/>
      </c>
      <c r="K216" s="49">
        <f>IF($J$216="","",MAX($N$216:$N$218))</f>
        <v/>
      </c>
      <c r="L216" s="50">
        <f>IF(SUM(U216:AY216)=0,"",SUM(U216:AY216))</f>
        <v/>
      </c>
      <c r="M216" s="51">
        <f>IFERROR(INDEX(U$2:AY$2,MATCH(TRUE,INDEX(U216:AY216&lt;&gt;"",0),0)),"")</f>
        <v/>
      </c>
      <c r="N216" s="51">
        <f>IFERROR(LOOKUP(2,1/(U216:AY216&lt;&gt;""),U$2:AY$2),"")</f>
        <v/>
      </c>
      <c r="O216" s="52" t="n"/>
      <c r="P216" s="52" t="n"/>
      <c r="Q216" s="52" t="n"/>
      <c r="R216" s="44" t="n"/>
      <c r="S216" s="14" t="n"/>
      <c r="U216" s="53" t="n"/>
      <c r="V216" s="53" t="n"/>
      <c r="W216" s="53" t="n"/>
      <c r="X216" s="53" t="n"/>
      <c r="Y216" s="53" t="n"/>
      <c r="Z216" s="53" t="n"/>
      <c r="AA216" s="53" t="n"/>
      <c r="AB216" s="53" t="n"/>
      <c r="AC216" s="53" t="n"/>
      <c r="AD216" s="53" t="n"/>
      <c r="AE216" s="53" t="n"/>
      <c r="AF216" s="53" t="n"/>
      <c r="AG216" s="53" t="n"/>
      <c r="AH216" s="53" t="n"/>
      <c r="AI216" s="53" t="n"/>
      <c r="AJ216" s="53" t="n"/>
      <c r="AK216" s="53" t="n"/>
      <c r="AL216" s="53" t="n"/>
      <c r="AM216" s="53" t="n"/>
      <c r="AN216" s="53" t="n"/>
      <c r="AO216" s="53" t="n"/>
      <c r="AP216" s="53" t="n"/>
      <c r="AQ216" s="53" t="n"/>
      <c r="AR216" s="53" t="n"/>
      <c r="AS216" s="53" t="n"/>
      <c r="AT216" s="53" t="n"/>
      <c r="AU216" s="53" t="n"/>
      <c r="AV216" s="53" t="n"/>
      <c r="AW216" s="53" t="n"/>
      <c r="AX216" s="53" t="n"/>
      <c r="AY216" s="53" t="n"/>
    </row>
    <row r="217" ht="15" customHeight="1">
      <c r="A217" s="54" t="n"/>
      <c r="B217" s="55">
        <f>IF($B$216="","",$B$216)</f>
        <v/>
      </c>
      <c r="C217" s="56" t="inlineStr">
        <is>
          <t>마케팅4팀</t>
        </is>
      </c>
      <c r="D217" s="55">
        <f>IF($D$216="","",$D$216)</f>
        <v/>
      </c>
      <c r="E217" s="57" t="inlineStr">
        <is>
          <t>이미지</t>
        </is>
      </c>
      <c r="F217" s="44" t="n"/>
      <c r="G217" s="58">
        <f>IF($G$216="","",$G$216)</f>
        <v/>
      </c>
      <c r="H217" s="59" t="n"/>
      <c r="I217" s="59" t="n"/>
      <c r="J217" s="59" t="n"/>
      <c r="K217" s="59" t="n"/>
      <c r="L217" s="60">
        <f>IF(SUM(U217:AY217)=0,"",SUM(U217:AY217))</f>
        <v/>
      </c>
      <c r="M217" s="61">
        <f>IFERROR(INDEX(U$2:AY$2,MATCH(TRUE,INDEX(U217:AY217&lt;&gt;"",0),0)),"")</f>
        <v/>
      </c>
      <c r="N217" s="61">
        <f>IFERROR(LOOKUP(2,1/(U217:AY217&lt;&gt;""),U$2:AY$2),"")</f>
        <v/>
      </c>
      <c r="O217" s="59" t="n"/>
      <c r="P217" s="59" t="n"/>
      <c r="Q217" s="59" t="n"/>
      <c r="R217" s="59" t="n"/>
      <c r="S217" s="14" t="n"/>
      <c r="U217" s="53" t="n"/>
      <c r="V217" s="53" t="n"/>
      <c r="W217" s="53" t="n"/>
      <c r="X217" s="53" t="n"/>
      <c r="Y217" s="53" t="n"/>
      <c r="Z217" s="53" t="n"/>
      <c r="AA217" s="53" t="n"/>
      <c r="AB217" s="53" t="n"/>
      <c r="AC217" s="53" t="n"/>
      <c r="AD217" s="53" t="n"/>
      <c r="AE217" s="53" t="n"/>
      <c r="AF217" s="53" t="n"/>
      <c r="AG217" s="53" t="n"/>
      <c r="AH217" s="53" t="n"/>
      <c r="AI217" s="53" t="n"/>
      <c r="AJ217" s="53" t="n"/>
      <c r="AK217" s="53" t="n"/>
      <c r="AL217" s="53" t="n"/>
      <c r="AM217" s="53" t="n"/>
      <c r="AN217" s="53" t="n"/>
      <c r="AO217" s="53" t="n"/>
      <c r="AP217" s="53" t="n"/>
      <c r="AQ217" s="53" t="n"/>
      <c r="AR217" s="53" t="n"/>
      <c r="AS217" s="53" t="n"/>
      <c r="AT217" s="53" t="n"/>
      <c r="AU217" s="53" t="n"/>
      <c r="AV217" s="53" t="n"/>
      <c r="AW217" s="53" t="n"/>
      <c r="AX217" s="53" t="n"/>
      <c r="AY217" s="53" t="n"/>
    </row>
    <row r="218" ht="15" customHeight="1">
      <c r="A218" s="62" t="n"/>
      <c r="B218" s="55">
        <f>IF($B$216="","",$B$216)</f>
        <v/>
      </c>
      <c r="C218" s="63" t="inlineStr">
        <is>
          <t>마케팅4팀</t>
        </is>
      </c>
      <c r="D218" s="55">
        <f>IF($D$216="","",$D$216)</f>
        <v/>
      </c>
      <c r="E218" s="64" t="inlineStr">
        <is>
          <t>영상</t>
        </is>
      </c>
      <c r="F218" s="44" t="n"/>
      <c r="G218" s="58">
        <f>IF($G$216="","",$G$216)</f>
        <v/>
      </c>
      <c r="H218" s="59" t="n"/>
      <c r="I218" s="59" t="n"/>
      <c r="J218" s="59" t="n"/>
      <c r="K218" s="59" t="n"/>
      <c r="L218" s="65">
        <f>IF(SUM(U218:AY218)=0,"",SUM(U218:AY218))</f>
        <v/>
      </c>
      <c r="M218" s="66">
        <f>IFERROR(INDEX(U$2:AY$2,MATCH(TRUE,INDEX(U218:AY218&lt;&gt;"",0),0)),"")</f>
        <v/>
      </c>
      <c r="N218" s="66">
        <f>IFERROR(LOOKUP(2,1/(U218:AY218&lt;&gt;""),U$2:AY$2),"")</f>
        <v/>
      </c>
      <c r="O218" s="59" t="n"/>
      <c r="P218" s="59" t="n"/>
      <c r="Q218" s="59" t="n"/>
      <c r="R218" s="59" t="n"/>
      <c r="S218" s="14" t="n"/>
      <c r="U218" s="53" t="n"/>
      <c r="V218" s="53" t="n"/>
      <c r="W218" s="53" t="n"/>
      <c r="X218" s="53" t="n"/>
      <c r="Y218" s="53" t="n"/>
      <c r="Z218" s="53" t="n"/>
      <c r="AA218" s="53" t="n"/>
      <c r="AB218" s="53" t="n"/>
      <c r="AC218" s="53" t="n"/>
      <c r="AD218" s="53" t="n"/>
      <c r="AE218" s="53" t="n"/>
      <c r="AF218" s="53" t="n"/>
      <c r="AG218" s="53" t="n"/>
      <c r="AH218" s="53" t="n"/>
      <c r="AI218" s="53" t="n"/>
      <c r="AJ218" s="53" t="n"/>
      <c r="AK218" s="53" t="n"/>
      <c r="AL218" s="53" t="n"/>
      <c r="AM218" s="53" t="n"/>
      <c r="AN218" s="53" t="n"/>
      <c r="AO218" s="53" t="n"/>
      <c r="AP218" s="53" t="n"/>
      <c r="AQ218" s="53" t="n"/>
      <c r="AR218" s="53" t="n"/>
      <c r="AS218" s="53" t="n"/>
      <c r="AT218" s="53" t="n"/>
      <c r="AU218" s="53" t="n"/>
      <c r="AV218" s="53" t="n"/>
      <c r="AW218" s="53" t="n"/>
      <c r="AX218" s="53" t="n"/>
      <c r="AY218" s="53" t="n"/>
    </row>
    <row r="219" ht="15" customHeight="1">
      <c r="A219" s="40">
        <f>IF($D$219="","",70)</f>
        <v/>
      </c>
      <c r="B219" s="10" t="n"/>
      <c r="C219" s="41" t="inlineStr">
        <is>
          <t>마케팅4팀</t>
        </is>
      </c>
      <c r="D219" s="42" t="n"/>
      <c r="E219" s="43" t="inlineStr">
        <is>
          <t>기획</t>
        </is>
      </c>
      <c r="F219" s="44" t="n"/>
      <c r="G219" s="45" t="n"/>
      <c r="H219" s="46">
        <f>IF($I$219="","",IF($I$219&lt;0,"🔴지연",IF($I$219&lt;=1,"🟡임박","🟢여유")))</f>
        <v/>
      </c>
      <c r="I219" s="47">
        <f>IF(OR($G$219="",$K$219=""),"",$G$219-$K$219)</f>
        <v/>
      </c>
      <c r="J219" s="48">
        <f>IF(SUM($L$219:$L$221)=0,"",SUM($L$219:$L$221))</f>
        <v/>
      </c>
      <c r="K219" s="49">
        <f>IF($J$219="","",MAX($N$219:$N$221))</f>
        <v/>
      </c>
      <c r="L219" s="50">
        <f>IF(SUM(U219:AY219)=0,"",SUM(U219:AY219))</f>
        <v/>
      </c>
      <c r="M219" s="51">
        <f>IFERROR(INDEX(U$2:AY$2,MATCH(TRUE,INDEX(U219:AY219&lt;&gt;"",0),0)),"")</f>
        <v/>
      </c>
      <c r="N219" s="51">
        <f>IFERROR(LOOKUP(2,1/(U219:AY219&lt;&gt;""),U$2:AY$2),"")</f>
        <v/>
      </c>
      <c r="O219" s="52" t="n"/>
      <c r="P219" s="52" t="n"/>
      <c r="Q219" s="52" t="n"/>
      <c r="R219" s="44" t="n"/>
      <c r="S219" s="14" t="n"/>
      <c r="U219" s="53" t="n"/>
      <c r="V219" s="53" t="n"/>
      <c r="W219" s="53" t="n"/>
      <c r="X219" s="53" t="n"/>
      <c r="Y219" s="53" t="n"/>
      <c r="Z219" s="53" t="n"/>
      <c r="AA219" s="53" t="n"/>
      <c r="AB219" s="53" t="n"/>
      <c r="AC219" s="53" t="n"/>
      <c r="AD219" s="53" t="n"/>
      <c r="AE219" s="53" t="n"/>
      <c r="AF219" s="53" t="n"/>
      <c r="AG219" s="53" t="n"/>
      <c r="AH219" s="53" t="n"/>
      <c r="AI219" s="53" t="n"/>
      <c r="AJ219" s="53" t="n"/>
      <c r="AK219" s="53" t="n"/>
      <c r="AL219" s="53" t="n"/>
      <c r="AM219" s="53" t="n"/>
      <c r="AN219" s="53" t="n"/>
      <c r="AO219" s="53" t="n"/>
      <c r="AP219" s="53" t="n"/>
      <c r="AQ219" s="53" t="n"/>
      <c r="AR219" s="53" t="n"/>
      <c r="AS219" s="53" t="n"/>
      <c r="AT219" s="53" t="n"/>
      <c r="AU219" s="53" t="n"/>
      <c r="AV219" s="53" t="n"/>
      <c r="AW219" s="53" t="n"/>
      <c r="AX219" s="53" t="n"/>
      <c r="AY219" s="53" t="n"/>
    </row>
    <row r="220" ht="15" customHeight="1">
      <c r="A220" s="54" t="n"/>
      <c r="B220" s="55">
        <f>IF($B$219="","",$B$219)</f>
        <v/>
      </c>
      <c r="C220" s="56" t="inlineStr">
        <is>
          <t>마케팅4팀</t>
        </is>
      </c>
      <c r="D220" s="55">
        <f>IF($D$219="","",$D$219)</f>
        <v/>
      </c>
      <c r="E220" s="57" t="inlineStr">
        <is>
          <t>이미지</t>
        </is>
      </c>
      <c r="F220" s="44" t="n"/>
      <c r="G220" s="58">
        <f>IF($G$219="","",$G$219)</f>
        <v/>
      </c>
      <c r="H220" s="59" t="n"/>
      <c r="I220" s="59" t="n"/>
      <c r="J220" s="59" t="n"/>
      <c r="K220" s="59" t="n"/>
      <c r="L220" s="60">
        <f>IF(SUM(U220:AY220)=0,"",SUM(U220:AY220))</f>
        <v/>
      </c>
      <c r="M220" s="61">
        <f>IFERROR(INDEX(U$2:AY$2,MATCH(TRUE,INDEX(U220:AY220&lt;&gt;"",0),0)),"")</f>
        <v/>
      </c>
      <c r="N220" s="61">
        <f>IFERROR(LOOKUP(2,1/(U220:AY220&lt;&gt;""),U$2:AY$2),"")</f>
        <v/>
      </c>
      <c r="O220" s="59" t="n"/>
      <c r="P220" s="59" t="n"/>
      <c r="Q220" s="59" t="n"/>
      <c r="R220" s="59" t="n"/>
      <c r="S220" s="14" t="n"/>
      <c r="U220" s="53" t="n"/>
      <c r="V220" s="53" t="n"/>
      <c r="W220" s="53" t="n"/>
      <c r="X220" s="53" t="n"/>
      <c r="Y220" s="53" t="n"/>
      <c r="Z220" s="53" t="n"/>
      <c r="AA220" s="53" t="n"/>
      <c r="AB220" s="53" t="n"/>
      <c r="AC220" s="53" t="n"/>
      <c r="AD220" s="53" t="n"/>
      <c r="AE220" s="53" t="n"/>
      <c r="AF220" s="53" t="n"/>
      <c r="AG220" s="53" t="n"/>
      <c r="AH220" s="53" t="n"/>
      <c r="AI220" s="53" t="n"/>
      <c r="AJ220" s="53" t="n"/>
      <c r="AK220" s="53" t="n"/>
      <c r="AL220" s="53" t="n"/>
      <c r="AM220" s="53" t="n"/>
      <c r="AN220" s="53" t="n"/>
      <c r="AO220" s="53" t="n"/>
      <c r="AP220" s="53" t="n"/>
      <c r="AQ220" s="53" t="n"/>
      <c r="AR220" s="53" t="n"/>
      <c r="AS220" s="53" t="n"/>
      <c r="AT220" s="53" t="n"/>
      <c r="AU220" s="53" t="n"/>
      <c r="AV220" s="53" t="n"/>
      <c r="AW220" s="53" t="n"/>
      <c r="AX220" s="53" t="n"/>
      <c r="AY220" s="53" t="n"/>
    </row>
    <row r="221" ht="15" customHeight="1">
      <c r="A221" s="62" t="n"/>
      <c r="B221" s="55">
        <f>IF($B$219="","",$B$219)</f>
        <v/>
      </c>
      <c r="C221" s="63" t="inlineStr">
        <is>
          <t>마케팅4팀</t>
        </is>
      </c>
      <c r="D221" s="55">
        <f>IF($D$219="","",$D$219)</f>
        <v/>
      </c>
      <c r="E221" s="64" t="inlineStr">
        <is>
          <t>영상</t>
        </is>
      </c>
      <c r="F221" s="44" t="n"/>
      <c r="G221" s="58">
        <f>IF($G$219="","",$G$219)</f>
        <v/>
      </c>
      <c r="H221" s="59" t="n"/>
      <c r="I221" s="59" t="n"/>
      <c r="J221" s="59" t="n"/>
      <c r="K221" s="59" t="n"/>
      <c r="L221" s="65">
        <f>IF(SUM(U221:AY221)=0,"",SUM(U221:AY221))</f>
        <v/>
      </c>
      <c r="M221" s="66">
        <f>IFERROR(INDEX(U$2:AY$2,MATCH(TRUE,INDEX(U221:AY221&lt;&gt;"",0),0)),"")</f>
        <v/>
      </c>
      <c r="N221" s="66">
        <f>IFERROR(LOOKUP(2,1/(U221:AY221&lt;&gt;""),U$2:AY$2),"")</f>
        <v/>
      </c>
      <c r="O221" s="59" t="n"/>
      <c r="P221" s="59" t="n"/>
      <c r="Q221" s="59" t="n"/>
      <c r="R221" s="59" t="n"/>
      <c r="S221" s="14" t="n"/>
      <c r="U221" s="53" t="n"/>
      <c r="V221" s="53" t="n"/>
      <c r="W221" s="53" t="n"/>
      <c r="X221" s="53" t="n"/>
      <c r="Y221" s="53" t="n"/>
      <c r="Z221" s="53" t="n"/>
      <c r="AA221" s="53" t="n"/>
      <c r="AB221" s="53" t="n"/>
      <c r="AC221" s="53" t="n"/>
      <c r="AD221" s="53" t="n"/>
      <c r="AE221" s="53" t="n"/>
      <c r="AF221" s="53" t="n"/>
      <c r="AG221" s="53" t="n"/>
      <c r="AH221" s="53" t="n"/>
      <c r="AI221" s="53" t="n"/>
      <c r="AJ221" s="53" t="n"/>
      <c r="AK221" s="53" t="n"/>
      <c r="AL221" s="53" t="n"/>
      <c r="AM221" s="53" t="n"/>
      <c r="AN221" s="53" t="n"/>
      <c r="AO221" s="53" t="n"/>
      <c r="AP221" s="53" t="n"/>
      <c r="AQ221" s="53" t="n"/>
      <c r="AR221" s="53" t="n"/>
      <c r="AS221" s="53" t="n"/>
      <c r="AT221" s="53" t="n"/>
      <c r="AU221" s="53" t="n"/>
      <c r="AV221" s="53" t="n"/>
      <c r="AW221" s="53" t="n"/>
      <c r="AX221" s="53" t="n"/>
      <c r="AY221" s="53" t="n"/>
    </row>
    <row r="222" ht="15" customHeight="1">
      <c r="A222" s="40">
        <f>IF($D$222="","",71)</f>
        <v/>
      </c>
      <c r="B222" s="10" t="n"/>
      <c r="C222" s="41" t="inlineStr">
        <is>
          <t>마케팅4팀</t>
        </is>
      </c>
      <c r="D222" s="42" t="n"/>
      <c r="E222" s="43" t="inlineStr">
        <is>
          <t>기획</t>
        </is>
      </c>
      <c r="F222" s="44" t="n"/>
      <c r="G222" s="45" t="n"/>
      <c r="H222" s="46">
        <f>IF($I$222="","",IF($I$222&lt;0,"🔴지연",IF($I$222&lt;=1,"🟡임박","🟢여유")))</f>
        <v/>
      </c>
      <c r="I222" s="47">
        <f>IF(OR($G$222="",$K$222=""),"",$G$222-$K$222)</f>
        <v/>
      </c>
      <c r="J222" s="48">
        <f>IF(SUM($L$222:$L$224)=0,"",SUM($L$222:$L$224))</f>
        <v/>
      </c>
      <c r="K222" s="49">
        <f>IF($J$222="","",MAX($N$222:$N$224))</f>
        <v/>
      </c>
      <c r="L222" s="50">
        <f>IF(SUM(U222:AY222)=0,"",SUM(U222:AY222))</f>
        <v/>
      </c>
      <c r="M222" s="51">
        <f>IFERROR(INDEX(U$2:AY$2,MATCH(TRUE,INDEX(U222:AY222&lt;&gt;"",0),0)),"")</f>
        <v/>
      </c>
      <c r="N222" s="51">
        <f>IFERROR(LOOKUP(2,1/(U222:AY222&lt;&gt;""),U$2:AY$2),"")</f>
        <v/>
      </c>
      <c r="O222" s="52" t="n"/>
      <c r="P222" s="52" t="n"/>
      <c r="Q222" s="52" t="n"/>
      <c r="R222" s="44" t="n"/>
      <c r="S222" s="14" t="n"/>
      <c r="U222" s="53" t="n"/>
      <c r="V222" s="53" t="n"/>
      <c r="W222" s="53" t="n"/>
      <c r="X222" s="53" t="n"/>
      <c r="Y222" s="53" t="n"/>
      <c r="Z222" s="53" t="n"/>
      <c r="AA222" s="53" t="n"/>
      <c r="AB222" s="53" t="n"/>
      <c r="AC222" s="53" t="n"/>
      <c r="AD222" s="53" t="n"/>
      <c r="AE222" s="53" t="n"/>
      <c r="AF222" s="53" t="n"/>
      <c r="AG222" s="53" t="n"/>
      <c r="AH222" s="53" t="n"/>
      <c r="AI222" s="53" t="n"/>
      <c r="AJ222" s="53" t="n"/>
      <c r="AK222" s="53" t="n"/>
      <c r="AL222" s="53" t="n"/>
      <c r="AM222" s="53" t="n"/>
      <c r="AN222" s="53" t="n"/>
      <c r="AO222" s="53" t="n"/>
      <c r="AP222" s="53" t="n"/>
      <c r="AQ222" s="53" t="n"/>
      <c r="AR222" s="53" t="n"/>
      <c r="AS222" s="53" t="n"/>
      <c r="AT222" s="53" t="n"/>
      <c r="AU222" s="53" t="n"/>
      <c r="AV222" s="53" t="n"/>
      <c r="AW222" s="53" t="n"/>
      <c r="AX222" s="53" t="n"/>
      <c r="AY222" s="53" t="n"/>
    </row>
    <row r="223" ht="15" customHeight="1">
      <c r="A223" s="54" t="n"/>
      <c r="B223" s="55">
        <f>IF($B$222="","",$B$222)</f>
        <v/>
      </c>
      <c r="C223" s="56" t="inlineStr">
        <is>
          <t>마케팅4팀</t>
        </is>
      </c>
      <c r="D223" s="55">
        <f>IF($D$222="","",$D$222)</f>
        <v/>
      </c>
      <c r="E223" s="57" t="inlineStr">
        <is>
          <t>이미지</t>
        </is>
      </c>
      <c r="F223" s="44" t="n"/>
      <c r="G223" s="58">
        <f>IF($G$222="","",$G$222)</f>
        <v/>
      </c>
      <c r="H223" s="59" t="n"/>
      <c r="I223" s="59" t="n"/>
      <c r="J223" s="59" t="n"/>
      <c r="K223" s="59" t="n"/>
      <c r="L223" s="60">
        <f>IF(SUM(U223:AY223)=0,"",SUM(U223:AY223))</f>
        <v/>
      </c>
      <c r="M223" s="61">
        <f>IFERROR(INDEX(U$2:AY$2,MATCH(TRUE,INDEX(U223:AY223&lt;&gt;"",0),0)),"")</f>
        <v/>
      </c>
      <c r="N223" s="61">
        <f>IFERROR(LOOKUP(2,1/(U223:AY223&lt;&gt;""),U$2:AY$2),"")</f>
        <v/>
      </c>
      <c r="O223" s="59" t="n"/>
      <c r="P223" s="59" t="n"/>
      <c r="Q223" s="59" t="n"/>
      <c r="R223" s="59" t="n"/>
      <c r="S223" s="14" t="n"/>
      <c r="U223" s="53" t="n"/>
      <c r="V223" s="53" t="n"/>
      <c r="W223" s="53" t="n"/>
      <c r="X223" s="53" t="n"/>
      <c r="Y223" s="53" t="n"/>
      <c r="Z223" s="53" t="n"/>
      <c r="AA223" s="53" t="n"/>
      <c r="AB223" s="53" t="n"/>
      <c r="AC223" s="53" t="n"/>
      <c r="AD223" s="53" t="n"/>
      <c r="AE223" s="53" t="n"/>
      <c r="AF223" s="53" t="n"/>
      <c r="AG223" s="53" t="n"/>
      <c r="AH223" s="53" t="n"/>
      <c r="AI223" s="53" t="n"/>
      <c r="AJ223" s="53" t="n"/>
      <c r="AK223" s="53" t="n"/>
      <c r="AL223" s="53" t="n"/>
      <c r="AM223" s="53" t="n"/>
      <c r="AN223" s="53" t="n"/>
      <c r="AO223" s="53" t="n"/>
      <c r="AP223" s="53" t="n"/>
      <c r="AQ223" s="53" t="n"/>
      <c r="AR223" s="53" t="n"/>
      <c r="AS223" s="53" t="n"/>
      <c r="AT223" s="53" t="n"/>
      <c r="AU223" s="53" t="n"/>
      <c r="AV223" s="53" t="n"/>
      <c r="AW223" s="53" t="n"/>
      <c r="AX223" s="53" t="n"/>
      <c r="AY223" s="53" t="n"/>
    </row>
    <row r="224" ht="15" customHeight="1">
      <c r="A224" s="62" t="n"/>
      <c r="B224" s="55">
        <f>IF($B$222="","",$B$222)</f>
        <v/>
      </c>
      <c r="C224" s="63" t="inlineStr">
        <is>
          <t>마케팅4팀</t>
        </is>
      </c>
      <c r="D224" s="55">
        <f>IF($D$222="","",$D$222)</f>
        <v/>
      </c>
      <c r="E224" s="64" t="inlineStr">
        <is>
          <t>영상</t>
        </is>
      </c>
      <c r="F224" s="44" t="n"/>
      <c r="G224" s="58">
        <f>IF($G$222="","",$G$222)</f>
        <v/>
      </c>
      <c r="H224" s="59" t="n"/>
      <c r="I224" s="59" t="n"/>
      <c r="J224" s="59" t="n"/>
      <c r="K224" s="59" t="n"/>
      <c r="L224" s="65">
        <f>IF(SUM(U224:AY224)=0,"",SUM(U224:AY224))</f>
        <v/>
      </c>
      <c r="M224" s="66">
        <f>IFERROR(INDEX(U$2:AY$2,MATCH(TRUE,INDEX(U224:AY224&lt;&gt;"",0),0)),"")</f>
        <v/>
      </c>
      <c r="N224" s="66">
        <f>IFERROR(LOOKUP(2,1/(U224:AY224&lt;&gt;""),U$2:AY$2),"")</f>
        <v/>
      </c>
      <c r="O224" s="59" t="n"/>
      <c r="P224" s="59" t="n"/>
      <c r="Q224" s="59" t="n"/>
      <c r="R224" s="59" t="n"/>
      <c r="S224" s="14" t="n"/>
      <c r="U224" s="53" t="n"/>
      <c r="V224" s="53" t="n"/>
      <c r="W224" s="53" t="n"/>
      <c r="X224" s="53" t="n"/>
      <c r="Y224" s="53" t="n"/>
      <c r="Z224" s="53" t="n"/>
      <c r="AA224" s="53" t="n"/>
      <c r="AB224" s="53" t="n"/>
      <c r="AC224" s="53" t="n"/>
      <c r="AD224" s="53" t="n"/>
      <c r="AE224" s="53" t="n"/>
      <c r="AF224" s="53" t="n"/>
      <c r="AG224" s="53" t="n"/>
      <c r="AH224" s="53" t="n"/>
      <c r="AI224" s="53" t="n"/>
      <c r="AJ224" s="53" t="n"/>
      <c r="AK224" s="53" t="n"/>
      <c r="AL224" s="53" t="n"/>
      <c r="AM224" s="53" t="n"/>
      <c r="AN224" s="53" t="n"/>
      <c r="AO224" s="53" t="n"/>
      <c r="AP224" s="53" t="n"/>
      <c r="AQ224" s="53" t="n"/>
      <c r="AR224" s="53" t="n"/>
      <c r="AS224" s="53" t="n"/>
      <c r="AT224" s="53" t="n"/>
      <c r="AU224" s="53" t="n"/>
      <c r="AV224" s="53" t="n"/>
      <c r="AW224" s="53" t="n"/>
      <c r="AX224" s="53" t="n"/>
      <c r="AY224" s="53" t="n"/>
    </row>
    <row r="225" ht="15" customHeight="1">
      <c r="A225" s="40">
        <f>IF($D$225="","",72)</f>
        <v/>
      </c>
      <c r="B225" s="10" t="n"/>
      <c r="C225" s="41" t="inlineStr">
        <is>
          <t>마케팅4팀</t>
        </is>
      </c>
      <c r="D225" s="42" t="n"/>
      <c r="E225" s="43" t="inlineStr">
        <is>
          <t>기획</t>
        </is>
      </c>
      <c r="F225" s="44" t="n"/>
      <c r="G225" s="45" t="n"/>
      <c r="H225" s="46">
        <f>IF($I$225="","",IF($I$225&lt;0,"🔴지연",IF($I$225&lt;=1,"🟡임박","🟢여유")))</f>
        <v/>
      </c>
      <c r="I225" s="47">
        <f>IF(OR($G$225="",$K$225=""),"",$G$225-$K$225)</f>
        <v/>
      </c>
      <c r="J225" s="48">
        <f>IF(SUM($L$225:$L$227)=0,"",SUM($L$225:$L$227))</f>
        <v/>
      </c>
      <c r="K225" s="49">
        <f>IF($J$225="","",MAX($N$225:$N$227))</f>
        <v/>
      </c>
      <c r="L225" s="50">
        <f>IF(SUM(U225:AY225)=0,"",SUM(U225:AY225))</f>
        <v/>
      </c>
      <c r="M225" s="51">
        <f>IFERROR(INDEX(U$2:AY$2,MATCH(TRUE,INDEX(U225:AY225&lt;&gt;"",0),0)),"")</f>
        <v/>
      </c>
      <c r="N225" s="51">
        <f>IFERROR(LOOKUP(2,1/(U225:AY225&lt;&gt;""),U$2:AY$2),"")</f>
        <v/>
      </c>
      <c r="O225" s="52" t="n"/>
      <c r="P225" s="52" t="n"/>
      <c r="Q225" s="52" t="n"/>
      <c r="R225" s="44" t="n"/>
      <c r="S225" s="14" t="n"/>
      <c r="U225" s="53" t="n"/>
      <c r="V225" s="53" t="n"/>
      <c r="W225" s="53" t="n"/>
      <c r="X225" s="53" t="n"/>
      <c r="Y225" s="53" t="n"/>
      <c r="Z225" s="53" t="n"/>
      <c r="AA225" s="53" t="n"/>
      <c r="AB225" s="53" t="n"/>
      <c r="AC225" s="53" t="n"/>
      <c r="AD225" s="53" t="n"/>
      <c r="AE225" s="53" t="n"/>
      <c r="AF225" s="53" t="n"/>
      <c r="AG225" s="53" t="n"/>
      <c r="AH225" s="53" t="n"/>
      <c r="AI225" s="53" t="n"/>
      <c r="AJ225" s="53" t="n"/>
      <c r="AK225" s="53" t="n"/>
      <c r="AL225" s="53" t="n"/>
      <c r="AM225" s="53" t="n"/>
      <c r="AN225" s="53" t="n"/>
      <c r="AO225" s="53" t="n"/>
      <c r="AP225" s="53" t="n"/>
      <c r="AQ225" s="53" t="n"/>
      <c r="AR225" s="53" t="n"/>
      <c r="AS225" s="53" t="n"/>
      <c r="AT225" s="53" t="n"/>
      <c r="AU225" s="53" t="n"/>
      <c r="AV225" s="53" t="n"/>
      <c r="AW225" s="53" t="n"/>
      <c r="AX225" s="53" t="n"/>
      <c r="AY225" s="53" t="n"/>
    </row>
    <row r="226" ht="15" customHeight="1">
      <c r="A226" s="54" t="n"/>
      <c r="B226" s="55">
        <f>IF($B$225="","",$B$225)</f>
        <v/>
      </c>
      <c r="C226" s="56" t="inlineStr">
        <is>
          <t>마케팅4팀</t>
        </is>
      </c>
      <c r="D226" s="55">
        <f>IF($D$225="","",$D$225)</f>
        <v/>
      </c>
      <c r="E226" s="57" t="inlineStr">
        <is>
          <t>이미지</t>
        </is>
      </c>
      <c r="F226" s="44" t="n"/>
      <c r="G226" s="58">
        <f>IF($G$225="","",$G$225)</f>
        <v/>
      </c>
      <c r="H226" s="59" t="n"/>
      <c r="I226" s="59" t="n"/>
      <c r="J226" s="59" t="n"/>
      <c r="K226" s="59" t="n"/>
      <c r="L226" s="60">
        <f>IF(SUM(U226:AY226)=0,"",SUM(U226:AY226))</f>
        <v/>
      </c>
      <c r="M226" s="61">
        <f>IFERROR(INDEX(U$2:AY$2,MATCH(TRUE,INDEX(U226:AY226&lt;&gt;"",0),0)),"")</f>
        <v/>
      </c>
      <c r="N226" s="61">
        <f>IFERROR(LOOKUP(2,1/(U226:AY226&lt;&gt;""),U$2:AY$2),"")</f>
        <v/>
      </c>
      <c r="O226" s="59" t="n"/>
      <c r="P226" s="59" t="n"/>
      <c r="Q226" s="59" t="n"/>
      <c r="R226" s="59" t="n"/>
      <c r="S226" s="14" t="n"/>
      <c r="U226" s="53" t="n"/>
      <c r="V226" s="53" t="n"/>
      <c r="W226" s="53" t="n"/>
      <c r="X226" s="53" t="n"/>
      <c r="Y226" s="53" t="n"/>
      <c r="Z226" s="53" t="n"/>
      <c r="AA226" s="53" t="n"/>
      <c r="AB226" s="53" t="n"/>
      <c r="AC226" s="53" t="n"/>
      <c r="AD226" s="53" t="n"/>
      <c r="AE226" s="53" t="n"/>
      <c r="AF226" s="53" t="n"/>
      <c r="AG226" s="53" t="n"/>
      <c r="AH226" s="53" t="n"/>
      <c r="AI226" s="53" t="n"/>
      <c r="AJ226" s="53" t="n"/>
      <c r="AK226" s="53" t="n"/>
      <c r="AL226" s="53" t="n"/>
      <c r="AM226" s="53" t="n"/>
      <c r="AN226" s="53" t="n"/>
      <c r="AO226" s="53" t="n"/>
      <c r="AP226" s="53" t="n"/>
      <c r="AQ226" s="53" t="n"/>
      <c r="AR226" s="53" t="n"/>
      <c r="AS226" s="53" t="n"/>
      <c r="AT226" s="53" t="n"/>
      <c r="AU226" s="53" t="n"/>
      <c r="AV226" s="53" t="n"/>
      <c r="AW226" s="53" t="n"/>
      <c r="AX226" s="53" t="n"/>
      <c r="AY226" s="53" t="n"/>
    </row>
    <row r="227" ht="15" customHeight="1">
      <c r="A227" s="62" t="n"/>
      <c r="B227" s="55">
        <f>IF($B$225="","",$B$225)</f>
        <v/>
      </c>
      <c r="C227" s="63" t="inlineStr">
        <is>
          <t>마케팅4팀</t>
        </is>
      </c>
      <c r="D227" s="55">
        <f>IF($D$225="","",$D$225)</f>
        <v/>
      </c>
      <c r="E227" s="64" t="inlineStr">
        <is>
          <t>영상</t>
        </is>
      </c>
      <c r="F227" s="44" t="n"/>
      <c r="G227" s="58">
        <f>IF($G$225="","",$G$225)</f>
        <v/>
      </c>
      <c r="H227" s="59" t="n"/>
      <c r="I227" s="59" t="n"/>
      <c r="J227" s="59" t="n"/>
      <c r="K227" s="59" t="n"/>
      <c r="L227" s="65">
        <f>IF(SUM(U227:AY227)=0,"",SUM(U227:AY227))</f>
        <v/>
      </c>
      <c r="M227" s="66">
        <f>IFERROR(INDEX(U$2:AY$2,MATCH(TRUE,INDEX(U227:AY227&lt;&gt;"",0),0)),"")</f>
        <v/>
      </c>
      <c r="N227" s="66">
        <f>IFERROR(LOOKUP(2,1/(U227:AY227&lt;&gt;""),U$2:AY$2),"")</f>
        <v/>
      </c>
      <c r="O227" s="59" t="n"/>
      <c r="P227" s="59" t="n"/>
      <c r="Q227" s="59" t="n"/>
      <c r="R227" s="59" t="n"/>
      <c r="S227" s="14" t="n"/>
      <c r="U227" s="53" t="n"/>
      <c r="V227" s="53" t="n"/>
      <c r="W227" s="53" t="n"/>
      <c r="X227" s="53" t="n"/>
      <c r="Y227" s="53" t="n"/>
      <c r="Z227" s="53" t="n"/>
      <c r="AA227" s="53" t="n"/>
      <c r="AB227" s="53" t="n"/>
      <c r="AC227" s="53" t="n"/>
      <c r="AD227" s="53" t="n"/>
      <c r="AE227" s="53" t="n"/>
      <c r="AF227" s="53" t="n"/>
      <c r="AG227" s="53" t="n"/>
      <c r="AH227" s="53" t="n"/>
      <c r="AI227" s="53" t="n"/>
      <c r="AJ227" s="53" t="n"/>
      <c r="AK227" s="53" t="n"/>
      <c r="AL227" s="53" t="n"/>
      <c r="AM227" s="53" t="n"/>
      <c r="AN227" s="53" t="n"/>
      <c r="AO227" s="53" t="n"/>
      <c r="AP227" s="53" t="n"/>
      <c r="AQ227" s="53" t="n"/>
      <c r="AR227" s="53" t="n"/>
      <c r="AS227" s="53" t="n"/>
      <c r="AT227" s="53" t="n"/>
      <c r="AU227" s="53" t="n"/>
      <c r="AV227" s="53" t="n"/>
      <c r="AW227" s="53" t="n"/>
      <c r="AX227" s="53" t="n"/>
      <c r="AY227" s="53" t="n"/>
    </row>
    <row r="228" ht="15" customHeight="1">
      <c r="A228" s="40">
        <f>IF($D$228="","",73)</f>
        <v/>
      </c>
      <c r="B228" s="10" t="n"/>
      <c r="C228" s="41" t="inlineStr">
        <is>
          <t>마케팅4팀</t>
        </is>
      </c>
      <c r="D228" s="42" t="n"/>
      <c r="E228" s="43" t="inlineStr">
        <is>
          <t>기획</t>
        </is>
      </c>
      <c r="F228" s="44" t="n"/>
      <c r="G228" s="45" t="n"/>
      <c r="H228" s="46">
        <f>IF($I$228="","",IF($I$228&lt;0,"🔴지연",IF($I$228&lt;=1,"🟡임박","🟢여유")))</f>
        <v/>
      </c>
      <c r="I228" s="47">
        <f>IF(OR($G$228="",$K$228=""),"",$G$228-$K$228)</f>
        <v/>
      </c>
      <c r="J228" s="48">
        <f>IF(SUM($L$228:$L$230)=0,"",SUM($L$228:$L$230))</f>
        <v/>
      </c>
      <c r="K228" s="49">
        <f>IF($J$228="","",MAX($N$228:$N$230))</f>
        <v/>
      </c>
      <c r="L228" s="50">
        <f>IF(SUM(U228:AY228)=0,"",SUM(U228:AY228))</f>
        <v/>
      </c>
      <c r="M228" s="51">
        <f>IFERROR(INDEX(U$2:AY$2,MATCH(TRUE,INDEX(U228:AY228&lt;&gt;"",0),0)),"")</f>
        <v/>
      </c>
      <c r="N228" s="51">
        <f>IFERROR(LOOKUP(2,1/(U228:AY228&lt;&gt;""),U$2:AY$2),"")</f>
        <v/>
      </c>
      <c r="O228" s="52" t="n"/>
      <c r="P228" s="52" t="n"/>
      <c r="Q228" s="52" t="n"/>
      <c r="R228" s="44" t="n"/>
      <c r="S228" s="14" t="n"/>
      <c r="U228" s="53" t="n"/>
      <c r="V228" s="53" t="n"/>
      <c r="W228" s="53" t="n"/>
      <c r="X228" s="53" t="n"/>
      <c r="Y228" s="53" t="n"/>
      <c r="Z228" s="53" t="n"/>
      <c r="AA228" s="53" t="n"/>
      <c r="AB228" s="53" t="n"/>
      <c r="AC228" s="53" t="n"/>
      <c r="AD228" s="53" t="n"/>
      <c r="AE228" s="53" t="n"/>
      <c r="AF228" s="53" t="n"/>
      <c r="AG228" s="53" t="n"/>
      <c r="AH228" s="53" t="n"/>
      <c r="AI228" s="53" t="n"/>
      <c r="AJ228" s="53" t="n"/>
      <c r="AK228" s="53" t="n"/>
      <c r="AL228" s="53" t="n"/>
      <c r="AM228" s="53" t="n"/>
      <c r="AN228" s="53" t="n"/>
      <c r="AO228" s="53" t="n"/>
      <c r="AP228" s="53" t="n"/>
      <c r="AQ228" s="53" t="n"/>
      <c r="AR228" s="53" t="n"/>
      <c r="AS228" s="53" t="n"/>
      <c r="AT228" s="53" t="n"/>
      <c r="AU228" s="53" t="n"/>
      <c r="AV228" s="53" t="n"/>
      <c r="AW228" s="53" t="n"/>
      <c r="AX228" s="53" t="n"/>
      <c r="AY228" s="53" t="n"/>
    </row>
    <row r="229" ht="15" customHeight="1">
      <c r="A229" s="54" t="n"/>
      <c r="B229" s="55">
        <f>IF($B$228="","",$B$228)</f>
        <v/>
      </c>
      <c r="C229" s="56" t="inlineStr">
        <is>
          <t>마케팅4팀</t>
        </is>
      </c>
      <c r="D229" s="55">
        <f>IF($D$228="","",$D$228)</f>
        <v/>
      </c>
      <c r="E229" s="57" t="inlineStr">
        <is>
          <t>이미지</t>
        </is>
      </c>
      <c r="F229" s="44" t="n"/>
      <c r="G229" s="58">
        <f>IF($G$228="","",$G$228)</f>
        <v/>
      </c>
      <c r="H229" s="59" t="n"/>
      <c r="I229" s="59" t="n"/>
      <c r="J229" s="59" t="n"/>
      <c r="K229" s="59" t="n"/>
      <c r="L229" s="60">
        <f>IF(SUM(U229:AY229)=0,"",SUM(U229:AY229))</f>
        <v/>
      </c>
      <c r="M229" s="61">
        <f>IFERROR(INDEX(U$2:AY$2,MATCH(TRUE,INDEX(U229:AY229&lt;&gt;"",0),0)),"")</f>
        <v/>
      </c>
      <c r="N229" s="61">
        <f>IFERROR(LOOKUP(2,1/(U229:AY229&lt;&gt;""),U$2:AY$2),"")</f>
        <v/>
      </c>
      <c r="O229" s="59" t="n"/>
      <c r="P229" s="59" t="n"/>
      <c r="Q229" s="59" t="n"/>
      <c r="R229" s="59" t="n"/>
      <c r="S229" s="14" t="n"/>
      <c r="U229" s="53" t="n"/>
      <c r="V229" s="53" t="n"/>
      <c r="W229" s="53" t="n"/>
      <c r="X229" s="53" t="n"/>
      <c r="Y229" s="53" t="n"/>
      <c r="Z229" s="53" t="n"/>
      <c r="AA229" s="53" t="n"/>
      <c r="AB229" s="53" t="n"/>
      <c r="AC229" s="53" t="n"/>
      <c r="AD229" s="53" t="n"/>
      <c r="AE229" s="53" t="n"/>
      <c r="AF229" s="53" t="n"/>
      <c r="AG229" s="53" t="n"/>
      <c r="AH229" s="53" t="n"/>
      <c r="AI229" s="53" t="n"/>
      <c r="AJ229" s="53" t="n"/>
      <c r="AK229" s="53" t="n"/>
      <c r="AL229" s="53" t="n"/>
      <c r="AM229" s="53" t="n"/>
      <c r="AN229" s="53" t="n"/>
      <c r="AO229" s="53" t="n"/>
      <c r="AP229" s="53" t="n"/>
      <c r="AQ229" s="53" t="n"/>
      <c r="AR229" s="53" t="n"/>
      <c r="AS229" s="53" t="n"/>
      <c r="AT229" s="53" t="n"/>
      <c r="AU229" s="53" t="n"/>
      <c r="AV229" s="53" t="n"/>
      <c r="AW229" s="53" t="n"/>
      <c r="AX229" s="53" t="n"/>
      <c r="AY229" s="53" t="n"/>
    </row>
    <row r="230" ht="15" customHeight="1">
      <c r="A230" s="62" t="n"/>
      <c r="B230" s="55">
        <f>IF($B$228="","",$B$228)</f>
        <v/>
      </c>
      <c r="C230" s="63" t="inlineStr">
        <is>
          <t>마케팅4팀</t>
        </is>
      </c>
      <c r="D230" s="55">
        <f>IF($D$228="","",$D$228)</f>
        <v/>
      </c>
      <c r="E230" s="64" t="inlineStr">
        <is>
          <t>영상</t>
        </is>
      </c>
      <c r="F230" s="44" t="n"/>
      <c r="G230" s="58">
        <f>IF($G$228="","",$G$228)</f>
        <v/>
      </c>
      <c r="H230" s="59" t="n"/>
      <c r="I230" s="59" t="n"/>
      <c r="J230" s="59" t="n"/>
      <c r="K230" s="59" t="n"/>
      <c r="L230" s="65">
        <f>IF(SUM(U230:AY230)=0,"",SUM(U230:AY230))</f>
        <v/>
      </c>
      <c r="M230" s="66">
        <f>IFERROR(INDEX(U$2:AY$2,MATCH(TRUE,INDEX(U230:AY230&lt;&gt;"",0),0)),"")</f>
        <v/>
      </c>
      <c r="N230" s="66">
        <f>IFERROR(LOOKUP(2,1/(U230:AY230&lt;&gt;""),U$2:AY$2),"")</f>
        <v/>
      </c>
      <c r="O230" s="59" t="n"/>
      <c r="P230" s="59" t="n"/>
      <c r="Q230" s="59" t="n"/>
      <c r="R230" s="59" t="n"/>
      <c r="S230" s="14" t="n"/>
      <c r="U230" s="53" t="n"/>
      <c r="V230" s="53" t="n"/>
      <c r="W230" s="53" t="n"/>
      <c r="X230" s="53" t="n"/>
      <c r="Y230" s="53" t="n"/>
      <c r="Z230" s="53" t="n"/>
      <c r="AA230" s="53" t="n"/>
      <c r="AB230" s="53" t="n"/>
      <c r="AC230" s="53" t="n"/>
      <c r="AD230" s="53" t="n"/>
      <c r="AE230" s="53" t="n"/>
      <c r="AF230" s="53" t="n"/>
      <c r="AG230" s="53" t="n"/>
      <c r="AH230" s="53" t="n"/>
      <c r="AI230" s="53" t="n"/>
      <c r="AJ230" s="53" t="n"/>
      <c r="AK230" s="53" t="n"/>
      <c r="AL230" s="53" t="n"/>
      <c r="AM230" s="53" t="n"/>
      <c r="AN230" s="53" t="n"/>
      <c r="AO230" s="53" t="n"/>
      <c r="AP230" s="53" t="n"/>
      <c r="AQ230" s="53" t="n"/>
      <c r="AR230" s="53" t="n"/>
      <c r="AS230" s="53" t="n"/>
      <c r="AT230" s="53" t="n"/>
      <c r="AU230" s="53" t="n"/>
      <c r="AV230" s="53" t="n"/>
      <c r="AW230" s="53" t="n"/>
      <c r="AX230" s="53" t="n"/>
      <c r="AY230" s="53" t="n"/>
    </row>
    <row r="231" ht="15" customHeight="1">
      <c r="A231" s="40">
        <f>IF($D$231="","",74)</f>
        <v/>
      </c>
      <c r="B231" s="10" t="n"/>
      <c r="C231" s="41" t="inlineStr">
        <is>
          <t>마케팅4팀</t>
        </is>
      </c>
      <c r="D231" s="42" t="n"/>
      <c r="E231" s="43" t="inlineStr">
        <is>
          <t>기획</t>
        </is>
      </c>
      <c r="F231" s="44" t="n"/>
      <c r="G231" s="45" t="n"/>
      <c r="H231" s="46">
        <f>IF($I$231="","",IF($I$231&lt;0,"🔴지연",IF($I$231&lt;=1,"🟡임박","🟢여유")))</f>
        <v/>
      </c>
      <c r="I231" s="47">
        <f>IF(OR($G$231="",$K$231=""),"",$G$231-$K$231)</f>
        <v/>
      </c>
      <c r="J231" s="48">
        <f>IF(SUM($L$231:$L$233)=0,"",SUM($L$231:$L$233))</f>
        <v/>
      </c>
      <c r="K231" s="49">
        <f>IF($J$231="","",MAX($N$231:$N$233))</f>
        <v/>
      </c>
      <c r="L231" s="50">
        <f>IF(SUM(U231:AY231)=0,"",SUM(U231:AY231))</f>
        <v/>
      </c>
      <c r="M231" s="51">
        <f>IFERROR(INDEX(U$2:AY$2,MATCH(TRUE,INDEX(U231:AY231&lt;&gt;"",0),0)),"")</f>
        <v/>
      </c>
      <c r="N231" s="51">
        <f>IFERROR(LOOKUP(2,1/(U231:AY231&lt;&gt;""),U$2:AY$2),"")</f>
        <v/>
      </c>
      <c r="O231" s="52" t="n"/>
      <c r="P231" s="52" t="n"/>
      <c r="Q231" s="52" t="n"/>
      <c r="R231" s="44" t="n"/>
      <c r="S231" s="14" t="n"/>
      <c r="U231" s="53" t="n"/>
      <c r="V231" s="53" t="n"/>
      <c r="W231" s="53" t="n"/>
      <c r="X231" s="53" t="n"/>
      <c r="Y231" s="53" t="n"/>
      <c r="Z231" s="53" t="n"/>
      <c r="AA231" s="53" t="n"/>
      <c r="AB231" s="53" t="n"/>
      <c r="AC231" s="53" t="n"/>
      <c r="AD231" s="53" t="n"/>
      <c r="AE231" s="53" t="n"/>
      <c r="AF231" s="53" t="n"/>
      <c r="AG231" s="53" t="n"/>
      <c r="AH231" s="53" t="n"/>
      <c r="AI231" s="53" t="n"/>
      <c r="AJ231" s="53" t="n"/>
      <c r="AK231" s="53" t="n"/>
      <c r="AL231" s="53" t="n"/>
      <c r="AM231" s="53" t="n"/>
      <c r="AN231" s="53" t="n"/>
      <c r="AO231" s="53" t="n"/>
      <c r="AP231" s="53" t="n"/>
      <c r="AQ231" s="53" t="n"/>
      <c r="AR231" s="53" t="n"/>
      <c r="AS231" s="53" t="n"/>
      <c r="AT231" s="53" t="n"/>
      <c r="AU231" s="53" t="n"/>
      <c r="AV231" s="53" t="n"/>
      <c r="AW231" s="53" t="n"/>
      <c r="AX231" s="53" t="n"/>
      <c r="AY231" s="53" t="n"/>
    </row>
    <row r="232" ht="15" customHeight="1">
      <c r="A232" s="54" t="n"/>
      <c r="B232" s="55">
        <f>IF($B$231="","",$B$231)</f>
        <v/>
      </c>
      <c r="C232" s="56" t="inlineStr">
        <is>
          <t>마케팅4팀</t>
        </is>
      </c>
      <c r="D232" s="55">
        <f>IF($D$231="","",$D$231)</f>
        <v/>
      </c>
      <c r="E232" s="57" t="inlineStr">
        <is>
          <t>이미지</t>
        </is>
      </c>
      <c r="F232" s="44" t="n"/>
      <c r="G232" s="58">
        <f>IF($G$231="","",$G$231)</f>
        <v/>
      </c>
      <c r="H232" s="59" t="n"/>
      <c r="I232" s="59" t="n"/>
      <c r="J232" s="59" t="n"/>
      <c r="K232" s="59" t="n"/>
      <c r="L232" s="60">
        <f>IF(SUM(U232:AY232)=0,"",SUM(U232:AY232))</f>
        <v/>
      </c>
      <c r="M232" s="61">
        <f>IFERROR(INDEX(U$2:AY$2,MATCH(TRUE,INDEX(U232:AY232&lt;&gt;"",0),0)),"")</f>
        <v/>
      </c>
      <c r="N232" s="61">
        <f>IFERROR(LOOKUP(2,1/(U232:AY232&lt;&gt;""),U$2:AY$2),"")</f>
        <v/>
      </c>
      <c r="O232" s="59" t="n"/>
      <c r="P232" s="59" t="n"/>
      <c r="Q232" s="59" t="n"/>
      <c r="R232" s="59" t="n"/>
      <c r="S232" s="14" t="n"/>
      <c r="U232" s="53" t="n"/>
      <c r="V232" s="53" t="n"/>
      <c r="W232" s="53" t="n"/>
      <c r="X232" s="53" t="n"/>
      <c r="Y232" s="53" t="n"/>
      <c r="Z232" s="53" t="n"/>
      <c r="AA232" s="53" t="n"/>
      <c r="AB232" s="53" t="n"/>
      <c r="AC232" s="53" t="n"/>
      <c r="AD232" s="53" t="n"/>
      <c r="AE232" s="53" t="n"/>
      <c r="AF232" s="53" t="n"/>
      <c r="AG232" s="53" t="n"/>
      <c r="AH232" s="53" t="n"/>
      <c r="AI232" s="53" t="n"/>
      <c r="AJ232" s="53" t="n"/>
      <c r="AK232" s="53" t="n"/>
      <c r="AL232" s="53" t="n"/>
      <c r="AM232" s="53" t="n"/>
      <c r="AN232" s="53" t="n"/>
      <c r="AO232" s="53" t="n"/>
      <c r="AP232" s="53" t="n"/>
      <c r="AQ232" s="53" t="n"/>
      <c r="AR232" s="53" t="n"/>
      <c r="AS232" s="53" t="n"/>
      <c r="AT232" s="53" t="n"/>
      <c r="AU232" s="53" t="n"/>
      <c r="AV232" s="53" t="n"/>
      <c r="AW232" s="53" t="n"/>
      <c r="AX232" s="53" t="n"/>
      <c r="AY232" s="53" t="n"/>
    </row>
    <row r="233" ht="15" customHeight="1">
      <c r="A233" s="62" t="n"/>
      <c r="B233" s="55">
        <f>IF($B$231="","",$B$231)</f>
        <v/>
      </c>
      <c r="C233" s="63" t="inlineStr">
        <is>
          <t>마케팅4팀</t>
        </is>
      </c>
      <c r="D233" s="55">
        <f>IF($D$231="","",$D$231)</f>
        <v/>
      </c>
      <c r="E233" s="64" t="inlineStr">
        <is>
          <t>영상</t>
        </is>
      </c>
      <c r="F233" s="44" t="n"/>
      <c r="G233" s="58">
        <f>IF($G$231="","",$G$231)</f>
        <v/>
      </c>
      <c r="H233" s="59" t="n"/>
      <c r="I233" s="59" t="n"/>
      <c r="J233" s="59" t="n"/>
      <c r="K233" s="59" t="n"/>
      <c r="L233" s="65">
        <f>IF(SUM(U233:AY233)=0,"",SUM(U233:AY233))</f>
        <v/>
      </c>
      <c r="M233" s="66">
        <f>IFERROR(INDEX(U$2:AY$2,MATCH(TRUE,INDEX(U233:AY233&lt;&gt;"",0),0)),"")</f>
        <v/>
      </c>
      <c r="N233" s="66">
        <f>IFERROR(LOOKUP(2,1/(U233:AY233&lt;&gt;""),U$2:AY$2),"")</f>
        <v/>
      </c>
      <c r="O233" s="59" t="n"/>
      <c r="P233" s="59" t="n"/>
      <c r="Q233" s="59" t="n"/>
      <c r="R233" s="59" t="n"/>
      <c r="S233" s="14" t="n"/>
      <c r="U233" s="53" t="n"/>
      <c r="V233" s="53" t="n"/>
      <c r="W233" s="53" t="n"/>
      <c r="X233" s="53" t="n"/>
      <c r="Y233" s="53" t="n"/>
      <c r="Z233" s="53" t="n"/>
      <c r="AA233" s="53" t="n"/>
      <c r="AB233" s="53" t="n"/>
      <c r="AC233" s="53" t="n"/>
      <c r="AD233" s="53" t="n"/>
      <c r="AE233" s="53" t="n"/>
      <c r="AF233" s="53" t="n"/>
      <c r="AG233" s="53" t="n"/>
      <c r="AH233" s="53" t="n"/>
      <c r="AI233" s="53" t="n"/>
      <c r="AJ233" s="53" t="n"/>
      <c r="AK233" s="53" t="n"/>
      <c r="AL233" s="53" t="n"/>
      <c r="AM233" s="53" t="n"/>
      <c r="AN233" s="53" t="n"/>
      <c r="AO233" s="53" t="n"/>
      <c r="AP233" s="53" t="n"/>
      <c r="AQ233" s="53" t="n"/>
      <c r="AR233" s="53" t="n"/>
      <c r="AS233" s="53" t="n"/>
      <c r="AT233" s="53" t="n"/>
      <c r="AU233" s="53" t="n"/>
      <c r="AV233" s="53" t="n"/>
      <c r="AW233" s="53" t="n"/>
      <c r="AX233" s="53" t="n"/>
      <c r="AY233" s="53" t="n"/>
    </row>
    <row r="234" ht="15" customHeight="1">
      <c r="A234" s="40">
        <f>IF($D$234="","",75)</f>
        <v/>
      </c>
      <c r="B234" s="10" t="n"/>
      <c r="C234" s="41" t="inlineStr">
        <is>
          <t>마케팅4팀</t>
        </is>
      </c>
      <c r="D234" s="42" t="n"/>
      <c r="E234" s="43" t="inlineStr">
        <is>
          <t>기획</t>
        </is>
      </c>
      <c r="F234" s="44" t="n"/>
      <c r="G234" s="45" t="n"/>
      <c r="H234" s="46">
        <f>IF($I$234="","",IF($I$234&lt;0,"🔴지연",IF($I$234&lt;=1,"🟡임박","🟢여유")))</f>
        <v/>
      </c>
      <c r="I234" s="47">
        <f>IF(OR($G$234="",$K$234=""),"",$G$234-$K$234)</f>
        <v/>
      </c>
      <c r="J234" s="48">
        <f>IF(SUM($L$234:$L$236)=0,"",SUM($L$234:$L$236))</f>
        <v/>
      </c>
      <c r="K234" s="49">
        <f>IF($J$234="","",MAX($N$234:$N$236))</f>
        <v/>
      </c>
      <c r="L234" s="50">
        <f>IF(SUM(U234:AY234)=0,"",SUM(U234:AY234))</f>
        <v/>
      </c>
      <c r="M234" s="51">
        <f>IFERROR(INDEX(U$2:AY$2,MATCH(TRUE,INDEX(U234:AY234&lt;&gt;"",0),0)),"")</f>
        <v/>
      </c>
      <c r="N234" s="51">
        <f>IFERROR(LOOKUP(2,1/(U234:AY234&lt;&gt;""),U$2:AY$2),"")</f>
        <v/>
      </c>
      <c r="O234" s="52" t="n"/>
      <c r="P234" s="52" t="n"/>
      <c r="Q234" s="52" t="n"/>
      <c r="R234" s="44" t="n"/>
      <c r="S234" s="14" t="n"/>
      <c r="U234" s="53" t="n"/>
      <c r="V234" s="53" t="n"/>
      <c r="W234" s="53" t="n"/>
      <c r="X234" s="53" t="n"/>
      <c r="Y234" s="53" t="n"/>
      <c r="Z234" s="53" t="n"/>
      <c r="AA234" s="53" t="n"/>
      <c r="AB234" s="53" t="n"/>
      <c r="AC234" s="53" t="n"/>
      <c r="AD234" s="53" t="n"/>
      <c r="AE234" s="53" t="n"/>
      <c r="AF234" s="53" t="n"/>
      <c r="AG234" s="53" t="n"/>
      <c r="AH234" s="53" t="n"/>
      <c r="AI234" s="53" t="n"/>
      <c r="AJ234" s="53" t="n"/>
      <c r="AK234" s="53" t="n"/>
      <c r="AL234" s="53" t="n"/>
      <c r="AM234" s="53" t="n"/>
      <c r="AN234" s="53" t="n"/>
      <c r="AO234" s="53" t="n"/>
      <c r="AP234" s="53" t="n"/>
      <c r="AQ234" s="53" t="n"/>
      <c r="AR234" s="53" t="n"/>
      <c r="AS234" s="53" t="n"/>
      <c r="AT234" s="53" t="n"/>
      <c r="AU234" s="53" t="n"/>
      <c r="AV234" s="53" t="n"/>
      <c r="AW234" s="53" t="n"/>
      <c r="AX234" s="53" t="n"/>
      <c r="AY234" s="53" t="n"/>
    </row>
    <row r="235" ht="15" customHeight="1">
      <c r="A235" s="54" t="n"/>
      <c r="B235" s="55">
        <f>IF($B$234="","",$B$234)</f>
        <v/>
      </c>
      <c r="C235" s="56" t="inlineStr">
        <is>
          <t>마케팅4팀</t>
        </is>
      </c>
      <c r="D235" s="55">
        <f>IF($D$234="","",$D$234)</f>
        <v/>
      </c>
      <c r="E235" s="57" t="inlineStr">
        <is>
          <t>이미지</t>
        </is>
      </c>
      <c r="F235" s="44" t="n"/>
      <c r="G235" s="58">
        <f>IF($G$234="","",$G$234)</f>
        <v/>
      </c>
      <c r="H235" s="59" t="n"/>
      <c r="I235" s="59" t="n"/>
      <c r="J235" s="59" t="n"/>
      <c r="K235" s="59" t="n"/>
      <c r="L235" s="60">
        <f>IF(SUM(U235:AY235)=0,"",SUM(U235:AY235))</f>
        <v/>
      </c>
      <c r="M235" s="61">
        <f>IFERROR(INDEX(U$2:AY$2,MATCH(TRUE,INDEX(U235:AY235&lt;&gt;"",0),0)),"")</f>
        <v/>
      </c>
      <c r="N235" s="61">
        <f>IFERROR(LOOKUP(2,1/(U235:AY235&lt;&gt;""),U$2:AY$2),"")</f>
        <v/>
      </c>
      <c r="O235" s="59" t="n"/>
      <c r="P235" s="59" t="n"/>
      <c r="Q235" s="59" t="n"/>
      <c r="R235" s="59" t="n"/>
      <c r="S235" s="14" t="n"/>
      <c r="U235" s="53" t="n"/>
      <c r="V235" s="53" t="n"/>
      <c r="W235" s="53" t="n"/>
      <c r="X235" s="53" t="n"/>
      <c r="Y235" s="53" t="n"/>
      <c r="Z235" s="53" t="n"/>
      <c r="AA235" s="53" t="n"/>
      <c r="AB235" s="53" t="n"/>
      <c r="AC235" s="53" t="n"/>
      <c r="AD235" s="53" t="n"/>
      <c r="AE235" s="53" t="n"/>
      <c r="AF235" s="53" t="n"/>
      <c r="AG235" s="53" t="n"/>
      <c r="AH235" s="53" t="n"/>
      <c r="AI235" s="53" t="n"/>
      <c r="AJ235" s="53" t="n"/>
      <c r="AK235" s="53" t="n"/>
      <c r="AL235" s="53" t="n"/>
      <c r="AM235" s="53" t="n"/>
      <c r="AN235" s="53" t="n"/>
      <c r="AO235" s="53" t="n"/>
      <c r="AP235" s="53" t="n"/>
      <c r="AQ235" s="53" t="n"/>
      <c r="AR235" s="53" t="n"/>
      <c r="AS235" s="53" t="n"/>
      <c r="AT235" s="53" t="n"/>
      <c r="AU235" s="53" t="n"/>
      <c r="AV235" s="53" t="n"/>
      <c r="AW235" s="53" t="n"/>
      <c r="AX235" s="53" t="n"/>
      <c r="AY235" s="53" t="n"/>
    </row>
    <row r="236" ht="15" customHeight="1">
      <c r="A236" s="62" t="n"/>
      <c r="B236" s="55">
        <f>IF($B$234="","",$B$234)</f>
        <v/>
      </c>
      <c r="C236" s="63" t="inlineStr">
        <is>
          <t>마케팅4팀</t>
        </is>
      </c>
      <c r="D236" s="55">
        <f>IF($D$234="","",$D$234)</f>
        <v/>
      </c>
      <c r="E236" s="64" t="inlineStr">
        <is>
          <t>영상</t>
        </is>
      </c>
      <c r="F236" s="44" t="n"/>
      <c r="G236" s="58">
        <f>IF($G$234="","",$G$234)</f>
        <v/>
      </c>
      <c r="H236" s="59" t="n"/>
      <c r="I236" s="59" t="n"/>
      <c r="J236" s="59" t="n"/>
      <c r="K236" s="59" t="n"/>
      <c r="L236" s="65">
        <f>IF(SUM(U236:AY236)=0,"",SUM(U236:AY236))</f>
        <v/>
      </c>
      <c r="M236" s="66">
        <f>IFERROR(INDEX(U$2:AY$2,MATCH(TRUE,INDEX(U236:AY236&lt;&gt;"",0),0)),"")</f>
        <v/>
      </c>
      <c r="N236" s="66">
        <f>IFERROR(LOOKUP(2,1/(U236:AY236&lt;&gt;""),U$2:AY$2),"")</f>
        <v/>
      </c>
      <c r="O236" s="59" t="n"/>
      <c r="P236" s="59" t="n"/>
      <c r="Q236" s="59" t="n"/>
      <c r="R236" s="59" t="n"/>
      <c r="S236" s="14" t="n"/>
      <c r="U236" s="53" t="n"/>
      <c r="V236" s="53" t="n"/>
      <c r="W236" s="53" t="n"/>
      <c r="X236" s="53" t="n"/>
      <c r="Y236" s="53" t="n"/>
      <c r="Z236" s="53" t="n"/>
      <c r="AA236" s="53" t="n"/>
      <c r="AB236" s="53" t="n"/>
      <c r="AC236" s="53" t="n"/>
      <c r="AD236" s="53" t="n"/>
      <c r="AE236" s="53" t="n"/>
      <c r="AF236" s="53" t="n"/>
      <c r="AG236" s="53" t="n"/>
      <c r="AH236" s="53" t="n"/>
      <c r="AI236" s="53" t="n"/>
      <c r="AJ236" s="53" t="n"/>
      <c r="AK236" s="53" t="n"/>
      <c r="AL236" s="53" t="n"/>
      <c r="AM236" s="53" t="n"/>
      <c r="AN236" s="53" t="n"/>
      <c r="AO236" s="53" t="n"/>
      <c r="AP236" s="53" t="n"/>
      <c r="AQ236" s="53" t="n"/>
      <c r="AR236" s="53" t="n"/>
      <c r="AS236" s="53" t="n"/>
      <c r="AT236" s="53" t="n"/>
      <c r="AU236" s="53" t="n"/>
      <c r="AV236" s="53" t="n"/>
      <c r="AW236" s="53" t="n"/>
      <c r="AX236" s="53" t="n"/>
      <c r="AY236" s="53" t="n"/>
    </row>
    <row r="237" ht="15" customHeight="1">
      <c r="A237" s="40">
        <f>IF($D$237="","",76)</f>
        <v/>
      </c>
      <c r="B237" s="10" t="n"/>
      <c r="C237" s="41" t="inlineStr">
        <is>
          <t>마케팅4팀</t>
        </is>
      </c>
      <c r="D237" s="42" t="n"/>
      <c r="E237" s="43" t="inlineStr">
        <is>
          <t>기획</t>
        </is>
      </c>
      <c r="F237" s="44" t="n"/>
      <c r="G237" s="45" t="n"/>
      <c r="H237" s="46">
        <f>IF($I$237="","",IF($I$237&lt;0,"🔴지연",IF($I$237&lt;=1,"🟡임박","🟢여유")))</f>
        <v/>
      </c>
      <c r="I237" s="47">
        <f>IF(OR($G$237="",$K$237=""),"",$G$237-$K$237)</f>
        <v/>
      </c>
      <c r="J237" s="48">
        <f>IF(SUM($L$237:$L$239)=0,"",SUM($L$237:$L$239))</f>
        <v/>
      </c>
      <c r="K237" s="49">
        <f>IF($J$237="","",MAX($N$237:$N$239))</f>
        <v/>
      </c>
      <c r="L237" s="50">
        <f>IF(SUM(U237:AY237)=0,"",SUM(U237:AY237))</f>
        <v/>
      </c>
      <c r="M237" s="51">
        <f>IFERROR(INDEX(U$2:AY$2,MATCH(TRUE,INDEX(U237:AY237&lt;&gt;"",0),0)),"")</f>
        <v/>
      </c>
      <c r="N237" s="51">
        <f>IFERROR(LOOKUP(2,1/(U237:AY237&lt;&gt;""),U$2:AY$2),"")</f>
        <v/>
      </c>
      <c r="O237" s="52" t="n"/>
      <c r="P237" s="52" t="n"/>
      <c r="Q237" s="52" t="n"/>
      <c r="R237" s="44" t="n"/>
      <c r="S237" s="14" t="n"/>
      <c r="U237" s="53" t="n"/>
      <c r="V237" s="53" t="n"/>
      <c r="W237" s="53" t="n"/>
      <c r="X237" s="53" t="n"/>
      <c r="Y237" s="53" t="n"/>
      <c r="Z237" s="53" t="n"/>
      <c r="AA237" s="53" t="n"/>
      <c r="AB237" s="53" t="n"/>
      <c r="AC237" s="53" t="n"/>
      <c r="AD237" s="53" t="n"/>
      <c r="AE237" s="53" t="n"/>
      <c r="AF237" s="53" t="n"/>
      <c r="AG237" s="53" t="n"/>
      <c r="AH237" s="53" t="n"/>
      <c r="AI237" s="53" t="n"/>
      <c r="AJ237" s="53" t="n"/>
      <c r="AK237" s="53" t="n"/>
      <c r="AL237" s="53" t="n"/>
      <c r="AM237" s="53" t="n"/>
      <c r="AN237" s="53" t="n"/>
      <c r="AO237" s="53" t="n"/>
      <c r="AP237" s="53" t="n"/>
      <c r="AQ237" s="53" t="n"/>
      <c r="AR237" s="53" t="n"/>
      <c r="AS237" s="53" t="n"/>
      <c r="AT237" s="53" t="n"/>
      <c r="AU237" s="53" t="n"/>
      <c r="AV237" s="53" t="n"/>
      <c r="AW237" s="53" t="n"/>
      <c r="AX237" s="53" t="n"/>
      <c r="AY237" s="53" t="n"/>
    </row>
    <row r="238" ht="15" customHeight="1">
      <c r="A238" s="54" t="n"/>
      <c r="B238" s="55">
        <f>IF($B$237="","",$B$237)</f>
        <v/>
      </c>
      <c r="C238" s="56" t="inlineStr">
        <is>
          <t>마케팅4팀</t>
        </is>
      </c>
      <c r="D238" s="55">
        <f>IF($D$237="","",$D$237)</f>
        <v/>
      </c>
      <c r="E238" s="57" t="inlineStr">
        <is>
          <t>이미지</t>
        </is>
      </c>
      <c r="F238" s="44" t="n"/>
      <c r="G238" s="58">
        <f>IF($G$237="","",$G$237)</f>
        <v/>
      </c>
      <c r="H238" s="59" t="n"/>
      <c r="I238" s="59" t="n"/>
      <c r="J238" s="59" t="n"/>
      <c r="K238" s="59" t="n"/>
      <c r="L238" s="60">
        <f>IF(SUM(U238:AY238)=0,"",SUM(U238:AY238))</f>
        <v/>
      </c>
      <c r="M238" s="61">
        <f>IFERROR(INDEX(U$2:AY$2,MATCH(TRUE,INDEX(U238:AY238&lt;&gt;"",0),0)),"")</f>
        <v/>
      </c>
      <c r="N238" s="61">
        <f>IFERROR(LOOKUP(2,1/(U238:AY238&lt;&gt;""),U$2:AY$2),"")</f>
        <v/>
      </c>
      <c r="O238" s="59" t="n"/>
      <c r="P238" s="59" t="n"/>
      <c r="Q238" s="59" t="n"/>
      <c r="R238" s="59" t="n"/>
      <c r="S238" s="14" t="n"/>
      <c r="U238" s="53" t="n"/>
      <c r="V238" s="53" t="n"/>
      <c r="W238" s="53" t="n"/>
      <c r="X238" s="53" t="n"/>
      <c r="Y238" s="53" t="n"/>
      <c r="Z238" s="53" t="n"/>
      <c r="AA238" s="53" t="n"/>
      <c r="AB238" s="53" t="n"/>
      <c r="AC238" s="53" t="n"/>
      <c r="AD238" s="53" t="n"/>
      <c r="AE238" s="53" t="n"/>
      <c r="AF238" s="53" t="n"/>
      <c r="AG238" s="53" t="n"/>
      <c r="AH238" s="53" t="n"/>
      <c r="AI238" s="53" t="n"/>
      <c r="AJ238" s="53" t="n"/>
      <c r="AK238" s="53" t="n"/>
      <c r="AL238" s="53" t="n"/>
      <c r="AM238" s="53" t="n"/>
      <c r="AN238" s="53" t="n"/>
      <c r="AO238" s="53" t="n"/>
      <c r="AP238" s="53" t="n"/>
      <c r="AQ238" s="53" t="n"/>
      <c r="AR238" s="53" t="n"/>
      <c r="AS238" s="53" t="n"/>
      <c r="AT238" s="53" t="n"/>
      <c r="AU238" s="53" t="n"/>
      <c r="AV238" s="53" t="n"/>
      <c r="AW238" s="53" t="n"/>
      <c r="AX238" s="53" t="n"/>
      <c r="AY238" s="53" t="n"/>
    </row>
    <row r="239" ht="15" customHeight="1">
      <c r="A239" s="62" t="n"/>
      <c r="B239" s="55">
        <f>IF($B$237="","",$B$237)</f>
        <v/>
      </c>
      <c r="C239" s="63" t="inlineStr">
        <is>
          <t>마케팅4팀</t>
        </is>
      </c>
      <c r="D239" s="55">
        <f>IF($D$237="","",$D$237)</f>
        <v/>
      </c>
      <c r="E239" s="64" t="inlineStr">
        <is>
          <t>영상</t>
        </is>
      </c>
      <c r="F239" s="44" t="n"/>
      <c r="G239" s="58">
        <f>IF($G$237="","",$G$237)</f>
        <v/>
      </c>
      <c r="H239" s="59" t="n"/>
      <c r="I239" s="59" t="n"/>
      <c r="J239" s="59" t="n"/>
      <c r="K239" s="59" t="n"/>
      <c r="L239" s="65">
        <f>IF(SUM(U239:AY239)=0,"",SUM(U239:AY239))</f>
        <v/>
      </c>
      <c r="M239" s="66">
        <f>IFERROR(INDEX(U$2:AY$2,MATCH(TRUE,INDEX(U239:AY239&lt;&gt;"",0),0)),"")</f>
        <v/>
      </c>
      <c r="N239" s="66">
        <f>IFERROR(LOOKUP(2,1/(U239:AY239&lt;&gt;""),U$2:AY$2),"")</f>
        <v/>
      </c>
      <c r="O239" s="59" t="n"/>
      <c r="P239" s="59" t="n"/>
      <c r="Q239" s="59" t="n"/>
      <c r="R239" s="59" t="n"/>
      <c r="S239" s="14" t="n"/>
      <c r="U239" s="53" t="n"/>
      <c r="V239" s="53" t="n"/>
      <c r="W239" s="53" t="n"/>
      <c r="X239" s="53" t="n"/>
      <c r="Y239" s="53" t="n"/>
      <c r="Z239" s="53" t="n"/>
      <c r="AA239" s="53" t="n"/>
      <c r="AB239" s="53" t="n"/>
      <c r="AC239" s="53" t="n"/>
      <c r="AD239" s="53" t="n"/>
      <c r="AE239" s="53" t="n"/>
      <c r="AF239" s="53" t="n"/>
      <c r="AG239" s="53" t="n"/>
      <c r="AH239" s="53" t="n"/>
      <c r="AI239" s="53" t="n"/>
      <c r="AJ239" s="53" t="n"/>
      <c r="AK239" s="53" t="n"/>
      <c r="AL239" s="53" t="n"/>
      <c r="AM239" s="53" t="n"/>
      <c r="AN239" s="53" t="n"/>
      <c r="AO239" s="53" t="n"/>
      <c r="AP239" s="53" t="n"/>
      <c r="AQ239" s="53" t="n"/>
      <c r="AR239" s="53" t="n"/>
      <c r="AS239" s="53" t="n"/>
      <c r="AT239" s="53" t="n"/>
      <c r="AU239" s="53" t="n"/>
      <c r="AV239" s="53" t="n"/>
      <c r="AW239" s="53" t="n"/>
      <c r="AX239" s="53" t="n"/>
      <c r="AY239" s="53" t="n"/>
    </row>
    <row r="240" ht="15" customHeight="1">
      <c r="A240" s="40">
        <f>IF($D$240="","",77)</f>
        <v/>
      </c>
      <c r="B240" s="10" t="n"/>
      <c r="C240" s="41" t="inlineStr">
        <is>
          <t>마케팅4팀</t>
        </is>
      </c>
      <c r="D240" s="42" t="n"/>
      <c r="E240" s="43" t="inlineStr">
        <is>
          <t>기획</t>
        </is>
      </c>
      <c r="F240" s="44" t="n"/>
      <c r="G240" s="45" t="n"/>
      <c r="H240" s="46">
        <f>IF($I$240="","",IF($I$240&lt;0,"🔴지연",IF($I$240&lt;=1,"🟡임박","🟢여유")))</f>
        <v/>
      </c>
      <c r="I240" s="47">
        <f>IF(OR($G$240="",$K$240=""),"",$G$240-$K$240)</f>
        <v/>
      </c>
      <c r="J240" s="48">
        <f>IF(SUM($L$240:$L$242)=0,"",SUM($L$240:$L$242))</f>
        <v/>
      </c>
      <c r="K240" s="49">
        <f>IF($J$240="","",MAX($N$240:$N$242))</f>
        <v/>
      </c>
      <c r="L240" s="50">
        <f>IF(SUM(U240:AY240)=0,"",SUM(U240:AY240))</f>
        <v/>
      </c>
      <c r="M240" s="51">
        <f>IFERROR(INDEX(U$2:AY$2,MATCH(TRUE,INDEX(U240:AY240&lt;&gt;"",0),0)),"")</f>
        <v/>
      </c>
      <c r="N240" s="51">
        <f>IFERROR(LOOKUP(2,1/(U240:AY240&lt;&gt;""),U$2:AY$2),"")</f>
        <v/>
      </c>
      <c r="O240" s="52" t="n"/>
      <c r="P240" s="52" t="n"/>
      <c r="Q240" s="52" t="n"/>
      <c r="R240" s="44" t="n"/>
      <c r="S240" s="14" t="n"/>
      <c r="U240" s="53" t="n"/>
      <c r="V240" s="53" t="n"/>
      <c r="W240" s="53" t="n"/>
      <c r="X240" s="53" t="n"/>
      <c r="Y240" s="53" t="n"/>
      <c r="Z240" s="53" t="n"/>
      <c r="AA240" s="53" t="n"/>
      <c r="AB240" s="53" t="n"/>
      <c r="AC240" s="53" t="n"/>
      <c r="AD240" s="53" t="n"/>
      <c r="AE240" s="53" t="n"/>
      <c r="AF240" s="53" t="n"/>
      <c r="AG240" s="53" t="n"/>
      <c r="AH240" s="53" t="n"/>
      <c r="AI240" s="53" t="n"/>
      <c r="AJ240" s="53" t="n"/>
      <c r="AK240" s="53" t="n"/>
      <c r="AL240" s="53" t="n"/>
      <c r="AM240" s="53" t="n"/>
      <c r="AN240" s="53" t="n"/>
      <c r="AO240" s="53" t="n"/>
      <c r="AP240" s="53" t="n"/>
      <c r="AQ240" s="53" t="n"/>
      <c r="AR240" s="53" t="n"/>
      <c r="AS240" s="53" t="n"/>
      <c r="AT240" s="53" t="n"/>
      <c r="AU240" s="53" t="n"/>
      <c r="AV240" s="53" t="n"/>
      <c r="AW240" s="53" t="n"/>
      <c r="AX240" s="53" t="n"/>
      <c r="AY240" s="53" t="n"/>
    </row>
    <row r="241" ht="15" customHeight="1">
      <c r="A241" s="54" t="n"/>
      <c r="B241" s="55">
        <f>IF($B$240="","",$B$240)</f>
        <v/>
      </c>
      <c r="C241" s="56" t="inlineStr">
        <is>
          <t>마케팅4팀</t>
        </is>
      </c>
      <c r="D241" s="55">
        <f>IF($D$240="","",$D$240)</f>
        <v/>
      </c>
      <c r="E241" s="57" t="inlineStr">
        <is>
          <t>이미지</t>
        </is>
      </c>
      <c r="F241" s="44" t="n"/>
      <c r="G241" s="58">
        <f>IF($G$240="","",$G$240)</f>
        <v/>
      </c>
      <c r="H241" s="59" t="n"/>
      <c r="I241" s="59" t="n"/>
      <c r="J241" s="59" t="n"/>
      <c r="K241" s="59" t="n"/>
      <c r="L241" s="60">
        <f>IF(SUM(U241:AY241)=0,"",SUM(U241:AY241))</f>
        <v/>
      </c>
      <c r="M241" s="61">
        <f>IFERROR(INDEX(U$2:AY$2,MATCH(TRUE,INDEX(U241:AY241&lt;&gt;"",0),0)),"")</f>
        <v/>
      </c>
      <c r="N241" s="61">
        <f>IFERROR(LOOKUP(2,1/(U241:AY241&lt;&gt;""),U$2:AY$2),"")</f>
        <v/>
      </c>
      <c r="O241" s="59" t="n"/>
      <c r="P241" s="59" t="n"/>
      <c r="Q241" s="59" t="n"/>
      <c r="R241" s="59" t="n"/>
      <c r="S241" s="14" t="n"/>
      <c r="U241" s="53" t="n"/>
      <c r="V241" s="53" t="n"/>
      <c r="W241" s="53" t="n"/>
      <c r="X241" s="53" t="n"/>
      <c r="Y241" s="53" t="n"/>
      <c r="Z241" s="53" t="n"/>
      <c r="AA241" s="53" t="n"/>
      <c r="AB241" s="53" t="n"/>
      <c r="AC241" s="53" t="n"/>
      <c r="AD241" s="53" t="n"/>
      <c r="AE241" s="53" t="n"/>
      <c r="AF241" s="53" t="n"/>
      <c r="AG241" s="53" t="n"/>
      <c r="AH241" s="53" t="n"/>
      <c r="AI241" s="53" t="n"/>
      <c r="AJ241" s="53" t="n"/>
      <c r="AK241" s="53" t="n"/>
      <c r="AL241" s="53" t="n"/>
      <c r="AM241" s="53" t="n"/>
      <c r="AN241" s="53" t="n"/>
      <c r="AO241" s="53" t="n"/>
      <c r="AP241" s="53" t="n"/>
      <c r="AQ241" s="53" t="n"/>
      <c r="AR241" s="53" t="n"/>
      <c r="AS241" s="53" t="n"/>
      <c r="AT241" s="53" t="n"/>
      <c r="AU241" s="53" t="n"/>
      <c r="AV241" s="53" t="n"/>
      <c r="AW241" s="53" t="n"/>
      <c r="AX241" s="53" t="n"/>
      <c r="AY241" s="53" t="n"/>
    </row>
    <row r="242" ht="15" customHeight="1">
      <c r="A242" s="62" t="n"/>
      <c r="B242" s="55">
        <f>IF($B$240="","",$B$240)</f>
        <v/>
      </c>
      <c r="C242" s="63" t="inlineStr">
        <is>
          <t>마케팅4팀</t>
        </is>
      </c>
      <c r="D242" s="55">
        <f>IF($D$240="","",$D$240)</f>
        <v/>
      </c>
      <c r="E242" s="64" t="inlineStr">
        <is>
          <t>영상</t>
        </is>
      </c>
      <c r="F242" s="44" t="n"/>
      <c r="G242" s="58">
        <f>IF($G$240="","",$G$240)</f>
        <v/>
      </c>
      <c r="H242" s="59" t="n"/>
      <c r="I242" s="59" t="n"/>
      <c r="J242" s="59" t="n"/>
      <c r="K242" s="59" t="n"/>
      <c r="L242" s="65">
        <f>IF(SUM(U242:AY242)=0,"",SUM(U242:AY242))</f>
        <v/>
      </c>
      <c r="M242" s="66">
        <f>IFERROR(INDEX(U$2:AY$2,MATCH(TRUE,INDEX(U242:AY242&lt;&gt;"",0),0)),"")</f>
        <v/>
      </c>
      <c r="N242" s="66">
        <f>IFERROR(LOOKUP(2,1/(U242:AY242&lt;&gt;""),U$2:AY$2),"")</f>
        <v/>
      </c>
      <c r="O242" s="59" t="n"/>
      <c r="P242" s="59" t="n"/>
      <c r="Q242" s="59" t="n"/>
      <c r="R242" s="59" t="n"/>
      <c r="S242" s="14" t="n"/>
      <c r="U242" s="53" t="n"/>
      <c r="V242" s="53" t="n"/>
      <c r="W242" s="53" t="n"/>
      <c r="X242" s="53" t="n"/>
      <c r="Y242" s="53" t="n"/>
      <c r="Z242" s="53" t="n"/>
      <c r="AA242" s="53" t="n"/>
      <c r="AB242" s="53" t="n"/>
      <c r="AC242" s="53" t="n"/>
      <c r="AD242" s="53" t="n"/>
      <c r="AE242" s="53" t="n"/>
      <c r="AF242" s="53" t="n"/>
      <c r="AG242" s="53" t="n"/>
      <c r="AH242" s="53" t="n"/>
      <c r="AI242" s="53" t="n"/>
      <c r="AJ242" s="53" t="n"/>
      <c r="AK242" s="53" t="n"/>
      <c r="AL242" s="53" t="n"/>
      <c r="AM242" s="53" t="n"/>
      <c r="AN242" s="53" t="n"/>
      <c r="AO242" s="53" t="n"/>
      <c r="AP242" s="53" t="n"/>
      <c r="AQ242" s="53" t="n"/>
      <c r="AR242" s="53" t="n"/>
      <c r="AS242" s="53" t="n"/>
      <c r="AT242" s="53" t="n"/>
      <c r="AU242" s="53" t="n"/>
      <c r="AV242" s="53" t="n"/>
      <c r="AW242" s="53" t="n"/>
      <c r="AX242" s="53" t="n"/>
      <c r="AY242" s="53" t="n"/>
    </row>
    <row r="243" ht="15" customHeight="1">
      <c r="A243" s="40">
        <f>IF($D$243="","",78)</f>
        <v/>
      </c>
      <c r="B243" s="10" t="n"/>
      <c r="C243" s="41" t="inlineStr">
        <is>
          <t>마케팅4팀</t>
        </is>
      </c>
      <c r="D243" s="42" t="n"/>
      <c r="E243" s="43" t="inlineStr">
        <is>
          <t>기획</t>
        </is>
      </c>
      <c r="F243" s="44" t="n"/>
      <c r="G243" s="45" t="n"/>
      <c r="H243" s="46">
        <f>IF($I$243="","",IF($I$243&lt;0,"🔴지연",IF($I$243&lt;=1,"🟡임박","🟢여유")))</f>
        <v/>
      </c>
      <c r="I243" s="47">
        <f>IF(OR($G$243="",$K$243=""),"",$G$243-$K$243)</f>
        <v/>
      </c>
      <c r="J243" s="48">
        <f>IF(SUM($L$243:$L$245)=0,"",SUM($L$243:$L$245))</f>
        <v/>
      </c>
      <c r="K243" s="49">
        <f>IF($J$243="","",MAX($N$243:$N$245))</f>
        <v/>
      </c>
      <c r="L243" s="50">
        <f>IF(SUM(U243:AY243)=0,"",SUM(U243:AY243))</f>
        <v/>
      </c>
      <c r="M243" s="51">
        <f>IFERROR(INDEX(U$2:AY$2,MATCH(TRUE,INDEX(U243:AY243&lt;&gt;"",0),0)),"")</f>
        <v/>
      </c>
      <c r="N243" s="51">
        <f>IFERROR(LOOKUP(2,1/(U243:AY243&lt;&gt;""),U$2:AY$2),"")</f>
        <v/>
      </c>
      <c r="O243" s="52" t="n"/>
      <c r="P243" s="52" t="n"/>
      <c r="Q243" s="52" t="n"/>
      <c r="R243" s="44" t="n"/>
      <c r="S243" s="14" t="n"/>
      <c r="U243" s="53" t="n"/>
      <c r="V243" s="53" t="n"/>
      <c r="W243" s="53" t="n"/>
      <c r="X243" s="53" t="n"/>
      <c r="Y243" s="53" t="n"/>
      <c r="Z243" s="53" t="n"/>
      <c r="AA243" s="53" t="n"/>
      <c r="AB243" s="53" t="n"/>
      <c r="AC243" s="53" t="n"/>
      <c r="AD243" s="53" t="n"/>
      <c r="AE243" s="53" t="n"/>
      <c r="AF243" s="53" t="n"/>
      <c r="AG243" s="53" t="n"/>
      <c r="AH243" s="53" t="n"/>
      <c r="AI243" s="53" t="n"/>
      <c r="AJ243" s="53" t="n"/>
      <c r="AK243" s="53" t="n"/>
      <c r="AL243" s="53" t="n"/>
      <c r="AM243" s="53" t="n"/>
      <c r="AN243" s="53" t="n"/>
      <c r="AO243" s="53" t="n"/>
      <c r="AP243" s="53" t="n"/>
      <c r="AQ243" s="53" t="n"/>
      <c r="AR243" s="53" t="n"/>
      <c r="AS243" s="53" t="n"/>
      <c r="AT243" s="53" t="n"/>
      <c r="AU243" s="53" t="n"/>
      <c r="AV243" s="53" t="n"/>
      <c r="AW243" s="53" t="n"/>
      <c r="AX243" s="53" t="n"/>
      <c r="AY243" s="53" t="n"/>
    </row>
    <row r="244" ht="15" customHeight="1">
      <c r="A244" s="54" t="n"/>
      <c r="B244" s="55">
        <f>IF($B$243="","",$B$243)</f>
        <v/>
      </c>
      <c r="C244" s="56" t="inlineStr">
        <is>
          <t>마케팅4팀</t>
        </is>
      </c>
      <c r="D244" s="55">
        <f>IF($D$243="","",$D$243)</f>
        <v/>
      </c>
      <c r="E244" s="57" t="inlineStr">
        <is>
          <t>이미지</t>
        </is>
      </c>
      <c r="F244" s="44" t="n"/>
      <c r="G244" s="58">
        <f>IF($G$243="","",$G$243)</f>
        <v/>
      </c>
      <c r="H244" s="59" t="n"/>
      <c r="I244" s="59" t="n"/>
      <c r="J244" s="59" t="n"/>
      <c r="K244" s="59" t="n"/>
      <c r="L244" s="60">
        <f>IF(SUM(U244:AY244)=0,"",SUM(U244:AY244))</f>
        <v/>
      </c>
      <c r="M244" s="61">
        <f>IFERROR(INDEX(U$2:AY$2,MATCH(TRUE,INDEX(U244:AY244&lt;&gt;"",0),0)),"")</f>
        <v/>
      </c>
      <c r="N244" s="61">
        <f>IFERROR(LOOKUP(2,1/(U244:AY244&lt;&gt;""),U$2:AY$2),"")</f>
        <v/>
      </c>
      <c r="O244" s="59" t="n"/>
      <c r="P244" s="59" t="n"/>
      <c r="Q244" s="59" t="n"/>
      <c r="R244" s="59" t="n"/>
      <c r="S244" s="14" t="n"/>
      <c r="U244" s="53" t="n"/>
      <c r="V244" s="53" t="n"/>
      <c r="W244" s="53" t="n"/>
      <c r="X244" s="53" t="n"/>
      <c r="Y244" s="53" t="n"/>
      <c r="Z244" s="53" t="n"/>
      <c r="AA244" s="53" t="n"/>
      <c r="AB244" s="53" t="n"/>
      <c r="AC244" s="53" t="n"/>
      <c r="AD244" s="53" t="n"/>
      <c r="AE244" s="53" t="n"/>
      <c r="AF244" s="53" t="n"/>
      <c r="AG244" s="53" t="n"/>
      <c r="AH244" s="53" t="n"/>
      <c r="AI244" s="53" t="n"/>
      <c r="AJ244" s="53" t="n"/>
      <c r="AK244" s="53" t="n"/>
      <c r="AL244" s="53" t="n"/>
      <c r="AM244" s="53" t="n"/>
      <c r="AN244" s="53" t="n"/>
      <c r="AO244" s="53" t="n"/>
      <c r="AP244" s="53" t="n"/>
      <c r="AQ244" s="53" t="n"/>
      <c r="AR244" s="53" t="n"/>
      <c r="AS244" s="53" t="n"/>
      <c r="AT244" s="53" t="n"/>
      <c r="AU244" s="53" t="n"/>
      <c r="AV244" s="53" t="n"/>
      <c r="AW244" s="53" t="n"/>
      <c r="AX244" s="53" t="n"/>
      <c r="AY244" s="53" t="n"/>
    </row>
    <row r="245" ht="15" customHeight="1">
      <c r="A245" s="62" t="n"/>
      <c r="B245" s="55">
        <f>IF($B$243="","",$B$243)</f>
        <v/>
      </c>
      <c r="C245" s="63" t="inlineStr">
        <is>
          <t>마케팅4팀</t>
        </is>
      </c>
      <c r="D245" s="55">
        <f>IF($D$243="","",$D$243)</f>
        <v/>
      </c>
      <c r="E245" s="64" t="inlineStr">
        <is>
          <t>영상</t>
        </is>
      </c>
      <c r="F245" s="44" t="n"/>
      <c r="G245" s="58">
        <f>IF($G$243="","",$G$243)</f>
        <v/>
      </c>
      <c r="H245" s="59" t="n"/>
      <c r="I245" s="59" t="n"/>
      <c r="J245" s="59" t="n"/>
      <c r="K245" s="59" t="n"/>
      <c r="L245" s="65">
        <f>IF(SUM(U245:AY245)=0,"",SUM(U245:AY245))</f>
        <v/>
      </c>
      <c r="M245" s="66">
        <f>IFERROR(INDEX(U$2:AY$2,MATCH(TRUE,INDEX(U245:AY245&lt;&gt;"",0),0)),"")</f>
        <v/>
      </c>
      <c r="N245" s="66">
        <f>IFERROR(LOOKUP(2,1/(U245:AY245&lt;&gt;""),U$2:AY$2),"")</f>
        <v/>
      </c>
      <c r="O245" s="59" t="n"/>
      <c r="P245" s="59" t="n"/>
      <c r="Q245" s="59" t="n"/>
      <c r="R245" s="59" t="n"/>
      <c r="S245" s="14" t="n"/>
      <c r="U245" s="53" t="n"/>
      <c r="V245" s="53" t="n"/>
      <c r="W245" s="53" t="n"/>
      <c r="X245" s="53" t="n"/>
      <c r="Y245" s="53" t="n"/>
      <c r="Z245" s="53" t="n"/>
      <c r="AA245" s="53" t="n"/>
      <c r="AB245" s="53" t="n"/>
      <c r="AC245" s="53" t="n"/>
      <c r="AD245" s="53" t="n"/>
      <c r="AE245" s="53" t="n"/>
      <c r="AF245" s="53" t="n"/>
      <c r="AG245" s="53" t="n"/>
      <c r="AH245" s="53" t="n"/>
      <c r="AI245" s="53" t="n"/>
      <c r="AJ245" s="53" t="n"/>
      <c r="AK245" s="53" t="n"/>
      <c r="AL245" s="53" t="n"/>
      <c r="AM245" s="53" t="n"/>
      <c r="AN245" s="53" t="n"/>
      <c r="AO245" s="53" t="n"/>
      <c r="AP245" s="53" t="n"/>
      <c r="AQ245" s="53" t="n"/>
      <c r="AR245" s="53" t="n"/>
      <c r="AS245" s="53" t="n"/>
      <c r="AT245" s="53" t="n"/>
      <c r="AU245" s="53" t="n"/>
      <c r="AV245" s="53" t="n"/>
      <c r="AW245" s="53" t="n"/>
      <c r="AX245" s="53" t="n"/>
      <c r="AY245" s="53" t="n"/>
    </row>
    <row r="246" ht="15" customHeight="1">
      <c r="A246" s="40">
        <f>IF($D$246="","",79)</f>
        <v/>
      </c>
      <c r="B246" s="10" t="n"/>
      <c r="C246" s="41" t="inlineStr">
        <is>
          <t>마케팅4팀</t>
        </is>
      </c>
      <c r="D246" s="42" t="n"/>
      <c r="E246" s="43" t="inlineStr">
        <is>
          <t>기획</t>
        </is>
      </c>
      <c r="F246" s="44" t="n"/>
      <c r="G246" s="45" t="n"/>
      <c r="H246" s="46">
        <f>IF($I$246="","",IF($I$246&lt;0,"🔴지연",IF($I$246&lt;=1,"🟡임박","🟢여유")))</f>
        <v/>
      </c>
      <c r="I246" s="47">
        <f>IF(OR($G$246="",$K$246=""),"",$G$246-$K$246)</f>
        <v/>
      </c>
      <c r="J246" s="48">
        <f>IF(SUM($L$246:$L$248)=0,"",SUM($L$246:$L$248))</f>
        <v/>
      </c>
      <c r="K246" s="49">
        <f>IF($J$246="","",MAX($N$246:$N$248))</f>
        <v/>
      </c>
      <c r="L246" s="50">
        <f>IF(SUM(U246:AY246)=0,"",SUM(U246:AY246))</f>
        <v/>
      </c>
      <c r="M246" s="51">
        <f>IFERROR(INDEX(U$2:AY$2,MATCH(TRUE,INDEX(U246:AY246&lt;&gt;"",0),0)),"")</f>
        <v/>
      </c>
      <c r="N246" s="51">
        <f>IFERROR(LOOKUP(2,1/(U246:AY246&lt;&gt;""),U$2:AY$2),"")</f>
        <v/>
      </c>
      <c r="O246" s="52" t="n"/>
      <c r="P246" s="52" t="n"/>
      <c r="Q246" s="52" t="n"/>
      <c r="R246" s="44" t="n"/>
      <c r="S246" s="14" t="n"/>
      <c r="U246" s="53" t="n"/>
      <c r="V246" s="53" t="n"/>
      <c r="W246" s="53" t="n"/>
      <c r="X246" s="53" t="n"/>
      <c r="Y246" s="53" t="n"/>
      <c r="Z246" s="53" t="n"/>
      <c r="AA246" s="53" t="n"/>
      <c r="AB246" s="53" t="n"/>
      <c r="AC246" s="53" t="n"/>
      <c r="AD246" s="53" t="n"/>
      <c r="AE246" s="53" t="n"/>
      <c r="AF246" s="53" t="n"/>
      <c r="AG246" s="53" t="n"/>
      <c r="AH246" s="53" t="n"/>
      <c r="AI246" s="53" t="n"/>
      <c r="AJ246" s="53" t="n"/>
      <c r="AK246" s="53" t="n"/>
      <c r="AL246" s="53" t="n"/>
      <c r="AM246" s="53" t="n"/>
      <c r="AN246" s="53" t="n"/>
      <c r="AO246" s="53" t="n"/>
      <c r="AP246" s="53" t="n"/>
      <c r="AQ246" s="53" t="n"/>
      <c r="AR246" s="53" t="n"/>
      <c r="AS246" s="53" t="n"/>
      <c r="AT246" s="53" t="n"/>
      <c r="AU246" s="53" t="n"/>
      <c r="AV246" s="53" t="n"/>
      <c r="AW246" s="53" t="n"/>
      <c r="AX246" s="53" t="n"/>
      <c r="AY246" s="53" t="n"/>
    </row>
    <row r="247" ht="15" customHeight="1">
      <c r="A247" s="54" t="n"/>
      <c r="B247" s="55">
        <f>IF($B$246="","",$B$246)</f>
        <v/>
      </c>
      <c r="C247" s="56" t="inlineStr">
        <is>
          <t>마케팅4팀</t>
        </is>
      </c>
      <c r="D247" s="55">
        <f>IF($D$246="","",$D$246)</f>
        <v/>
      </c>
      <c r="E247" s="57" t="inlineStr">
        <is>
          <t>이미지</t>
        </is>
      </c>
      <c r="F247" s="44" t="n"/>
      <c r="G247" s="58">
        <f>IF($G$246="","",$G$246)</f>
        <v/>
      </c>
      <c r="H247" s="59" t="n"/>
      <c r="I247" s="59" t="n"/>
      <c r="J247" s="59" t="n"/>
      <c r="K247" s="59" t="n"/>
      <c r="L247" s="60">
        <f>IF(SUM(U247:AY247)=0,"",SUM(U247:AY247))</f>
        <v/>
      </c>
      <c r="M247" s="61">
        <f>IFERROR(INDEX(U$2:AY$2,MATCH(TRUE,INDEX(U247:AY247&lt;&gt;"",0),0)),"")</f>
        <v/>
      </c>
      <c r="N247" s="61">
        <f>IFERROR(LOOKUP(2,1/(U247:AY247&lt;&gt;""),U$2:AY$2),"")</f>
        <v/>
      </c>
      <c r="O247" s="59" t="n"/>
      <c r="P247" s="59" t="n"/>
      <c r="Q247" s="59" t="n"/>
      <c r="R247" s="59" t="n"/>
      <c r="S247" s="14" t="n"/>
      <c r="U247" s="53" t="n"/>
      <c r="V247" s="53" t="n"/>
      <c r="W247" s="53" t="n"/>
      <c r="X247" s="53" t="n"/>
      <c r="Y247" s="53" t="n"/>
      <c r="Z247" s="53" t="n"/>
      <c r="AA247" s="53" t="n"/>
      <c r="AB247" s="53" t="n"/>
      <c r="AC247" s="53" t="n"/>
      <c r="AD247" s="53" t="n"/>
      <c r="AE247" s="53" t="n"/>
      <c r="AF247" s="53" t="n"/>
      <c r="AG247" s="53" t="n"/>
      <c r="AH247" s="53" t="n"/>
      <c r="AI247" s="53" t="n"/>
      <c r="AJ247" s="53" t="n"/>
      <c r="AK247" s="53" t="n"/>
      <c r="AL247" s="53" t="n"/>
      <c r="AM247" s="53" t="n"/>
      <c r="AN247" s="53" t="n"/>
      <c r="AO247" s="53" t="n"/>
      <c r="AP247" s="53" t="n"/>
      <c r="AQ247" s="53" t="n"/>
      <c r="AR247" s="53" t="n"/>
      <c r="AS247" s="53" t="n"/>
      <c r="AT247" s="53" t="n"/>
      <c r="AU247" s="53" t="n"/>
      <c r="AV247" s="53" t="n"/>
      <c r="AW247" s="53" t="n"/>
      <c r="AX247" s="53" t="n"/>
      <c r="AY247" s="53" t="n"/>
    </row>
    <row r="248" ht="15" customHeight="1">
      <c r="A248" s="62" t="n"/>
      <c r="B248" s="55">
        <f>IF($B$246="","",$B$246)</f>
        <v/>
      </c>
      <c r="C248" s="63" t="inlineStr">
        <is>
          <t>마케팅4팀</t>
        </is>
      </c>
      <c r="D248" s="55">
        <f>IF($D$246="","",$D$246)</f>
        <v/>
      </c>
      <c r="E248" s="64" t="inlineStr">
        <is>
          <t>영상</t>
        </is>
      </c>
      <c r="F248" s="44" t="n"/>
      <c r="G248" s="58">
        <f>IF($G$246="","",$G$246)</f>
        <v/>
      </c>
      <c r="H248" s="59" t="n"/>
      <c r="I248" s="59" t="n"/>
      <c r="J248" s="59" t="n"/>
      <c r="K248" s="59" t="n"/>
      <c r="L248" s="65">
        <f>IF(SUM(U248:AY248)=0,"",SUM(U248:AY248))</f>
        <v/>
      </c>
      <c r="M248" s="66">
        <f>IFERROR(INDEX(U$2:AY$2,MATCH(TRUE,INDEX(U248:AY248&lt;&gt;"",0),0)),"")</f>
        <v/>
      </c>
      <c r="N248" s="66">
        <f>IFERROR(LOOKUP(2,1/(U248:AY248&lt;&gt;""),U$2:AY$2),"")</f>
        <v/>
      </c>
      <c r="O248" s="59" t="n"/>
      <c r="P248" s="59" t="n"/>
      <c r="Q248" s="59" t="n"/>
      <c r="R248" s="59" t="n"/>
      <c r="S248" s="14" t="n"/>
      <c r="U248" s="53" t="n"/>
      <c r="V248" s="53" t="n"/>
      <c r="W248" s="53" t="n"/>
      <c r="X248" s="53" t="n"/>
      <c r="Y248" s="53" t="n"/>
      <c r="Z248" s="53" t="n"/>
      <c r="AA248" s="53" t="n"/>
      <c r="AB248" s="53" t="n"/>
      <c r="AC248" s="53" t="n"/>
      <c r="AD248" s="53" t="n"/>
      <c r="AE248" s="53" t="n"/>
      <c r="AF248" s="53" t="n"/>
      <c r="AG248" s="53" t="n"/>
      <c r="AH248" s="53" t="n"/>
      <c r="AI248" s="53" t="n"/>
      <c r="AJ248" s="53" t="n"/>
      <c r="AK248" s="53" t="n"/>
      <c r="AL248" s="53" t="n"/>
      <c r="AM248" s="53" t="n"/>
      <c r="AN248" s="53" t="n"/>
      <c r="AO248" s="53" t="n"/>
      <c r="AP248" s="53" t="n"/>
      <c r="AQ248" s="53" t="n"/>
      <c r="AR248" s="53" t="n"/>
      <c r="AS248" s="53" t="n"/>
      <c r="AT248" s="53" t="n"/>
      <c r="AU248" s="53" t="n"/>
      <c r="AV248" s="53" t="n"/>
      <c r="AW248" s="53" t="n"/>
      <c r="AX248" s="53" t="n"/>
      <c r="AY248" s="53" t="n"/>
    </row>
    <row r="249" ht="15" customHeight="1">
      <c r="A249" s="40">
        <f>IF($D$249="","",80)</f>
        <v/>
      </c>
      <c r="B249" s="10" t="n"/>
      <c r="C249" s="41" t="inlineStr">
        <is>
          <t>마케팅4팀</t>
        </is>
      </c>
      <c r="D249" s="42" t="n"/>
      <c r="E249" s="43" t="inlineStr">
        <is>
          <t>기획</t>
        </is>
      </c>
      <c r="F249" s="44" t="n"/>
      <c r="G249" s="45" t="n"/>
      <c r="H249" s="46">
        <f>IF($I$249="","",IF($I$249&lt;0,"🔴지연",IF($I$249&lt;=1,"🟡임박","🟢여유")))</f>
        <v/>
      </c>
      <c r="I249" s="47">
        <f>IF(OR($G$249="",$K$249=""),"",$G$249-$K$249)</f>
        <v/>
      </c>
      <c r="J249" s="48">
        <f>IF(SUM($L$249:$L$251)=0,"",SUM($L$249:$L$251))</f>
        <v/>
      </c>
      <c r="K249" s="49">
        <f>IF($J$249="","",MAX($N$249:$N$251))</f>
        <v/>
      </c>
      <c r="L249" s="50">
        <f>IF(SUM(U249:AY249)=0,"",SUM(U249:AY249))</f>
        <v/>
      </c>
      <c r="M249" s="51">
        <f>IFERROR(INDEX(U$2:AY$2,MATCH(TRUE,INDEX(U249:AY249&lt;&gt;"",0),0)),"")</f>
        <v/>
      </c>
      <c r="N249" s="51">
        <f>IFERROR(LOOKUP(2,1/(U249:AY249&lt;&gt;""),U$2:AY$2),"")</f>
        <v/>
      </c>
      <c r="O249" s="52" t="n"/>
      <c r="P249" s="52" t="n"/>
      <c r="Q249" s="52" t="n"/>
      <c r="R249" s="44" t="n"/>
      <c r="S249" s="14" t="n"/>
      <c r="U249" s="53" t="n"/>
      <c r="V249" s="53" t="n"/>
      <c r="W249" s="53" t="n"/>
      <c r="X249" s="53" t="n"/>
      <c r="Y249" s="53" t="n"/>
      <c r="Z249" s="53" t="n"/>
      <c r="AA249" s="53" t="n"/>
      <c r="AB249" s="53" t="n"/>
      <c r="AC249" s="53" t="n"/>
      <c r="AD249" s="53" t="n"/>
      <c r="AE249" s="53" t="n"/>
      <c r="AF249" s="53" t="n"/>
      <c r="AG249" s="53" t="n"/>
      <c r="AH249" s="53" t="n"/>
      <c r="AI249" s="53" t="n"/>
      <c r="AJ249" s="53" t="n"/>
      <c r="AK249" s="53" t="n"/>
      <c r="AL249" s="53" t="n"/>
      <c r="AM249" s="53" t="n"/>
      <c r="AN249" s="53" t="n"/>
      <c r="AO249" s="53" t="n"/>
      <c r="AP249" s="53" t="n"/>
      <c r="AQ249" s="53" t="n"/>
      <c r="AR249" s="53" t="n"/>
      <c r="AS249" s="53" t="n"/>
      <c r="AT249" s="53" t="n"/>
      <c r="AU249" s="53" t="n"/>
      <c r="AV249" s="53" t="n"/>
      <c r="AW249" s="53" t="n"/>
      <c r="AX249" s="53" t="n"/>
      <c r="AY249" s="53" t="n"/>
    </row>
    <row r="250" ht="15" customHeight="1">
      <c r="A250" s="54" t="n"/>
      <c r="B250" s="55">
        <f>IF($B$249="","",$B$249)</f>
        <v/>
      </c>
      <c r="C250" s="56" t="inlineStr">
        <is>
          <t>마케팅4팀</t>
        </is>
      </c>
      <c r="D250" s="55">
        <f>IF($D$249="","",$D$249)</f>
        <v/>
      </c>
      <c r="E250" s="57" t="inlineStr">
        <is>
          <t>이미지</t>
        </is>
      </c>
      <c r="F250" s="44" t="n"/>
      <c r="G250" s="58">
        <f>IF($G$249="","",$G$249)</f>
        <v/>
      </c>
      <c r="H250" s="59" t="n"/>
      <c r="I250" s="59" t="n"/>
      <c r="J250" s="59" t="n"/>
      <c r="K250" s="59" t="n"/>
      <c r="L250" s="60">
        <f>IF(SUM(U250:AY250)=0,"",SUM(U250:AY250))</f>
        <v/>
      </c>
      <c r="M250" s="61">
        <f>IFERROR(INDEX(U$2:AY$2,MATCH(TRUE,INDEX(U250:AY250&lt;&gt;"",0),0)),"")</f>
        <v/>
      </c>
      <c r="N250" s="61">
        <f>IFERROR(LOOKUP(2,1/(U250:AY250&lt;&gt;""),U$2:AY$2),"")</f>
        <v/>
      </c>
      <c r="O250" s="59" t="n"/>
      <c r="P250" s="59" t="n"/>
      <c r="Q250" s="59" t="n"/>
      <c r="R250" s="59" t="n"/>
      <c r="S250" s="14" t="n"/>
      <c r="U250" s="53" t="n"/>
      <c r="V250" s="53" t="n"/>
      <c r="W250" s="53" t="n"/>
      <c r="X250" s="53" t="n"/>
      <c r="Y250" s="53" t="n"/>
      <c r="Z250" s="53" t="n"/>
      <c r="AA250" s="53" t="n"/>
      <c r="AB250" s="53" t="n"/>
      <c r="AC250" s="53" t="n"/>
      <c r="AD250" s="53" t="n"/>
      <c r="AE250" s="53" t="n"/>
      <c r="AF250" s="53" t="n"/>
      <c r="AG250" s="53" t="n"/>
      <c r="AH250" s="53" t="n"/>
      <c r="AI250" s="53" t="n"/>
      <c r="AJ250" s="53" t="n"/>
      <c r="AK250" s="53" t="n"/>
      <c r="AL250" s="53" t="n"/>
      <c r="AM250" s="53" t="n"/>
      <c r="AN250" s="53" t="n"/>
      <c r="AO250" s="53" t="n"/>
      <c r="AP250" s="53" t="n"/>
      <c r="AQ250" s="53" t="n"/>
      <c r="AR250" s="53" t="n"/>
      <c r="AS250" s="53" t="n"/>
      <c r="AT250" s="53" t="n"/>
      <c r="AU250" s="53" t="n"/>
      <c r="AV250" s="53" t="n"/>
      <c r="AW250" s="53" t="n"/>
      <c r="AX250" s="53" t="n"/>
      <c r="AY250" s="53" t="n"/>
    </row>
    <row r="251" ht="15" customHeight="1">
      <c r="A251" s="62" t="n"/>
      <c r="B251" s="55">
        <f>IF($B$249="","",$B$249)</f>
        <v/>
      </c>
      <c r="C251" s="63" t="inlineStr">
        <is>
          <t>마케팅4팀</t>
        </is>
      </c>
      <c r="D251" s="55">
        <f>IF($D$249="","",$D$249)</f>
        <v/>
      </c>
      <c r="E251" s="64" t="inlineStr">
        <is>
          <t>영상</t>
        </is>
      </c>
      <c r="F251" s="44" t="n"/>
      <c r="G251" s="58">
        <f>IF($G$249="","",$G$249)</f>
        <v/>
      </c>
      <c r="H251" s="59" t="n"/>
      <c r="I251" s="59" t="n"/>
      <c r="J251" s="59" t="n"/>
      <c r="K251" s="59" t="n"/>
      <c r="L251" s="65">
        <f>IF(SUM(U251:AY251)=0,"",SUM(U251:AY251))</f>
        <v/>
      </c>
      <c r="M251" s="66">
        <f>IFERROR(INDEX(U$2:AY$2,MATCH(TRUE,INDEX(U251:AY251&lt;&gt;"",0),0)),"")</f>
        <v/>
      </c>
      <c r="N251" s="66">
        <f>IFERROR(LOOKUP(2,1/(U251:AY251&lt;&gt;""),U$2:AY$2),"")</f>
        <v/>
      </c>
      <c r="O251" s="59" t="n"/>
      <c r="P251" s="59" t="n"/>
      <c r="Q251" s="59" t="n"/>
      <c r="R251" s="59" t="n"/>
      <c r="S251" s="14" t="n"/>
      <c r="U251" s="53" t="n"/>
      <c r="V251" s="53" t="n"/>
      <c r="W251" s="53" t="n"/>
      <c r="X251" s="53" t="n"/>
      <c r="Y251" s="53" t="n"/>
      <c r="Z251" s="53" t="n"/>
      <c r="AA251" s="53" t="n"/>
      <c r="AB251" s="53" t="n"/>
      <c r="AC251" s="53" t="n"/>
      <c r="AD251" s="53" t="n"/>
      <c r="AE251" s="53" t="n"/>
      <c r="AF251" s="53" t="n"/>
      <c r="AG251" s="53" t="n"/>
      <c r="AH251" s="53" t="n"/>
      <c r="AI251" s="53" t="n"/>
      <c r="AJ251" s="53" t="n"/>
      <c r="AK251" s="53" t="n"/>
      <c r="AL251" s="53" t="n"/>
      <c r="AM251" s="53" t="n"/>
      <c r="AN251" s="53" t="n"/>
      <c r="AO251" s="53" t="n"/>
      <c r="AP251" s="53" t="n"/>
      <c r="AQ251" s="53" t="n"/>
      <c r="AR251" s="53" t="n"/>
      <c r="AS251" s="53" t="n"/>
      <c r="AT251" s="53" t="n"/>
      <c r="AU251" s="53" t="n"/>
      <c r="AV251" s="53" t="n"/>
      <c r="AW251" s="53" t="n"/>
      <c r="AX251" s="53" t="n"/>
      <c r="AY251" s="53" t="n"/>
    </row>
    <row r="252" ht="18" customHeight="1">
      <c r="A252" s="39" t="inlineStr">
        <is>
          <t>기타   (253~312행 · 소재 20개)</t>
        </is>
      </c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  <c r="AA252" s="8" t="n"/>
      <c r="AB252" s="8" t="n"/>
      <c r="AC252" s="8" t="n"/>
      <c r="AD252" s="8" t="n"/>
      <c r="AE252" s="8" t="n"/>
      <c r="AF252" s="8" t="n"/>
      <c r="AG252" s="8" t="n"/>
      <c r="AH252" s="8" t="n"/>
      <c r="AI252" s="8" t="n"/>
      <c r="AJ252" s="8" t="n"/>
      <c r="AK252" s="8" t="n"/>
      <c r="AL252" s="8" t="n"/>
      <c r="AM252" s="8" t="n"/>
      <c r="AN252" s="8" t="n"/>
      <c r="AO252" s="8" t="n"/>
      <c r="AP252" s="8" t="n"/>
      <c r="AQ252" s="8" t="n"/>
      <c r="AR252" s="8" t="n"/>
      <c r="AS252" s="8" t="n"/>
      <c r="AT252" s="8" t="n"/>
      <c r="AU252" s="8" t="n"/>
      <c r="AV252" s="8" t="n"/>
      <c r="AW252" s="8" t="n"/>
      <c r="AX252" s="8" t="n"/>
      <c r="AY252" s="4" t="n"/>
    </row>
    <row r="253" ht="15" customHeight="1">
      <c r="A253" s="40">
        <f>IF($D$253="","",81)</f>
        <v/>
      </c>
      <c r="B253" s="10" t="n"/>
      <c r="C253" s="41" t="inlineStr">
        <is>
          <t>기타</t>
        </is>
      </c>
      <c r="D253" s="42" t="n"/>
      <c r="E253" s="43" t="inlineStr">
        <is>
          <t>기획</t>
        </is>
      </c>
      <c r="F253" s="44" t="n"/>
      <c r="G253" s="45" t="n"/>
      <c r="H253" s="46">
        <f>IF($I$253="","",IF($I$253&lt;0,"🔴지연",IF($I$253&lt;=1,"🟡임박","🟢여유")))</f>
        <v/>
      </c>
      <c r="I253" s="47">
        <f>IF(OR($G$253="",$K$253=""),"",$G$253-$K$253)</f>
        <v/>
      </c>
      <c r="J253" s="48">
        <f>IF(SUM($L$253:$L$255)=0,"",SUM($L$253:$L$255))</f>
        <v/>
      </c>
      <c r="K253" s="49">
        <f>IF($J$253="","",MAX($N$253:$N$255))</f>
        <v/>
      </c>
      <c r="L253" s="50">
        <f>IF(SUM(U253:AY253)=0,"",SUM(U253:AY253))</f>
        <v/>
      </c>
      <c r="M253" s="51">
        <f>IFERROR(INDEX(U$2:AY$2,MATCH(TRUE,INDEX(U253:AY253&lt;&gt;"",0),0)),"")</f>
        <v/>
      </c>
      <c r="N253" s="51">
        <f>IFERROR(LOOKUP(2,1/(U253:AY253&lt;&gt;""),U$2:AY$2),"")</f>
        <v/>
      </c>
      <c r="O253" s="52" t="n"/>
      <c r="P253" s="52" t="n"/>
      <c r="Q253" s="52" t="n"/>
      <c r="R253" s="44" t="n"/>
      <c r="S253" s="14" t="n"/>
      <c r="U253" s="53" t="n"/>
      <c r="V253" s="53" t="n"/>
      <c r="W253" s="53" t="n"/>
      <c r="X253" s="53" t="n"/>
      <c r="Y253" s="53" t="n"/>
      <c r="Z253" s="53" t="n"/>
      <c r="AA253" s="53" t="n"/>
      <c r="AB253" s="53" t="n"/>
      <c r="AC253" s="53" t="n"/>
      <c r="AD253" s="53" t="n"/>
      <c r="AE253" s="53" t="n"/>
      <c r="AF253" s="53" t="n"/>
      <c r="AG253" s="53" t="n"/>
      <c r="AH253" s="53" t="n"/>
      <c r="AI253" s="53" t="n"/>
      <c r="AJ253" s="53" t="n"/>
      <c r="AK253" s="53" t="n"/>
      <c r="AL253" s="53" t="n"/>
      <c r="AM253" s="53" t="n"/>
      <c r="AN253" s="53" t="n"/>
      <c r="AO253" s="53" t="n"/>
      <c r="AP253" s="53" t="n"/>
      <c r="AQ253" s="53" t="n"/>
      <c r="AR253" s="53" t="n"/>
      <c r="AS253" s="53" t="n"/>
      <c r="AT253" s="53" t="n"/>
      <c r="AU253" s="53" t="n"/>
      <c r="AV253" s="53" t="n"/>
      <c r="AW253" s="53" t="n"/>
      <c r="AX253" s="53" t="n"/>
      <c r="AY253" s="53" t="n"/>
    </row>
    <row r="254" ht="15" customHeight="1">
      <c r="A254" s="54" t="n"/>
      <c r="B254" s="55">
        <f>IF($B$253="","",$B$253)</f>
        <v/>
      </c>
      <c r="C254" s="56" t="inlineStr">
        <is>
          <t>기타</t>
        </is>
      </c>
      <c r="D254" s="55">
        <f>IF($D$253="","",$D$253)</f>
        <v/>
      </c>
      <c r="E254" s="57" t="inlineStr">
        <is>
          <t>이미지</t>
        </is>
      </c>
      <c r="F254" s="44" t="n"/>
      <c r="G254" s="58">
        <f>IF($G$253="","",$G$253)</f>
        <v/>
      </c>
      <c r="H254" s="59" t="n"/>
      <c r="I254" s="59" t="n"/>
      <c r="J254" s="59" t="n"/>
      <c r="K254" s="59" t="n"/>
      <c r="L254" s="60">
        <f>IF(SUM(U254:AY254)=0,"",SUM(U254:AY254))</f>
        <v/>
      </c>
      <c r="M254" s="61">
        <f>IFERROR(INDEX(U$2:AY$2,MATCH(TRUE,INDEX(U254:AY254&lt;&gt;"",0),0)),"")</f>
        <v/>
      </c>
      <c r="N254" s="61">
        <f>IFERROR(LOOKUP(2,1/(U254:AY254&lt;&gt;""),U$2:AY$2),"")</f>
        <v/>
      </c>
      <c r="O254" s="59" t="n"/>
      <c r="P254" s="59" t="n"/>
      <c r="Q254" s="59" t="n"/>
      <c r="R254" s="59" t="n"/>
      <c r="S254" s="14" t="n"/>
      <c r="U254" s="53" t="n"/>
      <c r="V254" s="53" t="n"/>
      <c r="W254" s="53" t="n"/>
      <c r="X254" s="53" t="n"/>
      <c r="Y254" s="53" t="n"/>
      <c r="Z254" s="53" t="n"/>
      <c r="AA254" s="53" t="n"/>
      <c r="AB254" s="53" t="n"/>
      <c r="AC254" s="53" t="n"/>
      <c r="AD254" s="53" t="n"/>
      <c r="AE254" s="53" t="n"/>
      <c r="AF254" s="53" t="n"/>
      <c r="AG254" s="53" t="n"/>
      <c r="AH254" s="53" t="n"/>
      <c r="AI254" s="53" t="n"/>
      <c r="AJ254" s="53" t="n"/>
      <c r="AK254" s="53" t="n"/>
      <c r="AL254" s="53" t="n"/>
      <c r="AM254" s="53" t="n"/>
      <c r="AN254" s="53" t="n"/>
      <c r="AO254" s="53" t="n"/>
      <c r="AP254" s="53" t="n"/>
      <c r="AQ254" s="53" t="n"/>
      <c r="AR254" s="53" t="n"/>
      <c r="AS254" s="53" t="n"/>
      <c r="AT254" s="53" t="n"/>
      <c r="AU254" s="53" t="n"/>
      <c r="AV254" s="53" t="n"/>
      <c r="AW254" s="53" t="n"/>
      <c r="AX254" s="53" t="n"/>
      <c r="AY254" s="53" t="n"/>
    </row>
    <row r="255" ht="15" customHeight="1">
      <c r="A255" s="62" t="n"/>
      <c r="B255" s="55">
        <f>IF($B$253="","",$B$253)</f>
        <v/>
      </c>
      <c r="C255" s="63" t="inlineStr">
        <is>
          <t>기타</t>
        </is>
      </c>
      <c r="D255" s="55">
        <f>IF($D$253="","",$D$253)</f>
        <v/>
      </c>
      <c r="E255" s="64" t="inlineStr">
        <is>
          <t>영상</t>
        </is>
      </c>
      <c r="F255" s="44" t="n"/>
      <c r="G255" s="58">
        <f>IF($G$253="","",$G$253)</f>
        <v/>
      </c>
      <c r="H255" s="59" t="n"/>
      <c r="I255" s="59" t="n"/>
      <c r="J255" s="59" t="n"/>
      <c r="K255" s="59" t="n"/>
      <c r="L255" s="65">
        <f>IF(SUM(U255:AY255)=0,"",SUM(U255:AY255))</f>
        <v/>
      </c>
      <c r="M255" s="66">
        <f>IFERROR(INDEX(U$2:AY$2,MATCH(TRUE,INDEX(U255:AY255&lt;&gt;"",0),0)),"")</f>
        <v/>
      </c>
      <c r="N255" s="66">
        <f>IFERROR(LOOKUP(2,1/(U255:AY255&lt;&gt;""),U$2:AY$2),"")</f>
        <v/>
      </c>
      <c r="O255" s="59" t="n"/>
      <c r="P255" s="59" t="n"/>
      <c r="Q255" s="59" t="n"/>
      <c r="R255" s="59" t="n"/>
      <c r="S255" s="14" t="n"/>
      <c r="U255" s="53" t="n"/>
      <c r="V255" s="53" t="n"/>
      <c r="W255" s="53" t="n"/>
      <c r="X255" s="53" t="n"/>
      <c r="Y255" s="53" t="n"/>
      <c r="Z255" s="53" t="n"/>
      <c r="AA255" s="53" t="n"/>
      <c r="AB255" s="53" t="n"/>
      <c r="AC255" s="53" t="n"/>
      <c r="AD255" s="53" t="n"/>
      <c r="AE255" s="53" t="n"/>
      <c r="AF255" s="53" t="n"/>
      <c r="AG255" s="53" t="n"/>
      <c r="AH255" s="53" t="n"/>
      <c r="AI255" s="53" t="n"/>
      <c r="AJ255" s="53" t="n"/>
      <c r="AK255" s="53" t="n"/>
      <c r="AL255" s="53" t="n"/>
      <c r="AM255" s="53" t="n"/>
      <c r="AN255" s="53" t="n"/>
      <c r="AO255" s="53" t="n"/>
      <c r="AP255" s="53" t="n"/>
      <c r="AQ255" s="53" t="n"/>
      <c r="AR255" s="53" t="n"/>
      <c r="AS255" s="53" t="n"/>
      <c r="AT255" s="53" t="n"/>
      <c r="AU255" s="53" t="n"/>
      <c r="AV255" s="53" t="n"/>
      <c r="AW255" s="53" t="n"/>
      <c r="AX255" s="53" t="n"/>
      <c r="AY255" s="53" t="n"/>
    </row>
    <row r="256" ht="15" customHeight="1">
      <c r="A256" s="40">
        <f>IF($D$256="","",82)</f>
        <v/>
      </c>
      <c r="B256" s="10" t="n"/>
      <c r="C256" s="41" t="inlineStr">
        <is>
          <t>기타</t>
        </is>
      </c>
      <c r="D256" s="42" t="n"/>
      <c r="E256" s="43" t="inlineStr">
        <is>
          <t>기획</t>
        </is>
      </c>
      <c r="F256" s="44" t="n"/>
      <c r="G256" s="45" t="n"/>
      <c r="H256" s="46">
        <f>IF($I$256="","",IF($I$256&lt;0,"🔴지연",IF($I$256&lt;=1,"🟡임박","🟢여유")))</f>
        <v/>
      </c>
      <c r="I256" s="47">
        <f>IF(OR($G$256="",$K$256=""),"",$G$256-$K$256)</f>
        <v/>
      </c>
      <c r="J256" s="48">
        <f>IF(SUM($L$256:$L$258)=0,"",SUM($L$256:$L$258))</f>
        <v/>
      </c>
      <c r="K256" s="49">
        <f>IF($J$256="","",MAX($N$256:$N$258))</f>
        <v/>
      </c>
      <c r="L256" s="50">
        <f>IF(SUM(U256:AY256)=0,"",SUM(U256:AY256))</f>
        <v/>
      </c>
      <c r="M256" s="51">
        <f>IFERROR(INDEX(U$2:AY$2,MATCH(TRUE,INDEX(U256:AY256&lt;&gt;"",0),0)),"")</f>
        <v/>
      </c>
      <c r="N256" s="51">
        <f>IFERROR(LOOKUP(2,1/(U256:AY256&lt;&gt;""),U$2:AY$2),"")</f>
        <v/>
      </c>
      <c r="O256" s="52" t="n"/>
      <c r="P256" s="52" t="n"/>
      <c r="Q256" s="52" t="n"/>
      <c r="R256" s="44" t="n"/>
      <c r="S256" s="14" t="n"/>
      <c r="U256" s="53" t="n"/>
      <c r="V256" s="53" t="n"/>
      <c r="W256" s="53" t="n"/>
      <c r="X256" s="53" t="n"/>
      <c r="Y256" s="53" t="n"/>
      <c r="Z256" s="53" t="n"/>
      <c r="AA256" s="53" t="n"/>
      <c r="AB256" s="53" t="n"/>
      <c r="AC256" s="53" t="n"/>
      <c r="AD256" s="53" t="n"/>
      <c r="AE256" s="53" t="n"/>
      <c r="AF256" s="53" t="n"/>
      <c r="AG256" s="53" t="n"/>
      <c r="AH256" s="53" t="n"/>
      <c r="AI256" s="53" t="n"/>
      <c r="AJ256" s="53" t="n"/>
      <c r="AK256" s="53" t="n"/>
      <c r="AL256" s="53" t="n"/>
      <c r="AM256" s="53" t="n"/>
      <c r="AN256" s="53" t="n"/>
      <c r="AO256" s="53" t="n"/>
      <c r="AP256" s="53" t="n"/>
      <c r="AQ256" s="53" t="n"/>
      <c r="AR256" s="53" t="n"/>
      <c r="AS256" s="53" t="n"/>
      <c r="AT256" s="53" t="n"/>
      <c r="AU256" s="53" t="n"/>
      <c r="AV256" s="53" t="n"/>
      <c r="AW256" s="53" t="n"/>
      <c r="AX256" s="53" t="n"/>
      <c r="AY256" s="53" t="n"/>
    </row>
    <row r="257" ht="15" customHeight="1">
      <c r="A257" s="54" t="n"/>
      <c r="B257" s="55">
        <f>IF($B$256="","",$B$256)</f>
        <v/>
      </c>
      <c r="C257" s="56" t="inlineStr">
        <is>
          <t>기타</t>
        </is>
      </c>
      <c r="D257" s="55">
        <f>IF($D$256="","",$D$256)</f>
        <v/>
      </c>
      <c r="E257" s="57" t="inlineStr">
        <is>
          <t>이미지</t>
        </is>
      </c>
      <c r="F257" s="44" t="n"/>
      <c r="G257" s="58">
        <f>IF($G$256="","",$G$256)</f>
        <v/>
      </c>
      <c r="H257" s="59" t="n"/>
      <c r="I257" s="59" t="n"/>
      <c r="J257" s="59" t="n"/>
      <c r="K257" s="59" t="n"/>
      <c r="L257" s="60">
        <f>IF(SUM(U257:AY257)=0,"",SUM(U257:AY257))</f>
        <v/>
      </c>
      <c r="M257" s="61">
        <f>IFERROR(INDEX(U$2:AY$2,MATCH(TRUE,INDEX(U257:AY257&lt;&gt;"",0),0)),"")</f>
        <v/>
      </c>
      <c r="N257" s="61">
        <f>IFERROR(LOOKUP(2,1/(U257:AY257&lt;&gt;""),U$2:AY$2),"")</f>
        <v/>
      </c>
      <c r="O257" s="59" t="n"/>
      <c r="P257" s="59" t="n"/>
      <c r="Q257" s="59" t="n"/>
      <c r="R257" s="59" t="n"/>
      <c r="S257" s="14" t="n"/>
      <c r="U257" s="53" t="n"/>
      <c r="V257" s="53" t="n"/>
      <c r="W257" s="53" t="n"/>
      <c r="X257" s="53" t="n"/>
      <c r="Y257" s="53" t="n"/>
      <c r="Z257" s="53" t="n"/>
      <c r="AA257" s="53" t="n"/>
      <c r="AB257" s="53" t="n"/>
      <c r="AC257" s="53" t="n"/>
      <c r="AD257" s="53" t="n"/>
      <c r="AE257" s="53" t="n"/>
      <c r="AF257" s="53" t="n"/>
      <c r="AG257" s="53" t="n"/>
      <c r="AH257" s="53" t="n"/>
      <c r="AI257" s="53" t="n"/>
      <c r="AJ257" s="53" t="n"/>
      <c r="AK257" s="53" t="n"/>
      <c r="AL257" s="53" t="n"/>
      <c r="AM257" s="53" t="n"/>
      <c r="AN257" s="53" t="n"/>
      <c r="AO257" s="53" t="n"/>
      <c r="AP257" s="53" t="n"/>
      <c r="AQ257" s="53" t="n"/>
      <c r="AR257" s="53" t="n"/>
      <c r="AS257" s="53" t="n"/>
      <c r="AT257" s="53" t="n"/>
      <c r="AU257" s="53" t="n"/>
      <c r="AV257" s="53" t="n"/>
      <c r="AW257" s="53" t="n"/>
      <c r="AX257" s="53" t="n"/>
      <c r="AY257" s="53" t="n"/>
    </row>
    <row r="258" ht="15" customHeight="1">
      <c r="A258" s="62" t="n"/>
      <c r="B258" s="55">
        <f>IF($B$256="","",$B$256)</f>
        <v/>
      </c>
      <c r="C258" s="63" t="inlineStr">
        <is>
          <t>기타</t>
        </is>
      </c>
      <c r="D258" s="55">
        <f>IF($D$256="","",$D$256)</f>
        <v/>
      </c>
      <c r="E258" s="64" t="inlineStr">
        <is>
          <t>영상</t>
        </is>
      </c>
      <c r="F258" s="44" t="n"/>
      <c r="G258" s="58">
        <f>IF($G$256="","",$G$256)</f>
        <v/>
      </c>
      <c r="H258" s="59" t="n"/>
      <c r="I258" s="59" t="n"/>
      <c r="J258" s="59" t="n"/>
      <c r="K258" s="59" t="n"/>
      <c r="L258" s="65">
        <f>IF(SUM(U258:AY258)=0,"",SUM(U258:AY258))</f>
        <v/>
      </c>
      <c r="M258" s="66">
        <f>IFERROR(INDEX(U$2:AY$2,MATCH(TRUE,INDEX(U258:AY258&lt;&gt;"",0),0)),"")</f>
        <v/>
      </c>
      <c r="N258" s="66">
        <f>IFERROR(LOOKUP(2,1/(U258:AY258&lt;&gt;""),U$2:AY$2),"")</f>
        <v/>
      </c>
      <c r="O258" s="59" t="n"/>
      <c r="P258" s="59" t="n"/>
      <c r="Q258" s="59" t="n"/>
      <c r="R258" s="59" t="n"/>
      <c r="S258" s="14" t="n"/>
      <c r="U258" s="53" t="n"/>
      <c r="V258" s="53" t="n"/>
      <c r="W258" s="53" t="n"/>
      <c r="X258" s="53" t="n"/>
      <c r="Y258" s="53" t="n"/>
      <c r="Z258" s="53" t="n"/>
      <c r="AA258" s="53" t="n"/>
      <c r="AB258" s="53" t="n"/>
      <c r="AC258" s="53" t="n"/>
      <c r="AD258" s="53" t="n"/>
      <c r="AE258" s="53" t="n"/>
      <c r="AF258" s="53" t="n"/>
      <c r="AG258" s="53" t="n"/>
      <c r="AH258" s="53" t="n"/>
      <c r="AI258" s="53" t="n"/>
      <c r="AJ258" s="53" t="n"/>
      <c r="AK258" s="53" t="n"/>
      <c r="AL258" s="53" t="n"/>
      <c r="AM258" s="53" t="n"/>
      <c r="AN258" s="53" t="n"/>
      <c r="AO258" s="53" t="n"/>
      <c r="AP258" s="53" t="n"/>
      <c r="AQ258" s="53" t="n"/>
      <c r="AR258" s="53" t="n"/>
      <c r="AS258" s="53" t="n"/>
      <c r="AT258" s="53" t="n"/>
      <c r="AU258" s="53" t="n"/>
      <c r="AV258" s="53" t="n"/>
      <c r="AW258" s="53" t="n"/>
      <c r="AX258" s="53" t="n"/>
      <c r="AY258" s="53" t="n"/>
    </row>
    <row r="259" ht="15" customHeight="1">
      <c r="A259" s="40">
        <f>IF($D$259="","",83)</f>
        <v/>
      </c>
      <c r="B259" s="10" t="n"/>
      <c r="C259" s="41" t="inlineStr">
        <is>
          <t>기타</t>
        </is>
      </c>
      <c r="D259" s="42" t="n"/>
      <c r="E259" s="43" t="inlineStr">
        <is>
          <t>기획</t>
        </is>
      </c>
      <c r="F259" s="44" t="n"/>
      <c r="G259" s="45" t="n"/>
      <c r="H259" s="46">
        <f>IF($I$259="","",IF($I$259&lt;0,"🔴지연",IF($I$259&lt;=1,"🟡임박","🟢여유")))</f>
        <v/>
      </c>
      <c r="I259" s="47">
        <f>IF(OR($G$259="",$K$259=""),"",$G$259-$K$259)</f>
        <v/>
      </c>
      <c r="J259" s="48">
        <f>IF(SUM($L$259:$L$261)=0,"",SUM($L$259:$L$261))</f>
        <v/>
      </c>
      <c r="K259" s="49">
        <f>IF($J$259="","",MAX($N$259:$N$261))</f>
        <v/>
      </c>
      <c r="L259" s="50">
        <f>IF(SUM(U259:AY259)=0,"",SUM(U259:AY259))</f>
        <v/>
      </c>
      <c r="M259" s="51">
        <f>IFERROR(INDEX(U$2:AY$2,MATCH(TRUE,INDEX(U259:AY259&lt;&gt;"",0),0)),"")</f>
        <v/>
      </c>
      <c r="N259" s="51">
        <f>IFERROR(LOOKUP(2,1/(U259:AY259&lt;&gt;""),U$2:AY$2),"")</f>
        <v/>
      </c>
      <c r="O259" s="52" t="n"/>
      <c r="P259" s="52" t="n"/>
      <c r="Q259" s="52" t="n"/>
      <c r="R259" s="44" t="n"/>
      <c r="S259" s="14" t="n"/>
      <c r="U259" s="53" t="n"/>
      <c r="V259" s="53" t="n"/>
      <c r="W259" s="53" t="n"/>
      <c r="X259" s="53" t="n"/>
      <c r="Y259" s="53" t="n"/>
      <c r="Z259" s="53" t="n"/>
      <c r="AA259" s="53" t="n"/>
      <c r="AB259" s="53" t="n"/>
      <c r="AC259" s="53" t="n"/>
      <c r="AD259" s="53" t="n"/>
      <c r="AE259" s="53" t="n"/>
      <c r="AF259" s="53" t="n"/>
      <c r="AG259" s="53" t="n"/>
      <c r="AH259" s="53" t="n"/>
      <c r="AI259" s="53" t="n"/>
      <c r="AJ259" s="53" t="n"/>
      <c r="AK259" s="53" t="n"/>
      <c r="AL259" s="53" t="n"/>
      <c r="AM259" s="53" t="n"/>
      <c r="AN259" s="53" t="n"/>
      <c r="AO259" s="53" t="n"/>
      <c r="AP259" s="53" t="n"/>
      <c r="AQ259" s="53" t="n"/>
      <c r="AR259" s="53" t="n"/>
      <c r="AS259" s="53" t="n"/>
      <c r="AT259" s="53" t="n"/>
      <c r="AU259" s="53" t="n"/>
      <c r="AV259" s="53" t="n"/>
      <c r="AW259" s="53" t="n"/>
      <c r="AX259" s="53" t="n"/>
      <c r="AY259" s="53" t="n"/>
    </row>
    <row r="260" ht="15" customHeight="1">
      <c r="A260" s="54" t="n"/>
      <c r="B260" s="55">
        <f>IF($B$259="","",$B$259)</f>
        <v/>
      </c>
      <c r="C260" s="56" t="inlineStr">
        <is>
          <t>기타</t>
        </is>
      </c>
      <c r="D260" s="55">
        <f>IF($D$259="","",$D$259)</f>
        <v/>
      </c>
      <c r="E260" s="57" t="inlineStr">
        <is>
          <t>이미지</t>
        </is>
      </c>
      <c r="F260" s="44" t="n"/>
      <c r="G260" s="58">
        <f>IF($G$259="","",$G$259)</f>
        <v/>
      </c>
      <c r="H260" s="59" t="n"/>
      <c r="I260" s="59" t="n"/>
      <c r="J260" s="59" t="n"/>
      <c r="K260" s="59" t="n"/>
      <c r="L260" s="60">
        <f>IF(SUM(U260:AY260)=0,"",SUM(U260:AY260))</f>
        <v/>
      </c>
      <c r="M260" s="61">
        <f>IFERROR(INDEX(U$2:AY$2,MATCH(TRUE,INDEX(U260:AY260&lt;&gt;"",0),0)),"")</f>
        <v/>
      </c>
      <c r="N260" s="61">
        <f>IFERROR(LOOKUP(2,1/(U260:AY260&lt;&gt;""),U$2:AY$2),"")</f>
        <v/>
      </c>
      <c r="O260" s="59" t="n"/>
      <c r="P260" s="59" t="n"/>
      <c r="Q260" s="59" t="n"/>
      <c r="R260" s="59" t="n"/>
      <c r="S260" s="14" t="n"/>
      <c r="U260" s="53" t="n"/>
      <c r="V260" s="53" t="n"/>
      <c r="W260" s="53" t="n"/>
      <c r="X260" s="53" t="n"/>
      <c r="Y260" s="53" t="n"/>
      <c r="Z260" s="53" t="n"/>
      <c r="AA260" s="53" t="n"/>
      <c r="AB260" s="53" t="n"/>
      <c r="AC260" s="53" t="n"/>
      <c r="AD260" s="53" t="n"/>
      <c r="AE260" s="53" t="n"/>
      <c r="AF260" s="53" t="n"/>
      <c r="AG260" s="53" t="n"/>
      <c r="AH260" s="53" t="n"/>
      <c r="AI260" s="53" t="n"/>
      <c r="AJ260" s="53" t="n"/>
      <c r="AK260" s="53" t="n"/>
      <c r="AL260" s="53" t="n"/>
      <c r="AM260" s="53" t="n"/>
      <c r="AN260" s="53" t="n"/>
      <c r="AO260" s="53" t="n"/>
      <c r="AP260" s="53" t="n"/>
      <c r="AQ260" s="53" t="n"/>
      <c r="AR260" s="53" t="n"/>
      <c r="AS260" s="53" t="n"/>
      <c r="AT260" s="53" t="n"/>
      <c r="AU260" s="53" t="n"/>
      <c r="AV260" s="53" t="n"/>
      <c r="AW260" s="53" t="n"/>
      <c r="AX260" s="53" t="n"/>
      <c r="AY260" s="53" t="n"/>
    </row>
    <row r="261" ht="15" customHeight="1">
      <c r="A261" s="62" t="n"/>
      <c r="B261" s="55">
        <f>IF($B$259="","",$B$259)</f>
        <v/>
      </c>
      <c r="C261" s="63" t="inlineStr">
        <is>
          <t>기타</t>
        </is>
      </c>
      <c r="D261" s="55">
        <f>IF($D$259="","",$D$259)</f>
        <v/>
      </c>
      <c r="E261" s="64" t="inlineStr">
        <is>
          <t>영상</t>
        </is>
      </c>
      <c r="F261" s="44" t="n"/>
      <c r="G261" s="58">
        <f>IF($G$259="","",$G$259)</f>
        <v/>
      </c>
      <c r="H261" s="59" t="n"/>
      <c r="I261" s="59" t="n"/>
      <c r="J261" s="59" t="n"/>
      <c r="K261" s="59" t="n"/>
      <c r="L261" s="65">
        <f>IF(SUM(U261:AY261)=0,"",SUM(U261:AY261))</f>
        <v/>
      </c>
      <c r="M261" s="66">
        <f>IFERROR(INDEX(U$2:AY$2,MATCH(TRUE,INDEX(U261:AY261&lt;&gt;"",0),0)),"")</f>
        <v/>
      </c>
      <c r="N261" s="66">
        <f>IFERROR(LOOKUP(2,1/(U261:AY261&lt;&gt;""),U$2:AY$2),"")</f>
        <v/>
      </c>
      <c r="O261" s="59" t="n"/>
      <c r="P261" s="59" t="n"/>
      <c r="Q261" s="59" t="n"/>
      <c r="R261" s="59" t="n"/>
      <c r="S261" s="14" t="n"/>
      <c r="U261" s="53" t="n"/>
      <c r="V261" s="53" t="n"/>
      <c r="W261" s="53" t="n"/>
      <c r="X261" s="53" t="n"/>
      <c r="Y261" s="53" t="n"/>
      <c r="Z261" s="53" t="n"/>
      <c r="AA261" s="53" t="n"/>
      <c r="AB261" s="53" t="n"/>
      <c r="AC261" s="53" t="n"/>
      <c r="AD261" s="53" t="n"/>
      <c r="AE261" s="53" t="n"/>
      <c r="AF261" s="53" t="n"/>
      <c r="AG261" s="53" t="n"/>
      <c r="AH261" s="53" t="n"/>
      <c r="AI261" s="53" t="n"/>
      <c r="AJ261" s="53" t="n"/>
      <c r="AK261" s="53" t="n"/>
      <c r="AL261" s="53" t="n"/>
      <c r="AM261" s="53" t="n"/>
      <c r="AN261" s="53" t="n"/>
      <c r="AO261" s="53" t="n"/>
      <c r="AP261" s="53" t="n"/>
      <c r="AQ261" s="53" t="n"/>
      <c r="AR261" s="53" t="n"/>
      <c r="AS261" s="53" t="n"/>
      <c r="AT261" s="53" t="n"/>
      <c r="AU261" s="53" t="n"/>
      <c r="AV261" s="53" t="n"/>
      <c r="AW261" s="53" t="n"/>
      <c r="AX261" s="53" t="n"/>
      <c r="AY261" s="53" t="n"/>
    </row>
    <row r="262" ht="15" customHeight="1">
      <c r="A262" s="40">
        <f>IF($D$262="","",84)</f>
        <v/>
      </c>
      <c r="B262" s="10" t="n"/>
      <c r="C262" s="41" t="inlineStr">
        <is>
          <t>기타</t>
        </is>
      </c>
      <c r="D262" s="42" t="n"/>
      <c r="E262" s="43" t="inlineStr">
        <is>
          <t>기획</t>
        </is>
      </c>
      <c r="F262" s="44" t="n"/>
      <c r="G262" s="45" t="n"/>
      <c r="H262" s="46">
        <f>IF($I$262="","",IF($I$262&lt;0,"🔴지연",IF($I$262&lt;=1,"🟡임박","🟢여유")))</f>
        <v/>
      </c>
      <c r="I262" s="47">
        <f>IF(OR($G$262="",$K$262=""),"",$G$262-$K$262)</f>
        <v/>
      </c>
      <c r="J262" s="48">
        <f>IF(SUM($L$262:$L$264)=0,"",SUM($L$262:$L$264))</f>
        <v/>
      </c>
      <c r="K262" s="49">
        <f>IF($J$262="","",MAX($N$262:$N$264))</f>
        <v/>
      </c>
      <c r="L262" s="50">
        <f>IF(SUM(U262:AY262)=0,"",SUM(U262:AY262))</f>
        <v/>
      </c>
      <c r="M262" s="51">
        <f>IFERROR(INDEX(U$2:AY$2,MATCH(TRUE,INDEX(U262:AY262&lt;&gt;"",0),0)),"")</f>
        <v/>
      </c>
      <c r="N262" s="51">
        <f>IFERROR(LOOKUP(2,1/(U262:AY262&lt;&gt;""),U$2:AY$2),"")</f>
        <v/>
      </c>
      <c r="O262" s="52" t="n"/>
      <c r="P262" s="52" t="n"/>
      <c r="Q262" s="52" t="n"/>
      <c r="R262" s="44" t="n"/>
      <c r="S262" s="14" t="n"/>
      <c r="U262" s="53" t="n"/>
      <c r="V262" s="53" t="n"/>
      <c r="W262" s="53" t="n"/>
      <c r="X262" s="53" t="n"/>
      <c r="Y262" s="53" t="n"/>
      <c r="Z262" s="53" t="n"/>
      <c r="AA262" s="53" t="n"/>
      <c r="AB262" s="53" t="n"/>
      <c r="AC262" s="53" t="n"/>
      <c r="AD262" s="53" t="n"/>
      <c r="AE262" s="53" t="n"/>
      <c r="AF262" s="53" t="n"/>
      <c r="AG262" s="53" t="n"/>
      <c r="AH262" s="53" t="n"/>
      <c r="AI262" s="53" t="n"/>
      <c r="AJ262" s="53" t="n"/>
      <c r="AK262" s="53" t="n"/>
      <c r="AL262" s="53" t="n"/>
      <c r="AM262" s="53" t="n"/>
      <c r="AN262" s="53" t="n"/>
      <c r="AO262" s="53" t="n"/>
      <c r="AP262" s="53" t="n"/>
      <c r="AQ262" s="53" t="n"/>
      <c r="AR262" s="53" t="n"/>
      <c r="AS262" s="53" t="n"/>
      <c r="AT262" s="53" t="n"/>
      <c r="AU262" s="53" t="n"/>
      <c r="AV262" s="53" t="n"/>
      <c r="AW262" s="53" t="n"/>
      <c r="AX262" s="53" t="n"/>
      <c r="AY262" s="53" t="n"/>
    </row>
    <row r="263" ht="15" customHeight="1">
      <c r="A263" s="54" t="n"/>
      <c r="B263" s="55">
        <f>IF($B$262="","",$B$262)</f>
        <v/>
      </c>
      <c r="C263" s="56" t="inlineStr">
        <is>
          <t>기타</t>
        </is>
      </c>
      <c r="D263" s="55">
        <f>IF($D$262="","",$D$262)</f>
        <v/>
      </c>
      <c r="E263" s="57" t="inlineStr">
        <is>
          <t>이미지</t>
        </is>
      </c>
      <c r="F263" s="44" t="n"/>
      <c r="G263" s="58">
        <f>IF($G$262="","",$G$262)</f>
        <v/>
      </c>
      <c r="H263" s="59" t="n"/>
      <c r="I263" s="59" t="n"/>
      <c r="J263" s="59" t="n"/>
      <c r="K263" s="59" t="n"/>
      <c r="L263" s="60">
        <f>IF(SUM(U263:AY263)=0,"",SUM(U263:AY263))</f>
        <v/>
      </c>
      <c r="M263" s="61">
        <f>IFERROR(INDEX(U$2:AY$2,MATCH(TRUE,INDEX(U263:AY263&lt;&gt;"",0),0)),"")</f>
        <v/>
      </c>
      <c r="N263" s="61">
        <f>IFERROR(LOOKUP(2,1/(U263:AY263&lt;&gt;""),U$2:AY$2),"")</f>
        <v/>
      </c>
      <c r="O263" s="59" t="n"/>
      <c r="P263" s="59" t="n"/>
      <c r="Q263" s="59" t="n"/>
      <c r="R263" s="59" t="n"/>
      <c r="S263" s="14" t="n"/>
      <c r="U263" s="53" t="n"/>
      <c r="V263" s="53" t="n"/>
      <c r="W263" s="53" t="n"/>
      <c r="X263" s="53" t="n"/>
      <c r="Y263" s="53" t="n"/>
      <c r="Z263" s="53" t="n"/>
      <c r="AA263" s="53" t="n"/>
      <c r="AB263" s="53" t="n"/>
      <c r="AC263" s="53" t="n"/>
      <c r="AD263" s="53" t="n"/>
      <c r="AE263" s="53" t="n"/>
      <c r="AF263" s="53" t="n"/>
      <c r="AG263" s="53" t="n"/>
      <c r="AH263" s="53" t="n"/>
      <c r="AI263" s="53" t="n"/>
      <c r="AJ263" s="53" t="n"/>
      <c r="AK263" s="53" t="n"/>
      <c r="AL263" s="53" t="n"/>
      <c r="AM263" s="53" t="n"/>
      <c r="AN263" s="53" t="n"/>
      <c r="AO263" s="53" t="n"/>
      <c r="AP263" s="53" t="n"/>
      <c r="AQ263" s="53" t="n"/>
      <c r="AR263" s="53" t="n"/>
      <c r="AS263" s="53" t="n"/>
      <c r="AT263" s="53" t="n"/>
      <c r="AU263" s="53" t="n"/>
      <c r="AV263" s="53" t="n"/>
      <c r="AW263" s="53" t="n"/>
      <c r="AX263" s="53" t="n"/>
      <c r="AY263" s="53" t="n"/>
    </row>
    <row r="264" ht="15" customHeight="1">
      <c r="A264" s="62" t="n"/>
      <c r="B264" s="55">
        <f>IF($B$262="","",$B$262)</f>
        <v/>
      </c>
      <c r="C264" s="63" t="inlineStr">
        <is>
          <t>기타</t>
        </is>
      </c>
      <c r="D264" s="55">
        <f>IF($D$262="","",$D$262)</f>
        <v/>
      </c>
      <c r="E264" s="64" t="inlineStr">
        <is>
          <t>영상</t>
        </is>
      </c>
      <c r="F264" s="44" t="n"/>
      <c r="G264" s="58">
        <f>IF($G$262="","",$G$262)</f>
        <v/>
      </c>
      <c r="H264" s="59" t="n"/>
      <c r="I264" s="59" t="n"/>
      <c r="J264" s="59" t="n"/>
      <c r="K264" s="59" t="n"/>
      <c r="L264" s="65">
        <f>IF(SUM(U264:AY264)=0,"",SUM(U264:AY264))</f>
        <v/>
      </c>
      <c r="M264" s="66">
        <f>IFERROR(INDEX(U$2:AY$2,MATCH(TRUE,INDEX(U264:AY264&lt;&gt;"",0),0)),"")</f>
        <v/>
      </c>
      <c r="N264" s="66">
        <f>IFERROR(LOOKUP(2,1/(U264:AY264&lt;&gt;""),U$2:AY$2),"")</f>
        <v/>
      </c>
      <c r="O264" s="59" t="n"/>
      <c r="P264" s="59" t="n"/>
      <c r="Q264" s="59" t="n"/>
      <c r="R264" s="59" t="n"/>
      <c r="S264" s="14" t="n"/>
      <c r="U264" s="53" t="n"/>
      <c r="V264" s="53" t="n"/>
      <c r="W264" s="53" t="n"/>
      <c r="X264" s="53" t="n"/>
      <c r="Y264" s="53" t="n"/>
      <c r="Z264" s="53" t="n"/>
      <c r="AA264" s="53" t="n"/>
      <c r="AB264" s="53" t="n"/>
      <c r="AC264" s="53" t="n"/>
      <c r="AD264" s="53" t="n"/>
      <c r="AE264" s="53" t="n"/>
      <c r="AF264" s="53" t="n"/>
      <c r="AG264" s="53" t="n"/>
      <c r="AH264" s="53" t="n"/>
      <c r="AI264" s="53" t="n"/>
      <c r="AJ264" s="53" t="n"/>
      <c r="AK264" s="53" t="n"/>
      <c r="AL264" s="53" t="n"/>
      <c r="AM264" s="53" t="n"/>
      <c r="AN264" s="53" t="n"/>
      <c r="AO264" s="53" t="n"/>
      <c r="AP264" s="53" t="n"/>
      <c r="AQ264" s="53" t="n"/>
      <c r="AR264" s="53" t="n"/>
      <c r="AS264" s="53" t="n"/>
      <c r="AT264" s="53" t="n"/>
      <c r="AU264" s="53" t="n"/>
      <c r="AV264" s="53" t="n"/>
      <c r="AW264" s="53" t="n"/>
      <c r="AX264" s="53" t="n"/>
      <c r="AY264" s="53" t="n"/>
    </row>
    <row r="265" ht="15" customHeight="1">
      <c r="A265" s="40">
        <f>IF($D$265="","",85)</f>
        <v/>
      </c>
      <c r="B265" s="10" t="n"/>
      <c r="C265" s="41" t="inlineStr">
        <is>
          <t>기타</t>
        </is>
      </c>
      <c r="D265" s="42" t="n"/>
      <c r="E265" s="43" t="inlineStr">
        <is>
          <t>기획</t>
        </is>
      </c>
      <c r="F265" s="44" t="n"/>
      <c r="G265" s="45" t="n"/>
      <c r="H265" s="46">
        <f>IF($I$265="","",IF($I$265&lt;0,"🔴지연",IF($I$265&lt;=1,"🟡임박","🟢여유")))</f>
        <v/>
      </c>
      <c r="I265" s="47">
        <f>IF(OR($G$265="",$K$265=""),"",$G$265-$K$265)</f>
        <v/>
      </c>
      <c r="J265" s="48">
        <f>IF(SUM($L$265:$L$267)=0,"",SUM($L$265:$L$267))</f>
        <v/>
      </c>
      <c r="K265" s="49">
        <f>IF($J$265="","",MAX($N$265:$N$267))</f>
        <v/>
      </c>
      <c r="L265" s="50">
        <f>IF(SUM(U265:AY265)=0,"",SUM(U265:AY265))</f>
        <v/>
      </c>
      <c r="M265" s="51">
        <f>IFERROR(INDEX(U$2:AY$2,MATCH(TRUE,INDEX(U265:AY265&lt;&gt;"",0),0)),"")</f>
        <v/>
      </c>
      <c r="N265" s="51">
        <f>IFERROR(LOOKUP(2,1/(U265:AY265&lt;&gt;""),U$2:AY$2),"")</f>
        <v/>
      </c>
      <c r="O265" s="52" t="n"/>
      <c r="P265" s="52" t="n"/>
      <c r="Q265" s="52" t="n"/>
      <c r="R265" s="44" t="n"/>
      <c r="S265" s="14" t="n"/>
      <c r="U265" s="53" t="n"/>
      <c r="V265" s="53" t="n"/>
      <c r="W265" s="53" t="n"/>
      <c r="X265" s="53" t="n"/>
      <c r="Y265" s="53" t="n"/>
      <c r="Z265" s="53" t="n"/>
      <c r="AA265" s="53" t="n"/>
      <c r="AB265" s="53" t="n"/>
      <c r="AC265" s="53" t="n"/>
      <c r="AD265" s="53" t="n"/>
      <c r="AE265" s="53" t="n"/>
      <c r="AF265" s="53" t="n"/>
      <c r="AG265" s="53" t="n"/>
      <c r="AH265" s="53" t="n"/>
      <c r="AI265" s="53" t="n"/>
      <c r="AJ265" s="53" t="n"/>
      <c r="AK265" s="53" t="n"/>
      <c r="AL265" s="53" t="n"/>
      <c r="AM265" s="53" t="n"/>
      <c r="AN265" s="53" t="n"/>
      <c r="AO265" s="53" t="n"/>
      <c r="AP265" s="53" t="n"/>
      <c r="AQ265" s="53" t="n"/>
      <c r="AR265" s="53" t="n"/>
      <c r="AS265" s="53" t="n"/>
      <c r="AT265" s="53" t="n"/>
      <c r="AU265" s="53" t="n"/>
      <c r="AV265" s="53" t="n"/>
      <c r="AW265" s="53" t="n"/>
      <c r="AX265" s="53" t="n"/>
      <c r="AY265" s="53" t="n"/>
    </row>
    <row r="266" ht="15" customHeight="1">
      <c r="A266" s="54" t="n"/>
      <c r="B266" s="55">
        <f>IF($B$265="","",$B$265)</f>
        <v/>
      </c>
      <c r="C266" s="56" t="inlineStr">
        <is>
          <t>기타</t>
        </is>
      </c>
      <c r="D266" s="55">
        <f>IF($D$265="","",$D$265)</f>
        <v/>
      </c>
      <c r="E266" s="57" t="inlineStr">
        <is>
          <t>이미지</t>
        </is>
      </c>
      <c r="F266" s="44" t="n"/>
      <c r="G266" s="58">
        <f>IF($G$265="","",$G$265)</f>
        <v/>
      </c>
      <c r="H266" s="59" t="n"/>
      <c r="I266" s="59" t="n"/>
      <c r="J266" s="59" t="n"/>
      <c r="K266" s="59" t="n"/>
      <c r="L266" s="60">
        <f>IF(SUM(U266:AY266)=0,"",SUM(U266:AY266))</f>
        <v/>
      </c>
      <c r="M266" s="61">
        <f>IFERROR(INDEX(U$2:AY$2,MATCH(TRUE,INDEX(U266:AY266&lt;&gt;"",0),0)),"")</f>
        <v/>
      </c>
      <c r="N266" s="61">
        <f>IFERROR(LOOKUP(2,1/(U266:AY266&lt;&gt;""),U$2:AY$2),"")</f>
        <v/>
      </c>
      <c r="O266" s="59" t="n"/>
      <c r="P266" s="59" t="n"/>
      <c r="Q266" s="59" t="n"/>
      <c r="R266" s="59" t="n"/>
      <c r="S266" s="14" t="n"/>
      <c r="U266" s="53" t="n"/>
      <c r="V266" s="53" t="n"/>
      <c r="W266" s="53" t="n"/>
      <c r="X266" s="53" t="n"/>
      <c r="Y266" s="53" t="n"/>
      <c r="Z266" s="53" t="n"/>
      <c r="AA266" s="53" t="n"/>
      <c r="AB266" s="53" t="n"/>
      <c r="AC266" s="53" t="n"/>
      <c r="AD266" s="53" t="n"/>
      <c r="AE266" s="53" t="n"/>
      <c r="AF266" s="53" t="n"/>
      <c r="AG266" s="53" t="n"/>
      <c r="AH266" s="53" t="n"/>
      <c r="AI266" s="53" t="n"/>
      <c r="AJ266" s="53" t="n"/>
      <c r="AK266" s="53" t="n"/>
      <c r="AL266" s="53" t="n"/>
      <c r="AM266" s="53" t="n"/>
      <c r="AN266" s="53" t="n"/>
      <c r="AO266" s="53" t="n"/>
      <c r="AP266" s="53" t="n"/>
      <c r="AQ266" s="53" t="n"/>
      <c r="AR266" s="53" t="n"/>
      <c r="AS266" s="53" t="n"/>
      <c r="AT266" s="53" t="n"/>
      <c r="AU266" s="53" t="n"/>
      <c r="AV266" s="53" t="n"/>
      <c r="AW266" s="53" t="n"/>
      <c r="AX266" s="53" t="n"/>
      <c r="AY266" s="53" t="n"/>
    </row>
    <row r="267" ht="15" customHeight="1">
      <c r="A267" s="62" t="n"/>
      <c r="B267" s="55">
        <f>IF($B$265="","",$B$265)</f>
        <v/>
      </c>
      <c r="C267" s="63" t="inlineStr">
        <is>
          <t>기타</t>
        </is>
      </c>
      <c r="D267" s="55">
        <f>IF($D$265="","",$D$265)</f>
        <v/>
      </c>
      <c r="E267" s="64" t="inlineStr">
        <is>
          <t>영상</t>
        </is>
      </c>
      <c r="F267" s="44" t="n"/>
      <c r="G267" s="58">
        <f>IF($G$265="","",$G$265)</f>
        <v/>
      </c>
      <c r="H267" s="59" t="n"/>
      <c r="I267" s="59" t="n"/>
      <c r="J267" s="59" t="n"/>
      <c r="K267" s="59" t="n"/>
      <c r="L267" s="65">
        <f>IF(SUM(U267:AY267)=0,"",SUM(U267:AY267))</f>
        <v/>
      </c>
      <c r="M267" s="66">
        <f>IFERROR(INDEX(U$2:AY$2,MATCH(TRUE,INDEX(U267:AY267&lt;&gt;"",0),0)),"")</f>
        <v/>
      </c>
      <c r="N267" s="66">
        <f>IFERROR(LOOKUP(2,1/(U267:AY267&lt;&gt;""),U$2:AY$2),"")</f>
        <v/>
      </c>
      <c r="O267" s="59" t="n"/>
      <c r="P267" s="59" t="n"/>
      <c r="Q267" s="59" t="n"/>
      <c r="R267" s="59" t="n"/>
      <c r="S267" s="14" t="n"/>
      <c r="U267" s="53" t="n"/>
      <c r="V267" s="53" t="n"/>
      <c r="W267" s="53" t="n"/>
      <c r="X267" s="53" t="n"/>
      <c r="Y267" s="53" t="n"/>
      <c r="Z267" s="53" t="n"/>
      <c r="AA267" s="53" t="n"/>
      <c r="AB267" s="53" t="n"/>
      <c r="AC267" s="53" t="n"/>
      <c r="AD267" s="53" t="n"/>
      <c r="AE267" s="53" t="n"/>
      <c r="AF267" s="53" t="n"/>
      <c r="AG267" s="53" t="n"/>
      <c r="AH267" s="53" t="n"/>
      <c r="AI267" s="53" t="n"/>
      <c r="AJ267" s="53" t="n"/>
      <c r="AK267" s="53" t="n"/>
      <c r="AL267" s="53" t="n"/>
      <c r="AM267" s="53" t="n"/>
      <c r="AN267" s="53" t="n"/>
      <c r="AO267" s="53" t="n"/>
      <c r="AP267" s="53" t="n"/>
      <c r="AQ267" s="53" t="n"/>
      <c r="AR267" s="53" t="n"/>
      <c r="AS267" s="53" t="n"/>
      <c r="AT267" s="53" t="n"/>
      <c r="AU267" s="53" t="n"/>
      <c r="AV267" s="53" t="n"/>
      <c r="AW267" s="53" t="n"/>
      <c r="AX267" s="53" t="n"/>
      <c r="AY267" s="53" t="n"/>
    </row>
    <row r="268" ht="15" customHeight="1">
      <c r="A268" s="40">
        <f>IF($D$268="","",86)</f>
        <v/>
      </c>
      <c r="B268" s="10" t="n"/>
      <c r="C268" s="41" t="inlineStr">
        <is>
          <t>기타</t>
        </is>
      </c>
      <c r="D268" s="42" t="n"/>
      <c r="E268" s="43" t="inlineStr">
        <is>
          <t>기획</t>
        </is>
      </c>
      <c r="F268" s="44" t="n"/>
      <c r="G268" s="45" t="n"/>
      <c r="H268" s="46">
        <f>IF($I$268="","",IF($I$268&lt;0,"🔴지연",IF($I$268&lt;=1,"🟡임박","🟢여유")))</f>
        <v/>
      </c>
      <c r="I268" s="47">
        <f>IF(OR($G$268="",$K$268=""),"",$G$268-$K$268)</f>
        <v/>
      </c>
      <c r="J268" s="48">
        <f>IF(SUM($L$268:$L$270)=0,"",SUM($L$268:$L$270))</f>
        <v/>
      </c>
      <c r="K268" s="49">
        <f>IF($J$268="","",MAX($N$268:$N$270))</f>
        <v/>
      </c>
      <c r="L268" s="50">
        <f>IF(SUM(U268:AY268)=0,"",SUM(U268:AY268))</f>
        <v/>
      </c>
      <c r="M268" s="51">
        <f>IFERROR(INDEX(U$2:AY$2,MATCH(TRUE,INDEX(U268:AY268&lt;&gt;"",0),0)),"")</f>
        <v/>
      </c>
      <c r="N268" s="51">
        <f>IFERROR(LOOKUP(2,1/(U268:AY268&lt;&gt;""),U$2:AY$2),"")</f>
        <v/>
      </c>
      <c r="O268" s="52" t="n"/>
      <c r="P268" s="52" t="n"/>
      <c r="Q268" s="52" t="n"/>
      <c r="R268" s="44" t="n"/>
      <c r="S268" s="14" t="n"/>
      <c r="U268" s="53" t="n"/>
      <c r="V268" s="53" t="n"/>
      <c r="W268" s="53" t="n"/>
      <c r="X268" s="53" t="n"/>
      <c r="Y268" s="53" t="n"/>
      <c r="Z268" s="53" t="n"/>
      <c r="AA268" s="53" t="n"/>
      <c r="AB268" s="53" t="n"/>
      <c r="AC268" s="53" t="n"/>
      <c r="AD268" s="53" t="n"/>
      <c r="AE268" s="53" t="n"/>
      <c r="AF268" s="53" t="n"/>
      <c r="AG268" s="53" t="n"/>
      <c r="AH268" s="53" t="n"/>
      <c r="AI268" s="53" t="n"/>
      <c r="AJ268" s="53" t="n"/>
      <c r="AK268" s="53" t="n"/>
      <c r="AL268" s="53" t="n"/>
      <c r="AM268" s="53" t="n"/>
      <c r="AN268" s="53" t="n"/>
      <c r="AO268" s="53" t="n"/>
      <c r="AP268" s="53" t="n"/>
      <c r="AQ268" s="53" t="n"/>
      <c r="AR268" s="53" t="n"/>
      <c r="AS268" s="53" t="n"/>
      <c r="AT268" s="53" t="n"/>
      <c r="AU268" s="53" t="n"/>
      <c r="AV268" s="53" t="n"/>
      <c r="AW268" s="53" t="n"/>
      <c r="AX268" s="53" t="n"/>
      <c r="AY268" s="53" t="n"/>
    </row>
    <row r="269" ht="15" customHeight="1">
      <c r="A269" s="54" t="n"/>
      <c r="B269" s="55">
        <f>IF($B$268="","",$B$268)</f>
        <v/>
      </c>
      <c r="C269" s="56" t="inlineStr">
        <is>
          <t>기타</t>
        </is>
      </c>
      <c r="D269" s="55">
        <f>IF($D$268="","",$D$268)</f>
        <v/>
      </c>
      <c r="E269" s="57" t="inlineStr">
        <is>
          <t>이미지</t>
        </is>
      </c>
      <c r="F269" s="44" t="n"/>
      <c r="G269" s="58">
        <f>IF($G$268="","",$G$268)</f>
        <v/>
      </c>
      <c r="H269" s="59" t="n"/>
      <c r="I269" s="59" t="n"/>
      <c r="J269" s="59" t="n"/>
      <c r="K269" s="59" t="n"/>
      <c r="L269" s="60">
        <f>IF(SUM(U269:AY269)=0,"",SUM(U269:AY269))</f>
        <v/>
      </c>
      <c r="M269" s="61">
        <f>IFERROR(INDEX(U$2:AY$2,MATCH(TRUE,INDEX(U269:AY269&lt;&gt;"",0),0)),"")</f>
        <v/>
      </c>
      <c r="N269" s="61">
        <f>IFERROR(LOOKUP(2,1/(U269:AY269&lt;&gt;""),U$2:AY$2),"")</f>
        <v/>
      </c>
      <c r="O269" s="59" t="n"/>
      <c r="P269" s="59" t="n"/>
      <c r="Q269" s="59" t="n"/>
      <c r="R269" s="59" t="n"/>
      <c r="S269" s="14" t="n"/>
      <c r="U269" s="53" t="n"/>
      <c r="V269" s="53" t="n"/>
      <c r="W269" s="53" t="n"/>
      <c r="X269" s="53" t="n"/>
      <c r="Y269" s="53" t="n"/>
      <c r="Z269" s="53" t="n"/>
      <c r="AA269" s="53" t="n"/>
      <c r="AB269" s="53" t="n"/>
      <c r="AC269" s="53" t="n"/>
      <c r="AD269" s="53" t="n"/>
      <c r="AE269" s="53" t="n"/>
      <c r="AF269" s="53" t="n"/>
      <c r="AG269" s="53" t="n"/>
      <c r="AH269" s="53" t="n"/>
      <c r="AI269" s="53" t="n"/>
      <c r="AJ269" s="53" t="n"/>
      <c r="AK269" s="53" t="n"/>
      <c r="AL269" s="53" t="n"/>
      <c r="AM269" s="53" t="n"/>
      <c r="AN269" s="53" t="n"/>
      <c r="AO269" s="53" t="n"/>
      <c r="AP269" s="53" t="n"/>
      <c r="AQ269" s="53" t="n"/>
      <c r="AR269" s="53" t="n"/>
      <c r="AS269" s="53" t="n"/>
      <c r="AT269" s="53" t="n"/>
      <c r="AU269" s="53" t="n"/>
      <c r="AV269" s="53" t="n"/>
      <c r="AW269" s="53" t="n"/>
      <c r="AX269" s="53" t="n"/>
      <c r="AY269" s="53" t="n"/>
    </row>
    <row r="270" ht="15" customHeight="1">
      <c r="A270" s="62" t="n"/>
      <c r="B270" s="55">
        <f>IF($B$268="","",$B$268)</f>
        <v/>
      </c>
      <c r="C270" s="63" t="inlineStr">
        <is>
          <t>기타</t>
        </is>
      </c>
      <c r="D270" s="55">
        <f>IF($D$268="","",$D$268)</f>
        <v/>
      </c>
      <c r="E270" s="64" t="inlineStr">
        <is>
          <t>영상</t>
        </is>
      </c>
      <c r="F270" s="44" t="n"/>
      <c r="G270" s="58">
        <f>IF($G$268="","",$G$268)</f>
        <v/>
      </c>
      <c r="H270" s="59" t="n"/>
      <c r="I270" s="59" t="n"/>
      <c r="J270" s="59" t="n"/>
      <c r="K270" s="59" t="n"/>
      <c r="L270" s="65">
        <f>IF(SUM(U270:AY270)=0,"",SUM(U270:AY270))</f>
        <v/>
      </c>
      <c r="M270" s="66">
        <f>IFERROR(INDEX(U$2:AY$2,MATCH(TRUE,INDEX(U270:AY270&lt;&gt;"",0),0)),"")</f>
        <v/>
      </c>
      <c r="N270" s="66">
        <f>IFERROR(LOOKUP(2,1/(U270:AY270&lt;&gt;""),U$2:AY$2),"")</f>
        <v/>
      </c>
      <c r="O270" s="59" t="n"/>
      <c r="P270" s="59" t="n"/>
      <c r="Q270" s="59" t="n"/>
      <c r="R270" s="59" t="n"/>
      <c r="S270" s="14" t="n"/>
      <c r="U270" s="53" t="n"/>
      <c r="V270" s="53" t="n"/>
      <c r="W270" s="53" t="n"/>
      <c r="X270" s="53" t="n"/>
      <c r="Y270" s="53" t="n"/>
      <c r="Z270" s="53" t="n"/>
      <c r="AA270" s="53" t="n"/>
      <c r="AB270" s="53" t="n"/>
      <c r="AC270" s="53" t="n"/>
      <c r="AD270" s="53" t="n"/>
      <c r="AE270" s="53" t="n"/>
      <c r="AF270" s="53" t="n"/>
      <c r="AG270" s="53" t="n"/>
      <c r="AH270" s="53" t="n"/>
      <c r="AI270" s="53" t="n"/>
      <c r="AJ270" s="53" t="n"/>
      <c r="AK270" s="53" t="n"/>
      <c r="AL270" s="53" t="n"/>
      <c r="AM270" s="53" t="n"/>
      <c r="AN270" s="53" t="n"/>
      <c r="AO270" s="53" t="n"/>
      <c r="AP270" s="53" t="n"/>
      <c r="AQ270" s="53" t="n"/>
      <c r="AR270" s="53" t="n"/>
      <c r="AS270" s="53" t="n"/>
      <c r="AT270" s="53" t="n"/>
      <c r="AU270" s="53" t="n"/>
      <c r="AV270" s="53" t="n"/>
      <c r="AW270" s="53" t="n"/>
      <c r="AX270" s="53" t="n"/>
      <c r="AY270" s="53" t="n"/>
    </row>
    <row r="271" ht="15" customHeight="1">
      <c r="A271" s="40">
        <f>IF($D$271="","",87)</f>
        <v/>
      </c>
      <c r="B271" s="10" t="n"/>
      <c r="C271" s="41" t="inlineStr">
        <is>
          <t>기타</t>
        </is>
      </c>
      <c r="D271" s="42" t="n"/>
      <c r="E271" s="43" t="inlineStr">
        <is>
          <t>기획</t>
        </is>
      </c>
      <c r="F271" s="44" t="n"/>
      <c r="G271" s="45" t="n"/>
      <c r="H271" s="46">
        <f>IF($I$271="","",IF($I$271&lt;0,"🔴지연",IF($I$271&lt;=1,"🟡임박","🟢여유")))</f>
        <v/>
      </c>
      <c r="I271" s="47">
        <f>IF(OR($G$271="",$K$271=""),"",$G$271-$K$271)</f>
        <v/>
      </c>
      <c r="J271" s="48">
        <f>IF(SUM($L$271:$L$273)=0,"",SUM($L$271:$L$273))</f>
        <v/>
      </c>
      <c r="K271" s="49">
        <f>IF($J$271="","",MAX($N$271:$N$273))</f>
        <v/>
      </c>
      <c r="L271" s="50">
        <f>IF(SUM(U271:AY271)=0,"",SUM(U271:AY271))</f>
        <v/>
      </c>
      <c r="M271" s="51">
        <f>IFERROR(INDEX(U$2:AY$2,MATCH(TRUE,INDEX(U271:AY271&lt;&gt;"",0),0)),"")</f>
        <v/>
      </c>
      <c r="N271" s="51">
        <f>IFERROR(LOOKUP(2,1/(U271:AY271&lt;&gt;""),U$2:AY$2),"")</f>
        <v/>
      </c>
      <c r="O271" s="52" t="n"/>
      <c r="P271" s="52" t="n"/>
      <c r="Q271" s="52" t="n"/>
      <c r="R271" s="44" t="n"/>
      <c r="S271" s="14" t="n"/>
      <c r="U271" s="53" t="n"/>
      <c r="V271" s="53" t="n"/>
      <c r="W271" s="53" t="n"/>
      <c r="X271" s="53" t="n"/>
      <c r="Y271" s="53" t="n"/>
      <c r="Z271" s="53" t="n"/>
      <c r="AA271" s="53" t="n"/>
      <c r="AB271" s="53" t="n"/>
      <c r="AC271" s="53" t="n"/>
      <c r="AD271" s="53" t="n"/>
      <c r="AE271" s="53" t="n"/>
      <c r="AF271" s="53" t="n"/>
      <c r="AG271" s="53" t="n"/>
      <c r="AH271" s="53" t="n"/>
      <c r="AI271" s="53" t="n"/>
      <c r="AJ271" s="53" t="n"/>
      <c r="AK271" s="53" t="n"/>
      <c r="AL271" s="53" t="n"/>
      <c r="AM271" s="53" t="n"/>
      <c r="AN271" s="53" t="n"/>
      <c r="AO271" s="53" t="n"/>
      <c r="AP271" s="53" t="n"/>
      <c r="AQ271" s="53" t="n"/>
      <c r="AR271" s="53" t="n"/>
      <c r="AS271" s="53" t="n"/>
      <c r="AT271" s="53" t="n"/>
      <c r="AU271" s="53" t="n"/>
      <c r="AV271" s="53" t="n"/>
      <c r="AW271" s="53" t="n"/>
      <c r="AX271" s="53" t="n"/>
      <c r="AY271" s="53" t="n"/>
    </row>
    <row r="272" ht="15" customHeight="1">
      <c r="A272" s="54" t="n"/>
      <c r="B272" s="55">
        <f>IF($B$271="","",$B$271)</f>
        <v/>
      </c>
      <c r="C272" s="56" t="inlineStr">
        <is>
          <t>기타</t>
        </is>
      </c>
      <c r="D272" s="55">
        <f>IF($D$271="","",$D$271)</f>
        <v/>
      </c>
      <c r="E272" s="57" t="inlineStr">
        <is>
          <t>이미지</t>
        </is>
      </c>
      <c r="F272" s="44" t="n"/>
      <c r="G272" s="58">
        <f>IF($G$271="","",$G$271)</f>
        <v/>
      </c>
      <c r="H272" s="59" t="n"/>
      <c r="I272" s="59" t="n"/>
      <c r="J272" s="59" t="n"/>
      <c r="K272" s="59" t="n"/>
      <c r="L272" s="60">
        <f>IF(SUM(U272:AY272)=0,"",SUM(U272:AY272))</f>
        <v/>
      </c>
      <c r="M272" s="61">
        <f>IFERROR(INDEX(U$2:AY$2,MATCH(TRUE,INDEX(U272:AY272&lt;&gt;"",0),0)),"")</f>
        <v/>
      </c>
      <c r="N272" s="61">
        <f>IFERROR(LOOKUP(2,1/(U272:AY272&lt;&gt;""),U$2:AY$2),"")</f>
        <v/>
      </c>
      <c r="O272" s="59" t="n"/>
      <c r="P272" s="59" t="n"/>
      <c r="Q272" s="59" t="n"/>
      <c r="R272" s="59" t="n"/>
      <c r="S272" s="14" t="n"/>
      <c r="U272" s="53" t="n"/>
      <c r="V272" s="53" t="n"/>
      <c r="W272" s="53" t="n"/>
      <c r="X272" s="53" t="n"/>
      <c r="Y272" s="53" t="n"/>
      <c r="Z272" s="53" t="n"/>
      <c r="AA272" s="53" t="n"/>
      <c r="AB272" s="53" t="n"/>
      <c r="AC272" s="53" t="n"/>
      <c r="AD272" s="53" t="n"/>
      <c r="AE272" s="53" t="n"/>
      <c r="AF272" s="53" t="n"/>
      <c r="AG272" s="53" t="n"/>
      <c r="AH272" s="53" t="n"/>
      <c r="AI272" s="53" t="n"/>
      <c r="AJ272" s="53" t="n"/>
      <c r="AK272" s="53" t="n"/>
      <c r="AL272" s="53" t="n"/>
      <c r="AM272" s="53" t="n"/>
      <c r="AN272" s="53" t="n"/>
      <c r="AO272" s="53" t="n"/>
      <c r="AP272" s="53" t="n"/>
      <c r="AQ272" s="53" t="n"/>
      <c r="AR272" s="53" t="n"/>
      <c r="AS272" s="53" t="n"/>
      <c r="AT272" s="53" t="n"/>
      <c r="AU272" s="53" t="n"/>
      <c r="AV272" s="53" t="n"/>
      <c r="AW272" s="53" t="n"/>
      <c r="AX272" s="53" t="n"/>
      <c r="AY272" s="53" t="n"/>
    </row>
    <row r="273" ht="15" customHeight="1">
      <c r="A273" s="62" t="n"/>
      <c r="B273" s="55">
        <f>IF($B$271="","",$B$271)</f>
        <v/>
      </c>
      <c r="C273" s="63" t="inlineStr">
        <is>
          <t>기타</t>
        </is>
      </c>
      <c r="D273" s="55">
        <f>IF($D$271="","",$D$271)</f>
        <v/>
      </c>
      <c r="E273" s="64" t="inlineStr">
        <is>
          <t>영상</t>
        </is>
      </c>
      <c r="F273" s="44" t="n"/>
      <c r="G273" s="58">
        <f>IF($G$271="","",$G$271)</f>
        <v/>
      </c>
      <c r="H273" s="59" t="n"/>
      <c r="I273" s="59" t="n"/>
      <c r="J273" s="59" t="n"/>
      <c r="K273" s="59" t="n"/>
      <c r="L273" s="65">
        <f>IF(SUM(U273:AY273)=0,"",SUM(U273:AY273))</f>
        <v/>
      </c>
      <c r="M273" s="66">
        <f>IFERROR(INDEX(U$2:AY$2,MATCH(TRUE,INDEX(U273:AY273&lt;&gt;"",0),0)),"")</f>
        <v/>
      </c>
      <c r="N273" s="66">
        <f>IFERROR(LOOKUP(2,1/(U273:AY273&lt;&gt;""),U$2:AY$2),"")</f>
        <v/>
      </c>
      <c r="O273" s="59" t="n"/>
      <c r="P273" s="59" t="n"/>
      <c r="Q273" s="59" t="n"/>
      <c r="R273" s="59" t="n"/>
      <c r="S273" s="14" t="n"/>
      <c r="U273" s="53" t="n"/>
      <c r="V273" s="53" t="n"/>
      <c r="W273" s="53" t="n"/>
      <c r="X273" s="53" t="n"/>
      <c r="Y273" s="53" t="n"/>
      <c r="Z273" s="53" t="n"/>
      <c r="AA273" s="53" t="n"/>
      <c r="AB273" s="53" t="n"/>
      <c r="AC273" s="53" t="n"/>
      <c r="AD273" s="53" t="n"/>
      <c r="AE273" s="53" t="n"/>
      <c r="AF273" s="53" t="n"/>
      <c r="AG273" s="53" t="n"/>
      <c r="AH273" s="53" t="n"/>
      <c r="AI273" s="53" t="n"/>
      <c r="AJ273" s="53" t="n"/>
      <c r="AK273" s="53" t="n"/>
      <c r="AL273" s="53" t="n"/>
      <c r="AM273" s="53" t="n"/>
      <c r="AN273" s="53" t="n"/>
      <c r="AO273" s="53" t="n"/>
      <c r="AP273" s="53" t="n"/>
      <c r="AQ273" s="53" t="n"/>
      <c r="AR273" s="53" t="n"/>
      <c r="AS273" s="53" t="n"/>
      <c r="AT273" s="53" t="n"/>
      <c r="AU273" s="53" t="n"/>
      <c r="AV273" s="53" t="n"/>
      <c r="AW273" s="53" t="n"/>
      <c r="AX273" s="53" t="n"/>
      <c r="AY273" s="53" t="n"/>
    </row>
    <row r="274" ht="15" customHeight="1">
      <c r="A274" s="40">
        <f>IF($D$274="","",88)</f>
        <v/>
      </c>
      <c r="B274" s="10" t="n"/>
      <c r="C274" s="41" t="inlineStr">
        <is>
          <t>기타</t>
        </is>
      </c>
      <c r="D274" s="42" t="n"/>
      <c r="E274" s="43" t="inlineStr">
        <is>
          <t>기획</t>
        </is>
      </c>
      <c r="F274" s="44" t="n"/>
      <c r="G274" s="45" t="n"/>
      <c r="H274" s="46">
        <f>IF($I$274="","",IF($I$274&lt;0,"🔴지연",IF($I$274&lt;=1,"🟡임박","🟢여유")))</f>
        <v/>
      </c>
      <c r="I274" s="47">
        <f>IF(OR($G$274="",$K$274=""),"",$G$274-$K$274)</f>
        <v/>
      </c>
      <c r="J274" s="48">
        <f>IF(SUM($L$274:$L$276)=0,"",SUM($L$274:$L$276))</f>
        <v/>
      </c>
      <c r="K274" s="49">
        <f>IF($J$274="","",MAX($N$274:$N$276))</f>
        <v/>
      </c>
      <c r="L274" s="50">
        <f>IF(SUM(U274:AY274)=0,"",SUM(U274:AY274))</f>
        <v/>
      </c>
      <c r="M274" s="51">
        <f>IFERROR(INDEX(U$2:AY$2,MATCH(TRUE,INDEX(U274:AY274&lt;&gt;"",0),0)),"")</f>
        <v/>
      </c>
      <c r="N274" s="51">
        <f>IFERROR(LOOKUP(2,1/(U274:AY274&lt;&gt;""),U$2:AY$2),"")</f>
        <v/>
      </c>
      <c r="O274" s="52" t="n"/>
      <c r="P274" s="52" t="n"/>
      <c r="Q274" s="52" t="n"/>
      <c r="R274" s="44" t="n"/>
      <c r="S274" s="14" t="n"/>
      <c r="U274" s="53" t="n"/>
      <c r="V274" s="53" t="n"/>
      <c r="W274" s="53" t="n"/>
      <c r="X274" s="53" t="n"/>
      <c r="Y274" s="53" t="n"/>
      <c r="Z274" s="53" t="n"/>
      <c r="AA274" s="53" t="n"/>
      <c r="AB274" s="53" t="n"/>
      <c r="AC274" s="53" t="n"/>
      <c r="AD274" s="53" t="n"/>
      <c r="AE274" s="53" t="n"/>
      <c r="AF274" s="53" t="n"/>
      <c r="AG274" s="53" t="n"/>
      <c r="AH274" s="53" t="n"/>
      <c r="AI274" s="53" t="n"/>
      <c r="AJ274" s="53" t="n"/>
      <c r="AK274" s="53" t="n"/>
      <c r="AL274" s="53" t="n"/>
      <c r="AM274" s="53" t="n"/>
      <c r="AN274" s="53" t="n"/>
      <c r="AO274" s="53" t="n"/>
      <c r="AP274" s="53" t="n"/>
      <c r="AQ274" s="53" t="n"/>
      <c r="AR274" s="53" t="n"/>
      <c r="AS274" s="53" t="n"/>
      <c r="AT274" s="53" t="n"/>
      <c r="AU274" s="53" t="n"/>
      <c r="AV274" s="53" t="n"/>
      <c r="AW274" s="53" t="n"/>
      <c r="AX274" s="53" t="n"/>
      <c r="AY274" s="53" t="n"/>
    </row>
    <row r="275" ht="15" customHeight="1">
      <c r="A275" s="54" t="n"/>
      <c r="B275" s="55">
        <f>IF($B$274="","",$B$274)</f>
        <v/>
      </c>
      <c r="C275" s="56" t="inlineStr">
        <is>
          <t>기타</t>
        </is>
      </c>
      <c r="D275" s="55">
        <f>IF($D$274="","",$D$274)</f>
        <v/>
      </c>
      <c r="E275" s="57" t="inlineStr">
        <is>
          <t>이미지</t>
        </is>
      </c>
      <c r="F275" s="44" t="n"/>
      <c r="G275" s="58">
        <f>IF($G$274="","",$G$274)</f>
        <v/>
      </c>
      <c r="H275" s="59" t="n"/>
      <c r="I275" s="59" t="n"/>
      <c r="J275" s="59" t="n"/>
      <c r="K275" s="59" t="n"/>
      <c r="L275" s="60">
        <f>IF(SUM(U275:AY275)=0,"",SUM(U275:AY275))</f>
        <v/>
      </c>
      <c r="M275" s="61">
        <f>IFERROR(INDEX(U$2:AY$2,MATCH(TRUE,INDEX(U275:AY275&lt;&gt;"",0),0)),"")</f>
        <v/>
      </c>
      <c r="N275" s="61">
        <f>IFERROR(LOOKUP(2,1/(U275:AY275&lt;&gt;""),U$2:AY$2),"")</f>
        <v/>
      </c>
      <c r="O275" s="59" t="n"/>
      <c r="P275" s="59" t="n"/>
      <c r="Q275" s="59" t="n"/>
      <c r="R275" s="59" t="n"/>
      <c r="S275" s="14" t="n"/>
      <c r="U275" s="53" t="n"/>
      <c r="V275" s="53" t="n"/>
      <c r="W275" s="53" t="n"/>
      <c r="X275" s="53" t="n"/>
      <c r="Y275" s="53" t="n"/>
      <c r="Z275" s="53" t="n"/>
      <c r="AA275" s="53" t="n"/>
      <c r="AB275" s="53" t="n"/>
      <c r="AC275" s="53" t="n"/>
      <c r="AD275" s="53" t="n"/>
      <c r="AE275" s="53" t="n"/>
      <c r="AF275" s="53" t="n"/>
      <c r="AG275" s="53" t="n"/>
      <c r="AH275" s="53" t="n"/>
      <c r="AI275" s="53" t="n"/>
      <c r="AJ275" s="53" t="n"/>
      <c r="AK275" s="53" t="n"/>
      <c r="AL275" s="53" t="n"/>
      <c r="AM275" s="53" t="n"/>
      <c r="AN275" s="53" t="n"/>
      <c r="AO275" s="53" t="n"/>
      <c r="AP275" s="53" t="n"/>
      <c r="AQ275" s="53" t="n"/>
      <c r="AR275" s="53" t="n"/>
      <c r="AS275" s="53" t="n"/>
      <c r="AT275" s="53" t="n"/>
      <c r="AU275" s="53" t="n"/>
      <c r="AV275" s="53" t="n"/>
      <c r="AW275" s="53" t="n"/>
      <c r="AX275" s="53" t="n"/>
      <c r="AY275" s="53" t="n"/>
    </row>
    <row r="276" ht="15" customHeight="1">
      <c r="A276" s="62" t="n"/>
      <c r="B276" s="55">
        <f>IF($B$274="","",$B$274)</f>
        <v/>
      </c>
      <c r="C276" s="63" t="inlineStr">
        <is>
          <t>기타</t>
        </is>
      </c>
      <c r="D276" s="55">
        <f>IF($D$274="","",$D$274)</f>
        <v/>
      </c>
      <c r="E276" s="64" t="inlineStr">
        <is>
          <t>영상</t>
        </is>
      </c>
      <c r="F276" s="44" t="n"/>
      <c r="G276" s="58">
        <f>IF($G$274="","",$G$274)</f>
        <v/>
      </c>
      <c r="H276" s="59" t="n"/>
      <c r="I276" s="59" t="n"/>
      <c r="J276" s="59" t="n"/>
      <c r="K276" s="59" t="n"/>
      <c r="L276" s="65">
        <f>IF(SUM(U276:AY276)=0,"",SUM(U276:AY276))</f>
        <v/>
      </c>
      <c r="M276" s="66">
        <f>IFERROR(INDEX(U$2:AY$2,MATCH(TRUE,INDEX(U276:AY276&lt;&gt;"",0),0)),"")</f>
        <v/>
      </c>
      <c r="N276" s="66">
        <f>IFERROR(LOOKUP(2,1/(U276:AY276&lt;&gt;""),U$2:AY$2),"")</f>
        <v/>
      </c>
      <c r="O276" s="59" t="n"/>
      <c r="P276" s="59" t="n"/>
      <c r="Q276" s="59" t="n"/>
      <c r="R276" s="59" t="n"/>
      <c r="S276" s="14" t="n"/>
      <c r="U276" s="53" t="n"/>
      <c r="V276" s="53" t="n"/>
      <c r="W276" s="53" t="n"/>
      <c r="X276" s="53" t="n"/>
      <c r="Y276" s="53" t="n"/>
      <c r="Z276" s="53" t="n"/>
      <c r="AA276" s="53" t="n"/>
      <c r="AB276" s="53" t="n"/>
      <c r="AC276" s="53" t="n"/>
      <c r="AD276" s="53" t="n"/>
      <c r="AE276" s="53" t="n"/>
      <c r="AF276" s="53" t="n"/>
      <c r="AG276" s="53" t="n"/>
      <c r="AH276" s="53" t="n"/>
      <c r="AI276" s="53" t="n"/>
      <c r="AJ276" s="53" t="n"/>
      <c r="AK276" s="53" t="n"/>
      <c r="AL276" s="53" t="n"/>
      <c r="AM276" s="53" t="n"/>
      <c r="AN276" s="53" t="n"/>
      <c r="AO276" s="53" t="n"/>
      <c r="AP276" s="53" t="n"/>
      <c r="AQ276" s="53" t="n"/>
      <c r="AR276" s="53" t="n"/>
      <c r="AS276" s="53" t="n"/>
      <c r="AT276" s="53" t="n"/>
      <c r="AU276" s="53" t="n"/>
      <c r="AV276" s="53" t="n"/>
      <c r="AW276" s="53" t="n"/>
      <c r="AX276" s="53" t="n"/>
      <c r="AY276" s="53" t="n"/>
    </row>
    <row r="277" ht="15" customHeight="1">
      <c r="A277" s="40">
        <f>IF($D$277="","",89)</f>
        <v/>
      </c>
      <c r="B277" s="10" t="n"/>
      <c r="C277" s="41" t="inlineStr">
        <is>
          <t>기타</t>
        </is>
      </c>
      <c r="D277" s="42" t="n"/>
      <c r="E277" s="43" t="inlineStr">
        <is>
          <t>기획</t>
        </is>
      </c>
      <c r="F277" s="44" t="n"/>
      <c r="G277" s="45" t="n"/>
      <c r="H277" s="46">
        <f>IF($I$277="","",IF($I$277&lt;0,"🔴지연",IF($I$277&lt;=1,"🟡임박","🟢여유")))</f>
        <v/>
      </c>
      <c r="I277" s="47">
        <f>IF(OR($G$277="",$K$277=""),"",$G$277-$K$277)</f>
        <v/>
      </c>
      <c r="J277" s="48">
        <f>IF(SUM($L$277:$L$279)=0,"",SUM($L$277:$L$279))</f>
        <v/>
      </c>
      <c r="K277" s="49">
        <f>IF($J$277="","",MAX($N$277:$N$279))</f>
        <v/>
      </c>
      <c r="L277" s="50">
        <f>IF(SUM(U277:AY277)=0,"",SUM(U277:AY277))</f>
        <v/>
      </c>
      <c r="M277" s="51">
        <f>IFERROR(INDEX(U$2:AY$2,MATCH(TRUE,INDEX(U277:AY277&lt;&gt;"",0),0)),"")</f>
        <v/>
      </c>
      <c r="N277" s="51">
        <f>IFERROR(LOOKUP(2,1/(U277:AY277&lt;&gt;""),U$2:AY$2),"")</f>
        <v/>
      </c>
      <c r="O277" s="52" t="n"/>
      <c r="P277" s="52" t="n"/>
      <c r="Q277" s="52" t="n"/>
      <c r="R277" s="44" t="n"/>
      <c r="S277" s="14" t="n"/>
      <c r="U277" s="53" t="n"/>
      <c r="V277" s="53" t="n"/>
      <c r="W277" s="53" t="n"/>
      <c r="X277" s="53" t="n"/>
      <c r="Y277" s="53" t="n"/>
      <c r="Z277" s="53" t="n"/>
      <c r="AA277" s="53" t="n"/>
      <c r="AB277" s="53" t="n"/>
      <c r="AC277" s="53" t="n"/>
      <c r="AD277" s="53" t="n"/>
      <c r="AE277" s="53" t="n"/>
      <c r="AF277" s="53" t="n"/>
      <c r="AG277" s="53" t="n"/>
      <c r="AH277" s="53" t="n"/>
      <c r="AI277" s="53" t="n"/>
      <c r="AJ277" s="53" t="n"/>
      <c r="AK277" s="53" t="n"/>
      <c r="AL277" s="53" t="n"/>
      <c r="AM277" s="53" t="n"/>
      <c r="AN277" s="53" t="n"/>
      <c r="AO277" s="53" t="n"/>
      <c r="AP277" s="53" t="n"/>
      <c r="AQ277" s="53" t="n"/>
      <c r="AR277" s="53" t="n"/>
      <c r="AS277" s="53" t="n"/>
      <c r="AT277" s="53" t="n"/>
      <c r="AU277" s="53" t="n"/>
      <c r="AV277" s="53" t="n"/>
      <c r="AW277" s="53" t="n"/>
      <c r="AX277" s="53" t="n"/>
      <c r="AY277" s="53" t="n"/>
    </row>
    <row r="278" ht="15" customHeight="1">
      <c r="A278" s="54" t="n"/>
      <c r="B278" s="55">
        <f>IF($B$277="","",$B$277)</f>
        <v/>
      </c>
      <c r="C278" s="56" t="inlineStr">
        <is>
          <t>기타</t>
        </is>
      </c>
      <c r="D278" s="55">
        <f>IF($D$277="","",$D$277)</f>
        <v/>
      </c>
      <c r="E278" s="57" t="inlineStr">
        <is>
          <t>이미지</t>
        </is>
      </c>
      <c r="F278" s="44" t="n"/>
      <c r="G278" s="58">
        <f>IF($G$277="","",$G$277)</f>
        <v/>
      </c>
      <c r="H278" s="59" t="n"/>
      <c r="I278" s="59" t="n"/>
      <c r="J278" s="59" t="n"/>
      <c r="K278" s="59" t="n"/>
      <c r="L278" s="60">
        <f>IF(SUM(U278:AY278)=0,"",SUM(U278:AY278))</f>
        <v/>
      </c>
      <c r="M278" s="61">
        <f>IFERROR(INDEX(U$2:AY$2,MATCH(TRUE,INDEX(U278:AY278&lt;&gt;"",0),0)),"")</f>
        <v/>
      </c>
      <c r="N278" s="61">
        <f>IFERROR(LOOKUP(2,1/(U278:AY278&lt;&gt;""),U$2:AY$2),"")</f>
        <v/>
      </c>
      <c r="O278" s="59" t="n"/>
      <c r="P278" s="59" t="n"/>
      <c r="Q278" s="59" t="n"/>
      <c r="R278" s="59" t="n"/>
      <c r="S278" s="14" t="n"/>
      <c r="U278" s="53" t="n"/>
      <c r="V278" s="53" t="n"/>
      <c r="W278" s="53" t="n"/>
      <c r="X278" s="53" t="n"/>
      <c r="Y278" s="53" t="n"/>
      <c r="Z278" s="53" t="n"/>
      <c r="AA278" s="53" t="n"/>
      <c r="AB278" s="53" t="n"/>
      <c r="AC278" s="53" t="n"/>
      <c r="AD278" s="53" t="n"/>
      <c r="AE278" s="53" t="n"/>
      <c r="AF278" s="53" t="n"/>
      <c r="AG278" s="53" t="n"/>
      <c r="AH278" s="53" t="n"/>
      <c r="AI278" s="53" t="n"/>
      <c r="AJ278" s="53" t="n"/>
      <c r="AK278" s="53" t="n"/>
      <c r="AL278" s="53" t="n"/>
      <c r="AM278" s="53" t="n"/>
      <c r="AN278" s="53" t="n"/>
      <c r="AO278" s="53" t="n"/>
      <c r="AP278" s="53" t="n"/>
      <c r="AQ278" s="53" t="n"/>
      <c r="AR278" s="53" t="n"/>
      <c r="AS278" s="53" t="n"/>
      <c r="AT278" s="53" t="n"/>
      <c r="AU278" s="53" t="n"/>
      <c r="AV278" s="53" t="n"/>
      <c r="AW278" s="53" t="n"/>
      <c r="AX278" s="53" t="n"/>
      <c r="AY278" s="53" t="n"/>
    </row>
    <row r="279" ht="15" customHeight="1">
      <c r="A279" s="62" t="n"/>
      <c r="B279" s="55">
        <f>IF($B$277="","",$B$277)</f>
        <v/>
      </c>
      <c r="C279" s="63" t="inlineStr">
        <is>
          <t>기타</t>
        </is>
      </c>
      <c r="D279" s="55">
        <f>IF($D$277="","",$D$277)</f>
        <v/>
      </c>
      <c r="E279" s="64" t="inlineStr">
        <is>
          <t>영상</t>
        </is>
      </c>
      <c r="F279" s="44" t="n"/>
      <c r="G279" s="58">
        <f>IF($G$277="","",$G$277)</f>
        <v/>
      </c>
      <c r="H279" s="59" t="n"/>
      <c r="I279" s="59" t="n"/>
      <c r="J279" s="59" t="n"/>
      <c r="K279" s="59" t="n"/>
      <c r="L279" s="65">
        <f>IF(SUM(U279:AY279)=0,"",SUM(U279:AY279))</f>
        <v/>
      </c>
      <c r="M279" s="66">
        <f>IFERROR(INDEX(U$2:AY$2,MATCH(TRUE,INDEX(U279:AY279&lt;&gt;"",0),0)),"")</f>
        <v/>
      </c>
      <c r="N279" s="66">
        <f>IFERROR(LOOKUP(2,1/(U279:AY279&lt;&gt;""),U$2:AY$2),"")</f>
        <v/>
      </c>
      <c r="O279" s="59" t="n"/>
      <c r="P279" s="59" t="n"/>
      <c r="Q279" s="59" t="n"/>
      <c r="R279" s="59" t="n"/>
      <c r="S279" s="14" t="n"/>
      <c r="U279" s="53" t="n"/>
      <c r="V279" s="53" t="n"/>
      <c r="W279" s="53" t="n"/>
      <c r="X279" s="53" t="n"/>
      <c r="Y279" s="53" t="n"/>
      <c r="Z279" s="53" t="n"/>
      <c r="AA279" s="53" t="n"/>
      <c r="AB279" s="53" t="n"/>
      <c r="AC279" s="53" t="n"/>
      <c r="AD279" s="53" t="n"/>
      <c r="AE279" s="53" t="n"/>
      <c r="AF279" s="53" t="n"/>
      <c r="AG279" s="53" t="n"/>
      <c r="AH279" s="53" t="n"/>
      <c r="AI279" s="53" t="n"/>
      <c r="AJ279" s="53" t="n"/>
      <c r="AK279" s="53" t="n"/>
      <c r="AL279" s="53" t="n"/>
      <c r="AM279" s="53" t="n"/>
      <c r="AN279" s="53" t="n"/>
      <c r="AO279" s="53" t="n"/>
      <c r="AP279" s="53" t="n"/>
      <c r="AQ279" s="53" t="n"/>
      <c r="AR279" s="53" t="n"/>
      <c r="AS279" s="53" t="n"/>
      <c r="AT279" s="53" t="n"/>
      <c r="AU279" s="53" t="n"/>
      <c r="AV279" s="53" t="n"/>
      <c r="AW279" s="53" t="n"/>
      <c r="AX279" s="53" t="n"/>
      <c r="AY279" s="53" t="n"/>
    </row>
    <row r="280" ht="15" customHeight="1">
      <c r="A280" s="40">
        <f>IF($D$280="","",90)</f>
        <v/>
      </c>
      <c r="B280" s="10" t="n"/>
      <c r="C280" s="41" t="inlineStr">
        <is>
          <t>기타</t>
        </is>
      </c>
      <c r="D280" s="42" t="n"/>
      <c r="E280" s="43" t="inlineStr">
        <is>
          <t>기획</t>
        </is>
      </c>
      <c r="F280" s="44" t="n"/>
      <c r="G280" s="45" t="n"/>
      <c r="H280" s="46">
        <f>IF($I$280="","",IF($I$280&lt;0,"🔴지연",IF($I$280&lt;=1,"🟡임박","🟢여유")))</f>
        <v/>
      </c>
      <c r="I280" s="47">
        <f>IF(OR($G$280="",$K$280=""),"",$G$280-$K$280)</f>
        <v/>
      </c>
      <c r="J280" s="48">
        <f>IF(SUM($L$280:$L$282)=0,"",SUM($L$280:$L$282))</f>
        <v/>
      </c>
      <c r="K280" s="49">
        <f>IF($J$280="","",MAX($N$280:$N$282))</f>
        <v/>
      </c>
      <c r="L280" s="50">
        <f>IF(SUM(U280:AY280)=0,"",SUM(U280:AY280))</f>
        <v/>
      </c>
      <c r="M280" s="51">
        <f>IFERROR(INDEX(U$2:AY$2,MATCH(TRUE,INDEX(U280:AY280&lt;&gt;"",0),0)),"")</f>
        <v/>
      </c>
      <c r="N280" s="51">
        <f>IFERROR(LOOKUP(2,1/(U280:AY280&lt;&gt;""),U$2:AY$2),"")</f>
        <v/>
      </c>
      <c r="O280" s="52" t="n"/>
      <c r="P280" s="52" t="n"/>
      <c r="Q280" s="52" t="n"/>
      <c r="R280" s="44" t="n"/>
      <c r="S280" s="14" t="n"/>
      <c r="U280" s="53" t="n"/>
      <c r="V280" s="53" t="n"/>
      <c r="W280" s="53" t="n"/>
      <c r="X280" s="53" t="n"/>
      <c r="Y280" s="53" t="n"/>
      <c r="Z280" s="53" t="n"/>
      <c r="AA280" s="53" t="n"/>
      <c r="AB280" s="53" t="n"/>
      <c r="AC280" s="53" t="n"/>
      <c r="AD280" s="53" t="n"/>
      <c r="AE280" s="53" t="n"/>
      <c r="AF280" s="53" t="n"/>
      <c r="AG280" s="53" t="n"/>
      <c r="AH280" s="53" t="n"/>
      <c r="AI280" s="53" t="n"/>
      <c r="AJ280" s="53" t="n"/>
      <c r="AK280" s="53" t="n"/>
      <c r="AL280" s="53" t="n"/>
      <c r="AM280" s="53" t="n"/>
      <c r="AN280" s="53" t="n"/>
      <c r="AO280" s="53" t="n"/>
      <c r="AP280" s="53" t="n"/>
      <c r="AQ280" s="53" t="n"/>
      <c r="AR280" s="53" t="n"/>
      <c r="AS280" s="53" t="n"/>
      <c r="AT280" s="53" t="n"/>
      <c r="AU280" s="53" t="n"/>
      <c r="AV280" s="53" t="n"/>
      <c r="AW280" s="53" t="n"/>
      <c r="AX280" s="53" t="n"/>
      <c r="AY280" s="53" t="n"/>
    </row>
    <row r="281" ht="15" customHeight="1">
      <c r="A281" s="54" t="n"/>
      <c r="B281" s="55">
        <f>IF($B$280="","",$B$280)</f>
        <v/>
      </c>
      <c r="C281" s="56" t="inlineStr">
        <is>
          <t>기타</t>
        </is>
      </c>
      <c r="D281" s="55">
        <f>IF($D$280="","",$D$280)</f>
        <v/>
      </c>
      <c r="E281" s="57" t="inlineStr">
        <is>
          <t>이미지</t>
        </is>
      </c>
      <c r="F281" s="44" t="n"/>
      <c r="G281" s="58">
        <f>IF($G$280="","",$G$280)</f>
        <v/>
      </c>
      <c r="H281" s="59" t="n"/>
      <c r="I281" s="59" t="n"/>
      <c r="J281" s="59" t="n"/>
      <c r="K281" s="59" t="n"/>
      <c r="L281" s="60">
        <f>IF(SUM(U281:AY281)=0,"",SUM(U281:AY281))</f>
        <v/>
      </c>
      <c r="M281" s="61">
        <f>IFERROR(INDEX(U$2:AY$2,MATCH(TRUE,INDEX(U281:AY281&lt;&gt;"",0),0)),"")</f>
        <v/>
      </c>
      <c r="N281" s="61">
        <f>IFERROR(LOOKUP(2,1/(U281:AY281&lt;&gt;""),U$2:AY$2),"")</f>
        <v/>
      </c>
      <c r="O281" s="59" t="n"/>
      <c r="P281" s="59" t="n"/>
      <c r="Q281" s="59" t="n"/>
      <c r="R281" s="59" t="n"/>
      <c r="S281" s="14" t="n"/>
      <c r="U281" s="53" t="n"/>
      <c r="V281" s="53" t="n"/>
      <c r="W281" s="53" t="n"/>
      <c r="X281" s="53" t="n"/>
      <c r="Y281" s="53" t="n"/>
      <c r="Z281" s="53" t="n"/>
      <c r="AA281" s="53" t="n"/>
      <c r="AB281" s="53" t="n"/>
      <c r="AC281" s="53" t="n"/>
      <c r="AD281" s="53" t="n"/>
      <c r="AE281" s="53" t="n"/>
      <c r="AF281" s="53" t="n"/>
      <c r="AG281" s="53" t="n"/>
      <c r="AH281" s="53" t="n"/>
      <c r="AI281" s="53" t="n"/>
      <c r="AJ281" s="53" t="n"/>
      <c r="AK281" s="53" t="n"/>
      <c r="AL281" s="53" t="n"/>
      <c r="AM281" s="53" t="n"/>
      <c r="AN281" s="53" t="n"/>
      <c r="AO281" s="53" t="n"/>
      <c r="AP281" s="53" t="n"/>
      <c r="AQ281" s="53" t="n"/>
      <c r="AR281" s="53" t="n"/>
      <c r="AS281" s="53" t="n"/>
      <c r="AT281" s="53" t="n"/>
      <c r="AU281" s="53" t="n"/>
      <c r="AV281" s="53" t="n"/>
      <c r="AW281" s="53" t="n"/>
      <c r="AX281" s="53" t="n"/>
      <c r="AY281" s="53" t="n"/>
    </row>
    <row r="282" ht="15" customHeight="1">
      <c r="A282" s="62" t="n"/>
      <c r="B282" s="55">
        <f>IF($B$280="","",$B$280)</f>
        <v/>
      </c>
      <c r="C282" s="63" t="inlineStr">
        <is>
          <t>기타</t>
        </is>
      </c>
      <c r="D282" s="55">
        <f>IF($D$280="","",$D$280)</f>
        <v/>
      </c>
      <c r="E282" s="64" t="inlineStr">
        <is>
          <t>영상</t>
        </is>
      </c>
      <c r="F282" s="44" t="n"/>
      <c r="G282" s="58">
        <f>IF($G$280="","",$G$280)</f>
        <v/>
      </c>
      <c r="H282" s="59" t="n"/>
      <c r="I282" s="59" t="n"/>
      <c r="J282" s="59" t="n"/>
      <c r="K282" s="59" t="n"/>
      <c r="L282" s="65">
        <f>IF(SUM(U282:AY282)=0,"",SUM(U282:AY282))</f>
        <v/>
      </c>
      <c r="M282" s="66">
        <f>IFERROR(INDEX(U$2:AY$2,MATCH(TRUE,INDEX(U282:AY282&lt;&gt;"",0),0)),"")</f>
        <v/>
      </c>
      <c r="N282" s="66">
        <f>IFERROR(LOOKUP(2,1/(U282:AY282&lt;&gt;""),U$2:AY$2),"")</f>
        <v/>
      </c>
      <c r="O282" s="59" t="n"/>
      <c r="P282" s="59" t="n"/>
      <c r="Q282" s="59" t="n"/>
      <c r="R282" s="59" t="n"/>
      <c r="S282" s="14" t="n"/>
      <c r="U282" s="53" t="n"/>
      <c r="V282" s="53" t="n"/>
      <c r="W282" s="53" t="n"/>
      <c r="X282" s="53" t="n"/>
      <c r="Y282" s="53" t="n"/>
      <c r="Z282" s="53" t="n"/>
      <c r="AA282" s="53" t="n"/>
      <c r="AB282" s="53" t="n"/>
      <c r="AC282" s="53" t="n"/>
      <c r="AD282" s="53" t="n"/>
      <c r="AE282" s="53" t="n"/>
      <c r="AF282" s="53" t="n"/>
      <c r="AG282" s="53" t="n"/>
      <c r="AH282" s="53" t="n"/>
      <c r="AI282" s="53" t="n"/>
      <c r="AJ282" s="53" t="n"/>
      <c r="AK282" s="53" t="n"/>
      <c r="AL282" s="53" t="n"/>
      <c r="AM282" s="53" t="n"/>
      <c r="AN282" s="53" t="n"/>
      <c r="AO282" s="53" t="n"/>
      <c r="AP282" s="53" t="n"/>
      <c r="AQ282" s="53" t="n"/>
      <c r="AR282" s="53" t="n"/>
      <c r="AS282" s="53" t="n"/>
      <c r="AT282" s="53" t="n"/>
      <c r="AU282" s="53" t="n"/>
      <c r="AV282" s="53" t="n"/>
      <c r="AW282" s="53" t="n"/>
      <c r="AX282" s="53" t="n"/>
      <c r="AY282" s="53" t="n"/>
    </row>
    <row r="283" ht="15" customHeight="1">
      <c r="A283" s="40">
        <f>IF($D$283="","",91)</f>
        <v/>
      </c>
      <c r="B283" s="10" t="n"/>
      <c r="C283" s="41" t="inlineStr">
        <is>
          <t>기타</t>
        </is>
      </c>
      <c r="D283" s="42" t="n"/>
      <c r="E283" s="43" t="inlineStr">
        <is>
          <t>기획</t>
        </is>
      </c>
      <c r="F283" s="44" t="n"/>
      <c r="G283" s="45" t="n"/>
      <c r="H283" s="46">
        <f>IF($I$283="","",IF($I$283&lt;0,"🔴지연",IF($I$283&lt;=1,"🟡임박","🟢여유")))</f>
        <v/>
      </c>
      <c r="I283" s="47">
        <f>IF(OR($G$283="",$K$283=""),"",$G$283-$K$283)</f>
        <v/>
      </c>
      <c r="J283" s="48">
        <f>IF(SUM($L$283:$L$285)=0,"",SUM($L$283:$L$285))</f>
        <v/>
      </c>
      <c r="K283" s="49">
        <f>IF($J$283="","",MAX($N$283:$N$285))</f>
        <v/>
      </c>
      <c r="L283" s="50">
        <f>IF(SUM(U283:AY283)=0,"",SUM(U283:AY283))</f>
        <v/>
      </c>
      <c r="M283" s="51">
        <f>IFERROR(INDEX(U$2:AY$2,MATCH(TRUE,INDEX(U283:AY283&lt;&gt;"",0),0)),"")</f>
        <v/>
      </c>
      <c r="N283" s="51">
        <f>IFERROR(LOOKUP(2,1/(U283:AY283&lt;&gt;""),U$2:AY$2),"")</f>
        <v/>
      </c>
      <c r="O283" s="52" t="n"/>
      <c r="P283" s="52" t="n"/>
      <c r="Q283" s="52" t="n"/>
      <c r="R283" s="44" t="n"/>
      <c r="S283" s="14" t="n"/>
      <c r="U283" s="53" t="n"/>
      <c r="V283" s="53" t="n"/>
      <c r="W283" s="53" t="n"/>
      <c r="X283" s="53" t="n"/>
      <c r="Y283" s="53" t="n"/>
      <c r="Z283" s="53" t="n"/>
      <c r="AA283" s="53" t="n"/>
      <c r="AB283" s="53" t="n"/>
      <c r="AC283" s="53" t="n"/>
      <c r="AD283" s="53" t="n"/>
      <c r="AE283" s="53" t="n"/>
      <c r="AF283" s="53" t="n"/>
      <c r="AG283" s="53" t="n"/>
      <c r="AH283" s="53" t="n"/>
      <c r="AI283" s="53" t="n"/>
      <c r="AJ283" s="53" t="n"/>
      <c r="AK283" s="53" t="n"/>
      <c r="AL283" s="53" t="n"/>
      <c r="AM283" s="53" t="n"/>
      <c r="AN283" s="53" t="n"/>
      <c r="AO283" s="53" t="n"/>
      <c r="AP283" s="53" t="n"/>
      <c r="AQ283" s="53" t="n"/>
      <c r="AR283" s="53" t="n"/>
      <c r="AS283" s="53" t="n"/>
      <c r="AT283" s="53" t="n"/>
      <c r="AU283" s="53" t="n"/>
      <c r="AV283" s="53" t="n"/>
      <c r="AW283" s="53" t="n"/>
      <c r="AX283" s="53" t="n"/>
      <c r="AY283" s="53" t="n"/>
    </row>
    <row r="284" ht="15" customHeight="1">
      <c r="A284" s="54" t="n"/>
      <c r="B284" s="55">
        <f>IF($B$283="","",$B$283)</f>
        <v/>
      </c>
      <c r="C284" s="56" t="inlineStr">
        <is>
          <t>기타</t>
        </is>
      </c>
      <c r="D284" s="55">
        <f>IF($D$283="","",$D$283)</f>
        <v/>
      </c>
      <c r="E284" s="57" t="inlineStr">
        <is>
          <t>이미지</t>
        </is>
      </c>
      <c r="F284" s="44" t="n"/>
      <c r="G284" s="58">
        <f>IF($G$283="","",$G$283)</f>
        <v/>
      </c>
      <c r="H284" s="59" t="n"/>
      <c r="I284" s="59" t="n"/>
      <c r="J284" s="59" t="n"/>
      <c r="K284" s="59" t="n"/>
      <c r="L284" s="60">
        <f>IF(SUM(U284:AY284)=0,"",SUM(U284:AY284))</f>
        <v/>
      </c>
      <c r="M284" s="61">
        <f>IFERROR(INDEX(U$2:AY$2,MATCH(TRUE,INDEX(U284:AY284&lt;&gt;"",0),0)),"")</f>
        <v/>
      </c>
      <c r="N284" s="61">
        <f>IFERROR(LOOKUP(2,1/(U284:AY284&lt;&gt;""),U$2:AY$2),"")</f>
        <v/>
      </c>
      <c r="O284" s="59" t="n"/>
      <c r="P284" s="59" t="n"/>
      <c r="Q284" s="59" t="n"/>
      <c r="R284" s="59" t="n"/>
      <c r="S284" s="14" t="n"/>
      <c r="U284" s="53" t="n"/>
      <c r="V284" s="53" t="n"/>
      <c r="W284" s="53" t="n"/>
      <c r="X284" s="53" t="n"/>
      <c r="Y284" s="53" t="n"/>
      <c r="Z284" s="53" t="n"/>
      <c r="AA284" s="53" t="n"/>
      <c r="AB284" s="53" t="n"/>
      <c r="AC284" s="53" t="n"/>
      <c r="AD284" s="53" t="n"/>
      <c r="AE284" s="53" t="n"/>
      <c r="AF284" s="53" t="n"/>
      <c r="AG284" s="53" t="n"/>
      <c r="AH284" s="53" t="n"/>
      <c r="AI284" s="53" t="n"/>
      <c r="AJ284" s="53" t="n"/>
      <c r="AK284" s="53" t="n"/>
      <c r="AL284" s="53" t="n"/>
      <c r="AM284" s="53" t="n"/>
      <c r="AN284" s="53" t="n"/>
      <c r="AO284" s="53" t="n"/>
      <c r="AP284" s="53" t="n"/>
      <c r="AQ284" s="53" t="n"/>
      <c r="AR284" s="53" t="n"/>
      <c r="AS284" s="53" t="n"/>
      <c r="AT284" s="53" t="n"/>
      <c r="AU284" s="53" t="n"/>
      <c r="AV284" s="53" t="n"/>
      <c r="AW284" s="53" t="n"/>
      <c r="AX284" s="53" t="n"/>
      <c r="AY284" s="53" t="n"/>
    </row>
    <row r="285" ht="15" customHeight="1">
      <c r="A285" s="62" t="n"/>
      <c r="B285" s="55">
        <f>IF($B$283="","",$B$283)</f>
        <v/>
      </c>
      <c r="C285" s="63" t="inlineStr">
        <is>
          <t>기타</t>
        </is>
      </c>
      <c r="D285" s="55">
        <f>IF($D$283="","",$D$283)</f>
        <v/>
      </c>
      <c r="E285" s="64" t="inlineStr">
        <is>
          <t>영상</t>
        </is>
      </c>
      <c r="F285" s="44" t="n"/>
      <c r="G285" s="58">
        <f>IF($G$283="","",$G$283)</f>
        <v/>
      </c>
      <c r="H285" s="59" t="n"/>
      <c r="I285" s="59" t="n"/>
      <c r="J285" s="59" t="n"/>
      <c r="K285" s="59" t="n"/>
      <c r="L285" s="65">
        <f>IF(SUM(U285:AY285)=0,"",SUM(U285:AY285))</f>
        <v/>
      </c>
      <c r="M285" s="66">
        <f>IFERROR(INDEX(U$2:AY$2,MATCH(TRUE,INDEX(U285:AY285&lt;&gt;"",0),0)),"")</f>
        <v/>
      </c>
      <c r="N285" s="66">
        <f>IFERROR(LOOKUP(2,1/(U285:AY285&lt;&gt;""),U$2:AY$2),"")</f>
        <v/>
      </c>
      <c r="O285" s="59" t="n"/>
      <c r="P285" s="59" t="n"/>
      <c r="Q285" s="59" t="n"/>
      <c r="R285" s="59" t="n"/>
      <c r="S285" s="14" t="n"/>
      <c r="U285" s="53" t="n"/>
      <c r="V285" s="53" t="n"/>
      <c r="W285" s="53" t="n"/>
      <c r="X285" s="53" t="n"/>
      <c r="Y285" s="53" t="n"/>
      <c r="Z285" s="53" t="n"/>
      <c r="AA285" s="53" t="n"/>
      <c r="AB285" s="53" t="n"/>
      <c r="AC285" s="53" t="n"/>
      <c r="AD285" s="53" t="n"/>
      <c r="AE285" s="53" t="n"/>
      <c r="AF285" s="53" t="n"/>
      <c r="AG285" s="53" t="n"/>
      <c r="AH285" s="53" t="n"/>
      <c r="AI285" s="53" t="n"/>
      <c r="AJ285" s="53" t="n"/>
      <c r="AK285" s="53" t="n"/>
      <c r="AL285" s="53" t="n"/>
      <c r="AM285" s="53" t="n"/>
      <c r="AN285" s="53" t="n"/>
      <c r="AO285" s="53" t="n"/>
      <c r="AP285" s="53" t="n"/>
      <c r="AQ285" s="53" t="n"/>
      <c r="AR285" s="53" t="n"/>
      <c r="AS285" s="53" t="n"/>
      <c r="AT285" s="53" t="n"/>
      <c r="AU285" s="53" t="n"/>
      <c r="AV285" s="53" t="n"/>
      <c r="AW285" s="53" t="n"/>
      <c r="AX285" s="53" t="n"/>
      <c r="AY285" s="53" t="n"/>
    </row>
    <row r="286" ht="15" customHeight="1">
      <c r="A286" s="40">
        <f>IF($D$286="","",92)</f>
        <v/>
      </c>
      <c r="B286" s="10" t="n"/>
      <c r="C286" s="41" t="inlineStr">
        <is>
          <t>기타</t>
        </is>
      </c>
      <c r="D286" s="42" t="n"/>
      <c r="E286" s="43" t="inlineStr">
        <is>
          <t>기획</t>
        </is>
      </c>
      <c r="F286" s="44" t="n"/>
      <c r="G286" s="45" t="n"/>
      <c r="H286" s="46">
        <f>IF($I$286="","",IF($I$286&lt;0,"🔴지연",IF($I$286&lt;=1,"🟡임박","🟢여유")))</f>
        <v/>
      </c>
      <c r="I286" s="47">
        <f>IF(OR($G$286="",$K$286=""),"",$G$286-$K$286)</f>
        <v/>
      </c>
      <c r="J286" s="48">
        <f>IF(SUM($L$286:$L$288)=0,"",SUM($L$286:$L$288))</f>
        <v/>
      </c>
      <c r="K286" s="49">
        <f>IF($J$286="","",MAX($N$286:$N$288))</f>
        <v/>
      </c>
      <c r="L286" s="50">
        <f>IF(SUM(U286:AY286)=0,"",SUM(U286:AY286))</f>
        <v/>
      </c>
      <c r="M286" s="51">
        <f>IFERROR(INDEX(U$2:AY$2,MATCH(TRUE,INDEX(U286:AY286&lt;&gt;"",0),0)),"")</f>
        <v/>
      </c>
      <c r="N286" s="51">
        <f>IFERROR(LOOKUP(2,1/(U286:AY286&lt;&gt;""),U$2:AY$2),"")</f>
        <v/>
      </c>
      <c r="O286" s="52" t="n"/>
      <c r="P286" s="52" t="n"/>
      <c r="Q286" s="52" t="n"/>
      <c r="R286" s="44" t="n"/>
      <c r="S286" s="14" t="n"/>
      <c r="U286" s="53" t="n"/>
      <c r="V286" s="53" t="n"/>
      <c r="W286" s="53" t="n"/>
      <c r="X286" s="53" t="n"/>
      <c r="Y286" s="53" t="n"/>
      <c r="Z286" s="53" t="n"/>
      <c r="AA286" s="53" t="n"/>
      <c r="AB286" s="53" t="n"/>
      <c r="AC286" s="53" t="n"/>
      <c r="AD286" s="53" t="n"/>
      <c r="AE286" s="53" t="n"/>
      <c r="AF286" s="53" t="n"/>
      <c r="AG286" s="53" t="n"/>
      <c r="AH286" s="53" t="n"/>
      <c r="AI286" s="53" t="n"/>
      <c r="AJ286" s="53" t="n"/>
      <c r="AK286" s="53" t="n"/>
      <c r="AL286" s="53" t="n"/>
      <c r="AM286" s="53" t="n"/>
      <c r="AN286" s="53" t="n"/>
      <c r="AO286" s="53" t="n"/>
      <c r="AP286" s="53" t="n"/>
      <c r="AQ286" s="53" t="n"/>
      <c r="AR286" s="53" t="n"/>
      <c r="AS286" s="53" t="n"/>
      <c r="AT286" s="53" t="n"/>
      <c r="AU286" s="53" t="n"/>
      <c r="AV286" s="53" t="n"/>
      <c r="AW286" s="53" t="n"/>
      <c r="AX286" s="53" t="n"/>
      <c r="AY286" s="53" t="n"/>
    </row>
    <row r="287" ht="15" customHeight="1">
      <c r="A287" s="54" t="n"/>
      <c r="B287" s="55">
        <f>IF($B$286="","",$B$286)</f>
        <v/>
      </c>
      <c r="C287" s="56" t="inlineStr">
        <is>
          <t>기타</t>
        </is>
      </c>
      <c r="D287" s="55">
        <f>IF($D$286="","",$D$286)</f>
        <v/>
      </c>
      <c r="E287" s="57" t="inlineStr">
        <is>
          <t>이미지</t>
        </is>
      </c>
      <c r="F287" s="44" t="n"/>
      <c r="G287" s="58">
        <f>IF($G$286="","",$G$286)</f>
        <v/>
      </c>
      <c r="H287" s="59" t="n"/>
      <c r="I287" s="59" t="n"/>
      <c r="J287" s="59" t="n"/>
      <c r="K287" s="59" t="n"/>
      <c r="L287" s="60">
        <f>IF(SUM(U287:AY287)=0,"",SUM(U287:AY287))</f>
        <v/>
      </c>
      <c r="M287" s="61">
        <f>IFERROR(INDEX(U$2:AY$2,MATCH(TRUE,INDEX(U287:AY287&lt;&gt;"",0),0)),"")</f>
        <v/>
      </c>
      <c r="N287" s="61">
        <f>IFERROR(LOOKUP(2,1/(U287:AY287&lt;&gt;""),U$2:AY$2),"")</f>
        <v/>
      </c>
      <c r="O287" s="59" t="n"/>
      <c r="P287" s="59" t="n"/>
      <c r="Q287" s="59" t="n"/>
      <c r="R287" s="59" t="n"/>
      <c r="S287" s="14" t="n"/>
      <c r="U287" s="53" t="n"/>
      <c r="V287" s="53" t="n"/>
      <c r="W287" s="53" t="n"/>
      <c r="X287" s="53" t="n"/>
      <c r="Y287" s="53" t="n"/>
      <c r="Z287" s="53" t="n"/>
      <c r="AA287" s="53" t="n"/>
      <c r="AB287" s="53" t="n"/>
      <c r="AC287" s="53" t="n"/>
      <c r="AD287" s="53" t="n"/>
      <c r="AE287" s="53" t="n"/>
      <c r="AF287" s="53" t="n"/>
      <c r="AG287" s="53" t="n"/>
      <c r="AH287" s="53" t="n"/>
      <c r="AI287" s="53" t="n"/>
      <c r="AJ287" s="53" t="n"/>
      <c r="AK287" s="53" t="n"/>
      <c r="AL287" s="53" t="n"/>
      <c r="AM287" s="53" t="n"/>
      <c r="AN287" s="53" t="n"/>
      <c r="AO287" s="53" t="n"/>
      <c r="AP287" s="53" t="n"/>
      <c r="AQ287" s="53" t="n"/>
      <c r="AR287" s="53" t="n"/>
      <c r="AS287" s="53" t="n"/>
      <c r="AT287" s="53" t="n"/>
      <c r="AU287" s="53" t="n"/>
      <c r="AV287" s="53" t="n"/>
      <c r="AW287" s="53" t="n"/>
      <c r="AX287" s="53" t="n"/>
      <c r="AY287" s="53" t="n"/>
    </row>
    <row r="288" ht="15" customHeight="1">
      <c r="A288" s="62" t="n"/>
      <c r="B288" s="55">
        <f>IF($B$286="","",$B$286)</f>
        <v/>
      </c>
      <c r="C288" s="63" t="inlineStr">
        <is>
          <t>기타</t>
        </is>
      </c>
      <c r="D288" s="55">
        <f>IF($D$286="","",$D$286)</f>
        <v/>
      </c>
      <c r="E288" s="64" t="inlineStr">
        <is>
          <t>영상</t>
        </is>
      </c>
      <c r="F288" s="44" t="n"/>
      <c r="G288" s="58">
        <f>IF($G$286="","",$G$286)</f>
        <v/>
      </c>
      <c r="H288" s="59" t="n"/>
      <c r="I288" s="59" t="n"/>
      <c r="J288" s="59" t="n"/>
      <c r="K288" s="59" t="n"/>
      <c r="L288" s="65">
        <f>IF(SUM(U288:AY288)=0,"",SUM(U288:AY288))</f>
        <v/>
      </c>
      <c r="M288" s="66">
        <f>IFERROR(INDEX(U$2:AY$2,MATCH(TRUE,INDEX(U288:AY288&lt;&gt;"",0),0)),"")</f>
        <v/>
      </c>
      <c r="N288" s="66">
        <f>IFERROR(LOOKUP(2,1/(U288:AY288&lt;&gt;""),U$2:AY$2),"")</f>
        <v/>
      </c>
      <c r="O288" s="59" t="n"/>
      <c r="P288" s="59" t="n"/>
      <c r="Q288" s="59" t="n"/>
      <c r="R288" s="59" t="n"/>
      <c r="S288" s="14" t="n"/>
      <c r="U288" s="53" t="n"/>
      <c r="V288" s="53" t="n"/>
      <c r="W288" s="53" t="n"/>
      <c r="X288" s="53" t="n"/>
      <c r="Y288" s="53" t="n"/>
      <c r="Z288" s="53" t="n"/>
      <c r="AA288" s="53" t="n"/>
      <c r="AB288" s="53" t="n"/>
      <c r="AC288" s="53" t="n"/>
      <c r="AD288" s="53" t="n"/>
      <c r="AE288" s="53" t="n"/>
      <c r="AF288" s="53" t="n"/>
      <c r="AG288" s="53" t="n"/>
      <c r="AH288" s="53" t="n"/>
      <c r="AI288" s="53" t="n"/>
      <c r="AJ288" s="53" t="n"/>
      <c r="AK288" s="53" t="n"/>
      <c r="AL288" s="53" t="n"/>
      <c r="AM288" s="53" t="n"/>
      <c r="AN288" s="53" t="n"/>
      <c r="AO288" s="53" t="n"/>
      <c r="AP288" s="53" t="n"/>
      <c r="AQ288" s="53" t="n"/>
      <c r="AR288" s="53" t="n"/>
      <c r="AS288" s="53" t="n"/>
      <c r="AT288" s="53" t="n"/>
      <c r="AU288" s="53" t="n"/>
      <c r="AV288" s="53" t="n"/>
      <c r="AW288" s="53" t="n"/>
      <c r="AX288" s="53" t="n"/>
      <c r="AY288" s="53" t="n"/>
    </row>
    <row r="289" ht="15" customHeight="1">
      <c r="A289" s="40">
        <f>IF($D$289="","",93)</f>
        <v/>
      </c>
      <c r="B289" s="10" t="n"/>
      <c r="C289" s="41" t="inlineStr">
        <is>
          <t>기타</t>
        </is>
      </c>
      <c r="D289" s="42" t="n"/>
      <c r="E289" s="43" t="inlineStr">
        <is>
          <t>기획</t>
        </is>
      </c>
      <c r="F289" s="44" t="n"/>
      <c r="G289" s="45" t="n"/>
      <c r="H289" s="46">
        <f>IF($I$289="","",IF($I$289&lt;0,"🔴지연",IF($I$289&lt;=1,"🟡임박","🟢여유")))</f>
        <v/>
      </c>
      <c r="I289" s="47">
        <f>IF(OR($G$289="",$K$289=""),"",$G$289-$K$289)</f>
        <v/>
      </c>
      <c r="J289" s="48">
        <f>IF(SUM($L$289:$L$291)=0,"",SUM($L$289:$L$291))</f>
        <v/>
      </c>
      <c r="K289" s="49">
        <f>IF($J$289="","",MAX($N$289:$N$291))</f>
        <v/>
      </c>
      <c r="L289" s="50">
        <f>IF(SUM(U289:AY289)=0,"",SUM(U289:AY289))</f>
        <v/>
      </c>
      <c r="M289" s="51">
        <f>IFERROR(INDEX(U$2:AY$2,MATCH(TRUE,INDEX(U289:AY289&lt;&gt;"",0),0)),"")</f>
        <v/>
      </c>
      <c r="N289" s="51">
        <f>IFERROR(LOOKUP(2,1/(U289:AY289&lt;&gt;""),U$2:AY$2),"")</f>
        <v/>
      </c>
      <c r="O289" s="52" t="n"/>
      <c r="P289" s="52" t="n"/>
      <c r="Q289" s="52" t="n"/>
      <c r="R289" s="44" t="n"/>
      <c r="S289" s="14" t="n"/>
      <c r="U289" s="53" t="n"/>
      <c r="V289" s="53" t="n"/>
      <c r="W289" s="53" t="n"/>
      <c r="X289" s="53" t="n"/>
      <c r="Y289" s="53" t="n"/>
      <c r="Z289" s="53" t="n"/>
      <c r="AA289" s="53" t="n"/>
      <c r="AB289" s="53" t="n"/>
      <c r="AC289" s="53" t="n"/>
      <c r="AD289" s="53" t="n"/>
      <c r="AE289" s="53" t="n"/>
      <c r="AF289" s="53" t="n"/>
      <c r="AG289" s="53" t="n"/>
      <c r="AH289" s="53" t="n"/>
      <c r="AI289" s="53" t="n"/>
      <c r="AJ289" s="53" t="n"/>
      <c r="AK289" s="53" t="n"/>
      <c r="AL289" s="53" t="n"/>
      <c r="AM289" s="53" t="n"/>
      <c r="AN289" s="53" t="n"/>
      <c r="AO289" s="53" t="n"/>
      <c r="AP289" s="53" t="n"/>
      <c r="AQ289" s="53" t="n"/>
      <c r="AR289" s="53" t="n"/>
      <c r="AS289" s="53" t="n"/>
      <c r="AT289" s="53" t="n"/>
      <c r="AU289" s="53" t="n"/>
      <c r="AV289" s="53" t="n"/>
      <c r="AW289" s="53" t="n"/>
      <c r="AX289" s="53" t="n"/>
      <c r="AY289" s="53" t="n"/>
    </row>
    <row r="290" ht="15" customHeight="1">
      <c r="A290" s="54" t="n"/>
      <c r="B290" s="55">
        <f>IF($B$289="","",$B$289)</f>
        <v/>
      </c>
      <c r="C290" s="56" t="inlineStr">
        <is>
          <t>기타</t>
        </is>
      </c>
      <c r="D290" s="55">
        <f>IF($D$289="","",$D$289)</f>
        <v/>
      </c>
      <c r="E290" s="57" t="inlineStr">
        <is>
          <t>이미지</t>
        </is>
      </c>
      <c r="F290" s="44" t="n"/>
      <c r="G290" s="58">
        <f>IF($G$289="","",$G$289)</f>
        <v/>
      </c>
      <c r="H290" s="59" t="n"/>
      <c r="I290" s="59" t="n"/>
      <c r="J290" s="59" t="n"/>
      <c r="K290" s="59" t="n"/>
      <c r="L290" s="60">
        <f>IF(SUM(U290:AY290)=0,"",SUM(U290:AY290))</f>
        <v/>
      </c>
      <c r="M290" s="61">
        <f>IFERROR(INDEX(U$2:AY$2,MATCH(TRUE,INDEX(U290:AY290&lt;&gt;"",0),0)),"")</f>
        <v/>
      </c>
      <c r="N290" s="61">
        <f>IFERROR(LOOKUP(2,1/(U290:AY290&lt;&gt;""),U$2:AY$2),"")</f>
        <v/>
      </c>
      <c r="O290" s="59" t="n"/>
      <c r="P290" s="59" t="n"/>
      <c r="Q290" s="59" t="n"/>
      <c r="R290" s="59" t="n"/>
      <c r="S290" s="14" t="n"/>
      <c r="U290" s="53" t="n"/>
      <c r="V290" s="53" t="n"/>
      <c r="W290" s="53" t="n"/>
      <c r="X290" s="53" t="n"/>
      <c r="Y290" s="53" t="n"/>
      <c r="Z290" s="53" t="n"/>
      <c r="AA290" s="53" t="n"/>
      <c r="AB290" s="53" t="n"/>
      <c r="AC290" s="53" t="n"/>
      <c r="AD290" s="53" t="n"/>
      <c r="AE290" s="53" t="n"/>
      <c r="AF290" s="53" t="n"/>
      <c r="AG290" s="53" t="n"/>
      <c r="AH290" s="53" t="n"/>
      <c r="AI290" s="53" t="n"/>
      <c r="AJ290" s="53" t="n"/>
      <c r="AK290" s="53" t="n"/>
      <c r="AL290" s="53" t="n"/>
      <c r="AM290" s="53" t="n"/>
      <c r="AN290" s="53" t="n"/>
      <c r="AO290" s="53" t="n"/>
      <c r="AP290" s="53" t="n"/>
      <c r="AQ290" s="53" t="n"/>
      <c r="AR290" s="53" t="n"/>
      <c r="AS290" s="53" t="n"/>
      <c r="AT290" s="53" t="n"/>
      <c r="AU290" s="53" t="n"/>
      <c r="AV290" s="53" t="n"/>
      <c r="AW290" s="53" t="n"/>
      <c r="AX290" s="53" t="n"/>
      <c r="AY290" s="53" t="n"/>
    </row>
    <row r="291" ht="15" customHeight="1">
      <c r="A291" s="62" t="n"/>
      <c r="B291" s="55">
        <f>IF($B$289="","",$B$289)</f>
        <v/>
      </c>
      <c r="C291" s="63" t="inlineStr">
        <is>
          <t>기타</t>
        </is>
      </c>
      <c r="D291" s="55">
        <f>IF($D$289="","",$D$289)</f>
        <v/>
      </c>
      <c r="E291" s="64" t="inlineStr">
        <is>
          <t>영상</t>
        </is>
      </c>
      <c r="F291" s="44" t="n"/>
      <c r="G291" s="58">
        <f>IF($G$289="","",$G$289)</f>
        <v/>
      </c>
      <c r="H291" s="59" t="n"/>
      <c r="I291" s="59" t="n"/>
      <c r="J291" s="59" t="n"/>
      <c r="K291" s="59" t="n"/>
      <c r="L291" s="65">
        <f>IF(SUM(U291:AY291)=0,"",SUM(U291:AY291))</f>
        <v/>
      </c>
      <c r="M291" s="66">
        <f>IFERROR(INDEX(U$2:AY$2,MATCH(TRUE,INDEX(U291:AY291&lt;&gt;"",0),0)),"")</f>
        <v/>
      </c>
      <c r="N291" s="66">
        <f>IFERROR(LOOKUP(2,1/(U291:AY291&lt;&gt;""),U$2:AY$2),"")</f>
        <v/>
      </c>
      <c r="O291" s="59" t="n"/>
      <c r="P291" s="59" t="n"/>
      <c r="Q291" s="59" t="n"/>
      <c r="R291" s="59" t="n"/>
      <c r="S291" s="14" t="n"/>
      <c r="U291" s="53" t="n"/>
      <c r="V291" s="53" t="n"/>
      <c r="W291" s="53" t="n"/>
      <c r="X291" s="53" t="n"/>
      <c r="Y291" s="53" t="n"/>
      <c r="Z291" s="53" t="n"/>
      <c r="AA291" s="53" t="n"/>
      <c r="AB291" s="53" t="n"/>
      <c r="AC291" s="53" t="n"/>
      <c r="AD291" s="53" t="n"/>
      <c r="AE291" s="53" t="n"/>
      <c r="AF291" s="53" t="n"/>
      <c r="AG291" s="53" t="n"/>
      <c r="AH291" s="53" t="n"/>
      <c r="AI291" s="53" t="n"/>
      <c r="AJ291" s="53" t="n"/>
      <c r="AK291" s="53" t="n"/>
      <c r="AL291" s="53" t="n"/>
      <c r="AM291" s="53" t="n"/>
      <c r="AN291" s="53" t="n"/>
      <c r="AO291" s="53" t="n"/>
      <c r="AP291" s="53" t="n"/>
      <c r="AQ291" s="53" t="n"/>
      <c r="AR291" s="53" t="n"/>
      <c r="AS291" s="53" t="n"/>
      <c r="AT291" s="53" t="n"/>
      <c r="AU291" s="53" t="n"/>
      <c r="AV291" s="53" t="n"/>
      <c r="AW291" s="53" t="n"/>
      <c r="AX291" s="53" t="n"/>
      <c r="AY291" s="53" t="n"/>
    </row>
    <row r="292" ht="15" customHeight="1">
      <c r="A292" s="40">
        <f>IF($D$292="","",94)</f>
        <v/>
      </c>
      <c r="B292" s="10" t="n"/>
      <c r="C292" s="41" t="inlineStr">
        <is>
          <t>기타</t>
        </is>
      </c>
      <c r="D292" s="42" t="n"/>
      <c r="E292" s="43" t="inlineStr">
        <is>
          <t>기획</t>
        </is>
      </c>
      <c r="F292" s="44" t="n"/>
      <c r="G292" s="45" t="n"/>
      <c r="H292" s="46">
        <f>IF($I$292="","",IF($I$292&lt;0,"🔴지연",IF($I$292&lt;=1,"🟡임박","🟢여유")))</f>
        <v/>
      </c>
      <c r="I292" s="47">
        <f>IF(OR($G$292="",$K$292=""),"",$G$292-$K$292)</f>
        <v/>
      </c>
      <c r="J292" s="48">
        <f>IF(SUM($L$292:$L$294)=0,"",SUM($L$292:$L$294))</f>
        <v/>
      </c>
      <c r="K292" s="49">
        <f>IF($J$292="","",MAX($N$292:$N$294))</f>
        <v/>
      </c>
      <c r="L292" s="50">
        <f>IF(SUM(U292:AY292)=0,"",SUM(U292:AY292))</f>
        <v/>
      </c>
      <c r="M292" s="51">
        <f>IFERROR(INDEX(U$2:AY$2,MATCH(TRUE,INDEX(U292:AY292&lt;&gt;"",0),0)),"")</f>
        <v/>
      </c>
      <c r="N292" s="51">
        <f>IFERROR(LOOKUP(2,1/(U292:AY292&lt;&gt;""),U$2:AY$2),"")</f>
        <v/>
      </c>
      <c r="O292" s="52" t="n"/>
      <c r="P292" s="52" t="n"/>
      <c r="Q292" s="52" t="n"/>
      <c r="R292" s="44" t="n"/>
      <c r="S292" s="14" t="n"/>
      <c r="U292" s="53" t="n"/>
      <c r="V292" s="53" t="n"/>
      <c r="W292" s="53" t="n"/>
      <c r="X292" s="53" t="n"/>
      <c r="Y292" s="53" t="n"/>
      <c r="Z292" s="53" t="n"/>
      <c r="AA292" s="53" t="n"/>
      <c r="AB292" s="53" t="n"/>
      <c r="AC292" s="53" t="n"/>
      <c r="AD292" s="53" t="n"/>
      <c r="AE292" s="53" t="n"/>
      <c r="AF292" s="53" t="n"/>
      <c r="AG292" s="53" t="n"/>
      <c r="AH292" s="53" t="n"/>
      <c r="AI292" s="53" t="n"/>
      <c r="AJ292" s="53" t="n"/>
      <c r="AK292" s="53" t="n"/>
      <c r="AL292" s="53" t="n"/>
      <c r="AM292" s="53" t="n"/>
      <c r="AN292" s="53" t="n"/>
      <c r="AO292" s="53" t="n"/>
      <c r="AP292" s="53" t="n"/>
      <c r="AQ292" s="53" t="n"/>
      <c r="AR292" s="53" t="n"/>
      <c r="AS292" s="53" t="n"/>
      <c r="AT292" s="53" t="n"/>
      <c r="AU292" s="53" t="n"/>
      <c r="AV292" s="53" t="n"/>
      <c r="AW292" s="53" t="n"/>
      <c r="AX292" s="53" t="n"/>
      <c r="AY292" s="53" t="n"/>
    </row>
    <row r="293" ht="15" customHeight="1">
      <c r="A293" s="54" t="n"/>
      <c r="B293" s="55">
        <f>IF($B$292="","",$B$292)</f>
        <v/>
      </c>
      <c r="C293" s="56" t="inlineStr">
        <is>
          <t>기타</t>
        </is>
      </c>
      <c r="D293" s="55">
        <f>IF($D$292="","",$D$292)</f>
        <v/>
      </c>
      <c r="E293" s="57" t="inlineStr">
        <is>
          <t>이미지</t>
        </is>
      </c>
      <c r="F293" s="44" t="n"/>
      <c r="G293" s="58">
        <f>IF($G$292="","",$G$292)</f>
        <v/>
      </c>
      <c r="H293" s="59" t="n"/>
      <c r="I293" s="59" t="n"/>
      <c r="J293" s="59" t="n"/>
      <c r="K293" s="59" t="n"/>
      <c r="L293" s="60">
        <f>IF(SUM(U293:AY293)=0,"",SUM(U293:AY293))</f>
        <v/>
      </c>
      <c r="M293" s="61">
        <f>IFERROR(INDEX(U$2:AY$2,MATCH(TRUE,INDEX(U293:AY293&lt;&gt;"",0),0)),"")</f>
        <v/>
      </c>
      <c r="N293" s="61">
        <f>IFERROR(LOOKUP(2,1/(U293:AY293&lt;&gt;""),U$2:AY$2),"")</f>
        <v/>
      </c>
      <c r="O293" s="59" t="n"/>
      <c r="P293" s="59" t="n"/>
      <c r="Q293" s="59" t="n"/>
      <c r="R293" s="59" t="n"/>
      <c r="S293" s="14" t="n"/>
      <c r="U293" s="53" t="n"/>
      <c r="V293" s="53" t="n"/>
      <c r="W293" s="53" t="n"/>
      <c r="X293" s="53" t="n"/>
      <c r="Y293" s="53" t="n"/>
      <c r="Z293" s="53" t="n"/>
      <c r="AA293" s="53" t="n"/>
      <c r="AB293" s="53" t="n"/>
      <c r="AC293" s="53" t="n"/>
      <c r="AD293" s="53" t="n"/>
      <c r="AE293" s="53" t="n"/>
      <c r="AF293" s="53" t="n"/>
      <c r="AG293" s="53" t="n"/>
      <c r="AH293" s="53" t="n"/>
      <c r="AI293" s="53" t="n"/>
      <c r="AJ293" s="53" t="n"/>
      <c r="AK293" s="53" t="n"/>
      <c r="AL293" s="53" t="n"/>
      <c r="AM293" s="53" t="n"/>
      <c r="AN293" s="53" t="n"/>
      <c r="AO293" s="53" t="n"/>
      <c r="AP293" s="53" t="n"/>
      <c r="AQ293" s="53" t="n"/>
      <c r="AR293" s="53" t="n"/>
      <c r="AS293" s="53" t="n"/>
      <c r="AT293" s="53" t="n"/>
      <c r="AU293" s="53" t="n"/>
      <c r="AV293" s="53" t="n"/>
      <c r="AW293" s="53" t="n"/>
      <c r="AX293" s="53" t="n"/>
      <c r="AY293" s="53" t="n"/>
    </row>
    <row r="294" ht="15" customHeight="1">
      <c r="A294" s="62" t="n"/>
      <c r="B294" s="55">
        <f>IF($B$292="","",$B$292)</f>
        <v/>
      </c>
      <c r="C294" s="63" t="inlineStr">
        <is>
          <t>기타</t>
        </is>
      </c>
      <c r="D294" s="55">
        <f>IF($D$292="","",$D$292)</f>
        <v/>
      </c>
      <c r="E294" s="64" t="inlineStr">
        <is>
          <t>영상</t>
        </is>
      </c>
      <c r="F294" s="44" t="n"/>
      <c r="G294" s="58">
        <f>IF($G$292="","",$G$292)</f>
        <v/>
      </c>
      <c r="H294" s="59" t="n"/>
      <c r="I294" s="59" t="n"/>
      <c r="J294" s="59" t="n"/>
      <c r="K294" s="59" t="n"/>
      <c r="L294" s="65">
        <f>IF(SUM(U294:AY294)=0,"",SUM(U294:AY294))</f>
        <v/>
      </c>
      <c r="M294" s="66">
        <f>IFERROR(INDEX(U$2:AY$2,MATCH(TRUE,INDEX(U294:AY294&lt;&gt;"",0),0)),"")</f>
        <v/>
      </c>
      <c r="N294" s="66">
        <f>IFERROR(LOOKUP(2,1/(U294:AY294&lt;&gt;""),U$2:AY$2),"")</f>
        <v/>
      </c>
      <c r="O294" s="59" t="n"/>
      <c r="P294" s="59" t="n"/>
      <c r="Q294" s="59" t="n"/>
      <c r="R294" s="59" t="n"/>
      <c r="S294" s="14" t="n"/>
      <c r="U294" s="53" t="n"/>
      <c r="V294" s="53" t="n"/>
      <c r="W294" s="53" t="n"/>
      <c r="X294" s="53" t="n"/>
      <c r="Y294" s="53" t="n"/>
      <c r="Z294" s="53" t="n"/>
      <c r="AA294" s="53" t="n"/>
      <c r="AB294" s="53" t="n"/>
      <c r="AC294" s="53" t="n"/>
      <c r="AD294" s="53" t="n"/>
      <c r="AE294" s="53" t="n"/>
      <c r="AF294" s="53" t="n"/>
      <c r="AG294" s="53" t="n"/>
      <c r="AH294" s="53" t="n"/>
      <c r="AI294" s="53" t="n"/>
      <c r="AJ294" s="53" t="n"/>
      <c r="AK294" s="53" t="n"/>
      <c r="AL294" s="53" t="n"/>
      <c r="AM294" s="53" t="n"/>
      <c r="AN294" s="53" t="n"/>
      <c r="AO294" s="53" t="n"/>
      <c r="AP294" s="53" t="n"/>
      <c r="AQ294" s="53" t="n"/>
      <c r="AR294" s="53" t="n"/>
      <c r="AS294" s="53" t="n"/>
      <c r="AT294" s="53" t="n"/>
      <c r="AU294" s="53" t="n"/>
      <c r="AV294" s="53" t="n"/>
      <c r="AW294" s="53" t="n"/>
      <c r="AX294" s="53" t="n"/>
      <c r="AY294" s="53" t="n"/>
    </row>
    <row r="295" ht="15" customHeight="1">
      <c r="A295" s="40">
        <f>IF($D$295="","",95)</f>
        <v/>
      </c>
      <c r="B295" s="10" t="n"/>
      <c r="C295" s="41" t="inlineStr">
        <is>
          <t>기타</t>
        </is>
      </c>
      <c r="D295" s="42" t="n"/>
      <c r="E295" s="43" t="inlineStr">
        <is>
          <t>기획</t>
        </is>
      </c>
      <c r="F295" s="44" t="n"/>
      <c r="G295" s="45" t="n"/>
      <c r="H295" s="46">
        <f>IF($I$295="","",IF($I$295&lt;0,"🔴지연",IF($I$295&lt;=1,"🟡임박","🟢여유")))</f>
        <v/>
      </c>
      <c r="I295" s="47">
        <f>IF(OR($G$295="",$K$295=""),"",$G$295-$K$295)</f>
        <v/>
      </c>
      <c r="J295" s="48">
        <f>IF(SUM($L$295:$L$297)=0,"",SUM($L$295:$L$297))</f>
        <v/>
      </c>
      <c r="K295" s="49">
        <f>IF($J$295="","",MAX($N$295:$N$297))</f>
        <v/>
      </c>
      <c r="L295" s="50">
        <f>IF(SUM(U295:AY295)=0,"",SUM(U295:AY295))</f>
        <v/>
      </c>
      <c r="M295" s="51">
        <f>IFERROR(INDEX(U$2:AY$2,MATCH(TRUE,INDEX(U295:AY295&lt;&gt;"",0),0)),"")</f>
        <v/>
      </c>
      <c r="N295" s="51">
        <f>IFERROR(LOOKUP(2,1/(U295:AY295&lt;&gt;""),U$2:AY$2),"")</f>
        <v/>
      </c>
      <c r="O295" s="52" t="n"/>
      <c r="P295" s="52" t="n"/>
      <c r="Q295" s="52" t="n"/>
      <c r="R295" s="44" t="n"/>
      <c r="S295" s="14" t="n"/>
      <c r="U295" s="53" t="n"/>
      <c r="V295" s="53" t="n"/>
      <c r="W295" s="53" t="n"/>
      <c r="X295" s="53" t="n"/>
      <c r="Y295" s="53" t="n"/>
      <c r="Z295" s="53" t="n"/>
      <c r="AA295" s="53" t="n"/>
      <c r="AB295" s="53" t="n"/>
      <c r="AC295" s="53" t="n"/>
      <c r="AD295" s="53" t="n"/>
      <c r="AE295" s="53" t="n"/>
      <c r="AF295" s="53" t="n"/>
      <c r="AG295" s="53" t="n"/>
      <c r="AH295" s="53" t="n"/>
      <c r="AI295" s="53" t="n"/>
      <c r="AJ295" s="53" t="n"/>
      <c r="AK295" s="53" t="n"/>
      <c r="AL295" s="53" t="n"/>
      <c r="AM295" s="53" t="n"/>
      <c r="AN295" s="53" t="n"/>
      <c r="AO295" s="53" t="n"/>
      <c r="AP295" s="53" t="n"/>
      <c r="AQ295" s="53" t="n"/>
      <c r="AR295" s="53" t="n"/>
      <c r="AS295" s="53" t="n"/>
      <c r="AT295" s="53" t="n"/>
      <c r="AU295" s="53" t="n"/>
      <c r="AV295" s="53" t="n"/>
      <c r="AW295" s="53" t="n"/>
      <c r="AX295" s="53" t="n"/>
      <c r="AY295" s="53" t="n"/>
    </row>
    <row r="296" ht="15" customHeight="1">
      <c r="A296" s="54" t="n"/>
      <c r="B296" s="55">
        <f>IF($B$295="","",$B$295)</f>
        <v/>
      </c>
      <c r="C296" s="56" t="inlineStr">
        <is>
          <t>기타</t>
        </is>
      </c>
      <c r="D296" s="55">
        <f>IF($D$295="","",$D$295)</f>
        <v/>
      </c>
      <c r="E296" s="57" t="inlineStr">
        <is>
          <t>이미지</t>
        </is>
      </c>
      <c r="F296" s="44" t="n"/>
      <c r="G296" s="58">
        <f>IF($G$295="","",$G$295)</f>
        <v/>
      </c>
      <c r="H296" s="59" t="n"/>
      <c r="I296" s="59" t="n"/>
      <c r="J296" s="59" t="n"/>
      <c r="K296" s="59" t="n"/>
      <c r="L296" s="60">
        <f>IF(SUM(U296:AY296)=0,"",SUM(U296:AY296))</f>
        <v/>
      </c>
      <c r="M296" s="61">
        <f>IFERROR(INDEX(U$2:AY$2,MATCH(TRUE,INDEX(U296:AY296&lt;&gt;"",0),0)),"")</f>
        <v/>
      </c>
      <c r="N296" s="61">
        <f>IFERROR(LOOKUP(2,1/(U296:AY296&lt;&gt;""),U$2:AY$2),"")</f>
        <v/>
      </c>
      <c r="O296" s="59" t="n"/>
      <c r="P296" s="59" t="n"/>
      <c r="Q296" s="59" t="n"/>
      <c r="R296" s="59" t="n"/>
      <c r="S296" s="14" t="n"/>
      <c r="U296" s="53" t="n"/>
      <c r="V296" s="53" t="n"/>
      <c r="W296" s="53" t="n"/>
      <c r="X296" s="53" t="n"/>
      <c r="Y296" s="53" t="n"/>
      <c r="Z296" s="53" t="n"/>
      <c r="AA296" s="53" t="n"/>
      <c r="AB296" s="53" t="n"/>
      <c r="AC296" s="53" t="n"/>
      <c r="AD296" s="53" t="n"/>
      <c r="AE296" s="53" t="n"/>
      <c r="AF296" s="53" t="n"/>
      <c r="AG296" s="53" t="n"/>
      <c r="AH296" s="53" t="n"/>
      <c r="AI296" s="53" t="n"/>
      <c r="AJ296" s="53" t="n"/>
      <c r="AK296" s="53" t="n"/>
      <c r="AL296" s="53" t="n"/>
      <c r="AM296" s="53" t="n"/>
      <c r="AN296" s="53" t="n"/>
      <c r="AO296" s="53" t="n"/>
      <c r="AP296" s="53" t="n"/>
      <c r="AQ296" s="53" t="n"/>
      <c r="AR296" s="53" t="n"/>
      <c r="AS296" s="53" t="n"/>
      <c r="AT296" s="53" t="n"/>
      <c r="AU296" s="53" t="n"/>
      <c r="AV296" s="53" t="n"/>
      <c r="AW296" s="53" t="n"/>
      <c r="AX296" s="53" t="n"/>
      <c r="AY296" s="53" t="n"/>
    </row>
    <row r="297" ht="15" customHeight="1">
      <c r="A297" s="62" t="n"/>
      <c r="B297" s="55">
        <f>IF($B$295="","",$B$295)</f>
        <v/>
      </c>
      <c r="C297" s="63" t="inlineStr">
        <is>
          <t>기타</t>
        </is>
      </c>
      <c r="D297" s="55">
        <f>IF($D$295="","",$D$295)</f>
        <v/>
      </c>
      <c r="E297" s="64" t="inlineStr">
        <is>
          <t>영상</t>
        </is>
      </c>
      <c r="F297" s="44" t="n"/>
      <c r="G297" s="58">
        <f>IF($G$295="","",$G$295)</f>
        <v/>
      </c>
      <c r="H297" s="59" t="n"/>
      <c r="I297" s="59" t="n"/>
      <c r="J297" s="59" t="n"/>
      <c r="K297" s="59" t="n"/>
      <c r="L297" s="65">
        <f>IF(SUM(U297:AY297)=0,"",SUM(U297:AY297))</f>
        <v/>
      </c>
      <c r="M297" s="66">
        <f>IFERROR(INDEX(U$2:AY$2,MATCH(TRUE,INDEX(U297:AY297&lt;&gt;"",0),0)),"")</f>
        <v/>
      </c>
      <c r="N297" s="66">
        <f>IFERROR(LOOKUP(2,1/(U297:AY297&lt;&gt;""),U$2:AY$2),"")</f>
        <v/>
      </c>
      <c r="O297" s="59" t="n"/>
      <c r="P297" s="59" t="n"/>
      <c r="Q297" s="59" t="n"/>
      <c r="R297" s="59" t="n"/>
      <c r="S297" s="14" t="n"/>
      <c r="U297" s="53" t="n"/>
      <c r="V297" s="53" t="n"/>
      <c r="W297" s="53" t="n"/>
      <c r="X297" s="53" t="n"/>
      <c r="Y297" s="53" t="n"/>
      <c r="Z297" s="53" t="n"/>
      <c r="AA297" s="53" t="n"/>
      <c r="AB297" s="53" t="n"/>
      <c r="AC297" s="53" t="n"/>
      <c r="AD297" s="53" t="n"/>
      <c r="AE297" s="53" t="n"/>
      <c r="AF297" s="53" t="n"/>
      <c r="AG297" s="53" t="n"/>
      <c r="AH297" s="53" t="n"/>
      <c r="AI297" s="53" t="n"/>
      <c r="AJ297" s="53" t="n"/>
      <c r="AK297" s="53" t="n"/>
      <c r="AL297" s="53" t="n"/>
      <c r="AM297" s="53" t="n"/>
      <c r="AN297" s="53" t="n"/>
      <c r="AO297" s="53" t="n"/>
      <c r="AP297" s="53" t="n"/>
      <c r="AQ297" s="53" t="n"/>
      <c r="AR297" s="53" t="n"/>
      <c r="AS297" s="53" t="n"/>
      <c r="AT297" s="53" t="n"/>
      <c r="AU297" s="53" t="n"/>
      <c r="AV297" s="53" t="n"/>
      <c r="AW297" s="53" t="n"/>
      <c r="AX297" s="53" t="n"/>
      <c r="AY297" s="53" t="n"/>
    </row>
    <row r="298" ht="15" customHeight="1">
      <c r="A298" s="40">
        <f>IF($D$298="","",96)</f>
        <v/>
      </c>
      <c r="B298" s="10" t="n"/>
      <c r="C298" s="41" t="inlineStr">
        <is>
          <t>기타</t>
        </is>
      </c>
      <c r="D298" s="42" t="n"/>
      <c r="E298" s="43" t="inlineStr">
        <is>
          <t>기획</t>
        </is>
      </c>
      <c r="F298" s="44" t="n"/>
      <c r="G298" s="45" t="n"/>
      <c r="H298" s="46">
        <f>IF($I$298="","",IF($I$298&lt;0,"🔴지연",IF($I$298&lt;=1,"🟡임박","🟢여유")))</f>
        <v/>
      </c>
      <c r="I298" s="47">
        <f>IF(OR($G$298="",$K$298=""),"",$G$298-$K$298)</f>
        <v/>
      </c>
      <c r="J298" s="48">
        <f>IF(SUM($L$298:$L$300)=0,"",SUM($L$298:$L$300))</f>
        <v/>
      </c>
      <c r="K298" s="49">
        <f>IF($J$298="","",MAX($N$298:$N$300))</f>
        <v/>
      </c>
      <c r="L298" s="50">
        <f>IF(SUM(U298:AY298)=0,"",SUM(U298:AY298))</f>
        <v/>
      </c>
      <c r="M298" s="51">
        <f>IFERROR(INDEX(U$2:AY$2,MATCH(TRUE,INDEX(U298:AY298&lt;&gt;"",0),0)),"")</f>
        <v/>
      </c>
      <c r="N298" s="51">
        <f>IFERROR(LOOKUP(2,1/(U298:AY298&lt;&gt;""),U$2:AY$2),"")</f>
        <v/>
      </c>
      <c r="O298" s="52" t="n"/>
      <c r="P298" s="52" t="n"/>
      <c r="Q298" s="52" t="n"/>
      <c r="R298" s="44" t="n"/>
      <c r="S298" s="14" t="n"/>
      <c r="U298" s="53" t="n"/>
      <c r="V298" s="53" t="n"/>
      <c r="W298" s="53" t="n"/>
      <c r="X298" s="53" t="n"/>
      <c r="Y298" s="53" t="n"/>
      <c r="Z298" s="53" t="n"/>
      <c r="AA298" s="53" t="n"/>
      <c r="AB298" s="53" t="n"/>
      <c r="AC298" s="53" t="n"/>
      <c r="AD298" s="53" t="n"/>
      <c r="AE298" s="53" t="n"/>
      <c r="AF298" s="53" t="n"/>
      <c r="AG298" s="53" t="n"/>
      <c r="AH298" s="53" t="n"/>
      <c r="AI298" s="53" t="n"/>
      <c r="AJ298" s="53" t="n"/>
      <c r="AK298" s="53" t="n"/>
      <c r="AL298" s="53" t="n"/>
      <c r="AM298" s="53" t="n"/>
      <c r="AN298" s="53" t="n"/>
      <c r="AO298" s="53" t="n"/>
      <c r="AP298" s="53" t="n"/>
      <c r="AQ298" s="53" t="n"/>
      <c r="AR298" s="53" t="n"/>
      <c r="AS298" s="53" t="n"/>
      <c r="AT298" s="53" t="n"/>
      <c r="AU298" s="53" t="n"/>
      <c r="AV298" s="53" t="n"/>
      <c r="AW298" s="53" t="n"/>
      <c r="AX298" s="53" t="n"/>
      <c r="AY298" s="53" t="n"/>
    </row>
    <row r="299" ht="15" customHeight="1">
      <c r="A299" s="54" t="n"/>
      <c r="B299" s="55">
        <f>IF($B$298="","",$B$298)</f>
        <v/>
      </c>
      <c r="C299" s="56" t="inlineStr">
        <is>
          <t>기타</t>
        </is>
      </c>
      <c r="D299" s="55">
        <f>IF($D$298="","",$D$298)</f>
        <v/>
      </c>
      <c r="E299" s="57" t="inlineStr">
        <is>
          <t>이미지</t>
        </is>
      </c>
      <c r="F299" s="44" t="n"/>
      <c r="G299" s="58">
        <f>IF($G$298="","",$G$298)</f>
        <v/>
      </c>
      <c r="H299" s="59" t="n"/>
      <c r="I299" s="59" t="n"/>
      <c r="J299" s="59" t="n"/>
      <c r="K299" s="59" t="n"/>
      <c r="L299" s="60">
        <f>IF(SUM(U299:AY299)=0,"",SUM(U299:AY299))</f>
        <v/>
      </c>
      <c r="M299" s="61">
        <f>IFERROR(INDEX(U$2:AY$2,MATCH(TRUE,INDEX(U299:AY299&lt;&gt;"",0),0)),"")</f>
        <v/>
      </c>
      <c r="N299" s="61">
        <f>IFERROR(LOOKUP(2,1/(U299:AY299&lt;&gt;""),U$2:AY$2),"")</f>
        <v/>
      </c>
      <c r="O299" s="59" t="n"/>
      <c r="P299" s="59" t="n"/>
      <c r="Q299" s="59" t="n"/>
      <c r="R299" s="59" t="n"/>
      <c r="S299" s="14" t="n"/>
      <c r="U299" s="53" t="n"/>
      <c r="V299" s="53" t="n"/>
      <c r="W299" s="53" t="n"/>
      <c r="X299" s="53" t="n"/>
      <c r="Y299" s="53" t="n"/>
      <c r="Z299" s="53" t="n"/>
      <c r="AA299" s="53" t="n"/>
      <c r="AB299" s="53" t="n"/>
      <c r="AC299" s="53" t="n"/>
      <c r="AD299" s="53" t="n"/>
      <c r="AE299" s="53" t="n"/>
      <c r="AF299" s="53" t="n"/>
      <c r="AG299" s="53" t="n"/>
      <c r="AH299" s="53" t="n"/>
      <c r="AI299" s="53" t="n"/>
      <c r="AJ299" s="53" t="n"/>
      <c r="AK299" s="53" t="n"/>
      <c r="AL299" s="53" t="n"/>
      <c r="AM299" s="53" t="n"/>
      <c r="AN299" s="53" t="n"/>
      <c r="AO299" s="53" t="n"/>
      <c r="AP299" s="53" t="n"/>
      <c r="AQ299" s="53" t="n"/>
      <c r="AR299" s="53" t="n"/>
      <c r="AS299" s="53" t="n"/>
      <c r="AT299" s="53" t="n"/>
      <c r="AU299" s="53" t="n"/>
      <c r="AV299" s="53" t="n"/>
      <c r="AW299" s="53" t="n"/>
      <c r="AX299" s="53" t="n"/>
      <c r="AY299" s="53" t="n"/>
    </row>
    <row r="300" ht="15" customHeight="1">
      <c r="A300" s="62" t="n"/>
      <c r="B300" s="55">
        <f>IF($B$298="","",$B$298)</f>
        <v/>
      </c>
      <c r="C300" s="63" t="inlineStr">
        <is>
          <t>기타</t>
        </is>
      </c>
      <c r="D300" s="55">
        <f>IF($D$298="","",$D$298)</f>
        <v/>
      </c>
      <c r="E300" s="64" t="inlineStr">
        <is>
          <t>영상</t>
        </is>
      </c>
      <c r="F300" s="44" t="n"/>
      <c r="G300" s="58">
        <f>IF($G$298="","",$G$298)</f>
        <v/>
      </c>
      <c r="H300" s="59" t="n"/>
      <c r="I300" s="59" t="n"/>
      <c r="J300" s="59" t="n"/>
      <c r="K300" s="59" t="n"/>
      <c r="L300" s="65">
        <f>IF(SUM(U300:AY300)=0,"",SUM(U300:AY300))</f>
        <v/>
      </c>
      <c r="M300" s="66">
        <f>IFERROR(INDEX(U$2:AY$2,MATCH(TRUE,INDEX(U300:AY300&lt;&gt;"",0),0)),"")</f>
        <v/>
      </c>
      <c r="N300" s="66">
        <f>IFERROR(LOOKUP(2,1/(U300:AY300&lt;&gt;""),U$2:AY$2),"")</f>
        <v/>
      </c>
      <c r="O300" s="59" t="n"/>
      <c r="P300" s="59" t="n"/>
      <c r="Q300" s="59" t="n"/>
      <c r="R300" s="59" t="n"/>
      <c r="S300" s="14" t="n"/>
      <c r="U300" s="53" t="n"/>
      <c r="V300" s="53" t="n"/>
      <c r="W300" s="53" t="n"/>
      <c r="X300" s="53" t="n"/>
      <c r="Y300" s="53" t="n"/>
      <c r="Z300" s="53" t="n"/>
      <c r="AA300" s="53" t="n"/>
      <c r="AB300" s="53" t="n"/>
      <c r="AC300" s="53" t="n"/>
      <c r="AD300" s="53" t="n"/>
      <c r="AE300" s="53" t="n"/>
      <c r="AF300" s="53" t="n"/>
      <c r="AG300" s="53" t="n"/>
      <c r="AH300" s="53" t="n"/>
      <c r="AI300" s="53" t="n"/>
      <c r="AJ300" s="53" t="n"/>
      <c r="AK300" s="53" t="n"/>
      <c r="AL300" s="53" t="n"/>
      <c r="AM300" s="53" t="n"/>
      <c r="AN300" s="53" t="n"/>
      <c r="AO300" s="53" t="n"/>
      <c r="AP300" s="53" t="n"/>
      <c r="AQ300" s="53" t="n"/>
      <c r="AR300" s="53" t="n"/>
      <c r="AS300" s="53" t="n"/>
      <c r="AT300" s="53" t="n"/>
      <c r="AU300" s="53" t="n"/>
      <c r="AV300" s="53" t="n"/>
      <c r="AW300" s="53" t="n"/>
      <c r="AX300" s="53" t="n"/>
      <c r="AY300" s="53" t="n"/>
    </row>
    <row r="301" ht="15" customHeight="1">
      <c r="A301" s="40">
        <f>IF($D$301="","",97)</f>
        <v/>
      </c>
      <c r="B301" s="10" t="n"/>
      <c r="C301" s="41" t="inlineStr">
        <is>
          <t>기타</t>
        </is>
      </c>
      <c r="D301" s="42" t="n"/>
      <c r="E301" s="43" t="inlineStr">
        <is>
          <t>기획</t>
        </is>
      </c>
      <c r="F301" s="44" t="n"/>
      <c r="G301" s="45" t="n"/>
      <c r="H301" s="46">
        <f>IF($I$301="","",IF($I$301&lt;0,"🔴지연",IF($I$301&lt;=1,"🟡임박","🟢여유")))</f>
        <v/>
      </c>
      <c r="I301" s="47">
        <f>IF(OR($G$301="",$K$301=""),"",$G$301-$K$301)</f>
        <v/>
      </c>
      <c r="J301" s="48">
        <f>IF(SUM($L$301:$L$303)=0,"",SUM($L$301:$L$303))</f>
        <v/>
      </c>
      <c r="K301" s="49">
        <f>IF($J$301="","",MAX($N$301:$N$303))</f>
        <v/>
      </c>
      <c r="L301" s="50">
        <f>IF(SUM(U301:AY301)=0,"",SUM(U301:AY301))</f>
        <v/>
      </c>
      <c r="M301" s="51">
        <f>IFERROR(INDEX(U$2:AY$2,MATCH(TRUE,INDEX(U301:AY301&lt;&gt;"",0),0)),"")</f>
        <v/>
      </c>
      <c r="N301" s="51">
        <f>IFERROR(LOOKUP(2,1/(U301:AY301&lt;&gt;""),U$2:AY$2),"")</f>
        <v/>
      </c>
      <c r="O301" s="52" t="n"/>
      <c r="P301" s="52" t="n"/>
      <c r="Q301" s="52" t="n"/>
      <c r="R301" s="44" t="n"/>
      <c r="S301" s="14" t="n"/>
      <c r="U301" s="53" t="n"/>
      <c r="V301" s="53" t="n"/>
      <c r="W301" s="53" t="n"/>
      <c r="X301" s="53" t="n"/>
      <c r="Y301" s="53" t="n"/>
      <c r="Z301" s="53" t="n"/>
      <c r="AA301" s="53" t="n"/>
      <c r="AB301" s="53" t="n"/>
      <c r="AC301" s="53" t="n"/>
      <c r="AD301" s="53" t="n"/>
      <c r="AE301" s="53" t="n"/>
      <c r="AF301" s="53" t="n"/>
      <c r="AG301" s="53" t="n"/>
      <c r="AH301" s="53" t="n"/>
      <c r="AI301" s="53" t="n"/>
      <c r="AJ301" s="53" t="n"/>
      <c r="AK301" s="53" t="n"/>
      <c r="AL301" s="53" t="n"/>
      <c r="AM301" s="53" t="n"/>
      <c r="AN301" s="53" t="n"/>
      <c r="AO301" s="53" t="n"/>
      <c r="AP301" s="53" t="n"/>
      <c r="AQ301" s="53" t="n"/>
      <c r="AR301" s="53" t="n"/>
      <c r="AS301" s="53" t="n"/>
      <c r="AT301" s="53" t="n"/>
      <c r="AU301" s="53" t="n"/>
      <c r="AV301" s="53" t="n"/>
      <c r="AW301" s="53" t="n"/>
      <c r="AX301" s="53" t="n"/>
      <c r="AY301" s="53" t="n"/>
    </row>
    <row r="302" ht="15" customHeight="1">
      <c r="A302" s="54" t="n"/>
      <c r="B302" s="55">
        <f>IF($B$301="","",$B$301)</f>
        <v/>
      </c>
      <c r="C302" s="56" t="inlineStr">
        <is>
          <t>기타</t>
        </is>
      </c>
      <c r="D302" s="55">
        <f>IF($D$301="","",$D$301)</f>
        <v/>
      </c>
      <c r="E302" s="57" t="inlineStr">
        <is>
          <t>이미지</t>
        </is>
      </c>
      <c r="F302" s="44" t="n"/>
      <c r="G302" s="58">
        <f>IF($G$301="","",$G$301)</f>
        <v/>
      </c>
      <c r="H302" s="59" t="n"/>
      <c r="I302" s="59" t="n"/>
      <c r="J302" s="59" t="n"/>
      <c r="K302" s="59" t="n"/>
      <c r="L302" s="60">
        <f>IF(SUM(U302:AY302)=0,"",SUM(U302:AY302))</f>
        <v/>
      </c>
      <c r="M302" s="61">
        <f>IFERROR(INDEX(U$2:AY$2,MATCH(TRUE,INDEX(U302:AY302&lt;&gt;"",0),0)),"")</f>
        <v/>
      </c>
      <c r="N302" s="61">
        <f>IFERROR(LOOKUP(2,1/(U302:AY302&lt;&gt;""),U$2:AY$2),"")</f>
        <v/>
      </c>
      <c r="O302" s="59" t="n"/>
      <c r="P302" s="59" t="n"/>
      <c r="Q302" s="59" t="n"/>
      <c r="R302" s="59" t="n"/>
      <c r="S302" s="14" t="n"/>
      <c r="U302" s="53" t="n"/>
      <c r="V302" s="53" t="n"/>
      <c r="W302" s="53" t="n"/>
      <c r="X302" s="53" t="n"/>
      <c r="Y302" s="53" t="n"/>
      <c r="Z302" s="53" t="n"/>
      <c r="AA302" s="53" t="n"/>
      <c r="AB302" s="53" t="n"/>
      <c r="AC302" s="53" t="n"/>
      <c r="AD302" s="53" t="n"/>
      <c r="AE302" s="53" t="n"/>
      <c r="AF302" s="53" t="n"/>
      <c r="AG302" s="53" t="n"/>
      <c r="AH302" s="53" t="n"/>
      <c r="AI302" s="53" t="n"/>
      <c r="AJ302" s="53" t="n"/>
      <c r="AK302" s="53" t="n"/>
      <c r="AL302" s="53" t="n"/>
      <c r="AM302" s="53" t="n"/>
      <c r="AN302" s="53" t="n"/>
      <c r="AO302" s="53" t="n"/>
      <c r="AP302" s="53" t="n"/>
      <c r="AQ302" s="53" t="n"/>
      <c r="AR302" s="53" t="n"/>
      <c r="AS302" s="53" t="n"/>
      <c r="AT302" s="53" t="n"/>
      <c r="AU302" s="53" t="n"/>
      <c r="AV302" s="53" t="n"/>
      <c r="AW302" s="53" t="n"/>
      <c r="AX302" s="53" t="n"/>
      <c r="AY302" s="53" t="n"/>
    </row>
    <row r="303" ht="15" customHeight="1">
      <c r="A303" s="62" t="n"/>
      <c r="B303" s="55">
        <f>IF($B$301="","",$B$301)</f>
        <v/>
      </c>
      <c r="C303" s="63" t="inlineStr">
        <is>
          <t>기타</t>
        </is>
      </c>
      <c r="D303" s="55">
        <f>IF($D$301="","",$D$301)</f>
        <v/>
      </c>
      <c r="E303" s="64" t="inlineStr">
        <is>
          <t>영상</t>
        </is>
      </c>
      <c r="F303" s="44" t="n"/>
      <c r="G303" s="58">
        <f>IF($G$301="","",$G$301)</f>
        <v/>
      </c>
      <c r="H303" s="59" t="n"/>
      <c r="I303" s="59" t="n"/>
      <c r="J303" s="59" t="n"/>
      <c r="K303" s="59" t="n"/>
      <c r="L303" s="65">
        <f>IF(SUM(U303:AY303)=0,"",SUM(U303:AY303))</f>
        <v/>
      </c>
      <c r="M303" s="66">
        <f>IFERROR(INDEX(U$2:AY$2,MATCH(TRUE,INDEX(U303:AY303&lt;&gt;"",0),0)),"")</f>
        <v/>
      </c>
      <c r="N303" s="66">
        <f>IFERROR(LOOKUP(2,1/(U303:AY303&lt;&gt;""),U$2:AY$2),"")</f>
        <v/>
      </c>
      <c r="O303" s="59" t="n"/>
      <c r="P303" s="59" t="n"/>
      <c r="Q303" s="59" t="n"/>
      <c r="R303" s="59" t="n"/>
      <c r="S303" s="14" t="n"/>
      <c r="U303" s="53" t="n"/>
      <c r="V303" s="53" t="n"/>
      <c r="W303" s="53" t="n"/>
      <c r="X303" s="53" t="n"/>
      <c r="Y303" s="53" t="n"/>
      <c r="Z303" s="53" t="n"/>
      <c r="AA303" s="53" t="n"/>
      <c r="AB303" s="53" t="n"/>
      <c r="AC303" s="53" t="n"/>
      <c r="AD303" s="53" t="n"/>
      <c r="AE303" s="53" t="n"/>
      <c r="AF303" s="53" t="n"/>
      <c r="AG303" s="53" t="n"/>
      <c r="AH303" s="53" t="n"/>
      <c r="AI303" s="53" t="n"/>
      <c r="AJ303" s="53" t="n"/>
      <c r="AK303" s="53" t="n"/>
      <c r="AL303" s="53" t="n"/>
      <c r="AM303" s="53" t="n"/>
      <c r="AN303" s="53" t="n"/>
      <c r="AO303" s="53" t="n"/>
      <c r="AP303" s="53" t="n"/>
      <c r="AQ303" s="53" t="n"/>
      <c r="AR303" s="53" t="n"/>
      <c r="AS303" s="53" t="n"/>
      <c r="AT303" s="53" t="n"/>
      <c r="AU303" s="53" t="n"/>
      <c r="AV303" s="53" t="n"/>
      <c r="AW303" s="53" t="n"/>
      <c r="AX303" s="53" t="n"/>
      <c r="AY303" s="53" t="n"/>
    </row>
    <row r="304" ht="15" customHeight="1">
      <c r="A304" s="40">
        <f>IF($D$304="","",98)</f>
        <v/>
      </c>
      <c r="B304" s="10" t="n"/>
      <c r="C304" s="41" t="inlineStr">
        <is>
          <t>기타</t>
        </is>
      </c>
      <c r="D304" s="42" t="n"/>
      <c r="E304" s="43" t="inlineStr">
        <is>
          <t>기획</t>
        </is>
      </c>
      <c r="F304" s="44" t="n"/>
      <c r="G304" s="45" t="n"/>
      <c r="H304" s="46">
        <f>IF($I$304="","",IF($I$304&lt;0,"🔴지연",IF($I$304&lt;=1,"🟡임박","🟢여유")))</f>
        <v/>
      </c>
      <c r="I304" s="47">
        <f>IF(OR($G$304="",$K$304=""),"",$G$304-$K$304)</f>
        <v/>
      </c>
      <c r="J304" s="48">
        <f>IF(SUM($L$304:$L$306)=0,"",SUM($L$304:$L$306))</f>
        <v/>
      </c>
      <c r="K304" s="49">
        <f>IF($J$304="","",MAX($N$304:$N$306))</f>
        <v/>
      </c>
      <c r="L304" s="50">
        <f>IF(SUM(U304:AY304)=0,"",SUM(U304:AY304))</f>
        <v/>
      </c>
      <c r="M304" s="51">
        <f>IFERROR(INDEX(U$2:AY$2,MATCH(TRUE,INDEX(U304:AY304&lt;&gt;"",0),0)),"")</f>
        <v/>
      </c>
      <c r="N304" s="51">
        <f>IFERROR(LOOKUP(2,1/(U304:AY304&lt;&gt;""),U$2:AY$2),"")</f>
        <v/>
      </c>
      <c r="O304" s="52" t="n"/>
      <c r="P304" s="52" t="n"/>
      <c r="Q304" s="52" t="n"/>
      <c r="R304" s="44" t="n"/>
      <c r="S304" s="14" t="n"/>
      <c r="U304" s="53" t="n"/>
      <c r="V304" s="53" t="n"/>
      <c r="W304" s="53" t="n"/>
      <c r="X304" s="53" t="n"/>
      <c r="Y304" s="53" t="n"/>
      <c r="Z304" s="53" t="n"/>
      <c r="AA304" s="53" t="n"/>
      <c r="AB304" s="53" t="n"/>
      <c r="AC304" s="53" t="n"/>
      <c r="AD304" s="53" t="n"/>
      <c r="AE304" s="53" t="n"/>
      <c r="AF304" s="53" t="n"/>
      <c r="AG304" s="53" t="n"/>
      <c r="AH304" s="53" t="n"/>
      <c r="AI304" s="53" t="n"/>
      <c r="AJ304" s="53" t="n"/>
      <c r="AK304" s="53" t="n"/>
      <c r="AL304" s="53" t="n"/>
      <c r="AM304" s="53" t="n"/>
      <c r="AN304" s="53" t="n"/>
      <c r="AO304" s="53" t="n"/>
      <c r="AP304" s="53" t="n"/>
      <c r="AQ304" s="53" t="n"/>
      <c r="AR304" s="53" t="n"/>
      <c r="AS304" s="53" t="n"/>
      <c r="AT304" s="53" t="n"/>
      <c r="AU304" s="53" t="n"/>
      <c r="AV304" s="53" t="n"/>
      <c r="AW304" s="53" t="n"/>
      <c r="AX304" s="53" t="n"/>
      <c r="AY304" s="53" t="n"/>
    </row>
    <row r="305" ht="15" customHeight="1">
      <c r="A305" s="54" t="n"/>
      <c r="B305" s="55">
        <f>IF($B$304="","",$B$304)</f>
        <v/>
      </c>
      <c r="C305" s="56" t="inlineStr">
        <is>
          <t>기타</t>
        </is>
      </c>
      <c r="D305" s="55">
        <f>IF($D$304="","",$D$304)</f>
        <v/>
      </c>
      <c r="E305" s="57" t="inlineStr">
        <is>
          <t>이미지</t>
        </is>
      </c>
      <c r="F305" s="44" t="n"/>
      <c r="G305" s="58">
        <f>IF($G$304="","",$G$304)</f>
        <v/>
      </c>
      <c r="H305" s="59" t="n"/>
      <c r="I305" s="59" t="n"/>
      <c r="J305" s="59" t="n"/>
      <c r="K305" s="59" t="n"/>
      <c r="L305" s="60">
        <f>IF(SUM(U305:AY305)=0,"",SUM(U305:AY305))</f>
        <v/>
      </c>
      <c r="M305" s="61">
        <f>IFERROR(INDEX(U$2:AY$2,MATCH(TRUE,INDEX(U305:AY305&lt;&gt;"",0),0)),"")</f>
        <v/>
      </c>
      <c r="N305" s="61">
        <f>IFERROR(LOOKUP(2,1/(U305:AY305&lt;&gt;""),U$2:AY$2),"")</f>
        <v/>
      </c>
      <c r="O305" s="59" t="n"/>
      <c r="P305" s="59" t="n"/>
      <c r="Q305" s="59" t="n"/>
      <c r="R305" s="59" t="n"/>
      <c r="S305" s="14" t="n"/>
      <c r="U305" s="53" t="n"/>
      <c r="V305" s="53" t="n"/>
      <c r="W305" s="53" t="n"/>
      <c r="X305" s="53" t="n"/>
      <c r="Y305" s="53" t="n"/>
      <c r="Z305" s="53" t="n"/>
      <c r="AA305" s="53" t="n"/>
      <c r="AB305" s="53" t="n"/>
      <c r="AC305" s="53" t="n"/>
      <c r="AD305" s="53" t="n"/>
      <c r="AE305" s="53" t="n"/>
      <c r="AF305" s="53" t="n"/>
      <c r="AG305" s="53" t="n"/>
      <c r="AH305" s="53" t="n"/>
      <c r="AI305" s="53" t="n"/>
      <c r="AJ305" s="53" t="n"/>
      <c r="AK305" s="53" t="n"/>
      <c r="AL305" s="53" t="n"/>
      <c r="AM305" s="53" t="n"/>
      <c r="AN305" s="53" t="n"/>
      <c r="AO305" s="53" t="n"/>
      <c r="AP305" s="53" t="n"/>
      <c r="AQ305" s="53" t="n"/>
      <c r="AR305" s="53" t="n"/>
      <c r="AS305" s="53" t="n"/>
      <c r="AT305" s="53" t="n"/>
      <c r="AU305" s="53" t="n"/>
      <c r="AV305" s="53" t="n"/>
      <c r="AW305" s="53" t="n"/>
      <c r="AX305" s="53" t="n"/>
      <c r="AY305" s="53" t="n"/>
    </row>
    <row r="306" ht="15" customHeight="1">
      <c r="A306" s="62" t="n"/>
      <c r="B306" s="55">
        <f>IF($B$304="","",$B$304)</f>
        <v/>
      </c>
      <c r="C306" s="63" t="inlineStr">
        <is>
          <t>기타</t>
        </is>
      </c>
      <c r="D306" s="55">
        <f>IF($D$304="","",$D$304)</f>
        <v/>
      </c>
      <c r="E306" s="64" t="inlineStr">
        <is>
          <t>영상</t>
        </is>
      </c>
      <c r="F306" s="44" t="n"/>
      <c r="G306" s="58">
        <f>IF($G$304="","",$G$304)</f>
        <v/>
      </c>
      <c r="H306" s="59" t="n"/>
      <c r="I306" s="59" t="n"/>
      <c r="J306" s="59" t="n"/>
      <c r="K306" s="59" t="n"/>
      <c r="L306" s="65">
        <f>IF(SUM(U306:AY306)=0,"",SUM(U306:AY306))</f>
        <v/>
      </c>
      <c r="M306" s="66">
        <f>IFERROR(INDEX(U$2:AY$2,MATCH(TRUE,INDEX(U306:AY306&lt;&gt;"",0),0)),"")</f>
        <v/>
      </c>
      <c r="N306" s="66">
        <f>IFERROR(LOOKUP(2,1/(U306:AY306&lt;&gt;""),U$2:AY$2),"")</f>
        <v/>
      </c>
      <c r="O306" s="59" t="n"/>
      <c r="P306" s="59" t="n"/>
      <c r="Q306" s="59" t="n"/>
      <c r="R306" s="59" t="n"/>
      <c r="S306" s="14" t="n"/>
      <c r="U306" s="53" t="n"/>
      <c r="V306" s="53" t="n"/>
      <c r="W306" s="53" t="n"/>
      <c r="X306" s="53" t="n"/>
      <c r="Y306" s="53" t="n"/>
      <c r="Z306" s="53" t="n"/>
      <c r="AA306" s="53" t="n"/>
      <c r="AB306" s="53" t="n"/>
      <c r="AC306" s="53" t="n"/>
      <c r="AD306" s="53" t="n"/>
      <c r="AE306" s="53" t="n"/>
      <c r="AF306" s="53" t="n"/>
      <c r="AG306" s="53" t="n"/>
      <c r="AH306" s="53" t="n"/>
      <c r="AI306" s="53" t="n"/>
      <c r="AJ306" s="53" t="n"/>
      <c r="AK306" s="53" t="n"/>
      <c r="AL306" s="53" t="n"/>
      <c r="AM306" s="53" t="n"/>
      <c r="AN306" s="53" t="n"/>
      <c r="AO306" s="53" t="n"/>
      <c r="AP306" s="53" t="n"/>
      <c r="AQ306" s="53" t="n"/>
      <c r="AR306" s="53" t="n"/>
      <c r="AS306" s="53" t="n"/>
      <c r="AT306" s="53" t="n"/>
      <c r="AU306" s="53" t="n"/>
      <c r="AV306" s="53" t="n"/>
      <c r="AW306" s="53" t="n"/>
      <c r="AX306" s="53" t="n"/>
      <c r="AY306" s="53" t="n"/>
    </row>
    <row r="307" ht="15" customHeight="1">
      <c r="A307" s="40">
        <f>IF($D$307="","",99)</f>
        <v/>
      </c>
      <c r="B307" s="10" t="n"/>
      <c r="C307" s="41" t="inlineStr">
        <is>
          <t>기타</t>
        </is>
      </c>
      <c r="D307" s="42" t="n"/>
      <c r="E307" s="43" t="inlineStr">
        <is>
          <t>기획</t>
        </is>
      </c>
      <c r="F307" s="44" t="n"/>
      <c r="G307" s="45" t="n"/>
      <c r="H307" s="46">
        <f>IF($I$307="","",IF($I$307&lt;0,"🔴지연",IF($I$307&lt;=1,"🟡임박","🟢여유")))</f>
        <v/>
      </c>
      <c r="I307" s="47">
        <f>IF(OR($G$307="",$K$307=""),"",$G$307-$K$307)</f>
        <v/>
      </c>
      <c r="J307" s="48">
        <f>IF(SUM($L$307:$L$309)=0,"",SUM($L$307:$L$309))</f>
        <v/>
      </c>
      <c r="K307" s="49">
        <f>IF($J$307="","",MAX($N$307:$N$309))</f>
        <v/>
      </c>
      <c r="L307" s="50">
        <f>IF(SUM(U307:AY307)=0,"",SUM(U307:AY307))</f>
        <v/>
      </c>
      <c r="M307" s="51">
        <f>IFERROR(INDEX(U$2:AY$2,MATCH(TRUE,INDEX(U307:AY307&lt;&gt;"",0),0)),"")</f>
        <v/>
      </c>
      <c r="N307" s="51">
        <f>IFERROR(LOOKUP(2,1/(U307:AY307&lt;&gt;""),U$2:AY$2),"")</f>
        <v/>
      </c>
      <c r="O307" s="52" t="n"/>
      <c r="P307" s="52" t="n"/>
      <c r="Q307" s="52" t="n"/>
      <c r="R307" s="44" t="n"/>
      <c r="S307" s="14" t="n"/>
      <c r="U307" s="53" t="n"/>
      <c r="V307" s="53" t="n"/>
      <c r="W307" s="53" t="n"/>
      <c r="X307" s="53" t="n"/>
      <c r="Y307" s="53" t="n"/>
      <c r="Z307" s="53" t="n"/>
      <c r="AA307" s="53" t="n"/>
      <c r="AB307" s="53" t="n"/>
      <c r="AC307" s="53" t="n"/>
      <c r="AD307" s="53" t="n"/>
      <c r="AE307" s="53" t="n"/>
      <c r="AF307" s="53" t="n"/>
      <c r="AG307" s="53" t="n"/>
      <c r="AH307" s="53" t="n"/>
      <c r="AI307" s="53" t="n"/>
      <c r="AJ307" s="53" t="n"/>
      <c r="AK307" s="53" t="n"/>
      <c r="AL307" s="53" t="n"/>
      <c r="AM307" s="53" t="n"/>
      <c r="AN307" s="53" t="n"/>
      <c r="AO307" s="53" t="n"/>
      <c r="AP307" s="53" t="n"/>
      <c r="AQ307" s="53" t="n"/>
      <c r="AR307" s="53" t="n"/>
      <c r="AS307" s="53" t="n"/>
      <c r="AT307" s="53" t="n"/>
      <c r="AU307" s="53" t="n"/>
      <c r="AV307" s="53" t="n"/>
      <c r="AW307" s="53" t="n"/>
      <c r="AX307" s="53" t="n"/>
      <c r="AY307" s="53" t="n"/>
    </row>
    <row r="308" ht="15" customHeight="1">
      <c r="A308" s="54" t="n"/>
      <c r="B308" s="55">
        <f>IF($B$307="","",$B$307)</f>
        <v/>
      </c>
      <c r="C308" s="56" t="inlineStr">
        <is>
          <t>기타</t>
        </is>
      </c>
      <c r="D308" s="55">
        <f>IF($D$307="","",$D$307)</f>
        <v/>
      </c>
      <c r="E308" s="57" t="inlineStr">
        <is>
          <t>이미지</t>
        </is>
      </c>
      <c r="F308" s="44" t="n"/>
      <c r="G308" s="58">
        <f>IF($G$307="","",$G$307)</f>
        <v/>
      </c>
      <c r="H308" s="59" t="n"/>
      <c r="I308" s="59" t="n"/>
      <c r="J308" s="59" t="n"/>
      <c r="K308" s="59" t="n"/>
      <c r="L308" s="60">
        <f>IF(SUM(U308:AY308)=0,"",SUM(U308:AY308))</f>
        <v/>
      </c>
      <c r="M308" s="61">
        <f>IFERROR(INDEX(U$2:AY$2,MATCH(TRUE,INDEX(U308:AY308&lt;&gt;"",0),0)),"")</f>
        <v/>
      </c>
      <c r="N308" s="61">
        <f>IFERROR(LOOKUP(2,1/(U308:AY308&lt;&gt;""),U$2:AY$2),"")</f>
        <v/>
      </c>
      <c r="O308" s="59" t="n"/>
      <c r="P308" s="59" t="n"/>
      <c r="Q308" s="59" t="n"/>
      <c r="R308" s="59" t="n"/>
      <c r="S308" s="14" t="n"/>
      <c r="U308" s="53" t="n"/>
      <c r="V308" s="53" t="n"/>
      <c r="W308" s="53" t="n"/>
      <c r="X308" s="53" t="n"/>
      <c r="Y308" s="53" t="n"/>
      <c r="Z308" s="53" t="n"/>
      <c r="AA308" s="53" t="n"/>
      <c r="AB308" s="53" t="n"/>
      <c r="AC308" s="53" t="n"/>
      <c r="AD308" s="53" t="n"/>
      <c r="AE308" s="53" t="n"/>
      <c r="AF308" s="53" t="n"/>
      <c r="AG308" s="53" t="n"/>
      <c r="AH308" s="53" t="n"/>
      <c r="AI308" s="53" t="n"/>
      <c r="AJ308" s="53" t="n"/>
      <c r="AK308" s="53" t="n"/>
      <c r="AL308" s="53" t="n"/>
      <c r="AM308" s="53" t="n"/>
      <c r="AN308" s="53" t="n"/>
      <c r="AO308" s="53" t="n"/>
      <c r="AP308" s="53" t="n"/>
      <c r="AQ308" s="53" t="n"/>
      <c r="AR308" s="53" t="n"/>
      <c r="AS308" s="53" t="n"/>
      <c r="AT308" s="53" t="n"/>
      <c r="AU308" s="53" t="n"/>
      <c r="AV308" s="53" t="n"/>
      <c r="AW308" s="53" t="n"/>
      <c r="AX308" s="53" t="n"/>
      <c r="AY308" s="53" t="n"/>
    </row>
    <row r="309" ht="15" customHeight="1">
      <c r="A309" s="62" t="n"/>
      <c r="B309" s="55">
        <f>IF($B$307="","",$B$307)</f>
        <v/>
      </c>
      <c r="C309" s="63" t="inlineStr">
        <is>
          <t>기타</t>
        </is>
      </c>
      <c r="D309" s="55">
        <f>IF($D$307="","",$D$307)</f>
        <v/>
      </c>
      <c r="E309" s="64" t="inlineStr">
        <is>
          <t>영상</t>
        </is>
      </c>
      <c r="F309" s="44" t="n"/>
      <c r="G309" s="58">
        <f>IF($G$307="","",$G$307)</f>
        <v/>
      </c>
      <c r="H309" s="59" t="n"/>
      <c r="I309" s="59" t="n"/>
      <c r="J309" s="59" t="n"/>
      <c r="K309" s="59" t="n"/>
      <c r="L309" s="65">
        <f>IF(SUM(U309:AY309)=0,"",SUM(U309:AY309))</f>
        <v/>
      </c>
      <c r="M309" s="66">
        <f>IFERROR(INDEX(U$2:AY$2,MATCH(TRUE,INDEX(U309:AY309&lt;&gt;"",0),0)),"")</f>
        <v/>
      </c>
      <c r="N309" s="66">
        <f>IFERROR(LOOKUP(2,1/(U309:AY309&lt;&gt;""),U$2:AY$2),"")</f>
        <v/>
      </c>
      <c r="O309" s="59" t="n"/>
      <c r="P309" s="59" t="n"/>
      <c r="Q309" s="59" t="n"/>
      <c r="R309" s="59" t="n"/>
      <c r="S309" s="14" t="n"/>
      <c r="U309" s="53" t="n"/>
      <c r="V309" s="53" t="n"/>
      <c r="W309" s="53" t="n"/>
      <c r="X309" s="53" t="n"/>
      <c r="Y309" s="53" t="n"/>
      <c r="Z309" s="53" t="n"/>
      <c r="AA309" s="53" t="n"/>
      <c r="AB309" s="53" t="n"/>
      <c r="AC309" s="53" t="n"/>
      <c r="AD309" s="53" t="n"/>
      <c r="AE309" s="53" t="n"/>
      <c r="AF309" s="53" t="n"/>
      <c r="AG309" s="53" t="n"/>
      <c r="AH309" s="53" t="n"/>
      <c r="AI309" s="53" t="n"/>
      <c r="AJ309" s="53" t="n"/>
      <c r="AK309" s="53" t="n"/>
      <c r="AL309" s="53" t="n"/>
      <c r="AM309" s="53" t="n"/>
      <c r="AN309" s="53" t="n"/>
      <c r="AO309" s="53" t="n"/>
      <c r="AP309" s="53" t="n"/>
      <c r="AQ309" s="53" t="n"/>
      <c r="AR309" s="53" t="n"/>
      <c r="AS309" s="53" t="n"/>
      <c r="AT309" s="53" t="n"/>
      <c r="AU309" s="53" t="n"/>
      <c r="AV309" s="53" t="n"/>
      <c r="AW309" s="53" t="n"/>
      <c r="AX309" s="53" t="n"/>
      <c r="AY309" s="53" t="n"/>
    </row>
    <row r="310" ht="15" customHeight="1">
      <c r="A310" s="40">
        <f>IF($D$310="","",100)</f>
        <v/>
      </c>
      <c r="B310" s="10" t="n"/>
      <c r="C310" s="41" t="inlineStr">
        <is>
          <t>기타</t>
        </is>
      </c>
      <c r="D310" s="42" t="n"/>
      <c r="E310" s="43" t="inlineStr">
        <is>
          <t>기획</t>
        </is>
      </c>
      <c r="F310" s="44" t="n"/>
      <c r="G310" s="45" t="n"/>
      <c r="H310" s="46">
        <f>IF($I$310="","",IF($I$310&lt;0,"🔴지연",IF($I$310&lt;=1,"🟡임박","🟢여유")))</f>
        <v/>
      </c>
      <c r="I310" s="47">
        <f>IF(OR($G$310="",$K$310=""),"",$G$310-$K$310)</f>
        <v/>
      </c>
      <c r="J310" s="48">
        <f>IF(SUM($L$310:$L$312)=0,"",SUM($L$310:$L$312))</f>
        <v/>
      </c>
      <c r="K310" s="49">
        <f>IF($J$310="","",MAX($N$310:$N$312))</f>
        <v/>
      </c>
      <c r="L310" s="50">
        <f>IF(SUM(U310:AY310)=0,"",SUM(U310:AY310))</f>
        <v/>
      </c>
      <c r="M310" s="51">
        <f>IFERROR(INDEX(U$2:AY$2,MATCH(TRUE,INDEX(U310:AY310&lt;&gt;"",0),0)),"")</f>
        <v/>
      </c>
      <c r="N310" s="51">
        <f>IFERROR(LOOKUP(2,1/(U310:AY310&lt;&gt;""),U$2:AY$2),"")</f>
        <v/>
      </c>
      <c r="O310" s="52" t="n"/>
      <c r="P310" s="52" t="n"/>
      <c r="Q310" s="52" t="n"/>
      <c r="R310" s="44" t="n"/>
      <c r="S310" s="14" t="n"/>
      <c r="U310" s="53" t="n"/>
      <c r="V310" s="53" t="n"/>
      <c r="W310" s="53" t="n"/>
      <c r="X310" s="53" t="n"/>
      <c r="Y310" s="53" t="n"/>
      <c r="Z310" s="53" t="n"/>
      <c r="AA310" s="53" t="n"/>
      <c r="AB310" s="53" t="n"/>
      <c r="AC310" s="53" t="n"/>
      <c r="AD310" s="53" t="n"/>
      <c r="AE310" s="53" t="n"/>
      <c r="AF310" s="53" t="n"/>
      <c r="AG310" s="53" t="n"/>
      <c r="AH310" s="53" t="n"/>
      <c r="AI310" s="53" t="n"/>
      <c r="AJ310" s="53" t="n"/>
      <c r="AK310" s="53" t="n"/>
      <c r="AL310" s="53" t="n"/>
      <c r="AM310" s="53" t="n"/>
      <c r="AN310" s="53" t="n"/>
      <c r="AO310" s="53" t="n"/>
      <c r="AP310" s="53" t="n"/>
      <c r="AQ310" s="53" t="n"/>
      <c r="AR310" s="53" t="n"/>
      <c r="AS310" s="53" t="n"/>
      <c r="AT310" s="53" t="n"/>
      <c r="AU310" s="53" t="n"/>
      <c r="AV310" s="53" t="n"/>
      <c r="AW310" s="53" t="n"/>
      <c r="AX310" s="53" t="n"/>
      <c r="AY310" s="53" t="n"/>
    </row>
    <row r="311" ht="15" customHeight="1">
      <c r="A311" s="54" t="n"/>
      <c r="B311" s="55">
        <f>IF($B$310="","",$B$310)</f>
        <v/>
      </c>
      <c r="C311" s="56" t="inlineStr">
        <is>
          <t>기타</t>
        </is>
      </c>
      <c r="D311" s="55">
        <f>IF($D$310="","",$D$310)</f>
        <v/>
      </c>
      <c r="E311" s="57" t="inlineStr">
        <is>
          <t>이미지</t>
        </is>
      </c>
      <c r="F311" s="44" t="n"/>
      <c r="G311" s="58">
        <f>IF($G$310="","",$G$310)</f>
        <v/>
      </c>
      <c r="H311" s="59" t="n"/>
      <c r="I311" s="59" t="n"/>
      <c r="J311" s="59" t="n"/>
      <c r="K311" s="59" t="n"/>
      <c r="L311" s="60">
        <f>IF(SUM(U311:AY311)=0,"",SUM(U311:AY311))</f>
        <v/>
      </c>
      <c r="M311" s="61">
        <f>IFERROR(INDEX(U$2:AY$2,MATCH(TRUE,INDEX(U311:AY311&lt;&gt;"",0),0)),"")</f>
        <v/>
      </c>
      <c r="N311" s="61">
        <f>IFERROR(LOOKUP(2,1/(U311:AY311&lt;&gt;""),U$2:AY$2),"")</f>
        <v/>
      </c>
      <c r="O311" s="59" t="n"/>
      <c r="P311" s="59" t="n"/>
      <c r="Q311" s="59" t="n"/>
      <c r="R311" s="59" t="n"/>
      <c r="S311" s="14" t="n"/>
      <c r="U311" s="53" t="n"/>
      <c r="V311" s="53" t="n"/>
      <c r="W311" s="53" t="n"/>
      <c r="X311" s="53" t="n"/>
      <c r="Y311" s="53" t="n"/>
      <c r="Z311" s="53" t="n"/>
      <c r="AA311" s="53" t="n"/>
      <c r="AB311" s="53" t="n"/>
      <c r="AC311" s="53" t="n"/>
      <c r="AD311" s="53" t="n"/>
      <c r="AE311" s="53" t="n"/>
      <c r="AF311" s="53" t="n"/>
      <c r="AG311" s="53" t="n"/>
      <c r="AH311" s="53" t="n"/>
      <c r="AI311" s="53" t="n"/>
      <c r="AJ311" s="53" t="n"/>
      <c r="AK311" s="53" t="n"/>
      <c r="AL311" s="53" t="n"/>
      <c r="AM311" s="53" t="n"/>
      <c r="AN311" s="53" t="n"/>
      <c r="AO311" s="53" t="n"/>
      <c r="AP311" s="53" t="n"/>
      <c r="AQ311" s="53" t="n"/>
      <c r="AR311" s="53" t="n"/>
      <c r="AS311" s="53" t="n"/>
      <c r="AT311" s="53" t="n"/>
      <c r="AU311" s="53" t="n"/>
      <c r="AV311" s="53" t="n"/>
      <c r="AW311" s="53" t="n"/>
      <c r="AX311" s="53" t="n"/>
      <c r="AY311" s="53" t="n"/>
    </row>
    <row r="312" ht="15" customHeight="1">
      <c r="A312" s="62" t="n"/>
      <c r="B312" s="55">
        <f>IF($B$310="","",$B$310)</f>
        <v/>
      </c>
      <c r="C312" s="63" t="inlineStr">
        <is>
          <t>기타</t>
        </is>
      </c>
      <c r="D312" s="55">
        <f>IF($D$310="","",$D$310)</f>
        <v/>
      </c>
      <c r="E312" s="64" t="inlineStr">
        <is>
          <t>영상</t>
        </is>
      </c>
      <c r="F312" s="44" t="n"/>
      <c r="G312" s="58">
        <f>IF($G$310="","",$G$310)</f>
        <v/>
      </c>
      <c r="H312" s="59" t="n"/>
      <c r="I312" s="59" t="n"/>
      <c r="J312" s="59" t="n"/>
      <c r="K312" s="59" t="n"/>
      <c r="L312" s="65">
        <f>IF(SUM(U312:AY312)=0,"",SUM(U312:AY312))</f>
        <v/>
      </c>
      <c r="M312" s="66">
        <f>IFERROR(INDEX(U$2:AY$2,MATCH(TRUE,INDEX(U312:AY312&lt;&gt;"",0),0)),"")</f>
        <v/>
      </c>
      <c r="N312" s="66">
        <f>IFERROR(LOOKUP(2,1/(U312:AY312&lt;&gt;""),U$2:AY$2),"")</f>
        <v/>
      </c>
      <c r="O312" s="59" t="n"/>
      <c r="P312" s="59" t="n"/>
      <c r="Q312" s="59" t="n"/>
      <c r="R312" s="59" t="n"/>
      <c r="S312" s="14" t="n"/>
      <c r="U312" s="53" t="n"/>
      <c r="V312" s="53" t="n"/>
      <c r="W312" s="53" t="n"/>
      <c r="X312" s="53" t="n"/>
      <c r="Y312" s="53" t="n"/>
      <c r="Z312" s="53" t="n"/>
      <c r="AA312" s="53" t="n"/>
      <c r="AB312" s="53" t="n"/>
      <c r="AC312" s="53" t="n"/>
      <c r="AD312" s="53" t="n"/>
      <c r="AE312" s="53" t="n"/>
      <c r="AF312" s="53" t="n"/>
      <c r="AG312" s="53" t="n"/>
      <c r="AH312" s="53" t="n"/>
      <c r="AI312" s="53" t="n"/>
      <c r="AJ312" s="53" t="n"/>
      <c r="AK312" s="53" t="n"/>
      <c r="AL312" s="53" t="n"/>
      <c r="AM312" s="53" t="n"/>
      <c r="AN312" s="53" t="n"/>
      <c r="AO312" s="53" t="n"/>
      <c r="AP312" s="53" t="n"/>
      <c r="AQ312" s="53" t="n"/>
      <c r="AR312" s="53" t="n"/>
      <c r="AS312" s="53" t="n"/>
      <c r="AT312" s="53" t="n"/>
      <c r="AU312" s="53" t="n"/>
      <c r="AV312" s="53" t="n"/>
      <c r="AW312" s="53" t="n"/>
      <c r="AX312" s="53" t="n"/>
      <c r="AY312" s="53" t="n"/>
    </row>
    <row r="315">
      <c r="A315" s="67" t="inlineStr">
        <is>
          <t>담당자 1일 캐파(MD)</t>
        </is>
      </c>
      <c r="B315" s="68">
        <f>'마스터'!$J$5</f>
        <v/>
      </c>
    </row>
    <row r="316">
      <c r="A316" s="67" t="inlineStr">
        <is>
          <t>공휴일(자동 연동)</t>
        </is>
      </c>
    </row>
    <row r="317">
      <c r="A317" s="67">
        <f>'마스터'!$I$13</f>
        <v/>
      </c>
      <c r="B317" s="69">
        <f>'마스터'!$J$13</f>
        <v/>
      </c>
    </row>
    <row r="318">
      <c r="A318" s="67">
        <f>'마스터'!$I$14</f>
        <v/>
      </c>
      <c r="B318" s="69">
        <f>'마스터'!$J$14</f>
        <v/>
      </c>
    </row>
    <row r="319">
      <c r="A319" s="67">
        <f>'마스터'!$I$15</f>
        <v/>
      </c>
      <c r="B319" s="69">
        <f>'마스터'!$J$15</f>
        <v/>
      </c>
    </row>
    <row r="320">
      <c r="A320" s="67">
        <f>'마스터'!$I$16</f>
        <v/>
      </c>
      <c r="B320" s="69">
        <f>'마스터'!$J$16</f>
        <v/>
      </c>
    </row>
    <row r="321">
      <c r="A321" s="67">
        <f>'마스터'!$I$17</f>
        <v/>
      </c>
      <c r="B321" s="69">
        <f>'마스터'!$J$17</f>
        <v/>
      </c>
    </row>
    <row r="322">
      <c r="A322" s="67">
        <f>'마스터'!$I$18</f>
        <v/>
      </c>
      <c r="B322" s="69">
        <f>'마스터'!$J$18</f>
        <v/>
      </c>
    </row>
    <row r="323">
      <c r="A323" s="67">
        <f>'마스터'!$I$19</f>
        <v/>
      </c>
      <c r="B323" s="69">
        <f>'마스터'!$J$19</f>
        <v/>
      </c>
    </row>
    <row r="324">
      <c r="A324" s="67">
        <f>'마스터'!$I$20</f>
        <v/>
      </c>
      <c r="B324" s="69">
        <f>'마스터'!$J$20</f>
        <v/>
      </c>
    </row>
    <row r="325">
      <c r="A325" s="67">
        <f>'마스터'!$I$21</f>
        <v/>
      </c>
      <c r="B325" s="69">
        <f>'마스터'!$J$21</f>
        <v/>
      </c>
    </row>
    <row r="326">
      <c r="A326" s="67">
        <f>'마스터'!$I$22</f>
        <v/>
      </c>
      <c r="B326" s="69">
        <f>'마스터'!$J$22</f>
        <v/>
      </c>
    </row>
    <row r="327">
      <c r="A327" s="67">
        <f>'마스터'!$I$23</f>
        <v/>
      </c>
      <c r="B327" s="69">
        <f>'마스터'!$J$23</f>
        <v/>
      </c>
    </row>
    <row r="328">
      <c r="A328" s="67">
        <f>'마스터'!$I$24</f>
        <v/>
      </c>
      <c r="B328" s="69">
        <f>'마스터'!$J$24</f>
        <v/>
      </c>
    </row>
    <row r="329">
      <c r="A329" s="67">
        <f>'마스터'!$I$25</f>
        <v/>
      </c>
      <c r="B329" s="69">
        <f>'마스터'!$J$25</f>
        <v/>
      </c>
    </row>
    <row r="330">
      <c r="A330" s="67">
        <f>'마스터'!$I$26</f>
        <v/>
      </c>
      <c r="B330" s="69">
        <f>'마스터'!$J$26</f>
        <v/>
      </c>
    </row>
    <row r="331">
      <c r="A331" s="67">
        <f>'마스터'!$I$27</f>
        <v/>
      </c>
      <c r="B331" s="69">
        <f>'마스터'!$J$27</f>
        <v/>
      </c>
    </row>
  </sheetData>
  <mergeCells count="16">
    <mergeCell ref="L1:N1"/>
    <mergeCell ref="A252:AY252"/>
    <mergeCell ref="O1:Q1"/>
    <mergeCell ref="A191:AY191"/>
    <mergeCell ref="A1:F1"/>
    <mergeCell ref="A5:F5"/>
    <mergeCell ref="A130:AY130"/>
    <mergeCell ref="G1:K1"/>
    <mergeCell ref="A8:AY8"/>
    <mergeCell ref="U1:AY1"/>
    <mergeCell ref="A6:F6"/>
    <mergeCell ref="A4:F4"/>
    <mergeCell ref="A3:F3"/>
    <mergeCell ref="A7:AY7"/>
    <mergeCell ref="A69:AY69"/>
    <mergeCell ref="R1:S1"/>
  </mergeCells>
  <conditionalFormatting sqref="U3:AY6">
    <cfRule type="expression" priority="1" dxfId="3">
      <formula>AND(U3&lt;&gt;"",U3&gt;$H3)</formula>
    </cfRule>
    <cfRule type="expression" priority="2" dxfId="4">
      <formula>AND(U3&gt;0,U3&gt;=$H3*0.8)</formula>
    </cfRule>
  </conditionalFormatting>
  <conditionalFormatting sqref="U3:AY312">
    <cfRule type="expression" priority="3" dxfId="5">
      <formula>U$2=""</formula>
    </cfRule>
    <cfRule type="expression" priority="4" dxfId="6">
      <formula>AND(U$2&lt;&gt;"",OR(WEEKDAY(U$2,2)&gt;5,COUNTIF($B$317:$B$331,U$2)&gt;0))</formula>
    </cfRule>
  </conditionalFormatting>
  <conditionalFormatting sqref="U9:AY312">
    <cfRule type="expression" priority="5" dxfId="7">
      <formula>AND(U9&lt;&gt;"",$G9&lt;&gt;"",U$2&lt;&gt;"",U$2&gt;$G9)</formula>
    </cfRule>
    <cfRule type="expression" priority="6" dxfId="8">
      <formula>AND($F9&lt;&gt;"",U9&lt;&gt;"",SUMIF($F$9:$F$312,$F9,U$9:U$312)&gt;$B$315)</formula>
    </cfRule>
    <cfRule type="expression" priority="7" dxfId="9">
      <formula>AND($E9="기획",U9&lt;&gt;"")</formula>
    </cfRule>
    <cfRule type="expression" priority="8" dxfId="10">
      <formula>AND($E9="이미지",U9&lt;&gt;"")</formula>
    </cfRule>
    <cfRule type="expression" priority="9" dxfId="11">
      <formula>AND($E9="영상",U9&lt;&gt;"")</formula>
    </cfRule>
  </conditionalFormatting>
  <conditionalFormatting sqref="H9:I312">
    <cfRule type="expression" priority="10" dxfId="12">
      <formula>AND($I9&lt;&gt;"",$I9&lt;0)</formula>
    </cfRule>
    <cfRule type="expression" priority="11" dxfId="13">
      <formula>AND($I9&lt;&gt;"",$I9&lt;=1)</formula>
    </cfRule>
    <cfRule type="expression" priority="12" dxfId="14">
      <formula>$I9&lt;&gt;""</formula>
    </cfRule>
  </conditionalFormatting>
  <dataValidations count="2">
    <dataValidation sqref="B9:B312" showDropDown="0" showInputMessage="0" showErrorMessage="0" allowBlank="1" type="list">
      <formula1>'마스터'!$A$3:$A$12</formula1>
    </dataValidation>
    <dataValidation sqref="R9:R312" showDropDown="0" showInputMessage="0" showErrorMessage="0" allowBlank="1" type="list">
      <formula1>'마스터'!$G$3:$G$6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2A44"/>
    <outlinePr summaryBelow="1" summaryRight="1"/>
    <pageSetUpPr/>
  </sheetPr>
  <dimension ref="A1:AY331"/>
  <sheetViews>
    <sheetView workbookViewId="0">
      <pane xSplit="8" ySplit="8" topLeftCell="I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28" customWidth="1" min="4" max="4"/>
    <col width="8" customWidth="1" min="5" max="5"/>
    <col width="10" customWidth="1" min="6" max="6"/>
    <col width="11" customWidth="1" min="7" max="7"/>
    <col width="9" customWidth="1" min="8" max="8"/>
    <col width="8" customWidth="1" min="9" max="9"/>
    <col width="8" customWidth="1" min="10" max="10"/>
    <col width="11" customWidth="1" min="11" max="11"/>
    <col width="8" customWidth="1" min="12" max="12"/>
    <col width="10" customWidth="1" min="13" max="13"/>
    <col width="10" customWidth="1" min="14" max="14"/>
    <col width="6" customWidth="1" min="15" max="15"/>
    <col width="6" customWidth="1" min="16" max="16"/>
    <col width="6" customWidth="1" min="17" max="17"/>
    <col width="8" customWidth="1" min="18" max="18"/>
    <col width="16" customWidth="1" min="19" max="19"/>
    <col width="2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3.6" customWidth="1" min="33" max="33"/>
    <col width="3.6" customWidth="1" min="34" max="34"/>
    <col width="3.6" customWidth="1" min="35" max="35"/>
    <col width="3.6" customWidth="1" min="36" max="36"/>
    <col width="3.6" customWidth="1" min="37" max="37"/>
    <col width="3.6" customWidth="1" min="38" max="38"/>
    <col width="3.6" customWidth="1" min="39" max="39"/>
    <col width="3.6" customWidth="1" min="40" max="40"/>
    <col width="3.6" customWidth="1" min="41" max="41"/>
    <col width="3.6" customWidth="1" min="42" max="42"/>
    <col width="3.6" customWidth="1" min="43" max="43"/>
    <col width="3.6" customWidth="1" min="44" max="44"/>
    <col width="3.6" customWidth="1" min="45" max="45"/>
    <col width="3.6" customWidth="1" min="46" max="46"/>
    <col width="3.6" customWidth="1" min="47" max="47"/>
    <col width="3.6" customWidth="1" min="48" max="48"/>
    <col width="3.6" customWidth="1" min="49" max="49"/>
    <col width="3.6" customWidth="1" min="50" max="50"/>
    <col width="3.6" customWidth="1" min="51" max="51"/>
  </cols>
  <sheetData>
    <row r="1" ht="22" customHeight="1">
      <c r="A1" s="27" t="inlineStr">
        <is>
          <t>3월 소재 정보  (소재 1개 = 기획/이미지/영상 3줄)</t>
        </is>
      </c>
      <c r="B1" s="8" t="n"/>
      <c r="C1" s="8" t="n"/>
      <c r="D1" s="8" t="n"/>
      <c r="E1" s="8" t="n"/>
      <c r="F1" s="4" t="n"/>
      <c r="G1" s="28" t="inlineStr">
        <is>
          <t>고객사 전달일 기준 (자동)</t>
        </is>
      </c>
      <c r="H1" s="8" t="n"/>
      <c r="I1" s="8" t="n"/>
      <c r="J1" s="8" t="n"/>
      <c r="K1" s="4" t="n"/>
      <c r="L1" s="29" t="inlineStr">
        <is>
          <t>직군별 집계 (자동)</t>
        </is>
      </c>
      <c r="M1" s="8" t="n"/>
      <c r="N1" s="4" t="n"/>
      <c r="O1" s="30" t="inlineStr">
        <is>
          <t>수량 (소재당 1번)</t>
        </is>
      </c>
      <c r="P1" s="8" t="n"/>
      <c r="Q1" s="4" t="n"/>
      <c r="R1" s="31" t="inlineStr">
        <is>
          <t>관리</t>
        </is>
      </c>
      <c r="S1" s="4" t="n"/>
      <c r="U1" s="32" t="inlineStr">
        <is>
          <t>3월 간트 - 날짜 칸에 실제 MD 직접 입력   |   상단 4줄 = 일자별 직군 TO 상태</t>
        </is>
      </c>
      <c r="V1" s="8" t="n"/>
      <c r="W1" s="8" t="n"/>
      <c r="X1" s="8" t="n"/>
      <c r="Y1" s="8" t="n"/>
      <c r="Z1" s="8" t="n"/>
      <c r="AA1" s="8" t="n"/>
      <c r="AB1" s="8" t="n"/>
      <c r="AC1" s="8" t="n"/>
      <c r="AD1" s="8" t="n"/>
      <c r="AE1" s="8" t="n"/>
      <c r="AF1" s="8" t="n"/>
      <c r="AG1" s="8" t="n"/>
      <c r="AH1" s="8" t="n"/>
      <c r="AI1" s="8" t="n"/>
      <c r="AJ1" s="8" t="n"/>
      <c r="AK1" s="8" t="n"/>
      <c r="AL1" s="8" t="n"/>
      <c r="AM1" s="8" t="n"/>
      <c r="AN1" s="8" t="n"/>
      <c r="AO1" s="8" t="n"/>
      <c r="AP1" s="8" t="n"/>
      <c r="AQ1" s="8" t="n"/>
      <c r="AR1" s="8" t="n"/>
      <c r="AS1" s="8" t="n"/>
      <c r="AT1" s="8" t="n"/>
      <c r="AU1" s="8" t="n"/>
      <c r="AV1" s="8" t="n"/>
      <c r="AW1" s="8" t="n"/>
      <c r="AX1" s="8" t="n"/>
      <c r="AY1" s="4" t="n"/>
    </row>
    <row r="2" ht="30" customHeight="1">
      <c r="A2" s="17" t="inlineStr">
        <is>
          <t>No</t>
        </is>
      </c>
      <c r="B2" s="17" t="inlineStr">
        <is>
          <t>게임 타이틀</t>
        </is>
      </c>
      <c r="C2" s="17" t="inlineStr">
        <is>
          <t>고객팀</t>
        </is>
      </c>
      <c r="D2" s="17" t="inlineStr">
        <is>
          <t>소재명(업무명)</t>
        </is>
      </c>
      <c r="E2" s="17" t="inlineStr">
        <is>
          <t>직군</t>
        </is>
      </c>
      <c r="F2" s="17" t="inlineStr">
        <is>
          <t>담당자</t>
        </is>
      </c>
      <c r="G2" s="17" t="inlineStr">
        <is>
          <t>고객사
전달일</t>
        </is>
      </c>
      <c r="H2" s="17" t="inlineStr">
        <is>
          <t>신호</t>
        </is>
      </c>
      <c r="I2" s="17" t="inlineStr">
        <is>
          <t>전달일
여유</t>
        </is>
      </c>
      <c r="J2" s="17" t="inlineStr">
        <is>
          <t>소재
총MD</t>
        </is>
      </c>
      <c r="K2" s="17" t="inlineStr">
        <is>
          <t>소재
최종완료</t>
        </is>
      </c>
      <c r="L2" s="17" t="inlineStr">
        <is>
          <t>직군
MD</t>
        </is>
      </c>
      <c r="M2" s="17" t="inlineStr">
        <is>
          <t>직군
시작일</t>
        </is>
      </c>
      <c r="N2" s="17" t="inlineStr">
        <is>
          <t>직군
완료일</t>
        </is>
      </c>
      <c r="O2" s="17" t="inlineStr">
        <is>
          <t>영상
수</t>
        </is>
      </c>
      <c r="P2" s="17" t="inlineStr">
        <is>
          <t>사이즈
베리</t>
        </is>
      </c>
      <c r="Q2" s="17" t="inlineStr">
        <is>
          <t>다국어
베리</t>
        </is>
      </c>
      <c r="R2" s="17" t="inlineStr">
        <is>
          <t>상태</t>
        </is>
      </c>
      <c r="S2" s="17" t="inlineStr">
        <is>
          <t>비고</t>
        </is>
      </c>
      <c r="U2" s="33">
        <f>IF(MONTH(DATE('마스터'!$J$3,3,1)+0)=3,DATE('마스터'!$J$3,3,1)+0,"")</f>
        <v/>
      </c>
      <c r="V2" s="33">
        <f>IF(MONTH(DATE('마스터'!$J$3,3,1)+1)=3,DATE('마스터'!$J$3,3,1)+1,"")</f>
        <v/>
      </c>
      <c r="W2" s="33">
        <f>IF(MONTH(DATE('마스터'!$J$3,3,1)+2)=3,DATE('마스터'!$J$3,3,1)+2,"")</f>
        <v/>
      </c>
      <c r="X2" s="33">
        <f>IF(MONTH(DATE('마스터'!$J$3,3,1)+3)=3,DATE('마스터'!$J$3,3,1)+3,"")</f>
        <v/>
      </c>
      <c r="Y2" s="33">
        <f>IF(MONTH(DATE('마스터'!$J$3,3,1)+4)=3,DATE('마스터'!$J$3,3,1)+4,"")</f>
        <v/>
      </c>
      <c r="Z2" s="33">
        <f>IF(MONTH(DATE('마스터'!$J$3,3,1)+5)=3,DATE('마스터'!$J$3,3,1)+5,"")</f>
        <v/>
      </c>
      <c r="AA2" s="33">
        <f>IF(MONTH(DATE('마스터'!$J$3,3,1)+6)=3,DATE('마스터'!$J$3,3,1)+6,"")</f>
        <v/>
      </c>
      <c r="AB2" s="33">
        <f>IF(MONTH(DATE('마스터'!$J$3,3,1)+7)=3,DATE('마스터'!$J$3,3,1)+7,"")</f>
        <v/>
      </c>
      <c r="AC2" s="33">
        <f>IF(MONTH(DATE('마스터'!$J$3,3,1)+8)=3,DATE('마스터'!$J$3,3,1)+8,"")</f>
        <v/>
      </c>
      <c r="AD2" s="33">
        <f>IF(MONTH(DATE('마스터'!$J$3,3,1)+9)=3,DATE('마스터'!$J$3,3,1)+9,"")</f>
        <v/>
      </c>
      <c r="AE2" s="33">
        <f>IF(MONTH(DATE('마스터'!$J$3,3,1)+10)=3,DATE('마스터'!$J$3,3,1)+10,"")</f>
        <v/>
      </c>
      <c r="AF2" s="33">
        <f>IF(MONTH(DATE('마스터'!$J$3,3,1)+11)=3,DATE('마스터'!$J$3,3,1)+11,"")</f>
        <v/>
      </c>
      <c r="AG2" s="33">
        <f>IF(MONTH(DATE('마스터'!$J$3,3,1)+12)=3,DATE('마스터'!$J$3,3,1)+12,"")</f>
        <v/>
      </c>
      <c r="AH2" s="33">
        <f>IF(MONTH(DATE('마스터'!$J$3,3,1)+13)=3,DATE('마스터'!$J$3,3,1)+13,"")</f>
        <v/>
      </c>
      <c r="AI2" s="33">
        <f>IF(MONTH(DATE('마스터'!$J$3,3,1)+14)=3,DATE('마스터'!$J$3,3,1)+14,"")</f>
        <v/>
      </c>
      <c r="AJ2" s="33">
        <f>IF(MONTH(DATE('마스터'!$J$3,3,1)+15)=3,DATE('마스터'!$J$3,3,1)+15,"")</f>
        <v/>
      </c>
      <c r="AK2" s="33">
        <f>IF(MONTH(DATE('마스터'!$J$3,3,1)+16)=3,DATE('마스터'!$J$3,3,1)+16,"")</f>
        <v/>
      </c>
      <c r="AL2" s="33">
        <f>IF(MONTH(DATE('마스터'!$J$3,3,1)+17)=3,DATE('마스터'!$J$3,3,1)+17,"")</f>
        <v/>
      </c>
      <c r="AM2" s="33">
        <f>IF(MONTH(DATE('마스터'!$J$3,3,1)+18)=3,DATE('마스터'!$J$3,3,1)+18,"")</f>
        <v/>
      </c>
      <c r="AN2" s="33">
        <f>IF(MONTH(DATE('마스터'!$J$3,3,1)+19)=3,DATE('마스터'!$J$3,3,1)+19,"")</f>
        <v/>
      </c>
      <c r="AO2" s="33">
        <f>IF(MONTH(DATE('마스터'!$J$3,3,1)+20)=3,DATE('마스터'!$J$3,3,1)+20,"")</f>
        <v/>
      </c>
      <c r="AP2" s="33">
        <f>IF(MONTH(DATE('마스터'!$J$3,3,1)+21)=3,DATE('마스터'!$J$3,3,1)+21,"")</f>
        <v/>
      </c>
      <c r="AQ2" s="33">
        <f>IF(MONTH(DATE('마스터'!$J$3,3,1)+22)=3,DATE('마스터'!$J$3,3,1)+22,"")</f>
        <v/>
      </c>
      <c r="AR2" s="33">
        <f>IF(MONTH(DATE('마스터'!$J$3,3,1)+23)=3,DATE('마스터'!$J$3,3,1)+23,"")</f>
        <v/>
      </c>
      <c r="AS2" s="33">
        <f>IF(MONTH(DATE('마스터'!$J$3,3,1)+24)=3,DATE('마스터'!$J$3,3,1)+24,"")</f>
        <v/>
      </c>
      <c r="AT2" s="33">
        <f>IF(MONTH(DATE('마스터'!$J$3,3,1)+25)=3,DATE('마스터'!$J$3,3,1)+25,"")</f>
        <v/>
      </c>
      <c r="AU2" s="33">
        <f>IF(MONTH(DATE('마스터'!$J$3,3,1)+26)=3,DATE('마스터'!$J$3,3,1)+26,"")</f>
        <v/>
      </c>
      <c r="AV2" s="33">
        <f>IF(MONTH(DATE('마스터'!$J$3,3,1)+27)=3,DATE('마스터'!$J$3,3,1)+27,"")</f>
        <v/>
      </c>
      <c r="AW2" s="33">
        <f>IF(MONTH(DATE('마스터'!$J$3,3,1)+28)=3,DATE('마스터'!$J$3,3,1)+28,"")</f>
        <v/>
      </c>
      <c r="AX2" s="33">
        <f>IF(MONTH(DATE('마스터'!$J$3,3,1)+29)=3,DATE('마스터'!$J$3,3,1)+29,"")</f>
        <v/>
      </c>
      <c r="AY2" s="33">
        <f>IF(MONTH(DATE('마스터'!$J$3,3,1)+30)=3,DATE('마스터'!$J$3,3,1)+30,"")</f>
        <v/>
      </c>
    </row>
    <row r="3" ht="15" customHeight="1">
      <c r="A3" s="5" t="inlineStr">
        <is>
          <t>전체 TO (일자별 부하)</t>
        </is>
      </c>
      <c r="B3" s="8" t="n"/>
      <c r="C3" s="8" t="n"/>
      <c r="D3" s="8" t="n"/>
      <c r="E3" s="8" t="n"/>
      <c r="F3" s="4" t="n"/>
      <c r="G3" s="34" t="inlineStr">
        <is>
          <t>정원</t>
        </is>
      </c>
      <c r="H3" s="35">
        <f>SUM('마스터'!$J$8:$J$10)</f>
        <v/>
      </c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U3" s="37">
        <f>SUM(U$9:U$312)</f>
        <v/>
      </c>
      <c r="V3" s="37">
        <f>SUM(V$9:V$312)</f>
        <v/>
      </c>
      <c r="W3" s="37">
        <f>SUM(W$9:W$312)</f>
        <v/>
      </c>
      <c r="X3" s="37">
        <f>SUM(X$9:X$312)</f>
        <v/>
      </c>
      <c r="Y3" s="37">
        <f>SUM(Y$9:Y$312)</f>
        <v/>
      </c>
      <c r="Z3" s="37">
        <f>SUM(Z$9:Z$312)</f>
        <v/>
      </c>
      <c r="AA3" s="37">
        <f>SUM(AA$9:AA$312)</f>
        <v/>
      </c>
      <c r="AB3" s="37">
        <f>SUM(AB$9:AB$312)</f>
        <v/>
      </c>
      <c r="AC3" s="37">
        <f>SUM(AC$9:AC$312)</f>
        <v/>
      </c>
      <c r="AD3" s="37">
        <f>SUM(AD$9:AD$312)</f>
        <v/>
      </c>
      <c r="AE3" s="37">
        <f>SUM(AE$9:AE$312)</f>
        <v/>
      </c>
      <c r="AF3" s="37">
        <f>SUM(AF$9:AF$312)</f>
        <v/>
      </c>
      <c r="AG3" s="37">
        <f>SUM(AG$9:AG$312)</f>
        <v/>
      </c>
      <c r="AH3" s="37">
        <f>SUM(AH$9:AH$312)</f>
        <v/>
      </c>
      <c r="AI3" s="37">
        <f>SUM(AI$9:AI$312)</f>
        <v/>
      </c>
      <c r="AJ3" s="37">
        <f>SUM(AJ$9:AJ$312)</f>
        <v/>
      </c>
      <c r="AK3" s="37">
        <f>SUM(AK$9:AK$312)</f>
        <v/>
      </c>
      <c r="AL3" s="37">
        <f>SUM(AL$9:AL$312)</f>
        <v/>
      </c>
      <c r="AM3" s="37">
        <f>SUM(AM$9:AM$312)</f>
        <v/>
      </c>
      <c r="AN3" s="37">
        <f>SUM(AN$9:AN$312)</f>
        <v/>
      </c>
      <c r="AO3" s="37">
        <f>SUM(AO$9:AO$312)</f>
        <v/>
      </c>
      <c r="AP3" s="37">
        <f>SUM(AP$9:AP$312)</f>
        <v/>
      </c>
      <c r="AQ3" s="37">
        <f>SUM(AQ$9:AQ$312)</f>
        <v/>
      </c>
      <c r="AR3" s="37">
        <f>SUM(AR$9:AR$312)</f>
        <v/>
      </c>
      <c r="AS3" s="37">
        <f>SUM(AS$9:AS$312)</f>
        <v/>
      </c>
      <c r="AT3" s="37">
        <f>SUM(AT$9:AT$312)</f>
        <v/>
      </c>
      <c r="AU3" s="37">
        <f>SUM(AU$9:AU$312)</f>
        <v/>
      </c>
      <c r="AV3" s="37">
        <f>SUM(AV$9:AV$312)</f>
        <v/>
      </c>
      <c r="AW3" s="37">
        <f>SUM(AW$9:AW$312)</f>
        <v/>
      </c>
      <c r="AX3" s="37">
        <f>SUM(AX$9:AX$312)</f>
        <v/>
      </c>
      <c r="AY3" s="37">
        <f>SUM(AY$9:AY$312)</f>
        <v/>
      </c>
    </row>
    <row r="4" ht="15" customHeight="1">
      <c r="A4" s="5" t="inlineStr">
        <is>
          <t>영상 TO</t>
        </is>
      </c>
      <c r="B4" s="8" t="n"/>
      <c r="C4" s="8" t="n"/>
      <c r="D4" s="8" t="n"/>
      <c r="E4" s="8" t="n"/>
      <c r="F4" s="4" t="n"/>
      <c r="G4" s="34" t="inlineStr">
        <is>
          <t>정원</t>
        </is>
      </c>
      <c r="H4" s="35">
        <f>'마스터'!$J$8</f>
        <v/>
      </c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U4" s="37">
        <f>SUMIF($E$9:$E$312,"영상",U$9:U$312)</f>
        <v/>
      </c>
      <c r="V4" s="37">
        <f>SUMIF($E$9:$E$312,"영상",V$9:V$312)</f>
        <v/>
      </c>
      <c r="W4" s="37">
        <f>SUMIF($E$9:$E$312,"영상",W$9:W$312)</f>
        <v/>
      </c>
      <c r="X4" s="37">
        <f>SUMIF($E$9:$E$312,"영상",X$9:X$312)</f>
        <v/>
      </c>
      <c r="Y4" s="37">
        <f>SUMIF($E$9:$E$312,"영상",Y$9:Y$312)</f>
        <v/>
      </c>
      <c r="Z4" s="37">
        <f>SUMIF($E$9:$E$312,"영상",Z$9:Z$312)</f>
        <v/>
      </c>
      <c r="AA4" s="37">
        <f>SUMIF($E$9:$E$312,"영상",AA$9:AA$312)</f>
        <v/>
      </c>
      <c r="AB4" s="37">
        <f>SUMIF($E$9:$E$312,"영상",AB$9:AB$312)</f>
        <v/>
      </c>
      <c r="AC4" s="37">
        <f>SUMIF($E$9:$E$312,"영상",AC$9:AC$312)</f>
        <v/>
      </c>
      <c r="AD4" s="37">
        <f>SUMIF($E$9:$E$312,"영상",AD$9:AD$312)</f>
        <v/>
      </c>
      <c r="AE4" s="37">
        <f>SUMIF($E$9:$E$312,"영상",AE$9:AE$312)</f>
        <v/>
      </c>
      <c r="AF4" s="37">
        <f>SUMIF($E$9:$E$312,"영상",AF$9:AF$312)</f>
        <v/>
      </c>
      <c r="AG4" s="37">
        <f>SUMIF($E$9:$E$312,"영상",AG$9:AG$312)</f>
        <v/>
      </c>
      <c r="AH4" s="37">
        <f>SUMIF($E$9:$E$312,"영상",AH$9:AH$312)</f>
        <v/>
      </c>
      <c r="AI4" s="37">
        <f>SUMIF($E$9:$E$312,"영상",AI$9:AI$312)</f>
        <v/>
      </c>
      <c r="AJ4" s="37">
        <f>SUMIF($E$9:$E$312,"영상",AJ$9:AJ$312)</f>
        <v/>
      </c>
      <c r="AK4" s="37">
        <f>SUMIF($E$9:$E$312,"영상",AK$9:AK$312)</f>
        <v/>
      </c>
      <c r="AL4" s="37">
        <f>SUMIF($E$9:$E$312,"영상",AL$9:AL$312)</f>
        <v/>
      </c>
      <c r="AM4" s="37">
        <f>SUMIF($E$9:$E$312,"영상",AM$9:AM$312)</f>
        <v/>
      </c>
      <c r="AN4" s="37">
        <f>SUMIF($E$9:$E$312,"영상",AN$9:AN$312)</f>
        <v/>
      </c>
      <c r="AO4" s="37">
        <f>SUMIF($E$9:$E$312,"영상",AO$9:AO$312)</f>
        <v/>
      </c>
      <c r="AP4" s="37">
        <f>SUMIF($E$9:$E$312,"영상",AP$9:AP$312)</f>
        <v/>
      </c>
      <c r="AQ4" s="37">
        <f>SUMIF($E$9:$E$312,"영상",AQ$9:AQ$312)</f>
        <v/>
      </c>
      <c r="AR4" s="37">
        <f>SUMIF($E$9:$E$312,"영상",AR$9:AR$312)</f>
        <v/>
      </c>
      <c r="AS4" s="37">
        <f>SUMIF($E$9:$E$312,"영상",AS$9:AS$312)</f>
        <v/>
      </c>
      <c r="AT4" s="37">
        <f>SUMIF($E$9:$E$312,"영상",AT$9:AT$312)</f>
        <v/>
      </c>
      <c r="AU4" s="37">
        <f>SUMIF($E$9:$E$312,"영상",AU$9:AU$312)</f>
        <v/>
      </c>
      <c r="AV4" s="37">
        <f>SUMIF($E$9:$E$312,"영상",AV$9:AV$312)</f>
        <v/>
      </c>
      <c r="AW4" s="37">
        <f>SUMIF($E$9:$E$312,"영상",AW$9:AW$312)</f>
        <v/>
      </c>
      <c r="AX4" s="37">
        <f>SUMIF($E$9:$E$312,"영상",AX$9:AX$312)</f>
        <v/>
      </c>
      <c r="AY4" s="37">
        <f>SUMIF($E$9:$E$312,"영상",AY$9:AY$312)</f>
        <v/>
      </c>
    </row>
    <row r="5" ht="15" customHeight="1">
      <c r="A5" s="5" t="inlineStr">
        <is>
          <t>이미지 TO</t>
        </is>
      </c>
      <c r="B5" s="8" t="n"/>
      <c r="C5" s="8" t="n"/>
      <c r="D5" s="8" t="n"/>
      <c r="E5" s="8" t="n"/>
      <c r="F5" s="4" t="n"/>
      <c r="G5" s="34" t="inlineStr">
        <is>
          <t>정원</t>
        </is>
      </c>
      <c r="H5" s="35">
        <f>'마스터'!$J$9</f>
        <v/>
      </c>
      <c r="I5" s="36" t="n"/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  <c r="S5" s="36" t="n"/>
      <c r="U5" s="37">
        <f>SUMIF($E$9:$E$312,"이미지",U$9:U$312)</f>
        <v/>
      </c>
      <c r="V5" s="37">
        <f>SUMIF($E$9:$E$312,"이미지",V$9:V$312)</f>
        <v/>
      </c>
      <c r="W5" s="37">
        <f>SUMIF($E$9:$E$312,"이미지",W$9:W$312)</f>
        <v/>
      </c>
      <c r="X5" s="37">
        <f>SUMIF($E$9:$E$312,"이미지",X$9:X$312)</f>
        <v/>
      </c>
      <c r="Y5" s="37">
        <f>SUMIF($E$9:$E$312,"이미지",Y$9:Y$312)</f>
        <v/>
      </c>
      <c r="Z5" s="37">
        <f>SUMIF($E$9:$E$312,"이미지",Z$9:Z$312)</f>
        <v/>
      </c>
      <c r="AA5" s="37">
        <f>SUMIF($E$9:$E$312,"이미지",AA$9:AA$312)</f>
        <v/>
      </c>
      <c r="AB5" s="37">
        <f>SUMIF($E$9:$E$312,"이미지",AB$9:AB$312)</f>
        <v/>
      </c>
      <c r="AC5" s="37">
        <f>SUMIF($E$9:$E$312,"이미지",AC$9:AC$312)</f>
        <v/>
      </c>
      <c r="AD5" s="37">
        <f>SUMIF($E$9:$E$312,"이미지",AD$9:AD$312)</f>
        <v/>
      </c>
      <c r="AE5" s="37">
        <f>SUMIF($E$9:$E$312,"이미지",AE$9:AE$312)</f>
        <v/>
      </c>
      <c r="AF5" s="37">
        <f>SUMIF($E$9:$E$312,"이미지",AF$9:AF$312)</f>
        <v/>
      </c>
      <c r="AG5" s="37">
        <f>SUMIF($E$9:$E$312,"이미지",AG$9:AG$312)</f>
        <v/>
      </c>
      <c r="AH5" s="37">
        <f>SUMIF($E$9:$E$312,"이미지",AH$9:AH$312)</f>
        <v/>
      </c>
      <c r="AI5" s="37">
        <f>SUMIF($E$9:$E$312,"이미지",AI$9:AI$312)</f>
        <v/>
      </c>
      <c r="AJ5" s="37">
        <f>SUMIF($E$9:$E$312,"이미지",AJ$9:AJ$312)</f>
        <v/>
      </c>
      <c r="AK5" s="37">
        <f>SUMIF($E$9:$E$312,"이미지",AK$9:AK$312)</f>
        <v/>
      </c>
      <c r="AL5" s="37">
        <f>SUMIF($E$9:$E$312,"이미지",AL$9:AL$312)</f>
        <v/>
      </c>
      <c r="AM5" s="37">
        <f>SUMIF($E$9:$E$312,"이미지",AM$9:AM$312)</f>
        <v/>
      </c>
      <c r="AN5" s="37">
        <f>SUMIF($E$9:$E$312,"이미지",AN$9:AN$312)</f>
        <v/>
      </c>
      <c r="AO5" s="37">
        <f>SUMIF($E$9:$E$312,"이미지",AO$9:AO$312)</f>
        <v/>
      </c>
      <c r="AP5" s="37">
        <f>SUMIF($E$9:$E$312,"이미지",AP$9:AP$312)</f>
        <v/>
      </c>
      <c r="AQ5" s="37">
        <f>SUMIF($E$9:$E$312,"이미지",AQ$9:AQ$312)</f>
        <v/>
      </c>
      <c r="AR5" s="37">
        <f>SUMIF($E$9:$E$312,"이미지",AR$9:AR$312)</f>
        <v/>
      </c>
      <c r="AS5" s="37">
        <f>SUMIF($E$9:$E$312,"이미지",AS$9:AS$312)</f>
        <v/>
      </c>
      <c r="AT5" s="37">
        <f>SUMIF($E$9:$E$312,"이미지",AT$9:AT$312)</f>
        <v/>
      </c>
      <c r="AU5" s="37">
        <f>SUMIF($E$9:$E$312,"이미지",AU$9:AU$312)</f>
        <v/>
      </c>
      <c r="AV5" s="37">
        <f>SUMIF($E$9:$E$312,"이미지",AV$9:AV$312)</f>
        <v/>
      </c>
      <c r="AW5" s="37">
        <f>SUMIF($E$9:$E$312,"이미지",AW$9:AW$312)</f>
        <v/>
      </c>
      <c r="AX5" s="37">
        <f>SUMIF($E$9:$E$312,"이미지",AX$9:AX$312)</f>
        <v/>
      </c>
      <c r="AY5" s="37">
        <f>SUMIF($E$9:$E$312,"이미지",AY$9:AY$312)</f>
        <v/>
      </c>
    </row>
    <row r="6" ht="15" customHeight="1">
      <c r="A6" s="5" t="inlineStr">
        <is>
          <t>기획 TO</t>
        </is>
      </c>
      <c r="B6" s="8" t="n"/>
      <c r="C6" s="8" t="n"/>
      <c r="D6" s="8" t="n"/>
      <c r="E6" s="8" t="n"/>
      <c r="F6" s="4" t="n"/>
      <c r="G6" s="34" t="inlineStr">
        <is>
          <t>정원</t>
        </is>
      </c>
      <c r="H6" s="35">
        <f>'마스터'!$J$10</f>
        <v/>
      </c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6" t="n"/>
      <c r="S6" s="36" t="n"/>
      <c r="U6" s="37">
        <f>SUMIF($E$9:$E$312,"기획",U$9:U$312)</f>
        <v/>
      </c>
      <c r="V6" s="37">
        <f>SUMIF($E$9:$E$312,"기획",V$9:V$312)</f>
        <v/>
      </c>
      <c r="W6" s="37">
        <f>SUMIF($E$9:$E$312,"기획",W$9:W$312)</f>
        <v/>
      </c>
      <c r="X6" s="37">
        <f>SUMIF($E$9:$E$312,"기획",X$9:X$312)</f>
        <v/>
      </c>
      <c r="Y6" s="37">
        <f>SUMIF($E$9:$E$312,"기획",Y$9:Y$312)</f>
        <v/>
      </c>
      <c r="Z6" s="37">
        <f>SUMIF($E$9:$E$312,"기획",Z$9:Z$312)</f>
        <v/>
      </c>
      <c r="AA6" s="37">
        <f>SUMIF($E$9:$E$312,"기획",AA$9:AA$312)</f>
        <v/>
      </c>
      <c r="AB6" s="37">
        <f>SUMIF($E$9:$E$312,"기획",AB$9:AB$312)</f>
        <v/>
      </c>
      <c r="AC6" s="37">
        <f>SUMIF($E$9:$E$312,"기획",AC$9:AC$312)</f>
        <v/>
      </c>
      <c r="AD6" s="37">
        <f>SUMIF($E$9:$E$312,"기획",AD$9:AD$312)</f>
        <v/>
      </c>
      <c r="AE6" s="37">
        <f>SUMIF($E$9:$E$312,"기획",AE$9:AE$312)</f>
        <v/>
      </c>
      <c r="AF6" s="37">
        <f>SUMIF($E$9:$E$312,"기획",AF$9:AF$312)</f>
        <v/>
      </c>
      <c r="AG6" s="37">
        <f>SUMIF($E$9:$E$312,"기획",AG$9:AG$312)</f>
        <v/>
      </c>
      <c r="AH6" s="37">
        <f>SUMIF($E$9:$E$312,"기획",AH$9:AH$312)</f>
        <v/>
      </c>
      <c r="AI6" s="37">
        <f>SUMIF($E$9:$E$312,"기획",AI$9:AI$312)</f>
        <v/>
      </c>
      <c r="AJ6" s="37">
        <f>SUMIF($E$9:$E$312,"기획",AJ$9:AJ$312)</f>
        <v/>
      </c>
      <c r="AK6" s="37">
        <f>SUMIF($E$9:$E$312,"기획",AK$9:AK$312)</f>
        <v/>
      </c>
      <c r="AL6" s="37">
        <f>SUMIF($E$9:$E$312,"기획",AL$9:AL$312)</f>
        <v/>
      </c>
      <c r="AM6" s="37">
        <f>SUMIF($E$9:$E$312,"기획",AM$9:AM$312)</f>
        <v/>
      </c>
      <c r="AN6" s="37">
        <f>SUMIF($E$9:$E$312,"기획",AN$9:AN$312)</f>
        <v/>
      </c>
      <c r="AO6" s="37">
        <f>SUMIF($E$9:$E$312,"기획",AO$9:AO$312)</f>
        <v/>
      </c>
      <c r="AP6" s="37">
        <f>SUMIF($E$9:$E$312,"기획",AP$9:AP$312)</f>
        <v/>
      </c>
      <c r="AQ6" s="37">
        <f>SUMIF($E$9:$E$312,"기획",AQ$9:AQ$312)</f>
        <v/>
      </c>
      <c r="AR6" s="37">
        <f>SUMIF($E$9:$E$312,"기획",AR$9:AR$312)</f>
        <v/>
      </c>
      <c r="AS6" s="37">
        <f>SUMIF($E$9:$E$312,"기획",AS$9:AS$312)</f>
        <v/>
      </c>
      <c r="AT6" s="37">
        <f>SUMIF($E$9:$E$312,"기획",AT$9:AT$312)</f>
        <v/>
      </c>
      <c r="AU6" s="37">
        <f>SUMIF($E$9:$E$312,"기획",AU$9:AU$312)</f>
        <v/>
      </c>
      <c r="AV6" s="37">
        <f>SUMIF($E$9:$E$312,"기획",AV$9:AV$312)</f>
        <v/>
      </c>
      <c r="AW6" s="37">
        <f>SUMIF($E$9:$E$312,"기획",AW$9:AW$312)</f>
        <v/>
      </c>
      <c r="AX6" s="37">
        <f>SUMIF($E$9:$E$312,"기획",AX$9:AX$312)</f>
        <v/>
      </c>
      <c r="AY6" s="37">
        <f>SUMIF($E$9:$E$312,"기획",AY$9:AY$312)</f>
        <v/>
      </c>
    </row>
    <row r="7">
      <c r="A7" s="38" t="inlineStr">
        <is>
          <t>▼ 아래부터 입력. 노란칸=직접 입력 / 회색칸=자동(건드리지 마세요)</t>
        </is>
      </c>
    </row>
    <row r="8" ht="18" customHeight="1">
      <c r="A8" s="39" t="inlineStr">
        <is>
          <t>마케팅1팀   (9~68행 · 소재 20개)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4" t="n"/>
    </row>
    <row r="9" ht="15" customHeight="1">
      <c r="A9" s="40">
        <f>IF($D$9="","",1)</f>
        <v/>
      </c>
      <c r="B9" s="10" t="n"/>
      <c r="C9" s="41" t="inlineStr">
        <is>
          <t>마케팅1팀</t>
        </is>
      </c>
      <c r="D9" s="42" t="n"/>
      <c r="E9" s="43" t="inlineStr">
        <is>
          <t>기획</t>
        </is>
      </c>
      <c r="F9" s="44" t="n"/>
      <c r="G9" s="45" t="n"/>
      <c r="H9" s="46">
        <f>IF($I$9="","",IF($I$9&lt;0,"🔴지연",IF($I$9&lt;=1,"🟡임박","🟢여유")))</f>
        <v/>
      </c>
      <c r="I9" s="47">
        <f>IF(OR($G$9="",$K$9=""),"",$G$9-$K$9)</f>
        <v/>
      </c>
      <c r="J9" s="48">
        <f>IF(SUM($L$9:$L$11)=0,"",SUM($L$9:$L$11))</f>
        <v/>
      </c>
      <c r="K9" s="49">
        <f>IF($J$9="","",MAX($N$9:$N$11))</f>
        <v/>
      </c>
      <c r="L9" s="50">
        <f>IF(SUM(U9:AY9)=0,"",SUM(U9:AY9))</f>
        <v/>
      </c>
      <c r="M9" s="51">
        <f>IFERROR(INDEX(U$2:AY$2,MATCH(TRUE,INDEX(U9:AY9&lt;&gt;"",0),0)),"")</f>
        <v/>
      </c>
      <c r="N9" s="51">
        <f>IFERROR(LOOKUP(2,1/(U9:AY9&lt;&gt;""),U$2:AY$2),"")</f>
        <v/>
      </c>
      <c r="O9" s="52" t="n"/>
      <c r="P9" s="52" t="n"/>
      <c r="Q9" s="52" t="n"/>
      <c r="R9" s="44" t="n"/>
      <c r="S9" s="14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</row>
    <row r="10" ht="15" customHeight="1">
      <c r="A10" s="54" t="n"/>
      <c r="B10" s="55">
        <f>IF($B$9="","",$B$9)</f>
        <v/>
      </c>
      <c r="C10" s="56" t="inlineStr">
        <is>
          <t>마케팅1팀</t>
        </is>
      </c>
      <c r="D10" s="55">
        <f>IF($D$9="","",$D$9)</f>
        <v/>
      </c>
      <c r="E10" s="57" t="inlineStr">
        <is>
          <t>이미지</t>
        </is>
      </c>
      <c r="F10" s="44" t="n"/>
      <c r="G10" s="58">
        <f>IF($G$9="","",$G$9)</f>
        <v/>
      </c>
      <c r="H10" s="59" t="n"/>
      <c r="I10" s="59" t="n"/>
      <c r="J10" s="59" t="n"/>
      <c r="K10" s="59" t="n"/>
      <c r="L10" s="60">
        <f>IF(SUM(U10:AY10)=0,"",SUM(U10:AY10))</f>
        <v/>
      </c>
      <c r="M10" s="61">
        <f>IFERROR(INDEX(U$2:AY$2,MATCH(TRUE,INDEX(U10:AY10&lt;&gt;"",0),0)),"")</f>
        <v/>
      </c>
      <c r="N10" s="61">
        <f>IFERROR(LOOKUP(2,1/(U10:AY10&lt;&gt;""),U$2:AY$2),"")</f>
        <v/>
      </c>
      <c r="O10" s="59" t="n"/>
      <c r="P10" s="59" t="n"/>
      <c r="Q10" s="59" t="n"/>
      <c r="R10" s="59" t="n"/>
      <c r="S10" s="14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</row>
    <row r="11" ht="15" customHeight="1">
      <c r="A11" s="62" t="n"/>
      <c r="B11" s="55">
        <f>IF($B$9="","",$B$9)</f>
        <v/>
      </c>
      <c r="C11" s="63" t="inlineStr">
        <is>
          <t>마케팅1팀</t>
        </is>
      </c>
      <c r="D11" s="55">
        <f>IF($D$9="","",$D$9)</f>
        <v/>
      </c>
      <c r="E11" s="64" t="inlineStr">
        <is>
          <t>영상</t>
        </is>
      </c>
      <c r="F11" s="44" t="n"/>
      <c r="G11" s="58">
        <f>IF($G$9="","",$G$9)</f>
        <v/>
      </c>
      <c r="H11" s="59" t="n"/>
      <c r="I11" s="59" t="n"/>
      <c r="J11" s="59" t="n"/>
      <c r="K11" s="59" t="n"/>
      <c r="L11" s="65">
        <f>IF(SUM(U11:AY11)=0,"",SUM(U11:AY11))</f>
        <v/>
      </c>
      <c r="M11" s="66">
        <f>IFERROR(INDEX(U$2:AY$2,MATCH(TRUE,INDEX(U11:AY11&lt;&gt;"",0),0)),"")</f>
        <v/>
      </c>
      <c r="N11" s="66">
        <f>IFERROR(LOOKUP(2,1/(U11:AY11&lt;&gt;""),U$2:AY$2),"")</f>
        <v/>
      </c>
      <c r="O11" s="59" t="n"/>
      <c r="P11" s="59" t="n"/>
      <c r="Q11" s="59" t="n"/>
      <c r="R11" s="59" t="n"/>
      <c r="S11" s="14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</row>
    <row r="12" ht="15" customHeight="1">
      <c r="A12" s="40">
        <f>IF($D$12="","",2)</f>
        <v/>
      </c>
      <c r="B12" s="10" t="n"/>
      <c r="C12" s="41" t="inlineStr">
        <is>
          <t>마케팅1팀</t>
        </is>
      </c>
      <c r="D12" s="42" t="n"/>
      <c r="E12" s="43" t="inlineStr">
        <is>
          <t>기획</t>
        </is>
      </c>
      <c r="F12" s="44" t="n"/>
      <c r="G12" s="45" t="n"/>
      <c r="H12" s="46">
        <f>IF($I$12="","",IF($I$12&lt;0,"🔴지연",IF($I$12&lt;=1,"🟡임박","🟢여유")))</f>
        <v/>
      </c>
      <c r="I12" s="47">
        <f>IF(OR($G$12="",$K$12=""),"",$G$12-$K$12)</f>
        <v/>
      </c>
      <c r="J12" s="48">
        <f>IF(SUM($L$12:$L$14)=0,"",SUM($L$12:$L$14))</f>
        <v/>
      </c>
      <c r="K12" s="49">
        <f>IF($J$12="","",MAX($N$12:$N$14))</f>
        <v/>
      </c>
      <c r="L12" s="50">
        <f>IF(SUM(U12:AY12)=0,"",SUM(U12:AY12))</f>
        <v/>
      </c>
      <c r="M12" s="51">
        <f>IFERROR(INDEX(U$2:AY$2,MATCH(TRUE,INDEX(U12:AY12&lt;&gt;"",0),0)),"")</f>
        <v/>
      </c>
      <c r="N12" s="51">
        <f>IFERROR(LOOKUP(2,1/(U12:AY12&lt;&gt;""),U$2:AY$2),"")</f>
        <v/>
      </c>
      <c r="O12" s="52" t="n"/>
      <c r="P12" s="52" t="n"/>
      <c r="Q12" s="52" t="n"/>
      <c r="R12" s="44" t="n"/>
      <c r="S12" s="14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</row>
    <row r="13" ht="15" customHeight="1">
      <c r="A13" s="54" t="n"/>
      <c r="B13" s="55">
        <f>IF($B$12="","",$B$12)</f>
        <v/>
      </c>
      <c r="C13" s="56" t="inlineStr">
        <is>
          <t>마케팅1팀</t>
        </is>
      </c>
      <c r="D13" s="55">
        <f>IF($D$12="","",$D$12)</f>
        <v/>
      </c>
      <c r="E13" s="57" t="inlineStr">
        <is>
          <t>이미지</t>
        </is>
      </c>
      <c r="F13" s="44" t="n"/>
      <c r="G13" s="58">
        <f>IF($G$12="","",$G$12)</f>
        <v/>
      </c>
      <c r="H13" s="59" t="n"/>
      <c r="I13" s="59" t="n"/>
      <c r="J13" s="59" t="n"/>
      <c r="K13" s="59" t="n"/>
      <c r="L13" s="60">
        <f>IF(SUM(U13:AY13)=0,"",SUM(U13:AY13))</f>
        <v/>
      </c>
      <c r="M13" s="61">
        <f>IFERROR(INDEX(U$2:AY$2,MATCH(TRUE,INDEX(U13:AY13&lt;&gt;"",0),0)),"")</f>
        <v/>
      </c>
      <c r="N13" s="61">
        <f>IFERROR(LOOKUP(2,1/(U13:AY13&lt;&gt;""),U$2:AY$2),"")</f>
        <v/>
      </c>
      <c r="O13" s="59" t="n"/>
      <c r="P13" s="59" t="n"/>
      <c r="Q13" s="59" t="n"/>
      <c r="R13" s="59" t="n"/>
      <c r="S13" s="14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</row>
    <row r="14" ht="15" customHeight="1">
      <c r="A14" s="62" t="n"/>
      <c r="B14" s="55">
        <f>IF($B$12="","",$B$12)</f>
        <v/>
      </c>
      <c r="C14" s="63" t="inlineStr">
        <is>
          <t>마케팅1팀</t>
        </is>
      </c>
      <c r="D14" s="55">
        <f>IF($D$12="","",$D$12)</f>
        <v/>
      </c>
      <c r="E14" s="64" t="inlineStr">
        <is>
          <t>영상</t>
        </is>
      </c>
      <c r="F14" s="44" t="n"/>
      <c r="G14" s="58">
        <f>IF($G$12="","",$G$12)</f>
        <v/>
      </c>
      <c r="H14" s="59" t="n"/>
      <c r="I14" s="59" t="n"/>
      <c r="J14" s="59" t="n"/>
      <c r="K14" s="59" t="n"/>
      <c r="L14" s="65">
        <f>IF(SUM(U14:AY14)=0,"",SUM(U14:AY14))</f>
        <v/>
      </c>
      <c r="M14" s="66">
        <f>IFERROR(INDEX(U$2:AY$2,MATCH(TRUE,INDEX(U14:AY14&lt;&gt;"",0),0)),"")</f>
        <v/>
      </c>
      <c r="N14" s="66">
        <f>IFERROR(LOOKUP(2,1/(U14:AY14&lt;&gt;""),U$2:AY$2),"")</f>
        <v/>
      </c>
      <c r="O14" s="59" t="n"/>
      <c r="P14" s="59" t="n"/>
      <c r="Q14" s="59" t="n"/>
      <c r="R14" s="59" t="n"/>
      <c r="S14" s="14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</row>
    <row r="15" ht="15" customHeight="1">
      <c r="A15" s="40">
        <f>IF($D$15="","",3)</f>
        <v/>
      </c>
      <c r="B15" s="10" t="n"/>
      <c r="C15" s="41" t="inlineStr">
        <is>
          <t>마케팅1팀</t>
        </is>
      </c>
      <c r="D15" s="42" t="n"/>
      <c r="E15" s="43" t="inlineStr">
        <is>
          <t>기획</t>
        </is>
      </c>
      <c r="F15" s="44" t="n"/>
      <c r="G15" s="45" t="n"/>
      <c r="H15" s="46">
        <f>IF($I$15="","",IF($I$15&lt;0,"🔴지연",IF($I$15&lt;=1,"🟡임박","🟢여유")))</f>
        <v/>
      </c>
      <c r="I15" s="47">
        <f>IF(OR($G$15="",$K$15=""),"",$G$15-$K$15)</f>
        <v/>
      </c>
      <c r="J15" s="48">
        <f>IF(SUM($L$15:$L$17)=0,"",SUM($L$15:$L$17))</f>
        <v/>
      </c>
      <c r="K15" s="49">
        <f>IF($J$15="","",MAX($N$15:$N$17))</f>
        <v/>
      </c>
      <c r="L15" s="50">
        <f>IF(SUM(U15:AY15)=0,"",SUM(U15:AY15))</f>
        <v/>
      </c>
      <c r="M15" s="51">
        <f>IFERROR(INDEX(U$2:AY$2,MATCH(TRUE,INDEX(U15:AY15&lt;&gt;"",0),0)),"")</f>
        <v/>
      </c>
      <c r="N15" s="51">
        <f>IFERROR(LOOKUP(2,1/(U15:AY15&lt;&gt;""),U$2:AY$2),"")</f>
        <v/>
      </c>
      <c r="O15" s="52" t="n"/>
      <c r="P15" s="52" t="n"/>
      <c r="Q15" s="52" t="n"/>
      <c r="R15" s="44" t="n"/>
      <c r="S15" s="14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</row>
    <row r="16" ht="15" customHeight="1">
      <c r="A16" s="54" t="n"/>
      <c r="B16" s="55">
        <f>IF($B$15="","",$B$15)</f>
        <v/>
      </c>
      <c r="C16" s="56" t="inlineStr">
        <is>
          <t>마케팅1팀</t>
        </is>
      </c>
      <c r="D16" s="55">
        <f>IF($D$15="","",$D$15)</f>
        <v/>
      </c>
      <c r="E16" s="57" t="inlineStr">
        <is>
          <t>이미지</t>
        </is>
      </c>
      <c r="F16" s="44" t="n"/>
      <c r="G16" s="58">
        <f>IF($G$15="","",$G$15)</f>
        <v/>
      </c>
      <c r="H16" s="59" t="n"/>
      <c r="I16" s="59" t="n"/>
      <c r="J16" s="59" t="n"/>
      <c r="K16" s="59" t="n"/>
      <c r="L16" s="60">
        <f>IF(SUM(U16:AY16)=0,"",SUM(U16:AY16))</f>
        <v/>
      </c>
      <c r="M16" s="61">
        <f>IFERROR(INDEX(U$2:AY$2,MATCH(TRUE,INDEX(U16:AY16&lt;&gt;"",0),0)),"")</f>
        <v/>
      </c>
      <c r="N16" s="61">
        <f>IFERROR(LOOKUP(2,1/(U16:AY16&lt;&gt;""),U$2:AY$2),"")</f>
        <v/>
      </c>
      <c r="O16" s="59" t="n"/>
      <c r="P16" s="59" t="n"/>
      <c r="Q16" s="59" t="n"/>
      <c r="R16" s="59" t="n"/>
      <c r="S16" s="14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</row>
    <row r="17" ht="15" customHeight="1">
      <c r="A17" s="62" t="n"/>
      <c r="B17" s="55">
        <f>IF($B$15="","",$B$15)</f>
        <v/>
      </c>
      <c r="C17" s="63" t="inlineStr">
        <is>
          <t>마케팅1팀</t>
        </is>
      </c>
      <c r="D17" s="55">
        <f>IF($D$15="","",$D$15)</f>
        <v/>
      </c>
      <c r="E17" s="64" t="inlineStr">
        <is>
          <t>영상</t>
        </is>
      </c>
      <c r="F17" s="44" t="n"/>
      <c r="G17" s="58">
        <f>IF($G$15="","",$G$15)</f>
        <v/>
      </c>
      <c r="H17" s="59" t="n"/>
      <c r="I17" s="59" t="n"/>
      <c r="J17" s="59" t="n"/>
      <c r="K17" s="59" t="n"/>
      <c r="L17" s="65">
        <f>IF(SUM(U17:AY17)=0,"",SUM(U17:AY17))</f>
        <v/>
      </c>
      <c r="M17" s="66">
        <f>IFERROR(INDEX(U$2:AY$2,MATCH(TRUE,INDEX(U17:AY17&lt;&gt;"",0),0)),"")</f>
        <v/>
      </c>
      <c r="N17" s="66">
        <f>IFERROR(LOOKUP(2,1/(U17:AY17&lt;&gt;""),U$2:AY$2),"")</f>
        <v/>
      </c>
      <c r="O17" s="59" t="n"/>
      <c r="P17" s="59" t="n"/>
      <c r="Q17" s="59" t="n"/>
      <c r="R17" s="59" t="n"/>
      <c r="S17" s="14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</row>
    <row r="18" ht="15" customHeight="1">
      <c r="A18" s="40">
        <f>IF($D$18="","",4)</f>
        <v/>
      </c>
      <c r="B18" s="10" t="n"/>
      <c r="C18" s="41" t="inlineStr">
        <is>
          <t>마케팅1팀</t>
        </is>
      </c>
      <c r="D18" s="42" t="n"/>
      <c r="E18" s="43" t="inlineStr">
        <is>
          <t>기획</t>
        </is>
      </c>
      <c r="F18" s="44" t="n"/>
      <c r="G18" s="45" t="n"/>
      <c r="H18" s="46">
        <f>IF($I$18="","",IF($I$18&lt;0,"🔴지연",IF($I$18&lt;=1,"🟡임박","🟢여유")))</f>
        <v/>
      </c>
      <c r="I18" s="47">
        <f>IF(OR($G$18="",$K$18=""),"",$G$18-$K$18)</f>
        <v/>
      </c>
      <c r="J18" s="48">
        <f>IF(SUM($L$18:$L$20)=0,"",SUM($L$18:$L$20))</f>
        <v/>
      </c>
      <c r="K18" s="49">
        <f>IF($J$18="","",MAX($N$18:$N$20))</f>
        <v/>
      </c>
      <c r="L18" s="50">
        <f>IF(SUM(U18:AY18)=0,"",SUM(U18:AY18))</f>
        <v/>
      </c>
      <c r="M18" s="51">
        <f>IFERROR(INDEX(U$2:AY$2,MATCH(TRUE,INDEX(U18:AY18&lt;&gt;"",0),0)),"")</f>
        <v/>
      </c>
      <c r="N18" s="51">
        <f>IFERROR(LOOKUP(2,1/(U18:AY18&lt;&gt;""),U$2:AY$2),"")</f>
        <v/>
      </c>
      <c r="O18" s="52" t="n"/>
      <c r="P18" s="52" t="n"/>
      <c r="Q18" s="52" t="n"/>
      <c r="R18" s="44" t="n"/>
      <c r="S18" s="14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</row>
    <row r="19" ht="15" customHeight="1">
      <c r="A19" s="54" t="n"/>
      <c r="B19" s="55">
        <f>IF($B$18="","",$B$18)</f>
        <v/>
      </c>
      <c r="C19" s="56" t="inlineStr">
        <is>
          <t>마케팅1팀</t>
        </is>
      </c>
      <c r="D19" s="55">
        <f>IF($D$18="","",$D$18)</f>
        <v/>
      </c>
      <c r="E19" s="57" t="inlineStr">
        <is>
          <t>이미지</t>
        </is>
      </c>
      <c r="F19" s="44" t="n"/>
      <c r="G19" s="58">
        <f>IF($G$18="","",$G$18)</f>
        <v/>
      </c>
      <c r="H19" s="59" t="n"/>
      <c r="I19" s="59" t="n"/>
      <c r="J19" s="59" t="n"/>
      <c r="K19" s="59" t="n"/>
      <c r="L19" s="60">
        <f>IF(SUM(U19:AY19)=0,"",SUM(U19:AY19))</f>
        <v/>
      </c>
      <c r="M19" s="61">
        <f>IFERROR(INDEX(U$2:AY$2,MATCH(TRUE,INDEX(U19:AY19&lt;&gt;"",0),0)),"")</f>
        <v/>
      </c>
      <c r="N19" s="61">
        <f>IFERROR(LOOKUP(2,1/(U19:AY19&lt;&gt;""),U$2:AY$2),"")</f>
        <v/>
      </c>
      <c r="O19" s="59" t="n"/>
      <c r="P19" s="59" t="n"/>
      <c r="Q19" s="59" t="n"/>
      <c r="R19" s="59" t="n"/>
      <c r="S19" s="14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</row>
    <row r="20" ht="15" customHeight="1">
      <c r="A20" s="62" t="n"/>
      <c r="B20" s="55">
        <f>IF($B$18="","",$B$18)</f>
        <v/>
      </c>
      <c r="C20" s="63" t="inlineStr">
        <is>
          <t>마케팅1팀</t>
        </is>
      </c>
      <c r="D20" s="55">
        <f>IF($D$18="","",$D$18)</f>
        <v/>
      </c>
      <c r="E20" s="64" t="inlineStr">
        <is>
          <t>영상</t>
        </is>
      </c>
      <c r="F20" s="44" t="n"/>
      <c r="G20" s="58">
        <f>IF($G$18="","",$G$18)</f>
        <v/>
      </c>
      <c r="H20" s="59" t="n"/>
      <c r="I20" s="59" t="n"/>
      <c r="J20" s="59" t="n"/>
      <c r="K20" s="59" t="n"/>
      <c r="L20" s="65">
        <f>IF(SUM(U20:AY20)=0,"",SUM(U20:AY20))</f>
        <v/>
      </c>
      <c r="M20" s="66">
        <f>IFERROR(INDEX(U$2:AY$2,MATCH(TRUE,INDEX(U20:AY20&lt;&gt;"",0),0)),"")</f>
        <v/>
      </c>
      <c r="N20" s="66">
        <f>IFERROR(LOOKUP(2,1/(U20:AY20&lt;&gt;""),U$2:AY$2),"")</f>
        <v/>
      </c>
      <c r="O20" s="59" t="n"/>
      <c r="P20" s="59" t="n"/>
      <c r="Q20" s="59" t="n"/>
      <c r="R20" s="59" t="n"/>
      <c r="S20" s="14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</row>
    <row r="21" ht="15" customHeight="1">
      <c r="A21" s="40">
        <f>IF($D$21="","",5)</f>
        <v/>
      </c>
      <c r="B21" s="10" t="n"/>
      <c r="C21" s="41" t="inlineStr">
        <is>
          <t>마케팅1팀</t>
        </is>
      </c>
      <c r="D21" s="42" t="n"/>
      <c r="E21" s="43" t="inlineStr">
        <is>
          <t>기획</t>
        </is>
      </c>
      <c r="F21" s="44" t="n"/>
      <c r="G21" s="45" t="n"/>
      <c r="H21" s="46">
        <f>IF($I$21="","",IF($I$21&lt;0,"🔴지연",IF($I$21&lt;=1,"🟡임박","🟢여유")))</f>
        <v/>
      </c>
      <c r="I21" s="47">
        <f>IF(OR($G$21="",$K$21=""),"",$G$21-$K$21)</f>
        <v/>
      </c>
      <c r="J21" s="48">
        <f>IF(SUM($L$21:$L$23)=0,"",SUM($L$21:$L$23))</f>
        <v/>
      </c>
      <c r="K21" s="49">
        <f>IF($J$21="","",MAX($N$21:$N$23))</f>
        <v/>
      </c>
      <c r="L21" s="50">
        <f>IF(SUM(U21:AY21)=0,"",SUM(U21:AY21))</f>
        <v/>
      </c>
      <c r="M21" s="51">
        <f>IFERROR(INDEX(U$2:AY$2,MATCH(TRUE,INDEX(U21:AY21&lt;&gt;"",0),0)),"")</f>
        <v/>
      </c>
      <c r="N21" s="51">
        <f>IFERROR(LOOKUP(2,1/(U21:AY21&lt;&gt;""),U$2:AY$2),"")</f>
        <v/>
      </c>
      <c r="O21" s="52" t="n"/>
      <c r="P21" s="52" t="n"/>
      <c r="Q21" s="52" t="n"/>
      <c r="R21" s="44" t="n"/>
      <c r="S21" s="14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</row>
    <row r="22" ht="15" customHeight="1">
      <c r="A22" s="54" t="n"/>
      <c r="B22" s="55">
        <f>IF($B$21="","",$B$21)</f>
        <v/>
      </c>
      <c r="C22" s="56" t="inlineStr">
        <is>
          <t>마케팅1팀</t>
        </is>
      </c>
      <c r="D22" s="55">
        <f>IF($D$21="","",$D$21)</f>
        <v/>
      </c>
      <c r="E22" s="57" t="inlineStr">
        <is>
          <t>이미지</t>
        </is>
      </c>
      <c r="F22" s="44" t="n"/>
      <c r="G22" s="58">
        <f>IF($G$21="","",$G$21)</f>
        <v/>
      </c>
      <c r="H22" s="59" t="n"/>
      <c r="I22" s="59" t="n"/>
      <c r="J22" s="59" t="n"/>
      <c r="K22" s="59" t="n"/>
      <c r="L22" s="60">
        <f>IF(SUM(U22:AY22)=0,"",SUM(U22:AY22))</f>
        <v/>
      </c>
      <c r="M22" s="61">
        <f>IFERROR(INDEX(U$2:AY$2,MATCH(TRUE,INDEX(U22:AY22&lt;&gt;"",0),0)),"")</f>
        <v/>
      </c>
      <c r="N22" s="61">
        <f>IFERROR(LOOKUP(2,1/(U22:AY22&lt;&gt;""),U$2:AY$2),"")</f>
        <v/>
      </c>
      <c r="O22" s="59" t="n"/>
      <c r="P22" s="59" t="n"/>
      <c r="Q22" s="59" t="n"/>
      <c r="R22" s="59" t="n"/>
      <c r="S22" s="14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</row>
    <row r="23" ht="15" customHeight="1">
      <c r="A23" s="62" t="n"/>
      <c r="B23" s="55">
        <f>IF($B$21="","",$B$21)</f>
        <v/>
      </c>
      <c r="C23" s="63" t="inlineStr">
        <is>
          <t>마케팅1팀</t>
        </is>
      </c>
      <c r="D23" s="55">
        <f>IF($D$21="","",$D$21)</f>
        <v/>
      </c>
      <c r="E23" s="64" t="inlineStr">
        <is>
          <t>영상</t>
        </is>
      </c>
      <c r="F23" s="44" t="n"/>
      <c r="G23" s="58">
        <f>IF($G$21="","",$G$21)</f>
        <v/>
      </c>
      <c r="H23" s="59" t="n"/>
      <c r="I23" s="59" t="n"/>
      <c r="J23" s="59" t="n"/>
      <c r="K23" s="59" t="n"/>
      <c r="L23" s="65">
        <f>IF(SUM(U23:AY23)=0,"",SUM(U23:AY23))</f>
        <v/>
      </c>
      <c r="M23" s="66">
        <f>IFERROR(INDEX(U$2:AY$2,MATCH(TRUE,INDEX(U23:AY23&lt;&gt;"",0),0)),"")</f>
        <v/>
      </c>
      <c r="N23" s="66">
        <f>IFERROR(LOOKUP(2,1/(U23:AY23&lt;&gt;""),U$2:AY$2),"")</f>
        <v/>
      </c>
      <c r="O23" s="59" t="n"/>
      <c r="P23" s="59" t="n"/>
      <c r="Q23" s="59" t="n"/>
      <c r="R23" s="59" t="n"/>
      <c r="S23" s="14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</row>
    <row r="24" ht="15" customHeight="1">
      <c r="A24" s="40">
        <f>IF($D$24="","",6)</f>
        <v/>
      </c>
      <c r="B24" s="10" t="n"/>
      <c r="C24" s="41" t="inlineStr">
        <is>
          <t>마케팅1팀</t>
        </is>
      </c>
      <c r="D24" s="42" t="n"/>
      <c r="E24" s="43" t="inlineStr">
        <is>
          <t>기획</t>
        </is>
      </c>
      <c r="F24" s="44" t="n"/>
      <c r="G24" s="45" t="n"/>
      <c r="H24" s="46">
        <f>IF($I$24="","",IF($I$24&lt;0,"🔴지연",IF($I$24&lt;=1,"🟡임박","🟢여유")))</f>
        <v/>
      </c>
      <c r="I24" s="47">
        <f>IF(OR($G$24="",$K$24=""),"",$G$24-$K$24)</f>
        <v/>
      </c>
      <c r="J24" s="48">
        <f>IF(SUM($L$24:$L$26)=0,"",SUM($L$24:$L$26))</f>
        <v/>
      </c>
      <c r="K24" s="49">
        <f>IF($J$24="","",MAX($N$24:$N$26))</f>
        <v/>
      </c>
      <c r="L24" s="50">
        <f>IF(SUM(U24:AY24)=0,"",SUM(U24:AY24))</f>
        <v/>
      </c>
      <c r="M24" s="51">
        <f>IFERROR(INDEX(U$2:AY$2,MATCH(TRUE,INDEX(U24:AY24&lt;&gt;"",0),0)),"")</f>
        <v/>
      </c>
      <c r="N24" s="51">
        <f>IFERROR(LOOKUP(2,1/(U24:AY24&lt;&gt;""),U$2:AY$2),"")</f>
        <v/>
      </c>
      <c r="O24" s="52" t="n"/>
      <c r="P24" s="52" t="n"/>
      <c r="Q24" s="52" t="n"/>
      <c r="R24" s="44" t="n"/>
      <c r="S24" s="14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</row>
    <row r="25" ht="15" customHeight="1">
      <c r="A25" s="54" t="n"/>
      <c r="B25" s="55">
        <f>IF($B$24="","",$B$24)</f>
        <v/>
      </c>
      <c r="C25" s="56" t="inlineStr">
        <is>
          <t>마케팅1팀</t>
        </is>
      </c>
      <c r="D25" s="55">
        <f>IF($D$24="","",$D$24)</f>
        <v/>
      </c>
      <c r="E25" s="57" t="inlineStr">
        <is>
          <t>이미지</t>
        </is>
      </c>
      <c r="F25" s="44" t="n"/>
      <c r="G25" s="58">
        <f>IF($G$24="","",$G$24)</f>
        <v/>
      </c>
      <c r="H25" s="59" t="n"/>
      <c r="I25" s="59" t="n"/>
      <c r="J25" s="59" t="n"/>
      <c r="K25" s="59" t="n"/>
      <c r="L25" s="60">
        <f>IF(SUM(U25:AY25)=0,"",SUM(U25:AY25))</f>
        <v/>
      </c>
      <c r="M25" s="61">
        <f>IFERROR(INDEX(U$2:AY$2,MATCH(TRUE,INDEX(U25:AY25&lt;&gt;"",0),0)),"")</f>
        <v/>
      </c>
      <c r="N25" s="61">
        <f>IFERROR(LOOKUP(2,1/(U25:AY25&lt;&gt;""),U$2:AY$2),"")</f>
        <v/>
      </c>
      <c r="O25" s="59" t="n"/>
      <c r="P25" s="59" t="n"/>
      <c r="Q25" s="59" t="n"/>
      <c r="R25" s="59" t="n"/>
      <c r="S25" s="14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</row>
    <row r="26" ht="15" customHeight="1">
      <c r="A26" s="62" t="n"/>
      <c r="B26" s="55">
        <f>IF($B$24="","",$B$24)</f>
        <v/>
      </c>
      <c r="C26" s="63" t="inlineStr">
        <is>
          <t>마케팅1팀</t>
        </is>
      </c>
      <c r="D26" s="55">
        <f>IF($D$24="","",$D$24)</f>
        <v/>
      </c>
      <c r="E26" s="64" t="inlineStr">
        <is>
          <t>영상</t>
        </is>
      </c>
      <c r="F26" s="44" t="n"/>
      <c r="G26" s="58">
        <f>IF($G$24="","",$G$24)</f>
        <v/>
      </c>
      <c r="H26" s="59" t="n"/>
      <c r="I26" s="59" t="n"/>
      <c r="J26" s="59" t="n"/>
      <c r="K26" s="59" t="n"/>
      <c r="L26" s="65">
        <f>IF(SUM(U26:AY26)=0,"",SUM(U26:AY26))</f>
        <v/>
      </c>
      <c r="M26" s="66">
        <f>IFERROR(INDEX(U$2:AY$2,MATCH(TRUE,INDEX(U26:AY26&lt;&gt;"",0),0)),"")</f>
        <v/>
      </c>
      <c r="N26" s="66">
        <f>IFERROR(LOOKUP(2,1/(U26:AY26&lt;&gt;""),U$2:AY$2),"")</f>
        <v/>
      </c>
      <c r="O26" s="59" t="n"/>
      <c r="P26" s="59" t="n"/>
      <c r="Q26" s="59" t="n"/>
      <c r="R26" s="59" t="n"/>
      <c r="S26" s="14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</row>
    <row r="27" ht="15" customHeight="1">
      <c r="A27" s="40">
        <f>IF($D$27="","",7)</f>
        <v/>
      </c>
      <c r="B27" s="10" t="n"/>
      <c r="C27" s="41" t="inlineStr">
        <is>
          <t>마케팅1팀</t>
        </is>
      </c>
      <c r="D27" s="42" t="n"/>
      <c r="E27" s="43" t="inlineStr">
        <is>
          <t>기획</t>
        </is>
      </c>
      <c r="F27" s="44" t="n"/>
      <c r="G27" s="45" t="n"/>
      <c r="H27" s="46">
        <f>IF($I$27="","",IF($I$27&lt;0,"🔴지연",IF($I$27&lt;=1,"🟡임박","🟢여유")))</f>
        <v/>
      </c>
      <c r="I27" s="47">
        <f>IF(OR($G$27="",$K$27=""),"",$G$27-$K$27)</f>
        <v/>
      </c>
      <c r="J27" s="48">
        <f>IF(SUM($L$27:$L$29)=0,"",SUM($L$27:$L$29))</f>
        <v/>
      </c>
      <c r="K27" s="49">
        <f>IF($J$27="","",MAX($N$27:$N$29))</f>
        <v/>
      </c>
      <c r="L27" s="50">
        <f>IF(SUM(U27:AY27)=0,"",SUM(U27:AY27))</f>
        <v/>
      </c>
      <c r="M27" s="51">
        <f>IFERROR(INDEX(U$2:AY$2,MATCH(TRUE,INDEX(U27:AY27&lt;&gt;"",0),0)),"")</f>
        <v/>
      </c>
      <c r="N27" s="51">
        <f>IFERROR(LOOKUP(2,1/(U27:AY27&lt;&gt;""),U$2:AY$2),"")</f>
        <v/>
      </c>
      <c r="O27" s="52" t="n"/>
      <c r="P27" s="52" t="n"/>
      <c r="Q27" s="52" t="n"/>
      <c r="R27" s="44" t="n"/>
      <c r="S27" s="14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</row>
    <row r="28" ht="15" customHeight="1">
      <c r="A28" s="54" t="n"/>
      <c r="B28" s="55">
        <f>IF($B$27="","",$B$27)</f>
        <v/>
      </c>
      <c r="C28" s="56" t="inlineStr">
        <is>
          <t>마케팅1팀</t>
        </is>
      </c>
      <c r="D28" s="55">
        <f>IF($D$27="","",$D$27)</f>
        <v/>
      </c>
      <c r="E28" s="57" t="inlineStr">
        <is>
          <t>이미지</t>
        </is>
      </c>
      <c r="F28" s="44" t="n"/>
      <c r="G28" s="58">
        <f>IF($G$27="","",$G$27)</f>
        <v/>
      </c>
      <c r="H28" s="59" t="n"/>
      <c r="I28" s="59" t="n"/>
      <c r="J28" s="59" t="n"/>
      <c r="K28" s="59" t="n"/>
      <c r="L28" s="60">
        <f>IF(SUM(U28:AY28)=0,"",SUM(U28:AY28))</f>
        <v/>
      </c>
      <c r="M28" s="61">
        <f>IFERROR(INDEX(U$2:AY$2,MATCH(TRUE,INDEX(U28:AY28&lt;&gt;"",0),0)),"")</f>
        <v/>
      </c>
      <c r="N28" s="61">
        <f>IFERROR(LOOKUP(2,1/(U28:AY28&lt;&gt;""),U$2:AY$2),"")</f>
        <v/>
      </c>
      <c r="O28" s="59" t="n"/>
      <c r="P28" s="59" t="n"/>
      <c r="Q28" s="59" t="n"/>
      <c r="R28" s="59" t="n"/>
      <c r="S28" s="14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3" t="n"/>
      <c r="AQ28" s="53" t="n"/>
      <c r="AR28" s="53" t="n"/>
      <c r="AS28" s="53" t="n"/>
      <c r="AT28" s="53" t="n"/>
      <c r="AU28" s="53" t="n"/>
      <c r="AV28" s="53" t="n"/>
      <c r="AW28" s="53" t="n"/>
      <c r="AX28" s="53" t="n"/>
      <c r="AY28" s="53" t="n"/>
    </row>
    <row r="29" ht="15" customHeight="1">
      <c r="A29" s="62" t="n"/>
      <c r="B29" s="55">
        <f>IF($B$27="","",$B$27)</f>
        <v/>
      </c>
      <c r="C29" s="63" t="inlineStr">
        <is>
          <t>마케팅1팀</t>
        </is>
      </c>
      <c r="D29" s="55">
        <f>IF($D$27="","",$D$27)</f>
        <v/>
      </c>
      <c r="E29" s="64" t="inlineStr">
        <is>
          <t>영상</t>
        </is>
      </c>
      <c r="F29" s="44" t="n"/>
      <c r="G29" s="58">
        <f>IF($G$27="","",$G$27)</f>
        <v/>
      </c>
      <c r="H29" s="59" t="n"/>
      <c r="I29" s="59" t="n"/>
      <c r="J29" s="59" t="n"/>
      <c r="K29" s="59" t="n"/>
      <c r="L29" s="65">
        <f>IF(SUM(U29:AY29)=0,"",SUM(U29:AY29))</f>
        <v/>
      </c>
      <c r="M29" s="66">
        <f>IFERROR(INDEX(U$2:AY$2,MATCH(TRUE,INDEX(U29:AY29&lt;&gt;"",0),0)),"")</f>
        <v/>
      </c>
      <c r="N29" s="66">
        <f>IFERROR(LOOKUP(2,1/(U29:AY29&lt;&gt;""),U$2:AY$2),"")</f>
        <v/>
      </c>
      <c r="O29" s="59" t="n"/>
      <c r="P29" s="59" t="n"/>
      <c r="Q29" s="59" t="n"/>
      <c r="R29" s="59" t="n"/>
      <c r="S29" s="14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</row>
    <row r="30" ht="15" customHeight="1">
      <c r="A30" s="40">
        <f>IF($D$30="","",8)</f>
        <v/>
      </c>
      <c r="B30" s="10" t="n"/>
      <c r="C30" s="41" t="inlineStr">
        <is>
          <t>마케팅1팀</t>
        </is>
      </c>
      <c r="D30" s="42" t="n"/>
      <c r="E30" s="43" t="inlineStr">
        <is>
          <t>기획</t>
        </is>
      </c>
      <c r="F30" s="44" t="n"/>
      <c r="G30" s="45" t="n"/>
      <c r="H30" s="46">
        <f>IF($I$30="","",IF($I$30&lt;0,"🔴지연",IF($I$30&lt;=1,"🟡임박","🟢여유")))</f>
        <v/>
      </c>
      <c r="I30" s="47">
        <f>IF(OR($G$30="",$K$30=""),"",$G$30-$K$30)</f>
        <v/>
      </c>
      <c r="J30" s="48">
        <f>IF(SUM($L$30:$L$32)=0,"",SUM($L$30:$L$32))</f>
        <v/>
      </c>
      <c r="K30" s="49">
        <f>IF($J$30="","",MAX($N$30:$N$32))</f>
        <v/>
      </c>
      <c r="L30" s="50">
        <f>IF(SUM(U30:AY30)=0,"",SUM(U30:AY30))</f>
        <v/>
      </c>
      <c r="M30" s="51">
        <f>IFERROR(INDEX(U$2:AY$2,MATCH(TRUE,INDEX(U30:AY30&lt;&gt;"",0),0)),"")</f>
        <v/>
      </c>
      <c r="N30" s="51">
        <f>IFERROR(LOOKUP(2,1/(U30:AY30&lt;&gt;""),U$2:AY$2),"")</f>
        <v/>
      </c>
      <c r="O30" s="52" t="n"/>
      <c r="P30" s="52" t="n"/>
      <c r="Q30" s="52" t="n"/>
      <c r="R30" s="44" t="n"/>
      <c r="S30" s="14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53" t="n"/>
      <c r="AH30" s="53" t="n"/>
      <c r="AI30" s="53" t="n"/>
      <c r="AJ30" s="53" t="n"/>
      <c r="AK30" s="53" t="n"/>
      <c r="AL30" s="53" t="n"/>
      <c r="AM30" s="53" t="n"/>
      <c r="AN30" s="53" t="n"/>
      <c r="AO30" s="53" t="n"/>
      <c r="AP30" s="53" t="n"/>
      <c r="AQ30" s="53" t="n"/>
      <c r="AR30" s="53" t="n"/>
      <c r="AS30" s="53" t="n"/>
      <c r="AT30" s="53" t="n"/>
      <c r="AU30" s="53" t="n"/>
      <c r="AV30" s="53" t="n"/>
      <c r="AW30" s="53" t="n"/>
      <c r="AX30" s="53" t="n"/>
      <c r="AY30" s="53" t="n"/>
    </row>
    <row r="31" ht="15" customHeight="1">
      <c r="A31" s="54" t="n"/>
      <c r="B31" s="55">
        <f>IF($B$30="","",$B$30)</f>
        <v/>
      </c>
      <c r="C31" s="56" t="inlineStr">
        <is>
          <t>마케팅1팀</t>
        </is>
      </c>
      <c r="D31" s="55">
        <f>IF($D$30="","",$D$30)</f>
        <v/>
      </c>
      <c r="E31" s="57" t="inlineStr">
        <is>
          <t>이미지</t>
        </is>
      </c>
      <c r="F31" s="44" t="n"/>
      <c r="G31" s="58">
        <f>IF($G$30="","",$G$30)</f>
        <v/>
      </c>
      <c r="H31" s="59" t="n"/>
      <c r="I31" s="59" t="n"/>
      <c r="J31" s="59" t="n"/>
      <c r="K31" s="59" t="n"/>
      <c r="L31" s="60">
        <f>IF(SUM(U31:AY31)=0,"",SUM(U31:AY31))</f>
        <v/>
      </c>
      <c r="M31" s="61">
        <f>IFERROR(INDEX(U$2:AY$2,MATCH(TRUE,INDEX(U31:AY31&lt;&gt;"",0),0)),"")</f>
        <v/>
      </c>
      <c r="N31" s="61">
        <f>IFERROR(LOOKUP(2,1/(U31:AY31&lt;&gt;""),U$2:AY$2),"")</f>
        <v/>
      </c>
      <c r="O31" s="59" t="n"/>
      <c r="P31" s="59" t="n"/>
      <c r="Q31" s="59" t="n"/>
      <c r="R31" s="59" t="n"/>
      <c r="S31" s="14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53" t="n"/>
      <c r="AH31" s="53" t="n"/>
      <c r="AI31" s="53" t="n"/>
      <c r="AJ31" s="53" t="n"/>
      <c r="AK31" s="53" t="n"/>
      <c r="AL31" s="53" t="n"/>
      <c r="AM31" s="53" t="n"/>
      <c r="AN31" s="53" t="n"/>
      <c r="AO31" s="53" t="n"/>
      <c r="AP31" s="53" t="n"/>
      <c r="AQ31" s="53" t="n"/>
      <c r="AR31" s="53" t="n"/>
      <c r="AS31" s="53" t="n"/>
      <c r="AT31" s="53" t="n"/>
      <c r="AU31" s="53" t="n"/>
      <c r="AV31" s="53" t="n"/>
      <c r="AW31" s="53" t="n"/>
      <c r="AX31" s="53" t="n"/>
      <c r="AY31" s="53" t="n"/>
    </row>
    <row r="32" ht="15" customHeight="1">
      <c r="A32" s="62" t="n"/>
      <c r="B32" s="55">
        <f>IF($B$30="","",$B$30)</f>
        <v/>
      </c>
      <c r="C32" s="63" t="inlineStr">
        <is>
          <t>마케팅1팀</t>
        </is>
      </c>
      <c r="D32" s="55">
        <f>IF($D$30="","",$D$30)</f>
        <v/>
      </c>
      <c r="E32" s="64" t="inlineStr">
        <is>
          <t>영상</t>
        </is>
      </c>
      <c r="F32" s="44" t="n"/>
      <c r="G32" s="58">
        <f>IF($G$30="","",$G$30)</f>
        <v/>
      </c>
      <c r="H32" s="59" t="n"/>
      <c r="I32" s="59" t="n"/>
      <c r="J32" s="59" t="n"/>
      <c r="K32" s="59" t="n"/>
      <c r="L32" s="65">
        <f>IF(SUM(U32:AY32)=0,"",SUM(U32:AY32))</f>
        <v/>
      </c>
      <c r="M32" s="66">
        <f>IFERROR(INDEX(U$2:AY$2,MATCH(TRUE,INDEX(U32:AY32&lt;&gt;"",0),0)),"")</f>
        <v/>
      </c>
      <c r="N32" s="66">
        <f>IFERROR(LOOKUP(2,1/(U32:AY32&lt;&gt;""),U$2:AY$2),"")</f>
        <v/>
      </c>
      <c r="O32" s="59" t="n"/>
      <c r="P32" s="59" t="n"/>
      <c r="Q32" s="59" t="n"/>
      <c r="R32" s="59" t="n"/>
      <c r="S32" s="14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53" t="n"/>
      <c r="AK32" s="53" t="n"/>
      <c r="AL32" s="53" t="n"/>
      <c r="AM32" s="53" t="n"/>
      <c r="AN32" s="53" t="n"/>
      <c r="AO32" s="53" t="n"/>
      <c r="AP32" s="53" t="n"/>
      <c r="AQ32" s="53" t="n"/>
      <c r="AR32" s="53" t="n"/>
      <c r="AS32" s="53" t="n"/>
      <c r="AT32" s="53" t="n"/>
      <c r="AU32" s="53" t="n"/>
      <c r="AV32" s="53" t="n"/>
      <c r="AW32" s="53" t="n"/>
      <c r="AX32" s="53" t="n"/>
      <c r="AY32" s="53" t="n"/>
    </row>
    <row r="33" ht="15" customHeight="1">
      <c r="A33" s="40">
        <f>IF($D$33="","",9)</f>
        <v/>
      </c>
      <c r="B33" s="10" t="n"/>
      <c r="C33" s="41" t="inlineStr">
        <is>
          <t>마케팅1팀</t>
        </is>
      </c>
      <c r="D33" s="42" t="n"/>
      <c r="E33" s="43" t="inlineStr">
        <is>
          <t>기획</t>
        </is>
      </c>
      <c r="F33" s="44" t="n"/>
      <c r="G33" s="45" t="n"/>
      <c r="H33" s="46">
        <f>IF($I$33="","",IF($I$33&lt;0,"🔴지연",IF($I$33&lt;=1,"🟡임박","🟢여유")))</f>
        <v/>
      </c>
      <c r="I33" s="47">
        <f>IF(OR($G$33="",$K$33=""),"",$G$33-$K$33)</f>
        <v/>
      </c>
      <c r="J33" s="48">
        <f>IF(SUM($L$33:$L$35)=0,"",SUM($L$33:$L$35))</f>
        <v/>
      </c>
      <c r="K33" s="49">
        <f>IF($J$33="","",MAX($N$33:$N$35))</f>
        <v/>
      </c>
      <c r="L33" s="50">
        <f>IF(SUM(U33:AY33)=0,"",SUM(U33:AY33))</f>
        <v/>
      </c>
      <c r="M33" s="51">
        <f>IFERROR(INDEX(U$2:AY$2,MATCH(TRUE,INDEX(U33:AY33&lt;&gt;"",0),0)),"")</f>
        <v/>
      </c>
      <c r="N33" s="51">
        <f>IFERROR(LOOKUP(2,1/(U33:AY33&lt;&gt;""),U$2:AY$2),"")</f>
        <v/>
      </c>
      <c r="O33" s="52" t="n"/>
      <c r="P33" s="52" t="n"/>
      <c r="Q33" s="52" t="n"/>
      <c r="R33" s="44" t="n"/>
      <c r="S33" s="14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53" t="n"/>
    </row>
    <row r="34" ht="15" customHeight="1">
      <c r="A34" s="54" t="n"/>
      <c r="B34" s="55">
        <f>IF($B$33="","",$B$33)</f>
        <v/>
      </c>
      <c r="C34" s="56" t="inlineStr">
        <is>
          <t>마케팅1팀</t>
        </is>
      </c>
      <c r="D34" s="55">
        <f>IF($D$33="","",$D$33)</f>
        <v/>
      </c>
      <c r="E34" s="57" t="inlineStr">
        <is>
          <t>이미지</t>
        </is>
      </c>
      <c r="F34" s="44" t="n"/>
      <c r="G34" s="58">
        <f>IF($G$33="","",$G$33)</f>
        <v/>
      </c>
      <c r="H34" s="59" t="n"/>
      <c r="I34" s="59" t="n"/>
      <c r="J34" s="59" t="n"/>
      <c r="K34" s="59" t="n"/>
      <c r="L34" s="60">
        <f>IF(SUM(U34:AY34)=0,"",SUM(U34:AY34))</f>
        <v/>
      </c>
      <c r="M34" s="61">
        <f>IFERROR(INDEX(U$2:AY$2,MATCH(TRUE,INDEX(U34:AY34&lt;&gt;"",0),0)),"")</f>
        <v/>
      </c>
      <c r="N34" s="61">
        <f>IFERROR(LOOKUP(2,1/(U34:AY34&lt;&gt;""),U$2:AY$2),"")</f>
        <v/>
      </c>
      <c r="O34" s="59" t="n"/>
      <c r="P34" s="59" t="n"/>
      <c r="Q34" s="59" t="n"/>
      <c r="R34" s="59" t="n"/>
      <c r="S34" s="14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  <c r="AD34" s="53" t="n"/>
      <c r="AE34" s="53" t="n"/>
      <c r="AF34" s="53" t="n"/>
      <c r="AG34" s="53" t="n"/>
      <c r="AH34" s="53" t="n"/>
      <c r="AI34" s="53" t="n"/>
      <c r="AJ34" s="53" t="n"/>
      <c r="AK34" s="53" t="n"/>
      <c r="AL34" s="53" t="n"/>
      <c r="AM34" s="53" t="n"/>
      <c r="AN34" s="53" t="n"/>
      <c r="AO34" s="53" t="n"/>
      <c r="AP34" s="53" t="n"/>
      <c r="AQ34" s="53" t="n"/>
      <c r="AR34" s="53" t="n"/>
      <c r="AS34" s="53" t="n"/>
      <c r="AT34" s="53" t="n"/>
      <c r="AU34" s="53" t="n"/>
      <c r="AV34" s="53" t="n"/>
      <c r="AW34" s="53" t="n"/>
      <c r="AX34" s="53" t="n"/>
      <c r="AY34" s="53" t="n"/>
    </row>
    <row r="35" ht="15" customHeight="1">
      <c r="A35" s="62" t="n"/>
      <c r="B35" s="55">
        <f>IF($B$33="","",$B$33)</f>
        <v/>
      </c>
      <c r="C35" s="63" t="inlineStr">
        <is>
          <t>마케팅1팀</t>
        </is>
      </c>
      <c r="D35" s="55">
        <f>IF($D$33="","",$D$33)</f>
        <v/>
      </c>
      <c r="E35" s="64" t="inlineStr">
        <is>
          <t>영상</t>
        </is>
      </c>
      <c r="F35" s="44" t="n"/>
      <c r="G35" s="58">
        <f>IF($G$33="","",$G$33)</f>
        <v/>
      </c>
      <c r="H35" s="59" t="n"/>
      <c r="I35" s="59" t="n"/>
      <c r="J35" s="59" t="n"/>
      <c r="K35" s="59" t="n"/>
      <c r="L35" s="65">
        <f>IF(SUM(U35:AY35)=0,"",SUM(U35:AY35))</f>
        <v/>
      </c>
      <c r="M35" s="66">
        <f>IFERROR(INDEX(U$2:AY$2,MATCH(TRUE,INDEX(U35:AY35&lt;&gt;"",0),0)),"")</f>
        <v/>
      </c>
      <c r="N35" s="66">
        <f>IFERROR(LOOKUP(2,1/(U35:AY35&lt;&gt;""),U$2:AY$2),"")</f>
        <v/>
      </c>
      <c r="O35" s="59" t="n"/>
      <c r="P35" s="59" t="n"/>
      <c r="Q35" s="59" t="n"/>
      <c r="R35" s="59" t="n"/>
      <c r="S35" s="14" t="n"/>
      <c r="U35" s="53" t="n"/>
      <c r="V35" s="53" t="n"/>
      <c r="W35" s="53" t="n"/>
      <c r="X35" s="53" t="n"/>
      <c r="Y35" s="53" t="n"/>
      <c r="Z35" s="53" t="n"/>
      <c r="AA35" s="53" t="n"/>
      <c r="AB35" s="53" t="n"/>
      <c r="AC35" s="53" t="n"/>
      <c r="AD35" s="53" t="n"/>
      <c r="AE35" s="53" t="n"/>
      <c r="AF35" s="53" t="n"/>
      <c r="AG35" s="53" t="n"/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</row>
    <row r="36" ht="15" customHeight="1">
      <c r="A36" s="40">
        <f>IF($D$36="","",10)</f>
        <v/>
      </c>
      <c r="B36" s="10" t="n"/>
      <c r="C36" s="41" t="inlineStr">
        <is>
          <t>마케팅1팀</t>
        </is>
      </c>
      <c r="D36" s="42" t="n"/>
      <c r="E36" s="43" t="inlineStr">
        <is>
          <t>기획</t>
        </is>
      </c>
      <c r="F36" s="44" t="n"/>
      <c r="G36" s="45" t="n"/>
      <c r="H36" s="46">
        <f>IF($I$36="","",IF($I$36&lt;0,"🔴지연",IF($I$36&lt;=1,"🟡임박","🟢여유")))</f>
        <v/>
      </c>
      <c r="I36" s="47">
        <f>IF(OR($G$36="",$K$36=""),"",$G$36-$K$36)</f>
        <v/>
      </c>
      <c r="J36" s="48">
        <f>IF(SUM($L$36:$L$38)=0,"",SUM($L$36:$L$38))</f>
        <v/>
      </c>
      <c r="K36" s="49">
        <f>IF($J$36="","",MAX($N$36:$N$38))</f>
        <v/>
      </c>
      <c r="L36" s="50">
        <f>IF(SUM(U36:AY36)=0,"",SUM(U36:AY36))</f>
        <v/>
      </c>
      <c r="M36" s="51">
        <f>IFERROR(INDEX(U$2:AY$2,MATCH(TRUE,INDEX(U36:AY36&lt;&gt;"",0),0)),"")</f>
        <v/>
      </c>
      <c r="N36" s="51">
        <f>IFERROR(LOOKUP(2,1/(U36:AY36&lt;&gt;""),U$2:AY$2),"")</f>
        <v/>
      </c>
      <c r="O36" s="52" t="n"/>
      <c r="P36" s="52" t="n"/>
      <c r="Q36" s="52" t="n"/>
      <c r="R36" s="44" t="n"/>
      <c r="S36" s="14" t="n"/>
      <c r="U36" s="53" t="n"/>
      <c r="V36" s="53" t="n"/>
      <c r="W36" s="53" t="n"/>
      <c r="X36" s="53" t="n"/>
      <c r="Y36" s="53" t="n"/>
      <c r="Z36" s="53" t="n"/>
      <c r="AA36" s="53" t="n"/>
      <c r="AB36" s="53" t="n"/>
      <c r="AC36" s="53" t="n"/>
      <c r="AD36" s="53" t="n"/>
      <c r="AE36" s="53" t="n"/>
      <c r="AF36" s="53" t="n"/>
      <c r="AG36" s="53" t="n"/>
      <c r="AH36" s="53" t="n"/>
      <c r="AI36" s="53" t="n"/>
      <c r="AJ36" s="53" t="n"/>
      <c r="AK36" s="53" t="n"/>
      <c r="AL36" s="53" t="n"/>
      <c r="AM36" s="53" t="n"/>
      <c r="AN36" s="53" t="n"/>
      <c r="AO36" s="53" t="n"/>
      <c r="AP36" s="53" t="n"/>
      <c r="AQ36" s="53" t="n"/>
      <c r="AR36" s="53" t="n"/>
      <c r="AS36" s="53" t="n"/>
      <c r="AT36" s="53" t="n"/>
      <c r="AU36" s="53" t="n"/>
      <c r="AV36" s="53" t="n"/>
      <c r="AW36" s="53" t="n"/>
      <c r="AX36" s="53" t="n"/>
      <c r="AY36" s="53" t="n"/>
    </row>
    <row r="37" ht="15" customHeight="1">
      <c r="A37" s="54" t="n"/>
      <c r="B37" s="55">
        <f>IF($B$36="","",$B$36)</f>
        <v/>
      </c>
      <c r="C37" s="56" t="inlineStr">
        <is>
          <t>마케팅1팀</t>
        </is>
      </c>
      <c r="D37" s="55">
        <f>IF($D$36="","",$D$36)</f>
        <v/>
      </c>
      <c r="E37" s="57" t="inlineStr">
        <is>
          <t>이미지</t>
        </is>
      </c>
      <c r="F37" s="44" t="n"/>
      <c r="G37" s="58">
        <f>IF($G$36="","",$G$36)</f>
        <v/>
      </c>
      <c r="H37" s="59" t="n"/>
      <c r="I37" s="59" t="n"/>
      <c r="J37" s="59" t="n"/>
      <c r="K37" s="59" t="n"/>
      <c r="L37" s="60">
        <f>IF(SUM(U37:AY37)=0,"",SUM(U37:AY37))</f>
        <v/>
      </c>
      <c r="M37" s="61">
        <f>IFERROR(INDEX(U$2:AY$2,MATCH(TRUE,INDEX(U37:AY37&lt;&gt;"",0),0)),"")</f>
        <v/>
      </c>
      <c r="N37" s="61">
        <f>IFERROR(LOOKUP(2,1/(U37:AY37&lt;&gt;""),U$2:AY$2),"")</f>
        <v/>
      </c>
      <c r="O37" s="59" t="n"/>
      <c r="P37" s="59" t="n"/>
      <c r="Q37" s="59" t="n"/>
      <c r="R37" s="59" t="n"/>
      <c r="S37" s="14" t="n"/>
      <c r="U37" s="53" t="n"/>
      <c r="V37" s="53" t="n"/>
      <c r="W37" s="53" t="n"/>
      <c r="X37" s="53" t="n"/>
      <c r="Y37" s="53" t="n"/>
      <c r="Z37" s="53" t="n"/>
      <c r="AA37" s="53" t="n"/>
      <c r="AB37" s="53" t="n"/>
      <c r="AC37" s="53" t="n"/>
      <c r="AD37" s="53" t="n"/>
      <c r="AE37" s="53" t="n"/>
      <c r="AF37" s="53" t="n"/>
      <c r="AG37" s="53" t="n"/>
      <c r="AH37" s="53" t="n"/>
      <c r="AI37" s="53" t="n"/>
      <c r="AJ37" s="53" t="n"/>
      <c r="AK37" s="53" t="n"/>
      <c r="AL37" s="53" t="n"/>
      <c r="AM37" s="53" t="n"/>
      <c r="AN37" s="53" t="n"/>
      <c r="AO37" s="53" t="n"/>
      <c r="AP37" s="53" t="n"/>
      <c r="AQ37" s="53" t="n"/>
      <c r="AR37" s="53" t="n"/>
      <c r="AS37" s="53" t="n"/>
      <c r="AT37" s="53" t="n"/>
      <c r="AU37" s="53" t="n"/>
      <c r="AV37" s="53" t="n"/>
      <c r="AW37" s="53" t="n"/>
      <c r="AX37" s="53" t="n"/>
      <c r="AY37" s="53" t="n"/>
    </row>
    <row r="38" ht="15" customHeight="1">
      <c r="A38" s="62" t="n"/>
      <c r="B38" s="55">
        <f>IF($B$36="","",$B$36)</f>
        <v/>
      </c>
      <c r="C38" s="63" t="inlineStr">
        <is>
          <t>마케팅1팀</t>
        </is>
      </c>
      <c r="D38" s="55">
        <f>IF($D$36="","",$D$36)</f>
        <v/>
      </c>
      <c r="E38" s="64" t="inlineStr">
        <is>
          <t>영상</t>
        </is>
      </c>
      <c r="F38" s="44" t="n"/>
      <c r="G38" s="58">
        <f>IF($G$36="","",$G$36)</f>
        <v/>
      </c>
      <c r="H38" s="59" t="n"/>
      <c r="I38" s="59" t="n"/>
      <c r="J38" s="59" t="n"/>
      <c r="K38" s="59" t="n"/>
      <c r="L38" s="65">
        <f>IF(SUM(U38:AY38)=0,"",SUM(U38:AY38))</f>
        <v/>
      </c>
      <c r="M38" s="66">
        <f>IFERROR(INDEX(U$2:AY$2,MATCH(TRUE,INDEX(U38:AY38&lt;&gt;"",0),0)),"")</f>
        <v/>
      </c>
      <c r="N38" s="66">
        <f>IFERROR(LOOKUP(2,1/(U38:AY38&lt;&gt;""),U$2:AY$2),"")</f>
        <v/>
      </c>
      <c r="O38" s="59" t="n"/>
      <c r="P38" s="59" t="n"/>
      <c r="Q38" s="59" t="n"/>
      <c r="R38" s="59" t="n"/>
      <c r="S38" s="14" t="n"/>
      <c r="U38" s="53" t="n"/>
      <c r="V38" s="53" t="n"/>
      <c r="W38" s="53" t="n"/>
      <c r="X38" s="53" t="n"/>
      <c r="Y38" s="53" t="n"/>
      <c r="Z38" s="53" t="n"/>
      <c r="AA38" s="53" t="n"/>
      <c r="AB38" s="53" t="n"/>
      <c r="AC38" s="53" t="n"/>
      <c r="AD38" s="53" t="n"/>
      <c r="AE38" s="53" t="n"/>
      <c r="AF38" s="53" t="n"/>
      <c r="AG38" s="53" t="n"/>
      <c r="AH38" s="53" t="n"/>
      <c r="AI38" s="53" t="n"/>
      <c r="AJ38" s="53" t="n"/>
      <c r="AK38" s="53" t="n"/>
      <c r="AL38" s="53" t="n"/>
      <c r="AM38" s="53" t="n"/>
      <c r="AN38" s="53" t="n"/>
      <c r="AO38" s="53" t="n"/>
      <c r="AP38" s="53" t="n"/>
      <c r="AQ38" s="53" t="n"/>
      <c r="AR38" s="53" t="n"/>
      <c r="AS38" s="53" t="n"/>
      <c r="AT38" s="53" t="n"/>
      <c r="AU38" s="53" t="n"/>
      <c r="AV38" s="53" t="n"/>
      <c r="AW38" s="53" t="n"/>
      <c r="AX38" s="53" t="n"/>
      <c r="AY38" s="53" t="n"/>
    </row>
    <row r="39" ht="15" customHeight="1">
      <c r="A39" s="40">
        <f>IF($D$39="","",11)</f>
        <v/>
      </c>
      <c r="B39" s="10" t="n"/>
      <c r="C39" s="41" t="inlineStr">
        <is>
          <t>마케팅1팀</t>
        </is>
      </c>
      <c r="D39" s="42" t="n"/>
      <c r="E39" s="43" t="inlineStr">
        <is>
          <t>기획</t>
        </is>
      </c>
      <c r="F39" s="44" t="n"/>
      <c r="G39" s="45" t="n"/>
      <c r="H39" s="46">
        <f>IF($I$39="","",IF($I$39&lt;0,"🔴지연",IF($I$39&lt;=1,"🟡임박","🟢여유")))</f>
        <v/>
      </c>
      <c r="I39" s="47">
        <f>IF(OR($G$39="",$K$39=""),"",$G$39-$K$39)</f>
        <v/>
      </c>
      <c r="J39" s="48">
        <f>IF(SUM($L$39:$L$41)=0,"",SUM($L$39:$L$41))</f>
        <v/>
      </c>
      <c r="K39" s="49">
        <f>IF($J$39="","",MAX($N$39:$N$41))</f>
        <v/>
      </c>
      <c r="L39" s="50">
        <f>IF(SUM(U39:AY39)=0,"",SUM(U39:AY39))</f>
        <v/>
      </c>
      <c r="M39" s="51">
        <f>IFERROR(INDEX(U$2:AY$2,MATCH(TRUE,INDEX(U39:AY39&lt;&gt;"",0),0)),"")</f>
        <v/>
      </c>
      <c r="N39" s="51">
        <f>IFERROR(LOOKUP(2,1/(U39:AY39&lt;&gt;""),U$2:AY$2),"")</f>
        <v/>
      </c>
      <c r="O39" s="52" t="n"/>
      <c r="P39" s="52" t="n"/>
      <c r="Q39" s="52" t="n"/>
      <c r="R39" s="44" t="n"/>
      <c r="S39" s="14" t="n"/>
      <c r="U39" s="53" t="n"/>
      <c r="V39" s="53" t="n"/>
      <c r="W39" s="53" t="n"/>
      <c r="X39" s="53" t="n"/>
      <c r="Y39" s="53" t="n"/>
      <c r="Z39" s="53" t="n"/>
      <c r="AA39" s="53" t="n"/>
      <c r="AB39" s="53" t="n"/>
      <c r="AC39" s="53" t="n"/>
      <c r="AD39" s="53" t="n"/>
      <c r="AE39" s="53" t="n"/>
      <c r="AF39" s="53" t="n"/>
      <c r="AG39" s="53" t="n"/>
      <c r="AH39" s="53" t="n"/>
      <c r="AI39" s="53" t="n"/>
      <c r="AJ39" s="53" t="n"/>
      <c r="AK39" s="53" t="n"/>
      <c r="AL39" s="53" t="n"/>
      <c r="AM39" s="53" t="n"/>
      <c r="AN39" s="53" t="n"/>
      <c r="AO39" s="53" t="n"/>
      <c r="AP39" s="53" t="n"/>
      <c r="AQ39" s="53" t="n"/>
      <c r="AR39" s="53" t="n"/>
      <c r="AS39" s="53" t="n"/>
      <c r="AT39" s="53" t="n"/>
      <c r="AU39" s="53" t="n"/>
      <c r="AV39" s="53" t="n"/>
      <c r="AW39" s="53" t="n"/>
      <c r="AX39" s="53" t="n"/>
      <c r="AY39" s="53" t="n"/>
    </row>
    <row r="40" ht="15" customHeight="1">
      <c r="A40" s="54" t="n"/>
      <c r="B40" s="55">
        <f>IF($B$39="","",$B$39)</f>
        <v/>
      </c>
      <c r="C40" s="56" t="inlineStr">
        <is>
          <t>마케팅1팀</t>
        </is>
      </c>
      <c r="D40" s="55">
        <f>IF($D$39="","",$D$39)</f>
        <v/>
      </c>
      <c r="E40" s="57" t="inlineStr">
        <is>
          <t>이미지</t>
        </is>
      </c>
      <c r="F40" s="44" t="n"/>
      <c r="G40" s="58">
        <f>IF($G$39="","",$G$39)</f>
        <v/>
      </c>
      <c r="H40" s="59" t="n"/>
      <c r="I40" s="59" t="n"/>
      <c r="J40" s="59" t="n"/>
      <c r="K40" s="59" t="n"/>
      <c r="L40" s="60">
        <f>IF(SUM(U40:AY40)=0,"",SUM(U40:AY40))</f>
        <v/>
      </c>
      <c r="M40" s="61">
        <f>IFERROR(INDEX(U$2:AY$2,MATCH(TRUE,INDEX(U40:AY40&lt;&gt;"",0),0)),"")</f>
        <v/>
      </c>
      <c r="N40" s="61">
        <f>IFERROR(LOOKUP(2,1/(U40:AY40&lt;&gt;""),U$2:AY$2),"")</f>
        <v/>
      </c>
      <c r="O40" s="59" t="n"/>
      <c r="P40" s="59" t="n"/>
      <c r="Q40" s="59" t="n"/>
      <c r="R40" s="59" t="n"/>
      <c r="S40" s="14" t="n"/>
      <c r="U40" s="53" t="n"/>
      <c r="V40" s="53" t="n"/>
      <c r="W40" s="53" t="n"/>
      <c r="X40" s="53" t="n"/>
      <c r="Y40" s="53" t="n"/>
      <c r="Z40" s="53" t="n"/>
      <c r="AA40" s="53" t="n"/>
      <c r="AB40" s="53" t="n"/>
      <c r="AC40" s="53" t="n"/>
      <c r="AD40" s="53" t="n"/>
      <c r="AE40" s="53" t="n"/>
      <c r="AF40" s="53" t="n"/>
      <c r="AG40" s="53" t="n"/>
      <c r="AH40" s="53" t="n"/>
      <c r="AI40" s="53" t="n"/>
      <c r="AJ40" s="53" t="n"/>
      <c r="AK40" s="53" t="n"/>
      <c r="AL40" s="53" t="n"/>
      <c r="AM40" s="53" t="n"/>
      <c r="AN40" s="53" t="n"/>
      <c r="AO40" s="53" t="n"/>
      <c r="AP40" s="53" t="n"/>
      <c r="AQ40" s="53" t="n"/>
      <c r="AR40" s="53" t="n"/>
      <c r="AS40" s="53" t="n"/>
      <c r="AT40" s="53" t="n"/>
      <c r="AU40" s="53" t="n"/>
      <c r="AV40" s="53" t="n"/>
      <c r="AW40" s="53" t="n"/>
      <c r="AX40" s="53" t="n"/>
      <c r="AY40" s="53" t="n"/>
    </row>
    <row r="41" ht="15" customHeight="1">
      <c r="A41" s="62" t="n"/>
      <c r="B41" s="55">
        <f>IF($B$39="","",$B$39)</f>
        <v/>
      </c>
      <c r="C41" s="63" t="inlineStr">
        <is>
          <t>마케팅1팀</t>
        </is>
      </c>
      <c r="D41" s="55">
        <f>IF($D$39="","",$D$39)</f>
        <v/>
      </c>
      <c r="E41" s="64" t="inlineStr">
        <is>
          <t>영상</t>
        </is>
      </c>
      <c r="F41" s="44" t="n"/>
      <c r="G41" s="58">
        <f>IF($G$39="","",$G$39)</f>
        <v/>
      </c>
      <c r="H41" s="59" t="n"/>
      <c r="I41" s="59" t="n"/>
      <c r="J41" s="59" t="n"/>
      <c r="K41" s="59" t="n"/>
      <c r="L41" s="65">
        <f>IF(SUM(U41:AY41)=0,"",SUM(U41:AY41))</f>
        <v/>
      </c>
      <c r="M41" s="66">
        <f>IFERROR(INDEX(U$2:AY$2,MATCH(TRUE,INDEX(U41:AY41&lt;&gt;"",0),0)),"")</f>
        <v/>
      </c>
      <c r="N41" s="66">
        <f>IFERROR(LOOKUP(2,1/(U41:AY41&lt;&gt;""),U$2:AY$2),"")</f>
        <v/>
      </c>
      <c r="O41" s="59" t="n"/>
      <c r="P41" s="59" t="n"/>
      <c r="Q41" s="59" t="n"/>
      <c r="R41" s="59" t="n"/>
      <c r="S41" s="14" t="n"/>
      <c r="U41" s="53" t="n"/>
      <c r="V41" s="53" t="n"/>
      <c r="W41" s="53" t="n"/>
      <c r="X41" s="53" t="n"/>
      <c r="Y41" s="53" t="n"/>
      <c r="Z41" s="53" t="n"/>
      <c r="AA41" s="53" t="n"/>
      <c r="AB41" s="53" t="n"/>
      <c r="AC41" s="53" t="n"/>
      <c r="AD41" s="53" t="n"/>
      <c r="AE41" s="53" t="n"/>
      <c r="AF41" s="53" t="n"/>
      <c r="AG41" s="53" t="n"/>
      <c r="AH41" s="53" t="n"/>
      <c r="AI41" s="53" t="n"/>
      <c r="AJ41" s="53" t="n"/>
      <c r="AK41" s="53" t="n"/>
      <c r="AL41" s="53" t="n"/>
      <c r="AM41" s="53" t="n"/>
      <c r="AN41" s="53" t="n"/>
      <c r="AO41" s="53" t="n"/>
      <c r="AP41" s="53" t="n"/>
      <c r="AQ41" s="53" t="n"/>
      <c r="AR41" s="53" t="n"/>
      <c r="AS41" s="53" t="n"/>
      <c r="AT41" s="53" t="n"/>
      <c r="AU41" s="53" t="n"/>
      <c r="AV41" s="53" t="n"/>
      <c r="AW41" s="53" t="n"/>
      <c r="AX41" s="53" t="n"/>
      <c r="AY41" s="53" t="n"/>
    </row>
    <row r="42" ht="15" customHeight="1">
      <c r="A42" s="40">
        <f>IF($D$42="","",12)</f>
        <v/>
      </c>
      <c r="B42" s="10" t="n"/>
      <c r="C42" s="41" t="inlineStr">
        <is>
          <t>마케팅1팀</t>
        </is>
      </c>
      <c r="D42" s="42" t="n"/>
      <c r="E42" s="43" t="inlineStr">
        <is>
          <t>기획</t>
        </is>
      </c>
      <c r="F42" s="44" t="n"/>
      <c r="G42" s="45" t="n"/>
      <c r="H42" s="46">
        <f>IF($I$42="","",IF($I$42&lt;0,"🔴지연",IF($I$42&lt;=1,"🟡임박","🟢여유")))</f>
        <v/>
      </c>
      <c r="I42" s="47">
        <f>IF(OR($G$42="",$K$42=""),"",$G$42-$K$42)</f>
        <v/>
      </c>
      <c r="J42" s="48">
        <f>IF(SUM($L$42:$L$44)=0,"",SUM($L$42:$L$44))</f>
        <v/>
      </c>
      <c r="K42" s="49">
        <f>IF($J$42="","",MAX($N$42:$N$44))</f>
        <v/>
      </c>
      <c r="L42" s="50">
        <f>IF(SUM(U42:AY42)=0,"",SUM(U42:AY42))</f>
        <v/>
      </c>
      <c r="M42" s="51">
        <f>IFERROR(INDEX(U$2:AY$2,MATCH(TRUE,INDEX(U42:AY42&lt;&gt;"",0),0)),"")</f>
        <v/>
      </c>
      <c r="N42" s="51">
        <f>IFERROR(LOOKUP(2,1/(U42:AY42&lt;&gt;""),U$2:AY$2),"")</f>
        <v/>
      </c>
      <c r="O42" s="52" t="n"/>
      <c r="P42" s="52" t="n"/>
      <c r="Q42" s="52" t="n"/>
      <c r="R42" s="44" t="n"/>
      <c r="S42" s="14" t="n"/>
      <c r="U42" s="53" t="n"/>
      <c r="V42" s="53" t="n"/>
      <c r="W42" s="53" t="n"/>
      <c r="X42" s="53" t="n"/>
      <c r="Y42" s="53" t="n"/>
      <c r="Z42" s="53" t="n"/>
      <c r="AA42" s="53" t="n"/>
      <c r="AB42" s="53" t="n"/>
      <c r="AC42" s="53" t="n"/>
      <c r="AD42" s="53" t="n"/>
      <c r="AE42" s="53" t="n"/>
      <c r="AF42" s="53" t="n"/>
      <c r="AG42" s="53" t="n"/>
      <c r="AH42" s="53" t="n"/>
      <c r="AI42" s="53" t="n"/>
      <c r="AJ42" s="53" t="n"/>
      <c r="AK42" s="53" t="n"/>
      <c r="AL42" s="53" t="n"/>
      <c r="AM42" s="53" t="n"/>
      <c r="AN42" s="53" t="n"/>
      <c r="AO42" s="53" t="n"/>
      <c r="AP42" s="53" t="n"/>
      <c r="AQ42" s="53" t="n"/>
      <c r="AR42" s="53" t="n"/>
      <c r="AS42" s="53" t="n"/>
      <c r="AT42" s="53" t="n"/>
      <c r="AU42" s="53" t="n"/>
      <c r="AV42" s="53" t="n"/>
      <c r="AW42" s="53" t="n"/>
      <c r="AX42" s="53" t="n"/>
      <c r="AY42" s="53" t="n"/>
    </row>
    <row r="43" ht="15" customHeight="1">
      <c r="A43" s="54" t="n"/>
      <c r="B43" s="55">
        <f>IF($B$42="","",$B$42)</f>
        <v/>
      </c>
      <c r="C43" s="56" t="inlineStr">
        <is>
          <t>마케팅1팀</t>
        </is>
      </c>
      <c r="D43" s="55">
        <f>IF($D$42="","",$D$42)</f>
        <v/>
      </c>
      <c r="E43" s="57" t="inlineStr">
        <is>
          <t>이미지</t>
        </is>
      </c>
      <c r="F43" s="44" t="n"/>
      <c r="G43" s="58">
        <f>IF($G$42="","",$G$42)</f>
        <v/>
      </c>
      <c r="H43" s="59" t="n"/>
      <c r="I43" s="59" t="n"/>
      <c r="J43" s="59" t="n"/>
      <c r="K43" s="59" t="n"/>
      <c r="L43" s="60">
        <f>IF(SUM(U43:AY43)=0,"",SUM(U43:AY43))</f>
        <v/>
      </c>
      <c r="M43" s="61">
        <f>IFERROR(INDEX(U$2:AY$2,MATCH(TRUE,INDEX(U43:AY43&lt;&gt;"",0),0)),"")</f>
        <v/>
      </c>
      <c r="N43" s="61">
        <f>IFERROR(LOOKUP(2,1/(U43:AY43&lt;&gt;""),U$2:AY$2),"")</f>
        <v/>
      </c>
      <c r="O43" s="59" t="n"/>
      <c r="P43" s="59" t="n"/>
      <c r="Q43" s="59" t="n"/>
      <c r="R43" s="59" t="n"/>
      <c r="S43" s="14" t="n"/>
      <c r="U43" s="53" t="n"/>
      <c r="V43" s="53" t="n"/>
      <c r="W43" s="53" t="n"/>
      <c r="X43" s="53" t="n"/>
      <c r="Y43" s="53" t="n"/>
      <c r="Z43" s="53" t="n"/>
      <c r="AA43" s="53" t="n"/>
      <c r="AB43" s="53" t="n"/>
      <c r="AC43" s="53" t="n"/>
      <c r="AD43" s="53" t="n"/>
      <c r="AE43" s="53" t="n"/>
      <c r="AF43" s="53" t="n"/>
      <c r="AG43" s="53" t="n"/>
      <c r="AH43" s="53" t="n"/>
      <c r="AI43" s="53" t="n"/>
      <c r="AJ43" s="53" t="n"/>
      <c r="AK43" s="53" t="n"/>
      <c r="AL43" s="53" t="n"/>
      <c r="AM43" s="53" t="n"/>
      <c r="AN43" s="53" t="n"/>
      <c r="AO43" s="53" t="n"/>
      <c r="AP43" s="53" t="n"/>
      <c r="AQ43" s="53" t="n"/>
      <c r="AR43" s="53" t="n"/>
      <c r="AS43" s="53" t="n"/>
      <c r="AT43" s="53" t="n"/>
      <c r="AU43" s="53" t="n"/>
      <c r="AV43" s="53" t="n"/>
      <c r="AW43" s="53" t="n"/>
      <c r="AX43" s="53" t="n"/>
      <c r="AY43" s="53" t="n"/>
    </row>
    <row r="44" ht="15" customHeight="1">
      <c r="A44" s="62" t="n"/>
      <c r="B44" s="55">
        <f>IF($B$42="","",$B$42)</f>
        <v/>
      </c>
      <c r="C44" s="63" t="inlineStr">
        <is>
          <t>마케팅1팀</t>
        </is>
      </c>
      <c r="D44" s="55">
        <f>IF($D$42="","",$D$42)</f>
        <v/>
      </c>
      <c r="E44" s="64" t="inlineStr">
        <is>
          <t>영상</t>
        </is>
      </c>
      <c r="F44" s="44" t="n"/>
      <c r="G44" s="58">
        <f>IF($G$42="","",$G$42)</f>
        <v/>
      </c>
      <c r="H44" s="59" t="n"/>
      <c r="I44" s="59" t="n"/>
      <c r="J44" s="59" t="n"/>
      <c r="K44" s="59" t="n"/>
      <c r="L44" s="65">
        <f>IF(SUM(U44:AY44)=0,"",SUM(U44:AY44))</f>
        <v/>
      </c>
      <c r="M44" s="66">
        <f>IFERROR(INDEX(U$2:AY$2,MATCH(TRUE,INDEX(U44:AY44&lt;&gt;"",0),0)),"")</f>
        <v/>
      </c>
      <c r="N44" s="66">
        <f>IFERROR(LOOKUP(2,1/(U44:AY44&lt;&gt;""),U$2:AY$2),"")</f>
        <v/>
      </c>
      <c r="O44" s="59" t="n"/>
      <c r="P44" s="59" t="n"/>
      <c r="Q44" s="59" t="n"/>
      <c r="R44" s="59" t="n"/>
      <c r="S44" s="14" t="n"/>
      <c r="U44" s="53" t="n"/>
      <c r="V44" s="53" t="n"/>
      <c r="W44" s="53" t="n"/>
      <c r="X44" s="53" t="n"/>
      <c r="Y44" s="53" t="n"/>
      <c r="Z44" s="53" t="n"/>
      <c r="AA44" s="53" t="n"/>
      <c r="AB44" s="53" t="n"/>
      <c r="AC44" s="53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53" t="n"/>
      <c r="AN44" s="53" t="n"/>
      <c r="AO44" s="53" t="n"/>
      <c r="AP44" s="53" t="n"/>
      <c r="AQ44" s="53" t="n"/>
      <c r="AR44" s="53" t="n"/>
      <c r="AS44" s="53" t="n"/>
      <c r="AT44" s="53" t="n"/>
      <c r="AU44" s="53" t="n"/>
      <c r="AV44" s="53" t="n"/>
      <c r="AW44" s="53" t="n"/>
      <c r="AX44" s="53" t="n"/>
      <c r="AY44" s="53" t="n"/>
    </row>
    <row r="45" ht="15" customHeight="1">
      <c r="A45" s="40">
        <f>IF($D$45="","",13)</f>
        <v/>
      </c>
      <c r="B45" s="10" t="n"/>
      <c r="C45" s="41" t="inlineStr">
        <is>
          <t>마케팅1팀</t>
        </is>
      </c>
      <c r="D45" s="42" t="n"/>
      <c r="E45" s="43" t="inlineStr">
        <is>
          <t>기획</t>
        </is>
      </c>
      <c r="F45" s="44" t="n"/>
      <c r="G45" s="45" t="n"/>
      <c r="H45" s="46">
        <f>IF($I$45="","",IF($I$45&lt;0,"🔴지연",IF($I$45&lt;=1,"🟡임박","🟢여유")))</f>
        <v/>
      </c>
      <c r="I45" s="47">
        <f>IF(OR($G$45="",$K$45=""),"",$G$45-$K$45)</f>
        <v/>
      </c>
      <c r="J45" s="48">
        <f>IF(SUM($L$45:$L$47)=0,"",SUM($L$45:$L$47))</f>
        <v/>
      </c>
      <c r="K45" s="49">
        <f>IF($J$45="","",MAX($N$45:$N$47))</f>
        <v/>
      </c>
      <c r="L45" s="50">
        <f>IF(SUM(U45:AY45)=0,"",SUM(U45:AY45))</f>
        <v/>
      </c>
      <c r="M45" s="51">
        <f>IFERROR(INDEX(U$2:AY$2,MATCH(TRUE,INDEX(U45:AY45&lt;&gt;"",0),0)),"")</f>
        <v/>
      </c>
      <c r="N45" s="51">
        <f>IFERROR(LOOKUP(2,1/(U45:AY45&lt;&gt;""),U$2:AY$2),"")</f>
        <v/>
      </c>
      <c r="O45" s="52" t="n"/>
      <c r="P45" s="52" t="n"/>
      <c r="Q45" s="52" t="n"/>
      <c r="R45" s="44" t="n"/>
      <c r="S45" s="14" t="n"/>
      <c r="U45" s="53" t="n"/>
      <c r="V45" s="53" t="n"/>
      <c r="W45" s="53" t="n"/>
      <c r="X45" s="53" t="n"/>
      <c r="Y45" s="53" t="n"/>
      <c r="Z45" s="53" t="n"/>
      <c r="AA45" s="53" t="n"/>
      <c r="AB45" s="53" t="n"/>
      <c r="AC45" s="53" t="n"/>
      <c r="AD45" s="53" t="n"/>
      <c r="AE45" s="53" t="n"/>
      <c r="AF45" s="53" t="n"/>
      <c r="AG45" s="53" t="n"/>
      <c r="AH45" s="53" t="n"/>
      <c r="AI45" s="53" t="n"/>
      <c r="AJ45" s="53" t="n"/>
      <c r="AK45" s="53" t="n"/>
      <c r="AL45" s="53" t="n"/>
      <c r="AM45" s="53" t="n"/>
      <c r="AN45" s="53" t="n"/>
      <c r="AO45" s="53" t="n"/>
      <c r="AP45" s="53" t="n"/>
      <c r="AQ45" s="53" t="n"/>
      <c r="AR45" s="53" t="n"/>
      <c r="AS45" s="53" t="n"/>
      <c r="AT45" s="53" t="n"/>
      <c r="AU45" s="53" t="n"/>
      <c r="AV45" s="53" t="n"/>
      <c r="AW45" s="53" t="n"/>
      <c r="AX45" s="53" t="n"/>
      <c r="AY45" s="53" t="n"/>
    </row>
    <row r="46" ht="15" customHeight="1">
      <c r="A46" s="54" t="n"/>
      <c r="B46" s="55">
        <f>IF($B$45="","",$B$45)</f>
        <v/>
      </c>
      <c r="C46" s="56" t="inlineStr">
        <is>
          <t>마케팅1팀</t>
        </is>
      </c>
      <c r="D46" s="55">
        <f>IF($D$45="","",$D$45)</f>
        <v/>
      </c>
      <c r="E46" s="57" t="inlineStr">
        <is>
          <t>이미지</t>
        </is>
      </c>
      <c r="F46" s="44" t="n"/>
      <c r="G46" s="58">
        <f>IF($G$45="","",$G$45)</f>
        <v/>
      </c>
      <c r="H46" s="59" t="n"/>
      <c r="I46" s="59" t="n"/>
      <c r="J46" s="59" t="n"/>
      <c r="K46" s="59" t="n"/>
      <c r="L46" s="60">
        <f>IF(SUM(U46:AY46)=0,"",SUM(U46:AY46))</f>
        <v/>
      </c>
      <c r="M46" s="61">
        <f>IFERROR(INDEX(U$2:AY$2,MATCH(TRUE,INDEX(U46:AY46&lt;&gt;"",0),0)),"")</f>
        <v/>
      </c>
      <c r="N46" s="61">
        <f>IFERROR(LOOKUP(2,1/(U46:AY46&lt;&gt;""),U$2:AY$2),"")</f>
        <v/>
      </c>
      <c r="O46" s="59" t="n"/>
      <c r="P46" s="59" t="n"/>
      <c r="Q46" s="59" t="n"/>
      <c r="R46" s="59" t="n"/>
      <c r="S46" s="14" t="n"/>
      <c r="U46" s="53" t="n"/>
      <c r="V46" s="53" t="n"/>
      <c r="W46" s="53" t="n"/>
      <c r="X46" s="53" t="n"/>
      <c r="Y46" s="53" t="n"/>
      <c r="Z46" s="53" t="n"/>
      <c r="AA46" s="53" t="n"/>
      <c r="AB46" s="53" t="n"/>
      <c r="AC46" s="53" t="n"/>
      <c r="AD46" s="53" t="n"/>
      <c r="AE46" s="53" t="n"/>
      <c r="AF46" s="53" t="n"/>
      <c r="AG46" s="53" t="n"/>
      <c r="AH46" s="53" t="n"/>
      <c r="AI46" s="53" t="n"/>
      <c r="AJ46" s="53" t="n"/>
      <c r="AK46" s="53" t="n"/>
      <c r="AL46" s="53" t="n"/>
      <c r="AM46" s="53" t="n"/>
      <c r="AN46" s="53" t="n"/>
      <c r="AO46" s="53" t="n"/>
      <c r="AP46" s="53" t="n"/>
      <c r="AQ46" s="53" t="n"/>
      <c r="AR46" s="53" t="n"/>
      <c r="AS46" s="53" t="n"/>
      <c r="AT46" s="53" t="n"/>
      <c r="AU46" s="53" t="n"/>
      <c r="AV46" s="53" t="n"/>
      <c r="AW46" s="53" t="n"/>
      <c r="AX46" s="53" t="n"/>
      <c r="AY46" s="53" t="n"/>
    </row>
    <row r="47" ht="15" customHeight="1">
      <c r="A47" s="62" t="n"/>
      <c r="B47" s="55">
        <f>IF($B$45="","",$B$45)</f>
        <v/>
      </c>
      <c r="C47" s="63" t="inlineStr">
        <is>
          <t>마케팅1팀</t>
        </is>
      </c>
      <c r="D47" s="55">
        <f>IF($D$45="","",$D$45)</f>
        <v/>
      </c>
      <c r="E47" s="64" t="inlineStr">
        <is>
          <t>영상</t>
        </is>
      </c>
      <c r="F47" s="44" t="n"/>
      <c r="G47" s="58">
        <f>IF($G$45="","",$G$45)</f>
        <v/>
      </c>
      <c r="H47" s="59" t="n"/>
      <c r="I47" s="59" t="n"/>
      <c r="J47" s="59" t="n"/>
      <c r="K47" s="59" t="n"/>
      <c r="L47" s="65">
        <f>IF(SUM(U47:AY47)=0,"",SUM(U47:AY47))</f>
        <v/>
      </c>
      <c r="M47" s="66">
        <f>IFERROR(INDEX(U$2:AY$2,MATCH(TRUE,INDEX(U47:AY47&lt;&gt;"",0),0)),"")</f>
        <v/>
      </c>
      <c r="N47" s="66">
        <f>IFERROR(LOOKUP(2,1/(U47:AY47&lt;&gt;""),U$2:AY$2),"")</f>
        <v/>
      </c>
      <c r="O47" s="59" t="n"/>
      <c r="P47" s="59" t="n"/>
      <c r="Q47" s="59" t="n"/>
      <c r="R47" s="59" t="n"/>
      <c r="S47" s="14" t="n"/>
      <c r="U47" s="53" t="n"/>
      <c r="V47" s="53" t="n"/>
      <c r="W47" s="53" t="n"/>
      <c r="X47" s="53" t="n"/>
      <c r="Y47" s="53" t="n"/>
      <c r="Z47" s="53" t="n"/>
      <c r="AA47" s="53" t="n"/>
      <c r="AB47" s="53" t="n"/>
      <c r="AC47" s="53" t="n"/>
      <c r="AD47" s="53" t="n"/>
      <c r="AE47" s="53" t="n"/>
      <c r="AF47" s="53" t="n"/>
      <c r="AG47" s="53" t="n"/>
      <c r="AH47" s="53" t="n"/>
      <c r="AI47" s="53" t="n"/>
      <c r="AJ47" s="53" t="n"/>
      <c r="AK47" s="53" t="n"/>
      <c r="AL47" s="53" t="n"/>
      <c r="AM47" s="53" t="n"/>
      <c r="AN47" s="53" t="n"/>
      <c r="AO47" s="53" t="n"/>
      <c r="AP47" s="53" t="n"/>
      <c r="AQ47" s="53" t="n"/>
      <c r="AR47" s="53" t="n"/>
      <c r="AS47" s="53" t="n"/>
      <c r="AT47" s="53" t="n"/>
      <c r="AU47" s="53" t="n"/>
      <c r="AV47" s="53" t="n"/>
      <c r="AW47" s="53" t="n"/>
      <c r="AX47" s="53" t="n"/>
      <c r="AY47" s="53" t="n"/>
    </row>
    <row r="48" ht="15" customHeight="1">
      <c r="A48" s="40">
        <f>IF($D$48="","",14)</f>
        <v/>
      </c>
      <c r="B48" s="10" t="n"/>
      <c r="C48" s="41" t="inlineStr">
        <is>
          <t>마케팅1팀</t>
        </is>
      </c>
      <c r="D48" s="42" t="n"/>
      <c r="E48" s="43" t="inlineStr">
        <is>
          <t>기획</t>
        </is>
      </c>
      <c r="F48" s="44" t="n"/>
      <c r="G48" s="45" t="n"/>
      <c r="H48" s="46">
        <f>IF($I$48="","",IF($I$48&lt;0,"🔴지연",IF($I$48&lt;=1,"🟡임박","🟢여유")))</f>
        <v/>
      </c>
      <c r="I48" s="47">
        <f>IF(OR($G$48="",$K$48=""),"",$G$48-$K$48)</f>
        <v/>
      </c>
      <c r="J48" s="48">
        <f>IF(SUM($L$48:$L$50)=0,"",SUM($L$48:$L$50))</f>
        <v/>
      </c>
      <c r="K48" s="49">
        <f>IF($J$48="","",MAX($N$48:$N$50))</f>
        <v/>
      </c>
      <c r="L48" s="50">
        <f>IF(SUM(U48:AY48)=0,"",SUM(U48:AY48))</f>
        <v/>
      </c>
      <c r="M48" s="51">
        <f>IFERROR(INDEX(U$2:AY$2,MATCH(TRUE,INDEX(U48:AY48&lt;&gt;"",0),0)),"")</f>
        <v/>
      </c>
      <c r="N48" s="51">
        <f>IFERROR(LOOKUP(2,1/(U48:AY48&lt;&gt;""),U$2:AY$2),"")</f>
        <v/>
      </c>
      <c r="O48" s="52" t="n"/>
      <c r="P48" s="52" t="n"/>
      <c r="Q48" s="52" t="n"/>
      <c r="R48" s="44" t="n"/>
      <c r="S48" s="14" t="n"/>
      <c r="U48" s="53" t="n"/>
      <c r="V48" s="53" t="n"/>
      <c r="W48" s="53" t="n"/>
      <c r="X48" s="53" t="n"/>
      <c r="Y48" s="53" t="n"/>
      <c r="Z48" s="53" t="n"/>
      <c r="AA48" s="53" t="n"/>
      <c r="AB48" s="53" t="n"/>
      <c r="AC48" s="53" t="n"/>
      <c r="AD48" s="53" t="n"/>
      <c r="AE48" s="53" t="n"/>
      <c r="AF48" s="53" t="n"/>
      <c r="AG48" s="53" t="n"/>
      <c r="AH48" s="53" t="n"/>
      <c r="AI48" s="53" t="n"/>
      <c r="AJ48" s="53" t="n"/>
      <c r="AK48" s="53" t="n"/>
      <c r="AL48" s="53" t="n"/>
      <c r="AM48" s="53" t="n"/>
      <c r="AN48" s="53" t="n"/>
      <c r="AO48" s="53" t="n"/>
      <c r="AP48" s="53" t="n"/>
      <c r="AQ48" s="53" t="n"/>
      <c r="AR48" s="53" t="n"/>
      <c r="AS48" s="53" t="n"/>
      <c r="AT48" s="53" t="n"/>
      <c r="AU48" s="53" t="n"/>
      <c r="AV48" s="53" t="n"/>
      <c r="AW48" s="53" t="n"/>
      <c r="AX48" s="53" t="n"/>
      <c r="AY48" s="53" t="n"/>
    </row>
    <row r="49" ht="15" customHeight="1">
      <c r="A49" s="54" t="n"/>
      <c r="B49" s="55">
        <f>IF($B$48="","",$B$48)</f>
        <v/>
      </c>
      <c r="C49" s="56" t="inlineStr">
        <is>
          <t>마케팅1팀</t>
        </is>
      </c>
      <c r="D49" s="55">
        <f>IF($D$48="","",$D$48)</f>
        <v/>
      </c>
      <c r="E49" s="57" t="inlineStr">
        <is>
          <t>이미지</t>
        </is>
      </c>
      <c r="F49" s="44" t="n"/>
      <c r="G49" s="58">
        <f>IF($G$48="","",$G$48)</f>
        <v/>
      </c>
      <c r="H49" s="59" t="n"/>
      <c r="I49" s="59" t="n"/>
      <c r="J49" s="59" t="n"/>
      <c r="K49" s="59" t="n"/>
      <c r="L49" s="60">
        <f>IF(SUM(U49:AY49)=0,"",SUM(U49:AY49))</f>
        <v/>
      </c>
      <c r="M49" s="61">
        <f>IFERROR(INDEX(U$2:AY$2,MATCH(TRUE,INDEX(U49:AY49&lt;&gt;"",0),0)),"")</f>
        <v/>
      </c>
      <c r="N49" s="61">
        <f>IFERROR(LOOKUP(2,1/(U49:AY49&lt;&gt;""),U$2:AY$2),"")</f>
        <v/>
      </c>
      <c r="O49" s="59" t="n"/>
      <c r="P49" s="59" t="n"/>
      <c r="Q49" s="59" t="n"/>
      <c r="R49" s="59" t="n"/>
      <c r="S49" s="14" t="n"/>
      <c r="U49" s="53" t="n"/>
      <c r="V49" s="53" t="n"/>
      <c r="W49" s="53" t="n"/>
      <c r="X49" s="53" t="n"/>
      <c r="Y49" s="53" t="n"/>
      <c r="Z49" s="53" t="n"/>
      <c r="AA49" s="53" t="n"/>
      <c r="AB49" s="53" t="n"/>
      <c r="AC49" s="53" t="n"/>
      <c r="AD49" s="53" t="n"/>
      <c r="AE49" s="53" t="n"/>
      <c r="AF49" s="53" t="n"/>
      <c r="AG49" s="53" t="n"/>
      <c r="AH49" s="53" t="n"/>
      <c r="AI49" s="53" t="n"/>
      <c r="AJ49" s="53" t="n"/>
      <c r="AK49" s="53" t="n"/>
      <c r="AL49" s="53" t="n"/>
      <c r="AM49" s="53" t="n"/>
      <c r="AN49" s="53" t="n"/>
      <c r="AO49" s="53" t="n"/>
      <c r="AP49" s="53" t="n"/>
      <c r="AQ49" s="53" t="n"/>
      <c r="AR49" s="53" t="n"/>
      <c r="AS49" s="53" t="n"/>
      <c r="AT49" s="53" t="n"/>
      <c r="AU49" s="53" t="n"/>
      <c r="AV49" s="53" t="n"/>
      <c r="AW49" s="53" t="n"/>
      <c r="AX49" s="53" t="n"/>
      <c r="AY49" s="53" t="n"/>
    </row>
    <row r="50" ht="15" customHeight="1">
      <c r="A50" s="62" t="n"/>
      <c r="B50" s="55">
        <f>IF($B$48="","",$B$48)</f>
        <v/>
      </c>
      <c r="C50" s="63" t="inlineStr">
        <is>
          <t>마케팅1팀</t>
        </is>
      </c>
      <c r="D50" s="55">
        <f>IF($D$48="","",$D$48)</f>
        <v/>
      </c>
      <c r="E50" s="64" t="inlineStr">
        <is>
          <t>영상</t>
        </is>
      </c>
      <c r="F50" s="44" t="n"/>
      <c r="G50" s="58">
        <f>IF($G$48="","",$G$48)</f>
        <v/>
      </c>
      <c r="H50" s="59" t="n"/>
      <c r="I50" s="59" t="n"/>
      <c r="J50" s="59" t="n"/>
      <c r="K50" s="59" t="n"/>
      <c r="L50" s="65">
        <f>IF(SUM(U50:AY50)=0,"",SUM(U50:AY50))</f>
        <v/>
      </c>
      <c r="M50" s="66">
        <f>IFERROR(INDEX(U$2:AY$2,MATCH(TRUE,INDEX(U50:AY50&lt;&gt;"",0),0)),"")</f>
        <v/>
      </c>
      <c r="N50" s="66">
        <f>IFERROR(LOOKUP(2,1/(U50:AY50&lt;&gt;""),U$2:AY$2),"")</f>
        <v/>
      </c>
      <c r="O50" s="59" t="n"/>
      <c r="P50" s="59" t="n"/>
      <c r="Q50" s="59" t="n"/>
      <c r="R50" s="59" t="n"/>
      <c r="S50" s="14" t="n"/>
      <c r="U50" s="53" t="n"/>
      <c r="V50" s="53" t="n"/>
      <c r="W50" s="53" t="n"/>
      <c r="X50" s="53" t="n"/>
      <c r="Y50" s="53" t="n"/>
      <c r="Z50" s="53" t="n"/>
      <c r="AA50" s="53" t="n"/>
      <c r="AB50" s="53" t="n"/>
      <c r="AC50" s="53" t="n"/>
      <c r="AD50" s="53" t="n"/>
      <c r="AE50" s="53" t="n"/>
      <c r="AF50" s="53" t="n"/>
      <c r="AG50" s="53" t="n"/>
      <c r="AH50" s="53" t="n"/>
      <c r="AI50" s="53" t="n"/>
      <c r="AJ50" s="53" t="n"/>
      <c r="AK50" s="53" t="n"/>
      <c r="AL50" s="53" t="n"/>
      <c r="AM50" s="53" t="n"/>
      <c r="AN50" s="53" t="n"/>
      <c r="AO50" s="53" t="n"/>
      <c r="AP50" s="53" t="n"/>
      <c r="AQ50" s="53" t="n"/>
      <c r="AR50" s="53" t="n"/>
      <c r="AS50" s="53" t="n"/>
      <c r="AT50" s="53" t="n"/>
      <c r="AU50" s="53" t="n"/>
      <c r="AV50" s="53" t="n"/>
      <c r="AW50" s="53" t="n"/>
      <c r="AX50" s="53" t="n"/>
      <c r="AY50" s="53" t="n"/>
    </row>
    <row r="51" ht="15" customHeight="1">
      <c r="A51" s="40">
        <f>IF($D$51="","",15)</f>
        <v/>
      </c>
      <c r="B51" s="10" t="n"/>
      <c r="C51" s="41" t="inlineStr">
        <is>
          <t>마케팅1팀</t>
        </is>
      </c>
      <c r="D51" s="42" t="n"/>
      <c r="E51" s="43" t="inlineStr">
        <is>
          <t>기획</t>
        </is>
      </c>
      <c r="F51" s="44" t="n"/>
      <c r="G51" s="45" t="n"/>
      <c r="H51" s="46">
        <f>IF($I$51="","",IF($I$51&lt;0,"🔴지연",IF($I$51&lt;=1,"🟡임박","🟢여유")))</f>
        <v/>
      </c>
      <c r="I51" s="47">
        <f>IF(OR($G$51="",$K$51=""),"",$G$51-$K$51)</f>
        <v/>
      </c>
      <c r="J51" s="48">
        <f>IF(SUM($L$51:$L$53)=0,"",SUM($L$51:$L$53))</f>
        <v/>
      </c>
      <c r="K51" s="49">
        <f>IF($J$51="","",MAX($N$51:$N$53))</f>
        <v/>
      </c>
      <c r="L51" s="50">
        <f>IF(SUM(U51:AY51)=0,"",SUM(U51:AY51))</f>
        <v/>
      </c>
      <c r="M51" s="51">
        <f>IFERROR(INDEX(U$2:AY$2,MATCH(TRUE,INDEX(U51:AY51&lt;&gt;"",0),0)),"")</f>
        <v/>
      </c>
      <c r="N51" s="51">
        <f>IFERROR(LOOKUP(2,1/(U51:AY51&lt;&gt;""),U$2:AY$2),"")</f>
        <v/>
      </c>
      <c r="O51" s="52" t="n"/>
      <c r="P51" s="52" t="n"/>
      <c r="Q51" s="52" t="n"/>
      <c r="R51" s="44" t="n"/>
      <c r="S51" s="14" t="n"/>
      <c r="U51" s="53" t="n"/>
      <c r="V51" s="53" t="n"/>
      <c r="W51" s="53" t="n"/>
      <c r="X51" s="53" t="n"/>
      <c r="Y51" s="53" t="n"/>
      <c r="Z51" s="53" t="n"/>
      <c r="AA51" s="53" t="n"/>
      <c r="AB51" s="53" t="n"/>
      <c r="AC51" s="53" t="n"/>
      <c r="AD51" s="53" t="n"/>
      <c r="AE51" s="53" t="n"/>
      <c r="AF51" s="53" t="n"/>
      <c r="AG51" s="53" t="n"/>
      <c r="AH51" s="53" t="n"/>
      <c r="AI51" s="53" t="n"/>
      <c r="AJ51" s="53" t="n"/>
      <c r="AK51" s="53" t="n"/>
      <c r="AL51" s="53" t="n"/>
      <c r="AM51" s="53" t="n"/>
      <c r="AN51" s="53" t="n"/>
      <c r="AO51" s="53" t="n"/>
      <c r="AP51" s="53" t="n"/>
      <c r="AQ51" s="53" t="n"/>
      <c r="AR51" s="53" t="n"/>
      <c r="AS51" s="53" t="n"/>
      <c r="AT51" s="53" t="n"/>
      <c r="AU51" s="53" t="n"/>
      <c r="AV51" s="53" t="n"/>
      <c r="AW51" s="53" t="n"/>
      <c r="AX51" s="53" t="n"/>
      <c r="AY51" s="53" t="n"/>
    </row>
    <row r="52" ht="15" customHeight="1">
      <c r="A52" s="54" t="n"/>
      <c r="B52" s="55">
        <f>IF($B$51="","",$B$51)</f>
        <v/>
      </c>
      <c r="C52" s="56" t="inlineStr">
        <is>
          <t>마케팅1팀</t>
        </is>
      </c>
      <c r="D52" s="55">
        <f>IF($D$51="","",$D$51)</f>
        <v/>
      </c>
      <c r="E52" s="57" t="inlineStr">
        <is>
          <t>이미지</t>
        </is>
      </c>
      <c r="F52" s="44" t="n"/>
      <c r="G52" s="58">
        <f>IF($G$51="","",$G$51)</f>
        <v/>
      </c>
      <c r="H52" s="59" t="n"/>
      <c r="I52" s="59" t="n"/>
      <c r="J52" s="59" t="n"/>
      <c r="K52" s="59" t="n"/>
      <c r="L52" s="60">
        <f>IF(SUM(U52:AY52)=0,"",SUM(U52:AY52))</f>
        <v/>
      </c>
      <c r="M52" s="61">
        <f>IFERROR(INDEX(U$2:AY$2,MATCH(TRUE,INDEX(U52:AY52&lt;&gt;"",0),0)),"")</f>
        <v/>
      </c>
      <c r="N52" s="61">
        <f>IFERROR(LOOKUP(2,1/(U52:AY52&lt;&gt;""),U$2:AY$2),"")</f>
        <v/>
      </c>
      <c r="O52" s="59" t="n"/>
      <c r="P52" s="59" t="n"/>
      <c r="Q52" s="59" t="n"/>
      <c r="R52" s="59" t="n"/>
      <c r="S52" s="14" t="n"/>
      <c r="U52" s="53" t="n"/>
      <c r="V52" s="53" t="n"/>
      <c r="W52" s="53" t="n"/>
      <c r="X52" s="53" t="n"/>
      <c r="Y52" s="53" t="n"/>
      <c r="Z52" s="53" t="n"/>
      <c r="AA52" s="53" t="n"/>
      <c r="AB52" s="53" t="n"/>
      <c r="AC52" s="53" t="n"/>
      <c r="AD52" s="53" t="n"/>
      <c r="AE52" s="53" t="n"/>
      <c r="AF52" s="53" t="n"/>
      <c r="AG52" s="53" t="n"/>
      <c r="AH52" s="53" t="n"/>
      <c r="AI52" s="53" t="n"/>
      <c r="AJ52" s="53" t="n"/>
      <c r="AK52" s="53" t="n"/>
      <c r="AL52" s="53" t="n"/>
      <c r="AM52" s="53" t="n"/>
      <c r="AN52" s="53" t="n"/>
      <c r="AO52" s="53" t="n"/>
      <c r="AP52" s="53" t="n"/>
      <c r="AQ52" s="53" t="n"/>
      <c r="AR52" s="53" t="n"/>
      <c r="AS52" s="53" t="n"/>
      <c r="AT52" s="53" t="n"/>
      <c r="AU52" s="53" t="n"/>
      <c r="AV52" s="53" t="n"/>
      <c r="AW52" s="53" t="n"/>
      <c r="AX52" s="53" t="n"/>
      <c r="AY52" s="53" t="n"/>
    </row>
    <row r="53" ht="15" customHeight="1">
      <c r="A53" s="62" t="n"/>
      <c r="B53" s="55">
        <f>IF($B$51="","",$B$51)</f>
        <v/>
      </c>
      <c r="C53" s="63" t="inlineStr">
        <is>
          <t>마케팅1팀</t>
        </is>
      </c>
      <c r="D53" s="55">
        <f>IF($D$51="","",$D$51)</f>
        <v/>
      </c>
      <c r="E53" s="64" t="inlineStr">
        <is>
          <t>영상</t>
        </is>
      </c>
      <c r="F53" s="44" t="n"/>
      <c r="G53" s="58">
        <f>IF($G$51="","",$G$51)</f>
        <v/>
      </c>
      <c r="H53" s="59" t="n"/>
      <c r="I53" s="59" t="n"/>
      <c r="J53" s="59" t="n"/>
      <c r="K53" s="59" t="n"/>
      <c r="L53" s="65">
        <f>IF(SUM(U53:AY53)=0,"",SUM(U53:AY53))</f>
        <v/>
      </c>
      <c r="M53" s="66">
        <f>IFERROR(INDEX(U$2:AY$2,MATCH(TRUE,INDEX(U53:AY53&lt;&gt;"",0),0)),"")</f>
        <v/>
      </c>
      <c r="N53" s="66">
        <f>IFERROR(LOOKUP(2,1/(U53:AY53&lt;&gt;""),U$2:AY$2),"")</f>
        <v/>
      </c>
      <c r="O53" s="59" t="n"/>
      <c r="P53" s="59" t="n"/>
      <c r="Q53" s="59" t="n"/>
      <c r="R53" s="59" t="n"/>
      <c r="S53" s="14" t="n"/>
      <c r="U53" s="53" t="n"/>
      <c r="V53" s="53" t="n"/>
      <c r="W53" s="53" t="n"/>
      <c r="X53" s="53" t="n"/>
      <c r="Y53" s="53" t="n"/>
      <c r="Z53" s="53" t="n"/>
      <c r="AA53" s="53" t="n"/>
      <c r="AB53" s="53" t="n"/>
      <c r="AC53" s="53" t="n"/>
      <c r="AD53" s="53" t="n"/>
      <c r="AE53" s="53" t="n"/>
      <c r="AF53" s="53" t="n"/>
      <c r="AG53" s="53" t="n"/>
      <c r="AH53" s="53" t="n"/>
      <c r="AI53" s="53" t="n"/>
      <c r="AJ53" s="53" t="n"/>
      <c r="AK53" s="53" t="n"/>
      <c r="AL53" s="53" t="n"/>
      <c r="AM53" s="53" t="n"/>
      <c r="AN53" s="53" t="n"/>
      <c r="AO53" s="53" t="n"/>
      <c r="AP53" s="53" t="n"/>
      <c r="AQ53" s="53" t="n"/>
      <c r="AR53" s="53" t="n"/>
      <c r="AS53" s="53" t="n"/>
      <c r="AT53" s="53" t="n"/>
      <c r="AU53" s="53" t="n"/>
      <c r="AV53" s="53" t="n"/>
      <c r="AW53" s="53" t="n"/>
      <c r="AX53" s="53" t="n"/>
      <c r="AY53" s="53" t="n"/>
    </row>
    <row r="54" ht="15" customHeight="1">
      <c r="A54" s="40">
        <f>IF($D$54="","",16)</f>
        <v/>
      </c>
      <c r="B54" s="10" t="n"/>
      <c r="C54" s="41" t="inlineStr">
        <is>
          <t>마케팅1팀</t>
        </is>
      </c>
      <c r="D54" s="42" t="n"/>
      <c r="E54" s="43" t="inlineStr">
        <is>
          <t>기획</t>
        </is>
      </c>
      <c r="F54" s="44" t="n"/>
      <c r="G54" s="45" t="n"/>
      <c r="H54" s="46">
        <f>IF($I$54="","",IF($I$54&lt;0,"🔴지연",IF($I$54&lt;=1,"🟡임박","🟢여유")))</f>
        <v/>
      </c>
      <c r="I54" s="47">
        <f>IF(OR($G$54="",$K$54=""),"",$G$54-$K$54)</f>
        <v/>
      </c>
      <c r="J54" s="48">
        <f>IF(SUM($L$54:$L$56)=0,"",SUM($L$54:$L$56))</f>
        <v/>
      </c>
      <c r="K54" s="49">
        <f>IF($J$54="","",MAX($N$54:$N$56))</f>
        <v/>
      </c>
      <c r="L54" s="50">
        <f>IF(SUM(U54:AY54)=0,"",SUM(U54:AY54))</f>
        <v/>
      </c>
      <c r="M54" s="51">
        <f>IFERROR(INDEX(U$2:AY$2,MATCH(TRUE,INDEX(U54:AY54&lt;&gt;"",0),0)),"")</f>
        <v/>
      </c>
      <c r="N54" s="51">
        <f>IFERROR(LOOKUP(2,1/(U54:AY54&lt;&gt;""),U$2:AY$2),"")</f>
        <v/>
      </c>
      <c r="O54" s="52" t="n"/>
      <c r="P54" s="52" t="n"/>
      <c r="Q54" s="52" t="n"/>
      <c r="R54" s="44" t="n"/>
      <c r="S54" s="14" t="n"/>
      <c r="U54" s="53" t="n"/>
      <c r="V54" s="53" t="n"/>
      <c r="W54" s="53" t="n"/>
      <c r="X54" s="53" t="n"/>
      <c r="Y54" s="53" t="n"/>
      <c r="Z54" s="53" t="n"/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s="53" t="n"/>
      <c r="AJ54" s="53" t="n"/>
      <c r="AK54" s="53" t="n"/>
      <c r="AL54" s="53" t="n"/>
      <c r="AM54" s="53" t="n"/>
      <c r="AN54" s="53" t="n"/>
      <c r="AO54" s="53" t="n"/>
      <c r="AP54" s="53" t="n"/>
      <c r="AQ54" s="53" t="n"/>
      <c r="AR54" s="53" t="n"/>
      <c r="AS54" s="53" t="n"/>
      <c r="AT54" s="53" t="n"/>
      <c r="AU54" s="53" t="n"/>
      <c r="AV54" s="53" t="n"/>
      <c r="AW54" s="53" t="n"/>
      <c r="AX54" s="53" t="n"/>
      <c r="AY54" s="53" t="n"/>
    </row>
    <row r="55" ht="15" customHeight="1">
      <c r="A55" s="54" t="n"/>
      <c r="B55" s="55">
        <f>IF($B$54="","",$B$54)</f>
        <v/>
      </c>
      <c r="C55" s="56" t="inlineStr">
        <is>
          <t>마케팅1팀</t>
        </is>
      </c>
      <c r="D55" s="55">
        <f>IF($D$54="","",$D$54)</f>
        <v/>
      </c>
      <c r="E55" s="57" t="inlineStr">
        <is>
          <t>이미지</t>
        </is>
      </c>
      <c r="F55" s="44" t="n"/>
      <c r="G55" s="58">
        <f>IF($G$54="","",$G$54)</f>
        <v/>
      </c>
      <c r="H55" s="59" t="n"/>
      <c r="I55" s="59" t="n"/>
      <c r="J55" s="59" t="n"/>
      <c r="K55" s="59" t="n"/>
      <c r="L55" s="60">
        <f>IF(SUM(U55:AY55)=0,"",SUM(U55:AY55))</f>
        <v/>
      </c>
      <c r="M55" s="61">
        <f>IFERROR(INDEX(U$2:AY$2,MATCH(TRUE,INDEX(U55:AY55&lt;&gt;"",0),0)),"")</f>
        <v/>
      </c>
      <c r="N55" s="61">
        <f>IFERROR(LOOKUP(2,1/(U55:AY55&lt;&gt;""),U$2:AY$2),"")</f>
        <v/>
      </c>
      <c r="O55" s="59" t="n"/>
      <c r="P55" s="59" t="n"/>
      <c r="Q55" s="59" t="n"/>
      <c r="R55" s="59" t="n"/>
      <c r="S55" s="14" t="n"/>
      <c r="U55" s="53" t="n"/>
      <c r="V55" s="53" t="n"/>
      <c r="W55" s="53" t="n"/>
      <c r="X55" s="53" t="n"/>
      <c r="Y55" s="53" t="n"/>
      <c r="Z55" s="53" t="n"/>
      <c r="AA55" s="53" t="n"/>
      <c r="AB55" s="53" t="n"/>
      <c r="AC55" s="53" t="n"/>
      <c r="AD55" s="53" t="n"/>
      <c r="AE55" s="53" t="n"/>
      <c r="AF55" s="53" t="n"/>
      <c r="AG55" s="53" t="n"/>
      <c r="AH55" s="53" t="n"/>
      <c r="AI55" s="53" t="n"/>
      <c r="AJ55" s="53" t="n"/>
      <c r="AK55" s="53" t="n"/>
      <c r="AL55" s="53" t="n"/>
      <c r="AM55" s="53" t="n"/>
      <c r="AN55" s="53" t="n"/>
      <c r="AO55" s="53" t="n"/>
      <c r="AP55" s="53" t="n"/>
      <c r="AQ55" s="53" t="n"/>
      <c r="AR55" s="53" t="n"/>
      <c r="AS55" s="53" t="n"/>
      <c r="AT55" s="53" t="n"/>
      <c r="AU55" s="53" t="n"/>
      <c r="AV55" s="53" t="n"/>
      <c r="AW55" s="53" t="n"/>
      <c r="AX55" s="53" t="n"/>
      <c r="AY55" s="53" t="n"/>
    </row>
    <row r="56" ht="15" customHeight="1">
      <c r="A56" s="62" t="n"/>
      <c r="B56" s="55">
        <f>IF($B$54="","",$B$54)</f>
        <v/>
      </c>
      <c r="C56" s="63" t="inlineStr">
        <is>
          <t>마케팅1팀</t>
        </is>
      </c>
      <c r="D56" s="55">
        <f>IF($D$54="","",$D$54)</f>
        <v/>
      </c>
      <c r="E56" s="64" t="inlineStr">
        <is>
          <t>영상</t>
        </is>
      </c>
      <c r="F56" s="44" t="n"/>
      <c r="G56" s="58">
        <f>IF($G$54="","",$G$54)</f>
        <v/>
      </c>
      <c r="H56" s="59" t="n"/>
      <c r="I56" s="59" t="n"/>
      <c r="J56" s="59" t="n"/>
      <c r="K56" s="59" t="n"/>
      <c r="L56" s="65">
        <f>IF(SUM(U56:AY56)=0,"",SUM(U56:AY56))</f>
        <v/>
      </c>
      <c r="M56" s="66">
        <f>IFERROR(INDEX(U$2:AY$2,MATCH(TRUE,INDEX(U56:AY56&lt;&gt;"",0),0)),"")</f>
        <v/>
      </c>
      <c r="N56" s="66">
        <f>IFERROR(LOOKUP(2,1/(U56:AY56&lt;&gt;""),U$2:AY$2),"")</f>
        <v/>
      </c>
      <c r="O56" s="59" t="n"/>
      <c r="P56" s="59" t="n"/>
      <c r="Q56" s="59" t="n"/>
      <c r="R56" s="59" t="n"/>
      <c r="S56" s="14" t="n"/>
      <c r="U56" s="53" t="n"/>
      <c r="V56" s="53" t="n"/>
      <c r="W56" s="53" t="n"/>
      <c r="X56" s="5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s="53" t="n"/>
      <c r="AJ56" s="53" t="n"/>
      <c r="AK56" s="53" t="n"/>
      <c r="AL56" s="53" t="n"/>
      <c r="AM56" s="53" t="n"/>
      <c r="AN56" s="53" t="n"/>
      <c r="AO56" s="53" t="n"/>
      <c r="AP56" s="53" t="n"/>
      <c r="AQ56" s="53" t="n"/>
      <c r="AR56" s="53" t="n"/>
      <c r="AS56" s="53" t="n"/>
      <c r="AT56" s="53" t="n"/>
      <c r="AU56" s="53" t="n"/>
      <c r="AV56" s="53" t="n"/>
      <c r="AW56" s="53" t="n"/>
      <c r="AX56" s="53" t="n"/>
      <c r="AY56" s="53" t="n"/>
    </row>
    <row r="57" ht="15" customHeight="1">
      <c r="A57" s="40">
        <f>IF($D$57="","",17)</f>
        <v/>
      </c>
      <c r="B57" s="10" t="n"/>
      <c r="C57" s="41" t="inlineStr">
        <is>
          <t>마케팅1팀</t>
        </is>
      </c>
      <c r="D57" s="42" t="n"/>
      <c r="E57" s="43" t="inlineStr">
        <is>
          <t>기획</t>
        </is>
      </c>
      <c r="F57" s="44" t="n"/>
      <c r="G57" s="45" t="n"/>
      <c r="H57" s="46">
        <f>IF($I$57="","",IF($I$57&lt;0,"🔴지연",IF($I$57&lt;=1,"🟡임박","🟢여유")))</f>
        <v/>
      </c>
      <c r="I57" s="47">
        <f>IF(OR($G$57="",$K$57=""),"",$G$57-$K$57)</f>
        <v/>
      </c>
      <c r="J57" s="48">
        <f>IF(SUM($L$57:$L$59)=0,"",SUM($L$57:$L$59))</f>
        <v/>
      </c>
      <c r="K57" s="49">
        <f>IF($J$57="","",MAX($N$57:$N$59))</f>
        <v/>
      </c>
      <c r="L57" s="50">
        <f>IF(SUM(U57:AY57)=0,"",SUM(U57:AY57))</f>
        <v/>
      </c>
      <c r="M57" s="51">
        <f>IFERROR(INDEX(U$2:AY$2,MATCH(TRUE,INDEX(U57:AY57&lt;&gt;"",0),0)),"")</f>
        <v/>
      </c>
      <c r="N57" s="51">
        <f>IFERROR(LOOKUP(2,1/(U57:AY57&lt;&gt;""),U$2:AY$2),"")</f>
        <v/>
      </c>
      <c r="O57" s="52" t="n"/>
      <c r="P57" s="52" t="n"/>
      <c r="Q57" s="52" t="n"/>
      <c r="R57" s="44" t="n"/>
      <c r="S57" s="14" t="n"/>
      <c r="U57" s="53" t="n"/>
      <c r="V57" s="53" t="n"/>
      <c r="W57" s="53" t="n"/>
      <c r="X57" s="53" t="n"/>
      <c r="Y57" s="53" t="n"/>
      <c r="Z57" s="53" t="n"/>
      <c r="AA57" s="53" t="n"/>
      <c r="AB57" s="53" t="n"/>
      <c r="AC57" s="53" t="n"/>
      <c r="AD57" s="53" t="n"/>
      <c r="AE57" s="53" t="n"/>
      <c r="AF57" s="53" t="n"/>
      <c r="AG57" s="53" t="n"/>
      <c r="AH57" s="53" t="n"/>
      <c r="AI57" s="53" t="n"/>
      <c r="AJ57" s="53" t="n"/>
      <c r="AK57" s="53" t="n"/>
      <c r="AL57" s="53" t="n"/>
      <c r="AM57" s="53" t="n"/>
      <c r="AN57" s="53" t="n"/>
      <c r="AO57" s="53" t="n"/>
      <c r="AP57" s="53" t="n"/>
      <c r="AQ57" s="53" t="n"/>
      <c r="AR57" s="53" t="n"/>
      <c r="AS57" s="53" t="n"/>
      <c r="AT57" s="53" t="n"/>
      <c r="AU57" s="53" t="n"/>
      <c r="AV57" s="53" t="n"/>
      <c r="AW57" s="53" t="n"/>
      <c r="AX57" s="53" t="n"/>
      <c r="AY57" s="53" t="n"/>
    </row>
    <row r="58" ht="15" customHeight="1">
      <c r="A58" s="54" t="n"/>
      <c r="B58" s="55">
        <f>IF($B$57="","",$B$57)</f>
        <v/>
      </c>
      <c r="C58" s="56" t="inlineStr">
        <is>
          <t>마케팅1팀</t>
        </is>
      </c>
      <c r="D58" s="55">
        <f>IF($D$57="","",$D$57)</f>
        <v/>
      </c>
      <c r="E58" s="57" t="inlineStr">
        <is>
          <t>이미지</t>
        </is>
      </c>
      <c r="F58" s="44" t="n"/>
      <c r="G58" s="58">
        <f>IF($G$57="","",$G$57)</f>
        <v/>
      </c>
      <c r="H58" s="59" t="n"/>
      <c r="I58" s="59" t="n"/>
      <c r="J58" s="59" t="n"/>
      <c r="K58" s="59" t="n"/>
      <c r="L58" s="60">
        <f>IF(SUM(U58:AY58)=0,"",SUM(U58:AY58))</f>
        <v/>
      </c>
      <c r="M58" s="61">
        <f>IFERROR(INDEX(U$2:AY$2,MATCH(TRUE,INDEX(U58:AY58&lt;&gt;"",0),0)),"")</f>
        <v/>
      </c>
      <c r="N58" s="61">
        <f>IFERROR(LOOKUP(2,1/(U58:AY58&lt;&gt;""),U$2:AY$2),"")</f>
        <v/>
      </c>
      <c r="O58" s="59" t="n"/>
      <c r="P58" s="59" t="n"/>
      <c r="Q58" s="59" t="n"/>
      <c r="R58" s="59" t="n"/>
      <c r="S58" s="14" t="n"/>
      <c r="U58" s="53" t="n"/>
      <c r="V58" s="53" t="n"/>
      <c r="W58" s="53" t="n"/>
      <c r="X58" s="53" t="n"/>
      <c r="Y58" s="53" t="n"/>
      <c r="Z58" s="53" t="n"/>
      <c r="AA58" s="53" t="n"/>
      <c r="AB58" s="53" t="n"/>
      <c r="AC58" s="53" t="n"/>
      <c r="AD58" s="53" t="n"/>
      <c r="AE58" s="53" t="n"/>
      <c r="AF58" s="53" t="n"/>
      <c r="AG58" s="53" t="n"/>
      <c r="AH58" s="53" t="n"/>
      <c r="AI58" s="53" t="n"/>
      <c r="AJ58" s="53" t="n"/>
      <c r="AK58" s="53" t="n"/>
      <c r="AL58" s="53" t="n"/>
      <c r="AM58" s="53" t="n"/>
      <c r="AN58" s="53" t="n"/>
      <c r="AO58" s="53" t="n"/>
      <c r="AP58" s="53" t="n"/>
      <c r="AQ58" s="53" t="n"/>
      <c r="AR58" s="53" t="n"/>
      <c r="AS58" s="53" t="n"/>
      <c r="AT58" s="53" t="n"/>
      <c r="AU58" s="53" t="n"/>
      <c r="AV58" s="53" t="n"/>
      <c r="AW58" s="53" t="n"/>
      <c r="AX58" s="53" t="n"/>
      <c r="AY58" s="53" t="n"/>
    </row>
    <row r="59" ht="15" customHeight="1">
      <c r="A59" s="62" t="n"/>
      <c r="B59" s="55">
        <f>IF($B$57="","",$B$57)</f>
        <v/>
      </c>
      <c r="C59" s="63" t="inlineStr">
        <is>
          <t>마케팅1팀</t>
        </is>
      </c>
      <c r="D59" s="55">
        <f>IF($D$57="","",$D$57)</f>
        <v/>
      </c>
      <c r="E59" s="64" t="inlineStr">
        <is>
          <t>영상</t>
        </is>
      </c>
      <c r="F59" s="44" t="n"/>
      <c r="G59" s="58">
        <f>IF($G$57="","",$G$57)</f>
        <v/>
      </c>
      <c r="H59" s="59" t="n"/>
      <c r="I59" s="59" t="n"/>
      <c r="J59" s="59" t="n"/>
      <c r="K59" s="59" t="n"/>
      <c r="L59" s="65">
        <f>IF(SUM(U59:AY59)=0,"",SUM(U59:AY59))</f>
        <v/>
      </c>
      <c r="M59" s="66">
        <f>IFERROR(INDEX(U$2:AY$2,MATCH(TRUE,INDEX(U59:AY59&lt;&gt;"",0),0)),"")</f>
        <v/>
      </c>
      <c r="N59" s="66">
        <f>IFERROR(LOOKUP(2,1/(U59:AY59&lt;&gt;""),U$2:AY$2),"")</f>
        <v/>
      </c>
      <c r="O59" s="59" t="n"/>
      <c r="P59" s="59" t="n"/>
      <c r="Q59" s="59" t="n"/>
      <c r="R59" s="59" t="n"/>
      <c r="S59" s="14" t="n"/>
      <c r="U59" s="53" t="n"/>
      <c r="V59" s="53" t="n"/>
      <c r="W59" s="53" t="n"/>
      <c r="X59" s="53" t="n"/>
      <c r="Y59" s="53" t="n"/>
      <c r="Z59" s="53" t="n"/>
      <c r="AA59" s="53" t="n"/>
      <c r="AB59" s="53" t="n"/>
      <c r="AC59" s="53" t="n"/>
      <c r="AD59" s="53" t="n"/>
      <c r="AE59" s="53" t="n"/>
      <c r="AF59" s="53" t="n"/>
      <c r="AG59" s="53" t="n"/>
      <c r="AH59" s="53" t="n"/>
      <c r="AI59" s="53" t="n"/>
      <c r="AJ59" s="53" t="n"/>
      <c r="AK59" s="53" t="n"/>
      <c r="AL59" s="53" t="n"/>
      <c r="AM59" s="53" t="n"/>
      <c r="AN59" s="53" t="n"/>
      <c r="AO59" s="53" t="n"/>
      <c r="AP59" s="53" t="n"/>
      <c r="AQ59" s="53" t="n"/>
      <c r="AR59" s="53" t="n"/>
      <c r="AS59" s="53" t="n"/>
      <c r="AT59" s="53" t="n"/>
      <c r="AU59" s="53" t="n"/>
      <c r="AV59" s="53" t="n"/>
      <c r="AW59" s="53" t="n"/>
      <c r="AX59" s="53" t="n"/>
      <c r="AY59" s="53" t="n"/>
    </row>
    <row r="60" ht="15" customHeight="1">
      <c r="A60" s="40">
        <f>IF($D$60="","",18)</f>
        <v/>
      </c>
      <c r="B60" s="10" t="n"/>
      <c r="C60" s="41" t="inlineStr">
        <is>
          <t>마케팅1팀</t>
        </is>
      </c>
      <c r="D60" s="42" t="n"/>
      <c r="E60" s="43" t="inlineStr">
        <is>
          <t>기획</t>
        </is>
      </c>
      <c r="F60" s="44" t="n"/>
      <c r="G60" s="45" t="n"/>
      <c r="H60" s="46">
        <f>IF($I$60="","",IF($I$60&lt;0,"🔴지연",IF($I$60&lt;=1,"🟡임박","🟢여유")))</f>
        <v/>
      </c>
      <c r="I60" s="47">
        <f>IF(OR($G$60="",$K$60=""),"",$G$60-$K$60)</f>
        <v/>
      </c>
      <c r="J60" s="48">
        <f>IF(SUM($L$60:$L$62)=0,"",SUM($L$60:$L$62))</f>
        <v/>
      </c>
      <c r="K60" s="49">
        <f>IF($J$60="","",MAX($N$60:$N$62))</f>
        <v/>
      </c>
      <c r="L60" s="50">
        <f>IF(SUM(U60:AY60)=0,"",SUM(U60:AY60))</f>
        <v/>
      </c>
      <c r="M60" s="51">
        <f>IFERROR(INDEX(U$2:AY$2,MATCH(TRUE,INDEX(U60:AY60&lt;&gt;"",0),0)),"")</f>
        <v/>
      </c>
      <c r="N60" s="51">
        <f>IFERROR(LOOKUP(2,1/(U60:AY60&lt;&gt;""),U$2:AY$2),"")</f>
        <v/>
      </c>
      <c r="O60" s="52" t="n"/>
      <c r="P60" s="52" t="n"/>
      <c r="Q60" s="52" t="n"/>
      <c r="R60" s="44" t="n"/>
      <c r="S60" s="14" t="n"/>
      <c r="U60" s="53" t="n"/>
      <c r="V60" s="53" t="n"/>
      <c r="W60" s="53" t="n"/>
      <c r="X60" s="53" t="n"/>
      <c r="Y60" s="53" t="n"/>
      <c r="Z60" s="53" t="n"/>
      <c r="AA60" s="53" t="n"/>
      <c r="AB60" s="53" t="n"/>
      <c r="AC60" s="53" t="n"/>
      <c r="AD60" s="53" t="n"/>
      <c r="AE60" s="53" t="n"/>
      <c r="AF60" s="53" t="n"/>
      <c r="AG60" s="53" t="n"/>
      <c r="AH60" s="53" t="n"/>
      <c r="AI60" s="53" t="n"/>
      <c r="AJ60" s="53" t="n"/>
      <c r="AK60" s="53" t="n"/>
      <c r="AL60" s="53" t="n"/>
      <c r="AM60" s="53" t="n"/>
      <c r="AN60" s="53" t="n"/>
      <c r="AO60" s="53" t="n"/>
      <c r="AP60" s="53" t="n"/>
      <c r="AQ60" s="53" t="n"/>
      <c r="AR60" s="53" t="n"/>
      <c r="AS60" s="53" t="n"/>
      <c r="AT60" s="53" t="n"/>
      <c r="AU60" s="53" t="n"/>
      <c r="AV60" s="53" t="n"/>
      <c r="AW60" s="53" t="n"/>
      <c r="AX60" s="53" t="n"/>
      <c r="AY60" s="53" t="n"/>
    </row>
    <row r="61" ht="15" customHeight="1">
      <c r="A61" s="54" t="n"/>
      <c r="B61" s="55">
        <f>IF($B$60="","",$B$60)</f>
        <v/>
      </c>
      <c r="C61" s="56" t="inlineStr">
        <is>
          <t>마케팅1팀</t>
        </is>
      </c>
      <c r="D61" s="55">
        <f>IF($D$60="","",$D$60)</f>
        <v/>
      </c>
      <c r="E61" s="57" t="inlineStr">
        <is>
          <t>이미지</t>
        </is>
      </c>
      <c r="F61" s="44" t="n"/>
      <c r="G61" s="58">
        <f>IF($G$60="","",$G$60)</f>
        <v/>
      </c>
      <c r="H61" s="59" t="n"/>
      <c r="I61" s="59" t="n"/>
      <c r="J61" s="59" t="n"/>
      <c r="K61" s="59" t="n"/>
      <c r="L61" s="60">
        <f>IF(SUM(U61:AY61)=0,"",SUM(U61:AY61))</f>
        <v/>
      </c>
      <c r="M61" s="61">
        <f>IFERROR(INDEX(U$2:AY$2,MATCH(TRUE,INDEX(U61:AY61&lt;&gt;"",0),0)),"")</f>
        <v/>
      </c>
      <c r="N61" s="61">
        <f>IFERROR(LOOKUP(2,1/(U61:AY61&lt;&gt;""),U$2:AY$2),"")</f>
        <v/>
      </c>
      <c r="O61" s="59" t="n"/>
      <c r="P61" s="59" t="n"/>
      <c r="Q61" s="59" t="n"/>
      <c r="R61" s="59" t="n"/>
      <c r="S61" s="14" t="n"/>
      <c r="U61" s="53" t="n"/>
      <c r="V61" s="53" t="n"/>
      <c r="W61" s="53" t="n"/>
      <c r="X61" s="53" t="n"/>
      <c r="Y61" s="53" t="n"/>
      <c r="Z61" s="53" t="n"/>
      <c r="AA61" s="53" t="n"/>
      <c r="AB61" s="53" t="n"/>
      <c r="AC61" s="53" t="n"/>
      <c r="AD61" s="53" t="n"/>
      <c r="AE61" s="53" t="n"/>
      <c r="AF61" s="53" t="n"/>
      <c r="AG61" s="53" t="n"/>
      <c r="AH61" s="53" t="n"/>
      <c r="AI61" s="53" t="n"/>
      <c r="AJ61" s="53" t="n"/>
      <c r="AK61" s="53" t="n"/>
      <c r="AL61" s="53" t="n"/>
      <c r="AM61" s="53" t="n"/>
      <c r="AN61" s="53" t="n"/>
      <c r="AO61" s="53" t="n"/>
      <c r="AP61" s="53" t="n"/>
      <c r="AQ61" s="53" t="n"/>
      <c r="AR61" s="53" t="n"/>
      <c r="AS61" s="53" t="n"/>
      <c r="AT61" s="53" t="n"/>
      <c r="AU61" s="53" t="n"/>
      <c r="AV61" s="53" t="n"/>
      <c r="AW61" s="53" t="n"/>
      <c r="AX61" s="53" t="n"/>
      <c r="AY61" s="53" t="n"/>
    </row>
    <row r="62" ht="15" customHeight="1">
      <c r="A62" s="62" t="n"/>
      <c r="B62" s="55">
        <f>IF($B$60="","",$B$60)</f>
        <v/>
      </c>
      <c r="C62" s="63" t="inlineStr">
        <is>
          <t>마케팅1팀</t>
        </is>
      </c>
      <c r="D62" s="55">
        <f>IF($D$60="","",$D$60)</f>
        <v/>
      </c>
      <c r="E62" s="64" t="inlineStr">
        <is>
          <t>영상</t>
        </is>
      </c>
      <c r="F62" s="44" t="n"/>
      <c r="G62" s="58">
        <f>IF($G$60="","",$G$60)</f>
        <v/>
      </c>
      <c r="H62" s="59" t="n"/>
      <c r="I62" s="59" t="n"/>
      <c r="J62" s="59" t="n"/>
      <c r="K62" s="59" t="n"/>
      <c r="L62" s="65">
        <f>IF(SUM(U62:AY62)=0,"",SUM(U62:AY62))</f>
        <v/>
      </c>
      <c r="M62" s="66">
        <f>IFERROR(INDEX(U$2:AY$2,MATCH(TRUE,INDEX(U62:AY62&lt;&gt;"",0),0)),"")</f>
        <v/>
      </c>
      <c r="N62" s="66">
        <f>IFERROR(LOOKUP(2,1/(U62:AY62&lt;&gt;""),U$2:AY$2),"")</f>
        <v/>
      </c>
      <c r="O62" s="59" t="n"/>
      <c r="P62" s="59" t="n"/>
      <c r="Q62" s="59" t="n"/>
      <c r="R62" s="59" t="n"/>
      <c r="S62" s="14" t="n"/>
      <c r="U62" s="53" t="n"/>
      <c r="V62" s="53" t="n"/>
      <c r="W62" s="53" t="n"/>
      <c r="X62" s="53" t="n"/>
      <c r="Y62" s="53" t="n"/>
      <c r="Z62" s="53" t="n"/>
      <c r="AA62" s="53" t="n"/>
      <c r="AB62" s="53" t="n"/>
      <c r="AC62" s="53" t="n"/>
      <c r="AD62" s="53" t="n"/>
      <c r="AE62" s="53" t="n"/>
      <c r="AF62" s="53" t="n"/>
      <c r="AG62" s="53" t="n"/>
      <c r="AH62" s="53" t="n"/>
      <c r="AI62" s="53" t="n"/>
      <c r="AJ62" s="53" t="n"/>
      <c r="AK62" s="53" t="n"/>
      <c r="AL62" s="53" t="n"/>
      <c r="AM62" s="53" t="n"/>
      <c r="AN62" s="53" t="n"/>
      <c r="AO62" s="53" t="n"/>
      <c r="AP62" s="53" t="n"/>
      <c r="AQ62" s="53" t="n"/>
      <c r="AR62" s="53" t="n"/>
      <c r="AS62" s="53" t="n"/>
      <c r="AT62" s="53" t="n"/>
      <c r="AU62" s="53" t="n"/>
      <c r="AV62" s="53" t="n"/>
      <c r="AW62" s="53" t="n"/>
      <c r="AX62" s="53" t="n"/>
      <c r="AY62" s="53" t="n"/>
    </row>
    <row r="63" ht="15" customHeight="1">
      <c r="A63" s="40">
        <f>IF($D$63="","",19)</f>
        <v/>
      </c>
      <c r="B63" s="10" t="n"/>
      <c r="C63" s="41" t="inlineStr">
        <is>
          <t>마케팅1팀</t>
        </is>
      </c>
      <c r="D63" s="42" t="n"/>
      <c r="E63" s="43" t="inlineStr">
        <is>
          <t>기획</t>
        </is>
      </c>
      <c r="F63" s="44" t="n"/>
      <c r="G63" s="45" t="n"/>
      <c r="H63" s="46">
        <f>IF($I$63="","",IF($I$63&lt;0,"🔴지연",IF($I$63&lt;=1,"🟡임박","🟢여유")))</f>
        <v/>
      </c>
      <c r="I63" s="47">
        <f>IF(OR($G$63="",$K$63=""),"",$G$63-$K$63)</f>
        <v/>
      </c>
      <c r="J63" s="48">
        <f>IF(SUM($L$63:$L$65)=0,"",SUM($L$63:$L$65))</f>
        <v/>
      </c>
      <c r="K63" s="49">
        <f>IF($J$63="","",MAX($N$63:$N$65))</f>
        <v/>
      </c>
      <c r="L63" s="50">
        <f>IF(SUM(U63:AY63)=0,"",SUM(U63:AY63))</f>
        <v/>
      </c>
      <c r="M63" s="51">
        <f>IFERROR(INDEX(U$2:AY$2,MATCH(TRUE,INDEX(U63:AY63&lt;&gt;"",0),0)),"")</f>
        <v/>
      </c>
      <c r="N63" s="51">
        <f>IFERROR(LOOKUP(2,1/(U63:AY63&lt;&gt;""),U$2:AY$2),"")</f>
        <v/>
      </c>
      <c r="O63" s="52" t="n"/>
      <c r="P63" s="52" t="n"/>
      <c r="Q63" s="52" t="n"/>
      <c r="R63" s="44" t="n"/>
      <c r="S63" s="14" t="n"/>
      <c r="U63" s="53" t="n"/>
      <c r="V63" s="53" t="n"/>
      <c r="W63" s="53" t="n"/>
      <c r="X63" s="53" t="n"/>
      <c r="Y63" s="53" t="n"/>
      <c r="Z63" s="53" t="n"/>
      <c r="AA63" s="53" t="n"/>
      <c r="AB63" s="53" t="n"/>
      <c r="AC63" s="53" t="n"/>
      <c r="AD63" s="53" t="n"/>
      <c r="AE63" s="53" t="n"/>
      <c r="AF63" s="53" t="n"/>
      <c r="AG63" s="53" t="n"/>
      <c r="AH63" s="53" t="n"/>
      <c r="AI63" s="53" t="n"/>
      <c r="AJ63" s="53" t="n"/>
      <c r="AK63" s="53" t="n"/>
      <c r="AL63" s="53" t="n"/>
      <c r="AM63" s="53" t="n"/>
      <c r="AN63" s="53" t="n"/>
      <c r="AO63" s="53" t="n"/>
      <c r="AP63" s="53" t="n"/>
      <c r="AQ63" s="53" t="n"/>
      <c r="AR63" s="53" t="n"/>
      <c r="AS63" s="53" t="n"/>
      <c r="AT63" s="53" t="n"/>
      <c r="AU63" s="53" t="n"/>
      <c r="AV63" s="53" t="n"/>
      <c r="AW63" s="53" t="n"/>
      <c r="AX63" s="53" t="n"/>
      <c r="AY63" s="53" t="n"/>
    </row>
    <row r="64" ht="15" customHeight="1">
      <c r="A64" s="54" t="n"/>
      <c r="B64" s="55">
        <f>IF($B$63="","",$B$63)</f>
        <v/>
      </c>
      <c r="C64" s="56" t="inlineStr">
        <is>
          <t>마케팅1팀</t>
        </is>
      </c>
      <c r="D64" s="55">
        <f>IF($D$63="","",$D$63)</f>
        <v/>
      </c>
      <c r="E64" s="57" t="inlineStr">
        <is>
          <t>이미지</t>
        </is>
      </c>
      <c r="F64" s="44" t="n"/>
      <c r="G64" s="58">
        <f>IF($G$63="","",$G$63)</f>
        <v/>
      </c>
      <c r="H64" s="59" t="n"/>
      <c r="I64" s="59" t="n"/>
      <c r="J64" s="59" t="n"/>
      <c r="K64" s="59" t="n"/>
      <c r="L64" s="60">
        <f>IF(SUM(U64:AY64)=0,"",SUM(U64:AY64))</f>
        <v/>
      </c>
      <c r="M64" s="61">
        <f>IFERROR(INDEX(U$2:AY$2,MATCH(TRUE,INDEX(U64:AY64&lt;&gt;"",0),0)),"")</f>
        <v/>
      </c>
      <c r="N64" s="61">
        <f>IFERROR(LOOKUP(2,1/(U64:AY64&lt;&gt;""),U$2:AY$2),"")</f>
        <v/>
      </c>
      <c r="O64" s="59" t="n"/>
      <c r="P64" s="59" t="n"/>
      <c r="Q64" s="59" t="n"/>
      <c r="R64" s="59" t="n"/>
      <c r="S64" s="14" t="n"/>
      <c r="U64" s="53" t="n"/>
      <c r="V64" s="53" t="n"/>
      <c r="W64" s="53" t="n"/>
      <c r="X64" s="53" t="n"/>
      <c r="Y64" s="53" t="n"/>
      <c r="Z64" s="53" t="n"/>
      <c r="AA64" s="53" t="n"/>
      <c r="AB64" s="53" t="n"/>
      <c r="AC64" s="53" t="n"/>
      <c r="AD64" s="53" t="n"/>
      <c r="AE64" s="53" t="n"/>
      <c r="AF64" s="53" t="n"/>
      <c r="AG64" s="53" t="n"/>
      <c r="AH64" s="53" t="n"/>
      <c r="AI64" s="53" t="n"/>
      <c r="AJ64" s="53" t="n"/>
      <c r="AK64" s="53" t="n"/>
      <c r="AL64" s="53" t="n"/>
      <c r="AM64" s="53" t="n"/>
      <c r="AN64" s="53" t="n"/>
      <c r="AO64" s="53" t="n"/>
      <c r="AP64" s="53" t="n"/>
      <c r="AQ64" s="53" t="n"/>
      <c r="AR64" s="53" t="n"/>
      <c r="AS64" s="53" t="n"/>
      <c r="AT64" s="53" t="n"/>
      <c r="AU64" s="53" t="n"/>
      <c r="AV64" s="53" t="n"/>
      <c r="AW64" s="53" t="n"/>
      <c r="AX64" s="53" t="n"/>
      <c r="AY64" s="53" t="n"/>
    </row>
    <row r="65" ht="15" customHeight="1">
      <c r="A65" s="62" t="n"/>
      <c r="B65" s="55">
        <f>IF($B$63="","",$B$63)</f>
        <v/>
      </c>
      <c r="C65" s="63" t="inlineStr">
        <is>
          <t>마케팅1팀</t>
        </is>
      </c>
      <c r="D65" s="55">
        <f>IF($D$63="","",$D$63)</f>
        <v/>
      </c>
      <c r="E65" s="64" t="inlineStr">
        <is>
          <t>영상</t>
        </is>
      </c>
      <c r="F65" s="44" t="n"/>
      <c r="G65" s="58">
        <f>IF($G$63="","",$G$63)</f>
        <v/>
      </c>
      <c r="H65" s="59" t="n"/>
      <c r="I65" s="59" t="n"/>
      <c r="J65" s="59" t="n"/>
      <c r="K65" s="59" t="n"/>
      <c r="L65" s="65">
        <f>IF(SUM(U65:AY65)=0,"",SUM(U65:AY65))</f>
        <v/>
      </c>
      <c r="M65" s="66">
        <f>IFERROR(INDEX(U$2:AY$2,MATCH(TRUE,INDEX(U65:AY65&lt;&gt;"",0),0)),"")</f>
        <v/>
      </c>
      <c r="N65" s="66">
        <f>IFERROR(LOOKUP(2,1/(U65:AY65&lt;&gt;""),U$2:AY$2),"")</f>
        <v/>
      </c>
      <c r="O65" s="59" t="n"/>
      <c r="P65" s="59" t="n"/>
      <c r="Q65" s="59" t="n"/>
      <c r="R65" s="59" t="n"/>
      <c r="S65" s="14" t="n"/>
      <c r="U65" s="53" t="n"/>
      <c r="V65" s="53" t="n"/>
      <c r="W65" s="53" t="n"/>
      <c r="X65" s="53" t="n"/>
      <c r="Y65" s="53" t="n"/>
      <c r="Z65" s="53" t="n"/>
      <c r="AA65" s="53" t="n"/>
      <c r="AB65" s="53" t="n"/>
      <c r="AC65" s="53" t="n"/>
      <c r="AD65" s="53" t="n"/>
      <c r="AE65" s="53" t="n"/>
      <c r="AF65" s="53" t="n"/>
      <c r="AG65" s="53" t="n"/>
      <c r="AH65" s="53" t="n"/>
      <c r="AI65" s="53" t="n"/>
      <c r="AJ65" s="53" t="n"/>
      <c r="AK65" s="53" t="n"/>
      <c r="AL65" s="53" t="n"/>
      <c r="AM65" s="53" t="n"/>
      <c r="AN65" s="53" t="n"/>
      <c r="AO65" s="53" t="n"/>
      <c r="AP65" s="53" t="n"/>
      <c r="AQ65" s="53" t="n"/>
      <c r="AR65" s="53" t="n"/>
      <c r="AS65" s="53" t="n"/>
      <c r="AT65" s="53" t="n"/>
      <c r="AU65" s="53" t="n"/>
      <c r="AV65" s="53" t="n"/>
      <c r="AW65" s="53" t="n"/>
      <c r="AX65" s="53" t="n"/>
      <c r="AY65" s="53" t="n"/>
    </row>
    <row r="66" ht="15" customHeight="1">
      <c r="A66" s="40">
        <f>IF($D$66="","",20)</f>
        <v/>
      </c>
      <c r="B66" s="10" t="n"/>
      <c r="C66" s="41" t="inlineStr">
        <is>
          <t>마케팅1팀</t>
        </is>
      </c>
      <c r="D66" s="42" t="n"/>
      <c r="E66" s="43" t="inlineStr">
        <is>
          <t>기획</t>
        </is>
      </c>
      <c r="F66" s="44" t="n"/>
      <c r="G66" s="45" t="n"/>
      <c r="H66" s="46">
        <f>IF($I$66="","",IF($I$66&lt;0,"🔴지연",IF($I$66&lt;=1,"🟡임박","🟢여유")))</f>
        <v/>
      </c>
      <c r="I66" s="47">
        <f>IF(OR($G$66="",$K$66=""),"",$G$66-$K$66)</f>
        <v/>
      </c>
      <c r="J66" s="48">
        <f>IF(SUM($L$66:$L$68)=0,"",SUM($L$66:$L$68))</f>
        <v/>
      </c>
      <c r="K66" s="49">
        <f>IF($J$66="","",MAX($N$66:$N$68))</f>
        <v/>
      </c>
      <c r="L66" s="50">
        <f>IF(SUM(U66:AY66)=0,"",SUM(U66:AY66))</f>
        <v/>
      </c>
      <c r="M66" s="51">
        <f>IFERROR(INDEX(U$2:AY$2,MATCH(TRUE,INDEX(U66:AY66&lt;&gt;"",0),0)),"")</f>
        <v/>
      </c>
      <c r="N66" s="51">
        <f>IFERROR(LOOKUP(2,1/(U66:AY66&lt;&gt;""),U$2:AY$2),"")</f>
        <v/>
      </c>
      <c r="O66" s="52" t="n"/>
      <c r="P66" s="52" t="n"/>
      <c r="Q66" s="52" t="n"/>
      <c r="R66" s="44" t="n"/>
      <c r="S66" s="14" t="n"/>
      <c r="U66" s="53" t="n"/>
      <c r="V66" s="53" t="n"/>
      <c r="W66" s="53" t="n"/>
      <c r="X66" s="53" t="n"/>
      <c r="Y66" s="53" t="n"/>
      <c r="Z66" s="53" t="n"/>
      <c r="AA66" s="53" t="n"/>
      <c r="AB66" s="53" t="n"/>
      <c r="AC66" s="53" t="n"/>
      <c r="AD66" s="53" t="n"/>
      <c r="AE66" s="53" t="n"/>
      <c r="AF66" s="53" t="n"/>
      <c r="AG66" s="53" t="n"/>
      <c r="AH66" s="53" t="n"/>
      <c r="AI66" s="53" t="n"/>
      <c r="AJ66" s="53" t="n"/>
      <c r="AK66" s="53" t="n"/>
      <c r="AL66" s="53" t="n"/>
      <c r="AM66" s="53" t="n"/>
      <c r="AN66" s="53" t="n"/>
      <c r="AO66" s="53" t="n"/>
      <c r="AP66" s="53" t="n"/>
      <c r="AQ66" s="53" t="n"/>
      <c r="AR66" s="53" t="n"/>
      <c r="AS66" s="53" t="n"/>
      <c r="AT66" s="53" t="n"/>
      <c r="AU66" s="53" t="n"/>
      <c r="AV66" s="53" t="n"/>
      <c r="AW66" s="53" t="n"/>
      <c r="AX66" s="53" t="n"/>
      <c r="AY66" s="53" t="n"/>
    </row>
    <row r="67" ht="15" customHeight="1">
      <c r="A67" s="54" t="n"/>
      <c r="B67" s="55">
        <f>IF($B$66="","",$B$66)</f>
        <v/>
      </c>
      <c r="C67" s="56" t="inlineStr">
        <is>
          <t>마케팅1팀</t>
        </is>
      </c>
      <c r="D67" s="55">
        <f>IF($D$66="","",$D$66)</f>
        <v/>
      </c>
      <c r="E67" s="57" t="inlineStr">
        <is>
          <t>이미지</t>
        </is>
      </c>
      <c r="F67" s="44" t="n"/>
      <c r="G67" s="58">
        <f>IF($G$66="","",$G$66)</f>
        <v/>
      </c>
      <c r="H67" s="59" t="n"/>
      <c r="I67" s="59" t="n"/>
      <c r="J67" s="59" t="n"/>
      <c r="K67" s="59" t="n"/>
      <c r="L67" s="60">
        <f>IF(SUM(U67:AY67)=0,"",SUM(U67:AY67))</f>
        <v/>
      </c>
      <c r="M67" s="61">
        <f>IFERROR(INDEX(U$2:AY$2,MATCH(TRUE,INDEX(U67:AY67&lt;&gt;"",0),0)),"")</f>
        <v/>
      </c>
      <c r="N67" s="61">
        <f>IFERROR(LOOKUP(2,1/(U67:AY67&lt;&gt;""),U$2:AY$2),"")</f>
        <v/>
      </c>
      <c r="O67" s="59" t="n"/>
      <c r="P67" s="59" t="n"/>
      <c r="Q67" s="59" t="n"/>
      <c r="R67" s="59" t="n"/>
      <c r="S67" s="14" t="n"/>
      <c r="U67" s="53" t="n"/>
      <c r="V67" s="53" t="n"/>
      <c r="W67" s="53" t="n"/>
      <c r="X67" s="53" t="n"/>
      <c r="Y67" s="53" t="n"/>
      <c r="Z67" s="53" t="n"/>
      <c r="AA67" s="53" t="n"/>
      <c r="AB67" s="53" t="n"/>
      <c r="AC67" s="53" t="n"/>
      <c r="AD67" s="53" t="n"/>
      <c r="AE67" s="53" t="n"/>
      <c r="AF67" s="53" t="n"/>
      <c r="AG67" s="53" t="n"/>
      <c r="AH67" s="53" t="n"/>
      <c r="AI67" s="53" t="n"/>
      <c r="AJ67" s="53" t="n"/>
      <c r="AK67" s="53" t="n"/>
      <c r="AL67" s="53" t="n"/>
      <c r="AM67" s="53" t="n"/>
      <c r="AN67" s="53" t="n"/>
      <c r="AO67" s="53" t="n"/>
      <c r="AP67" s="53" t="n"/>
      <c r="AQ67" s="53" t="n"/>
      <c r="AR67" s="53" t="n"/>
      <c r="AS67" s="53" t="n"/>
      <c r="AT67" s="53" t="n"/>
      <c r="AU67" s="53" t="n"/>
      <c r="AV67" s="53" t="n"/>
      <c r="AW67" s="53" t="n"/>
      <c r="AX67" s="53" t="n"/>
      <c r="AY67" s="53" t="n"/>
    </row>
    <row r="68" ht="15" customHeight="1">
      <c r="A68" s="62" t="n"/>
      <c r="B68" s="55">
        <f>IF($B$66="","",$B$66)</f>
        <v/>
      </c>
      <c r="C68" s="63" t="inlineStr">
        <is>
          <t>마케팅1팀</t>
        </is>
      </c>
      <c r="D68" s="55">
        <f>IF($D$66="","",$D$66)</f>
        <v/>
      </c>
      <c r="E68" s="64" t="inlineStr">
        <is>
          <t>영상</t>
        </is>
      </c>
      <c r="F68" s="44" t="n"/>
      <c r="G68" s="58">
        <f>IF($G$66="","",$G$66)</f>
        <v/>
      </c>
      <c r="H68" s="59" t="n"/>
      <c r="I68" s="59" t="n"/>
      <c r="J68" s="59" t="n"/>
      <c r="K68" s="59" t="n"/>
      <c r="L68" s="65">
        <f>IF(SUM(U68:AY68)=0,"",SUM(U68:AY68))</f>
        <v/>
      </c>
      <c r="M68" s="66">
        <f>IFERROR(INDEX(U$2:AY$2,MATCH(TRUE,INDEX(U68:AY68&lt;&gt;"",0),0)),"")</f>
        <v/>
      </c>
      <c r="N68" s="66">
        <f>IFERROR(LOOKUP(2,1/(U68:AY68&lt;&gt;""),U$2:AY$2),"")</f>
        <v/>
      </c>
      <c r="O68" s="59" t="n"/>
      <c r="P68" s="59" t="n"/>
      <c r="Q68" s="59" t="n"/>
      <c r="R68" s="59" t="n"/>
      <c r="S68" s="14" t="n"/>
      <c r="U68" s="53" t="n"/>
      <c r="V68" s="53" t="n"/>
      <c r="W68" s="53" t="n"/>
      <c r="X68" s="53" t="n"/>
      <c r="Y68" s="53" t="n"/>
      <c r="Z68" s="53" t="n"/>
      <c r="AA68" s="53" t="n"/>
      <c r="AB68" s="53" t="n"/>
      <c r="AC68" s="53" t="n"/>
      <c r="AD68" s="53" t="n"/>
      <c r="AE68" s="53" t="n"/>
      <c r="AF68" s="53" t="n"/>
      <c r="AG68" s="53" t="n"/>
      <c r="AH68" s="53" t="n"/>
      <c r="AI68" s="53" t="n"/>
      <c r="AJ68" s="53" t="n"/>
      <c r="AK68" s="53" t="n"/>
      <c r="AL68" s="53" t="n"/>
      <c r="AM68" s="53" t="n"/>
      <c r="AN68" s="53" t="n"/>
      <c r="AO68" s="53" t="n"/>
      <c r="AP68" s="53" t="n"/>
      <c r="AQ68" s="53" t="n"/>
      <c r="AR68" s="53" t="n"/>
      <c r="AS68" s="53" t="n"/>
      <c r="AT68" s="53" t="n"/>
      <c r="AU68" s="53" t="n"/>
      <c r="AV68" s="53" t="n"/>
      <c r="AW68" s="53" t="n"/>
      <c r="AX68" s="53" t="n"/>
      <c r="AY68" s="53" t="n"/>
    </row>
    <row r="69" ht="18" customHeight="1">
      <c r="A69" s="39" t="inlineStr">
        <is>
          <t>마케팅2팀   (70~129행 · 소재 20개)</t>
        </is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4" t="n"/>
    </row>
    <row r="70" ht="15" customHeight="1">
      <c r="A70" s="40">
        <f>IF($D$70="","",21)</f>
        <v/>
      </c>
      <c r="B70" s="10" t="n"/>
      <c r="C70" s="41" t="inlineStr">
        <is>
          <t>마케팅2팀</t>
        </is>
      </c>
      <c r="D70" s="42" t="n"/>
      <c r="E70" s="43" t="inlineStr">
        <is>
          <t>기획</t>
        </is>
      </c>
      <c r="F70" s="44" t="n"/>
      <c r="G70" s="45" t="n"/>
      <c r="H70" s="46">
        <f>IF($I$70="","",IF($I$70&lt;0,"🔴지연",IF($I$70&lt;=1,"🟡임박","🟢여유")))</f>
        <v/>
      </c>
      <c r="I70" s="47">
        <f>IF(OR($G$70="",$K$70=""),"",$G$70-$K$70)</f>
        <v/>
      </c>
      <c r="J70" s="48">
        <f>IF(SUM($L$70:$L$72)=0,"",SUM($L$70:$L$72))</f>
        <v/>
      </c>
      <c r="K70" s="49">
        <f>IF($J$70="","",MAX($N$70:$N$72))</f>
        <v/>
      </c>
      <c r="L70" s="50">
        <f>IF(SUM(U70:AY70)=0,"",SUM(U70:AY70))</f>
        <v/>
      </c>
      <c r="M70" s="51">
        <f>IFERROR(INDEX(U$2:AY$2,MATCH(TRUE,INDEX(U70:AY70&lt;&gt;"",0),0)),"")</f>
        <v/>
      </c>
      <c r="N70" s="51">
        <f>IFERROR(LOOKUP(2,1/(U70:AY70&lt;&gt;""),U$2:AY$2),"")</f>
        <v/>
      </c>
      <c r="O70" s="52" t="n"/>
      <c r="P70" s="52" t="n"/>
      <c r="Q70" s="52" t="n"/>
      <c r="R70" s="44" t="n"/>
      <c r="S70" s="14" t="n"/>
      <c r="U70" s="53" t="n"/>
      <c r="V70" s="53" t="n"/>
      <c r="W70" s="53" t="n"/>
      <c r="X70" s="53" t="n"/>
      <c r="Y70" s="53" t="n"/>
      <c r="Z70" s="53" t="n"/>
      <c r="AA70" s="53" t="n"/>
      <c r="AB70" s="53" t="n"/>
      <c r="AC70" s="53" t="n"/>
      <c r="AD70" s="53" t="n"/>
      <c r="AE70" s="53" t="n"/>
      <c r="AF70" s="53" t="n"/>
      <c r="AG70" s="53" t="n"/>
      <c r="AH70" s="53" t="n"/>
      <c r="AI70" s="53" t="n"/>
      <c r="AJ70" s="53" t="n"/>
      <c r="AK70" s="53" t="n"/>
      <c r="AL70" s="53" t="n"/>
      <c r="AM70" s="53" t="n"/>
      <c r="AN70" s="53" t="n"/>
      <c r="AO70" s="53" t="n"/>
      <c r="AP70" s="53" t="n"/>
      <c r="AQ70" s="53" t="n"/>
      <c r="AR70" s="53" t="n"/>
      <c r="AS70" s="53" t="n"/>
      <c r="AT70" s="53" t="n"/>
      <c r="AU70" s="53" t="n"/>
      <c r="AV70" s="53" t="n"/>
      <c r="AW70" s="53" t="n"/>
      <c r="AX70" s="53" t="n"/>
      <c r="AY70" s="53" t="n"/>
    </row>
    <row r="71" ht="15" customHeight="1">
      <c r="A71" s="54" t="n"/>
      <c r="B71" s="55">
        <f>IF($B$70="","",$B$70)</f>
        <v/>
      </c>
      <c r="C71" s="56" t="inlineStr">
        <is>
          <t>마케팅2팀</t>
        </is>
      </c>
      <c r="D71" s="55">
        <f>IF($D$70="","",$D$70)</f>
        <v/>
      </c>
      <c r="E71" s="57" t="inlineStr">
        <is>
          <t>이미지</t>
        </is>
      </c>
      <c r="F71" s="44" t="n"/>
      <c r="G71" s="58">
        <f>IF($G$70="","",$G$70)</f>
        <v/>
      </c>
      <c r="H71" s="59" t="n"/>
      <c r="I71" s="59" t="n"/>
      <c r="J71" s="59" t="n"/>
      <c r="K71" s="59" t="n"/>
      <c r="L71" s="60">
        <f>IF(SUM(U71:AY71)=0,"",SUM(U71:AY71))</f>
        <v/>
      </c>
      <c r="M71" s="61">
        <f>IFERROR(INDEX(U$2:AY$2,MATCH(TRUE,INDEX(U71:AY71&lt;&gt;"",0),0)),"")</f>
        <v/>
      </c>
      <c r="N71" s="61">
        <f>IFERROR(LOOKUP(2,1/(U71:AY71&lt;&gt;""),U$2:AY$2),"")</f>
        <v/>
      </c>
      <c r="O71" s="59" t="n"/>
      <c r="P71" s="59" t="n"/>
      <c r="Q71" s="59" t="n"/>
      <c r="R71" s="59" t="n"/>
      <c r="S71" s="14" t="n"/>
      <c r="U71" s="53" t="n"/>
      <c r="V71" s="53" t="n"/>
      <c r="W71" s="53" t="n"/>
      <c r="X71" s="53" t="n"/>
      <c r="Y71" s="53" t="n"/>
      <c r="Z71" s="53" t="n"/>
      <c r="AA71" s="53" t="n"/>
      <c r="AB71" s="53" t="n"/>
      <c r="AC71" s="53" t="n"/>
      <c r="AD71" s="53" t="n"/>
      <c r="AE71" s="53" t="n"/>
      <c r="AF71" s="53" t="n"/>
      <c r="AG71" s="53" t="n"/>
      <c r="AH71" s="53" t="n"/>
      <c r="AI71" s="53" t="n"/>
      <c r="AJ71" s="53" t="n"/>
      <c r="AK71" s="53" t="n"/>
      <c r="AL71" s="53" t="n"/>
      <c r="AM71" s="53" t="n"/>
      <c r="AN71" s="53" t="n"/>
      <c r="AO71" s="53" t="n"/>
      <c r="AP71" s="53" t="n"/>
      <c r="AQ71" s="53" t="n"/>
      <c r="AR71" s="53" t="n"/>
      <c r="AS71" s="53" t="n"/>
      <c r="AT71" s="53" t="n"/>
      <c r="AU71" s="53" t="n"/>
      <c r="AV71" s="53" t="n"/>
      <c r="AW71" s="53" t="n"/>
      <c r="AX71" s="53" t="n"/>
      <c r="AY71" s="53" t="n"/>
    </row>
    <row r="72" ht="15" customHeight="1">
      <c r="A72" s="62" t="n"/>
      <c r="B72" s="55">
        <f>IF($B$70="","",$B$70)</f>
        <v/>
      </c>
      <c r="C72" s="63" t="inlineStr">
        <is>
          <t>마케팅2팀</t>
        </is>
      </c>
      <c r="D72" s="55">
        <f>IF($D$70="","",$D$70)</f>
        <v/>
      </c>
      <c r="E72" s="64" t="inlineStr">
        <is>
          <t>영상</t>
        </is>
      </c>
      <c r="F72" s="44" t="n"/>
      <c r="G72" s="58">
        <f>IF($G$70="","",$G$70)</f>
        <v/>
      </c>
      <c r="H72" s="59" t="n"/>
      <c r="I72" s="59" t="n"/>
      <c r="J72" s="59" t="n"/>
      <c r="K72" s="59" t="n"/>
      <c r="L72" s="65">
        <f>IF(SUM(U72:AY72)=0,"",SUM(U72:AY72))</f>
        <v/>
      </c>
      <c r="M72" s="66">
        <f>IFERROR(INDEX(U$2:AY$2,MATCH(TRUE,INDEX(U72:AY72&lt;&gt;"",0),0)),"")</f>
        <v/>
      </c>
      <c r="N72" s="66">
        <f>IFERROR(LOOKUP(2,1/(U72:AY72&lt;&gt;""),U$2:AY$2),"")</f>
        <v/>
      </c>
      <c r="O72" s="59" t="n"/>
      <c r="P72" s="59" t="n"/>
      <c r="Q72" s="59" t="n"/>
      <c r="R72" s="59" t="n"/>
      <c r="S72" s="14" t="n"/>
      <c r="U72" s="53" t="n"/>
      <c r="V72" s="53" t="n"/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53" t="n"/>
      <c r="AF72" s="53" t="n"/>
      <c r="AG72" s="53" t="n"/>
      <c r="AH72" s="53" t="n"/>
      <c r="AI72" s="53" t="n"/>
      <c r="AJ72" s="53" t="n"/>
      <c r="AK72" s="53" t="n"/>
      <c r="AL72" s="53" t="n"/>
      <c r="AM72" s="53" t="n"/>
      <c r="AN72" s="53" t="n"/>
      <c r="AO72" s="53" t="n"/>
      <c r="AP72" s="53" t="n"/>
      <c r="AQ72" s="53" t="n"/>
      <c r="AR72" s="53" t="n"/>
      <c r="AS72" s="53" t="n"/>
      <c r="AT72" s="53" t="n"/>
      <c r="AU72" s="53" t="n"/>
      <c r="AV72" s="53" t="n"/>
      <c r="AW72" s="53" t="n"/>
      <c r="AX72" s="53" t="n"/>
      <c r="AY72" s="53" t="n"/>
    </row>
    <row r="73" ht="15" customHeight="1">
      <c r="A73" s="40">
        <f>IF($D$73="","",22)</f>
        <v/>
      </c>
      <c r="B73" s="10" t="n"/>
      <c r="C73" s="41" t="inlineStr">
        <is>
          <t>마케팅2팀</t>
        </is>
      </c>
      <c r="D73" s="42" t="n"/>
      <c r="E73" s="43" t="inlineStr">
        <is>
          <t>기획</t>
        </is>
      </c>
      <c r="F73" s="44" t="n"/>
      <c r="G73" s="45" t="n"/>
      <c r="H73" s="46">
        <f>IF($I$73="","",IF($I$73&lt;0,"🔴지연",IF($I$73&lt;=1,"🟡임박","🟢여유")))</f>
        <v/>
      </c>
      <c r="I73" s="47">
        <f>IF(OR($G$73="",$K$73=""),"",$G$73-$K$73)</f>
        <v/>
      </c>
      <c r="J73" s="48">
        <f>IF(SUM($L$73:$L$75)=0,"",SUM($L$73:$L$75))</f>
        <v/>
      </c>
      <c r="K73" s="49">
        <f>IF($J$73="","",MAX($N$73:$N$75))</f>
        <v/>
      </c>
      <c r="L73" s="50">
        <f>IF(SUM(U73:AY73)=0,"",SUM(U73:AY73))</f>
        <v/>
      </c>
      <c r="M73" s="51">
        <f>IFERROR(INDEX(U$2:AY$2,MATCH(TRUE,INDEX(U73:AY73&lt;&gt;"",0),0)),"")</f>
        <v/>
      </c>
      <c r="N73" s="51">
        <f>IFERROR(LOOKUP(2,1/(U73:AY73&lt;&gt;""),U$2:AY$2),"")</f>
        <v/>
      </c>
      <c r="O73" s="52" t="n"/>
      <c r="P73" s="52" t="n"/>
      <c r="Q73" s="52" t="n"/>
      <c r="R73" s="44" t="n"/>
      <c r="S73" s="14" t="n"/>
      <c r="U73" s="53" t="n"/>
      <c r="V73" s="53" t="n"/>
      <c r="W73" s="53" t="n"/>
      <c r="X73" s="53" t="n"/>
      <c r="Y73" s="53" t="n"/>
      <c r="Z73" s="53" t="n"/>
      <c r="AA73" s="53" t="n"/>
      <c r="AB73" s="53" t="n"/>
      <c r="AC73" s="53" t="n"/>
      <c r="AD73" s="53" t="n"/>
      <c r="AE73" s="53" t="n"/>
      <c r="AF73" s="53" t="n"/>
      <c r="AG73" s="53" t="n"/>
      <c r="AH73" s="53" t="n"/>
      <c r="AI73" s="53" t="n"/>
      <c r="AJ73" s="53" t="n"/>
      <c r="AK73" s="53" t="n"/>
      <c r="AL73" s="53" t="n"/>
      <c r="AM73" s="53" t="n"/>
      <c r="AN73" s="53" t="n"/>
      <c r="AO73" s="53" t="n"/>
      <c r="AP73" s="53" t="n"/>
      <c r="AQ73" s="53" t="n"/>
      <c r="AR73" s="53" t="n"/>
      <c r="AS73" s="53" t="n"/>
      <c r="AT73" s="53" t="n"/>
      <c r="AU73" s="53" t="n"/>
      <c r="AV73" s="53" t="n"/>
      <c r="AW73" s="53" t="n"/>
      <c r="AX73" s="53" t="n"/>
      <c r="AY73" s="53" t="n"/>
    </row>
    <row r="74" ht="15" customHeight="1">
      <c r="A74" s="54" t="n"/>
      <c r="B74" s="55">
        <f>IF($B$73="","",$B$73)</f>
        <v/>
      </c>
      <c r="C74" s="56" t="inlineStr">
        <is>
          <t>마케팅2팀</t>
        </is>
      </c>
      <c r="D74" s="55">
        <f>IF($D$73="","",$D$73)</f>
        <v/>
      </c>
      <c r="E74" s="57" t="inlineStr">
        <is>
          <t>이미지</t>
        </is>
      </c>
      <c r="F74" s="44" t="n"/>
      <c r="G74" s="58">
        <f>IF($G$73="","",$G$73)</f>
        <v/>
      </c>
      <c r="H74" s="59" t="n"/>
      <c r="I74" s="59" t="n"/>
      <c r="J74" s="59" t="n"/>
      <c r="K74" s="59" t="n"/>
      <c r="L74" s="60">
        <f>IF(SUM(U74:AY74)=0,"",SUM(U74:AY74))</f>
        <v/>
      </c>
      <c r="M74" s="61">
        <f>IFERROR(INDEX(U$2:AY$2,MATCH(TRUE,INDEX(U74:AY74&lt;&gt;"",0),0)),"")</f>
        <v/>
      </c>
      <c r="N74" s="61">
        <f>IFERROR(LOOKUP(2,1/(U74:AY74&lt;&gt;""),U$2:AY$2),"")</f>
        <v/>
      </c>
      <c r="O74" s="59" t="n"/>
      <c r="P74" s="59" t="n"/>
      <c r="Q74" s="59" t="n"/>
      <c r="R74" s="59" t="n"/>
      <c r="S74" s="14" t="n"/>
      <c r="U74" s="53" t="n"/>
      <c r="V74" s="53" t="n"/>
      <c r="W74" s="53" t="n"/>
      <c r="X74" s="53" t="n"/>
      <c r="Y74" s="53" t="n"/>
      <c r="Z74" s="53" t="n"/>
      <c r="AA74" s="53" t="n"/>
      <c r="AB74" s="53" t="n"/>
      <c r="AC74" s="53" t="n"/>
      <c r="AD74" s="53" t="n"/>
      <c r="AE74" s="53" t="n"/>
      <c r="AF74" s="53" t="n"/>
      <c r="AG74" s="53" t="n"/>
      <c r="AH74" s="53" t="n"/>
      <c r="AI74" s="53" t="n"/>
      <c r="AJ74" s="53" t="n"/>
      <c r="AK74" s="53" t="n"/>
      <c r="AL74" s="53" t="n"/>
      <c r="AM74" s="53" t="n"/>
      <c r="AN74" s="53" t="n"/>
      <c r="AO74" s="53" t="n"/>
      <c r="AP74" s="53" t="n"/>
      <c r="AQ74" s="53" t="n"/>
      <c r="AR74" s="53" t="n"/>
      <c r="AS74" s="53" t="n"/>
      <c r="AT74" s="53" t="n"/>
      <c r="AU74" s="53" t="n"/>
      <c r="AV74" s="53" t="n"/>
      <c r="AW74" s="53" t="n"/>
      <c r="AX74" s="53" t="n"/>
      <c r="AY74" s="53" t="n"/>
    </row>
    <row r="75" ht="15" customHeight="1">
      <c r="A75" s="62" t="n"/>
      <c r="B75" s="55">
        <f>IF($B$73="","",$B$73)</f>
        <v/>
      </c>
      <c r="C75" s="63" t="inlineStr">
        <is>
          <t>마케팅2팀</t>
        </is>
      </c>
      <c r="D75" s="55">
        <f>IF($D$73="","",$D$73)</f>
        <v/>
      </c>
      <c r="E75" s="64" t="inlineStr">
        <is>
          <t>영상</t>
        </is>
      </c>
      <c r="F75" s="44" t="n"/>
      <c r="G75" s="58">
        <f>IF($G$73="","",$G$73)</f>
        <v/>
      </c>
      <c r="H75" s="59" t="n"/>
      <c r="I75" s="59" t="n"/>
      <c r="J75" s="59" t="n"/>
      <c r="K75" s="59" t="n"/>
      <c r="L75" s="65">
        <f>IF(SUM(U75:AY75)=0,"",SUM(U75:AY75))</f>
        <v/>
      </c>
      <c r="M75" s="66">
        <f>IFERROR(INDEX(U$2:AY$2,MATCH(TRUE,INDEX(U75:AY75&lt;&gt;"",0),0)),"")</f>
        <v/>
      </c>
      <c r="N75" s="66">
        <f>IFERROR(LOOKUP(2,1/(U75:AY75&lt;&gt;""),U$2:AY$2),"")</f>
        <v/>
      </c>
      <c r="O75" s="59" t="n"/>
      <c r="P75" s="59" t="n"/>
      <c r="Q75" s="59" t="n"/>
      <c r="R75" s="59" t="n"/>
      <c r="S75" s="14" t="n"/>
      <c r="U75" s="53" t="n"/>
      <c r="V75" s="53" t="n"/>
      <c r="W75" s="53" t="n"/>
      <c r="X75" s="53" t="n"/>
      <c r="Y75" s="53" t="n"/>
      <c r="Z75" s="53" t="n"/>
      <c r="AA75" s="53" t="n"/>
      <c r="AB75" s="53" t="n"/>
      <c r="AC75" s="53" t="n"/>
      <c r="AD75" s="53" t="n"/>
      <c r="AE75" s="53" t="n"/>
      <c r="AF75" s="53" t="n"/>
      <c r="AG75" s="53" t="n"/>
      <c r="AH75" s="53" t="n"/>
      <c r="AI75" s="53" t="n"/>
      <c r="AJ75" s="53" t="n"/>
      <c r="AK75" s="53" t="n"/>
      <c r="AL75" s="53" t="n"/>
      <c r="AM75" s="53" t="n"/>
      <c r="AN75" s="53" t="n"/>
      <c r="AO75" s="53" t="n"/>
      <c r="AP75" s="53" t="n"/>
      <c r="AQ75" s="53" t="n"/>
      <c r="AR75" s="53" t="n"/>
      <c r="AS75" s="53" t="n"/>
      <c r="AT75" s="53" t="n"/>
      <c r="AU75" s="53" t="n"/>
      <c r="AV75" s="53" t="n"/>
      <c r="AW75" s="53" t="n"/>
      <c r="AX75" s="53" t="n"/>
      <c r="AY75" s="53" t="n"/>
    </row>
    <row r="76" ht="15" customHeight="1">
      <c r="A76" s="40">
        <f>IF($D$76="","",23)</f>
        <v/>
      </c>
      <c r="B76" s="10" t="n"/>
      <c r="C76" s="41" t="inlineStr">
        <is>
          <t>마케팅2팀</t>
        </is>
      </c>
      <c r="D76" s="42" t="n"/>
      <c r="E76" s="43" t="inlineStr">
        <is>
          <t>기획</t>
        </is>
      </c>
      <c r="F76" s="44" t="n"/>
      <c r="G76" s="45" t="n"/>
      <c r="H76" s="46">
        <f>IF($I$76="","",IF($I$76&lt;0,"🔴지연",IF($I$76&lt;=1,"🟡임박","🟢여유")))</f>
        <v/>
      </c>
      <c r="I76" s="47">
        <f>IF(OR($G$76="",$K$76=""),"",$G$76-$K$76)</f>
        <v/>
      </c>
      <c r="J76" s="48">
        <f>IF(SUM($L$76:$L$78)=0,"",SUM($L$76:$L$78))</f>
        <v/>
      </c>
      <c r="K76" s="49">
        <f>IF($J$76="","",MAX($N$76:$N$78))</f>
        <v/>
      </c>
      <c r="L76" s="50">
        <f>IF(SUM(U76:AY76)=0,"",SUM(U76:AY76))</f>
        <v/>
      </c>
      <c r="M76" s="51">
        <f>IFERROR(INDEX(U$2:AY$2,MATCH(TRUE,INDEX(U76:AY76&lt;&gt;"",0),0)),"")</f>
        <v/>
      </c>
      <c r="N76" s="51">
        <f>IFERROR(LOOKUP(2,1/(U76:AY76&lt;&gt;""),U$2:AY$2),"")</f>
        <v/>
      </c>
      <c r="O76" s="52" t="n"/>
      <c r="P76" s="52" t="n"/>
      <c r="Q76" s="52" t="n"/>
      <c r="R76" s="44" t="n"/>
      <c r="S76" s="14" t="n"/>
      <c r="U76" s="53" t="n"/>
      <c r="V76" s="53" t="n"/>
      <c r="W76" s="53" t="n"/>
      <c r="X76" s="53" t="n"/>
      <c r="Y76" s="53" t="n"/>
      <c r="Z76" s="53" t="n"/>
      <c r="AA76" s="53" t="n"/>
      <c r="AB76" s="53" t="n"/>
      <c r="AC76" s="53" t="n"/>
      <c r="AD76" s="53" t="n"/>
      <c r="AE76" s="53" t="n"/>
      <c r="AF76" s="53" t="n"/>
      <c r="AG76" s="53" t="n"/>
      <c r="AH76" s="53" t="n"/>
      <c r="AI76" s="53" t="n"/>
      <c r="AJ76" s="53" t="n"/>
      <c r="AK76" s="53" t="n"/>
      <c r="AL76" s="53" t="n"/>
      <c r="AM76" s="53" t="n"/>
      <c r="AN76" s="53" t="n"/>
      <c r="AO76" s="53" t="n"/>
      <c r="AP76" s="53" t="n"/>
      <c r="AQ76" s="53" t="n"/>
      <c r="AR76" s="53" t="n"/>
      <c r="AS76" s="53" t="n"/>
      <c r="AT76" s="53" t="n"/>
      <c r="AU76" s="53" t="n"/>
      <c r="AV76" s="53" t="n"/>
      <c r="AW76" s="53" t="n"/>
      <c r="AX76" s="53" t="n"/>
      <c r="AY76" s="53" t="n"/>
    </row>
    <row r="77" ht="15" customHeight="1">
      <c r="A77" s="54" t="n"/>
      <c r="B77" s="55">
        <f>IF($B$76="","",$B$76)</f>
        <v/>
      </c>
      <c r="C77" s="56" t="inlineStr">
        <is>
          <t>마케팅2팀</t>
        </is>
      </c>
      <c r="D77" s="55">
        <f>IF($D$76="","",$D$76)</f>
        <v/>
      </c>
      <c r="E77" s="57" t="inlineStr">
        <is>
          <t>이미지</t>
        </is>
      </c>
      <c r="F77" s="44" t="n"/>
      <c r="G77" s="58">
        <f>IF($G$76="","",$G$76)</f>
        <v/>
      </c>
      <c r="H77" s="59" t="n"/>
      <c r="I77" s="59" t="n"/>
      <c r="J77" s="59" t="n"/>
      <c r="K77" s="59" t="n"/>
      <c r="L77" s="60">
        <f>IF(SUM(U77:AY77)=0,"",SUM(U77:AY77))</f>
        <v/>
      </c>
      <c r="M77" s="61">
        <f>IFERROR(INDEX(U$2:AY$2,MATCH(TRUE,INDEX(U77:AY77&lt;&gt;"",0),0)),"")</f>
        <v/>
      </c>
      <c r="N77" s="61">
        <f>IFERROR(LOOKUP(2,1/(U77:AY77&lt;&gt;""),U$2:AY$2),"")</f>
        <v/>
      </c>
      <c r="O77" s="59" t="n"/>
      <c r="P77" s="59" t="n"/>
      <c r="Q77" s="59" t="n"/>
      <c r="R77" s="59" t="n"/>
      <c r="S77" s="14" t="n"/>
      <c r="U77" s="53" t="n"/>
      <c r="V77" s="53" t="n"/>
      <c r="W77" s="53" t="n"/>
      <c r="X77" s="53" t="n"/>
      <c r="Y77" s="53" t="n"/>
      <c r="Z77" s="53" t="n"/>
      <c r="AA77" s="53" t="n"/>
      <c r="AB77" s="53" t="n"/>
      <c r="AC77" s="53" t="n"/>
      <c r="AD77" s="53" t="n"/>
      <c r="AE77" s="53" t="n"/>
      <c r="AF77" s="53" t="n"/>
      <c r="AG77" s="53" t="n"/>
      <c r="AH77" s="53" t="n"/>
      <c r="AI77" s="53" t="n"/>
      <c r="AJ77" s="53" t="n"/>
      <c r="AK77" s="53" t="n"/>
      <c r="AL77" s="53" t="n"/>
      <c r="AM77" s="53" t="n"/>
      <c r="AN77" s="53" t="n"/>
      <c r="AO77" s="53" t="n"/>
      <c r="AP77" s="53" t="n"/>
      <c r="AQ77" s="53" t="n"/>
      <c r="AR77" s="53" t="n"/>
      <c r="AS77" s="53" t="n"/>
      <c r="AT77" s="53" t="n"/>
      <c r="AU77" s="53" t="n"/>
      <c r="AV77" s="53" t="n"/>
      <c r="AW77" s="53" t="n"/>
      <c r="AX77" s="53" t="n"/>
      <c r="AY77" s="53" t="n"/>
    </row>
    <row r="78" ht="15" customHeight="1">
      <c r="A78" s="62" t="n"/>
      <c r="B78" s="55">
        <f>IF($B$76="","",$B$76)</f>
        <v/>
      </c>
      <c r="C78" s="63" t="inlineStr">
        <is>
          <t>마케팅2팀</t>
        </is>
      </c>
      <c r="D78" s="55">
        <f>IF($D$76="","",$D$76)</f>
        <v/>
      </c>
      <c r="E78" s="64" t="inlineStr">
        <is>
          <t>영상</t>
        </is>
      </c>
      <c r="F78" s="44" t="n"/>
      <c r="G78" s="58">
        <f>IF($G$76="","",$G$76)</f>
        <v/>
      </c>
      <c r="H78" s="59" t="n"/>
      <c r="I78" s="59" t="n"/>
      <c r="J78" s="59" t="n"/>
      <c r="K78" s="59" t="n"/>
      <c r="L78" s="65">
        <f>IF(SUM(U78:AY78)=0,"",SUM(U78:AY78))</f>
        <v/>
      </c>
      <c r="M78" s="66">
        <f>IFERROR(INDEX(U$2:AY$2,MATCH(TRUE,INDEX(U78:AY78&lt;&gt;"",0),0)),"")</f>
        <v/>
      </c>
      <c r="N78" s="66">
        <f>IFERROR(LOOKUP(2,1/(U78:AY78&lt;&gt;""),U$2:AY$2),"")</f>
        <v/>
      </c>
      <c r="O78" s="59" t="n"/>
      <c r="P78" s="59" t="n"/>
      <c r="Q78" s="59" t="n"/>
      <c r="R78" s="59" t="n"/>
      <c r="S78" s="14" t="n"/>
      <c r="U78" s="53" t="n"/>
      <c r="V78" s="53" t="n"/>
      <c r="W78" s="53" t="n"/>
      <c r="X78" s="53" t="n"/>
      <c r="Y78" s="53" t="n"/>
      <c r="Z78" s="53" t="n"/>
      <c r="AA78" s="53" t="n"/>
      <c r="AB78" s="53" t="n"/>
      <c r="AC78" s="53" t="n"/>
      <c r="AD78" s="53" t="n"/>
      <c r="AE78" s="53" t="n"/>
      <c r="AF78" s="53" t="n"/>
      <c r="AG78" s="53" t="n"/>
      <c r="AH78" s="53" t="n"/>
      <c r="AI78" s="53" t="n"/>
      <c r="AJ78" s="53" t="n"/>
      <c r="AK78" s="53" t="n"/>
      <c r="AL78" s="53" t="n"/>
      <c r="AM78" s="53" t="n"/>
      <c r="AN78" s="53" t="n"/>
      <c r="AO78" s="53" t="n"/>
      <c r="AP78" s="53" t="n"/>
      <c r="AQ78" s="53" t="n"/>
      <c r="AR78" s="53" t="n"/>
      <c r="AS78" s="53" t="n"/>
      <c r="AT78" s="53" t="n"/>
      <c r="AU78" s="53" t="n"/>
      <c r="AV78" s="53" t="n"/>
      <c r="AW78" s="53" t="n"/>
      <c r="AX78" s="53" t="n"/>
      <c r="AY78" s="53" t="n"/>
    </row>
    <row r="79" ht="15" customHeight="1">
      <c r="A79" s="40">
        <f>IF($D$79="","",24)</f>
        <v/>
      </c>
      <c r="B79" s="10" t="n"/>
      <c r="C79" s="41" t="inlineStr">
        <is>
          <t>마케팅2팀</t>
        </is>
      </c>
      <c r="D79" s="42" t="n"/>
      <c r="E79" s="43" t="inlineStr">
        <is>
          <t>기획</t>
        </is>
      </c>
      <c r="F79" s="44" t="n"/>
      <c r="G79" s="45" t="n"/>
      <c r="H79" s="46">
        <f>IF($I$79="","",IF($I$79&lt;0,"🔴지연",IF($I$79&lt;=1,"🟡임박","🟢여유")))</f>
        <v/>
      </c>
      <c r="I79" s="47">
        <f>IF(OR($G$79="",$K$79=""),"",$G$79-$K$79)</f>
        <v/>
      </c>
      <c r="J79" s="48">
        <f>IF(SUM($L$79:$L$81)=0,"",SUM($L$79:$L$81))</f>
        <v/>
      </c>
      <c r="K79" s="49">
        <f>IF($J$79="","",MAX($N$79:$N$81))</f>
        <v/>
      </c>
      <c r="L79" s="50">
        <f>IF(SUM(U79:AY79)=0,"",SUM(U79:AY79))</f>
        <v/>
      </c>
      <c r="M79" s="51">
        <f>IFERROR(INDEX(U$2:AY$2,MATCH(TRUE,INDEX(U79:AY79&lt;&gt;"",0),0)),"")</f>
        <v/>
      </c>
      <c r="N79" s="51">
        <f>IFERROR(LOOKUP(2,1/(U79:AY79&lt;&gt;""),U$2:AY$2),"")</f>
        <v/>
      </c>
      <c r="O79" s="52" t="n"/>
      <c r="P79" s="52" t="n"/>
      <c r="Q79" s="52" t="n"/>
      <c r="R79" s="44" t="n"/>
      <c r="S79" s="14" t="n"/>
      <c r="U79" s="53" t="n"/>
      <c r="V79" s="53" t="n"/>
      <c r="W79" s="53" t="n"/>
      <c r="X79" s="53" t="n"/>
      <c r="Y79" s="53" t="n"/>
      <c r="Z79" s="53" t="n"/>
      <c r="AA79" s="53" t="n"/>
      <c r="AB79" s="53" t="n"/>
      <c r="AC79" s="53" t="n"/>
      <c r="AD79" s="53" t="n"/>
      <c r="AE79" s="53" t="n"/>
      <c r="AF79" s="53" t="n"/>
      <c r="AG79" s="53" t="n"/>
      <c r="AH79" s="53" t="n"/>
      <c r="AI79" s="53" t="n"/>
      <c r="AJ79" s="53" t="n"/>
      <c r="AK79" s="53" t="n"/>
      <c r="AL79" s="53" t="n"/>
      <c r="AM79" s="53" t="n"/>
      <c r="AN79" s="53" t="n"/>
      <c r="AO79" s="53" t="n"/>
      <c r="AP79" s="53" t="n"/>
      <c r="AQ79" s="53" t="n"/>
      <c r="AR79" s="53" t="n"/>
      <c r="AS79" s="53" t="n"/>
      <c r="AT79" s="53" t="n"/>
      <c r="AU79" s="53" t="n"/>
      <c r="AV79" s="53" t="n"/>
      <c r="AW79" s="53" t="n"/>
      <c r="AX79" s="53" t="n"/>
      <c r="AY79" s="53" t="n"/>
    </row>
    <row r="80" ht="15" customHeight="1">
      <c r="A80" s="54" t="n"/>
      <c r="B80" s="55">
        <f>IF($B$79="","",$B$79)</f>
        <v/>
      </c>
      <c r="C80" s="56" t="inlineStr">
        <is>
          <t>마케팅2팀</t>
        </is>
      </c>
      <c r="D80" s="55">
        <f>IF($D$79="","",$D$79)</f>
        <v/>
      </c>
      <c r="E80" s="57" t="inlineStr">
        <is>
          <t>이미지</t>
        </is>
      </c>
      <c r="F80" s="44" t="n"/>
      <c r="G80" s="58">
        <f>IF($G$79="","",$G$79)</f>
        <v/>
      </c>
      <c r="H80" s="59" t="n"/>
      <c r="I80" s="59" t="n"/>
      <c r="J80" s="59" t="n"/>
      <c r="K80" s="59" t="n"/>
      <c r="L80" s="60">
        <f>IF(SUM(U80:AY80)=0,"",SUM(U80:AY80))</f>
        <v/>
      </c>
      <c r="M80" s="61">
        <f>IFERROR(INDEX(U$2:AY$2,MATCH(TRUE,INDEX(U80:AY80&lt;&gt;"",0),0)),"")</f>
        <v/>
      </c>
      <c r="N80" s="61">
        <f>IFERROR(LOOKUP(2,1/(U80:AY80&lt;&gt;""),U$2:AY$2),"")</f>
        <v/>
      </c>
      <c r="O80" s="59" t="n"/>
      <c r="P80" s="59" t="n"/>
      <c r="Q80" s="59" t="n"/>
      <c r="R80" s="59" t="n"/>
      <c r="S80" s="14" t="n"/>
      <c r="U80" s="53" t="n"/>
      <c r="V80" s="53" t="n"/>
      <c r="W80" s="53" t="n"/>
      <c r="X80" s="53" t="n"/>
      <c r="Y80" s="53" t="n"/>
      <c r="Z80" s="53" t="n"/>
      <c r="AA80" s="53" t="n"/>
      <c r="AB80" s="53" t="n"/>
      <c r="AC80" s="53" t="n"/>
      <c r="AD80" s="53" t="n"/>
      <c r="AE80" s="53" t="n"/>
      <c r="AF80" s="53" t="n"/>
      <c r="AG80" s="53" t="n"/>
      <c r="AH80" s="53" t="n"/>
      <c r="AI80" s="53" t="n"/>
      <c r="AJ80" s="53" t="n"/>
      <c r="AK80" s="53" t="n"/>
      <c r="AL80" s="53" t="n"/>
      <c r="AM80" s="53" t="n"/>
      <c r="AN80" s="53" t="n"/>
      <c r="AO80" s="53" t="n"/>
      <c r="AP80" s="53" t="n"/>
      <c r="AQ80" s="53" t="n"/>
      <c r="AR80" s="53" t="n"/>
      <c r="AS80" s="53" t="n"/>
      <c r="AT80" s="53" t="n"/>
      <c r="AU80" s="53" t="n"/>
      <c r="AV80" s="53" t="n"/>
      <c r="AW80" s="53" t="n"/>
      <c r="AX80" s="53" t="n"/>
      <c r="AY80" s="53" t="n"/>
    </row>
    <row r="81" ht="15" customHeight="1">
      <c r="A81" s="62" t="n"/>
      <c r="B81" s="55">
        <f>IF($B$79="","",$B$79)</f>
        <v/>
      </c>
      <c r="C81" s="63" t="inlineStr">
        <is>
          <t>마케팅2팀</t>
        </is>
      </c>
      <c r="D81" s="55">
        <f>IF($D$79="","",$D$79)</f>
        <v/>
      </c>
      <c r="E81" s="64" t="inlineStr">
        <is>
          <t>영상</t>
        </is>
      </c>
      <c r="F81" s="44" t="n"/>
      <c r="G81" s="58">
        <f>IF($G$79="","",$G$79)</f>
        <v/>
      </c>
      <c r="H81" s="59" t="n"/>
      <c r="I81" s="59" t="n"/>
      <c r="J81" s="59" t="n"/>
      <c r="K81" s="59" t="n"/>
      <c r="L81" s="65">
        <f>IF(SUM(U81:AY81)=0,"",SUM(U81:AY81))</f>
        <v/>
      </c>
      <c r="M81" s="66">
        <f>IFERROR(INDEX(U$2:AY$2,MATCH(TRUE,INDEX(U81:AY81&lt;&gt;"",0),0)),"")</f>
        <v/>
      </c>
      <c r="N81" s="66">
        <f>IFERROR(LOOKUP(2,1/(U81:AY81&lt;&gt;""),U$2:AY$2),"")</f>
        <v/>
      </c>
      <c r="O81" s="59" t="n"/>
      <c r="P81" s="59" t="n"/>
      <c r="Q81" s="59" t="n"/>
      <c r="R81" s="59" t="n"/>
      <c r="S81" s="14" t="n"/>
      <c r="U81" s="53" t="n"/>
      <c r="V81" s="53" t="n"/>
      <c r="W81" s="53" t="n"/>
      <c r="X81" s="53" t="n"/>
      <c r="Y81" s="53" t="n"/>
      <c r="Z81" s="53" t="n"/>
      <c r="AA81" s="53" t="n"/>
      <c r="AB81" s="53" t="n"/>
      <c r="AC81" s="53" t="n"/>
      <c r="AD81" s="53" t="n"/>
      <c r="AE81" s="53" t="n"/>
      <c r="AF81" s="53" t="n"/>
      <c r="AG81" s="53" t="n"/>
      <c r="AH81" s="53" t="n"/>
      <c r="AI81" s="53" t="n"/>
      <c r="AJ81" s="53" t="n"/>
      <c r="AK81" s="53" t="n"/>
      <c r="AL81" s="53" t="n"/>
      <c r="AM81" s="53" t="n"/>
      <c r="AN81" s="53" t="n"/>
      <c r="AO81" s="53" t="n"/>
      <c r="AP81" s="53" t="n"/>
      <c r="AQ81" s="53" t="n"/>
      <c r="AR81" s="53" t="n"/>
      <c r="AS81" s="53" t="n"/>
      <c r="AT81" s="53" t="n"/>
      <c r="AU81" s="53" t="n"/>
      <c r="AV81" s="53" t="n"/>
      <c r="AW81" s="53" t="n"/>
      <c r="AX81" s="53" t="n"/>
      <c r="AY81" s="53" t="n"/>
    </row>
    <row r="82" ht="15" customHeight="1">
      <c r="A82" s="40">
        <f>IF($D$82="","",25)</f>
        <v/>
      </c>
      <c r="B82" s="10" t="n"/>
      <c r="C82" s="41" t="inlineStr">
        <is>
          <t>마케팅2팀</t>
        </is>
      </c>
      <c r="D82" s="42" t="n"/>
      <c r="E82" s="43" t="inlineStr">
        <is>
          <t>기획</t>
        </is>
      </c>
      <c r="F82" s="44" t="n"/>
      <c r="G82" s="45" t="n"/>
      <c r="H82" s="46">
        <f>IF($I$82="","",IF($I$82&lt;0,"🔴지연",IF($I$82&lt;=1,"🟡임박","🟢여유")))</f>
        <v/>
      </c>
      <c r="I82" s="47">
        <f>IF(OR($G$82="",$K$82=""),"",$G$82-$K$82)</f>
        <v/>
      </c>
      <c r="J82" s="48">
        <f>IF(SUM($L$82:$L$84)=0,"",SUM($L$82:$L$84))</f>
        <v/>
      </c>
      <c r="K82" s="49">
        <f>IF($J$82="","",MAX($N$82:$N$84))</f>
        <v/>
      </c>
      <c r="L82" s="50">
        <f>IF(SUM(U82:AY82)=0,"",SUM(U82:AY82))</f>
        <v/>
      </c>
      <c r="M82" s="51">
        <f>IFERROR(INDEX(U$2:AY$2,MATCH(TRUE,INDEX(U82:AY82&lt;&gt;"",0),0)),"")</f>
        <v/>
      </c>
      <c r="N82" s="51">
        <f>IFERROR(LOOKUP(2,1/(U82:AY82&lt;&gt;""),U$2:AY$2),"")</f>
        <v/>
      </c>
      <c r="O82" s="52" t="n"/>
      <c r="P82" s="52" t="n"/>
      <c r="Q82" s="52" t="n"/>
      <c r="R82" s="44" t="n"/>
      <c r="S82" s="14" t="n"/>
      <c r="U82" s="53" t="n"/>
      <c r="V82" s="53" t="n"/>
      <c r="W82" s="53" t="n"/>
      <c r="X82" s="53" t="n"/>
      <c r="Y82" s="53" t="n"/>
      <c r="Z82" s="53" t="n"/>
      <c r="AA82" s="53" t="n"/>
      <c r="AB82" s="53" t="n"/>
      <c r="AC82" s="53" t="n"/>
      <c r="AD82" s="53" t="n"/>
      <c r="AE82" s="53" t="n"/>
      <c r="AF82" s="53" t="n"/>
      <c r="AG82" s="53" t="n"/>
      <c r="AH82" s="53" t="n"/>
      <c r="AI82" s="53" t="n"/>
      <c r="AJ82" s="53" t="n"/>
      <c r="AK82" s="53" t="n"/>
      <c r="AL82" s="53" t="n"/>
      <c r="AM82" s="53" t="n"/>
      <c r="AN82" s="53" t="n"/>
      <c r="AO82" s="53" t="n"/>
      <c r="AP82" s="53" t="n"/>
      <c r="AQ82" s="53" t="n"/>
      <c r="AR82" s="53" t="n"/>
      <c r="AS82" s="53" t="n"/>
      <c r="AT82" s="53" t="n"/>
      <c r="AU82" s="53" t="n"/>
      <c r="AV82" s="53" t="n"/>
      <c r="AW82" s="53" t="n"/>
      <c r="AX82" s="53" t="n"/>
      <c r="AY82" s="53" t="n"/>
    </row>
    <row r="83" ht="15" customHeight="1">
      <c r="A83" s="54" t="n"/>
      <c r="B83" s="55">
        <f>IF($B$82="","",$B$82)</f>
        <v/>
      </c>
      <c r="C83" s="56" t="inlineStr">
        <is>
          <t>마케팅2팀</t>
        </is>
      </c>
      <c r="D83" s="55">
        <f>IF($D$82="","",$D$82)</f>
        <v/>
      </c>
      <c r="E83" s="57" t="inlineStr">
        <is>
          <t>이미지</t>
        </is>
      </c>
      <c r="F83" s="44" t="n"/>
      <c r="G83" s="58">
        <f>IF($G$82="","",$G$82)</f>
        <v/>
      </c>
      <c r="H83" s="59" t="n"/>
      <c r="I83" s="59" t="n"/>
      <c r="J83" s="59" t="n"/>
      <c r="K83" s="59" t="n"/>
      <c r="L83" s="60">
        <f>IF(SUM(U83:AY83)=0,"",SUM(U83:AY83))</f>
        <v/>
      </c>
      <c r="M83" s="61">
        <f>IFERROR(INDEX(U$2:AY$2,MATCH(TRUE,INDEX(U83:AY83&lt;&gt;"",0),0)),"")</f>
        <v/>
      </c>
      <c r="N83" s="61">
        <f>IFERROR(LOOKUP(2,1/(U83:AY83&lt;&gt;""),U$2:AY$2),"")</f>
        <v/>
      </c>
      <c r="O83" s="59" t="n"/>
      <c r="P83" s="59" t="n"/>
      <c r="Q83" s="59" t="n"/>
      <c r="R83" s="59" t="n"/>
      <c r="S83" s="14" t="n"/>
      <c r="U83" s="53" t="n"/>
      <c r="V83" s="53" t="n"/>
      <c r="W83" s="53" t="n"/>
      <c r="X83" s="53" t="n"/>
      <c r="Y83" s="53" t="n"/>
      <c r="Z83" s="53" t="n"/>
      <c r="AA83" s="53" t="n"/>
      <c r="AB83" s="53" t="n"/>
      <c r="AC83" s="53" t="n"/>
      <c r="AD83" s="53" t="n"/>
      <c r="AE83" s="53" t="n"/>
      <c r="AF83" s="53" t="n"/>
      <c r="AG83" s="53" t="n"/>
      <c r="AH83" s="53" t="n"/>
      <c r="AI83" s="53" t="n"/>
      <c r="AJ83" s="53" t="n"/>
      <c r="AK83" s="53" t="n"/>
      <c r="AL83" s="53" t="n"/>
      <c r="AM83" s="53" t="n"/>
      <c r="AN83" s="53" t="n"/>
      <c r="AO83" s="53" t="n"/>
      <c r="AP83" s="53" t="n"/>
      <c r="AQ83" s="53" t="n"/>
      <c r="AR83" s="53" t="n"/>
      <c r="AS83" s="53" t="n"/>
      <c r="AT83" s="53" t="n"/>
      <c r="AU83" s="53" t="n"/>
      <c r="AV83" s="53" t="n"/>
      <c r="AW83" s="53" t="n"/>
      <c r="AX83" s="53" t="n"/>
      <c r="AY83" s="53" t="n"/>
    </row>
    <row r="84" ht="15" customHeight="1">
      <c r="A84" s="62" t="n"/>
      <c r="B84" s="55">
        <f>IF($B$82="","",$B$82)</f>
        <v/>
      </c>
      <c r="C84" s="63" t="inlineStr">
        <is>
          <t>마케팅2팀</t>
        </is>
      </c>
      <c r="D84" s="55">
        <f>IF($D$82="","",$D$82)</f>
        <v/>
      </c>
      <c r="E84" s="64" t="inlineStr">
        <is>
          <t>영상</t>
        </is>
      </c>
      <c r="F84" s="44" t="n"/>
      <c r="G84" s="58">
        <f>IF($G$82="","",$G$82)</f>
        <v/>
      </c>
      <c r="H84" s="59" t="n"/>
      <c r="I84" s="59" t="n"/>
      <c r="J84" s="59" t="n"/>
      <c r="K84" s="59" t="n"/>
      <c r="L84" s="65">
        <f>IF(SUM(U84:AY84)=0,"",SUM(U84:AY84))</f>
        <v/>
      </c>
      <c r="M84" s="66">
        <f>IFERROR(INDEX(U$2:AY$2,MATCH(TRUE,INDEX(U84:AY84&lt;&gt;"",0),0)),"")</f>
        <v/>
      </c>
      <c r="N84" s="66">
        <f>IFERROR(LOOKUP(2,1/(U84:AY84&lt;&gt;""),U$2:AY$2),"")</f>
        <v/>
      </c>
      <c r="O84" s="59" t="n"/>
      <c r="P84" s="59" t="n"/>
      <c r="Q84" s="59" t="n"/>
      <c r="R84" s="59" t="n"/>
      <c r="S84" s="14" t="n"/>
      <c r="U84" s="53" t="n"/>
      <c r="V84" s="53" t="n"/>
      <c r="W84" s="53" t="n"/>
      <c r="X84" s="53" t="n"/>
      <c r="Y84" s="53" t="n"/>
      <c r="Z84" s="53" t="n"/>
      <c r="AA84" s="53" t="n"/>
      <c r="AB84" s="53" t="n"/>
      <c r="AC84" s="53" t="n"/>
      <c r="AD84" s="53" t="n"/>
      <c r="AE84" s="53" t="n"/>
      <c r="AF84" s="53" t="n"/>
      <c r="AG84" s="53" t="n"/>
      <c r="AH84" s="53" t="n"/>
      <c r="AI84" s="53" t="n"/>
      <c r="AJ84" s="53" t="n"/>
      <c r="AK84" s="53" t="n"/>
      <c r="AL84" s="53" t="n"/>
      <c r="AM84" s="53" t="n"/>
      <c r="AN84" s="53" t="n"/>
      <c r="AO84" s="53" t="n"/>
      <c r="AP84" s="53" t="n"/>
      <c r="AQ84" s="53" t="n"/>
      <c r="AR84" s="53" t="n"/>
      <c r="AS84" s="53" t="n"/>
      <c r="AT84" s="53" t="n"/>
      <c r="AU84" s="53" t="n"/>
      <c r="AV84" s="53" t="n"/>
      <c r="AW84" s="53" t="n"/>
      <c r="AX84" s="53" t="n"/>
      <c r="AY84" s="53" t="n"/>
    </row>
    <row r="85" ht="15" customHeight="1">
      <c r="A85" s="40">
        <f>IF($D$85="","",26)</f>
        <v/>
      </c>
      <c r="B85" s="10" t="n"/>
      <c r="C85" s="41" t="inlineStr">
        <is>
          <t>마케팅2팀</t>
        </is>
      </c>
      <c r="D85" s="42" t="n"/>
      <c r="E85" s="43" t="inlineStr">
        <is>
          <t>기획</t>
        </is>
      </c>
      <c r="F85" s="44" t="n"/>
      <c r="G85" s="45" t="n"/>
      <c r="H85" s="46">
        <f>IF($I$85="","",IF($I$85&lt;0,"🔴지연",IF($I$85&lt;=1,"🟡임박","🟢여유")))</f>
        <v/>
      </c>
      <c r="I85" s="47">
        <f>IF(OR($G$85="",$K$85=""),"",$G$85-$K$85)</f>
        <v/>
      </c>
      <c r="J85" s="48">
        <f>IF(SUM($L$85:$L$87)=0,"",SUM($L$85:$L$87))</f>
        <v/>
      </c>
      <c r="K85" s="49">
        <f>IF($J$85="","",MAX($N$85:$N$87))</f>
        <v/>
      </c>
      <c r="L85" s="50">
        <f>IF(SUM(U85:AY85)=0,"",SUM(U85:AY85))</f>
        <v/>
      </c>
      <c r="M85" s="51">
        <f>IFERROR(INDEX(U$2:AY$2,MATCH(TRUE,INDEX(U85:AY85&lt;&gt;"",0),0)),"")</f>
        <v/>
      </c>
      <c r="N85" s="51">
        <f>IFERROR(LOOKUP(2,1/(U85:AY85&lt;&gt;""),U$2:AY$2),"")</f>
        <v/>
      </c>
      <c r="O85" s="52" t="n"/>
      <c r="P85" s="52" t="n"/>
      <c r="Q85" s="52" t="n"/>
      <c r="R85" s="44" t="n"/>
      <c r="S85" s="14" t="n"/>
      <c r="U85" s="53" t="n"/>
      <c r="V85" s="53" t="n"/>
      <c r="W85" s="53" t="n"/>
      <c r="X85" s="53" t="n"/>
      <c r="Y85" s="53" t="n"/>
      <c r="Z85" s="53" t="n"/>
      <c r="AA85" s="53" t="n"/>
      <c r="AB85" s="53" t="n"/>
      <c r="AC85" s="53" t="n"/>
      <c r="AD85" s="53" t="n"/>
      <c r="AE85" s="53" t="n"/>
      <c r="AF85" s="53" t="n"/>
      <c r="AG85" s="53" t="n"/>
      <c r="AH85" s="53" t="n"/>
      <c r="AI85" s="53" t="n"/>
      <c r="AJ85" s="53" t="n"/>
      <c r="AK85" s="53" t="n"/>
      <c r="AL85" s="53" t="n"/>
      <c r="AM85" s="53" t="n"/>
      <c r="AN85" s="53" t="n"/>
      <c r="AO85" s="53" t="n"/>
      <c r="AP85" s="53" t="n"/>
      <c r="AQ85" s="53" t="n"/>
      <c r="AR85" s="53" t="n"/>
      <c r="AS85" s="53" t="n"/>
      <c r="AT85" s="53" t="n"/>
      <c r="AU85" s="53" t="n"/>
      <c r="AV85" s="53" t="n"/>
      <c r="AW85" s="53" t="n"/>
      <c r="AX85" s="53" t="n"/>
      <c r="AY85" s="53" t="n"/>
    </row>
    <row r="86" ht="15" customHeight="1">
      <c r="A86" s="54" t="n"/>
      <c r="B86" s="55">
        <f>IF($B$85="","",$B$85)</f>
        <v/>
      </c>
      <c r="C86" s="56" t="inlineStr">
        <is>
          <t>마케팅2팀</t>
        </is>
      </c>
      <c r="D86" s="55">
        <f>IF($D$85="","",$D$85)</f>
        <v/>
      </c>
      <c r="E86" s="57" t="inlineStr">
        <is>
          <t>이미지</t>
        </is>
      </c>
      <c r="F86" s="44" t="n"/>
      <c r="G86" s="58">
        <f>IF($G$85="","",$G$85)</f>
        <v/>
      </c>
      <c r="H86" s="59" t="n"/>
      <c r="I86" s="59" t="n"/>
      <c r="J86" s="59" t="n"/>
      <c r="K86" s="59" t="n"/>
      <c r="L86" s="60">
        <f>IF(SUM(U86:AY86)=0,"",SUM(U86:AY86))</f>
        <v/>
      </c>
      <c r="M86" s="61">
        <f>IFERROR(INDEX(U$2:AY$2,MATCH(TRUE,INDEX(U86:AY86&lt;&gt;"",0),0)),"")</f>
        <v/>
      </c>
      <c r="N86" s="61">
        <f>IFERROR(LOOKUP(2,1/(U86:AY86&lt;&gt;""),U$2:AY$2),"")</f>
        <v/>
      </c>
      <c r="O86" s="59" t="n"/>
      <c r="P86" s="59" t="n"/>
      <c r="Q86" s="59" t="n"/>
      <c r="R86" s="59" t="n"/>
      <c r="S86" s="14" t="n"/>
      <c r="U86" s="53" t="n"/>
      <c r="V86" s="53" t="n"/>
      <c r="W86" s="53" t="n"/>
      <c r="X86" s="53" t="n"/>
      <c r="Y86" s="53" t="n"/>
      <c r="Z86" s="53" t="n"/>
      <c r="AA86" s="53" t="n"/>
      <c r="AB86" s="53" t="n"/>
      <c r="AC86" s="53" t="n"/>
      <c r="AD86" s="53" t="n"/>
      <c r="AE86" s="53" t="n"/>
      <c r="AF86" s="53" t="n"/>
      <c r="AG86" s="53" t="n"/>
      <c r="AH86" s="53" t="n"/>
      <c r="AI86" s="53" t="n"/>
      <c r="AJ86" s="53" t="n"/>
      <c r="AK86" s="53" t="n"/>
      <c r="AL86" s="53" t="n"/>
      <c r="AM86" s="53" t="n"/>
      <c r="AN86" s="53" t="n"/>
      <c r="AO86" s="53" t="n"/>
      <c r="AP86" s="53" t="n"/>
      <c r="AQ86" s="53" t="n"/>
      <c r="AR86" s="53" t="n"/>
      <c r="AS86" s="53" t="n"/>
      <c r="AT86" s="53" t="n"/>
      <c r="AU86" s="53" t="n"/>
      <c r="AV86" s="53" t="n"/>
      <c r="AW86" s="53" t="n"/>
      <c r="AX86" s="53" t="n"/>
      <c r="AY86" s="53" t="n"/>
    </row>
    <row r="87" ht="15" customHeight="1">
      <c r="A87" s="62" t="n"/>
      <c r="B87" s="55">
        <f>IF($B$85="","",$B$85)</f>
        <v/>
      </c>
      <c r="C87" s="63" t="inlineStr">
        <is>
          <t>마케팅2팀</t>
        </is>
      </c>
      <c r="D87" s="55">
        <f>IF($D$85="","",$D$85)</f>
        <v/>
      </c>
      <c r="E87" s="64" t="inlineStr">
        <is>
          <t>영상</t>
        </is>
      </c>
      <c r="F87" s="44" t="n"/>
      <c r="G87" s="58">
        <f>IF($G$85="","",$G$85)</f>
        <v/>
      </c>
      <c r="H87" s="59" t="n"/>
      <c r="I87" s="59" t="n"/>
      <c r="J87" s="59" t="n"/>
      <c r="K87" s="59" t="n"/>
      <c r="L87" s="65">
        <f>IF(SUM(U87:AY87)=0,"",SUM(U87:AY87))</f>
        <v/>
      </c>
      <c r="M87" s="66">
        <f>IFERROR(INDEX(U$2:AY$2,MATCH(TRUE,INDEX(U87:AY87&lt;&gt;"",0),0)),"")</f>
        <v/>
      </c>
      <c r="N87" s="66">
        <f>IFERROR(LOOKUP(2,1/(U87:AY87&lt;&gt;""),U$2:AY$2),"")</f>
        <v/>
      </c>
      <c r="O87" s="59" t="n"/>
      <c r="P87" s="59" t="n"/>
      <c r="Q87" s="59" t="n"/>
      <c r="R87" s="59" t="n"/>
      <c r="S87" s="14" t="n"/>
      <c r="U87" s="53" t="n"/>
      <c r="V87" s="53" t="n"/>
      <c r="W87" s="53" t="n"/>
      <c r="X87" s="53" t="n"/>
      <c r="Y87" s="53" t="n"/>
      <c r="Z87" s="53" t="n"/>
      <c r="AA87" s="53" t="n"/>
      <c r="AB87" s="53" t="n"/>
      <c r="AC87" s="53" t="n"/>
      <c r="AD87" s="53" t="n"/>
      <c r="AE87" s="53" t="n"/>
      <c r="AF87" s="53" t="n"/>
      <c r="AG87" s="53" t="n"/>
      <c r="AH87" s="53" t="n"/>
      <c r="AI87" s="53" t="n"/>
      <c r="AJ87" s="53" t="n"/>
      <c r="AK87" s="53" t="n"/>
      <c r="AL87" s="53" t="n"/>
      <c r="AM87" s="53" t="n"/>
      <c r="AN87" s="53" t="n"/>
      <c r="AO87" s="53" t="n"/>
      <c r="AP87" s="53" t="n"/>
      <c r="AQ87" s="53" t="n"/>
      <c r="AR87" s="53" t="n"/>
      <c r="AS87" s="53" t="n"/>
      <c r="AT87" s="53" t="n"/>
      <c r="AU87" s="53" t="n"/>
      <c r="AV87" s="53" t="n"/>
      <c r="AW87" s="53" t="n"/>
      <c r="AX87" s="53" t="n"/>
      <c r="AY87" s="53" t="n"/>
    </row>
    <row r="88" ht="15" customHeight="1">
      <c r="A88" s="40">
        <f>IF($D$88="","",27)</f>
        <v/>
      </c>
      <c r="B88" s="10" t="n"/>
      <c r="C88" s="41" t="inlineStr">
        <is>
          <t>마케팅2팀</t>
        </is>
      </c>
      <c r="D88" s="42" t="n"/>
      <c r="E88" s="43" t="inlineStr">
        <is>
          <t>기획</t>
        </is>
      </c>
      <c r="F88" s="44" t="n"/>
      <c r="G88" s="45" t="n"/>
      <c r="H88" s="46">
        <f>IF($I$88="","",IF($I$88&lt;0,"🔴지연",IF($I$88&lt;=1,"🟡임박","🟢여유")))</f>
        <v/>
      </c>
      <c r="I88" s="47">
        <f>IF(OR($G$88="",$K$88=""),"",$G$88-$K$88)</f>
        <v/>
      </c>
      <c r="J88" s="48">
        <f>IF(SUM($L$88:$L$90)=0,"",SUM($L$88:$L$90))</f>
        <v/>
      </c>
      <c r="K88" s="49">
        <f>IF($J$88="","",MAX($N$88:$N$90))</f>
        <v/>
      </c>
      <c r="L88" s="50">
        <f>IF(SUM(U88:AY88)=0,"",SUM(U88:AY88))</f>
        <v/>
      </c>
      <c r="M88" s="51">
        <f>IFERROR(INDEX(U$2:AY$2,MATCH(TRUE,INDEX(U88:AY88&lt;&gt;"",0),0)),"")</f>
        <v/>
      </c>
      <c r="N88" s="51">
        <f>IFERROR(LOOKUP(2,1/(U88:AY88&lt;&gt;""),U$2:AY$2),"")</f>
        <v/>
      </c>
      <c r="O88" s="52" t="n"/>
      <c r="P88" s="52" t="n"/>
      <c r="Q88" s="52" t="n"/>
      <c r="R88" s="44" t="n"/>
      <c r="S88" s="14" t="n"/>
      <c r="U88" s="53" t="n"/>
      <c r="V88" s="53" t="n"/>
      <c r="W88" s="53" t="n"/>
      <c r="X88" s="53" t="n"/>
      <c r="Y88" s="53" t="n"/>
      <c r="Z88" s="53" t="n"/>
      <c r="AA88" s="53" t="n"/>
      <c r="AB88" s="53" t="n"/>
      <c r="AC88" s="53" t="n"/>
      <c r="AD88" s="53" t="n"/>
      <c r="AE88" s="53" t="n"/>
      <c r="AF88" s="53" t="n"/>
      <c r="AG88" s="53" t="n"/>
      <c r="AH88" s="53" t="n"/>
      <c r="AI88" s="53" t="n"/>
      <c r="AJ88" s="53" t="n"/>
      <c r="AK88" s="53" t="n"/>
      <c r="AL88" s="53" t="n"/>
      <c r="AM88" s="53" t="n"/>
      <c r="AN88" s="53" t="n"/>
      <c r="AO88" s="53" t="n"/>
      <c r="AP88" s="53" t="n"/>
      <c r="AQ88" s="53" t="n"/>
      <c r="AR88" s="53" t="n"/>
      <c r="AS88" s="53" t="n"/>
      <c r="AT88" s="53" t="n"/>
      <c r="AU88" s="53" t="n"/>
      <c r="AV88" s="53" t="n"/>
      <c r="AW88" s="53" t="n"/>
      <c r="AX88" s="53" t="n"/>
      <c r="AY88" s="53" t="n"/>
    </row>
    <row r="89" ht="15" customHeight="1">
      <c r="A89" s="54" t="n"/>
      <c r="B89" s="55">
        <f>IF($B$88="","",$B$88)</f>
        <v/>
      </c>
      <c r="C89" s="56" t="inlineStr">
        <is>
          <t>마케팅2팀</t>
        </is>
      </c>
      <c r="D89" s="55">
        <f>IF($D$88="","",$D$88)</f>
        <v/>
      </c>
      <c r="E89" s="57" t="inlineStr">
        <is>
          <t>이미지</t>
        </is>
      </c>
      <c r="F89" s="44" t="n"/>
      <c r="G89" s="58">
        <f>IF($G$88="","",$G$88)</f>
        <v/>
      </c>
      <c r="H89" s="59" t="n"/>
      <c r="I89" s="59" t="n"/>
      <c r="J89" s="59" t="n"/>
      <c r="K89" s="59" t="n"/>
      <c r="L89" s="60">
        <f>IF(SUM(U89:AY89)=0,"",SUM(U89:AY89))</f>
        <v/>
      </c>
      <c r="M89" s="61">
        <f>IFERROR(INDEX(U$2:AY$2,MATCH(TRUE,INDEX(U89:AY89&lt;&gt;"",0),0)),"")</f>
        <v/>
      </c>
      <c r="N89" s="61">
        <f>IFERROR(LOOKUP(2,1/(U89:AY89&lt;&gt;""),U$2:AY$2),"")</f>
        <v/>
      </c>
      <c r="O89" s="59" t="n"/>
      <c r="P89" s="59" t="n"/>
      <c r="Q89" s="59" t="n"/>
      <c r="R89" s="59" t="n"/>
      <c r="S89" s="14" t="n"/>
      <c r="U89" s="53" t="n"/>
      <c r="V89" s="53" t="n"/>
      <c r="W89" s="53" t="n"/>
      <c r="X89" s="53" t="n"/>
      <c r="Y89" s="53" t="n"/>
      <c r="Z89" s="53" t="n"/>
      <c r="AA89" s="53" t="n"/>
      <c r="AB89" s="53" t="n"/>
      <c r="AC89" s="53" t="n"/>
      <c r="AD89" s="53" t="n"/>
      <c r="AE89" s="53" t="n"/>
      <c r="AF89" s="53" t="n"/>
      <c r="AG89" s="53" t="n"/>
      <c r="AH89" s="53" t="n"/>
      <c r="AI89" s="53" t="n"/>
      <c r="AJ89" s="53" t="n"/>
      <c r="AK89" s="53" t="n"/>
      <c r="AL89" s="53" t="n"/>
      <c r="AM89" s="53" t="n"/>
      <c r="AN89" s="53" t="n"/>
      <c r="AO89" s="53" t="n"/>
      <c r="AP89" s="53" t="n"/>
      <c r="AQ89" s="53" t="n"/>
      <c r="AR89" s="53" t="n"/>
      <c r="AS89" s="53" t="n"/>
      <c r="AT89" s="53" t="n"/>
      <c r="AU89" s="53" t="n"/>
      <c r="AV89" s="53" t="n"/>
      <c r="AW89" s="53" t="n"/>
      <c r="AX89" s="53" t="n"/>
      <c r="AY89" s="53" t="n"/>
    </row>
    <row r="90" ht="15" customHeight="1">
      <c r="A90" s="62" t="n"/>
      <c r="B90" s="55">
        <f>IF($B$88="","",$B$88)</f>
        <v/>
      </c>
      <c r="C90" s="63" t="inlineStr">
        <is>
          <t>마케팅2팀</t>
        </is>
      </c>
      <c r="D90" s="55">
        <f>IF($D$88="","",$D$88)</f>
        <v/>
      </c>
      <c r="E90" s="64" t="inlineStr">
        <is>
          <t>영상</t>
        </is>
      </c>
      <c r="F90" s="44" t="n"/>
      <c r="G90" s="58">
        <f>IF($G$88="","",$G$88)</f>
        <v/>
      </c>
      <c r="H90" s="59" t="n"/>
      <c r="I90" s="59" t="n"/>
      <c r="J90" s="59" t="n"/>
      <c r="K90" s="59" t="n"/>
      <c r="L90" s="65">
        <f>IF(SUM(U90:AY90)=0,"",SUM(U90:AY90))</f>
        <v/>
      </c>
      <c r="M90" s="66">
        <f>IFERROR(INDEX(U$2:AY$2,MATCH(TRUE,INDEX(U90:AY90&lt;&gt;"",0),0)),"")</f>
        <v/>
      </c>
      <c r="N90" s="66">
        <f>IFERROR(LOOKUP(2,1/(U90:AY90&lt;&gt;""),U$2:AY$2),"")</f>
        <v/>
      </c>
      <c r="O90" s="59" t="n"/>
      <c r="P90" s="59" t="n"/>
      <c r="Q90" s="59" t="n"/>
      <c r="R90" s="59" t="n"/>
      <c r="S90" s="14" t="n"/>
      <c r="U90" s="53" t="n"/>
      <c r="V90" s="53" t="n"/>
      <c r="W90" s="53" t="n"/>
      <c r="X90" s="53" t="n"/>
      <c r="Y90" s="53" t="n"/>
      <c r="Z90" s="53" t="n"/>
      <c r="AA90" s="53" t="n"/>
      <c r="AB90" s="53" t="n"/>
      <c r="AC90" s="53" t="n"/>
      <c r="AD90" s="53" t="n"/>
      <c r="AE90" s="53" t="n"/>
      <c r="AF90" s="53" t="n"/>
      <c r="AG90" s="53" t="n"/>
      <c r="AH90" s="53" t="n"/>
      <c r="AI90" s="53" t="n"/>
      <c r="AJ90" s="53" t="n"/>
      <c r="AK90" s="53" t="n"/>
      <c r="AL90" s="53" t="n"/>
      <c r="AM90" s="53" t="n"/>
      <c r="AN90" s="53" t="n"/>
      <c r="AO90" s="53" t="n"/>
      <c r="AP90" s="53" t="n"/>
      <c r="AQ90" s="53" t="n"/>
      <c r="AR90" s="53" t="n"/>
      <c r="AS90" s="53" t="n"/>
      <c r="AT90" s="53" t="n"/>
      <c r="AU90" s="53" t="n"/>
      <c r="AV90" s="53" t="n"/>
      <c r="AW90" s="53" t="n"/>
      <c r="AX90" s="53" t="n"/>
      <c r="AY90" s="53" t="n"/>
    </row>
    <row r="91" ht="15" customHeight="1">
      <c r="A91" s="40">
        <f>IF($D$91="","",28)</f>
        <v/>
      </c>
      <c r="B91" s="10" t="n"/>
      <c r="C91" s="41" t="inlineStr">
        <is>
          <t>마케팅2팀</t>
        </is>
      </c>
      <c r="D91" s="42" t="n"/>
      <c r="E91" s="43" t="inlineStr">
        <is>
          <t>기획</t>
        </is>
      </c>
      <c r="F91" s="44" t="n"/>
      <c r="G91" s="45" t="n"/>
      <c r="H91" s="46">
        <f>IF($I$91="","",IF($I$91&lt;0,"🔴지연",IF($I$91&lt;=1,"🟡임박","🟢여유")))</f>
        <v/>
      </c>
      <c r="I91" s="47">
        <f>IF(OR($G$91="",$K$91=""),"",$G$91-$K$91)</f>
        <v/>
      </c>
      <c r="J91" s="48">
        <f>IF(SUM($L$91:$L$93)=0,"",SUM($L$91:$L$93))</f>
        <v/>
      </c>
      <c r="K91" s="49">
        <f>IF($J$91="","",MAX($N$91:$N$93))</f>
        <v/>
      </c>
      <c r="L91" s="50">
        <f>IF(SUM(U91:AY91)=0,"",SUM(U91:AY91))</f>
        <v/>
      </c>
      <c r="M91" s="51">
        <f>IFERROR(INDEX(U$2:AY$2,MATCH(TRUE,INDEX(U91:AY91&lt;&gt;"",0),0)),"")</f>
        <v/>
      </c>
      <c r="N91" s="51">
        <f>IFERROR(LOOKUP(2,1/(U91:AY91&lt;&gt;""),U$2:AY$2),"")</f>
        <v/>
      </c>
      <c r="O91" s="52" t="n"/>
      <c r="P91" s="52" t="n"/>
      <c r="Q91" s="52" t="n"/>
      <c r="R91" s="44" t="n"/>
      <c r="S91" s="14" t="n"/>
      <c r="U91" s="53" t="n"/>
      <c r="V91" s="53" t="n"/>
      <c r="W91" s="53" t="n"/>
      <c r="X91" s="53" t="n"/>
      <c r="Y91" s="53" t="n"/>
      <c r="Z91" s="53" t="n"/>
      <c r="AA91" s="53" t="n"/>
      <c r="AB91" s="53" t="n"/>
      <c r="AC91" s="53" t="n"/>
      <c r="AD91" s="53" t="n"/>
      <c r="AE91" s="53" t="n"/>
      <c r="AF91" s="53" t="n"/>
      <c r="AG91" s="53" t="n"/>
      <c r="AH91" s="53" t="n"/>
      <c r="AI91" s="53" t="n"/>
      <c r="AJ91" s="53" t="n"/>
      <c r="AK91" s="53" t="n"/>
      <c r="AL91" s="53" t="n"/>
      <c r="AM91" s="53" t="n"/>
      <c r="AN91" s="53" t="n"/>
      <c r="AO91" s="53" t="n"/>
      <c r="AP91" s="53" t="n"/>
      <c r="AQ91" s="53" t="n"/>
      <c r="AR91" s="53" t="n"/>
      <c r="AS91" s="53" t="n"/>
      <c r="AT91" s="53" t="n"/>
      <c r="AU91" s="53" t="n"/>
      <c r="AV91" s="53" t="n"/>
      <c r="AW91" s="53" t="n"/>
      <c r="AX91" s="53" t="n"/>
      <c r="AY91" s="53" t="n"/>
    </row>
    <row r="92" ht="15" customHeight="1">
      <c r="A92" s="54" t="n"/>
      <c r="B92" s="55">
        <f>IF($B$91="","",$B$91)</f>
        <v/>
      </c>
      <c r="C92" s="56" t="inlineStr">
        <is>
          <t>마케팅2팀</t>
        </is>
      </c>
      <c r="D92" s="55">
        <f>IF($D$91="","",$D$91)</f>
        <v/>
      </c>
      <c r="E92" s="57" t="inlineStr">
        <is>
          <t>이미지</t>
        </is>
      </c>
      <c r="F92" s="44" t="n"/>
      <c r="G92" s="58">
        <f>IF($G$91="","",$G$91)</f>
        <v/>
      </c>
      <c r="H92" s="59" t="n"/>
      <c r="I92" s="59" t="n"/>
      <c r="J92" s="59" t="n"/>
      <c r="K92" s="59" t="n"/>
      <c r="L92" s="60">
        <f>IF(SUM(U92:AY92)=0,"",SUM(U92:AY92))</f>
        <v/>
      </c>
      <c r="M92" s="61">
        <f>IFERROR(INDEX(U$2:AY$2,MATCH(TRUE,INDEX(U92:AY92&lt;&gt;"",0),0)),"")</f>
        <v/>
      </c>
      <c r="N92" s="61">
        <f>IFERROR(LOOKUP(2,1/(U92:AY92&lt;&gt;""),U$2:AY$2),"")</f>
        <v/>
      </c>
      <c r="O92" s="59" t="n"/>
      <c r="P92" s="59" t="n"/>
      <c r="Q92" s="59" t="n"/>
      <c r="R92" s="59" t="n"/>
      <c r="S92" s="14" t="n"/>
      <c r="U92" s="53" t="n"/>
      <c r="V92" s="53" t="n"/>
      <c r="W92" s="53" t="n"/>
      <c r="X92" s="53" t="n"/>
      <c r="Y92" s="53" t="n"/>
      <c r="Z92" s="53" t="n"/>
      <c r="AA92" s="53" t="n"/>
      <c r="AB92" s="53" t="n"/>
      <c r="AC92" s="53" t="n"/>
      <c r="AD92" s="53" t="n"/>
      <c r="AE92" s="53" t="n"/>
      <c r="AF92" s="53" t="n"/>
      <c r="AG92" s="53" t="n"/>
      <c r="AH92" s="53" t="n"/>
      <c r="AI92" s="53" t="n"/>
      <c r="AJ92" s="53" t="n"/>
      <c r="AK92" s="53" t="n"/>
      <c r="AL92" s="53" t="n"/>
      <c r="AM92" s="53" t="n"/>
      <c r="AN92" s="53" t="n"/>
      <c r="AO92" s="53" t="n"/>
      <c r="AP92" s="53" t="n"/>
      <c r="AQ92" s="53" t="n"/>
      <c r="AR92" s="53" t="n"/>
      <c r="AS92" s="53" t="n"/>
      <c r="AT92" s="53" t="n"/>
      <c r="AU92" s="53" t="n"/>
      <c r="AV92" s="53" t="n"/>
      <c r="AW92" s="53" t="n"/>
      <c r="AX92" s="53" t="n"/>
      <c r="AY92" s="53" t="n"/>
    </row>
    <row r="93" ht="15" customHeight="1">
      <c r="A93" s="62" t="n"/>
      <c r="B93" s="55">
        <f>IF($B$91="","",$B$91)</f>
        <v/>
      </c>
      <c r="C93" s="63" t="inlineStr">
        <is>
          <t>마케팅2팀</t>
        </is>
      </c>
      <c r="D93" s="55">
        <f>IF($D$91="","",$D$91)</f>
        <v/>
      </c>
      <c r="E93" s="64" t="inlineStr">
        <is>
          <t>영상</t>
        </is>
      </c>
      <c r="F93" s="44" t="n"/>
      <c r="G93" s="58">
        <f>IF($G$91="","",$G$91)</f>
        <v/>
      </c>
      <c r="H93" s="59" t="n"/>
      <c r="I93" s="59" t="n"/>
      <c r="J93" s="59" t="n"/>
      <c r="K93" s="59" t="n"/>
      <c r="L93" s="65">
        <f>IF(SUM(U93:AY93)=0,"",SUM(U93:AY93))</f>
        <v/>
      </c>
      <c r="M93" s="66">
        <f>IFERROR(INDEX(U$2:AY$2,MATCH(TRUE,INDEX(U93:AY93&lt;&gt;"",0),0)),"")</f>
        <v/>
      </c>
      <c r="N93" s="66">
        <f>IFERROR(LOOKUP(2,1/(U93:AY93&lt;&gt;""),U$2:AY$2),"")</f>
        <v/>
      </c>
      <c r="O93" s="59" t="n"/>
      <c r="P93" s="59" t="n"/>
      <c r="Q93" s="59" t="n"/>
      <c r="R93" s="59" t="n"/>
      <c r="S93" s="14" t="n"/>
      <c r="U93" s="53" t="n"/>
      <c r="V93" s="53" t="n"/>
      <c r="W93" s="53" t="n"/>
      <c r="X93" s="53" t="n"/>
      <c r="Y93" s="53" t="n"/>
      <c r="Z93" s="53" t="n"/>
      <c r="AA93" s="53" t="n"/>
      <c r="AB93" s="53" t="n"/>
      <c r="AC93" s="53" t="n"/>
      <c r="AD93" s="53" t="n"/>
      <c r="AE93" s="53" t="n"/>
      <c r="AF93" s="53" t="n"/>
      <c r="AG93" s="53" t="n"/>
      <c r="AH93" s="53" t="n"/>
      <c r="AI93" s="53" t="n"/>
      <c r="AJ93" s="53" t="n"/>
      <c r="AK93" s="53" t="n"/>
      <c r="AL93" s="53" t="n"/>
      <c r="AM93" s="53" t="n"/>
      <c r="AN93" s="53" t="n"/>
      <c r="AO93" s="53" t="n"/>
      <c r="AP93" s="53" t="n"/>
      <c r="AQ93" s="53" t="n"/>
      <c r="AR93" s="53" t="n"/>
      <c r="AS93" s="53" t="n"/>
      <c r="AT93" s="53" t="n"/>
      <c r="AU93" s="53" t="n"/>
      <c r="AV93" s="53" t="n"/>
      <c r="AW93" s="53" t="n"/>
      <c r="AX93" s="53" t="n"/>
      <c r="AY93" s="53" t="n"/>
    </row>
    <row r="94" ht="15" customHeight="1">
      <c r="A94" s="40">
        <f>IF($D$94="","",29)</f>
        <v/>
      </c>
      <c r="B94" s="10" t="n"/>
      <c r="C94" s="41" t="inlineStr">
        <is>
          <t>마케팅2팀</t>
        </is>
      </c>
      <c r="D94" s="42" t="n"/>
      <c r="E94" s="43" t="inlineStr">
        <is>
          <t>기획</t>
        </is>
      </c>
      <c r="F94" s="44" t="n"/>
      <c r="G94" s="45" t="n"/>
      <c r="H94" s="46">
        <f>IF($I$94="","",IF($I$94&lt;0,"🔴지연",IF($I$94&lt;=1,"🟡임박","🟢여유")))</f>
        <v/>
      </c>
      <c r="I94" s="47">
        <f>IF(OR($G$94="",$K$94=""),"",$G$94-$K$94)</f>
        <v/>
      </c>
      <c r="J94" s="48">
        <f>IF(SUM($L$94:$L$96)=0,"",SUM($L$94:$L$96))</f>
        <v/>
      </c>
      <c r="K94" s="49">
        <f>IF($J$94="","",MAX($N$94:$N$96))</f>
        <v/>
      </c>
      <c r="L94" s="50">
        <f>IF(SUM(U94:AY94)=0,"",SUM(U94:AY94))</f>
        <v/>
      </c>
      <c r="M94" s="51">
        <f>IFERROR(INDEX(U$2:AY$2,MATCH(TRUE,INDEX(U94:AY94&lt;&gt;"",0),0)),"")</f>
        <v/>
      </c>
      <c r="N94" s="51">
        <f>IFERROR(LOOKUP(2,1/(U94:AY94&lt;&gt;""),U$2:AY$2),"")</f>
        <v/>
      </c>
      <c r="O94" s="52" t="n"/>
      <c r="P94" s="52" t="n"/>
      <c r="Q94" s="52" t="n"/>
      <c r="R94" s="44" t="n"/>
      <c r="S94" s="14" t="n"/>
      <c r="U94" s="53" t="n"/>
      <c r="V94" s="53" t="n"/>
      <c r="W94" s="53" t="n"/>
      <c r="X94" s="53" t="n"/>
      <c r="Y94" s="53" t="n"/>
      <c r="Z94" s="53" t="n"/>
      <c r="AA94" s="53" t="n"/>
      <c r="AB94" s="53" t="n"/>
      <c r="AC94" s="53" t="n"/>
      <c r="AD94" s="53" t="n"/>
      <c r="AE94" s="53" t="n"/>
      <c r="AF94" s="53" t="n"/>
      <c r="AG94" s="53" t="n"/>
      <c r="AH94" s="53" t="n"/>
      <c r="AI94" s="53" t="n"/>
      <c r="AJ94" s="53" t="n"/>
      <c r="AK94" s="53" t="n"/>
      <c r="AL94" s="53" t="n"/>
      <c r="AM94" s="53" t="n"/>
      <c r="AN94" s="53" t="n"/>
      <c r="AO94" s="53" t="n"/>
      <c r="AP94" s="53" t="n"/>
      <c r="AQ94" s="53" t="n"/>
      <c r="AR94" s="53" t="n"/>
      <c r="AS94" s="53" t="n"/>
      <c r="AT94" s="53" t="n"/>
      <c r="AU94" s="53" t="n"/>
      <c r="AV94" s="53" t="n"/>
      <c r="AW94" s="53" t="n"/>
      <c r="AX94" s="53" t="n"/>
      <c r="AY94" s="53" t="n"/>
    </row>
    <row r="95" ht="15" customHeight="1">
      <c r="A95" s="54" t="n"/>
      <c r="B95" s="55">
        <f>IF($B$94="","",$B$94)</f>
        <v/>
      </c>
      <c r="C95" s="56" t="inlineStr">
        <is>
          <t>마케팅2팀</t>
        </is>
      </c>
      <c r="D95" s="55">
        <f>IF($D$94="","",$D$94)</f>
        <v/>
      </c>
      <c r="E95" s="57" t="inlineStr">
        <is>
          <t>이미지</t>
        </is>
      </c>
      <c r="F95" s="44" t="n"/>
      <c r="G95" s="58">
        <f>IF($G$94="","",$G$94)</f>
        <v/>
      </c>
      <c r="H95" s="59" t="n"/>
      <c r="I95" s="59" t="n"/>
      <c r="J95" s="59" t="n"/>
      <c r="K95" s="59" t="n"/>
      <c r="L95" s="60">
        <f>IF(SUM(U95:AY95)=0,"",SUM(U95:AY95))</f>
        <v/>
      </c>
      <c r="M95" s="61">
        <f>IFERROR(INDEX(U$2:AY$2,MATCH(TRUE,INDEX(U95:AY95&lt;&gt;"",0),0)),"")</f>
        <v/>
      </c>
      <c r="N95" s="61">
        <f>IFERROR(LOOKUP(2,1/(U95:AY95&lt;&gt;""),U$2:AY$2),"")</f>
        <v/>
      </c>
      <c r="O95" s="59" t="n"/>
      <c r="P95" s="59" t="n"/>
      <c r="Q95" s="59" t="n"/>
      <c r="R95" s="59" t="n"/>
      <c r="S95" s="14" t="n"/>
      <c r="U95" s="53" t="n"/>
      <c r="V95" s="53" t="n"/>
      <c r="W95" s="53" t="n"/>
      <c r="X95" s="53" t="n"/>
      <c r="Y95" s="53" t="n"/>
      <c r="Z95" s="53" t="n"/>
      <c r="AA95" s="53" t="n"/>
      <c r="AB95" s="53" t="n"/>
      <c r="AC95" s="53" t="n"/>
      <c r="AD95" s="53" t="n"/>
      <c r="AE95" s="53" t="n"/>
      <c r="AF95" s="53" t="n"/>
      <c r="AG95" s="53" t="n"/>
      <c r="AH95" s="53" t="n"/>
      <c r="AI95" s="53" t="n"/>
      <c r="AJ95" s="53" t="n"/>
      <c r="AK95" s="53" t="n"/>
      <c r="AL95" s="53" t="n"/>
      <c r="AM95" s="53" t="n"/>
      <c r="AN95" s="53" t="n"/>
      <c r="AO95" s="53" t="n"/>
      <c r="AP95" s="53" t="n"/>
      <c r="AQ95" s="53" t="n"/>
      <c r="AR95" s="53" t="n"/>
      <c r="AS95" s="53" t="n"/>
      <c r="AT95" s="53" t="n"/>
      <c r="AU95" s="53" t="n"/>
      <c r="AV95" s="53" t="n"/>
      <c r="AW95" s="53" t="n"/>
      <c r="AX95" s="53" t="n"/>
      <c r="AY95" s="53" t="n"/>
    </row>
    <row r="96" ht="15" customHeight="1">
      <c r="A96" s="62" t="n"/>
      <c r="B96" s="55">
        <f>IF($B$94="","",$B$94)</f>
        <v/>
      </c>
      <c r="C96" s="63" t="inlineStr">
        <is>
          <t>마케팅2팀</t>
        </is>
      </c>
      <c r="D96" s="55">
        <f>IF($D$94="","",$D$94)</f>
        <v/>
      </c>
      <c r="E96" s="64" t="inlineStr">
        <is>
          <t>영상</t>
        </is>
      </c>
      <c r="F96" s="44" t="n"/>
      <c r="G96" s="58">
        <f>IF($G$94="","",$G$94)</f>
        <v/>
      </c>
      <c r="H96" s="59" t="n"/>
      <c r="I96" s="59" t="n"/>
      <c r="J96" s="59" t="n"/>
      <c r="K96" s="59" t="n"/>
      <c r="L96" s="65">
        <f>IF(SUM(U96:AY96)=0,"",SUM(U96:AY96))</f>
        <v/>
      </c>
      <c r="M96" s="66">
        <f>IFERROR(INDEX(U$2:AY$2,MATCH(TRUE,INDEX(U96:AY96&lt;&gt;"",0),0)),"")</f>
        <v/>
      </c>
      <c r="N96" s="66">
        <f>IFERROR(LOOKUP(2,1/(U96:AY96&lt;&gt;""),U$2:AY$2),"")</f>
        <v/>
      </c>
      <c r="O96" s="59" t="n"/>
      <c r="P96" s="59" t="n"/>
      <c r="Q96" s="59" t="n"/>
      <c r="R96" s="59" t="n"/>
      <c r="S96" s="14" t="n"/>
      <c r="U96" s="53" t="n"/>
      <c r="V96" s="53" t="n"/>
      <c r="W96" s="53" t="n"/>
      <c r="X96" s="53" t="n"/>
      <c r="Y96" s="53" t="n"/>
      <c r="Z96" s="53" t="n"/>
      <c r="AA96" s="53" t="n"/>
      <c r="AB96" s="53" t="n"/>
      <c r="AC96" s="53" t="n"/>
      <c r="AD96" s="53" t="n"/>
      <c r="AE96" s="53" t="n"/>
      <c r="AF96" s="53" t="n"/>
      <c r="AG96" s="53" t="n"/>
      <c r="AH96" s="53" t="n"/>
      <c r="AI96" s="53" t="n"/>
      <c r="AJ96" s="53" t="n"/>
      <c r="AK96" s="53" t="n"/>
      <c r="AL96" s="53" t="n"/>
      <c r="AM96" s="53" t="n"/>
      <c r="AN96" s="53" t="n"/>
      <c r="AO96" s="53" t="n"/>
      <c r="AP96" s="53" t="n"/>
      <c r="AQ96" s="53" t="n"/>
      <c r="AR96" s="53" t="n"/>
      <c r="AS96" s="53" t="n"/>
      <c r="AT96" s="53" t="n"/>
      <c r="AU96" s="53" t="n"/>
      <c r="AV96" s="53" t="n"/>
      <c r="AW96" s="53" t="n"/>
      <c r="AX96" s="53" t="n"/>
      <c r="AY96" s="53" t="n"/>
    </row>
    <row r="97" ht="15" customHeight="1">
      <c r="A97" s="40">
        <f>IF($D$97="","",30)</f>
        <v/>
      </c>
      <c r="B97" s="10" t="n"/>
      <c r="C97" s="41" t="inlineStr">
        <is>
          <t>마케팅2팀</t>
        </is>
      </c>
      <c r="D97" s="42" t="n"/>
      <c r="E97" s="43" t="inlineStr">
        <is>
          <t>기획</t>
        </is>
      </c>
      <c r="F97" s="44" t="n"/>
      <c r="G97" s="45" t="n"/>
      <c r="H97" s="46">
        <f>IF($I$97="","",IF($I$97&lt;0,"🔴지연",IF($I$97&lt;=1,"🟡임박","🟢여유")))</f>
        <v/>
      </c>
      <c r="I97" s="47">
        <f>IF(OR($G$97="",$K$97=""),"",$G$97-$K$97)</f>
        <v/>
      </c>
      <c r="J97" s="48">
        <f>IF(SUM($L$97:$L$99)=0,"",SUM($L$97:$L$99))</f>
        <v/>
      </c>
      <c r="K97" s="49">
        <f>IF($J$97="","",MAX($N$97:$N$99))</f>
        <v/>
      </c>
      <c r="L97" s="50">
        <f>IF(SUM(U97:AY97)=0,"",SUM(U97:AY97))</f>
        <v/>
      </c>
      <c r="M97" s="51">
        <f>IFERROR(INDEX(U$2:AY$2,MATCH(TRUE,INDEX(U97:AY97&lt;&gt;"",0),0)),"")</f>
        <v/>
      </c>
      <c r="N97" s="51">
        <f>IFERROR(LOOKUP(2,1/(U97:AY97&lt;&gt;""),U$2:AY$2),"")</f>
        <v/>
      </c>
      <c r="O97" s="52" t="n"/>
      <c r="P97" s="52" t="n"/>
      <c r="Q97" s="52" t="n"/>
      <c r="R97" s="44" t="n"/>
      <c r="S97" s="14" t="n"/>
      <c r="U97" s="53" t="n"/>
      <c r="V97" s="53" t="n"/>
      <c r="W97" s="53" t="n"/>
      <c r="X97" s="53" t="n"/>
      <c r="Y97" s="53" t="n"/>
      <c r="Z97" s="53" t="n"/>
      <c r="AA97" s="53" t="n"/>
      <c r="AB97" s="53" t="n"/>
      <c r="AC97" s="53" t="n"/>
      <c r="AD97" s="53" t="n"/>
      <c r="AE97" s="53" t="n"/>
      <c r="AF97" s="53" t="n"/>
      <c r="AG97" s="53" t="n"/>
      <c r="AH97" s="53" t="n"/>
      <c r="AI97" s="53" t="n"/>
      <c r="AJ97" s="53" t="n"/>
      <c r="AK97" s="53" t="n"/>
      <c r="AL97" s="53" t="n"/>
      <c r="AM97" s="53" t="n"/>
      <c r="AN97" s="53" t="n"/>
      <c r="AO97" s="53" t="n"/>
      <c r="AP97" s="53" t="n"/>
      <c r="AQ97" s="53" t="n"/>
      <c r="AR97" s="53" t="n"/>
      <c r="AS97" s="53" t="n"/>
      <c r="AT97" s="53" t="n"/>
      <c r="AU97" s="53" t="n"/>
      <c r="AV97" s="53" t="n"/>
      <c r="AW97" s="53" t="n"/>
      <c r="AX97" s="53" t="n"/>
      <c r="AY97" s="53" t="n"/>
    </row>
    <row r="98" ht="15" customHeight="1">
      <c r="A98" s="54" t="n"/>
      <c r="B98" s="55">
        <f>IF($B$97="","",$B$97)</f>
        <v/>
      </c>
      <c r="C98" s="56" t="inlineStr">
        <is>
          <t>마케팅2팀</t>
        </is>
      </c>
      <c r="D98" s="55">
        <f>IF($D$97="","",$D$97)</f>
        <v/>
      </c>
      <c r="E98" s="57" t="inlineStr">
        <is>
          <t>이미지</t>
        </is>
      </c>
      <c r="F98" s="44" t="n"/>
      <c r="G98" s="58">
        <f>IF($G$97="","",$G$97)</f>
        <v/>
      </c>
      <c r="H98" s="59" t="n"/>
      <c r="I98" s="59" t="n"/>
      <c r="J98" s="59" t="n"/>
      <c r="K98" s="59" t="n"/>
      <c r="L98" s="60">
        <f>IF(SUM(U98:AY98)=0,"",SUM(U98:AY98))</f>
        <v/>
      </c>
      <c r="M98" s="61">
        <f>IFERROR(INDEX(U$2:AY$2,MATCH(TRUE,INDEX(U98:AY98&lt;&gt;"",0),0)),"")</f>
        <v/>
      </c>
      <c r="N98" s="61">
        <f>IFERROR(LOOKUP(2,1/(U98:AY98&lt;&gt;""),U$2:AY$2),"")</f>
        <v/>
      </c>
      <c r="O98" s="59" t="n"/>
      <c r="P98" s="59" t="n"/>
      <c r="Q98" s="59" t="n"/>
      <c r="R98" s="59" t="n"/>
      <c r="S98" s="14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3" t="n"/>
      <c r="AN98" s="53" t="n"/>
      <c r="AO98" s="53" t="n"/>
      <c r="AP98" s="53" t="n"/>
      <c r="AQ98" s="53" t="n"/>
      <c r="AR98" s="53" t="n"/>
      <c r="AS98" s="53" t="n"/>
      <c r="AT98" s="53" t="n"/>
      <c r="AU98" s="53" t="n"/>
      <c r="AV98" s="53" t="n"/>
      <c r="AW98" s="53" t="n"/>
      <c r="AX98" s="53" t="n"/>
      <c r="AY98" s="53" t="n"/>
    </row>
    <row r="99" ht="15" customHeight="1">
      <c r="A99" s="62" t="n"/>
      <c r="B99" s="55">
        <f>IF($B$97="","",$B$97)</f>
        <v/>
      </c>
      <c r="C99" s="63" t="inlineStr">
        <is>
          <t>마케팅2팀</t>
        </is>
      </c>
      <c r="D99" s="55">
        <f>IF($D$97="","",$D$97)</f>
        <v/>
      </c>
      <c r="E99" s="64" t="inlineStr">
        <is>
          <t>영상</t>
        </is>
      </c>
      <c r="F99" s="44" t="n"/>
      <c r="G99" s="58">
        <f>IF($G$97="","",$G$97)</f>
        <v/>
      </c>
      <c r="H99" s="59" t="n"/>
      <c r="I99" s="59" t="n"/>
      <c r="J99" s="59" t="n"/>
      <c r="K99" s="59" t="n"/>
      <c r="L99" s="65">
        <f>IF(SUM(U99:AY99)=0,"",SUM(U99:AY99))</f>
        <v/>
      </c>
      <c r="M99" s="66">
        <f>IFERROR(INDEX(U$2:AY$2,MATCH(TRUE,INDEX(U99:AY99&lt;&gt;"",0),0)),"")</f>
        <v/>
      </c>
      <c r="N99" s="66">
        <f>IFERROR(LOOKUP(2,1/(U99:AY99&lt;&gt;""),U$2:AY$2),"")</f>
        <v/>
      </c>
      <c r="O99" s="59" t="n"/>
      <c r="P99" s="59" t="n"/>
      <c r="Q99" s="59" t="n"/>
      <c r="R99" s="59" t="n"/>
      <c r="S99" s="14" t="n"/>
      <c r="U99" s="53" t="n"/>
      <c r="V99" s="53" t="n"/>
      <c r="W99" s="53" t="n"/>
      <c r="X99" s="53" t="n"/>
      <c r="Y99" s="53" t="n"/>
      <c r="Z99" s="53" t="n"/>
      <c r="AA99" s="53" t="n"/>
      <c r="AB99" s="53" t="n"/>
      <c r="AC99" s="53" t="n"/>
      <c r="AD99" s="53" t="n"/>
      <c r="AE99" s="53" t="n"/>
      <c r="AF99" s="53" t="n"/>
      <c r="AG99" s="53" t="n"/>
      <c r="AH99" s="53" t="n"/>
      <c r="AI99" s="53" t="n"/>
      <c r="AJ99" s="53" t="n"/>
      <c r="AK99" s="53" t="n"/>
      <c r="AL99" s="53" t="n"/>
      <c r="AM99" s="53" t="n"/>
      <c r="AN99" s="53" t="n"/>
      <c r="AO99" s="53" t="n"/>
      <c r="AP99" s="53" t="n"/>
      <c r="AQ99" s="53" t="n"/>
      <c r="AR99" s="53" t="n"/>
      <c r="AS99" s="53" t="n"/>
      <c r="AT99" s="53" t="n"/>
      <c r="AU99" s="53" t="n"/>
      <c r="AV99" s="53" t="n"/>
      <c r="AW99" s="53" t="n"/>
      <c r="AX99" s="53" t="n"/>
      <c r="AY99" s="53" t="n"/>
    </row>
    <row r="100" ht="15" customHeight="1">
      <c r="A100" s="40">
        <f>IF($D$100="","",31)</f>
        <v/>
      </c>
      <c r="B100" s="10" t="n"/>
      <c r="C100" s="41" t="inlineStr">
        <is>
          <t>마케팅2팀</t>
        </is>
      </c>
      <c r="D100" s="42" t="n"/>
      <c r="E100" s="43" t="inlineStr">
        <is>
          <t>기획</t>
        </is>
      </c>
      <c r="F100" s="44" t="n"/>
      <c r="G100" s="45" t="n"/>
      <c r="H100" s="46">
        <f>IF($I$100="","",IF($I$100&lt;0,"🔴지연",IF($I$100&lt;=1,"🟡임박","🟢여유")))</f>
        <v/>
      </c>
      <c r="I100" s="47">
        <f>IF(OR($G$100="",$K$100=""),"",$G$100-$K$100)</f>
        <v/>
      </c>
      <c r="J100" s="48">
        <f>IF(SUM($L$100:$L$102)=0,"",SUM($L$100:$L$102))</f>
        <v/>
      </c>
      <c r="K100" s="49">
        <f>IF($J$100="","",MAX($N$100:$N$102))</f>
        <v/>
      </c>
      <c r="L100" s="50">
        <f>IF(SUM(U100:AY100)=0,"",SUM(U100:AY100))</f>
        <v/>
      </c>
      <c r="M100" s="51">
        <f>IFERROR(INDEX(U$2:AY$2,MATCH(TRUE,INDEX(U100:AY100&lt;&gt;"",0),0)),"")</f>
        <v/>
      </c>
      <c r="N100" s="51">
        <f>IFERROR(LOOKUP(2,1/(U100:AY100&lt;&gt;""),U$2:AY$2),"")</f>
        <v/>
      </c>
      <c r="O100" s="52" t="n"/>
      <c r="P100" s="52" t="n"/>
      <c r="Q100" s="52" t="n"/>
      <c r="R100" s="44" t="n"/>
      <c r="S100" s="14" t="n"/>
      <c r="U100" s="53" t="n"/>
      <c r="V100" s="53" t="n"/>
      <c r="W100" s="53" t="n"/>
      <c r="X100" s="53" t="n"/>
      <c r="Y100" s="53" t="n"/>
      <c r="Z100" s="53" t="n"/>
      <c r="AA100" s="53" t="n"/>
      <c r="AB100" s="53" t="n"/>
      <c r="AC100" s="53" t="n"/>
      <c r="AD100" s="53" t="n"/>
      <c r="AE100" s="53" t="n"/>
      <c r="AF100" s="53" t="n"/>
      <c r="AG100" s="53" t="n"/>
      <c r="AH100" s="53" t="n"/>
      <c r="AI100" s="53" t="n"/>
      <c r="AJ100" s="53" t="n"/>
      <c r="AK100" s="53" t="n"/>
      <c r="AL100" s="53" t="n"/>
      <c r="AM100" s="53" t="n"/>
      <c r="AN100" s="53" t="n"/>
      <c r="AO100" s="53" t="n"/>
      <c r="AP100" s="53" t="n"/>
      <c r="AQ100" s="53" t="n"/>
      <c r="AR100" s="53" t="n"/>
      <c r="AS100" s="53" t="n"/>
      <c r="AT100" s="53" t="n"/>
      <c r="AU100" s="53" t="n"/>
      <c r="AV100" s="53" t="n"/>
      <c r="AW100" s="53" t="n"/>
      <c r="AX100" s="53" t="n"/>
      <c r="AY100" s="53" t="n"/>
    </row>
    <row r="101" ht="15" customHeight="1">
      <c r="A101" s="54" t="n"/>
      <c r="B101" s="55">
        <f>IF($B$100="","",$B$100)</f>
        <v/>
      </c>
      <c r="C101" s="56" t="inlineStr">
        <is>
          <t>마케팅2팀</t>
        </is>
      </c>
      <c r="D101" s="55">
        <f>IF($D$100="","",$D$100)</f>
        <v/>
      </c>
      <c r="E101" s="57" t="inlineStr">
        <is>
          <t>이미지</t>
        </is>
      </c>
      <c r="F101" s="44" t="n"/>
      <c r="G101" s="58">
        <f>IF($G$100="","",$G$100)</f>
        <v/>
      </c>
      <c r="H101" s="59" t="n"/>
      <c r="I101" s="59" t="n"/>
      <c r="J101" s="59" t="n"/>
      <c r="K101" s="59" t="n"/>
      <c r="L101" s="60">
        <f>IF(SUM(U101:AY101)=0,"",SUM(U101:AY101))</f>
        <v/>
      </c>
      <c r="M101" s="61">
        <f>IFERROR(INDEX(U$2:AY$2,MATCH(TRUE,INDEX(U101:AY101&lt;&gt;"",0),0)),"")</f>
        <v/>
      </c>
      <c r="N101" s="61">
        <f>IFERROR(LOOKUP(2,1/(U101:AY101&lt;&gt;""),U$2:AY$2),"")</f>
        <v/>
      </c>
      <c r="O101" s="59" t="n"/>
      <c r="P101" s="59" t="n"/>
      <c r="Q101" s="59" t="n"/>
      <c r="R101" s="59" t="n"/>
      <c r="S101" s="14" t="n"/>
      <c r="U101" s="53" t="n"/>
      <c r="V101" s="53" t="n"/>
      <c r="W101" s="53" t="n"/>
      <c r="X101" s="53" t="n"/>
      <c r="Y101" s="53" t="n"/>
      <c r="Z101" s="53" t="n"/>
      <c r="AA101" s="53" t="n"/>
      <c r="AB101" s="53" t="n"/>
      <c r="AC101" s="53" t="n"/>
      <c r="AD101" s="53" t="n"/>
      <c r="AE101" s="53" t="n"/>
      <c r="AF101" s="53" t="n"/>
      <c r="AG101" s="53" t="n"/>
      <c r="AH101" s="53" t="n"/>
      <c r="AI101" s="53" t="n"/>
      <c r="AJ101" s="53" t="n"/>
      <c r="AK101" s="53" t="n"/>
      <c r="AL101" s="53" t="n"/>
      <c r="AM101" s="53" t="n"/>
      <c r="AN101" s="53" t="n"/>
      <c r="AO101" s="53" t="n"/>
      <c r="AP101" s="53" t="n"/>
      <c r="AQ101" s="53" t="n"/>
      <c r="AR101" s="53" t="n"/>
      <c r="AS101" s="53" t="n"/>
      <c r="AT101" s="53" t="n"/>
      <c r="AU101" s="53" t="n"/>
      <c r="AV101" s="53" t="n"/>
      <c r="AW101" s="53" t="n"/>
      <c r="AX101" s="53" t="n"/>
      <c r="AY101" s="53" t="n"/>
    </row>
    <row r="102" ht="15" customHeight="1">
      <c r="A102" s="62" t="n"/>
      <c r="B102" s="55">
        <f>IF($B$100="","",$B$100)</f>
        <v/>
      </c>
      <c r="C102" s="63" t="inlineStr">
        <is>
          <t>마케팅2팀</t>
        </is>
      </c>
      <c r="D102" s="55">
        <f>IF($D$100="","",$D$100)</f>
        <v/>
      </c>
      <c r="E102" s="64" t="inlineStr">
        <is>
          <t>영상</t>
        </is>
      </c>
      <c r="F102" s="44" t="n"/>
      <c r="G102" s="58">
        <f>IF($G$100="","",$G$100)</f>
        <v/>
      </c>
      <c r="H102" s="59" t="n"/>
      <c r="I102" s="59" t="n"/>
      <c r="J102" s="59" t="n"/>
      <c r="K102" s="59" t="n"/>
      <c r="L102" s="65">
        <f>IF(SUM(U102:AY102)=0,"",SUM(U102:AY102))</f>
        <v/>
      </c>
      <c r="M102" s="66">
        <f>IFERROR(INDEX(U$2:AY$2,MATCH(TRUE,INDEX(U102:AY102&lt;&gt;"",0),0)),"")</f>
        <v/>
      </c>
      <c r="N102" s="66">
        <f>IFERROR(LOOKUP(2,1/(U102:AY102&lt;&gt;""),U$2:AY$2),"")</f>
        <v/>
      </c>
      <c r="O102" s="59" t="n"/>
      <c r="P102" s="59" t="n"/>
      <c r="Q102" s="59" t="n"/>
      <c r="R102" s="59" t="n"/>
      <c r="S102" s="14" t="n"/>
      <c r="U102" s="53" t="n"/>
      <c r="V102" s="53" t="n"/>
      <c r="W102" s="53" t="n"/>
      <c r="X102" s="53" t="n"/>
      <c r="Y102" s="53" t="n"/>
      <c r="Z102" s="53" t="n"/>
      <c r="AA102" s="53" t="n"/>
      <c r="AB102" s="53" t="n"/>
      <c r="AC102" s="53" t="n"/>
      <c r="AD102" s="53" t="n"/>
      <c r="AE102" s="53" t="n"/>
      <c r="AF102" s="53" t="n"/>
      <c r="AG102" s="53" t="n"/>
      <c r="AH102" s="53" t="n"/>
      <c r="AI102" s="53" t="n"/>
      <c r="AJ102" s="53" t="n"/>
      <c r="AK102" s="53" t="n"/>
      <c r="AL102" s="53" t="n"/>
      <c r="AM102" s="53" t="n"/>
      <c r="AN102" s="53" t="n"/>
      <c r="AO102" s="53" t="n"/>
      <c r="AP102" s="53" t="n"/>
      <c r="AQ102" s="53" t="n"/>
      <c r="AR102" s="53" t="n"/>
      <c r="AS102" s="53" t="n"/>
      <c r="AT102" s="53" t="n"/>
      <c r="AU102" s="53" t="n"/>
      <c r="AV102" s="53" t="n"/>
      <c r="AW102" s="53" t="n"/>
      <c r="AX102" s="53" t="n"/>
      <c r="AY102" s="53" t="n"/>
    </row>
    <row r="103" ht="15" customHeight="1">
      <c r="A103" s="40">
        <f>IF($D$103="","",32)</f>
        <v/>
      </c>
      <c r="B103" s="10" t="n"/>
      <c r="C103" s="41" t="inlineStr">
        <is>
          <t>마케팅2팀</t>
        </is>
      </c>
      <c r="D103" s="42" t="n"/>
      <c r="E103" s="43" t="inlineStr">
        <is>
          <t>기획</t>
        </is>
      </c>
      <c r="F103" s="44" t="n"/>
      <c r="G103" s="45" t="n"/>
      <c r="H103" s="46">
        <f>IF($I$103="","",IF($I$103&lt;0,"🔴지연",IF($I$103&lt;=1,"🟡임박","🟢여유")))</f>
        <v/>
      </c>
      <c r="I103" s="47">
        <f>IF(OR($G$103="",$K$103=""),"",$G$103-$K$103)</f>
        <v/>
      </c>
      <c r="J103" s="48">
        <f>IF(SUM($L$103:$L$105)=0,"",SUM($L$103:$L$105))</f>
        <v/>
      </c>
      <c r="K103" s="49">
        <f>IF($J$103="","",MAX($N$103:$N$105))</f>
        <v/>
      </c>
      <c r="L103" s="50">
        <f>IF(SUM(U103:AY103)=0,"",SUM(U103:AY103))</f>
        <v/>
      </c>
      <c r="M103" s="51">
        <f>IFERROR(INDEX(U$2:AY$2,MATCH(TRUE,INDEX(U103:AY103&lt;&gt;"",0),0)),"")</f>
        <v/>
      </c>
      <c r="N103" s="51">
        <f>IFERROR(LOOKUP(2,1/(U103:AY103&lt;&gt;""),U$2:AY$2),"")</f>
        <v/>
      </c>
      <c r="O103" s="52" t="n"/>
      <c r="P103" s="52" t="n"/>
      <c r="Q103" s="52" t="n"/>
      <c r="R103" s="44" t="n"/>
      <c r="S103" s="14" t="n"/>
      <c r="U103" s="53" t="n"/>
      <c r="V103" s="53" t="n"/>
      <c r="W103" s="53" t="n"/>
      <c r="X103" s="53" t="n"/>
      <c r="Y103" s="53" t="n"/>
      <c r="Z103" s="53" t="n"/>
      <c r="AA103" s="53" t="n"/>
      <c r="AB103" s="53" t="n"/>
      <c r="AC103" s="53" t="n"/>
      <c r="AD103" s="53" t="n"/>
      <c r="AE103" s="53" t="n"/>
      <c r="AF103" s="53" t="n"/>
      <c r="AG103" s="53" t="n"/>
      <c r="AH103" s="53" t="n"/>
      <c r="AI103" s="53" t="n"/>
      <c r="AJ103" s="53" t="n"/>
      <c r="AK103" s="53" t="n"/>
      <c r="AL103" s="53" t="n"/>
      <c r="AM103" s="53" t="n"/>
      <c r="AN103" s="53" t="n"/>
      <c r="AO103" s="53" t="n"/>
      <c r="AP103" s="53" t="n"/>
      <c r="AQ103" s="53" t="n"/>
      <c r="AR103" s="53" t="n"/>
      <c r="AS103" s="53" t="n"/>
      <c r="AT103" s="53" t="n"/>
      <c r="AU103" s="53" t="n"/>
      <c r="AV103" s="53" t="n"/>
      <c r="AW103" s="53" t="n"/>
      <c r="AX103" s="53" t="n"/>
      <c r="AY103" s="53" t="n"/>
    </row>
    <row r="104" ht="15" customHeight="1">
      <c r="A104" s="54" t="n"/>
      <c r="B104" s="55">
        <f>IF($B$103="","",$B$103)</f>
        <v/>
      </c>
      <c r="C104" s="56" t="inlineStr">
        <is>
          <t>마케팅2팀</t>
        </is>
      </c>
      <c r="D104" s="55">
        <f>IF($D$103="","",$D$103)</f>
        <v/>
      </c>
      <c r="E104" s="57" t="inlineStr">
        <is>
          <t>이미지</t>
        </is>
      </c>
      <c r="F104" s="44" t="n"/>
      <c r="G104" s="58">
        <f>IF($G$103="","",$G$103)</f>
        <v/>
      </c>
      <c r="H104" s="59" t="n"/>
      <c r="I104" s="59" t="n"/>
      <c r="J104" s="59" t="n"/>
      <c r="K104" s="59" t="n"/>
      <c r="L104" s="60">
        <f>IF(SUM(U104:AY104)=0,"",SUM(U104:AY104))</f>
        <v/>
      </c>
      <c r="M104" s="61">
        <f>IFERROR(INDEX(U$2:AY$2,MATCH(TRUE,INDEX(U104:AY104&lt;&gt;"",0),0)),"")</f>
        <v/>
      </c>
      <c r="N104" s="61">
        <f>IFERROR(LOOKUP(2,1/(U104:AY104&lt;&gt;""),U$2:AY$2),"")</f>
        <v/>
      </c>
      <c r="O104" s="59" t="n"/>
      <c r="P104" s="59" t="n"/>
      <c r="Q104" s="59" t="n"/>
      <c r="R104" s="59" t="n"/>
      <c r="S104" s="14" t="n"/>
      <c r="U104" s="53" t="n"/>
      <c r="V104" s="53" t="n"/>
      <c r="W104" s="53" t="n"/>
      <c r="X104" s="53" t="n"/>
      <c r="Y104" s="53" t="n"/>
      <c r="Z104" s="53" t="n"/>
      <c r="AA104" s="53" t="n"/>
      <c r="AB104" s="53" t="n"/>
      <c r="AC104" s="53" t="n"/>
      <c r="AD104" s="53" t="n"/>
      <c r="AE104" s="53" t="n"/>
      <c r="AF104" s="53" t="n"/>
      <c r="AG104" s="53" t="n"/>
      <c r="AH104" s="53" t="n"/>
      <c r="AI104" s="53" t="n"/>
      <c r="AJ104" s="53" t="n"/>
      <c r="AK104" s="53" t="n"/>
      <c r="AL104" s="53" t="n"/>
      <c r="AM104" s="53" t="n"/>
      <c r="AN104" s="53" t="n"/>
      <c r="AO104" s="53" t="n"/>
      <c r="AP104" s="53" t="n"/>
      <c r="AQ104" s="53" t="n"/>
      <c r="AR104" s="53" t="n"/>
      <c r="AS104" s="53" t="n"/>
      <c r="AT104" s="53" t="n"/>
      <c r="AU104" s="53" t="n"/>
      <c r="AV104" s="53" t="n"/>
      <c r="AW104" s="53" t="n"/>
      <c r="AX104" s="53" t="n"/>
      <c r="AY104" s="53" t="n"/>
    </row>
    <row r="105" ht="15" customHeight="1">
      <c r="A105" s="62" t="n"/>
      <c r="B105" s="55">
        <f>IF($B$103="","",$B$103)</f>
        <v/>
      </c>
      <c r="C105" s="63" t="inlineStr">
        <is>
          <t>마케팅2팀</t>
        </is>
      </c>
      <c r="D105" s="55">
        <f>IF($D$103="","",$D$103)</f>
        <v/>
      </c>
      <c r="E105" s="64" t="inlineStr">
        <is>
          <t>영상</t>
        </is>
      </c>
      <c r="F105" s="44" t="n"/>
      <c r="G105" s="58">
        <f>IF($G$103="","",$G$103)</f>
        <v/>
      </c>
      <c r="H105" s="59" t="n"/>
      <c r="I105" s="59" t="n"/>
      <c r="J105" s="59" t="n"/>
      <c r="K105" s="59" t="n"/>
      <c r="L105" s="65">
        <f>IF(SUM(U105:AY105)=0,"",SUM(U105:AY105))</f>
        <v/>
      </c>
      <c r="M105" s="66">
        <f>IFERROR(INDEX(U$2:AY$2,MATCH(TRUE,INDEX(U105:AY105&lt;&gt;"",0),0)),"")</f>
        <v/>
      </c>
      <c r="N105" s="66">
        <f>IFERROR(LOOKUP(2,1/(U105:AY105&lt;&gt;""),U$2:AY$2),"")</f>
        <v/>
      </c>
      <c r="O105" s="59" t="n"/>
      <c r="P105" s="59" t="n"/>
      <c r="Q105" s="59" t="n"/>
      <c r="R105" s="59" t="n"/>
      <c r="S105" s="14" t="n"/>
      <c r="U105" s="53" t="n"/>
      <c r="V105" s="53" t="n"/>
      <c r="W105" s="53" t="n"/>
      <c r="X105" s="53" t="n"/>
      <c r="Y105" s="53" t="n"/>
      <c r="Z105" s="53" t="n"/>
      <c r="AA105" s="53" t="n"/>
      <c r="AB105" s="53" t="n"/>
      <c r="AC105" s="53" t="n"/>
      <c r="AD105" s="53" t="n"/>
      <c r="AE105" s="53" t="n"/>
      <c r="AF105" s="53" t="n"/>
      <c r="AG105" s="53" t="n"/>
      <c r="AH105" s="53" t="n"/>
      <c r="AI105" s="53" t="n"/>
      <c r="AJ105" s="53" t="n"/>
      <c r="AK105" s="53" t="n"/>
      <c r="AL105" s="53" t="n"/>
      <c r="AM105" s="53" t="n"/>
      <c r="AN105" s="53" t="n"/>
      <c r="AO105" s="53" t="n"/>
      <c r="AP105" s="53" t="n"/>
      <c r="AQ105" s="53" t="n"/>
      <c r="AR105" s="53" t="n"/>
      <c r="AS105" s="53" t="n"/>
      <c r="AT105" s="53" t="n"/>
      <c r="AU105" s="53" t="n"/>
      <c r="AV105" s="53" t="n"/>
      <c r="AW105" s="53" t="n"/>
      <c r="AX105" s="53" t="n"/>
      <c r="AY105" s="53" t="n"/>
    </row>
    <row r="106" ht="15" customHeight="1">
      <c r="A106" s="40">
        <f>IF($D$106="","",33)</f>
        <v/>
      </c>
      <c r="B106" s="10" t="n"/>
      <c r="C106" s="41" t="inlineStr">
        <is>
          <t>마케팅2팀</t>
        </is>
      </c>
      <c r="D106" s="42" t="n"/>
      <c r="E106" s="43" t="inlineStr">
        <is>
          <t>기획</t>
        </is>
      </c>
      <c r="F106" s="44" t="n"/>
      <c r="G106" s="45" t="n"/>
      <c r="H106" s="46">
        <f>IF($I$106="","",IF($I$106&lt;0,"🔴지연",IF($I$106&lt;=1,"🟡임박","🟢여유")))</f>
        <v/>
      </c>
      <c r="I106" s="47">
        <f>IF(OR($G$106="",$K$106=""),"",$G$106-$K$106)</f>
        <v/>
      </c>
      <c r="J106" s="48">
        <f>IF(SUM($L$106:$L$108)=0,"",SUM($L$106:$L$108))</f>
        <v/>
      </c>
      <c r="K106" s="49">
        <f>IF($J$106="","",MAX($N$106:$N$108))</f>
        <v/>
      </c>
      <c r="L106" s="50">
        <f>IF(SUM(U106:AY106)=0,"",SUM(U106:AY106))</f>
        <v/>
      </c>
      <c r="M106" s="51">
        <f>IFERROR(INDEX(U$2:AY$2,MATCH(TRUE,INDEX(U106:AY106&lt;&gt;"",0),0)),"")</f>
        <v/>
      </c>
      <c r="N106" s="51">
        <f>IFERROR(LOOKUP(2,1/(U106:AY106&lt;&gt;""),U$2:AY$2),"")</f>
        <v/>
      </c>
      <c r="O106" s="52" t="n"/>
      <c r="P106" s="52" t="n"/>
      <c r="Q106" s="52" t="n"/>
      <c r="R106" s="44" t="n"/>
      <c r="S106" s="14" t="n"/>
      <c r="U106" s="53" t="n"/>
      <c r="V106" s="53" t="n"/>
      <c r="W106" s="53" t="n"/>
      <c r="X106" s="53" t="n"/>
      <c r="Y106" s="53" t="n"/>
      <c r="Z106" s="53" t="n"/>
      <c r="AA106" s="53" t="n"/>
      <c r="AB106" s="53" t="n"/>
      <c r="AC106" s="53" t="n"/>
      <c r="AD106" s="53" t="n"/>
      <c r="AE106" s="53" t="n"/>
      <c r="AF106" s="53" t="n"/>
      <c r="AG106" s="53" t="n"/>
      <c r="AH106" s="53" t="n"/>
      <c r="AI106" s="53" t="n"/>
      <c r="AJ106" s="53" t="n"/>
      <c r="AK106" s="53" t="n"/>
      <c r="AL106" s="53" t="n"/>
      <c r="AM106" s="53" t="n"/>
      <c r="AN106" s="53" t="n"/>
      <c r="AO106" s="53" t="n"/>
      <c r="AP106" s="53" t="n"/>
      <c r="AQ106" s="53" t="n"/>
      <c r="AR106" s="53" t="n"/>
      <c r="AS106" s="53" t="n"/>
      <c r="AT106" s="53" t="n"/>
      <c r="AU106" s="53" t="n"/>
      <c r="AV106" s="53" t="n"/>
      <c r="AW106" s="53" t="n"/>
      <c r="AX106" s="53" t="n"/>
      <c r="AY106" s="53" t="n"/>
    </row>
    <row r="107" ht="15" customHeight="1">
      <c r="A107" s="54" t="n"/>
      <c r="B107" s="55">
        <f>IF($B$106="","",$B$106)</f>
        <v/>
      </c>
      <c r="C107" s="56" t="inlineStr">
        <is>
          <t>마케팅2팀</t>
        </is>
      </c>
      <c r="D107" s="55">
        <f>IF($D$106="","",$D$106)</f>
        <v/>
      </c>
      <c r="E107" s="57" t="inlineStr">
        <is>
          <t>이미지</t>
        </is>
      </c>
      <c r="F107" s="44" t="n"/>
      <c r="G107" s="58">
        <f>IF($G$106="","",$G$106)</f>
        <v/>
      </c>
      <c r="H107" s="59" t="n"/>
      <c r="I107" s="59" t="n"/>
      <c r="J107" s="59" t="n"/>
      <c r="K107" s="59" t="n"/>
      <c r="L107" s="60">
        <f>IF(SUM(U107:AY107)=0,"",SUM(U107:AY107))</f>
        <v/>
      </c>
      <c r="M107" s="61">
        <f>IFERROR(INDEX(U$2:AY$2,MATCH(TRUE,INDEX(U107:AY107&lt;&gt;"",0),0)),"")</f>
        <v/>
      </c>
      <c r="N107" s="61">
        <f>IFERROR(LOOKUP(2,1/(U107:AY107&lt;&gt;""),U$2:AY$2),"")</f>
        <v/>
      </c>
      <c r="O107" s="59" t="n"/>
      <c r="P107" s="59" t="n"/>
      <c r="Q107" s="59" t="n"/>
      <c r="R107" s="59" t="n"/>
      <c r="S107" s="14" t="n"/>
      <c r="U107" s="53" t="n"/>
      <c r="V107" s="53" t="n"/>
      <c r="W107" s="53" t="n"/>
      <c r="X107" s="53" t="n"/>
      <c r="Y107" s="53" t="n"/>
      <c r="Z107" s="53" t="n"/>
      <c r="AA107" s="53" t="n"/>
      <c r="AB107" s="53" t="n"/>
      <c r="AC107" s="53" t="n"/>
      <c r="AD107" s="53" t="n"/>
      <c r="AE107" s="53" t="n"/>
      <c r="AF107" s="53" t="n"/>
      <c r="AG107" s="53" t="n"/>
      <c r="AH107" s="53" t="n"/>
      <c r="AI107" s="53" t="n"/>
      <c r="AJ107" s="53" t="n"/>
      <c r="AK107" s="53" t="n"/>
      <c r="AL107" s="53" t="n"/>
      <c r="AM107" s="53" t="n"/>
      <c r="AN107" s="53" t="n"/>
      <c r="AO107" s="53" t="n"/>
      <c r="AP107" s="53" t="n"/>
      <c r="AQ107" s="53" t="n"/>
      <c r="AR107" s="53" t="n"/>
      <c r="AS107" s="53" t="n"/>
      <c r="AT107" s="53" t="n"/>
      <c r="AU107" s="53" t="n"/>
      <c r="AV107" s="53" t="n"/>
      <c r="AW107" s="53" t="n"/>
      <c r="AX107" s="53" t="n"/>
      <c r="AY107" s="53" t="n"/>
    </row>
    <row r="108" ht="15" customHeight="1">
      <c r="A108" s="62" t="n"/>
      <c r="B108" s="55">
        <f>IF($B$106="","",$B$106)</f>
        <v/>
      </c>
      <c r="C108" s="63" t="inlineStr">
        <is>
          <t>마케팅2팀</t>
        </is>
      </c>
      <c r="D108" s="55">
        <f>IF($D$106="","",$D$106)</f>
        <v/>
      </c>
      <c r="E108" s="64" t="inlineStr">
        <is>
          <t>영상</t>
        </is>
      </c>
      <c r="F108" s="44" t="n"/>
      <c r="G108" s="58">
        <f>IF($G$106="","",$G$106)</f>
        <v/>
      </c>
      <c r="H108" s="59" t="n"/>
      <c r="I108" s="59" t="n"/>
      <c r="J108" s="59" t="n"/>
      <c r="K108" s="59" t="n"/>
      <c r="L108" s="65">
        <f>IF(SUM(U108:AY108)=0,"",SUM(U108:AY108))</f>
        <v/>
      </c>
      <c r="M108" s="66">
        <f>IFERROR(INDEX(U$2:AY$2,MATCH(TRUE,INDEX(U108:AY108&lt;&gt;"",0),0)),"")</f>
        <v/>
      </c>
      <c r="N108" s="66">
        <f>IFERROR(LOOKUP(2,1/(U108:AY108&lt;&gt;""),U$2:AY$2),"")</f>
        <v/>
      </c>
      <c r="O108" s="59" t="n"/>
      <c r="P108" s="59" t="n"/>
      <c r="Q108" s="59" t="n"/>
      <c r="R108" s="59" t="n"/>
      <c r="S108" s="14" t="n"/>
      <c r="U108" s="53" t="n"/>
      <c r="V108" s="53" t="n"/>
      <c r="W108" s="53" t="n"/>
      <c r="X108" s="53" t="n"/>
      <c r="Y108" s="53" t="n"/>
      <c r="Z108" s="53" t="n"/>
      <c r="AA108" s="53" t="n"/>
      <c r="AB108" s="53" t="n"/>
      <c r="AC108" s="53" t="n"/>
      <c r="AD108" s="53" t="n"/>
      <c r="AE108" s="53" t="n"/>
      <c r="AF108" s="53" t="n"/>
      <c r="AG108" s="53" t="n"/>
      <c r="AH108" s="53" t="n"/>
      <c r="AI108" s="53" t="n"/>
      <c r="AJ108" s="53" t="n"/>
      <c r="AK108" s="53" t="n"/>
      <c r="AL108" s="53" t="n"/>
      <c r="AM108" s="53" t="n"/>
      <c r="AN108" s="53" t="n"/>
      <c r="AO108" s="53" t="n"/>
      <c r="AP108" s="53" t="n"/>
      <c r="AQ108" s="53" t="n"/>
      <c r="AR108" s="53" t="n"/>
      <c r="AS108" s="53" t="n"/>
      <c r="AT108" s="53" t="n"/>
      <c r="AU108" s="53" t="n"/>
      <c r="AV108" s="53" t="n"/>
      <c r="AW108" s="53" t="n"/>
      <c r="AX108" s="53" t="n"/>
      <c r="AY108" s="53" t="n"/>
    </row>
    <row r="109" ht="15" customHeight="1">
      <c r="A109" s="40">
        <f>IF($D$109="","",34)</f>
        <v/>
      </c>
      <c r="B109" s="10" t="n"/>
      <c r="C109" s="41" t="inlineStr">
        <is>
          <t>마케팅2팀</t>
        </is>
      </c>
      <c r="D109" s="42" t="n"/>
      <c r="E109" s="43" t="inlineStr">
        <is>
          <t>기획</t>
        </is>
      </c>
      <c r="F109" s="44" t="n"/>
      <c r="G109" s="45" t="n"/>
      <c r="H109" s="46">
        <f>IF($I$109="","",IF($I$109&lt;0,"🔴지연",IF($I$109&lt;=1,"🟡임박","🟢여유")))</f>
        <v/>
      </c>
      <c r="I109" s="47">
        <f>IF(OR($G$109="",$K$109=""),"",$G$109-$K$109)</f>
        <v/>
      </c>
      <c r="J109" s="48">
        <f>IF(SUM($L$109:$L$111)=0,"",SUM($L$109:$L$111))</f>
        <v/>
      </c>
      <c r="K109" s="49">
        <f>IF($J$109="","",MAX($N$109:$N$111))</f>
        <v/>
      </c>
      <c r="L109" s="50">
        <f>IF(SUM(U109:AY109)=0,"",SUM(U109:AY109))</f>
        <v/>
      </c>
      <c r="M109" s="51">
        <f>IFERROR(INDEX(U$2:AY$2,MATCH(TRUE,INDEX(U109:AY109&lt;&gt;"",0),0)),"")</f>
        <v/>
      </c>
      <c r="N109" s="51">
        <f>IFERROR(LOOKUP(2,1/(U109:AY109&lt;&gt;""),U$2:AY$2),"")</f>
        <v/>
      </c>
      <c r="O109" s="52" t="n"/>
      <c r="P109" s="52" t="n"/>
      <c r="Q109" s="52" t="n"/>
      <c r="R109" s="44" t="n"/>
      <c r="S109" s="14" t="n"/>
      <c r="U109" s="53" t="n"/>
      <c r="V109" s="53" t="n"/>
      <c r="W109" s="53" t="n"/>
      <c r="X109" s="53" t="n"/>
      <c r="Y109" s="53" t="n"/>
      <c r="Z109" s="53" t="n"/>
      <c r="AA109" s="53" t="n"/>
      <c r="AB109" s="53" t="n"/>
      <c r="AC109" s="53" t="n"/>
      <c r="AD109" s="53" t="n"/>
      <c r="AE109" s="53" t="n"/>
      <c r="AF109" s="53" t="n"/>
      <c r="AG109" s="53" t="n"/>
      <c r="AH109" s="53" t="n"/>
      <c r="AI109" s="53" t="n"/>
      <c r="AJ109" s="53" t="n"/>
      <c r="AK109" s="53" t="n"/>
      <c r="AL109" s="53" t="n"/>
      <c r="AM109" s="53" t="n"/>
      <c r="AN109" s="53" t="n"/>
      <c r="AO109" s="53" t="n"/>
      <c r="AP109" s="53" t="n"/>
      <c r="AQ109" s="53" t="n"/>
      <c r="AR109" s="53" t="n"/>
      <c r="AS109" s="53" t="n"/>
      <c r="AT109" s="53" t="n"/>
      <c r="AU109" s="53" t="n"/>
      <c r="AV109" s="53" t="n"/>
      <c r="AW109" s="53" t="n"/>
      <c r="AX109" s="53" t="n"/>
      <c r="AY109" s="53" t="n"/>
    </row>
    <row r="110" ht="15" customHeight="1">
      <c r="A110" s="54" t="n"/>
      <c r="B110" s="55">
        <f>IF($B$109="","",$B$109)</f>
        <v/>
      </c>
      <c r="C110" s="56" t="inlineStr">
        <is>
          <t>마케팅2팀</t>
        </is>
      </c>
      <c r="D110" s="55">
        <f>IF($D$109="","",$D$109)</f>
        <v/>
      </c>
      <c r="E110" s="57" t="inlineStr">
        <is>
          <t>이미지</t>
        </is>
      </c>
      <c r="F110" s="44" t="n"/>
      <c r="G110" s="58">
        <f>IF($G$109="","",$G$109)</f>
        <v/>
      </c>
      <c r="H110" s="59" t="n"/>
      <c r="I110" s="59" t="n"/>
      <c r="J110" s="59" t="n"/>
      <c r="K110" s="59" t="n"/>
      <c r="L110" s="60">
        <f>IF(SUM(U110:AY110)=0,"",SUM(U110:AY110))</f>
        <v/>
      </c>
      <c r="M110" s="61">
        <f>IFERROR(INDEX(U$2:AY$2,MATCH(TRUE,INDEX(U110:AY110&lt;&gt;"",0),0)),"")</f>
        <v/>
      </c>
      <c r="N110" s="61">
        <f>IFERROR(LOOKUP(2,1/(U110:AY110&lt;&gt;""),U$2:AY$2),"")</f>
        <v/>
      </c>
      <c r="O110" s="59" t="n"/>
      <c r="P110" s="59" t="n"/>
      <c r="Q110" s="59" t="n"/>
      <c r="R110" s="59" t="n"/>
      <c r="S110" s="14" t="n"/>
      <c r="U110" s="53" t="n"/>
      <c r="V110" s="53" t="n"/>
      <c r="W110" s="53" t="n"/>
      <c r="X110" s="53" t="n"/>
      <c r="Y110" s="53" t="n"/>
      <c r="Z110" s="53" t="n"/>
      <c r="AA110" s="53" t="n"/>
      <c r="AB110" s="53" t="n"/>
      <c r="AC110" s="53" t="n"/>
      <c r="AD110" s="53" t="n"/>
      <c r="AE110" s="53" t="n"/>
      <c r="AF110" s="53" t="n"/>
      <c r="AG110" s="53" t="n"/>
      <c r="AH110" s="53" t="n"/>
      <c r="AI110" s="53" t="n"/>
      <c r="AJ110" s="53" t="n"/>
      <c r="AK110" s="53" t="n"/>
      <c r="AL110" s="53" t="n"/>
      <c r="AM110" s="53" t="n"/>
      <c r="AN110" s="53" t="n"/>
      <c r="AO110" s="53" t="n"/>
      <c r="AP110" s="53" t="n"/>
      <c r="AQ110" s="53" t="n"/>
      <c r="AR110" s="53" t="n"/>
      <c r="AS110" s="53" t="n"/>
      <c r="AT110" s="53" t="n"/>
      <c r="AU110" s="53" t="n"/>
      <c r="AV110" s="53" t="n"/>
      <c r="AW110" s="53" t="n"/>
      <c r="AX110" s="53" t="n"/>
      <c r="AY110" s="53" t="n"/>
    </row>
    <row r="111" ht="15" customHeight="1">
      <c r="A111" s="62" t="n"/>
      <c r="B111" s="55">
        <f>IF($B$109="","",$B$109)</f>
        <v/>
      </c>
      <c r="C111" s="63" t="inlineStr">
        <is>
          <t>마케팅2팀</t>
        </is>
      </c>
      <c r="D111" s="55">
        <f>IF($D$109="","",$D$109)</f>
        <v/>
      </c>
      <c r="E111" s="64" t="inlineStr">
        <is>
          <t>영상</t>
        </is>
      </c>
      <c r="F111" s="44" t="n"/>
      <c r="G111" s="58">
        <f>IF($G$109="","",$G$109)</f>
        <v/>
      </c>
      <c r="H111" s="59" t="n"/>
      <c r="I111" s="59" t="n"/>
      <c r="J111" s="59" t="n"/>
      <c r="K111" s="59" t="n"/>
      <c r="L111" s="65">
        <f>IF(SUM(U111:AY111)=0,"",SUM(U111:AY111))</f>
        <v/>
      </c>
      <c r="M111" s="66">
        <f>IFERROR(INDEX(U$2:AY$2,MATCH(TRUE,INDEX(U111:AY111&lt;&gt;"",0),0)),"")</f>
        <v/>
      </c>
      <c r="N111" s="66">
        <f>IFERROR(LOOKUP(2,1/(U111:AY111&lt;&gt;""),U$2:AY$2),"")</f>
        <v/>
      </c>
      <c r="O111" s="59" t="n"/>
      <c r="P111" s="59" t="n"/>
      <c r="Q111" s="59" t="n"/>
      <c r="R111" s="59" t="n"/>
      <c r="S111" s="14" t="n"/>
      <c r="U111" s="53" t="n"/>
      <c r="V111" s="53" t="n"/>
      <c r="W111" s="53" t="n"/>
      <c r="X111" s="53" t="n"/>
      <c r="Y111" s="53" t="n"/>
      <c r="Z111" s="53" t="n"/>
      <c r="AA111" s="53" t="n"/>
      <c r="AB111" s="53" t="n"/>
      <c r="AC111" s="53" t="n"/>
      <c r="AD111" s="53" t="n"/>
      <c r="AE111" s="53" t="n"/>
      <c r="AF111" s="53" t="n"/>
      <c r="AG111" s="53" t="n"/>
      <c r="AH111" s="53" t="n"/>
      <c r="AI111" s="53" t="n"/>
      <c r="AJ111" s="53" t="n"/>
      <c r="AK111" s="53" t="n"/>
      <c r="AL111" s="53" t="n"/>
      <c r="AM111" s="53" t="n"/>
      <c r="AN111" s="53" t="n"/>
      <c r="AO111" s="53" t="n"/>
      <c r="AP111" s="53" t="n"/>
      <c r="AQ111" s="53" t="n"/>
      <c r="AR111" s="53" t="n"/>
      <c r="AS111" s="53" t="n"/>
      <c r="AT111" s="53" t="n"/>
      <c r="AU111" s="53" t="n"/>
      <c r="AV111" s="53" t="n"/>
      <c r="AW111" s="53" t="n"/>
      <c r="AX111" s="53" t="n"/>
      <c r="AY111" s="53" t="n"/>
    </row>
    <row r="112" ht="15" customHeight="1">
      <c r="A112" s="40">
        <f>IF($D$112="","",35)</f>
        <v/>
      </c>
      <c r="B112" s="10" t="n"/>
      <c r="C112" s="41" t="inlineStr">
        <is>
          <t>마케팅2팀</t>
        </is>
      </c>
      <c r="D112" s="42" t="n"/>
      <c r="E112" s="43" t="inlineStr">
        <is>
          <t>기획</t>
        </is>
      </c>
      <c r="F112" s="44" t="n"/>
      <c r="G112" s="45" t="n"/>
      <c r="H112" s="46">
        <f>IF($I$112="","",IF($I$112&lt;0,"🔴지연",IF($I$112&lt;=1,"🟡임박","🟢여유")))</f>
        <v/>
      </c>
      <c r="I112" s="47">
        <f>IF(OR($G$112="",$K$112=""),"",$G$112-$K$112)</f>
        <v/>
      </c>
      <c r="J112" s="48">
        <f>IF(SUM($L$112:$L$114)=0,"",SUM($L$112:$L$114))</f>
        <v/>
      </c>
      <c r="K112" s="49">
        <f>IF($J$112="","",MAX($N$112:$N$114))</f>
        <v/>
      </c>
      <c r="L112" s="50">
        <f>IF(SUM(U112:AY112)=0,"",SUM(U112:AY112))</f>
        <v/>
      </c>
      <c r="M112" s="51">
        <f>IFERROR(INDEX(U$2:AY$2,MATCH(TRUE,INDEX(U112:AY112&lt;&gt;"",0),0)),"")</f>
        <v/>
      </c>
      <c r="N112" s="51">
        <f>IFERROR(LOOKUP(2,1/(U112:AY112&lt;&gt;""),U$2:AY$2),"")</f>
        <v/>
      </c>
      <c r="O112" s="52" t="n"/>
      <c r="P112" s="52" t="n"/>
      <c r="Q112" s="52" t="n"/>
      <c r="R112" s="44" t="n"/>
      <c r="S112" s="14" t="n"/>
      <c r="U112" s="53" t="n"/>
      <c r="V112" s="53" t="n"/>
      <c r="W112" s="53" t="n"/>
      <c r="X112" s="53" t="n"/>
      <c r="Y112" s="53" t="n"/>
      <c r="Z112" s="53" t="n"/>
      <c r="AA112" s="53" t="n"/>
      <c r="AB112" s="53" t="n"/>
      <c r="AC112" s="53" t="n"/>
      <c r="AD112" s="53" t="n"/>
      <c r="AE112" s="53" t="n"/>
      <c r="AF112" s="53" t="n"/>
      <c r="AG112" s="53" t="n"/>
      <c r="AH112" s="53" t="n"/>
      <c r="AI112" s="53" t="n"/>
      <c r="AJ112" s="53" t="n"/>
      <c r="AK112" s="53" t="n"/>
      <c r="AL112" s="53" t="n"/>
      <c r="AM112" s="53" t="n"/>
      <c r="AN112" s="53" t="n"/>
      <c r="AO112" s="53" t="n"/>
      <c r="AP112" s="53" t="n"/>
      <c r="AQ112" s="53" t="n"/>
      <c r="AR112" s="53" t="n"/>
      <c r="AS112" s="53" t="n"/>
      <c r="AT112" s="53" t="n"/>
      <c r="AU112" s="53" t="n"/>
      <c r="AV112" s="53" t="n"/>
      <c r="AW112" s="53" t="n"/>
      <c r="AX112" s="53" t="n"/>
      <c r="AY112" s="53" t="n"/>
    </row>
    <row r="113" ht="15" customHeight="1">
      <c r="A113" s="54" t="n"/>
      <c r="B113" s="55">
        <f>IF($B$112="","",$B$112)</f>
        <v/>
      </c>
      <c r="C113" s="56" t="inlineStr">
        <is>
          <t>마케팅2팀</t>
        </is>
      </c>
      <c r="D113" s="55">
        <f>IF($D$112="","",$D$112)</f>
        <v/>
      </c>
      <c r="E113" s="57" t="inlineStr">
        <is>
          <t>이미지</t>
        </is>
      </c>
      <c r="F113" s="44" t="n"/>
      <c r="G113" s="58">
        <f>IF($G$112="","",$G$112)</f>
        <v/>
      </c>
      <c r="H113" s="59" t="n"/>
      <c r="I113" s="59" t="n"/>
      <c r="J113" s="59" t="n"/>
      <c r="K113" s="59" t="n"/>
      <c r="L113" s="60">
        <f>IF(SUM(U113:AY113)=0,"",SUM(U113:AY113))</f>
        <v/>
      </c>
      <c r="M113" s="61">
        <f>IFERROR(INDEX(U$2:AY$2,MATCH(TRUE,INDEX(U113:AY113&lt;&gt;"",0),0)),"")</f>
        <v/>
      </c>
      <c r="N113" s="61">
        <f>IFERROR(LOOKUP(2,1/(U113:AY113&lt;&gt;""),U$2:AY$2),"")</f>
        <v/>
      </c>
      <c r="O113" s="59" t="n"/>
      <c r="P113" s="59" t="n"/>
      <c r="Q113" s="59" t="n"/>
      <c r="R113" s="59" t="n"/>
      <c r="S113" s="14" t="n"/>
      <c r="U113" s="53" t="n"/>
      <c r="V113" s="53" t="n"/>
      <c r="W113" s="53" t="n"/>
      <c r="X113" s="53" t="n"/>
      <c r="Y113" s="53" t="n"/>
      <c r="Z113" s="53" t="n"/>
      <c r="AA113" s="53" t="n"/>
      <c r="AB113" s="53" t="n"/>
      <c r="AC113" s="53" t="n"/>
      <c r="AD113" s="53" t="n"/>
      <c r="AE113" s="53" t="n"/>
      <c r="AF113" s="53" t="n"/>
      <c r="AG113" s="53" t="n"/>
      <c r="AH113" s="53" t="n"/>
      <c r="AI113" s="53" t="n"/>
      <c r="AJ113" s="53" t="n"/>
      <c r="AK113" s="53" t="n"/>
      <c r="AL113" s="53" t="n"/>
      <c r="AM113" s="53" t="n"/>
      <c r="AN113" s="53" t="n"/>
      <c r="AO113" s="53" t="n"/>
      <c r="AP113" s="53" t="n"/>
      <c r="AQ113" s="53" t="n"/>
      <c r="AR113" s="53" t="n"/>
      <c r="AS113" s="53" t="n"/>
      <c r="AT113" s="53" t="n"/>
      <c r="AU113" s="53" t="n"/>
      <c r="AV113" s="53" t="n"/>
      <c r="AW113" s="53" t="n"/>
      <c r="AX113" s="53" t="n"/>
      <c r="AY113" s="53" t="n"/>
    </row>
    <row r="114" ht="15" customHeight="1">
      <c r="A114" s="62" t="n"/>
      <c r="B114" s="55">
        <f>IF($B$112="","",$B$112)</f>
        <v/>
      </c>
      <c r="C114" s="63" t="inlineStr">
        <is>
          <t>마케팅2팀</t>
        </is>
      </c>
      <c r="D114" s="55">
        <f>IF($D$112="","",$D$112)</f>
        <v/>
      </c>
      <c r="E114" s="64" t="inlineStr">
        <is>
          <t>영상</t>
        </is>
      </c>
      <c r="F114" s="44" t="n"/>
      <c r="G114" s="58">
        <f>IF($G$112="","",$G$112)</f>
        <v/>
      </c>
      <c r="H114" s="59" t="n"/>
      <c r="I114" s="59" t="n"/>
      <c r="J114" s="59" t="n"/>
      <c r="K114" s="59" t="n"/>
      <c r="L114" s="65">
        <f>IF(SUM(U114:AY114)=0,"",SUM(U114:AY114))</f>
        <v/>
      </c>
      <c r="M114" s="66">
        <f>IFERROR(INDEX(U$2:AY$2,MATCH(TRUE,INDEX(U114:AY114&lt;&gt;"",0),0)),"")</f>
        <v/>
      </c>
      <c r="N114" s="66">
        <f>IFERROR(LOOKUP(2,1/(U114:AY114&lt;&gt;""),U$2:AY$2),"")</f>
        <v/>
      </c>
      <c r="O114" s="59" t="n"/>
      <c r="P114" s="59" t="n"/>
      <c r="Q114" s="59" t="n"/>
      <c r="R114" s="59" t="n"/>
      <c r="S114" s="14" t="n"/>
      <c r="U114" s="53" t="n"/>
      <c r="V114" s="53" t="n"/>
      <c r="W114" s="53" t="n"/>
      <c r="X114" s="53" t="n"/>
      <c r="Y114" s="53" t="n"/>
      <c r="Z114" s="53" t="n"/>
      <c r="AA114" s="53" t="n"/>
      <c r="AB114" s="53" t="n"/>
      <c r="AC114" s="53" t="n"/>
      <c r="AD114" s="53" t="n"/>
      <c r="AE114" s="53" t="n"/>
      <c r="AF114" s="53" t="n"/>
      <c r="AG114" s="53" t="n"/>
      <c r="AH114" s="53" t="n"/>
      <c r="AI114" s="53" t="n"/>
      <c r="AJ114" s="53" t="n"/>
      <c r="AK114" s="53" t="n"/>
      <c r="AL114" s="53" t="n"/>
      <c r="AM114" s="53" t="n"/>
      <c r="AN114" s="53" t="n"/>
      <c r="AO114" s="53" t="n"/>
      <c r="AP114" s="53" t="n"/>
      <c r="AQ114" s="53" t="n"/>
      <c r="AR114" s="53" t="n"/>
      <c r="AS114" s="53" t="n"/>
      <c r="AT114" s="53" t="n"/>
      <c r="AU114" s="53" t="n"/>
      <c r="AV114" s="53" t="n"/>
      <c r="AW114" s="53" t="n"/>
      <c r="AX114" s="53" t="n"/>
      <c r="AY114" s="53" t="n"/>
    </row>
    <row r="115" ht="15" customHeight="1">
      <c r="A115" s="40">
        <f>IF($D$115="","",36)</f>
        <v/>
      </c>
      <c r="B115" s="10" t="n"/>
      <c r="C115" s="41" t="inlineStr">
        <is>
          <t>마케팅2팀</t>
        </is>
      </c>
      <c r="D115" s="42" t="n"/>
      <c r="E115" s="43" t="inlineStr">
        <is>
          <t>기획</t>
        </is>
      </c>
      <c r="F115" s="44" t="n"/>
      <c r="G115" s="45" t="n"/>
      <c r="H115" s="46">
        <f>IF($I$115="","",IF($I$115&lt;0,"🔴지연",IF($I$115&lt;=1,"🟡임박","🟢여유")))</f>
        <v/>
      </c>
      <c r="I115" s="47">
        <f>IF(OR($G$115="",$K$115=""),"",$G$115-$K$115)</f>
        <v/>
      </c>
      <c r="J115" s="48">
        <f>IF(SUM($L$115:$L$117)=0,"",SUM($L$115:$L$117))</f>
        <v/>
      </c>
      <c r="K115" s="49">
        <f>IF($J$115="","",MAX($N$115:$N$117))</f>
        <v/>
      </c>
      <c r="L115" s="50">
        <f>IF(SUM(U115:AY115)=0,"",SUM(U115:AY115))</f>
        <v/>
      </c>
      <c r="M115" s="51">
        <f>IFERROR(INDEX(U$2:AY$2,MATCH(TRUE,INDEX(U115:AY115&lt;&gt;"",0),0)),"")</f>
        <v/>
      </c>
      <c r="N115" s="51">
        <f>IFERROR(LOOKUP(2,1/(U115:AY115&lt;&gt;""),U$2:AY$2),"")</f>
        <v/>
      </c>
      <c r="O115" s="52" t="n"/>
      <c r="P115" s="52" t="n"/>
      <c r="Q115" s="52" t="n"/>
      <c r="R115" s="44" t="n"/>
      <c r="S115" s="14" t="n"/>
      <c r="U115" s="53" t="n"/>
      <c r="V115" s="53" t="n"/>
      <c r="W115" s="53" t="n"/>
      <c r="X115" s="53" t="n"/>
      <c r="Y115" s="53" t="n"/>
      <c r="Z115" s="53" t="n"/>
      <c r="AA115" s="53" t="n"/>
      <c r="AB115" s="53" t="n"/>
      <c r="AC115" s="53" t="n"/>
      <c r="AD115" s="53" t="n"/>
      <c r="AE115" s="53" t="n"/>
      <c r="AF115" s="53" t="n"/>
      <c r="AG115" s="53" t="n"/>
      <c r="AH115" s="53" t="n"/>
      <c r="AI115" s="53" t="n"/>
      <c r="AJ115" s="53" t="n"/>
      <c r="AK115" s="53" t="n"/>
      <c r="AL115" s="53" t="n"/>
      <c r="AM115" s="53" t="n"/>
      <c r="AN115" s="53" t="n"/>
      <c r="AO115" s="53" t="n"/>
      <c r="AP115" s="53" t="n"/>
      <c r="AQ115" s="53" t="n"/>
      <c r="AR115" s="53" t="n"/>
      <c r="AS115" s="53" t="n"/>
      <c r="AT115" s="53" t="n"/>
      <c r="AU115" s="53" t="n"/>
      <c r="AV115" s="53" t="n"/>
      <c r="AW115" s="53" t="n"/>
      <c r="AX115" s="53" t="n"/>
      <c r="AY115" s="53" t="n"/>
    </row>
    <row r="116" ht="15" customHeight="1">
      <c r="A116" s="54" t="n"/>
      <c r="B116" s="55">
        <f>IF($B$115="","",$B$115)</f>
        <v/>
      </c>
      <c r="C116" s="56" t="inlineStr">
        <is>
          <t>마케팅2팀</t>
        </is>
      </c>
      <c r="D116" s="55">
        <f>IF($D$115="","",$D$115)</f>
        <v/>
      </c>
      <c r="E116" s="57" t="inlineStr">
        <is>
          <t>이미지</t>
        </is>
      </c>
      <c r="F116" s="44" t="n"/>
      <c r="G116" s="58">
        <f>IF($G$115="","",$G$115)</f>
        <v/>
      </c>
      <c r="H116" s="59" t="n"/>
      <c r="I116" s="59" t="n"/>
      <c r="J116" s="59" t="n"/>
      <c r="K116" s="59" t="n"/>
      <c r="L116" s="60">
        <f>IF(SUM(U116:AY116)=0,"",SUM(U116:AY116))</f>
        <v/>
      </c>
      <c r="M116" s="61">
        <f>IFERROR(INDEX(U$2:AY$2,MATCH(TRUE,INDEX(U116:AY116&lt;&gt;"",0),0)),"")</f>
        <v/>
      </c>
      <c r="N116" s="61">
        <f>IFERROR(LOOKUP(2,1/(U116:AY116&lt;&gt;""),U$2:AY$2),"")</f>
        <v/>
      </c>
      <c r="O116" s="59" t="n"/>
      <c r="P116" s="59" t="n"/>
      <c r="Q116" s="59" t="n"/>
      <c r="R116" s="59" t="n"/>
      <c r="S116" s="14" t="n"/>
      <c r="U116" s="53" t="n"/>
      <c r="V116" s="53" t="n"/>
      <c r="W116" s="53" t="n"/>
      <c r="X116" s="53" t="n"/>
      <c r="Y116" s="53" t="n"/>
      <c r="Z116" s="53" t="n"/>
      <c r="AA116" s="53" t="n"/>
      <c r="AB116" s="53" t="n"/>
      <c r="AC116" s="53" t="n"/>
      <c r="AD116" s="53" t="n"/>
      <c r="AE116" s="53" t="n"/>
      <c r="AF116" s="53" t="n"/>
      <c r="AG116" s="53" t="n"/>
      <c r="AH116" s="53" t="n"/>
      <c r="AI116" s="53" t="n"/>
      <c r="AJ116" s="53" t="n"/>
      <c r="AK116" s="53" t="n"/>
      <c r="AL116" s="53" t="n"/>
      <c r="AM116" s="53" t="n"/>
      <c r="AN116" s="53" t="n"/>
      <c r="AO116" s="53" t="n"/>
      <c r="AP116" s="53" t="n"/>
      <c r="AQ116" s="53" t="n"/>
      <c r="AR116" s="53" t="n"/>
      <c r="AS116" s="53" t="n"/>
      <c r="AT116" s="53" t="n"/>
      <c r="AU116" s="53" t="n"/>
      <c r="AV116" s="53" t="n"/>
      <c r="AW116" s="53" t="n"/>
      <c r="AX116" s="53" t="n"/>
      <c r="AY116" s="53" t="n"/>
    </row>
    <row r="117" ht="15" customHeight="1">
      <c r="A117" s="62" t="n"/>
      <c r="B117" s="55">
        <f>IF($B$115="","",$B$115)</f>
        <v/>
      </c>
      <c r="C117" s="63" t="inlineStr">
        <is>
          <t>마케팅2팀</t>
        </is>
      </c>
      <c r="D117" s="55">
        <f>IF($D$115="","",$D$115)</f>
        <v/>
      </c>
      <c r="E117" s="64" t="inlineStr">
        <is>
          <t>영상</t>
        </is>
      </c>
      <c r="F117" s="44" t="n"/>
      <c r="G117" s="58">
        <f>IF($G$115="","",$G$115)</f>
        <v/>
      </c>
      <c r="H117" s="59" t="n"/>
      <c r="I117" s="59" t="n"/>
      <c r="J117" s="59" t="n"/>
      <c r="K117" s="59" t="n"/>
      <c r="L117" s="65">
        <f>IF(SUM(U117:AY117)=0,"",SUM(U117:AY117))</f>
        <v/>
      </c>
      <c r="M117" s="66">
        <f>IFERROR(INDEX(U$2:AY$2,MATCH(TRUE,INDEX(U117:AY117&lt;&gt;"",0),0)),"")</f>
        <v/>
      </c>
      <c r="N117" s="66">
        <f>IFERROR(LOOKUP(2,1/(U117:AY117&lt;&gt;""),U$2:AY$2),"")</f>
        <v/>
      </c>
      <c r="O117" s="59" t="n"/>
      <c r="P117" s="59" t="n"/>
      <c r="Q117" s="59" t="n"/>
      <c r="R117" s="59" t="n"/>
      <c r="S117" s="14" t="n"/>
      <c r="U117" s="53" t="n"/>
      <c r="V117" s="53" t="n"/>
      <c r="W117" s="53" t="n"/>
      <c r="X117" s="53" t="n"/>
      <c r="Y117" s="53" t="n"/>
      <c r="Z117" s="53" t="n"/>
      <c r="AA117" s="53" t="n"/>
      <c r="AB117" s="53" t="n"/>
      <c r="AC117" s="53" t="n"/>
      <c r="AD117" s="53" t="n"/>
      <c r="AE117" s="53" t="n"/>
      <c r="AF117" s="53" t="n"/>
      <c r="AG117" s="53" t="n"/>
      <c r="AH117" s="53" t="n"/>
      <c r="AI117" s="53" t="n"/>
      <c r="AJ117" s="53" t="n"/>
      <c r="AK117" s="53" t="n"/>
      <c r="AL117" s="53" t="n"/>
      <c r="AM117" s="53" t="n"/>
      <c r="AN117" s="53" t="n"/>
      <c r="AO117" s="53" t="n"/>
      <c r="AP117" s="53" t="n"/>
      <c r="AQ117" s="53" t="n"/>
      <c r="AR117" s="53" t="n"/>
      <c r="AS117" s="53" t="n"/>
      <c r="AT117" s="53" t="n"/>
      <c r="AU117" s="53" t="n"/>
      <c r="AV117" s="53" t="n"/>
      <c r="AW117" s="53" t="n"/>
      <c r="AX117" s="53" t="n"/>
      <c r="AY117" s="53" t="n"/>
    </row>
    <row r="118" ht="15" customHeight="1">
      <c r="A118" s="40">
        <f>IF($D$118="","",37)</f>
        <v/>
      </c>
      <c r="B118" s="10" t="n"/>
      <c r="C118" s="41" t="inlineStr">
        <is>
          <t>마케팅2팀</t>
        </is>
      </c>
      <c r="D118" s="42" t="n"/>
      <c r="E118" s="43" t="inlineStr">
        <is>
          <t>기획</t>
        </is>
      </c>
      <c r="F118" s="44" t="n"/>
      <c r="G118" s="45" t="n"/>
      <c r="H118" s="46">
        <f>IF($I$118="","",IF($I$118&lt;0,"🔴지연",IF($I$118&lt;=1,"🟡임박","🟢여유")))</f>
        <v/>
      </c>
      <c r="I118" s="47">
        <f>IF(OR($G$118="",$K$118=""),"",$G$118-$K$118)</f>
        <v/>
      </c>
      <c r="J118" s="48">
        <f>IF(SUM($L$118:$L$120)=0,"",SUM($L$118:$L$120))</f>
        <v/>
      </c>
      <c r="K118" s="49">
        <f>IF($J$118="","",MAX($N$118:$N$120))</f>
        <v/>
      </c>
      <c r="L118" s="50">
        <f>IF(SUM(U118:AY118)=0,"",SUM(U118:AY118))</f>
        <v/>
      </c>
      <c r="M118" s="51">
        <f>IFERROR(INDEX(U$2:AY$2,MATCH(TRUE,INDEX(U118:AY118&lt;&gt;"",0),0)),"")</f>
        <v/>
      </c>
      <c r="N118" s="51">
        <f>IFERROR(LOOKUP(2,1/(U118:AY118&lt;&gt;""),U$2:AY$2),"")</f>
        <v/>
      </c>
      <c r="O118" s="52" t="n"/>
      <c r="P118" s="52" t="n"/>
      <c r="Q118" s="52" t="n"/>
      <c r="R118" s="44" t="n"/>
      <c r="S118" s="14" t="n"/>
      <c r="U118" s="53" t="n"/>
      <c r="V118" s="53" t="n"/>
      <c r="W118" s="53" t="n"/>
      <c r="X118" s="53" t="n"/>
      <c r="Y118" s="53" t="n"/>
      <c r="Z118" s="53" t="n"/>
      <c r="AA118" s="53" t="n"/>
      <c r="AB118" s="53" t="n"/>
      <c r="AC118" s="53" t="n"/>
      <c r="AD118" s="53" t="n"/>
      <c r="AE118" s="53" t="n"/>
      <c r="AF118" s="53" t="n"/>
      <c r="AG118" s="53" t="n"/>
      <c r="AH118" s="53" t="n"/>
      <c r="AI118" s="53" t="n"/>
      <c r="AJ118" s="53" t="n"/>
      <c r="AK118" s="53" t="n"/>
      <c r="AL118" s="53" t="n"/>
      <c r="AM118" s="53" t="n"/>
      <c r="AN118" s="53" t="n"/>
      <c r="AO118" s="53" t="n"/>
      <c r="AP118" s="53" t="n"/>
      <c r="AQ118" s="53" t="n"/>
      <c r="AR118" s="53" t="n"/>
      <c r="AS118" s="53" t="n"/>
      <c r="AT118" s="53" t="n"/>
      <c r="AU118" s="53" t="n"/>
      <c r="AV118" s="53" t="n"/>
      <c r="AW118" s="53" t="n"/>
      <c r="AX118" s="53" t="n"/>
      <c r="AY118" s="53" t="n"/>
    </row>
    <row r="119" ht="15" customHeight="1">
      <c r="A119" s="54" t="n"/>
      <c r="B119" s="55">
        <f>IF($B$118="","",$B$118)</f>
        <v/>
      </c>
      <c r="C119" s="56" t="inlineStr">
        <is>
          <t>마케팅2팀</t>
        </is>
      </c>
      <c r="D119" s="55">
        <f>IF($D$118="","",$D$118)</f>
        <v/>
      </c>
      <c r="E119" s="57" t="inlineStr">
        <is>
          <t>이미지</t>
        </is>
      </c>
      <c r="F119" s="44" t="n"/>
      <c r="G119" s="58">
        <f>IF($G$118="","",$G$118)</f>
        <v/>
      </c>
      <c r="H119" s="59" t="n"/>
      <c r="I119" s="59" t="n"/>
      <c r="J119" s="59" t="n"/>
      <c r="K119" s="59" t="n"/>
      <c r="L119" s="60">
        <f>IF(SUM(U119:AY119)=0,"",SUM(U119:AY119))</f>
        <v/>
      </c>
      <c r="M119" s="61">
        <f>IFERROR(INDEX(U$2:AY$2,MATCH(TRUE,INDEX(U119:AY119&lt;&gt;"",0),0)),"")</f>
        <v/>
      </c>
      <c r="N119" s="61">
        <f>IFERROR(LOOKUP(2,1/(U119:AY119&lt;&gt;""),U$2:AY$2),"")</f>
        <v/>
      </c>
      <c r="O119" s="59" t="n"/>
      <c r="P119" s="59" t="n"/>
      <c r="Q119" s="59" t="n"/>
      <c r="R119" s="59" t="n"/>
      <c r="S119" s="14" t="n"/>
      <c r="U119" s="53" t="n"/>
      <c r="V119" s="53" t="n"/>
      <c r="W119" s="53" t="n"/>
      <c r="X119" s="53" t="n"/>
      <c r="Y119" s="53" t="n"/>
      <c r="Z119" s="53" t="n"/>
      <c r="AA119" s="53" t="n"/>
      <c r="AB119" s="53" t="n"/>
      <c r="AC119" s="53" t="n"/>
      <c r="AD119" s="53" t="n"/>
      <c r="AE119" s="53" t="n"/>
      <c r="AF119" s="53" t="n"/>
      <c r="AG119" s="53" t="n"/>
      <c r="AH119" s="53" t="n"/>
      <c r="AI119" s="53" t="n"/>
      <c r="AJ119" s="53" t="n"/>
      <c r="AK119" s="53" t="n"/>
      <c r="AL119" s="53" t="n"/>
      <c r="AM119" s="53" t="n"/>
      <c r="AN119" s="53" t="n"/>
      <c r="AO119" s="53" t="n"/>
      <c r="AP119" s="53" t="n"/>
      <c r="AQ119" s="53" t="n"/>
      <c r="AR119" s="53" t="n"/>
      <c r="AS119" s="53" t="n"/>
      <c r="AT119" s="53" t="n"/>
      <c r="AU119" s="53" t="n"/>
      <c r="AV119" s="53" t="n"/>
      <c r="AW119" s="53" t="n"/>
      <c r="AX119" s="53" t="n"/>
      <c r="AY119" s="53" t="n"/>
    </row>
    <row r="120" ht="15" customHeight="1">
      <c r="A120" s="62" t="n"/>
      <c r="B120" s="55">
        <f>IF($B$118="","",$B$118)</f>
        <v/>
      </c>
      <c r="C120" s="63" t="inlineStr">
        <is>
          <t>마케팅2팀</t>
        </is>
      </c>
      <c r="D120" s="55">
        <f>IF($D$118="","",$D$118)</f>
        <v/>
      </c>
      <c r="E120" s="64" t="inlineStr">
        <is>
          <t>영상</t>
        </is>
      </c>
      <c r="F120" s="44" t="n"/>
      <c r="G120" s="58">
        <f>IF($G$118="","",$G$118)</f>
        <v/>
      </c>
      <c r="H120" s="59" t="n"/>
      <c r="I120" s="59" t="n"/>
      <c r="J120" s="59" t="n"/>
      <c r="K120" s="59" t="n"/>
      <c r="L120" s="65">
        <f>IF(SUM(U120:AY120)=0,"",SUM(U120:AY120))</f>
        <v/>
      </c>
      <c r="M120" s="66">
        <f>IFERROR(INDEX(U$2:AY$2,MATCH(TRUE,INDEX(U120:AY120&lt;&gt;"",0),0)),"")</f>
        <v/>
      </c>
      <c r="N120" s="66">
        <f>IFERROR(LOOKUP(2,1/(U120:AY120&lt;&gt;""),U$2:AY$2),"")</f>
        <v/>
      </c>
      <c r="O120" s="59" t="n"/>
      <c r="P120" s="59" t="n"/>
      <c r="Q120" s="59" t="n"/>
      <c r="R120" s="59" t="n"/>
      <c r="S120" s="14" t="n"/>
      <c r="U120" s="53" t="n"/>
      <c r="V120" s="53" t="n"/>
      <c r="W120" s="53" t="n"/>
      <c r="X120" s="53" t="n"/>
      <c r="Y120" s="53" t="n"/>
      <c r="Z120" s="53" t="n"/>
      <c r="AA120" s="53" t="n"/>
      <c r="AB120" s="53" t="n"/>
      <c r="AC120" s="53" t="n"/>
      <c r="AD120" s="53" t="n"/>
      <c r="AE120" s="53" t="n"/>
      <c r="AF120" s="53" t="n"/>
      <c r="AG120" s="53" t="n"/>
      <c r="AH120" s="53" t="n"/>
      <c r="AI120" s="53" t="n"/>
      <c r="AJ120" s="53" t="n"/>
      <c r="AK120" s="53" t="n"/>
      <c r="AL120" s="53" t="n"/>
      <c r="AM120" s="53" t="n"/>
      <c r="AN120" s="53" t="n"/>
      <c r="AO120" s="53" t="n"/>
      <c r="AP120" s="53" t="n"/>
      <c r="AQ120" s="53" t="n"/>
      <c r="AR120" s="53" t="n"/>
      <c r="AS120" s="53" t="n"/>
      <c r="AT120" s="53" t="n"/>
      <c r="AU120" s="53" t="n"/>
      <c r="AV120" s="53" t="n"/>
      <c r="AW120" s="53" t="n"/>
      <c r="AX120" s="53" t="n"/>
      <c r="AY120" s="53" t="n"/>
    </row>
    <row r="121" ht="15" customHeight="1">
      <c r="A121" s="40">
        <f>IF($D$121="","",38)</f>
        <v/>
      </c>
      <c r="B121" s="10" t="n"/>
      <c r="C121" s="41" t="inlineStr">
        <is>
          <t>마케팅2팀</t>
        </is>
      </c>
      <c r="D121" s="42" t="n"/>
      <c r="E121" s="43" t="inlineStr">
        <is>
          <t>기획</t>
        </is>
      </c>
      <c r="F121" s="44" t="n"/>
      <c r="G121" s="45" t="n"/>
      <c r="H121" s="46">
        <f>IF($I$121="","",IF($I$121&lt;0,"🔴지연",IF($I$121&lt;=1,"🟡임박","🟢여유")))</f>
        <v/>
      </c>
      <c r="I121" s="47">
        <f>IF(OR($G$121="",$K$121=""),"",$G$121-$K$121)</f>
        <v/>
      </c>
      <c r="J121" s="48">
        <f>IF(SUM($L$121:$L$123)=0,"",SUM($L$121:$L$123))</f>
        <v/>
      </c>
      <c r="K121" s="49">
        <f>IF($J$121="","",MAX($N$121:$N$123))</f>
        <v/>
      </c>
      <c r="L121" s="50">
        <f>IF(SUM(U121:AY121)=0,"",SUM(U121:AY121))</f>
        <v/>
      </c>
      <c r="M121" s="51">
        <f>IFERROR(INDEX(U$2:AY$2,MATCH(TRUE,INDEX(U121:AY121&lt;&gt;"",0),0)),"")</f>
        <v/>
      </c>
      <c r="N121" s="51">
        <f>IFERROR(LOOKUP(2,1/(U121:AY121&lt;&gt;""),U$2:AY$2),"")</f>
        <v/>
      </c>
      <c r="O121" s="52" t="n"/>
      <c r="P121" s="52" t="n"/>
      <c r="Q121" s="52" t="n"/>
      <c r="R121" s="44" t="n"/>
      <c r="S121" s="14" t="n"/>
      <c r="U121" s="53" t="n"/>
      <c r="V121" s="53" t="n"/>
      <c r="W121" s="53" t="n"/>
      <c r="X121" s="53" t="n"/>
      <c r="Y121" s="53" t="n"/>
      <c r="Z121" s="53" t="n"/>
      <c r="AA121" s="53" t="n"/>
      <c r="AB121" s="53" t="n"/>
      <c r="AC121" s="53" t="n"/>
      <c r="AD121" s="53" t="n"/>
      <c r="AE121" s="53" t="n"/>
      <c r="AF121" s="53" t="n"/>
      <c r="AG121" s="53" t="n"/>
      <c r="AH121" s="53" t="n"/>
      <c r="AI121" s="53" t="n"/>
      <c r="AJ121" s="53" t="n"/>
      <c r="AK121" s="53" t="n"/>
      <c r="AL121" s="53" t="n"/>
      <c r="AM121" s="53" t="n"/>
      <c r="AN121" s="53" t="n"/>
      <c r="AO121" s="53" t="n"/>
      <c r="AP121" s="53" t="n"/>
      <c r="AQ121" s="53" t="n"/>
      <c r="AR121" s="53" t="n"/>
      <c r="AS121" s="53" t="n"/>
      <c r="AT121" s="53" t="n"/>
      <c r="AU121" s="53" t="n"/>
      <c r="AV121" s="53" t="n"/>
      <c r="AW121" s="53" t="n"/>
      <c r="AX121" s="53" t="n"/>
      <c r="AY121" s="53" t="n"/>
    </row>
    <row r="122" ht="15" customHeight="1">
      <c r="A122" s="54" t="n"/>
      <c r="B122" s="55">
        <f>IF($B$121="","",$B$121)</f>
        <v/>
      </c>
      <c r="C122" s="56" t="inlineStr">
        <is>
          <t>마케팅2팀</t>
        </is>
      </c>
      <c r="D122" s="55">
        <f>IF($D$121="","",$D$121)</f>
        <v/>
      </c>
      <c r="E122" s="57" t="inlineStr">
        <is>
          <t>이미지</t>
        </is>
      </c>
      <c r="F122" s="44" t="n"/>
      <c r="G122" s="58">
        <f>IF($G$121="","",$G$121)</f>
        <v/>
      </c>
      <c r="H122" s="59" t="n"/>
      <c r="I122" s="59" t="n"/>
      <c r="J122" s="59" t="n"/>
      <c r="K122" s="59" t="n"/>
      <c r="L122" s="60">
        <f>IF(SUM(U122:AY122)=0,"",SUM(U122:AY122))</f>
        <v/>
      </c>
      <c r="M122" s="61">
        <f>IFERROR(INDEX(U$2:AY$2,MATCH(TRUE,INDEX(U122:AY122&lt;&gt;"",0),0)),"")</f>
        <v/>
      </c>
      <c r="N122" s="61">
        <f>IFERROR(LOOKUP(2,1/(U122:AY122&lt;&gt;""),U$2:AY$2),"")</f>
        <v/>
      </c>
      <c r="O122" s="59" t="n"/>
      <c r="P122" s="59" t="n"/>
      <c r="Q122" s="59" t="n"/>
      <c r="R122" s="59" t="n"/>
      <c r="S122" s="14" t="n"/>
      <c r="U122" s="53" t="n"/>
      <c r="V122" s="53" t="n"/>
      <c r="W122" s="53" t="n"/>
      <c r="X122" s="53" t="n"/>
      <c r="Y122" s="53" t="n"/>
      <c r="Z122" s="53" t="n"/>
      <c r="AA122" s="53" t="n"/>
      <c r="AB122" s="53" t="n"/>
      <c r="AC122" s="53" t="n"/>
      <c r="AD122" s="53" t="n"/>
      <c r="AE122" s="53" t="n"/>
      <c r="AF122" s="53" t="n"/>
      <c r="AG122" s="53" t="n"/>
      <c r="AH122" s="53" t="n"/>
      <c r="AI122" s="53" t="n"/>
      <c r="AJ122" s="53" t="n"/>
      <c r="AK122" s="53" t="n"/>
      <c r="AL122" s="53" t="n"/>
      <c r="AM122" s="53" t="n"/>
      <c r="AN122" s="53" t="n"/>
      <c r="AO122" s="53" t="n"/>
      <c r="AP122" s="53" t="n"/>
      <c r="AQ122" s="53" t="n"/>
      <c r="AR122" s="53" t="n"/>
      <c r="AS122" s="53" t="n"/>
      <c r="AT122" s="53" t="n"/>
      <c r="AU122" s="53" t="n"/>
      <c r="AV122" s="53" t="n"/>
      <c r="AW122" s="53" t="n"/>
      <c r="AX122" s="53" t="n"/>
      <c r="AY122" s="53" t="n"/>
    </row>
    <row r="123" ht="15" customHeight="1">
      <c r="A123" s="62" t="n"/>
      <c r="B123" s="55">
        <f>IF($B$121="","",$B$121)</f>
        <v/>
      </c>
      <c r="C123" s="63" t="inlineStr">
        <is>
          <t>마케팅2팀</t>
        </is>
      </c>
      <c r="D123" s="55">
        <f>IF($D$121="","",$D$121)</f>
        <v/>
      </c>
      <c r="E123" s="64" t="inlineStr">
        <is>
          <t>영상</t>
        </is>
      </c>
      <c r="F123" s="44" t="n"/>
      <c r="G123" s="58">
        <f>IF($G$121="","",$G$121)</f>
        <v/>
      </c>
      <c r="H123" s="59" t="n"/>
      <c r="I123" s="59" t="n"/>
      <c r="J123" s="59" t="n"/>
      <c r="K123" s="59" t="n"/>
      <c r="L123" s="65">
        <f>IF(SUM(U123:AY123)=0,"",SUM(U123:AY123))</f>
        <v/>
      </c>
      <c r="M123" s="66">
        <f>IFERROR(INDEX(U$2:AY$2,MATCH(TRUE,INDEX(U123:AY123&lt;&gt;"",0),0)),"")</f>
        <v/>
      </c>
      <c r="N123" s="66">
        <f>IFERROR(LOOKUP(2,1/(U123:AY123&lt;&gt;""),U$2:AY$2),"")</f>
        <v/>
      </c>
      <c r="O123" s="59" t="n"/>
      <c r="P123" s="59" t="n"/>
      <c r="Q123" s="59" t="n"/>
      <c r="R123" s="59" t="n"/>
      <c r="S123" s="14" t="n"/>
      <c r="U123" s="53" t="n"/>
      <c r="V123" s="53" t="n"/>
      <c r="W123" s="53" t="n"/>
      <c r="X123" s="53" t="n"/>
      <c r="Y123" s="53" t="n"/>
      <c r="Z123" s="53" t="n"/>
      <c r="AA123" s="53" t="n"/>
      <c r="AB123" s="53" t="n"/>
      <c r="AC123" s="53" t="n"/>
      <c r="AD123" s="53" t="n"/>
      <c r="AE123" s="53" t="n"/>
      <c r="AF123" s="53" t="n"/>
      <c r="AG123" s="53" t="n"/>
      <c r="AH123" s="53" t="n"/>
      <c r="AI123" s="53" t="n"/>
      <c r="AJ123" s="53" t="n"/>
      <c r="AK123" s="53" t="n"/>
      <c r="AL123" s="53" t="n"/>
      <c r="AM123" s="53" t="n"/>
      <c r="AN123" s="53" t="n"/>
      <c r="AO123" s="53" t="n"/>
      <c r="AP123" s="53" t="n"/>
      <c r="AQ123" s="53" t="n"/>
      <c r="AR123" s="53" t="n"/>
      <c r="AS123" s="53" t="n"/>
      <c r="AT123" s="53" t="n"/>
      <c r="AU123" s="53" t="n"/>
      <c r="AV123" s="53" t="n"/>
      <c r="AW123" s="53" t="n"/>
      <c r="AX123" s="53" t="n"/>
      <c r="AY123" s="53" t="n"/>
    </row>
    <row r="124" ht="15" customHeight="1">
      <c r="A124" s="40">
        <f>IF($D$124="","",39)</f>
        <v/>
      </c>
      <c r="B124" s="10" t="n"/>
      <c r="C124" s="41" t="inlineStr">
        <is>
          <t>마케팅2팀</t>
        </is>
      </c>
      <c r="D124" s="42" t="n"/>
      <c r="E124" s="43" t="inlineStr">
        <is>
          <t>기획</t>
        </is>
      </c>
      <c r="F124" s="44" t="n"/>
      <c r="G124" s="45" t="n"/>
      <c r="H124" s="46">
        <f>IF($I$124="","",IF($I$124&lt;0,"🔴지연",IF($I$124&lt;=1,"🟡임박","🟢여유")))</f>
        <v/>
      </c>
      <c r="I124" s="47">
        <f>IF(OR($G$124="",$K$124=""),"",$G$124-$K$124)</f>
        <v/>
      </c>
      <c r="J124" s="48">
        <f>IF(SUM($L$124:$L$126)=0,"",SUM($L$124:$L$126))</f>
        <v/>
      </c>
      <c r="K124" s="49">
        <f>IF($J$124="","",MAX($N$124:$N$126))</f>
        <v/>
      </c>
      <c r="L124" s="50">
        <f>IF(SUM(U124:AY124)=0,"",SUM(U124:AY124))</f>
        <v/>
      </c>
      <c r="M124" s="51">
        <f>IFERROR(INDEX(U$2:AY$2,MATCH(TRUE,INDEX(U124:AY124&lt;&gt;"",0),0)),"")</f>
        <v/>
      </c>
      <c r="N124" s="51">
        <f>IFERROR(LOOKUP(2,1/(U124:AY124&lt;&gt;""),U$2:AY$2),"")</f>
        <v/>
      </c>
      <c r="O124" s="52" t="n"/>
      <c r="P124" s="52" t="n"/>
      <c r="Q124" s="52" t="n"/>
      <c r="R124" s="44" t="n"/>
      <c r="S124" s="14" t="n"/>
      <c r="U124" s="53" t="n"/>
      <c r="V124" s="53" t="n"/>
      <c r="W124" s="53" t="n"/>
      <c r="X124" s="53" t="n"/>
      <c r="Y124" s="53" t="n"/>
      <c r="Z124" s="53" t="n"/>
      <c r="AA124" s="53" t="n"/>
      <c r="AB124" s="53" t="n"/>
      <c r="AC124" s="53" t="n"/>
      <c r="AD124" s="53" t="n"/>
      <c r="AE124" s="53" t="n"/>
      <c r="AF124" s="53" t="n"/>
      <c r="AG124" s="53" t="n"/>
      <c r="AH124" s="53" t="n"/>
      <c r="AI124" s="53" t="n"/>
      <c r="AJ124" s="53" t="n"/>
      <c r="AK124" s="53" t="n"/>
      <c r="AL124" s="53" t="n"/>
      <c r="AM124" s="53" t="n"/>
      <c r="AN124" s="53" t="n"/>
      <c r="AO124" s="53" t="n"/>
      <c r="AP124" s="53" t="n"/>
      <c r="AQ124" s="53" t="n"/>
      <c r="AR124" s="53" t="n"/>
      <c r="AS124" s="53" t="n"/>
      <c r="AT124" s="53" t="n"/>
      <c r="AU124" s="53" t="n"/>
      <c r="AV124" s="53" t="n"/>
      <c r="AW124" s="53" t="n"/>
      <c r="AX124" s="53" t="n"/>
      <c r="AY124" s="53" t="n"/>
    </row>
    <row r="125" ht="15" customHeight="1">
      <c r="A125" s="54" t="n"/>
      <c r="B125" s="55">
        <f>IF($B$124="","",$B$124)</f>
        <v/>
      </c>
      <c r="C125" s="56" t="inlineStr">
        <is>
          <t>마케팅2팀</t>
        </is>
      </c>
      <c r="D125" s="55">
        <f>IF($D$124="","",$D$124)</f>
        <v/>
      </c>
      <c r="E125" s="57" t="inlineStr">
        <is>
          <t>이미지</t>
        </is>
      </c>
      <c r="F125" s="44" t="n"/>
      <c r="G125" s="58">
        <f>IF($G$124="","",$G$124)</f>
        <v/>
      </c>
      <c r="H125" s="59" t="n"/>
      <c r="I125" s="59" t="n"/>
      <c r="J125" s="59" t="n"/>
      <c r="K125" s="59" t="n"/>
      <c r="L125" s="60">
        <f>IF(SUM(U125:AY125)=0,"",SUM(U125:AY125))</f>
        <v/>
      </c>
      <c r="M125" s="61">
        <f>IFERROR(INDEX(U$2:AY$2,MATCH(TRUE,INDEX(U125:AY125&lt;&gt;"",0),0)),"")</f>
        <v/>
      </c>
      <c r="N125" s="61">
        <f>IFERROR(LOOKUP(2,1/(U125:AY125&lt;&gt;""),U$2:AY$2),"")</f>
        <v/>
      </c>
      <c r="O125" s="59" t="n"/>
      <c r="P125" s="59" t="n"/>
      <c r="Q125" s="59" t="n"/>
      <c r="R125" s="59" t="n"/>
      <c r="S125" s="14" t="n"/>
      <c r="U125" s="53" t="n"/>
      <c r="V125" s="53" t="n"/>
      <c r="W125" s="53" t="n"/>
      <c r="X125" s="53" t="n"/>
      <c r="Y125" s="53" t="n"/>
      <c r="Z125" s="53" t="n"/>
      <c r="AA125" s="53" t="n"/>
      <c r="AB125" s="53" t="n"/>
      <c r="AC125" s="53" t="n"/>
      <c r="AD125" s="53" t="n"/>
      <c r="AE125" s="53" t="n"/>
      <c r="AF125" s="53" t="n"/>
      <c r="AG125" s="53" t="n"/>
      <c r="AH125" s="53" t="n"/>
      <c r="AI125" s="53" t="n"/>
      <c r="AJ125" s="53" t="n"/>
      <c r="AK125" s="53" t="n"/>
      <c r="AL125" s="53" t="n"/>
      <c r="AM125" s="53" t="n"/>
      <c r="AN125" s="53" t="n"/>
      <c r="AO125" s="53" t="n"/>
      <c r="AP125" s="53" t="n"/>
      <c r="AQ125" s="53" t="n"/>
      <c r="AR125" s="53" t="n"/>
      <c r="AS125" s="53" t="n"/>
      <c r="AT125" s="53" t="n"/>
      <c r="AU125" s="53" t="n"/>
      <c r="AV125" s="53" t="n"/>
      <c r="AW125" s="53" t="n"/>
      <c r="AX125" s="53" t="n"/>
      <c r="AY125" s="53" t="n"/>
    </row>
    <row r="126" ht="15" customHeight="1">
      <c r="A126" s="62" t="n"/>
      <c r="B126" s="55">
        <f>IF($B$124="","",$B$124)</f>
        <v/>
      </c>
      <c r="C126" s="63" t="inlineStr">
        <is>
          <t>마케팅2팀</t>
        </is>
      </c>
      <c r="D126" s="55">
        <f>IF($D$124="","",$D$124)</f>
        <v/>
      </c>
      <c r="E126" s="64" t="inlineStr">
        <is>
          <t>영상</t>
        </is>
      </c>
      <c r="F126" s="44" t="n"/>
      <c r="G126" s="58">
        <f>IF($G$124="","",$G$124)</f>
        <v/>
      </c>
      <c r="H126" s="59" t="n"/>
      <c r="I126" s="59" t="n"/>
      <c r="J126" s="59" t="n"/>
      <c r="K126" s="59" t="n"/>
      <c r="L126" s="65">
        <f>IF(SUM(U126:AY126)=0,"",SUM(U126:AY126))</f>
        <v/>
      </c>
      <c r="M126" s="66">
        <f>IFERROR(INDEX(U$2:AY$2,MATCH(TRUE,INDEX(U126:AY126&lt;&gt;"",0),0)),"")</f>
        <v/>
      </c>
      <c r="N126" s="66">
        <f>IFERROR(LOOKUP(2,1/(U126:AY126&lt;&gt;""),U$2:AY$2),"")</f>
        <v/>
      </c>
      <c r="O126" s="59" t="n"/>
      <c r="P126" s="59" t="n"/>
      <c r="Q126" s="59" t="n"/>
      <c r="R126" s="59" t="n"/>
      <c r="S126" s="14" t="n"/>
      <c r="U126" s="53" t="n"/>
      <c r="V126" s="53" t="n"/>
      <c r="W126" s="53" t="n"/>
      <c r="X126" s="53" t="n"/>
      <c r="Y126" s="53" t="n"/>
      <c r="Z126" s="53" t="n"/>
      <c r="AA126" s="53" t="n"/>
      <c r="AB126" s="53" t="n"/>
      <c r="AC126" s="53" t="n"/>
      <c r="AD126" s="53" t="n"/>
      <c r="AE126" s="53" t="n"/>
      <c r="AF126" s="53" t="n"/>
      <c r="AG126" s="53" t="n"/>
      <c r="AH126" s="53" t="n"/>
      <c r="AI126" s="53" t="n"/>
      <c r="AJ126" s="53" t="n"/>
      <c r="AK126" s="53" t="n"/>
      <c r="AL126" s="53" t="n"/>
      <c r="AM126" s="53" t="n"/>
      <c r="AN126" s="53" t="n"/>
      <c r="AO126" s="53" t="n"/>
      <c r="AP126" s="53" t="n"/>
      <c r="AQ126" s="53" t="n"/>
      <c r="AR126" s="53" t="n"/>
      <c r="AS126" s="53" t="n"/>
      <c r="AT126" s="53" t="n"/>
      <c r="AU126" s="53" t="n"/>
      <c r="AV126" s="53" t="n"/>
      <c r="AW126" s="53" t="n"/>
      <c r="AX126" s="53" t="n"/>
      <c r="AY126" s="53" t="n"/>
    </row>
    <row r="127" ht="15" customHeight="1">
      <c r="A127" s="40">
        <f>IF($D$127="","",40)</f>
        <v/>
      </c>
      <c r="B127" s="10" t="n"/>
      <c r="C127" s="41" t="inlineStr">
        <is>
          <t>마케팅2팀</t>
        </is>
      </c>
      <c r="D127" s="42" t="n"/>
      <c r="E127" s="43" t="inlineStr">
        <is>
          <t>기획</t>
        </is>
      </c>
      <c r="F127" s="44" t="n"/>
      <c r="G127" s="45" t="n"/>
      <c r="H127" s="46">
        <f>IF($I$127="","",IF($I$127&lt;0,"🔴지연",IF($I$127&lt;=1,"🟡임박","🟢여유")))</f>
        <v/>
      </c>
      <c r="I127" s="47">
        <f>IF(OR($G$127="",$K$127=""),"",$G$127-$K$127)</f>
        <v/>
      </c>
      <c r="J127" s="48">
        <f>IF(SUM($L$127:$L$129)=0,"",SUM($L$127:$L$129))</f>
        <v/>
      </c>
      <c r="K127" s="49">
        <f>IF($J$127="","",MAX($N$127:$N$129))</f>
        <v/>
      </c>
      <c r="L127" s="50">
        <f>IF(SUM(U127:AY127)=0,"",SUM(U127:AY127))</f>
        <v/>
      </c>
      <c r="M127" s="51">
        <f>IFERROR(INDEX(U$2:AY$2,MATCH(TRUE,INDEX(U127:AY127&lt;&gt;"",0),0)),"")</f>
        <v/>
      </c>
      <c r="N127" s="51">
        <f>IFERROR(LOOKUP(2,1/(U127:AY127&lt;&gt;""),U$2:AY$2),"")</f>
        <v/>
      </c>
      <c r="O127" s="52" t="n"/>
      <c r="P127" s="52" t="n"/>
      <c r="Q127" s="52" t="n"/>
      <c r="R127" s="44" t="n"/>
      <c r="S127" s="14" t="n"/>
      <c r="U127" s="53" t="n"/>
      <c r="V127" s="53" t="n"/>
      <c r="W127" s="53" t="n"/>
      <c r="X127" s="53" t="n"/>
      <c r="Y127" s="53" t="n"/>
      <c r="Z127" s="53" t="n"/>
      <c r="AA127" s="53" t="n"/>
      <c r="AB127" s="53" t="n"/>
      <c r="AC127" s="53" t="n"/>
      <c r="AD127" s="53" t="n"/>
      <c r="AE127" s="53" t="n"/>
      <c r="AF127" s="53" t="n"/>
      <c r="AG127" s="53" t="n"/>
      <c r="AH127" s="53" t="n"/>
      <c r="AI127" s="53" t="n"/>
      <c r="AJ127" s="53" t="n"/>
      <c r="AK127" s="53" t="n"/>
      <c r="AL127" s="53" t="n"/>
      <c r="AM127" s="53" t="n"/>
      <c r="AN127" s="53" t="n"/>
      <c r="AO127" s="53" t="n"/>
      <c r="AP127" s="53" t="n"/>
      <c r="AQ127" s="53" t="n"/>
      <c r="AR127" s="53" t="n"/>
      <c r="AS127" s="53" t="n"/>
      <c r="AT127" s="53" t="n"/>
      <c r="AU127" s="53" t="n"/>
      <c r="AV127" s="53" t="n"/>
      <c r="AW127" s="53" t="n"/>
      <c r="AX127" s="53" t="n"/>
      <c r="AY127" s="53" t="n"/>
    </row>
    <row r="128" ht="15" customHeight="1">
      <c r="A128" s="54" t="n"/>
      <c r="B128" s="55">
        <f>IF($B$127="","",$B$127)</f>
        <v/>
      </c>
      <c r="C128" s="56" t="inlineStr">
        <is>
          <t>마케팅2팀</t>
        </is>
      </c>
      <c r="D128" s="55">
        <f>IF($D$127="","",$D$127)</f>
        <v/>
      </c>
      <c r="E128" s="57" t="inlineStr">
        <is>
          <t>이미지</t>
        </is>
      </c>
      <c r="F128" s="44" t="n"/>
      <c r="G128" s="58">
        <f>IF($G$127="","",$G$127)</f>
        <v/>
      </c>
      <c r="H128" s="59" t="n"/>
      <c r="I128" s="59" t="n"/>
      <c r="J128" s="59" t="n"/>
      <c r="K128" s="59" t="n"/>
      <c r="L128" s="60">
        <f>IF(SUM(U128:AY128)=0,"",SUM(U128:AY128))</f>
        <v/>
      </c>
      <c r="M128" s="61">
        <f>IFERROR(INDEX(U$2:AY$2,MATCH(TRUE,INDEX(U128:AY128&lt;&gt;"",0),0)),"")</f>
        <v/>
      </c>
      <c r="N128" s="61">
        <f>IFERROR(LOOKUP(2,1/(U128:AY128&lt;&gt;""),U$2:AY$2),"")</f>
        <v/>
      </c>
      <c r="O128" s="59" t="n"/>
      <c r="P128" s="59" t="n"/>
      <c r="Q128" s="59" t="n"/>
      <c r="R128" s="59" t="n"/>
      <c r="S128" s="14" t="n"/>
      <c r="U128" s="53" t="n"/>
      <c r="V128" s="53" t="n"/>
      <c r="W128" s="53" t="n"/>
      <c r="X128" s="53" t="n"/>
      <c r="Y128" s="53" t="n"/>
      <c r="Z128" s="53" t="n"/>
      <c r="AA128" s="53" t="n"/>
      <c r="AB128" s="53" t="n"/>
      <c r="AC128" s="53" t="n"/>
      <c r="AD128" s="53" t="n"/>
      <c r="AE128" s="53" t="n"/>
      <c r="AF128" s="53" t="n"/>
      <c r="AG128" s="53" t="n"/>
      <c r="AH128" s="53" t="n"/>
      <c r="AI128" s="53" t="n"/>
      <c r="AJ128" s="53" t="n"/>
      <c r="AK128" s="53" t="n"/>
      <c r="AL128" s="53" t="n"/>
      <c r="AM128" s="53" t="n"/>
      <c r="AN128" s="53" t="n"/>
      <c r="AO128" s="53" t="n"/>
      <c r="AP128" s="53" t="n"/>
      <c r="AQ128" s="53" t="n"/>
      <c r="AR128" s="53" t="n"/>
      <c r="AS128" s="53" t="n"/>
      <c r="AT128" s="53" t="n"/>
      <c r="AU128" s="53" t="n"/>
      <c r="AV128" s="53" t="n"/>
      <c r="AW128" s="53" t="n"/>
      <c r="AX128" s="53" t="n"/>
      <c r="AY128" s="53" t="n"/>
    </row>
    <row r="129" ht="15" customHeight="1">
      <c r="A129" s="62" t="n"/>
      <c r="B129" s="55">
        <f>IF($B$127="","",$B$127)</f>
        <v/>
      </c>
      <c r="C129" s="63" t="inlineStr">
        <is>
          <t>마케팅2팀</t>
        </is>
      </c>
      <c r="D129" s="55">
        <f>IF($D$127="","",$D$127)</f>
        <v/>
      </c>
      <c r="E129" s="64" t="inlineStr">
        <is>
          <t>영상</t>
        </is>
      </c>
      <c r="F129" s="44" t="n"/>
      <c r="G129" s="58">
        <f>IF($G$127="","",$G$127)</f>
        <v/>
      </c>
      <c r="H129" s="59" t="n"/>
      <c r="I129" s="59" t="n"/>
      <c r="J129" s="59" t="n"/>
      <c r="K129" s="59" t="n"/>
      <c r="L129" s="65">
        <f>IF(SUM(U129:AY129)=0,"",SUM(U129:AY129))</f>
        <v/>
      </c>
      <c r="M129" s="66">
        <f>IFERROR(INDEX(U$2:AY$2,MATCH(TRUE,INDEX(U129:AY129&lt;&gt;"",0),0)),"")</f>
        <v/>
      </c>
      <c r="N129" s="66">
        <f>IFERROR(LOOKUP(2,1/(U129:AY129&lt;&gt;""),U$2:AY$2),"")</f>
        <v/>
      </c>
      <c r="O129" s="59" t="n"/>
      <c r="P129" s="59" t="n"/>
      <c r="Q129" s="59" t="n"/>
      <c r="R129" s="59" t="n"/>
      <c r="S129" s="14" t="n"/>
      <c r="U129" s="53" t="n"/>
      <c r="V129" s="53" t="n"/>
      <c r="W129" s="53" t="n"/>
      <c r="X129" s="53" t="n"/>
      <c r="Y129" s="53" t="n"/>
      <c r="Z129" s="53" t="n"/>
      <c r="AA129" s="53" t="n"/>
      <c r="AB129" s="53" t="n"/>
      <c r="AC129" s="53" t="n"/>
      <c r="AD129" s="53" t="n"/>
      <c r="AE129" s="53" t="n"/>
      <c r="AF129" s="53" t="n"/>
      <c r="AG129" s="53" t="n"/>
      <c r="AH129" s="53" t="n"/>
      <c r="AI129" s="53" t="n"/>
      <c r="AJ129" s="53" t="n"/>
      <c r="AK129" s="53" t="n"/>
      <c r="AL129" s="53" t="n"/>
      <c r="AM129" s="53" t="n"/>
      <c r="AN129" s="53" t="n"/>
      <c r="AO129" s="53" t="n"/>
      <c r="AP129" s="53" t="n"/>
      <c r="AQ129" s="53" t="n"/>
      <c r="AR129" s="53" t="n"/>
      <c r="AS129" s="53" t="n"/>
      <c r="AT129" s="53" t="n"/>
      <c r="AU129" s="53" t="n"/>
      <c r="AV129" s="53" t="n"/>
      <c r="AW129" s="53" t="n"/>
      <c r="AX129" s="53" t="n"/>
      <c r="AY129" s="53" t="n"/>
    </row>
    <row r="130" ht="18" customHeight="1">
      <c r="A130" s="39" t="inlineStr">
        <is>
          <t>마케팅3팀   (131~190행 · 소재 20개)</t>
        </is>
      </c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  <c r="AN130" s="8" t="n"/>
      <c r="AO130" s="8" t="n"/>
      <c r="AP130" s="8" t="n"/>
      <c r="AQ130" s="8" t="n"/>
      <c r="AR130" s="8" t="n"/>
      <c r="AS130" s="8" t="n"/>
      <c r="AT130" s="8" t="n"/>
      <c r="AU130" s="8" t="n"/>
      <c r="AV130" s="8" t="n"/>
      <c r="AW130" s="8" t="n"/>
      <c r="AX130" s="8" t="n"/>
      <c r="AY130" s="4" t="n"/>
    </row>
    <row r="131" ht="15" customHeight="1">
      <c r="A131" s="40">
        <f>IF($D$131="","",41)</f>
        <v/>
      </c>
      <c r="B131" s="10" t="n"/>
      <c r="C131" s="41" t="inlineStr">
        <is>
          <t>마케팅3팀</t>
        </is>
      </c>
      <c r="D131" s="42" t="n"/>
      <c r="E131" s="43" t="inlineStr">
        <is>
          <t>기획</t>
        </is>
      </c>
      <c r="F131" s="44" t="n"/>
      <c r="G131" s="45" t="n"/>
      <c r="H131" s="46">
        <f>IF($I$131="","",IF($I$131&lt;0,"🔴지연",IF($I$131&lt;=1,"🟡임박","🟢여유")))</f>
        <v/>
      </c>
      <c r="I131" s="47">
        <f>IF(OR($G$131="",$K$131=""),"",$G$131-$K$131)</f>
        <v/>
      </c>
      <c r="J131" s="48">
        <f>IF(SUM($L$131:$L$133)=0,"",SUM($L$131:$L$133))</f>
        <v/>
      </c>
      <c r="K131" s="49">
        <f>IF($J$131="","",MAX($N$131:$N$133))</f>
        <v/>
      </c>
      <c r="L131" s="50">
        <f>IF(SUM(U131:AY131)=0,"",SUM(U131:AY131))</f>
        <v/>
      </c>
      <c r="M131" s="51">
        <f>IFERROR(INDEX(U$2:AY$2,MATCH(TRUE,INDEX(U131:AY131&lt;&gt;"",0),0)),"")</f>
        <v/>
      </c>
      <c r="N131" s="51">
        <f>IFERROR(LOOKUP(2,1/(U131:AY131&lt;&gt;""),U$2:AY$2),"")</f>
        <v/>
      </c>
      <c r="O131" s="52" t="n"/>
      <c r="P131" s="52" t="n"/>
      <c r="Q131" s="52" t="n"/>
      <c r="R131" s="44" t="n"/>
      <c r="S131" s="14" t="n"/>
      <c r="U131" s="53" t="n"/>
      <c r="V131" s="53" t="n"/>
      <c r="W131" s="53" t="n"/>
      <c r="X131" s="53" t="n"/>
      <c r="Y131" s="53" t="n"/>
      <c r="Z131" s="53" t="n"/>
      <c r="AA131" s="53" t="n"/>
      <c r="AB131" s="53" t="n"/>
      <c r="AC131" s="53" t="n"/>
      <c r="AD131" s="53" t="n"/>
      <c r="AE131" s="53" t="n"/>
      <c r="AF131" s="53" t="n"/>
      <c r="AG131" s="53" t="n"/>
      <c r="AH131" s="53" t="n"/>
      <c r="AI131" s="53" t="n"/>
      <c r="AJ131" s="53" t="n"/>
      <c r="AK131" s="53" t="n"/>
      <c r="AL131" s="53" t="n"/>
      <c r="AM131" s="53" t="n"/>
      <c r="AN131" s="53" t="n"/>
      <c r="AO131" s="53" t="n"/>
      <c r="AP131" s="53" t="n"/>
      <c r="AQ131" s="53" t="n"/>
      <c r="AR131" s="53" t="n"/>
      <c r="AS131" s="53" t="n"/>
      <c r="AT131" s="53" t="n"/>
      <c r="AU131" s="53" t="n"/>
      <c r="AV131" s="53" t="n"/>
      <c r="AW131" s="53" t="n"/>
      <c r="AX131" s="53" t="n"/>
      <c r="AY131" s="53" t="n"/>
    </row>
    <row r="132" ht="15" customHeight="1">
      <c r="A132" s="54" t="n"/>
      <c r="B132" s="55">
        <f>IF($B$131="","",$B$131)</f>
        <v/>
      </c>
      <c r="C132" s="56" t="inlineStr">
        <is>
          <t>마케팅3팀</t>
        </is>
      </c>
      <c r="D132" s="55">
        <f>IF($D$131="","",$D$131)</f>
        <v/>
      </c>
      <c r="E132" s="57" t="inlineStr">
        <is>
          <t>이미지</t>
        </is>
      </c>
      <c r="F132" s="44" t="n"/>
      <c r="G132" s="58">
        <f>IF($G$131="","",$G$131)</f>
        <v/>
      </c>
      <c r="H132" s="59" t="n"/>
      <c r="I132" s="59" t="n"/>
      <c r="J132" s="59" t="n"/>
      <c r="K132" s="59" t="n"/>
      <c r="L132" s="60">
        <f>IF(SUM(U132:AY132)=0,"",SUM(U132:AY132))</f>
        <v/>
      </c>
      <c r="M132" s="61">
        <f>IFERROR(INDEX(U$2:AY$2,MATCH(TRUE,INDEX(U132:AY132&lt;&gt;"",0),0)),"")</f>
        <v/>
      </c>
      <c r="N132" s="61">
        <f>IFERROR(LOOKUP(2,1/(U132:AY132&lt;&gt;""),U$2:AY$2),"")</f>
        <v/>
      </c>
      <c r="O132" s="59" t="n"/>
      <c r="P132" s="59" t="n"/>
      <c r="Q132" s="59" t="n"/>
      <c r="R132" s="59" t="n"/>
      <c r="S132" s="14" t="n"/>
      <c r="U132" s="53" t="n"/>
      <c r="V132" s="53" t="n"/>
      <c r="W132" s="53" t="n"/>
      <c r="X132" s="53" t="n"/>
      <c r="Y132" s="53" t="n"/>
      <c r="Z132" s="53" t="n"/>
      <c r="AA132" s="53" t="n"/>
      <c r="AB132" s="53" t="n"/>
      <c r="AC132" s="53" t="n"/>
      <c r="AD132" s="53" t="n"/>
      <c r="AE132" s="53" t="n"/>
      <c r="AF132" s="53" t="n"/>
      <c r="AG132" s="53" t="n"/>
      <c r="AH132" s="53" t="n"/>
      <c r="AI132" s="53" t="n"/>
      <c r="AJ132" s="53" t="n"/>
      <c r="AK132" s="53" t="n"/>
      <c r="AL132" s="53" t="n"/>
      <c r="AM132" s="53" t="n"/>
      <c r="AN132" s="53" t="n"/>
      <c r="AO132" s="53" t="n"/>
      <c r="AP132" s="53" t="n"/>
      <c r="AQ132" s="53" t="n"/>
      <c r="AR132" s="53" t="n"/>
      <c r="AS132" s="53" t="n"/>
      <c r="AT132" s="53" t="n"/>
      <c r="AU132" s="53" t="n"/>
      <c r="AV132" s="53" t="n"/>
      <c r="AW132" s="53" t="n"/>
      <c r="AX132" s="53" t="n"/>
      <c r="AY132" s="53" t="n"/>
    </row>
    <row r="133" ht="15" customHeight="1">
      <c r="A133" s="62" t="n"/>
      <c r="B133" s="55">
        <f>IF($B$131="","",$B$131)</f>
        <v/>
      </c>
      <c r="C133" s="63" t="inlineStr">
        <is>
          <t>마케팅3팀</t>
        </is>
      </c>
      <c r="D133" s="55">
        <f>IF($D$131="","",$D$131)</f>
        <v/>
      </c>
      <c r="E133" s="64" t="inlineStr">
        <is>
          <t>영상</t>
        </is>
      </c>
      <c r="F133" s="44" t="n"/>
      <c r="G133" s="58">
        <f>IF($G$131="","",$G$131)</f>
        <v/>
      </c>
      <c r="H133" s="59" t="n"/>
      <c r="I133" s="59" t="n"/>
      <c r="J133" s="59" t="n"/>
      <c r="K133" s="59" t="n"/>
      <c r="L133" s="65">
        <f>IF(SUM(U133:AY133)=0,"",SUM(U133:AY133))</f>
        <v/>
      </c>
      <c r="M133" s="66">
        <f>IFERROR(INDEX(U$2:AY$2,MATCH(TRUE,INDEX(U133:AY133&lt;&gt;"",0),0)),"")</f>
        <v/>
      </c>
      <c r="N133" s="66">
        <f>IFERROR(LOOKUP(2,1/(U133:AY133&lt;&gt;""),U$2:AY$2),"")</f>
        <v/>
      </c>
      <c r="O133" s="59" t="n"/>
      <c r="P133" s="59" t="n"/>
      <c r="Q133" s="59" t="n"/>
      <c r="R133" s="59" t="n"/>
      <c r="S133" s="14" t="n"/>
      <c r="U133" s="53" t="n"/>
      <c r="V133" s="53" t="n"/>
      <c r="W133" s="53" t="n"/>
      <c r="X133" s="53" t="n"/>
      <c r="Y133" s="53" t="n"/>
      <c r="Z133" s="53" t="n"/>
      <c r="AA133" s="53" t="n"/>
      <c r="AB133" s="53" t="n"/>
      <c r="AC133" s="53" t="n"/>
      <c r="AD133" s="53" t="n"/>
      <c r="AE133" s="53" t="n"/>
      <c r="AF133" s="53" t="n"/>
      <c r="AG133" s="53" t="n"/>
      <c r="AH133" s="53" t="n"/>
      <c r="AI133" s="53" t="n"/>
      <c r="AJ133" s="53" t="n"/>
      <c r="AK133" s="53" t="n"/>
      <c r="AL133" s="53" t="n"/>
      <c r="AM133" s="53" t="n"/>
      <c r="AN133" s="53" t="n"/>
      <c r="AO133" s="53" t="n"/>
      <c r="AP133" s="53" t="n"/>
      <c r="AQ133" s="53" t="n"/>
      <c r="AR133" s="53" t="n"/>
      <c r="AS133" s="53" t="n"/>
      <c r="AT133" s="53" t="n"/>
      <c r="AU133" s="53" t="n"/>
      <c r="AV133" s="53" t="n"/>
      <c r="AW133" s="53" t="n"/>
      <c r="AX133" s="53" t="n"/>
      <c r="AY133" s="53" t="n"/>
    </row>
    <row r="134" ht="15" customHeight="1">
      <c r="A134" s="40">
        <f>IF($D$134="","",42)</f>
        <v/>
      </c>
      <c r="B134" s="10" t="n"/>
      <c r="C134" s="41" t="inlineStr">
        <is>
          <t>마케팅3팀</t>
        </is>
      </c>
      <c r="D134" s="42" t="n"/>
      <c r="E134" s="43" t="inlineStr">
        <is>
          <t>기획</t>
        </is>
      </c>
      <c r="F134" s="44" t="n"/>
      <c r="G134" s="45" t="n"/>
      <c r="H134" s="46">
        <f>IF($I$134="","",IF($I$134&lt;0,"🔴지연",IF($I$134&lt;=1,"🟡임박","🟢여유")))</f>
        <v/>
      </c>
      <c r="I134" s="47">
        <f>IF(OR($G$134="",$K$134=""),"",$G$134-$K$134)</f>
        <v/>
      </c>
      <c r="J134" s="48">
        <f>IF(SUM($L$134:$L$136)=0,"",SUM($L$134:$L$136))</f>
        <v/>
      </c>
      <c r="K134" s="49">
        <f>IF($J$134="","",MAX($N$134:$N$136))</f>
        <v/>
      </c>
      <c r="L134" s="50">
        <f>IF(SUM(U134:AY134)=0,"",SUM(U134:AY134))</f>
        <v/>
      </c>
      <c r="M134" s="51">
        <f>IFERROR(INDEX(U$2:AY$2,MATCH(TRUE,INDEX(U134:AY134&lt;&gt;"",0),0)),"")</f>
        <v/>
      </c>
      <c r="N134" s="51">
        <f>IFERROR(LOOKUP(2,1/(U134:AY134&lt;&gt;""),U$2:AY$2),"")</f>
        <v/>
      </c>
      <c r="O134" s="52" t="n"/>
      <c r="P134" s="52" t="n"/>
      <c r="Q134" s="52" t="n"/>
      <c r="R134" s="44" t="n"/>
      <c r="S134" s="14" t="n"/>
      <c r="U134" s="53" t="n"/>
      <c r="V134" s="53" t="n"/>
      <c r="W134" s="53" t="n"/>
      <c r="X134" s="53" t="n"/>
      <c r="Y134" s="53" t="n"/>
      <c r="Z134" s="53" t="n"/>
      <c r="AA134" s="53" t="n"/>
      <c r="AB134" s="53" t="n"/>
      <c r="AC134" s="53" t="n"/>
      <c r="AD134" s="53" t="n"/>
      <c r="AE134" s="53" t="n"/>
      <c r="AF134" s="53" t="n"/>
      <c r="AG134" s="53" t="n"/>
      <c r="AH134" s="53" t="n"/>
      <c r="AI134" s="53" t="n"/>
      <c r="AJ134" s="53" t="n"/>
      <c r="AK134" s="53" t="n"/>
      <c r="AL134" s="53" t="n"/>
      <c r="AM134" s="53" t="n"/>
      <c r="AN134" s="53" t="n"/>
      <c r="AO134" s="53" t="n"/>
      <c r="AP134" s="53" t="n"/>
      <c r="AQ134" s="53" t="n"/>
      <c r="AR134" s="53" t="n"/>
      <c r="AS134" s="53" t="n"/>
      <c r="AT134" s="53" t="n"/>
      <c r="AU134" s="53" t="n"/>
      <c r="AV134" s="53" t="n"/>
      <c r="AW134" s="53" t="n"/>
      <c r="AX134" s="53" t="n"/>
      <c r="AY134" s="53" t="n"/>
    </row>
    <row r="135" ht="15" customHeight="1">
      <c r="A135" s="54" t="n"/>
      <c r="B135" s="55">
        <f>IF($B$134="","",$B$134)</f>
        <v/>
      </c>
      <c r="C135" s="56" t="inlineStr">
        <is>
          <t>마케팅3팀</t>
        </is>
      </c>
      <c r="D135" s="55">
        <f>IF($D$134="","",$D$134)</f>
        <v/>
      </c>
      <c r="E135" s="57" t="inlineStr">
        <is>
          <t>이미지</t>
        </is>
      </c>
      <c r="F135" s="44" t="n"/>
      <c r="G135" s="58">
        <f>IF($G$134="","",$G$134)</f>
        <v/>
      </c>
      <c r="H135" s="59" t="n"/>
      <c r="I135" s="59" t="n"/>
      <c r="J135" s="59" t="n"/>
      <c r="K135" s="59" t="n"/>
      <c r="L135" s="60">
        <f>IF(SUM(U135:AY135)=0,"",SUM(U135:AY135))</f>
        <v/>
      </c>
      <c r="M135" s="61">
        <f>IFERROR(INDEX(U$2:AY$2,MATCH(TRUE,INDEX(U135:AY135&lt;&gt;"",0),0)),"")</f>
        <v/>
      </c>
      <c r="N135" s="61">
        <f>IFERROR(LOOKUP(2,1/(U135:AY135&lt;&gt;""),U$2:AY$2),"")</f>
        <v/>
      </c>
      <c r="O135" s="59" t="n"/>
      <c r="P135" s="59" t="n"/>
      <c r="Q135" s="59" t="n"/>
      <c r="R135" s="59" t="n"/>
      <c r="S135" s="14" t="n"/>
      <c r="U135" s="53" t="n"/>
      <c r="V135" s="53" t="n"/>
      <c r="W135" s="53" t="n"/>
      <c r="X135" s="53" t="n"/>
      <c r="Y135" s="53" t="n"/>
      <c r="Z135" s="53" t="n"/>
      <c r="AA135" s="53" t="n"/>
      <c r="AB135" s="53" t="n"/>
      <c r="AC135" s="53" t="n"/>
      <c r="AD135" s="53" t="n"/>
      <c r="AE135" s="53" t="n"/>
      <c r="AF135" s="53" t="n"/>
      <c r="AG135" s="53" t="n"/>
      <c r="AH135" s="53" t="n"/>
      <c r="AI135" s="53" t="n"/>
      <c r="AJ135" s="53" t="n"/>
      <c r="AK135" s="53" t="n"/>
      <c r="AL135" s="53" t="n"/>
      <c r="AM135" s="53" t="n"/>
      <c r="AN135" s="53" t="n"/>
      <c r="AO135" s="53" t="n"/>
      <c r="AP135" s="53" t="n"/>
      <c r="AQ135" s="53" t="n"/>
      <c r="AR135" s="53" t="n"/>
      <c r="AS135" s="53" t="n"/>
      <c r="AT135" s="53" t="n"/>
      <c r="AU135" s="53" t="n"/>
      <c r="AV135" s="53" t="n"/>
      <c r="AW135" s="53" t="n"/>
      <c r="AX135" s="53" t="n"/>
      <c r="AY135" s="53" t="n"/>
    </row>
    <row r="136" ht="15" customHeight="1">
      <c r="A136" s="62" t="n"/>
      <c r="B136" s="55">
        <f>IF($B$134="","",$B$134)</f>
        <v/>
      </c>
      <c r="C136" s="63" t="inlineStr">
        <is>
          <t>마케팅3팀</t>
        </is>
      </c>
      <c r="D136" s="55">
        <f>IF($D$134="","",$D$134)</f>
        <v/>
      </c>
      <c r="E136" s="64" t="inlineStr">
        <is>
          <t>영상</t>
        </is>
      </c>
      <c r="F136" s="44" t="n"/>
      <c r="G136" s="58">
        <f>IF($G$134="","",$G$134)</f>
        <v/>
      </c>
      <c r="H136" s="59" t="n"/>
      <c r="I136" s="59" t="n"/>
      <c r="J136" s="59" t="n"/>
      <c r="K136" s="59" t="n"/>
      <c r="L136" s="65">
        <f>IF(SUM(U136:AY136)=0,"",SUM(U136:AY136))</f>
        <v/>
      </c>
      <c r="M136" s="66">
        <f>IFERROR(INDEX(U$2:AY$2,MATCH(TRUE,INDEX(U136:AY136&lt;&gt;"",0),0)),"")</f>
        <v/>
      </c>
      <c r="N136" s="66">
        <f>IFERROR(LOOKUP(2,1/(U136:AY136&lt;&gt;""),U$2:AY$2),"")</f>
        <v/>
      </c>
      <c r="O136" s="59" t="n"/>
      <c r="P136" s="59" t="n"/>
      <c r="Q136" s="59" t="n"/>
      <c r="R136" s="59" t="n"/>
      <c r="S136" s="14" t="n"/>
      <c r="U136" s="53" t="n"/>
      <c r="V136" s="53" t="n"/>
      <c r="W136" s="53" t="n"/>
      <c r="X136" s="53" t="n"/>
      <c r="Y136" s="53" t="n"/>
      <c r="Z136" s="53" t="n"/>
      <c r="AA136" s="53" t="n"/>
      <c r="AB136" s="53" t="n"/>
      <c r="AC136" s="53" t="n"/>
      <c r="AD136" s="53" t="n"/>
      <c r="AE136" s="53" t="n"/>
      <c r="AF136" s="53" t="n"/>
      <c r="AG136" s="53" t="n"/>
      <c r="AH136" s="53" t="n"/>
      <c r="AI136" s="53" t="n"/>
      <c r="AJ136" s="53" t="n"/>
      <c r="AK136" s="53" t="n"/>
      <c r="AL136" s="53" t="n"/>
      <c r="AM136" s="53" t="n"/>
      <c r="AN136" s="53" t="n"/>
      <c r="AO136" s="53" t="n"/>
      <c r="AP136" s="53" t="n"/>
      <c r="AQ136" s="53" t="n"/>
      <c r="AR136" s="53" t="n"/>
      <c r="AS136" s="53" t="n"/>
      <c r="AT136" s="53" t="n"/>
      <c r="AU136" s="53" t="n"/>
      <c r="AV136" s="53" t="n"/>
      <c r="AW136" s="53" t="n"/>
      <c r="AX136" s="53" t="n"/>
      <c r="AY136" s="53" t="n"/>
    </row>
    <row r="137" ht="15" customHeight="1">
      <c r="A137" s="40">
        <f>IF($D$137="","",43)</f>
        <v/>
      </c>
      <c r="B137" s="10" t="n"/>
      <c r="C137" s="41" t="inlineStr">
        <is>
          <t>마케팅3팀</t>
        </is>
      </c>
      <c r="D137" s="42" t="n"/>
      <c r="E137" s="43" t="inlineStr">
        <is>
          <t>기획</t>
        </is>
      </c>
      <c r="F137" s="44" t="n"/>
      <c r="G137" s="45" t="n"/>
      <c r="H137" s="46">
        <f>IF($I$137="","",IF($I$137&lt;0,"🔴지연",IF($I$137&lt;=1,"🟡임박","🟢여유")))</f>
        <v/>
      </c>
      <c r="I137" s="47">
        <f>IF(OR($G$137="",$K$137=""),"",$G$137-$K$137)</f>
        <v/>
      </c>
      <c r="J137" s="48">
        <f>IF(SUM($L$137:$L$139)=0,"",SUM($L$137:$L$139))</f>
        <v/>
      </c>
      <c r="K137" s="49">
        <f>IF($J$137="","",MAX($N$137:$N$139))</f>
        <v/>
      </c>
      <c r="L137" s="50">
        <f>IF(SUM(U137:AY137)=0,"",SUM(U137:AY137))</f>
        <v/>
      </c>
      <c r="M137" s="51">
        <f>IFERROR(INDEX(U$2:AY$2,MATCH(TRUE,INDEX(U137:AY137&lt;&gt;"",0),0)),"")</f>
        <v/>
      </c>
      <c r="N137" s="51">
        <f>IFERROR(LOOKUP(2,1/(U137:AY137&lt;&gt;""),U$2:AY$2),"")</f>
        <v/>
      </c>
      <c r="O137" s="52" t="n"/>
      <c r="P137" s="52" t="n"/>
      <c r="Q137" s="52" t="n"/>
      <c r="R137" s="44" t="n"/>
      <c r="S137" s="14" t="n"/>
      <c r="U137" s="53" t="n"/>
      <c r="V137" s="53" t="n"/>
      <c r="W137" s="53" t="n"/>
      <c r="X137" s="53" t="n"/>
      <c r="Y137" s="53" t="n"/>
      <c r="Z137" s="53" t="n"/>
      <c r="AA137" s="53" t="n"/>
      <c r="AB137" s="53" t="n"/>
      <c r="AC137" s="53" t="n"/>
      <c r="AD137" s="53" t="n"/>
      <c r="AE137" s="53" t="n"/>
      <c r="AF137" s="53" t="n"/>
      <c r="AG137" s="53" t="n"/>
      <c r="AH137" s="53" t="n"/>
      <c r="AI137" s="53" t="n"/>
      <c r="AJ137" s="53" t="n"/>
      <c r="AK137" s="53" t="n"/>
      <c r="AL137" s="53" t="n"/>
      <c r="AM137" s="53" t="n"/>
      <c r="AN137" s="53" t="n"/>
      <c r="AO137" s="53" t="n"/>
      <c r="AP137" s="53" t="n"/>
      <c r="AQ137" s="53" t="n"/>
      <c r="AR137" s="53" t="n"/>
      <c r="AS137" s="53" t="n"/>
      <c r="AT137" s="53" t="n"/>
      <c r="AU137" s="53" t="n"/>
      <c r="AV137" s="53" t="n"/>
      <c r="AW137" s="53" t="n"/>
      <c r="AX137" s="53" t="n"/>
      <c r="AY137" s="53" t="n"/>
    </row>
    <row r="138" ht="15" customHeight="1">
      <c r="A138" s="54" t="n"/>
      <c r="B138" s="55">
        <f>IF($B$137="","",$B$137)</f>
        <v/>
      </c>
      <c r="C138" s="56" t="inlineStr">
        <is>
          <t>마케팅3팀</t>
        </is>
      </c>
      <c r="D138" s="55">
        <f>IF($D$137="","",$D$137)</f>
        <v/>
      </c>
      <c r="E138" s="57" t="inlineStr">
        <is>
          <t>이미지</t>
        </is>
      </c>
      <c r="F138" s="44" t="n"/>
      <c r="G138" s="58">
        <f>IF($G$137="","",$G$137)</f>
        <v/>
      </c>
      <c r="H138" s="59" t="n"/>
      <c r="I138" s="59" t="n"/>
      <c r="J138" s="59" t="n"/>
      <c r="K138" s="59" t="n"/>
      <c r="L138" s="60">
        <f>IF(SUM(U138:AY138)=0,"",SUM(U138:AY138))</f>
        <v/>
      </c>
      <c r="M138" s="61">
        <f>IFERROR(INDEX(U$2:AY$2,MATCH(TRUE,INDEX(U138:AY138&lt;&gt;"",0),0)),"")</f>
        <v/>
      </c>
      <c r="N138" s="61">
        <f>IFERROR(LOOKUP(2,1/(U138:AY138&lt;&gt;""),U$2:AY$2),"")</f>
        <v/>
      </c>
      <c r="O138" s="59" t="n"/>
      <c r="P138" s="59" t="n"/>
      <c r="Q138" s="59" t="n"/>
      <c r="R138" s="59" t="n"/>
      <c r="S138" s="14" t="n"/>
      <c r="U138" s="53" t="n"/>
      <c r="V138" s="53" t="n"/>
      <c r="W138" s="53" t="n"/>
      <c r="X138" s="53" t="n"/>
      <c r="Y138" s="53" t="n"/>
      <c r="Z138" s="53" t="n"/>
      <c r="AA138" s="53" t="n"/>
      <c r="AB138" s="53" t="n"/>
      <c r="AC138" s="53" t="n"/>
      <c r="AD138" s="53" t="n"/>
      <c r="AE138" s="53" t="n"/>
      <c r="AF138" s="53" t="n"/>
      <c r="AG138" s="53" t="n"/>
      <c r="AH138" s="53" t="n"/>
      <c r="AI138" s="53" t="n"/>
      <c r="AJ138" s="53" t="n"/>
      <c r="AK138" s="53" t="n"/>
      <c r="AL138" s="53" t="n"/>
      <c r="AM138" s="53" t="n"/>
      <c r="AN138" s="53" t="n"/>
      <c r="AO138" s="53" t="n"/>
      <c r="AP138" s="53" t="n"/>
      <c r="AQ138" s="53" t="n"/>
      <c r="AR138" s="53" t="n"/>
      <c r="AS138" s="53" t="n"/>
      <c r="AT138" s="53" t="n"/>
      <c r="AU138" s="53" t="n"/>
      <c r="AV138" s="53" t="n"/>
      <c r="AW138" s="53" t="n"/>
      <c r="AX138" s="53" t="n"/>
      <c r="AY138" s="53" t="n"/>
    </row>
    <row r="139" ht="15" customHeight="1">
      <c r="A139" s="62" t="n"/>
      <c r="B139" s="55">
        <f>IF($B$137="","",$B$137)</f>
        <v/>
      </c>
      <c r="C139" s="63" t="inlineStr">
        <is>
          <t>마케팅3팀</t>
        </is>
      </c>
      <c r="D139" s="55">
        <f>IF($D$137="","",$D$137)</f>
        <v/>
      </c>
      <c r="E139" s="64" t="inlineStr">
        <is>
          <t>영상</t>
        </is>
      </c>
      <c r="F139" s="44" t="n"/>
      <c r="G139" s="58">
        <f>IF($G$137="","",$G$137)</f>
        <v/>
      </c>
      <c r="H139" s="59" t="n"/>
      <c r="I139" s="59" t="n"/>
      <c r="J139" s="59" t="n"/>
      <c r="K139" s="59" t="n"/>
      <c r="L139" s="65">
        <f>IF(SUM(U139:AY139)=0,"",SUM(U139:AY139))</f>
        <v/>
      </c>
      <c r="M139" s="66">
        <f>IFERROR(INDEX(U$2:AY$2,MATCH(TRUE,INDEX(U139:AY139&lt;&gt;"",0),0)),"")</f>
        <v/>
      </c>
      <c r="N139" s="66">
        <f>IFERROR(LOOKUP(2,1/(U139:AY139&lt;&gt;""),U$2:AY$2),"")</f>
        <v/>
      </c>
      <c r="O139" s="59" t="n"/>
      <c r="P139" s="59" t="n"/>
      <c r="Q139" s="59" t="n"/>
      <c r="R139" s="59" t="n"/>
      <c r="S139" s="14" t="n"/>
      <c r="U139" s="53" t="n"/>
      <c r="V139" s="53" t="n"/>
      <c r="W139" s="53" t="n"/>
      <c r="X139" s="53" t="n"/>
      <c r="Y139" s="53" t="n"/>
      <c r="Z139" s="53" t="n"/>
      <c r="AA139" s="53" t="n"/>
      <c r="AB139" s="53" t="n"/>
      <c r="AC139" s="53" t="n"/>
      <c r="AD139" s="53" t="n"/>
      <c r="AE139" s="53" t="n"/>
      <c r="AF139" s="53" t="n"/>
      <c r="AG139" s="53" t="n"/>
      <c r="AH139" s="53" t="n"/>
      <c r="AI139" s="53" t="n"/>
      <c r="AJ139" s="53" t="n"/>
      <c r="AK139" s="53" t="n"/>
      <c r="AL139" s="53" t="n"/>
      <c r="AM139" s="53" t="n"/>
      <c r="AN139" s="53" t="n"/>
      <c r="AO139" s="53" t="n"/>
      <c r="AP139" s="53" t="n"/>
      <c r="AQ139" s="53" t="n"/>
      <c r="AR139" s="53" t="n"/>
      <c r="AS139" s="53" t="n"/>
      <c r="AT139" s="53" t="n"/>
      <c r="AU139" s="53" t="n"/>
      <c r="AV139" s="53" t="n"/>
      <c r="AW139" s="53" t="n"/>
      <c r="AX139" s="53" t="n"/>
      <c r="AY139" s="53" t="n"/>
    </row>
    <row r="140" ht="15" customHeight="1">
      <c r="A140" s="40">
        <f>IF($D$140="","",44)</f>
        <v/>
      </c>
      <c r="B140" s="10" t="n"/>
      <c r="C140" s="41" t="inlineStr">
        <is>
          <t>마케팅3팀</t>
        </is>
      </c>
      <c r="D140" s="42" t="n"/>
      <c r="E140" s="43" t="inlineStr">
        <is>
          <t>기획</t>
        </is>
      </c>
      <c r="F140" s="44" t="n"/>
      <c r="G140" s="45" t="n"/>
      <c r="H140" s="46">
        <f>IF($I$140="","",IF($I$140&lt;0,"🔴지연",IF($I$140&lt;=1,"🟡임박","🟢여유")))</f>
        <v/>
      </c>
      <c r="I140" s="47">
        <f>IF(OR($G$140="",$K$140=""),"",$G$140-$K$140)</f>
        <v/>
      </c>
      <c r="J140" s="48">
        <f>IF(SUM($L$140:$L$142)=0,"",SUM($L$140:$L$142))</f>
        <v/>
      </c>
      <c r="K140" s="49">
        <f>IF($J$140="","",MAX($N$140:$N$142))</f>
        <v/>
      </c>
      <c r="L140" s="50">
        <f>IF(SUM(U140:AY140)=0,"",SUM(U140:AY140))</f>
        <v/>
      </c>
      <c r="M140" s="51">
        <f>IFERROR(INDEX(U$2:AY$2,MATCH(TRUE,INDEX(U140:AY140&lt;&gt;"",0),0)),"")</f>
        <v/>
      </c>
      <c r="N140" s="51">
        <f>IFERROR(LOOKUP(2,1/(U140:AY140&lt;&gt;""),U$2:AY$2),"")</f>
        <v/>
      </c>
      <c r="O140" s="52" t="n"/>
      <c r="P140" s="52" t="n"/>
      <c r="Q140" s="52" t="n"/>
      <c r="R140" s="44" t="n"/>
      <c r="S140" s="14" t="n"/>
      <c r="U140" s="53" t="n"/>
      <c r="V140" s="53" t="n"/>
      <c r="W140" s="53" t="n"/>
      <c r="X140" s="53" t="n"/>
      <c r="Y140" s="53" t="n"/>
      <c r="Z140" s="53" t="n"/>
      <c r="AA140" s="53" t="n"/>
      <c r="AB140" s="53" t="n"/>
      <c r="AC140" s="53" t="n"/>
      <c r="AD140" s="53" t="n"/>
      <c r="AE140" s="53" t="n"/>
      <c r="AF140" s="53" t="n"/>
      <c r="AG140" s="53" t="n"/>
      <c r="AH140" s="53" t="n"/>
      <c r="AI140" s="53" t="n"/>
      <c r="AJ140" s="53" t="n"/>
      <c r="AK140" s="53" t="n"/>
      <c r="AL140" s="53" t="n"/>
      <c r="AM140" s="53" t="n"/>
      <c r="AN140" s="53" t="n"/>
      <c r="AO140" s="53" t="n"/>
      <c r="AP140" s="53" t="n"/>
      <c r="AQ140" s="53" t="n"/>
      <c r="AR140" s="53" t="n"/>
      <c r="AS140" s="53" t="n"/>
      <c r="AT140" s="53" t="n"/>
      <c r="AU140" s="53" t="n"/>
      <c r="AV140" s="53" t="n"/>
      <c r="AW140" s="53" t="n"/>
      <c r="AX140" s="53" t="n"/>
      <c r="AY140" s="53" t="n"/>
    </row>
    <row r="141" ht="15" customHeight="1">
      <c r="A141" s="54" t="n"/>
      <c r="B141" s="55">
        <f>IF($B$140="","",$B$140)</f>
        <v/>
      </c>
      <c r="C141" s="56" t="inlineStr">
        <is>
          <t>마케팅3팀</t>
        </is>
      </c>
      <c r="D141" s="55">
        <f>IF($D$140="","",$D$140)</f>
        <v/>
      </c>
      <c r="E141" s="57" t="inlineStr">
        <is>
          <t>이미지</t>
        </is>
      </c>
      <c r="F141" s="44" t="n"/>
      <c r="G141" s="58">
        <f>IF($G$140="","",$G$140)</f>
        <v/>
      </c>
      <c r="H141" s="59" t="n"/>
      <c r="I141" s="59" t="n"/>
      <c r="J141" s="59" t="n"/>
      <c r="K141" s="59" t="n"/>
      <c r="L141" s="60">
        <f>IF(SUM(U141:AY141)=0,"",SUM(U141:AY141))</f>
        <v/>
      </c>
      <c r="M141" s="61">
        <f>IFERROR(INDEX(U$2:AY$2,MATCH(TRUE,INDEX(U141:AY141&lt;&gt;"",0),0)),"")</f>
        <v/>
      </c>
      <c r="N141" s="61">
        <f>IFERROR(LOOKUP(2,1/(U141:AY141&lt;&gt;""),U$2:AY$2),"")</f>
        <v/>
      </c>
      <c r="O141" s="59" t="n"/>
      <c r="P141" s="59" t="n"/>
      <c r="Q141" s="59" t="n"/>
      <c r="R141" s="59" t="n"/>
      <c r="S141" s="14" t="n"/>
      <c r="U141" s="53" t="n"/>
      <c r="V141" s="53" t="n"/>
      <c r="W141" s="53" t="n"/>
      <c r="X141" s="53" t="n"/>
      <c r="Y141" s="53" t="n"/>
      <c r="Z141" s="53" t="n"/>
      <c r="AA141" s="53" t="n"/>
      <c r="AB141" s="53" t="n"/>
      <c r="AC141" s="53" t="n"/>
      <c r="AD141" s="53" t="n"/>
      <c r="AE141" s="53" t="n"/>
      <c r="AF141" s="53" t="n"/>
      <c r="AG141" s="53" t="n"/>
      <c r="AH141" s="53" t="n"/>
      <c r="AI141" s="53" t="n"/>
      <c r="AJ141" s="53" t="n"/>
      <c r="AK141" s="53" t="n"/>
      <c r="AL141" s="53" t="n"/>
      <c r="AM141" s="53" t="n"/>
      <c r="AN141" s="53" t="n"/>
      <c r="AO141" s="53" t="n"/>
      <c r="AP141" s="53" t="n"/>
      <c r="AQ141" s="53" t="n"/>
      <c r="AR141" s="53" t="n"/>
      <c r="AS141" s="53" t="n"/>
      <c r="AT141" s="53" t="n"/>
      <c r="AU141" s="53" t="n"/>
      <c r="AV141" s="53" t="n"/>
      <c r="AW141" s="53" t="n"/>
      <c r="AX141" s="53" t="n"/>
      <c r="AY141" s="53" t="n"/>
    </row>
    <row r="142" ht="15" customHeight="1">
      <c r="A142" s="62" t="n"/>
      <c r="B142" s="55">
        <f>IF($B$140="","",$B$140)</f>
        <v/>
      </c>
      <c r="C142" s="63" t="inlineStr">
        <is>
          <t>마케팅3팀</t>
        </is>
      </c>
      <c r="D142" s="55">
        <f>IF($D$140="","",$D$140)</f>
        <v/>
      </c>
      <c r="E142" s="64" t="inlineStr">
        <is>
          <t>영상</t>
        </is>
      </c>
      <c r="F142" s="44" t="n"/>
      <c r="G142" s="58">
        <f>IF($G$140="","",$G$140)</f>
        <v/>
      </c>
      <c r="H142" s="59" t="n"/>
      <c r="I142" s="59" t="n"/>
      <c r="J142" s="59" t="n"/>
      <c r="K142" s="59" t="n"/>
      <c r="L142" s="65">
        <f>IF(SUM(U142:AY142)=0,"",SUM(U142:AY142))</f>
        <v/>
      </c>
      <c r="M142" s="66">
        <f>IFERROR(INDEX(U$2:AY$2,MATCH(TRUE,INDEX(U142:AY142&lt;&gt;"",0),0)),"")</f>
        <v/>
      </c>
      <c r="N142" s="66">
        <f>IFERROR(LOOKUP(2,1/(U142:AY142&lt;&gt;""),U$2:AY$2),"")</f>
        <v/>
      </c>
      <c r="O142" s="59" t="n"/>
      <c r="P142" s="59" t="n"/>
      <c r="Q142" s="59" t="n"/>
      <c r="R142" s="59" t="n"/>
      <c r="S142" s="14" t="n"/>
      <c r="U142" s="53" t="n"/>
      <c r="V142" s="53" t="n"/>
      <c r="W142" s="53" t="n"/>
      <c r="X142" s="53" t="n"/>
      <c r="Y142" s="53" t="n"/>
      <c r="Z142" s="53" t="n"/>
      <c r="AA142" s="53" t="n"/>
      <c r="AB142" s="53" t="n"/>
      <c r="AC142" s="53" t="n"/>
      <c r="AD142" s="53" t="n"/>
      <c r="AE142" s="53" t="n"/>
      <c r="AF142" s="53" t="n"/>
      <c r="AG142" s="53" t="n"/>
      <c r="AH142" s="53" t="n"/>
      <c r="AI142" s="53" t="n"/>
      <c r="AJ142" s="53" t="n"/>
      <c r="AK142" s="53" t="n"/>
      <c r="AL142" s="53" t="n"/>
      <c r="AM142" s="53" t="n"/>
      <c r="AN142" s="53" t="n"/>
      <c r="AO142" s="53" t="n"/>
      <c r="AP142" s="53" t="n"/>
      <c r="AQ142" s="53" t="n"/>
      <c r="AR142" s="53" t="n"/>
      <c r="AS142" s="53" t="n"/>
      <c r="AT142" s="53" t="n"/>
      <c r="AU142" s="53" t="n"/>
      <c r="AV142" s="53" t="n"/>
      <c r="AW142" s="53" t="n"/>
      <c r="AX142" s="53" t="n"/>
      <c r="AY142" s="53" t="n"/>
    </row>
    <row r="143" ht="15" customHeight="1">
      <c r="A143" s="40">
        <f>IF($D$143="","",45)</f>
        <v/>
      </c>
      <c r="B143" s="10" t="n"/>
      <c r="C143" s="41" t="inlineStr">
        <is>
          <t>마케팅3팀</t>
        </is>
      </c>
      <c r="D143" s="42" t="n"/>
      <c r="E143" s="43" t="inlineStr">
        <is>
          <t>기획</t>
        </is>
      </c>
      <c r="F143" s="44" t="n"/>
      <c r="G143" s="45" t="n"/>
      <c r="H143" s="46">
        <f>IF($I$143="","",IF($I$143&lt;0,"🔴지연",IF($I$143&lt;=1,"🟡임박","🟢여유")))</f>
        <v/>
      </c>
      <c r="I143" s="47">
        <f>IF(OR($G$143="",$K$143=""),"",$G$143-$K$143)</f>
        <v/>
      </c>
      <c r="J143" s="48">
        <f>IF(SUM($L$143:$L$145)=0,"",SUM($L$143:$L$145))</f>
        <v/>
      </c>
      <c r="K143" s="49">
        <f>IF($J$143="","",MAX($N$143:$N$145))</f>
        <v/>
      </c>
      <c r="L143" s="50">
        <f>IF(SUM(U143:AY143)=0,"",SUM(U143:AY143))</f>
        <v/>
      </c>
      <c r="M143" s="51">
        <f>IFERROR(INDEX(U$2:AY$2,MATCH(TRUE,INDEX(U143:AY143&lt;&gt;"",0),0)),"")</f>
        <v/>
      </c>
      <c r="N143" s="51">
        <f>IFERROR(LOOKUP(2,1/(U143:AY143&lt;&gt;""),U$2:AY$2),"")</f>
        <v/>
      </c>
      <c r="O143" s="52" t="n"/>
      <c r="P143" s="52" t="n"/>
      <c r="Q143" s="52" t="n"/>
      <c r="R143" s="44" t="n"/>
      <c r="S143" s="14" t="n"/>
      <c r="U143" s="53" t="n"/>
      <c r="V143" s="53" t="n"/>
      <c r="W143" s="53" t="n"/>
      <c r="X143" s="53" t="n"/>
      <c r="Y143" s="53" t="n"/>
      <c r="Z143" s="53" t="n"/>
      <c r="AA143" s="53" t="n"/>
      <c r="AB143" s="53" t="n"/>
      <c r="AC143" s="53" t="n"/>
      <c r="AD143" s="53" t="n"/>
      <c r="AE143" s="53" t="n"/>
      <c r="AF143" s="53" t="n"/>
      <c r="AG143" s="53" t="n"/>
      <c r="AH143" s="53" t="n"/>
      <c r="AI143" s="53" t="n"/>
      <c r="AJ143" s="53" t="n"/>
      <c r="AK143" s="53" t="n"/>
      <c r="AL143" s="53" t="n"/>
      <c r="AM143" s="53" t="n"/>
      <c r="AN143" s="53" t="n"/>
      <c r="AO143" s="53" t="n"/>
      <c r="AP143" s="53" t="n"/>
      <c r="AQ143" s="53" t="n"/>
      <c r="AR143" s="53" t="n"/>
      <c r="AS143" s="53" t="n"/>
      <c r="AT143" s="53" t="n"/>
      <c r="AU143" s="53" t="n"/>
      <c r="AV143" s="53" t="n"/>
      <c r="AW143" s="53" t="n"/>
      <c r="AX143" s="53" t="n"/>
      <c r="AY143" s="53" t="n"/>
    </row>
    <row r="144" ht="15" customHeight="1">
      <c r="A144" s="54" t="n"/>
      <c r="B144" s="55">
        <f>IF($B$143="","",$B$143)</f>
        <v/>
      </c>
      <c r="C144" s="56" t="inlineStr">
        <is>
          <t>마케팅3팀</t>
        </is>
      </c>
      <c r="D144" s="55">
        <f>IF($D$143="","",$D$143)</f>
        <v/>
      </c>
      <c r="E144" s="57" t="inlineStr">
        <is>
          <t>이미지</t>
        </is>
      </c>
      <c r="F144" s="44" t="n"/>
      <c r="G144" s="58">
        <f>IF($G$143="","",$G$143)</f>
        <v/>
      </c>
      <c r="H144" s="59" t="n"/>
      <c r="I144" s="59" t="n"/>
      <c r="J144" s="59" t="n"/>
      <c r="K144" s="59" t="n"/>
      <c r="L144" s="60">
        <f>IF(SUM(U144:AY144)=0,"",SUM(U144:AY144))</f>
        <v/>
      </c>
      <c r="M144" s="61">
        <f>IFERROR(INDEX(U$2:AY$2,MATCH(TRUE,INDEX(U144:AY144&lt;&gt;"",0),0)),"")</f>
        <v/>
      </c>
      <c r="N144" s="61">
        <f>IFERROR(LOOKUP(2,1/(U144:AY144&lt;&gt;""),U$2:AY$2),"")</f>
        <v/>
      </c>
      <c r="O144" s="59" t="n"/>
      <c r="P144" s="59" t="n"/>
      <c r="Q144" s="59" t="n"/>
      <c r="R144" s="59" t="n"/>
      <c r="S144" s="14" t="n"/>
      <c r="U144" s="53" t="n"/>
      <c r="V144" s="53" t="n"/>
      <c r="W144" s="53" t="n"/>
      <c r="X144" s="53" t="n"/>
      <c r="Y144" s="53" t="n"/>
      <c r="Z144" s="53" t="n"/>
      <c r="AA144" s="53" t="n"/>
      <c r="AB144" s="53" t="n"/>
      <c r="AC144" s="53" t="n"/>
      <c r="AD144" s="53" t="n"/>
      <c r="AE144" s="53" t="n"/>
      <c r="AF144" s="53" t="n"/>
      <c r="AG144" s="53" t="n"/>
      <c r="AH144" s="53" t="n"/>
      <c r="AI144" s="53" t="n"/>
      <c r="AJ144" s="53" t="n"/>
      <c r="AK144" s="53" t="n"/>
      <c r="AL144" s="53" t="n"/>
      <c r="AM144" s="53" t="n"/>
      <c r="AN144" s="53" t="n"/>
      <c r="AO144" s="53" t="n"/>
      <c r="AP144" s="53" t="n"/>
      <c r="AQ144" s="53" t="n"/>
      <c r="AR144" s="53" t="n"/>
      <c r="AS144" s="53" t="n"/>
      <c r="AT144" s="53" t="n"/>
      <c r="AU144" s="53" t="n"/>
      <c r="AV144" s="53" t="n"/>
      <c r="AW144" s="53" t="n"/>
      <c r="AX144" s="53" t="n"/>
      <c r="AY144" s="53" t="n"/>
    </row>
    <row r="145" ht="15" customHeight="1">
      <c r="A145" s="62" t="n"/>
      <c r="B145" s="55">
        <f>IF($B$143="","",$B$143)</f>
        <v/>
      </c>
      <c r="C145" s="63" t="inlineStr">
        <is>
          <t>마케팅3팀</t>
        </is>
      </c>
      <c r="D145" s="55">
        <f>IF($D$143="","",$D$143)</f>
        <v/>
      </c>
      <c r="E145" s="64" t="inlineStr">
        <is>
          <t>영상</t>
        </is>
      </c>
      <c r="F145" s="44" t="n"/>
      <c r="G145" s="58">
        <f>IF($G$143="","",$G$143)</f>
        <v/>
      </c>
      <c r="H145" s="59" t="n"/>
      <c r="I145" s="59" t="n"/>
      <c r="J145" s="59" t="n"/>
      <c r="K145" s="59" t="n"/>
      <c r="L145" s="65">
        <f>IF(SUM(U145:AY145)=0,"",SUM(U145:AY145))</f>
        <v/>
      </c>
      <c r="M145" s="66">
        <f>IFERROR(INDEX(U$2:AY$2,MATCH(TRUE,INDEX(U145:AY145&lt;&gt;"",0),0)),"")</f>
        <v/>
      </c>
      <c r="N145" s="66">
        <f>IFERROR(LOOKUP(2,1/(U145:AY145&lt;&gt;""),U$2:AY$2),"")</f>
        <v/>
      </c>
      <c r="O145" s="59" t="n"/>
      <c r="P145" s="59" t="n"/>
      <c r="Q145" s="59" t="n"/>
      <c r="R145" s="59" t="n"/>
      <c r="S145" s="14" t="n"/>
      <c r="U145" s="53" t="n"/>
      <c r="V145" s="53" t="n"/>
      <c r="W145" s="53" t="n"/>
      <c r="X145" s="53" t="n"/>
      <c r="Y145" s="53" t="n"/>
      <c r="Z145" s="53" t="n"/>
      <c r="AA145" s="53" t="n"/>
      <c r="AB145" s="53" t="n"/>
      <c r="AC145" s="53" t="n"/>
      <c r="AD145" s="53" t="n"/>
      <c r="AE145" s="53" t="n"/>
      <c r="AF145" s="53" t="n"/>
      <c r="AG145" s="53" t="n"/>
      <c r="AH145" s="53" t="n"/>
      <c r="AI145" s="53" t="n"/>
      <c r="AJ145" s="53" t="n"/>
      <c r="AK145" s="53" t="n"/>
      <c r="AL145" s="53" t="n"/>
      <c r="AM145" s="53" t="n"/>
      <c r="AN145" s="53" t="n"/>
      <c r="AO145" s="53" t="n"/>
      <c r="AP145" s="53" t="n"/>
      <c r="AQ145" s="53" t="n"/>
      <c r="AR145" s="53" t="n"/>
      <c r="AS145" s="53" t="n"/>
      <c r="AT145" s="53" t="n"/>
      <c r="AU145" s="53" t="n"/>
      <c r="AV145" s="53" t="n"/>
      <c r="AW145" s="53" t="n"/>
      <c r="AX145" s="53" t="n"/>
      <c r="AY145" s="53" t="n"/>
    </row>
    <row r="146" ht="15" customHeight="1">
      <c r="A146" s="40">
        <f>IF($D$146="","",46)</f>
        <v/>
      </c>
      <c r="B146" s="10" t="n"/>
      <c r="C146" s="41" t="inlineStr">
        <is>
          <t>마케팅3팀</t>
        </is>
      </c>
      <c r="D146" s="42" t="n"/>
      <c r="E146" s="43" t="inlineStr">
        <is>
          <t>기획</t>
        </is>
      </c>
      <c r="F146" s="44" t="n"/>
      <c r="G146" s="45" t="n"/>
      <c r="H146" s="46">
        <f>IF($I$146="","",IF($I$146&lt;0,"🔴지연",IF($I$146&lt;=1,"🟡임박","🟢여유")))</f>
        <v/>
      </c>
      <c r="I146" s="47">
        <f>IF(OR($G$146="",$K$146=""),"",$G$146-$K$146)</f>
        <v/>
      </c>
      <c r="J146" s="48">
        <f>IF(SUM($L$146:$L$148)=0,"",SUM($L$146:$L$148))</f>
        <v/>
      </c>
      <c r="K146" s="49">
        <f>IF($J$146="","",MAX($N$146:$N$148))</f>
        <v/>
      </c>
      <c r="L146" s="50">
        <f>IF(SUM(U146:AY146)=0,"",SUM(U146:AY146))</f>
        <v/>
      </c>
      <c r="M146" s="51">
        <f>IFERROR(INDEX(U$2:AY$2,MATCH(TRUE,INDEX(U146:AY146&lt;&gt;"",0),0)),"")</f>
        <v/>
      </c>
      <c r="N146" s="51">
        <f>IFERROR(LOOKUP(2,1/(U146:AY146&lt;&gt;""),U$2:AY$2),"")</f>
        <v/>
      </c>
      <c r="O146" s="52" t="n"/>
      <c r="P146" s="52" t="n"/>
      <c r="Q146" s="52" t="n"/>
      <c r="R146" s="44" t="n"/>
      <c r="S146" s="14" t="n"/>
      <c r="U146" s="53" t="n"/>
      <c r="V146" s="53" t="n"/>
      <c r="W146" s="53" t="n"/>
      <c r="X146" s="53" t="n"/>
      <c r="Y146" s="53" t="n"/>
      <c r="Z146" s="53" t="n"/>
      <c r="AA146" s="53" t="n"/>
      <c r="AB146" s="53" t="n"/>
      <c r="AC146" s="53" t="n"/>
      <c r="AD146" s="53" t="n"/>
      <c r="AE146" s="53" t="n"/>
      <c r="AF146" s="53" t="n"/>
      <c r="AG146" s="53" t="n"/>
      <c r="AH146" s="53" t="n"/>
      <c r="AI146" s="53" t="n"/>
      <c r="AJ146" s="53" t="n"/>
      <c r="AK146" s="53" t="n"/>
      <c r="AL146" s="53" t="n"/>
      <c r="AM146" s="53" t="n"/>
      <c r="AN146" s="53" t="n"/>
      <c r="AO146" s="53" t="n"/>
      <c r="AP146" s="53" t="n"/>
      <c r="AQ146" s="53" t="n"/>
      <c r="AR146" s="53" t="n"/>
      <c r="AS146" s="53" t="n"/>
      <c r="AT146" s="53" t="n"/>
      <c r="AU146" s="53" t="n"/>
      <c r="AV146" s="53" t="n"/>
      <c r="AW146" s="53" t="n"/>
      <c r="AX146" s="53" t="n"/>
      <c r="AY146" s="53" t="n"/>
    </row>
    <row r="147" ht="15" customHeight="1">
      <c r="A147" s="54" t="n"/>
      <c r="B147" s="55">
        <f>IF($B$146="","",$B$146)</f>
        <v/>
      </c>
      <c r="C147" s="56" t="inlineStr">
        <is>
          <t>마케팅3팀</t>
        </is>
      </c>
      <c r="D147" s="55">
        <f>IF($D$146="","",$D$146)</f>
        <v/>
      </c>
      <c r="E147" s="57" t="inlineStr">
        <is>
          <t>이미지</t>
        </is>
      </c>
      <c r="F147" s="44" t="n"/>
      <c r="G147" s="58">
        <f>IF($G$146="","",$G$146)</f>
        <v/>
      </c>
      <c r="H147" s="59" t="n"/>
      <c r="I147" s="59" t="n"/>
      <c r="J147" s="59" t="n"/>
      <c r="K147" s="59" t="n"/>
      <c r="L147" s="60">
        <f>IF(SUM(U147:AY147)=0,"",SUM(U147:AY147))</f>
        <v/>
      </c>
      <c r="M147" s="61">
        <f>IFERROR(INDEX(U$2:AY$2,MATCH(TRUE,INDEX(U147:AY147&lt;&gt;"",0),0)),"")</f>
        <v/>
      </c>
      <c r="N147" s="61">
        <f>IFERROR(LOOKUP(2,1/(U147:AY147&lt;&gt;""),U$2:AY$2),"")</f>
        <v/>
      </c>
      <c r="O147" s="59" t="n"/>
      <c r="P147" s="59" t="n"/>
      <c r="Q147" s="59" t="n"/>
      <c r="R147" s="59" t="n"/>
      <c r="S147" s="14" t="n"/>
      <c r="U147" s="53" t="n"/>
      <c r="V147" s="53" t="n"/>
      <c r="W147" s="53" t="n"/>
      <c r="X147" s="53" t="n"/>
      <c r="Y147" s="53" t="n"/>
      <c r="Z147" s="53" t="n"/>
      <c r="AA147" s="53" t="n"/>
      <c r="AB147" s="53" t="n"/>
      <c r="AC147" s="53" t="n"/>
      <c r="AD147" s="53" t="n"/>
      <c r="AE147" s="53" t="n"/>
      <c r="AF147" s="53" t="n"/>
      <c r="AG147" s="53" t="n"/>
      <c r="AH147" s="53" t="n"/>
      <c r="AI147" s="53" t="n"/>
      <c r="AJ147" s="53" t="n"/>
      <c r="AK147" s="53" t="n"/>
      <c r="AL147" s="53" t="n"/>
      <c r="AM147" s="53" t="n"/>
      <c r="AN147" s="53" t="n"/>
      <c r="AO147" s="53" t="n"/>
      <c r="AP147" s="53" t="n"/>
      <c r="AQ147" s="53" t="n"/>
      <c r="AR147" s="53" t="n"/>
      <c r="AS147" s="53" t="n"/>
      <c r="AT147" s="53" t="n"/>
      <c r="AU147" s="53" t="n"/>
      <c r="AV147" s="53" t="n"/>
      <c r="AW147" s="53" t="n"/>
      <c r="AX147" s="53" t="n"/>
      <c r="AY147" s="53" t="n"/>
    </row>
    <row r="148" ht="15" customHeight="1">
      <c r="A148" s="62" t="n"/>
      <c r="B148" s="55">
        <f>IF($B$146="","",$B$146)</f>
        <v/>
      </c>
      <c r="C148" s="63" t="inlineStr">
        <is>
          <t>마케팅3팀</t>
        </is>
      </c>
      <c r="D148" s="55">
        <f>IF($D$146="","",$D$146)</f>
        <v/>
      </c>
      <c r="E148" s="64" t="inlineStr">
        <is>
          <t>영상</t>
        </is>
      </c>
      <c r="F148" s="44" t="n"/>
      <c r="G148" s="58">
        <f>IF($G$146="","",$G$146)</f>
        <v/>
      </c>
      <c r="H148" s="59" t="n"/>
      <c r="I148" s="59" t="n"/>
      <c r="J148" s="59" t="n"/>
      <c r="K148" s="59" t="n"/>
      <c r="L148" s="65">
        <f>IF(SUM(U148:AY148)=0,"",SUM(U148:AY148))</f>
        <v/>
      </c>
      <c r="M148" s="66">
        <f>IFERROR(INDEX(U$2:AY$2,MATCH(TRUE,INDEX(U148:AY148&lt;&gt;"",0),0)),"")</f>
        <v/>
      </c>
      <c r="N148" s="66">
        <f>IFERROR(LOOKUP(2,1/(U148:AY148&lt;&gt;""),U$2:AY$2),"")</f>
        <v/>
      </c>
      <c r="O148" s="59" t="n"/>
      <c r="P148" s="59" t="n"/>
      <c r="Q148" s="59" t="n"/>
      <c r="R148" s="59" t="n"/>
      <c r="S148" s="14" t="n"/>
      <c r="U148" s="53" t="n"/>
      <c r="V148" s="53" t="n"/>
      <c r="W148" s="53" t="n"/>
      <c r="X148" s="53" t="n"/>
      <c r="Y148" s="53" t="n"/>
      <c r="Z148" s="53" t="n"/>
      <c r="AA148" s="53" t="n"/>
      <c r="AB148" s="53" t="n"/>
      <c r="AC148" s="53" t="n"/>
      <c r="AD148" s="53" t="n"/>
      <c r="AE148" s="53" t="n"/>
      <c r="AF148" s="53" t="n"/>
      <c r="AG148" s="53" t="n"/>
      <c r="AH148" s="53" t="n"/>
      <c r="AI148" s="53" t="n"/>
      <c r="AJ148" s="53" t="n"/>
      <c r="AK148" s="53" t="n"/>
      <c r="AL148" s="53" t="n"/>
      <c r="AM148" s="53" t="n"/>
      <c r="AN148" s="53" t="n"/>
      <c r="AO148" s="53" t="n"/>
      <c r="AP148" s="53" t="n"/>
      <c r="AQ148" s="53" t="n"/>
      <c r="AR148" s="53" t="n"/>
      <c r="AS148" s="53" t="n"/>
      <c r="AT148" s="53" t="n"/>
      <c r="AU148" s="53" t="n"/>
      <c r="AV148" s="53" t="n"/>
      <c r="AW148" s="53" t="n"/>
      <c r="AX148" s="53" t="n"/>
      <c r="AY148" s="53" t="n"/>
    </row>
    <row r="149" ht="15" customHeight="1">
      <c r="A149" s="40">
        <f>IF($D$149="","",47)</f>
        <v/>
      </c>
      <c r="B149" s="10" t="n"/>
      <c r="C149" s="41" t="inlineStr">
        <is>
          <t>마케팅3팀</t>
        </is>
      </c>
      <c r="D149" s="42" t="n"/>
      <c r="E149" s="43" t="inlineStr">
        <is>
          <t>기획</t>
        </is>
      </c>
      <c r="F149" s="44" t="n"/>
      <c r="G149" s="45" t="n"/>
      <c r="H149" s="46">
        <f>IF($I$149="","",IF($I$149&lt;0,"🔴지연",IF($I$149&lt;=1,"🟡임박","🟢여유")))</f>
        <v/>
      </c>
      <c r="I149" s="47">
        <f>IF(OR($G$149="",$K$149=""),"",$G$149-$K$149)</f>
        <v/>
      </c>
      <c r="J149" s="48">
        <f>IF(SUM($L$149:$L$151)=0,"",SUM($L$149:$L$151))</f>
        <v/>
      </c>
      <c r="K149" s="49">
        <f>IF($J$149="","",MAX($N$149:$N$151))</f>
        <v/>
      </c>
      <c r="L149" s="50">
        <f>IF(SUM(U149:AY149)=0,"",SUM(U149:AY149))</f>
        <v/>
      </c>
      <c r="M149" s="51">
        <f>IFERROR(INDEX(U$2:AY$2,MATCH(TRUE,INDEX(U149:AY149&lt;&gt;"",0),0)),"")</f>
        <v/>
      </c>
      <c r="N149" s="51">
        <f>IFERROR(LOOKUP(2,1/(U149:AY149&lt;&gt;""),U$2:AY$2),"")</f>
        <v/>
      </c>
      <c r="O149" s="52" t="n"/>
      <c r="P149" s="52" t="n"/>
      <c r="Q149" s="52" t="n"/>
      <c r="R149" s="44" t="n"/>
      <c r="S149" s="14" t="n"/>
      <c r="U149" s="53" t="n"/>
      <c r="V149" s="53" t="n"/>
      <c r="W149" s="53" t="n"/>
      <c r="X149" s="53" t="n"/>
      <c r="Y149" s="53" t="n"/>
      <c r="Z149" s="53" t="n"/>
      <c r="AA149" s="53" t="n"/>
      <c r="AB149" s="53" t="n"/>
      <c r="AC149" s="53" t="n"/>
      <c r="AD149" s="53" t="n"/>
      <c r="AE149" s="53" t="n"/>
      <c r="AF149" s="53" t="n"/>
      <c r="AG149" s="53" t="n"/>
      <c r="AH149" s="53" t="n"/>
      <c r="AI149" s="53" t="n"/>
      <c r="AJ149" s="53" t="n"/>
      <c r="AK149" s="53" t="n"/>
      <c r="AL149" s="53" t="n"/>
      <c r="AM149" s="53" t="n"/>
      <c r="AN149" s="53" t="n"/>
      <c r="AO149" s="53" t="n"/>
      <c r="AP149" s="53" t="n"/>
      <c r="AQ149" s="53" t="n"/>
      <c r="AR149" s="53" t="n"/>
      <c r="AS149" s="53" t="n"/>
      <c r="AT149" s="53" t="n"/>
      <c r="AU149" s="53" t="n"/>
      <c r="AV149" s="53" t="n"/>
      <c r="AW149" s="53" t="n"/>
      <c r="AX149" s="53" t="n"/>
      <c r="AY149" s="53" t="n"/>
    </row>
    <row r="150" ht="15" customHeight="1">
      <c r="A150" s="54" t="n"/>
      <c r="B150" s="55">
        <f>IF($B$149="","",$B$149)</f>
        <v/>
      </c>
      <c r="C150" s="56" t="inlineStr">
        <is>
          <t>마케팅3팀</t>
        </is>
      </c>
      <c r="D150" s="55">
        <f>IF($D$149="","",$D$149)</f>
        <v/>
      </c>
      <c r="E150" s="57" t="inlineStr">
        <is>
          <t>이미지</t>
        </is>
      </c>
      <c r="F150" s="44" t="n"/>
      <c r="G150" s="58">
        <f>IF($G$149="","",$G$149)</f>
        <v/>
      </c>
      <c r="H150" s="59" t="n"/>
      <c r="I150" s="59" t="n"/>
      <c r="J150" s="59" t="n"/>
      <c r="K150" s="59" t="n"/>
      <c r="L150" s="60">
        <f>IF(SUM(U150:AY150)=0,"",SUM(U150:AY150))</f>
        <v/>
      </c>
      <c r="M150" s="61">
        <f>IFERROR(INDEX(U$2:AY$2,MATCH(TRUE,INDEX(U150:AY150&lt;&gt;"",0),0)),"")</f>
        <v/>
      </c>
      <c r="N150" s="61">
        <f>IFERROR(LOOKUP(2,1/(U150:AY150&lt;&gt;""),U$2:AY$2),"")</f>
        <v/>
      </c>
      <c r="O150" s="59" t="n"/>
      <c r="P150" s="59" t="n"/>
      <c r="Q150" s="59" t="n"/>
      <c r="R150" s="59" t="n"/>
      <c r="S150" s="14" t="n"/>
      <c r="U150" s="53" t="n"/>
      <c r="V150" s="53" t="n"/>
      <c r="W150" s="53" t="n"/>
      <c r="X150" s="53" t="n"/>
      <c r="Y150" s="53" t="n"/>
      <c r="Z150" s="53" t="n"/>
      <c r="AA150" s="53" t="n"/>
      <c r="AB150" s="53" t="n"/>
      <c r="AC150" s="53" t="n"/>
      <c r="AD150" s="53" t="n"/>
      <c r="AE150" s="53" t="n"/>
      <c r="AF150" s="53" t="n"/>
      <c r="AG150" s="53" t="n"/>
      <c r="AH150" s="53" t="n"/>
      <c r="AI150" s="53" t="n"/>
      <c r="AJ150" s="53" t="n"/>
      <c r="AK150" s="53" t="n"/>
      <c r="AL150" s="53" t="n"/>
      <c r="AM150" s="53" t="n"/>
      <c r="AN150" s="53" t="n"/>
      <c r="AO150" s="53" t="n"/>
      <c r="AP150" s="53" t="n"/>
      <c r="AQ150" s="53" t="n"/>
      <c r="AR150" s="53" t="n"/>
      <c r="AS150" s="53" t="n"/>
      <c r="AT150" s="53" t="n"/>
      <c r="AU150" s="53" t="n"/>
      <c r="AV150" s="53" t="n"/>
      <c r="AW150" s="53" t="n"/>
      <c r="AX150" s="53" t="n"/>
      <c r="AY150" s="53" t="n"/>
    </row>
    <row r="151" ht="15" customHeight="1">
      <c r="A151" s="62" t="n"/>
      <c r="B151" s="55">
        <f>IF($B$149="","",$B$149)</f>
        <v/>
      </c>
      <c r="C151" s="63" t="inlineStr">
        <is>
          <t>마케팅3팀</t>
        </is>
      </c>
      <c r="D151" s="55">
        <f>IF($D$149="","",$D$149)</f>
        <v/>
      </c>
      <c r="E151" s="64" t="inlineStr">
        <is>
          <t>영상</t>
        </is>
      </c>
      <c r="F151" s="44" t="n"/>
      <c r="G151" s="58">
        <f>IF($G$149="","",$G$149)</f>
        <v/>
      </c>
      <c r="H151" s="59" t="n"/>
      <c r="I151" s="59" t="n"/>
      <c r="J151" s="59" t="n"/>
      <c r="K151" s="59" t="n"/>
      <c r="L151" s="65">
        <f>IF(SUM(U151:AY151)=0,"",SUM(U151:AY151))</f>
        <v/>
      </c>
      <c r="M151" s="66">
        <f>IFERROR(INDEX(U$2:AY$2,MATCH(TRUE,INDEX(U151:AY151&lt;&gt;"",0),0)),"")</f>
        <v/>
      </c>
      <c r="N151" s="66">
        <f>IFERROR(LOOKUP(2,1/(U151:AY151&lt;&gt;""),U$2:AY$2),"")</f>
        <v/>
      </c>
      <c r="O151" s="59" t="n"/>
      <c r="P151" s="59" t="n"/>
      <c r="Q151" s="59" t="n"/>
      <c r="R151" s="59" t="n"/>
      <c r="S151" s="14" t="n"/>
      <c r="U151" s="53" t="n"/>
      <c r="V151" s="53" t="n"/>
      <c r="W151" s="53" t="n"/>
      <c r="X151" s="53" t="n"/>
      <c r="Y151" s="53" t="n"/>
      <c r="Z151" s="53" t="n"/>
      <c r="AA151" s="53" t="n"/>
      <c r="AB151" s="53" t="n"/>
      <c r="AC151" s="53" t="n"/>
      <c r="AD151" s="53" t="n"/>
      <c r="AE151" s="53" t="n"/>
      <c r="AF151" s="53" t="n"/>
      <c r="AG151" s="53" t="n"/>
      <c r="AH151" s="53" t="n"/>
      <c r="AI151" s="53" t="n"/>
      <c r="AJ151" s="53" t="n"/>
      <c r="AK151" s="53" t="n"/>
      <c r="AL151" s="53" t="n"/>
      <c r="AM151" s="53" t="n"/>
      <c r="AN151" s="53" t="n"/>
      <c r="AO151" s="53" t="n"/>
      <c r="AP151" s="53" t="n"/>
      <c r="AQ151" s="53" t="n"/>
      <c r="AR151" s="53" t="n"/>
      <c r="AS151" s="53" t="n"/>
      <c r="AT151" s="53" t="n"/>
      <c r="AU151" s="53" t="n"/>
      <c r="AV151" s="53" t="n"/>
      <c r="AW151" s="53" t="n"/>
      <c r="AX151" s="53" t="n"/>
      <c r="AY151" s="53" t="n"/>
    </row>
    <row r="152" ht="15" customHeight="1">
      <c r="A152" s="40">
        <f>IF($D$152="","",48)</f>
        <v/>
      </c>
      <c r="B152" s="10" t="n"/>
      <c r="C152" s="41" t="inlineStr">
        <is>
          <t>마케팅3팀</t>
        </is>
      </c>
      <c r="D152" s="42" t="n"/>
      <c r="E152" s="43" t="inlineStr">
        <is>
          <t>기획</t>
        </is>
      </c>
      <c r="F152" s="44" t="n"/>
      <c r="G152" s="45" t="n"/>
      <c r="H152" s="46">
        <f>IF($I$152="","",IF($I$152&lt;0,"🔴지연",IF($I$152&lt;=1,"🟡임박","🟢여유")))</f>
        <v/>
      </c>
      <c r="I152" s="47">
        <f>IF(OR($G$152="",$K$152=""),"",$G$152-$K$152)</f>
        <v/>
      </c>
      <c r="J152" s="48">
        <f>IF(SUM($L$152:$L$154)=0,"",SUM($L$152:$L$154))</f>
        <v/>
      </c>
      <c r="K152" s="49">
        <f>IF($J$152="","",MAX($N$152:$N$154))</f>
        <v/>
      </c>
      <c r="L152" s="50">
        <f>IF(SUM(U152:AY152)=0,"",SUM(U152:AY152))</f>
        <v/>
      </c>
      <c r="M152" s="51">
        <f>IFERROR(INDEX(U$2:AY$2,MATCH(TRUE,INDEX(U152:AY152&lt;&gt;"",0),0)),"")</f>
        <v/>
      </c>
      <c r="N152" s="51">
        <f>IFERROR(LOOKUP(2,1/(U152:AY152&lt;&gt;""),U$2:AY$2),"")</f>
        <v/>
      </c>
      <c r="O152" s="52" t="n"/>
      <c r="P152" s="52" t="n"/>
      <c r="Q152" s="52" t="n"/>
      <c r="R152" s="44" t="n"/>
      <c r="S152" s="14" t="n"/>
      <c r="U152" s="53" t="n"/>
      <c r="V152" s="53" t="n"/>
      <c r="W152" s="53" t="n"/>
      <c r="X152" s="53" t="n"/>
      <c r="Y152" s="53" t="n"/>
      <c r="Z152" s="53" t="n"/>
      <c r="AA152" s="53" t="n"/>
      <c r="AB152" s="53" t="n"/>
      <c r="AC152" s="53" t="n"/>
      <c r="AD152" s="53" t="n"/>
      <c r="AE152" s="53" t="n"/>
      <c r="AF152" s="53" t="n"/>
      <c r="AG152" s="53" t="n"/>
      <c r="AH152" s="53" t="n"/>
      <c r="AI152" s="53" t="n"/>
      <c r="AJ152" s="53" t="n"/>
      <c r="AK152" s="53" t="n"/>
      <c r="AL152" s="53" t="n"/>
      <c r="AM152" s="53" t="n"/>
      <c r="AN152" s="53" t="n"/>
      <c r="AO152" s="53" t="n"/>
      <c r="AP152" s="53" t="n"/>
      <c r="AQ152" s="53" t="n"/>
      <c r="AR152" s="53" t="n"/>
      <c r="AS152" s="53" t="n"/>
      <c r="AT152" s="53" t="n"/>
      <c r="AU152" s="53" t="n"/>
      <c r="AV152" s="53" t="n"/>
      <c r="AW152" s="53" t="n"/>
      <c r="AX152" s="53" t="n"/>
      <c r="AY152" s="53" t="n"/>
    </row>
    <row r="153" ht="15" customHeight="1">
      <c r="A153" s="54" t="n"/>
      <c r="B153" s="55">
        <f>IF($B$152="","",$B$152)</f>
        <v/>
      </c>
      <c r="C153" s="56" t="inlineStr">
        <is>
          <t>마케팅3팀</t>
        </is>
      </c>
      <c r="D153" s="55">
        <f>IF($D$152="","",$D$152)</f>
        <v/>
      </c>
      <c r="E153" s="57" t="inlineStr">
        <is>
          <t>이미지</t>
        </is>
      </c>
      <c r="F153" s="44" t="n"/>
      <c r="G153" s="58">
        <f>IF($G$152="","",$G$152)</f>
        <v/>
      </c>
      <c r="H153" s="59" t="n"/>
      <c r="I153" s="59" t="n"/>
      <c r="J153" s="59" t="n"/>
      <c r="K153" s="59" t="n"/>
      <c r="L153" s="60">
        <f>IF(SUM(U153:AY153)=0,"",SUM(U153:AY153))</f>
        <v/>
      </c>
      <c r="M153" s="61">
        <f>IFERROR(INDEX(U$2:AY$2,MATCH(TRUE,INDEX(U153:AY153&lt;&gt;"",0),0)),"")</f>
        <v/>
      </c>
      <c r="N153" s="61">
        <f>IFERROR(LOOKUP(2,1/(U153:AY153&lt;&gt;""),U$2:AY$2),"")</f>
        <v/>
      </c>
      <c r="O153" s="59" t="n"/>
      <c r="P153" s="59" t="n"/>
      <c r="Q153" s="59" t="n"/>
      <c r="R153" s="59" t="n"/>
      <c r="S153" s="14" t="n"/>
      <c r="U153" s="53" t="n"/>
      <c r="V153" s="53" t="n"/>
      <c r="W153" s="53" t="n"/>
      <c r="X153" s="53" t="n"/>
      <c r="Y153" s="53" t="n"/>
      <c r="Z153" s="53" t="n"/>
      <c r="AA153" s="53" t="n"/>
      <c r="AB153" s="53" t="n"/>
      <c r="AC153" s="53" t="n"/>
      <c r="AD153" s="53" t="n"/>
      <c r="AE153" s="53" t="n"/>
      <c r="AF153" s="53" t="n"/>
      <c r="AG153" s="53" t="n"/>
      <c r="AH153" s="53" t="n"/>
      <c r="AI153" s="53" t="n"/>
      <c r="AJ153" s="53" t="n"/>
      <c r="AK153" s="53" t="n"/>
      <c r="AL153" s="53" t="n"/>
      <c r="AM153" s="53" t="n"/>
      <c r="AN153" s="53" t="n"/>
      <c r="AO153" s="53" t="n"/>
      <c r="AP153" s="53" t="n"/>
      <c r="AQ153" s="53" t="n"/>
      <c r="AR153" s="53" t="n"/>
      <c r="AS153" s="53" t="n"/>
      <c r="AT153" s="53" t="n"/>
      <c r="AU153" s="53" t="n"/>
      <c r="AV153" s="53" t="n"/>
      <c r="AW153" s="53" t="n"/>
      <c r="AX153" s="53" t="n"/>
      <c r="AY153" s="53" t="n"/>
    </row>
    <row r="154" ht="15" customHeight="1">
      <c r="A154" s="62" t="n"/>
      <c r="B154" s="55">
        <f>IF($B$152="","",$B$152)</f>
        <v/>
      </c>
      <c r="C154" s="63" t="inlineStr">
        <is>
          <t>마케팅3팀</t>
        </is>
      </c>
      <c r="D154" s="55">
        <f>IF($D$152="","",$D$152)</f>
        <v/>
      </c>
      <c r="E154" s="64" t="inlineStr">
        <is>
          <t>영상</t>
        </is>
      </c>
      <c r="F154" s="44" t="n"/>
      <c r="G154" s="58">
        <f>IF($G$152="","",$G$152)</f>
        <v/>
      </c>
      <c r="H154" s="59" t="n"/>
      <c r="I154" s="59" t="n"/>
      <c r="J154" s="59" t="n"/>
      <c r="K154" s="59" t="n"/>
      <c r="L154" s="65">
        <f>IF(SUM(U154:AY154)=0,"",SUM(U154:AY154))</f>
        <v/>
      </c>
      <c r="M154" s="66">
        <f>IFERROR(INDEX(U$2:AY$2,MATCH(TRUE,INDEX(U154:AY154&lt;&gt;"",0),0)),"")</f>
        <v/>
      </c>
      <c r="N154" s="66">
        <f>IFERROR(LOOKUP(2,1/(U154:AY154&lt;&gt;""),U$2:AY$2),"")</f>
        <v/>
      </c>
      <c r="O154" s="59" t="n"/>
      <c r="P154" s="59" t="n"/>
      <c r="Q154" s="59" t="n"/>
      <c r="R154" s="59" t="n"/>
      <c r="S154" s="14" t="n"/>
      <c r="U154" s="53" t="n"/>
      <c r="V154" s="53" t="n"/>
      <c r="W154" s="53" t="n"/>
      <c r="X154" s="53" t="n"/>
      <c r="Y154" s="53" t="n"/>
      <c r="Z154" s="53" t="n"/>
      <c r="AA154" s="53" t="n"/>
      <c r="AB154" s="53" t="n"/>
      <c r="AC154" s="53" t="n"/>
      <c r="AD154" s="53" t="n"/>
      <c r="AE154" s="53" t="n"/>
      <c r="AF154" s="53" t="n"/>
      <c r="AG154" s="53" t="n"/>
      <c r="AH154" s="53" t="n"/>
      <c r="AI154" s="53" t="n"/>
      <c r="AJ154" s="53" t="n"/>
      <c r="AK154" s="53" t="n"/>
      <c r="AL154" s="53" t="n"/>
      <c r="AM154" s="53" t="n"/>
      <c r="AN154" s="53" t="n"/>
      <c r="AO154" s="53" t="n"/>
      <c r="AP154" s="53" t="n"/>
      <c r="AQ154" s="53" t="n"/>
      <c r="AR154" s="53" t="n"/>
      <c r="AS154" s="53" t="n"/>
      <c r="AT154" s="53" t="n"/>
      <c r="AU154" s="53" t="n"/>
      <c r="AV154" s="53" t="n"/>
      <c r="AW154" s="53" t="n"/>
      <c r="AX154" s="53" t="n"/>
      <c r="AY154" s="53" t="n"/>
    </row>
    <row r="155" ht="15" customHeight="1">
      <c r="A155" s="40">
        <f>IF($D$155="","",49)</f>
        <v/>
      </c>
      <c r="B155" s="10" t="n"/>
      <c r="C155" s="41" t="inlineStr">
        <is>
          <t>마케팅3팀</t>
        </is>
      </c>
      <c r="D155" s="42" t="n"/>
      <c r="E155" s="43" t="inlineStr">
        <is>
          <t>기획</t>
        </is>
      </c>
      <c r="F155" s="44" t="n"/>
      <c r="G155" s="45" t="n"/>
      <c r="H155" s="46">
        <f>IF($I$155="","",IF($I$155&lt;0,"🔴지연",IF($I$155&lt;=1,"🟡임박","🟢여유")))</f>
        <v/>
      </c>
      <c r="I155" s="47">
        <f>IF(OR($G$155="",$K$155=""),"",$G$155-$K$155)</f>
        <v/>
      </c>
      <c r="J155" s="48">
        <f>IF(SUM($L$155:$L$157)=0,"",SUM($L$155:$L$157))</f>
        <v/>
      </c>
      <c r="K155" s="49">
        <f>IF($J$155="","",MAX($N$155:$N$157))</f>
        <v/>
      </c>
      <c r="L155" s="50">
        <f>IF(SUM(U155:AY155)=0,"",SUM(U155:AY155))</f>
        <v/>
      </c>
      <c r="M155" s="51">
        <f>IFERROR(INDEX(U$2:AY$2,MATCH(TRUE,INDEX(U155:AY155&lt;&gt;"",0),0)),"")</f>
        <v/>
      </c>
      <c r="N155" s="51">
        <f>IFERROR(LOOKUP(2,1/(U155:AY155&lt;&gt;""),U$2:AY$2),"")</f>
        <v/>
      </c>
      <c r="O155" s="52" t="n"/>
      <c r="P155" s="52" t="n"/>
      <c r="Q155" s="52" t="n"/>
      <c r="R155" s="44" t="n"/>
      <c r="S155" s="14" t="n"/>
      <c r="U155" s="53" t="n"/>
      <c r="V155" s="53" t="n"/>
      <c r="W155" s="53" t="n"/>
      <c r="X155" s="53" t="n"/>
      <c r="Y155" s="53" t="n"/>
      <c r="Z155" s="53" t="n"/>
      <c r="AA155" s="53" t="n"/>
      <c r="AB155" s="53" t="n"/>
      <c r="AC155" s="53" t="n"/>
      <c r="AD155" s="53" t="n"/>
      <c r="AE155" s="53" t="n"/>
      <c r="AF155" s="53" t="n"/>
      <c r="AG155" s="53" t="n"/>
      <c r="AH155" s="53" t="n"/>
      <c r="AI155" s="53" t="n"/>
      <c r="AJ155" s="53" t="n"/>
      <c r="AK155" s="53" t="n"/>
      <c r="AL155" s="53" t="n"/>
      <c r="AM155" s="53" t="n"/>
      <c r="AN155" s="53" t="n"/>
      <c r="AO155" s="53" t="n"/>
      <c r="AP155" s="53" t="n"/>
      <c r="AQ155" s="53" t="n"/>
      <c r="AR155" s="53" t="n"/>
      <c r="AS155" s="53" t="n"/>
      <c r="AT155" s="53" t="n"/>
      <c r="AU155" s="53" t="n"/>
      <c r="AV155" s="53" t="n"/>
      <c r="AW155" s="53" t="n"/>
      <c r="AX155" s="53" t="n"/>
      <c r="AY155" s="53" t="n"/>
    </row>
    <row r="156" ht="15" customHeight="1">
      <c r="A156" s="54" t="n"/>
      <c r="B156" s="55">
        <f>IF($B$155="","",$B$155)</f>
        <v/>
      </c>
      <c r="C156" s="56" t="inlineStr">
        <is>
          <t>마케팅3팀</t>
        </is>
      </c>
      <c r="D156" s="55">
        <f>IF($D$155="","",$D$155)</f>
        <v/>
      </c>
      <c r="E156" s="57" t="inlineStr">
        <is>
          <t>이미지</t>
        </is>
      </c>
      <c r="F156" s="44" t="n"/>
      <c r="G156" s="58">
        <f>IF($G$155="","",$G$155)</f>
        <v/>
      </c>
      <c r="H156" s="59" t="n"/>
      <c r="I156" s="59" t="n"/>
      <c r="J156" s="59" t="n"/>
      <c r="K156" s="59" t="n"/>
      <c r="L156" s="60">
        <f>IF(SUM(U156:AY156)=0,"",SUM(U156:AY156))</f>
        <v/>
      </c>
      <c r="M156" s="61">
        <f>IFERROR(INDEX(U$2:AY$2,MATCH(TRUE,INDEX(U156:AY156&lt;&gt;"",0),0)),"")</f>
        <v/>
      </c>
      <c r="N156" s="61">
        <f>IFERROR(LOOKUP(2,1/(U156:AY156&lt;&gt;""),U$2:AY$2),"")</f>
        <v/>
      </c>
      <c r="O156" s="59" t="n"/>
      <c r="P156" s="59" t="n"/>
      <c r="Q156" s="59" t="n"/>
      <c r="R156" s="59" t="n"/>
      <c r="S156" s="14" t="n"/>
      <c r="U156" s="53" t="n"/>
      <c r="V156" s="53" t="n"/>
      <c r="W156" s="53" t="n"/>
      <c r="X156" s="53" t="n"/>
      <c r="Y156" s="53" t="n"/>
      <c r="Z156" s="53" t="n"/>
      <c r="AA156" s="53" t="n"/>
      <c r="AB156" s="53" t="n"/>
      <c r="AC156" s="53" t="n"/>
      <c r="AD156" s="53" t="n"/>
      <c r="AE156" s="53" t="n"/>
      <c r="AF156" s="53" t="n"/>
      <c r="AG156" s="53" t="n"/>
      <c r="AH156" s="53" t="n"/>
      <c r="AI156" s="53" t="n"/>
      <c r="AJ156" s="53" t="n"/>
      <c r="AK156" s="53" t="n"/>
      <c r="AL156" s="53" t="n"/>
      <c r="AM156" s="53" t="n"/>
      <c r="AN156" s="53" t="n"/>
      <c r="AO156" s="53" t="n"/>
      <c r="AP156" s="53" t="n"/>
      <c r="AQ156" s="53" t="n"/>
      <c r="AR156" s="53" t="n"/>
      <c r="AS156" s="53" t="n"/>
      <c r="AT156" s="53" t="n"/>
      <c r="AU156" s="53" t="n"/>
      <c r="AV156" s="53" t="n"/>
      <c r="AW156" s="53" t="n"/>
      <c r="AX156" s="53" t="n"/>
      <c r="AY156" s="53" t="n"/>
    </row>
    <row r="157" ht="15" customHeight="1">
      <c r="A157" s="62" t="n"/>
      <c r="B157" s="55">
        <f>IF($B$155="","",$B$155)</f>
        <v/>
      </c>
      <c r="C157" s="63" t="inlineStr">
        <is>
          <t>마케팅3팀</t>
        </is>
      </c>
      <c r="D157" s="55">
        <f>IF($D$155="","",$D$155)</f>
        <v/>
      </c>
      <c r="E157" s="64" t="inlineStr">
        <is>
          <t>영상</t>
        </is>
      </c>
      <c r="F157" s="44" t="n"/>
      <c r="G157" s="58">
        <f>IF($G$155="","",$G$155)</f>
        <v/>
      </c>
      <c r="H157" s="59" t="n"/>
      <c r="I157" s="59" t="n"/>
      <c r="J157" s="59" t="n"/>
      <c r="K157" s="59" t="n"/>
      <c r="L157" s="65">
        <f>IF(SUM(U157:AY157)=0,"",SUM(U157:AY157))</f>
        <v/>
      </c>
      <c r="M157" s="66">
        <f>IFERROR(INDEX(U$2:AY$2,MATCH(TRUE,INDEX(U157:AY157&lt;&gt;"",0),0)),"")</f>
        <v/>
      </c>
      <c r="N157" s="66">
        <f>IFERROR(LOOKUP(2,1/(U157:AY157&lt;&gt;""),U$2:AY$2),"")</f>
        <v/>
      </c>
      <c r="O157" s="59" t="n"/>
      <c r="P157" s="59" t="n"/>
      <c r="Q157" s="59" t="n"/>
      <c r="R157" s="59" t="n"/>
      <c r="S157" s="14" t="n"/>
      <c r="U157" s="53" t="n"/>
      <c r="V157" s="53" t="n"/>
      <c r="W157" s="53" t="n"/>
      <c r="X157" s="53" t="n"/>
      <c r="Y157" s="53" t="n"/>
      <c r="Z157" s="53" t="n"/>
      <c r="AA157" s="53" t="n"/>
      <c r="AB157" s="53" t="n"/>
      <c r="AC157" s="53" t="n"/>
      <c r="AD157" s="53" t="n"/>
      <c r="AE157" s="53" t="n"/>
      <c r="AF157" s="53" t="n"/>
      <c r="AG157" s="53" t="n"/>
      <c r="AH157" s="53" t="n"/>
      <c r="AI157" s="53" t="n"/>
      <c r="AJ157" s="53" t="n"/>
      <c r="AK157" s="53" t="n"/>
      <c r="AL157" s="53" t="n"/>
      <c r="AM157" s="53" t="n"/>
      <c r="AN157" s="53" t="n"/>
      <c r="AO157" s="53" t="n"/>
      <c r="AP157" s="53" t="n"/>
      <c r="AQ157" s="53" t="n"/>
      <c r="AR157" s="53" t="n"/>
      <c r="AS157" s="53" t="n"/>
      <c r="AT157" s="53" t="n"/>
      <c r="AU157" s="53" t="n"/>
      <c r="AV157" s="53" t="n"/>
      <c r="AW157" s="53" t="n"/>
      <c r="AX157" s="53" t="n"/>
      <c r="AY157" s="53" t="n"/>
    </row>
    <row r="158" ht="15" customHeight="1">
      <c r="A158" s="40">
        <f>IF($D$158="","",50)</f>
        <v/>
      </c>
      <c r="B158" s="10" t="n"/>
      <c r="C158" s="41" t="inlineStr">
        <is>
          <t>마케팅3팀</t>
        </is>
      </c>
      <c r="D158" s="42" t="n"/>
      <c r="E158" s="43" t="inlineStr">
        <is>
          <t>기획</t>
        </is>
      </c>
      <c r="F158" s="44" t="n"/>
      <c r="G158" s="45" t="n"/>
      <c r="H158" s="46">
        <f>IF($I$158="","",IF($I$158&lt;0,"🔴지연",IF($I$158&lt;=1,"🟡임박","🟢여유")))</f>
        <v/>
      </c>
      <c r="I158" s="47">
        <f>IF(OR($G$158="",$K$158=""),"",$G$158-$K$158)</f>
        <v/>
      </c>
      <c r="J158" s="48">
        <f>IF(SUM($L$158:$L$160)=0,"",SUM($L$158:$L$160))</f>
        <v/>
      </c>
      <c r="K158" s="49">
        <f>IF($J$158="","",MAX($N$158:$N$160))</f>
        <v/>
      </c>
      <c r="L158" s="50">
        <f>IF(SUM(U158:AY158)=0,"",SUM(U158:AY158))</f>
        <v/>
      </c>
      <c r="M158" s="51">
        <f>IFERROR(INDEX(U$2:AY$2,MATCH(TRUE,INDEX(U158:AY158&lt;&gt;"",0),0)),"")</f>
        <v/>
      </c>
      <c r="N158" s="51">
        <f>IFERROR(LOOKUP(2,1/(U158:AY158&lt;&gt;""),U$2:AY$2),"")</f>
        <v/>
      </c>
      <c r="O158" s="52" t="n"/>
      <c r="P158" s="52" t="n"/>
      <c r="Q158" s="52" t="n"/>
      <c r="R158" s="44" t="n"/>
      <c r="S158" s="14" t="n"/>
      <c r="U158" s="53" t="n"/>
      <c r="V158" s="53" t="n"/>
      <c r="W158" s="53" t="n"/>
      <c r="X158" s="53" t="n"/>
      <c r="Y158" s="53" t="n"/>
      <c r="Z158" s="53" t="n"/>
      <c r="AA158" s="53" t="n"/>
      <c r="AB158" s="53" t="n"/>
      <c r="AC158" s="53" t="n"/>
      <c r="AD158" s="53" t="n"/>
      <c r="AE158" s="53" t="n"/>
      <c r="AF158" s="53" t="n"/>
      <c r="AG158" s="53" t="n"/>
      <c r="AH158" s="53" t="n"/>
      <c r="AI158" s="53" t="n"/>
      <c r="AJ158" s="53" t="n"/>
      <c r="AK158" s="53" t="n"/>
      <c r="AL158" s="53" t="n"/>
      <c r="AM158" s="53" t="n"/>
      <c r="AN158" s="53" t="n"/>
      <c r="AO158" s="53" t="n"/>
      <c r="AP158" s="53" t="n"/>
      <c r="AQ158" s="53" t="n"/>
      <c r="AR158" s="53" t="n"/>
      <c r="AS158" s="53" t="n"/>
      <c r="AT158" s="53" t="n"/>
      <c r="AU158" s="53" t="n"/>
      <c r="AV158" s="53" t="n"/>
      <c r="AW158" s="53" t="n"/>
      <c r="AX158" s="53" t="n"/>
      <c r="AY158" s="53" t="n"/>
    </row>
    <row r="159" ht="15" customHeight="1">
      <c r="A159" s="54" t="n"/>
      <c r="B159" s="55">
        <f>IF($B$158="","",$B$158)</f>
        <v/>
      </c>
      <c r="C159" s="56" t="inlineStr">
        <is>
          <t>마케팅3팀</t>
        </is>
      </c>
      <c r="D159" s="55">
        <f>IF($D$158="","",$D$158)</f>
        <v/>
      </c>
      <c r="E159" s="57" t="inlineStr">
        <is>
          <t>이미지</t>
        </is>
      </c>
      <c r="F159" s="44" t="n"/>
      <c r="G159" s="58">
        <f>IF($G$158="","",$G$158)</f>
        <v/>
      </c>
      <c r="H159" s="59" t="n"/>
      <c r="I159" s="59" t="n"/>
      <c r="J159" s="59" t="n"/>
      <c r="K159" s="59" t="n"/>
      <c r="L159" s="60">
        <f>IF(SUM(U159:AY159)=0,"",SUM(U159:AY159))</f>
        <v/>
      </c>
      <c r="M159" s="61">
        <f>IFERROR(INDEX(U$2:AY$2,MATCH(TRUE,INDEX(U159:AY159&lt;&gt;"",0),0)),"")</f>
        <v/>
      </c>
      <c r="N159" s="61">
        <f>IFERROR(LOOKUP(2,1/(U159:AY159&lt;&gt;""),U$2:AY$2),"")</f>
        <v/>
      </c>
      <c r="O159" s="59" t="n"/>
      <c r="P159" s="59" t="n"/>
      <c r="Q159" s="59" t="n"/>
      <c r="R159" s="59" t="n"/>
      <c r="S159" s="14" t="n"/>
      <c r="U159" s="53" t="n"/>
      <c r="V159" s="53" t="n"/>
      <c r="W159" s="53" t="n"/>
      <c r="X159" s="53" t="n"/>
      <c r="Y159" s="53" t="n"/>
      <c r="Z159" s="53" t="n"/>
      <c r="AA159" s="53" t="n"/>
      <c r="AB159" s="53" t="n"/>
      <c r="AC159" s="53" t="n"/>
      <c r="AD159" s="53" t="n"/>
      <c r="AE159" s="53" t="n"/>
      <c r="AF159" s="53" t="n"/>
      <c r="AG159" s="53" t="n"/>
      <c r="AH159" s="53" t="n"/>
      <c r="AI159" s="53" t="n"/>
      <c r="AJ159" s="53" t="n"/>
      <c r="AK159" s="53" t="n"/>
      <c r="AL159" s="53" t="n"/>
      <c r="AM159" s="53" t="n"/>
      <c r="AN159" s="53" t="n"/>
      <c r="AO159" s="53" t="n"/>
      <c r="AP159" s="53" t="n"/>
      <c r="AQ159" s="53" t="n"/>
      <c r="AR159" s="53" t="n"/>
      <c r="AS159" s="53" t="n"/>
      <c r="AT159" s="53" t="n"/>
      <c r="AU159" s="53" t="n"/>
      <c r="AV159" s="53" t="n"/>
      <c r="AW159" s="53" t="n"/>
      <c r="AX159" s="53" t="n"/>
      <c r="AY159" s="53" t="n"/>
    </row>
    <row r="160" ht="15" customHeight="1">
      <c r="A160" s="62" t="n"/>
      <c r="B160" s="55">
        <f>IF($B$158="","",$B$158)</f>
        <v/>
      </c>
      <c r="C160" s="63" t="inlineStr">
        <is>
          <t>마케팅3팀</t>
        </is>
      </c>
      <c r="D160" s="55">
        <f>IF($D$158="","",$D$158)</f>
        <v/>
      </c>
      <c r="E160" s="64" t="inlineStr">
        <is>
          <t>영상</t>
        </is>
      </c>
      <c r="F160" s="44" t="n"/>
      <c r="G160" s="58">
        <f>IF($G$158="","",$G$158)</f>
        <v/>
      </c>
      <c r="H160" s="59" t="n"/>
      <c r="I160" s="59" t="n"/>
      <c r="J160" s="59" t="n"/>
      <c r="K160" s="59" t="n"/>
      <c r="L160" s="65">
        <f>IF(SUM(U160:AY160)=0,"",SUM(U160:AY160))</f>
        <v/>
      </c>
      <c r="M160" s="66">
        <f>IFERROR(INDEX(U$2:AY$2,MATCH(TRUE,INDEX(U160:AY160&lt;&gt;"",0),0)),"")</f>
        <v/>
      </c>
      <c r="N160" s="66">
        <f>IFERROR(LOOKUP(2,1/(U160:AY160&lt;&gt;""),U$2:AY$2),"")</f>
        <v/>
      </c>
      <c r="O160" s="59" t="n"/>
      <c r="P160" s="59" t="n"/>
      <c r="Q160" s="59" t="n"/>
      <c r="R160" s="59" t="n"/>
      <c r="S160" s="14" t="n"/>
      <c r="U160" s="53" t="n"/>
      <c r="V160" s="53" t="n"/>
      <c r="W160" s="53" t="n"/>
      <c r="X160" s="53" t="n"/>
      <c r="Y160" s="53" t="n"/>
      <c r="Z160" s="53" t="n"/>
      <c r="AA160" s="53" t="n"/>
      <c r="AB160" s="53" t="n"/>
      <c r="AC160" s="53" t="n"/>
      <c r="AD160" s="53" t="n"/>
      <c r="AE160" s="53" t="n"/>
      <c r="AF160" s="53" t="n"/>
      <c r="AG160" s="53" t="n"/>
      <c r="AH160" s="53" t="n"/>
      <c r="AI160" s="53" t="n"/>
      <c r="AJ160" s="53" t="n"/>
      <c r="AK160" s="53" t="n"/>
      <c r="AL160" s="53" t="n"/>
      <c r="AM160" s="53" t="n"/>
      <c r="AN160" s="53" t="n"/>
      <c r="AO160" s="53" t="n"/>
      <c r="AP160" s="53" t="n"/>
      <c r="AQ160" s="53" t="n"/>
      <c r="AR160" s="53" t="n"/>
      <c r="AS160" s="53" t="n"/>
      <c r="AT160" s="53" t="n"/>
      <c r="AU160" s="53" t="n"/>
      <c r="AV160" s="53" t="n"/>
      <c r="AW160" s="53" t="n"/>
      <c r="AX160" s="53" t="n"/>
      <c r="AY160" s="53" t="n"/>
    </row>
    <row r="161" ht="15" customHeight="1">
      <c r="A161" s="40">
        <f>IF($D$161="","",51)</f>
        <v/>
      </c>
      <c r="B161" s="10" t="n"/>
      <c r="C161" s="41" t="inlineStr">
        <is>
          <t>마케팅3팀</t>
        </is>
      </c>
      <c r="D161" s="42" t="n"/>
      <c r="E161" s="43" t="inlineStr">
        <is>
          <t>기획</t>
        </is>
      </c>
      <c r="F161" s="44" t="n"/>
      <c r="G161" s="45" t="n"/>
      <c r="H161" s="46">
        <f>IF($I$161="","",IF($I$161&lt;0,"🔴지연",IF($I$161&lt;=1,"🟡임박","🟢여유")))</f>
        <v/>
      </c>
      <c r="I161" s="47">
        <f>IF(OR($G$161="",$K$161=""),"",$G$161-$K$161)</f>
        <v/>
      </c>
      <c r="J161" s="48">
        <f>IF(SUM($L$161:$L$163)=0,"",SUM($L$161:$L$163))</f>
        <v/>
      </c>
      <c r="K161" s="49">
        <f>IF($J$161="","",MAX($N$161:$N$163))</f>
        <v/>
      </c>
      <c r="L161" s="50">
        <f>IF(SUM(U161:AY161)=0,"",SUM(U161:AY161))</f>
        <v/>
      </c>
      <c r="M161" s="51">
        <f>IFERROR(INDEX(U$2:AY$2,MATCH(TRUE,INDEX(U161:AY161&lt;&gt;"",0),0)),"")</f>
        <v/>
      </c>
      <c r="N161" s="51">
        <f>IFERROR(LOOKUP(2,1/(U161:AY161&lt;&gt;""),U$2:AY$2),"")</f>
        <v/>
      </c>
      <c r="O161" s="52" t="n"/>
      <c r="P161" s="52" t="n"/>
      <c r="Q161" s="52" t="n"/>
      <c r="R161" s="44" t="n"/>
      <c r="S161" s="14" t="n"/>
      <c r="U161" s="53" t="n"/>
      <c r="V161" s="53" t="n"/>
      <c r="W161" s="53" t="n"/>
      <c r="X161" s="53" t="n"/>
      <c r="Y161" s="53" t="n"/>
      <c r="Z161" s="53" t="n"/>
      <c r="AA161" s="53" t="n"/>
      <c r="AB161" s="53" t="n"/>
      <c r="AC161" s="53" t="n"/>
      <c r="AD161" s="53" t="n"/>
      <c r="AE161" s="53" t="n"/>
      <c r="AF161" s="53" t="n"/>
      <c r="AG161" s="53" t="n"/>
      <c r="AH161" s="53" t="n"/>
      <c r="AI161" s="53" t="n"/>
      <c r="AJ161" s="53" t="n"/>
      <c r="AK161" s="53" t="n"/>
      <c r="AL161" s="53" t="n"/>
      <c r="AM161" s="53" t="n"/>
      <c r="AN161" s="53" t="n"/>
      <c r="AO161" s="53" t="n"/>
      <c r="AP161" s="53" t="n"/>
      <c r="AQ161" s="53" t="n"/>
      <c r="AR161" s="53" t="n"/>
      <c r="AS161" s="53" t="n"/>
      <c r="AT161" s="53" t="n"/>
      <c r="AU161" s="53" t="n"/>
      <c r="AV161" s="53" t="n"/>
      <c r="AW161" s="53" t="n"/>
      <c r="AX161" s="53" t="n"/>
      <c r="AY161" s="53" t="n"/>
    </row>
    <row r="162" ht="15" customHeight="1">
      <c r="A162" s="54" t="n"/>
      <c r="B162" s="55">
        <f>IF($B$161="","",$B$161)</f>
        <v/>
      </c>
      <c r="C162" s="56" t="inlineStr">
        <is>
          <t>마케팅3팀</t>
        </is>
      </c>
      <c r="D162" s="55">
        <f>IF($D$161="","",$D$161)</f>
        <v/>
      </c>
      <c r="E162" s="57" t="inlineStr">
        <is>
          <t>이미지</t>
        </is>
      </c>
      <c r="F162" s="44" t="n"/>
      <c r="G162" s="58">
        <f>IF($G$161="","",$G$161)</f>
        <v/>
      </c>
      <c r="H162" s="59" t="n"/>
      <c r="I162" s="59" t="n"/>
      <c r="J162" s="59" t="n"/>
      <c r="K162" s="59" t="n"/>
      <c r="L162" s="60">
        <f>IF(SUM(U162:AY162)=0,"",SUM(U162:AY162))</f>
        <v/>
      </c>
      <c r="M162" s="61">
        <f>IFERROR(INDEX(U$2:AY$2,MATCH(TRUE,INDEX(U162:AY162&lt;&gt;"",0),0)),"")</f>
        <v/>
      </c>
      <c r="N162" s="61">
        <f>IFERROR(LOOKUP(2,1/(U162:AY162&lt;&gt;""),U$2:AY$2),"")</f>
        <v/>
      </c>
      <c r="O162" s="59" t="n"/>
      <c r="P162" s="59" t="n"/>
      <c r="Q162" s="59" t="n"/>
      <c r="R162" s="59" t="n"/>
      <c r="S162" s="14" t="n"/>
      <c r="U162" s="53" t="n"/>
      <c r="V162" s="53" t="n"/>
      <c r="W162" s="53" t="n"/>
      <c r="X162" s="53" t="n"/>
      <c r="Y162" s="53" t="n"/>
      <c r="Z162" s="53" t="n"/>
      <c r="AA162" s="53" t="n"/>
      <c r="AB162" s="53" t="n"/>
      <c r="AC162" s="53" t="n"/>
      <c r="AD162" s="53" t="n"/>
      <c r="AE162" s="53" t="n"/>
      <c r="AF162" s="53" t="n"/>
      <c r="AG162" s="53" t="n"/>
      <c r="AH162" s="53" t="n"/>
      <c r="AI162" s="53" t="n"/>
      <c r="AJ162" s="53" t="n"/>
      <c r="AK162" s="53" t="n"/>
      <c r="AL162" s="53" t="n"/>
      <c r="AM162" s="53" t="n"/>
      <c r="AN162" s="53" t="n"/>
      <c r="AO162" s="53" t="n"/>
      <c r="AP162" s="53" t="n"/>
      <c r="AQ162" s="53" t="n"/>
      <c r="AR162" s="53" t="n"/>
      <c r="AS162" s="53" t="n"/>
      <c r="AT162" s="53" t="n"/>
      <c r="AU162" s="53" t="n"/>
      <c r="AV162" s="53" t="n"/>
      <c r="AW162" s="53" t="n"/>
      <c r="AX162" s="53" t="n"/>
      <c r="AY162" s="53" t="n"/>
    </row>
    <row r="163" ht="15" customHeight="1">
      <c r="A163" s="62" t="n"/>
      <c r="B163" s="55">
        <f>IF($B$161="","",$B$161)</f>
        <v/>
      </c>
      <c r="C163" s="63" t="inlineStr">
        <is>
          <t>마케팅3팀</t>
        </is>
      </c>
      <c r="D163" s="55">
        <f>IF($D$161="","",$D$161)</f>
        <v/>
      </c>
      <c r="E163" s="64" t="inlineStr">
        <is>
          <t>영상</t>
        </is>
      </c>
      <c r="F163" s="44" t="n"/>
      <c r="G163" s="58">
        <f>IF($G$161="","",$G$161)</f>
        <v/>
      </c>
      <c r="H163" s="59" t="n"/>
      <c r="I163" s="59" t="n"/>
      <c r="J163" s="59" t="n"/>
      <c r="K163" s="59" t="n"/>
      <c r="L163" s="65">
        <f>IF(SUM(U163:AY163)=0,"",SUM(U163:AY163))</f>
        <v/>
      </c>
      <c r="M163" s="66">
        <f>IFERROR(INDEX(U$2:AY$2,MATCH(TRUE,INDEX(U163:AY163&lt;&gt;"",0),0)),"")</f>
        <v/>
      </c>
      <c r="N163" s="66">
        <f>IFERROR(LOOKUP(2,1/(U163:AY163&lt;&gt;""),U$2:AY$2),"")</f>
        <v/>
      </c>
      <c r="O163" s="59" t="n"/>
      <c r="P163" s="59" t="n"/>
      <c r="Q163" s="59" t="n"/>
      <c r="R163" s="59" t="n"/>
      <c r="S163" s="14" t="n"/>
      <c r="U163" s="53" t="n"/>
      <c r="V163" s="53" t="n"/>
      <c r="W163" s="53" t="n"/>
      <c r="X163" s="53" t="n"/>
      <c r="Y163" s="53" t="n"/>
      <c r="Z163" s="53" t="n"/>
      <c r="AA163" s="53" t="n"/>
      <c r="AB163" s="53" t="n"/>
      <c r="AC163" s="53" t="n"/>
      <c r="AD163" s="53" t="n"/>
      <c r="AE163" s="53" t="n"/>
      <c r="AF163" s="53" t="n"/>
      <c r="AG163" s="53" t="n"/>
      <c r="AH163" s="53" t="n"/>
      <c r="AI163" s="53" t="n"/>
      <c r="AJ163" s="53" t="n"/>
      <c r="AK163" s="53" t="n"/>
      <c r="AL163" s="53" t="n"/>
      <c r="AM163" s="53" t="n"/>
      <c r="AN163" s="53" t="n"/>
      <c r="AO163" s="53" t="n"/>
      <c r="AP163" s="53" t="n"/>
      <c r="AQ163" s="53" t="n"/>
      <c r="AR163" s="53" t="n"/>
      <c r="AS163" s="53" t="n"/>
      <c r="AT163" s="53" t="n"/>
      <c r="AU163" s="53" t="n"/>
      <c r="AV163" s="53" t="n"/>
      <c r="AW163" s="53" t="n"/>
      <c r="AX163" s="53" t="n"/>
      <c r="AY163" s="53" t="n"/>
    </row>
    <row r="164" ht="15" customHeight="1">
      <c r="A164" s="40">
        <f>IF($D$164="","",52)</f>
        <v/>
      </c>
      <c r="B164" s="10" t="n"/>
      <c r="C164" s="41" t="inlineStr">
        <is>
          <t>마케팅3팀</t>
        </is>
      </c>
      <c r="D164" s="42" t="n"/>
      <c r="E164" s="43" t="inlineStr">
        <is>
          <t>기획</t>
        </is>
      </c>
      <c r="F164" s="44" t="n"/>
      <c r="G164" s="45" t="n"/>
      <c r="H164" s="46">
        <f>IF($I$164="","",IF($I$164&lt;0,"🔴지연",IF($I$164&lt;=1,"🟡임박","🟢여유")))</f>
        <v/>
      </c>
      <c r="I164" s="47">
        <f>IF(OR($G$164="",$K$164=""),"",$G$164-$K$164)</f>
        <v/>
      </c>
      <c r="J164" s="48">
        <f>IF(SUM($L$164:$L$166)=0,"",SUM($L$164:$L$166))</f>
        <v/>
      </c>
      <c r="K164" s="49">
        <f>IF($J$164="","",MAX($N$164:$N$166))</f>
        <v/>
      </c>
      <c r="L164" s="50">
        <f>IF(SUM(U164:AY164)=0,"",SUM(U164:AY164))</f>
        <v/>
      </c>
      <c r="M164" s="51">
        <f>IFERROR(INDEX(U$2:AY$2,MATCH(TRUE,INDEX(U164:AY164&lt;&gt;"",0),0)),"")</f>
        <v/>
      </c>
      <c r="N164" s="51">
        <f>IFERROR(LOOKUP(2,1/(U164:AY164&lt;&gt;""),U$2:AY$2),"")</f>
        <v/>
      </c>
      <c r="O164" s="52" t="n"/>
      <c r="P164" s="52" t="n"/>
      <c r="Q164" s="52" t="n"/>
      <c r="R164" s="44" t="n"/>
      <c r="S164" s="14" t="n"/>
      <c r="U164" s="53" t="n"/>
      <c r="V164" s="53" t="n"/>
      <c r="W164" s="53" t="n"/>
      <c r="X164" s="53" t="n"/>
      <c r="Y164" s="53" t="n"/>
      <c r="Z164" s="53" t="n"/>
      <c r="AA164" s="53" t="n"/>
      <c r="AB164" s="53" t="n"/>
      <c r="AC164" s="53" t="n"/>
      <c r="AD164" s="53" t="n"/>
      <c r="AE164" s="53" t="n"/>
      <c r="AF164" s="53" t="n"/>
      <c r="AG164" s="53" t="n"/>
      <c r="AH164" s="53" t="n"/>
      <c r="AI164" s="53" t="n"/>
      <c r="AJ164" s="53" t="n"/>
      <c r="AK164" s="53" t="n"/>
      <c r="AL164" s="53" t="n"/>
      <c r="AM164" s="53" t="n"/>
      <c r="AN164" s="53" t="n"/>
      <c r="AO164" s="53" t="n"/>
      <c r="AP164" s="53" t="n"/>
      <c r="AQ164" s="53" t="n"/>
      <c r="AR164" s="53" t="n"/>
      <c r="AS164" s="53" t="n"/>
      <c r="AT164" s="53" t="n"/>
      <c r="AU164" s="53" t="n"/>
      <c r="AV164" s="53" t="n"/>
      <c r="AW164" s="53" t="n"/>
      <c r="AX164" s="53" t="n"/>
      <c r="AY164" s="53" t="n"/>
    </row>
    <row r="165" ht="15" customHeight="1">
      <c r="A165" s="54" t="n"/>
      <c r="B165" s="55">
        <f>IF($B$164="","",$B$164)</f>
        <v/>
      </c>
      <c r="C165" s="56" t="inlineStr">
        <is>
          <t>마케팅3팀</t>
        </is>
      </c>
      <c r="D165" s="55">
        <f>IF($D$164="","",$D$164)</f>
        <v/>
      </c>
      <c r="E165" s="57" t="inlineStr">
        <is>
          <t>이미지</t>
        </is>
      </c>
      <c r="F165" s="44" t="n"/>
      <c r="G165" s="58">
        <f>IF($G$164="","",$G$164)</f>
        <v/>
      </c>
      <c r="H165" s="59" t="n"/>
      <c r="I165" s="59" t="n"/>
      <c r="J165" s="59" t="n"/>
      <c r="K165" s="59" t="n"/>
      <c r="L165" s="60">
        <f>IF(SUM(U165:AY165)=0,"",SUM(U165:AY165))</f>
        <v/>
      </c>
      <c r="M165" s="61">
        <f>IFERROR(INDEX(U$2:AY$2,MATCH(TRUE,INDEX(U165:AY165&lt;&gt;"",0),0)),"")</f>
        <v/>
      </c>
      <c r="N165" s="61">
        <f>IFERROR(LOOKUP(2,1/(U165:AY165&lt;&gt;""),U$2:AY$2),"")</f>
        <v/>
      </c>
      <c r="O165" s="59" t="n"/>
      <c r="P165" s="59" t="n"/>
      <c r="Q165" s="59" t="n"/>
      <c r="R165" s="59" t="n"/>
      <c r="S165" s="14" t="n"/>
      <c r="U165" s="53" t="n"/>
      <c r="V165" s="53" t="n"/>
      <c r="W165" s="53" t="n"/>
      <c r="X165" s="53" t="n"/>
      <c r="Y165" s="53" t="n"/>
      <c r="Z165" s="53" t="n"/>
      <c r="AA165" s="53" t="n"/>
      <c r="AB165" s="53" t="n"/>
      <c r="AC165" s="53" t="n"/>
      <c r="AD165" s="53" t="n"/>
      <c r="AE165" s="53" t="n"/>
      <c r="AF165" s="53" t="n"/>
      <c r="AG165" s="53" t="n"/>
      <c r="AH165" s="53" t="n"/>
      <c r="AI165" s="53" t="n"/>
      <c r="AJ165" s="53" t="n"/>
      <c r="AK165" s="53" t="n"/>
      <c r="AL165" s="53" t="n"/>
      <c r="AM165" s="53" t="n"/>
      <c r="AN165" s="53" t="n"/>
      <c r="AO165" s="53" t="n"/>
      <c r="AP165" s="53" t="n"/>
      <c r="AQ165" s="53" t="n"/>
      <c r="AR165" s="53" t="n"/>
      <c r="AS165" s="53" t="n"/>
      <c r="AT165" s="53" t="n"/>
      <c r="AU165" s="53" t="n"/>
      <c r="AV165" s="53" t="n"/>
      <c r="AW165" s="53" t="n"/>
      <c r="AX165" s="53" t="n"/>
      <c r="AY165" s="53" t="n"/>
    </row>
    <row r="166" ht="15" customHeight="1">
      <c r="A166" s="62" t="n"/>
      <c r="B166" s="55">
        <f>IF($B$164="","",$B$164)</f>
        <v/>
      </c>
      <c r="C166" s="63" t="inlineStr">
        <is>
          <t>마케팅3팀</t>
        </is>
      </c>
      <c r="D166" s="55">
        <f>IF($D$164="","",$D$164)</f>
        <v/>
      </c>
      <c r="E166" s="64" t="inlineStr">
        <is>
          <t>영상</t>
        </is>
      </c>
      <c r="F166" s="44" t="n"/>
      <c r="G166" s="58">
        <f>IF($G$164="","",$G$164)</f>
        <v/>
      </c>
      <c r="H166" s="59" t="n"/>
      <c r="I166" s="59" t="n"/>
      <c r="J166" s="59" t="n"/>
      <c r="K166" s="59" t="n"/>
      <c r="L166" s="65">
        <f>IF(SUM(U166:AY166)=0,"",SUM(U166:AY166))</f>
        <v/>
      </c>
      <c r="M166" s="66">
        <f>IFERROR(INDEX(U$2:AY$2,MATCH(TRUE,INDEX(U166:AY166&lt;&gt;"",0),0)),"")</f>
        <v/>
      </c>
      <c r="N166" s="66">
        <f>IFERROR(LOOKUP(2,1/(U166:AY166&lt;&gt;""),U$2:AY$2),"")</f>
        <v/>
      </c>
      <c r="O166" s="59" t="n"/>
      <c r="P166" s="59" t="n"/>
      <c r="Q166" s="59" t="n"/>
      <c r="R166" s="59" t="n"/>
      <c r="S166" s="14" t="n"/>
      <c r="U166" s="53" t="n"/>
      <c r="V166" s="53" t="n"/>
      <c r="W166" s="53" t="n"/>
      <c r="X166" s="53" t="n"/>
      <c r="Y166" s="53" t="n"/>
      <c r="Z166" s="53" t="n"/>
      <c r="AA166" s="53" t="n"/>
      <c r="AB166" s="53" t="n"/>
      <c r="AC166" s="53" t="n"/>
      <c r="AD166" s="53" t="n"/>
      <c r="AE166" s="53" t="n"/>
      <c r="AF166" s="53" t="n"/>
      <c r="AG166" s="53" t="n"/>
      <c r="AH166" s="53" t="n"/>
      <c r="AI166" s="53" t="n"/>
      <c r="AJ166" s="53" t="n"/>
      <c r="AK166" s="53" t="n"/>
      <c r="AL166" s="53" t="n"/>
      <c r="AM166" s="53" t="n"/>
      <c r="AN166" s="53" t="n"/>
      <c r="AO166" s="53" t="n"/>
      <c r="AP166" s="53" t="n"/>
      <c r="AQ166" s="53" t="n"/>
      <c r="AR166" s="53" t="n"/>
      <c r="AS166" s="53" t="n"/>
      <c r="AT166" s="53" t="n"/>
      <c r="AU166" s="53" t="n"/>
      <c r="AV166" s="53" t="n"/>
      <c r="AW166" s="53" t="n"/>
      <c r="AX166" s="53" t="n"/>
      <c r="AY166" s="53" t="n"/>
    </row>
    <row r="167" ht="15" customHeight="1">
      <c r="A167" s="40">
        <f>IF($D$167="","",53)</f>
        <v/>
      </c>
      <c r="B167" s="10" t="n"/>
      <c r="C167" s="41" t="inlineStr">
        <is>
          <t>마케팅3팀</t>
        </is>
      </c>
      <c r="D167" s="42" t="n"/>
      <c r="E167" s="43" t="inlineStr">
        <is>
          <t>기획</t>
        </is>
      </c>
      <c r="F167" s="44" t="n"/>
      <c r="G167" s="45" t="n"/>
      <c r="H167" s="46">
        <f>IF($I$167="","",IF($I$167&lt;0,"🔴지연",IF($I$167&lt;=1,"🟡임박","🟢여유")))</f>
        <v/>
      </c>
      <c r="I167" s="47">
        <f>IF(OR($G$167="",$K$167=""),"",$G$167-$K$167)</f>
        <v/>
      </c>
      <c r="J167" s="48">
        <f>IF(SUM($L$167:$L$169)=0,"",SUM($L$167:$L$169))</f>
        <v/>
      </c>
      <c r="K167" s="49">
        <f>IF($J$167="","",MAX($N$167:$N$169))</f>
        <v/>
      </c>
      <c r="L167" s="50">
        <f>IF(SUM(U167:AY167)=0,"",SUM(U167:AY167))</f>
        <v/>
      </c>
      <c r="M167" s="51">
        <f>IFERROR(INDEX(U$2:AY$2,MATCH(TRUE,INDEX(U167:AY167&lt;&gt;"",0),0)),"")</f>
        <v/>
      </c>
      <c r="N167" s="51">
        <f>IFERROR(LOOKUP(2,1/(U167:AY167&lt;&gt;""),U$2:AY$2),"")</f>
        <v/>
      </c>
      <c r="O167" s="52" t="n"/>
      <c r="P167" s="52" t="n"/>
      <c r="Q167" s="52" t="n"/>
      <c r="R167" s="44" t="n"/>
      <c r="S167" s="14" t="n"/>
      <c r="U167" s="53" t="n"/>
      <c r="V167" s="53" t="n"/>
      <c r="W167" s="53" t="n"/>
      <c r="X167" s="53" t="n"/>
      <c r="Y167" s="53" t="n"/>
      <c r="Z167" s="53" t="n"/>
      <c r="AA167" s="53" t="n"/>
      <c r="AB167" s="53" t="n"/>
      <c r="AC167" s="53" t="n"/>
      <c r="AD167" s="53" t="n"/>
      <c r="AE167" s="53" t="n"/>
      <c r="AF167" s="53" t="n"/>
      <c r="AG167" s="53" t="n"/>
      <c r="AH167" s="53" t="n"/>
      <c r="AI167" s="53" t="n"/>
      <c r="AJ167" s="53" t="n"/>
      <c r="AK167" s="53" t="n"/>
      <c r="AL167" s="53" t="n"/>
      <c r="AM167" s="53" t="n"/>
      <c r="AN167" s="53" t="n"/>
      <c r="AO167" s="53" t="n"/>
      <c r="AP167" s="53" t="n"/>
      <c r="AQ167" s="53" t="n"/>
      <c r="AR167" s="53" t="n"/>
      <c r="AS167" s="53" t="n"/>
      <c r="AT167" s="53" t="n"/>
      <c r="AU167" s="53" t="n"/>
      <c r="AV167" s="53" t="n"/>
      <c r="AW167" s="53" t="n"/>
      <c r="AX167" s="53" t="n"/>
      <c r="AY167" s="53" t="n"/>
    </row>
    <row r="168" ht="15" customHeight="1">
      <c r="A168" s="54" t="n"/>
      <c r="B168" s="55">
        <f>IF($B$167="","",$B$167)</f>
        <v/>
      </c>
      <c r="C168" s="56" t="inlineStr">
        <is>
          <t>마케팅3팀</t>
        </is>
      </c>
      <c r="D168" s="55">
        <f>IF($D$167="","",$D$167)</f>
        <v/>
      </c>
      <c r="E168" s="57" t="inlineStr">
        <is>
          <t>이미지</t>
        </is>
      </c>
      <c r="F168" s="44" t="n"/>
      <c r="G168" s="58">
        <f>IF($G$167="","",$G$167)</f>
        <v/>
      </c>
      <c r="H168" s="59" t="n"/>
      <c r="I168" s="59" t="n"/>
      <c r="J168" s="59" t="n"/>
      <c r="K168" s="59" t="n"/>
      <c r="L168" s="60">
        <f>IF(SUM(U168:AY168)=0,"",SUM(U168:AY168))</f>
        <v/>
      </c>
      <c r="M168" s="61">
        <f>IFERROR(INDEX(U$2:AY$2,MATCH(TRUE,INDEX(U168:AY168&lt;&gt;"",0),0)),"")</f>
        <v/>
      </c>
      <c r="N168" s="61">
        <f>IFERROR(LOOKUP(2,1/(U168:AY168&lt;&gt;""),U$2:AY$2),"")</f>
        <v/>
      </c>
      <c r="O168" s="59" t="n"/>
      <c r="P168" s="59" t="n"/>
      <c r="Q168" s="59" t="n"/>
      <c r="R168" s="59" t="n"/>
      <c r="S168" s="14" t="n"/>
      <c r="U168" s="53" t="n"/>
      <c r="V168" s="53" t="n"/>
      <c r="W168" s="53" t="n"/>
      <c r="X168" s="53" t="n"/>
      <c r="Y168" s="53" t="n"/>
      <c r="Z168" s="53" t="n"/>
      <c r="AA168" s="53" t="n"/>
      <c r="AB168" s="53" t="n"/>
      <c r="AC168" s="53" t="n"/>
      <c r="AD168" s="53" t="n"/>
      <c r="AE168" s="53" t="n"/>
      <c r="AF168" s="53" t="n"/>
      <c r="AG168" s="53" t="n"/>
      <c r="AH168" s="53" t="n"/>
      <c r="AI168" s="53" t="n"/>
      <c r="AJ168" s="53" t="n"/>
      <c r="AK168" s="53" t="n"/>
      <c r="AL168" s="53" t="n"/>
      <c r="AM168" s="53" t="n"/>
      <c r="AN168" s="53" t="n"/>
      <c r="AO168" s="53" t="n"/>
      <c r="AP168" s="53" t="n"/>
      <c r="AQ168" s="53" t="n"/>
      <c r="AR168" s="53" t="n"/>
      <c r="AS168" s="53" t="n"/>
      <c r="AT168" s="53" t="n"/>
      <c r="AU168" s="53" t="n"/>
      <c r="AV168" s="53" t="n"/>
      <c r="AW168" s="53" t="n"/>
      <c r="AX168" s="53" t="n"/>
      <c r="AY168" s="53" t="n"/>
    </row>
    <row r="169" ht="15" customHeight="1">
      <c r="A169" s="62" t="n"/>
      <c r="B169" s="55">
        <f>IF($B$167="","",$B$167)</f>
        <v/>
      </c>
      <c r="C169" s="63" t="inlineStr">
        <is>
          <t>마케팅3팀</t>
        </is>
      </c>
      <c r="D169" s="55">
        <f>IF($D$167="","",$D$167)</f>
        <v/>
      </c>
      <c r="E169" s="64" t="inlineStr">
        <is>
          <t>영상</t>
        </is>
      </c>
      <c r="F169" s="44" t="n"/>
      <c r="G169" s="58">
        <f>IF($G$167="","",$G$167)</f>
        <v/>
      </c>
      <c r="H169" s="59" t="n"/>
      <c r="I169" s="59" t="n"/>
      <c r="J169" s="59" t="n"/>
      <c r="K169" s="59" t="n"/>
      <c r="L169" s="65">
        <f>IF(SUM(U169:AY169)=0,"",SUM(U169:AY169))</f>
        <v/>
      </c>
      <c r="M169" s="66">
        <f>IFERROR(INDEX(U$2:AY$2,MATCH(TRUE,INDEX(U169:AY169&lt;&gt;"",0),0)),"")</f>
        <v/>
      </c>
      <c r="N169" s="66">
        <f>IFERROR(LOOKUP(2,1/(U169:AY169&lt;&gt;""),U$2:AY$2),"")</f>
        <v/>
      </c>
      <c r="O169" s="59" t="n"/>
      <c r="P169" s="59" t="n"/>
      <c r="Q169" s="59" t="n"/>
      <c r="R169" s="59" t="n"/>
      <c r="S169" s="14" t="n"/>
      <c r="U169" s="53" t="n"/>
      <c r="V169" s="53" t="n"/>
      <c r="W169" s="53" t="n"/>
      <c r="X169" s="53" t="n"/>
      <c r="Y169" s="53" t="n"/>
      <c r="Z169" s="53" t="n"/>
      <c r="AA169" s="53" t="n"/>
      <c r="AB169" s="53" t="n"/>
      <c r="AC169" s="53" t="n"/>
      <c r="AD169" s="53" t="n"/>
      <c r="AE169" s="53" t="n"/>
      <c r="AF169" s="53" t="n"/>
      <c r="AG169" s="53" t="n"/>
      <c r="AH169" s="53" t="n"/>
      <c r="AI169" s="53" t="n"/>
      <c r="AJ169" s="53" t="n"/>
      <c r="AK169" s="53" t="n"/>
      <c r="AL169" s="53" t="n"/>
      <c r="AM169" s="53" t="n"/>
      <c r="AN169" s="53" t="n"/>
      <c r="AO169" s="53" t="n"/>
      <c r="AP169" s="53" t="n"/>
      <c r="AQ169" s="53" t="n"/>
      <c r="AR169" s="53" t="n"/>
      <c r="AS169" s="53" t="n"/>
      <c r="AT169" s="53" t="n"/>
      <c r="AU169" s="53" t="n"/>
      <c r="AV169" s="53" t="n"/>
      <c r="AW169" s="53" t="n"/>
      <c r="AX169" s="53" t="n"/>
      <c r="AY169" s="53" t="n"/>
    </row>
    <row r="170" ht="15" customHeight="1">
      <c r="A170" s="40">
        <f>IF($D$170="","",54)</f>
        <v/>
      </c>
      <c r="B170" s="10" t="n"/>
      <c r="C170" s="41" t="inlineStr">
        <is>
          <t>마케팅3팀</t>
        </is>
      </c>
      <c r="D170" s="42" t="n"/>
      <c r="E170" s="43" t="inlineStr">
        <is>
          <t>기획</t>
        </is>
      </c>
      <c r="F170" s="44" t="n"/>
      <c r="G170" s="45" t="n"/>
      <c r="H170" s="46">
        <f>IF($I$170="","",IF($I$170&lt;0,"🔴지연",IF($I$170&lt;=1,"🟡임박","🟢여유")))</f>
        <v/>
      </c>
      <c r="I170" s="47">
        <f>IF(OR($G$170="",$K$170=""),"",$G$170-$K$170)</f>
        <v/>
      </c>
      <c r="J170" s="48">
        <f>IF(SUM($L$170:$L$172)=0,"",SUM($L$170:$L$172))</f>
        <v/>
      </c>
      <c r="K170" s="49">
        <f>IF($J$170="","",MAX($N$170:$N$172))</f>
        <v/>
      </c>
      <c r="L170" s="50">
        <f>IF(SUM(U170:AY170)=0,"",SUM(U170:AY170))</f>
        <v/>
      </c>
      <c r="M170" s="51">
        <f>IFERROR(INDEX(U$2:AY$2,MATCH(TRUE,INDEX(U170:AY170&lt;&gt;"",0),0)),"")</f>
        <v/>
      </c>
      <c r="N170" s="51">
        <f>IFERROR(LOOKUP(2,1/(U170:AY170&lt;&gt;""),U$2:AY$2),"")</f>
        <v/>
      </c>
      <c r="O170" s="52" t="n"/>
      <c r="P170" s="52" t="n"/>
      <c r="Q170" s="52" t="n"/>
      <c r="R170" s="44" t="n"/>
      <c r="S170" s="14" t="n"/>
      <c r="U170" s="53" t="n"/>
      <c r="V170" s="53" t="n"/>
      <c r="W170" s="53" t="n"/>
      <c r="X170" s="53" t="n"/>
      <c r="Y170" s="53" t="n"/>
      <c r="Z170" s="53" t="n"/>
      <c r="AA170" s="53" t="n"/>
      <c r="AB170" s="53" t="n"/>
      <c r="AC170" s="53" t="n"/>
      <c r="AD170" s="53" t="n"/>
      <c r="AE170" s="53" t="n"/>
      <c r="AF170" s="53" t="n"/>
      <c r="AG170" s="53" t="n"/>
      <c r="AH170" s="53" t="n"/>
      <c r="AI170" s="53" t="n"/>
      <c r="AJ170" s="53" t="n"/>
      <c r="AK170" s="53" t="n"/>
      <c r="AL170" s="53" t="n"/>
      <c r="AM170" s="53" t="n"/>
      <c r="AN170" s="53" t="n"/>
      <c r="AO170" s="53" t="n"/>
      <c r="AP170" s="53" t="n"/>
      <c r="AQ170" s="53" t="n"/>
      <c r="AR170" s="53" t="n"/>
      <c r="AS170" s="53" t="n"/>
      <c r="AT170" s="53" t="n"/>
      <c r="AU170" s="53" t="n"/>
      <c r="AV170" s="53" t="n"/>
      <c r="AW170" s="53" t="n"/>
      <c r="AX170" s="53" t="n"/>
      <c r="AY170" s="53" t="n"/>
    </row>
    <row r="171" ht="15" customHeight="1">
      <c r="A171" s="54" t="n"/>
      <c r="B171" s="55">
        <f>IF($B$170="","",$B$170)</f>
        <v/>
      </c>
      <c r="C171" s="56" t="inlineStr">
        <is>
          <t>마케팅3팀</t>
        </is>
      </c>
      <c r="D171" s="55">
        <f>IF($D$170="","",$D$170)</f>
        <v/>
      </c>
      <c r="E171" s="57" t="inlineStr">
        <is>
          <t>이미지</t>
        </is>
      </c>
      <c r="F171" s="44" t="n"/>
      <c r="G171" s="58">
        <f>IF($G$170="","",$G$170)</f>
        <v/>
      </c>
      <c r="H171" s="59" t="n"/>
      <c r="I171" s="59" t="n"/>
      <c r="J171" s="59" t="n"/>
      <c r="K171" s="59" t="n"/>
      <c r="L171" s="60">
        <f>IF(SUM(U171:AY171)=0,"",SUM(U171:AY171))</f>
        <v/>
      </c>
      <c r="M171" s="61">
        <f>IFERROR(INDEX(U$2:AY$2,MATCH(TRUE,INDEX(U171:AY171&lt;&gt;"",0),0)),"")</f>
        <v/>
      </c>
      <c r="N171" s="61">
        <f>IFERROR(LOOKUP(2,1/(U171:AY171&lt;&gt;""),U$2:AY$2),"")</f>
        <v/>
      </c>
      <c r="O171" s="59" t="n"/>
      <c r="P171" s="59" t="n"/>
      <c r="Q171" s="59" t="n"/>
      <c r="R171" s="59" t="n"/>
      <c r="S171" s="14" t="n"/>
      <c r="U171" s="53" t="n"/>
      <c r="V171" s="53" t="n"/>
      <c r="W171" s="53" t="n"/>
      <c r="X171" s="53" t="n"/>
      <c r="Y171" s="53" t="n"/>
      <c r="Z171" s="53" t="n"/>
      <c r="AA171" s="53" t="n"/>
      <c r="AB171" s="53" t="n"/>
      <c r="AC171" s="53" t="n"/>
      <c r="AD171" s="53" t="n"/>
      <c r="AE171" s="53" t="n"/>
      <c r="AF171" s="53" t="n"/>
      <c r="AG171" s="53" t="n"/>
      <c r="AH171" s="53" t="n"/>
      <c r="AI171" s="53" t="n"/>
      <c r="AJ171" s="53" t="n"/>
      <c r="AK171" s="53" t="n"/>
      <c r="AL171" s="53" t="n"/>
      <c r="AM171" s="53" t="n"/>
      <c r="AN171" s="53" t="n"/>
      <c r="AO171" s="53" t="n"/>
      <c r="AP171" s="53" t="n"/>
      <c r="AQ171" s="53" t="n"/>
      <c r="AR171" s="53" t="n"/>
      <c r="AS171" s="53" t="n"/>
      <c r="AT171" s="53" t="n"/>
      <c r="AU171" s="53" t="n"/>
      <c r="AV171" s="53" t="n"/>
      <c r="AW171" s="53" t="n"/>
      <c r="AX171" s="53" t="n"/>
      <c r="AY171" s="53" t="n"/>
    </row>
    <row r="172" ht="15" customHeight="1">
      <c r="A172" s="62" t="n"/>
      <c r="B172" s="55">
        <f>IF($B$170="","",$B$170)</f>
        <v/>
      </c>
      <c r="C172" s="63" t="inlineStr">
        <is>
          <t>마케팅3팀</t>
        </is>
      </c>
      <c r="D172" s="55">
        <f>IF($D$170="","",$D$170)</f>
        <v/>
      </c>
      <c r="E172" s="64" t="inlineStr">
        <is>
          <t>영상</t>
        </is>
      </c>
      <c r="F172" s="44" t="n"/>
      <c r="G172" s="58">
        <f>IF($G$170="","",$G$170)</f>
        <v/>
      </c>
      <c r="H172" s="59" t="n"/>
      <c r="I172" s="59" t="n"/>
      <c r="J172" s="59" t="n"/>
      <c r="K172" s="59" t="n"/>
      <c r="L172" s="65">
        <f>IF(SUM(U172:AY172)=0,"",SUM(U172:AY172))</f>
        <v/>
      </c>
      <c r="M172" s="66">
        <f>IFERROR(INDEX(U$2:AY$2,MATCH(TRUE,INDEX(U172:AY172&lt;&gt;"",0),0)),"")</f>
        <v/>
      </c>
      <c r="N172" s="66">
        <f>IFERROR(LOOKUP(2,1/(U172:AY172&lt;&gt;""),U$2:AY$2),"")</f>
        <v/>
      </c>
      <c r="O172" s="59" t="n"/>
      <c r="P172" s="59" t="n"/>
      <c r="Q172" s="59" t="n"/>
      <c r="R172" s="59" t="n"/>
      <c r="S172" s="14" t="n"/>
      <c r="U172" s="53" t="n"/>
      <c r="V172" s="53" t="n"/>
      <c r="W172" s="53" t="n"/>
      <c r="X172" s="53" t="n"/>
      <c r="Y172" s="53" t="n"/>
      <c r="Z172" s="53" t="n"/>
      <c r="AA172" s="53" t="n"/>
      <c r="AB172" s="53" t="n"/>
      <c r="AC172" s="53" t="n"/>
      <c r="AD172" s="53" t="n"/>
      <c r="AE172" s="53" t="n"/>
      <c r="AF172" s="53" t="n"/>
      <c r="AG172" s="53" t="n"/>
      <c r="AH172" s="53" t="n"/>
      <c r="AI172" s="53" t="n"/>
      <c r="AJ172" s="53" t="n"/>
      <c r="AK172" s="53" t="n"/>
      <c r="AL172" s="53" t="n"/>
      <c r="AM172" s="53" t="n"/>
      <c r="AN172" s="53" t="n"/>
      <c r="AO172" s="53" t="n"/>
      <c r="AP172" s="53" t="n"/>
      <c r="AQ172" s="53" t="n"/>
      <c r="AR172" s="53" t="n"/>
      <c r="AS172" s="53" t="n"/>
      <c r="AT172" s="53" t="n"/>
      <c r="AU172" s="53" t="n"/>
      <c r="AV172" s="53" t="n"/>
      <c r="AW172" s="53" t="n"/>
      <c r="AX172" s="53" t="n"/>
      <c r="AY172" s="53" t="n"/>
    </row>
    <row r="173" ht="15" customHeight="1">
      <c r="A173" s="40">
        <f>IF($D$173="","",55)</f>
        <v/>
      </c>
      <c r="B173" s="10" t="n"/>
      <c r="C173" s="41" t="inlineStr">
        <is>
          <t>마케팅3팀</t>
        </is>
      </c>
      <c r="D173" s="42" t="n"/>
      <c r="E173" s="43" t="inlineStr">
        <is>
          <t>기획</t>
        </is>
      </c>
      <c r="F173" s="44" t="n"/>
      <c r="G173" s="45" t="n"/>
      <c r="H173" s="46">
        <f>IF($I$173="","",IF($I$173&lt;0,"🔴지연",IF($I$173&lt;=1,"🟡임박","🟢여유")))</f>
        <v/>
      </c>
      <c r="I173" s="47">
        <f>IF(OR($G$173="",$K$173=""),"",$G$173-$K$173)</f>
        <v/>
      </c>
      <c r="J173" s="48">
        <f>IF(SUM($L$173:$L$175)=0,"",SUM($L$173:$L$175))</f>
        <v/>
      </c>
      <c r="K173" s="49">
        <f>IF($J$173="","",MAX($N$173:$N$175))</f>
        <v/>
      </c>
      <c r="L173" s="50">
        <f>IF(SUM(U173:AY173)=0,"",SUM(U173:AY173))</f>
        <v/>
      </c>
      <c r="M173" s="51">
        <f>IFERROR(INDEX(U$2:AY$2,MATCH(TRUE,INDEX(U173:AY173&lt;&gt;"",0),0)),"")</f>
        <v/>
      </c>
      <c r="N173" s="51">
        <f>IFERROR(LOOKUP(2,1/(U173:AY173&lt;&gt;""),U$2:AY$2),"")</f>
        <v/>
      </c>
      <c r="O173" s="52" t="n"/>
      <c r="P173" s="52" t="n"/>
      <c r="Q173" s="52" t="n"/>
      <c r="R173" s="44" t="n"/>
      <c r="S173" s="14" t="n"/>
      <c r="U173" s="53" t="n"/>
      <c r="V173" s="53" t="n"/>
      <c r="W173" s="53" t="n"/>
      <c r="X173" s="53" t="n"/>
      <c r="Y173" s="53" t="n"/>
      <c r="Z173" s="53" t="n"/>
      <c r="AA173" s="53" t="n"/>
      <c r="AB173" s="53" t="n"/>
      <c r="AC173" s="53" t="n"/>
      <c r="AD173" s="53" t="n"/>
      <c r="AE173" s="53" t="n"/>
      <c r="AF173" s="53" t="n"/>
      <c r="AG173" s="53" t="n"/>
      <c r="AH173" s="53" t="n"/>
      <c r="AI173" s="53" t="n"/>
      <c r="AJ173" s="53" t="n"/>
      <c r="AK173" s="53" t="n"/>
      <c r="AL173" s="53" t="n"/>
      <c r="AM173" s="53" t="n"/>
      <c r="AN173" s="53" t="n"/>
      <c r="AO173" s="53" t="n"/>
      <c r="AP173" s="53" t="n"/>
      <c r="AQ173" s="53" t="n"/>
      <c r="AR173" s="53" t="n"/>
      <c r="AS173" s="53" t="n"/>
      <c r="AT173" s="53" t="n"/>
      <c r="AU173" s="53" t="n"/>
      <c r="AV173" s="53" t="n"/>
      <c r="AW173" s="53" t="n"/>
      <c r="AX173" s="53" t="n"/>
      <c r="AY173" s="53" t="n"/>
    </row>
    <row r="174" ht="15" customHeight="1">
      <c r="A174" s="54" t="n"/>
      <c r="B174" s="55">
        <f>IF($B$173="","",$B$173)</f>
        <v/>
      </c>
      <c r="C174" s="56" t="inlineStr">
        <is>
          <t>마케팅3팀</t>
        </is>
      </c>
      <c r="D174" s="55">
        <f>IF($D$173="","",$D$173)</f>
        <v/>
      </c>
      <c r="E174" s="57" t="inlineStr">
        <is>
          <t>이미지</t>
        </is>
      </c>
      <c r="F174" s="44" t="n"/>
      <c r="G174" s="58">
        <f>IF($G$173="","",$G$173)</f>
        <v/>
      </c>
      <c r="H174" s="59" t="n"/>
      <c r="I174" s="59" t="n"/>
      <c r="J174" s="59" t="n"/>
      <c r="K174" s="59" t="n"/>
      <c r="L174" s="60">
        <f>IF(SUM(U174:AY174)=0,"",SUM(U174:AY174))</f>
        <v/>
      </c>
      <c r="M174" s="61">
        <f>IFERROR(INDEX(U$2:AY$2,MATCH(TRUE,INDEX(U174:AY174&lt;&gt;"",0),0)),"")</f>
        <v/>
      </c>
      <c r="N174" s="61">
        <f>IFERROR(LOOKUP(2,1/(U174:AY174&lt;&gt;""),U$2:AY$2),"")</f>
        <v/>
      </c>
      <c r="O174" s="59" t="n"/>
      <c r="P174" s="59" t="n"/>
      <c r="Q174" s="59" t="n"/>
      <c r="R174" s="59" t="n"/>
      <c r="S174" s="14" t="n"/>
      <c r="U174" s="53" t="n"/>
      <c r="V174" s="53" t="n"/>
      <c r="W174" s="53" t="n"/>
      <c r="X174" s="53" t="n"/>
      <c r="Y174" s="53" t="n"/>
      <c r="Z174" s="53" t="n"/>
      <c r="AA174" s="53" t="n"/>
      <c r="AB174" s="53" t="n"/>
      <c r="AC174" s="53" t="n"/>
      <c r="AD174" s="53" t="n"/>
      <c r="AE174" s="53" t="n"/>
      <c r="AF174" s="53" t="n"/>
      <c r="AG174" s="53" t="n"/>
      <c r="AH174" s="53" t="n"/>
      <c r="AI174" s="53" t="n"/>
      <c r="AJ174" s="53" t="n"/>
      <c r="AK174" s="53" t="n"/>
      <c r="AL174" s="53" t="n"/>
      <c r="AM174" s="53" t="n"/>
      <c r="AN174" s="53" t="n"/>
      <c r="AO174" s="53" t="n"/>
      <c r="AP174" s="53" t="n"/>
      <c r="AQ174" s="53" t="n"/>
      <c r="AR174" s="53" t="n"/>
      <c r="AS174" s="53" t="n"/>
      <c r="AT174" s="53" t="n"/>
      <c r="AU174" s="53" t="n"/>
      <c r="AV174" s="53" t="n"/>
      <c r="AW174" s="53" t="n"/>
      <c r="AX174" s="53" t="n"/>
      <c r="AY174" s="53" t="n"/>
    </row>
    <row r="175" ht="15" customHeight="1">
      <c r="A175" s="62" t="n"/>
      <c r="B175" s="55">
        <f>IF($B$173="","",$B$173)</f>
        <v/>
      </c>
      <c r="C175" s="63" t="inlineStr">
        <is>
          <t>마케팅3팀</t>
        </is>
      </c>
      <c r="D175" s="55">
        <f>IF($D$173="","",$D$173)</f>
        <v/>
      </c>
      <c r="E175" s="64" t="inlineStr">
        <is>
          <t>영상</t>
        </is>
      </c>
      <c r="F175" s="44" t="n"/>
      <c r="G175" s="58">
        <f>IF($G$173="","",$G$173)</f>
        <v/>
      </c>
      <c r="H175" s="59" t="n"/>
      <c r="I175" s="59" t="n"/>
      <c r="J175" s="59" t="n"/>
      <c r="K175" s="59" t="n"/>
      <c r="L175" s="65">
        <f>IF(SUM(U175:AY175)=0,"",SUM(U175:AY175))</f>
        <v/>
      </c>
      <c r="M175" s="66">
        <f>IFERROR(INDEX(U$2:AY$2,MATCH(TRUE,INDEX(U175:AY175&lt;&gt;"",0),0)),"")</f>
        <v/>
      </c>
      <c r="N175" s="66">
        <f>IFERROR(LOOKUP(2,1/(U175:AY175&lt;&gt;""),U$2:AY$2),"")</f>
        <v/>
      </c>
      <c r="O175" s="59" t="n"/>
      <c r="P175" s="59" t="n"/>
      <c r="Q175" s="59" t="n"/>
      <c r="R175" s="59" t="n"/>
      <c r="S175" s="14" t="n"/>
      <c r="U175" s="53" t="n"/>
      <c r="V175" s="53" t="n"/>
      <c r="W175" s="53" t="n"/>
      <c r="X175" s="53" t="n"/>
      <c r="Y175" s="53" t="n"/>
      <c r="Z175" s="53" t="n"/>
      <c r="AA175" s="53" t="n"/>
      <c r="AB175" s="53" t="n"/>
      <c r="AC175" s="53" t="n"/>
      <c r="AD175" s="53" t="n"/>
      <c r="AE175" s="53" t="n"/>
      <c r="AF175" s="53" t="n"/>
      <c r="AG175" s="53" t="n"/>
      <c r="AH175" s="53" t="n"/>
      <c r="AI175" s="53" t="n"/>
      <c r="AJ175" s="53" t="n"/>
      <c r="AK175" s="53" t="n"/>
      <c r="AL175" s="53" t="n"/>
      <c r="AM175" s="53" t="n"/>
      <c r="AN175" s="53" t="n"/>
      <c r="AO175" s="53" t="n"/>
      <c r="AP175" s="53" t="n"/>
      <c r="AQ175" s="53" t="n"/>
      <c r="AR175" s="53" t="n"/>
      <c r="AS175" s="53" t="n"/>
      <c r="AT175" s="53" t="n"/>
      <c r="AU175" s="53" t="n"/>
      <c r="AV175" s="53" t="n"/>
      <c r="AW175" s="53" t="n"/>
      <c r="AX175" s="53" t="n"/>
      <c r="AY175" s="53" t="n"/>
    </row>
    <row r="176" ht="15" customHeight="1">
      <c r="A176" s="40">
        <f>IF($D$176="","",56)</f>
        <v/>
      </c>
      <c r="B176" s="10" t="n"/>
      <c r="C176" s="41" t="inlineStr">
        <is>
          <t>마케팅3팀</t>
        </is>
      </c>
      <c r="D176" s="42" t="n"/>
      <c r="E176" s="43" t="inlineStr">
        <is>
          <t>기획</t>
        </is>
      </c>
      <c r="F176" s="44" t="n"/>
      <c r="G176" s="45" t="n"/>
      <c r="H176" s="46">
        <f>IF($I$176="","",IF($I$176&lt;0,"🔴지연",IF($I$176&lt;=1,"🟡임박","🟢여유")))</f>
        <v/>
      </c>
      <c r="I176" s="47">
        <f>IF(OR($G$176="",$K$176=""),"",$G$176-$K$176)</f>
        <v/>
      </c>
      <c r="J176" s="48">
        <f>IF(SUM($L$176:$L$178)=0,"",SUM($L$176:$L$178))</f>
        <v/>
      </c>
      <c r="K176" s="49">
        <f>IF($J$176="","",MAX($N$176:$N$178))</f>
        <v/>
      </c>
      <c r="L176" s="50">
        <f>IF(SUM(U176:AY176)=0,"",SUM(U176:AY176))</f>
        <v/>
      </c>
      <c r="M176" s="51">
        <f>IFERROR(INDEX(U$2:AY$2,MATCH(TRUE,INDEX(U176:AY176&lt;&gt;"",0),0)),"")</f>
        <v/>
      </c>
      <c r="N176" s="51">
        <f>IFERROR(LOOKUP(2,1/(U176:AY176&lt;&gt;""),U$2:AY$2),"")</f>
        <v/>
      </c>
      <c r="O176" s="52" t="n"/>
      <c r="P176" s="52" t="n"/>
      <c r="Q176" s="52" t="n"/>
      <c r="R176" s="44" t="n"/>
      <c r="S176" s="14" t="n"/>
      <c r="U176" s="53" t="n"/>
      <c r="V176" s="53" t="n"/>
      <c r="W176" s="53" t="n"/>
      <c r="X176" s="53" t="n"/>
      <c r="Y176" s="53" t="n"/>
      <c r="Z176" s="53" t="n"/>
      <c r="AA176" s="53" t="n"/>
      <c r="AB176" s="53" t="n"/>
      <c r="AC176" s="53" t="n"/>
      <c r="AD176" s="53" t="n"/>
      <c r="AE176" s="53" t="n"/>
      <c r="AF176" s="53" t="n"/>
      <c r="AG176" s="53" t="n"/>
      <c r="AH176" s="53" t="n"/>
      <c r="AI176" s="53" t="n"/>
      <c r="AJ176" s="53" t="n"/>
      <c r="AK176" s="53" t="n"/>
      <c r="AL176" s="53" t="n"/>
      <c r="AM176" s="53" t="n"/>
      <c r="AN176" s="53" t="n"/>
      <c r="AO176" s="53" t="n"/>
      <c r="AP176" s="53" t="n"/>
      <c r="AQ176" s="53" t="n"/>
      <c r="AR176" s="53" t="n"/>
      <c r="AS176" s="53" t="n"/>
      <c r="AT176" s="53" t="n"/>
      <c r="AU176" s="53" t="n"/>
      <c r="AV176" s="53" t="n"/>
      <c r="AW176" s="53" t="n"/>
      <c r="AX176" s="53" t="n"/>
      <c r="AY176" s="53" t="n"/>
    </row>
    <row r="177" ht="15" customHeight="1">
      <c r="A177" s="54" t="n"/>
      <c r="B177" s="55">
        <f>IF($B$176="","",$B$176)</f>
        <v/>
      </c>
      <c r="C177" s="56" t="inlineStr">
        <is>
          <t>마케팅3팀</t>
        </is>
      </c>
      <c r="D177" s="55">
        <f>IF($D$176="","",$D$176)</f>
        <v/>
      </c>
      <c r="E177" s="57" t="inlineStr">
        <is>
          <t>이미지</t>
        </is>
      </c>
      <c r="F177" s="44" t="n"/>
      <c r="G177" s="58">
        <f>IF($G$176="","",$G$176)</f>
        <v/>
      </c>
      <c r="H177" s="59" t="n"/>
      <c r="I177" s="59" t="n"/>
      <c r="J177" s="59" t="n"/>
      <c r="K177" s="59" t="n"/>
      <c r="L177" s="60">
        <f>IF(SUM(U177:AY177)=0,"",SUM(U177:AY177))</f>
        <v/>
      </c>
      <c r="M177" s="61">
        <f>IFERROR(INDEX(U$2:AY$2,MATCH(TRUE,INDEX(U177:AY177&lt;&gt;"",0),0)),"")</f>
        <v/>
      </c>
      <c r="N177" s="61">
        <f>IFERROR(LOOKUP(2,1/(U177:AY177&lt;&gt;""),U$2:AY$2),"")</f>
        <v/>
      </c>
      <c r="O177" s="59" t="n"/>
      <c r="P177" s="59" t="n"/>
      <c r="Q177" s="59" t="n"/>
      <c r="R177" s="59" t="n"/>
      <c r="S177" s="14" t="n"/>
      <c r="U177" s="53" t="n"/>
      <c r="V177" s="53" t="n"/>
      <c r="W177" s="53" t="n"/>
      <c r="X177" s="53" t="n"/>
      <c r="Y177" s="53" t="n"/>
      <c r="Z177" s="53" t="n"/>
      <c r="AA177" s="53" t="n"/>
      <c r="AB177" s="53" t="n"/>
      <c r="AC177" s="53" t="n"/>
      <c r="AD177" s="53" t="n"/>
      <c r="AE177" s="53" t="n"/>
      <c r="AF177" s="53" t="n"/>
      <c r="AG177" s="53" t="n"/>
      <c r="AH177" s="53" t="n"/>
      <c r="AI177" s="53" t="n"/>
      <c r="AJ177" s="53" t="n"/>
      <c r="AK177" s="53" t="n"/>
      <c r="AL177" s="53" t="n"/>
      <c r="AM177" s="53" t="n"/>
      <c r="AN177" s="53" t="n"/>
      <c r="AO177" s="53" t="n"/>
      <c r="AP177" s="53" t="n"/>
      <c r="AQ177" s="53" t="n"/>
      <c r="AR177" s="53" t="n"/>
      <c r="AS177" s="53" t="n"/>
      <c r="AT177" s="53" t="n"/>
      <c r="AU177" s="53" t="n"/>
      <c r="AV177" s="53" t="n"/>
      <c r="AW177" s="53" t="n"/>
      <c r="AX177" s="53" t="n"/>
      <c r="AY177" s="53" t="n"/>
    </row>
    <row r="178" ht="15" customHeight="1">
      <c r="A178" s="62" t="n"/>
      <c r="B178" s="55">
        <f>IF($B$176="","",$B$176)</f>
        <v/>
      </c>
      <c r="C178" s="63" t="inlineStr">
        <is>
          <t>마케팅3팀</t>
        </is>
      </c>
      <c r="D178" s="55">
        <f>IF($D$176="","",$D$176)</f>
        <v/>
      </c>
      <c r="E178" s="64" t="inlineStr">
        <is>
          <t>영상</t>
        </is>
      </c>
      <c r="F178" s="44" t="n"/>
      <c r="G178" s="58">
        <f>IF($G$176="","",$G$176)</f>
        <v/>
      </c>
      <c r="H178" s="59" t="n"/>
      <c r="I178" s="59" t="n"/>
      <c r="J178" s="59" t="n"/>
      <c r="K178" s="59" t="n"/>
      <c r="L178" s="65">
        <f>IF(SUM(U178:AY178)=0,"",SUM(U178:AY178))</f>
        <v/>
      </c>
      <c r="M178" s="66">
        <f>IFERROR(INDEX(U$2:AY$2,MATCH(TRUE,INDEX(U178:AY178&lt;&gt;"",0),0)),"")</f>
        <v/>
      </c>
      <c r="N178" s="66">
        <f>IFERROR(LOOKUP(2,1/(U178:AY178&lt;&gt;""),U$2:AY$2),"")</f>
        <v/>
      </c>
      <c r="O178" s="59" t="n"/>
      <c r="P178" s="59" t="n"/>
      <c r="Q178" s="59" t="n"/>
      <c r="R178" s="59" t="n"/>
      <c r="S178" s="14" t="n"/>
      <c r="U178" s="53" t="n"/>
      <c r="V178" s="53" t="n"/>
      <c r="W178" s="53" t="n"/>
      <c r="X178" s="53" t="n"/>
      <c r="Y178" s="53" t="n"/>
      <c r="Z178" s="53" t="n"/>
      <c r="AA178" s="53" t="n"/>
      <c r="AB178" s="53" t="n"/>
      <c r="AC178" s="53" t="n"/>
      <c r="AD178" s="53" t="n"/>
      <c r="AE178" s="53" t="n"/>
      <c r="AF178" s="53" t="n"/>
      <c r="AG178" s="53" t="n"/>
      <c r="AH178" s="53" t="n"/>
      <c r="AI178" s="53" t="n"/>
      <c r="AJ178" s="53" t="n"/>
      <c r="AK178" s="53" t="n"/>
      <c r="AL178" s="53" t="n"/>
      <c r="AM178" s="53" t="n"/>
      <c r="AN178" s="53" t="n"/>
      <c r="AO178" s="53" t="n"/>
      <c r="AP178" s="53" t="n"/>
      <c r="AQ178" s="53" t="n"/>
      <c r="AR178" s="53" t="n"/>
      <c r="AS178" s="53" t="n"/>
      <c r="AT178" s="53" t="n"/>
      <c r="AU178" s="53" t="n"/>
      <c r="AV178" s="53" t="n"/>
      <c r="AW178" s="53" t="n"/>
      <c r="AX178" s="53" t="n"/>
      <c r="AY178" s="53" t="n"/>
    </row>
    <row r="179" ht="15" customHeight="1">
      <c r="A179" s="40">
        <f>IF($D$179="","",57)</f>
        <v/>
      </c>
      <c r="B179" s="10" t="n"/>
      <c r="C179" s="41" t="inlineStr">
        <is>
          <t>마케팅3팀</t>
        </is>
      </c>
      <c r="D179" s="42" t="n"/>
      <c r="E179" s="43" t="inlineStr">
        <is>
          <t>기획</t>
        </is>
      </c>
      <c r="F179" s="44" t="n"/>
      <c r="G179" s="45" t="n"/>
      <c r="H179" s="46">
        <f>IF($I$179="","",IF($I$179&lt;0,"🔴지연",IF($I$179&lt;=1,"🟡임박","🟢여유")))</f>
        <v/>
      </c>
      <c r="I179" s="47">
        <f>IF(OR($G$179="",$K$179=""),"",$G$179-$K$179)</f>
        <v/>
      </c>
      <c r="J179" s="48">
        <f>IF(SUM($L$179:$L$181)=0,"",SUM($L$179:$L$181))</f>
        <v/>
      </c>
      <c r="K179" s="49">
        <f>IF($J$179="","",MAX($N$179:$N$181))</f>
        <v/>
      </c>
      <c r="L179" s="50">
        <f>IF(SUM(U179:AY179)=0,"",SUM(U179:AY179))</f>
        <v/>
      </c>
      <c r="M179" s="51">
        <f>IFERROR(INDEX(U$2:AY$2,MATCH(TRUE,INDEX(U179:AY179&lt;&gt;"",0),0)),"")</f>
        <v/>
      </c>
      <c r="N179" s="51">
        <f>IFERROR(LOOKUP(2,1/(U179:AY179&lt;&gt;""),U$2:AY$2),"")</f>
        <v/>
      </c>
      <c r="O179" s="52" t="n"/>
      <c r="P179" s="52" t="n"/>
      <c r="Q179" s="52" t="n"/>
      <c r="R179" s="44" t="n"/>
      <c r="S179" s="14" t="n"/>
      <c r="U179" s="53" t="n"/>
      <c r="V179" s="53" t="n"/>
      <c r="W179" s="53" t="n"/>
      <c r="X179" s="53" t="n"/>
      <c r="Y179" s="53" t="n"/>
      <c r="Z179" s="53" t="n"/>
      <c r="AA179" s="53" t="n"/>
      <c r="AB179" s="53" t="n"/>
      <c r="AC179" s="53" t="n"/>
      <c r="AD179" s="53" t="n"/>
      <c r="AE179" s="53" t="n"/>
      <c r="AF179" s="53" t="n"/>
      <c r="AG179" s="53" t="n"/>
      <c r="AH179" s="53" t="n"/>
      <c r="AI179" s="53" t="n"/>
      <c r="AJ179" s="53" t="n"/>
      <c r="AK179" s="53" t="n"/>
      <c r="AL179" s="53" t="n"/>
      <c r="AM179" s="53" t="n"/>
      <c r="AN179" s="53" t="n"/>
      <c r="AO179" s="53" t="n"/>
      <c r="AP179" s="53" t="n"/>
      <c r="AQ179" s="53" t="n"/>
      <c r="AR179" s="53" t="n"/>
      <c r="AS179" s="53" t="n"/>
      <c r="AT179" s="53" t="n"/>
      <c r="AU179" s="53" t="n"/>
      <c r="AV179" s="53" t="n"/>
      <c r="AW179" s="53" t="n"/>
      <c r="AX179" s="53" t="n"/>
      <c r="AY179" s="53" t="n"/>
    </row>
    <row r="180" ht="15" customHeight="1">
      <c r="A180" s="54" t="n"/>
      <c r="B180" s="55">
        <f>IF($B$179="","",$B$179)</f>
        <v/>
      </c>
      <c r="C180" s="56" t="inlineStr">
        <is>
          <t>마케팅3팀</t>
        </is>
      </c>
      <c r="D180" s="55">
        <f>IF($D$179="","",$D$179)</f>
        <v/>
      </c>
      <c r="E180" s="57" t="inlineStr">
        <is>
          <t>이미지</t>
        </is>
      </c>
      <c r="F180" s="44" t="n"/>
      <c r="G180" s="58">
        <f>IF($G$179="","",$G$179)</f>
        <v/>
      </c>
      <c r="H180" s="59" t="n"/>
      <c r="I180" s="59" t="n"/>
      <c r="J180" s="59" t="n"/>
      <c r="K180" s="59" t="n"/>
      <c r="L180" s="60">
        <f>IF(SUM(U180:AY180)=0,"",SUM(U180:AY180))</f>
        <v/>
      </c>
      <c r="M180" s="61">
        <f>IFERROR(INDEX(U$2:AY$2,MATCH(TRUE,INDEX(U180:AY180&lt;&gt;"",0),0)),"")</f>
        <v/>
      </c>
      <c r="N180" s="61">
        <f>IFERROR(LOOKUP(2,1/(U180:AY180&lt;&gt;""),U$2:AY$2),"")</f>
        <v/>
      </c>
      <c r="O180" s="59" t="n"/>
      <c r="P180" s="59" t="n"/>
      <c r="Q180" s="59" t="n"/>
      <c r="R180" s="59" t="n"/>
      <c r="S180" s="14" t="n"/>
      <c r="U180" s="53" t="n"/>
      <c r="V180" s="53" t="n"/>
      <c r="W180" s="53" t="n"/>
      <c r="X180" s="53" t="n"/>
      <c r="Y180" s="53" t="n"/>
      <c r="Z180" s="53" t="n"/>
      <c r="AA180" s="53" t="n"/>
      <c r="AB180" s="53" t="n"/>
      <c r="AC180" s="53" t="n"/>
      <c r="AD180" s="53" t="n"/>
      <c r="AE180" s="53" t="n"/>
      <c r="AF180" s="53" t="n"/>
      <c r="AG180" s="53" t="n"/>
      <c r="AH180" s="53" t="n"/>
      <c r="AI180" s="53" t="n"/>
      <c r="AJ180" s="53" t="n"/>
      <c r="AK180" s="53" t="n"/>
      <c r="AL180" s="53" t="n"/>
      <c r="AM180" s="53" t="n"/>
      <c r="AN180" s="53" t="n"/>
      <c r="AO180" s="53" t="n"/>
      <c r="AP180" s="53" t="n"/>
      <c r="AQ180" s="53" t="n"/>
      <c r="AR180" s="53" t="n"/>
      <c r="AS180" s="53" t="n"/>
      <c r="AT180" s="53" t="n"/>
      <c r="AU180" s="53" t="n"/>
      <c r="AV180" s="53" t="n"/>
      <c r="AW180" s="53" t="n"/>
      <c r="AX180" s="53" t="n"/>
      <c r="AY180" s="53" t="n"/>
    </row>
    <row r="181" ht="15" customHeight="1">
      <c r="A181" s="62" t="n"/>
      <c r="B181" s="55">
        <f>IF($B$179="","",$B$179)</f>
        <v/>
      </c>
      <c r="C181" s="63" t="inlineStr">
        <is>
          <t>마케팅3팀</t>
        </is>
      </c>
      <c r="D181" s="55">
        <f>IF($D$179="","",$D$179)</f>
        <v/>
      </c>
      <c r="E181" s="64" t="inlineStr">
        <is>
          <t>영상</t>
        </is>
      </c>
      <c r="F181" s="44" t="n"/>
      <c r="G181" s="58">
        <f>IF($G$179="","",$G$179)</f>
        <v/>
      </c>
      <c r="H181" s="59" t="n"/>
      <c r="I181" s="59" t="n"/>
      <c r="J181" s="59" t="n"/>
      <c r="K181" s="59" t="n"/>
      <c r="L181" s="65">
        <f>IF(SUM(U181:AY181)=0,"",SUM(U181:AY181))</f>
        <v/>
      </c>
      <c r="M181" s="66">
        <f>IFERROR(INDEX(U$2:AY$2,MATCH(TRUE,INDEX(U181:AY181&lt;&gt;"",0),0)),"")</f>
        <v/>
      </c>
      <c r="N181" s="66">
        <f>IFERROR(LOOKUP(2,1/(U181:AY181&lt;&gt;""),U$2:AY$2),"")</f>
        <v/>
      </c>
      <c r="O181" s="59" t="n"/>
      <c r="P181" s="59" t="n"/>
      <c r="Q181" s="59" t="n"/>
      <c r="R181" s="59" t="n"/>
      <c r="S181" s="14" t="n"/>
      <c r="U181" s="53" t="n"/>
      <c r="V181" s="53" t="n"/>
      <c r="W181" s="53" t="n"/>
      <c r="X181" s="53" t="n"/>
      <c r="Y181" s="53" t="n"/>
      <c r="Z181" s="53" t="n"/>
      <c r="AA181" s="53" t="n"/>
      <c r="AB181" s="53" t="n"/>
      <c r="AC181" s="53" t="n"/>
      <c r="AD181" s="53" t="n"/>
      <c r="AE181" s="53" t="n"/>
      <c r="AF181" s="53" t="n"/>
      <c r="AG181" s="53" t="n"/>
      <c r="AH181" s="53" t="n"/>
      <c r="AI181" s="53" t="n"/>
      <c r="AJ181" s="53" t="n"/>
      <c r="AK181" s="53" t="n"/>
      <c r="AL181" s="53" t="n"/>
      <c r="AM181" s="53" t="n"/>
      <c r="AN181" s="53" t="n"/>
      <c r="AO181" s="53" t="n"/>
      <c r="AP181" s="53" t="n"/>
      <c r="AQ181" s="53" t="n"/>
      <c r="AR181" s="53" t="n"/>
      <c r="AS181" s="53" t="n"/>
      <c r="AT181" s="53" t="n"/>
      <c r="AU181" s="53" t="n"/>
      <c r="AV181" s="53" t="n"/>
      <c r="AW181" s="53" t="n"/>
      <c r="AX181" s="53" t="n"/>
      <c r="AY181" s="53" t="n"/>
    </row>
    <row r="182" ht="15" customHeight="1">
      <c r="A182" s="40">
        <f>IF($D$182="","",58)</f>
        <v/>
      </c>
      <c r="B182" s="10" t="n"/>
      <c r="C182" s="41" t="inlineStr">
        <is>
          <t>마케팅3팀</t>
        </is>
      </c>
      <c r="D182" s="42" t="n"/>
      <c r="E182" s="43" t="inlineStr">
        <is>
          <t>기획</t>
        </is>
      </c>
      <c r="F182" s="44" t="n"/>
      <c r="G182" s="45" t="n"/>
      <c r="H182" s="46">
        <f>IF($I$182="","",IF($I$182&lt;0,"🔴지연",IF($I$182&lt;=1,"🟡임박","🟢여유")))</f>
        <v/>
      </c>
      <c r="I182" s="47">
        <f>IF(OR($G$182="",$K$182=""),"",$G$182-$K$182)</f>
        <v/>
      </c>
      <c r="J182" s="48">
        <f>IF(SUM($L$182:$L$184)=0,"",SUM($L$182:$L$184))</f>
        <v/>
      </c>
      <c r="K182" s="49">
        <f>IF($J$182="","",MAX($N$182:$N$184))</f>
        <v/>
      </c>
      <c r="L182" s="50">
        <f>IF(SUM(U182:AY182)=0,"",SUM(U182:AY182))</f>
        <v/>
      </c>
      <c r="M182" s="51">
        <f>IFERROR(INDEX(U$2:AY$2,MATCH(TRUE,INDEX(U182:AY182&lt;&gt;"",0),0)),"")</f>
        <v/>
      </c>
      <c r="N182" s="51">
        <f>IFERROR(LOOKUP(2,1/(U182:AY182&lt;&gt;""),U$2:AY$2),"")</f>
        <v/>
      </c>
      <c r="O182" s="52" t="n"/>
      <c r="P182" s="52" t="n"/>
      <c r="Q182" s="52" t="n"/>
      <c r="R182" s="44" t="n"/>
      <c r="S182" s="14" t="n"/>
      <c r="U182" s="53" t="n"/>
      <c r="V182" s="53" t="n"/>
      <c r="W182" s="53" t="n"/>
      <c r="X182" s="53" t="n"/>
      <c r="Y182" s="53" t="n"/>
      <c r="Z182" s="53" t="n"/>
      <c r="AA182" s="53" t="n"/>
      <c r="AB182" s="53" t="n"/>
      <c r="AC182" s="53" t="n"/>
      <c r="AD182" s="53" t="n"/>
      <c r="AE182" s="53" t="n"/>
      <c r="AF182" s="53" t="n"/>
      <c r="AG182" s="53" t="n"/>
      <c r="AH182" s="53" t="n"/>
      <c r="AI182" s="53" t="n"/>
      <c r="AJ182" s="53" t="n"/>
      <c r="AK182" s="53" t="n"/>
      <c r="AL182" s="53" t="n"/>
      <c r="AM182" s="53" t="n"/>
      <c r="AN182" s="53" t="n"/>
      <c r="AO182" s="53" t="n"/>
      <c r="AP182" s="53" t="n"/>
      <c r="AQ182" s="53" t="n"/>
      <c r="AR182" s="53" t="n"/>
      <c r="AS182" s="53" t="n"/>
      <c r="AT182" s="53" t="n"/>
      <c r="AU182" s="53" t="n"/>
      <c r="AV182" s="53" t="n"/>
      <c r="AW182" s="53" t="n"/>
      <c r="AX182" s="53" t="n"/>
      <c r="AY182" s="53" t="n"/>
    </row>
    <row r="183" ht="15" customHeight="1">
      <c r="A183" s="54" t="n"/>
      <c r="B183" s="55">
        <f>IF($B$182="","",$B$182)</f>
        <v/>
      </c>
      <c r="C183" s="56" t="inlineStr">
        <is>
          <t>마케팅3팀</t>
        </is>
      </c>
      <c r="D183" s="55">
        <f>IF($D$182="","",$D$182)</f>
        <v/>
      </c>
      <c r="E183" s="57" t="inlineStr">
        <is>
          <t>이미지</t>
        </is>
      </c>
      <c r="F183" s="44" t="n"/>
      <c r="G183" s="58">
        <f>IF($G$182="","",$G$182)</f>
        <v/>
      </c>
      <c r="H183" s="59" t="n"/>
      <c r="I183" s="59" t="n"/>
      <c r="J183" s="59" t="n"/>
      <c r="K183" s="59" t="n"/>
      <c r="L183" s="60">
        <f>IF(SUM(U183:AY183)=0,"",SUM(U183:AY183))</f>
        <v/>
      </c>
      <c r="M183" s="61">
        <f>IFERROR(INDEX(U$2:AY$2,MATCH(TRUE,INDEX(U183:AY183&lt;&gt;"",0),0)),"")</f>
        <v/>
      </c>
      <c r="N183" s="61">
        <f>IFERROR(LOOKUP(2,1/(U183:AY183&lt;&gt;""),U$2:AY$2),"")</f>
        <v/>
      </c>
      <c r="O183" s="59" t="n"/>
      <c r="P183" s="59" t="n"/>
      <c r="Q183" s="59" t="n"/>
      <c r="R183" s="59" t="n"/>
      <c r="S183" s="14" t="n"/>
      <c r="U183" s="53" t="n"/>
      <c r="V183" s="53" t="n"/>
      <c r="W183" s="53" t="n"/>
      <c r="X183" s="53" t="n"/>
      <c r="Y183" s="53" t="n"/>
      <c r="Z183" s="53" t="n"/>
      <c r="AA183" s="53" t="n"/>
      <c r="AB183" s="53" t="n"/>
      <c r="AC183" s="53" t="n"/>
      <c r="AD183" s="53" t="n"/>
      <c r="AE183" s="53" t="n"/>
      <c r="AF183" s="53" t="n"/>
      <c r="AG183" s="53" t="n"/>
      <c r="AH183" s="53" t="n"/>
      <c r="AI183" s="53" t="n"/>
      <c r="AJ183" s="53" t="n"/>
      <c r="AK183" s="53" t="n"/>
      <c r="AL183" s="53" t="n"/>
      <c r="AM183" s="53" t="n"/>
      <c r="AN183" s="53" t="n"/>
      <c r="AO183" s="53" t="n"/>
      <c r="AP183" s="53" t="n"/>
      <c r="AQ183" s="53" t="n"/>
      <c r="AR183" s="53" t="n"/>
      <c r="AS183" s="53" t="n"/>
      <c r="AT183" s="53" t="n"/>
      <c r="AU183" s="53" t="n"/>
      <c r="AV183" s="53" t="n"/>
      <c r="AW183" s="53" t="n"/>
      <c r="AX183" s="53" t="n"/>
      <c r="AY183" s="53" t="n"/>
    </row>
    <row r="184" ht="15" customHeight="1">
      <c r="A184" s="62" t="n"/>
      <c r="B184" s="55">
        <f>IF($B$182="","",$B$182)</f>
        <v/>
      </c>
      <c r="C184" s="63" t="inlineStr">
        <is>
          <t>마케팅3팀</t>
        </is>
      </c>
      <c r="D184" s="55">
        <f>IF($D$182="","",$D$182)</f>
        <v/>
      </c>
      <c r="E184" s="64" t="inlineStr">
        <is>
          <t>영상</t>
        </is>
      </c>
      <c r="F184" s="44" t="n"/>
      <c r="G184" s="58">
        <f>IF($G$182="","",$G$182)</f>
        <v/>
      </c>
      <c r="H184" s="59" t="n"/>
      <c r="I184" s="59" t="n"/>
      <c r="J184" s="59" t="n"/>
      <c r="K184" s="59" t="n"/>
      <c r="L184" s="65">
        <f>IF(SUM(U184:AY184)=0,"",SUM(U184:AY184))</f>
        <v/>
      </c>
      <c r="M184" s="66">
        <f>IFERROR(INDEX(U$2:AY$2,MATCH(TRUE,INDEX(U184:AY184&lt;&gt;"",0),0)),"")</f>
        <v/>
      </c>
      <c r="N184" s="66">
        <f>IFERROR(LOOKUP(2,1/(U184:AY184&lt;&gt;""),U$2:AY$2),"")</f>
        <v/>
      </c>
      <c r="O184" s="59" t="n"/>
      <c r="P184" s="59" t="n"/>
      <c r="Q184" s="59" t="n"/>
      <c r="R184" s="59" t="n"/>
      <c r="S184" s="14" t="n"/>
      <c r="U184" s="53" t="n"/>
      <c r="V184" s="53" t="n"/>
      <c r="W184" s="53" t="n"/>
      <c r="X184" s="53" t="n"/>
      <c r="Y184" s="53" t="n"/>
      <c r="Z184" s="53" t="n"/>
      <c r="AA184" s="53" t="n"/>
      <c r="AB184" s="53" t="n"/>
      <c r="AC184" s="53" t="n"/>
      <c r="AD184" s="53" t="n"/>
      <c r="AE184" s="53" t="n"/>
      <c r="AF184" s="53" t="n"/>
      <c r="AG184" s="53" t="n"/>
      <c r="AH184" s="53" t="n"/>
      <c r="AI184" s="53" t="n"/>
      <c r="AJ184" s="53" t="n"/>
      <c r="AK184" s="53" t="n"/>
      <c r="AL184" s="53" t="n"/>
      <c r="AM184" s="53" t="n"/>
      <c r="AN184" s="53" t="n"/>
      <c r="AO184" s="53" t="n"/>
      <c r="AP184" s="53" t="n"/>
      <c r="AQ184" s="53" t="n"/>
      <c r="AR184" s="53" t="n"/>
      <c r="AS184" s="53" t="n"/>
      <c r="AT184" s="53" t="n"/>
      <c r="AU184" s="53" t="n"/>
      <c r="AV184" s="53" t="n"/>
      <c r="AW184" s="53" t="n"/>
      <c r="AX184" s="53" t="n"/>
      <c r="AY184" s="53" t="n"/>
    </row>
    <row r="185" ht="15" customHeight="1">
      <c r="A185" s="40">
        <f>IF($D$185="","",59)</f>
        <v/>
      </c>
      <c r="B185" s="10" t="n"/>
      <c r="C185" s="41" t="inlineStr">
        <is>
          <t>마케팅3팀</t>
        </is>
      </c>
      <c r="D185" s="42" t="n"/>
      <c r="E185" s="43" t="inlineStr">
        <is>
          <t>기획</t>
        </is>
      </c>
      <c r="F185" s="44" t="n"/>
      <c r="G185" s="45" t="n"/>
      <c r="H185" s="46">
        <f>IF($I$185="","",IF($I$185&lt;0,"🔴지연",IF($I$185&lt;=1,"🟡임박","🟢여유")))</f>
        <v/>
      </c>
      <c r="I185" s="47">
        <f>IF(OR($G$185="",$K$185=""),"",$G$185-$K$185)</f>
        <v/>
      </c>
      <c r="J185" s="48">
        <f>IF(SUM($L$185:$L$187)=0,"",SUM($L$185:$L$187))</f>
        <v/>
      </c>
      <c r="K185" s="49">
        <f>IF($J$185="","",MAX($N$185:$N$187))</f>
        <v/>
      </c>
      <c r="L185" s="50">
        <f>IF(SUM(U185:AY185)=0,"",SUM(U185:AY185))</f>
        <v/>
      </c>
      <c r="M185" s="51">
        <f>IFERROR(INDEX(U$2:AY$2,MATCH(TRUE,INDEX(U185:AY185&lt;&gt;"",0),0)),"")</f>
        <v/>
      </c>
      <c r="N185" s="51">
        <f>IFERROR(LOOKUP(2,1/(U185:AY185&lt;&gt;""),U$2:AY$2),"")</f>
        <v/>
      </c>
      <c r="O185" s="52" t="n"/>
      <c r="P185" s="52" t="n"/>
      <c r="Q185" s="52" t="n"/>
      <c r="R185" s="44" t="n"/>
      <c r="S185" s="14" t="n"/>
      <c r="U185" s="53" t="n"/>
      <c r="V185" s="53" t="n"/>
      <c r="W185" s="53" t="n"/>
      <c r="X185" s="53" t="n"/>
      <c r="Y185" s="53" t="n"/>
      <c r="Z185" s="53" t="n"/>
      <c r="AA185" s="53" t="n"/>
      <c r="AB185" s="53" t="n"/>
      <c r="AC185" s="53" t="n"/>
      <c r="AD185" s="53" t="n"/>
      <c r="AE185" s="53" t="n"/>
      <c r="AF185" s="53" t="n"/>
      <c r="AG185" s="53" t="n"/>
      <c r="AH185" s="53" t="n"/>
      <c r="AI185" s="53" t="n"/>
      <c r="AJ185" s="53" t="n"/>
      <c r="AK185" s="53" t="n"/>
      <c r="AL185" s="53" t="n"/>
      <c r="AM185" s="53" t="n"/>
      <c r="AN185" s="53" t="n"/>
      <c r="AO185" s="53" t="n"/>
      <c r="AP185" s="53" t="n"/>
      <c r="AQ185" s="53" t="n"/>
      <c r="AR185" s="53" t="n"/>
      <c r="AS185" s="53" t="n"/>
      <c r="AT185" s="53" t="n"/>
      <c r="AU185" s="53" t="n"/>
      <c r="AV185" s="53" t="n"/>
      <c r="AW185" s="53" t="n"/>
      <c r="AX185" s="53" t="n"/>
      <c r="AY185" s="53" t="n"/>
    </row>
    <row r="186" ht="15" customHeight="1">
      <c r="A186" s="54" t="n"/>
      <c r="B186" s="55">
        <f>IF($B$185="","",$B$185)</f>
        <v/>
      </c>
      <c r="C186" s="56" t="inlineStr">
        <is>
          <t>마케팅3팀</t>
        </is>
      </c>
      <c r="D186" s="55">
        <f>IF($D$185="","",$D$185)</f>
        <v/>
      </c>
      <c r="E186" s="57" t="inlineStr">
        <is>
          <t>이미지</t>
        </is>
      </c>
      <c r="F186" s="44" t="n"/>
      <c r="G186" s="58">
        <f>IF($G$185="","",$G$185)</f>
        <v/>
      </c>
      <c r="H186" s="59" t="n"/>
      <c r="I186" s="59" t="n"/>
      <c r="J186" s="59" t="n"/>
      <c r="K186" s="59" t="n"/>
      <c r="L186" s="60">
        <f>IF(SUM(U186:AY186)=0,"",SUM(U186:AY186))</f>
        <v/>
      </c>
      <c r="M186" s="61">
        <f>IFERROR(INDEX(U$2:AY$2,MATCH(TRUE,INDEX(U186:AY186&lt;&gt;"",0),0)),"")</f>
        <v/>
      </c>
      <c r="N186" s="61">
        <f>IFERROR(LOOKUP(2,1/(U186:AY186&lt;&gt;""),U$2:AY$2),"")</f>
        <v/>
      </c>
      <c r="O186" s="59" t="n"/>
      <c r="P186" s="59" t="n"/>
      <c r="Q186" s="59" t="n"/>
      <c r="R186" s="59" t="n"/>
      <c r="S186" s="14" t="n"/>
      <c r="U186" s="53" t="n"/>
      <c r="V186" s="53" t="n"/>
      <c r="W186" s="53" t="n"/>
      <c r="X186" s="53" t="n"/>
      <c r="Y186" s="53" t="n"/>
      <c r="Z186" s="53" t="n"/>
      <c r="AA186" s="53" t="n"/>
      <c r="AB186" s="53" t="n"/>
      <c r="AC186" s="53" t="n"/>
      <c r="AD186" s="53" t="n"/>
      <c r="AE186" s="53" t="n"/>
      <c r="AF186" s="53" t="n"/>
      <c r="AG186" s="53" t="n"/>
      <c r="AH186" s="53" t="n"/>
      <c r="AI186" s="53" t="n"/>
      <c r="AJ186" s="53" t="n"/>
      <c r="AK186" s="53" t="n"/>
      <c r="AL186" s="53" t="n"/>
      <c r="AM186" s="53" t="n"/>
      <c r="AN186" s="53" t="n"/>
      <c r="AO186" s="53" t="n"/>
      <c r="AP186" s="53" t="n"/>
      <c r="AQ186" s="53" t="n"/>
      <c r="AR186" s="53" t="n"/>
      <c r="AS186" s="53" t="n"/>
      <c r="AT186" s="53" t="n"/>
      <c r="AU186" s="53" t="n"/>
      <c r="AV186" s="53" t="n"/>
      <c r="AW186" s="53" t="n"/>
      <c r="AX186" s="53" t="n"/>
      <c r="AY186" s="53" t="n"/>
    </row>
    <row r="187" ht="15" customHeight="1">
      <c r="A187" s="62" t="n"/>
      <c r="B187" s="55">
        <f>IF($B$185="","",$B$185)</f>
        <v/>
      </c>
      <c r="C187" s="63" t="inlineStr">
        <is>
          <t>마케팅3팀</t>
        </is>
      </c>
      <c r="D187" s="55">
        <f>IF($D$185="","",$D$185)</f>
        <v/>
      </c>
      <c r="E187" s="64" t="inlineStr">
        <is>
          <t>영상</t>
        </is>
      </c>
      <c r="F187" s="44" t="n"/>
      <c r="G187" s="58">
        <f>IF($G$185="","",$G$185)</f>
        <v/>
      </c>
      <c r="H187" s="59" t="n"/>
      <c r="I187" s="59" t="n"/>
      <c r="J187" s="59" t="n"/>
      <c r="K187" s="59" t="n"/>
      <c r="L187" s="65">
        <f>IF(SUM(U187:AY187)=0,"",SUM(U187:AY187))</f>
        <v/>
      </c>
      <c r="M187" s="66">
        <f>IFERROR(INDEX(U$2:AY$2,MATCH(TRUE,INDEX(U187:AY187&lt;&gt;"",0),0)),"")</f>
        <v/>
      </c>
      <c r="N187" s="66">
        <f>IFERROR(LOOKUP(2,1/(U187:AY187&lt;&gt;""),U$2:AY$2),"")</f>
        <v/>
      </c>
      <c r="O187" s="59" t="n"/>
      <c r="P187" s="59" t="n"/>
      <c r="Q187" s="59" t="n"/>
      <c r="R187" s="59" t="n"/>
      <c r="S187" s="14" t="n"/>
      <c r="U187" s="53" t="n"/>
      <c r="V187" s="53" t="n"/>
      <c r="W187" s="53" t="n"/>
      <c r="X187" s="53" t="n"/>
      <c r="Y187" s="53" t="n"/>
      <c r="Z187" s="53" t="n"/>
      <c r="AA187" s="53" t="n"/>
      <c r="AB187" s="53" t="n"/>
      <c r="AC187" s="53" t="n"/>
      <c r="AD187" s="53" t="n"/>
      <c r="AE187" s="53" t="n"/>
      <c r="AF187" s="53" t="n"/>
      <c r="AG187" s="53" t="n"/>
      <c r="AH187" s="53" t="n"/>
      <c r="AI187" s="53" t="n"/>
      <c r="AJ187" s="53" t="n"/>
      <c r="AK187" s="53" t="n"/>
      <c r="AL187" s="53" t="n"/>
      <c r="AM187" s="53" t="n"/>
      <c r="AN187" s="53" t="n"/>
      <c r="AO187" s="53" t="n"/>
      <c r="AP187" s="53" t="n"/>
      <c r="AQ187" s="53" t="n"/>
      <c r="AR187" s="53" t="n"/>
      <c r="AS187" s="53" t="n"/>
      <c r="AT187" s="53" t="n"/>
      <c r="AU187" s="53" t="n"/>
      <c r="AV187" s="53" t="n"/>
      <c r="AW187" s="53" t="n"/>
      <c r="AX187" s="53" t="n"/>
      <c r="AY187" s="53" t="n"/>
    </row>
    <row r="188" ht="15" customHeight="1">
      <c r="A188" s="40">
        <f>IF($D$188="","",60)</f>
        <v/>
      </c>
      <c r="B188" s="10" t="n"/>
      <c r="C188" s="41" t="inlineStr">
        <is>
          <t>마케팅3팀</t>
        </is>
      </c>
      <c r="D188" s="42" t="n"/>
      <c r="E188" s="43" t="inlineStr">
        <is>
          <t>기획</t>
        </is>
      </c>
      <c r="F188" s="44" t="n"/>
      <c r="G188" s="45" t="n"/>
      <c r="H188" s="46">
        <f>IF($I$188="","",IF($I$188&lt;0,"🔴지연",IF($I$188&lt;=1,"🟡임박","🟢여유")))</f>
        <v/>
      </c>
      <c r="I188" s="47">
        <f>IF(OR($G$188="",$K$188=""),"",$G$188-$K$188)</f>
        <v/>
      </c>
      <c r="J188" s="48">
        <f>IF(SUM($L$188:$L$190)=0,"",SUM($L$188:$L$190))</f>
        <v/>
      </c>
      <c r="K188" s="49">
        <f>IF($J$188="","",MAX($N$188:$N$190))</f>
        <v/>
      </c>
      <c r="L188" s="50">
        <f>IF(SUM(U188:AY188)=0,"",SUM(U188:AY188))</f>
        <v/>
      </c>
      <c r="M188" s="51">
        <f>IFERROR(INDEX(U$2:AY$2,MATCH(TRUE,INDEX(U188:AY188&lt;&gt;"",0),0)),"")</f>
        <v/>
      </c>
      <c r="N188" s="51">
        <f>IFERROR(LOOKUP(2,1/(U188:AY188&lt;&gt;""),U$2:AY$2),"")</f>
        <v/>
      </c>
      <c r="O188" s="52" t="n"/>
      <c r="P188" s="52" t="n"/>
      <c r="Q188" s="52" t="n"/>
      <c r="R188" s="44" t="n"/>
      <c r="S188" s="14" t="n"/>
      <c r="U188" s="53" t="n"/>
      <c r="V188" s="53" t="n"/>
      <c r="W188" s="53" t="n"/>
      <c r="X188" s="53" t="n"/>
      <c r="Y188" s="53" t="n"/>
      <c r="Z188" s="53" t="n"/>
      <c r="AA188" s="53" t="n"/>
      <c r="AB188" s="53" t="n"/>
      <c r="AC188" s="53" t="n"/>
      <c r="AD188" s="53" t="n"/>
      <c r="AE188" s="53" t="n"/>
      <c r="AF188" s="53" t="n"/>
      <c r="AG188" s="53" t="n"/>
      <c r="AH188" s="53" t="n"/>
      <c r="AI188" s="53" t="n"/>
      <c r="AJ188" s="53" t="n"/>
      <c r="AK188" s="53" t="n"/>
      <c r="AL188" s="53" t="n"/>
      <c r="AM188" s="53" t="n"/>
      <c r="AN188" s="53" t="n"/>
      <c r="AO188" s="53" t="n"/>
      <c r="AP188" s="53" t="n"/>
      <c r="AQ188" s="53" t="n"/>
      <c r="AR188" s="53" t="n"/>
      <c r="AS188" s="53" t="n"/>
      <c r="AT188" s="53" t="n"/>
      <c r="AU188" s="53" t="n"/>
      <c r="AV188" s="53" t="n"/>
      <c r="AW188" s="53" t="n"/>
      <c r="AX188" s="53" t="n"/>
      <c r="AY188" s="53" t="n"/>
    </row>
    <row r="189" ht="15" customHeight="1">
      <c r="A189" s="54" t="n"/>
      <c r="B189" s="55">
        <f>IF($B$188="","",$B$188)</f>
        <v/>
      </c>
      <c r="C189" s="56" t="inlineStr">
        <is>
          <t>마케팅3팀</t>
        </is>
      </c>
      <c r="D189" s="55">
        <f>IF($D$188="","",$D$188)</f>
        <v/>
      </c>
      <c r="E189" s="57" t="inlineStr">
        <is>
          <t>이미지</t>
        </is>
      </c>
      <c r="F189" s="44" t="n"/>
      <c r="G189" s="58">
        <f>IF($G$188="","",$G$188)</f>
        <v/>
      </c>
      <c r="H189" s="59" t="n"/>
      <c r="I189" s="59" t="n"/>
      <c r="J189" s="59" t="n"/>
      <c r="K189" s="59" t="n"/>
      <c r="L189" s="60">
        <f>IF(SUM(U189:AY189)=0,"",SUM(U189:AY189))</f>
        <v/>
      </c>
      <c r="M189" s="61">
        <f>IFERROR(INDEX(U$2:AY$2,MATCH(TRUE,INDEX(U189:AY189&lt;&gt;"",0),0)),"")</f>
        <v/>
      </c>
      <c r="N189" s="61">
        <f>IFERROR(LOOKUP(2,1/(U189:AY189&lt;&gt;""),U$2:AY$2),"")</f>
        <v/>
      </c>
      <c r="O189" s="59" t="n"/>
      <c r="P189" s="59" t="n"/>
      <c r="Q189" s="59" t="n"/>
      <c r="R189" s="59" t="n"/>
      <c r="S189" s="14" t="n"/>
      <c r="U189" s="53" t="n"/>
      <c r="V189" s="53" t="n"/>
      <c r="W189" s="53" t="n"/>
      <c r="X189" s="53" t="n"/>
      <c r="Y189" s="53" t="n"/>
      <c r="Z189" s="53" t="n"/>
      <c r="AA189" s="53" t="n"/>
      <c r="AB189" s="53" t="n"/>
      <c r="AC189" s="53" t="n"/>
      <c r="AD189" s="53" t="n"/>
      <c r="AE189" s="53" t="n"/>
      <c r="AF189" s="53" t="n"/>
      <c r="AG189" s="53" t="n"/>
      <c r="AH189" s="53" t="n"/>
      <c r="AI189" s="53" t="n"/>
      <c r="AJ189" s="53" t="n"/>
      <c r="AK189" s="53" t="n"/>
      <c r="AL189" s="53" t="n"/>
      <c r="AM189" s="53" t="n"/>
      <c r="AN189" s="53" t="n"/>
      <c r="AO189" s="53" t="n"/>
      <c r="AP189" s="53" t="n"/>
      <c r="AQ189" s="53" t="n"/>
      <c r="AR189" s="53" t="n"/>
      <c r="AS189" s="53" t="n"/>
      <c r="AT189" s="53" t="n"/>
      <c r="AU189" s="53" t="n"/>
      <c r="AV189" s="53" t="n"/>
      <c r="AW189" s="53" t="n"/>
      <c r="AX189" s="53" t="n"/>
      <c r="AY189" s="53" t="n"/>
    </row>
    <row r="190" ht="15" customHeight="1">
      <c r="A190" s="62" t="n"/>
      <c r="B190" s="55">
        <f>IF($B$188="","",$B$188)</f>
        <v/>
      </c>
      <c r="C190" s="63" t="inlineStr">
        <is>
          <t>마케팅3팀</t>
        </is>
      </c>
      <c r="D190" s="55">
        <f>IF($D$188="","",$D$188)</f>
        <v/>
      </c>
      <c r="E190" s="64" t="inlineStr">
        <is>
          <t>영상</t>
        </is>
      </c>
      <c r="F190" s="44" t="n"/>
      <c r="G190" s="58">
        <f>IF($G$188="","",$G$188)</f>
        <v/>
      </c>
      <c r="H190" s="59" t="n"/>
      <c r="I190" s="59" t="n"/>
      <c r="J190" s="59" t="n"/>
      <c r="K190" s="59" t="n"/>
      <c r="L190" s="65">
        <f>IF(SUM(U190:AY190)=0,"",SUM(U190:AY190))</f>
        <v/>
      </c>
      <c r="M190" s="66">
        <f>IFERROR(INDEX(U$2:AY$2,MATCH(TRUE,INDEX(U190:AY190&lt;&gt;"",0),0)),"")</f>
        <v/>
      </c>
      <c r="N190" s="66">
        <f>IFERROR(LOOKUP(2,1/(U190:AY190&lt;&gt;""),U$2:AY$2),"")</f>
        <v/>
      </c>
      <c r="O190" s="59" t="n"/>
      <c r="P190" s="59" t="n"/>
      <c r="Q190" s="59" t="n"/>
      <c r="R190" s="59" t="n"/>
      <c r="S190" s="14" t="n"/>
      <c r="U190" s="53" t="n"/>
      <c r="V190" s="53" t="n"/>
      <c r="W190" s="53" t="n"/>
      <c r="X190" s="53" t="n"/>
      <c r="Y190" s="53" t="n"/>
      <c r="Z190" s="53" t="n"/>
      <c r="AA190" s="53" t="n"/>
      <c r="AB190" s="53" t="n"/>
      <c r="AC190" s="53" t="n"/>
      <c r="AD190" s="53" t="n"/>
      <c r="AE190" s="53" t="n"/>
      <c r="AF190" s="53" t="n"/>
      <c r="AG190" s="53" t="n"/>
      <c r="AH190" s="53" t="n"/>
      <c r="AI190" s="53" t="n"/>
      <c r="AJ190" s="53" t="n"/>
      <c r="AK190" s="53" t="n"/>
      <c r="AL190" s="53" t="n"/>
      <c r="AM190" s="53" t="n"/>
      <c r="AN190" s="53" t="n"/>
      <c r="AO190" s="53" t="n"/>
      <c r="AP190" s="53" t="n"/>
      <c r="AQ190" s="53" t="n"/>
      <c r="AR190" s="53" t="n"/>
      <c r="AS190" s="53" t="n"/>
      <c r="AT190" s="53" t="n"/>
      <c r="AU190" s="53" t="n"/>
      <c r="AV190" s="53" t="n"/>
      <c r="AW190" s="53" t="n"/>
      <c r="AX190" s="53" t="n"/>
      <c r="AY190" s="53" t="n"/>
    </row>
    <row r="191" ht="18" customHeight="1">
      <c r="A191" s="39" t="inlineStr">
        <is>
          <t>마케팅4팀   (192~251행 · 소재 20개)</t>
        </is>
      </c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I191" s="8" t="n"/>
      <c r="AJ191" s="8" t="n"/>
      <c r="AK191" s="8" t="n"/>
      <c r="AL191" s="8" t="n"/>
      <c r="AM191" s="8" t="n"/>
      <c r="AN191" s="8" t="n"/>
      <c r="AO191" s="8" t="n"/>
      <c r="AP191" s="8" t="n"/>
      <c r="AQ191" s="8" t="n"/>
      <c r="AR191" s="8" t="n"/>
      <c r="AS191" s="8" t="n"/>
      <c r="AT191" s="8" t="n"/>
      <c r="AU191" s="8" t="n"/>
      <c r="AV191" s="8" t="n"/>
      <c r="AW191" s="8" t="n"/>
      <c r="AX191" s="8" t="n"/>
      <c r="AY191" s="4" t="n"/>
    </row>
    <row r="192" ht="15" customHeight="1">
      <c r="A192" s="40">
        <f>IF($D$192="","",61)</f>
        <v/>
      </c>
      <c r="B192" s="10" t="n"/>
      <c r="C192" s="41" t="inlineStr">
        <is>
          <t>마케팅4팀</t>
        </is>
      </c>
      <c r="D192" s="42" t="n"/>
      <c r="E192" s="43" t="inlineStr">
        <is>
          <t>기획</t>
        </is>
      </c>
      <c r="F192" s="44" t="n"/>
      <c r="G192" s="45" t="n"/>
      <c r="H192" s="46">
        <f>IF($I$192="","",IF($I$192&lt;0,"🔴지연",IF($I$192&lt;=1,"🟡임박","🟢여유")))</f>
        <v/>
      </c>
      <c r="I192" s="47">
        <f>IF(OR($G$192="",$K$192=""),"",$G$192-$K$192)</f>
        <v/>
      </c>
      <c r="J192" s="48">
        <f>IF(SUM($L$192:$L$194)=0,"",SUM($L$192:$L$194))</f>
        <v/>
      </c>
      <c r="K192" s="49">
        <f>IF($J$192="","",MAX($N$192:$N$194))</f>
        <v/>
      </c>
      <c r="L192" s="50">
        <f>IF(SUM(U192:AY192)=0,"",SUM(U192:AY192))</f>
        <v/>
      </c>
      <c r="M192" s="51">
        <f>IFERROR(INDEX(U$2:AY$2,MATCH(TRUE,INDEX(U192:AY192&lt;&gt;"",0),0)),"")</f>
        <v/>
      </c>
      <c r="N192" s="51">
        <f>IFERROR(LOOKUP(2,1/(U192:AY192&lt;&gt;""),U$2:AY$2),"")</f>
        <v/>
      </c>
      <c r="O192" s="52" t="n"/>
      <c r="P192" s="52" t="n"/>
      <c r="Q192" s="52" t="n"/>
      <c r="R192" s="44" t="n"/>
      <c r="S192" s="14" t="n"/>
      <c r="U192" s="53" t="n"/>
      <c r="V192" s="53" t="n"/>
      <c r="W192" s="53" t="n"/>
      <c r="X192" s="53" t="n"/>
      <c r="Y192" s="53" t="n"/>
      <c r="Z192" s="53" t="n"/>
      <c r="AA192" s="53" t="n"/>
      <c r="AB192" s="53" t="n"/>
      <c r="AC192" s="53" t="n"/>
      <c r="AD192" s="53" t="n"/>
      <c r="AE192" s="53" t="n"/>
      <c r="AF192" s="53" t="n"/>
      <c r="AG192" s="53" t="n"/>
      <c r="AH192" s="53" t="n"/>
      <c r="AI192" s="53" t="n"/>
      <c r="AJ192" s="53" t="n"/>
      <c r="AK192" s="53" t="n"/>
      <c r="AL192" s="53" t="n"/>
      <c r="AM192" s="53" t="n"/>
      <c r="AN192" s="53" t="n"/>
      <c r="AO192" s="53" t="n"/>
      <c r="AP192" s="53" t="n"/>
      <c r="AQ192" s="53" t="n"/>
      <c r="AR192" s="53" t="n"/>
      <c r="AS192" s="53" t="n"/>
      <c r="AT192" s="53" t="n"/>
      <c r="AU192" s="53" t="n"/>
      <c r="AV192" s="53" t="n"/>
      <c r="AW192" s="53" t="n"/>
      <c r="AX192" s="53" t="n"/>
      <c r="AY192" s="53" t="n"/>
    </row>
    <row r="193" ht="15" customHeight="1">
      <c r="A193" s="54" t="n"/>
      <c r="B193" s="55">
        <f>IF($B$192="","",$B$192)</f>
        <v/>
      </c>
      <c r="C193" s="56" t="inlineStr">
        <is>
          <t>마케팅4팀</t>
        </is>
      </c>
      <c r="D193" s="55">
        <f>IF($D$192="","",$D$192)</f>
        <v/>
      </c>
      <c r="E193" s="57" t="inlineStr">
        <is>
          <t>이미지</t>
        </is>
      </c>
      <c r="F193" s="44" t="n"/>
      <c r="G193" s="58">
        <f>IF($G$192="","",$G$192)</f>
        <v/>
      </c>
      <c r="H193" s="59" t="n"/>
      <c r="I193" s="59" t="n"/>
      <c r="J193" s="59" t="n"/>
      <c r="K193" s="59" t="n"/>
      <c r="L193" s="60">
        <f>IF(SUM(U193:AY193)=0,"",SUM(U193:AY193))</f>
        <v/>
      </c>
      <c r="M193" s="61">
        <f>IFERROR(INDEX(U$2:AY$2,MATCH(TRUE,INDEX(U193:AY193&lt;&gt;"",0),0)),"")</f>
        <v/>
      </c>
      <c r="N193" s="61">
        <f>IFERROR(LOOKUP(2,1/(U193:AY193&lt;&gt;""),U$2:AY$2),"")</f>
        <v/>
      </c>
      <c r="O193" s="59" t="n"/>
      <c r="P193" s="59" t="n"/>
      <c r="Q193" s="59" t="n"/>
      <c r="R193" s="59" t="n"/>
      <c r="S193" s="14" t="n"/>
      <c r="U193" s="53" t="n"/>
      <c r="V193" s="53" t="n"/>
      <c r="W193" s="53" t="n"/>
      <c r="X193" s="53" t="n"/>
      <c r="Y193" s="53" t="n"/>
      <c r="Z193" s="53" t="n"/>
      <c r="AA193" s="53" t="n"/>
      <c r="AB193" s="53" t="n"/>
      <c r="AC193" s="53" t="n"/>
      <c r="AD193" s="53" t="n"/>
      <c r="AE193" s="53" t="n"/>
      <c r="AF193" s="53" t="n"/>
      <c r="AG193" s="53" t="n"/>
      <c r="AH193" s="53" t="n"/>
      <c r="AI193" s="53" t="n"/>
      <c r="AJ193" s="53" t="n"/>
      <c r="AK193" s="53" t="n"/>
      <c r="AL193" s="53" t="n"/>
      <c r="AM193" s="53" t="n"/>
      <c r="AN193" s="53" t="n"/>
      <c r="AO193" s="53" t="n"/>
      <c r="AP193" s="53" t="n"/>
      <c r="AQ193" s="53" t="n"/>
      <c r="AR193" s="53" t="n"/>
      <c r="AS193" s="53" t="n"/>
      <c r="AT193" s="53" t="n"/>
      <c r="AU193" s="53" t="n"/>
      <c r="AV193" s="53" t="n"/>
      <c r="AW193" s="53" t="n"/>
      <c r="AX193" s="53" t="n"/>
      <c r="AY193" s="53" t="n"/>
    </row>
    <row r="194" ht="15" customHeight="1">
      <c r="A194" s="62" t="n"/>
      <c r="B194" s="55">
        <f>IF($B$192="","",$B$192)</f>
        <v/>
      </c>
      <c r="C194" s="63" t="inlineStr">
        <is>
          <t>마케팅4팀</t>
        </is>
      </c>
      <c r="D194" s="55">
        <f>IF($D$192="","",$D$192)</f>
        <v/>
      </c>
      <c r="E194" s="64" t="inlineStr">
        <is>
          <t>영상</t>
        </is>
      </c>
      <c r="F194" s="44" t="n"/>
      <c r="G194" s="58">
        <f>IF($G$192="","",$G$192)</f>
        <v/>
      </c>
      <c r="H194" s="59" t="n"/>
      <c r="I194" s="59" t="n"/>
      <c r="J194" s="59" t="n"/>
      <c r="K194" s="59" t="n"/>
      <c r="L194" s="65">
        <f>IF(SUM(U194:AY194)=0,"",SUM(U194:AY194))</f>
        <v/>
      </c>
      <c r="M194" s="66">
        <f>IFERROR(INDEX(U$2:AY$2,MATCH(TRUE,INDEX(U194:AY194&lt;&gt;"",0),0)),"")</f>
        <v/>
      </c>
      <c r="N194" s="66">
        <f>IFERROR(LOOKUP(2,1/(U194:AY194&lt;&gt;""),U$2:AY$2),"")</f>
        <v/>
      </c>
      <c r="O194" s="59" t="n"/>
      <c r="P194" s="59" t="n"/>
      <c r="Q194" s="59" t="n"/>
      <c r="R194" s="59" t="n"/>
      <c r="S194" s="14" t="n"/>
      <c r="U194" s="53" t="n"/>
      <c r="V194" s="53" t="n"/>
      <c r="W194" s="53" t="n"/>
      <c r="X194" s="53" t="n"/>
      <c r="Y194" s="53" t="n"/>
      <c r="Z194" s="53" t="n"/>
      <c r="AA194" s="53" t="n"/>
      <c r="AB194" s="53" t="n"/>
      <c r="AC194" s="53" t="n"/>
      <c r="AD194" s="53" t="n"/>
      <c r="AE194" s="53" t="n"/>
      <c r="AF194" s="53" t="n"/>
      <c r="AG194" s="53" t="n"/>
      <c r="AH194" s="53" t="n"/>
      <c r="AI194" s="53" t="n"/>
      <c r="AJ194" s="53" t="n"/>
      <c r="AK194" s="53" t="n"/>
      <c r="AL194" s="53" t="n"/>
      <c r="AM194" s="53" t="n"/>
      <c r="AN194" s="53" t="n"/>
      <c r="AO194" s="53" t="n"/>
      <c r="AP194" s="53" t="n"/>
      <c r="AQ194" s="53" t="n"/>
      <c r="AR194" s="53" t="n"/>
      <c r="AS194" s="53" t="n"/>
      <c r="AT194" s="53" t="n"/>
      <c r="AU194" s="53" t="n"/>
      <c r="AV194" s="53" t="n"/>
      <c r="AW194" s="53" t="n"/>
      <c r="AX194" s="53" t="n"/>
      <c r="AY194" s="53" t="n"/>
    </row>
    <row r="195" ht="15" customHeight="1">
      <c r="A195" s="40">
        <f>IF($D$195="","",62)</f>
        <v/>
      </c>
      <c r="B195" s="10" t="n"/>
      <c r="C195" s="41" t="inlineStr">
        <is>
          <t>마케팅4팀</t>
        </is>
      </c>
      <c r="D195" s="42" t="n"/>
      <c r="E195" s="43" t="inlineStr">
        <is>
          <t>기획</t>
        </is>
      </c>
      <c r="F195" s="44" t="n"/>
      <c r="G195" s="45" t="n"/>
      <c r="H195" s="46">
        <f>IF($I$195="","",IF($I$195&lt;0,"🔴지연",IF($I$195&lt;=1,"🟡임박","🟢여유")))</f>
        <v/>
      </c>
      <c r="I195" s="47">
        <f>IF(OR($G$195="",$K$195=""),"",$G$195-$K$195)</f>
        <v/>
      </c>
      <c r="J195" s="48">
        <f>IF(SUM($L$195:$L$197)=0,"",SUM($L$195:$L$197))</f>
        <v/>
      </c>
      <c r="K195" s="49">
        <f>IF($J$195="","",MAX($N$195:$N$197))</f>
        <v/>
      </c>
      <c r="L195" s="50">
        <f>IF(SUM(U195:AY195)=0,"",SUM(U195:AY195))</f>
        <v/>
      </c>
      <c r="M195" s="51">
        <f>IFERROR(INDEX(U$2:AY$2,MATCH(TRUE,INDEX(U195:AY195&lt;&gt;"",0),0)),"")</f>
        <v/>
      </c>
      <c r="N195" s="51">
        <f>IFERROR(LOOKUP(2,1/(U195:AY195&lt;&gt;""),U$2:AY$2),"")</f>
        <v/>
      </c>
      <c r="O195" s="52" t="n"/>
      <c r="P195" s="52" t="n"/>
      <c r="Q195" s="52" t="n"/>
      <c r="R195" s="44" t="n"/>
      <c r="S195" s="14" t="n"/>
      <c r="U195" s="53" t="n"/>
      <c r="V195" s="53" t="n"/>
      <c r="W195" s="53" t="n"/>
      <c r="X195" s="53" t="n"/>
      <c r="Y195" s="53" t="n"/>
      <c r="Z195" s="53" t="n"/>
      <c r="AA195" s="53" t="n"/>
      <c r="AB195" s="53" t="n"/>
      <c r="AC195" s="53" t="n"/>
      <c r="AD195" s="53" t="n"/>
      <c r="AE195" s="53" t="n"/>
      <c r="AF195" s="53" t="n"/>
      <c r="AG195" s="53" t="n"/>
      <c r="AH195" s="53" t="n"/>
      <c r="AI195" s="53" t="n"/>
      <c r="AJ195" s="53" t="n"/>
      <c r="AK195" s="53" t="n"/>
      <c r="AL195" s="53" t="n"/>
      <c r="AM195" s="53" t="n"/>
      <c r="AN195" s="53" t="n"/>
      <c r="AO195" s="53" t="n"/>
      <c r="AP195" s="53" t="n"/>
      <c r="AQ195" s="53" t="n"/>
      <c r="AR195" s="53" t="n"/>
      <c r="AS195" s="53" t="n"/>
      <c r="AT195" s="53" t="n"/>
      <c r="AU195" s="53" t="n"/>
      <c r="AV195" s="53" t="n"/>
      <c r="AW195" s="53" t="n"/>
      <c r="AX195" s="53" t="n"/>
      <c r="AY195" s="53" t="n"/>
    </row>
    <row r="196" ht="15" customHeight="1">
      <c r="A196" s="54" t="n"/>
      <c r="B196" s="55">
        <f>IF($B$195="","",$B$195)</f>
        <v/>
      </c>
      <c r="C196" s="56" t="inlineStr">
        <is>
          <t>마케팅4팀</t>
        </is>
      </c>
      <c r="D196" s="55">
        <f>IF($D$195="","",$D$195)</f>
        <v/>
      </c>
      <c r="E196" s="57" t="inlineStr">
        <is>
          <t>이미지</t>
        </is>
      </c>
      <c r="F196" s="44" t="n"/>
      <c r="G196" s="58">
        <f>IF($G$195="","",$G$195)</f>
        <v/>
      </c>
      <c r="H196" s="59" t="n"/>
      <c r="I196" s="59" t="n"/>
      <c r="J196" s="59" t="n"/>
      <c r="K196" s="59" t="n"/>
      <c r="L196" s="60">
        <f>IF(SUM(U196:AY196)=0,"",SUM(U196:AY196))</f>
        <v/>
      </c>
      <c r="M196" s="61">
        <f>IFERROR(INDEX(U$2:AY$2,MATCH(TRUE,INDEX(U196:AY196&lt;&gt;"",0),0)),"")</f>
        <v/>
      </c>
      <c r="N196" s="61">
        <f>IFERROR(LOOKUP(2,1/(U196:AY196&lt;&gt;""),U$2:AY$2),"")</f>
        <v/>
      </c>
      <c r="O196" s="59" t="n"/>
      <c r="P196" s="59" t="n"/>
      <c r="Q196" s="59" t="n"/>
      <c r="R196" s="59" t="n"/>
      <c r="S196" s="14" t="n"/>
      <c r="U196" s="53" t="n"/>
      <c r="V196" s="53" t="n"/>
      <c r="W196" s="53" t="n"/>
      <c r="X196" s="53" t="n"/>
      <c r="Y196" s="53" t="n"/>
      <c r="Z196" s="53" t="n"/>
      <c r="AA196" s="53" t="n"/>
      <c r="AB196" s="53" t="n"/>
      <c r="AC196" s="53" t="n"/>
      <c r="AD196" s="53" t="n"/>
      <c r="AE196" s="53" t="n"/>
      <c r="AF196" s="53" t="n"/>
      <c r="AG196" s="53" t="n"/>
      <c r="AH196" s="53" t="n"/>
      <c r="AI196" s="53" t="n"/>
      <c r="AJ196" s="53" t="n"/>
      <c r="AK196" s="53" t="n"/>
      <c r="AL196" s="53" t="n"/>
      <c r="AM196" s="53" t="n"/>
      <c r="AN196" s="53" t="n"/>
      <c r="AO196" s="53" t="n"/>
      <c r="AP196" s="53" t="n"/>
      <c r="AQ196" s="53" t="n"/>
      <c r="AR196" s="53" t="n"/>
      <c r="AS196" s="53" t="n"/>
      <c r="AT196" s="53" t="n"/>
      <c r="AU196" s="53" t="n"/>
      <c r="AV196" s="53" t="n"/>
      <c r="AW196" s="53" t="n"/>
      <c r="AX196" s="53" t="n"/>
      <c r="AY196" s="53" t="n"/>
    </row>
    <row r="197" ht="15" customHeight="1">
      <c r="A197" s="62" t="n"/>
      <c r="B197" s="55">
        <f>IF($B$195="","",$B$195)</f>
        <v/>
      </c>
      <c r="C197" s="63" t="inlineStr">
        <is>
          <t>마케팅4팀</t>
        </is>
      </c>
      <c r="D197" s="55">
        <f>IF($D$195="","",$D$195)</f>
        <v/>
      </c>
      <c r="E197" s="64" t="inlineStr">
        <is>
          <t>영상</t>
        </is>
      </c>
      <c r="F197" s="44" t="n"/>
      <c r="G197" s="58">
        <f>IF($G$195="","",$G$195)</f>
        <v/>
      </c>
      <c r="H197" s="59" t="n"/>
      <c r="I197" s="59" t="n"/>
      <c r="J197" s="59" t="n"/>
      <c r="K197" s="59" t="n"/>
      <c r="L197" s="65">
        <f>IF(SUM(U197:AY197)=0,"",SUM(U197:AY197))</f>
        <v/>
      </c>
      <c r="M197" s="66">
        <f>IFERROR(INDEX(U$2:AY$2,MATCH(TRUE,INDEX(U197:AY197&lt;&gt;"",0),0)),"")</f>
        <v/>
      </c>
      <c r="N197" s="66">
        <f>IFERROR(LOOKUP(2,1/(U197:AY197&lt;&gt;""),U$2:AY$2),"")</f>
        <v/>
      </c>
      <c r="O197" s="59" t="n"/>
      <c r="P197" s="59" t="n"/>
      <c r="Q197" s="59" t="n"/>
      <c r="R197" s="59" t="n"/>
      <c r="S197" s="14" t="n"/>
      <c r="U197" s="53" t="n"/>
      <c r="V197" s="53" t="n"/>
      <c r="W197" s="53" t="n"/>
      <c r="X197" s="53" t="n"/>
      <c r="Y197" s="53" t="n"/>
      <c r="Z197" s="53" t="n"/>
      <c r="AA197" s="53" t="n"/>
      <c r="AB197" s="53" t="n"/>
      <c r="AC197" s="53" t="n"/>
      <c r="AD197" s="53" t="n"/>
      <c r="AE197" s="53" t="n"/>
      <c r="AF197" s="53" t="n"/>
      <c r="AG197" s="53" t="n"/>
      <c r="AH197" s="53" t="n"/>
      <c r="AI197" s="53" t="n"/>
      <c r="AJ197" s="53" t="n"/>
      <c r="AK197" s="53" t="n"/>
      <c r="AL197" s="53" t="n"/>
      <c r="AM197" s="53" t="n"/>
      <c r="AN197" s="53" t="n"/>
      <c r="AO197" s="53" t="n"/>
      <c r="AP197" s="53" t="n"/>
      <c r="AQ197" s="53" t="n"/>
      <c r="AR197" s="53" t="n"/>
      <c r="AS197" s="53" t="n"/>
      <c r="AT197" s="53" t="n"/>
      <c r="AU197" s="53" t="n"/>
      <c r="AV197" s="53" t="n"/>
      <c r="AW197" s="53" t="n"/>
      <c r="AX197" s="53" t="n"/>
      <c r="AY197" s="53" t="n"/>
    </row>
    <row r="198" ht="15" customHeight="1">
      <c r="A198" s="40">
        <f>IF($D$198="","",63)</f>
        <v/>
      </c>
      <c r="B198" s="10" t="n"/>
      <c r="C198" s="41" t="inlineStr">
        <is>
          <t>마케팅4팀</t>
        </is>
      </c>
      <c r="D198" s="42" t="n"/>
      <c r="E198" s="43" t="inlineStr">
        <is>
          <t>기획</t>
        </is>
      </c>
      <c r="F198" s="44" t="n"/>
      <c r="G198" s="45" t="n"/>
      <c r="H198" s="46">
        <f>IF($I$198="","",IF($I$198&lt;0,"🔴지연",IF($I$198&lt;=1,"🟡임박","🟢여유")))</f>
        <v/>
      </c>
      <c r="I198" s="47">
        <f>IF(OR($G$198="",$K$198=""),"",$G$198-$K$198)</f>
        <v/>
      </c>
      <c r="J198" s="48">
        <f>IF(SUM($L$198:$L$200)=0,"",SUM($L$198:$L$200))</f>
        <v/>
      </c>
      <c r="K198" s="49">
        <f>IF($J$198="","",MAX($N$198:$N$200))</f>
        <v/>
      </c>
      <c r="L198" s="50">
        <f>IF(SUM(U198:AY198)=0,"",SUM(U198:AY198))</f>
        <v/>
      </c>
      <c r="M198" s="51">
        <f>IFERROR(INDEX(U$2:AY$2,MATCH(TRUE,INDEX(U198:AY198&lt;&gt;"",0),0)),"")</f>
        <v/>
      </c>
      <c r="N198" s="51">
        <f>IFERROR(LOOKUP(2,1/(U198:AY198&lt;&gt;""),U$2:AY$2),"")</f>
        <v/>
      </c>
      <c r="O198" s="52" t="n"/>
      <c r="P198" s="52" t="n"/>
      <c r="Q198" s="52" t="n"/>
      <c r="R198" s="44" t="n"/>
      <c r="S198" s="14" t="n"/>
      <c r="U198" s="53" t="n"/>
      <c r="V198" s="53" t="n"/>
      <c r="W198" s="53" t="n"/>
      <c r="X198" s="53" t="n"/>
      <c r="Y198" s="53" t="n"/>
      <c r="Z198" s="53" t="n"/>
      <c r="AA198" s="53" t="n"/>
      <c r="AB198" s="53" t="n"/>
      <c r="AC198" s="53" t="n"/>
      <c r="AD198" s="53" t="n"/>
      <c r="AE198" s="53" t="n"/>
      <c r="AF198" s="53" t="n"/>
      <c r="AG198" s="53" t="n"/>
      <c r="AH198" s="53" t="n"/>
      <c r="AI198" s="53" t="n"/>
      <c r="AJ198" s="53" t="n"/>
      <c r="AK198" s="53" t="n"/>
      <c r="AL198" s="53" t="n"/>
      <c r="AM198" s="53" t="n"/>
      <c r="AN198" s="53" t="n"/>
      <c r="AO198" s="53" t="n"/>
      <c r="AP198" s="53" t="n"/>
      <c r="AQ198" s="53" t="n"/>
      <c r="AR198" s="53" t="n"/>
      <c r="AS198" s="53" t="n"/>
      <c r="AT198" s="53" t="n"/>
      <c r="AU198" s="53" t="n"/>
      <c r="AV198" s="53" t="n"/>
      <c r="AW198" s="53" t="n"/>
      <c r="AX198" s="53" t="n"/>
      <c r="AY198" s="53" t="n"/>
    </row>
    <row r="199" ht="15" customHeight="1">
      <c r="A199" s="54" t="n"/>
      <c r="B199" s="55">
        <f>IF($B$198="","",$B$198)</f>
        <v/>
      </c>
      <c r="C199" s="56" t="inlineStr">
        <is>
          <t>마케팅4팀</t>
        </is>
      </c>
      <c r="D199" s="55">
        <f>IF($D$198="","",$D$198)</f>
        <v/>
      </c>
      <c r="E199" s="57" t="inlineStr">
        <is>
          <t>이미지</t>
        </is>
      </c>
      <c r="F199" s="44" t="n"/>
      <c r="G199" s="58">
        <f>IF($G$198="","",$G$198)</f>
        <v/>
      </c>
      <c r="H199" s="59" t="n"/>
      <c r="I199" s="59" t="n"/>
      <c r="J199" s="59" t="n"/>
      <c r="K199" s="59" t="n"/>
      <c r="L199" s="60">
        <f>IF(SUM(U199:AY199)=0,"",SUM(U199:AY199))</f>
        <v/>
      </c>
      <c r="M199" s="61">
        <f>IFERROR(INDEX(U$2:AY$2,MATCH(TRUE,INDEX(U199:AY199&lt;&gt;"",0),0)),"")</f>
        <v/>
      </c>
      <c r="N199" s="61">
        <f>IFERROR(LOOKUP(2,1/(U199:AY199&lt;&gt;""),U$2:AY$2),"")</f>
        <v/>
      </c>
      <c r="O199" s="59" t="n"/>
      <c r="P199" s="59" t="n"/>
      <c r="Q199" s="59" t="n"/>
      <c r="R199" s="59" t="n"/>
      <c r="S199" s="14" t="n"/>
      <c r="U199" s="53" t="n"/>
      <c r="V199" s="53" t="n"/>
      <c r="W199" s="53" t="n"/>
      <c r="X199" s="53" t="n"/>
      <c r="Y199" s="53" t="n"/>
      <c r="Z199" s="53" t="n"/>
      <c r="AA199" s="53" t="n"/>
      <c r="AB199" s="53" t="n"/>
      <c r="AC199" s="53" t="n"/>
      <c r="AD199" s="53" t="n"/>
      <c r="AE199" s="53" t="n"/>
      <c r="AF199" s="53" t="n"/>
      <c r="AG199" s="53" t="n"/>
      <c r="AH199" s="53" t="n"/>
      <c r="AI199" s="53" t="n"/>
      <c r="AJ199" s="53" t="n"/>
      <c r="AK199" s="53" t="n"/>
      <c r="AL199" s="53" t="n"/>
      <c r="AM199" s="53" t="n"/>
      <c r="AN199" s="53" t="n"/>
      <c r="AO199" s="53" t="n"/>
      <c r="AP199" s="53" t="n"/>
      <c r="AQ199" s="53" t="n"/>
      <c r="AR199" s="53" t="n"/>
      <c r="AS199" s="53" t="n"/>
      <c r="AT199" s="53" t="n"/>
      <c r="AU199" s="53" t="n"/>
      <c r="AV199" s="53" t="n"/>
      <c r="AW199" s="53" t="n"/>
      <c r="AX199" s="53" t="n"/>
      <c r="AY199" s="53" t="n"/>
    </row>
    <row r="200" ht="15" customHeight="1">
      <c r="A200" s="62" t="n"/>
      <c r="B200" s="55">
        <f>IF($B$198="","",$B$198)</f>
        <v/>
      </c>
      <c r="C200" s="63" t="inlineStr">
        <is>
          <t>마케팅4팀</t>
        </is>
      </c>
      <c r="D200" s="55">
        <f>IF($D$198="","",$D$198)</f>
        <v/>
      </c>
      <c r="E200" s="64" t="inlineStr">
        <is>
          <t>영상</t>
        </is>
      </c>
      <c r="F200" s="44" t="n"/>
      <c r="G200" s="58">
        <f>IF($G$198="","",$G$198)</f>
        <v/>
      </c>
      <c r="H200" s="59" t="n"/>
      <c r="I200" s="59" t="n"/>
      <c r="J200" s="59" t="n"/>
      <c r="K200" s="59" t="n"/>
      <c r="L200" s="65">
        <f>IF(SUM(U200:AY200)=0,"",SUM(U200:AY200))</f>
        <v/>
      </c>
      <c r="M200" s="66">
        <f>IFERROR(INDEX(U$2:AY$2,MATCH(TRUE,INDEX(U200:AY200&lt;&gt;"",0),0)),"")</f>
        <v/>
      </c>
      <c r="N200" s="66">
        <f>IFERROR(LOOKUP(2,1/(U200:AY200&lt;&gt;""),U$2:AY$2),"")</f>
        <v/>
      </c>
      <c r="O200" s="59" t="n"/>
      <c r="P200" s="59" t="n"/>
      <c r="Q200" s="59" t="n"/>
      <c r="R200" s="59" t="n"/>
      <c r="S200" s="14" t="n"/>
      <c r="U200" s="53" t="n"/>
      <c r="V200" s="53" t="n"/>
      <c r="W200" s="53" t="n"/>
      <c r="X200" s="53" t="n"/>
      <c r="Y200" s="53" t="n"/>
      <c r="Z200" s="53" t="n"/>
      <c r="AA200" s="53" t="n"/>
      <c r="AB200" s="53" t="n"/>
      <c r="AC200" s="53" t="n"/>
      <c r="AD200" s="53" t="n"/>
      <c r="AE200" s="53" t="n"/>
      <c r="AF200" s="53" t="n"/>
      <c r="AG200" s="53" t="n"/>
      <c r="AH200" s="53" t="n"/>
      <c r="AI200" s="53" t="n"/>
      <c r="AJ200" s="53" t="n"/>
      <c r="AK200" s="53" t="n"/>
      <c r="AL200" s="53" t="n"/>
      <c r="AM200" s="53" t="n"/>
      <c r="AN200" s="53" t="n"/>
      <c r="AO200" s="53" t="n"/>
      <c r="AP200" s="53" t="n"/>
      <c r="AQ200" s="53" t="n"/>
      <c r="AR200" s="53" t="n"/>
      <c r="AS200" s="53" t="n"/>
      <c r="AT200" s="53" t="n"/>
      <c r="AU200" s="53" t="n"/>
      <c r="AV200" s="53" t="n"/>
      <c r="AW200" s="53" t="n"/>
      <c r="AX200" s="53" t="n"/>
      <c r="AY200" s="53" t="n"/>
    </row>
    <row r="201" ht="15" customHeight="1">
      <c r="A201" s="40">
        <f>IF($D$201="","",64)</f>
        <v/>
      </c>
      <c r="B201" s="10" t="n"/>
      <c r="C201" s="41" t="inlineStr">
        <is>
          <t>마케팅4팀</t>
        </is>
      </c>
      <c r="D201" s="42" t="n"/>
      <c r="E201" s="43" t="inlineStr">
        <is>
          <t>기획</t>
        </is>
      </c>
      <c r="F201" s="44" t="n"/>
      <c r="G201" s="45" t="n"/>
      <c r="H201" s="46">
        <f>IF($I$201="","",IF($I$201&lt;0,"🔴지연",IF($I$201&lt;=1,"🟡임박","🟢여유")))</f>
        <v/>
      </c>
      <c r="I201" s="47">
        <f>IF(OR($G$201="",$K$201=""),"",$G$201-$K$201)</f>
        <v/>
      </c>
      <c r="J201" s="48">
        <f>IF(SUM($L$201:$L$203)=0,"",SUM($L$201:$L$203))</f>
        <v/>
      </c>
      <c r="K201" s="49">
        <f>IF($J$201="","",MAX($N$201:$N$203))</f>
        <v/>
      </c>
      <c r="L201" s="50">
        <f>IF(SUM(U201:AY201)=0,"",SUM(U201:AY201))</f>
        <v/>
      </c>
      <c r="M201" s="51">
        <f>IFERROR(INDEX(U$2:AY$2,MATCH(TRUE,INDEX(U201:AY201&lt;&gt;"",0),0)),"")</f>
        <v/>
      </c>
      <c r="N201" s="51">
        <f>IFERROR(LOOKUP(2,1/(U201:AY201&lt;&gt;""),U$2:AY$2),"")</f>
        <v/>
      </c>
      <c r="O201" s="52" t="n"/>
      <c r="P201" s="52" t="n"/>
      <c r="Q201" s="52" t="n"/>
      <c r="R201" s="44" t="n"/>
      <c r="S201" s="14" t="n"/>
      <c r="U201" s="53" t="n"/>
      <c r="V201" s="53" t="n"/>
      <c r="W201" s="53" t="n"/>
      <c r="X201" s="53" t="n"/>
      <c r="Y201" s="53" t="n"/>
      <c r="Z201" s="53" t="n"/>
      <c r="AA201" s="53" t="n"/>
      <c r="AB201" s="53" t="n"/>
      <c r="AC201" s="53" t="n"/>
      <c r="AD201" s="53" t="n"/>
      <c r="AE201" s="53" t="n"/>
      <c r="AF201" s="53" t="n"/>
      <c r="AG201" s="53" t="n"/>
      <c r="AH201" s="53" t="n"/>
      <c r="AI201" s="53" t="n"/>
      <c r="AJ201" s="53" t="n"/>
      <c r="AK201" s="53" t="n"/>
      <c r="AL201" s="53" t="n"/>
      <c r="AM201" s="53" t="n"/>
      <c r="AN201" s="53" t="n"/>
      <c r="AO201" s="53" t="n"/>
      <c r="AP201" s="53" t="n"/>
      <c r="AQ201" s="53" t="n"/>
      <c r="AR201" s="53" t="n"/>
      <c r="AS201" s="53" t="n"/>
      <c r="AT201" s="53" t="n"/>
      <c r="AU201" s="53" t="n"/>
      <c r="AV201" s="53" t="n"/>
      <c r="AW201" s="53" t="n"/>
      <c r="AX201" s="53" t="n"/>
      <c r="AY201" s="53" t="n"/>
    </row>
    <row r="202" ht="15" customHeight="1">
      <c r="A202" s="54" t="n"/>
      <c r="B202" s="55">
        <f>IF($B$201="","",$B$201)</f>
        <v/>
      </c>
      <c r="C202" s="56" t="inlineStr">
        <is>
          <t>마케팅4팀</t>
        </is>
      </c>
      <c r="D202" s="55">
        <f>IF($D$201="","",$D$201)</f>
        <v/>
      </c>
      <c r="E202" s="57" t="inlineStr">
        <is>
          <t>이미지</t>
        </is>
      </c>
      <c r="F202" s="44" t="n"/>
      <c r="G202" s="58">
        <f>IF($G$201="","",$G$201)</f>
        <v/>
      </c>
      <c r="H202" s="59" t="n"/>
      <c r="I202" s="59" t="n"/>
      <c r="J202" s="59" t="n"/>
      <c r="K202" s="59" t="n"/>
      <c r="L202" s="60">
        <f>IF(SUM(U202:AY202)=0,"",SUM(U202:AY202))</f>
        <v/>
      </c>
      <c r="M202" s="61">
        <f>IFERROR(INDEX(U$2:AY$2,MATCH(TRUE,INDEX(U202:AY202&lt;&gt;"",0),0)),"")</f>
        <v/>
      </c>
      <c r="N202" s="61">
        <f>IFERROR(LOOKUP(2,1/(U202:AY202&lt;&gt;""),U$2:AY$2),"")</f>
        <v/>
      </c>
      <c r="O202" s="59" t="n"/>
      <c r="P202" s="59" t="n"/>
      <c r="Q202" s="59" t="n"/>
      <c r="R202" s="59" t="n"/>
      <c r="S202" s="14" t="n"/>
      <c r="U202" s="53" t="n"/>
      <c r="V202" s="53" t="n"/>
      <c r="W202" s="53" t="n"/>
      <c r="X202" s="53" t="n"/>
      <c r="Y202" s="53" t="n"/>
      <c r="Z202" s="53" t="n"/>
      <c r="AA202" s="53" t="n"/>
      <c r="AB202" s="53" t="n"/>
      <c r="AC202" s="53" t="n"/>
      <c r="AD202" s="53" t="n"/>
      <c r="AE202" s="53" t="n"/>
      <c r="AF202" s="53" t="n"/>
      <c r="AG202" s="53" t="n"/>
      <c r="AH202" s="53" t="n"/>
      <c r="AI202" s="53" t="n"/>
      <c r="AJ202" s="53" t="n"/>
      <c r="AK202" s="53" t="n"/>
      <c r="AL202" s="53" t="n"/>
      <c r="AM202" s="53" t="n"/>
      <c r="AN202" s="53" t="n"/>
      <c r="AO202" s="53" t="n"/>
      <c r="AP202" s="53" t="n"/>
      <c r="AQ202" s="53" t="n"/>
      <c r="AR202" s="53" t="n"/>
      <c r="AS202" s="53" t="n"/>
      <c r="AT202" s="53" t="n"/>
      <c r="AU202" s="53" t="n"/>
      <c r="AV202" s="53" t="n"/>
      <c r="AW202" s="53" t="n"/>
      <c r="AX202" s="53" t="n"/>
      <c r="AY202" s="53" t="n"/>
    </row>
    <row r="203" ht="15" customHeight="1">
      <c r="A203" s="62" t="n"/>
      <c r="B203" s="55">
        <f>IF($B$201="","",$B$201)</f>
        <v/>
      </c>
      <c r="C203" s="63" t="inlineStr">
        <is>
          <t>마케팅4팀</t>
        </is>
      </c>
      <c r="D203" s="55">
        <f>IF($D$201="","",$D$201)</f>
        <v/>
      </c>
      <c r="E203" s="64" t="inlineStr">
        <is>
          <t>영상</t>
        </is>
      </c>
      <c r="F203" s="44" t="n"/>
      <c r="G203" s="58">
        <f>IF($G$201="","",$G$201)</f>
        <v/>
      </c>
      <c r="H203" s="59" t="n"/>
      <c r="I203" s="59" t="n"/>
      <c r="J203" s="59" t="n"/>
      <c r="K203" s="59" t="n"/>
      <c r="L203" s="65">
        <f>IF(SUM(U203:AY203)=0,"",SUM(U203:AY203))</f>
        <v/>
      </c>
      <c r="M203" s="66">
        <f>IFERROR(INDEX(U$2:AY$2,MATCH(TRUE,INDEX(U203:AY203&lt;&gt;"",0),0)),"")</f>
        <v/>
      </c>
      <c r="N203" s="66">
        <f>IFERROR(LOOKUP(2,1/(U203:AY203&lt;&gt;""),U$2:AY$2),"")</f>
        <v/>
      </c>
      <c r="O203" s="59" t="n"/>
      <c r="P203" s="59" t="n"/>
      <c r="Q203" s="59" t="n"/>
      <c r="R203" s="59" t="n"/>
      <c r="S203" s="14" t="n"/>
      <c r="U203" s="53" t="n"/>
      <c r="V203" s="53" t="n"/>
      <c r="W203" s="53" t="n"/>
      <c r="X203" s="53" t="n"/>
      <c r="Y203" s="53" t="n"/>
      <c r="Z203" s="53" t="n"/>
      <c r="AA203" s="53" t="n"/>
      <c r="AB203" s="53" t="n"/>
      <c r="AC203" s="53" t="n"/>
      <c r="AD203" s="53" t="n"/>
      <c r="AE203" s="53" t="n"/>
      <c r="AF203" s="53" t="n"/>
      <c r="AG203" s="53" t="n"/>
      <c r="AH203" s="53" t="n"/>
      <c r="AI203" s="53" t="n"/>
      <c r="AJ203" s="53" t="n"/>
      <c r="AK203" s="53" t="n"/>
      <c r="AL203" s="53" t="n"/>
      <c r="AM203" s="53" t="n"/>
      <c r="AN203" s="53" t="n"/>
      <c r="AO203" s="53" t="n"/>
      <c r="AP203" s="53" t="n"/>
      <c r="AQ203" s="53" t="n"/>
      <c r="AR203" s="53" t="n"/>
      <c r="AS203" s="53" t="n"/>
      <c r="AT203" s="53" t="n"/>
      <c r="AU203" s="53" t="n"/>
      <c r="AV203" s="53" t="n"/>
      <c r="AW203" s="53" t="n"/>
      <c r="AX203" s="53" t="n"/>
      <c r="AY203" s="53" t="n"/>
    </row>
    <row r="204" ht="15" customHeight="1">
      <c r="A204" s="40">
        <f>IF($D$204="","",65)</f>
        <v/>
      </c>
      <c r="B204" s="10" t="n"/>
      <c r="C204" s="41" t="inlineStr">
        <is>
          <t>마케팅4팀</t>
        </is>
      </c>
      <c r="D204" s="42" t="n"/>
      <c r="E204" s="43" t="inlineStr">
        <is>
          <t>기획</t>
        </is>
      </c>
      <c r="F204" s="44" t="n"/>
      <c r="G204" s="45" t="n"/>
      <c r="H204" s="46">
        <f>IF($I$204="","",IF($I$204&lt;0,"🔴지연",IF($I$204&lt;=1,"🟡임박","🟢여유")))</f>
        <v/>
      </c>
      <c r="I204" s="47">
        <f>IF(OR($G$204="",$K$204=""),"",$G$204-$K$204)</f>
        <v/>
      </c>
      <c r="J204" s="48">
        <f>IF(SUM($L$204:$L$206)=0,"",SUM($L$204:$L$206))</f>
        <v/>
      </c>
      <c r="K204" s="49">
        <f>IF($J$204="","",MAX($N$204:$N$206))</f>
        <v/>
      </c>
      <c r="L204" s="50">
        <f>IF(SUM(U204:AY204)=0,"",SUM(U204:AY204))</f>
        <v/>
      </c>
      <c r="M204" s="51">
        <f>IFERROR(INDEX(U$2:AY$2,MATCH(TRUE,INDEX(U204:AY204&lt;&gt;"",0),0)),"")</f>
        <v/>
      </c>
      <c r="N204" s="51">
        <f>IFERROR(LOOKUP(2,1/(U204:AY204&lt;&gt;""),U$2:AY$2),"")</f>
        <v/>
      </c>
      <c r="O204" s="52" t="n"/>
      <c r="P204" s="52" t="n"/>
      <c r="Q204" s="52" t="n"/>
      <c r="R204" s="44" t="n"/>
      <c r="S204" s="14" t="n"/>
      <c r="U204" s="53" t="n"/>
      <c r="V204" s="53" t="n"/>
      <c r="W204" s="53" t="n"/>
      <c r="X204" s="53" t="n"/>
      <c r="Y204" s="53" t="n"/>
      <c r="Z204" s="53" t="n"/>
      <c r="AA204" s="53" t="n"/>
      <c r="AB204" s="53" t="n"/>
      <c r="AC204" s="53" t="n"/>
      <c r="AD204" s="53" t="n"/>
      <c r="AE204" s="53" t="n"/>
      <c r="AF204" s="53" t="n"/>
      <c r="AG204" s="53" t="n"/>
      <c r="AH204" s="53" t="n"/>
      <c r="AI204" s="53" t="n"/>
      <c r="AJ204" s="53" t="n"/>
      <c r="AK204" s="53" t="n"/>
      <c r="AL204" s="53" t="n"/>
      <c r="AM204" s="53" t="n"/>
      <c r="AN204" s="53" t="n"/>
      <c r="AO204" s="53" t="n"/>
      <c r="AP204" s="53" t="n"/>
      <c r="AQ204" s="53" t="n"/>
      <c r="AR204" s="53" t="n"/>
      <c r="AS204" s="53" t="n"/>
      <c r="AT204" s="53" t="n"/>
      <c r="AU204" s="53" t="n"/>
      <c r="AV204" s="53" t="n"/>
      <c r="AW204" s="53" t="n"/>
      <c r="AX204" s="53" t="n"/>
      <c r="AY204" s="53" t="n"/>
    </row>
    <row r="205" ht="15" customHeight="1">
      <c r="A205" s="54" t="n"/>
      <c r="B205" s="55">
        <f>IF($B$204="","",$B$204)</f>
        <v/>
      </c>
      <c r="C205" s="56" t="inlineStr">
        <is>
          <t>마케팅4팀</t>
        </is>
      </c>
      <c r="D205" s="55">
        <f>IF($D$204="","",$D$204)</f>
        <v/>
      </c>
      <c r="E205" s="57" t="inlineStr">
        <is>
          <t>이미지</t>
        </is>
      </c>
      <c r="F205" s="44" t="n"/>
      <c r="G205" s="58">
        <f>IF($G$204="","",$G$204)</f>
        <v/>
      </c>
      <c r="H205" s="59" t="n"/>
      <c r="I205" s="59" t="n"/>
      <c r="J205" s="59" t="n"/>
      <c r="K205" s="59" t="n"/>
      <c r="L205" s="60">
        <f>IF(SUM(U205:AY205)=0,"",SUM(U205:AY205))</f>
        <v/>
      </c>
      <c r="M205" s="61">
        <f>IFERROR(INDEX(U$2:AY$2,MATCH(TRUE,INDEX(U205:AY205&lt;&gt;"",0),0)),"")</f>
        <v/>
      </c>
      <c r="N205" s="61">
        <f>IFERROR(LOOKUP(2,1/(U205:AY205&lt;&gt;""),U$2:AY$2),"")</f>
        <v/>
      </c>
      <c r="O205" s="59" t="n"/>
      <c r="P205" s="59" t="n"/>
      <c r="Q205" s="59" t="n"/>
      <c r="R205" s="59" t="n"/>
      <c r="S205" s="14" t="n"/>
      <c r="U205" s="53" t="n"/>
      <c r="V205" s="53" t="n"/>
      <c r="W205" s="53" t="n"/>
      <c r="X205" s="53" t="n"/>
      <c r="Y205" s="53" t="n"/>
      <c r="Z205" s="53" t="n"/>
      <c r="AA205" s="53" t="n"/>
      <c r="AB205" s="53" t="n"/>
      <c r="AC205" s="53" t="n"/>
      <c r="AD205" s="53" t="n"/>
      <c r="AE205" s="53" t="n"/>
      <c r="AF205" s="53" t="n"/>
      <c r="AG205" s="53" t="n"/>
      <c r="AH205" s="53" t="n"/>
      <c r="AI205" s="53" t="n"/>
      <c r="AJ205" s="53" t="n"/>
      <c r="AK205" s="53" t="n"/>
      <c r="AL205" s="53" t="n"/>
      <c r="AM205" s="53" t="n"/>
      <c r="AN205" s="53" t="n"/>
      <c r="AO205" s="53" t="n"/>
      <c r="AP205" s="53" t="n"/>
      <c r="AQ205" s="53" t="n"/>
      <c r="AR205" s="53" t="n"/>
      <c r="AS205" s="53" t="n"/>
      <c r="AT205" s="53" t="n"/>
      <c r="AU205" s="53" t="n"/>
      <c r="AV205" s="53" t="n"/>
      <c r="AW205" s="53" t="n"/>
      <c r="AX205" s="53" t="n"/>
      <c r="AY205" s="53" t="n"/>
    </row>
    <row r="206" ht="15" customHeight="1">
      <c r="A206" s="62" t="n"/>
      <c r="B206" s="55">
        <f>IF($B$204="","",$B$204)</f>
        <v/>
      </c>
      <c r="C206" s="63" t="inlineStr">
        <is>
          <t>마케팅4팀</t>
        </is>
      </c>
      <c r="D206" s="55">
        <f>IF($D$204="","",$D$204)</f>
        <v/>
      </c>
      <c r="E206" s="64" t="inlineStr">
        <is>
          <t>영상</t>
        </is>
      </c>
      <c r="F206" s="44" t="n"/>
      <c r="G206" s="58">
        <f>IF($G$204="","",$G$204)</f>
        <v/>
      </c>
      <c r="H206" s="59" t="n"/>
      <c r="I206" s="59" t="n"/>
      <c r="J206" s="59" t="n"/>
      <c r="K206" s="59" t="n"/>
      <c r="L206" s="65">
        <f>IF(SUM(U206:AY206)=0,"",SUM(U206:AY206))</f>
        <v/>
      </c>
      <c r="M206" s="66">
        <f>IFERROR(INDEX(U$2:AY$2,MATCH(TRUE,INDEX(U206:AY206&lt;&gt;"",0),0)),"")</f>
        <v/>
      </c>
      <c r="N206" s="66">
        <f>IFERROR(LOOKUP(2,1/(U206:AY206&lt;&gt;""),U$2:AY$2),"")</f>
        <v/>
      </c>
      <c r="O206" s="59" t="n"/>
      <c r="P206" s="59" t="n"/>
      <c r="Q206" s="59" t="n"/>
      <c r="R206" s="59" t="n"/>
      <c r="S206" s="14" t="n"/>
      <c r="U206" s="53" t="n"/>
      <c r="V206" s="53" t="n"/>
      <c r="W206" s="53" t="n"/>
      <c r="X206" s="53" t="n"/>
      <c r="Y206" s="53" t="n"/>
      <c r="Z206" s="53" t="n"/>
      <c r="AA206" s="53" t="n"/>
      <c r="AB206" s="53" t="n"/>
      <c r="AC206" s="53" t="n"/>
      <c r="AD206" s="53" t="n"/>
      <c r="AE206" s="53" t="n"/>
      <c r="AF206" s="53" t="n"/>
      <c r="AG206" s="53" t="n"/>
      <c r="AH206" s="53" t="n"/>
      <c r="AI206" s="53" t="n"/>
      <c r="AJ206" s="53" t="n"/>
      <c r="AK206" s="53" t="n"/>
      <c r="AL206" s="53" t="n"/>
      <c r="AM206" s="53" t="n"/>
      <c r="AN206" s="53" t="n"/>
      <c r="AO206" s="53" t="n"/>
      <c r="AP206" s="53" t="n"/>
      <c r="AQ206" s="53" t="n"/>
      <c r="AR206" s="53" t="n"/>
      <c r="AS206" s="53" t="n"/>
      <c r="AT206" s="53" t="n"/>
      <c r="AU206" s="53" t="n"/>
      <c r="AV206" s="53" t="n"/>
      <c r="AW206" s="53" t="n"/>
      <c r="AX206" s="53" t="n"/>
      <c r="AY206" s="53" t="n"/>
    </row>
    <row r="207" ht="15" customHeight="1">
      <c r="A207" s="40">
        <f>IF($D$207="","",66)</f>
        <v/>
      </c>
      <c r="B207" s="10" t="n"/>
      <c r="C207" s="41" t="inlineStr">
        <is>
          <t>마케팅4팀</t>
        </is>
      </c>
      <c r="D207" s="42" t="n"/>
      <c r="E207" s="43" t="inlineStr">
        <is>
          <t>기획</t>
        </is>
      </c>
      <c r="F207" s="44" t="n"/>
      <c r="G207" s="45" t="n"/>
      <c r="H207" s="46">
        <f>IF($I$207="","",IF($I$207&lt;0,"🔴지연",IF($I$207&lt;=1,"🟡임박","🟢여유")))</f>
        <v/>
      </c>
      <c r="I207" s="47">
        <f>IF(OR($G$207="",$K$207=""),"",$G$207-$K$207)</f>
        <v/>
      </c>
      <c r="J207" s="48">
        <f>IF(SUM($L$207:$L$209)=0,"",SUM($L$207:$L$209))</f>
        <v/>
      </c>
      <c r="K207" s="49">
        <f>IF($J$207="","",MAX($N$207:$N$209))</f>
        <v/>
      </c>
      <c r="L207" s="50">
        <f>IF(SUM(U207:AY207)=0,"",SUM(U207:AY207))</f>
        <v/>
      </c>
      <c r="M207" s="51">
        <f>IFERROR(INDEX(U$2:AY$2,MATCH(TRUE,INDEX(U207:AY207&lt;&gt;"",0),0)),"")</f>
        <v/>
      </c>
      <c r="N207" s="51">
        <f>IFERROR(LOOKUP(2,1/(U207:AY207&lt;&gt;""),U$2:AY$2),"")</f>
        <v/>
      </c>
      <c r="O207" s="52" t="n"/>
      <c r="P207" s="52" t="n"/>
      <c r="Q207" s="52" t="n"/>
      <c r="R207" s="44" t="n"/>
      <c r="S207" s="14" t="n"/>
      <c r="U207" s="53" t="n"/>
      <c r="V207" s="53" t="n"/>
      <c r="W207" s="53" t="n"/>
      <c r="X207" s="53" t="n"/>
      <c r="Y207" s="53" t="n"/>
      <c r="Z207" s="53" t="n"/>
      <c r="AA207" s="53" t="n"/>
      <c r="AB207" s="53" t="n"/>
      <c r="AC207" s="53" t="n"/>
      <c r="AD207" s="53" t="n"/>
      <c r="AE207" s="53" t="n"/>
      <c r="AF207" s="53" t="n"/>
      <c r="AG207" s="53" t="n"/>
      <c r="AH207" s="53" t="n"/>
      <c r="AI207" s="53" t="n"/>
      <c r="AJ207" s="53" t="n"/>
      <c r="AK207" s="53" t="n"/>
      <c r="AL207" s="53" t="n"/>
      <c r="AM207" s="53" t="n"/>
      <c r="AN207" s="53" t="n"/>
      <c r="AO207" s="53" t="n"/>
      <c r="AP207" s="53" t="n"/>
      <c r="AQ207" s="53" t="n"/>
      <c r="AR207" s="53" t="n"/>
      <c r="AS207" s="53" t="n"/>
      <c r="AT207" s="53" t="n"/>
      <c r="AU207" s="53" t="n"/>
      <c r="AV207" s="53" t="n"/>
      <c r="AW207" s="53" t="n"/>
      <c r="AX207" s="53" t="n"/>
      <c r="AY207" s="53" t="n"/>
    </row>
    <row r="208" ht="15" customHeight="1">
      <c r="A208" s="54" t="n"/>
      <c r="B208" s="55">
        <f>IF($B$207="","",$B$207)</f>
        <v/>
      </c>
      <c r="C208" s="56" t="inlineStr">
        <is>
          <t>마케팅4팀</t>
        </is>
      </c>
      <c r="D208" s="55">
        <f>IF($D$207="","",$D$207)</f>
        <v/>
      </c>
      <c r="E208" s="57" t="inlineStr">
        <is>
          <t>이미지</t>
        </is>
      </c>
      <c r="F208" s="44" t="n"/>
      <c r="G208" s="58">
        <f>IF($G$207="","",$G$207)</f>
        <v/>
      </c>
      <c r="H208" s="59" t="n"/>
      <c r="I208" s="59" t="n"/>
      <c r="J208" s="59" t="n"/>
      <c r="K208" s="59" t="n"/>
      <c r="L208" s="60">
        <f>IF(SUM(U208:AY208)=0,"",SUM(U208:AY208))</f>
        <v/>
      </c>
      <c r="M208" s="61">
        <f>IFERROR(INDEX(U$2:AY$2,MATCH(TRUE,INDEX(U208:AY208&lt;&gt;"",0),0)),"")</f>
        <v/>
      </c>
      <c r="N208" s="61">
        <f>IFERROR(LOOKUP(2,1/(U208:AY208&lt;&gt;""),U$2:AY$2),"")</f>
        <v/>
      </c>
      <c r="O208" s="59" t="n"/>
      <c r="P208" s="59" t="n"/>
      <c r="Q208" s="59" t="n"/>
      <c r="R208" s="59" t="n"/>
      <c r="S208" s="14" t="n"/>
      <c r="U208" s="53" t="n"/>
      <c r="V208" s="53" t="n"/>
      <c r="W208" s="53" t="n"/>
      <c r="X208" s="53" t="n"/>
      <c r="Y208" s="53" t="n"/>
      <c r="Z208" s="53" t="n"/>
      <c r="AA208" s="53" t="n"/>
      <c r="AB208" s="53" t="n"/>
      <c r="AC208" s="53" t="n"/>
      <c r="AD208" s="53" t="n"/>
      <c r="AE208" s="53" t="n"/>
      <c r="AF208" s="53" t="n"/>
      <c r="AG208" s="53" t="n"/>
      <c r="AH208" s="53" t="n"/>
      <c r="AI208" s="53" t="n"/>
      <c r="AJ208" s="53" t="n"/>
      <c r="AK208" s="53" t="n"/>
      <c r="AL208" s="53" t="n"/>
      <c r="AM208" s="53" t="n"/>
      <c r="AN208" s="53" t="n"/>
      <c r="AO208" s="53" t="n"/>
      <c r="AP208" s="53" t="n"/>
      <c r="AQ208" s="53" t="n"/>
      <c r="AR208" s="53" t="n"/>
      <c r="AS208" s="53" t="n"/>
      <c r="AT208" s="53" t="n"/>
      <c r="AU208" s="53" t="n"/>
      <c r="AV208" s="53" t="n"/>
      <c r="AW208" s="53" t="n"/>
      <c r="AX208" s="53" t="n"/>
      <c r="AY208" s="53" t="n"/>
    </row>
    <row r="209" ht="15" customHeight="1">
      <c r="A209" s="62" t="n"/>
      <c r="B209" s="55">
        <f>IF($B$207="","",$B$207)</f>
        <v/>
      </c>
      <c r="C209" s="63" t="inlineStr">
        <is>
          <t>마케팅4팀</t>
        </is>
      </c>
      <c r="D209" s="55">
        <f>IF($D$207="","",$D$207)</f>
        <v/>
      </c>
      <c r="E209" s="64" t="inlineStr">
        <is>
          <t>영상</t>
        </is>
      </c>
      <c r="F209" s="44" t="n"/>
      <c r="G209" s="58">
        <f>IF($G$207="","",$G$207)</f>
        <v/>
      </c>
      <c r="H209" s="59" t="n"/>
      <c r="I209" s="59" t="n"/>
      <c r="J209" s="59" t="n"/>
      <c r="K209" s="59" t="n"/>
      <c r="L209" s="65">
        <f>IF(SUM(U209:AY209)=0,"",SUM(U209:AY209))</f>
        <v/>
      </c>
      <c r="M209" s="66">
        <f>IFERROR(INDEX(U$2:AY$2,MATCH(TRUE,INDEX(U209:AY209&lt;&gt;"",0),0)),"")</f>
        <v/>
      </c>
      <c r="N209" s="66">
        <f>IFERROR(LOOKUP(2,1/(U209:AY209&lt;&gt;""),U$2:AY$2),"")</f>
        <v/>
      </c>
      <c r="O209" s="59" t="n"/>
      <c r="P209" s="59" t="n"/>
      <c r="Q209" s="59" t="n"/>
      <c r="R209" s="59" t="n"/>
      <c r="S209" s="14" t="n"/>
      <c r="U209" s="53" t="n"/>
      <c r="V209" s="53" t="n"/>
      <c r="W209" s="53" t="n"/>
      <c r="X209" s="53" t="n"/>
      <c r="Y209" s="53" t="n"/>
      <c r="Z209" s="53" t="n"/>
      <c r="AA209" s="53" t="n"/>
      <c r="AB209" s="53" t="n"/>
      <c r="AC209" s="53" t="n"/>
      <c r="AD209" s="53" t="n"/>
      <c r="AE209" s="53" t="n"/>
      <c r="AF209" s="53" t="n"/>
      <c r="AG209" s="53" t="n"/>
      <c r="AH209" s="53" t="n"/>
      <c r="AI209" s="53" t="n"/>
      <c r="AJ209" s="53" t="n"/>
      <c r="AK209" s="53" t="n"/>
      <c r="AL209" s="53" t="n"/>
      <c r="AM209" s="53" t="n"/>
      <c r="AN209" s="53" t="n"/>
      <c r="AO209" s="53" t="n"/>
      <c r="AP209" s="53" t="n"/>
      <c r="AQ209" s="53" t="n"/>
      <c r="AR209" s="53" t="n"/>
      <c r="AS209" s="53" t="n"/>
      <c r="AT209" s="53" t="n"/>
      <c r="AU209" s="53" t="n"/>
      <c r="AV209" s="53" t="n"/>
      <c r="AW209" s="53" t="n"/>
      <c r="AX209" s="53" t="n"/>
      <c r="AY209" s="53" t="n"/>
    </row>
    <row r="210" ht="15" customHeight="1">
      <c r="A210" s="40">
        <f>IF($D$210="","",67)</f>
        <v/>
      </c>
      <c r="B210" s="10" t="n"/>
      <c r="C210" s="41" t="inlineStr">
        <is>
          <t>마케팅4팀</t>
        </is>
      </c>
      <c r="D210" s="42" t="n"/>
      <c r="E210" s="43" t="inlineStr">
        <is>
          <t>기획</t>
        </is>
      </c>
      <c r="F210" s="44" t="n"/>
      <c r="G210" s="45" t="n"/>
      <c r="H210" s="46">
        <f>IF($I$210="","",IF($I$210&lt;0,"🔴지연",IF($I$210&lt;=1,"🟡임박","🟢여유")))</f>
        <v/>
      </c>
      <c r="I210" s="47">
        <f>IF(OR($G$210="",$K$210=""),"",$G$210-$K$210)</f>
        <v/>
      </c>
      <c r="J210" s="48">
        <f>IF(SUM($L$210:$L$212)=0,"",SUM($L$210:$L$212))</f>
        <v/>
      </c>
      <c r="K210" s="49">
        <f>IF($J$210="","",MAX($N$210:$N$212))</f>
        <v/>
      </c>
      <c r="L210" s="50">
        <f>IF(SUM(U210:AY210)=0,"",SUM(U210:AY210))</f>
        <v/>
      </c>
      <c r="M210" s="51">
        <f>IFERROR(INDEX(U$2:AY$2,MATCH(TRUE,INDEX(U210:AY210&lt;&gt;"",0),0)),"")</f>
        <v/>
      </c>
      <c r="N210" s="51">
        <f>IFERROR(LOOKUP(2,1/(U210:AY210&lt;&gt;""),U$2:AY$2),"")</f>
        <v/>
      </c>
      <c r="O210" s="52" t="n"/>
      <c r="P210" s="52" t="n"/>
      <c r="Q210" s="52" t="n"/>
      <c r="R210" s="44" t="n"/>
      <c r="S210" s="14" t="n"/>
      <c r="U210" s="53" t="n"/>
      <c r="V210" s="53" t="n"/>
      <c r="W210" s="53" t="n"/>
      <c r="X210" s="53" t="n"/>
      <c r="Y210" s="53" t="n"/>
      <c r="Z210" s="53" t="n"/>
      <c r="AA210" s="53" t="n"/>
      <c r="AB210" s="53" t="n"/>
      <c r="AC210" s="53" t="n"/>
      <c r="AD210" s="53" t="n"/>
      <c r="AE210" s="53" t="n"/>
      <c r="AF210" s="53" t="n"/>
      <c r="AG210" s="53" t="n"/>
      <c r="AH210" s="53" t="n"/>
      <c r="AI210" s="53" t="n"/>
      <c r="AJ210" s="53" t="n"/>
      <c r="AK210" s="53" t="n"/>
      <c r="AL210" s="53" t="n"/>
      <c r="AM210" s="53" t="n"/>
      <c r="AN210" s="53" t="n"/>
      <c r="AO210" s="53" t="n"/>
      <c r="AP210" s="53" t="n"/>
      <c r="AQ210" s="53" t="n"/>
      <c r="AR210" s="53" t="n"/>
      <c r="AS210" s="53" t="n"/>
      <c r="AT210" s="53" t="n"/>
      <c r="AU210" s="53" t="n"/>
      <c r="AV210" s="53" t="n"/>
      <c r="AW210" s="53" t="n"/>
      <c r="AX210" s="53" t="n"/>
      <c r="AY210" s="53" t="n"/>
    </row>
    <row r="211" ht="15" customHeight="1">
      <c r="A211" s="54" t="n"/>
      <c r="B211" s="55">
        <f>IF($B$210="","",$B$210)</f>
        <v/>
      </c>
      <c r="C211" s="56" t="inlineStr">
        <is>
          <t>마케팅4팀</t>
        </is>
      </c>
      <c r="D211" s="55">
        <f>IF($D$210="","",$D$210)</f>
        <v/>
      </c>
      <c r="E211" s="57" t="inlineStr">
        <is>
          <t>이미지</t>
        </is>
      </c>
      <c r="F211" s="44" t="n"/>
      <c r="G211" s="58">
        <f>IF($G$210="","",$G$210)</f>
        <v/>
      </c>
      <c r="H211" s="59" t="n"/>
      <c r="I211" s="59" t="n"/>
      <c r="J211" s="59" t="n"/>
      <c r="K211" s="59" t="n"/>
      <c r="L211" s="60">
        <f>IF(SUM(U211:AY211)=0,"",SUM(U211:AY211))</f>
        <v/>
      </c>
      <c r="M211" s="61">
        <f>IFERROR(INDEX(U$2:AY$2,MATCH(TRUE,INDEX(U211:AY211&lt;&gt;"",0),0)),"")</f>
        <v/>
      </c>
      <c r="N211" s="61">
        <f>IFERROR(LOOKUP(2,1/(U211:AY211&lt;&gt;""),U$2:AY$2),"")</f>
        <v/>
      </c>
      <c r="O211" s="59" t="n"/>
      <c r="P211" s="59" t="n"/>
      <c r="Q211" s="59" t="n"/>
      <c r="R211" s="59" t="n"/>
      <c r="S211" s="14" t="n"/>
      <c r="U211" s="53" t="n"/>
      <c r="V211" s="53" t="n"/>
      <c r="W211" s="53" t="n"/>
      <c r="X211" s="53" t="n"/>
      <c r="Y211" s="53" t="n"/>
      <c r="Z211" s="53" t="n"/>
      <c r="AA211" s="53" t="n"/>
      <c r="AB211" s="53" t="n"/>
      <c r="AC211" s="53" t="n"/>
      <c r="AD211" s="53" t="n"/>
      <c r="AE211" s="53" t="n"/>
      <c r="AF211" s="53" t="n"/>
      <c r="AG211" s="53" t="n"/>
      <c r="AH211" s="53" t="n"/>
      <c r="AI211" s="53" t="n"/>
      <c r="AJ211" s="53" t="n"/>
      <c r="AK211" s="53" t="n"/>
      <c r="AL211" s="53" t="n"/>
      <c r="AM211" s="53" t="n"/>
      <c r="AN211" s="53" t="n"/>
      <c r="AO211" s="53" t="n"/>
      <c r="AP211" s="53" t="n"/>
      <c r="AQ211" s="53" t="n"/>
      <c r="AR211" s="53" t="n"/>
      <c r="AS211" s="53" t="n"/>
      <c r="AT211" s="53" t="n"/>
      <c r="AU211" s="53" t="n"/>
      <c r="AV211" s="53" t="n"/>
      <c r="AW211" s="53" t="n"/>
      <c r="AX211" s="53" t="n"/>
      <c r="AY211" s="53" t="n"/>
    </row>
    <row r="212" ht="15" customHeight="1">
      <c r="A212" s="62" t="n"/>
      <c r="B212" s="55">
        <f>IF($B$210="","",$B$210)</f>
        <v/>
      </c>
      <c r="C212" s="63" t="inlineStr">
        <is>
          <t>마케팅4팀</t>
        </is>
      </c>
      <c r="D212" s="55">
        <f>IF($D$210="","",$D$210)</f>
        <v/>
      </c>
      <c r="E212" s="64" t="inlineStr">
        <is>
          <t>영상</t>
        </is>
      </c>
      <c r="F212" s="44" t="n"/>
      <c r="G212" s="58">
        <f>IF($G$210="","",$G$210)</f>
        <v/>
      </c>
      <c r="H212" s="59" t="n"/>
      <c r="I212" s="59" t="n"/>
      <c r="J212" s="59" t="n"/>
      <c r="K212" s="59" t="n"/>
      <c r="L212" s="65">
        <f>IF(SUM(U212:AY212)=0,"",SUM(U212:AY212))</f>
        <v/>
      </c>
      <c r="M212" s="66">
        <f>IFERROR(INDEX(U$2:AY$2,MATCH(TRUE,INDEX(U212:AY212&lt;&gt;"",0),0)),"")</f>
        <v/>
      </c>
      <c r="N212" s="66">
        <f>IFERROR(LOOKUP(2,1/(U212:AY212&lt;&gt;""),U$2:AY$2),"")</f>
        <v/>
      </c>
      <c r="O212" s="59" t="n"/>
      <c r="P212" s="59" t="n"/>
      <c r="Q212" s="59" t="n"/>
      <c r="R212" s="59" t="n"/>
      <c r="S212" s="14" t="n"/>
      <c r="U212" s="53" t="n"/>
      <c r="V212" s="53" t="n"/>
      <c r="W212" s="53" t="n"/>
      <c r="X212" s="53" t="n"/>
      <c r="Y212" s="53" t="n"/>
      <c r="Z212" s="53" t="n"/>
      <c r="AA212" s="53" t="n"/>
      <c r="AB212" s="53" t="n"/>
      <c r="AC212" s="53" t="n"/>
      <c r="AD212" s="53" t="n"/>
      <c r="AE212" s="53" t="n"/>
      <c r="AF212" s="53" t="n"/>
      <c r="AG212" s="53" t="n"/>
      <c r="AH212" s="53" t="n"/>
      <c r="AI212" s="53" t="n"/>
      <c r="AJ212" s="53" t="n"/>
      <c r="AK212" s="53" t="n"/>
      <c r="AL212" s="53" t="n"/>
      <c r="AM212" s="53" t="n"/>
      <c r="AN212" s="53" t="n"/>
      <c r="AO212" s="53" t="n"/>
      <c r="AP212" s="53" t="n"/>
      <c r="AQ212" s="53" t="n"/>
      <c r="AR212" s="53" t="n"/>
      <c r="AS212" s="53" t="n"/>
      <c r="AT212" s="53" t="n"/>
      <c r="AU212" s="53" t="n"/>
      <c r="AV212" s="53" t="n"/>
      <c r="AW212" s="53" t="n"/>
      <c r="AX212" s="53" t="n"/>
      <c r="AY212" s="53" t="n"/>
    </row>
    <row r="213" ht="15" customHeight="1">
      <c r="A213" s="40">
        <f>IF($D$213="","",68)</f>
        <v/>
      </c>
      <c r="B213" s="10" t="n"/>
      <c r="C213" s="41" t="inlineStr">
        <is>
          <t>마케팅4팀</t>
        </is>
      </c>
      <c r="D213" s="42" t="n"/>
      <c r="E213" s="43" t="inlineStr">
        <is>
          <t>기획</t>
        </is>
      </c>
      <c r="F213" s="44" t="n"/>
      <c r="G213" s="45" t="n"/>
      <c r="H213" s="46">
        <f>IF($I$213="","",IF($I$213&lt;0,"🔴지연",IF($I$213&lt;=1,"🟡임박","🟢여유")))</f>
        <v/>
      </c>
      <c r="I213" s="47">
        <f>IF(OR($G$213="",$K$213=""),"",$G$213-$K$213)</f>
        <v/>
      </c>
      <c r="J213" s="48">
        <f>IF(SUM($L$213:$L$215)=0,"",SUM($L$213:$L$215))</f>
        <v/>
      </c>
      <c r="K213" s="49">
        <f>IF($J$213="","",MAX($N$213:$N$215))</f>
        <v/>
      </c>
      <c r="L213" s="50">
        <f>IF(SUM(U213:AY213)=0,"",SUM(U213:AY213))</f>
        <v/>
      </c>
      <c r="M213" s="51">
        <f>IFERROR(INDEX(U$2:AY$2,MATCH(TRUE,INDEX(U213:AY213&lt;&gt;"",0),0)),"")</f>
        <v/>
      </c>
      <c r="N213" s="51">
        <f>IFERROR(LOOKUP(2,1/(U213:AY213&lt;&gt;""),U$2:AY$2),"")</f>
        <v/>
      </c>
      <c r="O213" s="52" t="n"/>
      <c r="P213" s="52" t="n"/>
      <c r="Q213" s="52" t="n"/>
      <c r="R213" s="44" t="n"/>
      <c r="S213" s="14" t="n"/>
      <c r="U213" s="53" t="n"/>
      <c r="V213" s="53" t="n"/>
      <c r="W213" s="53" t="n"/>
      <c r="X213" s="53" t="n"/>
      <c r="Y213" s="53" t="n"/>
      <c r="Z213" s="53" t="n"/>
      <c r="AA213" s="53" t="n"/>
      <c r="AB213" s="53" t="n"/>
      <c r="AC213" s="53" t="n"/>
      <c r="AD213" s="53" t="n"/>
      <c r="AE213" s="53" t="n"/>
      <c r="AF213" s="53" t="n"/>
      <c r="AG213" s="53" t="n"/>
      <c r="AH213" s="53" t="n"/>
      <c r="AI213" s="53" t="n"/>
      <c r="AJ213" s="53" t="n"/>
      <c r="AK213" s="53" t="n"/>
      <c r="AL213" s="53" t="n"/>
      <c r="AM213" s="53" t="n"/>
      <c r="AN213" s="53" t="n"/>
      <c r="AO213" s="53" t="n"/>
      <c r="AP213" s="53" t="n"/>
      <c r="AQ213" s="53" t="n"/>
      <c r="AR213" s="53" t="n"/>
      <c r="AS213" s="53" t="n"/>
      <c r="AT213" s="53" t="n"/>
      <c r="AU213" s="53" t="n"/>
      <c r="AV213" s="53" t="n"/>
      <c r="AW213" s="53" t="n"/>
      <c r="AX213" s="53" t="n"/>
      <c r="AY213" s="53" t="n"/>
    </row>
    <row r="214" ht="15" customHeight="1">
      <c r="A214" s="54" t="n"/>
      <c r="B214" s="55">
        <f>IF($B$213="","",$B$213)</f>
        <v/>
      </c>
      <c r="C214" s="56" t="inlineStr">
        <is>
          <t>마케팅4팀</t>
        </is>
      </c>
      <c r="D214" s="55">
        <f>IF($D$213="","",$D$213)</f>
        <v/>
      </c>
      <c r="E214" s="57" t="inlineStr">
        <is>
          <t>이미지</t>
        </is>
      </c>
      <c r="F214" s="44" t="n"/>
      <c r="G214" s="58">
        <f>IF($G$213="","",$G$213)</f>
        <v/>
      </c>
      <c r="H214" s="59" t="n"/>
      <c r="I214" s="59" t="n"/>
      <c r="J214" s="59" t="n"/>
      <c r="K214" s="59" t="n"/>
      <c r="L214" s="60">
        <f>IF(SUM(U214:AY214)=0,"",SUM(U214:AY214))</f>
        <v/>
      </c>
      <c r="M214" s="61">
        <f>IFERROR(INDEX(U$2:AY$2,MATCH(TRUE,INDEX(U214:AY214&lt;&gt;"",0),0)),"")</f>
        <v/>
      </c>
      <c r="N214" s="61">
        <f>IFERROR(LOOKUP(2,1/(U214:AY214&lt;&gt;""),U$2:AY$2),"")</f>
        <v/>
      </c>
      <c r="O214" s="59" t="n"/>
      <c r="P214" s="59" t="n"/>
      <c r="Q214" s="59" t="n"/>
      <c r="R214" s="59" t="n"/>
      <c r="S214" s="14" t="n"/>
      <c r="U214" s="53" t="n"/>
      <c r="V214" s="53" t="n"/>
      <c r="W214" s="53" t="n"/>
      <c r="X214" s="53" t="n"/>
      <c r="Y214" s="53" t="n"/>
      <c r="Z214" s="53" t="n"/>
      <c r="AA214" s="53" t="n"/>
      <c r="AB214" s="53" t="n"/>
      <c r="AC214" s="53" t="n"/>
      <c r="AD214" s="53" t="n"/>
      <c r="AE214" s="53" t="n"/>
      <c r="AF214" s="53" t="n"/>
      <c r="AG214" s="53" t="n"/>
      <c r="AH214" s="53" t="n"/>
      <c r="AI214" s="53" t="n"/>
      <c r="AJ214" s="53" t="n"/>
      <c r="AK214" s="53" t="n"/>
      <c r="AL214" s="53" t="n"/>
      <c r="AM214" s="53" t="n"/>
      <c r="AN214" s="53" t="n"/>
      <c r="AO214" s="53" t="n"/>
      <c r="AP214" s="53" t="n"/>
      <c r="AQ214" s="53" t="n"/>
      <c r="AR214" s="53" t="n"/>
      <c r="AS214" s="53" t="n"/>
      <c r="AT214" s="53" t="n"/>
      <c r="AU214" s="53" t="n"/>
      <c r="AV214" s="53" t="n"/>
      <c r="AW214" s="53" t="n"/>
      <c r="AX214" s="53" t="n"/>
      <c r="AY214" s="53" t="n"/>
    </row>
    <row r="215" ht="15" customHeight="1">
      <c r="A215" s="62" t="n"/>
      <c r="B215" s="55">
        <f>IF($B$213="","",$B$213)</f>
        <v/>
      </c>
      <c r="C215" s="63" t="inlineStr">
        <is>
          <t>마케팅4팀</t>
        </is>
      </c>
      <c r="D215" s="55">
        <f>IF($D$213="","",$D$213)</f>
        <v/>
      </c>
      <c r="E215" s="64" t="inlineStr">
        <is>
          <t>영상</t>
        </is>
      </c>
      <c r="F215" s="44" t="n"/>
      <c r="G215" s="58">
        <f>IF($G$213="","",$G$213)</f>
        <v/>
      </c>
      <c r="H215" s="59" t="n"/>
      <c r="I215" s="59" t="n"/>
      <c r="J215" s="59" t="n"/>
      <c r="K215" s="59" t="n"/>
      <c r="L215" s="65">
        <f>IF(SUM(U215:AY215)=0,"",SUM(U215:AY215))</f>
        <v/>
      </c>
      <c r="M215" s="66">
        <f>IFERROR(INDEX(U$2:AY$2,MATCH(TRUE,INDEX(U215:AY215&lt;&gt;"",0),0)),"")</f>
        <v/>
      </c>
      <c r="N215" s="66">
        <f>IFERROR(LOOKUP(2,1/(U215:AY215&lt;&gt;""),U$2:AY$2),"")</f>
        <v/>
      </c>
      <c r="O215" s="59" t="n"/>
      <c r="P215" s="59" t="n"/>
      <c r="Q215" s="59" t="n"/>
      <c r="R215" s="59" t="n"/>
      <c r="S215" s="14" t="n"/>
      <c r="U215" s="53" t="n"/>
      <c r="V215" s="53" t="n"/>
      <c r="W215" s="53" t="n"/>
      <c r="X215" s="53" t="n"/>
      <c r="Y215" s="53" t="n"/>
      <c r="Z215" s="53" t="n"/>
      <c r="AA215" s="53" t="n"/>
      <c r="AB215" s="53" t="n"/>
      <c r="AC215" s="53" t="n"/>
      <c r="AD215" s="53" t="n"/>
      <c r="AE215" s="53" t="n"/>
      <c r="AF215" s="53" t="n"/>
      <c r="AG215" s="53" t="n"/>
      <c r="AH215" s="53" t="n"/>
      <c r="AI215" s="53" t="n"/>
      <c r="AJ215" s="53" t="n"/>
      <c r="AK215" s="53" t="n"/>
      <c r="AL215" s="53" t="n"/>
      <c r="AM215" s="53" t="n"/>
      <c r="AN215" s="53" t="n"/>
      <c r="AO215" s="53" t="n"/>
      <c r="AP215" s="53" t="n"/>
      <c r="AQ215" s="53" t="n"/>
      <c r="AR215" s="53" t="n"/>
      <c r="AS215" s="53" t="n"/>
      <c r="AT215" s="53" t="n"/>
      <c r="AU215" s="53" t="n"/>
      <c r="AV215" s="53" t="n"/>
      <c r="AW215" s="53" t="n"/>
      <c r="AX215" s="53" t="n"/>
      <c r="AY215" s="53" t="n"/>
    </row>
    <row r="216" ht="15" customHeight="1">
      <c r="A216" s="40">
        <f>IF($D$216="","",69)</f>
        <v/>
      </c>
      <c r="B216" s="10" t="n"/>
      <c r="C216" s="41" t="inlineStr">
        <is>
          <t>마케팅4팀</t>
        </is>
      </c>
      <c r="D216" s="42" t="n"/>
      <c r="E216" s="43" t="inlineStr">
        <is>
          <t>기획</t>
        </is>
      </c>
      <c r="F216" s="44" t="n"/>
      <c r="G216" s="45" t="n"/>
      <c r="H216" s="46">
        <f>IF($I$216="","",IF($I$216&lt;0,"🔴지연",IF($I$216&lt;=1,"🟡임박","🟢여유")))</f>
        <v/>
      </c>
      <c r="I216" s="47">
        <f>IF(OR($G$216="",$K$216=""),"",$G$216-$K$216)</f>
        <v/>
      </c>
      <c r="J216" s="48">
        <f>IF(SUM($L$216:$L$218)=0,"",SUM($L$216:$L$218))</f>
        <v/>
      </c>
      <c r="K216" s="49">
        <f>IF($J$216="","",MAX($N$216:$N$218))</f>
        <v/>
      </c>
      <c r="L216" s="50">
        <f>IF(SUM(U216:AY216)=0,"",SUM(U216:AY216))</f>
        <v/>
      </c>
      <c r="M216" s="51">
        <f>IFERROR(INDEX(U$2:AY$2,MATCH(TRUE,INDEX(U216:AY216&lt;&gt;"",0),0)),"")</f>
        <v/>
      </c>
      <c r="N216" s="51">
        <f>IFERROR(LOOKUP(2,1/(U216:AY216&lt;&gt;""),U$2:AY$2),"")</f>
        <v/>
      </c>
      <c r="O216" s="52" t="n"/>
      <c r="P216" s="52" t="n"/>
      <c r="Q216" s="52" t="n"/>
      <c r="R216" s="44" t="n"/>
      <c r="S216" s="14" t="n"/>
      <c r="U216" s="53" t="n"/>
      <c r="V216" s="53" t="n"/>
      <c r="W216" s="53" t="n"/>
      <c r="X216" s="53" t="n"/>
      <c r="Y216" s="53" t="n"/>
      <c r="Z216" s="53" t="n"/>
      <c r="AA216" s="53" t="n"/>
      <c r="AB216" s="53" t="n"/>
      <c r="AC216" s="53" t="n"/>
      <c r="AD216" s="53" t="n"/>
      <c r="AE216" s="53" t="n"/>
      <c r="AF216" s="53" t="n"/>
      <c r="AG216" s="53" t="n"/>
      <c r="AH216" s="53" t="n"/>
      <c r="AI216" s="53" t="n"/>
      <c r="AJ216" s="53" t="n"/>
      <c r="AK216" s="53" t="n"/>
      <c r="AL216" s="53" t="n"/>
      <c r="AM216" s="53" t="n"/>
      <c r="AN216" s="53" t="n"/>
      <c r="AO216" s="53" t="n"/>
      <c r="AP216" s="53" t="n"/>
      <c r="AQ216" s="53" t="n"/>
      <c r="AR216" s="53" t="n"/>
      <c r="AS216" s="53" t="n"/>
      <c r="AT216" s="53" t="n"/>
      <c r="AU216" s="53" t="n"/>
      <c r="AV216" s="53" t="n"/>
      <c r="AW216" s="53" t="n"/>
      <c r="AX216" s="53" t="n"/>
      <c r="AY216" s="53" t="n"/>
    </row>
    <row r="217" ht="15" customHeight="1">
      <c r="A217" s="54" t="n"/>
      <c r="B217" s="55">
        <f>IF($B$216="","",$B$216)</f>
        <v/>
      </c>
      <c r="C217" s="56" t="inlineStr">
        <is>
          <t>마케팅4팀</t>
        </is>
      </c>
      <c r="D217" s="55">
        <f>IF($D$216="","",$D$216)</f>
        <v/>
      </c>
      <c r="E217" s="57" t="inlineStr">
        <is>
          <t>이미지</t>
        </is>
      </c>
      <c r="F217" s="44" t="n"/>
      <c r="G217" s="58">
        <f>IF($G$216="","",$G$216)</f>
        <v/>
      </c>
      <c r="H217" s="59" t="n"/>
      <c r="I217" s="59" t="n"/>
      <c r="J217" s="59" t="n"/>
      <c r="K217" s="59" t="n"/>
      <c r="L217" s="60">
        <f>IF(SUM(U217:AY217)=0,"",SUM(U217:AY217))</f>
        <v/>
      </c>
      <c r="M217" s="61">
        <f>IFERROR(INDEX(U$2:AY$2,MATCH(TRUE,INDEX(U217:AY217&lt;&gt;"",0),0)),"")</f>
        <v/>
      </c>
      <c r="N217" s="61">
        <f>IFERROR(LOOKUP(2,1/(U217:AY217&lt;&gt;""),U$2:AY$2),"")</f>
        <v/>
      </c>
      <c r="O217" s="59" t="n"/>
      <c r="P217" s="59" t="n"/>
      <c r="Q217" s="59" t="n"/>
      <c r="R217" s="59" t="n"/>
      <c r="S217" s="14" t="n"/>
      <c r="U217" s="53" t="n"/>
      <c r="V217" s="53" t="n"/>
      <c r="W217" s="53" t="n"/>
      <c r="X217" s="53" t="n"/>
      <c r="Y217" s="53" t="n"/>
      <c r="Z217" s="53" t="n"/>
      <c r="AA217" s="53" t="n"/>
      <c r="AB217" s="53" t="n"/>
      <c r="AC217" s="53" t="n"/>
      <c r="AD217" s="53" t="n"/>
      <c r="AE217" s="53" t="n"/>
      <c r="AF217" s="53" t="n"/>
      <c r="AG217" s="53" t="n"/>
      <c r="AH217" s="53" t="n"/>
      <c r="AI217" s="53" t="n"/>
      <c r="AJ217" s="53" t="n"/>
      <c r="AK217" s="53" t="n"/>
      <c r="AL217" s="53" t="n"/>
      <c r="AM217" s="53" t="n"/>
      <c r="AN217" s="53" t="n"/>
      <c r="AO217" s="53" t="n"/>
      <c r="AP217" s="53" t="n"/>
      <c r="AQ217" s="53" t="n"/>
      <c r="AR217" s="53" t="n"/>
      <c r="AS217" s="53" t="n"/>
      <c r="AT217" s="53" t="n"/>
      <c r="AU217" s="53" t="n"/>
      <c r="AV217" s="53" t="n"/>
      <c r="AW217" s="53" t="n"/>
      <c r="AX217" s="53" t="n"/>
      <c r="AY217" s="53" t="n"/>
    </row>
    <row r="218" ht="15" customHeight="1">
      <c r="A218" s="62" t="n"/>
      <c r="B218" s="55">
        <f>IF($B$216="","",$B$216)</f>
        <v/>
      </c>
      <c r="C218" s="63" t="inlineStr">
        <is>
          <t>마케팅4팀</t>
        </is>
      </c>
      <c r="D218" s="55">
        <f>IF($D$216="","",$D$216)</f>
        <v/>
      </c>
      <c r="E218" s="64" t="inlineStr">
        <is>
          <t>영상</t>
        </is>
      </c>
      <c r="F218" s="44" t="n"/>
      <c r="G218" s="58">
        <f>IF($G$216="","",$G$216)</f>
        <v/>
      </c>
      <c r="H218" s="59" t="n"/>
      <c r="I218" s="59" t="n"/>
      <c r="J218" s="59" t="n"/>
      <c r="K218" s="59" t="n"/>
      <c r="L218" s="65">
        <f>IF(SUM(U218:AY218)=0,"",SUM(U218:AY218))</f>
        <v/>
      </c>
      <c r="M218" s="66">
        <f>IFERROR(INDEX(U$2:AY$2,MATCH(TRUE,INDEX(U218:AY218&lt;&gt;"",0),0)),"")</f>
        <v/>
      </c>
      <c r="N218" s="66">
        <f>IFERROR(LOOKUP(2,1/(U218:AY218&lt;&gt;""),U$2:AY$2),"")</f>
        <v/>
      </c>
      <c r="O218" s="59" t="n"/>
      <c r="P218" s="59" t="n"/>
      <c r="Q218" s="59" t="n"/>
      <c r="R218" s="59" t="n"/>
      <c r="S218" s="14" t="n"/>
      <c r="U218" s="53" t="n"/>
      <c r="V218" s="53" t="n"/>
      <c r="W218" s="53" t="n"/>
      <c r="X218" s="53" t="n"/>
      <c r="Y218" s="53" t="n"/>
      <c r="Z218" s="53" t="n"/>
      <c r="AA218" s="53" t="n"/>
      <c r="AB218" s="53" t="n"/>
      <c r="AC218" s="53" t="n"/>
      <c r="AD218" s="53" t="n"/>
      <c r="AE218" s="53" t="n"/>
      <c r="AF218" s="53" t="n"/>
      <c r="AG218" s="53" t="n"/>
      <c r="AH218" s="53" t="n"/>
      <c r="AI218" s="53" t="n"/>
      <c r="AJ218" s="53" t="n"/>
      <c r="AK218" s="53" t="n"/>
      <c r="AL218" s="53" t="n"/>
      <c r="AM218" s="53" t="n"/>
      <c r="AN218" s="53" t="n"/>
      <c r="AO218" s="53" t="n"/>
      <c r="AP218" s="53" t="n"/>
      <c r="AQ218" s="53" t="n"/>
      <c r="AR218" s="53" t="n"/>
      <c r="AS218" s="53" t="n"/>
      <c r="AT218" s="53" t="n"/>
      <c r="AU218" s="53" t="n"/>
      <c r="AV218" s="53" t="n"/>
      <c r="AW218" s="53" t="n"/>
      <c r="AX218" s="53" t="n"/>
      <c r="AY218" s="53" t="n"/>
    </row>
    <row r="219" ht="15" customHeight="1">
      <c r="A219" s="40">
        <f>IF($D$219="","",70)</f>
        <v/>
      </c>
      <c r="B219" s="10" t="n"/>
      <c r="C219" s="41" t="inlineStr">
        <is>
          <t>마케팅4팀</t>
        </is>
      </c>
      <c r="D219" s="42" t="n"/>
      <c r="E219" s="43" t="inlineStr">
        <is>
          <t>기획</t>
        </is>
      </c>
      <c r="F219" s="44" t="n"/>
      <c r="G219" s="45" t="n"/>
      <c r="H219" s="46">
        <f>IF($I$219="","",IF($I$219&lt;0,"🔴지연",IF($I$219&lt;=1,"🟡임박","🟢여유")))</f>
        <v/>
      </c>
      <c r="I219" s="47">
        <f>IF(OR($G$219="",$K$219=""),"",$G$219-$K$219)</f>
        <v/>
      </c>
      <c r="J219" s="48">
        <f>IF(SUM($L$219:$L$221)=0,"",SUM($L$219:$L$221))</f>
        <v/>
      </c>
      <c r="K219" s="49">
        <f>IF($J$219="","",MAX($N$219:$N$221))</f>
        <v/>
      </c>
      <c r="L219" s="50">
        <f>IF(SUM(U219:AY219)=0,"",SUM(U219:AY219))</f>
        <v/>
      </c>
      <c r="M219" s="51">
        <f>IFERROR(INDEX(U$2:AY$2,MATCH(TRUE,INDEX(U219:AY219&lt;&gt;"",0),0)),"")</f>
        <v/>
      </c>
      <c r="N219" s="51">
        <f>IFERROR(LOOKUP(2,1/(U219:AY219&lt;&gt;""),U$2:AY$2),"")</f>
        <v/>
      </c>
      <c r="O219" s="52" t="n"/>
      <c r="P219" s="52" t="n"/>
      <c r="Q219" s="52" t="n"/>
      <c r="R219" s="44" t="n"/>
      <c r="S219" s="14" t="n"/>
      <c r="U219" s="53" t="n"/>
      <c r="V219" s="53" t="n"/>
      <c r="W219" s="53" t="n"/>
      <c r="X219" s="53" t="n"/>
      <c r="Y219" s="53" t="n"/>
      <c r="Z219" s="53" t="n"/>
      <c r="AA219" s="53" t="n"/>
      <c r="AB219" s="53" t="n"/>
      <c r="AC219" s="53" t="n"/>
      <c r="AD219" s="53" t="n"/>
      <c r="AE219" s="53" t="n"/>
      <c r="AF219" s="53" t="n"/>
      <c r="AG219" s="53" t="n"/>
      <c r="AH219" s="53" t="n"/>
      <c r="AI219" s="53" t="n"/>
      <c r="AJ219" s="53" t="n"/>
      <c r="AK219" s="53" t="n"/>
      <c r="AL219" s="53" t="n"/>
      <c r="AM219" s="53" t="n"/>
      <c r="AN219" s="53" t="n"/>
      <c r="AO219" s="53" t="n"/>
      <c r="AP219" s="53" t="n"/>
      <c r="AQ219" s="53" t="n"/>
      <c r="AR219" s="53" t="n"/>
      <c r="AS219" s="53" t="n"/>
      <c r="AT219" s="53" t="n"/>
      <c r="AU219" s="53" t="n"/>
      <c r="AV219" s="53" t="n"/>
      <c r="AW219" s="53" t="n"/>
      <c r="AX219" s="53" t="n"/>
      <c r="AY219" s="53" t="n"/>
    </row>
    <row r="220" ht="15" customHeight="1">
      <c r="A220" s="54" t="n"/>
      <c r="B220" s="55">
        <f>IF($B$219="","",$B$219)</f>
        <v/>
      </c>
      <c r="C220" s="56" t="inlineStr">
        <is>
          <t>마케팅4팀</t>
        </is>
      </c>
      <c r="D220" s="55">
        <f>IF($D$219="","",$D$219)</f>
        <v/>
      </c>
      <c r="E220" s="57" t="inlineStr">
        <is>
          <t>이미지</t>
        </is>
      </c>
      <c r="F220" s="44" t="n"/>
      <c r="G220" s="58">
        <f>IF($G$219="","",$G$219)</f>
        <v/>
      </c>
      <c r="H220" s="59" t="n"/>
      <c r="I220" s="59" t="n"/>
      <c r="J220" s="59" t="n"/>
      <c r="K220" s="59" t="n"/>
      <c r="L220" s="60">
        <f>IF(SUM(U220:AY220)=0,"",SUM(U220:AY220))</f>
        <v/>
      </c>
      <c r="M220" s="61">
        <f>IFERROR(INDEX(U$2:AY$2,MATCH(TRUE,INDEX(U220:AY220&lt;&gt;"",0),0)),"")</f>
        <v/>
      </c>
      <c r="N220" s="61">
        <f>IFERROR(LOOKUP(2,1/(U220:AY220&lt;&gt;""),U$2:AY$2),"")</f>
        <v/>
      </c>
      <c r="O220" s="59" t="n"/>
      <c r="P220" s="59" t="n"/>
      <c r="Q220" s="59" t="n"/>
      <c r="R220" s="59" t="n"/>
      <c r="S220" s="14" t="n"/>
      <c r="U220" s="53" t="n"/>
      <c r="V220" s="53" t="n"/>
      <c r="W220" s="53" t="n"/>
      <c r="X220" s="53" t="n"/>
      <c r="Y220" s="53" t="n"/>
      <c r="Z220" s="53" t="n"/>
      <c r="AA220" s="53" t="n"/>
      <c r="AB220" s="53" t="n"/>
      <c r="AC220" s="53" t="n"/>
      <c r="AD220" s="53" t="n"/>
      <c r="AE220" s="53" t="n"/>
      <c r="AF220" s="53" t="n"/>
      <c r="AG220" s="53" t="n"/>
      <c r="AH220" s="53" t="n"/>
      <c r="AI220" s="53" t="n"/>
      <c r="AJ220" s="53" t="n"/>
      <c r="AK220" s="53" t="n"/>
      <c r="AL220" s="53" t="n"/>
      <c r="AM220" s="53" t="n"/>
      <c r="AN220" s="53" t="n"/>
      <c r="AO220" s="53" t="n"/>
      <c r="AP220" s="53" t="n"/>
      <c r="AQ220" s="53" t="n"/>
      <c r="AR220" s="53" t="n"/>
      <c r="AS220" s="53" t="n"/>
      <c r="AT220" s="53" t="n"/>
      <c r="AU220" s="53" t="n"/>
      <c r="AV220" s="53" t="n"/>
      <c r="AW220" s="53" t="n"/>
      <c r="AX220" s="53" t="n"/>
      <c r="AY220" s="53" t="n"/>
    </row>
    <row r="221" ht="15" customHeight="1">
      <c r="A221" s="62" t="n"/>
      <c r="B221" s="55">
        <f>IF($B$219="","",$B$219)</f>
        <v/>
      </c>
      <c r="C221" s="63" t="inlineStr">
        <is>
          <t>마케팅4팀</t>
        </is>
      </c>
      <c r="D221" s="55">
        <f>IF($D$219="","",$D$219)</f>
        <v/>
      </c>
      <c r="E221" s="64" t="inlineStr">
        <is>
          <t>영상</t>
        </is>
      </c>
      <c r="F221" s="44" t="n"/>
      <c r="G221" s="58">
        <f>IF($G$219="","",$G$219)</f>
        <v/>
      </c>
      <c r="H221" s="59" t="n"/>
      <c r="I221" s="59" t="n"/>
      <c r="J221" s="59" t="n"/>
      <c r="K221" s="59" t="n"/>
      <c r="L221" s="65">
        <f>IF(SUM(U221:AY221)=0,"",SUM(U221:AY221))</f>
        <v/>
      </c>
      <c r="M221" s="66">
        <f>IFERROR(INDEX(U$2:AY$2,MATCH(TRUE,INDEX(U221:AY221&lt;&gt;"",0),0)),"")</f>
        <v/>
      </c>
      <c r="N221" s="66">
        <f>IFERROR(LOOKUP(2,1/(U221:AY221&lt;&gt;""),U$2:AY$2),"")</f>
        <v/>
      </c>
      <c r="O221" s="59" t="n"/>
      <c r="P221" s="59" t="n"/>
      <c r="Q221" s="59" t="n"/>
      <c r="R221" s="59" t="n"/>
      <c r="S221" s="14" t="n"/>
      <c r="U221" s="53" t="n"/>
      <c r="V221" s="53" t="n"/>
      <c r="W221" s="53" t="n"/>
      <c r="X221" s="53" t="n"/>
      <c r="Y221" s="53" t="n"/>
      <c r="Z221" s="53" t="n"/>
      <c r="AA221" s="53" t="n"/>
      <c r="AB221" s="53" t="n"/>
      <c r="AC221" s="53" t="n"/>
      <c r="AD221" s="53" t="n"/>
      <c r="AE221" s="53" t="n"/>
      <c r="AF221" s="53" t="n"/>
      <c r="AG221" s="53" t="n"/>
      <c r="AH221" s="53" t="n"/>
      <c r="AI221" s="53" t="n"/>
      <c r="AJ221" s="53" t="n"/>
      <c r="AK221" s="53" t="n"/>
      <c r="AL221" s="53" t="n"/>
      <c r="AM221" s="53" t="n"/>
      <c r="AN221" s="53" t="n"/>
      <c r="AO221" s="53" t="n"/>
      <c r="AP221" s="53" t="n"/>
      <c r="AQ221" s="53" t="n"/>
      <c r="AR221" s="53" t="n"/>
      <c r="AS221" s="53" t="n"/>
      <c r="AT221" s="53" t="n"/>
      <c r="AU221" s="53" t="n"/>
      <c r="AV221" s="53" t="n"/>
      <c r="AW221" s="53" t="n"/>
      <c r="AX221" s="53" t="n"/>
      <c r="AY221" s="53" t="n"/>
    </row>
    <row r="222" ht="15" customHeight="1">
      <c r="A222" s="40">
        <f>IF($D$222="","",71)</f>
        <v/>
      </c>
      <c r="B222" s="10" t="n"/>
      <c r="C222" s="41" t="inlineStr">
        <is>
          <t>마케팅4팀</t>
        </is>
      </c>
      <c r="D222" s="42" t="n"/>
      <c r="E222" s="43" t="inlineStr">
        <is>
          <t>기획</t>
        </is>
      </c>
      <c r="F222" s="44" t="n"/>
      <c r="G222" s="45" t="n"/>
      <c r="H222" s="46">
        <f>IF($I$222="","",IF($I$222&lt;0,"🔴지연",IF($I$222&lt;=1,"🟡임박","🟢여유")))</f>
        <v/>
      </c>
      <c r="I222" s="47">
        <f>IF(OR($G$222="",$K$222=""),"",$G$222-$K$222)</f>
        <v/>
      </c>
      <c r="J222" s="48">
        <f>IF(SUM($L$222:$L$224)=0,"",SUM($L$222:$L$224))</f>
        <v/>
      </c>
      <c r="K222" s="49">
        <f>IF($J$222="","",MAX($N$222:$N$224))</f>
        <v/>
      </c>
      <c r="L222" s="50">
        <f>IF(SUM(U222:AY222)=0,"",SUM(U222:AY222))</f>
        <v/>
      </c>
      <c r="M222" s="51">
        <f>IFERROR(INDEX(U$2:AY$2,MATCH(TRUE,INDEX(U222:AY222&lt;&gt;"",0),0)),"")</f>
        <v/>
      </c>
      <c r="N222" s="51">
        <f>IFERROR(LOOKUP(2,1/(U222:AY222&lt;&gt;""),U$2:AY$2),"")</f>
        <v/>
      </c>
      <c r="O222" s="52" t="n"/>
      <c r="P222" s="52" t="n"/>
      <c r="Q222" s="52" t="n"/>
      <c r="R222" s="44" t="n"/>
      <c r="S222" s="14" t="n"/>
      <c r="U222" s="53" t="n"/>
      <c r="V222" s="53" t="n"/>
      <c r="W222" s="53" t="n"/>
      <c r="X222" s="53" t="n"/>
      <c r="Y222" s="53" t="n"/>
      <c r="Z222" s="53" t="n"/>
      <c r="AA222" s="53" t="n"/>
      <c r="AB222" s="53" t="n"/>
      <c r="AC222" s="53" t="n"/>
      <c r="AD222" s="53" t="n"/>
      <c r="AE222" s="53" t="n"/>
      <c r="AF222" s="53" t="n"/>
      <c r="AG222" s="53" t="n"/>
      <c r="AH222" s="53" t="n"/>
      <c r="AI222" s="53" t="n"/>
      <c r="AJ222" s="53" t="n"/>
      <c r="AK222" s="53" t="n"/>
      <c r="AL222" s="53" t="n"/>
      <c r="AM222" s="53" t="n"/>
      <c r="AN222" s="53" t="n"/>
      <c r="AO222" s="53" t="n"/>
      <c r="AP222" s="53" t="n"/>
      <c r="AQ222" s="53" t="n"/>
      <c r="AR222" s="53" t="n"/>
      <c r="AS222" s="53" t="n"/>
      <c r="AT222" s="53" t="n"/>
      <c r="AU222" s="53" t="n"/>
      <c r="AV222" s="53" t="n"/>
      <c r="AW222" s="53" t="n"/>
      <c r="AX222" s="53" t="n"/>
      <c r="AY222" s="53" t="n"/>
    </row>
    <row r="223" ht="15" customHeight="1">
      <c r="A223" s="54" t="n"/>
      <c r="B223" s="55">
        <f>IF($B$222="","",$B$222)</f>
        <v/>
      </c>
      <c r="C223" s="56" t="inlineStr">
        <is>
          <t>마케팅4팀</t>
        </is>
      </c>
      <c r="D223" s="55">
        <f>IF($D$222="","",$D$222)</f>
        <v/>
      </c>
      <c r="E223" s="57" t="inlineStr">
        <is>
          <t>이미지</t>
        </is>
      </c>
      <c r="F223" s="44" t="n"/>
      <c r="G223" s="58">
        <f>IF($G$222="","",$G$222)</f>
        <v/>
      </c>
      <c r="H223" s="59" t="n"/>
      <c r="I223" s="59" t="n"/>
      <c r="J223" s="59" t="n"/>
      <c r="K223" s="59" t="n"/>
      <c r="L223" s="60">
        <f>IF(SUM(U223:AY223)=0,"",SUM(U223:AY223))</f>
        <v/>
      </c>
      <c r="M223" s="61">
        <f>IFERROR(INDEX(U$2:AY$2,MATCH(TRUE,INDEX(U223:AY223&lt;&gt;"",0),0)),"")</f>
        <v/>
      </c>
      <c r="N223" s="61">
        <f>IFERROR(LOOKUP(2,1/(U223:AY223&lt;&gt;""),U$2:AY$2),"")</f>
        <v/>
      </c>
      <c r="O223" s="59" t="n"/>
      <c r="P223" s="59" t="n"/>
      <c r="Q223" s="59" t="n"/>
      <c r="R223" s="59" t="n"/>
      <c r="S223" s="14" t="n"/>
      <c r="U223" s="53" t="n"/>
      <c r="V223" s="53" t="n"/>
      <c r="W223" s="53" t="n"/>
      <c r="X223" s="53" t="n"/>
      <c r="Y223" s="53" t="n"/>
      <c r="Z223" s="53" t="n"/>
      <c r="AA223" s="53" t="n"/>
      <c r="AB223" s="53" t="n"/>
      <c r="AC223" s="53" t="n"/>
      <c r="AD223" s="53" t="n"/>
      <c r="AE223" s="53" t="n"/>
      <c r="AF223" s="53" t="n"/>
      <c r="AG223" s="53" t="n"/>
      <c r="AH223" s="53" t="n"/>
      <c r="AI223" s="53" t="n"/>
      <c r="AJ223" s="53" t="n"/>
      <c r="AK223" s="53" t="n"/>
      <c r="AL223" s="53" t="n"/>
      <c r="AM223" s="53" t="n"/>
      <c r="AN223" s="53" t="n"/>
      <c r="AO223" s="53" t="n"/>
      <c r="AP223" s="53" t="n"/>
      <c r="AQ223" s="53" t="n"/>
      <c r="AR223" s="53" t="n"/>
      <c r="AS223" s="53" t="n"/>
      <c r="AT223" s="53" t="n"/>
      <c r="AU223" s="53" t="n"/>
      <c r="AV223" s="53" t="n"/>
      <c r="AW223" s="53" t="n"/>
      <c r="AX223" s="53" t="n"/>
      <c r="AY223" s="53" t="n"/>
    </row>
    <row r="224" ht="15" customHeight="1">
      <c r="A224" s="62" t="n"/>
      <c r="B224" s="55">
        <f>IF($B$222="","",$B$222)</f>
        <v/>
      </c>
      <c r="C224" s="63" t="inlineStr">
        <is>
          <t>마케팅4팀</t>
        </is>
      </c>
      <c r="D224" s="55">
        <f>IF($D$222="","",$D$222)</f>
        <v/>
      </c>
      <c r="E224" s="64" t="inlineStr">
        <is>
          <t>영상</t>
        </is>
      </c>
      <c r="F224" s="44" t="n"/>
      <c r="G224" s="58">
        <f>IF($G$222="","",$G$222)</f>
        <v/>
      </c>
      <c r="H224" s="59" t="n"/>
      <c r="I224" s="59" t="n"/>
      <c r="J224" s="59" t="n"/>
      <c r="K224" s="59" t="n"/>
      <c r="L224" s="65">
        <f>IF(SUM(U224:AY224)=0,"",SUM(U224:AY224))</f>
        <v/>
      </c>
      <c r="M224" s="66">
        <f>IFERROR(INDEX(U$2:AY$2,MATCH(TRUE,INDEX(U224:AY224&lt;&gt;"",0),0)),"")</f>
        <v/>
      </c>
      <c r="N224" s="66">
        <f>IFERROR(LOOKUP(2,1/(U224:AY224&lt;&gt;""),U$2:AY$2),"")</f>
        <v/>
      </c>
      <c r="O224" s="59" t="n"/>
      <c r="P224" s="59" t="n"/>
      <c r="Q224" s="59" t="n"/>
      <c r="R224" s="59" t="n"/>
      <c r="S224" s="14" t="n"/>
      <c r="U224" s="53" t="n"/>
      <c r="V224" s="53" t="n"/>
      <c r="W224" s="53" t="n"/>
      <c r="X224" s="53" t="n"/>
      <c r="Y224" s="53" t="n"/>
      <c r="Z224" s="53" t="n"/>
      <c r="AA224" s="53" t="n"/>
      <c r="AB224" s="53" t="n"/>
      <c r="AC224" s="53" t="n"/>
      <c r="AD224" s="53" t="n"/>
      <c r="AE224" s="53" t="n"/>
      <c r="AF224" s="53" t="n"/>
      <c r="AG224" s="53" t="n"/>
      <c r="AH224" s="53" t="n"/>
      <c r="AI224" s="53" t="n"/>
      <c r="AJ224" s="53" t="n"/>
      <c r="AK224" s="53" t="n"/>
      <c r="AL224" s="53" t="n"/>
      <c r="AM224" s="53" t="n"/>
      <c r="AN224" s="53" t="n"/>
      <c r="AO224" s="53" t="n"/>
      <c r="AP224" s="53" t="n"/>
      <c r="AQ224" s="53" t="n"/>
      <c r="AR224" s="53" t="n"/>
      <c r="AS224" s="53" t="n"/>
      <c r="AT224" s="53" t="n"/>
      <c r="AU224" s="53" t="n"/>
      <c r="AV224" s="53" t="n"/>
      <c r="AW224" s="53" t="n"/>
      <c r="AX224" s="53" t="n"/>
      <c r="AY224" s="53" t="n"/>
    </row>
    <row r="225" ht="15" customHeight="1">
      <c r="A225" s="40">
        <f>IF($D$225="","",72)</f>
        <v/>
      </c>
      <c r="B225" s="10" t="n"/>
      <c r="C225" s="41" t="inlineStr">
        <is>
          <t>마케팅4팀</t>
        </is>
      </c>
      <c r="D225" s="42" t="n"/>
      <c r="E225" s="43" t="inlineStr">
        <is>
          <t>기획</t>
        </is>
      </c>
      <c r="F225" s="44" t="n"/>
      <c r="G225" s="45" t="n"/>
      <c r="H225" s="46">
        <f>IF($I$225="","",IF($I$225&lt;0,"🔴지연",IF($I$225&lt;=1,"🟡임박","🟢여유")))</f>
        <v/>
      </c>
      <c r="I225" s="47">
        <f>IF(OR($G$225="",$K$225=""),"",$G$225-$K$225)</f>
        <v/>
      </c>
      <c r="J225" s="48">
        <f>IF(SUM($L$225:$L$227)=0,"",SUM($L$225:$L$227))</f>
        <v/>
      </c>
      <c r="K225" s="49">
        <f>IF($J$225="","",MAX($N$225:$N$227))</f>
        <v/>
      </c>
      <c r="L225" s="50">
        <f>IF(SUM(U225:AY225)=0,"",SUM(U225:AY225))</f>
        <v/>
      </c>
      <c r="M225" s="51">
        <f>IFERROR(INDEX(U$2:AY$2,MATCH(TRUE,INDEX(U225:AY225&lt;&gt;"",0),0)),"")</f>
        <v/>
      </c>
      <c r="N225" s="51">
        <f>IFERROR(LOOKUP(2,1/(U225:AY225&lt;&gt;""),U$2:AY$2),"")</f>
        <v/>
      </c>
      <c r="O225" s="52" t="n"/>
      <c r="P225" s="52" t="n"/>
      <c r="Q225" s="52" t="n"/>
      <c r="R225" s="44" t="n"/>
      <c r="S225" s="14" t="n"/>
      <c r="U225" s="53" t="n"/>
      <c r="V225" s="53" t="n"/>
      <c r="W225" s="53" t="n"/>
      <c r="X225" s="53" t="n"/>
      <c r="Y225" s="53" t="n"/>
      <c r="Z225" s="53" t="n"/>
      <c r="AA225" s="53" t="n"/>
      <c r="AB225" s="53" t="n"/>
      <c r="AC225" s="53" t="n"/>
      <c r="AD225" s="53" t="n"/>
      <c r="AE225" s="53" t="n"/>
      <c r="AF225" s="53" t="n"/>
      <c r="AG225" s="53" t="n"/>
      <c r="AH225" s="53" t="n"/>
      <c r="AI225" s="53" t="n"/>
      <c r="AJ225" s="53" t="n"/>
      <c r="AK225" s="53" t="n"/>
      <c r="AL225" s="53" t="n"/>
      <c r="AM225" s="53" t="n"/>
      <c r="AN225" s="53" t="n"/>
      <c r="AO225" s="53" t="n"/>
      <c r="AP225" s="53" t="n"/>
      <c r="AQ225" s="53" t="n"/>
      <c r="AR225" s="53" t="n"/>
      <c r="AS225" s="53" t="n"/>
      <c r="AT225" s="53" t="n"/>
      <c r="AU225" s="53" t="n"/>
      <c r="AV225" s="53" t="n"/>
      <c r="AW225" s="53" t="n"/>
      <c r="AX225" s="53" t="n"/>
      <c r="AY225" s="53" t="n"/>
    </row>
    <row r="226" ht="15" customHeight="1">
      <c r="A226" s="54" t="n"/>
      <c r="B226" s="55">
        <f>IF($B$225="","",$B$225)</f>
        <v/>
      </c>
      <c r="C226" s="56" t="inlineStr">
        <is>
          <t>마케팅4팀</t>
        </is>
      </c>
      <c r="D226" s="55">
        <f>IF($D$225="","",$D$225)</f>
        <v/>
      </c>
      <c r="E226" s="57" t="inlineStr">
        <is>
          <t>이미지</t>
        </is>
      </c>
      <c r="F226" s="44" t="n"/>
      <c r="G226" s="58">
        <f>IF($G$225="","",$G$225)</f>
        <v/>
      </c>
      <c r="H226" s="59" t="n"/>
      <c r="I226" s="59" t="n"/>
      <c r="J226" s="59" t="n"/>
      <c r="K226" s="59" t="n"/>
      <c r="L226" s="60">
        <f>IF(SUM(U226:AY226)=0,"",SUM(U226:AY226))</f>
        <v/>
      </c>
      <c r="M226" s="61">
        <f>IFERROR(INDEX(U$2:AY$2,MATCH(TRUE,INDEX(U226:AY226&lt;&gt;"",0),0)),"")</f>
        <v/>
      </c>
      <c r="N226" s="61">
        <f>IFERROR(LOOKUP(2,1/(U226:AY226&lt;&gt;""),U$2:AY$2),"")</f>
        <v/>
      </c>
      <c r="O226" s="59" t="n"/>
      <c r="P226" s="59" t="n"/>
      <c r="Q226" s="59" t="n"/>
      <c r="R226" s="59" t="n"/>
      <c r="S226" s="14" t="n"/>
      <c r="U226" s="53" t="n"/>
      <c r="V226" s="53" t="n"/>
      <c r="W226" s="53" t="n"/>
      <c r="X226" s="53" t="n"/>
      <c r="Y226" s="53" t="n"/>
      <c r="Z226" s="53" t="n"/>
      <c r="AA226" s="53" t="n"/>
      <c r="AB226" s="53" t="n"/>
      <c r="AC226" s="53" t="n"/>
      <c r="AD226" s="53" t="n"/>
      <c r="AE226" s="53" t="n"/>
      <c r="AF226" s="53" t="n"/>
      <c r="AG226" s="53" t="n"/>
      <c r="AH226" s="53" t="n"/>
      <c r="AI226" s="53" t="n"/>
      <c r="AJ226" s="53" t="n"/>
      <c r="AK226" s="53" t="n"/>
      <c r="AL226" s="53" t="n"/>
      <c r="AM226" s="53" t="n"/>
      <c r="AN226" s="53" t="n"/>
      <c r="AO226" s="53" t="n"/>
      <c r="AP226" s="53" t="n"/>
      <c r="AQ226" s="53" t="n"/>
      <c r="AR226" s="53" t="n"/>
      <c r="AS226" s="53" t="n"/>
      <c r="AT226" s="53" t="n"/>
      <c r="AU226" s="53" t="n"/>
      <c r="AV226" s="53" t="n"/>
      <c r="AW226" s="53" t="n"/>
      <c r="AX226" s="53" t="n"/>
      <c r="AY226" s="53" t="n"/>
    </row>
    <row r="227" ht="15" customHeight="1">
      <c r="A227" s="62" t="n"/>
      <c r="B227" s="55">
        <f>IF($B$225="","",$B$225)</f>
        <v/>
      </c>
      <c r="C227" s="63" t="inlineStr">
        <is>
          <t>마케팅4팀</t>
        </is>
      </c>
      <c r="D227" s="55">
        <f>IF($D$225="","",$D$225)</f>
        <v/>
      </c>
      <c r="E227" s="64" t="inlineStr">
        <is>
          <t>영상</t>
        </is>
      </c>
      <c r="F227" s="44" t="n"/>
      <c r="G227" s="58">
        <f>IF($G$225="","",$G$225)</f>
        <v/>
      </c>
      <c r="H227" s="59" t="n"/>
      <c r="I227" s="59" t="n"/>
      <c r="J227" s="59" t="n"/>
      <c r="K227" s="59" t="n"/>
      <c r="L227" s="65">
        <f>IF(SUM(U227:AY227)=0,"",SUM(U227:AY227))</f>
        <v/>
      </c>
      <c r="M227" s="66">
        <f>IFERROR(INDEX(U$2:AY$2,MATCH(TRUE,INDEX(U227:AY227&lt;&gt;"",0),0)),"")</f>
        <v/>
      </c>
      <c r="N227" s="66">
        <f>IFERROR(LOOKUP(2,1/(U227:AY227&lt;&gt;""),U$2:AY$2),"")</f>
        <v/>
      </c>
      <c r="O227" s="59" t="n"/>
      <c r="P227" s="59" t="n"/>
      <c r="Q227" s="59" t="n"/>
      <c r="R227" s="59" t="n"/>
      <c r="S227" s="14" t="n"/>
      <c r="U227" s="53" t="n"/>
      <c r="V227" s="53" t="n"/>
      <c r="W227" s="53" t="n"/>
      <c r="X227" s="53" t="n"/>
      <c r="Y227" s="53" t="n"/>
      <c r="Z227" s="53" t="n"/>
      <c r="AA227" s="53" t="n"/>
      <c r="AB227" s="53" t="n"/>
      <c r="AC227" s="53" t="n"/>
      <c r="AD227" s="53" t="n"/>
      <c r="AE227" s="53" t="n"/>
      <c r="AF227" s="53" t="n"/>
      <c r="AG227" s="53" t="n"/>
      <c r="AH227" s="53" t="n"/>
      <c r="AI227" s="53" t="n"/>
      <c r="AJ227" s="53" t="n"/>
      <c r="AK227" s="53" t="n"/>
      <c r="AL227" s="53" t="n"/>
      <c r="AM227" s="53" t="n"/>
      <c r="AN227" s="53" t="n"/>
      <c r="AO227" s="53" t="n"/>
      <c r="AP227" s="53" t="n"/>
      <c r="AQ227" s="53" t="n"/>
      <c r="AR227" s="53" t="n"/>
      <c r="AS227" s="53" t="n"/>
      <c r="AT227" s="53" t="n"/>
      <c r="AU227" s="53" t="n"/>
      <c r="AV227" s="53" t="n"/>
      <c r="AW227" s="53" t="n"/>
      <c r="AX227" s="53" t="n"/>
      <c r="AY227" s="53" t="n"/>
    </row>
    <row r="228" ht="15" customHeight="1">
      <c r="A228" s="40">
        <f>IF($D$228="","",73)</f>
        <v/>
      </c>
      <c r="B228" s="10" t="n"/>
      <c r="C228" s="41" t="inlineStr">
        <is>
          <t>마케팅4팀</t>
        </is>
      </c>
      <c r="D228" s="42" t="n"/>
      <c r="E228" s="43" t="inlineStr">
        <is>
          <t>기획</t>
        </is>
      </c>
      <c r="F228" s="44" t="n"/>
      <c r="G228" s="45" t="n"/>
      <c r="H228" s="46">
        <f>IF($I$228="","",IF($I$228&lt;0,"🔴지연",IF($I$228&lt;=1,"🟡임박","🟢여유")))</f>
        <v/>
      </c>
      <c r="I228" s="47">
        <f>IF(OR($G$228="",$K$228=""),"",$G$228-$K$228)</f>
        <v/>
      </c>
      <c r="J228" s="48">
        <f>IF(SUM($L$228:$L$230)=0,"",SUM($L$228:$L$230))</f>
        <v/>
      </c>
      <c r="K228" s="49">
        <f>IF($J$228="","",MAX($N$228:$N$230))</f>
        <v/>
      </c>
      <c r="L228" s="50">
        <f>IF(SUM(U228:AY228)=0,"",SUM(U228:AY228))</f>
        <v/>
      </c>
      <c r="M228" s="51">
        <f>IFERROR(INDEX(U$2:AY$2,MATCH(TRUE,INDEX(U228:AY228&lt;&gt;"",0),0)),"")</f>
        <v/>
      </c>
      <c r="N228" s="51">
        <f>IFERROR(LOOKUP(2,1/(U228:AY228&lt;&gt;""),U$2:AY$2),"")</f>
        <v/>
      </c>
      <c r="O228" s="52" t="n"/>
      <c r="P228" s="52" t="n"/>
      <c r="Q228" s="52" t="n"/>
      <c r="R228" s="44" t="n"/>
      <c r="S228" s="14" t="n"/>
      <c r="U228" s="53" t="n"/>
      <c r="V228" s="53" t="n"/>
      <c r="W228" s="53" t="n"/>
      <c r="X228" s="53" t="n"/>
      <c r="Y228" s="53" t="n"/>
      <c r="Z228" s="53" t="n"/>
      <c r="AA228" s="53" t="n"/>
      <c r="AB228" s="53" t="n"/>
      <c r="AC228" s="53" t="n"/>
      <c r="AD228" s="53" t="n"/>
      <c r="AE228" s="53" t="n"/>
      <c r="AF228" s="53" t="n"/>
      <c r="AG228" s="53" t="n"/>
      <c r="AH228" s="53" t="n"/>
      <c r="AI228" s="53" t="n"/>
      <c r="AJ228" s="53" t="n"/>
      <c r="AK228" s="53" t="n"/>
      <c r="AL228" s="53" t="n"/>
      <c r="AM228" s="53" t="n"/>
      <c r="AN228" s="53" t="n"/>
      <c r="AO228" s="53" t="n"/>
      <c r="AP228" s="53" t="n"/>
      <c r="AQ228" s="53" t="n"/>
      <c r="AR228" s="53" t="n"/>
      <c r="AS228" s="53" t="n"/>
      <c r="AT228" s="53" t="n"/>
      <c r="AU228" s="53" t="n"/>
      <c r="AV228" s="53" t="n"/>
      <c r="AW228" s="53" t="n"/>
      <c r="AX228" s="53" t="n"/>
      <c r="AY228" s="53" t="n"/>
    </row>
    <row r="229" ht="15" customHeight="1">
      <c r="A229" s="54" t="n"/>
      <c r="B229" s="55">
        <f>IF($B$228="","",$B$228)</f>
        <v/>
      </c>
      <c r="C229" s="56" t="inlineStr">
        <is>
          <t>마케팅4팀</t>
        </is>
      </c>
      <c r="D229" s="55">
        <f>IF($D$228="","",$D$228)</f>
        <v/>
      </c>
      <c r="E229" s="57" t="inlineStr">
        <is>
          <t>이미지</t>
        </is>
      </c>
      <c r="F229" s="44" t="n"/>
      <c r="G229" s="58">
        <f>IF($G$228="","",$G$228)</f>
        <v/>
      </c>
      <c r="H229" s="59" t="n"/>
      <c r="I229" s="59" t="n"/>
      <c r="J229" s="59" t="n"/>
      <c r="K229" s="59" t="n"/>
      <c r="L229" s="60">
        <f>IF(SUM(U229:AY229)=0,"",SUM(U229:AY229))</f>
        <v/>
      </c>
      <c r="M229" s="61">
        <f>IFERROR(INDEX(U$2:AY$2,MATCH(TRUE,INDEX(U229:AY229&lt;&gt;"",0),0)),"")</f>
        <v/>
      </c>
      <c r="N229" s="61">
        <f>IFERROR(LOOKUP(2,1/(U229:AY229&lt;&gt;""),U$2:AY$2),"")</f>
        <v/>
      </c>
      <c r="O229" s="59" t="n"/>
      <c r="P229" s="59" t="n"/>
      <c r="Q229" s="59" t="n"/>
      <c r="R229" s="59" t="n"/>
      <c r="S229" s="14" t="n"/>
      <c r="U229" s="53" t="n"/>
      <c r="V229" s="53" t="n"/>
      <c r="W229" s="53" t="n"/>
      <c r="X229" s="53" t="n"/>
      <c r="Y229" s="53" t="n"/>
      <c r="Z229" s="53" t="n"/>
      <c r="AA229" s="53" t="n"/>
      <c r="AB229" s="53" t="n"/>
      <c r="AC229" s="53" t="n"/>
      <c r="AD229" s="53" t="n"/>
      <c r="AE229" s="53" t="n"/>
      <c r="AF229" s="53" t="n"/>
      <c r="AG229" s="53" t="n"/>
      <c r="AH229" s="53" t="n"/>
      <c r="AI229" s="53" t="n"/>
      <c r="AJ229" s="53" t="n"/>
      <c r="AK229" s="53" t="n"/>
      <c r="AL229" s="53" t="n"/>
      <c r="AM229" s="53" t="n"/>
      <c r="AN229" s="53" t="n"/>
      <c r="AO229" s="53" t="n"/>
      <c r="AP229" s="53" t="n"/>
      <c r="AQ229" s="53" t="n"/>
      <c r="AR229" s="53" t="n"/>
      <c r="AS229" s="53" t="n"/>
      <c r="AT229" s="53" t="n"/>
      <c r="AU229" s="53" t="n"/>
      <c r="AV229" s="53" t="n"/>
      <c r="AW229" s="53" t="n"/>
      <c r="AX229" s="53" t="n"/>
      <c r="AY229" s="53" t="n"/>
    </row>
    <row r="230" ht="15" customHeight="1">
      <c r="A230" s="62" t="n"/>
      <c r="B230" s="55">
        <f>IF($B$228="","",$B$228)</f>
        <v/>
      </c>
      <c r="C230" s="63" t="inlineStr">
        <is>
          <t>마케팅4팀</t>
        </is>
      </c>
      <c r="D230" s="55">
        <f>IF($D$228="","",$D$228)</f>
        <v/>
      </c>
      <c r="E230" s="64" t="inlineStr">
        <is>
          <t>영상</t>
        </is>
      </c>
      <c r="F230" s="44" t="n"/>
      <c r="G230" s="58">
        <f>IF($G$228="","",$G$228)</f>
        <v/>
      </c>
      <c r="H230" s="59" t="n"/>
      <c r="I230" s="59" t="n"/>
      <c r="J230" s="59" t="n"/>
      <c r="K230" s="59" t="n"/>
      <c r="L230" s="65">
        <f>IF(SUM(U230:AY230)=0,"",SUM(U230:AY230))</f>
        <v/>
      </c>
      <c r="M230" s="66">
        <f>IFERROR(INDEX(U$2:AY$2,MATCH(TRUE,INDEX(U230:AY230&lt;&gt;"",0),0)),"")</f>
        <v/>
      </c>
      <c r="N230" s="66">
        <f>IFERROR(LOOKUP(2,1/(U230:AY230&lt;&gt;""),U$2:AY$2),"")</f>
        <v/>
      </c>
      <c r="O230" s="59" t="n"/>
      <c r="P230" s="59" t="n"/>
      <c r="Q230" s="59" t="n"/>
      <c r="R230" s="59" t="n"/>
      <c r="S230" s="14" t="n"/>
      <c r="U230" s="53" t="n"/>
      <c r="V230" s="53" t="n"/>
      <c r="W230" s="53" t="n"/>
      <c r="X230" s="53" t="n"/>
      <c r="Y230" s="53" t="n"/>
      <c r="Z230" s="53" t="n"/>
      <c r="AA230" s="53" t="n"/>
      <c r="AB230" s="53" t="n"/>
      <c r="AC230" s="53" t="n"/>
      <c r="AD230" s="53" t="n"/>
      <c r="AE230" s="53" t="n"/>
      <c r="AF230" s="53" t="n"/>
      <c r="AG230" s="53" t="n"/>
      <c r="AH230" s="53" t="n"/>
      <c r="AI230" s="53" t="n"/>
      <c r="AJ230" s="53" t="n"/>
      <c r="AK230" s="53" t="n"/>
      <c r="AL230" s="53" t="n"/>
      <c r="AM230" s="53" t="n"/>
      <c r="AN230" s="53" t="n"/>
      <c r="AO230" s="53" t="n"/>
      <c r="AP230" s="53" t="n"/>
      <c r="AQ230" s="53" t="n"/>
      <c r="AR230" s="53" t="n"/>
      <c r="AS230" s="53" t="n"/>
      <c r="AT230" s="53" t="n"/>
      <c r="AU230" s="53" t="n"/>
      <c r="AV230" s="53" t="n"/>
      <c r="AW230" s="53" t="n"/>
      <c r="AX230" s="53" t="n"/>
      <c r="AY230" s="53" t="n"/>
    </row>
    <row r="231" ht="15" customHeight="1">
      <c r="A231" s="40">
        <f>IF($D$231="","",74)</f>
        <v/>
      </c>
      <c r="B231" s="10" t="n"/>
      <c r="C231" s="41" t="inlineStr">
        <is>
          <t>마케팅4팀</t>
        </is>
      </c>
      <c r="D231" s="42" t="n"/>
      <c r="E231" s="43" t="inlineStr">
        <is>
          <t>기획</t>
        </is>
      </c>
      <c r="F231" s="44" t="n"/>
      <c r="G231" s="45" t="n"/>
      <c r="H231" s="46">
        <f>IF($I$231="","",IF($I$231&lt;0,"🔴지연",IF($I$231&lt;=1,"🟡임박","🟢여유")))</f>
        <v/>
      </c>
      <c r="I231" s="47">
        <f>IF(OR($G$231="",$K$231=""),"",$G$231-$K$231)</f>
        <v/>
      </c>
      <c r="J231" s="48">
        <f>IF(SUM($L$231:$L$233)=0,"",SUM($L$231:$L$233))</f>
        <v/>
      </c>
      <c r="K231" s="49">
        <f>IF($J$231="","",MAX($N$231:$N$233))</f>
        <v/>
      </c>
      <c r="L231" s="50">
        <f>IF(SUM(U231:AY231)=0,"",SUM(U231:AY231))</f>
        <v/>
      </c>
      <c r="M231" s="51">
        <f>IFERROR(INDEX(U$2:AY$2,MATCH(TRUE,INDEX(U231:AY231&lt;&gt;"",0),0)),"")</f>
        <v/>
      </c>
      <c r="N231" s="51">
        <f>IFERROR(LOOKUP(2,1/(U231:AY231&lt;&gt;""),U$2:AY$2),"")</f>
        <v/>
      </c>
      <c r="O231" s="52" t="n"/>
      <c r="P231" s="52" t="n"/>
      <c r="Q231" s="52" t="n"/>
      <c r="R231" s="44" t="n"/>
      <c r="S231" s="14" t="n"/>
      <c r="U231" s="53" t="n"/>
      <c r="V231" s="53" t="n"/>
      <c r="W231" s="53" t="n"/>
      <c r="X231" s="53" t="n"/>
      <c r="Y231" s="53" t="n"/>
      <c r="Z231" s="53" t="n"/>
      <c r="AA231" s="53" t="n"/>
      <c r="AB231" s="53" t="n"/>
      <c r="AC231" s="53" t="n"/>
      <c r="AD231" s="53" t="n"/>
      <c r="AE231" s="53" t="n"/>
      <c r="AF231" s="53" t="n"/>
      <c r="AG231" s="53" t="n"/>
      <c r="AH231" s="53" t="n"/>
      <c r="AI231" s="53" t="n"/>
      <c r="AJ231" s="53" t="n"/>
      <c r="AK231" s="53" t="n"/>
      <c r="AL231" s="53" t="n"/>
      <c r="AM231" s="53" t="n"/>
      <c r="AN231" s="53" t="n"/>
      <c r="AO231" s="53" t="n"/>
      <c r="AP231" s="53" t="n"/>
      <c r="AQ231" s="53" t="n"/>
      <c r="AR231" s="53" t="n"/>
      <c r="AS231" s="53" t="n"/>
      <c r="AT231" s="53" t="n"/>
      <c r="AU231" s="53" t="n"/>
      <c r="AV231" s="53" t="n"/>
      <c r="AW231" s="53" t="n"/>
      <c r="AX231" s="53" t="n"/>
      <c r="AY231" s="53" t="n"/>
    </row>
    <row r="232" ht="15" customHeight="1">
      <c r="A232" s="54" t="n"/>
      <c r="B232" s="55">
        <f>IF($B$231="","",$B$231)</f>
        <v/>
      </c>
      <c r="C232" s="56" t="inlineStr">
        <is>
          <t>마케팅4팀</t>
        </is>
      </c>
      <c r="D232" s="55">
        <f>IF($D$231="","",$D$231)</f>
        <v/>
      </c>
      <c r="E232" s="57" t="inlineStr">
        <is>
          <t>이미지</t>
        </is>
      </c>
      <c r="F232" s="44" t="n"/>
      <c r="G232" s="58">
        <f>IF($G$231="","",$G$231)</f>
        <v/>
      </c>
      <c r="H232" s="59" t="n"/>
      <c r="I232" s="59" t="n"/>
      <c r="J232" s="59" t="n"/>
      <c r="K232" s="59" t="n"/>
      <c r="L232" s="60">
        <f>IF(SUM(U232:AY232)=0,"",SUM(U232:AY232))</f>
        <v/>
      </c>
      <c r="M232" s="61">
        <f>IFERROR(INDEX(U$2:AY$2,MATCH(TRUE,INDEX(U232:AY232&lt;&gt;"",0),0)),"")</f>
        <v/>
      </c>
      <c r="N232" s="61">
        <f>IFERROR(LOOKUP(2,1/(U232:AY232&lt;&gt;""),U$2:AY$2),"")</f>
        <v/>
      </c>
      <c r="O232" s="59" t="n"/>
      <c r="P232" s="59" t="n"/>
      <c r="Q232" s="59" t="n"/>
      <c r="R232" s="59" t="n"/>
      <c r="S232" s="14" t="n"/>
      <c r="U232" s="53" t="n"/>
      <c r="V232" s="53" t="n"/>
      <c r="W232" s="53" t="n"/>
      <c r="X232" s="53" t="n"/>
      <c r="Y232" s="53" t="n"/>
      <c r="Z232" s="53" t="n"/>
      <c r="AA232" s="53" t="n"/>
      <c r="AB232" s="53" t="n"/>
      <c r="AC232" s="53" t="n"/>
      <c r="AD232" s="53" t="n"/>
      <c r="AE232" s="53" t="n"/>
      <c r="AF232" s="53" t="n"/>
      <c r="AG232" s="53" t="n"/>
      <c r="AH232" s="53" t="n"/>
      <c r="AI232" s="53" t="n"/>
      <c r="AJ232" s="53" t="n"/>
      <c r="AK232" s="53" t="n"/>
      <c r="AL232" s="53" t="n"/>
      <c r="AM232" s="53" t="n"/>
      <c r="AN232" s="53" t="n"/>
      <c r="AO232" s="53" t="n"/>
      <c r="AP232" s="53" t="n"/>
      <c r="AQ232" s="53" t="n"/>
      <c r="AR232" s="53" t="n"/>
      <c r="AS232" s="53" t="n"/>
      <c r="AT232" s="53" t="n"/>
      <c r="AU232" s="53" t="n"/>
      <c r="AV232" s="53" t="n"/>
      <c r="AW232" s="53" t="n"/>
      <c r="AX232" s="53" t="n"/>
      <c r="AY232" s="53" t="n"/>
    </row>
    <row r="233" ht="15" customHeight="1">
      <c r="A233" s="62" t="n"/>
      <c r="B233" s="55">
        <f>IF($B$231="","",$B$231)</f>
        <v/>
      </c>
      <c r="C233" s="63" t="inlineStr">
        <is>
          <t>마케팅4팀</t>
        </is>
      </c>
      <c r="D233" s="55">
        <f>IF($D$231="","",$D$231)</f>
        <v/>
      </c>
      <c r="E233" s="64" t="inlineStr">
        <is>
          <t>영상</t>
        </is>
      </c>
      <c r="F233" s="44" t="n"/>
      <c r="G233" s="58">
        <f>IF($G$231="","",$G$231)</f>
        <v/>
      </c>
      <c r="H233" s="59" t="n"/>
      <c r="I233" s="59" t="n"/>
      <c r="J233" s="59" t="n"/>
      <c r="K233" s="59" t="n"/>
      <c r="L233" s="65">
        <f>IF(SUM(U233:AY233)=0,"",SUM(U233:AY233))</f>
        <v/>
      </c>
      <c r="M233" s="66">
        <f>IFERROR(INDEX(U$2:AY$2,MATCH(TRUE,INDEX(U233:AY233&lt;&gt;"",0),0)),"")</f>
        <v/>
      </c>
      <c r="N233" s="66">
        <f>IFERROR(LOOKUP(2,1/(U233:AY233&lt;&gt;""),U$2:AY$2),"")</f>
        <v/>
      </c>
      <c r="O233" s="59" t="n"/>
      <c r="P233" s="59" t="n"/>
      <c r="Q233" s="59" t="n"/>
      <c r="R233" s="59" t="n"/>
      <c r="S233" s="14" t="n"/>
      <c r="U233" s="53" t="n"/>
      <c r="V233" s="53" t="n"/>
      <c r="W233" s="53" t="n"/>
      <c r="X233" s="53" t="n"/>
      <c r="Y233" s="53" t="n"/>
      <c r="Z233" s="53" t="n"/>
      <c r="AA233" s="53" t="n"/>
      <c r="AB233" s="53" t="n"/>
      <c r="AC233" s="53" t="n"/>
      <c r="AD233" s="53" t="n"/>
      <c r="AE233" s="53" t="n"/>
      <c r="AF233" s="53" t="n"/>
      <c r="AG233" s="53" t="n"/>
      <c r="AH233" s="53" t="n"/>
      <c r="AI233" s="53" t="n"/>
      <c r="AJ233" s="53" t="n"/>
      <c r="AK233" s="53" t="n"/>
      <c r="AL233" s="53" t="n"/>
      <c r="AM233" s="53" t="n"/>
      <c r="AN233" s="53" t="n"/>
      <c r="AO233" s="53" t="n"/>
      <c r="AP233" s="53" t="n"/>
      <c r="AQ233" s="53" t="n"/>
      <c r="AR233" s="53" t="n"/>
      <c r="AS233" s="53" t="n"/>
      <c r="AT233" s="53" t="n"/>
      <c r="AU233" s="53" t="n"/>
      <c r="AV233" s="53" t="n"/>
      <c r="AW233" s="53" t="n"/>
      <c r="AX233" s="53" t="n"/>
      <c r="AY233" s="53" t="n"/>
    </row>
    <row r="234" ht="15" customHeight="1">
      <c r="A234" s="40">
        <f>IF($D$234="","",75)</f>
        <v/>
      </c>
      <c r="B234" s="10" t="n"/>
      <c r="C234" s="41" t="inlineStr">
        <is>
          <t>마케팅4팀</t>
        </is>
      </c>
      <c r="D234" s="42" t="n"/>
      <c r="E234" s="43" t="inlineStr">
        <is>
          <t>기획</t>
        </is>
      </c>
      <c r="F234" s="44" t="n"/>
      <c r="G234" s="45" t="n"/>
      <c r="H234" s="46">
        <f>IF($I$234="","",IF($I$234&lt;0,"🔴지연",IF($I$234&lt;=1,"🟡임박","🟢여유")))</f>
        <v/>
      </c>
      <c r="I234" s="47">
        <f>IF(OR($G$234="",$K$234=""),"",$G$234-$K$234)</f>
        <v/>
      </c>
      <c r="J234" s="48">
        <f>IF(SUM($L$234:$L$236)=0,"",SUM($L$234:$L$236))</f>
        <v/>
      </c>
      <c r="K234" s="49">
        <f>IF($J$234="","",MAX($N$234:$N$236))</f>
        <v/>
      </c>
      <c r="L234" s="50">
        <f>IF(SUM(U234:AY234)=0,"",SUM(U234:AY234))</f>
        <v/>
      </c>
      <c r="M234" s="51">
        <f>IFERROR(INDEX(U$2:AY$2,MATCH(TRUE,INDEX(U234:AY234&lt;&gt;"",0),0)),"")</f>
        <v/>
      </c>
      <c r="N234" s="51">
        <f>IFERROR(LOOKUP(2,1/(U234:AY234&lt;&gt;""),U$2:AY$2),"")</f>
        <v/>
      </c>
      <c r="O234" s="52" t="n"/>
      <c r="P234" s="52" t="n"/>
      <c r="Q234" s="52" t="n"/>
      <c r="R234" s="44" t="n"/>
      <c r="S234" s="14" t="n"/>
      <c r="U234" s="53" t="n"/>
      <c r="V234" s="53" t="n"/>
      <c r="W234" s="53" t="n"/>
      <c r="X234" s="53" t="n"/>
      <c r="Y234" s="53" t="n"/>
      <c r="Z234" s="53" t="n"/>
      <c r="AA234" s="53" t="n"/>
      <c r="AB234" s="53" t="n"/>
      <c r="AC234" s="53" t="n"/>
      <c r="AD234" s="53" t="n"/>
      <c r="AE234" s="53" t="n"/>
      <c r="AF234" s="53" t="n"/>
      <c r="AG234" s="53" t="n"/>
      <c r="AH234" s="53" t="n"/>
      <c r="AI234" s="53" t="n"/>
      <c r="AJ234" s="53" t="n"/>
      <c r="AK234" s="53" t="n"/>
      <c r="AL234" s="53" t="n"/>
      <c r="AM234" s="53" t="n"/>
      <c r="AN234" s="53" t="n"/>
      <c r="AO234" s="53" t="n"/>
      <c r="AP234" s="53" t="n"/>
      <c r="AQ234" s="53" t="n"/>
      <c r="AR234" s="53" t="n"/>
      <c r="AS234" s="53" t="n"/>
      <c r="AT234" s="53" t="n"/>
      <c r="AU234" s="53" t="n"/>
      <c r="AV234" s="53" t="n"/>
      <c r="AW234" s="53" t="n"/>
      <c r="AX234" s="53" t="n"/>
      <c r="AY234" s="53" t="n"/>
    </row>
    <row r="235" ht="15" customHeight="1">
      <c r="A235" s="54" t="n"/>
      <c r="B235" s="55">
        <f>IF($B$234="","",$B$234)</f>
        <v/>
      </c>
      <c r="C235" s="56" t="inlineStr">
        <is>
          <t>마케팅4팀</t>
        </is>
      </c>
      <c r="D235" s="55">
        <f>IF($D$234="","",$D$234)</f>
        <v/>
      </c>
      <c r="E235" s="57" t="inlineStr">
        <is>
          <t>이미지</t>
        </is>
      </c>
      <c r="F235" s="44" t="n"/>
      <c r="G235" s="58">
        <f>IF($G$234="","",$G$234)</f>
        <v/>
      </c>
      <c r="H235" s="59" t="n"/>
      <c r="I235" s="59" t="n"/>
      <c r="J235" s="59" t="n"/>
      <c r="K235" s="59" t="n"/>
      <c r="L235" s="60">
        <f>IF(SUM(U235:AY235)=0,"",SUM(U235:AY235))</f>
        <v/>
      </c>
      <c r="M235" s="61">
        <f>IFERROR(INDEX(U$2:AY$2,MATCH(TRUE,INDEX(U235:AY235&lt;&gt;"",0),0)),"")</f>
        <v/>
      </c>
      <c r="N235" s="61">
        <f>IFERROR(LOOKUP(2,1/(U235:AY235&lt;&gt;""),U$2:AY$2),"")</f>
        <v/>
      </c>
      <c r="O235" s="59" t="n"/>
      <c r="P235" s="59" t="n"/>
      <c r="Q235" s="59" t="n"/>
      <c r="R235" s="59" t="n"/>
      <c r="S235" s="14" t="n"/>
      <c r="U235" s="53" t="n"/>
      <c r="V235" s="53" t="n"/>
      <c r="W235" s="53" t="n"/>
      <c r="X235" s="53" t="n"/>
      <c r="Y235" s="53" t="n"/>
      <c r="Z235" s="53" t="n"/>
      <c r="AA235" s="53" t="n"/>
      <c r="AB235" s="53" t="n"/>
      <c r="AC235" s="53" t="n"/>
      <c r="AD235" s="53" t="n"/>
      <c r="AE235" s="53" t="n"/>
      <c r="AF235" s="53" t="n"/>
      <c r="AG235" s="53" t="n"/>
      <c r="AH235" s="53" t="n"/>
      <c r="AI235" s="53" t="n"/>
      <c r="AJ235" s="53" t="n"/>
      <c r="AK235" s="53" t="n"/>
      <c r="AL235" s="53" t="n"/>
      <c r="AM235" s="53" t="n"/>
      <c r="AN235" s="53" t="n"/>
      <c r="AO235" s="53" t="n"/>
      <c r="AP235" s="53" t="n"/>
      <c r="AQ235" s="53" t="n"/>
      <c r="AR235" s="53" t="n"/>
      <c r="AS235" s="53" t="n"/>
      <c r="AT235" s="53" t="n"/>
      <c r="AU235" s="53" t="n"/>
      <c r="AV235" s="53" t="n"/>
      <c r="AW235" s="53" t="n"/>
      <c r="AX235" s="53" t="n"/>
      <c r="AY235" s="53" t="n"/>
    </row>
    <row r="236" ht="15" customHeight="1">
      <c r="A236" s="62" t="n"/>
      <c r="B236" s="55">
        <f>IF($B$234="","",$B$234)</f>
        <v/>
      </c>
      <c r="C236" s="63" t="inlineStr">
        <is>
          <t>마케팅4팀</t>
        </is>
      </c>
      <c r="D236" s="55">
        <f>IF($D$234="","",$D$234)</f>
        <v/>
      </c>
      <c r="E236" s="64" t="inlineStr">
        <is>
          <t>영상</t>
        </is>
      </c>
      <c r="F236" s="44" t="n"/>
      <c r="G236" s="58">
        <f>IF($G$234="","",$G$234)</f>
        <v/>
      </c>
      <c r="H236" s="59" t="n"/>
      <c r="I236" s="59" t="n"/>
      <c r="J236" s="59" t="n"/>
      <c r="K236" s="59" t="n"/>
      <c r="L236" s="65">
        <f>IF(SUM(U236:AY236)=0,"",SUM(U236:AY236))</f>
        <v/>
      </c>
      <c r="M236" s="66">
        <f>IFERROR(INDEX(U$2:AY$2,MATCH(TRUE,INDEX(U236:AY236&lt;&gt;"",0),0)),"")</f>
        <v/>
      </c>
      <c r="N236" s="66">
        <f>IFERROR(LOOKUP(2,1/(U236:AY236&lt;&gt;""),U$2:AY$2),"")</f>
        <v/>
      </c>
      <c r="O236" s="59" t="n"/>
      <c r="P236" s="59" t="n"/>
      <c r="Q236" s="59" t="n"/>
      <c r="R236" s="59" t="n"/>
      <c r="S236" s="14" t="n"/>
      <c r="U236" s="53" t="n"/>
      <c r="V236" s="53" t="n"/>
      <c r="W236" s="53" t="n"/>
      <c r="X236" s="53" t="n"/>
      <c r="Y236" s="53" t="n"/>
      <c r="Z236" s="53" t="n"/>
      <c r="AA236" s="53" t="n"/>
      <c r="AB236" s="53" t="n"/>
      <c r="AC236" s="53" t="n"/>
      <c r="AD236" s="53" t="n"/>
      <c r="AE236" s="53" t="n"/>
      <c r="AF236" s="53" t="n"/>
      <c r="AG236" s="53" t="n"/>
      <c r="AH236" s="53" t="n"/>
      <c r="AI236" s="53" t="n"/>
      <c r="AJ236" s="53" t="n"/>
      <c r="AK236" s="53" t="n"/>
      <c r="AL236" s="53" t="n"/>
      <c r="AM236" s="53" t="n"/>
      <c r="AN236" s="53" t="n"/>
      <c r="AO236" s="53" t="n"/>
      <c r="AP236" s="53" t="n"/>
      <c r="AQ236" s="53" t="n"/>
      <c r="AR236" s="53" t="n"/>
      <c r="AS236" s="53" t="n"/>
      <c r="AT236" s="53" t="n"/>
      <c r="AU236" s="53" t="n"/>
      <c r="AV236" s="53" t="n"/>
      <c r="AW236" s="53" t="n"/>
      <c r="AX236" s="53" t="n"/>
      <c r="AY236" s="53" t="n"/>
    </row>
    <row r="237" ht="15" customHeight="1">
      <c r="A237" s="40">
        <f>IF($D$237="","",76)</f>
        <v/>
      </c>
      <c r="B237" s="10" t="n"/>
      <c r="C237" s="41" t="inlineStr">
        <is>
          <t>마케팅4팀</t>
        </is>
      </c>
      <c r="D237" s="42" t="n"/>
      <c r="E237" s="43" t="inlineStr">
        <is>
          <t>기획</t>
        </is>
      </c>
      <c r="F237" s="44" t="n"/>
      <c r="G237" s="45" t="n"/>
      <c r="H237" s="46">
        <f>IF($I$237="","",IF($I$237&lt;0,"🔴지연",IF($I$237&lt;=1,"🟡임박","🟢여유")))</f>
        <v/>
      </c>
      <c r="I237" s="47">
        <f>IF(OR($G$237="",$K$237=""),"",$G$237-$K$237)</f>
        <v/>
      </c>
      <c r="J237" s="48">
        <f>IF(SUM($L$237:$L$239)=0,"",SUM($L$237:$L$239))</f>
        <v/>
      </c>
      <c r="K237" s="49">
        <f>IF($J$237="","",MAX($N$237:$N$239))</f>
        <v/>
      </c>
      <c r="L237" s="50">
        <f>IF(SUM(U237:AY237)=0,"",SUM(U237:AY237))</f>
        <v/>
      </c>
      <c r="M237" s="51">
        <f>IFERROR(INDEX(U$2:AY$2,MATCH(TRUE,INDEX(U237:AY237&lt;&gt;"",0),0)),"")</f>
        <v/>
      </c>
      <c r="N237" s="51">
        <f>IFERROR(LOOKUP(2,1/(U237:AY237&lt;&gt;""),U$2:AY$2),"")</f>
        <v/>
      </c>
      <c r="O237" s="52" t="n"/>
      <c r="P237" s="52" t="n"/>
      <c r="Q237" s="52" t="n"/>
      <c r="R237" s="44" t="n"/>
      <c r="S237" s="14" t="n"/>
      <c r="U237" s="53" t="n"/>
      <c r="V237" s="53" t="n"/>
      <c r="W237" s="53" t="n"/>
      <c r="X237" s="53" t="n"/>
      <c r="Y237" s="53" t="n"/>
      <c r="Z237" s="53" t="n"/>
      <c r="AA237" s="53" t="n"/>
      <c r="AB237" s="53" t="n"/>
      <c r="AC237" s="53" t="n"/>
      <c r="AD237" s="53" t="n"/>
      <c r="AE237" s="53" t="n"/>
      <c r="AF237" s="53" t="n"/>
      <c r="AG237" s="53" t="n"/>
      <c r="AH237" s="53" t="n"/>
      <c r="AI237" s="53" t="n"/>
      <c r="AJ237" s="53" t="n"/>
      <c r="AK237" s="53" t="n"/>
      <c r="AL237" s="53" t="n"/>
      <c r="AM237" s="53" t="n"/>
      <c r="AN237" s="53" t="n"/>
      <c r="AO237" s="53" t="n"/>
      <c r="AP237" s="53" t="n"/>
      <c r="AQ237" s="53" t="n"/>
      <c r="AR237" s="53" t="n"/>
      <c r="AS237" s="53" t="n"/>
      <c r="AT237" s="53" t="n"/>
      <c r="AU237" s="53" t="n"/>
      <c r="AV237" s="53" t="n"/>
      <c r="AW237" s="53" t="n"/>
      <c r="AX237" s="53" t="n"/>
      <c r="AY237" s="53" t="n"/>
    </row>
    <row r="238" ht="15" customHeight="1">
      <c r="A238" s="54" t="n"/>
      <c r="B238" s="55">
        <f>IF($B$237="","",$B$237)</f>
        <v/>
      </c>
      <c r="C238" s="56" t="inlineStr">
        <is>
          <t>마케팅4팀</t>
        </is>
      </c>
      <c r="D238" s="55">
        <f>IF($D$237="","",$D$237)</f>
        <v/>
      </c>
      <c r="E238" s="57" t="inlineStr">
        <is>
          <t>이미지</t>
        </is>
      </c>
      <c r="F238" s="44" t="n"/>
      <c r="G238" s="58">
        <f>IF($G$237="","",$G$237)</f>
        <v/>
      </c>
      <c r="H238" s="59" t="n"/>
      <c r="I238" s="59" t="n"/>
      <c r="J238" s="59" t="n"/>
      <c r="K238" s="59" t="n"/>
      <c r="L238" s="60">
        <f>IF(SUM(U238:AY238)=0,"",SUM(U238:AY238))</f>
        <v/>
      </c>
      <c r="M238" s="61">
        <f>IFERROR(INDEX(U$2:AY$2,MATCH(TRUE,INDEX(U238:AY238&lt;&gt;"",0),0)),"")</f>
        <v/>
      </c>
      <c r="N238" s="61">
        <f>IFERROR(LOOKUP(2,1/(U238:AY238&lt;&gt;""),U$2:AY$2),"")</f>
        <v/>
      </c>
      <c r="O238" s="59" t="n"/>
      <c r="P238" s="59" t="n"/>
      <c r="Q238" s="59" t="n"/>
      <c r="R238" s="59" t="n"/>
      <c r="S238" s="14" t="n"/>
      <c r="U238" s="53" t="n"/>
      <c r="V238" s="53" t="n"/>
      <c r="W238" s="53" t="n"/>
      <c r="X238" s="53" t="n"/>
      <c r="Y238" s="53" t="n"/>
      <c r="Z238" s="53" t="n"/>
      <c r="AA238" s="53" t="n"/>
      <c r="AB238" s="53" t="n"/>
      <c r="AC238" s="53" t="n"/>
      <c r="AD238" s="53" t="n"/>
      <c r="AE238" s="53" t="n"/>
      <c r="AF238" s="53" t="n"/>
      <c r="AG238" s="53" t="n"/>
      <c r="AH238" s="53" t="n"/>
      <c r="AI238" s="53" t="n"/>
      <c r="AJ238" s="53" t="n"/>
      <c r="AK238" s="53" t="n"/>
      <c r="AL238" s="53" t="n"/>
      <c r="AM238" s="53" t="n"/>
      <c r="AN238" s="53" t="n"/>
      <c r="AO238" s="53" t="n"/>
      <c r="AP238" s="53" t="n"/>
      <c r="AQ238" s="53" t="n"/>
      <c r="AR238" s="53" t="n"/>
      <c r="AS238" s="53" t="n"/>
      <c r="AT238" s="53" t="n"/>
      <c r="AU238" s="53" t="n"/>
      <c r="AV238" s="53" t="n"/>
      <c r="AW238" s="53" t="n"/>
      <c r="AX238" s="53" t="n"/>
      <c r="AY238" s="53" t="n"/>
    </row>
    <row r="239" ht="15" customHeight="1">
      <c r="A239" s="62" t="n"/>
      <c r="B239" s="55">
        <f>IF($B$237="","",$B$237)</f>
        <v/>
      </c>
      <c r="C239" s="63" t="inlineStr">
        <is>
          <t>마케팅4팀</t>
        </is>
      </c>
      <c r="D239" s="55">
        <f>IF($D$237="","",$D$237)</f>
        <v/>
      </c>
      <c r="E239" s="64" t="inlineStr">
        <is>
          <t>영상</t>
        </is>
      </c>
      <c r="F239" s="44" t="n"/>
      <c r="G239" s="58">
        <f>IF($G$237="","",$G$237)</f>
        <v/>
      </c>
      <c r="H239" s="59" t="n"/>
      <c r="I239" s="59" t="n"/>
      <c r="J239" s="59" t="n"/>
      <c r="K239" s="59" t="n"/>
      <c r="L239" s="65">
        <f>IF(SUM(U239:AY239)=0,"",SUM(U239:AY239))</f>
        <v/>
      </c>
      <c r="M239" s="66">
        <f>IFERROR(INDEX(U$2:AY$2,MATCH(TRUE,INDEX(U239:AY239&lt;&gt;"",0),0)),"")</f>
        <v/>
      </c>
      <c r="N239" s="66">
        <f>IFERROR(LOOKUP(2,1/(U239:AY239&lt;&gt;""),U$2:AY$2),"")</f>
        <v/>
      </c>
      <c r="O239" s="59" t="n"/>
      <c r="P239" s="59" t="n"/>
      <c r="Q239" s="59" t="n"/>
      <c r="R239" s="59" t="n"/>
      <c r="S239" s="14" t="n"/>
      <c r="U239" s="53" t="n"/>
      <c r="V239" s="53" t="n"/>
      <c r="W239" s="53" t="n"/>
      <c r="X239" s="53" t="n"/>
      <c r="Y239" s="53" t="n"/>
      <c r="Z239" s="53" t="n"/>
      <c r="AA239" s="53" t="n"/>
      <c r="AB239" s="53" t="n"/>
      <c r="AC239" s="53" t="n"/>
      <c r="AD239" s="53" t="n"/>
      <c r="AE239" s="53" t="n"/>
      <c r="AF239" s="53" t="n"/>
      <c r="AG239" s="53" t="n"/>
      <c r="AH239" s="53" t="n"/>
      <c r="AI239" s="53" t="n"/>
      <c r="AJ239" s="53" t="n"/>
      <c r="AK239" s="53" t="n"/>
      <c r="AL239" s="53" t="n"/>
      <c r="AM239" s="53" t="n"/>
      <c r="AN239" s="53" t="n"/>
      <c r="AO239" s="53" t="n"/>
      <c r="AP239" s="53" t="n"/>
      <c r="AQ239" s="53" t="n"/>
      <c r="AR239" s="53" t="n"/>
      <c r="AS239" s="53" t="n"/>
      <c r="AT239" s="53" t="n"/>
      <c r="AU239" s="53" t="n"/>
      <c r="AV239" s="53" t="n"/>
      <c r="AW239" s="53" t="n"/>
      <c r="AX239" s="53" t="n"/>
      <c r="AY239" s="53" t="n"/>
    </row>
    <row r="240" ht="15" customHeight="1">
      <c r="A240" s="40">
        <f>IF($D$240="","",77)</f>
        <v/>
      </c>
      <c r="B240" s="10" t="n"/>
      <c r="C240" s="41" t="inlineStr">
        <is>
          <t>마케팅4팀</t>
        </is>
      </c>
      <c r="D240" s="42" t="n"/>
      <c r="E240" s="43" t="inlineStr">
        <is>
          <t>기획</t>
        </is>
      </c>
      <c r="F240" s="44" t="n"/>
      <c r="G240" s="45" t="n"/>
      <c r="H240" s="46">
        <f>IF($I$240="","",IF($I$240&lt;0,"🔴지연",IF($I$240&lt;=1,"🟡임박","🟢여유")))</f>
        <v/>
      </c>
      <c r="I240" s="47">
        <f>IF(OR($G$240="",$K$240=""),"",$G$240-$K$240)</f>
        <v/>
      </c>
      <c r="J240" s="48">
        <f>IF(SUM($L$240:$L$242)=0,"",SUM($L$240:$L$242))</f>
        <v/>
      </c>
      <c r="K240" s="49">
        <f>IF($J$240="","",MAX($N$240:$N$242))</f>
        <v/>
      </c>
      <c r="L240" s="50">
        <f>IF(SUM(U240:AY240)=0,"",SUM(U240:AY240))</f>
        <v/>
      </c>
      <c r="M240" s="51">
        <f>IFERROR(INDEX(U$2:AY$2,MATCH(TRUE,INDEX(U240:AY240&lt;&gt;"",0),0)),"")</f>
        <v/>
      </c>
      <c r="N240" s="51">
        <f>IFERROR(LOOKUP(2,1/(U240:AY240&lt;&gt;""),U$2:AY$2),"")</f>
        <v/>
      </c>
      <c r="O240" s="52" t="n"/>
      <c r="P240" s="52" t="n"/>
      <c r="Q240" s="52" t="n"/>
      <c r="R240" s="44" t="n"/>
      <c r="S240" s="14" t="n"/>
      <c r="U240" s="53" t="n"/>
      <c r="V240" s="53" t="n"/>
      <c r="W240" s="53" t="n"/>
      <c r="X240" s="53" t="n"/>
      <c r="Y240" s="53" t="n"/>
      <c r="Z240" s="53" t="n"/>
      <c r="AA240" s="53" t="n"/>
      <c r="AB240" s="53" t="n"/>
      <c r="AC240" s="53" t="n"/>
      <c r="AD240" s="53" t="n"/>
      <c r="AE240" s="53" t="n"/>
      <c r="AF240" s="53" t="n"/>
      <c r="AG240" s="53" t="n"/>
      <c r="AH240" s="53" t="n"/>
      <c r="AI240" s="53" t="n"/>
      <c r="AJ240" s="53" t="n"/>
      <c r="AK240" s="53" t="n"/>
      <c r="AL240" s="53" t="n"/>
      <c r="AM240" s="53" t="n"/>
      <c r="AN240" s="53" t="n"/>
      <c r="AO240" s="53" t="n"/>
      <c r="AP240" s="53" t="n"/>
      <c r="AQ240" s="53" t="n"/>
      <c r="AR240" s="53" t="n"/>
      <c r="AS240" s="53" t="n"/>
      <c r="AT240" s="53" t="n"/>
      <c r="AU240" s="53" t="n"/>
      <c r="AV240" s="53" t="n"/>
      <c r="AW240" s="53" t="n"/>
      <c r="AX240" s="53" t="n"/>
      <c r="AY240" s="53" t="n"/>
    </row>
    <row r="241" ht="15" customHeight="1">
      <c r="A241" s="54" t="n"/>
      <c r="B241" s="55">
        <f>IF($B$240="","",$B$240)</f>
        <v/>
      </c>
      <c r="C241" s="56" t="inlineStr">
        <is>
          <t>마케팅4팀</t>
        </is>
      </c>
      <c r="D241" s="55">
        <f>IF($D$240="","",$D$240)</f>
        <v/>
      </c>
      <c r="E241" s="57" t="inlineStr">
        <is>
          <t>이미지</t>
        </is>
      </c>
      <c r="F241" s="44" t="n"/>
      <c r="G241" s="58">
        <f>IF($G$240="","",$G$240)</f>
        <v/>
      </c>
      <c r="H241" s="59" t="n"/>
      <c r="I241" s="59" t="n"/>
      <c r="J241" s="59" t="n"/>
      <c r="K241" s="59" t="n"/>
      <c r="L241" s="60">
        <f>IF(SUM(U241:AY241)=0,"",SUM(U241:AY241))</f>
        <v/>
      </c>
      <c r="M241" s="61">
        <f>IFERROR(INDEX(U$2:AY$2,MATCH(TRUE,INDEX(U241:AY241&lt;&gt;"",0),0)),"")</f>
        <v/>
      </c>
      <c r="N241" s="61">
        <f>IFERROR(LOOKUP(2,1/(U241:AY241&lt;&gt;""),U$2:AY$2),"")</f>
        <v/>
      </c>
      <c r="O241" s="59" t="n"/>
      <c r="P241" s="59" t="n"/>
      <c r="Q241" s="59" t="n"/>
      <c r="R241" s="59" t="n"/>
      <c r="S241" s="14" t="n"/>
      <c r="U241" s="53" t="n"/>
      <c r="V241" s="53" t="n"/>
      <c r="W241" s="53" t="n"/>
      <c r="X241" s="53" t="n"/>
      <c r="Y241" s="53" t="n"/>
      <c r="Z241" s="53" t="n"/>
      <c r="AA241" s="53" t="n"/>
      <c r="AB241" s="53" t="n"/>
      <c r="AC241" s="53" t="n"/>
      <c r="AD241" s="53" t="n"/>
      <c r="AE241" s="53" t="n"/>
      <c r="AF241" s="53" t="n"/>
      <c r="AG241" s="53" t="n"/>
      <c r="AH241" s="53" t="n"/>
      <c r="AI241" s="53" t="n"/>
      <c r="AJ241" s="53" t="n"/>
      <c r="AK241" s="53" t="n"/>
      <c r="AL241" s="53" t="n"/>
      <c r="AM241" s="53" t="n"/>
      <c r="AN241" s="53" t="n"/>
      <c r="AO241" s="53" t="n"/>
      <c r="AP241" s="53" t="n"/>
      <c r="AQ241" s="53" t="n"/>
      <c r="AR241" s="53" t="n"/>
      <c r="AS241" s="53" t="n"/>
      <c r="AT241" s="53" t="n"/>
      <c r="AU241" s="53" t="n"/>
      <c r="AV241" s="53" t="n"/>
      <c r="AW241" s="53" t="n"/>
      <c r="AX241" s="53" t="n"/>
      <c r="AY241" s="53" t="n"/>
    </row>
    <row r="242" ht="15" customHeight="1">
      <c r="A242" s="62" t="n"/>
      <c r="B242" s="55">
        <f>IF($B$240="","",$B$240)</f>
        <v/>
      </c>
      <c r="C242" s="63" t="inlineStr">
        <is>
          <t>마케팅4팀</t>
        </is>
      </c>
      <c r="D242" s="55">
        <f>IF($D$240="","",$D$240)</f>
        <v/>
      </c>
      <c r="E242" s="64" t="inlineStr">
        <is>
          <t>영상</t>
        </is>
      </c>
      <c r="F242" s="44" t="n"/>
      <c r="G242" s="58">
        <f>IF($G$240="","",$G$240)</f>
        <v/>
      </c>
      <c r="H242" s="59" t="n"/>
      <c r="I242" s="59" t="n"/>
      <c r="J242" s="59" t="n"/>
      <c r="K242" s="59" t="n"/>
      <c r="L242" s="65">
        <f>IF(SUM(U242:AY242)=0,"",SUM(U242:AY242))</f>
        <v/>
      </c>
      <c r="M242" s="66">
        <f>IFERROR(INDEX(U$2:AY$2,MATCH(TRUE,INDEX(U242:AY242&lt;&gt;"",0),0)),"")</f>
        <v/>
      </c>
      <c r="N242" s="66">
        <f>IFERROR(LOOKUP(2,1/(U242:AY242&lt;&gt;""),U$2:AY$2),"")</f>
        <v/>
      </c>
      <c r="O242" s="59" t="n"/>
      <c r="P242" s="59" t="n"/>
      <c r="Q242" s="59" t="n"/>
      <c r="R242" s="59" t="n"/>
      <c r="S242" s="14" t="n"/>
      <c r="U242" s="53" t="n"/>
      <c r="V242" s="53" t="n"/>
      <c r="W242" s="53" t="n"/>
      <c r="X242" s="53" t="n"/>
      <c r="Y242" s="53" t="n"/>
      <c r="Z242" s="53" t="n"/>
      <c r="AA242" s="53" t="n"/>
      <c r="AB242" s="53" t="n"/>
      <c r="AC242" s="53" t="n"/>
      <c r="AD242" s="53" t="n"/>
      <c r="AE242" s="53" t="n"/>
      <c r="AF242" s="53" t="n"/>
      <c r="AG242" s="53" t="n"/>
      <c r="AH242" s="53" t="n"/>
      <c r="AI242" s="53" t="n"/>
      <c r="AJ242" s="53" t="n"/>
      <c r="AK242" s="53" t="n"/>
      <c r="AL242" s="53" t="n"/>
      <c r="AM242" s="53" t="n"/>
      <c r="AN242" s="53" t="n"/>
      <c r="AO242" s="53" t="n"/>
      <c r="AP242" s="53" t="n"/>
      <c r="AQ242" s="53" t="n"/>
      <c r="AR242" s="53" t="n"/>
      <c r="AS242" s="53" t="n"/>
      <c r="AT242" s="53" t="n"/>
      <c r="AU242" s="53" t="n"/>
      <c r="AV242" s="53" t="n"/>
      <c r="AW242" s="53" t="n"/>
      <c r="AX242" s="53" t="n"/>
      <c r="AY242" s="53" t="n"/>
    </row>
    <row r="243" ht="15" customHeight="1">
      <c r="A243" s="40">
        <f>IF($D$243="","",78)</f>
        <v/>
      </c>
      <c r="B243" s="10" t="n"/>
      <c r="C243" s="41" t="inlineStr">
        <is>
          <t>마케팅4팀</t>
        </is>
      </c>
      <c r="D243" s="42" t="n"/>
      <c r="E243" s="43" t="inlineStr">
        <is>
          <t>기획</t>
        </is>
      </c>
      <c r="F243" s="44" t="n"/>
      <c r="G243" s="45" t="n"/>
      <c r="H243" s="46">
        <f>IF($I$243="","",IF($I$243&lt;0,"🔴지연",IF($I$243&lt;=1,"🟡임박","🟢여유")))</f>
        <v/>
      </c>
      <c r="I243" s="47">
        <f>IF(OR($G$243="",$K$243=""),"",$G$243-$K$243)</f>
        <v/>
      </c>
      <c r="J243" s="48">
        <f>IF(SUM($L$243:$L$245)=0,"",SUM($L$243:$L$245))</f>
        <v/>
      </c>
      <c r="K243" s="49">
        <f>IF($J$243="","",MAX($N$243:$N$245))</f>
        <v/>
      </c>
      <c r="L243" s="50">
        <f>IF(SUM(U243:AY243)=0,"",SUM(U243:AY243))</f>
        <v/>
      </c>
      <c r="M243" s="51">
        <f>IFERROR(INDEX(U$2:AY$2,MATCH(TRUE,INDEX(U243:AY243&lt;&gt;"",0),0)),"")</f>
        <v/>
      </c>
      <c r="N243" s="51">
        <f>IFERROR(LOOKUP(2,1/(U243:AY243&lt;&gt;""),U$2:AY$2),"")</f>
        <v/>
      </c>
      <c r="O243" s="52" t="n"/>
      <c r="P243" s="52" t="n"/>
      <c r="Q243" s="52" t="n"/>
      <c r="R243" s="44" t="n"/>
      <c r="S243" s="14" t="n"/>
      <c r="U243" s="53" t="n"/>
      <c r="V243" s="53" t="n"/>
      <c r="W243" s="53" t="n"/>
      <c r="X243" s="53" t="n"/>
      <c r="Y243" s="53" t="n"/>
      <c r="Z243" s="53" t="n"/>
      <c r="AA243" s="53" t="n"/>
      <c r="AB243" s="53" t="n"/>
      <c r="AC243" s="53" t="n"/>
      <c r="AD243" s="53" t="n"/>
      <c r="AE243" s="53" t="n"/>
      <c r="AF243" s="53" t="n"/>
      <c r="AG243" s="53" t="n"/>
      <c r="AH243" s="53" t="n"/>
      <c r="AI243" s="53" t="n"/>
      <c r="AJ243" s="53" t="n"/>
      <c r="AK243" s="53" t="n"/>
      <c r="AL243" s="53" t="n"/>
      <c r="AM243" s="53" t="n"/>
      <c r="AN243" s="53" t="n"/>
      <c r="AO243" s="53" t="n"/>
      <c r="AP243" s="53" t="n"/>
      <c r="AQ243" s="53" t="n"/>
      <c r="AR243" s="53" t="n"/>
      <c r="AS243" s="53" t="n"/>
      <c r="AT243" s="53" t="n"/>
      <c r="AU243" s="53" t="n"/>
      <c r="AV243" s="53" t="n"/>
      <c r="AW243" s="53" t="n"/>
      <c r="AX243" s="53" t="n"/>
      <c r="AY243" s="53" t="n"/>
    </row>
    <row r="244" ht="15" customHeight="1">
      <c r="A244" s="54" t="n"/>
      <c r="B244" s="55">
        <f>IF($B$243="","",$B$243)</f>
        <v/>
      </c>
      <c r="C244" s="56" t="inlineStr">
        <is>
          <t>마케팅4팀</t>
        </is>
      </c>
      <c r="D244" s="55">
        <f>IF($D$243="","",$D$243)</f>
        <v/>
      </c>
      <c r="E244" s="57" t="inlineStr">
        <is>
          <t>이미지</t>
        </is>
      </c>
      <c r="F244" s="44" t="n"/>
      <c r="G244" s="58">
        <f>IF($G$243="","",$G$243)</f>
        <v/>
      </c>
      <c r="H244" s="59" t="n"/>
      <c r="I244" s="59" t="n"/>
      <c r="J244" s="59" t="n"/>
      <c r="K244" s="59" t="n"/>
      <c r="L244" s="60">
        <f>IF(SUM(U244:AY244)=0,"",SUM(U244:AY244))</f>
        <v/>
      </c>
      <c r="M244" s="61">
        <f>IFERROR(INDEX(U$2:AY$2,MATCH(TRUE,INDEX(U244:AY244&lt;&gt;"",0),0)),"")</f>
        <v/>
      </c>
      <c r="N244" s="61">
        <f>IFERROR(LOOKUP(2,1/(U244:AY244&lt;&gt;""),U$2:AY$2),"")</f>
        <v/>
      </c>
      <c r="O244" s="59" t="n"/>
      <c r="P244" s="59" t="n"/>
      <c r="Q244" s="59" t="n"/>
      <c r="R244" s="59" t="n"/>
      <c r="S244" s="14" t="n"/>
      <c r="U244" s="53" t="n"/>
      <c r="V244" s="53" t="n"/>
      <c r="W244" s="53" t="n"/>
      <c r="X244" s="53" t="n"/>
      <c r="Y244" s="53" t="n"/>
      <c r="Z244" s="53" t="n"/>
      <c r="AA244" s="53" t="n"/>
      <c r="AB244" s="53" t="n"/>
      <c r="AC244" s="53" t="n"/>
      <c r="AD244" s="53" t="n"/>
      <c r="AE244" s="53" t="n"/>
      <c r="AF244" s="53" t="n"/>
      <c r="AG244" s="53" t="n"/>
      <c r="AH244" s="53" t="n"/>
      <c r="AI244" s="53" t="n"/>
      <c r="AJ244" s="53" t="n"/>
      <c r="AK244" s="53" t="n"/>
      <c r="AL244" s="53" t="n"/>
      <c r="AM244" s="53" t="n"/>
      <c r="AN244" s="53" t="n"/>
      <c r="AO244" s="53" t="n"/>
      <c r="AP244" s="53" t="n"/>
      <c r="AQ244" s="53" t="n"/>
      <c r="AR244" s="53" t="n"/>
      <c r="AS244" s="53" t="n"/>
      <c r="AT244" s="53" t="n"/>
      <c r="AU244" s="53" t="n"/>
      <c r="AV244" s="53" t="n"/>
      <c r="AW244" s="53" t="n"/>
      <c r="AX244" s="53" t="n"/>
      <c r="AY244" s="53" t="n"/>
    </row>
    <row r="245" ht="15" customHeight="1">
      <c r="A245" s="62" t="n"/>
      <c r="B245" s="55">
        <f>IF($B$243="","",$B$243)</f>
        <v/>
      </c>
      <c r="C245" s="63" t="inlineStr">
        <is>
          <t>마케팅4팀</t>
        </is>
      </c>
      <c r="D245" s="55">
        <f>IF($D$243="","",$D$243)</f>
        <v/>
      </c>
      <c r="E245" s="64" t="inlineStr">
        <is>
          <t>영상</t>
        </is>
      </c>
      <c r="F245" s="44" t="n"/>
      <c r="G245" s="58">
        <f>IF($G$243="","",$G$243)</f>
        <v/>
      </c>
      <c r="H245" s="59" t="n"/>
      <c r="I245" s="59" t="n"/>
      <c r="J245" s="59" t="n"/>
      <c r="K245" s="59" t="n"/>
      <c r="L245" s="65">
        <f>IF(SUM(U245:AY245)=0,"",SUM(U245:AY245))</f>
        <v/>
      </c>
      <c r="M245" s="66">
        <f>IFERROR(INDEX(U$2:AY$2,MATCH(TRUE,INDEX(U245:AY245&lt;&gt;"",0),0)),"")</f>
        <v/>
      </c>
      <c r="N245" s="66">
        <f>IFERROR(LOOKUP(2,1/(U245:AY245&lt;&gt;""),U$2:AY$2),"")</f>
        <v/>
      </c>
      <c r="O245" s="59" t="n"/>
      <c r="P245" s="59" t="n"/>
      <c r="Q245" s="59" t="n"/>
      <c r="R245" s="59" t="n"/>
      <c r="S245" s="14" t="n"/>
      <c r="U245" s="53" t="n"/>
      <c r="V245" s="53" t="n"/>
      <c r="W245" s="53" t="n"/>
      <c r="X245" s="53" t="n"/>
      <c r="Y245" s="53" t="n"/>
      <c r="Z245" s="53" t="n"/>
      <c r="AA245" s="53" t="n"/>
      <c r="AB245" s="53" t="n"/>
      <c r="AC245" s="53" t="n"/>
      <c r="AD245" s="53" t="n"/>
      <c r="AE245" s="53" t="n"/>
      <c r="AF245" s="53" t="n"/>
      <c r="AG245" s="53" t="n"/>
      <c r="AH245" s="53" t="n"/>
      <c r="AI245" s="53" t="n"/>
      <c r="AJ245" s="53" t="n"/>
      <c r="AK245" s="53" t="n"/>
      <c r="AL245" s="53" t="n"/>
      <c r="AM245" s="53" t="n"/>
      <c r="AN245" s="53" t="n"/>
      <c r="AO245" s="53" t="n"/>
      <c r="AP245" s="53" t="n"/>
      <c r="AQ245" s="53" t="n"/>
      <c r="AR245" s="53" t="n"/>
      <c r="AS245" s="53" t="n"/>
      <c r="AT245" s="53" t="n"/>
      <c r="AU245" s="53" t="n"/>
      <c r="AV245" s="53" t="n"/>
      <c r="AW245" s="53" t="n"/>
      <c r="AX245" s="53" t="n"/>
      <c r="AY245" s="53" t="n"/>
    </row>
    <row r="246" ht="15" customHeight="1">
      <c r="A246" s="40">
        <f>IF($D$246="","",79)</f>
        <v/>
      </c>
      <c r="B246" s="10" t="n"/>
      <c r="C246" s="41" t="inlineStr">
        <is>
          <t>마케팅4팀</t>
        </is>
      </c>
      <c r="D246" s="42" t="n"/>
      <c r="E246" s="43" t="inlineStr">
        <is>
          <t>기획</t>
        </is>
      </c>
      <c r="F246" s="44" t="n"/>
      <c r="G246" s="45" t="n"/>
      <c r="H246" s="46">
        <f>IF($I$246="","",IF($I$246&lt;0,"🔴지연",IF($I$246&lt;=1,"🟡임박","🟢여유")))</f>
        <v/>
      </c>
      <c r="I246" s="47">
        <f>IF(OR($G$246="",$K$246=""),"",$G$246-$K$246)</f>
        <v/>
      </c>
      <c r="J246" s="48">
        <f>IF(SUM($L$246:$L$248)=0,"",SUM($L$246:$L$248))</f>
        <v/>
      </c>
      <c r="K246" s="49">
        <f>IF($J$246="","",MAX($N$246:$N$248))</f>
        <v/>
      </c>
      <c r="L246" s="50">
        <f>IF(SUM(U246:AY246)=0,"",SUM(U246:AY246))</f>
        <v/>
      </c>
      <c r="M246" s="51">
        <f>IFERROR(INDEX(U$2:AY$2,MATCH(TRUE,INDEX(U246:AY246&lt;&gt;"",0),0)),"")</f>
        <v/>
      </c>
      <c r="N246" s="51">
        <f>IFERROR(LOOKUP(2,1/(U246:AY246&lt;&gt;""),U$2:AY$2),"")</f>
        <v/>
      </c>
      <c r="O246" s="52" t="n"/>
      <c r="P246" s="52" t="n"/>
      <c r="Q246" s="52" t="n"/>
      <c r="R246" s="44" t="n"/>
      <c r="S246" s="14" t="n"/>
      <c r="U246" s="53" t="n"/>
      <c r="V246" s="53" t="n"/>
      <c r="W246" s="53" t="n"/>
      <c r="X246" s="53" t="n"/>
      <c r="Y246" s="53" t="n"/>
      <c r="Z246" s="53" t="n"/>
      <c r="AA246" s="53" t="n"/>
      <c r="AB246" s="53" t="n"/>
      <c r="AC246" s="53" t="n"/>
      <c r="AD246" s="53" t="n"/>
      <c r="AE246" s="53" t="n"/>
      <c r="AF246" s="53" t="n"/>
      <c r="AG246" s="53" t="n"/>
      <c r="AH246" s="53" t="n"/>
      <c r="AI246" s="53" t="n"/>
      <c r="AJ246" s="53" t="n"/>
      <c r="AK246" s="53" t="n"/>
      <c r="AL246" s="53" t="n"/>
      <c r="AM246" s="53" t="n"/>
      <c r="AN246" s="53" t="n"/>
      <c r="AO246" s="53" t="n"/>
      <c r="AP246" s="53" t="n"/>
      <c r="AQ246" s="53" t="n"/>
      <c r="AR246" s="53" t="n"/>
      <c r="AS246" s="53" t="n"/>
      <c r="AT246" s="53" t="n"/>
      <c r="AU246" s="53" t="n"/>
      <c r="AV246" s="53" t="n"/>
      <c r="AW246" s="53" t="n"/>
      <c r="AX246" s="53" t="n"/>
      <c r="AY246" s="53" t="n"/>
    </row>
    <row r="247" ht="15" customHeight="1">
      <c r="A247" s="54" t="n"/>
      <c r="B247" s="55">
        <f>IF($B$246="","",$B$246)</f>
        <v/>
      </c>
      <c r="C247" s="56" t="inlineStr">
        <is>
          <t>마케팅4팀</t>
        </is>
      </c>
      <c r="D247" s="55">
        <f>IF($D$246="","",$D$246)</f>
        <v/>
      </c>
      <c r="E247" s="57" t="inlineStr">
        <is>
          <t>이미지</t>
        </is>
      </c>
      <c r="F247" s="44" t="n"/>
      <c r="G247" s="58">
        <f>IF($G$246="","",$G$246)</f>
        <v/>
      </c>
      <c r="H247" s="59" t="n"/>
      <c r="I247" s="59" t="n"/>
      <c r="J247" s="59" t="n"/>
      <c r="K247" s="59" t="n"/>
      <c r="L247" s="60">
        <f>IF(SUM(U247:AY247)=0,"",SUM(U247:AY247))</f>
        <v/>
      </c>
      <c r="M247" s="61">
        <f>IFERROR(INDEX(U$2:AY$2,MATCH(TRUE,INDEX(U247:AY247&lt;&gt;"",0),0)),"")</f>
        <v/>
      </c>
      <c r="N247" s="61">
        <f>IFERROR(LOOKUP(2,1/(U247:AY247&lt;&gt;""),U$2:AY$2),"")</f>
        <v/>
      </c>
      <c r="O247" s="59" t="n"/>
      <c r="P247" s="59" t="n"/>
      <c r="Q247" s="59" t="n"/>
      <c r="R247" s="59" t="n"/>
      <c r="S247" s="14" t="n"/>
      <c r="U247" s="53" t="n"/>
      <c r="V247" s="53" t="n"/>
      <c r="W247" s="53" t="n"/>
      <c r="X247" s="53" t="n"/>
      <c r="Y247" s="53" t="n"/>
      <c r="Z247" s="53" t="n"/>
      <c r="AA247" s="53" t="n"/>
      <c r="AB247" s="53" t="n"/>
      <c r="AC247" s="53" t="n"/>
      <c r="AD247" s="53" t="n"/>
      <c r="AE247" s="53" t="n"/>
      <c r="AF247" s="53" t="n"/>
      <c r="AG247" s="53" t="n"/>
      <c r="AH247" s="53" t="n"/>
      <c r="AI247" s="53" t="n"/>
      <c r="AJ247" s="53" t="n"/>
      <c r="AK247" s="53" t="n"/>
      <c r="AL247" s="53" t="n"/>
      <c r="AM247" s="53" t="n"/>
      <c r="AN247" s="53" t="n"/>
      <c r="AO247" s="53" t="n"/>
      <c r="AP247" s="53" t="n"/>
      <c r="AQ247" s="53" t="n"/>
      <c r="AR247" s="53" t="n"/>
      <c r="AS247" s="53" t="n"/>
      <c r="AT247" s="53" t="n"/>
      <c r="AU247" s="53" t="n"/>
      <c r="AV247" s="53" t="n"/>
      <c r="AW247" s="53" t="n"/>
      <c r="AX247" s="53" t="n"/>
      <c r="AY247" s="53" t="n"/>
    </row>
    <row r="248" ht="15" customHeight="1">
      <c r="A248" s="62" t="n"/>
      <c r="B248" s="55">
        <f>IF($B$246="","",$B$246)</f>
        <v/>
      </c>
      <c r="C248" s="63" t="inlineStr">
        <is>
          <t>마케팅4팀</t>
        </is>
      </c>
      <c r="D248" s="55">
        <f>IF($D$246="","",$D$246)</f>
        <v/>
      </c>
      <c r="E248" s="64" t="inlineStr">
        <is>
          <t>영상</t>
        </is>
      </c>
      <c r="F248" s="44" t="n"/>
      <c r="G248" s="58">
        <f>IF($G$246="","",$G$246)</f>
        <v/>
      </c>
      <c r="H248" s="59" t="n"/>
      <c r="I248" s="59" t="n"/>
      <c r="J248" s="59" t="n"/>
      <c r="K248" s="59" t="n"/>
      <c r="L248" s="65">
        <f>IF(SUM(U248:AY248)=0,"",SUM(U248:AY248))</f>
        <v/>
      </c>
      <c r="M248" s="66">
        <f>IFERROR(INDEX(U$2:AY$2,MATCH(TRUE,INDEX(U248:AY248&lt;&gt;"",0),0)),"")</f>
        <v/>
      </c>
      <c r="N248" s="66">
        <f>IFERROR(LOOKUP(2,1/(U248:AY248&lt;&gt;""),U$2:AY$2),"")</f>
        <v/>
      </c>
      <c r="O248" s="59" t="n"/>
      <c r="P248" s="59" t="n"/>
      <c r="Q248" s="59" t="n"/>
      <c r="R248" s="59" t="n"/>
      <c r="S248" s="14" t="n"/>
      <c r="U248" s="53" t="n"/>
      <c r="V248" s="53" t="n"/>
      <c r="W248" s="53" t="n"/>
      <c r="X248" s="53" t="n"/>
      <c r="Y248" s="53" t="n"/>
      <c r="Z248" s="53" t="n"/>
      <c r="AA248" s="53" t="n"/>
      <c r="AB248" s="53" t="n"/>
      <c r="AC248" s="53" t="n"/>
      <c r="AD248" s="53" t="n"/>
      <c r="AE248" s="53" t="n"/>
      <c r="AF248" s="53" t="n"/>
      <c r="AG248" s="53" t="n"/>
      <c r="AH248" s="53" t="n"/>
      <c r="AI248" s="53" t="n"/>
      <c r="AJ248" s="53" t="n"/>
      <c r="AK248" s="53" t="n"/>
      <c r="AL248" s="53" t="n"/>
      <c r="AM248" s="53" t="n"/>
      <c r="AN248" s="53" t="n"/>
      <c r="AO248" s="53" t="n"/>
      <c r="AP248" s="53" t="n"/>
      <c r="AQ248" s="53" t="n"/>
      <c r="AR248" s="53" t="n"/>
      <c r="AS248" s="53" t="n"/>
      <c r="AT248" s="53" t="n"/>
      <c r="AU248" s="53" t="n"/>
      <c r="AV248" s="53" t="n"/>
      <c r="AW248" s="53" t="n"/>
      <c r="AX248" s="53" t="n"/>
      <c r="AY248" s="53" t="n"/>
    </row>
    <row r="249" ht="15" customHeight="1">
      <c r="A249" s="40">
        <f>IF($D$249="","",80)</f>
        <v/>
      </c>
      <c r="B249" s="10" t="n"/>
      <c r="C249" s="41" t="inlineStr">
        <is>
          <t>마케팅4팀</t>
        </is>
      </c>
      <c r="D249" s="42" t="n"/>
      <c r="E249" s="43" t="inlineStr">
        <is>
          <t>기획</t>
        </is>
      </c>
      <c r="F249" s="44" t="n"/>
      <c r="G249" s="45" t="n"/>
      <c r="H249" s="46">
        <f>IF($I$249="","",IF($I$249&lt;0,"🔴지연",IF($I$249&lt;=1,"🟡임박","🟢여유")))</f>
        <v/>
      </c>
      <c r="I249" s="47">
        <f>IF(OR($G$249="",$K$249=""),"",$G$249-$K$249)</f>
        <v/>
      </c>
      <c r="J249" s="48">
        <f>IF(SUM($L$249:$L$251)=0,"",SUM($L$249:$L$251))</f>
        <v/>
      </c>
      <c r="K249" s="49">
        <f>IF($J$249="","",MAX($N$249:$N$251))</f>
        <v/>
      </c>
      <c r="L249" s="50">
        <f>IF(SUM(U249:AY249)=0,"",SUM(U249:AY249))</f>
        <v/>
      </c>
      <c r="M249" s="51">
        <f>IFERROR(INDEX(U$2:AY$2,MATCH(TRUE,INDEX(U249:AY249&lt;&gt;"",0),0)),"")</f>
        <v/>
      </c>
      <c r="N249" s="51">
        <f>IFERROR(LOOKUP(2,1/(U249:AY249&lt;&gt;""),U$2:AY$2),"")</f>
        <v/>
      </c>
      <c r="O249" s="52" t="n"/>
      <c r="P249" s="52" t="n"/>
      <c r="Q249" s="52" t="n"/>
      <c r="R249" s="44" t="n"/>
      <c r="S249" s="14" t="n"/>
      <c r="U249" s="53" t="n"/>
      <c r="V249" s="53" t="n"/>
      <c r="W249" s="53" t="n"/>
      <c r="X249" s="53" t="n"/>
      <c r="Y249" s="53" t="n"/>
      <c r="Z249" s="53" t="n"/>
      <c r="AA249" s="53" t="n"/>
      <c r="AB249" s="53" t="n"/>
      <c r="AC249" s="53" t="n"/>
      <c r="AD249" s="53" t="n"/>
      <c r="AE249" s="53" t="n"/>
      <c r="AF249" s="53" t="n"/>
      <c r="AG249" s="53" t="n"/>
      <c r="AH249" s="53" t="n"/>
      <c r="AI249" s="53" t="n"/>
      <c r="AJ249" s="53" t="n"/>
      <c r="AK249" s="53" t="n"/>
      <c r="AL249" s="53" t="n"/>
      <c r="AM249" s="53" t="n"/>
      <c r="AN249" s="53" t="n"/>
      <c r="AO249" s="53" t="n"/>
      <c r="AP249" s="53" t="n"/>
      <c r="AQ249" s="53" t="n"/>
      <c r="AR249" s="53" t="n"/>
      <c r="AS249" s="53" t="n"/>
      <c r="AT249" s="53" t="n"/>
      <c r="AU249" s="53" t="n"/>
      <c r="AV249" s="53" t="n"/>
      <c r="AW249" s="53" t="n"/>
      <c r="AX249" s="53" t="n"/>
      <c r="AY249" s="53" t="n"/>
    </row>
    <row r="250" ht="15" customHeight="1">
      <c r="A250" s="54" t="n"/>
      <c r="B250" s="55">
        <f>IF($B$249="","",$B$249)</f>
        <v/>
      </c>
      <c r="C250" s="56" t="inlineStr">
        <is>
          <t>마케팅4팀</t>
        </is>
      </c>
      <c r="D250" s="55">
        <f>IF($D$249="","",$D$249)</f>
        <v/>
      </c>
      <c r="E250" s="57" t="inlineStr">
        <is>
          <t>이미지</t>
        </is>
      </c>
      <c r="F250" s="44" t="n"/>
      <c r="G250" s="58">
        <f>IF($G$249="","",$G$249)</f>
        <v/>
      </c>
      <c r="H250" s="59" t="n"/>
      <c r="I250" s="59" t="n"/>
      <c r="J250" s="59" t="n"/>
      <c r="K250" s="59" t="n"/>
      <c r="L250" s="60">
        <f>IF(SUM(U250:AY250)=0,"",SUM(U250:AY250))</f>
        <v/>
      </c>
      <c r="M250" s="61">
        <f>IFERROR(INDEX(U$2:AY$2,MATCH(TRUE,INDEX(U250:AY250&lt;&gt;"",0),0)),"")</f>
        <v/>
      </c>
      <c r="N250" s="61">
        <f>IFERROR(LOOKUP(2,1/(U250:AY250&lt;&gt;""),U$2:AY$2),"")</f>
        <v/>
      </c>
      <c r="O250" s="59" t="n"/>
      <c r="P250" s="59" t="n"/>
      <c r="Q250" s="59" t="n"/>
      <c r="R250" s="59" t="n"/>
      <c r="S250" s="14" t="n"/>
      <c r="U250" s="53" t="n"/>
      <c r="V250" s="53" t="n"/>
      <c r="W250" s="53" t="n"/>
      <c r="X250" s="53" t="n"/>
      <c r="Y250" s="53" t="n"/>
      <c r="Z250" s="53" t="n"/>
      <c r="AA250" s="53" t="n"/>
      <c r="AB250" s="53" t="n"/>
      <c r="AC250" s="53" t="n"/>
      <c r="AD250" s="53" t="n"/>
      <c r="AE250" s="53" t="n"/>
      <c r="AF250" s="53" t="n"/>
      <c r="AG250" s="53" t="n"/>
      <c r="AH250" s="53" t="n"/>
      <c r="AI250" s="53" t="n"/>
      <c r="AJ250" s="53" t="n"/>
      <c r="AK250" s="53" t="n"/>
      <c r="AL250" s="53" t="n"/>
      <c r="AM250" s="53" t="n"/>
      <c r="AN250" s="53" t="n"/>
      <c r="AO250" s="53" t="n"/>
      <c r="AP250" s="53" t="n"/>
      <c r="AQ250" s="53" t="n"/>
      <c r="AR250" s="53" t="n"/>
      <c r="AS250" s="53" t="n"/>
      <c r="AT250" s="53" t="n"/>
      <c r="AU250" s="53" t="n"/>
      <c r="AV250" s="53" t="n"/>
      <c r="AW250" s="53" t="n"/>
      <c r="AX250" s="53" t="n"/>
      <c r="AY250" s="53" t="n"/>
    </row>
    <row r="251" ht="15" customHeight="1">
      <c r="A251" s="62" t="n"/>
      <c r="B251" s="55">
        <f>IF($B$249="","",$B$249)</f>
        <v/>
      </c>
      <c r="C251" s="63" t="inlineStr">
        <is>
          <t>마케팅4팀</t>
        </is>
      </c>
      <c r="D251" s="55">
        <f>IF($D$249="","",$D$249)</f>
        <v/>
      </c>
      <c r="E251" s="64" t="inlineStr">
        <is>
          <t>영상</t>
        </is>
      </c>
      <c r="F251" s="44" t="n"/>
      <c r="G251" s="58">
        <f>IF($G$249="","",$G$249)</f>
        <v/>
      </c>
      <c r="H251" s="59" t="n"/>
      <c r="I251" s="59" t="n"/>
      <c r="J251" s="59" t="n"/>
      <c r="K251" s="59" t="n"/>
      <c r="L251" s="65">
        <f>IF(SUM(U251:AY251)=0,"",SUM(U251:AY251))</f>
        <v/>
      </c>
      <c r="M251" s="66">
        <f>IFERROR(INDEX(U$2:AY$2,MATCH(TRUE,INDEX(U251:AY251&lt;&gt;"",0),0)),"")</f>
        <v/>
      </c>
      <c r="N251" s="66">
        <f>IFERROR(LOOKUP(2,1/(U251:AY251&lt;&gt;""),U$2:AY$2),"")</f>
        <v/>
      </c>
      <c r="O251" s="59" t="n"/>
      <c r="P251" s="59" t="n"/>
      <c r="Q251" s="59" t="n"/>
      <c r="R251" s="59" t="n"/>
      <c r="S251" s="14" t="n"/>
      <c r="U251" s="53" t="n"/>
      <c r="V251" s="53" t="n"/>
      <c r="W251" s="53" t="n"/>
      <c r="X251" s="53" t="n"/>
      <c r="Y251" s="53" t="n"/>
      <c r="Z251" s="53" t="n"/>
      <c r="AA251" s="53" t="n"/>
      <c r="AB251" s="53" t="n"/>
      <c r="AC251" s="53" t="n"/>
      <c r="AD251" s="53" t="n"/>
      <c r="AE251" s="53" t="n"/>
      <c r="AF251" s="53" t="n"/>
      <c r="AG251" s="53" t="n"/>
      <c r="AH251" s="53" t="n"/>
      <c r="AI251" s="53" t="n"/>
      <c r="AJ251" s="53" t="n"/>
      <c r="AK251" s="53" t="n"/>
      <c r="AL251" s="53" t="n"/>
      <c r="AM251" s="53" t="n"/>
      <c r="AN251" s="53" t="n"/>
      <c r="AO251" s="53" t="n"/>
      <c r="AP251" s="53" t="n"/>
      <c r="AQ251" s="53" t="n"/>
      <c r="AR251" s="53" t="n"/>
      <c r="AS251" s="53" t="n"/>
      <c r="AT251" s="53" t="n"/>
      <c r="AU251" s="53" t="n"/>
      <c r="AV251" s="53" t="n"/>
      <c r="AW251" s="53" t="n"/>
      <c r="AX251" s="53" t="n"/>
      <c r="AY251" s="53" t="n"/>
    </row>
    <row r="252" ht="18" customHeight="1">
      <c r="A252" s="39" t="inlineStr">
        <is>
          <t>기타   (253~312행 · 소재 20개)</t>
        </is>
      </c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  <c r="AA252" s="8" t="n"/>
      <c r="AB252" s="8" t="n"/>
      <c r="AC252" s="8" t="n"/>
      <c r="AD252" s="8" t="n"/>
      <c r="AE252" s="8" t="n"/>
      <c r="AF252" s="8" t="n"/>
      <c r="AG252" s="8" t="n"/>
      <c r="AH252" s="8" t="n"/>
      <c r="AI252" s="8" t="n"/>
      <c r="AJ252" s="8" t="n"/>
      <c r="AK252" s="8" t="n"/>
      <c r="AL252" s="8" t="n"/>
      <c r="AM252" s="8" t="n"/>
      <c r="AN252" s="8" t="n"/>
      <c r="AO252" s="8" t="n"/>
      <c r="AP252" s="8" t="n"/>
      <c r="AQ252" s="8" t="n"/>
      <c r="AR252" s="8" t="n"/>
      <c r="AS252" s="8" t="n"/>
      <c r="AT252" s="8" t="n"/>
      <c r="AU252" s="8" t="n"/>
      <c r="AV252" s="8" t="n"/>
      <c r="AW252" s="8" t="n"/>
      <c r="AX252" s="8" t="n"/>
      <c r="AY252" s="4" t="n"/>
    </row>
    <row r="253" ht="15" customHeight="1">
      <c r="A253" s="40">
        <f>IF($D$253="","",81)</f>
        <v/>
      </c>
      <c r="B253" s="10" t="n"/>
      <c r="C253" s="41" t="inlineStr">
        <is>
          <t>기타</t>
        </is>
      </c>
      <c r="D253" s="42" t="n"/>
      <c r="E253" s="43" t="inlineStr">
        <is>
          <t>기획</t>
        </is>
      </c>
      <c r="F253" s="44" t="n"/>
      <c r="G253" s="45" t="n"/>
      <c r="H253" s="46">
        <f>IF($I$253="","",IF($I$253&lt;0,"🔴지연",IF($I$253&lt;=1,"🟡임박","🟢여유")))</f>
        <v/>
      </c>
      <c r="I253" s="47">
        <f>IF(OR($G$253="",$K$253=""),"",$G$253-$K$253)</f>
        <v/>
      </c>
      <c r="J253" s="48">
        <f>IF(SUM($L$253:$L$255)=0,"",SUM($L$253:$L$255))</f>
        <v/>
      </c>
      <c r="K253" s="49">
        <f>IF($J$253="","",MAX($N$253:$N$255))</f>
        <v/>
      </c>
      <c r="L253" s="50">
        <f>IF(SUM(U253:AY253)=0,"",SUM(U253:AY253))</f>
        <v/>
      </c>
      <c r="M253" s="51">
        <f>IFERROR(INDEX(U$2:AY$2,MATCH(TRUE,INDEX(U253:AY253&lt;&gt;"",0),0)),"")</f>
        <v/>
      </c>
      <c r="N253" s="51">
        <f>IFERROR(LOOKUP(2,1/(U253:AY253&lt;&gt;""),U$2:AY$2),"")</f>
        <v/>
      </c>
      <c r="O253" s="52" t="n"/>
      <c r="P253" s="52" t="n"/>
      <c r="Q253" s="52" t="n"/>
      <c r="R253" s="44" t="n"/>
      <c r="S253" s="14" t="n"/>
      <c r="U253" s="53" t="n"/>
      <c r="V253" s="53" t="n"/>
      <c r="W253" s="53" t="n"/>
      <c r="X253" s="53" t="n"/>
      <c r="Y253" s="53" t="n"/>
      <c r="Z253" s="53" t="n"/>
      <c r="AA253" s="53" t="n"/>
      <c r="AB253" s="53" t="n"/>
      <c r="AC253" s="53" t="n"/>
      <c r="AD253" s="53" t="n"/>
      <c r="AE253" s="53" t="n"/>
      <c r="AF253" s="53" t="n"/>
      <c r="AG253" s="53" t="n"/>
      <c r="AH253" s="53" t="n"/>
      <c r="AI253" s="53" t="n"/>
      <c r="AJ253" s="53" t="n"/>
      <c r="AK253" s="53" t="n"/>
      <c r="AL253" s="53" t="n"/>
      <c r="AM253" s="53" t="n"/>
      <c r="AN253" s="53" t="n"/>
      <c r="AO253" s="53" t="n"/>
      <c r="AP253" s="53" t="n"/>
      <c r="AQ253" s="53" t="n"/>
      <c r="AR253" s="53" t="n"/>
      <c r="AS253" s="53" t="n"/>
      <c r="AT253" s="53" t="n"/>
      <c r="AU253" s="53" t="n"/>
      <c r="AV253" s="53" t="n"/>
      <c r="AW253" s="53" t="n"/>
      <c r="AX253" s="53" t="n"/>
      <c r="AY253" s="53" t="n"/>
    </row>
    <row r="254" ht="15" customHeight="1">
      <c r="A254" s="54" t="n"/>
      <c r="B254" s="55">
        <f>IF($B$253="","",$B$253)</f>
        <v/>
      </c>
      <c r="C254" s="56" t="inlineStr">
        <is>
          <t>기타</t>
        </is>
      </c>
      <c r="D254" s="55">
        <f>IF($D$253="","",$D$253)</f>
        <v/>
      </c>
      <c r="E254" s="57" t="inlineStr">
        <is>
          <t>이미지</t>
        </is>
      </c>
      <c r="F254" s="44" t="n"/>
      <c r="G254" s="58">
        <f>IF($G$253="","",$G$253)</f>
        <v/>
      </c>
      <c r="H254" s="59" t="n"/>
      <c r="I254" s="59" t="n"/>
      <c r="J254" s="59" t="n"/>
      <c r="K254" s="59" t="n"/>
      <c r="L254" s="60">
        <f>IF(SUM(U254:AY254)=0,"",SUM(U254:AY254))</f>
        <v/>
      </c>
      <c r="M254" s="61">
        <f>IFERROR(INDEX(U$2:AY$2,MATCH(TRUE,INDEX(U254:AY254&lt;&gt;"",0),0)),"")</f>
        <v/>
      </c>
      <c r="N254" s="61">
        <f>IFERROR(LOOKUP(2,1/(U254:AY254&lt;&gt;""),U$2:AY$2),"")</f>
        <v/>
      </c>
      <c r="O254" s="59" t="n"/>
      <c r="P254" s="59" t="n"/>
      <c r="Q254" s="59" t="n"/>
      <c r="R254" s="59" t="n"/>
      <c r="S254" s="14" t="n"/>
      <c r="U254" s="53" t="n"/>
      <c r="V254" s="53" t="n"/>
      <c r="W254" s="53" t="n"/>
      <c r="X254" s="53" t="n"/>
      <c r="Y254" s="53" t="n"/>
      <c r="Z254" s="53" t="n"/>
      <c r="AA254" s="53" t="n"/>
      <c r="AB254" s="53" t="n"/>
      <c r="AC254" s="53" t="n"/>
      <c r="AD254" s="53" t="n"/>
      <c r="AE254" s="53" t="n"/>
      <c r="AF254" s="53" t="n"/>
      <c r="AG254" s="53" t="n"/>
      <c r="AH254" s="53" t="n"/>
      <c r="AI254" s="53" t="n"/>
      <c r="AJ254" s="53" t="n"/>
      <c r="AK254" s="53" t="n"/>
      <c r="AL254" s="53" t="n"/>
      <c r="AM254" s="53" t="n"/>
      <c r="AN254" s="53" t="n"/>
      <c r="AO254" s="53" t="n"/>
      <c r="AP254" s="53" t="n"/>
      <c r="AQ254" s="53" t="n"/>
      <c r="AR254" s="53" t="n"/>
      <c r="AS254" s="53" t="n"/>
      <c r="AT254" s="53" t="n"/>
      <c r="AU254" s="53" t="n"/>
      <c r="AV254" s="53" t="n"/>
      <c r="AW254" s="53" t="n"/>
      <c r="AX254" s="53" t="n"/>
      <c r="AY254" s="53" t="n"/>
    </row>
    <row r="255" ht="15" customHeight="1">
      <c r="A255" s="62" t="n"/>
      <c r="B255" s="55">
        <f>IF($B$253="","",$B$253)</f>
        <v/>
      </c>
      <c r="C255" s="63" t="inlineStr">
        <is>
          <t>기타</t>
        </is>
      </c>
      <c r="D255" s="55">
        <f>IF($D$253="","",$D$253)</f>
        <v/>
      </c>
      <c r="E255" s="64" t="inlineStr">
        <is>
          <t>영상</t>
        </is>
      </c>
      <c r="F255" s="44" t="n"/>
      <c r="G255" s="58">
        <f>IF($G$253="","",$G$253)</f>
        <v/>
      </c>
      <c r="H255" s="59" t="n"/>
      <c r="I255" s="59" t="n"/>
      <c r="J255" s="59" t="n"/>
      <c r="K255" s="59" t="n"/>
      <c r="L255" s="65">
        <f>IF(SUM(U255:AY255)=0,"",SUM(U255:AY255))</f>
        <v/>
      </c>
      <c r="M255" s="66">
        <f>IFERROR(INDEX(U$2:AY$2,MATCH(TRUE,INDEX(U255:AY255&lt;&gt;"",0),0)),"")</f>
        <v/>
      </c>
      <c r="N255" s="66">
        <f>IFERROR(LOOKUP(2,1/(U255:AY255&lt;&gt;""),U$2:AY$2),"")</f>
        <v/>
      </c>
      <c r="O255" s="59" t="n"/>
      <c r="P255" s="59" t="n"/>
      <c r="Q255" s="59" t="n"/>
      <c r="R255" s="59" t="n"/>
      <c r="S255" s="14" t="n"/>
      <c r="U255" s="53" t="n"/>
      <c r="V255" s="53" t="n"/>
      <c r="W255" s="53" t="n"/>
      <c r="X255" s="53" t="n"/>
      <c r="Y255" s="53" t="n"/>
      <c r="Z255" s="53" t="n"/>
      <c r="AA255" s="53" t="n"/>
      <c r="AB255" s="53" t="n"/>
      <c r="AC255" s="53" t="n"/>
      <c r="AD255" s="53" t="n"/>
      <c r="AE255" s="53" t="n"/>
      <c r="AF255" s="53" t="n"/>
      <c r="AG255" s="53" t="n"/>
      <c r="AH255" s="53" t="n"/>
      <c r="AI255" s="53" t="n"/>
      <c r="AJ255" s="53" t="n"/>
      <c r="AK255" s="53" t="n"/>
      <c r="AL255" s="53" t="n"/>
      <c r="AM255" s="53" t="n"/>
      <c r="AN255" s="53" t="n"/>
      <c r="AO255" s="53" t="n"/>
      <c r="AP255" s="53" t="n"/>
      <c r="AQ255" s="53" t="n"/>
      <c r="AR255" s="53" t="n"/>
      <c r="AS255" s="53" t="n"/>
      <c r="AT255" s="53" t="n"/>
      <c r="AU255" s="53" t="n"/>
      <c r="AV255" s="53" t="n"/>
      <c r="AW255" s="53" t="n"/>
      <c r="AX255" s="53" t="n"/>
      <c r="AY255" s="53" t="n"/>
    </row>
    <row r="256" ht="15" customHeight="1">
      <c r="A256" s="40">
        <f>IF($D$256="","",82)</f>
        <v/>
      </c>
      <c r="B256" s="10" t="n"/>
      <c r="C256" s="41" t="inlineStr">
        <is>
          <t>기타</t>
        </is>
      </c>
      <c r="D256" s="42" t="n"/>
      <c r="E256" s="43" t="inlineStr">
        <is>
          <t>기획</t>
        </is>
      </c>
      <c r="F256" s="44" t="n"/>
      <c r="G256" s="45" t="n"/>
      <c r="H256" s="46">
        <f>IF($I$256="","",IF($I$256&lt;0,"🔴지연",IF($I$256&lt;=1,"🟡임박","🟢여유")))</f>
        <v/>
      </c>
      <c r="I256" s="47">
        <f>IF(OR($G$256="",$K$256=""),"",$G$256-$K$256)</f>
        <v/>
      </c>
      <c r="J256" s="48">
        <f>IF(SUM($L$256:$L$258)=0,"",SUM($L$256:$L$258))</f>
        <v/>
      </c>
      <c r="K256" s="49">
        <f>IF($J$256="","",MAX($N$256:$N$258))</f>
        <v/>
      </c>
      <c r="L256" s="50">
        <f>IF(SUM(U256:AY256)=0,"",SUM(U256:AY256))</f>
        <v/>
      </c>
      <c r="M256" s="51">
        <f>IFERROR(INDEX(U$2:AY$2,MATCH(TRUE,INDEX(U256:AY256&lt;&gt;"",0),0)),"")</f>
        <v/>
      </c>
      <c r="N256" s="51">
        <f>IFERROR(LOOKUP(2,1/(U256:AY256&lt;&gt;""),U$2:AY$2),"")</f>
        <v/>
      </c>
      <c r="O256" s="52" t="n"/>
      <c r="P256" s="52" t="n"/>
      <c r="Q256" s="52" t="n"/>
      <c r="R256" s="44" t="n"/>
      <c r="S256" s="14" t="n"/>
      <c r="U256" s="53" t="n"/>
      <c r="V256" s="53" t="n"/>
      <c r="W256" s="53" t="n"/>
      <c r="X256" s="53" t="n"/>
      <c r="Y256" s="53" t="n"/>
      <c r="Z256" s="53" t="n"/>
      <c r="AA256" s="53" t="n"/>
      <c r="AB256" s="53" t="n"/>
      <c r="AC256" s="53" t="n"/>
      <c r="AD256" s="53" t="n"/>
      <c r="AE256" s="53" t="n"/>
      <c r="AF256" s="53" t="n"/>
      <c r="AG256" s="53" t="n"/>
      <c r="AH256" s="53" t="n"/>
      <c r="AI256" s="53" t="n"/>
      <c r="AJ256" s="53" t="n"/>
      <c r="AK256" s="53" t="n"/>
      <c r="AL256" s="53" t="n"/>
      <c r="AM256" s="53" t="n"/>
      <c r="AN256" s="53" t="n"/>
      <c r="AO256" s="53" t="n"/>
      <c r="AP256" s="53" t="n"/>
      <c r="AQ256" s="53" t="n"/>
      <c r="AR256" s="53" t="n"/>
      <c r="AS256" s="53" t="n"/>
      <c r="AT256" s="53" t="n"/>
      <c r="AU256" s="53" t="n"/>
      <c r="AV256" s="53" t="n"/>
      <c r="AW256" s="53" t="n"/>
      <c r="AX256" s="53" t="n"/>
      <c r="AY256" s="53" t="n"/>
    </row>
    <row r="257" ht="15" customHeight="1">
      <c r="A257" s="54" t="n"/>
      <c r="B257" s="55">
        <f>IF($B$256="","",$B$256)</f>
        <v/>
      </c>
      <c r="C257" s="56" t="inlineStr">
        <is>
          <t>기타</t>
        </is>
      </c>
      <c r="D257" s="55">
        <f>IF($D$256="","",$D$256)</f>
        <v/>
      </c>
      <c r="E257" s="57" t="inlineStr">
        <is>
          <t>이미지</t>
        </is>
      </c>
      <c r="F257" s="44" t="n"/>
      <c r="G257" s="58">
        <f>IF($G$256="","",$G$256)</f>
        <v/>
      </c>
      <c r="H257" s="59" t="n"/>
      <c r="I257" s="59" t="n"/>
      <c r="J257" s="59" t="n"/>
      <c r="K257" s="59" t="n"/>
      <c r="L257" s="60">
        <f>IF(SUM(U257:AY257)=0,"",SUM(U257:AY257))</f>
        <v/>
      </c>
      <c r="M257" s="61">
        <f>IFERROR(INDEX(U$2:AY$2,MATCH(TRUE,INDEX(U257:AY257&lt;&gt;"",0),0)),"")</f>
        <v/>
      </c>
      <c r="N257" s="61">
        <f>IFERROR(LOOKUP(2,1/(U257:AY257&lt;&gt;""),U$2:AY$2),"")</f>
        <v/>
      </c>
      <c r="O257" s="59" t="n"/>
      <c r="P257" s="59" t="n"/>
      <c r="Q257" s="59" t="n"/>
      <c r="R257" s="59" t="n"/>
      <c r="S257" s="14" t="n"/>
      <c r="U257" s="53" t="n"/>
      <c r="V257" s="53" t="n"/>
      <c r="W257" s="53" t="n"/>
      <c r="X257" s="53" t="n"/>
      <c r="Y257" s="53" t="n"/>
      <c r="Z257" s="53" t="n"/>
      <c r="AA257" s="53" t="n"/>
      <c r="AB257" s="53" t="n"/>
      <c r="AC257" s="53" t="n"/>
      <c r="AD257" s="53" t="n"/>
      <c r="AE257" s="53" t="n"/>
      <c r="AF257" s="53" t="n"/>
      <c r="AG257" s="53" t="n"/>
      <c r="AH257" s="53" t="n"/>
      <c r="AI257" s="53" t="n"/>
      <c r="AJ257" s="53" t="n"/>
      <c r="AK257" s="53" t="n"/>
      <c r="AL257" s="53" t="n"/>
      <c r="AM257" s="53" t="n"/>
      <c r="AN257" s="53" t="n"/>
      <c r="AO257" s="53" t="n"/>
      <c r="AP257" s="53" t="n"/>
      <c r="AQ257" s="53" t="n"/>
      <c r="AR257" s="53" t="n"/>
      <c r="AS257" s="53" t="n"/>
      <c r="AT257" s="53" t="n"/>
      <c r="AU257" s="53" t="n"/>
      <c r="AV257" s="53" t="n"/>
      <c r="AW257" s="53" t="n"/>
      <c r="AX257" s="53" t="n"/>
      <c r="AY257" s="53" t="n"/>
    </row>
    <row r="258" ht="15" customHeight="1">
      <c r="A258" s="62" t="n"/>
      <c r="B258" s="55">
        <f>IF($B$256="","",$B$256)</f>
        <v/>
      </c>
      <c r="C258" s="63" t="inlineStr">
        <is>
          <t>기타</t>
        </is>
      </c>
      <c r="D258" s="55">
        <f>IF($D$256="","",$D$256)</f>
        <v/>
      </c>
      <c r="E258" s="64" t="inlineStr">
        <is>
          <t>영상</t>
        </is>
      </c>
      <c r="F258" s="44" t="n"/>
      <c r="G258" s="58">
        <f>IF($G$256="","",$G$256)</f>
        <v/>
      </c>
      <c r="H258" s="59" t="n"/>
      <c r="I258" s="59" t="n"/>
      <c r="J258" s="59" t="n"/>
      <c r="K258" s="59" t="n"/>
      <c r="L258" s="65">
        <f>IF(SUM(U258:AY258)=0,"",SUM(U258:AY258))</f>
        <v/>
      </c>
      <c r="M258" s="66">
        <f>IFERROR(INDEX(U$2:AY$2,MATCH(TRUE,INDEX(U258:AY258&lt;&gt;"",0),0)),"")</f>
        <v/>
      </c>
      <c r="N258" s="66">
        <f>IFERROR(LOOKUP(2,1/(U258:AY258&lt;&gt;""),U$2:AY$2),"")</f>
        <v/>
      </c>
      <c r="O258" s="59" t="n"/>
      <c r="P258" s="59" t="n"/>
      <c r="Q258" s="59" t="n"/>
      <c r="R258" s="59" t="n"/>
      <c r="S258" s="14" t="n"/>
      <c r="U258" s="53" t="n"/>
      <c r="V258" s="53" t="n"/>
      <c r="W258" s="53" t="n"/>
      <c r="X258" s="53" t="n"/>
      <c r="Y258" s="53" t="n"/>
      <c r="Z258" s="53" t="n"/>
      <c r="AA258" s="53" t="n"/>
      <c r="AB258" s="53" t="n"/>
      <c r="AC258" s="53" t="n"/>
      <c r="AD258" s="53" t="n"/>
      <c r="AE258" s="53" t="n"/>
      <c r="AF258" s="53" t="n"/>
      <c r="AG258" s="53" t="n"/>
      <c r="AH258" s="53" t="n"/>
      <c r="AI258" s="53" t="n"/>
      <c r="AJ258" s="53" t="n"/>
      <c r="AK258" s="53" t="n"/>
      <c r="AL258" s="53" t="n"/>
      <c r="AM258" s="53" t="n"/>
      <c r="AN258" s="53" t="n"/>
      <c r="AO258" s="53" t="n"/>
      <c r="AP258" s="53" t="n"/>
      <c r="AQ258" s="53" t="n"/>
      <c r="AR258" s="53" t="n"/>
      <c r="AS258" s="53" t="n"/>
      <c r="AT258" s="53" t="n"/>
      <c r="AU258" s="53" t="n"/>
      <c r="AV258" s="53" t="n"/>
      <c r="AW258" s="53" t="n"/>
      <c r="AX258" s="53" t="n"/>
      <c r="AY258" s="53" t="n"/>
    </row>
    <row r="259" ht="15" customHeight="1">
      <c r="A259" s="40">
        <f>IF($D$259="","",83)</f>
        <v/>
      </c>
      <c r="B259" s="10" t="n"/>
      <c r="C259" s="41" t="inlineStr">
        <is>
          <t>기타</t>
        </is>
      </c>
      <c r="D259" s="42" t="n"/>
      <c r="E259" s="43" t="inlineStr">
        <is>
          <t>기획</t>
        </is>
      </c>
      <c r="F259" s="44" t="n"/>
      <c r="G259" s="45" t="n"/>
      <c r="H259" s="46">
        <f>IF($I$259="","",IF($I$259&lt;0,"🔴지연",IF($I$259&lt;=1,"🟡임박","🟢여유")))</f>
        <v/>
      </c>
      <c r="I259" s="47">
        <f>IF(OR($G$259="",$K$259=""),"",$G$259-$K$259)</f>
        <v/>
      </c>
      <c r="J259" s="48">
        <f>IF(SUM($L$259:$L$261)=0,"",SUM($L$259:$L$261))</f>
        <v/>
      </c>
      <c r="K259" s="49">
        <f>IF($J$259="","",MAX($N$259:$N$261))</f>
        <v/>
      </c>
      <c r="L259" s="50">
        <f>IF(SUM(U259:AY259)=0,"",SUM(U259:AY259))</f>
        <v/>
      </c>
      <c r="M259" s="51">
        <f>IFERROR(INDEX(U$2:AY$2,MATCH(TRUE,INDEX(U259:AY259&lt;&gt;"",0),0)),"")</f>
        <v/>
      </c>
      <c r="N259" s="51">
        <f>IFERROR(LOOKUP(2,1/(U259:AY259&lt;&gt;""),U$2:AY$2),"")</f>
        <v/>
      </c>
      <c r="O259" s="52" t="n"/>
      <c r="P259" s="52" t="n"/>
      <c r="Q259" s="52" t="n"/>
      <c r="R259" s="44" t="n"/>
      <c r="S259" s="14" t="n"/>
      <c r="U259" s="53" t="n"/>
      <c r="V259" s="53" t="n"/>
      <c r="W259" s="53" t="n"/>
      <c r="X259" s="53" t="n"/>
      <c r="Y259" s="53" t="n"/>
      <c r="Z259" s="53" t="n"/>
      <c r="AA259" s="53" t="n"/>
      <c r="AB259" s="53" t="n"/>
      <c r="AC259" s="53" t="n"/>
      <c r="AD259" s="53" t="n"/>
      <c r="AE259" s="53" t="n"/>
      <c r="AF259" s="53" t="n"/>
      <c r="AG259" s="53" t="n"/>
      <c r="AH259" s="53" t="n"/>
      <c r="AI259" s="53" t="n"/>
      <c r="AJ259" s="53" t="n"/>
      <c r="AK259" s="53" t="n"/>
      <c r="AL259" s="53" t="n"/>
      <c r="AM259" s="53" t="n"/>
      <c r="AN259" s="53" t="n"/>
      <c r="AO259" s="53" t="n"/>
      <c r="AP259" s="53" t="n"/>
      <c r="AQ259" s="53" t="n"/>
      <c r="AR259" s="53" t="n"/>
      <c r="AS259" s="53" t="n"/>
      <c r="AT259" s="53" t="n"/>
      <c r="AU259" s="53" t="n"/>
      <c r="AV259" s="53" t="n"/>
      <c r="AW259" s="53" t="n"/>
      <c r="AX259" s="53" t="n"/>
      <c r="AY259" s="53" t="n"/>
    </row>
    <row r="260" ht="15" customHeight="1">
      <c r="A260" s="54" t="n"/>
      <c r="B260" s="55">
        <f>IF($B$259="","",$B$259)</f>
        <v/>
      </c>
      <c r="C260" s="56" t="inlineStr">
        <is>
          <t>기타</t>
        </is>
      </c>
      <c r="D260" s="55">
        <f>IF($D$259="","",$D$259)</f>
        <v/>
      </c>
      <c r="E260" s="57" t="inlineStr">
        <is>
          <t>이미지</t>
        </is>
      </c>
      <c r="F260" s="44" t="n"/>
      <c r="G260" s="58">
        <f>IF($G$259="","",$G$259)</f>
        <v/>
      </c>
      <c r="H260" s="59" t="n"/>
      <c r="I260" s="59" t="n"/>
      <c r="J260" s="59" t="n"/>
      <c r="K260" s="59" t="n"/>
      <c r="L260" s="60">
        <f>IF(SUM(U260:AY260)=0,"",SUM(U260:AY260))</f>
        <v/>
      </c>
      <c r="M260" s="61">
        <f>IFERROR(INDEX(U$2:AY$2,MATCH(TRUE,INDEX(U260:AY260&lt;&gt;"",0),0)),"")</f>
        <v/>
      </c>
      <c r="N260" s="61">
        <f>IFERROR(LOOKUP(2,1/(U260:AY260&lt;&gt;""),U$2:AY$2),"")</f>
        <v/>
      </c>
      <c r="O260" s="59" t="n"/>
      <c r="P260" s="59" t="n"/>
      <c r="Q260" s="59" t="n"/>
      <c r="R260" s="59" t="n"/>
      <c r="S260" s="14" t="n"/>
      <c r="U260" s="53" t="n"/>
      <c r="V260" s="53" t="n"/>
      <c r="W260" s="53" t="n"/>
      <c r="X260" s="53" t="n"/>
      <c r="Y260" s="53" t="n"/>
      <c r="Z260" s="53" t="n"/>
      <c r="AA260" s="53" t="n"/>
      <c r="AB260" s="53" t="n"/>
      <c r="AC260" s="53" t="n"/>
      <c r="AD260" s="53" t="n"/>
      <c r="AE260" s="53" t="n"/>
      <c r="AF260" s="53" t="n"/>
      <c r="AG260" s="53" t="n"/>
      <c r="AH260" s="53" t="n"/>
      <c r="AI260" s="53" t="n"/>
      <c r="AJ260" s="53" t="n"/>
      <c r="AK260" s="53" t="n"/>
      <c r="AL260" s="53" t="n"/>
      <c r="AM260" s="53" t="n"/>
      <c r="AN260" s="53" t="n"/>
      <c r="AO260" s="53" t="n"/>
      <c r="AP260" s="53" t="n"/>
      <c r="AQ260" s="53" t="n"/>
      <c r="AR260" s="53" t="n"/>
      <c r="AS260" s="53" t="n"/>
      <c r="AT260" s="53" t="n"/>
      <c r="AU260" s="53" t="n"/>
      <c r="AV260" s="53" t="n"/>
      <c r="AW260" s="53" t="n"/>
      <c r="AX260" s="53" t="n"/>
      <c r="AY260" s="53" t="n"/>
    </row>
    <row r="261" ht="15" customHeight="1">
      <c r="A261" s="62" t="n"/>
      <c r="B261" s="55">
        <f>IF($B$259="","",$B$259)</f>
        <v/>
      </c>
      <c r="C261" s="63" t="inlineStr">
        <is>
          <t>기타</t>
        </is>
      </c>
      <c r="D261" s="55">
        <f>IF($D$259="","",$D$259)</f>
        <v/>
      </c>
      <c r="E261" s="64" t="inlineStr">
        <is>
          <t>영상</t>
        </is>
      </c>
      <c r="F261" s="44" t="n"/>
      <c r="G261" s="58">
        <f>IF($G$259="","",$G$259)</f>
        <v/>
      </c>
      <c r="H261" s="59" t="n"/>
      <c r="I261" s="59" t="n"/>
      <c r="J261" s="59" t="n"/>
      <c r="K261" s="59" t="n"/>
      <c r="L261" s="65">
        <f>IF(SUM(U261:AY261)=0,"",SUM(U261:AY261))</f>
        <v/>
      </c>
      <c r="M261" s="66">
        <f>IFERROR(INDEX(U$2:AY$2,MATCH(TRUE,INDEX(U261:AY261&lt;&gt;"",0),0)),"")</f>
        <v/>
      </c>
      <c r="N261" s="66">
        <f>IFERROR(LOOKUP(2,1/(U261:AY261&lt;&gt;""),U$2:AY$2),"")</f>
        <v/>
      </c>
      <c r="O261" s="59" t="n"/>
      <c r="P261" s="59" t="n"/>
      <c r="Q261" s="59" t="n"/>
      <c r="R261" s="59" t="n"/>
      <c r="S261" s="14" t="n"/>
      <c r="U261" s="53" t="n"/>
      <c r="V261" s="53" t="n"/>
      <c r="W261" s="53" t="n"/>
      <c r="X261" s="53" t="n"/>
      <c r="Y261" s="53" t="n"/>
      <c r="Z261" s="53" t="n"/>
      <c r="AA261" s="53" t="n"/>
      <c r="AB261" s="53" t="n"/>
      <c r="AC261" s="53" t="n"/>
      <c r="AD261" s="53" t="n"/>
      <c r="AE261" s="53" t="n"/>
      <c r="AF261" s="53" t="n"/>
      <c r="AG261" s="53" t="n"/>
      <c r="AH261" s="53" t="n"/>
      <c r="AI261" s="53" t="n"/>
      <c r="AJ261" s="53" t="n"/>
      <c r="AK261" s="53" t="n"/>
      <c r="AL261" s="53" t="n"/>
      <c r="AM261" s="53" t="n"/>
      <c r="AN261" s="53" t="n"/>
      <c r="AO261" s="53" t="n"/>
      <c r="AP261" s="53" t="n"/>
      <c r="AQ261" s="53" t="n"/>
      <c r="AR261" s="53" t="n"/>
      <c r="AS261" s="53" t="n"/>
      <c r="AT261" s="53" t="n"/>
      <c r="AU261" s="53" t="n"/>
      <c r="AV261" s="53" t="n"/>
      <c r="AW261" s="53" t="n"/>
      <c r="AX261" s="53" t="n"/>
      <c r="AY261" s="53" t="n"/>
    </row>
    <row r="262" ht="15" customHeight="1">
      <c r="A262" s="40">
        <f>IF($D$262="","",84)</f>
        <v/>
      </c>
      <c r="B262" s="10" t="n"/>
      <c r="C262" s="41" t="inlineStr">
        <is>
          <t>기타</t>
        </is>
      </c>
      <c r="D262" s="42" t="n"/>
      <c r="E262" s="43" t="inlineStr">
        <is>
          <t>기획</t>
        </is>
      </c>
      <c r="F262" s="44" t="n"/>
      <c r="G262" s="45" t="n"/>
      <c r="H262" s="46">
        <f>IF($I$262="","",IF($I$262&lt;0,"🔴지연",IF($I$262&lt;=1,"🟡임박","🟢여유")))</f>
        <v/>
      </c>
      <c r="I262" s="47">
        <f>IF(OR($G$262="",$K$262=""),"",$G$262-$K$262)</f>
        <v/>
      </c>
      <c r="J262" s="48">
        <f>IF(SUM($L$262:$L$264)=0,"",SUM($L$262:$L$264))</f>
        <v/>
      </c>
      <c r="K262" s="49">
        <f>IF($J$262="","",MAX($N$262:$N$264))</f>
        <v/>
      </c>
      <c r="L262" s="50">
        <f>IF(SUM(U262:AY262)=0,"",SUM(U262:AY262))</f>
        <v/>
      </c>
      <c r="M262" s="51">
        <f>IFERROR(INDEX(U$2:AY$2,MATCH(TRUE,INDEX(U262:AY262&lt;&gt;"",0),0)),"")</f>
        <v/>
      </c>
      <c r="N262" s="51">
        <f>IFERROR(LOOKUP(2,1/(U262:AY262&lt;&gt;""),U$2:AY$2),"")</f>
        <v/>
      </c>
      <c r="O262" s="52" t="n"/>
      <c r="P262" s="52" t="n"/>
      <c r="Q262" s="52" t="n"/>
      <c r="R262" s="44" t="n"/>
      <c r="S262" s="14" t="n"/>
      <c r="U262" s="53" t="n"/>
      <c r="V262" s="53" t="n"/>
      <c r="W262" s="53" t="n"/>
      <c r="X262" s="53" t="n"/>
      <c r="Y262" s="53" t="n"/>
      <c r="Z262" s="53" t="n"/>
      <c r="AA262" s="53" t="n"/>
      <c r="AB262" s="53" t="n"/>
      <c r="AC262" s="53" t="n"/>
      <c r="AD262" s="53" t="n"/>
      <c r="AE262" s="53" t="n"/>
      <c r="AF262" s="53" t="n"/>
      <c r="AG262" s="53" t="n"/>
      <c r="AH262" s="53" t="n"/>
      <c r="AI262" s="53" t="n"/>
      <c r="AJ262" s="53" t="n"/>
      <c r="AK262" s="53" t="n"/>
      <c r="AL262" s="53" t="n"/>
      <c r="AM262" s="53" t="n"/>
      <c r="AN262" s="53" t="n"/>
      <c r="AO262" s="53" t="n"/>
      <c r="AP262" s="53" t="n"/>
      <c r="AQ262" s="53" t="n"/>
      <c r="AR262" s="53" t="n"/>
      <c r="AS262" s="53" t="n"/>
      <c r="AT262" s="53" t="n"/>
      <c r="AU262" s="53" t="n"/>
      <c r="AV262" s="53" t="n"/>
      <c r="AW262" s="53" t="n"/>
      <c r="AX262" s="53" t="n"/>
      <c r="AY262" s="53" t="n"/>
    </row>
    <row r="263" ht="15" customHeight="1">
      <c r="A263" s="54" t="n"/>
      <c r="B263" s="55">
        <f>IF($B$262="","",$B$262)</f>
        <v/>
      </c>
      <c r="C263" s="56" t="inlineStr">
        <is>
          <t>기타</t>
        </is>
      </c>
      <c r="D263" s="55">
        <f>IF($D$262="","",$D$262)</f>
        <v/>
      </c>
      <c r="E263" s="57" t="inlineStr">
        <is>
          <t>이미지</t>
        </is>
      </c>
      <c r="F263" s="44" t="n"/>
      <c r="G263" s="58">
        <f>IF($G$262="","",$G$262)</f>
        <v/>
      </c>
      <c r="H263" s="59" t="n"/>
      <c r="I263" s="59" t="n"/>
      <c r="J263" s="59" t="n"/>
      <c r="K263" s="59" t="n"/>
      <c r="L263" s="60">
        <f>IF(SUM(U263:AY263)=0,"",SUM(U263:AY263))</f>
        <v/>
      </c>
      <c r="M263" s="61">
        <f>IFERROR(INDEX(U$2:AY$2,MATCH(TRUE,INDEX(U263:AY263&lt;&gt;"",0),0)),"")</f>
        <v/>
      </c>
      <c r="N263" s="61">
        <f>IFERROR(LOOKUP(2,1/(U263:AY263&lt;&gt;""),U$2:AY$2),"")</f>
        <v/>
      </c>
      <c r="O263" s="59" t="n"/>
      <c r="P263" s="59" t="n"/>
      <c r="Q263" s="59" t="n"/>
      <c r="R263" s="59" t="n"/>
      <c r="S263" s="14" t="n"/>
      <c r="U263" s="53" t="n"/>
      <c r="V263" s="53" t="n"/>
      <c r="W263" s="53" t="n"/>
      <c r="X263" s="53" t="n"/>
      <c r="Y263" s="53" t="n"/>
      <c r="Z263" s="53" t="n"/>
      <c r="AA263" s="53" t="n"/>
      <c r="AB263" s="53" t="n"/>
      <c r="AC263" s="53" t="n"/>
      <c r="AD263" s="53" t="n"/>
      <c r="AE263" s="53" t="n"/>
      <c r="AF263" s="53" t="n"/>
      <c r="AG263" s="53" t="n"/>
      <c r="AH263" s="53" t="n"/>
      <c r="AI263" s="53" t="n"/>
      <c r="AJ263" s="53" t="n"/>
      <c r="AK263" s="53" t="n"/>
      <c r="AL263" s="53" t="n"/>
      <c r="AM263" s="53" t="n"/>
      <c r="AN263" s="53" t="n"/>
      <c r="AO263" s="53" t="n"/>
      <c r="AP263" s="53" t="n"/>
      <c r="AQ263" s="53" t="n"/>
      <c r="AR263" s="53" t="n"/>
      <c r="AS263" s="53" t="n"/>
      <c r="AT263" s="53" t="n"/>
      <c r="AU263" s="53" t="n"/>
      <c r="AV263" s="53" t="n"/>
      <c r="AW263" s="53" t="n"/>
      <c r="AX263" s="53" t="n"/>
      <c r="AY263" s="53" t="n"/>
    </row>
    <row r="264" ht="15" customHeight="1">
      <c r="A264" s="62" t="n"/>
      <c r="B264" s="55">
        <f>IF($B$262="","",$B$262)</f>
        <v/>
      </c>
      <c r="C264" s="63" t="inlineStr">
        <is>
          <t>기타</t>
        </is>
      </c>
      <c r="D264" s="55">
        <f>IF($D$262="","",$D$262)</f>
        <v/>
      </c>
      <c r="E264" s="64" t="inlineStr">
        <is>
          <t>영상</t>
        </is>
      </c>
      <c r="F264" s="44" t="n"/>
      <c r="G264" s="58">
        <f>IF($G$262="","",$G$262)</f>
        <v/>
      </c>
      <c r="H264" s="59" t="n"/>
      <c r="I264" s="59" t="n"/>
      <c r="J264" s="59" t="n"/>
      <c r="K264" s="59" t="n"/>
      <c r="L264" s="65">
        <f>IF(SUM(U264:AY264)=0,"",SUM(U264:AY264))</f>
        <v/>
      </c>
      <c r="M264" s="66">
        <f>IFERROR(INDEX(U$2:AY$2,MATCH(TRUE,INDEX(U264:AY264&lt;&gt;"",0),0)),"")</f>
        <v/>
      </c>
      <c r="N264" s="66">
        <f>IFERROR(LOOKUP(2,1/(U264:AY264&lt;&gt;""),U$2:AY$2),"")</f>
        <v/>
      </c>
      <c r="O264" s="59" t="n"/>
      <c r="P264" s="59" t="n"/>
      <c r="Q264" s="59" t="n"/>
      <c r="R264" s="59" t="n"/>
      <c r="S264" s="14" t="n"/>
      <c r="U264" s="53" t="n"/>
      <c r="V264" s="53" t="n"/>
      <c r="W264" s="53" t="n"/>
      <c r="X264" s="53" t="n"/>
      <c r="Y264" s="53" t="n"/>
      <c r="Z264" s="53" t="n"/>
      <c r="AA264" s="53" t="n"/>
      <c r="AB264" s="53" t="n"/>
      <c r="AC264" s="53" t="n"/>
      <c r="AD264" s="53" t="n"/>
      <c r="AE264" s="53" t="n"/>
      <c r="AF264" s="53" t="n"/>
      <c r="AG264" s="53" t="n"/>
      <c r="AH264" s="53" t="n"/>
      <c r="AI264" s="53" t="n"/>
      <c r="AJ264" s="53" t="n"/>
      <c r="AK264" s="53" t="n"/>
      <c r="AL264" s="53" t="n"/>
      <c r="AM264" s="53" t="n"/>
      <c r="AN264" s="53" t="n"/>
      <c r="AO264" s="53" t="n"/>
      <c r="AP264" s="53" t="n"/>
      <c r="AQ264" s="53" t="n"/>
      <c r="AR264" s="53" t="n"/>
      <c r="AS264" s="53" t="n"/>
      <c r="AT264" s="53" t="n"/>
      <c r="AU264" s="53" t="n"/>
      <c r="AV264" s="53" t="n"/>
      <c r="AW264" s="53" t="n"/>
      <c r="AX264" s="53" t="n"/>
      <c r="AY264" s="53" t="n"/>
    </row>
    <row r="265" ht="15" customHeight="1">
      <c r="A265" s="40">
        <f>IF($D$265="","",85)</f>
        <v/>
      </c>
      <c r="B265" s="10" t="n"/>
      <c r="C265" s="41" t="inlineStr">
        <is>
          <t>기타</t>
        </is>
      </c>
      <c r="D265" s="42" t="n"/>
      <c r="E265" s="43" t="inlineStr">
        <is>
          <t>기획</t>
        </is>
      </c>
      <c r="F265" s="44" t="n"/>
      <c r="G265" s="45" t="n"/>
      <c r="H265" s="46">
        <f>IF($I$265="","",IF($I$265&lt;0,"🔴지연",IF($I$265&lt;=1,"🟡임박","🟢여유")))</f>
        <v/>
      </c>
      <c r="I265" s="47">
        <f>IF(OR($G$265="",$K$265=""),"",$G$265-$K$265)</f>
        <v/>
      </c>
      <c r="J265" s="48">
        <f>IF(SUM($L$265:$L$267)=0,"",SUM($L$265:$L$267))</f>
        <v/>
      </c>
      <c r="K265" s="49">
        <f>IF($J$265="","",MAX($N$265:$N$267))</f>
        <v/>
      </c>
      <c r="L265" s="50">
        <f>IF(SUM(U265:AY265)=0,"",SUM(U265:AY265))</f>
        <v/>
      </c>
      <c r="M265" s="51">
        <f>IFERROR(INDEX(U$2:AY$2,MATCH(TRUE,INDEX(U265:AY265&lt;&gt;"",0),0)),"")</f>
        <v/>
      </c>
      <c r="N265" s="51">
        <f>IFERROR(LOOKUP(2,1/(U265:AY265&lt;&gt;""),U$2:AY$2),"")</f>
        <v/>
      </c>
      <c r="O265" s="52" t="n"/>
      <c r="P265" s="52" t="n"/>
      <c r="Q265" s="52" t="n"/>
      <c r="R265" s="44" t="n"/>
      <c r="S265" s="14" t="n"/>
      <c r="U265" s="53" t="n"/>
      <c r="V265" s="53" t="n"/>
      <c r="W265" s="53" t="n"/>
      <c r="X265" s="53" t="n"/>
      <c r="Y265" s="53" t="n"/>
      <c r="Z265" s="53" t="n"/>
      <c r="AA265" s="53" t="n"/>
      <c r="AB265" s="53" t="n"/>
      <c r="AC265" s="53" t="n"/>
      <c r="AD265" s="53" t="n"/>
      <c r="AE265" s="53" t="n"/>
      <c r="AF265" s="53" t="n"/>
      <c r="AG265" s="53" t="n"/>
      <c r="AH265" s="53" t="n"/>
      <c r="AI265" s="53" t="n"/>
      <c r="AJ265" s="53" t="n"/>
      <c r="AK265" s="53" t="n"/>
      <c r="AL265" s="53" t="n"/>
      <c r="AM265" s="53" t="n"/>
      <c r="AN265" s="53" t="n"/>
      <c r="AO265" s="53" t="n"/>
      <c r="AP265" s="53" t="n"/>
      <c r="AQ265" s="53" t="n"/>
      <c r="AR265" s="53" t="n"/>
      <c r="AS265" s="53" t="n"/>
      <c r="AT265" s="53" t="n"/>
      <c r="AU265" s="53" t="n"/>
      <c r="AV265" s="53" t="n"/>
      <c r="AW265" s="53" t="n"/>
      <c r="AX265" s="53" t="n"/>
      <c r="AY265" s="53" t="n"/>
    </row>
    <row r="266" ht="15" customHeight="1">
      <c r="A266" s="54" t="n"/>
      <c r="B266" s="55">
        <f>IF($B$265="","",$B$265)</f>
        <v/>
      </c>
      <c r="C266" s="56" t="inlineStr">
        <is>
          <t>기타</t>
        </is>
      </c>
      <c r="D266" s="55">
        <f>IF($D$265="","",$D$265)</f>
        <v/>
      </c>
      <c r="E266" s="57" t="inlineStr">
        <is>
          <t>이미지</t>
        </is>
      </c>
      <c r="F266" s="44" t="n"/>
      <c r="G266" s="58">
        <f>IF($G$265="","",$G$265)</f>
        <v/>
      </c>
      <c r="H266" s="59" t="n"/>
      <c r="I266" s="59" t="n"/>
      <c r="J266" s="59" t="n"/>
      <c r="K266" s="59" t="n"/>
      <c r="L266" s="60">
        <f>IF(SUM(U266:AY266)=0,"",SUM(U266:AY266))</f>
        <v/>
      </c>
      <c r="M266" s="61">
        <f>IFERROR(INDEX(U$2:AY$2,MATCH(TRUE,INDEX(U266:AY266&lt;&gt;"",0),0)),"")</f>
        <v/>
      </c>
      <c r="N266" s="61">
        <f>IFERROR(LOOKUP(2,1/(U266:AY266&lt;&gt;""),U$2:AY$2),"")</f>
        <v/>
      </c>
      <c r="O266" s="59" t="n"/>
      <c r="P266" s="59" t="n"/>
      <c r="Q266" s="59" t="n"/>
      <c r="R266" s="59" t="n"/>
      <c r="S266" s="14" t="n"/>
      <c r="U266" s="53" t="n"/>
      <c r="V266" s="53" t="n"/>
      <c r="W266" s="53" t="n"/>
      <c r="X266" s="53" t="n"/>
      <c r="Y266" s="53" t="n"/>
      <c r="Z266" s="53" t="n"/>
      <c r="AA266" s="53" t="n"/>
      <c r="AB266" s="53" t="n"/>
      <c r="AC266" s="53" t="n"/>
      <c r="AD266" s="53" t="n"/>
      <c r="AE266" s="53" t="n"/>
      <c r="AF266" s="53" t="n"/>
      <c r="AG266" s="53" t="n"/>
      <c r="AH266" s="53" t="n"/>
      <c r="AI266" s="53" t="n"/>
      <c r="AJ266" s="53" t="n"/>
      <c r="AK266" s="53" t="n"/>
      <c r="AL266" s="53" t="n"/>
      <c r="AM266" s="53" t="n"/>
      <c r="AN266" s="53" t="n"/>
      <c r="AO266" s="53" t="n"/>
      <c r="AP266" s="53" t="n"/>
      <c r="AQ266" s="53" t="n"/>
      <c r="AR266" s="53" t="n"/>
      <c r="AS266" s="53" t="n"/>
      <c r="AT266" s="53" t="n"/>
      <c r="AU266" s="53" t="n"/>
      <c r="AV266" s="53" t="n"/>
      <c r="AW266" s="53" t="n"/>
      <c r="AX266" s="53" t="n"/>
      <c r="AY266" s="53" t="n"/>
    </row>
    <row r="267" ht="15" customHeight="1">
      <c r="A267" s="62" t="n"/>
      <c r="B267" s="55">
        <f>IF($B$265="","",$B$265)</f>
        <v/>
      </c>
      <c r="C267" s="63" t="inlineStr">
        <is>
          <t>기타</t>
        </is>
      </c>
      <c r="D267" s="55">
        <f>IF($D$265="","",$D$265)</f>
        <v/>
      </c>
      <c r="E267" s="64" t="inlineStr">
        <is>
          <t>영상</t>
        </is>
      </c>
      <c r="F267" s="44" t="n"/>
      <c r="G267" s="58">
        <f>IF($G$265="","",$G$265)</f>
        <v/>
      </c>
      <c r="H267" s="59" t="n"/>
      <c r="I267" s="59" t="n"/>
      <c r="J267" s="59" t="n"/>
      <c r="K267" s="59" t="n"/>
      <c r="L267" s="65">
        <f>IF(SUM(U267:AY267)=0,"",SUM(U267:AY267))</f>
        <v/>
      </c>
      <c r="M267" s="66">
        <f>IFERROR(INDEX(U$2:AY$2,MATCH(TRUE,INDEX(U267:AY267&lt;&gt;"",0),0)),"")</f>
        <v/>
      </c>
      <c r="N267" s="66">
        <f>IFERROR(LOOKUP(2,1/(U267:AY267&lt;&gt;""),U$2:AY$2),"")</f>
        <v/>
      </c>
      <c r="O267" s="59" t="n"/>
      <c r="P267" s="59" t="n"/>
      <c r="Q267" s="59" t="n"/>
      <c r="R267" s="59" t="n"/>
      <c r="S267" s="14" t="n"/>
      <c r="U267" s="53" t="n"/>
      <c r="V267" s="53" t="n"/>
      <c r="W267" s="53" t="n"/>
      <c r="X267" s="53" t="n"/>
      <c r="Y267" s="53" t="n"/>
      <c r="Z267" s="53" t="n"/>
      <c r="AA267" s="53" t="n"/>
      <c r="AB267" s="53" t="n"/>
      <c r="AC267" s="53" t="n"/>
      <c r="AD267" s="53" t="n"/>
      <c r="AE267" s="53" t="n"/>
      <c r="AF267" s="53" t="n"/>
      <c r="AG267" s="53" t="n"/>
      <c r="AH267" s="53" t="n"/>
      <c r="AI267" s="53" t="n"/>
      <c r="AJ267" s="53" t="n"/>
      <c r="AK267" s="53" t="n"/>
      <c r="AL267" s="53" t="n"/>
      <c r="AM267" s="53" t="n"/>
      <c r="AN267" s="53" t="n"/>
      <c r="AO267" s="53" t="n"/>
      <c r="AP267" s="53" t="n"/>
      <c r="AQ267" s="53" t="n"/>
      <c r="AR267" s="53" t="n"/>
      <c r="AS267" s="53" t="n"/>
      <c r="AT267" s="53" t="n"/>
      <c r="AU267" s="53" t="n"/>
      <c r="AV267" s="53" t="n"/>
      <c r="AW267" s="53" t="n"/>
      <c r="AX267" s="53" t="n"/>
      <c r="AY267" s="53" t="n"/>
    </row>
    <row r="268" ht="15" customHeight="1">
      <c r="A268" s="40">
        <f>IF($D$268="","",86)</f>
        <v/>
      </c>
      <c r="B268" s="10" t="n"/>
      <c r="C268" s="41" t="inlineStr">
        <is>
          <t>기타</t>
        </is>
      </c>
      <c r="D268" s="42" t="n"/>
      <c r="E268" s="43" t="inlineStr">
        <is>
          <t>기획</t>
        </is>
      </c>
      <c r="F268" s="44" t="n"/>
      <c r="G268" s="45" t="n"/>
      <c r="H268" s="46">
        <f>IF($I$268="","",IF($I$268&lt;0,"🔴지연",IF($I$268&lt;=1,"🟡임박","🟢여유")))</f>
        <v/>
      </c>
      <c r="I268" s="47">
        <f>IF(OR($G$268="",$K$268=""),"",$G$268-$K$268)</f>
        <v/>
      </c>
      <c r="J268" s="48">
        <f>IF(SUM($L$268:$L$270)=0,"",SUM($L$268:$L$270))</f>
        <v/>
      </c>
      <c r="K268" s="49">
        <f>IF($J$268="","",MAX($N$268:$N$270))</f>
        <v/>
      </c>
      <c r="L268" s="50">
        <f>IF(SUM(U268:AY268)=0,"",SUM(U268:AY268))</f>
        <v/>
      </c>
      <c r="M268" s="51">
        <f>IFERROR(INDEX(U$2:AY$2,MATCH(TRUE,INDEX(U268:AY268&lt;&gt;"",0),0)),"")</f>
        <v/>
      </c>
      <c r="N268" s="51">
        <f>IFERROR(LOOKUP(2,1/(U268:AY268&lt;&gt;""),U$2:AY$2),"")</f>
        <v/>
      </c>
      <c r="O268" s="52" t="n"/>
      <c r="P268" s="52" t="n"/>
      <c r="Q268" s="52" t="n"/>
      <c r="R268" s="44" t="n"/>
      <c r="S268" s="14" t="n"/>
      <c r="U268" s="53" t="n"/>
      <c r="V268" s="53" t="n"/>
      <c r="W268" s="53" t="n"/>
      <c r="X268" s="53" t="n"/>
      <c r="Y268" s="53" t="n"/>
      <c r="Z268" s="53" t="n"/>
      <c r="AA268" s="53" t="n"/>
      <c r="AB268" s="53" t="n"/>
      <c r="AC268" s="53" t="n"/>
      <c r="AD268" s="53" t="n"/>
      <c r="AE268" s="53" t="n"/>
      <c r="AF268" s="53" t="n"/>
      <c r="AG268" s="53" t="n"/>
      <c r="AH268" s="53" t="n"/>
      <c r="AI268" s="53" t="n"/>
      <c r="AJ268" s="53" t="n"/>
      <c r="AK268" s="53" t="n"/>
      <c r="AL268" s="53" t="n"/>
      <c r="AM268" s="53" t="n"/>
      <c r="AN268" s="53" t="n"/>
      <c r="AO268" s="53" t="n"/>
      <c r="AP268" s="53" t="n"/>
      <c r="AQ268" s="53" t="n"/>
      <c r="AR268" s="53" t="n"/>
      <c r="AS268" s="53" t="n"/>
      <c r="AT268" s="53" t="n"/>
      <c r="AU268" s="53" t="n"/>
      <c r="AV268" s="53" t="n"/>
      <c r="AW268" s="53" t="n"/>
      <c r="AX268" s="53" t="n"/>
      <c r="AY268" s="53" t="n"/>
    </row>
    <row r="269" ht="15" customHeight="1">
      <c r="A269" s="54" t="n"/>
      <c r="B269" s="55">
        <f>IF($B$268="","",$B$268)</f>
        <v/>
      </c>
      <c r="C269" s="56" t="inlineStr">
        <is>
          <t>기타</t>
        </is>
      </c>
      <c r="D269" s="55">
        <f>IF($D$268="","",$D$268)</f>
        <v/>
      </c>
      <c r="E269" s="57" t="inlineStr">
        <is>
          <t>이미지</t>
        </is>
      </c>
      <c r="F269" s="44" t="n"/>
      <c r="G269" s="58">
        <f>IF($G$268="","",$G$268)</f>
        <v/>
      </c>
      <c r="H269" s="59" t="n"/>
      <c r="I269" s="59" t="n"/>
      <c r="J269" s="59" t="n"/>
      <c r="K269" s="59" t="n"/>
      <c r="L269" s="60">
        <f>IF(SUM(U269:AY269)=0,"",SUM(U269:AY269))</f>
        <v/>
      </c>
      <c r="M269" s="61">
        <f>IFERROR(INDEX(U$2:AY$2,MATCH(TRUE,INDEX(U269:AY269&lt;&gt;"",0),0)),"")</f>
        <v/>
      </c>
      <c r="N269" s="61">
        <f>IFERROR(LOOKUP(2,1/(U269:AY269&lt;&gt;""),U$2:AY$2),"")</f>
        <v/>
      </c>
      <c r="O269" s="59" t="n"/>
      <c r="P269" s="59" t="n"/>
      <c r="Q269" s="59" t="n"/>
      <c r="R269" s="59" t="n"/>
      <c r="S269" s="14" t="n"/>
      <c r="U269" s="53" t="n"/>
      <c r="V269" s="53" t="n"/>
      <c r="W269" s="53" t="n"/>
      <c r="X269" s="53" t="n"/>
      <c r="Y269" s="53" t="n"/>
      <c r="Z269" s="53" t="n"/>
      <c r="AA269" s="53" t="n"/>
      <c r="AB269" s="53" t="n"/>
      <c r="AC269" s="53" t="n"/>
      <c r="AD269" s="53" t="n"/>
      <c r="AE269" s="53" t="n"/>
      <c r="AF269" s="53" t="n"/>
      <c r="AG269" s="53" t="n"/>
      <c r="AH269" s="53" t="n"/>
      <c r="AI269" s="53" t="n"/>
      <c r="AJ269" s="53" t="n"/>
      <c r="AK269" s="53" t="n"/>
      <c r="AL269" s="53" t="n"/>
      <c r="AM269" s="53" t="n"/>
      <c r="AN269" s="53" t="n"/>
      <c r="AO269" s="53" t="n"/>
      <c r="AP269" s="53" t="n"/>
      <c r="AQ269" s="53" t="n"/>
      <c r="AR269" s="53" t="n"/>
      <c r="AS269" s="53" t="n"/>
      <c r="AT269" s="53" t="n"/>
      <c r="AU269" s="53" t="n"/>
      <c r="AV269" s="53" t="n"/>
      <c r="AW269" s="53" t="n"/>
      <c r="AX269" s="53" t="n"/>
      <c r="AY269" s="53" t="n"/>
    </row>
    <row r="270" ht="15" customHeight="1">
      <c r="A270" s="62" t="n"/>
      <c r="B270" s="55">
        <f>IF($B$268="","",$B$268)</f>
        <v/>
      </c>
      <c r="C270" s="63" t="inlineStr">
        <is>
          <t>기타</t>
        </is>
      </c>
      <c r="D270" s="55">
        <f>IF($D$268="","",$D$268)</f>
        <v/>
      </c>
      <c r="E270" s="64" t="inlineStr">
        <is>
          <t>영상</t>
        </is>
      </c>
      <c r="F270" s="44" t="n"/>
      <c r="G270" s="58">
        <f>IF($G$268="","",$G$268)</f>
        <v/>
      </c>
      <c r="H270" s="59" t="n"/>
      <c r="I270" s="59" t="n"/>
      <c r="J270" s="59" t="n"/>
      <c r="K270" s="59" t="n"/>
      <c r="L270" s="65">
        <f>IF(SUM(U270:AY270)=0,"",SUM(U270:AY270))</f>
        <v/>
      </c>
      <c r="M270" s="66">
        <f>IFERROR(INDEX(U$2:AY$2,MATCH(TRUE,INDEX(U270:AY270&lt;&gt;"",0),0)),"")</f>
        <v/>
      </c>
      <c r="N270" s="66">
        <f>IFERROR(LOOKUP(2,1/(U270:AY270&lt;&gt;""),U$2:AY$2),"")</f>
        <v/>
      </c>
      <c r="O270" s="59" t="n"/>
      <c r="P270" s="59" t="n"/>
      <c r="Q270" s="59" t="n"/>
      <c r="R270" s="59" t="n"/>
      <c r="S270" s="14" t="n"/>
      <c r="U270" s="53" t="n"/>
      <c r="V270" s="53" t="n"/>
      <c r="W270" s="53" t="n"/>
      <c r="X270" s="53" t="n"/>
      <c r="Y270" s="53" t="n"/>
      <c r="Z270" s="53" t="n"/>
      <c r="AA270" s="53" t="n"/>
      <c r="AB270" s="53" t="n"/>
      <c r="AC270" s="53" t="n"/>
      <c r="AD270" s="53" t="n"/>
      <c r="AE270" s="53" t="n"/>
      <c r="AF270" s="53" t="n"/>
      <c r="AG270" s="53" t="n"/>
      <c r="AH270" s="53" t="n"/>
      <c r="AI270" s="53" t="n"/>
      <c r="AJ270" s="53" t="n"/>
      <c r="AK270" s="53" t="n"/>
      <c r="AL270" s="53" t="n"/>
      <c r="AM270" s="53" t="n"/>
      <c r="AN270" s="53" t="n"/>
      <c r="AO270" s="53" t="n"/>
      <c r="AP270" s="53" t="n"/>
      <c r="AQ270" s="53" t="n"/>
      <c r="AR270" s="53" t="n"/>
      <c r="AS270" s="53" t="n"/>
      <c r="AT270" s="53" t="n"/>
      <c r="AU270" s="53" t="n"/>
      <c r="AV270" s="53" t="n"/>
      <c r="AW270" s="53" t="n"/>
      <c r="AX270" s="53" t="n"/>
      <c r="AY270" s="53" t="n"/>
    </row>
    <row r="271" ht="15" customHeight="1">
      <c r="A271" s="40">
        <f>IF($D$271="","",87)</f>
        <v/>
      </c>
      <c r="B271" s="10" t="n"/>
      <c r="C271" s="41" t="inlineStr">
        <is>
          <t>기타</t>
        </is>
      </c>
      <c r="D271" s="42" t="n"/>
      <c r="E271" s="43" t="inlineStr">
        <is>
          <t>기획</t>
        </is>
      </c>
      <c r="F271" s="44" t="n"/>
      <c r="G271" s="45" t="n"/>
      <c r="H271" s="46">
        <f>IF($I$271="","",IF($I$271&lt;0,"🔴지연",IF($I$271&lt;=1,"🟡임박","🟢여유")))</f>
        <v/>
      </c>
      <c r="I271" s="47">
        <f>IF(OR($G$271="",$K$271=""),"",$G$271-$K$271)</f>
        <v/>
      </c>
      <c r="J271" s="48">
        <f>IF(SUM($L$271:$L$273)=0,"",SUM($L$271:$L$273))</f>
        <v/>
      </c>
      <c r="K271" s="49">
        <f>IF($J$271="","",MAX($N$271:$N$273))</f>
        <v/>
      </c>
      <c r="L271" s="50">
        <f>IF(SUM(U271:AY271)=0,"",SUM(U271:AY271))</f>
        <v/>
      </c>
      <c r="M271" s="51">
        <f>IFERROR(INDEX(U$2:AY$2,MATCH(TRUE,INDEX(U271:AY271&lt;&gt;"",0),0)),"")</f>
        <v/>
      </c>
      <c r="N271" s="51">
        <f>IFERROR(LOOKUP(2,1/(U271:AY271&lt;&gt;""),U$2:AY$2),"")</f>
        <v/>
      </c>
      <c r="O271" s="52" t="n"/>
      <c r="P271" s="52" t="n"/>
      <c r="Q271" s="52" t="n"/>
      <c r="R271" s="44" t="n"/>
      <c r="S271" s="14" t="n"/>
      <c r="U271" s="53" t="n"/>
      <c r="V271" s="53" t="n"/>
      <c r="W271" s="53" t="n"/>
      <c r="X271" s="53" t="n"/>
      <c r="Y271" s="53" t="n"/>
      <c r="Z271" s="53" t="n"/>
      <c r="AA271" s="53" t="n"/>
      <c r="AB271" s="53" t="n"/>
      <c r="AC271" s="53" t="n"/>
      <c r="AD271" s="53" t="n"/>
      <c r="AE271" s="53" t="n"/>
      <c r="AF271" s="53" t="n"/>
      <c r="AG271" s="53" t="n"/>
      <c r="AH271" s="53" t="n"/>
      <c r="AI271" s="53" t="n"/>
      <c r="AJ271" s="53" t="n"/>
      <c r="AK271" s="53" t="n"/>
      <c r="AL271" s="53" t="n"/>
      <c r="AM271" s="53" t="n"/>
      <c r="AN271" s="53" t="n"/>
      <c r="AO271" s="53" t="n"/>
      <c r="AP271" s="53" t="n"/>
      <c r="AQ271" s="53" t="n"/>
      <c r="AR271" s="53" t="n"/>
      <c r="AS271" s="53" t="n"/>
      <c r="AT271" s="53" t="n"/>
      <c r="AU271" s="53" t="n"/>
      <c r="AV271" s="53" t="n"/>
      <c r="AW271" s="53" t="n"/>
      <c r="AX271" s="53" t="n"/>
      <c r="AY271" s="53" t="n"/>
    </row>
    <row r="272" ht="15" customHeight="1">
      <c r="A272" s="54" t="n"/>
      <c r="B272" s="55">
        <f>IF($B$271="","",$B$271)</f>
        <v/>
      </c>
      <c r="C272" s="56" t="inlineStr">
        <is>
          <t>기타</t>
        </is>
      </c>
      <c r="D272" s="55">
        <f>IF($D$271="","",$D$271)</f>
        <v/>
      </c>
      <c r="E272" s="57" t="inlineStr">
        <is>
          <t>이미지</t>
        </is>
      </c>
      <c r="F272" s="44" t="n"/>
      <c r="G272" s="58">
        <f>IF($G$271="","",$G$271)</f>
        <v/>
      </c>
      <c r="H272" s="59" t="n"/>
      <c r="I272" s="59" t="n"/>
      <c r="J272" s="59" t="n"/>
      <c r="K272" s="59" t="n"/>
      <c r="L272" s="60">
        <f>IF(SUM(U272:AY272)=0,"",SUM(U272:AY272))</f>
        <v/>
      </c>
      <c r="M272" s="61">
        <f>IFERROR(INDEX(U$2:AY$2,MATCH(TRUE,INDEX(U272:AY272&lt;&gt;"",0),0)),"")</f>
        <v/>
      </c>
      <c r="N272" s="61">
        <f>IFERROR(LOOKUP(2,1/(U272:AY272&lt;&gt;""),U$2:AY$2),"")</f>
        <v/>
      </c>
      <c r="O272" s="59" t="n"/>
      <c r="P272" s="59" t="n"/>
      <c r="Q272" s="59" t="n"/>
      <c r="R272" s="59" t="n"/>
      <c r="S272" s="14" t="n"/>
      <c r="U272" s="53" t="n"/>
      <c r="V272" s="53" t="n"/>
      <c r="W272" s="53" t="n"/>
      <c r="X272" s="53" t="n"/>
      <c r="Y272" s="53" t="n"/>
      <c r="Z272" s="53" t="n"/>
      <c r="AA272" s="53" t="n"/>
      <c r="AB272" s="53" t="n"/>
      <c r="AC272" s="53" t="n"/>
      <c r="AD272" s="53" t="n"/>
      <c r="AE272" s="53" t="n"/>
      <c r="AF272" s="53" t="n"/>
      <c r="AG272" s="53" t="n"/>
      <c r="AH272" s="53" t="n"/>
      <c r="AI272" s="53" t="n"/>
      <c r="AJ272" s="53" t="n"/>
      <c r="AK272" s="53" t="n"/>
      <c r="AL272" s="53" t="n"/>
      <c r="AM272" s="53" t="n"/>
      <c r="AN272" s="53" t="n"/>
      <c r="AO272" s="53" t="n"/>
      <c r="AP272" s="53" t="n"/>
      <c r="AQ272" s="53" t="n"/>
      <c r="AR272" s="53" t="n"/>
      <c r="AS272" s="53" t="n"/>
      <c r="AT272" s="53" t="n"/>
      <c r="AU272" s="53" t="n"/>
      <c r="AV272" s="53" t="n"/>
      <c r="AW272" s="53" t="n"/>
      <c r="AX272" s="53" t="n"/>
      <c r="AY272" s="53" t="n"/>
    </row>
    <row r="273" ht="15" customHeight="1">
      <c r="A273" s="62" t="n"/>
      <c r="B273" s="55">
        <f>IF($B$271="","",$B$271)</f>
        <v/>
      </c>
      <c r="C273" s="63" t="inlineStr">
        <is>
          <t>기타</t>
        </is>
      </c>
      <c r="D273" s="55">
        <f>IF($D$271="","",$D$271)</f>
        <v/>
      </c>
      <c r="E273" s="64" t="inlineStr">
        <is>
          <t>영상</t>
        </is>
      </c>
      <c r="F273" s="44" t="n"/>
      <c r="G273" s="58">
        <f>IF($G$271="","",$G$271)</f>
        <v/>
      </c>
      <c r="H273" s="59" t="n"/>
      <c r="I273" s="59" t="n"/>
      <c r="J273" s="59" t="n"/>
      <c r="K273" s="59" t="n"/>
      <c r="L273" s="65">
        <f>IF(SUM(U273:AY273)=0,"",SUM(U273:AY273))</f>
        <v/>
      </c>
      <c r="M273" s="66">
        <f>IFERROR(INDEX(U$2:AY$2,MATCH(TRUE,INDEX(U273:AY273&lt;&gt;"",0),0)),"")</f>
        <v/>
      </c>
      <c r="N273" s="66">
        <f>IFERROR(LOOKUP(2,1/(U273:AY273&lt;&gt;""),U$2:AY$2),"")</f>
        <v/>
      </c>
      <c r="O273" s="59" t="n"/>
      <c r="P273" s="59" t="n"/>
      <c r="Q273" s="59" t="n"/>
      <c r="R273" s="59" t="n"/>
      <c r="S273" s="14" t="n"/>
      <c r="U273" s="53" t="n"/>
      <c r="V273" s="53" t="n"/>
      <c r="W273" s="53" t="n"/>
      <c r="X273" s="53" t="n"/>
      <c r="Y273" s="53" t="n"/>
      <c r="Z273" s="53" t="n"/>
      <c r="AA273" s="53" t="n"/>
      <c r="AB273" s="53" t="n"/>
      <c r="AC273" s="53" t="n"/>
      <c r="AD273" s="53" t="n"/>
      <c r="AE273" s="53" t="n"/>
      <c r="AF273" s="53" t="n"/>
      <c r="AG273" s="53" t="n"/>
      <c r="AH273" s="53" t="n"/>
      <c r="AI273" s="53" t="n"/>
      <c r="AJ273" s="53" t="n"/>
      <c r="AK273" s="53" t="n"/>
      <c r="AL273" s="53" t="n"/>
      <c r="AM273" s="53" t="n"/>
      <c r="AN273" s="53" t="n"/>
      <c r="AO273" s="53" t="n"/>
      <c r="AP273" s="53" t="n"/>
      <c r="AQ273" s="53" t="n"/>
      <c r="AR273" s="53" t="n"/>
      <c r="AS273" s="53" t="n"/>
      <c r="AT273" s="53" t="n"/>
      <c r="AU273" s="53" t="n"/>
      <c r="AV273" s="53" t="n"/>
      <c r="AW273" s="53" t="n"/>
      <c r="AX273" s="53" t="n"/>
      <c r="AY273" s="53" t="n"/>
    </row>
    <row r="274" ht="15" customHeight="1">
      <c r="A274" s="40">
        <f>IF($D$274="","",88)</f>
        <v/>
      </c>
      <c r="B274" s="10" t="n"/>
      <c r="C274" s="41" t="inlineStr">
        <is>
          <t>기타</t>
        </is>
      </c>
      <c r="D274" s="42" t="n"/>
      <c r="E274" s="43" t="inlineStr">
        <is>
          <t>기획</t>
        </is>
      </c>
      <c r="F274" s="44" t="n"/>
      <c r="G274" s="45" t="n"/>
      <c r="H274" s="46">
        <f>IF($I$274="","",IF($I$274&lt;0,"🔴지연",IF($I$274&lt;=1,"🟡임박","🟢여유")))</f>
        <v/>
      </c>
      <c r="I274" s="47">
        <f>IF(OR($G$274="",$K$274=""),"",$G$274-$K$274)</f>
        <v/>
      </c>
      <c r="J274" s="48">
        <f>IF(SUM($L$274:$L$276)=0,"",SUM($L$274:$L$276))</f>
        <v/>
      </c>
      <c r="K274" s="49">
        <f>IF($J$274="","",MAX($N$274:$N$276))</f>
        <v/>
      </c>
      <c r="L274" s="50">
        <f>IF(SUM(U274:AY274)=0,"",SUM(U274:AY274))</f>
        <v/>
      </c>
      <c r="M274" s="51">
        <f>IFERROR(INDEX(U$2:AY$2,MATCH(TRUE,INDEX(U274:AY274&lt;&gt;"",0),0)),"")</f>
        <v/>
      </c>
      <c r="N274" s="51">
        <f>IFERROR(LOOKUP(2,1/(U274:AY274&lt;&gt;""),U$2:AY$2),"")</f>
        <v/>
      </c>
      <c r="O274" s="52" t="n"/>
      <c r="P274" s="52" t="n"/>
      <c r="Q274" s="52" t="n"/>
      <c r="R274" s="44" t="n"/>
      <c r="S274" s="14" t="n"/>
      <c r="U274" s="53" t="n"/>
      <c r="V274" s="53" t="n"/>
      <c r="W274" s="53" t="n"/>
      <c r="X274" s="53" t="n"/>
      <c r="Y274" s="53" t="n"/>
      <c r="Z274" s="53" t="n"/>
      <c r="AA274" s="53" t="n"/>
      <c r="AB274" s="53" t="n"/>
      <c r="AC274" s="53" t="n"/>
      <c r="AD274" s="53" t="n"/>
      <c r="AE274" s="53" t="n"/>
      <c r="AF274" s="53" t="n"/>
      <c r="AG274" s="53" t="n"/>
      <c r="AH274" s="53" t="n"/>
      <c r="AI274" s="53" t="n"/>
      <c r="AJ274" s="53" t="n"/>
      <c r="AK274" s="53" t="n"/>
      <c r="AL274" s="53" t="n"/>
      <c r="AM274" s="53" t="n"/>
      <c r="AN274" s="53" t="n"/>
      <c r="AO274" s="53" t="n"/>
      <c r="AP274" s="53" t="n"/>
      <c r="AQ274" s="53" t="n"/>
      <c r="AR274" s="53" t="n"/>
      <c r="AS274" s="53" t="n"/>
      <c r="AT274" s="53" t="n"/>
      <c r="AU274" s="53" t="n"/>
      <c r="AV274" s="53" t="n"/>
      <c r="AW274" s="53" t="n"/>
      <c r="AX274" s="53" t="n"/>
      <c r="AY274" s="53" t="n"/>
    </row>
    <row r="275" ht="15" customHeight="1">
      <c r="A275" s="54" t="n"/>
      <c r="B275" s="55">
        <f>IF($B$274="","",$B$274)</f>
        <v/>
      </c>
      <c r="C275" s="56" t="inlineStr">
        <is>
          <t>기타</t>
        </is>
      </c>
      <c r="D275" s="55">
        <f>IF($D$274="","",$D$274)</f>
        <v/>
      </c>
      <c r="E275" s="57" t="inlineStr">
        <is>
          <t>이미지</t>
        </is>
      </c>
      <c r="F275" s="44" t="n"/>
      <c r="G275" s="58">
        <f>IF($G$274="","",$G$274)</f>
        <v/>
      </c>
      <c r="H275" s="59" t="n"/>
      <c r="I275" s="59" t="n"/>
      <c r="J275" s="59" t="n"/>
      <c r="K275" s="59" t="n"/>
      <c r="L275" s="60">
        <f>IF(SUM(U275:AY275)=0,"",SUM(U275:AY275))</f>
        <v/>
      </c>
      <c r="M275" s="61">
        <f>IFERROR(INDEX(U$2:AY$2,MATCH(TRUE,INDEX(U275:AY275&lt;&gt;"",0),0)),"")</f>
        <v/>
      </c>
      <c r="N275" s="61">
        <f>IFERROR(LOOKUP(2,1/(U275:AY275&lt;&gt;""),U$2:AY$2),"")</f>
        <v/>
      </c>
      <c r="O275" s="59" t="n"/>
      <c r="P275" s="59" t="n"/>
      <c r="Q275" s="59" t="n"/>
      <c r="R275" s="59" t="n"/>
      <c r="S275" s="14" t="n"/>
      <c r="U275" s="53" t="n"/>
      <c r="V275" s="53" t="n"/>
      <c r="W275" s="53" t="n"/>
      <c r="X275" s="53" t="n"/>
      <c r="Y275" s="53" t="n"/>
      <c r="Z275" s="53" t="n"/>
      <c r="AA275" s="53" t="n"/>
      <c r="AB275" s="53" t="n"/>
      <c r="AC275" s="53" t="n"/>
      <c r="AD275" s="53" t="n"/>
      <c r="AE275" s="53" t="n"/>
      <c r="AF275" s="53" t="n"/>
      <c r="AG275" s="53" t="n"/>
      <c r="AH275" s="53" t="n"/>
      <c r="AI275" s="53" t="n"/>
      <c r="AJ275" s="53" t="n"/>
      <c r="AK275" s="53" t="n"/>
      <c r="AL275" s="53" t="n"/>
      <c r="AM275" s="53" t="n"/>
      <c r="AN275" s="53" t="n"/>
      <c r="AO275" s="53" t="n"/>
      <c r="AP275" s="53" t="n"/>
      <c r="AQ275" s="53" t="n"/>
      <c r="AR275" s="53" t="n"/>
      <c r="AS275" s="53" t="n"/>
      <c r="AT275" s="53" t="n"/>
      <c r="AU275" s="53" t="n"/>
      <c r="AV275" s="53" t="n"/>
      <c r="AW275" s="53" t="n"/>
      <c r="AX275" s="53" t="n"/>
      <c r="AY275" s="53" t="n"/>
    </row>
    <row r="276" ht="15" customHeight="1">
      <c r="A276" s="62" t="n"/>
      <c r="B276" s="55">
        <f>IF($B$274="","",$B$274)</f>
        <v/>
      </c>
      <c r="C276" s="63" t="inlineStr">
        <is>
          <t>기타</t>
        </is>
      </c>
      <c r="D276" s="55">
        <f>IF($D$274="","",$D$274)</f>
        <v/>
      </c>
      <c r="E276" s="64" t="inlineStr">
        <is>
          <t>영상</t>
        </is>
      </c>
      <c r="F276" s="44" t="n"/>
      <c r="G276" s="58">
        <f>IF($G$274="","",$G$274)</f>
        <v/>
      </c>
      <c r="H276" s="59" t="n"/>
      <c r="I276" s="59" t="n"/>
      <c r="J276" s="59" t="n"/>
      <c r="K276" s="59" t="n"/>
      <c r="L276" s="65">
        <f>IF(SUM(U276:AY276)=0,"",SUM(U276:AY276))</f>
        <v/>
      </c>
      <c r="M276" s="66">
        <f>IFERROR(INDEX(U$2:AY$2,MATCH(TRUE,INDEX(U276:AY276&lt;&gt;"",0),0)),"")</f>
        <v/>
      </c>
      <c r="N276" s="66">
        <f>IFERROR(LOOKUP(2,1/(U276:AY276&lt;&gt;""),U$2:AY$2),"")</f>
        <v/>
      </c>
      <c r="O276" s="59" t="n"/>
      <c r="P276" s="59" t="n"/>
      <c r="Q276" s="59" t="n"/>
      <c r="R276" s="59" t="n"/>
      <c r="S276" s="14" t="n"/>
      <c r="U276" s="53" t="n"/>
      <c r="V276" s="53" t="n"/>
      <c r="W276" s="53" t="n"/>
      <c r="X276" s="53" t="n"/>
      <c r="Y276" s="53" t="n"/>
      <c r="Z276" s="53" t="n"/>
      <c r="AA276" s="53" t="n"/>
      <c r="AB276" s="53" t="n"/>
      <c r="AC276" s="53" t="n"/>
      <c r="AD276" s="53" t="n"/>
      <c r="AE276" s="53" t="n"/>
      <c r="AF276" s="53" t="n"/>
      <c r="AG276" s="53" t="n"/>
      <c r="AH276" s="53" t="n"/>
      <c r="AI276" s="53" t="n"/>
      <c r="AJ276" s="53" t="n"/>
      <c r="AK276" s="53" t="n"/>
      <c r="AL276" s="53" t="n"/>
      <c r="AM276" s="53" t="n"/>
      <c r="AN276" s="53" t="n"/>
      <c r="AO276" s="53" t="n"/>
      <c r="AP276" s="53" t="n"/>
      <c r="AQ276" s="53" t="n"/>
      <c r="AR276" s="53" t="n"/>
      <c r="AS276" s="53" t="n"/>
      <c r="AT276" s="53" t="n"/>
      <c r="AU276" s="53" t="n"/>
      <c r="AV276" s="53" t="n"/>
      <c r="AW276" s="53" t="n"/>
      <c r="AX276" s="53" t="n"/>
      <c r="AY276" s="53" t="n"/>
    </row>
    <row r="277" ht="15" customHeight="1">
      <c r="A277" s="40">
        <f>IF($D$277="","",89)</f>
        <v/>
      </c>
      <c r="B277" s="10" t="n"/>
      <c r="C277" s="41" t="inlineStr">
        <is>
          <t>기타</t>
        </is>
      </c>
      <c r="D277" s="42" t="n"/>
      <c r="E277" s="43" t="inlineStr">
        <is>
          <t>기획</t>
        </is>
      </c>
      <c r="F277" s="44" t="n"/>
      <c r="G277" s="45" t="n"/>
      <c r="H277" s="46">
        <f>IF($I$277="","",IF($I$277&lt;0,"🔴지연",IF($I$277&lt;=1,"🟡임박","🟢여유")))</f>
        <v/>
      </c>
      <c r="I277" s="47">
        <f>IF(OR($G$277="",$K$277=""),"",$G$277-$K$277)</f>
        <v/>
      </c>
      <c r="J277" s="48">
        <f>IF(SUM($L$277:$L$279)=0,"",SUM($L$277:$L$279))</f>
        <v/>
      </c>
      <c r="K277" s="49">
        <f>IF($J$277="","",MAX($N$277:$N$279))</f>
        <v/>
      </c>
      <c r="L277" s="50">
        <f>IF(SUM(U277:AY277)=0,"",SUM(U277:AY277))</f>
        <v/>
      </c>
      <c r="M277" s="51">
        <f>IFERROR(INDEX(U$2:AY$2,MATCH(TRUE,INDEX(U277:AY277&lt;&gt;"",0),0)),"")</f>
        <v/>
      </c>
      <c r="N277" s="51">
        <f>IFERROR(LOOKUP(2,1/(U277:AY277&lt;&gt;""),U$2:AY$2),"")</f>
        <v/>
      </c>
      <c r="O277" s="52" t="n"/>
      <c r="P277" s="52" t="n"/>
      <c r="Q277" s="52" t="n"/>
      <c r="R277" s="44" t="n"/>
      <c r="S277" s="14" t="n"/>
      <c r="U277" s="53" t="n"/>
      <c r="V277" s="53" t="n"/>
      <c r="W277" s="53" t="n"/>
      <c r="X277" s="53" t="n"/>
      <c r="Y277" s="53" t="n"/>
      <c r="Z277" s="53" t="n"/>
      <c r="AA277" s="53" t="n"/>
      <c r="AB277" s="53" t="n"/>
      <c r="AC277" s="53" t="n"/>
      <c r="AD277" s="53" t="n"/>
      <c r="AE277" s="53" t="n"/>
      <c r="AF277" s="53" t="n"/>
      <c r="AG277" s="53" t="n"/>
      <c r="AH277" s="53" t="n"/>
      <c r="AI277" s="53" t="n"/>
      <c r="AJ277" s="53" t="n"/>
      <c r="AK277" s="53" t="n"/>
      <c r="AL277" s="53" t="n"/>
      <c r="AM277" s="53" t="n"/>
      <c r="AN277" s="53" t="n"/>
      <c r="AO277" s="53" t="n"/>
      <c r="AP277" s="53" t="n"/>
      <c r="AQ277" s="53" t="n"/>
      <c r="AR277" s="53" t="n"/>
      <c r="AS277" s="53" t="n"/>
      <c r="AT277" s="53" t="n"/>
      <c r="AU277" s="53" t="n"/>
      <c r="AV277" s="53" t="n"/>
      <c r="AW277" s="53" t="n"/>
      <c r="AX277" s="53" t="n"/>
      <c r="AY277" s="53" t="n"/>
    </row>
    <row r="278" ht="15" customHeight="1">
      <c r="A278" s="54" t="n"/>
      <c r="B278" s="55">
        <f>IF($B$277="","",$B$277)</f>
        <v/>
      </c>
      <c r="C278" s="56" t="inlineStr">
        <is>
          <t>기타</t>
        </is>
      </c>
      <c r="D278" s="55">
        <f>IF($D$277="","",$D$277)</f>
        <v/>
      </c>
      <c r="E278" s="57" t="inlineStr">
        <is>
          <t>이미지</t>
        </is>
      </c>
      <c r="F278" s="44" t="n"/>
      <c r="G278" s="58">
        <f>IF($G$277="","",$G$277)</f>
        <v/>
      </c>
      <c r="H278" s="59" t="n"/>
      <c r="I278" s="59" t="n"/>
      <c r="J278" s="59" t="n"/>
      <c r="K278" s="59" t="n"/>
      <c r="L278" s="60">
        <f>IF(SUM(U278:AY278)=0,"",SUM(U278:AY278))</f>
        <v/>
      </c>
      <c r="M278" s="61">
        <f>IFERROR(INDEX(U$2:AY$2,MATCH(TRUE,INDEX(U278:AY278&lt;&gt;"",0),0)),"")</f>
        <v/>
      </c>
      <c r="N278" s="61">
        <f>IFERROR(LOOKUP(2,1/(U278:AY278&lt;&gt;""),U$2:AY$2),"")</f>
        <v/>
      </c>
      <c r="O278" s="59" t="n"/>
      <c r="P278" s="59" t="n"/>
      <c r="Q278" s="59" t="n"/>
      <c r="R278" s="59" t="n"/>
      <c r="S278" s="14" t="n"/>
      <c r="U278" s="53" t="n"/>
      <c r="V278" s="53" t="n"/>
      <c r="W278" s="53" t="n"/>
      <c r="X278" s="53" t="n"/>
      <c r="Y278" s="53" t="n"/>
      <c r="Z278" s="53" t="n"/>
      <c r="AA278" s="53" t="n"/>
      <c r="AB278" s="53" t="n"/>
      <c r="AC278" s="53" t="n"/>
      <c r="AD278" s="53" t="n"/>
      <c r="AE278" s="53" t="n"/>
      <c r="AF278" s="53" t="n"/>
      <c r="AG278" s="53" t="n"/>
      <c r="AH278" s="53" t="n"/>
      <c r="AI278" s="53" t="n"/>
      <c r="AJ278" s="53" t="n"/>
      <c r="AK278" s="53" t="n"/>
      <c r="AL278" s="53" t="n"/>
      <c r="AM278" s="53" t="n"/>
      <c r="AN278" s="53" t="n"/>
      <c r="AO278" s="53" t="n"/>
      <c r="AP278" s="53" t="n"/>
      <c r="AQ278" s="53" t="n"/>
      <c r="AR278" s="53" t="n"/>
      <c r="AS278" s="53" t="n"/>
      <c r="AT278" s="53" t="n"/>
      <c r="AU278" s="53" t="n"/>
      <c r="AV278" s="53" t="n"/>
      <c r="AW278" s="53" t="n"/>
      <c r="AX278" s="53" t="n"/>
      <c r="AY278" s="53" t="n"/>
    </row>
    <row r="279" ht="15" customHeight="1">
      <c r="A279" s="62" t="n"/>
      <c r="B279" s="55">
        <f>IF($B$277="","",$B$277)</f>
        <v/>
      </c>
      <c r="C279" s="63" t="inlineStr">
        <is>
          <t>기타</t>
        </is>
      </c>
      <c r="D279" s="55">
        <f>IF($D$277="","",$D$277)</f>
        <v/>
      </c>
      <c r="E279" s="64" t="inlineStr">
        <is>
          <t>영상</t>
        </is>
      </c>
      <c r="F279" s="44" t="n"/>
      <c r="G279" s="58">
        <f>IF($G$277="","",$G$277)</f>
        <v/>
      </c>
      <c r="H279" s="59" t="n"/>
      <c r="I279" s="59" t="n"/>
      <c r="J279" s="59" t="n"/>
      <c r="K279" s="59" t="n"/>
      <c r="L279" s="65">
        <f>IF(SUM(U279:AY279)=0,"",SUM(U279:AY279))</f>
        <v/>
      </c>
      <c r="M279" s="66">
        <f>IFERROR(INDEX(U$2:AY$2,MATCH(TRUE,INDEX(U279:AY279&lt;&gt;"",0),0)),"")</f>
        <v/>
      </c>
      <c r="N279" s="66">
        <f>IFERROR(LOOKUP(2,1/(U279:AY279&lt;&gt;""),U$2:AY$2),"")</f>
        <v/>
      </c>
      <c r="O279" s="59" t="n"/>
      <c r="P279" s="59" t="n"/>
      <c r="Q279" s="59" t="n"/>
      <c r="R279" s="59" t="n"/>
      <c r="S279" s="14" t="n"/>
      <c r="U279" s="53" t="n"/>
      <c r="V279" s="53" t="n"/>
      <c r="W279" s="53" t="n"/>
      <c r="X279" s="53" t="n"/>
      <c r="Y279" s="53" t="n"/>
      <c r="Z279" s="53" t="n"/>
      <c r="AA279" s="53" t="n"/>
      <c r="AB279" s="53" t="n"/>
      <c r="AC279" s="53" t="n"/>
      <c r="AD279" s="53" t="n"/>
      <c r="AE279" s="53" t="n"/>
      <c r="AF279" s="53" t="n"/>
      <c r="AG279" s="53" t="n"/>
      <c r="AH279" s="53" t="n"/>
      <c r="AI279" s="53" t="n"/>
      <c r="AJ279" s="53" t="n"/>
      <c r="AK279" s="53" t="n"/>
      <c r="AL279" s="53" t="n"/>
      <c r="AM279" s="53" t="n"/>
      <c r="AN279" s="53" t="n"/>
      <c r="AO279" s="53" t="n"/>
      <c r="AP279" s="53" t="n"/>
      <c r="AQ279" s="53" t="n"/>
      <c r="AR279" s="53" t="n"/>
      <c r="AS279" s="53" t="n"/>
      <c r="AT279" s="53" t="n"/>
      <c r="AU279" s="53" t="n"/>
      <c r="AV279" s="53" t="n"/>
      <c r="AW279" s="53" t="n"/>
      <c r="AX279" s="53" t="n"/>
      <c r="AY279" s="53" t="n"/>
    </row>
    <row r="280" ht="15" customHeight="1">
      <c r="A280" s="40">
        <f>IF($D$280="","",90)</f>
        <v/>
      </c>
      <c r="B280" s="10" t="n"/>
      <c r="C280" s="41" t="inlineStr">
        <is>
          <t>기타</t>
        </is>
      </c>
      <c r="D280" s="42" t="n"/>
      <c r="E280" s="43" t="inlineStr">
        <is>
          <t>기획</t>
        </is>
      </c>
      <c r="F280" s="44" t="n"/>
      <c r="G280" s="45" t="n"/>
      <c r="H280" s="46">
        <f>IF($I$280="","",IF($I$280&lt;0,"🔴지연",IF($I$280&lt;=1,"🟡임박","🟢여유")))</f>
        <v/>
      </c>
      <c r="I280" s="47">
        <f>IF(OR($G$280="",$K$280=""),"",$G$280-$K$280)</f>
        <v/>
      </c>
      <c r="J280" s="48">
        <f>IF(SUM($L$280:$L$282)=0,"",SUM($L$280:$L$282))</f>
        <v/>
      </c>
      <c r="K280" s="49">
        <f>IF($J$280="","",MAX($N$280:$N$282))</f>
        <v/>
      </c>
      <c r="L280" s="50">
        <f>IF(SUM(U280:AY280)=0,"",SUM(U280:AY280))</f>
        <v/>
      </c>
      <c r="M280" s="51">
        <f>IFERROR(INDEX(U$2:AY$2,MATCH(TRUE,INDEX(U280:AY280&lt;&gt;"",0),0)),"")</f>
        <v/>
      </c>
      <c r="N280" s="51">
        <f>IFERROR(LOOKUP(2,1/(U280:AY280&lt;&gt;""),U$2:AY$2),"")</f>
        <v/>
      </c>
      <c r="O280" s="52" t="n"/>
      <c r="P280" s="52" t="n"/>
      <c r="Q280" s="52" t="n"/>
      <c r="R280" s="44" t="n"/>
      <c r="S280" s="14" t="n"/>
      <c r="U280" s="53" t="n"/>
      <c r="V280" s="53" t="n"/>
      <c r="W280" s="53" t="n"/>
      <c r="X280" s="53" t="n"/>
      <c r="Y280" s="53" t="n"/>
      <c r="Z280" s="53" t="n"/>
      <c r="AA280" s="53" t="n"/>
      <c r="AB280" s="53" t="n"/>
      <c r="AC280" s="53" t="n"/>
      <c r="AD280" s="53" t="n"/>
      <c r="AE280" s="53" t="n"/>
      <c r="AF280" s="53" t="n"/>
      <c r="AG280" s="53" t="n"/>
      <c r="AH280" s="53" t="n"/>
      <c r="AI280" s="53" t="n"/>
      <c r="AJ280" s="53" t="n"/>
      <c r="AK280" s="53" t="n"/>
      <c r="AL280" s="53" t="n"/>
      <c r="AM280" s="53" t="n"/>
      <c r="AN280" s="53" t="n"/>
      <c r="AO280" s="53" t="n"/>
      <c r="AP280" s="53" t="n"/>
      <c r="AQ280" s="53" t="n"/>
      <c r="AR280" s="53" t="n"/>
      <c r="AS280" s="53" t="n"/>
      <c r="AT280" s="53" t="n"/>
      <c r="AU280" s="53" t="n"/>
      <c r="AV280" s="53" t="n"/>
      <c r="AW280" s="53" t="n"/>
      <c r="AX280" s="53" t="n"/>
      <c r="AY280" s="53" t="n"/>
    </row>
    <row r="281" ht="15" customHeight="1">
      <c r="A281" s="54" t="n"/>
      <c r="B281" s="55">
        <f>IF($B$280="","",$B$280)</f>
        <v/>
      </c>
      <c r="C281" s="56" t="inlineStr">
        <is>
          <t>기타</t>
        </is>
      </c>
      <c r="D281" s="55">
        <f>IF($D$280="","",$D$280)</f>
        <v/>
      </c>
      <c r="E281" s="57" t="inlineStr">
        <is>
          <t>이미지</t>
        </is>
      </c>
      <c r="F281" s="44" t="n"/>
      <c r="G281" s="58">
        <f>IF($G$280="","",$G$280)</f>
        <v/>
      </c>
      <c r="H281" s="59" t="n"/>
      <c r="I281" s="59" t="n"/>
      <c r="J281" s="59" t="n"/>
      <c r="K281" s="59" t="n"/>
      <c r="L281" s="60">
        <f>IF(SUM(U281:AY281)=0,"",SUM(U281:AY281))</f>
        <v/>
      </c>
      <c r="M281" s="61">
        <f>IFERROR(INDEX(U$2:AY$2,MATCH(TRUE,INDEX(U281:AY281&lt;&gt;"",0),0)),"")</f>
        <v/>
      </c>
      <c r="N281" s="61">
        <f>IFERROR(LOOKUP(2,1/(U281:AY281&lt;&gt;""),U$2:AY$2),"")</f>
        <v/>
      </c>
      <c r="O281" s="59" t="n"/>
      <c r="P281" s="59" t="n"/>
      <c r="Q281" s="59" t="n"/>
      <c r="R281" s="59" t="n"/>
      <c r="S281" s="14" t="n"/>
      <c r="U281" s="53" t="n"/>
      <c r="V281" s="53" t="n"/>
      <c r="W281" s="53" t="n"/>
      <c r="X281" s="53" t="n"/>
      <c r="Y281" s="53" t="n"/>
      <c r="Z281" s="53" t="n"/>
      <c r="AA281" s="53" t="n"/>
      <c r="AB281" s="53" t="n"/>
      <c r="AC281" s="53" t="n"/>
      <c r="AD281" s="53" t="n"/>
      <c r="AE281" s="53" t="n"/>
      <c r="AF281" s="53" t="n"/>
      <c r="AG281" s="53" t="n"/>
      <c r="AH281" s="53" t="n"/>
      <c r="AI281" s="53" t="n"/>
      <c r="AJ281" s="53" t="n"/>
      <c r="AK281" s="53" t="n"/>
      <c r="AL281" s="53" t="n"/>
      <c r="AM281" s="53" t="n"/>
      <c r="AN281" s="53" t="n"/>
      <c r="AO281" s="53" t="n"/>
      <c r="AP281" s="53" t="n"/>
      <c r="AQ281" s="53" t="n"/>
      <c r="AR281" s="53" t="n"/>
      <c r="AS281" s="53" t="n"/>
      <c r="AT281" s="53" t="n"/>
      <c r="AU281" s="53" t="n"/>
      <c r="AV281" s="53" t="n"/>
      <c r="AW281" s="53" t="n"/>
      <c r="AX281" s="53" t="n"/>
      <c r="AY281" s="53" t="n"/>
    </row>
    <row r="282" ht="15" customHeight="1">
      <c r="A282" s="62" t="n"/>
      <c r="B282" s="55">
        <f>IF($B$280="","",$B$280)</f>
        <v/>
      </c>
      <c r="C282" s="63" t="inlineStr">
        <is>
          <t>기타</t>
        </is>
      </c>
      <c r="D282" s="55">
        <f>IF($D$280="","",$D$280)</f>
        <v/>
      </c>
      <c r="E282" s="64" t="inlineStr">
        <is>
          <t>영상</t>
        </is>
      </c>
      <c r="F282" s="44" t="n"/>
      <c r="G282" s="58">
        <f>IF($G$280="","",$G$280)</f>
        <v/>
      </c>
      <c r="H282" s="59" t="n"/>
      <c r="I282" s="59" t="n"/>
      <c r="J282" s="59" t="n"/>
      <c r="K282" s="59" t="n"/>
      <c r="L282" s="65">
        <f>IF(SUM(U282:AY282)=0,"",SUM(U282:AY282))</f>
        <v/>
      </c>
      <c r="M282" s="66">
        <f>IFERROR(INDEX(U$2:AY$2,MATCH(TRUE,INDEX(U282:AY282&lt;&gt;"",0),0)),"")</f>
        <v/>
      </c>
      <c r="N282" s="66">
        <f>IFERROR(LOOKUP(2,1/(U282:AY282&lt;&gt;""),U$2:AY$2),"")</f>
        <v/>
      </c>
      <c r="O282" s="59" t="n"/>
      <c r="P282" s="59" t="n"/>
      <c r="Q282" s="59" t="n"/>
      <c r="R282" s="59" t="n"/>
      <c r="S282" s="14" t="n"/>
      <c r="U282" s="53" t="n"/>
      <c r="V282" s="53" t="n"/>
      <c r="W282" s="53" t="n"/>
      <c r="X282" s="53" t="n"/>
      <c r="Y282" s="53" t="n"/>
      <c r="Z282" s="53" t="n"/>
      <c r="AA282" s="53" t="n"/>
      <c r="AB282" s="53" t="n"/>
      <c r="AC282" s="53" t="n"/>
      <c r="AD282" s="53" t="n"/>
      <c r="AE282" s="53" t="n"/>
      <c r="AF282" s="53" t="n"/>
      <c r="AG282" s="53" t="n"/>
      <c r="AH282" s="53" t="n"/>
      <c r="AI282" s="53" t="n"/>
      <c r="AJ282" s="53" t="n"/>
      <c r="AK282" s="53" t="n"/>
      <c r="AL282" s="53" t="n"/>
      <c r="AM282" s="53" t="n"/>
      <c r="AN282" s="53" t="n"/>
      <c r="AO282" s="53" t="n"/>
      <c r="AP282" s="53" t="n"/>
      <c r="AQ282" s="53" t="n"/>
      <c r="AR282" s="53" t="n"/>
      <c r="AS282" s="53" t="n"/>
      <c r="AT282" s="53" t="n"/>
      <c r="AU282" s="53" t="n"/>
      <c r="AV282" s="53" t="n"/>
      <c r="AW282" s="53" t="n"/>
      <c r="AX282" s="53" t="n"/>
      <c r="AY282" s="53" t="n"/>
    </row>
    <row r="283" ht="15" customHeight="1">
      <c r="A283" s="40">
        <f>IF($D$283="","",91)</f>
        <v/>
      </c>
      <c r="B283" s="10" t="n"/>
      <c r="C283" s="41" t="inlineStr">
        <is>
          <t>기타</t>
        </is>
      </c>
      <c r="D283" s="42" t="n"/>
      <c r="E283" s="43" t="inlineStr">
        <is>
          <t>기획</t>
        </is>
      </c>
      <c r="F283" s="44" t="n"/>
      <c r="G283" s="45" t="n"/>
      <c r="H283" s="46">
        <f>IF($I$283="","",IF($I$283&lt;0,"🔴지연",IF($I$283&lt;=1,"🟡임박","🟢여유")))</f>
        <v/>
      </c>
      <c r="I283" s="47">
        <f>IF(OR($G$283="",$K$283=""),"",$G$283-$K$283)</f>
        <v/>
      </c>
      <c r="J283" s="48">
        <f>IF(SUM($L$283:$L$285)=0,"",SUM($L$283:$L$285))</f>
        <v/>
      </c>
      <c r="K283" s="49">
        <f>IF($J$283="","",MAX($N$283:$N$285))</f>
        <v/>
      </c>
      <c r="L283" s="50">
        <f>IF(SUM(U283:AY283)=0,"",SUM(U283:AY283))</f>
        <v/>
      </c>
      <c r="M283" s="51">
        <f>IFERROR(INDEX(U$2:AY$2,MATCH(TRUE,INDEX(U283:AY283&lt;&gt;"",0),0)),"")</f>
        <v/>
      </c>
      <c r="N283" s="51">
        <f>IFERROR(LOOKUP(2,1/(U283:AY283&lt;&gt;""),U$2:AY$2),"")</f>
        <v/>
      </c>
      <c r="O283" s="52" t="n"/>
      <c r="P283" s="52" t="n"/>
      <c r="Q283" s="52" t="n"/>
      <c r="R283" s="44" t="n"/>
      <c r="S283" s="14" t="n"/>
      <c r="U283" s="53" t="n"/>
      <c r="V283" s="53" t="n"/>
      <c r="W283" s="53" t="n"/>
      <c r="X283" s="53" t="n"/>
      <c r="Y283" s="53" t="n"/>
      <c r="Z283" s="53" t="n"/>
      <c r="AA283" s="53" t="n"/>
      <c r="AB283" s="53" t="n"/>
      <c r="AC283" s="53" t="n"/>
      <c r="AD283" s="53" t="n"/>
      <c r="AE283" s="53" t="n"/>
      <c r="AF283" s="53" t="n"/>
      <c r="AG283" s="53" t="n"/>
      <c r="AH283" s="53" t="n"/>
      <c r="AI283" s="53" t="n"/>
      <c r="AJ283" s="53" t="n"/>
      <c r="AK283" s="53" t="n"/>
      <c r="AL283" s="53" t="n"/>
      <c r="AM283" s="53" t="n"/>
      <c r="AN283" s="53" t="n"/>
      <c r="AO283" s="53" t="n"/>
      <c r="AP283" s="53" t="n"/>
      <c r="AQ283" s="53" t="n"/>
      <c r="AR283" s="53" t="n"/>
      <c r="AS283" s="53" t="n"/>
      <c r="AT283" s="53" t="n"/>
      <c r="AU283" s="53" t="n"/>
      <c r="AV283" s="53" t="n"/>
      <c r="AW283" s="53" t="n"/>
      <c r="AX283" s="53" t="n"/>
      <c r="AY283" s="53" t="n"/>
    </row>
    <row r="284" ht="15" customHeight="1">
      <c r="A284" s="54" t="n"/>
      <c r="B284" s="55">
        <f>IF($B$283="","",$B$283)</f>
        <v/>
      </c>
      <c r="C284" s="56" t="inlineStr">
        <is>
          <t>기타</t>
        </is>
      </c>
      <c r="D284" s="55">
        <f>IF($D$283="","",$D$283)</f>
        <v/>
      </c>
      <c r="E284" s="57" t="inlineStr">
        <is>
          <t>이미지</t>
        </is>
      </c>
      <c r="F284" s="44" t="n"/>
      <c r="G284" s="58">
        <f>IF($G$283="","",$G$283)</f>
        <v/>
      </c>
      <c r="H284" s="59" t="n"/>
      <c r="I284" s="59" t="n"/>
      <c r="J284" s="59" t="n"/>
      <c r="K284" s="59" t="n"/>
      <c r="L284" s="60">
        <f>IF(SUM(U284:AY284)=0,"",SUM(U284:AY284))</f>
        <v/>
      </c>
      <c r="M284" s="61">
        <f>IFERROR(INDEX(U$2:AY$2,MATCH(TRUE,INDEX(U284:AY284&lt;&gt;"",0),0)),"")</f>
        <v/>
      </c>
      <c r="N284" s="61">
        <f>IFERROR(LOOKUP(2,1/(U284:AY284&lt;&gt;""),U$2:AY$2),"")</f>
        <v/>
      </c>
      <c r="O284" s="59" t="n"/>
      <c r="P284" s="59" t="n"/>
      <c r="Q284" s="59" t="n"/>
      <c r="R284" s="59" t="n"/>
      <c r="S284" s="14" t="n"/>
      <c r="U284" s="53" t="n"/>
      <c r="V284" s="53" t="n"/>
      <c r="W284" s="53" t="n"/>
      <c r="X284" s="53" t="n"/>
      <c r="Y284" s="53" t="n"/>
      <c r="Z284" s="53" t="n"/>
      <c r="AA284" s="53" t="n"/>
      <c r="AB284" s="53" t="n"/>
      <c r="AC284" s="53" t="n"/>
      <c r="AD284" s="53" t="n"/>
      <c r="AE284" s="53" t="n"/>
      <c r="AF284" s="53" t="n"/>
      <c r="AG284" s="53" t="n"/>
      <c r="AH284" s="53" t="n"/>
      <c r="AI284" s="53" t="n"/>
      <c r="AJ284" s="53" t="n"/>
      <c r="AK284" s="53" t="n"/>
      <c r="AL284" s="53" t="n"/>
      <c r="AM284" s="53" t="n"/>
      <c r="AN284" s="53" t="n"/>
      <c r="AO284" s="53" t="n"/>
      <c r="AP284" s="53" t="n"/>
      <c r="AQ284" s="53" t="n"/>
      <c r="AR284" s="53" t="n"/>
      <c r="AS284" s="53" t="n"/>
      <c r="AT284" s="53" t="n"/>
      <c r="AU284" s="53" t="n"/>
      <c r="AV284" s="53" t="n"/>
      <c r="AW284" s="53" t="n"/>
      <c r="AX284" s="53" t="n"/>
      <c r="AY284" s="53" t="n"/>
    </row>
    <row r="285" ht="15" customHeight="1">
      <c r="A285" s="62" t="n"/>
      <c r="B285" s="55">
        <f>IF($B$283="","",$B$283)</f>
        <v/>
      </c>
      <c r="C285" s="63" t="inlineStr">
        <is>
          <t>기타</t>
        </is>
      </c>
      <c r="D285" s="55">
        <f>IF($D$283="","",$D$283)</f>
        <v/>
      </c>
      <c r="E285" s="64" t="inlineStr">
        <is>
          <t>영상</t>
        </is>
      </c>
      <c r="F285" s="44" t="n"/>
      <c r="G285" s="58">
        <f>IF($G$283="","",$G$283)</f>
        <v/>
      </c>
      <c r="H285" s="59" t="n"/>
      <c r="I285" s="59" t="n"/>
      <c r="J285" s="59" t="n"/>
      <c r="K285" s="59" t="n"/>
      <c r="L285" s="65">
        <f>IF(SUM(U285:AY285)=0,"",SUM(U285:AY285))</f>
        <v/>
      </c>
      <c r="M285" s="66">
        <f>IFERROR(INDEX(U$2:AY$2,MATCH(TRUE,INDEX(U285:AY285&lt;&gt;"",0),0)),"")</f>
        <v/>
      </c>
      <c r="N285" s="66">
        <f>IFERROR(LOOKUP(2,1/(U285:AY285&lt;&gt;""),U$2:AY$2),"")</f>
        <v/>
      </c>
      <c r="O285" s="59" t="n"/>
      <c r="P285" s="59" t="n"/>
      <c r="Q285" s="59" t="n"/>
      <c r="R285" s="59" t="n"/>
      <c r="S285" s="14" t="n"/>
      <c r="U285" s="53" t="n"/>
      <c r="V285" s="53" t="n"/>
      <c r="W285" s="53" t="n"/>
      <c r="X285" s="53" t="n"/>
      <c r="Y285" s="53" t="n"/>
      <c r="Z285" s="53" t="n"/>
      <c r="AA285" s="53" t="n"/>
      <c r="AB285" s="53" t="n"/>
      <c r="AC285" s="53" t="n"/>
      <c r="AD285" s="53" t="n"/>
      <c r="AE285" s="53" t="n"/>
      <c r="AF285" s="53" t="n"/>
      <c r="AG285" s="53" t="n"/>
      <c r="AH285" s="53" t="n"/>
      <c r="AI285" s="53" t="n"/>
      <c r="AJ285" s="53" t="n"/>
      <c r="AK285" s="53" t="n"/>
      <c r="AL285" s="53" t="n"/>
      <c r="AM285" s="53" t="n"/>
      <c r="AN285" s="53" t="n"/>
      <c r="AO285" s="53" t="n"/>
      <c r="AP285" s="53" t="n"/>
      <c r="AQ285" s="53" t="n"/>
      <c r="AR285" s="53" t="n"/>
      <c r="AS285" s="53" t="n"/>
      <c r="AT285" s="53" t="n"/>
      <c r="AU285" s="53" t="n"/>
      <c r="AV285" s="53" t="n"/>
      <c r="AW285" s="53" t="n"/>
      <c r="AX285" s="53" t="n"/>
      <c r="AY285" s="53" t="n"/>
    </row>
    <row r="286" ht="15" customHeight="1">
      <c r="A286" s="40">
        <f>IF($D$286="","",92)</f>
        <v/>
      </c>
      <c r="B286" s="10" t="n"/>
      <c r="C286" s="41" t="inlineStr">
        <is>
          <t>기타</t>
        </is>
      </c>
      <c r="D286" s="42" t="n"/>
      <c r="E286" s="43" t="inlineStr">
        <is>
          <t>기획</t>
        </is>
      </c>
      <c r="F286" s="44" t="n"/>
      <c r="G286" s="45" t="n"/>
      <c r="H286" s="46">
        <f>IF($I$286="","",IF($I$286&lt;0,"🔴지연",IF($I$286&lt;=1,"🟡임박","🟢여유")))</f>
        <v/>
      </c>
      <c r="I286" s="47">
        <f>IF(OR($G$286="",$K$286=""),"",$G$286-$K$286)</f>
        <v/>
      </c>
      <c r="J286" s="48">
        <f>IF(SUM($L$286:$L$288)=0,"",SUM($L$286:$L$288))</f>
        <v/>
      </c>
      <c r="K286" s="49">
        <f>IF($J$286="","",MAX($N$286:$N$288))</f>
        <v/>
      </c>
      <c r="L286" s="50">
        <f>IF(SUM(U286:AY286)=0,"",SUM(U286:AY286))</f>
        <v/>
      </c>
      <c r="M286" s="51">
        <f>IFERROR(INDEX(U$2:AY$2,MATCH(TRUE,INDEX(U286:AY286&lt;&gt;"",0),0)),"")</f>
        <v/>
      </c>
      <c r="N286" s="51">
        <f>IFERROR(LOOKUP(2,1/(U286:AY286&lt;&gt;""),U$2:AY$2),"")</f>
        <v/>
      </c>
      <c r="O286" s="52" t="n"/>
      <c r="P286" s="52" t="n"/>
      <c r="Q286" s="52" t="n"/>
      <c r="R286" s="44" t="n"/>
      <c r="S286" s="14" t="n"/>
      <c r="U286" s="53" t="n"/>
      <c r="V286" s="53" t="n"/>
      <c r="W286" s="53" t="n"/>
      <c r="X286" s="53" t="n"/>
      <c r="Y286" s="53" t="n"/>
      <c r="Z286" s="53" t="n"/>
      <c r="AA286" s="53" t="n"/>
      <c r="AB286" s="53" t="n"/>
      <c r="AC286" s="53" t="n"/>
      <c r="AD286" s="53" t="n"/>
      <c r="AE286" s="53" t="n"/>
      <c r="AF286" s="53" t="n"/>
      <c r="AG286" s="53" t="n"/>
      <c r="AH286" s="53" t="n"/>
      <c r="AI286" s="53" t="n"/>
      <c r="AJ286" s="53" t="n"/>
      <c r="AK286" s="53" t="n"/>
      <c r="AL286" s="53" t="n"/>
      <c r="AM286" s="53" t="n"/>
      <c r="AN286" s="53" t="n"/>
      <c r="AO286" s="53" t="n"/>
      <c r="AP286" s="53" t="n"/>
      <c r="AQ286" s="53" t="n"/>
      <c r="AR286" s="53" t="n"/>
      <c r="AS286" s="53" t="n"/>
      <c r="AT286" s="53" t="n"/>
      <c r="AU286" s="53" t="n"/>
      <c r="AV286" s="53" t="n"/>
      <c r="AW286" s="53" t="n"/>
      <c r="AX286" s="53" t="n"/>
      <c r="AY286" s="53" t="n"/>
    </row>
    <row r="287" ht="15" customHeight="1">
      <c r="A287" s="54" t="n"/>
      <c r="B287" s="55">
        <f>IF($B$286="","",$B$286)</f>
        <v/>
      </c>
      <c r="C287" s="56" t="inlineStr">
        <is>
          <t>기타</t>
        </is>
      </c>
      <c r="D287" s="55">
        <f>IF($D$286="","",$D$286)</f>
        <v/>
      </c>
      <c r="E287" s="57" t="inlineStr">
        <is>
          <t>이미지</t>
        </is>
      </c>
      <c r="F287" s="44" t="n"/>
      <c r="G287" s="58">
        <f>IF($G$286="","",$G$286)</f>
        <v/>
      </c>
      <c r="H287" s="59" t="n"/>
      <c r="I287" s="59" t="n"/>
      <c r="J287" s="59" t="n"/>
      <c r="K287" s="59" t="n"/>
      <c r="L287" s="60">
        <f>IF(SUM(U287:AY287)=0,"",SUM(U287:AY287))</f>
        <v/>
      </c>
      <c r="M287" s="61">
        <f>IFERROR(INDEX(U$2:AY$2,MATCH(TRUE,INDEX(U287:AY287&lt;&gt;"",0),0)),"")</f>
        <v/>
      </c>
      <c r="N287" s="61">
        <f>IFERROR(LOOKUP(2,1/(U287:AY287&lt;&gt;""),U$2:AY$2),"")</f>
        <v/>
      </c>
      <c r="O287" s="59" t="n"/>
      <c r="P287" s="59" t="n"/>
      <c r="Q287" s="59" t="n"/>
      <c r="R287" s="59" t="n"/>
      <c r="S287" s="14" t="n"/>
      <c r="U287" s="53" t="n"/>
      <c r="V287" s="53" t="n"/>
      <c r="W287" s="53" t="n"/>
      <c r="X287" s="53" t="n"/>
      <c r="Y287" s="53" t="n"/>
      <c r="Z287" s="53" t="n"/>
      <c r="AA287" s="53" t="n"/>
      <c r="AB287" s="53" t="n"/>
      <c r="AC287" s="53" t="n"/>
      <c r="AD287" s="53" t="n"/>
      <c r="AE287" s="53" t="n"/>
      <c r="AF287" s="53" t="n"/>
      <c r="AG287" s="53" t="n"/>
      <c r="AH287" s="53" t="n"/>
      <c r="AI287" s="53" t="n"/>
      <c r="AJ287" s="53" t="n"/>
      <c r="AK287" s="53" t="n"/>
      <c r="AL287" s="53" t="n"/>
      <c r="AM287" s="53" t="n"/>
      <c r="AN287" s="53" t="n"/>
      <c r="AO287" s="53" t="n"/>
      <c r="AP287" s="53" t="n"/>
      <c r="AQ287" s="53" t="n"/>
      <c r="AR287" s="53" t="n"/>
      <c r="AS287" s="53" t="n"/>
      <c r="AT287" s="53" t="n"/>
      <c r="AU287" s="53" t="n"/>
      <c r="AV287" s="53" t="n"/>
      <c r="AW287" s="53" t="n"/>
      <c r="AX287" s="53" t="n"/>
      <c r="AY287" s="53" t="n"/>
    </row>
    <row r="288" ht="15" customHeight="1">
      <c r="A288" s="62" t="n"/>
      <c r="B288" s="55">
        <f>IF($B$286="","",$B$286)</f>
        <v/>
      </c>
      <c r="C288" s="63" t="inlineStr">
        <is>
          <t>기타</t>
        </is>
      </c>
      <c r="D288" s="55">
        <f>IF($D$286="","",$D$286)</f>
        <v/>
      </c>
      <c r="E288" s="64" t="inlineStr">
        <is>
          <t>영상</t>
        </is>
      </c>
      <c r="F288" s="44" t="n"/>
      <c r="G288" s="58">
        <f>IF($G$286="","",$G$286)</f>
        <v/>
      </c>
      <c r="H288" s="59" t="n"/>
      <c r="I288" s="59" t="n"/>
      <c r="J288" s="59" t="n"/>
      <c r="K288" s="59" t="n"/>
      <c r="L288" s="65">
        <f>IF(SUM(U288:AY288)=0,"",SUM(U288:AY288))</f>
        <v/>
      </c>
      <c r="M288" s="66">
        <f>IFERROR(INDEX(U$2:AY$2,MATCH(TRUE,INDEX(U288:AY288&lt;&gt;"",0),0)),"")</f>
        <v/>
      </c>
      <c r="N288" s="66">
        <f>IFERROR(LOOKUP(2,1/(U288:AY288&lt;&gt;""),U$2:AY$2),"")</f>
        <v/>
      </c>
      <c r="O288" s="59" t="n"/>
      <c r="P288" s="59" t="n"/>
      <c r="Q288" s="59" t="n"/>
      <c r="R288" s="59" t="n"/>
      <c r="S288" s="14" t="n"/>
      <c r="U288" s="53" t="n"/>
      <c r="V288" s="53" t="n"/>
      <c r="W288" s="53" t="n"/>
      <c r="X288" s="53" t="n"/>
      <c r="Y288" s="53" t="n"/>
      <c r="Z288" s="53" t="n"/>
      <c r="AA288" s="53" t="n"/>
      <c r="AB288" s="53" t="n"/>
      <c r="AC288" s="53" t="n"/>
      <c r="AD288" s="53" t="n"/>
      <c r="AE288" s="53" t="n"/>
      <c r="AF288" s="53" t="n"/>
      <c r="AG288" s="53" t="n"/>
      <c r="AH288" s="53" t="n"/>
      <c r="AI288" s="53" t="n"/>
      <c r="AJ288" s="53" t="n"/>
      <c r="AK288" s="53" t="n"/>
      <c r="AL288" s="53" t="n"/>
      <c r="AM288" s="53" t="n"/>
      <c r="AN288" s="53" t="n"/>
      <c r="AO288" s="53" t="n"/>
      <c r="AP288" s="53" t="n"/>
      <c r="AQ288" s="53" t="n"/>
      <c r="AR288" s="53" t="n"/>
      <c r="AS288" s="53" t="n"/>
      <c r="AT288" s="53" t="n"/>
      <c r="AU288" s="53" t="n"/>
      <c r="AV288" s="53" t="n"/>
      <c r="AW288" s="53" t="n"/>
      <c r="AX288" s="53" t="n"/>
      <c r="AY288" s="53" t="n"/>
    </row>
    <row r="289" ht="15" customHeight="1">
      <c r="A289" s="40">
        <f>IF($D$289="","",93)</f>
        <v/>
      </c>
      <c r="B289" s="10" t="n"/>
      <c r="C289" s="41" t="inlineStr">
        <is>
          <t>기타</t>
        </is>
      </c>
      <c r="D289" s="42" t="n"/>
      <c r="E289" s="43" t="inlineStr">
        <is>
          <t>기획</t>
        </is>
      </c>
      <c r="F289" s="44" t="n"/>
      <c r="G289" s="45" t="n"/>
      <c r="H289" s="46">
        <f>IF($I$289="","",IF($I$289&lt;0,"🔴지연",IF($I$289&lt;=1,"🟡임박","🟢여유")))</f>
        <v/>
      </c>
      <c r="I289" s="47">
        <f>IF(OR($G$289="",$K$289=""),"",$G$289-$K$289)</f>
        <v/>
      </c>
      <c r="J289" s="48">
        <f>IF(SUM($L$289:$L$291)=0,"",SUM($L$289:$L$291))</f>
        <v/>
      </c>
      <c r="K289" s="49">
        <f>IF($J$289="","",MAX($N$289:$N$291))</f>
        <v/>
      </c>
      <c r="L289" s="50">
        <f>IF(SUM(U289:AY289)=0,"",SUM(U289:AY289))</f>
        <v/>
      </c>
      <c r="M289" s="51">
        <f>IFERROR(INDEX(U$2:AY$2,MATCH(TRUE,INDEX(U289:AY289&lt;&gt;"",0),0)),"")</f>
        <v/>
      </c>
      <c r="N289" s="51">
        <f>IFERROR(LOOKUP(2,1/(U289:AY289&lt;&gt;""),U$2:AY$2),"")</f>
        <v/>
      </c>
      <c r="O289" s="52" t="n"/>
      <c r="P289" s="52" t="n"/>
      <c r="Q289" s="52" t="n"/>
      <c r="R289" s="44" t="n"/>
      <c r="S289" s="14" t="n"/>
      <c r="U289" s="53" t="n"/>
      <c r="V289" s="53" t="n"/>
      <c r="W289" s="53" t="n"/>
      <c r="X289" s="53" t="n"/>
      <c r="Y289" s="53" t="n"/>
      <c r="Z289" s="53" t="n"/>
      <c r="AA289" s="53" t="n"/>
      <c r="AB289" s="53" t="n"/>
      <c r="AC289" s="53" t="n"/>
      <c r="AD289" s="53" t="n"/>
      <c r="AE289" s="53" t="n"/>
      <c r="AF289" s="53" t="n"/>
      <c r="AG289" s="53" t="n"/>
      <c r="AH289" s="53" t="n"/>
      <c r="AI289" s="53" t="n"/>
      <c r="AJ289" s="53" t="n"/>
      <c r="AK289" s="53" t="n"/>
      <c r="AL289" s="53" t="n"/>
      <c r="AM289" s="53" t="n"/>
      <c r="AN289" s="53" t="n"/>
      <c r="AO289" s="53" t="n"/>
      <c r="AP289" s="53" t="n"/>
      <c r="AQ289" s="53" t="n"/>
      <c r="AR289" s="53" t="n"/>
      <c r="AS289" s="53" t="n"/>
      <c r="AT289" s="53" t="n"/>
      <c r="AU289" s="53" t="n"/>
      <c r="AV289" s="53" t="n"/>
      <c r="AW289" s="53" t="n"/>
      <c r="AX289" s="53" t="n"/>
      <c r="AY289" s="53" t="n"/>
    </row>
    <row r="290" ht="15" customHeight="1">
      <c r="A290" s="54" t="n"/>
      <c r="B290" s="55">
        <f>IF($B$289="","",$B$289)</f>
        <v/>
      </c>
      <c r="C290" s="56" t="inlineStr">
        <is>
          <t>기타</t>
        </is>
      </c>
      <c r="D290" s="55">
        <f>IF($D$289="","",$D$289)</f>
        <v/>
      </c>
      <c r="E290" s="57" t="inlineStr">
        <is>
          <t>이미지</t>
        </is>
      </c>
      <c r="F290" s="44" t="n"/>
      <c r="G290" s="58">
        <f>IF($G$289="","",$G$289)</f>
        <v/>
      </c>
      <c r="H290" s="59" t="n"/>
      <c r="I290" s="59" t="n"/>
      <c r="J290" s="59" t="n"/>
      <c r="K290" s="59" t="n"/>
      <c r="L290" s="60">
        <f>IF(SUM(U290:AY290)=0,"",SUM(U290:AY290))</f>
        <v/>
      </c>
      <c r="M290" s="61">
        <f>IFERROR(INDEX(U$2:AY$2,MATCH(TRUE,INDEX(U290:AY290&lt;&gt;"",0),0)),"")</f>
        <v/>
      </c>
      <c r="N290" s="61">
        <f>IFERROR(LOOKUP(2,1/(U290:AY290&lt;&gt;""),U$2:AY$2),"")</f>
        <v/>
      </c>
      <c r="O290" s="59" t="n"/>
      <c r="P290" s="59" t="n"/>
      <c r="Q290" s="59" t="n"/>
      <c r="R290" s="59" t="n"/>
      <c r="S290" s="14" t="n"/>
      <c r="U290" s="53" t="n"/>
      <c r="V290" s="53" t="n"/>
      <c r="W290" s="53" t="n"/>
      <c r="X290" s="53" t="n"/>
      <c r="Y290" s="53" t="n"/>
      <c r="Z290" s="53" t="n"/>
      <c r="AA290" s="53" t="n"/>
      <c r="AB290" s="53" t="n"/>
      <c r="AC290" s="53" t="n"/>
      <c r="AD290" s="53" t="n"/>
      <c r="AE290" s="53" t="n"/>
      <c r="AF290" s="53" t="n"/>
      <c r="AG290" s="53" t="n"/>
      <c r="AH290" s="53" t="n"/>
      <c r="AI290" s="53" t="n"/>
      <c r="AJ290" s="53" t="n"/>
      <c r="AK290" s="53" t="n"/>
      <c r="AL290" s="53" t="n"/>
      <c r="AM290" s="53" t="n"/>
      <c r="AN290" s="53" t="n"/>
      <c r="AO290" s="53" t="n"/>
      <c r="AP290" s="53" t="n"/>
      <c r="AQ290" s="53" t="n"/>
      <c r="AR290" s="53" t="n"/>
      <c r="AS290" s="53" t="n"/>
      <c r="AT290" s="53" t="n"/>
      <c r="AU290" s="53" t="n"/>
      <c r="AV290" s="53" t="n"/>
      <c r="AW290" s="53" t="n"/>
      <c r="AX290" s="53" t="n"/>
      <c r="AY290" s="53" t="n"/>
    </row>
    <row r="291" ht="15" customHeight="1">
      <c r="A291" s="62" t="n"/>
      <c r="B291" s="55">
        <f>IF($B$289="","",$B$289)</f>
        <v/>
      </c>
      <c r="C291" s="63" t="inlineStr">
        <is>
          <t>기타</t>
        </is>
      </c>
      <c r="D291" s="55">
        <f>IF($D$289="","",$D$289)</f>
        <v/>
      </c>
      <c r="E291" s="64" t="inlineStr">
        <is>
          <t>영상</t>
        </is>
      </c>
      <c r="F291" s="44" t="n"/>
      <c r="G291" s="58">
        <f>IF($G$289="","",$G$289)</f>
        <v/>
      </c>
      <c r="H291" s="59" t="n"/>
      <c r="I291" s="59" t="n"/>
      <c r="J291" s="59" t="n"/>
      <c r="K291" s="59" t="n"/>
      <c r="L291" s="65">
        <f>IF(SUM(U291:AY291)=0,"",SUM(U291:AY291))</f>
        <v/>
      </c>
      <c r="M291" s="66">
        <f>IFERROR(INDEX(U$2:AY$2,MATCH(TRUE,INDEX(U291:AY291&lt;&gt;"",0),0)),"")</f>
        <v/>
      </c>
      <c r="N291" s="66">
        <f>IFERROR(LOOKUP(2,1/(U291:AY291&lt;&gt;""),U$2:AY$2),"")</f>
        <v/>
      </c>
      <c r="O291" s="59" t="n"/>
      <c r="P291" s="59" t="n"/>
      <c r="Q291" s="59" t="n"/>
      <c r="R291" s="59" t="n"/>
      <c r="S291" s="14" t="n"/>
      <c r="U291" s="53" t="n"/>
      <c r="V291" s="53" t="n"/>
      <c r="W291" s="53" t="n"/>
      <c r="X291" s="53" t="n"/>
      <c r="Y291" s="53" t="n"/>
      <c r="Z291" s="53" t="n"/>
      <c r="AA291" s="53" t="n"/>
      <c r="AB291" s="53" t="n"/>
      <c r="AC291" s="53" t="n"/>
      <c r="AD291" s="53" t="n"/>
      <c r="AE291" s="53" t="n"/>
      <c r="AF291" s="53" t="n"/>
      <c r="AG291" s="53" t="n"/>
      <c r="AH291" s="53" t="n"/>
      <c r="AI291" s="53" t="n"/>
      <c r="AJ291" s="53" t="n"/>
      <c r="AK291" s="53" t="n"/>
      <c r="AL291" s="53" t="n"/>
      <c r="AM291" s="53" t="n"/>
      <c r="AN291" s="53" t="n"/>
      <c r="AO291" s="53" t="n"/>
      <c r="AP291" s="53" t="n"/>
      <c r="AQ291" s="53" t="n"/>
      <c r="AR291" s="53" t="n"/>
      <c r="AS291" s="53" t="n"/>
      <c r="AT291" s="53" t="n"/>
      <c r="AU291" s="53" t="n"/>
      <c r="AV291" s="53" t="n"/>
      <c r="AW291" s="53" t="n"/>
      <c r="AX291" s="53" t="n"/>
      <c r="AY291" s="53" t="n"/>
    </row>
    <row r="292" ht="15" customHeight="1">
      <c r="A292" s="40">
        <f>IF($D$292="","",94)</f>
        <v/>
      </c>
      <c r="B292" s="10" t="n"/>
      <c r="C292" s="41" t="inlineStr">
        <is>
          <t>기타</t>
        </is>
      </c>
      <c r="D292" s="42" t="n"/>
      <c r="E292" s="43" t="inlineStr">
        <is>
          <t>기획</t>
        </is>
      </c>
      <c r="F292" s="44" t="n"/>
      <c r="G292" s="45" t="n"/>
      <c r="H292" s="46">
        <f>IF($I$292="","",IF($I$292&lt;0,"🔴지연",IF($I$292&lt;=1,"🟡임박","🟢여유")))</f>
        <v/>
      </c>
      <c r="I292" s="47">
        <f>IF(OR($G$292="",$K$292=""),"",$G$292-$K$292)</f>
        <v/>
      </c>
      <c r="J292" s="48">
        <f>IF(SUM($L$292:$L$294)=0,"",SUM($L$292:$L$294))</f>
        <v/>
      </c>
      <c r="K292" s="49">
        <f>IF($J$292="","",MAX($N$292:$N$294))</f>
        <v/>
      </c>
      <c r="L292" s="50">
        <f>IF(SUM(U292:AY292)=0,"",SUM(U292:AY292))</f>
        <v/>
      </c>
      <c r="M292" s="51">
        <f>IFERROR(INDEX(U$2:AY$2,MATCH(TRUE,INDEX(U292:AY292&lt;&gt;"",0),0)),"")</f>
        <v/>
      </c>
      <c r="N292" s="51">
        <f>IFERROR(LOOKUP(2,1/(U292:AY292&lt;&gt;""),U$2:AY$2),"")</f>
        <v/>
      </c>
      <c r="O292" s="52" t="n"/>
      <c r="P292" s="52" t="n"/>
      <c r="Q292" s="52" t="n"/>
      <c r="R292" s="44" t="n"/>
      <c r="S292" s="14" t="n"/>
      <c r="U292" s="53" t="n"/>
      <c r="V292" s="53" t="n"/>
      <c r="W292" s="53" t="n"/>
      <c r="X292" s="53" t="n"/>
      <c r="Y292" s="53" t="n"/>
      <c r="Z292" s="53" t="n"/>
      <c r="AA292" s="53" t="n"/>
      <c r="AB292" s="53" t="n"/>
      <c r="AC292" s="53" t="n"/>
      <c r="AD292" s="53" t="n"/>
      <c r="AE292" s="53" t="n"/>
      <c r="AF292" s="53" t="n"/>
      <c r="AG292" s="53" t="n"/>
      <c r="AH292" s="53" t="n"/>
      <c r="AI292" s="53" t="n"/>
      <c r="AJ292" s="53" t="n"/>
      <c r="AK292" s="53" t="n"/>
      <c r="AL292" s="53" t="n"/>
      <c r="AM292" s="53" t="n"/>
      <c r="AN292" s="53" t="n"/>
      <c r="AO292" s="53" t="n"/>
      <c r="AP292" s="53" t="n"/>
      <c r="AQ292" s="53" t="n"/>
      <c r="AR292" s="53" t="n"/>
      <c r="AS292" s="53" t="n"/>
      <c r="AT292" s="53" t="n"/>
      <c r="AU292" s="53" t="n"/>
      <c r="AV292" s="53" t="n"/>
      <c r="AW292" s="53" t="n"/>
      <c r="AX292" s="53" t="n"/>
      <c r="AY292" s="53" t="n"/>
    </row>
    <row r="293" ht="15" customHeight="1">
      <c r="A293" s="54" t="n"/>
      <c r="B293" s="55">
        <f>IF($B$292="","",$B$292)</f>
        <v/>
      </c>
      <c r="C293" s="56" t="inlineStr">
        <is>
          <t>기타</t>
        </is>
      </c>
      <c r="D293" s="55">
        <f>IF($D$292="","",$D$292)</f>
        <v/>
      </c>
      <c r="E293" s="57" t="inlineStr">
        <is>
          <t>이미지</t>
        </is>
      </c>
      <c r="F293" s="44" t="n"/>
      <c r="G293" s="58">
        <f>IF($G$292="","",$G$292)</f>
        <v/>
      </c>
      <c r="H293" s="59" t="n"/>
      <c r="I293" s="59" t="n"/>
      <c r="J293" s="59" t="n"/>
      <c r="K293" s="59" t="n"/>
      <c r="L293" s="60">
        <f>IF(SUM(U293:AY293)=0,"",SUM(U293:AY293))</f>
        <v/>
      </c>
      <c r="M293" s="61">
        <f>IFERROR(INDEX(U$2:AY$2,MATCH(TRUE,INDEX(U293:AY293&lt;&gt;"",0),0)),"")</f>
        <v/>
      </c>
      <c r="N293" s="61">
        <f>IFERROR(LOOKUP(2,1/(U293:AY293&lt;&gt;""),U$2:AY$2),"")</f>
        <v/>
      </c>
      <c r="O293" s="59" t="n"/>
      <c r="P293" s="59" t="n"/>
      <c r="Q293" s="59" t="n"/>
      <c r="R293" s="59" t="n"/>
      <c r="S293" s="14" t="n"/>
      <c r="U293" s="53" t="n"/>
      <c r="V293" s="53" t="n"/>
      <c r="W293" s="53" t="n"/>
      <c r="X293" s="53" t="n"/>
      <c r="Y293" s="53" t="n"/>
      <c r="Z293" s="53" t="n"/>
      <c r="AA293" s="53" t="n"/>
      <c r="AB293" s="53" t="n"/>
      <c r="AC293" s="53" t="n"/>
      <c r="AD293" s="53" t="n"/>
      <c r="AE293" s="53" t="n"/>
      <c r="AF293" s="53" t="n"/>
      <c r="AG293" s="53" t="n"/>
      <c r="AH293" s="53" t="n"/>
      <c r="AI293" s="53" t="n"/>
      <c r="AJ293" s="53" t="n"/>
      <c r="AK293" s="53" t="n"/>
      <c r="AL293" s="53" t="n"/>
      <c r="AM293" s="53" t="n"/>
      <c r="AN293" s="53" t="n"/>
      <c r="AO293" s="53" t="n"/>
      <c r="AP293" s="53" t="n"/>
      <c r="AQ293" s="53" t="n"/>
      <c r="AR293" s="53" t="n"/>
      <c r="AS293" s="53" t="n"/>
      <c r="AT293" s="53" t="n"/>
      <c r="AU293" s="53" t="n"/>
      <c r="AV293" s="53" t="n"/>
      <c r="AW293" s="53" t="n"/>
      <c r="AX293" s="53" t="n"/>
      <c r="AY293" s="53" t="n"/>
    </row>
    <row r="294" ht="15" customHeight="1">
      <c r="A294" s="62" t="n"/>
      <c r="B294" s="55">
        <f>IF($B$292="","",$B$292)</f>
        <v/>
      </c>
      <c r="C294" s="63" t="inlineStr">
        <is>
          <t>기타</t>
        </is>
      </c>
      <c r="D294" s="55">
        <f>IF($D$292="","",$D$292)</f>
        <v/>
      </c>
      <c r="E294" s="64" t="inlineStr">
        <is>
          <t>영상</t>
        </is>
      </c>
      <c r="F294" s="44" t="n"/>
      <c r="G294" s="58">
        <f>IF($G$292="","",$G$292)</f>
        <v/>
      </c>
      <c r="H294" s="59" t="n"/>
      <c r="I294" s="59" t="n"/>
      <c r="J294" s="59" t="n"/>
      <c r="K294" s="59" t="n"/>
      <c r="L294" s="65">
        <f>IF(SUM(U294:AY294)=0,"",SUM(U294:AY294))</f>
        <v/>
      </c>
      <c r="M294" s="66">
        <f>IFERROR(INDEX(U$2:AY$2,MATCH(TRUE,INDEX(U294:AY294&lt;&gt;"",0),0)),"")</f>
        <v/>
      </c>
      <c r="N294" s="66">
        <f>IFERROR(LOOKUP(2,1/(U294:AY294&lt;&gt;""),U$2:AY$2),"")</f>
        <v/>
      </c>
      <c r="O294" s="59" t="n"/>
      <c r="P294" s="59" t="n"/>
      <c r="Q294" s="59" t="n"/>
      <c r="R294" s="59" t="n"/>
      <c r="S294" s="14" t="n"/>
      <c r="U294" s="53" t="n"/>
      <c r="V294" s="53" t="n"/>
      <c r="W294" s="53" t="n"/>
      <c r="X294" s="53" t="n"/>
      <c r="Y294" s="53" t="n"/>
      <c r="Z294" s="53" t="n"/>
      <c r="AA294" s="53" t="n"/>
      <c r="AB294" s="53" t="n"/>
      <c r="AC294" s="53" t="n"/>
      <c r="AD294" s="53" t="n"/>
      <c r="AE294" s="53" t="n"/>
      <c r="AF294" s="53" t="n"/>
      <c r="AG294" s="53" t="n"/>
      <c r="AH294" s="53" t="n"/>
      <c r="AI294" s="53" t="n"/>
      <c r="AJ294" s="53" t="n"/>
      <c r="AK294" s="53" t="n"/>
      <c r="AL294" s="53" t="n"/>
      <c r="AM294" s="53" t="n"/>
      <c r="AN294" s="53" t="n"/>
      <c r="AO294" s="53" t="n"/>
      <c r="AP294" s="53" t="n"/>
      <c r="AQ294" s="53" t="n"/>
      <c r="AR294" s="53" t="n"/>
      <c r="AS294" s="53" t="n"/>
      <c r="AT294" s="53" t="n"/>
      <c r="AU294" s="53" t="n"/>
      <c r="AV294" s="53" t="n"/>
      <c r="AW294" s="53" t="n"/>
      <c r="AX294" s="53" t="n"/>
      <c r="AY294" s="53" t="n"/>
    </row>
    <row r="295" ht="15" customHeight="1">
      <c r="A295" s="40">
        <f>IF($D$295="","",95)</f>
        <v/>
      </c>
      <c r="B295" s="10" t="n"/>
      <c r="C295" s="41" t="inlineStr">
        <is>
          <t>기타</t>
        </is>
      </c>
      <c r="D295" s="42" t="n"/>
      <c r="E295" s="43" t="inlineStr">
        <is>
          <t>기획</t>
        </is>
      </c>
      <c r="F295" s="44" t="n"/>
      <c r="G295" s="45" t="n"/>
      <c r="H295" s="46">
        <f>IF($I$295="","",IF($I$295&lt;0,"🔴지연",IF($I$295&lt;=1,"🟡임박","🟢여유")))</f>
        <v/>
      </c>
      <c r="I295" s="47">
        <f>IF(OR($G$295="",$K$295=""),"",$G$295-$K$295)</f>
        <v/>
      </c>
      <c r="J295" s="48">
        <f>IF(SUM($L$295:$L$297)=0,"",SUM($L$295:$L$297))</f>
        <v/>
      </c>
      <c r="K295" s="49">
        <f>IF($J$295="","",MAX($N$295:$N$297))</f>
        <v/>
      </c>
      <c r="L295" s="50">
        <f>IF(SUM(U295:AY295)=0,"",SUM(U295:AY295))</f>
        <v/>
      </c>
      <c r="M295" s="51">
        <f>IFERROR(INDEX(U$2:AY$2,MATCH(TRUE,INDEX(U295:AY295&lt;&gt;"",0),0)),"")</f>
        <v/>
      </c>
      <c r="N295" s="51">
        <f>IFERROR(LOOKUP(2,1/(U295:AY295&lt;&gt;""),U$2:AY$2),"")</f>
        <v/>
      </c>
      <c r="O295" s="52" t="n"/>
      <c r="P295" s="52" t="n"/>
      <c r="Q295" s="52" t="n"/>
      <c r="R295" s="44" t="n"/>
      <c r="S295" s="14" t="n"/>
      <c r="U295" s="53" t="n"/>
      <c r="V295" s="53" t="n"/>
      <c r="W295" s="53" t="n"/>
      <c r="X295" s="53" t="n"/>
      <c r="Y295" s="53" t="n"/>
      <c r="Z295" s="53" t="n"/>
      <c r="AA295" s="53" t="n"/>
      <c r="AB295" s="53" t="n"/>
      <c r="AC295" s="53" t="n"/>
      <c r="AD295" s="53" t="n"/>
      <c r="AE295" s="53" t="n"/>
      <c r="AF295" s="53" t="n"/>
      <c r="AG295" s="53" t="n"/>
      <c r="AH295" s="53" t="n"/>
      <c r="AI295" s="53" t="n"/>
      <c r="AJ295" s="53" t="n"/>
      <c r="AK295" s="53" t="n"/>
      <c r="AL295" s="53" t="n"/>
      <c r="AM295" s="53" t="n"/>
      <c r="AN295" s="53" t="n"/>
      <c r="AO295" s="53" t="n"/>
      <c r="AP295" s="53" t="n"/>
      <c r="AQ295" s="53" t="n"/>
      <c r="AR295" s="53" t="n"/>
      <c r="AS295" s="53" t="n"/>
      <c r="AT295" s="53" t="n"/>
      <c r="AU295" s="53" t="n"/>
      <c r="AV295" s="53" t="n"/>
      <c r="AW295" s="53" t="n"/>
      <c r="AX295" s="53" t="n"/>
      <c r="AY295" s="53" t="n"/>
    </row>
    <row r="296" ht="15" customHeight="1">
      <c r="A296" s="54" t="n"/>
      <c r="B296" s="55">
        <f>IF($B$295="","",$B$295)</f>
        <v/>
      </c>
      <c r="C296" s="56" t="inlineStr">
        <is>
          <t>기타</t>
        </is>
      </c>
      <c r="D296" s="55">
        <f>IF($D$295="","",$D$295)</f>
        <v/>
      </c>
      <c r="E296" s="57" t="inlineStr">
        <is>
          <t>이미지</t>
        </is>
      </c>
      <c r="F296" s="44" t="n"/>
      <c r="G296" s="58">
        <f>IF($G$295="","",$G$295)</f>
        <v/>
      </c>
      <c r="H296" s="59" t="n"/>
      <c r="I296" s="59" t="n"/>
      <c r="J296" s="59" t="n"/>
      <c r="K296" s="59" t="n"/>
      <c r="L296" s="60">
        <f>IF(SUM(U296:AY296)=0,"",SUM(U296:AY296))</f>
        <v/>
      </c>
      <c r="M296" s="61">
        <f>IFERROR(INDEX(U$2:AY$2,MATCH(TRUE,INDEX(U296:AY296&lt;&gt;"",0),0)),"")</f>
        <v/>
      </c>
      <c r="N296" s="61">
        <f>IFERROR(LOOKUP(2,1/(U296:AY296&lt;&gt;""),U$2:AY$2),"")</f>
        <v/>
      </c>
      <c r="O296" s="59" t="n"/>
      <c r="P296" s="59" t="n"/>
      <c r="Q296" s="59" t="n"/>
      <c r="R296" s="59" t="n"/>
      <c r="S296" s="14" t="n"/>
      <c r="U296" s="53" t="n"/>
      <c r="V296" s="53" t="n"/>
      <c r="W296" s="53" t="n"/>
      <c r="X296" s="53" t="n"/>
      <c r="Y296" s="53" t="n"/>
      <c r="Z296" s="53" t="n"/>
      <c r="AA296" s="53" t="n"/>
      <c r="AB296" s="53" t="n"/>
      <c r="AC296" s="53" t="n"/>
      <c r="AD296" s="53" t="n"/>
      <c r="AE296" s="53" t="n"/>
      <c r="AF296" s="53" t="n"/>
      <c r="AG296" s="53" t="n"/>
      <c r="AH296" s="53" t="n"/>
      <c r="AI296" s="53" t="n"/>
      <c r="AJ296" s="53" t="n"/>
      <c r="AK296" s="53" t="n"/>
      <c r="AL296" s="53" t="n"/>
      <c r="AM296" s="53" t="n"/>
      <c r="AN296" s="53" t="n"/>
      <c r="AO296" s="53" t="n"/>
      <c r="AP296" s="53" t="n"/>
      <c r="AQ296" s="53" t="n"/>
      <c r="AR296" s="53" t="n"/>
      <c r="AS296" s="53" t="n"/>
      <c r="AT296" s="53" t="n"/>
      <c r="AU296" s="53" t="n"/>
      <c r="AV296" s="53" t="n"/>
      <c r="AW296" s="53" t="n"/>
      <c r="AX296" s="53" t="n"/>
      <c r="AY296" s="53" t="n"/>
    </row>
    <row r="297" ht="15" customHeight="1">
      <c r="A297" s="62" t="n"/>
      <c r="B297" s="55">
        <f>IF($B$295="","",$B$295)</f>
        <v/>
      </c>
      <c r="C297" s="63" t="inlineStr">
        <is>
          <t>기타</t>
        </is>
      </c>
      <c r="D297" s="55">
        <f>IF($D$295="","",$D$295)</f>
        <v/>
      </c>
      <c r="E297" s="64" t="inlineStr">
        <is>
          <t>영상</t>
        </is>
      </c>
      <c r="F297" s="44" t="n"/>
      <c r="G297" s="58">
        <f>IF($G$295="","",$G$295)</f>
        <v/>
      </c>
      <c r="H297" s="59" t="n"/>
      <c r="I297" s="59" t="n"/>
      <c r="J297" s="59" t="n"/>
      <c r="K297" s="59" t="n"/>
      <c r="L297" s="65">
        <f>IF(SUM(U297:AY297)=0,"",SUM(U297:AY297))</f>
        <v/>
      </c>
      <c r="M297" s="66">
        <f>IFERROR(INDEX(U$2:AY$2,MATCH(TRUE,INDEX(U297:AY297&lt;&gt;"",0),0)),"")</f>
        <v/>
      </c>
      <c r="N297" s="66">
        <f>IFERROR(LOOKUP(2,1/(U297:AY297&lt;&gt;""),U$2:AY$2),"")</f>
        <v/>
      </c>
      <c r="O297" s="59" t="n"/>
      <c r="P297" s="59" t="n"/>
      <c r="Q297" s="59" t="n"/>
      <c r="R297" s="59" t="n"/>
      <c r="S297" s="14" t="n"/>
      <c r="U297" s="53" t="n"/>
      <c r="V297" s="53" t="n"/>
      <c r="W297" s="53" t="n"/>
      <c r="X297" s="53" t="n"/>
      <c r="Y297" s="53" t="n"/>
      <c r="Z297" s="53" t="n"/>
      <c r="AA297" s="53" t="n"/>
      <c r="AB297" s="53" t="n"/>
      <c r="AC297" s="53" t="n"/>
      <c r="AD297" s="53" t="n"/>
      <c r="AE297" s="53" t="n"/>
      <c r="AF297" s="53" t="n"/>
      <c r="AG297" s="53" t="n"/>
      <c r="AH297" s="53" t="n"/>
      <c r="AI297" s="53" t="n"/>
      <c r="AJ297" s="53" t="n"/>
      <c r="AK297" s="53" t="n"/>
      <c r="AL297" s="53" t="n"/>
      <c r="AM297" s="53" t="n"/>
      <c r="AN297" s="53" t="n"/>
      <c r="AO297" s="53" t="n"/>
      <c r="AP297" s="53" t="n"/>
      <c r="AQ297" s="53" t="n"/>
      <c r="AR297" s="53" t="n"/>
      <c r="AS297" s="53" t="n"/>
      <c r="AT297" s="53" t="n"/>
      <c r="AU297" s="53" t="n"/>
      <c r="AV297" s="53" t="n"/>
      <c r="AW297" s="53" t="n"/>
      <c r="AX297" s="53" t="n"/>
      <c r="AY297" s="53" t="n"/>
    </row>
    <row r="298" ht="15" customHeight="1">
      <c r="A298" s="40">
        <f>IF($D$298="","",96)</f>
        <v/>
      </c>
      <c r="B298" s="10" t="n"/>
      <c r="C298" s="41" t="inlineStr">
        <is>
          <t>기타</t>
        </is>
      </c>
      <c r="D298" s="42" t="n"/>
      <c r="E298" s="43" t="inlineStr">
        <is>
          <t>기획</t>
        </is>
      </c>
      <c r="F298" s="44" t="n"/>
      <c r="G298" s="45" t="n"/>
      <c r="H298" s="46">
        <f>IF($I$298="","",IF($I$298&lt;0,"🔴지연",IF($I$298&lt;=1,"🟡임박","🟢여유")))</f>
        <v/>
      </c>
      <c r="I298" s="47">
        <f>IF(OR($G$298="",$K$298=""),"",$G$298-$K$298)</f>
        <v/>
      </c>
      <c r="J298" s="48">
        <f>IF(SUM($L$298:$L$300)=0,"",SUM($L$298:$L$300))</f>
        <v/>
      </c>
      <c r="K298" s="49">
        <f>IF($J$298="","",MAX($N$298:$N$300))</f>
        <v/>
      </c>
      <c r="L298" s="50">
        <f>IF(SUM(U298:AY298)=0,"",SUM(U298:AY298))</f>
        <v/>
      </c>
      <c r="M298" s="51">
        <f>IFERROR(INDEX(U$2:AY$2,MATCH(TRUE,INDEX(U298:AY298&lt;&gt;"",0),0)),"")</f>
        <v/>
      </c>
      <c r="N298" s="51">
        <f>IFERROR(LOOKUP(2,1/(U298:AY298&lt;&gt;""),U$2:AY$2),"")</f>
        <v/>
      </c>
      <c r="O298" s="52" t="n"/>
      <c r="P298" s="52" t="n"/>
      <c r="Q298" s="52" t="n"/>
      <c r="R298" s="44" t="n"/>
      <c r="S298" s="14" t="n"/>
      <c r="U298" s="53" t="n"/>
      <c r="V298" s="53" t="n"/>
      <c r="W298" s="53" t="n"/>
      <c r="X298" s="53" t="n"/>
      <c r="Y298" s="53" t="n"/>
      <c r="Z298" s="53" t="n"/>
      <c r="AA298" s="53" t="n"/>
      <c r="AB298" s="53" t="n"/>
      <c r="AC298" s="53" t="n"/>
      <c r="AD298" s="53" t="n"/>
      <c r="AE298" s="53" t="n"/>
      <c r="AF298" s="53" t="n"/>
      <c r="AG298" s="53" t="n"/>
      <c r="AH298" s="53" t="n"/>
      <c r="AI298" s="53" t="n"/>
      <c r="AJ298" s="53" t="n"/>
      <c r="AK298" s="53" t="n"/>
      <c r="AL298" s="53" t="n"/>
      <c r="AM298" s="53" t="n"/>
      <c r="AN298" s="53" t="n"/>
      <c r="AO298" s="53" t="n"/>
      <c r="AP298" s="53" t="n"/>
      <c r="AQ298" s="53" t="n"/>
      <c r="AR298" s="53" t="n"/>
      <c r="AS298" s="53" t="n"/>
      <c r="AT298" s="53" t="n"/>
      <c r="AU298" s="53" t="n"/>
      <c r="AV298" s="53" t="n"/>
      <c r="AW298" s="53" t="n"/>
      <c r="AX298" s="53" t="n"/>
      <c r="AY298" s="53" t="n"/>
    </row>
    <row r="299" ht="15" customHeight="1">
      <c r="A299" s="54" t="n"/>
      <c r="B299" s="55">
        <f>IF($B$298="","",$B$298)</f>
        <v/>
      </c>
      <c r="C299" s="56" t="inlineStr">
        <is>
          <t>기타</t>
        </is>
      </c>
      <c r="D299" s="55">
        <f>IF($D$298="","",$D$298)</f>
        <v/>
      </c>
      <c r="E299" s="57" t="inlineStr">
        <is>
          <t>이미지</t>
        </is>
      </c>
      <c r="F299" s="44" t="n"/>
      <c r="G299" s="58">
        <f>IF($G$298="","",$G$298)</f>
        <v/>
      </c>
      <c r="H299" s="59" t="n"/>
      <c r="I299" s="59" t="n"/>
      <c r="J299" s="59" t="n"/>
      <c r="K299" s="59" t="n"/>
      <c r="L299" s="60">
        <f>IF(SUM(U299:AY299)=0,"",SUM(U299:AY299))</f>
        <v/>
      </c>
      <c r="M299" s="61">
        <f>IFERROR(INDEX(U$2:AY$2,MATCH(TRUE,INDEX(U299:AY299&lt;&gt;"",0),0)),"")</f>
        <v/>
      </c>
      <c r="N299" s="61">
        <f>IFERROR(LOOKUP(2,1/(U299:AY299&lt;&gt;""),U$2:AY$2),"")</f>
        <v/>
      </c>
      <c r="O299" s="59" t="n"/>
      <c r="P299" s="59" t="n"/>
      <c r="Q299" s="59" t="n"/>
      <c r="R299" s="59" t="n"/>
      <c r="S299" s="14" t="n"/>
      <c r="U299" s="53" t="n"/>
      <c r="V299" s="53" t="n"/>
      <c r="W299" s="53" t="n"/>
      <c r="X299" s="53" t="n"/>
      <c r="Y299" s="53" t="n"/>
      <c r="Z299" s="53" t="n"/>
      <c r="AA299" s="53" t="n"/>
      <c r="AB299" s="53" t="n"/>
      <c r="AC299" s="53" t="n"/>
      <c r="AD299" s="53" t="n"/>
      <c r="AE299" s="53" t="n"/>
      <c r="AF299" s="53" t="n"/>
      <c r="AG299" s="53" t="n"/>
      <c r="AH299" s="53" t="n"/>
      <c r="AI299" s="53" t="n"/>
      <c r="AJ299" s="53" t="n"/>
      <c r="AK299" s="53" t="n"/>
      <c r="AL299" s="53" t="n"/>
      <c r="AM299" s="53" t="n"/>
      <c r="AN299" s="53" t="n"/>
      <c r="AO299" s="53" t="n"/>
      <c r="AP299" s="53" t="n"/>
      <c r="AQ299" s="53" t="n"/>
      <c r="AR299" s="53" t="n"/>
      <c r="AS299" s="53" t="n"/>
      <c r="AT299" s="53" t="n"/>
      <c r="AU299" s="53" t="n"/>
      <c r="AV299" s="53" t="n"/>
      <c r="AW299" s="53" t="n"/>
      <c r="AX299" s="53" t="n"/>
      <c r="AY299" s="53" t="n"/>
    </row>
    <row r="300" ht="15" customHeight="1">
      <c r="A300" s="62" t="n"/>
      <c r="B300" s="55">
        <f>IF($B$298="","",$B$298)</f>
        <v/>
      </c>
      <c r="C300" s="63" t="inlineStr">
        <is>
          <t>기타</t>
        </is>
      </c>
      <c r="D300" s="55">
        <f>IF($D$298="","",$D$298)</f>
        <v/>
      </c>
      <c r="E300" s="64" t="inlineStr">
        <is>
          <t>영상</t>
        </is>
      </c>
      <c r="F300" s="44" t="n"/>
      <c r="G300" s="58">
        <f>IF($G$298="","",$G$298)</f>
        <v/>
      </c>
      <c r="H300" s="59" t="n"/>
      <c r="I300" s="59" t="n"/>
      <c r="J300" s="59" t="n"/>
      <c r="K300" s="59" t="n"/>
      <c r="L300" s="65">
        <f>IF(SUM(U300:AY300)=0,"",SUM(U300:AY300))</f>
        <v/>
      </c>
      <c r="M300" s="66">
        <f>IFERROR(INDEX(U$2:AY$2,MATCH(TRUE,INDEX(U300:AY300&lt;&gt;"",0),0)),"")</f>
        <v/>
      </c>
      <c r="N300" s="66">
        <f>IFERROR(LOOKUP(2,1/(U300:AY300&lt;&gt;""),U$2:AY$2),"")</f>
        <v/>
      </c>
      <c r="O300" s="59" t="n"/>
      <c r="P300" s="59" t="n"/>
      <c r="Q300" s="59" t="n"/>
      <c r="R300" s="59" t="n"/>
      <c r="S300" s="14" t="n"/>
      <c r="U300" s="53" t="n"/>
      <c r="V300" s="53" t="n"/>
      <c r="W300" s="53" t="n"/>
      <c r="X300" s="53" t="n"/>
      <c r="Y300" s="53" t="n"/>
      <c r="Z300" s="53" t="n"/>
      <c r="AA300" s="53" t="n"/>
      <c r="AB300" s="53" t="n"/>
      <c r="AC300" s="53" t="n"/>
      <c r="AD300" s="53" t="n"/>
      <c r="AE300" s="53" t="n"/>
      <c r="AF300" s="53" t="n"/>
      <c r="AG300" s="53" t="n"/>
      <c r="AH300" s="53" t="n"/>
      <c r="AI300" s="53" t="n"/>
      <c r="AJ300" s="53" t="n"/>
      <c r="AK300" s="53" t="n"/>
      <c r="AL300" s="53" t="n"/>
      <c r="AM300" s="53" t="n"/>
      <c r="AN300" s="53" t="n"/>
      <c r="AO300" s="53" t="n"/>
      <c r="AP300" s="53" t="n"/>
      <c r="AQ300" s="53" t="n"/>
      <c r="AR300" s="53" t="n"/>
      <c r="AS300" s="53" t="n"/>
      <c r="AT300" s="53" t="n"/>
      <c r="AU300" s="53" t="n"/>
      <c r="AV300" s="53" t="n"/>
      <c r="AW300" s="53" t="n"/>
      <c r="AX300" s="53" t="n"/>
      <c r="AY300" s="53" t="n"/>
    </row>
    <row r="301" ht="15" customHeight="1">
      <c r="A301" s="40">
        <f>IF($D$301="","",97)</f>
        <v/>
      </c>
      <c r="B301" s="10" t="n"/>
      <c r="C301" s="41" t="inlineStr">
        <is>
          <t>기타</t>
        </is>
      </c>
      <c r="D301" s="42" t="n"/>
      <c r="E301" s="43" t="inlineStr">
        <is>
          <t>기획</t>
        </is>
      </c>
      <c r="F301" s="44" t="n"/>
      <c r="G301" s="45" t="n"/>
      <c r="H301" s="46">
        <f>IF($I$301="","",IF($I$301&lt;0,"🔴지연",IF($I$301&lt;=1,"🟡임박","🟢여유")))</f>
        <v/>
      </c>
      <c r="I301" s="47">
        <f>IF(OR($G$301="",$K$301=""),"",$G$301-$K$301)</f>
        <v/>
      </c>
      <c r="J301" s="48">
        <f>IF(SUM($L$301:$L$303)=0,"",SUM($L$301:$L$303))</f>
        <v/>
      </c>
      <c r="K301" s="49">
        <f>IF($J$301="","",MAX($N$301:$N$303))</f>
        <v/>
      </c>
      <c r="L301" s="50">
        <f>IF(SUM(U301:AY301)=0,"",SUM(U301:AY301))</f>
        <v/>
      </c>
      <c r="M301" s="51">
        <f>IFERROR(INDEX(U$2:AY$2,MATCH(TRUE,INDEX(U301:AY301&lt;&gt;"",0),0)),"")</f>
        <v/>
      </c>
      <c r="N301" s="51">
        <f>IFERROR(LOOKUP(2,1/(U301:AY301&lt;&gt;""),U$2:AY$2),"")</f>
        <v/>
      </c>
      <c r="O301" s="52" t="n"/>
      <c r="P301" s="52" t="n"/>
      <c r="Q301" s="52" t="n"/>
      <c r="R301" s="44" t="n"/>
      <c r="S301" s="14" t="n"/>
      <c r="U301" s="53" t="n"/>
      <c r="V301" s="53" t="n"/>
      <c r="W301" s="53" t="n"/>
      <c r="X301" s="53" t="n"/>
      <c r="Y301" s="53" t="n"/>
      <c r="Z301" s="53" t="n"/>
      <c r="AA301" s="53" t="n"/>
      <c r="AB301" s="53" t="n"/>
      <c r="AC301" s="53" t="n"/>
      <c r="AD301" s="53" t="n"/>
      <c r="AE301" s="53" t="n"/>
      <c r="AF301" s="53" t="n"/>
      <c r="AG301" s="53" t="n"/>
      <c r="AH301" s="53" t="n"/>
      <c r="AI301" s="53" t="n"/>
      <c r="AJ301" s="53" t="n"/>
      <c r="AK301" s="53" t="n"/>
      <c r="AL301" s="53" t="n"/>
      <c r="AM301" s="53" t="n"/>
      <c r="AN301" s="53" t="n"/>
      <c r="AO301" s="53" t="n"/>
      <c r="AP301" s="53" t="n"/>
      <c r="AQ301" s="53" t="n"/>
      <c r="AR301" s="53" t="n"/>
      <c r="AS301" s="53" t="n"/>
      <c r="AT301" s="53" t="n"/>
      <c r="AU301" s="53" t="n"/>
      <c r="AV301" s="53" t="n"/>
      <c r="AW301" s="53" t="n"/>
      <c r="AX301" s="53" t="n"/>
      <c r="AY301" s="53" t="n"/>
    </row>
    <row r="302" ht="15" customHeight="1">
      <c r="A302" s="54" t="n"/>
      <c r="B302" s="55">
        <f>IF($B$301="","",$B$301)</f>
        <v/>
      </c>
      <c r="C302" s="56" t="inlineStr">
        <is>
          <t>기타</t>
        </is>
      </c>
      <c r="D302" s="55">
        <f>IF($D$301="","",$D$301)</f>
        <v/>
      </c>
      <c r="E302" s="57" t="inlineStr">
        <is>
          <t>이미지</t>
        </is>
      </c>
      <c r="F302" s="44" t="n"/>
      <c r="G302" s="58">
        <f>IF($G$301="","",$G$301)</f>
        <v/>
      </c>
      <c r="H302" s="59" t="n"/>
      <c r="I302" s="59" t="n"/>
      <c r="J302" s="59" t="n"/>
      <c r="K302" s="59" t="n"/>
      <c r="L302" s="60">
        <f>IF(SUM(U302:AY302)=0,"",SUM(U302:AY302))</f>
        <v/>
      </c>
      <c r="M302" s="61">
        <f>IFERROR(INDEX(U$2:AY$2,MATCH(TRUE,INDEX(U302:AY302&lt;&gt;"",0),0)),"")</f>
        <v/>
      </c>
      <c r="N302" s="61">
        <f>IFERROR(LOOKUP(2,1/(U302:AY302&lt;&gt;""),U$2:AY$2),"")</f>
        <v/>
      </c>
      <c r="O302" s="59" t="n"/>
      <c r="P302" s="59" t="n"/>
      <c r="Q302" s="59" t="n"/>
      <c r="R302" s="59" t="n"/>
      <c r="S302" s="14" t="n"/>
      <c r="U302" s="53" t="n"/>
      <c r="V302" s="53" t="n"/>
      <c r="W302" s="53" t="n"/>
      <c r="X302" s="53" t="n"/>
      <c r="Y302" s="53" t="n"/>
      <c r="Z302" s="53" t="n"/>
      <c r="AA302" s="53" t="n"/>
      <c r="AB302" s="53" t="n"/>
      <c r="AC302" s="53" t="n"/>
      <c r="AD302" s="53" t="n"/>
      <c r="AE302" s="53" t="n"/>
      <c r="AF302" s="53" t="n"/>
      <c r="AG302" s="53" t="n"/>
      <c r="AH302" s="53" t="n"/>
      <c r="AI302" s="53" t="n"/>
      <c r="AJ302" s="53" t="n"/>
      <c r="AK302" s="53" t="n"/>
      <c r="AL302" s="53" t="n"/>
      <c r="AM302" s="53" t="n"/>
      <c r="AN302" s="53" t="n"/>
      <c r="AO302" s="53" t="n"/>
      <c r="AP302" s="53" t="n"/>
      <c r="AQ302" s="53" t="n"/>
      <c r="AR302" s="53" t="n"/>
      <c r="AS302" s="53" t="n"/>
      <c r="AT302" s="53" t="n"/>
      <c r="AU302" s="53" t="n"/>
      <c r="AV302" s="53" t="n"/>
      <c r="AW302" s="53" t="n"/>
      <c r="AX302" s="53" t="n"/>
      <c r="AY302" s="53" t="n"/>
    </row>
    <row r="303" ht="15" customHeight="1">
      <c r="A303" s="62" t="n"/>
      <c r="B303" s="55">
        <f>IF($B$301="","",$B$301)</f>
        <v/>
      </c>
      <c r="C303" s="63" t="inlineStr">
        <is>
          <t>기타</t>
        </is>
      </c>
      <c r="D303" s="55">
        <f>IF($D$301="","",$D$301)</f>
        <v/>
      </c>
      <c r="E303" s="64" t="inlineStr">
        <is>
          <t>영상</t>
        </is>
      </c>
      <c r="F303" s="44" t="n"/>
      <c r="G303" s="58">
        <f>IF($G$301="","",$G$301)</f>
        <v/>
      </c>
      <c r="H303" s="59" t="n"/>
      <c r="I303" s="59" t="n"/>
      <c r="J303" s="59" t="n"/>
      <c r="K303" s="59" t="n"/>
      <c r="L303" s="65">
        <f>IF(SUM(U303:AY303)=0,"",SUM(U303:AY303))</f>
        <v/>
      </c>
      <c r="M303" s="66">
        <f>IFERROR(INDEX(U$2:AY$2,MATCH(TRUE,INDEX(U303:AY303&lt;&gt;"",0),0)),"")</f>
        <v/>
      </c>
      <c r="N303" s="66">
        <f>IFERROR(LOOKUP(2,1/(U303:AY303&lt;&gt;""),U$2:AY$2),"")</f>
        <v/>
      </c>
      <c r="O303" s="59" t="n"/>
      <c r="P303" s="59" t="n"/>
      <c r="Q303" s="59" t="n"/>
      <c r="R303" s="59" t="n"/>
      <c r="S303" s="14" t="n"/>
      <c r="U303" s="53" t="n"/>
      <c r="V303" s="53" t="n"/>
      <c r="W303" s="53" t="n"/>
      <c r="X303" s="53" t="n"/>
      <c r="Y303" s="53" t="n"/>
      <c r="Z303" s="53" t="n"/>
      <c r="AA303" s="53" t="n"/>
      <c r="AB303" s="53" t="n"/>
      <c r="AC303" s="53" t="n"/>
      <c r="AD303" s="53" t="n"/>
      <c r="AE303" s="53" t="n"/>
      <c r="AF303" s="53" t="n"/>
      <c r="AG303" s="53" t="n"/>
      <c r="AH303" s="53" t="n"/>
      <c r="AI303" s="53" t="n"/>
      <c r="AJ303" s="53" t="n"/>
      <c r="AK303" s="53" t="n"/>
      <c r="AL303" s="53" t="n"/>
      <c r="AM303" s="53" t="n"/>
      <c r="AN303" s="53" t="n"/>
      <c r="AO303" s="53" t="n"/>
      <c r="AP303" s="53" t="n"/>
      <c r="AQ303" s="53" t="n"/>
      <c r="AR303" s="53" t="n"/>
      <c r="AS303" s="53" t="n"/>
      <c r="AT303" s="53" t="n"/>
      <c r="AU303" s="53" t="n"/>
      <c r="AV303" s="53" t="n"/>
      <c r="AW303" s="53" t="n"/>
      <c r="AX303" s="53" t="n"/>
      <c r="AY303" s="53" t="n"/>
    </row>
    <row r="304" ht="15" customHeight="1">
      <c r="A304" s="40">
        <f>IF($D$304="","",98)</f>
        <v/>
      </c>
      <c r="B304" s="10" t="n"/>
      <c r="C304" s="41" t="inlineStr">
        <is>
          <t>기타</t>
        </is>
      </c>
      <c r="D304" s="42" t="n"/>
      <c r="E304" s="43" t="inlineStr">
        <is>
          <t>기획</t>
        </is>
      </c>
      <c r="F304" s="44" t="n"/>
      <c r="G304" s="45" t="n"/>
      <c r="H304" s="46">
        <f>IF($I$304="","",IF($I$304&lt;0,"🔴지연",IF($I$304&lt;=1,"🟡임박","🟢여유")))</f>
        <v/>
      </c>
      <c r="I304" s="47">
        <f>IF(OR($G$304="",$K$304=""),"",$G$304-$K$304)</f>
        <v/>
      </c>
      <c r="J304" s="48">
        <f>IF(SUM($L$304:$L$306)=0,"",SUM($L$304:$L$306))</f>
        <v/>
      </c>
      <c r="K304" s="49">
        <f>IF($J$304="","",MAX($N$304:$N$306))</f>
        <v/>
      </c>
      <c r="L304" s="50">
        <f>IF(SUM(U304:AY304)=0,"",SUM(U304:AY304))</f>
        <v/>
      </c>
      <c r="M304" s="51">
        <f>IFERROR(INDEX(U$2:AY$2,MATCH(TRUE,INDEX(U304:AY304&lt;&gt;"",0),0)),"")</f>
        <v/>
      </c>
      <c r="N304" s="51">
        <f>IFERROR(LOOKUP(2,1/(U304:AY304&lt;&gt;""),U$2:AY$2),"")</f>
        <v/>
      </c>
      <c r="O304" s="52" t="n"/>
      <c r="P304" s="52" t="n"/>
      <c r="Q304" s="52" t="n"/>
      <c r="R304" s="44" t="n"/>
      <c r="S304" s="14" t="n"/>
      <c r="U304" s="53" t="n"/>
      <c r="V304" s="53" t="n"/>
      <c r="W304" s="53" t="n"/>
      <c r="X304" s="53" t="n"/>
      <c r="Y304" s="53" t="n"/>
      <c r="Z304" s="53" t="n"/>
      <c r="AA304" s="53" t="n"/>
      <c r="AB304" s="53" t="n"/>
      <c r="AC304" s="53" t="n"/>
      <c r="AD304" s="53" t="n"/>
      <c r="AE304" s="53" t="n"/>
      <c r="AF304" s="53" t="n"/>
      <c r="AG304" s="53" t="n"/>
      <c r="AH304" s="53" t="n"/>
      <c r="AI304" s="53" t="n"/>
      <c r="AJ304" s="53" t="n"/>
      <c r="AK304" s="53" t="n"/>
      <c r="AL304" s="53" t="n"/>
      <c r="AM304" s="53" t="n"/>
      <c r="AN304" s="53" t="n"/>
      <c r="AO304" s="53" t="n"/>
      <c r="AP304" s="53" t="n"/>
      <c r="AQ304" s="53" t="n"/>
      <c r="AR304" s="53" t="n"/>
      <c r="AS304" s="53" t="n"/>
      <c r="AT304" s="53" t="n"/>
      <c r="AU304" s="53" t="n"/>
      <c r="AV304" s="53" t="n"/>
      <c r="AW304" s="53" t="n"/>
      <c r="AX304" s="53" t="n"/>
      <c r="AY304" s="53" t="n"/>
    </row>
    <row r="305" ht="15" customHeight="1">
      <c r="A305" s="54" t="n"/>
      <c r="B305" s="55">
        <f>IF($B$304="","",$B$304)</f>
        <v/>
      </c>
      <c r="C305" s="56" t="inlineStr">
        <is>
          <t>기타</t>
        </is>
      </c>
      <c r="D305" s="55">
        <f>IF($D$304="","",$D$304)</f>
        <v/>
      </c>
      <c r="E305" s="57" t="inlineStr">
        <is>
          <t>이미지</t>
        </is>
      </c>
      <c r="F305" s="44" t="n"/>
      <c r="G305" s="58">
        <f>IF($G$304="","",$G$304)</f>
        <v/>
      </c>
      <c r="H305" s="59" t="n"/>
      <c r="I305" s="59" t="n"/>
      <c r="J305" s="59" t="n"/>
      <c r="K305" s="59" t="n"/>
      <c r="L305" s="60">
        <f>IF(SUM(U305:AY305)=0,"",SUM(U305:AY305))</f>
        <v/>
      </c>
      <c r="M305" s="61">
        <f>IFERROR(INDEX(U$2:AY$2,MATCH(TRUE,INDEX(U305:AY305&lt;&gt;"",0),0)),"")</f>
        <v/>
      </c>
      <c r="N305" s="61">
        <f>IFERROR(LOOKUP(2,1/(U305:AY305&lt;&gt;""),U$2:AY$2),"")</f>
        <v/>
      </c>
      <c r="O305" s="59" t="n"/>
      <c r="P305" s="59" t="n"/>
      <c r="Q305" s="59" t="n"/>
      <c r="R305" s="59" t="n"/>
      <c r="S305" s="14" t="n"/>
      <c r="U305" s="53" t="n"/>
      <c r="V305" s="53" t="n"/>
      <c r="W305" s="53" t="n"/>
      <c r="X305" s="53" t="n"/>
      <c r="Y305" s="53" t="n"/>
      <c r="Z305" s="53" t="n"/>
      <c r="AA305" s="53" t="n"/>
      <c r="AB305" s="53" t="n"/>
      <c r="AC305" s="53" t="n"/>
      <c r="AD305" s="53" t="n"/>
      <c r="AE305" s="53" t="n"/>
      <c r="AF305" s="53" t="n"/>
      <c r="AG305" s="53" t="n"/>
      <c r="AH305" s="53" t="n"/>
      <c r="AI305" s="53" t="n"/>
      <c r="AJ305" s="53" t="n"/>
      <c r="AK305" s="53" t="n"/>
      <c r="AL305" s="53" t="n"/>
      <c r="AM305" s="53" t="n"/>
      <c r="AN305" s="53" t="n"/>
      <c r="AO305" s="53" t="n"/>
      <c r="AP305" s="53" t="n"/>
      <c r="AQ305" s="53" t="n"/>
      <c r="AR305" s="53" t="n"/>
      <c r="AS305" s="53" t="n"/>
      <c r="AT305" s="53" t="n"/>
      <c r="AU305" s="53" t="n"/>
      <c r="AV305" s="53" t="n"/>
      <c r="AW305" s="53" t="n"/>
      <c r="AX305" s="53" t="n"/>
      <c r="AY305" s="53" t="n"/>
    </row>
    <row r="306" ht="15" customHeight="1">
      <c r="A306" s="62" t="n"/>
      <c r="B306" s="55">
        <f>IF($B$304="","",$B$304)</f>
        <v/>
      </c>
      <c r="C306" s="63" t="inlineStr">
        <is>
          <t>기타</t>
        </is>
      </c>
      <c r="D306" s="55">
        <f>IF($D$304="","",$D$304)</f>
        <v/>
      </c>
      <c r="E306" s="64" t="inlineStr">
        <is>
          <t>영상</t>
        </is>
      </c>
      <c r="F306" s="44" t="n"/>
      <c r="G306" s="58">
        <f>IF($G$304="","",$G$304)</f>
        <v/>
      </c>
      <c r="H306" s="59" t="n"/>
      <c r="I306" s="59" t="n"/>
      <c r="J306" s="59" t="n"/>
      <c r="K306" s="59" t="n"/>
      <c r="L306" s="65">
        <f>IF(SUM(U306:AY306)=0,"",SUM(U306:AY306))</f>
        <v/>
      </c>
      <c r="M306" s="66">
        <f>IFERROR(INDEX(U$2:AY$2,MATCH(TRUE,INDEX(U306:AY306&lt;&gt;"",0),0)),"")</f>
        <v/>
      </c>
      <c r="N306" s="66">
        <f>IFERROR(LOOKUP(2,1/(U306:AY306&lt;&gt;""),U$2:AY$2),"")</f>
        <v/>
      </c>
      <c r="O306" s="59" t="n"/>
      <c r="P306" s="59" t="n"/>
      <c r="Q306" s="59" t="n"/>
      <c r="R306" s="59" t="n"/>
      <c r="S306" s="14" t="n"/>
      <c r="U306" s="53" t="n"/>
      <c r="V306" s="53" t="n"/>
      <c r="W306" s="53" t="n"/>
      <c r="X306" s="53" t="n"/>
      <c r="Y306" s="53" t="n"/>
      <c r="Z306" s="53" t="n"/>
      <c r="AA306" s="53" t="n"/>
      <c r="AB306" s="53" t="n"/>
      <c r="AC306" s="53" t="n"/>
      <c r="AD306" s="53" t="n"/>
      <c r="AE306" s="53" t="n"/>
      <c r="AF306" s="53" t="n"/>
      <c r="AG306" s="53" t="n"/>
      <c r="AH306" s="53" t="n"/>
      <c r="AI306" s="53" t="n"/>
      <c r="AJ306" s="53" t="n"/>
      <c r="AK306" s="53" t="n"/>
      <c r="AL306" s="53" t="n"/>
      <c r="AM306" s="53" t="n"/>
      <c r="AN306" s="53" t="n"/>
      <c r="AO306" s="53" t="n"/>
      <c r="AP306" s="53" t="n"/>
      <c r="AQ306" s="53" t="n"/>
      <c r="AR306" s="53" t="n"/>
      <c r="AS306" s="53" t="n"/>
      <c r="AT306" s="53" t="n"/>
      <c r="AU306" s="53" t="n"/>
      <c r="AV306" s="53" t="n"/>
      <c r="AW306" s="53" t="n"/>
      <c r="AX306" s="53" t="n"/>
      <c r="AY306" s="53" t="n"/>
    </row>
    <row r="307" ht="15" customHeight="1">
      <c r="A307" s="40">
        <f>IF($D$307="","",99)</f>
        <v/>
      </c>
      <c r="B307" s="10" t="n"/>
      <c r="C307" s="41" t="inlineStr">
        <is>
          <t>기타</t>
        </is>
      </c>
      <c r="D307" s="42" t="n"/>
      <c r="E307" s="43" t="inlineStr">
        <is>
          <t>기획</t>
        </is>
      </c>
      <c r="F307" s="44" t="n"/>
      <c r="G307" s="45" t="n"/>
      <c r="H307" s="46">
        <f>IF($I$307="","",IF($I$307&lt;0,"🔴지연",IF($I$307&lt;=1,"🟡임박","🟢여유")))</f>
        <v/>
      </c>
      <c r="I307" s="47">
        <f>IF(OR($G$307="",$K$307=""),"",$G$307-$K$307)</f>
        <v/>
      </c>
      <c r="J307" s="48">
        <f>IF(SUM($L$307:$L$309)=0,"",SUM($L$307:$L$309))</f>
        <v/>
      </c>
      <c r="K307" s="49">
        <f>IF($J$307="","",MAX($N$307:$N$309))</f>
        <v/>
      </c>
      <c r="L307" s="50">
        <f>IF(SUM(U307:AY307)=0,"",SUM(U307:AY307))</f>
        <v/>
      </c>
      <c r="M307" s="51">
        <f>IFERROR(INDEX(U$2:AY$2,MATCH(TRUE,INDEX(U307:AY307&lt;&gt;"",0),0)),"")</f>
        <v/>
      </c>
      <c r="N307" s="51">
        <f>IFERROR(LOOKUP(2,1/(U307:AY307&lt;&gt;""),U$2:AY$2),"")</f>
        <v/>
      </c>
      <c r="O307" s="52" t="n"/>
      <c r="P307" s="52" t="n"/>
      <c r="Q307" s="52" t="n"/>
      <c r="R307" s="44" t="n"/>
      <c r="S307" s="14" t="n"/>
      <c r="U307" s="53" t="n"/>
      <c r="V307" s="53" t="n"/>
      <c r="W307" s="53" t="n"/>
      <c r="X307" s="53" t="n"/>
      <c r="Y307" s="53" t="n"/>
      <c r="Z307" s="53" t="n"/>
      <c r="AA307" s="53" t="n"/>
      <c r="AB307" s="53" t="n"/>
      <c r="AC307" s="53" t="n"/>
      <c r="AD307" s="53" t="n"/>
      <c r="AE307" s="53" t="n"/>
      <c r="AF307" s="53" t="n"/>
      <c r="AG307" s="53" t="n"/>
      <c r="AH307" s="53" t="n"/>
      <c r="AI307" s="53" t="n"/>
      <c r="AJ307" s="53" t="n"/>
      <c r="AK307" s="53" t="n"/>
      <c r="AL307" s="53" t="n"/>
      <c r="AM307" s="53" t="n"/>
      <c r="AN307" s="53" t="n"/>
      <c r="AO307" s="53" t="n"/>
      <c r="AP307" s="53" t="n"/>
      <c r="AQ307" s="53" t="n"/>
      <c r="AR307" s="53" t="n"/>
      <c r="AS307" s="53" t="n"/>
      <c r="AT307" s="53" t="n"/>
      <c r="AU307" s="53" t="n"/>
      <c r="AV307" s="53" t="n"/>
      <c r="AW307" s="53" t="n"/>
      <c r="AX307" s="53" t="n"/>
      <c r="AY307" s="53" t="n"/>
    </row>
    <row r="308" ht="15" customHeight="1">
      <c r="A308" s="54" t="n"/>
      <c r="B308" s="55">
        <f>IF($B$307="","",$B$307)</f>
        <v/>
      </c>
      <c r="C308" s="56" t="inlineStr">
        <is>
          <t>기타</t>
        </is>
      </c>
      <c r="D308" s="55">
        <f>IF($D$307="","",$D$307)</f>
        <v/>
      </c>
      <c r="E308" s="57" t="inlineStr">
        <is>
          <t>이미지</t>
        </is>
      </c>
      <c r="F308" s="44" t="n"/>
      <c r="G308" s="58">
        <f>IF($G$307="","",$G$307)</f>
        <v/>
      </c>
      <c r="H308" s="59" t="n"/>
      <c r="I308" s="59" t="n"/>
      <c r="J308" s="59" t="n"/>
      <c r="K308" s="59" t="n"/>
      <c r="L308" s="60">
        <f>IF(SUM(U308:AY308)=0,"",SUM(U308:AY308))</f>
        <v/>
      </c>
      <c r="M308" s="61">
        <f>IFERROR(INDEX(U$2:AY$2,MATCH(TRUE,INDEX(U308:AY308&lt;&gt;"",0),0)),"")</f>
        <v/>
      </c>
      <c r="N308" s="61">
        <f>IFERROR(LOOKUP(2,1/(U308:AY308&lt;&gt;""),U$2:AY$2),"")</f>
        <v/>
      </c>
      <c r="O308" s="59" t="n"/>
      <c r="P308" s="59" t="n"/>
      <c r="Q308" s="59" t="n"/>
      <c r="R308" s="59" t="n"/>
      <c r="S308" s="14" t="n"/>
      <c r="U308" s="53" t="n"/>
      <c r="V308" s="53" t="n"/>
      <c r="W308" s="53" t="n"/>
      <c r="X308" s="53" t="n"/>
      <c r="Y308" s="53" t="n"/>
      <c r="Z308" s="53" t="n"/>
      <c r="AA308" s="53" t="n"/>
      <c r="AB308" s="53" t="n"/>
      <c r="AC308" s="53" t="n"/>
      <c r="AD308" s="53" t="n"/>
      <c r="AE308" s="53" t="n"/>
      <c r="AF308" s="53" t="n"/>
      <c r="AG308" s="53" t="n"/>
      <c r="AH308" s="53" t="n"/>
      <c r="AI308" s="53" t="n"/>
      <c r="AJ308" s="53" t="n"/>
      <c r="AK308" s="53" t="n"/>
      <c r="AL308" s="53" t="n"/>
      <c r="AM308" s="53" t="n"/>
      <c r="AN308" s="53" t="n"/>
      <c r="AO308" s="53" t="n"/>
      <c r="AP308" s="53" t="n"/>
      <c r="AQ308" s="53" t="n"/>
      <c r="AR308" s="53" t="n"/>
      <c r="AS308" s="53" t="n"/>
      <c r="AT308" s="53" t="n"/>
      <c r="AU308" s="53" t="n"/>
      <c r="AV308" s="53" t="n"/>
      <c r="AW308" s="53" t="n"/>
      <c r="AX308" s="53" t="n"/>
      <c r="AY308" s="53" t="n"/>
    </row>
    <row r="309" ht="15" customHeight="1">
      <c r="A309" s="62" t="n"/>
      <c r="B309" s="55">
        <f>IF($B$307="","",$B$307)</f>
        <v/>
      </c>
      <c r="C309" s="63" t="inlineStr">
        <is>
          <t>기타</t>
        </is>
      </c>
      <c r="D309" s="55">
        <f>IF($D$307="","",$D$307)</f>
        <v/>
      </c>
      <c r="E309" s="64" t="inlineStr">
        <is>
          <t>영상</t>
        </is>
      </c>
      <c r="F309" s="44" t="n"/>
      <c r="G309" s="58">
        <f>IF($G$307="","",$G$307)</f>
        <v/>
      </c>
      <c r="H309" s="59" t="n"/>
      <c r="I309" s="59" t="n"/>
      <c r="J309" s="59" t="n"/>
      <c r="K309" s="59" t="n"/>
      <c r="L309" s="65">
        <f>IF(SUM(U309:AY309)=0,"",SUM(U309:AY309))</f>
        <v/>
      </c>
      <c r="M309" s="66">
        <f>IFERROR(INDEX(U$2:AY$2,MATCH(TRUE,INDEX(U309:AY309&lt;&gt;"",0),0)),"")</f>
        <v/>
      </c>
      <c r="N309" s="66">
        <f>IFERROR(LOOKUP(2,1/(U309:AY309&lt;&gt;""),U$2:AY$2),"")</f>
        <v/>
      </c>
      <c r="O309" s="59" t="n"/>
      <c r="P309" s="59" t="n"/>
      <c r="Q309" s="59" t="n"/>
      <c r="R309" s="59" t="n"/>
      <c r="S309" s="14" t="n"/>
      <c r="U309" s="53" t="n"/>
      <c r="V309" s="53" t="n"/>
      <c r="W309" s="53" t="n"/>
      <c r="X309" s="53" t="n"/>
      <c r="Y309" s="53" t="n"/>
      <c r="Z309" s="53" t="n"/>
      <c r="AA309" s="53" t="n"/>
      <c r="AB309" s="53" t="n"/>
      <c r="AC309" s="53" t="n"/>
      <c r="AD309" s="53" t="n"/>
      <c r="AE309" s="53" t="n"/>
      <c r="AF309" s="53" t="n"/>
      <c r="AG309" s="53" t="n"/>
      <c r="AH309" s="53" t="n"/>
      <c r="AI309" s="53" t="n"/>
      <c r="AJ309" s="53" t="n"/>
      <c r="AK309" s="53" t="n"/>
      <c r="AL309" s="53" t="n"/>
      <c r="AM309" s="53" t="n"/>
      <c r="AN309" s="53" t="n"/>
      <c r="AO309" s="53" t="n"/>
      <c r="AP309" s="53" t="n"/>
      <c r="AQ309" s="53" t="n"/>
      <c r="AR309" s="53" t="n"/>
      <c r="AS309" s="53" t="n"/>
      <c r="AT309" s="53" t="n"/>
      <c r="AU309" s="53" t="n"/>
      <c r="AV309" s="53" t="n"/>
      <c r="AW309" s="53" t="n"/>
      <c r="AX309" s="53" t="n"/>
      <c r="AY309" s="53" t="n"/>
    </row>
    <row r="310" ht="15" customHeight="1">
      <c r="A310" s="40">
        <f>IF($D$310="","",100)</f>
        <v/>
      </c>
      <c r="B310" s="10" t="n"/>
      <c r="C310" s="41" t="inlineStr">
        <is>
          <t>기타</t>
        </is>
      </c>
      <c r="D310" s="42" t="n"/>
      <c r="E310" s="43" t="inlineStr">
        <is>
          <t>기획</t>
        </is>
      </c>
      <c r="F310" s="44" t="n"/>
      <c r="G310" s="45" t="n"/>
      <c r="H310" s="46">
        <f>IF($I$310="","",IF($I$310&lt;0,"🔴지연",IF($I$310&lt;=1,"🟡임박","🟢여유")))</f>
        <v/>
      </c>
      <c r="I310" s="47">
        <f>IF(OR($G$310="",$K$310=""),"",$G$310-$K$310)</f>
        <v/>
      </c>
      <c r="J310" s="48">
        <f>IF(SUM($L$310:$L$312)=0,"",SUM($L$310:$L$312))</f>
        <v/>
      </c>
      <c r="K310" s="49">
        <f>IF($J$310="","",MAX($N$310:$N$312))</f>
        <v/>
      </c>
      <c r="L310" s="50">
        <f>IF(SUM(U310:AY310)=0,"",SUM(U310:AY310))</f>
        <v/>
      </c>
      <c r="M310" s="51">
        <f>IFERROR(INDEX(U$2:AY$2,MATCH(TRUE,INDEX(U310:AY310&lt;&gt;"",0),0)),"")</f>
        <v/>
      </c>
      <c r="N310" s="51">
        <f>IFERROR(LOOKUP(2,1/(U310:AY310&lt;&gt;""),U$2:AY$2),"")</f>
        <v/>
      </c>
      <c r="O310" s="52" t="n"/>
      <c r="P310" s="52" t="n"/>
      <c r="Q310" s="52" t="n"/>
      <c r="R310" s="44" t="n"/>
      <c r="S310" s="14" t="n"/>
      <c r="U310" s="53" t="n"/>
      <c r="V310" s="53" t="n"/>
      <c r="W310" s="53" t="n"/>
      <c r="X310" s="53" t="n"/>
      <c r="Y310" s="53" t="n"/>
      <c r="Z310" s="53" t="n"/>
      <c r="AA310" s="53" t="n"/>
      <c r="AB310" s="53" t="n"/>
      <c r="AC310" s="53" t="n"/>
      <c r="AD310" s="53" t="n"/>
      <c r="AE310" s="53" t="n"/>
      <c r="AF310" s="53" t="n"/>
      <c r="AG310" s="53" t="n"/>
      <c r="AH310" s="53" t="n"/>
      <c r="AI310" s="53" t="n"/>
      <c r="AJ310" s="53" t="n"/>
      <c r="AK310" s="53" t="n"/>
      <c r="AL310" s="53" t="n"/>
      <c r="AM310" s="53" t="n"/>
      <c r="AN310" s="53" t="n"/>
      <c r="AO310" s="53" t="n"/>
      <c r="AP310" s="53" t="n"/>
      <c r="AQ310" s="53" t="n"/>
      <c r="AR310" s="53" t="n"/>
      <c r="AS310" s="53" t="n"/>
      <c r="AT310" s="53" t="n"/>
      <c r="AU310" s="53" t="n"/>
      <c r="AV310" s="53" t="n"/>
      <c r="AW310" s="53" t="n"/>
      <c r="AX310" s="53" t="n"/>
      <c r="AY310" s="53" t="n"/>
    </row>
    <row r="311" ht="15" customHeight="1">
      <c r="A311" s="54" t="n"/>
      <c r="B311" s="55">
        <f>IF($B$310="","",$B$310)</f>
        <v/>
      </c>
      <c r="C311" s="56" t="inlineStr">
        <is>
          <t>기타</t>
        </is>
      </c>
      <c r="D311" s="55">
        <f>IF($D$310="","",$D$310)</f>
        <v/>
      </c>
      <c r="E311" s="57" t="inlineStr">
        <is>
          <t>이미지</t>
        </is>
      </c>
      <c r="F311" s="44" t="n"/>
      <c r="G311" s="58">
        <f>IF($G$310="","",$G$310)</f>
        <v/>
      </c>
      <c r="H311" s="59" t="n"/>
      <c r="I311" s="59" t="n"/>
      <c r="J311" s="59" t="n"/>
      <c r="K311" s="59" t="n"/>
      <c r="L311" s="60">
        <f>IF(SUM(U311:AY311)=0,"",SUM(U311:AY311))</f>
        <v/>
      </c>
      <c r="M311" s="61">
        <f>IFERROR(INDEX(U$2:AY$2,MATCH(TRUE,INDEX(U311:AY311&lt;&gt;"",0),0)),"")</f>
        <v/>
      </c>
      <c r="N311" s="61">
        <f>IFERROR(LOOKUP(2,1/(U311:AY311&lt;&gt;""),U$2:AY$2),"")</f>
        <v/>
      </c>
      <c r="O311" s="59" t="n"/>
      <c r="P311" s="59" t="n"/>
      <c r="Q311" s="59" t="n"/>
      <c r="R311" s="59" t="n"/>
      <c r="S311" s="14" t="n"/>
      <c r="U311" s="53" t="n"/>
      <c r="V311" s="53" t="n"/>
      <c r="W311" s="53" t="n"/>
      <c r="X311" s="53" t="n"/>
      <c r="Y311" s="53" t="n"/>
      <c r="Z311" s="53" t="n"/>
      <c r="AA311" s="53" t="n"/>
      <c r="AB311" s="53" t="n"/>
      <c r="AC311" s="53" t="n"/>
      <c r="AD311" s="53" t="n"/>
      <c r="AE311" s="53" t="n"/>
      <c r="AF311" s="53" t="n"/>
      <c r="AG311" s="53" t="n"/>
      <c r="AH311" s="53" t="n"/>
      <c r="AI311" s="53" t="n"/>
      <c r="AJ311" s="53" t="n"/>
      <c r="AK311" s="53" t="n"/>
      <c r="AL311" s="53" t="n"/>
      <c r="AM311" s="53" t="n"/>
      <c r="AN311" s="53" t="n"/>
      <c r="AO311" s="53" t="n"/>
      <c r="AP311" s="53" t="n"/>
      <c r="AQ311" s="53" t="n"/>
      <c r="AR311" s="53" t="n"/>
      <c r="AS311" s="53" t="n"/>
      <c r="AT311" s="53" t="n"/>
      <c r="AU311" s="53" t="n"/>
      <c r="AV311" s="53" t="n"/>
      <c r="AW311" s="53" t="n"/>
      <c r="AX311" s="53" t="n"/>
      <c r="AY311" s="53" t="n"/>
    </row>
    <row r="312" ht="15" customHeight="1">
      <c r="A312" s="62" t="n"/>
      <c r="B312" s="55">
        <f>IF($B$310="","",$B$310)</f>
        <v/>
      </c>
      <c r="C312" s="63" t="inlineStr">
        <is>
          <t>기타</t>
        </is>
      </c>
      <c r="D312" s="55">
        <f>IF($D$310="","",$D$310)</f>
        <v/>
      </c>
      <c r="E312" s="64" t="inlineStr">
        <is>
          <t>영상</t>
        </is>
      </c>
      <c r="F312" s="44" t="n"/>
      <c r="G312" s="58">
        <f>IF($G$310="","",$G$310)</f>
        <v/>
      </c>
      <c r="H312" s="59" t="n"/>
      <c r="I312" s="59" t="n"/>
      <c r="J312" s="59" t="n"/>
      <c r="K312" s="59" t="n"/>
      <c r="L312" s="65">
        <f>IF(SUM(U312:AY312)=0,"",SUM(U312:AY312))</f>
        <v/>
      </c>
      <c r="M312" s="66">
        <f>IFERROR(INDEX(U$2:AY$2,MATCH(TRUE,INDEX(U312:AY312&lt;&gt;"",0),0)),"")</f>
        <v/>
      </c>
      <c r="N312" s="66">
        <f>IFERROR(LOOKUP(2,1/(U312:AY312&lt;&gt;""),U$2:AY$2),"")</f>
        <v/>
      </c>
      <c r="O312" s="59" t="n"/>
      <c r="P312" s="59" t="n"/>
      <c r="Q312" s="59" t="n"/>
      <c r="R312" s="59" t="n"/>
      <c r="S312" s="14" t="n"/>
      <c r="U312" s="53" t="n"/>
      <c r="V312" s="53" t="n"/>
      <c r="W312" s="53" t="n"/>
      <c r="X312" s="53" t="n"/>
      <c r="Y312" s="53" t="n"/>
      <c r="Z312" s="53" t="n"/>
      <c r="AA312" s="53" t="n"/>
      <c r="AB312" s="53" t="n"/>
      <c r="AC312" s="53" t="n"/>
      <c r="AD312" s="53" t="n"/>
      <c r="AE312" s="53" t="n"/>
      <c r="AF312" s="53" t="n"/>
      <c r="AG312" s="53" t="n"/>
      <c r="AH312" s="53" t="n"/>
      <c r="AI312" s="53" t="n"/>
      <c r="AJ312" s="53" t="n"/>
      <c r="AK312" s="53" t="n"/>
      <c r="AL312" s="53" t="n"/>
      <c r="AM312" s="53" t="n"/>
      <c r="AN312" s="53" t="n"/>
      <c r="AO312" s="53" t="n"/>
      <c r="AP312" s="53" t="n"/>
      <c r="AQ312" s="53" t="n"/>
      <c r="AR312" s="53" t="n"/>
      <c r="AS312" s="53" t="n"/>
      <c r="AT312" s="53" t="n"/>
      <c r="AU312" s="53" t="n"/>
      <c r="AV312" s="53" t="n"/>
      <c r="AW312" s="53" t="n"/>
      <c r="AX312" s="53" t="n"/>
      <c r="AY312" s="53" t="n"/>
    </row>
    <row r="315">
      <c r="A315" s="67" t="inlineStr">
        <is>
          <t>담당자 1일 캐파(MD)</t>
        </is>
      </c>
      <c r="B315" s="68">
        <f>'마스터'!$J$5</f>
        <v/>
      </c>
    </row>
    <row r="316">
      <c r="A316" s="67" t="inlineStr">
        <is>
          <t>공휴일(자동 연동)</t>
        </is>
      </c>
    </row>
    <row r="317">
      <c r="A317" s="67">
        <f>'마스터'!$I$13</f>
        <v/>
      </c>
      <c r="B317" s="69">
        <f>'마스터'!$J$13</f>
        <v/>
      </c>
    </row>
    <row r="318">
      <c r="A318" s="67">
        <f>'마스터'!$I$14</f>
        <v/>
      </c>
      <c r="B318" s="69">
        <f>'마스터'!$J$14</f>
        <v/>
      </c>
    </row>
    <row r="319">
      <c r="A319" s="67">
        <f>'마스터'!$I$15</f>
        <v/>
      </c>
      <c r="B319" s="69">
        <f>'마스터'!$J$15</f>
        <v/>
      </c>
    </row>
    <row r="320">
      <c r="A320" s="67">
        <f>'마스터'!$I$16</f>
        <v/>
      </c>
      <c r="B320" s="69">
        <f>'마스터'!$J$16</f>
        <v/>
      </c>
    </row>
    <row r="321">
      <c r="A321" s="67">
        <f>'마스터'!$I$17</f>
        <v/>
      </c>
      <c r="B321" s="69">
        <f>'마스터'!$J$17</f>
        <v/>
      </c>
    </row>
    <row r="322">
      <c r="A322" s="67">
        <f>'마스터'!$I$18</f>
        <v/>
      </c>
      <c r="B322" s="69">
        <f>'마스터'!$J$18</f>
        <v/>
      </c>
    </row>
    <row r="323">
      <c r="A323" s="67">
        <f>'마스터'!$I$19</f>
        <v/>
      </c>
      <c r="B323" s="69">
        <f>'마스터'!$J$19</f>
        <v/>
      </c>
    </row>
    <row r="324">
      <c r="A324" s="67">
        <f>'마스터'!$I$20</f>
        <v/>
      </c>
      <c r="B324" s="69">
        <f>'마스터'!$J$20</f>
        <v/>
      </c>
    </row>
    <row r="325">
      <c r="A325" s="67">
        <f>'마스터'!$I$21</f>
        <v/>
      </c>
      <c r="B325" s="69">
        <f>'마스터'!$J$21</f>
        <v/>
      </c>
    </row>
    <row r="326">
      <c r="A326" s="67">
        <f>'마스터'!$I$22</f>
        <v/>
      </c>
      <c r="B326" s="69">
        <f>'마스터'!$J$22</f>
        <v/>
      </c>
    </row>
    <row r="327">
      <c r="A327" s="67">
        <f>'마스터'!$I$23</f>
        <v/>
      </c>
      <c r="B327" s="69">
        <f>'마스터'!$J$23</f>
        <v/>
      </c>
    </row>
    <row r="328">
      <c r="A328" s="67">
        <f>'마스터'!$I$24</f>
        <v/>
      </c>
      <c r="B328" s="69">
        <f>'마스터'!$J$24</f>
        <v/>
      </c>
    </row>
    <row r="329">
      <c r="A329" s="67">
        <f>'마스터'!$I$25</f>
        <v/>
      </c>
      <c r="B329" s="69">
        <f>'마스터'!$J$25</f>
        <v/>
      </c>
    </row>
    <row r="330">
      <c r="A330" s="67">
        <f>'마스터'!$I$26</f>
        <v/>
      </c>
      <c r="B330" s="69">
        <f>'마스터'!$J$26</f>
        <v/>
      </c>
    </row>
    <row r="331">
      <c r="A331" s="67">
        <f>'마스터'!$I$27</f>
        <v/>
      </c>
      <c r="B331" s="69">
        <f>'마스터'!$J$27</f>
        <v/>
      </c>
    </row>
  </sheetData>
  <mergeCells count="16">
    <mergeCell ref="L1:N1"/>
    <mergeCell ref="A252:AY252"/>
    <mergeCell ref="O1:Q1"/>
    <mergeCell ref="A191:AY191"/>
    <mergeCell ref="A1:F1"/>
    <mergeCell ref="A5:F5"/>
    <mergeCell ref="A130:AY130"/>
    <mergeCell ref="G1:K1"/>
    <mergeCell ref="A8:AY8"/>
    <mergeCell ref="U1:AY1"/>
    <mergeCell ref="A6:F6"/>
    <mergeCell ref="A4:F4"/>
    <mergeCell ref="A3:F3"/>
    <mergeCell ref="A7:AY7"/>
    <mergeCell ref="A69:AY69"/>
    <mergeCell ref="R1:S1"/>
  </mergeCells>
  <conditionalFormatting sqref="U3:AY6">
    <cfRule type="expression" priority="1" dxfId="3">
      <formula>AND(U3&lt;&gt;"",U3&gt;$H3)</formula>
    </cfRule>
    <cfRule type="expression" priority="2" dxfId="4">
      <formula>AND(U3&gt;0,U3&gt;=$H3*0.8)</formula>
    </cfRule>
  </conditionalFormatting>
  <conditionalFormatting sqref="U3:AY312">
    <cfRule type="expression" priority="3" dxfId="5">
      <formula>U$2=""</formula>
    </cfRule>
    <cfRule type="expression" priority="4" dxfId="6">
      <formula>AND(U$2&lt;&gt;"",OR(WEEKDAY(U$2,2)&gt;5,COUNTIF($B$317:$B$331,U$2)&gt;0))</formula>
    </cfRule>
  </conditionalFormatting>
  <conditionalFormatting sqref="U9:AY312">
    <cfRule type="expression" priority="5" dxfId="7">
      <formula>AND(U9&lt;&gt;"",$G9&lt;&gt;"",U$2&lt;&gt;"",U$2&gt;$G9)</formula>
    </cfRule>
    <cfRule type="expression" priority="6" dxfId="8">
      <formula>AND($F9&lt;&gt;"",U9&lt;&gt;"",SUMIF($F$9:$F$312,$F9,U$9:U$312)&gt;$B$315)</formula>
    </cfRule>
    <cfRule type="expression" priority="7" dxfId="9">
      <formula>AND($E9="기획",U9&lt;&gt;"")</formula>
    </cfRule>
    <cfRule type="expression" priority="8" dxfId="10">
      <formula>AND($E9="이미지",U9&lt;&gt;"")</formula>
    </cfRule>
    <cfRule type="expression" priority="9" dxfId="11">
      <formula>AND($E9="영상",U9&lt;&gt;"")</formula>
    </cfRule>
  </conditionalFormatting>
  <conditionalFormatting sqref="H9:I312">
    <cfRule type="expression" priority="10" dxfId="12">
      <formula>AND($I9&lt;&gt;"",$I9&lt;0)</formula>
    </cfRule>
    <cfRule type="expression" priority="11" dxfId="13">
      <formula>AND($I9&lt;&gt;"",$I9&lt;=1)</formula>
    </cfRule>
    <cfRule type="expression" priority="12" dxfId="14">
      <formula>$I9&lt;&gt;""</formula>
    </cfRule>
  </conditionalFormatting>
  <dataValidations count="2">
    <dataValidation sqref="B9:B312" showDropDown="0" showInputMessage="0" showErrorMessage="0" allowBlank="1" type="list">
      <formula1>'마스터'!$A$3:$A$12</formula1>
    </dataValidation>
    <dataValidation sqref="R9:R312" showDropDown="0" showInputMessage="0" showErrorMessage="0" allowBlank="1" type="list">
      <formula1>'마스터'!$G$3:$G$6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2A44"/>
    <outlinePr summaryBelow="1" summaryRight="1"/>
    <pageSetUpPr/>
  </sheetPr>
  <dimension ref="A1:AY331"/>
  <sheetViews>
    <sheetView workbookViewId="0">
      <pane xSplit="8" ySplit="8" topLeftCell="I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28" customWidth="1" min="4" max="4"/>
    <col width="8" customWidth="1" min="5" max="5"/>
    <col width="10" customWidth="1" min="6" max="6"/>
    <col width="11" customWidth="1" min="7" max="7"/>
    <col width="9" customWidth="1" min="8" max="8"/>
    <col width="8" customWidth="1" min="9" max="9"/>
    <col width="8" customWidth="1" min="10" max="10"/>
    <col width="11" customWidth="1" min="11" max="11"/>
    <col width="8" customWidth="1" min="12" max="12"/>
    <col width="10" customWidth="1" min="13" max="13"/>
    <col width="10" customWidth="1" min="14" max="14"/>
    <col width="6" customWidth="1" min="15" max="15"/>
    <col width="6" customWidth="1" min="16" max="16"/>
    <col width="6" customWidth="1" min="17" max="17"/>
    <col width="8" customWidth="1" min="18" max="18"/>
    <col width="16" customWidth="1" min="19" max="19"/>
    <col width="2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3.6" customWidth="1" min="33" max="33"/>
    <col width="3.6" customWidth="1" min="34" max="34"/>
    <col width="3.6" customWidth="1" min="35" max="35"/>
    <col width="3.6" customWidth="1" min="36" max="36"/>
    <col width="3.6" customWidth="1" min="37" max="37"/>
    <col width="3.6" customWidth="1" min="38" max="38"/>
    <col width="3.6" customWidth="1" min="39" max="39"/>
    <col width="3.6" customWidth="1" min="40" max="40"/>
    <col width="3.6" customWidth="1" min="41" max="41"/>
    <col width="3.6" customWidth="1" min="42" max="42"/>
    <col width="3.6" customWidth="1" min="43" max="43"/>
    <col width="3.6" customWidth="1" min="44" max="44"/>
    <col width="3.6" customWidth="1" min="45" max="45"/>
    <col width="3.6" customWidth="1" min="46" max="46"/>
    <col width="3.6" customWidth="1" min="47" max="47"/>
    <col width="3.6" customWidth="1" min="48" max="48"/>
    <col width="3.6" customWidth="1" min="49" max="49"/>
    <col width="3.6" customWidth="1" min="50" max="50"/>
    <col width="3.6" customWidth="1" min="51" max="51"/>
  </cols>
  <sheetData>
    <row r="1" ht="22" customHeight="1">
      <c r="A1" s="27" t="inlineStr">
        <is>
          <t>4월 소재 정보  (소재 1개 = 기획/이미지/영상 3줄)</t>
        </is>
      </c>
      <c r="B1" s="8" t="n"/>
      <c r="C1" s="8" t="n"/>
      <c r="D1" s="8" t="n"/>
      <c r="E1" s="8" t="n"/>
      <c r="F1" s="4" t="n"/>
      <c r="G1" s="28" t="inlineStr">
        <is>
          <t>고객사 전달일 기준 (자동)</t>
        </is>
      </c>
      <c r="H1" s="8" t="n"/>
      <c r="I1" s="8" t="n"/>
      <c r="J1" s="8" t="n"/>
      <c r="K1" s="4" t="n"/>
      <c r="L1" s="29" t="inlineStr">
        <is>
          <t>직군별 집계 (자동)</t>
        </is>
      </c>
      <c r="M1" s="8" t="n"/>
      <c r="N1" s="4" t="n"/>
      <c r="O1" s="30" t="inlineStr">
        <is>
          <t>수량 (소재당 1번)</t>
        </is>
      </c>
      <c r="P1" s="8" t="n"/>
      <c r="Q1" s="4" t="n"/>
      <c r="R1" s="31" t="inlineStr">
        <is>
          <t>관리</t>
        </is>
      </c>
      <c r="S1" s="4" t="n"/>
      <c r="U1" s="32" t="inlineStr">
        <is>
          <t>4월 간트 - 날짜 칸에 실제 MD 직접 입력   |   상단 4줄 = 일자별 직군 TO 상태</t>
        </is>
      </c>
      <c r="V1" s="8" t="n"/>
      <c r="W1" s="8" t="n"/>
      <c r="X1" s="8" t="n"/>
      <c r="Y1" s="8" t="n"/>
      <c r="Z1" s="8" t="n"/>
      <c r="AA1" s="8" t="n"/>
      <c r="AB1" s="8" t="n"/>
      <c r="AC1" s="8" t="n"/>
      <c r="AD1" s="8" t="n"/>
      <c r="AE1" s="8" t="n"/>
      <c r="AF1" s="8" t="n"/>
      <c r="AG1" s="8" t="n"/>
      <c r="AH1" s="8" t="n"/>
      <c r="AI1" s="8" t="n"/>
      <c r="AJ1" s="8" t="n"/>
      <c r="AK1" s="8" t="n"/>
      <c r="AL1" s="8" t="n"/>
      <c r="AM1" s="8" t="n"/>
      <c r="AN1" s="8" t="n"/>
      <c r="AO1" s="8" t="n"/>
      <c r="AP1" s="8" t="n"/>
      <c r="AQ1" s="8" t="n"/>
      <c r="AR1" s="8" t="n"/>
      <c r="AS1" s="8" t="n"/>
      <c r="AT1" s="8" t="n"/>
      <c r="AU1" s="8" t="n"/>
      <c r="AV1" s="8" t="n"/>
      <c r="AW1" s="8" t="n"/>
      <c r="AX1" s="8" t="n"/>
      <c r="AY1" s="4" t="n"/>
    </row>
    <row r="2" ht="30" customHeight="1">
      <c r="A2" s="17" t="inlineStr">
        <is>
          <t>No</t>
        </is>
      </c>
      <c r="B2" s="17" t="inlineStr">
        <is>
          <t>게임 타이틀</t>
        </is>
      </c>
      <c r="C2" s="17" t="inlineStr">
        <is>
          <t>고객팀</t>
        </is>
      </c>
      <c r="D2" s="17" t="inlineStr">
        <is>
          <t>소재명(업무명)</t>
        </is>
      </c>
      <c r="E2" s="17" t="inlineStr">
        <is>
          <t>직군</t>
        </is>
      </c>
      <c r="F2" s="17" t="inlineStr">
        <is>
          <t>담당자</t>
        </is>
      </c>
      <c r="G2" s="17" t="inlineStr">
        <is>
          <t>고객사
전달일</t>
        </is>
      </c>
      <c r="H2" s="17" t="inlineStr">
        <is>
          <t>신호</t>
        </is>
      </c>
      <c r="I2" s="17" t="inlineStr">
        <is>
          <t>전달일
여유</t>
        </is>
      </c>
      <c r="J2" s="17" t="inlineStr">
        <is>
          <t>소재
총MD</t>
        </is>
      </c>
      <c r="K2" s="17" t="inlineStr">
        <is>
          <t>소재
최종완료</t>
        </is>
      </c>
      <c r="L2" s="17" t="inlineStr">
        <is>
          <t>직군
MD</t>
        </is>
      </c>
      <c r="M2" s="17" t="inlineStr">
        <is>
          <t>직군
시작일</t>
        </is>
      </c>
      <c r="N2" s="17" t="inlineStr">
        <is>
          <t>직군
완료일</t>
        </is>
      </c>
      <c r="O2" s="17" t="inlineStr">
        <is>
          <t>영상
수</t>
        </is>
      </c>
      <c r="P2" s="17" t="inlineStr">
        <is>
          <t>사이즈
베리</t>
        </is>
      </c>
      <c r="Q2" s="17" t="inlineStr">
        <is>
          <t>다국어
베리</t>
        </is>
      </c>
      <c r="R2" s="17" t="inlineStr">
        <is>
          <t>상태</t>
        </is>
      </c>
      <c r="S2" s="17" t="inlineStr">
        <is>
          <t>비고</t>
        </is>
      </c>
      <c r="U2" s="33">
        <f>IF(MONTH(DATE('마스터'!$J$3,4,1)+0)=4,DATE('마스터'!$J$3,4,1)+0,"")</f>
        <v/>
      </c>
      <c r="V2" s="33">
        <f>IF(MONTH(DATE('마스터'!$J$3,4,1)+1)=4,DATE('마스터'!$J$3,4,1)+1,"")</f>
        <v/>
      </c>
      <c r="W2" s="33">
        <f>IF(MONTH(DATE('마스터'!$J$3,4,1)+2)=4,DATE('마스터'!$J$3,4,1)+2,"")</f>
        <v/>
      </c>
      <c r="X2" s="33">
        <f>IF(MONTH(DATE('마스터'!$J$3,4,1)+3)=4,DATE('마스터'!$J$3,4,1)+3,"")</f>
        <v/>
      </c>
      <c r="Y2" s="33">
        <f>IF(MONTH(DATE('마스터'!$J$3,4,1)+4)=4,DATE('마스터'!$J$3,4,1)+4,"")</f>
        <v/>
      </c>
      <c r="Z2" s="33">
        <f>IF(MONTH(DATE('마스터'!$J$3,4,1)+5)=4,DATE('마스터'!$J$3,4,1)+5,"")</f>
        <v/>
      </c>
      <c r="AA2" s="33">
        <f>IF(MONTH(DATE('마스터'!$J$3,4,1)+6)=4,DATE('마스터'!$J$3,4,1)+6,"")</f>
        <v/>
      </c>
      <c r="AB2" s="33">
        <f>IF(MONTH(DATE('마스터'!$J$3,4,1)+7)=4,DATE('마스터'!$J$3,4,1)+7,"")</f>
        <v/>
      </c>
      <c r="AC2" s="33">
        <f>IF(MONTH(DATE('마스터'!$J$3,4,1)+8)=4,DATE('마스터'!$J$3,4,1)+8,"")</f>
        <v/>
      </c>
      <c r="AD2" s="33">
        <f>IF(MONTH(DATE('마스터'!$J$3,4,1)+9)=4,DATE('마스터'!$J$3,4,1)+9,"")</f>
        <v/>
      </c>
      <c r="AE2" s="33">
        <f>IF(MONTH(DATE('마스터'!$J$3,4,1)+10)=4,DATE('마스터'!$J$3,4,1)+10,"")</f>
        <v/>
      </c>
      <c r="AF2" s="33">
        <f>IF(MONTH(DATE('마스터'!$J$3,4,1)+11)=4,DATE('마스터'!$J$3,4,1)+11,"")</f>
        <v/>
      </c>
      <c r="AG2" s="33">
        <f>IF(MONTH(DATE('마스터'!$J$3,4,1)+12)=4,DATE('마스터'!$J$3,4,1)+12,"")</f>
        <v/>
      </c>
      <c r="AH2" s="33">
        <f>IF(MONTH(DATE('마스터'!$J$3,4,1)+13)=4,DATE('마스터'!$J$3,4,1)+13,"")</f>
        <v/>
      </c>
      <c r="AI2" s="33">
        <f>IF(MONTH(DATE('마스터'!$J$3,4,1)+14)=4,DATE('마스터'!$J$3,4,1)+14,"")</f>
        <v/>
      </c>
      <c r="AJ2" s="33">
        <f>IF(MONTH(DATE('마스터'!$J$3,4,1)+15)=4,DATE('마스터'!$J$3,4,1)+15,"")</f>
        <v/>
      </c>
      <c r="AK2" s="33">
        <f>IF(MONTH(DATE('마스터'!$J$3,4,1)+16)=4,DATE('마스터'!$J$3,4,1)+16,"")</f>
        <v/>
      </c>
      <c r="AL2" s="33">
        <f>IF(MONTH(DATE('마스터'!$J$3,4,1)+17)=4,DATE('마스터'!$J$3,4,1)+17,"")</f>
        <v/>
      </c>
      <c r="AM2" s="33">
        <f>IF(MONTH(DATE('마스터'!$J$3,4,1)+18)=4,DATE('마스터'!$J$3,4,1)+18,"")</f>
        <v/>
      </c>
      <c r="AN2" s="33">
        <f>IF(MONTH(DATE('마스터'!$J$3,4,1)+19)=4,DATE('마스터'!$J$3,4,1)+19,"")</f>
        <v/>
      </c>
      <c r="AO2" s="33">
        <f>IF(MONTH(DATE('마스터'!$J$3,4,1)+20)=4,DATE('마스터'!$J$3,4,1)+20,"")</f>
        <v/>
      </c>
      <c r="AP2" s="33">
        <f>IF(MONTH(DATE('마스터'!$J$3,4,1)+21)=4,DATE('마스터'!$J$3,4,1)+21,"")</f>
        <v/>
      </c>
      <c r="AQ2" s="33">
        <f>IF(MONTH(DATE('마스터'!$J$3,4,1)+22)=4,DATE('마스터'!$J$3,4,1)+22,"")</f>
        <v/>
      </c>
      <c r="AR2" s="33">
        <f>IF(MONTH(DATE('마스터'!$J$3,4,1)+23)=4,DATE('마스터'!$J$3,4,1)+23,"")</f>
        <v/>
      </c>
      <c r="AS2" s="33">
        <f>IF(MONTH(DATE('마스터'!$J$3,4,1)+24)=4,DATE('마스터'!$J$3,4,1)+24,"")</f>
        <v/>
      </c>
      <c r="AT2" s="33">
        <f>IF(MONTH(DATE('마스터'!$J$3,4,1)+25)=4,DATE('마스터'!$J$3,4,1)+25,"")</f>
        <v/>
      </c>
      <c r="AU2" s="33">
        <f>IF(MONTH(DATE('마스터'!$J$3,4,1)+26)=4,DATE('마스터'!$J$3,4,1)+26,"")</f>
        <v/>
      </c>
      <c r="AV2" s="33">
        <f>IF(MONTH(DATE('마스터'!$J$3,4,1)+27)=4,DATE('마스터'!$J$3,4,1)+27,"")</f>
        <v/>
      </c>
      <c r="AW2" s="33">
        <f>IF(MONTH(DATE('마스터'!$J$3,4,1)+28)=4,DATE('마스터'!$J$3,4,1)+28,"")</f>
        <v/>
      </c>
      <c r="AX2" s="33">
        <f>IF(MONTH(DATE('마스터'!$J$3,4,1)+29)=4,DATE('마스터'!$J$3,4,1)+29,"")</f>
        <v/>
      </c>
      <c r="AY2" s="33">
        <f>IF(MONTH(DATE('마스터'!$J$3,4,1)+30)=4,DATE('마스터'!$J$3,4,1)+30,"")</f>
        <v/>
      </c>
    </row>
    <row r="3" ht="15" customHeight="1">
      <c r="A3" s="5" t="inlineStr">
        <is>
          <t>전체 TO (일자별 부하)</t>
        </is>
      </c>
      <c r="B3" s="8" t="n"/>
      <c r="C3" s="8" t="n"/>
      <c r="D3" s="8" t="n"/>
      <c r="E3" s="8" t="n"/>
      <c r="F3" s="4" t="n"/>
      <c r="G3" s="34" t="inlineStr">
        <is>
          <t>정원</t>
        </is>
      </c>
      <c r="H3" s="35">
        <f>SUM('마스터'!$J$8:$J$10)</f>
        <v/>
      </c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U3" s="37">
        <f>SUM(U$9:U$312)</f>
        <v/>
      </c>
      <c r="V3" s="37">
        <f>SUM(V$9:V$312)</f>
        <v/>
      </c>
      <c r="W3" s="37">
        <f>SUM(W$9:W$312)</f>
        <v/>
      </c>
      <c r="X3" s="37">
        <f>SUM(X$9:X$312)</f>
        <v/>
      </c>
      <c r="Y3" s="37">
        <f>SUM(Y$9:Y$312)</f>
        <v/>
      </c>
      <c r="Z3" s="37">
        <f>SUM(Z$9:Z$312)</f>
        <v/>
      </c>
      <c r="AA3" s="37">
        <f>SUM(AA$9:AA$312)</f>
        <v/>
      </c>
      <c r="AB3" s="37">
        <f>SUM(AB$9:AB$312)</f>
        <v/>
      </c>
      <c r="AC3" s="37">
        <f>SUM(AC$9:AC$312)</f>
        <v/>
      </c>
      <c r="AD3" s="37">
        <f>SUM(AD$9:AD$312)</f>
        <v/>
      </c>
      <c r="AE3" s="37">
        <f>SUM(AE$9:AE$312)</f>
        <v/>
      </c>
      <c r="AF3" s="37">
        <f>SUM(AF$9:AF$312)</f>
        <v/>
      </c>
      <c r="AG3" s="37">
        <f>SUM(AG$9:AG$312)</f>
        <v/>
      </c>
      <c r="AH3" s="37">
        <f>SUM(AH$9:AH$312)</f>
        <v/>
      </c>
      <c r="AI3" s="37">
        <f>SUM(AI$9:AI$312)</f>
        <v/>
      </c>
      <c r="AJ3" s="37">
        <f>SUM(AJ$9:AJ$312)</f>
        <v/>
      </c>
      <c r="AK3" s="37">
        <f>SUM(AK$9:AK$312)</f>
        <v/>
      </c>
      <c r="AL3" s="37">
        <f>SUM(AL$9:AL$312)</f>
        <v/>
      </c>
      <c r="AM3" s="37">
        <f>SUM(AM$9:AM$312)</f>
        <v/>
      </c>
      <c r="AN3" s="37">
        <f>SUM(AN$9:AN$312)</f>
        <v/>
      </c>
      <c r="AO3" s="37">
        <f>SUM(AO$9:AO$312)</f>
        <v/>
      </c>
      <c r="AP3" s="37">
        <f>SUM(AP$9:AP$312)</f>
        <v/>
      </c>
      <c r="AQ3" s="37">
        <f>SUM(AQ$9:AQ$312)</f>
        <v/>
      </c>
      <c r="AR3" s="37">
        <f>SUM(AR$9:AR$312)</f>
        <v/>
      </c>
      <c r="AS3" s="37">
        <f>SUM(AS$9:AS$312)</f>
        <v/>
      </c>
      <c r="AT3" s="37">
        <f>SUM(AT$9:AT$312)</f>
        <v/>
      </c>
      <c r="AU3" s="37">
        <f>SUM(AU$9:AU$312)</f>
        <v/>
      </c>
      <c r="AV3" s="37">
        <f>SUM(AV$9:AV$312)</f>
        <v/>
      </c>
      <c r="AW3" s="37">
        <f>SUM(AW$9:AW$312)</f>
        <v/>
      </c>
      <c r="AX3" s="37">
        <f>SUM(AX$9:AX$312)</f>
        <v/>
      </c>
      <c r="AY3" s="37">
        <f>SUM(AY$9:AY$312)</f>
        <v/>
      </c>
    </row>
    <row r="4" ht="15" customHeight="1">
      <c r="A4" s="5" t="inlineStr">
        <is>
          <t>영상 TO</t>
        </is>
      </c>
      <c r="B4" s="8" t="n"/>
      <c r="C4" s="8" t="n"/>
      <c r="D4" s="8" t="n"/>
      <c r="E4" s="8" t="n"/>
      <c r="F4" s="4" t="n"/>
      <c r="G4" s="34" t="inlineStr">
        <is>
          <t>정원</t>
        </is>
      </c>
      <c r="H4" s="35">
        <f>'마스터'!$J$8</f>
        <v/>
      </c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U4" s="37">
        <f>SUMIF($E$9:$E$312,"영상",U$9:U$312)</f>
        <v/>
      </c>
      <c r="V4" s="37">
        <f>SUMIF($E$9:$E$312,"영상",V$9:V$312)</f>
        <v/>
      </c>
      <c r="W4" s="37">
        <f>SUMIF($E$9:$E$312,"영상",W$9:W$312)</f>
        <v/>
      </c>
      <c r="X4" s="37">
        <f>SUMIF($E$9:$E$312,"영상",X$9:X$312)</f>
        <v/>
      </c>
      <c r="Y4" s="37">
        <f>SUMIF($E$9:$E$312,"영상",Y$9:Y$312)</f>
        <v/>
      </c>
      <c r="Z4" s="37">
        <f>SUMIF($E$9:$E$312,"영상",Z$9:Z$312)</f>
        <v/>
      </c>
      <c r="AA4" s="37">
        <f>SUMIF($E$9:$E$312,"영상",AA$9:AA$312)</f>
        <v/>
      </c>
      <c r="AB4" s="37">
        <f>SUMIF($E$9:$E$312,"영상",AB$9:AB$312)</f>
        <v/>
      </c>
      <c r="AC4" s="37">
        <f>SUMIF($E$9:$E$312,"영상",AC$9:AC$312)</f>
        <v/>
      </c>
      <c r="AD4" s="37">
        <f>SUMIF($E$9:$E$312,"영상",AD$9:AD$312)</f>
        <v/>
      </c>
      <c r="AE4" s="37">
        <f>SUMIF($E$9:$E$312,"영상",AE$9:AE$312)</f>
        <v/>
      </c>
      <c r="AF4" s="37">
        <f>SUMIF($E$9:$E$312,"영상",AF$9:AF$312)</f>
        <v/>
      </c>
      <c r="AG4" s="37">
        <f>SUMIF($E$9:$E$312,"영상",AG$9:AG$312)</f>
        <v/>
      </c>
      <c r="AH4" s="37">
        <f>SUMIF($E$9:$E$312,"영상",AH$9:AH$312)</f>
        <v/>
      </c>
      <c r="AI4" s="37">
        <f>SUMIF($E$9:$E$312,"영상",AI$9:AI$312)</f>
        <v/>
      </c>
      <c r="AJ4" s="37">
        <f>SUMIF($E$9:$E$312,"영상",AJ$9:AJ$312)</f>
        <v/>
      </c>
      <c r="AK4" s="37">
        <f>SUMIF($E$9:$E$312,"영상",AK$9:AK$312)</f>
        <v/>
      </c>
      <c r="AL4" s="37">
        <f>SUMIF($E$9:$E$312,"영상",AL$9:AL$312)</f>
        <v/>
      </c>
      <c r="AM4" s="37">
        <f>SUMIF($E$9:$E$312,"영상",AM$9:AM$312)</f>
        <v/>
      </c>
      <c r="AN4" s="37">
        <f>SUMIF($E$9:$E$312,"영상",AN$9:AN$312)</f>
        <v/>
      </c>
      <c r="AO4" s="37">
        <f>SUMIF($E$9:$E$312,"영상",AO$9:AO$312)</f>
        <v/>
      </c>
      <c r="AP4" s="37">
        <f>SUMIF($E$9:$E$312,"영상",AP$9:AP$312)</f>
        <v/>
      </c>
      <c r="AQ4" s="37">
        <f>SUMIF($E$9:$E$312,"영상",AQ$9:AQ$312)</f>
        <v/>
      </c>
      <c r="AR4" s="37">
        <f>SUMIF($E$9:$E$312,"영상",AR$9:AR$312)</f>
        <v/>
      </c>
      <c r="AS4" s="37">
        <f>SUMIF($E$9:$E$312,"영상",AS$9:AS$312)</f>
        <v/>
      </c>
      <c r="AT4" s="37">
        <f>SUMIF($E$9:$E$312,"영상",AT$9:AT$312)</f>
        <v/>
      </c>
      <c r="AU4" s="37">
        <f>SUMIF($E$9:$E$312,"영상",AU$9:AU$312)</f>
        <v/>
      </c>
      <c r="AV4" s="37">
        <f>SUMIF($E$9:$E$312,"영상",AV$9:AV$312)</f>
        <v/>
      </c>
      <c r="AW4" s="37">
        <f>SUMIF($E$9:$E$312,"영상",AW$9:AW$312)</f>
        <v/>
      </c>
      <c r="AX4" s="37">
        <f>SUMIF($E$9:$E$312,"영상",AX$9:AX$312)</f>
        <v/>
      </c>
      <c r="AY4" s="37">
        <f>SUMIF($E$9:$E$312,"영상",AY$9:AY$312)</f>
        <v/>
      </c>
    </row>
    <row r="5" ht="15" customHeight="1">
      <c r="A5" s="5" t="inlineStr">
        <is>
          <t>이미지 TO</t>
        </is>
      </c>
      <c r="B5" s="8" t="n"/>
      <c r="C5" s="8" t="n"/>
      <c r="D5" s="8" t="n"/>
      <c r="E5" s="8" t="n"/>
      <c r="F5" s="4" t="n"/>
      <c r="G5" s="34" t="inlineStr">
        <is>
          <t>정원</t>
        </is>
      </c>
      <c r="H5" s="35">
        <f>'마스터'!$J$9</f>
        <v/>
      </c>
      <c r="I5" s="36" t="n"/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  <c r="S5" s="36" t="n"/>
      <c r="U5" s="37">
        <f>SUMIF($E$9:$E$312,"이미지",U$9:U$312)</f>
        <v/>
      </c>
      <c r="V5" s="37">
        <f>SUMIF($E$9:$E$312,"이미지",V$9:V$312)</f>
        <v/>
      </c>
      <c r="W5" s="37">
        <f>SUMIF($E$9:$E$312,"이미지",W$9:W$312)</f>
        <v/>
      </c>
      <c r="X5" s="37">
        <f>SUMIF($E$9:$E$312,"이미지",X$9:X$312)</f>
        <v/>
      </c>
      <c r="Y5" s="37">
        <f>SUMIF($E$9:$E$312,"이미지",Y$9:Y$312)</f>
        <v/>
      </c>
      <c r="Z5" s="37">
        <f>SUMIF($E$9:$E$312,"이미지",Z$9:Z$312)</f>
        <v/>
      </c>
      <c r="AA5" s="37">
        <f>SUMIF($E$9:$E$312,"이미지",AA$9:AA$312)</f>
        <v/>
      </c>
      <c r="AB5" s="37">
        <f>SUMIF($E$9:$E$312,"이미지",AB$9:AB$312)</f>
        <v/>
      </c>
      <c r="AC5" s="37">
        <f>SUMIF($E$9:$E$312,"이미지",AC$9:AC$312)</f>
        <v/>
      </c>
      <c r="AD5" s="37">
        <f>SUMIF($E$9:$E$312,"이미지",AD$9:AD$312)</f>
        <v/>
      </c>
      <c r="AE5" s="37">
        <f>SUMIF($E$9:$E$312,"이미지",AE$9:AE$312)</f>
        <v/>
      </c>
      <c r="AF5" s="37">
        <f>SUMIF($E$9:$E$312,"이미지",AF$9:AF$312)</f>
        <v/>
      </c>
      <c r="AG5" s="37">
        <f>SUMIF($E$9:$E$312,"이미지",AG$9:AG$312)</f>
        <v/>
      </c>
      <c r="AH5" s="37">
        <f>SUMIF($E$9:$E$312,"이미지",AH$9:AH$312)</f>
        <v/>
      </c>
      <c r="AI5" s="37">
        <f>SUMIF($E$9:$E$312,"이미지",AI$9:AI$312)</f>
        <v/>
      </c>
      <c r="AJ5" s="37">
        <f>SUMIF($E$9:$E$312,"이미지",AJ$9:AJ$312)</f>
        <v/>
      </c>
      <c r="AK5" s="37">
        <f>SUMIF($E$9:$E$312,"이미지",AK$9:AK$312)</f>
        <v/>
      </c>
      <c r="AL5" s="37">
        <f>SUMIF($E$9:$E$312,"이미지",AL$9:AL$312)</f>
        <v/>
      </c>
      <c r="AM5" s="37">
        <f>SUMIF($E$9:$E$312,"이미지",AM$9:AM$312)</f>
        <v/>
      </c>
      <c r="AN5" s="37">
        <f>SUMIF($E$9:$E$312,"이미지",AN$9:AN$312)</f>
        <v/>
      </c>
      <c r="AO5" s="37">
        <f>SUMIF($E$9:$E$312,"이미지",AO$9:AO$312)</f>
        <v/>
      </c>
      <c r="AP5" s="37">
        <f>SUMIF($E$9:$E$312,"이미지",AP$9:AP$312)</f>
        <v/>
      </c>
      <c r="AQ5" s="37">
        <f>SUMIF($E$9:$E$312,"이미지",AQ$9:AQ$312)</f>
        <v/>
      </c>
      <c r="AR5" s="37">
        <f>SUMIF($E$9:$E$312,"이미지",AR$9:AR$312)</f>
        <v/>
      </c>
      <c r="AS5" s="37">
        <f>SUMIF($E$9:$E$312,"이미지",AS$9:AS$312)</f>
        <v/>
      </c>
      <c r="AT5" s="37">
        <f>SUMIF($E$9:$E$312,"이미지",AT$9:AT$312)</f>
        <v/>
      </c>
      <c r="AU5" s="37">
        <f>SUMIF($E$9:$E$312,"이미지",AU$9:AU$312)</f>
        <v/>
      </c>
      <c r="AV5" s="37">
        <f>SUMIF($E$9:$E$312,"이미지",AV$9:AV$312)</f>
        <v/>
      </c>
      <c r="AW5" s="37">
        <f>SUMIF($E$9:$E$312,"이미지",AW$9:AW$312)</f>
        <v/>
      </c>
      <c r="AX5" s="37">
        <f>SUMIF($E$9:$E$312,"이미지",AX$9:AX$312)</f>
        <v/>
      </c>
      <c r="AY5" s="37">
        <f>SUMIF($E$9:$E$312,"이미지",AY$9:AY$312)</f>
        <v/>
      </c>
    </row>
    <row r="6" ht="15" customHeight="1">
      <c r="A6" s="5" t="inlineStr">
        <is>
          <t>기획 TO</t>
        </is>
      </c>
      <c r="B6" s="8" t="n"/>
      <c r="C6" s="8" t="n"/>
      <c r="D6" s="8" t="n"/>
      <c r="E6" s="8" t="n"/>
      <c r="F6" s="4" t="n"/>
      <c r="G6" s="34" t="inlineStr">
        <is>
          <t>정원</t>
        </is>
      </c>
      <c r="H6" s="35">
        <f>'마스터'!$J$10</f>
        <v/>
      </c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6" t="n"/>
      <c r="S6" s="36" t="n"/>
      <c r="U6" s="37">
        <f>SUMIF($E$9:$E$312,"기획",U$9:U$312)</f>
        <v/>
      </c>
      <c r="V6" s="37">
        <f>SUMIF($E$9:$E$312,"기획",V$9:V$312)</f>
        <v/>
      </c>
      <c r="W6" s="37">
        <f>SUMIF($E$9:$E$312,"기획",W$9:W$312)</f>
        <v/>
      </c>
      <c r="X6" s="37">
        <f>SUMIF($E$9:$E$312,"기획",X$9:X$312)</f>
        <v/>
      </c>
      <c r="Y6" s="37">
        <f>SUMIF($E$9:$E$312,"기획",Y$9:Y$312)</f>
        <v/>
      </c>
      <c r="Z6" s="37">
        <f>SUMIF($E$9:$E$312,"기획",Z$9:Z$312)</f>
        <v/>
      </c>
      <c r="AA6" s="37">
        <f>SUMIF($E$9:$E$312,"기획",AA$9:AA$312)</f>
        <v/>
      </c>
      <c r="AB6" s="37">
        <f>SUMIF($E$9:$E$312,"기획",AB$9:AB$312)</f>
        <v/>
      </c>
      <c r="AC6" s="37">
        <f>SUMIF($E$9:$E$312,"기획",AC$9:AC$312)</f>
        <v/>
      </c>
      <c r="AD6" s="37">
        <f>SUMIF($E$9:$E$312,"기획",AD$9:AD$312)</f>
        <v/>
      </c>
      <c r="AE6" s="37">
        <f>SUMIF($E$9:$E$312,"기획",AE$9:AE$312)</f>
        <v/>
      </c>
      <c r="AF6" s="37">
        <f>SUMIF($E$9:$E$312,"기획",AF$9:AF$312)</f>
        <v/>
      </c>
      <c r="AG6" s="37">
        <f>SUMIF($E$9:$E$312,"기획",AG$9:AG$312)</f>
        <v/>
      </c>
      <c r="AH6" s="37">
        <f>SUMIF($E$9:$E$312,"기획",AH$9:AH$312)</f>
        <v/>
      </c>
      <c r="AI6" s="37">
        <f>SUMIF($E$9:$E$312,"기획",AI$9:AI$312)</f>
        <v/>
      </c>
      <c r="AJ6" s="37">
        <f>SUMIF($E$9:$E$312,"기획",AJ$9:AJ$312)</f>
        <v/>
      </c>
      <c r="AK6" s="37">
        <f>SUMIF($E$9:$E$312,"기획",AK$9:AK$312)</f>
        <v/>
      </c>
      <c r="AL6" s="37">
        <f>SUMIF($E$9:$E$312,"기획",AL$9:AL$312)</f>
        <v/>
      </c>
      <c r="AM6" s="37">
        <f>SUMIF($E$9:$E$312,"기획",AM$9:AM$312)</f>
        <v/>
      </c>
      <c r="AN6" s="37">
        <f>SUMIF($E$9:$E$312,"기획",AN$9:AN$312)</f>
        <v/>
      </c>
      <c r="AO6" s="37">
        <f>SUMIF($E$9:$E$312,"기획",AO$9:AO$312)</f>
        <v/>
      </c>
      <c r="AP6" s="37">
        <f>SUMIF($E$9:$E$312,"기획",AP$9:AP$312)</f>
        <v/>
      </c>
      <c r="AQ6" s="37">
        <f>SUMIF($E$9:$E$312,"기획",AQ$9:AQ$312)</f>
        <v/>
      </c>
      <c r="AR6" s="37">
        <f>SUMIF($E$9:$E$312,"기획",AR$9:AR$312)</f>
        <v/>
      </c>
      <c r="AS6" s="37">
        <f>SUMIF($E$9:$E$312,"기획",AS$9:AS$312)</f>
        <v/>
      </c>
      <c r="AT6" s="37">
        <f>SUMIF($E$9:$E$312,"기획",AT$9:AT$312)</f>
        <v/>
      </c>
      <c r="AU6" s="37">
        <f>SUMIF($E$9:$E$312,"기획",AU$9:AU$312)</f>
        <v/>
      </c>
      <c r="AV6" s="37">
        <f>SUMIF($E$9:$E$312,"기획",AV$9:AV$312)</f>
        <v/>
      </c>
      <c r="AW6" s="37">
        <f>SUMIF($E$9:$E$312,"기획",AW$9:AW$312)</f>
        <v/>
      </c>
      <c r="AX6" s="37">
        <f>SUMIF($E$9:$E$312,"기획",AX$9:AX$312)</f>
        <v/>
      </c>
      <c r="AY6" s="37">
        <f>SUMIF($E$9:$E$312,"기획",AY$9:AY$312)</f>
        <v/>
      </c>
    </row>
    <row r="7">
      <c r="A7" s="38" t="inlineStr">
        <is>
          <t>▼ 아래부터 입력. 노란칸=직접 입력 / 회색칸=자동(건드리지 마세요)</t>
        </is>
      </c>
    </row>
    <row r="8" ht="18" customHeight="1">
      <c r="A8" s="39" t="inlineStr">
        <is>
          <t>마케팅1팀   (9~68행 · 소재 20개)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4" t="n"/>
    </row>
    <row r="9" ht="15" customHeight="1">
      <c r="A9" s="40">
        <f>IF($D$9="","",1)</f>
        <v/>
      </c>
      <c r="B9" s="10" t="n"/>
      <c r="C9" s="41" t="inlineStr">
        <is>
          <t>마케팅1팀</t>
        </is>
      </c>
      <c r="D9" s="42" t="n"/>
      <c r="E9" s="43" t="inlineStr">
        <is>
          <t>기획</t>
        </is>
      </c>
      <c r="F9" s="44" t="n"/>
      <c r="G9" s="45" t="n"/>
      <c r="H9" s="46">
        <f>IF($I$9="","",IF($I$9&lt;0,"🔴지연",IF($I$9&lt;=1,"🟡임박","🟢여유")))</f>
        <v/>
      </c>
      <c r="I9" s="47">
        <f>IF(OR($G$9="",$K$9=""),"",$G$9-$K$9)</f>
        <v/>
      </c>
      <c r="J9" s="48">
        <f>IF(SUM($L$9:$L$11)=0,"",SUM($L$9:$L$11))</f>
        <v/>
      </c>
      <c r="K9" s="49">
        <f>IF($J$9="","",MAX($N$9:$N$11))</f>
        <v/>
      </c>
      <c r="L9" s="50">
        <f>IF(SUM(U9:AY9)=0,"",SUM(U9:AY9))</f>
        <v/>
      </c>
      <c r="M9" s="51">
        <f>IFERROR(INDEX(U$2:AY$2,MATCH(TRUE,INDEX(U9:AY9&lt;&gt;"",0),0)),"")</f>
        <v/>
      </c>
      <c r="N9" s="51">
        <f>IFERROR(LOOKUP(2,1/(U9:AY9&lt;&gt;""),U$2:AY$2),"")</f>
        <v/>
      </c>
      <c r="O9" s="52" t="n"/>
      <c r="P9" s="52" t="n"/>
      <c r="Q9" s="52" t="n"/>
      <c r="R9" s="44" t="n"/>
      <c r="S9" s="14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</row>
    <row r="10" ht="15" customHeight="1">
      <c r="A10" s="54" t="n"/>
      <c r="B10" s="55">
        <f>IF($B$9="","",$B$9)</f>
        <v/>
      </c>
      <c r="C10" s="56" t="inlineStr">
        <is>
          <t>마케팅1팀</t>
        </is>
      </c>
      <c r="D10" s="55">
        <f>IF($D$9="","",$D$9)</f>
        <v/>
      </c>
      <c r="E10" s="57" t="inlineStr">
        <is>
          <t>이미지</t>
        </is>
      </c>
      <c r="F10" s="44" t="n"/>
      <c r="G10" s="58">
        <f>IF($G$9="","",$G$9)</f>
        <v/>
      </c>
      <c r="H10" s="59" t="n"/>
      <c r="I10" s="59" t="n"/>
      <c r="J10" s="59" t="n"/>
      <c r="K10" s="59" t="n"/>
      <c r="L10" s="60">
        <f>IF(SUM(U10:AY10)=0,"",SUM(U10:AY10))</f>
        <v/>
      </c>
      <c r="M10" s="61">
        <f>IFERROR(INDEX(U$2:AY$2,MATCH(TRUE,INDEX(U10:AY10&lt;&gt;"",0),0)),"")</f>
        <v/>
      </c>
      <c r="N10" s="61">
        <f>IFERROR(LOOKUP(2,1/(U10:AY10&lt;&gt;""),U$2:AY$2),"")</f>
        <v/>
      </c>
      <c r="O10" s="59" t="n"/>
      <c r="P10" s="59" t="n"/>
      <c r="Q10" s="59" t="n"/>
      <c r="R10" s="59" t="n"/>
      <c r="S10" s="14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</row>
    <row r="11" ht="15" customHeight="1">
      <c r="A11" s="62" t="n"/>
      <c r="B11" s="55">
        <f>IF($B$9="","",$B$9)</f>
        <v/>
      </c>
      <c r="C11" s="63" t="inlineStr">
        <is>
          <t>마케팅1팀</t>
        </is>
      </c>
      <c r="D11" s="55">
        <f>IF($D$9="","",$D$9)</f>
        <v/>
      </c>
      <c r="E11" s="64" t="inlineStr">
        <is>
          <t>영상</t>
        </is>
      </c>
      <c r="F11" s="44" t="n"/>
      <c r="G11" s="58">
        <f>IF($G$9="","",$G$9)</f>
        <v/>
      </c>
      <c r="H11" s="59" t="n"/>
      <c r="I11" s="59" t="n"/>
      <c r="J11" s="59" t="n"/>
      <c r="K11" s="59" t="n"/>
      <c r="L11" s="65">
        <f>IF(SUM(U11:AY11)=0,"",SUM(U11:AY11))</f>
        <v/>
      </c>
      <c r="M11" s="66">
        <f>IFERROR(INDEX(U$2:AY$2,MATCH(TRUE,INDEX(U11:AY11&lt;&gt;"",0),0)),"")</f>
        <v/>
      </c>
      <c r="N11" s="66">
        <f>IFERROR(LOOKUP(2,1/(U11:AY11&lt;&gt;""),U$2:AY$2),"")</f>
        <v/>
      </c>
      <c r="O11" s="59" t="n"/>
      <c r="P11" s="59" t="n"/>
      <c r="Q11" s="59" t="n"/>
      <c r="R11" s="59" t="n"/>
      <c r="S11" s="14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</row>
    <row r="12" ht="15" customHeight="1">
      <c r="A12" s="40">
        <f>IF($D$12="","",2)</f>
        <v/>
      </c>
      <c r="B12" s="10" t="n"/>
      <c r="C12" s="41" t="inlineStr">
        <is>
          <t>마케팅1팀</t>
        </is>
      </c>
      <c r="D12" s="42" t="n"/>
      <c r="E12" s="43" t="inlineStr">
        <is>
          <t>기획</t>
        </is>
      </c>
      <c r="F12" s="44" t="n"/>
      <c r="G12" s="45" t="n"/>
      <c r="H12" s="46">
        <f>IF($I$12="","",IF($I$12&lt;0,"🔴지연",IF($I$12&lt;=1,"🟡임박","🟢여유")))</f>
        <v/>
      </c>
      <c r="I12" s="47">
        <f>IF(OR($G$12="",$K$12=""),"",$G$12-$K$12)</f>
        <v/>
      </c>
      <c r="J12" s="48">
        <f>IF(SUM($L$12:$L$14)=0,"",SUM($L$12:$L$14))</f>
        <v/>
      </c>
      <c r="K12" s="49">
        <f>IF($J$12="","",MAX($N$12:$N$14))</f>
        <v/>
      </c>
      <c r="L12" s="50">
        <f>IF(SUM(U12:AY12)=0,"",SUM(U12:AY12))</f>
        <v/>
      </c>
      <c r="M12" s="51">
        <f>IFERROR(INDEX(U$2:AY$2,MATCH(TRUE,INDEX(U12:AY12&lt;&gt;"",0),0)),"")</f>
        <v/>
      </c>
      <c r="N12" s="51">
        <f>IFERROR(LOOKUP(2,1/(U12:AY12&lt;&gt;""),U$2:AY$2),"")</f>
        <v/>
      </c>
      <c r="O12" s="52" t="n"/>
      <c r="P12" s="52" t="n"/>
      <c r="Q12" s="52" t="n"/>
      <c r="R12" s="44" t="n"/>
      <c r="S12" s="14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</row>
    <row r="13" ht="15" customHeight="1">
      <c r="A13" s="54" t="n"/>
      <c r="B13" s="55">
        <f>IF($B$12="","",$B$12)</f>
        <v/>
      </c>
      <c r="C13" s="56" t="inlineStr">
        <is>
          <t>마케팅1팀</t>
        </is>
      </c>
      <c r="D13" s="55">
        <f>IF($D$12="","",$D$12)</f>
        <v/>
      </c>
      <c r="E13" s="57" t="inlineStr">
        <is>
          <t>이미지</t>
        </is>
      </c>
      <c r="F13" s="44" t="n"/>
      <c r="G13" s="58">
        <f>IF($G$12="","",$G$12)</f>
        <v/>
      </c>
      <c r="H13" s="59" t="n"/>
      <c r="I13" s="59" t="n"/>
      <c r="J13" s="59" t="n"/>
      <c r="K13" s="59" t="n"/>
      <c r="L13" s="60">
        <f>IF(SUM(U13:AY13)=0,"",SUM(U13:AY13))</f>
        <v/>
      </c>
      <c r="M13" s="61">
        <f>IFERROR(INDEX(U$2:AY$2,MATCH(TRUE,INDEX(U13:AY13&lt;&gt;"",0),0)),"")</f>
        <v/>
      </c>
      <c r="N13" s="61">
        <f>IFERROR(LOOKUP(2,1/(U13:AY13&lt;&gt;""),U$2:AY$2),"")</f>
        <v/>
      </c>
      <c r="O13" s="59" t="n"/>
      <c r="P13" s="59" t="n"/>
      <c r="Q13" s="59" t="n"/>
      <c r="R13" s="59" t="n"/>
      <c r="S13" s="14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</row>
    <row r="14" ht="15" customHeight="1">
      <c r="A14" s="62" t="n"/>
      <c r="B14" s="55">
        <f>IF($B$12="","",$B$12)</f>
        <v/>
      </c>
      <c r="C14" s="63" t="inlineStr">
        <is>
          <t>마케팅1팀</t>
        </is>
      </c>
      <c r="D14" s="55">
        <f>IF($D$12="","",$D$12)</f>
        <v/>
      </c>
      <c r="E14" s="64" t="inlineStr">
        <is>
          <t>영상</t>
        </is>
      </c>
      <c r="F14" s="44" t="n"/>
      <c r="G14" s="58">
        <f>IF($G$12="","",$G$12)</f>
        <v/>
      </c>
      <c r="H14" s="59" t="n"/>
      <c r="I14" s="59" t="n"/>
      <c r="J14" s="59" t="n"/>
      <c r="K14" s="59" t="n"/>
      <c r="L14" s="65">
        <f>IF(SUM(U14:AY14)=0,"",SUM(U14:AY14))</f>
        <v/>
      </c>
      <c r="M14" s="66">
        <f>IFERROR(INDEX(U$2:AY$2,MATCH(TRUE,INDEX(U14:AY14&lt;&gt;"",0),0)),"")</f>
        <v/>
      </c>
      <c r="N14" s="66">
        <f>IFERROR(LOOKUP(2,1/(U14:AY14&lt;&gt;""),U$2:AY$2),"")</f>
        <v/>
      </c>
      <c r="O14" s="59" t="n"/>
      <c r="P14" s="59" t="n"/>
      <c r="Q14" s="59" t="n"/>
      <c r="R14" s="59" t="n"/>
      <c r="S14" s="14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</row>
    <row r="15" ht="15" customHeight="1">
      <c r="A15" s="40">
        <f>IF($D$15="","",3)</f>
        <v/>
      </c>
      <c r="B15" s="10" t="n"/>
      <c r="C15" s="41" t="inlineStr">
        <is>
          <t>마케팅1팀</t>
        </is>
      </c>
      <c r="D15" s="42" t="n"/>
      <c r="E15" s="43" t="inlineStr">
        <is>
          <t>기획</t>
        </is>
      </c>
      <c r="F15" s="44" t="n"/>
      <c r="G15" s="45" t="n"/>
      <c r="H15" s="46">
        <f>IF($I$15="","",IF($I$15&lt;0,"🔴지연",IF($I$15&lt;=1,"🟡임박","🟢여유")))</f>
        <v/>
      </c>
      <c r="I15" s="47">
        <f>IF(OR($G$15="",$K$15=""),"",$G$15-$K$15)</f>
        <v/>
      </c>
      <c r="J15" s="48">
        <f>IF(SUM($L$15:$L$17)=0,"",SUM($L$15:$L$17))</f>
        <v/>
      </c>
      <c r="K15" s="49">
        <f>IF($J$15="","",MAX($N$15:$N$17))</f>
        <v/>
      </c>
      <c r="L15" s="50">
        <f>IF(SUM(U15:AY15)=0,"",SUM(U15:AY15))</f>
        <v/>
      </c>
      <c r="M15" s="51">
        <f>IFERROR(INDEX(U$2:AY$2,MATCH(TRUE,INDEX(U15:AY15&lt;&gt;"",0),0)),"")</f>
        <v/>
      </c>
      <c r="N15" s="51">
        <f>IFERROR(LOOKUP(2,1/(U15:AY15&lt;&gt;""),U$2:AY$2),"")</f>
        <v/>
      </c>
      <c r="O15" s="52" t="n"/>
      <c r="P15" s="52" t="n"/>
      <c r="Q15" s="52" t="n"/>
      <c r="R15" s="44" t="n"/>
      <c r="S15" s="14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</row>
    <row r="16" ht="15" customHeight="1">
      <c r="A16" s="54" t="n"/>
      <c r="B16" s="55">
        <f>IF($B$15="","",$B$15)</f>
        <v/>
      </c>
      <c r="C16" s="56" t="inlineStr">
        <is>
          <t>마케팅1팀</t>
        </is>
      </c>
      <c r="D16" s="55">
        <f>IF($D$15="","",$D$15)</f>
        <v/>
      </c>
      <c r="E16" s="57" t="inlineStr">
        <is>
          <t>이미지</t>
        </is>
      </c>
      <c r="F16" s="44" t="n"/>
      <c r="G16" s="58">
        <f>IF($G$15="","",$G$15)</f>
        <v/>
      </c>
      <c r="H16" s="59" t="n"/>
      <c r="I16" s="59" t="n"/>
      <c r="J16" s="59" t="n"/>
      <c r="K16" s="59" t="n"/>
      <c r="L16" s="60">
        <f>IF(SUM(U16:AY16)=0,"",SUM(U16:AY16))</f>
        <v/>
      </c>
      <c r="M16" s="61">
        <f>IFERROR(INDEX(U$2:AY$2,MATCH(TRUE,INDEX(U16:AY16&lt;&gt;"",0),0)),"")</f>
        <v/>
      </c>
      <c r="N16" s="61">
        <f>IFERROR(LOOKUP(2,1/(U16:AY16&lt;&gt;""),U$2:AY$2),"")</f>
        <v/>
      </c>
      <c r="O16" s="59" t="n"/>
      <c r="P16" s="59" t="n"/>
      <c r="Q16" s="59" t="n"/>
      <c r="R16" s="59" t="n"/>
      <c r="S16" s="14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</row>
    <row r="17" ht="15" customHeight="1">
      <c r="A17" s="62" t="n"/>
      <c r="B17" s="55">
        <f>IF($B$15="","",$B$15)</f>
        <v/>
      </c>
      <c r="C17" s="63" t="inlineStr">
        <is>
          <t>마케팅1팀</t>
        </is>
      </c>
      <c r="D17" s="55">
        <f>IF($D$15="","",$D$15)</f>
        <v/>
      </c>
      <c r="E17" s="64" t="inlineStr">
        <is>
          <t>영상</t>
        </is>
      </c>
      <c r="F17" s="44" t="n"/>
      <c r="G17" s="58">
        <f>IF($G$15="","",$G$15)</f>
        <v/>
      </c>
      <c r="H17" s="59" t="n"/>
      <c r="I17" s="59" t="n"/>
      <c r="J17" s="59" t="n"/>
      <c r="K17" s="59" t="n"/>
      <c r="L17" s="65">
        <f>IF(SUM(U17:AY17)=0,"",SUM(U17:AY17))</f>
        <v/>
      </c>
      <c r="M17" s="66">
        <f>IFERROR(INDEX(U$2:AY$2,MATCH(TRUE,INDEX(U17:AY17&lt;&gt;"",0),0)),"")</f>
        <v/>
      </c>
      <c r="N17" s="66">
        <f>IFERROR(LOOKUP(2,1/(U17:AY17&lt;&gt;""),U$2:AY$2),"")</f>
        <v/>
      </c>
      <c r="O17" s="59" t="n"/>
      <c r="P17" s="59" t="n"/>
      <c r="Q17" s="59" t="n"/>
      <c r="R17" s="59" t="n"/>
      <c r="S17" s="14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</row>
    <row r="18" ht="15" customHeight="1">
      <c r="A18" s="40">
        <f>IF($D$18="","",4)</f>
        <v/>
      </c>
      <c r="B18" s="10" t="n"/>
      <c r="C18" s="41" t="inlineStr">
        <is>
          <t>마케팅1팀</t>
        </is>
      </c>
      <c r="D18" s="42" t="n"/>
      <c r="E18" s="43" t="inlineStr">
        <is>
          <t>기획</t>
        </is>
      </c>
      <c r="F18" s="44" t="n"/>
      <c r="G18" s="45" t="n"/>
      <c r="H18" s="46">
        <f>IF($I$18="","",IF($I$18&lt;0,"🔴지연",IF($I$18&lt;=1,"🟡임박","🟢여유")))</f>
        <v/>
      </c>
      <c r="I18" s="47">
        <f>IF(OR($G$18="",$K$18=""),"",$G$18-$K$18)</f>
        <v/>
      </c>
      <c r="J18" s="48">
        <f>IF(SUM($L$18:$L$20)=0,"",SUM($L$18:$L$20))</f>
        <v/>
      </c>
      <c r="K18" s="49">
        <f>IF($J$18="","",MAX($N$18:$N$20))</f>
        <v/>
      </c>
      <c r="L18" s="50">
        <f>IF(SUM(U18:AY18)=0,"",SUM(U18:AY18))</f>
        <v/>
      </c>
      <c r="M18" s="51">
        <f>IFERROR(INDEX(U$2:AY$2,MATCH(TRUE,INDEX(U18:AY18&lt;&gt;"",0),0)),"")</f>
        <v/>
      </c>
      <c r="N18" s="51">
        <f>IFERROR(LOOKUP(2,1/(U18:AY18&lt;&gt;""),U$2:AY$2),"")</f>
        <v/>
      </c>
      <c r="O18" s="52" t="n"/>
      <c r="P18" s="52" t="n"/>
      <c r="Q18" s="52" t="n"/>
      <c r="R18" s="44" t="n"/>
      <c r="S18" s="14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</row>
    <row r="19" ht="15" customHeight="1">
      <c r="A19" s="54" t="n"/>
      <c r="B19" s="55">
        <f>IF($B$18="","",$B$18)</f>
        <v/>
      </c>
      <c r="C19" s="56" t="inlineStr">
        <is>
          <t>마케팅1팀</t>
        </is>
      </c>
      <c r="D19" s="55">
        <f>IF($D$18="","",$D$18)</f>
        <v/>
      </c>
      <c r="E19" s="57" t="inlineStr">
        <is>
          <t>이미지</t>
        </is>
      </c>
      <c r="F19" s="44" t="n"/>
      <c r="G19" s="58">
        <f>IF($G$18="","",$G$18)</f>
        <v/>
      </c>
      <c r="H19" s="59" t="n"/>
      <c r="I19" s="59" t="n"/>
      <c r="J19" s="59" t="n"/>
      <c r="K19" s="59" t="n"/>
      <c r="L19" s="60">
        <f>IF(SUM(U19:AY19)=0,"",SUM(U19:AY19))</f>
        <v/>
      </c>
      <c r="M19" s="61">
        <f>IFERROR(INDEX(U$2:AY$2,MATCH(TRUE,INDEX(U19:AY19&lt;&gt;"",0),0)),"")</f>
        <v/>
      </c>
      <c r="N19" s="61">
        <f>IFERROR(LOOKUP(2,1/(U19:AY19&lt;&gt;""),U$2:AY$2),"")</f>
        <v/>
      </c>
      <c r="O19" s="59" t="n"/>
      <c r="P19" s="59" t="n"/>
      <c r="Q19" s="59" t="n"/>
      <c r="R19" s="59" t="n"/>
      <c r="S19" s="14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</row>
    <row r="20" ht="15" customHeight="1">
      <c r="A20" s="62" t="n"/>
      <c r="B20" s="55">
        <f>IF($B$18="","",$B$18)</f>
        <v/>
      </c>
      <c r="C20" s="63" t="inlineStr">
        <is>
          <t>마케팅1팀</t>
        </is>
      </c>
      <c r="D20" s="55">
        <f>IF($D$18="","",$D$18)</f>
        <v/>
      </c>
      <c r="E20" s="64" t="inlineStr">
        <is>
          <t>영상</t>
        </is>
      </c>
      <c r="F20" s="44" t="n"/>
      <c r="G20" s="58">
        <f>IF($G$18="","",$G$18)</f>
        <v/>
      </c>
      <c r="H20" s="59" t="n"/>
      <c r="I20" s="59" t="n"/>
      <c r="J20" s="59" t="n"/>
      <c r="K20" s="59" t="n"/>
      <c r="L20" s="65">
        <f>IF(SUM(U20:AY20)=0,"",SUM(U20:AY20))</f>
        <v/>
      </c>
      <c r="M20" s="66">
        <f>IFERROR(INDEX(U$2:AY$2,MATCH(TRUE,INDEX(U20:AY20&lt;&gt;"",0),0)),"")</f>
        <v/>
      </c>
      <c r="N20" s="66">
        <f>IFERROR(LOOKUP(2,1/(U20:AY20&lt;&gt;""),U$2:AY$2),"")</f>
        <v/>
      </c>
      <c r="O20" s="59" t="n"/>
      <c r="P20" s="59" t="n"/>
      <c r="Q20" s="59" t="n"/>
      <c r="R20" s="59" t="n"/>
      <c r="S20" s="14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</row>
    <row r="21" ht="15" customHeight="1">
      <c r="A21" s="40">
        <f>IF($D$21="","",5)</f>
        <v/>
      </c>
      <c r="B21" s="10" t="n"/>
      <c r="C21" s="41" t="inlineStr">
        <is>
          <t>마케팅1팀</t>
        </is>
      </c>
      <c r="D21" s="42" t="n"/>
      <c r="E21" s="43" t="inlineStr">
        <is>
          <t>기획</t>
        </is>
      </c>
      <c r="F21" s="44" t="n"/>
      <c r="G21" s="45" t="n"/>
      <c r="H21" s="46">
        <f>IF($I$21="","",IF($I$21&lt;0,"🔴지연",IF($I$21&lt;=1,"🟡임박","🟢여유")))</f>
        <v/>
      </c>
      <c r="I21" s="47">
        <f>IF(OR($G$21="",$K$21=""),"",$G$21-$K$21)</f>
        <v/>
      </c>
      <c r="J21" s="48">
        <f>IF(SUM($L$21:$L$23)=0,"",SUM($L$21:$L$23))</f>
        <v/>
      </c>
      <c r="K21" s="49">
        <f>IF($J$21="","",MAX($N$21:$N$23))</f>
        <v/>
      </c>
      <c r="L21" s="50">
        <f>IF(SUM(U21:AY21)=0,"",SUM(U21:AY21))</f>
        <v/>
      </c>
      <c r="M21" s="51">
        <f>IFERROR(INDEX(U$2:AY$2,MATCH(TRUE,INDEX(U21:AY21&lt;&gt;"",0),0)),"")</f>
        <v/>
      </c>
      <c r="N21" s="51">
        <f>IFERROR(LOOKUP(2,1/(U21:AY21&lt;&gt;""),U$2:AY$2),"")</f>
        <v/>
      </c>
      <c r="O21" s="52" t="n"/>
      <c r="P21" s="52" t="n"/>
      <c r="Q21" s="52" t="n"/>
      <c r="R21" s="44" t="n"/>
      <c r="S21" s="14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</row>
    <row r="22" ht="15" customHeight="1">
      <c r="A22" s="54" t="n"/>
      <c r="B22" s="55">
        <f>IF($B$21="","",$B$21)</f>
        <v/>
      </c>
      <c r="C22" s="56" t="inlineStr">
        <is>
          <t>마케팅1팀</t>
        </is>
      </c>
      <c r="D22" s="55">
        <f>IF($D$21="","",$D$21)</f>
        <v/>
      </c>
      <c r="E22" s="57" t="inlineStr">
        <is>
          <t>이미지</t>
        </is>
      </c>
      <c r="F22" s="44" t="n"/>
      <c r="G22" s="58">
        <f>IF($G$21="","",$G$21)</f>
        <v/>
      </c>
      <c r="H22" s="59" t="n"/>
      <c r="I22" s="59" t="n"/>
      <c r="J22" s="59" t="n"/>
      <c r="K22" s="59" t="n"/>
      <c r="L22" s="60">
        <f>IF(SUM(U22:AY22)=0,"",SUM(U22:AY22))</f>
        <v/>
      </c>
      <c r="M22" s="61">
        <f>IFERROR(INDEX(U$2:AY$2,MATCH(TRUE,INDEX(U22:AY22&lt;&gt;"",0),0)),"")</f>
        <v/>
      </c>
      <c r="N22" s="61">
        <f>IFERROR(LOOKUP(2,1/(U22:AY22&lt;&gt;""),U$2:AY$2),"")</f>
        <v/>
      </c>
      <c r="O22" s="59" t="n"/>
      <c r="P22" s="59" t="n"/>
      <c r="Q22" s="59" t="n"/>
      <c r="R22" s="59" t="n"/>
      <c r="S22" s="14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</row>
    <row r="23" ht="15" customHeight="1">
      <c r="A23" s="62" t="n"/>
      <c r="B23" s="55">
        <f>IF($B$21="","",$B$21)</f>
        <v/>
      </c>
      <c r="C23" s="63" t="inlineStr">
        <is>
          <t>마케팅1팀</t>
        </is>
      </c>
      <c r="D23" s="55">
        <f>IF($D$21="","",$D$21)</f>
        <v/>
      </c>
      <c r="E23" s="64" t="inlineStr">
        <is>
          <t>영상</t>
        </is>
      </c>
      <c r="F23" s="44" t="n"/>
      <c r="G23" s="58">
        <f>IF($G$21="","",$G$21)</f>
        <v/>
      </c>
      <c r="H23" s="59" t="n"/>
      <c r="I23" s="59" t="n"/>
      <c r="J23" s="59" t="n"/>
      <c r="K23" s="59" t="n"/>
      <c r="L23" s="65">
        <f>IF(SUM(U23:AY23)=0,"",SUM(U23:AY23))</f>
        <v/>
      </c>
      <c r="M23" s="66">
        <f>IFERROR(INDEX(U$2:AY$2,MATCH(TRUE,INDEX(U23:AY23&lt;&gt;"",0),0)),"")</f>
        <v/>
      </c>
      <c r="N23" s="66">
        <f>IFERROR(LOOKUP(2,1/(U23:AY23&lt;&gt;""),U$2:AY$2),"")</f>
        <v/>
      </c>
      <c r="O23" s="59" t="n"/>
      <c r="P23" s="59" t="n"/>
      <c r="Q23" s="59" t="n"/>
      <c r="R23" s="59" t="n"/>
      <c r="S23" s="14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</row>
    <row r="24" ht="15" customHeight="1">
      <c r="A24" s="40">
        <f>IF($D$24="","",6)</f>
        <v/>
      </c>
      <c r="B24" s="10" t="n"/>
      <c r="C24" s="41" t="inlineStr">
        <is>
          <t>마케팅1팀</t>
        </is>
      </c>
      <c r="D24" s="42" t="n"/>
      <c r="E24" s="43" t="inlineStr">
        <is>
          <t>기획</t>
        </is>
      </c>
      <c r="F24" s="44" t="n"/>
      <c r="G24" s="45" t="n"/>
      <c r="H24" s="46">
        <f>IF($I$24="","",IF($I$24&lt;0,"🔴지연",IF($I$24&lt;=1,"🟡임박","🟢여유")))</f>
        <v/>
      </c>
      <c r="I24" s="47">
        <f>IF(OR($G$24="",$K$24=""),"",$G$24-$K$24)</f>
        <v/>
      </c>
      <c r="J24" s="48">
        <f>IF(SUM($L$24:$L$26)=0,"",SUM($L$24:$L$26))</f>
        <v/>
      </c>
      <c r="K24" s="49">
        <f>IF($J$24="","",MAX($N$24:$N$26))</f>
        <v/>
      </c>
      <c r="L24" s="50">
        <f>IF(SUM(U24:AY24)=0,"",SUM(U24:AY24))</f>
        <v/>
      </c>
      <c r="M24" s="51">
        <f>IFERROR(INDEX(U$2:AY$2,MATCH(TRUE,INDEX(U24:AY24&lt;&gt;"",0),0)),"")</f>
        <v/>
      </c>
      <c r="N24" s="51">
        <f>IFERROR(LOOKUP(2,1/(U24:AY24&lt;&gt;""),U$2:AY$2),"")</f>
        <v/>
      </c>
      <c r="O24" s="52" t="n"/>
      <c r="P24" s="52" t="n"/>
      <c r="Q24" s="52" t="n"/>
      <c r="R24" s="44" t="n"/>
      <c r="S24" s="14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</row>
    <row r="25" ht="15" customHeight="1">
      <c r="A25" s="54" t="n"/>
      <c r="B25" s="55">
        <f>IF($B$24="","",$B$24)</f>
        <v/>
      </c>
      <c r="C25" s="56" t="inlineStr">
        <is>
          <t>마케팅1팀</t>
        </is>
      </c>
      <c r="D25" s="55">
        <f>IF($D$24="","",$D$24)</f>
        <v/>
      </c>
      <c r="E25" s="57" t="inlineStr">
        <is>
          <t>이미지</t>
        </is>
      </c>
      <c r="F25" s="44" t="n"/>
      <c r="G25" s="58">
        <f>IF($G$24="","",$G$24)</f>
        <v/>
      </c>
      <c r="H25" s="59" t="n"/>
      <c r="I25" s="59" t="n"/>
      <c r="J25" s="59" t="n"/>
      <c r="K25" s="59" t="n"/>
      <c r="L25" s="60">
        <f>IF(SUM(U25:AY25)=0,"",SUM(U25:AY25))</f>
        <v/>
      </c>
      <c r="M25" s="61">
        <f>IFERROR(INDEX(U$2:AY$2,MATCH(TRUE,INDEX(U25:AY25&lt;&gt;"",0),0)),"")</f>
        <v/>
      </c>
      <c r="N25" s="61">
        <f>IFERROR(LOOKUP(2,1/(U25:AY25&lt;&gt;""),U$2:AY$2),"")</f>
        <v/>
      </c>
      <c r="O25" s="59" t="n"/>
      <c r="P25" s="59" t="n"/>
      <c r="Q25" s="59" t="n"/>
      <c r="R25" s="59" t="n"/>
      <c r="S25" s="14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</row>
    <row r="26" ht="15" customHeight="1">
      <c r="A26" s="62" t="n"/>
      <c r="B26" s="55">
        <f>IF($B$24="","",$B$24)</f>
        <v/>
      </c>
      <c r="C26" s="63" t="inlineStr">
        <is>
          <t>마케팅1팀</t>
        </is>
      </c>
      <c r="D26" s="55">
        <f>IF($D$24="","",$D$24)</f>
        <v/>
      </c>
      <c r="E26" s="64" t="inlineStr">
        <is>
          <t>영상</t>
        </is>
      </c>
      <c r="F26" s="44" t="n"/>
      <c r="G26" s="58">
        <f>IF($G$24="","",$G$24)</f>
        <v/>
      </c>
      <c r="H26" s="59" t="n"/>
      <c r="I26" s="59" t="n"/>
      <c r="J26" s="59" t="n"/>
      <c r="K26" s="59" t="n"/>
      <c r="L26" s="65">
        <f>IF(SUM(U26:AY26)=0,"",SUM(U26:AY26))</f>
        <v/>
      </c>
      <c r="M26" s="66">
        <f>IFERROR(INDEX(U$2:AY$2,MATCH(TRUE,INDEX(U26:AY26&lt;&gt;"",0),0)),"")</f>
        <v/>
      </c>
      <c r="N26" s="66">
        <f>IFERROR(LOOKUP(2,1/(U26:AY26&lt;&gt;""),U$2:AY$2),"")</f>
        <v/>
      </c>
      <c r="O26" s="59" t="n"/>
      <c r="P26" s="59" t="n"/>
      <c r="Q26" s="59" t="n"/>
      <c r="R26" s="59" t="n"/>
      <c r="S26" s="14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</row>
    <row r="27" ht="15" customHeight="1">
      <c r="A27" s="40">
        <f>IF($D$27="","",7)</f>
        <v/>
      </c>
      <c r="B27" s="10" t="n"/>
      <c r="C27" s="41" t="inlineStr">
        <is>
          <t>마케팅1팀</t>
        </is>
      </c>
      <c r="D27" s="42" t="n"/>
      <c r="E27" s="43" t="inlineStr">
        <is>
          <t>기획</t>
        </is>
      </c>
      <c r="F27" s="44" t="n"/>
      <c r="G27" s="45" t="n"/>
      <c r="H27" s="46">
        <f>IF($I$27="","",IF($I$27&lt;0,"🔴지연",IF($I$27&lt;=1,"🟡임박","🟢여유")))</f>
        <v/>
      </c>
      <c r="I27" s="47">
        <f>IF(OR($G$27="",$K$27=""),"",$G$27-$K$27)</f>
        <v/>
      </c>
      <c r="J27" s="48">
        <f>IF(SUM($L$27:$L$29)=0,"",SUM($L$27:$L$29))</f>
        <v/>
      </c>
      <c r="K27" s="49">
        <f>IF($J$27="","",MAX($N$27:$N$29))</f>
        <v/>
      </c>
      <c r="L27" s="50">
        <f>IF(SUM(U27:AY27)=0,"",SUM(U27:AY27))</f>
        <v/>
      </c>
      <c r="M27" s="51">
        <f>IFERROR(INDEX(U$2:AY$2,MATCH(TRUE,INDEX(U27:AY27&lt;&gt;"",0),0)),"")</f>
        <v/>
      </c>
      <c r="N27" s="51">
        <f>IFERROR(LOOKUP(2,1/(U27:AY27&lt;&gt;""),U$2:AY$2),"")</f>
        <v/>
      </c>
      <c r="O27" s="52" t="n"/>
      <c r="P27" s="52" t="n"/>
      <c r="Q27" s="52" t="n"/>
      <c r="R27" s="44" t="n"/>
      <c r="S27" s="14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</row>
    <row r="28" ht="15" customHeight="1">
      <c r="A28" s="54" t="n"/>
      <c r="B28" s="55">
        <f>IF($B$27="","",$B$27)</f>
        <v/>
      </c>
      <c r="C28" s="56" t="inlineStr">
        <is>
          <t>마케팅1팀</t>
        </is>
      </c>
      <c r="D28" s="55">
        <f>IF($D$27="","",$D$27)</f>
        <v/>
      </c>
      <c r="E28" s="57" t="inlineStr">
        <is>
          <t>이미지</t>
        </is>
      </c>
      <c r="F28" s="44" t="n"/>
      <c r="G28" s="58">
        <f>IF($G$27="","",$G$27)</f>
        <v/>
      </c>
      <c r="H28" s="59" t="n"/>
      <c r="I28" s="59" t="n"/>
      <c r="J28" s="59" t="n"/>
      <c r="K28" s="59" t="n"/>
      <c r="L28" s="60">
        <f>IF(SUM(U28:AY28)=0,"",SUM(U28:AY28))</f>
        <v/>
      </c>
      <c r="M28" s="61">
        <f>IFERROR(INDEX(U$2:AY$2,MATCH(TRUE,INDEX(U28:AY28&lt;&gt;"",0),0)),"")</f>
        <v/>
      </c>
      <c r="N28" s="61">
        <f>IFERROR(LOOKUP(2,1/(U28:AY28&lt;&gt;""),U$2:AY$2),"")</f>
        <v/>
      </c>
      <c r="O28" s="59" t="n"/>
      <c r="P28" s="59" t="n"/>
      <c r="Q28" s="59" t="n"/>
      <c r="R28" s="59" t="n"/>
      <c r="S28" s="14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3" t="n"/>
      <c r="AQ28" s="53" t="n"/>
      <c r="AR28" s="53" t="n"/>
      <c r="AS28" s="53" t="n"/>
      <c r="AT28" s="53" t="n"/>
      <c r="AU28" s="53" t="n"/>
      <c r="AV28" s="53" t="n"/>
      <c r="AW28" s="53" t="n"/>
      <c r="AX28" s="53" t="n"/>
      <c r="AY28" s="53" t="n"/>
    </row>
    <row r="29" ht="15" customHeight="1">
      <c r="A29" s="62" t="n"/>
      <c r="B29" s="55">
        <f>IF($B$27="","",$B$27)</f>
        <v/>
      </c>
      <c r="C29" s="63" t="inlineStr">
        <is>
          <t>마케팅1팀</t>
        </is>
      </c>
      <c r="D29" s="55">
        <f>IF($D$27="","",$D$27)</f>
        <v/>
      </c>
      <c r="E29" s="64" t="inlineStr">
        <is>
          <t>영상</t>
        </is>
      </c>
      <c r="F29" s="44" t="n"/>
      <c r="G29" s="58">
        <f>IF($G$27="","",$G$27)</f>
        <v/>
      </c>
      <c r="H29" s="59" t="n"/>
      <c r="I29" s="59" t="n"/>
      <c r="J29" s="59" t="n"/>
      <c r="K29" s="59" t="n"/>
      <c r="L29" s="65">
        <f>IF(SUM(U29:AY29)=0,"",SUM(U29:AY29))</f>
        <v/>
      </c>
      <c r="M29" s="66">
        <f>IFERROR(INDEX(U$2:AY$2,MATCH(TRUE,INDEX(U29:AY29&lt;&gt;"",0),0)),"")</f>
        <v/>
      </c>
      <c r="N29" s="66">
        <f>IFERROR(LOOKUP(2,1/(U29:AY29&lt;&gt;""),U$2:AY$2),"")</f>
        <v/>
      </c>
      <c r="O29" s="59" t="n"/>
      <c r="P29" s="59" t="n"/>
      <c r="Q29" s="59" t="n"/>
      <c r="R29" s="59" t="n"/>
      <c r="S29" s="14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</row>
    <row r="30" ht="15" customHeight="1">
      <c r="A30" s="40">
        <f>IF($D$30="","",8)</f>
        <v/>
      </c>
      <c r="B30" s="10" t="n"/>
      <c r="C30" s="41" t="inlineStr">
        <is>
          <t>마케팅1팀</t>
        </is>
      </c>
      <c r="D30" s="42" t="n"/>
      <c r="E30" s="43" t="inlineStr">
        <is>
          <t>기획</t>
        </is>
      </c>
      <c r="F30" s="44" t="n"/>
      <c r="G30" s="45" t="n"/>
      <c r="H30" s="46">
        <f>IF($I$30="","",IF($I$30&lt;0,"🔴지연",IF($I$30&lt;=1,"🟡임박","🟢여유")))</f>
        <v/>
      </c>
      <c r="I30" s="47">
        <f>IF(OR($G$30="",$K$30=""),"",$G$30-$K$30)</f>
        <v/>
      </c>
      <c r="J30" s="48">
        <f>IF(SUM($L$30:$L$32)=0,"",SUM($L$30:$L$32))</f>
        <v/>
      </c>
      <c r="K30" s="49">
        <f>IF($J$30="","",MAX($N$30:$N$32))</f>
        <v/>
      </c>
      <c r="L30" s="50">
        <f>IF(SUM(U30:AY30)=0,"",SUM(U30:AY30))</f>
        <v/>
      </c>
      <c r="M30" s="51">
        <f>IFERROR(INDEX(U$2:AY$2,MATCH(TRUE,INDEX(U30:AY30&lt;&gt;"",0),0)),"")</f>
        <v/>
      </c>
      <c r="N30" s="51">
        <f>IFERROR(LOOKUP(2,1/(U30:AY30&lt;&gt;""),U$2:AY$2),"")</f>
        <v/>
      </c>
      <c r="O30" s="52" t="n"/>
      <c r="P30" s="52" t="n"/>
      <c r="Q30" s="52" t="n"/>
      <c r="R30" s="44" t="n"/>
      <c r="S30" s="14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53" t="n"/>
      <c r="AH30" s="53" t="n"/>
      <c r="AI30" s="53" t="n"/>
      <c r="AJ30" s="53" t="n"/>
      <c r="AK30" s="53" t="n"/>
      <c r="AL30" s="53" t="n"/>
      <c r="AM30" s="53" t="n"/>
      <c r="AN30" s="53" t="n"/>
      <c r="AO30" s="53" t="n"/>
      <c r="AP30" s="53" t="n"/>
      <c r="AQ30" s="53" t="n"/>
      <c r="AR30" s="53" t="n"/>
      <c r="AS30" s="53" t="n"/>
      <c r="AT30" s="53" t="n"/>
      <c r="AU30" s="53" t="n"/>
      <c r="AV30" s="53" t="n"/>
      <c r="AW30" s="53" t="n"/>
      <c r="AX30" s="53" t="n"/>
      <c r="AY30" s="53" t="n"/>
    </row>
    <row r="31" ht="15" customHeight="1">
      <c r="A31" s="54" t="n"/>
      <c r="B31" s="55">
        <f>IF($B$30="","",$B$30)</f>
        <v/>
      </c>
      <c r="C31" s="56" t="inlineStr">
        <is>
          <t>마케팅1팀</t>
        </is>
      </c>
      <c r="D31" s="55">
        <f>IF($D$30="","",$D$30)</f>
        <v/>
      </c>
      <c r="E31" s="57" t="inlineStr">
        <is>
          <t>이미지</t>
        </is>
      </c>
      <c r="F31" s="44" t="n"/>
      <c r="G31" s="58">
        <f>IF($G$30="","",$G$30)</f>
        <v/>
      </c>
      <c r="H31" s="59" t="n"/>
      <c r="I31" s="59" t="n"/>
      <c r="J31" s="59" t="n"/>
      <c r="K31" s="59" t="n"/>
      <c r="L31" s="60">
        <f>IF(SUM(U31:AY31)=0,"",SUM(U31:AY31))</f>
        <v/>
      </c>
      <c r="M31" s="61">
        <f>IFERROR(INDEX(U$2:AY$2,MATCH(TRUE,INDEX(U31:AY31&lt;&gt;"",0),0)),"")</f>
        <v/>
      </c>
      <c r="N31" s="61">
        <f>IFERROR(LOOKUP(2,1/(U31:AY31&lt;&gt;""),U$2:AY$2),"")</f>
        <v/>
      </c>
      <c r="O31" s="59" t="n"/>
      <c r="P31" s="59" t="n"/>
      <c r="Q31" s="59" t="n"/>
      <c r="R31" s="59" t="n"/>
      <c r="S31" s="14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53" t="n"/>
      <c r="AH31" s="53" t="n"/>
      <c r="AI31" s="53" t="n"/>
      <c r="AJ31" s="53" t="n"/>
      <c r="AK31" s="53" t="n"/>
      <c r="AL31" s="53" t="n"/>
      <c r="AM31" s="53" t="n"/>
      <c r="AN31" s="53" t="n"/>
      <c r="AO31" s="53" t="n"/>
      <c r="AP31" s="53" t="n"/>
      <c r="AQ31" s="53" t="n"/>
      <c r="AR31" s="53" t="n"/>
      <c r="AS31" s="53" t="n"/>
      <c r="AT31" s="53" t="n"/>
      <c r="AU31" s="53" t="n"/>
      <c r="AV31" s="53" t="n"/>
      <c r="AW31" s="53" t="n"/>
      <c r="AX31" s="53" t="n"/>
      <c r="AY31" s="53" t="n"/>
    </row>
    <row r="32" ht="15" customHeight="1">
      <c r="A32" s="62" t="n"/>
      <c r="B32" s="55">
        <f>IF($B$30="","",$B$30)</f>
        <v/>
      </c>
      <c r="C32" s="63" t="inlineStr">
        <is>
          <t>마케팅1팀</t>
        </is>
      </c>
      <c r="D32" s="55">
        <f>IF($D$30="","",$D$30)</f>
        <v/>
      </c>
      <c r="E32" s="64" t="inlineStr">
        <is>
          <t>영상</t>
        </is>
      </c>
      <c r="F32" s="44" t="n"/>
      <c r="G32" s="58">
        <f>IF($G$30="","",$G$30)</f>
        <v/>
      </c>
      <c r="H32" s="59" t="n"/>
      <c r="I32" s="59" t="n"/>
      <c r="J32" s="59" t="n"/>
      <c r="K32" s="59" t="n"/>
      <c r="L32" s="65">
        <f>IF(SUM(U32:AY32)=0,"",SUM(U32:AY32))</f>
        <v/>
      </c>
      <c r="M32" s="66">
        <f>IFERROR(INDEX(U$2:AY$2,MATCH(TRUE,INDEX(U32:AY32&lt;&gt;"",0),0)),"")</f>
        <v/>
      </c>
      <c r="N32" s="66">
        <f>IFERROR(LOOKUP(2,1/(U32:AY32&lt;&gt;""),U$2:AY$2),"")</f>
        <v/>
      </c>
      <c r="O32" s="59" t="n"/>
      <c r="P32" s="59" t="n"/>
      <c r="Q32" s="59" t="n"/>
      <c r="R32" s="59" t="n"/>
      <c r="S32" s="14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53" t="n"/>
      <c r="AK32" s="53" t="n"/>
      <c r="AL32" s="53" t="n"/>
      <c r="AM32" s="53" t="n"/>
      <c r="AN32" s="53" t="n"/>
      <c r="AO32" s="53" t="n"/>
      <c r="AP32" s="53" t="n"/>
      <c r="AQ32" s="53" t="n"/>
      <c r="AR32" s="53" t="n"/>
      <c r="AS32" s="53" t="n"/>
      <c r="AT32" s="53" t="n"/>
      <c r="AU32" s="53" t="n"/>
      <c r="AV32" s="53" t="n"/>
      <c r="AW32" s="53" t="n"/>
      <c r="AX32" s="53" t="n"/>
      <c r="AY32" s="53" t="n"/>
    </row>
    <row r="33" ht="15" customHeight="1">
      <c r="A33" s="40">
        <f>IF($D$33="","",9)</f>
        <v/>
      </c>
      <c r="B33" s="10" t="n"/>
      <c r="C33" s="41" t="inlineStr">
        <is>
          <t>마케팅1팀</t>
        </is>
      </c>
      <c r="D33" s="42" t="n"/>
      <c r="E33" s="43" t="inlineStr">
        <is>
          <t>기획</t>
        </is>
      </c>
      <c r="F33" s="44" t="n"/>
      <c r="G33" s="45" t="n"/>
      <c r="H33" s="46">
        <f>IF($I$33="","",IF($I$33&lt;0,"🔴지연",IF($I$33&lt;=1,"🟡임박","🟢여유")))</f>
        <v/>
      </c>
      <c r="I33" s="47">
        <f>IF(OR($G$33="",$K$33=""),"",$G$33-$K$33)</f>
        <v/>
      </c>
      <c r="J33" s="48">
        <f>IF(SUM($L$33:$L$35)=0,"",SUM($L$33:$L$35))</f>
        <v/>
      </c>
      <c r="K33" s="49">
        <f>IF($J$33="","",MAX($N$33:$N$35))</f>
        <v/>
      </c>
      <c r="L33" s="50">
        <f>IF(SUM(U33:AY33)=0,"",SUM(U33:AY33))</f>
        <v/>
      </c>
      <c r="M33" s="51">
        <f>IFERROR(INDEX(U$2:AY$2,MATCH(TRUE,INDEX(U33:AY33&lt;&gt;"",0),0)),"")</f>
        <v/>
      </c>
      <c r="N33" s="51">
        <f>IFERROR(LOOKUP(2,1/(U33:AY33&lt;&gt;""),U$2:AY$2),"")</f>
        <v/>
      </c>
      <c r="O33" s="52" t="n"/>
      <c r="P33" s="52" t="n"/>
      <c r="Q33" s="52" t="n"/>
      <c r="R33" s="44" t="n"/>
      <c r="S33" s="14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53" t="n"/>
    </row>
    <row r="34" ht="15" customHeight="1">
      <c r="A34" s="54" t="n"/>
      <c r="B34" s="55">
        <f>IF($B$33="","",$B$33)</f>
        <v/>
      </c>
      <c r="C34" s="56" t="inlineStr">
        <is>
          <t>마케팅1팀</t>
        </is>
      </c>
      <c r="D34" s="55">
        <f>IF($D$33="","",$D$33)</f>
        <v/>
      </c>
      <c r="E34" s="57" t="inlineStr">
        <is>
          <t>이미지</t>
        </is>
      </c>
      <c r="F34" s="44" t="n"/>
      <c r="G34" s="58">
        <f>IF($G$33="","",$G$33)</f>
        <v/>
      </c>
      <c r="H34" s="59" t="n"/>
      <c r="I34" s="59" t="n"/>
      <c r="J34" s="59" t="n"/>
      <c r="K34" s="59" t="n"/>
      <c r="L34" s="60">
        <f>IF(SUM(U34:AY34)=0,"",SUM(U34:AY34))</f>
        <v/>
      </c>
      <c r="M34" s="61">
        <f>IFERROR(INDEX(U$2:AY$2,MATCH(TRUE,INDEX(U34:AY34&lt;&gt;"",0),0)),"")</f>
        <v/>
      </c>
      <c r="N34" s="61">
        <f>IFERROR(LOOKUP(2,1/(U34:AY34&lt;&gt;""),U$2:AY$2),"")</f>
        <v/>
      </c>
      <c r="O34" s="59" t="n"/>
      <c r="P34" s="59" t="n"/>
      <c r="Q34" s="59" t="n"/>
      <c r="R34" s="59" t="n"/>
      <c r="S34" s="14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  <c r="AD34" s="53" t="n"/>
      <c r="AE34" s="53" t="n"/>
      <c r="AF34" s="53" t="n"/>
      <c r="AG34" s="53" t="n"/>
      <c r="AH34" s="53" t="n"/>
      <c r="AI34" s="53" t="n"/>
      <c r="AJ34" s="53" t="n"/>
      <c r="AK34" s="53" t="n"/>
      <c r="AL34" s="53" t="n"/>
      <c r="AM34" s="53" t="n"/>
      <c r="AN34" s="53" t="n"/>
      <c r="AO34" s="53" t="n"/>
      <c r="AP34" s="53" t="n"/>
      <c r="AQ34" s="53" t="n"/>
      <c r="AR34" s="53" t="n"/>
      <c r="AS34" s="53" t="n"/>
      <c r="AT34" s="53" t="n"/>
      <c r="AU34" s="53" t="n"/>
      <c r="AV34" s="53" t="n"/>
      <c r="AW34" s="53" t="n"/>
      <c r="AX34" s="53" t="n"/>
      <c r="AY34" s="53" t="n"/>
    </row>
    <row r="35" ht="15" customHeight="1">
      <c r="A35" s="62" t="n"/>
      <c r="B35" s="55">
        <f>IF($B$33="","",$B$33)</f>
        <v/>
      </c>
      <c r="C35" s="63" t="inlineStr">
        <is>
          <t>마케팅1팀</t>
        </is>
      </c>
      <c r="D35" s="55">
        <f>IF($D$33="","",$D$33)</f>
        <v/>
      </c>
      <c r="E35" s="64" t="inlineStr">
        <is>
          <t>영상</t>
        </is>
      </c>
      <c r="F35" s="44" t="n"/>
      <c r="G35" s="58">
        <f>IF($G$33="","",$G$33)</f>
        <v/>
      </c>
      <c r="H35" s="59" t="n"/>
      <c r="I35" s="59" t="n"/>
      <c r="J35" s="59" t="n"/>
      <c r="K35" s="59" t="n"/>
      <c r="L35" s="65">
        <f>IF(SUM(U35:AY35)=0,"",SUM(U35:AY35))</f>
        <v/>
      </c>
      <c r="M35" s="66">
        <f>IFERROR(INDEX(U$2:AY$2,MATCH(TRUE,INDEX(U35:AY35&lt;&gt;"",0),0)),"")</f>
        <v/>
      </c>
      <c r="N35" s="66">
        <f>IFERROR(LOOKUP(2,1/(U35:AY35&lt;&gt;""),U$2:AY$2),"")</f>
        <v/>
      </c>
      <c r="O35" s="59" t="n"/>
      <c r="P35" s="59" t="n"/>
      <c r="Q35" s="59" t="n"/>
      <c r="R35" s="59" t="n"/>
      <c r="S35" s="14" t="n"/>
      <c r="U35" s="53" t="n"/>
      <c r="V35" s="53" t="n"/>
      <c r="W35" s="53" t="n"/>
      <c r="X35" s="53" t="n"/>
      <c r="Y35" s="53" t="n"/>
      <c r="Z35" s="53" t="n"/>
      <c r="AA35" s="53" t="n"/>
      <c r="AB35" s="53" t="n"/>
      <c r="AC35" s="53" t="n"/>
      <c r="AD35" s="53" t="n"/>
      <c r="AE35" s="53" t="n"/>
      <c r="AF35" s="53" t="n"/>
      <c r="AG35" s="53" t="n"/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</row>
    <row r="36" ht="15" customHeight="1">
      <c r="A36" s="40">
        <f>IF($D$36="","",10)</f>
        <v/>
      </c>
      <c r="B36" s="10" t="n"/>
      <c r="C36" s="41" t="inlineStr">
        <is>
          <t>마케팅1팀</t>
        </is>
      </c>
      <c r="D36" s="42" t="n"/>
      <c r="E36" s="43" t="inlineStr">
        <is>
          <t>기획</t>
        </is>
      </c>
      <c r="F36" s="44" t="n"/>
      <c r="G36" s="45" t="n"/>
      <c r="H36" s="46">
        <f>IF($I$36="","",IF($I$36&lt;0,"🔴지연",IF($I$36&lt;=1,"🟡임박","🟢여유")))</f>
        <v/>
      </c>
      <c r="I36" s="47">
        <f>IF(OR($G$36="",$K$36=""),"",$G$36-$K$36)</f>
        <v/>
      </c>
      <c r="J36" s="48">
        <f>IF(SUM($L$36:$L$38)=0,"",SUM($L$36:$L$38))</f>
        <v/>
      </c>
      <c r="K36" s="49">
        <f>IF($J$36="","",MAX($N$36:$N$38))</f>
        <v/>
      </c>
      <c r="L36" s="50">
        <f>IF(SUM(U36:AY36)=0,"",SUM(U36:AY36))</f>
        <v/>
      </c>
      <c r="M36" s="51">
        <f>IFERROR(INDEX(U$2:AY$2,MATCH(TRUE,INDEX(U36:AY36&lt;&gt;"",0),0)),"")</f>
        <v/>
      </c>
      <c r="N36" s="51">
        <f>IFERROR(LOOKUP(2,1/(U36:AY36&lt;&gt;""),U$2:AY$2),"")</f>
        <v/>
      </c>
      <c r="O36" s="52" t="n"/>
      <c r="P36" s="52" t="n"/>
      <c r="Q36" s="52" t="n"/>
      <c r="R36" s="44" t="n"/>
      <c r="S36" s="14" t="n"/>
      <c r="U36" s="53" t="n"/>
      <c r="V36" s="53" t="n"/>
      <c r="W36" s="53" t="n"/>
      <c r="X36" s="53" t="n"/>
      <c r="Y36" s="53" t="n"/>
      <c r="Z36" s="53" t="n"/>
      <c r="AA36" s="53" t="n"/>
      <c r="AB36" s="53" t="n"/>
      <c r="AC36" s="53" t="n"/>
      <c r="AD36" s="53" t="n"/>
      <c r="AE36" s="53" t="n"/>
      <c r="AF36" s="53" t="n"/>
      <c r="AG36" s="53" t="n"/>
      <c r="AH36" s="53" t="n"/>
      <c r="AI36" s="53" t="n"/>
      <c r="AJ36" s="53" t="n"/>
      <c r="AK36" s="53" t="n"/>
      <c r="AL36" s="53" t="n"/>
      <c r="AM36" s="53" t="n"/>
      <c r="AN36" s="53" t="n"/>
      <c r="AO36" s="53" t="n"/>
      <c r="AP36" s="53" t="n"/>
      <c r="AQ36" s="53" t="n"/>
      <c r="AR36" s="53" t="n"/>
      <c r="AS36" s="53" t="n"/>
      <c r="AT36" s="53" t="n"/>
      <c r="AU36" s="53" t="n"/>
      <c r="AV36" s="53" t="n"/>
      <c r="AW36" s="53" t="n"/>
      <c r="AX36" s="53" t="n"/>
      <c r="AY36" s="53" t="n"/>
    </row>
    <row r="37" ht="15" customHeight="1">
      <c r="A37" s="54" t="n"/>
      <c r="B37" s="55">
        <f>IF($B$36="","",$B$36)</f>
        <v/>
      </c>
      <c r="C37" s="56" t="inlineStr">
        <is>
          <t>마케팅1팀</t>
        </is>
      </c>
      <c r="D37" s="55">
        <f>IF($D$36="","",$D$36)</f>
        <v/>
      </c>
      <c r="E37" s="57" t="inlineStr">
        <is>
          <t>이미지</t>
        </is>
      </c>
      <c r="F37" s="44" t="n"/>
      <c r="G37" s="58">
        <f>IF($G$36="","",$G$36)</f>
        <v/>
      </c>
      <c r="H37" s="59" t="n"/>
      <c r="I37" s="59" t="n"/>
      <c r="J37" s="59" t="n"/>
      <c r="K37" s="59" t="n"/>
      <c r="L37" s="60">
        <f>IF(SUM(U37:AY37)=0,"",SUM(U37:AY37))</f>
        <v/>
      </c>
      <c r="M37" s="61">
        <f>IFERROR(INDEX(U$2:AY$2,MATCH(TRUE,INDEX(U37:AY37&lt;&gt;"",0),0)),"")</f>
        <v/>
      </c>
      <c r="N37" s="61">
        <f>IFERROR(LOOKUP(2,1/(U37:AY37&lt;&gt;""),U$2:AY$2),"")</f>
        <v/>
      </c>
      <c r="O37" s="59" t="n"/>
      <c r="P37" s="59" t="n"/>
      <c r="Q37" s="59" t="n"/>
      <c r="R37" s="59" t="n"/>
      <c r="S37" s="14" t="n"/>
      <c r="U37" s="53" t="n"/>
      <c r="V37" s="53" t="n"/>
      <c r="W37" s="53" t="n"/>
      <c r="X37" s="53" t="n"/>
      <c r="Y37" s="53" t="n"/>
      <c r="Z37" s="53" t="n"/>
      <c r="AA37" s="53" t="n"/>
      <c r="AB37" s="53" t="n"/>
      <c r="AC37" s="53" t="n"/>
      <c r="AD37" s="53" t="n"/>
      <c r="AE37" s="53" t="n"/>
      <c r="AF37" s="53" t="n"/>
      <c r="AG37" s="53" t="n"/>
      <c r="AH37" s="53" t="n"/>
      <c r="AI37" s="53" t="n"/>
      <c r="AJ37" s="53" t="n"/>
      <c r="AK37" s="53" t="n"/>
      <c r="AL37" s="53" t="n"/>
      <c r="AM37" s="53" t="n"/>
      <c r="AN37" s="53" t="n"/>
      <c r="AO37" s="53" t="n"/>
      <c r="AP37" s="53" t="n"/>
      <c r="AQ37" s="53" t="n"/>
      <c r="AR37" s="53" t="n"/>
      <c r="AS37" s="53" t="n"/>
      <c r="AT37" s="53" t="n"/>
      <c r="AU37" s="53" t="n"/>
      <c r="AV37" s="53" t="n"/>
      <c r="AW37" s="53" t="n"/>
      <c r="AX37" s="53" t="n"/>
      <c r="AY37" s="53" t="n"/>
    </row>
    <row r="38" ht="15" customHeight="1">
      <c r="A38" s="62" t="n"/>
      <c r="B38" s="55">
        <f>IF($B$36="","",$B$36)</f>
        <v/>
      </c>
      <c r="C38" s="63" t="inlineStr">
        <is>
          <t>마케팅1팀</t>
        </is>
      </c>
      <c r="D38" s="55">
        <f>IF($D$36="","",$D$36)</f>
        <v/>
      </c>
      <c r="E38" s="64" t="inlineStr">
        <is>
          <t>영상</t>
        </is>
      </c>
      <c r="F38" s="44" t="n"/>
      <c r="G38" s="58">
        <f>IF($G$36="","",$G$36)</f>
        <v/>
      </c>
      <c r="H38" s="59" t="n"/>
      <c r="I38" s="59" t="n"/>
      <c r="J38" s="59" t="n"/>
      <c r="K38" s="59" t="n"/>
      <c r="L38" s="65">
        <f>IF(SUM(U38:AY38)=0,"",SUM(U38:AY38))</f>
        <v/>
      </c>
      <c r="M38" s="66">
        <f>IFERROR(INDEX(U$2:AY$2,MATCH(TRUE,INDEX(U38:AY38&lt;&gt;"",0),0)),"")</f>
        <v/>
      </c>
      <c r="N38" s="66">
        <f>IFERROR(LOOKUP(2,1/(U38:AY38&lt;&gt;""),U$2:AY$2),"")</f>
        <v/>
      </c>
      <c r="O38" s="59" t="n"/>
      <c r="P38" s="59" t="n"/>
      <c r="Q38" s="59" t="n"/>
      <c r="R38" s="59" t="n"/>
      <c r="S38" s="14" t="n"/>
      <c r="U38" s="53" t="n"/>
      <c r="V38" s="53" t="n"/>
      <c r="W38" s="53" t="n"/>
      <c r="X38" s="53" t="n"/>
      <c r="Y38" s="53" t="n"/>
      <c r="Z38" s="53" t="n"/>
      <c r="AA38" s="53" t="n"/>
      <c r="AB38" s="53" t="n"/>
      <c r="AC38" s="53" t="n"/>
      <c r="AD38" s="53" t="n"/>
      <c r="AE38" s="53" t="n"/>
      <c r="AF38" s="53" t="n"/>
      <c r="AG38" s="53" t="n"/>
      <c r="AH38" s="53" t="n"/>
      <c r="AI38" s="53" t="n"/>
      <c r="AJ38" s="53" t="n"/>
      <c r="AK38" s="53" t="n"/>
      <c r="AL38" s="53" t="n"/>
      <c r="AM38" s="53" t="n"/>
      <c r="AN38" s="53" t="n"/>
      <c r="AO38" s="53" t="n"/>
      <c r="AP38" s="53" t="n"/>
      <c r="AQ38" s="53" t="n"/>
      <c r="AR38" s="53" t="n"/>
      <c r="AS38" s="53" t="n"/>
      <c r="AT38" s="53" t="n"/>
      <c r="AU38" s="53" t="n"/>
      <c r="AV38" s="53" t="n"/>
      <c r="AW38" s="53" t="n"/>
      <c r="AX38" s="53" t="n"/>
      <c r="AY38" s="53" t="n"/>
    </row>
    <row r="39" ht="15" customHeight="1">
      <c r="A39" s="40">
        <f>IF($D$39="","",11)</f>
        <v/>
      </c>
      <c r="B39" s="10" t="n"/>
      <c r="C39" s="41" t="inlineStr">
        <is>
          <t>마케팅1팀</t>
        </is>
      </c>
      <c r="D39" s="42" t="n"/>
      <c r="E39" s="43" t="inlineStr">
        <is>
          <t>기획</t>
        </is>
      </c>
      <c r="F39" s="44" t="n"/>
      <c r="G39" s="45" t="n"/>
      <c r="H39" s="46">
        <f>IF($I$39="","",IF($I$39&lt;0,"🔴지연",IF($I$39&lt;=1,"🟡임박","🟢여유")))</f>
        <v/>
      </c>
      <c r="I39" s="47">
        <f>IF(OR($G$39="",$K$39=""),"",$G$39-$K$39)</f>
        <v/>
      </c>
      <c r="J39" s="48">
        <f>IF(SUM($L$39:$L$41)=0,"",SUM($L$39:$L$41))</f>
        <v/>
      </c>
      <c r="K39" s="49">
        <f>IF($J$39="","",MAX($N$39:$N$41))</f>
        <v/>
      </c>
      <c r="L39" s="50">
        <f>IF(SUM(U39:AY39)=0,"",SUM(U39:AY39))</f>
        <v/>
      </c>
      <c r="M39" s="51">
        <f>IFERROR(INDEX(U$2:AY$2,MATCH(TRUE,INDEX(U39:AY39&lt;&gt;"",0),0)),"")</f>
        <v/>
      </c>
      <c r="N39" s="51">
        <f>IFERROR(LOOKUP(2,1/(U39:AY39&lt;&gt;""),U$2:AY$2),"")</f>
        <v/>
      </c>
      <c r="O39" s="52" t="n"/>
      <c r="P39" s="52" t="n"/>
      <c r="Q39" s="52" t="n"/>
      <c r="R39" s="44" t="n"/>
      <c r="S39" s="14" t="n"/>
      <c r="U39" s="53" t="n"/>
      <c r="V39" s="53" t="n"/>
      <c r="W39" s="53" t="n"/>
      <c r="X39" s="53" t="n"/>
      <c r="Y39" s="53" t="n"/>
      <c r="Z39" s="53" t="n"/>
      <c r="AA39" s="53" t="n"/>
      <c r="AB39" s="53" t="n"/>
      <c r="AC39" s="53" t="n"/>
      <c r="AD39" s="53" t="n"/>
      <c r="AE39" s="53" t="n"/>
      <c r="AF39" s="53" t="n"/>
      <c r="AG39" s="53" t="n"/>
      <c r="AH39" s="53" t="n"/>
      <c r="AI39" s="53" t="n"/>
      <c r="AJ39" s="53" t="n"/>
      <c r="AK39" s="53" t="n"/>
      <c r="AL39" s="53" t="n"/>
      <c r="AM39" s="53" t="n"/>
      <c r="AN39" s="53" t="n"/>
      <c r="AO39" s="53" t="n"/>
      <c r="AP39" s="53" t="n"/>
      <c r="AQ39" s="53" t="n"/>
      <c r="AR39" s="53" t="n"/>
      <c r="AS39" s="53" t="n"/>
      <c r="AT39" s="53" t="n"/>
      <c r="AU39" s="53" t="n"/>
      <c r="AV39" s="53" t="n"/>
      <c r="AW39" s="53" t="n"/>
      <c r="AX39" s="53" t="n"/>
      <c r="AY39" s="53" t="n"/>
    </row>
    <row r="40" ht="15" customHeight="1">
      <c r="A40" s="54" t="n"/>
      <c r="B40" s="55">
        <f>IF($B$39="","",$B$39)</f>
        <v/>
      </c>
      <c r="C40" s="56" t="inlineStr">
        <is>
          <t>마케팅1팀</t>
        </is>
      </c>
      <c r="D40" s="55">
        <f>IF($D$39="","",$D$39)</f>
        <v/>
      </c>
      <c r="E40" s="57" t="inlineStr">
        <is>
          <t>이미지</t>
        </is>
      </c>
      <c r="F40" s="44" t="n"/>
      <c r="G40" s="58">
        <f>IF($G$39="","",$G$39)</f>
        <v/>
      </c>
      <c r="H40" s="59" t="n"/>
      <c r="I40" s="59" t="n"/>
      <c r="J40" s="59" t="n"/>
      <c r="K40" s="59" t="n"/>
      <c r="L40" s="60">
        <f>IF(SUM(U40:AY40)=0,"",SUM(U40:AY40))</f>
        <v/>
      </c>
      <c r="M40" s="61">
        <f>IFERROR(INDEX(U$2:AY$2,MATCH(TRUE,INDEX(U40:AY40&lt;&gt;"",0),0)),"")</f>
        <v/>
      </c>
      <c r="N40" s="61">
        <f>IFERROR(LOOKUP(2,1/(U40:AY40&lt;&gt;""),U$2:AY$2),"")</f>
        <v/>
      </c>
      <c r="O40" s="59" t="n"/>
      <c r="P40" s="59" t="n"/>
      <c r="Q40" s="59" t="n"/>
      <c r="R40" s="59" t="n"/>
      <c r="S40" s="14" t="n"/>
      <c r="U40" s="53" t="n"/>
      <c r="V40" s="53" t="n"/>
      <c r="W40" s="53" t="n"/>
      <c r="X40" s="53" t="n"/>
      <c r="Y40" s="53" t="n"/>
      <c r="Z40" s="53" t="n"/>
      <c r="AA40" s="53" t="n"/>
      <c r="AB40" s="53" t="n"/>
      <c r="AC40" s="53" t="n"/>
      <c r="AD40" s="53" t="n"/>
      <c r="AE40" s="53" t="n"/>
      <c r="AF40" s="53" t="n"/>
      <c r="AG40" s="53" t="n"/>
      <c r="AH40" s="53" t="n"/>
      <c r="AI40" s="53" t="n"/>
      <c r="AJ40" s="53" t="n"/>
      <c r="AK40" s="53" t="n"/>
      <c r="AL40" s="53" t="n"/>
      <c r="AM40" s="53" t="n"/>
      <c r="AN40" s="53" t="n"/>
      <c r="AO40" s="53" t="n"/>
      <c r="AP40" s="53" t="n"/>
      <c r="AQ40" s="53" t="n"/>
      <c r="AR40" s="53" t="n"/>
      <c r="AS40" s="53" t="n"/>
      <c r="AT40" s="53" t="n"/>
      <c r="AU40" s="53" t="n"/>
      <c r="AV40" s="53" t="n"/>
      <c r="AW40" s="53" t="n"/>
      <c r="AX40" s="53" t="n"/>
      <c r="AY40" s="53" t="n"/>
    </row>
    <row r="41" ht="15" customHeight="1">
      <c r="A41" s="62" t="n"/>
      <c r="B41" s="55">
        <f>IF($B$39="","",$B$39)</f>
        <v/>
      </c>
      <c r="C41" s="63" t="inlineStr">
        <is>
          <t>마케팅1팀</t>
        </is>
      </c>
      <c r="D41" s="55">
        <f>IF($D$39="","",$D$39)</f>
        <v/>
      </c>
      <c r="E41" s="64" t="inlineStr">
        <is>
          <t>영상</t>
        </is>
      </c>
      <c r="F41" s="44" t="n"/>
      <c r="G41" s="58">
        <f>IF($G$39="","",$G$39)</f>
        <v/>
      </c>
      <c r="H41" s="59" t="n"/>
      <c r="I41" s="59" t="n"/>
      <c r="J41" s="59" t="n"/>
      <c r="K41" s="59" t="n"/>
      <c r="L41" s="65">
        <f>IF(SUM(U41:AY41)=0,"",SUM(U41:AY41))</f>
        <v/>
      </c>
      <c r="M41" s="66">
        <f>IFERROR(INDEX(U$2:AY$2,MATCH(TRUE,INDEX(U41:AY41&lt;&gt;"",0),0)),"")</f>
        <v/>
      </c>
      <c r="N41" s="66">
        <f>IFERROR(LOOKUP(2,1/(U41:AY41&lt;&gt;""),U$2:AY$2),"")</f>
        <v/>
      </c>
      <c r="O41" s="59" t="n"/>
      <c r="P41" s="59" t="n"/>
      <c r="Q41" s="59" t="n"/>
      <c r="R41" s="59" t="n"/>
      <c r="S41" s="14" t="n"/>
      <c r="U41" s="53" t="n"/>
      <c r="V41" s="53" t="n"/>
      <c r="W41" s="53" t="n"/>
      <c r="X41" s="53" t="n"/>
      <c r="Y41" s="53" t="n"/>
      <c r="Z41" s="53" t="n"/>
      <c r="AA41" s="53" t="n"/>
      <c r="AB41" s="53" t="n"/>
      <c r="AC41" s="53" t="n"/>
      <c r="AD41" s="53" t="n"/>
      <c r="AE41" s="53" t="n"/>
      <c r="AF41" s="53" t="n"/>
      <c r="AG41" s="53" t="n"/>
      <c r="AH41" s="53" t="n"/>
      <c r="AI41" s="53" t="n"/>
      <c r="AJ41" s="53" t="n"/>
      <c r="AK41" s="53" t="n"/>
      <c r="AL41" s="53" t="n"/>
      <c r="AM41" s="53" t="n"/>
      <c r="AN41" s="53" t="n"/>
      <c r="AO41" s="53" t="n"/>
      <c r="AP41" s="53" t="n"/>
      <c r="AQ41" s="53" t="n"/>
      <c r="AR41" s="53" t="n"/>
      <c r="AS41" s="53" t="n"/>
      <c r="AT41" s="53" t="n"/>
      <c r="AU41" s="53" t="n"/>
      <c r="AV41" s="53" t="n"/>
      <c r="AW41" s="53" t="n"/>
      <c r="AX41" s="53" t="n"/>
      <c r="AY41" s="53" t="n"/>
    </row>
    <row r="42" ht="15" customHeight="1">
      <c r="A42" s="40">
        <f>IF($D$42="","",12)</f>
        <v/>
      </c>
      <c r="B42" s="10" t="n"/>
      <c r="C42" s="41" t="inlineStr">
        <is>
          <t>마케팅1팀</t>
        </is>
      </c>
      <c r="D42" s="42" t="n"/>
      <c r="E42" s="43" t="inlineStr">
        <is>
          <t>기획</t>
        </is>
      </c>
      <c r="F42" s="44" t="n"/>
      <c r="G42" s="45" t="n"/>
      <c r="H42" s="46">
        <f>IF($I$42="","",IF($I$42&lt;0,"🔴지연",IF($I$42&lt;=1,"🟡임박","🟢여유")))</f>
        <v/>
      </c>
      <c r="I42" s="47">
        <f>IF(OR($G$42="",$K$42=""),"",$G$42-$K$42)</f>
        <v/>
      </c>
      <c r="J42" s="48">
        <f>IF(SUM($L$42:$L$44)=0,"",SUM($L$42:$L$44))</f>
        <v/>
      </c>
      <c r="K42" s="49">
        <f>IF($J$42="","",MAX($N$42:$N$44))</f>
        <v/>
      </c>
      <c r="L42" s="50">
        <f>IF(SUM(U42:AY42)=0,"",SUM(U42:AY42))</f>
        <v/>
      </c>
      <c r="M42" s="51">
        <f>IFERROR(INDEX(U$2:AY$2,MATCH(TRUE,INDEX(U42:AY42&lt;&gt;"",0),0)),"")</f>
        <v/>
      </c>
      <c r="N42" s="51">
        <f>IFERROR(LOOKUP(2,1/(U42:AY42&lt;&gt;""),U$2:AY$2),"")</f>
        <v/>
      </c>
      <c r="O42" s="52" t="n"/>
      <c r="P42" s="52" t="n"/>
      <c r="Q42" s="52" t="n"/>
      <c r="R42" s="44" t="n"/>
      <c r="S42" s="14" t="n"/>
      <c r="U42" s="53" t="n"/>
      <c r="V42" s="53" t="n"/>
      <c r="W42" s="53" t="n"/>
      <c r="X42" s="53" t="n"/>
      <c r="Y42" s="53" t="n"/>
      <c r="Z42" s="53" t="n"/>
      <c r="AA42" s="53" t="n"/>
      <c r="AB42" s="53" t="n"/>
      <c r="AC42" s="53" t="n"/>
      <c r="AD42" s="53" t="n"/>
      <c r="AE42" s="53" t="n"/>
      <c r="AF42" s="53" t="n"/>
      <c r="AG42" s="53" t="n"/>
      <c r="AH42" s="53" t="n"/>
      <c r="AI42" s="53" t="n"/>
      <c r="AJ42" s="53" t="n"/>
      <c r="AK42" s="53" t="n"/>
      <c r="AL42" s="53" t="n"/>
      <c r="AM42" s="53" t="n"/>
      <c r="AN42" s="53" t="n"/>
      <c r="AO42" s="53" t="n"/>
      <c r="AP42" s="53" t="n"/>
      <c r="AQ42" s="53" t="n"/>
      <c r="AR42" s="53" t="n"/>
      <c r="AS42" s="53" t="n"/>
      <c r="AT42" s="53" t="n"/>
      <c r="AU42" s="53" t="n"/>
      <c r="AV42" s="53" t="n"/>
      <c r="AW42" s="53" t="n"/>
      <c r="AX42" s="53" t="n"/>
      <c r="AY42" s="53" t="n"/>
    </row>
    <row r="43" ht="15" customHeight="1">
      <c r="A43" s="54" t="n"/>
      <c r="B43" s="55">
        <f>IF($B$42="","",$B$42)</f>
        <v/>
      </c>
      <c r="C43" s="56" t="inlineStr">
        <is>
          <t>마케팅1팀</t>
        </is>
      </c>
      <c r="D43" s="55">
        <f>IF($D$42="","",$D$42)</f>
        <v/>
      </c>
      <c r="E43" s="57" t="inlineStr">
        <is>
          <t>이미지</t>
        </is>
      </c>
      <c r="F43" s="44" t="n"/>
      <c r="G43" s="58">
        <f>IF($G$42="","",$G$42)</f>
        <v/>
      </c>
      <c r="H43" s="59" t="n"/>
      <c r="I43" s="59" t="n"/>
      <c r="J43" s="59" t="n"/>
      <c r="K43" s="59" t="n"/>
      <c r="L43" s="60">
        <f>IF(SUM(U43:AY43)=0,"",SUM(U43:AY43))</f>
        <v/>
      </c>
      <c r="M43" s="61">
        <f>IFERROR(INDEX(U$2:AY$2,MATCH(TRUE,INDEX(U43:AY43&lt;&gt;"",0),0)),"")</f>
        <v/>
      </c>
      <c r="N43" s="61">
        <f>IFERROR(LOOKUP(2,1/(U43:AY43&lt;&gt;""),U$2:AY$2),"")</f>
        <v/>
      </c>
      <c r="O43" s="59" t="n"/>
      <c r="P43" s="59" t="n"/>
      <c r="Q43" s="59" t="n"/>
      <c r="R43" s="59" t="n"/>
      <c r="S43" s="14" t="n"/>
      <c r="U43" s="53" t="n"/>
      <c r="V43" s="53" t="n"/>
      <c r="W43" s="53" t="n"/>
      <c r="X43" s="53" t="n"/>
      <c r="Y43" s="53" t="n"/>
      <c r="Z43" s="53" t="n"/>
      <c r="AA43" s="53" t="n"/>
      <c r="AB43" s="53" t="n"/>
      <c r="AC43" s="53" t="n"/>
      <c r="AD43" s="53" t="n"/>
      <c r="AE43" s="53" t="n"/>
      <c r="AF43" s="53" t="n"/>
      <c r="AG43" s="53" t="n"/>
      <c r="AH43" s="53" t="n"/>
      <c r="AI43" s="53" t="n"/>
      <c r="AJ43" s="53" t="n"/>
      <c r="AK43" s="53" t="n"/>
      <c r="AL43" s="53" t="n"/>
      <c r="AM43" s="53" t="n"/>
      <c r="AN43" s="53" t="n"/>
      <c r="AO43" s="53" t="n"/>
      <c r="AP43" s="53" t="n"/>
      <c r="AQ43" s="53" t="n"/>
      <c r="AR43" s="53" t="n"/>
      <c r="AS43" s="53" t="n"/>
      <c r="AT43" s="53" t="n"/>
      <c r="AU43" s="53" t="n"/>
      <c r="AV43" s="53" t="n"/>
      <c r="AW43" s="53" t="n"/>
      <c r="AX43" s="53" t="n"/>
      <c r="AY43" s="53" t="n"/>
    </row>
    <row r="44" ht="15" customHeight="1">
      <c r="A44" s="62" t="n"/>
      <c r="B44" s="55">
        <f>IF($B$42="","",$B$42)</f>
        <v/>
      </c>
      <c r="C44" s="63" t="inlineStr">
        <is>
          <t>마케팅1팀</t>
        </is>
      </c>
      <c r="D44" s="55">
        <f>IF($D$42="","",$D$42)</f>
        <v/>
      </c>
      <c r="E44" s="64" t="inlineStr">
        <is>
          <t>영상</t>
        </is>
      </c>
      <c r="F44" s="44" t="n"/>
      <c r="G44" s="58">
        <f>IF($G$42="","",$G$42)</f>
        <v/>
      </c>
      <c r="H44" s="59" t="n"/>
      <c r="I44" s="59" t="n"/>
      <c r="J44" s="59" t="n"/>
      <c r="K44" s="59" t="n"/>
      <c r="L44" s="65">
        <f>IF(SUM(U44:AY44)=0,"",SUM(U44:AY44))</f>
        <v/>
      </c>
      <c r="M44" s="66">
        <f>IFERROR(INDEX(U$2:AY$2,MATCH(TRUE,INDEX(U44:AY44&lt;&gt;"",0),0)),"")</f>
        <v/>
      </c>
      <c r="N44" s="66">
        <f>IFERROR(LOOKUP(2,1/(U44:AY44&lt;&gt;""),U$2:AY$2),"")</f>
        <v/>
      </c>
      <c r="O44" s="59" t="n"/>
      <c r="P44" s="59" t="n"/>
      <c r="Q44" s="59" t="n"/>
      <c r="R44" s="59" t="n"/>
      <c r="S44" s="14" t="n"/>
      <c r="U44" s="53" t="n"/>
      <c r="V44" s="53" t="n"/>
      <c r="W44" s="53" t="n"/>
      <c r="X44" s="53" t="n"/>
      <c r="Y44" s="53" t="n"/>
      <c r="Z44" s="53" t="n"/>
      <c r="AA44" s="53" t="n"/>
      <c r="AB44" s="53" t="n"/>
      <c r="AC44" s="53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53" t="n"/>
      <c r="AN44" s="53" t="n"/>
      <c r="AO44" s="53" t="n"/>
      <c r="AP44" s="53" t="n"/>
      <c r="AQ44" s="53" t="n"/>
      <c r="AR44" s="53" t="n"/>
      <c r="AS44" s="53" t="n"/>
      <c r="AT44" s="53" t="n"/>
      <c r="AU44" s="53" t="n"/>
      <c r="AV44" s="53" t="n"/>
      <c r="AW44" s="53" t="n"/>
      <c r="AX44" s="53" t="n"/>
      <c r="AY44" s="53" t="n"/>
    </row>
    <row r="45" ht="15" customHeight="1">
      <c r="A45" s="40">
        <f>IF($D$45="","",13)</f>
        <v/>
      </c>
      <c r="B45" s="10" t="n"/>
      <c r="C45" s="41" t="inlineStr">
        <is>
          <t>마케팅1팀</t>
        </is>
      </c>
      <c r="D45" s="42" t="n"/>
      <c r="E45" s="43" t="inlineStr">
        <is>
          <t>기획</t>
        </is>
      </c>
      <c r="F45" s="44" t="n"/>
      <c r="G45" s="45" t="n"/>
      <c r="H45" s="46">
        <f>IF($I$45="","",IF($I$45&lt;0,"🔴지연",IF($I$45&lt;=1,"🟡임박","🟢여유")))</f>
        <v/>
      </c>
      <c r="I45" s="47">
        <f>IF(OR($G$45="",$K$45=""),"",$G$45-$K$45)</f>
        <v/>
      </c>
      <c r="J45" s="48">
        <f>IF(SUM($L$45:$L$47)=0,"",SUM($L$45:$L$47))</f>
        <v/>
      </c>
      <c r="K45" s="49">
        <f>IF($J$45="","",MAX($N$45:$N$47))</f>
        <v/>
      </c>
      <c r="L45" s="50">
        <f>IF(SUM(U45:AY45)=0,"",SUM(U45:AY45))</f>
        <v/>
      </c>
      <c r="M45" s="51">
        <f>IFERROR(INDEX(U$2:AY$2,MATCH(TRUE,INDEX(U45:AY45&lt;&gt;"",0),0)),"")</f>
        <v/>
      </c>
      <c r="N45" s="51">
        <f>IFERROR(LOOKUP(2,1/(U45:AY45&lt;&gt;""),U$2:AY$2),"")</f>
        <v/>
      </c>
      <c r="O45" s="52" t="n"/>
      <c r="P45" s="52" t="n"/>
      <c r="Q45" s="52" t="n"/>
      <c r="R45" s="44" t="n"/>
      <c r="S45" s="14" t="n"/>
      <c r="U45" s="53" t="n"/>
      <c r="V45" s="53" t="n"/>
      <c r="W45" s="53" t="n"/>
      <c r="X45" s="53" t="n"/>
      <c r="Y45" s="53" t="n"/>
      <c r="Z45" s="53" t="n"/>
      <c r="AA45" s="53" t="n"/>
      <c r="AB45" s="53" t="n"/>
      <c r="AC45" s="53" t="n"/>
      <c r="AD45" s="53" t="n"/>
      <c r="AE45" s="53" t="n"/>
      <c r="AF45" s="53" t="n"/>
      <c r="AG45" s="53" t="n"/>
      <c r="AH45" s="53" t="n"/>
      <c r="AI45" s="53" t="n"/>
      <c r="AJ45" s="53" t="n"/>
      <c r="AK45" s="53" t="n"/>
      <c r="AL45" s="53" t="n"/>
      <c r="AM45" s="53" t="n"/>
      <c r="AN45" s="53" t="n"/>
      <c r="AO45" s="53" t="n"/>
      <c r="AP45" s="53" t="n"/>
      <c r="AQ45" s="53" t="n"/>
      <c r="AR45" s="53" t="n"/>
      <c r="AS45" s="53" t="n"/>
      <c r="AT45" s="53" t="n"/>
      <c r="AU45" s="53" t="n"/>
      <c r="AV45" s="53" t="n"/>
      <c r="AW45" s="53" t="n"/>
      <c r="AX45" s="53" t="n"/>
      <c r="AY45" s="53" t="n"/>
    </row>
    <row r="46" ht="15" customHeight="1">
      <c r="A46" s="54" t="n"/>
      <c r="B46" s="55">
        <f>IF($B$45="","",$B$45)</f>
        <v/>
      </c>
      <c r="C46" s="56" t="inlineStr">
        <is>
          <t>마케팅1팀</t>
        </is>
      </c>
      <c r="D46" s="55">
        <f>IF($D$45="","",$D$45)</f>
        <v/>
      </c>
      <c r="E46" s="57" t="inlineStr">
        <is>
          <t>이미지</t>
        </is>
      </c>
      <c r="F46" s="44" t="n"/>
      <c r="G46" s="58">
        <f>IF($G$45="","",$G$45)</f>
        <v/>
      </c>
      <c r="H46" s="59" t="n"/>
      <c r="I46" s="59" t="n"/>
      <c r="J46" s="59" t="n"/>
      <c r="K46" s="59" t="n"/>
      <c r="L46" s="60">
        <f>IF(SUM(U46:AY46)=0,"",SUM(U46:AY46))</f>
        <v/>
      </c>
      <c r="M46" s="61">
        <f>IFERROR(INDEX(U$2:AY$2,MATCH(TRUE,INDEX(U46:AY46&lt;&gt;"",0),0)),"")</f>
        <v/>
      </c>
      <c r="N46" s="61">
        <f>IFERROR(LOOKUP(2,1/(U46:AY46&lt;&gt;""),U$2:AY$2),"")</f>
        <v/>
      </c>
      <c r="O46" s="59" t="n"/>
      <c r="P46" s="59" t="n"/>
      <c r="Q46" s="59" t="n"/>
      <c r="R46" s="59" t="n"/>
      <c r="S46" s="14" t="n"/>
      <c r="U46" s="53" t="n"/>
      <c r="V46" s="53" t="n"/>
      <c r="W46" s="53" t="n"/>
      <c r="X46" s="53" t="n"/>
      <c r="Y46" s="53" t="n"/>
      <c r="Z46" s="53" t="n"/>
      <c r="AA46" s="53" t="n"/>
      <c r="AB46" s="53" t="n"/>
      <c r="AC46" s="53" t="n"/>
      <c r="AD46" s="53" t="n"/>
      <c r="AE46" s="53" t="n"/>
      <c r="AF46" s="53" t="n"/>
      <c r="AG46" s="53" t="n"/>
      <c r="AH46" s="53" t="n"/>
      <c r="AI46" s="53" t="n"/>
      <c r="AJ46" s="53" t="n"/>
      <c r="AK46" s="53" t="n"/>
      <c r="AL46" s="53" t="n"/>
      <c r="AM46" s="53" t="n"/>
      <c r="AN46" s="53" t="n"/>
      <c r="AO46" s="53" t="n"/>
      <c r="AP46" s="53" t="n"/>
      <c r="AQ46" s="53" t="n"/>
      <c r="AR46" s="53" t="n"/>
      <c r="AS46" s="53" t="n"/>
      <c r="AT46" s="53" t="n"/>
      <c r="AU46" s="53" t="n"/>
      <c r="AV46" s="53" t="n"/>
      <c r="AW46" s="53" t="n"/>
      <c r="AX46" s="53" t="n"/>
      <c r="AY46" s="53" t="n"/>
    </row>
    <row r="47" ht="15" customHeight="1">
      <c r="A47" s="62" t="n"/>
      <c r="B47" s="55">
        <f>IF($B$45="","",$B$45)</f>
        <v/>
      </c>
      <c r="C47" s="63" t="inlineStr">
        <is>
          <t>마케팅1팀</t>
        </is>
      </c>
      <c r="D47" s="55">
        <f>IF($D$45="","",$D$45)</f>
        <v/>
      </c>
      <c r="E47" s="64" t="inlineStr">
        <is>
          <t>영상</t>
        </is>
      </c>
      <c r="F47" s="44" t="n"/>
      <c r="G47" s="58">
        <f>IF($G$45="","",$G$45)</f>
        <v/>
      </c>
      <c r="H47" s="59" t="n"/>
      <c r="I47" s="59" t="n"/>
      <c r="J47" s="59" t="n"/>
      <c r="K47" s="59" t="n"/>
      <c r="L47" s="65">
        <f>IF(SUM(U47:AY47)=0,"",SUM(U47:AY47))</f>
        <v/>
      </c>
      <c r="M47" s="66">
        <f>IFERROR(INDEX(U$2:AY$2,MATCH(TRUE,INDEX(U47:AY47&lt;&gt;"",0),0)),"")</f>
        <v/>
      </c>
      <c r="N47" s="66">
        <f>IFERROR(LOOKUP(2,1/(U47:AY47&lt;&gt;""),U$2:AY$2),"")</f>
        <v/>
      </c>
      <c r="O47" s="59" t="n"/>
      <c r="P47" s="59" t="n"/>
      <c r="Q47" s="59" t="n"/>
      <c r="R47" s="59" t="n"/>
      <c r="S47" s="14" t="n"/>
      <c r="U47" s="53" t="n"/>
      <c r="V47" s="53" t="n"/>
      <c r="W47" s="53" t="n"/>
      <c r="X47" s="53" t="n"/>
      <c r="Y47" s="53" t="n"/>
      <c r="Z47" s="53" t="n"/>
      <c r="AA47" s="53" t="n"/>
      <c r="AB47" s="53" t="n"/>
      <c r="AC47" s="53" t="n"/>
      <c r="AD47" s="53" t="n"/>
      <c r="AE47" s="53" t="n"/>
      <c r="AF47" s="53" t="n"/>
      <c r="AG47" s="53" t="n"/>
      <c r="AH47" s="53" t="n"/>
      <c r="AI47" s="53" t="n"/>
      <c r="AJ47" s="53" t="n"/>
      <c r="AK47" s="53" t="n"/>
      <c r="AL47" s="53" t="n"/>
      <c r="AM47" s="53" t="n"/>
      <c r="AN47" s="53" t="n"/>
      <c r="AO47" s="53" t="n"/>
      <c r="AP47" s="53" t="n"/>
      <c r="AQ47" s="53" t="n"/>
      <c r="AR47" s="53" t="n"/>
      <c r="AS47" s="53" t="n"/>
      <c r="AT47" s="53" t="n"/>
      <c r="AU47" s="53" t="n"/>
      <c r="AV47" s="53" t="n"/>
      <c r="AW47" s="53" t="n"/>
      <c r="AX47" s="53" t="n"/>
      <c r="AY47" s="53" t="n"/>
    </row>
    <row r="48" ht="15" customHeight="1">
      <c r="A48" s="40">
        <f>IF($D$48="","",14)</f>
        <v/>
      </c>
      <c r="B48" s="10" t="n"/>
      <c r="C48" s="41" t="inlineStr">
        <is>
          <t>마케팅1팀</t>
        </is>
      </c>
      <c r="D48" s="42" t="n"/>
      <c r="E48" s="43" t="inlineStr">
        <is>
          <t>기획</t>
        </is>
      </c>
      <c r="F48" s="44" t="n"/>
      <c r="G48" s="45" t="n"/>
      <c r="H48" s="46">
        <f>IF($I$48="","",IF($I$48&lt;0,"🔴지연",IF($I$48&lt;=1,"🟡임박","🟢여유")))</f>
        <v/>
      </c>
      <c r="I48" s="47">
        <f>IF(OR($G$48="",$K$48=""),"",$G$48-$K$48)</f>
        <v/>
      </c>
      <c r="J48" s="48">
        <f>IF(SUM($L$48:$L$50)=0,"",SUM($L$48:$L$50))</f>
        <v/>
      </c>
      <c r="K48" s="49">
        <f>IF($J$48="","",MAX($N$48:$N$50))</f>
        <v/>
      </c>
      <c r="L48" s="50">
        <f>IF(SUM(U48:AY48)=0,"",SUM(U48:AY48))</f>
        <v/>
      </c>
      <c r="M48" s="51">
        <f>IFERROR(INDEX(U$2:AY$2,MATCH(TRUE,INDEX(U48:AY48&lt;&gt;"",0),0)),"")</f>
        <v/>
      </c>
      <c r="N48" s="51">
        <f>IFERROR(LOOKUP(2,1/(U48:AY48&lt;&gt;""),U$2:AY$2),"")</f>
        <v/>
      </c>
      <c r="O48" s="52" t="n"/>
      <c r="P48" s="52" t="n"/>
      <c r="Q48" s="52" t="n"/>
      <c r="R48" s="44" t="n"/>
      <c r="S48" s="14" t="n"/>
      <c r="U48" s="53" t="n"/>
      <c r="V48" s="53" t="n"/>
      <c r="W48" s="53" t="n"/>
      <c r="X48" s="53" t="n"/>
      <c r="Y48" s="53" t="n"/>
      <c r="Z48" s="53" t="n"/>
      <c r="AA48" s="53" t="n"/>
      <c r="AB48" s="53" t="n"/>
      <c r="AC48" s="53" t="n"/>
      <c r="AD48" s="53" t="n"/>
      <c r="AE48" s="53" t="n"/>
      <c r="AF48" s="53" t="n"/>
      <c r="AG48" s="53" t="n"/>
      <c r="AH48" s="53" t="n"/>
      <c r="AI48" s="53" t="n"/>
      <c r="AJ48" s="53" t="n"/>
      <c r="AK48" s="53" t="n"/>
      <c r="AL48" s="53" t="n"/>
      <c r="AM48" s="53" t="n"/>
      <c r="AN48" s="53" t="n"/>
      <c r="AO48" s="53" t="n"/>
      <c r="AP48" s="53" t="n"/>
      <c r="AQ48" s="53" t="n"/>
      <c r="AR48" s="53" t="n"/>
      <c r="AS48" s="53" t="n"/>
      <c r="AT48" s="53" t="n"/>
      <c r="AU48" s="53" t="n"/>
      <c r="AV48" s="53" t="n"/>
      <c r="AW48" s="53" t="n"/>
      <c r="AX48" s="53" t="n"/>
      <c r="AY48" s="53" t="n"/>
    </row>
    <row r="49" ht="15" customHeight="1">
      <c r="A49" s="54" t="n"/>
      <c r="B49" s="55">
        <f>IF($B$48="","",$B$48)</f>
        <v/>
      </c>
      <c r="C49" s="56" t="inlineStr">
        <is>
          <t>마케팅1팀</t>
        </is>
      </c>
      <c r="D49" s="55">
        <f>IF($D$48="","",$D$48)</f>
        <v/>
      </c>
      <c r="E49" s="57" t="inlineStr">
        <is>
          <t>이미지</t>
        </is>
      </c>
      <c r="F49" s="44" t="n"/>
      <c r="G49" s="58">
        <f>IF($G$48="","",$G$48)</f>
        <v/>
      </c>
      <c r="H49" s="59" t="n"/>
      <c r="I49" s="59" t="n"/>
      <c r="J49" s="59" t="n"/>
      <c r="K49" s="59" t="n"/>
      <c r="L49" s="60">
        <f>IF(SUM(U49:AY49)=0,"",SUM(U49:AY49))</f>
        <v/>
      </c>
      <c r="M49" s="61">
        <f>IFERROR(INDEX(U$2:AY$2,MATCH(TRUE,INDEX(U49:AY49&lt;&gt;"",0),0)),"")</f>
        <v/>
      </c>
      <c r="N49" s="61">
        <f>IFERROR(LOOKUP(2,1/(U49:AY49&lt;&gt;""),U$2:AY$2),"")</f>
        <v/>
      </c>
      <c r="O49" s="59" t="n"/>
      <c r="P49" s="59" t="n"/>
      <c r="Q49" s="59" t="n"/>
      <c r="R49" s="59" t="n"/>
      <c r="S49" s="14" t="n"/>
      <c r="U49" s="53" t="n"/>
      <c r="V49" s="53" t="n"/>
      <c r="W49" s="53" t="n"/>
      <c r="X49" s="53" t="n"/>
      <c r="Y49" s="53" t="n"/>
      <c r="Z49" s="53" t="n"/>
      <c r="AA49" s="53" t="n"/>
      <c r="AB49" s="53" t="n"/>
      <c r="AC49" s="53" t="n"/>
      <c r="AD49" s="53" t="n"/>
      <c r="AE49" s="53" t="n"/>
      <c r="AF49" s="53" t="n"/>
      <c r="AG49" s="53" t="n"/>
      <c r="AH49" s="53" t="n"/>
      <c r="AI49" s="53" t="n"/>
      <c r="AJ49" s="53" t="n"/>
      <c r="AK49" s="53" t="n"/>
      <c r="AL49" s="53" t="n"/>
      <c r="AM49" s="53" t="n"/>
      <c r="AN49" s="53" t="n"/>
      <c r="AO49" s="53" t="n"/>
      <c r="AP49" s="53" t="n"/>
      <c r="AQ49" s="53" t="n"/>
      <c r="AR49" s="53" t="n"/>
      <c r="AS49" s="53" t="n"/>
      <c r="AT49" s="53" t="n"/>
      <c r="AU49" s="53" t="n"/>
      <c r="AV49" s="53" t="n"/>
      <c r="AW49" s="53" t="n"/>
      <c r="AX49" s="53" t="n"/>
      <c r="AY49" s="53" t="n"/>
    </row>
    <row r="50" ht="15" customHeight="1">
      <c r="A50" s="62" t="n"/>
      <c r="B50" s="55">
        <f>IF($B$48="","",$B$48)</f>
        <v/>
      </c>
      <c r="C50" s="63" t="inlineStr">
        <is>
          <t>마케팅1팀</t>
        </is>
      </c>
      <c r="D50" s="55">
        <f>IF($D$48="","",$D$48)</f>
        <v/>
      </c>
      <c r="E50" s="64" t="inlineStr">
        <is>
          <t>영상</t>
        </is>
      </c>
      <c r="F50" s="44" t="n"/>
      <c r="G50" s="58">
        <f>IF($G$48="","",$G$48)</f>
        <v/>
      </c>
      <c r="H50" s="59" t="n"/>
      <c r="I50" s="59" t="n"/>
      <c r="J50" s="59" t="n"/>
      <c r="K50" s="59" t="n"/>
      <c r="L50" s="65">
        <f>IF(SUM(U50:AY50)=0,"",SUM(U50:AY50))</f>
        <v/>
      </c>
      <c r="M50" s="66">
        <f>IFERROR(INDEX(U$2:AY$2,MATCH(TRUE,INDEX(U50:AY50&lt;&gt;"",0),0)),"")</f>
        <v/>
      </c>
      <c r="N50" s="66">
        <f>IFERROR(LOOKUP(2,1/(U50:AY50&lt;&gt;""),U$2:AY$2),"")</f>
        <v/>
      </c>
      <c r="O50" s="59" t="n"/>
      <c r="P50" s="59" t="n"/>
      <c r="Q50" s="59" t="n"/>
      <c r="R50" s="59" t="n"/>
      <c r="S50" s="14" t="n"/>
      <c r="U50" s="53" t="n"/>
      <c r="V50" s="53" t="n"/>
      <c r="W50" s="53" t="n"/>
      <c r="X50" s="53" t="n"/>
      <c r="Y50" s="53" t="n"/>
      <c r="Z50" s="53" t="n"/>
      <c r="AA50" s="53" t="n"/>
      <c r="AB50" s="53" t="n"/>
      <c r="AC50" s="53" t="n"/>
      <c r="AD50" s="53" t="n"/>
      <c r="AE50" s="53" t="n"/>
      <c r="AF50" s="53" t="n"/>
      <c r="AG50" s="53" t="n"/>
      <c r="AH50" s="53" t="n"/>
      <c r="AI50" s="53" t="n"/>
      <c r="AJ50" s="53" t="n"/>
      <c r="AK50" s="53" t="n"/>
      <c r="AL50" s="53" t="n"/>
      <c r="AM50" s="53" t="n"/>
      <c r="AN50" s="53" t="n"/>
      <c r="AO50" s="53" t="n"/>
      <c r="AP50" s="53" t="n"/>
      <c r="AQ50" s="53" t="n"/>
      <c r="AR50" s="53" t="n"/>
      <c r="AS50" s="53" t="n"/>
      <c r="AT50" s="53" t="n"/>
      <c r="AU50" s="53" t="n"/>
      <c r="AV50" s="53" t="n"/>
      <c r="AW50" s="53" t="n"/>
      <c r="AX50" s="53" t="n"/>
      <c r="AY50" s="53" t="n"/>
    </row>
    <row r="51" ht="15" customHeight="1">
      <c r="A51" s="40">
        <f>IF($D$51="","",15)</f>
        <v/>
      </c>
      <c r="B51" s="10" t="n"/>
      <c r="C51" s="41" t="inlineStr">
        <is>
          <t>마케팅1팀</t>
        </is>
      </c>
      <c r="D51" s="42" t="n"/>
      <c r="E51" s="43" t="inlineStr">
        <is>
          <t>기획</t>
        </is>
      </c>
      <c r="F51" s="44" t="n"/>
      <c r="G51" s="45" t="n"/>
      <c r="H51" s="46">
        <f>IF($I$51="","",IF($I$51&lt;0,"🔴지연",IF($I$51&lt;=1,"🟡임박","🟢여유")))</f>
        <v/>
      </c>
      <c r="I51" s="47">
        <f>IF(OR($G$51="",$K$51=""),"",$G$51-$K$51)</f>
        <v/>
      </c>
      <c r="J51" s="48">
        <f>IF(SUM($L$51:$L$53)=0,"",SUM($L$51:$L$53))</f>
        <v/>
      </c>
      <c r="K51" s="49">
        <f>IF($J$51="","",MAX($N$51:$N$53))</f>
        <v/>
      </c>
      <c r="L51" s="50">
        <f>IF(SUM(U51:AY51)=0,"",SUM(U51:AY51))</f>
        <v/>
      </c>
      <c r="M51" s="51">
        <f>IFERROR(INDEX(U$2:AY$2,MATCH(TRUE,INDEX(U51:AY51&lt;&gt;"",0),0)),"")</f>
        <v/>
      </c>
      <c r="N51" s="51">
        <f>IFERROR(LOOKUP(2,1/(U51:AY51&lt;&gt;""),U$2:AY$2),"")</f>
        <v/>
      </c>
      <c r="O51" s="52" t="n"/>
      <c r="P51" s="52" t="n"/>
      <c r="Q51" s="52" t="n"/>
      <c r="R51" s="44" t="n"/>
      <c r="S51" s="14" t="n"/>
      <c r="U51" s="53" t="n"/>
      <c r="V51" s="53" t="n"/>
      <c r="W51" s="53" t="n"/>
      <c r="X51" s="53" t="n"/>
      <c r="Y51" s="53" t="n"/>
      <c r="Z51" s="53" t="n"/>
      <c r="AA51" s="53" t="n"/>
      <c r="AB51" s="53" t="n"/>
      <c r="AC51" s="53" t="n"/>
      <c r="AD51" s="53" t="n"/>
      <c r="AE51" s="53" t="n"/>
      <c r="AF51" s="53" t="n"/>
      <c r="AG51" s="53" t="n"/>
      <c r="AH51" s="53" t="n"/>
      <c r="AI51" s="53" t="n"/>
      <c r="AJ51" s="53" t="n"/>
      <c r="AK51" s="53" t="n"/>
      <c r="AL51" s="53" t="n"/>
      <c r="AM51" s="53" t="n"/>
      <c r="AN51" s="53" t="n"/>
      <c r="AO51" s="53" t="n"/>
      <c r="AP51" s="53" t="n"/>
      <c r="AQ51" s="53" t="n"/>
      <c r="AR51" s="53" t="n"/>
      <c r="AS51" s="53" t="n"/>
      <c r="AT51" s="53" t="n"/>
      <c r="AU51" s="53" t="n"/>
      <c r="AV51" s="53" t="n"/>
      <c r="AW51" s="53" t="n"/>
      <c r="AX51" s="53" t="n"/>
      <c r="AY51" s="53" t="n"/>
    </row>
    <row r="52" ht="15" customHeight="1">
      <c r="A52" s="54" t="n"/>
      <c r="B52" s="55">
        <f>IF($B$51="","",$B$51)</f>
        <v/>
      </c>
      <c r="C52" s="56" t="inlineStr">
        <is>
          <t>마케팅1팀</t>
        </is>
      </c>
      <c r="D52" s="55">
        <f>IF($D$51="","",$D$51)</f>
        <v/>
      </c>
      <c r="E52" s="57" t="inlineStr">
        <is>
          <t>이미지</t>
        </is>
      </c>
      <c r="F52" s="44" t="n"/>
      <c r="G52" s="58">
        <f>IF($G$51="","",$G$51)</f>
        <v/>
      </c>
      <c r="H52" s="59" t="n"/>
      <c r="I52" s="59" t="n"/>
      <c r="J52" s="59" t="n"/>
      <c r="K52" s="59" t="n"/>
      <c r="L52" s="60">
        <f>IF(SUM(U52:AY52)=0,"",SUM(U52:AY52))</f>
        <v/>
      </c>
      <c r="M52" s="61">
        <f>IFERROR(INDEX(U$2:AY$2,MATCH(TRUE,INDEX(U52:AY52&lt;&gt;"",0),0)),"")</f>
        <v/>
      </c>
      <c r="N52" s="61">
        <f>IFERROR(LOOKUP(2,1/(U52:AY52&lt;&gt;""),U$2:AY$2),"")</f>
        <v/>
      </c>
      <c r="O52" s="59" t="n"/>
      <c r="P52" s="59" t="n"/>
      <c r="Q52" s="59" t="n"/>
      <c r="R52" s="59" t="n"/>
      <c r="S52" s="14" t="n"/>
      <c r="U52" s="53" t="n"/>
      <c r="V52" s="53" t="n"/>
      <c r="W52" s="53" t="n"/>
      <c r="X52" s="53" t="n"/>
      <c r="Y52" s="53" t="n"/>
      <c r="Z52" s="53" t="n"/>
      <c r="AA52" s="53" t="n"/>
      <c r="AB52" s="53" t="n"/>
      <c r="AC52" s="53" t="n"/>
      <c r="AD52" s="53" t="n"/>
      <c r="AE52" s="53" t="n"/>
      <c r="AF52" s="53" t="n"/>
      <c r="AG52" s="53" t="n"/>
      <c r="AH52" s="53" t="n"/>
      <c r="AI52" s="53" t="n"/>
      <c r="AJ52" s="53" t="n"/>
      <c r="AK52" s="53" t="n"/>
      <c r="AL52" s="53" t="n"/>
      <c r="AM52" s="53" t="n"/>
      <c r="AN52" s="53" t="n"/>
      <c r="AO52" s="53" t="n"/>
      <c r="AP52" s="53" t="n"/>
      <c r="AQ52" s="53" t="n"/>
      <c r="AR52" s="53" t="n"/>
      <c r="AS52" s="53" t="n"/>
      <c r="AT52" s="53" t="n"/>
      <c r="AU52" s="53" t="n"/>
      <c r="AV52" s="53" t="n"/>
      <c r="AW52" s="53" t="n"/>
      <c r="AX52" s="53" t="n"/>
      <c r="AY52" s="53" t="n"/>
    </row>
    <row r="53" ht="15" customHeight="1">
      <c r="A53" s="62" t="n"/>
      <c r="B53" s="55">
        <f>IF($B$51="","",$B$51)</f>
        <v/>
      </c>
      <c r="C53" s="63" t="inlineStr">
        <is>
          <t>마케팅1팀</t>
        </is>
      </c>
      <c r="D53" s="55">
        <f>IF($D$51="","",$D$51)</f>
        <v/>
      </c>
      <c r="E53" s="64" t="inlineStr">
        <is>
          <t>영상</t>
        </is>
      </c>
      <c r="F53" s="44" t="n"/>
      <c r="G53" s="58">
        <f>IF($G$51="","",$G$51)</f>
        <v/>
      </c>
      <c r="H53" s="59" t="n"/>
      <c r="I53" s="59" t="n"/>
      <c r="J53" s="59" t="n"/>
      <c r="K53" s="59" t="n"/>
      <c r="L53" s="65">
        <f>IF(SUM(U53:AY53)=0,"",SUM(U53:AY53))</f>
        <v/>
      </c>
      <c r="M53" s="66">
        <f>IFERROR(INDEX(U$2:AY$2,MATCH(TRUE,INDEX(U53:AY53&lt;&gt;"",0),0)),"")</f>
        <v/>
      </c>
      <c r="N53" s="66">
        <f>IFERROR(LOOKUP(2,1/(U53:AY53&lt;&gt;""),U$2:AY$2),"")</f>
        <v/>
      </c>
      <c r="O53" s="59" t="n"/>
      <c r="P53" s="59" t="n"/>
      <c r="Q53" s="59" t="n"/>
      <c r="R53" s="59" t="n"/>
      <c r="S53" s="14" t="n"/>
      <c r="U53" s="53" t="n"/>
      <c r="V53" s="53" t="n"/>
      <c r="W53" s="53" t="n"/>
      <c r="X53" s="53" t="n"/>
      <c r="Y53" s="53" t="n"/>
      <c r="Z53" s="53" t="n"/>
      <c r="AA53" s="53" t="n"/>
      <c r="AB53" s="53" t="n"/>
      <c r="AC53" s="53" t="n"/>
      <c r="AD53" s="53" t="n"/>
      <c r="AE53" s="53" t="n"/>
      <c r="AF53" s="53" t="n"/>
      <c r="AG53" s="53" t="n"/>
      <c r="AH53" s="53" t="n"/>
      <c r="AI53" s="53" t="n"/>
      <c r="AJ53" s="53" t="n"/>
      <c r="AK53" s="53" t="n"/>
      <c r="AL53" s="53" t="n"/>
      <c r="AM53" s="53" t="n"/>
      <c r="AN53" s="53" t="n"/>
      <c r="AO53" s="53" t="n"/>
      <c r="AP53" s="53" t="n"/>
      <c r="AQ53" s="53" t="n"/>
      <c r="AR53" s="53" t="n"/>
      <c r="AS53" s="53" t="n"/>
      <c r="AT53" s="53" t="n"/>
      <c r="AU53" s="53" t="n"/>
      <c r="AV53" s="53" t="n"/>
      <c r="AW53" s="53" t="n"/>
      <c r="AX53" s="53" t="n"/>
      <c r="AY53" s="53" t="n"/>
    </row>
    <row r="54" ht="15" customHeight="1">
      <c r="A54" s="40">
        <f>IF($D$54="","",16)</f>
        <v/>
      </c>
      <c r="B54" s="10" t="n"/>
      <c r="C54" s="41" t="inlineStr">
        <is>
          <t>마케팅1팀</t>
        </is>
      </c>
      <c r="D54" s="42" t="n"/>
      <c r="E54" s="43" t="inlineStr">
        <is>
          <t>기획</t>
        </is>
      </c>
      <c r="F54" s="44" t="n"/>
      <c r="G54" s="45" t="n"/>
      <c r="H54" s="46">
        <f>IF($I$54="","",IF($I$54&lt;0,"🔴지연",IF($I$54&lt;=1,"🟡임박","🟢여유")))</f>
        <v/>
      </c>
      <c r="I54" s="47">
        <f>IF(OR($G$54="",$K$54=""),"",$G$54-$K$54)</f>
        <v/>
      </c>
      <c r="J54" s="48">
        <f>IF(SUM($L$54:$L$56)=0,"",SUM($L$54:$L$56))</f>
        <v/>
      </c>
      <c r="K54" s="49">
        <f>IF($J$54="","",MAX($N$54:$N$56))</f>
        <v/>
      </c>
      <c r="L54" s="50">
        <f>IF(SUM(U54:AY54)=0,"",SUM(U54:AY54))</f>
        <v/>
      </c>
      <c r="M54" s="51">
        <f>IFERROR(INDEX(U$2:AY$2,MATCH(TRUE,INDEX(U54:AY54&lt;&gt;"",0),0)),"")</f>
        <v/>
      </c>
      <c r="N54" s="51">
        <f>IFERROR(LOOKUP(2,1/(U54:AY54&lt;&gt;""),U$2:AY$2),"")</f>
        <v/>
      </c>
      <c r="O54" s="52" t="n"/>
      <c r="P54" s="52" t="n"/>
      <c r="Q54" s="52" t="n"/>
      <c r="R54" s="44" t="n"/>
      <c r="S54" s="14" t="n"/>
      <c r="U54" s="53" t="n"/>
      <c r="V54" s="53" t="n"/>
      <c r="W54" s="53" t="n"/>
      <c r="X54" s="53" t="n"/>
      <c r="Y54" s="53" t="n"/>
      <c r="Z54" s="53" t="n"/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s="53" t="n"/>
      <c r="AJ54" s="53" t="n"/>
      <c r="AK54" s="53" t="n"/>
      <c r="AL54" s="53" t="n"/>
      <c r="AM54" s="53" t="n"/>
      <c r="AN54" s="53" t="n"/>
      <c r="AO54" s="53" t="n"/>
      <c r="AP54" s="53" t="n"/>
      <c r="AQ54" s="53" t="n"/>
      <c r="AR54" s="53" t="n"/>
      <c r="AS54" s="53" t="n"/>
      <c r="AT54" s="53" t="n"/>
      <c r="AU54" s="53" t="n"/>
      <c r="AV54" s="53" t="n"/>
      <c r="AW54" s="53" t="n"/>
      <c r="AX54" s="53" t="n"/>
      <c r="AY54" s="53" t="n"/>
    </row>
    <row r="55" ht="15" customHeight="1">
      <c r="A55" s="54" t="n"/>
      <c r="B55" s="55">
        <f>IF($B$54="","",$B$54)</f>
        <v/>
      </c>
      <c r="C55" s="56" t="inlineStr">
        <is>
          <t>마케팅1팀</t>
        </is>
      </c>
      <c r="D55" s="55">
        <f>IF($D$54="","",$D$54)</f>
        <v/>
      </c>
      <c r="E55" s="57" t="inlineStr">
        <is>
          <t>이미지</t>
        </is>
      </c>
      <c r="F55" s="44" t="n"/>
      <c r="G55" s="58">
        <f>IF($G$54="","",$G$54)</f>
        <v/>
      </c>
      <c r="H55" s="59" t="n"/>
      <c r="I55" s="59" t="n"/>
      <c r="J55" s="59" t="n"/>
      <c r="K55" s="59" t="n"/>
      <c r="L55" s="60">
        <f>IF(SUM(U55:AY55)=0,"",SUM(U55:AY55))</f>
        <v/>
      </c>
      <c r="M55" s="61">
        <f>IFERROR(INDEX(U$2:AY$2,MATCH(TRUE,INDEX(U55:AY55&lt;&gt;"",0),0)),"")</f>
        <v/>
      </c>
      <c r="N55" s="61">
        <f>IFERROR(LOOKUP(2,1/(U55:AY55&lt;&gt;""),U$2:AY$2),"")</f>
        <v/>
      </c>
      <c r="O55" s="59" t="n"/>
      <c r="P55" s="59" t="n"/>
      <c r="Q55" s="59" t="n"/>
      <c r="R55" s="59" t="n"/>
      <c r="S55" s="14" t="n"/>
      <c r="U55" s="53" t="n"/>
      <c r="V55" s="53" t="n"/>
      <c r="W55" s="53" t="n"/>
      <c r="X55" s="53" t="n"/>
      <c r="Y55" s="53" t="n"/>
      <c r="Z55" s="53" t="n"/>
      <c r="AA55" s="53" t="n"/>
      <c r="AB55" s="53" t="n"/>
      <c r="AC55" s="53" t="n"/>
      <c r="AD55" s="53" t="n"/>
      <c r="AE55" s="53" t="n"/>
      <c r="AF55" s="53" t="n"/>
      <c r="AG55" s="53" t="n"/>
      <c r="AH55" s="53" t="n"/>
      <c r="AI55" s="53" t="n"/>
      <c r="AJ55" s="53" t="n"/>
      <c r="AK55" s="53" t="n"/>
      <c r="AL55" s="53" t="n"/>
      <c r="AM55" s="53" t="n"/>
      <c r="AN55" s="53" t="n"/>
      <c r="AO55" s="53" t="n"/>
      <c r="AP55" s="53" t="n"/>
      <c r="AQ55" s="53" t="n"/>
      <c r="AR55" s="53" t="n"/>
      <c r="AS55" s="53" t="n"/>
      <c r="AT55" s="53" t="n"/>
      <c r="AU55" s="53" t="n"/>
      <c r="AV55" s="53" t="n"/>
      <c r="AW55" s="53" t="n"/>
      <c r="AX55" s="53" t="n"/>
      <c r="AY55" s="53" t="n"/>
    </row>
    <row r="56" ht="15" customHeight="1">
      <c r="A56" s="62" t="n"/>
      <c r="B56" s="55">
        <f>IF($B$54="","",$B$54)</f>
        <v/>
      </c>
      <c r="C56" s="63" t="inlineStr">
        <is>
          <t>마케팅1팀</t>
        </is>
      </c>
      <c r="D56" s="55">
        <f>IF($D$54="","",$D$54)</f>
        <v/>
      </c>
      <c r="E56" s="64" t="inlineStr">
        <is>
          <t>영상</t>
        </is>
      </c>
      <c r="F56" s="44" t="n"/>
      <c r="G56" s="58">
        <f>IF($G$54="","",$G$54)</f>
        <v/>
      </c>
      <c r="H56" s="59" t="n"/>
      <c r="I56" s="59" t="n"/>
      <c r="J56" s="59" t="n"/>
      <c r="K56" s="59" t="n"/>
      <c r="L56" s="65">
        <f>IF(SUM(U56:AY56)=0,"",SUM(U56:AY56))</f>
        <v/>
      </c>
      <c r="M56" s="66">
        <f>IFERROR(INDEX(U$2:AY$2,MATCH(TRUE,INDEX(U56:AY56&lt;&gt;"",0),0)),"")</f>
        <v/>
      </c>
      <c r="N56" s="66">
        <f>IFERROR(LOOKUP(2,1/(U56:AY56&lt;&gt;""),U$2:AY$2),"")</f>
        <v/>
      </c>
      <c r="O56" s="59" t="n"/>
      <c r="P56" s="59" t="n"/>
      <c r="Q56" s="59" t="n"/>
      <c r="R56" s="59" t="n"/>
      <c r="S56" s="14" t="n"/>
      <c r="U56" s="53" t="n"/>
      <c r="V56" s="53" t="n"/>
      <c r="W56" s="53" t="n"/>
      <c r="X56" s="5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s="53" t="n"/>
      <c r="AJ56" s="53" t="n"/>
      <c r="AK56" s="53" t="n"/>
      <c r="AL56" s="53" t="n"/>
      <c r="AM56" s="53" t="n"/>
      <c r="AN56" s="53" t="n"/>
      <c r="AO56" s="53" t="n"/>
      <c r="AP56" s="53" t="n"/>
      <c r="AQ56" s="53" t="n"/>
      <c r="AR56" s="53" t="n"/>
      <c r="AS56" s="53" t="n"/>
      <c r="AT56" s="53" t="n"/>
      <c r="AU56" s="53" t="n"/>
      <c r="AV56" s="53" t="n"/>
      <c r="AW56" s="53" t="n"/>
      <c r="AX56" s="53" t="n"/>
      <c r="AY56" s="53" t="n"/>
    </row>
    <row r="57" ht="15" customHeight="1">
      <c r="A57" s="40">
        <f>IF($D$57="","",17)</f>
        <v/>
      </c>
      <c r="B57" s="10" t="n"/>
      <c r="C57" s="41" t="inlineStr">
        <is>
          <t>마케팅1팀</t>
        </is>
      </c>
      <c r="D57" s="42" t="n"/>
      <c r="E57" s="43" t="inlineStr">
        <is>
          <t>기획</t>
        </is>
      </c>
      <c r="F57" s="44" t="n"/>
      <c r="G57" s="45" t="n"/>
      <c r="H57" s="46">
        <f>IF($I$57="","",IF($I$57&lt;0,"🔴지연",IF($I$57&lt;=1,"🟡임박","🟢여유")))</f>
        <v/>
      </c>
      <c r="I57" s="47">
        <f>IF(OR($G$57="",$K$57=""),"",$G$57-$K$57)</f>
        <v/>
      </c>
      <c r="J57" s="48">
        <f>IF(SUM($L$57:$L$59)=0,"",SUM($L$57:$L$59))</f>
        <v/>
      </c>
      <c r="K57" s="49">
        <f>IF($J$57="","",MAX($N$57:$N$59))</f>
        <v/>
      </c>
      <c r="L57" s="50">
        <f>IF(SUM(U57:AY57)=0,"",SUM(U57:AY57))</f>
        <v/>
      </c>
      <c r="M57" s="51">
        <f>IFERROR(INDEX(U$2:AY$2,MATCH(TRUE,INDEX(U57:AY57&lt;&gt;"",0),0)),"")</f>
        <v/>
      </c>
      <c r="N57" s="51">
        <f>IFERROR(LOOKUP(2,1/(U57:AY57&lt;&gt;""),U$2:AY$2),"")</f>
        <v/>
      </c>
      <c r="O57" s="52" t="n"/>
      <c r="P57" s="52" t="n"/>
      <c r="Q57" s="52" t="n"/>
      <c r="R57" s="44" t="n"/>
      <c r="S57" s="14" t="n"/>
      <c r="U57" s="53" t="n"/>
      <c r="V57" s="53" t="n"/>
      <c r="W57" s="53" t="n"/>
      <c r="X57" s="53" t="n"/>
      <c r="Y57" s="53" t="n"/>
      <c r="Z57" s="53" t="n"/>
      <c r="AA57" s="53" t="n"/>
      <c r="AB57" s="53" t="n"/>
      <c r="AC57" s="53" t="n"/>
      <c r="AD57" s="53" t="n"/>
      <c r="AE57" s="53" t="n"/>
      <c r="AF57" s="53" t="n"/>
      <c r="AG57" s="53" t="n"/>
      <c r="AH57" s="53" t="n"/>
      <c r="AI57" s="53" t="n"/>
      <c r="AJ57" s="53" t="n"/>
      <c r="AK57" s="53" t="n"/>
      <c r="AL57" s="53" t="n"/>
      <c r="AM57" s="53" t="n"/>
      <c r="AN57" s="53" t="n"/>
      <c r="AO57" s="53" t="n"/>
      <c r="AP57" s="53" t="n"/>
      <c r="AQ57" s="53" t="n"/>
      <c r="AR57" s="53" t="n"/>
      <c r="AS57" s="53" t="n"/>
      <c r="AT57" s="53" t="n"/>
      <c r="AU57" s="53" t="n"/>
      <c r="AV57" s="53" t="n"/>
      <c r="AW57" s="53" t="n"/>
      <c r="AX57" s="53" t="n"/>
      <c r="AY57" s="53" t="n"/>
    </row>
    <row r="58" ht="15" customHeight="1">
      <c r="A58" s="54" t="n"/>
      <c r="B58" s="55">
        <f>IF($B$57="","",$B$57)</f>
        <v/>
      </c>
      <c r="C58" s="56" t="inlineStr">
        <is>
          <t>마케팅1팀</t>
        </is>
      </c>
      <c r="D58" s="55">
        <f>IF($D$57="","",$D$57)</f>
        <v/>
      </c>
      <c r="E58" s="57" t="inlineStr">
        <is>
          <t>이미지</t>
        </is>
      </c>
      <c r="F58" s="44" t="n"/>
      <c r="G58" s="58">
        <f>IF($G$57="","",$G$57)</f>
        <v/>
      </c>
      <c r="H58" s="59" t="n"/>
      <c r="I58" s="59" t="n"/>
      <c r="J58" s="59" t="n"/>
      <c r="K58" s="59" t="n"/>
      <c r="L58" s="60">
        <f>IF(SUM(U58:AY58)=0,"",SUM(U58:AY58))</f>
        <v/>
      </c>
      <c r="M58" s="61">
        <f>IFERROR(INDEX(U$2:AY$2,MATCH(TRUE,INDEX(U58:AY58&lt;&gt;"",0),0)),"")</f>
        <v/>
      </c>
      <c r="N58" s="61">
        <f>IFERROR(LOOKUP(2,1/(U58:AY58&lt;&gt;""),U$2:AY$2),"")</f>
        <v/>
      </c>
      <c r="O58" s="59" t="n"/>
      <c r="P58" s="59" t="n"/>
      <c r="Q58" s="59" t="n"/>
      <c r="R58" s="59" t="n"/>
      <c r="S58" s="14" t="n"/>
      <c r="U58" s="53" t="n"/>
      <c r="V58" s="53" t="n"/>
      <c r="W58" s="53" t="n"/>
      <c r="X58" s="53" t="n"/>
      <c r="Y58" s="53" t="n"/>
      <c r="Z58" s="53" t="n"/>
      <c r="AA58" s="53" t="n"/>
      <c r="AB58" s="53" t="n"/>
      <c r="AC58" s="53" t="n"/>
      <c r="AD58" s="53" t="n"/>
      <c r="AE58" s="53" t="n"/>
      <c r="AF58" s="53" t="n"/>
      <c r="AG58" s="53" t="n"/>
      <c r="AH58" s="53" t="n"/>
      <c r="AI58" s="53" t="n"/>
      <c r="AJ58" s="53" t="n"/>
      <c r="AK58" s="53" t="n"/>
      <c r="AL58" s="53" t="n"/>
      <c r="AM58" s="53" t="n"/>
      <c r="AN58" s="53" t="n"/>
      <c r="AO58" s="53" t="n"/>
      <c r="AP58" s="53" t="n"/>
      <c r="AQ58" s="53" t="n"/>
      <c r="AR58" s="53" t="n"/>
      <c r="AS58" s="53" t="n"/>
      <c r="AT58" s="53" t="n"/>
      <c r="AU58" s="53" t="n"/>
      <c r="AV58" s="53" t="n"/>
      <c r="AW58" s="53" t="n"/>
      <c r="AX58" s="53" t="n"/>
      <c r="AY58" s="53" t="n"/>
    </row>
    <row r="59" ht="15" customHeight="1">
      <c r="A59" s="62" t="n"/>
      <c r="B59" s="55">
        <f>IF($B$57="","",$B$57)</f>
        <v/>
      </c>
      <c r="C59" s="63" t="inlineStr">
        <is>
          <t>마케팅1팀</t>
        </is>
      </c>
      <c r="D59" s="55">
        <f>IF($D$57="","",$D$57)</f>
        <v/>
      </c>
      <c r="E59" s="64" t="inlineStr">
        <is>
          <t>영상</t>
        </is>
      </c>
      <c r="F59" s="44" t="n"/>
      <c r="G59" s="58">
        <f>IF($G$57="","",$G$57)</f>
        <v/>
      </c>
      <c r="H59" s="59" t="n"/>
      <c r="I59" s="59" t="n"/>
      <c r="J59" s="59" t="n"/>
      <c r="K59" s="59" t="n"/>
      <c r="L59" s="65">
        <f>IF(SUM(U59:AY59)=0,"",SUM(U59:AY59))</f>
        <v/>
      </c>
      <c r="M59" s="66">
        <f>IFERROR(INDEX(U$2:AY$2,MATCH(TRUE,INDEX(U59:AY59&lt;&gt;"",0),0)),"")</f>
        <v/>
      </c>
      <c r="N59" s="66">
        <f>IFERROR(LOOKUP(2,1/(U59:AY59&lt;&gt;""),U$2:AY$2),"")</f>
        <v/>
      </c>
      <c r="O59" s="59" t="n"/>
      <c r="P59" s="59" t="n"/>
      <c r="Q59" s="59" t="n"/>
      <c r="R59" s="59" t="n"/>
      <c r="S59" s="14" t="n"/>
      <c r="U59" s="53" t="n"/>
      <c r="V59" s="53" t="n"/>
      <c r="W59" s="53" t="n"/>
      <c r="X59" s="53" t="n"/>
      <c r="Y59" s="53" t="n"/>
      <c r="Z59" s="53" t="n"/>
      <c r="AA59" s="53" t="n"/>
      <c r="AB59" s="53" t="n"/>
      <c r="AC59" s="53" t="n"/>
      <c r="AD59" s="53" t="n"/>
      <c r="AE59" s="53" t="n"/>
      <c r="AF59" s="53" t="n"/>
      <c r="AG59" s="53" t="n"/>
      <c r="AH59" s="53" t="n"/>
      <c r="AI59" s="53" t="n"/>
      <c r="AJ59" s="53" t="n"/>
      <c r="AK59" s="53" t="n"/>
      <c r="AL59" s="53" t="n"/>
      <c r="AM59" s="53" t="n"/>
      <c r="AN59" s="53" t="n"/>
      <c r="AO59" s="53" t="n"/>
      <c r="AP59" s="53" t="n"/>
      <c r="AQ59" s="53" t="n"/>
      <c r="AR59" s="53" t="n"/>
      <c r="AS59" s="53" t="n"/>
      <c r="AT59" s="53" t="n"/>
      <c r="AU59" s="53" t="n"/>
      <c r="AV59" s="53" t="n"/>
      <c r="AW59" s="53" t="n"/>
      <c r="AX59" s="53" t="n"/>
      <c r="AY59" s="53" t="n"/>
    </row>
    <row r="60" ht="15" customHeight="1">
      <c r="A60" s="40">
        <f>IF($D$60="","",18)</f>
        <v/>
      </c>
      <c r="B60" s="10" t="n"/>
      <c r="C60" s="41" t="inlineStr">
        <is>
          <t>마케팅1팀</t>
        </is>
      </c>
      <c r="D60" s="42" t="n"/>
      <c r="E60" s="43" t="inlineStr">
        <is>
          <t>기획</t>
        </is>
      </c>
      <c r="F60" s="44" t="n"/>
      <c r="G60" s="45" t="n"/>
      <c r="H60" s="46">
        <f>IF($I$60="","",IF($I$60&lt;0,"🔴지연",IF($I$60&lt;=1,"🟡임박","🟢여유")))</f>
        <v/>
      </c>
      <c r="I60" s="47">
        <f>IF(OR($G$60="",$K$60=""),"",$G$60-$K$60)</f>
        <v/>
      </c>
      <c r="J60" s="48">
        <f>IF(SUM($L$60:$L$62)=0,"",SUM($L$60:$L$62))</f>
        <v/>
      </c>
      <c r="K60" s="49">
        <f>IF($J$60="","",MAX($N$60:$N$62))</f>
        <v/>
      </c>
      <c r="L60" s="50">
        <f>IF(SUM(U60:AY60)=0,"",SUM(U60:AY60))</f>
        <v/>
      </c>
      <c r="M60" s="51">
        <f>IFERROR(INDEX(U$2:AY$2,MATCH(TRUE,INDEX(U60:AY60&lt;&gt;"",0),0)),"")</f>
        <v/>
      </c>
      <c r="N60" s="51">
        <f>IFERROR(LOOKUP(2,1/(U60:AY60&lt;&gt;""),U$2:AY$2),"")</f>
        <v/>
      </c>
      <c r="O60" s="52" t="n"/>
      <c r="P60" s="52" t="n"/>
      <c r="Q60" s="52" t="n"/>
      <c r="R60" s="44" t="n"/>
      <c r="S60" s="14" t="n"/>
      <c r="U60" s="53" t="n"/>
      <c r="V60" s="53" t="n"/>
      <c r="W60" s="53" t="n"/>
      <c r="X60" s="53" t="n"/>
      <c r="Y60" s="53" t="n"/>
      <c r="Z60" s="53" t="n"/>
      <c r="AA60" s="53" t="n"/>
      <c r="AB60" s="53" t="n"/>
      <c r="AC60" s="53" t="n"/>
      <c r="AD60" s="53" t="n"/>
      <c r="AE60" s="53" t="n"/>
      <c r="AF60" s="53" t="n"/>
      <c r="AG60" s="53" t="n"/>
      <c r="AH60" s="53" t="n"/>
      <c r="AI60" s="53" t="n"/>
      <c r="AJ60" s="53" t="n"/>
      <c r="AK60" s="53" t="n"/>
      <c r="AL60" s="53" t="n"/>
      <c r="AM60" s="53" t="n"/>
      <c r="AN60" s="53" t="n"/>
      <c r="AO60" s="53" t="n"/>
      <c r="AP60" s="53" t="n"/>
      <c r="AQ60" s="53" t="n"/>
      <c r="AR60" s="53" t="n"/>
      <c r="AS60" s="53" t="n"/>
      <c r="AT60" s="53" t="n"/>
      <c r="AU60" s="53" t="n"/>
      <c r="AV60" s="53" t="n"/>
      <c r="AW60" s="53" t="n"/>
      <c r="AX60" s="53" t="n"/>
      <c r="AY60" s="53" t="n"/>
    </row>
    <row r="61" ht="15" customHeight="1">
      <c r="A61" s="54" t="n"/>
      <c r="B61" s="55">
        <f>IF($B$60="","",$B$60)</f>
        <v/>
      </c>
      <c r="C61" s="56" t="inlineStr">
        <is>
          <t>마케팅1팀</t>
        </is>
      </c>
      <c r="D61" s="55">
        <f>IF($D$60="","",$D$60)</f>
        <v/>
      </c>
      <c r="E61" s="57" t="inlineStr">
        <is>
          <t>이미지</t>
        </is>
      </c>
      <c r="F61" s="44" t="n"/>
      <c r="G61" s="58">
        <f>IF($G$60="","",$G$60)</f>
        <v/>
      </c>
      <c r="H61" s="59" t="n"/>
      <c r="I61" s="59" t="n"/>
      <c r="J61" s="59" t="n"/>
      <c r="K61" s="59" t="n"/>
      <c r="L61" s="60">
        <f>IF(SUM(U61:AY61)=0,"",SUM(U61:AY61))</f>
        <v/>
      </c>
      <c r="M61" s="61">
        <f>IFERROR(INDEX(U$2:AY$2,MATCH(TRUE,INDEX(U61:AY61&lt;&gt;"",0),0)),"")</f>
        <v/>
      </c>
      <c r="N61" s="61">
        <f>IFERROR(LOOKUP(2,1/(U61:AY61&lt;&gt;""),U$2:AY$2),"")</f>
        <v/>
      </c>
      <c r="O61" s="59" t="n"/>
      <c r="P61" s="59" t="n"/>
      <c r="Q61" s="59" t="n"/>
      <c r="R61" s="59" t="n"/>
      <c r="S61" s="14" t="n"/>
      <c r="U61" s="53" t="n"/>
      <c r="V61" s="53" t="n"/>
      <c r="W61" s="53" t="n"/>
      <c r="X61" s="53" t="n"/>
      <c r="Y61" s="53" t="n"/>
      <c r="Z61" s="53" t="n"/>
      <c r="AA61" s="53" t="n"/>
      <c r="AB61" s="53" t="n"/>
      <c r="AC61" s="53" t="n"/>
      <c r="AD61" s="53" t="n"/>
      <c r="AE61" s="53" t="n"/>
      <c r="AF61" s="53" t="n"/>
      <c r="AG61" s="53" t="n"/>
      <c r="AH61" s="53" t="n"/>
      <c r="AI61" s="53" t="n"/>
      <c r="AJ61" s="53" t="n"/>
      <c r="AK61" s="53" t="n"/>
      <c r="AL61" s="53" t="n"/>
      <c r="AM61" s="53" t="n"/>
      <c r="AN61" s="53" t="n"/>
      <c r="AO61" s="53" t="n"/>
      <c r="AP61" s="53" t="n"/>
      <c r="AQ61" s="53" t="n"/>
      <c r="AR61" s="53" t="n"/>
      <c r="AS61" s="53" t="n"/>
      <c r="AT61" s="53" t="n"/>
      <c r="AU61" s="53" t="n"/>
      <c r="AV61" s="53" t="n"/>
      <c r="AW61" s="53" t="n"/>
      <c r="AX61" s="53" t="n"/>
      <c r="AY61" s="53" t="n"/>
    </row>
    <row r="62" ht="15" customHeight="1">
      <c r="A62" s="62" t="n"/>
      <c r="B62" s="55">
        <f>IF($B$60="","",$B$60)</f>
        <v/>
      </c>
      <c r="C62" s="63" t="inlineStr">
        <is>
          <t>마케팅1팀</t>
        </is>
      </c>
      <c r="D62" s="55">
        <f>IF($D$60="","",$D$60)</f>
        <v/>
      </c>
      <c r="E62" s="64" t="inlineStr">
        <is>
          <t>영상</t>
        </is>
      </c>
      <c r="F62" s="44" t="n"/>
      <c r="G62" s="58">
        <f>IF($G$60="","",$G$60)</f>
        <v/>
      </c>
      <c r="H62" s="59" t="n"/>
      <c r="I62" s="59" t="n"/>
      <c r="J62" s="59" t="n"/>
      <c r="K62" s="59" t="n"/>
      <c r="L62" s="65">
        <f>IF(SUM(U62:AY62)=0,"",SUM(U62:AY62))</f>
        <v/>
      </c>
      <c r="M62" s="66">
        <f>IFERROR(INDEX(U$2:AY$2,MATCH(TRUE,INDEX(U62:AY62&lt;&gt;"",0),0)),"")</f>
        <v/>
      </c>
      <c r="N62" s="66">
        <f>IFERROR(LOOKUP(2,1/(U62:AY62&lt;&gt;""),U$2:AY$2),"")</f>
        <v/>
      </c>
      <c r="O62" s="59" t="n"/>
      <c r="P62" s="59" t="n"/>
      <c r="Q62" s="59" t="n"/>
      <c r="R62" s="59" t="n"/>
      <c r="S62" s="14" t="n"/>
      <c r="U62" s="53" t="n"/>
      <c r="V62" s="53" t="n"/>
      <c r="W62" s="53" t="n"/>
      <c r="X62" s="53" t="n"/>
      <c r="Y62" s="53" t="n"/>
      <c r="Z62" s="53" t="n"/>
      <c r="AA62" s="53" t="n"/>
      <c r="AB62" s="53" t="n"/>
      <c r="AC62" s="53" t="n"/>
      <c r="AD62" s="53" t="n"/>
      <c r="AE62" s="53" t="n"/>
      <c r="AF62" s="53" t="n"/>
      <c r="AG62" s="53" t="n"/>
      <c r="AH62" s="53" t="n"/>
      <c r="AI62" s="53" t="n"/>
      <c r="AJ62" s="53" t="n"/>
      <c r="AK62" s="53" t="n"/>
      <c r="AL62" s="53" t="n"/>
      <c r="AM62" s="53" t="n"/>
      <c r="AN62" s="53" t="n"/>
      <c r="AO62" s="53" t="n"/>
      <c r="AP62" s="53" t="n"/>
      <c r="AQ62" s="53" t="n"/>
      <c r="AR62" s="53" t="n"/>
      <c r="AS62" s="53" t="n"/>
      <c r="AT62" s="53" t="n"/>
      <c r="AU62" s="53" t="n"/>
      <c r="AV62" s="53" t="n"/>
      <c r="AW62" s="53" t="n"/>
      <c r="AX62" s="53" t="n"/>
      <c r="AY62" s="53" t="n"/>
    </row>
    <row r="63" ht="15" customHeight="1">
      <c r="A63" s="40">
        <f>IF($D$63="","",19)</f>
        <v/>
      </c>
      <c r="B63" s="10" t="n"/>
      <c r="C63" s="41" t="inlineStr">
        <is>
          <t>마케팅1팀</t>
        </is>
      </c>
      <c r="D63" s="42" t="n"/>
      <c r="E63" s="43" t="inlineStr">
        <is>
          <t>기획</t>
        </is>
      </c>
      <c r="F63" s="44" t="n"/>
      <c r="G63" s="45" t="n"/>
      <c r="H63" s="46">
        <f>IF($I$63="","",IF($I$63&lt;0,"🔴지연",IF($I$63&lt;=1,"🟡임박","🟢여유")))</f>
        <v/>
      </c>
      <c r="I63" s="47">
        <f>IF(OR($G$63="",$K$63=""),"",$G$63-$K$63)</f>
        <v/>
      </c>
      <c r="J63" s="48">
        <f>IF(SUM($L$63:$L$65)=0,"",SUM($L$63:$L$65))</f>
        <v/>
      </c>
      <c r="K63" s="49">
        <f>IF($J$63="","",MAX($N$63:$N$65))</f>
        <v/>
      </c>
      <c r="L63" s="50">
        <f>IF(SUM(U63:AY63)=0,"",SUM(U63:AY63))</f>
        <v/>
      </c>
      <c r="M63" s="51">
        <f>IFERROR(INDEX(U$2:AY$2,MATCH(TRUE,INDEX(U63:AY63&lt;&gt;"",0),0)),"")</f>
        <v/>
      </c>
      <c r="N63" s="51">
        <f>IFERROR(LOOKUP(2,1/(U63:AY63&lt;&gt;""),U$2:AY$2),"")</f>
        <v/>
      </c>
      <c r="O63" s="52" t="n"/>
      <c r="P63" s="52" t="n"/>
      <c r="Q63" s="52" t="n"/>
      <c r="R63" s="44" t="n"/>
      <c r="S63" s="14" t="n"/>
      <c r="U63" s="53" t="n"/>
      <c r="V63" s="53" t="n"/>
      <c r="W63" s="53" t="n"/>
      <c r="X63" s="53" t="n"/>
      <c r="Y63" s="53" t="n"/>
      <c r="Z63" s="53" t="n"/>
      <c r="AA63" s="53" t="n"/>
      <c r="AB63" s="53" t="n"/>
      <c r="AC63" s="53" t="n"/>
      <c r="AD63" s="53" t="n"/>
      <c r="AE63" s="53" t="n"/>
      <c r="AF63" s="53" t="n"/>
      <c r="AG63" s="53" t="n"/>
      <c r="AH63" s="53" t="n"/>
      <c r="AI63" s="53" t="n"/>
      <c r="AJ63" s="53" t="n"/>
      <c r="AK63" s="53" t="n"/>
      <c r="AL63" s="53" t="n"/>
      <c r="AM63" s="53" t="n"/>
      <c r="AN63" s="53" t="n"/>
      <c r="AO63" s="53" t="n"/>
      <c r="AP63" s="53" t="n"/>
      <c r="AQ63" s="53" t="n"/>
      <c r="AR63" s="53" t="n"/>
      <c r="AS63" s="53" t="n"/>
      <c r="AT63" s="53" t="n"/>
      <c r="AU63" s="53" t="n"/>
      <c r="AV63" s="53" t="n"/>
      <c r="AW63" s="53" t="n"/>
      <c r="AX63" s="53" t="n"/>
      <c r="AY63" s="53" t="n"/>
    </row>
    <row r="64" ht="15" customHeight="1">
      <c r="A64" s="54" t="n"/>
      <c r="B64" s="55">
        <f>IF($B$63="","",$B$63)</f>
        <v/>
      </c>
      <c r="C64" s="56" t="inlineStr">
        <is>
          <t>마케팅1팀</t>
        </is>
      </c>
      <c r="D64" s="55">
        <f>IF($D$63="","",$D$63)</f>
        <v/>
      </c>
      <c r="E64" s="57" t="inlineStr">
        <is>
          <t>이미지</t>
        </is>
      </c>
      <c r="F64" s="44" t="n"/>
      <c r="G64" s="58">
        <f>IF($G$63="","",$G$63)</f>
        <v/>
      </c>
      <c r="H64" s="59" t="n"/>
      <c r="I64" s="59" t="n"/>
      <c r="J64" s="59" t="n"/>
      <c r="K64" s="59" t="n"/>
      <c r="L64" s="60">
        <f>IF(SUM(U64:AY64)=0,"",SUM(U64:AY64))</f>
        <v/>
      </c>
      <c r="M64" s="61">
        <f>IFERROR(INDEX(U$2:AY$2,MATCH(TRUE,INDEX(U64:AY64&lt;&gt;"",0),0)),"")</f>
        <v/>
      </c>
      <c r="N64" s="61">
        <f>IFERROR(LOOKUP(2,1/(U64:AY64&lt;&gt;""),U$2:AY$2),"")</f>
        <v/>
      </c>
      <c r="O64" s="59" t="n"/>
      <c r="P64" s="59" t="n"/>
      <c r="Q64" s="59" t="n"/>
      <c r="R64" s="59" t="n"/>
      <c r="S64" s="14" t="n"/>
      <c r="U64" s="53" t="n"/>
      <c r="V64" s="53" t="n"/>
      <c r="W64" s="53" t="n"/>
      <c r="X64" s="53" t="n"/>
      <c r="Y64" s="53" t="n"/>
      <c r="Z64" s="53" t="n"/>
      <c r="AA64" s="53" t="n"/>
      <c r="AB64" s="53" t="n"/>
      <c r="AC64" s="53" t="n"/>
      <c r="AD64" s="53" t="n"/>
      <c r="AE64" s="53" t="n"/>
      <c r="AF64" s="53" t="n"/>
      <c r="AG64" s="53" t="n"/>
      <c r="AH64" s="53" t="n"/>
      <c r="AI64" s="53" t="n"/>
      <c r="AJ64" s="53" t="n"/>
      <c r="AK64" s="53" t="n"/>
      <c r="AL64" s="53" t="n"/>
      <c r="AM64" s="53" t="n"/>
      <c r="AN64" s="53" t="n"/>
      <c r="AO64" s="53" t="n"/>
      <c r="AP64" s="53" t="n"/>
      <c r="AQ64" s="53" t="n"/>
      <c r="AR64" s="53" t="n"/>
      <c r="AS64" s="53" t="n"/>
      <c r="AT64" s="53" t="n"/>
      <c r="AU64" s="53" t="n"/>
      <c r="AV64" s="53" t="n"/>
      <c r="AW64" s="53" t="n"/>
      <c r="AX64" s="53" t="n"/>
      <c r="AY64" s="53" t="n"/>
    </row>
    <row r="65" ht="15" customHeight="1">
      <c r="A65" s="62" t="n"/>
      <c r="B65" s="55">
        <f>IF($B$63="","",$B$63)</f>
        <v/>
      </c>
      <c r="C65" s="63" t="inlineStr">
        <is>
          <t>마케팅1팀</t>
        </is>
      </c>
      <c r="D65" s="55">
        <f>IF($D$63="","",$D$63)</f>
        <v/>
      </c>
      <c r="E65" s="64" t="inlineStr">
        <is>
          <t>영상</t>
        </is>
      </c>
      <c r="F65" s="44" t="n"/>
      <c r="G65" s="58">
        <f>IF($G$63="","",$G$63)</f>
        <v/>
      </c>
      <c r="H65" s="59" t="n"/>
      <c r="I65" s="59" t="n"/>
      <c r="J65" s="59" t="n"/>
      <c r="K65" s="59" t="n"/>
      <c r="L65" s="65">
        <f>IF(SUM(U65:AY65)=0,"",SUM(U65:AY65))</f>
        <v/>
      </c>
      <c r="M65" s="66">
        <f>IFERROR(INDEX(U$2:AY$2,MATCH(TRUE,INDEX(U65:AY65&lt;&gt;"",0),0)),"")</f>
        <v/>
      </c>
      <c r="N65" s="66">
        <f>IFERROR(LOOKUP(2,1/(U65:AY65&lt;&gt;""),U$2:AY$2),"")</f>
        <v/>
      </c>
      <c r="O65" s="59" t="n"/>
      <c r="P65" s="59" t="n"/>
      <c r="Q65" s="59" t="n"/>
      <c r="R65" s="59" t="n"/>
      <c r="S65" s="14" t="n"/>
      <c r="U65" s="53" t="n"/>
      <c r="V65" s="53" t="n"/>
      <c r="W65" s="53" t="n"/>
      <c r="X65" s="53" t="n"/>
      <c r="Y65" s="53" t="n"/>
      <c r="Z65" s="53" t="n"/>
      <c r="AA65" s="53" t="n"/>
      <c r="AB65" s="53" t="n"/>
      <c r="AC65" s="53" t="n"/>
      <c r="AD65" s="53" t="n"/>
      <c r="AE65" s="53" t="n"/>
      <c r="AF65" s="53" t="n"/>
      <c r="AG65" s="53" t="n"/>
      <c r="AH65" s="53" t="n"/>
      <c r="AI65" s="53" t="n"/>
      <c r="AJ65" s="53" t="n"/>
      <c r="AK65" s="53" t="n"/>
      <c r="AL65" s="53" t="n"/>
      <c r="AM65" s="53" t="n"/>
      <c r="AN65" s="53" t="n"/>
      <c r="AO65" s="53" t="n"/>
      <c r="AP65" s="53" t="n"/>
      <c r="AQ65" s="53" t="n"/>
      <c r="AR65" s="53" t="n"/>
      <c r="AS65" s="53" t="n"/>
      <c r="AT65" s="53" t="n"/>
      <c r="AU65" s="53" t="n"/>
      <c r="AV65" s="53" t="n"/>
      <c r="AW65" s="53" t="n"/>
      <c r="AX65" s="53" t="n"/>
      <c r="AY65" s="53" t="n"/>
    </row>
    <row r="66" ht="15" customHeight="1">
      <c r="A66" s="40">
        <f>IF($D$66="","",20)</f>
        <v/>
      </c>
      <c r="B66" s="10" t="n"/>
      <c r="C66" s="41" t="inlineStr">
        <is>
          <t>마케팅1팀</t>
        </is>
      </c>
      <c r="D66" s="42" t="n"/>
      <c r="E66" s="43" t="inlineStr">
        <is>
          <t>기획</t>
        </is>
      </c>
      <c r="F66" s="44" t="n"/>
      <c r="G66" s="45" t="n"/>
      <c r="H66" s="46">
        <f>IF($I$66="","",IF($I$66&lt;0,"🔴지연",IF($I$66&lt;=1,"🟡임박","🟢여유")))</f>
        <v/>
      </c>
      <c r="I66" s="47">
        <f>IF(OR($G$66="",$K$66=""),"",$G$66-$K$66)</f>
        <v/>
      </c>
      <c r="J66" s="48">
        <f>IF(SUM($L$66:$L$68)=0,"",SUM($L$66:$L$68))</f>
        <v/>
      </c>
      <c r="K66" s="49">
        <f>IF($J$66="","",MAX($N$66:$N$68))</f>
        <v/>
      </c>
      <c r="L66" s="50">
        <f>IF(SUM(U66:AY66)=0,"",SUM(U66:AY66))</f>
        <v/>
      </c>
      <c r="M66" s="51">
        <f>IFERROR(INDEX(U$2:AY$2,MATCH(TRUE,INDEX(U66:AY66&lt;&gt;"",0),0)),"")</f>
        <v/>
      </c>
      <c r="N66" s="51">
        <f>IFERROR(LOOKUP(2,1/(U66:AY66&lt;&gt;""),U$2:AY$2),"")</f>
        <v/>
      </c>
      <c r="O66" s="52" t="n"/>
      <c r="P66" s="52" t="n"/>
      <c r="Q66" s="52" t="n"/>
      <c r="R66" s="44" t="n"/>
      <c r="S66" s="14" t="n"/>
      <c r="U66" s="53" t="n"/>
      <c r="V66" s="53" t="n"/>
      <c r="W66" s="53" t="n"/>
      <c r="X66" s="53" t="n"/>
      <c r="Y66" s="53" t="n"/>
      <c r="Z66" s="53" t="n"/>
      <c r="AA66" s="53" t="n"/>
      <c r="AB66" s="53" t="n"/>
      <c r="AC66" s="53" t="n"/>
      <c r="AD66" s="53" t="n"/>
      <c r="AE66" s="53" t="n"/>
      <c r="AF66" s="53" t="n"/>
      <c r="AG66" s="53" t="n"/>
      <c r="AH66" s="53" t="n"/>
      <c r="AI66" s="53" t="n"/>
      <c r="AJ66" s="53" t="n"/>
      <c r="AK66" s="53" t="n"/>
      <c r="AL66" s="53" t="n"/>
      <c r="AM66" s="53" t="n"/>
      <c r="AN66" s="53" t="n"/>
      <c r="AO66" s="53" t="n"/>
      <c r="AP66" s="53" t="n"/>
      <c r="AQ66" s="53" t="n"/>
      <c r="AR66" s="53" t="n"/>
      <c r="AS66" s="53" t="n"/>
      <c r="AT66" s="53" t="n"/>
      <c r="AU66" s="53" t="n"/>
      <c r="AV66" s="53" t="n"/>
      <c r="AW66" s="53" t="n"/>
      <c r="AX66" s="53" t="n"/>
      <c r="AY66" s="53" t="n"/>
    </row>
    <row r="67" ht="15" customHeight="1">
      <c r="A67" s="54" t="n"/>
      <c r="B67" s="55">
        <f>IF($B$66="","",$B$66)</f>
        <v/>
      </c>
      <c r="C67" s="56" t="inlineStr">
        <is>
          <t>마케팅1팀</t>
        </is>
      </c>
      <c r="D67" s="55">
        <f>IF($D$66="","",$D$66)</f>
        <v/>
      </c>
      <c r="E67" s="57" t="inlineStr">
        <is>
          <t>이미지</t>
        </is>
      </c>
      <c r="F67" s="44" t="n"/>
      <c r="G67" s="58">
        <f>IF($G$66="","",$G$66)</f>
        <v/>
      </c>
      <c r="H67" s="59" t="n"/>
      <c r="I67" s="59" t="n"/>
      <c r="J67" s="59" t="n"/>
      <c r="K67" s="59" t="n"/>
      <c r="L67" s="60">
        <f>IF(SUM(U67:AY67)=0,"",SUM(U67:AY67))</f>
        <v/>
      </c>
      <c r="M67" s="61">
        <f>IFERROR(INDEX(U$2:AY$2,MATCH(TRUE,INDEX(U67:AY67&lt;&gt;"",0),0)),"")</f>
        <v/>
      </c>
      <c r="N67" s="61">
        <f>IFERROR(LOOKUP(2,1/(U67:AY67&lt;&gt;""),U$2:AY$2),"")</f>
        <v/>
      </c>
      <c r="O67" s="59" t="n"/>
      <c r="P67" s="59" t="n"/>
      <c r="Q67" s="59" t="n"/>
      <c r="R67" s="59" t="n"/>
      <c r="S67" s="14" t="n"/>
      <c r="U67" s="53" t="n"/>
      <c r="V67" s="53" t="n"/>
      <c r="W67" s="53" t="n"/>
      <c r="X67" s="53" t="n"/>
      <c r="Y67" s="53" t="n"/>
      <c r="Z67" s="53" t="n"/>
      <c r="AA67" s="53" t="n"/>
      <c r="AB67" s="53" t="n"/>
      <c r="AC67" s="53" t="n"/>
      <c r="AD67" s="53" t="n"/>
      <c r="AE67" s="53" t="n"/>
      <c r="AF67" s="53" t="n"/>
      <c r="AG67" s="53" t="n"/>
      <c r="AH67" s="53" t="n"/>
      <c r="AI67" s="53" t="n"/>
      <c r="AJ67" s="53" t="n"/>
      <c r="AK67" s="53" t="n"/>
      <c r="AL67" s="53" t="n"/>
      <c r="AM67" s="53" t="n"/>
      <c r="AN67" s="53" t="n"/>
      <c r="AO67" s="53" t="n"/>
      <c r="AP67" s="53" t="n"/>
      <c r="AQ67" s="53" t="n"/>
      <c r="AR67" s="53" t="n"/>
      <c r="AS67" s="53" t="n"/>
      <c r="AT67" s="53" t="n"/>
      <c r="AU67" s="53" t="n"/>
      <c r="AV67" s="53" t="n"/>
      <c r="AW67" s="53" t="n"/>
      <c r="AX67" s="53" t="n"/>
      <c r="AY67" s="53" t="n"/>
    </row>
    <row r="68" ht="15" customHeight="1">
      <c r="A68" s="62" t="n"/>
      <c r="B68" s="55">
        <f>IF($B$66="","",$B$66)</f>
        <v/>
      </c>
      <c r="C68" s="63" t="inlineStr">
        <is>
          <t>마케팅1팀</t>
        </is>
      </c>
      <c r="D68" s="55">
        <f>IF($D$66="","",$D$66)</f>
        <v/>
      </c>
      <c r="E68" s="64" t="inlineStr">
        <is>
          <t>영상</t>
        </is>
      </c>
      <c r="F68" s="44" t="n"/>
      <c r="G68" s="58">
        <f>IF($G$66="","",$G$66)</f>
        <v/>
      </c>
      <c r="H68" s="59" t="n"/>
      <c r="I68" s="59" t="n"/>
      <c r="J68" s="59" t="n"/>
      <c r="K68" s="59" t="n"/>
      <c r="L68" s="65">
        <f>IF(SUM(U68:AY68)=0,"",SUM(U68:AY68))</f>
        <v/>
      </c>
      <c r="M68" s="66">
        <f>IFERROR(INDEX(U$2:AY$2,MATCH(TRUE,INDEX(U68:AY68&lt;&gt;"",0),0)),"")</f>
        <v/>
      </c>
      <c r="N68" s="66">
        <f>IFERROR(LOOKUP(2,1/(U68:AY68&lt;&gt;""),U$2:AY$2),"")</f>
        <v/>
      </c>
      <c r="O68" s="59" t="n"/>
      <c r="P68" s="59" t="n"/>
      <c r="Q68" s="59" t="n"/>
      <c r="R68" s="59" t="n"/>
      <c r="S68" s="14" t="n"/>
      <c r="U68" s="53" t="n"/>
      <c r="V68" s="53" t="n"/>
      <c r="W68" s="53" t="n"/>
      <c r="X68" s="53" t="n"/>
      <c r="Y68" s="53" t="n"/>
      <c r="Z68" s="53" t="n"/>
      <c r="AA68" s="53" t="n"/>
      <c r="AB68" s="53" t="n"/>
      <c r="AC68" s="53" t="n"/>
      <c r="AD68" s="53" t="n"/>
      <c r="AE68" s="53" t="n"/>
      <c r="AF68" s="53" t="n"/>
      <c r="AG68" s="53" t="n"/>
      <c r="AH68" s="53" t="n"/>
      <c r="AI68" s="53" t="n"/>
      <c r="AJ68" s="53" t="n"/>
      <c r="AK68" s="53" t="n"/>
      <c r="AL68" s="53" t="n"/>
      <c r="AM68" s="53" t="n"/>
      <c r="AN68" s="53" t="n"/>
      <c r="AO68" s="53" t="n"/>
      <c r="AP68" s="53" t="n"/>
      <c r="AQ68" s="53" t="n"/>
      <c r="AR68" s="53" t="n"/>
      <c r="AS68" s="53" t="n"/>
      <c r="AT68" s="53" t="n"/>
      <c r="AU68" s="53" t="n"/>
      <c r="AV68" s="53" t="n"/>
      <c r="AW68" s="53" t="n"/>
      <c r="AX68" s="53" t="n"/>
      <c r="AY68" s="53" t="n"/>
    </row>
    <row r="69" ht="18" customHeight="1">
      <c r="A69" s="39" t="inlineStr">
        <is>
          <t>마케팅2팀   (70~129행 · 소재 20개)</t>
        </is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4" t="n"/>
    </row>
    <row r="70" ht="15" customHeight="1">
      <c r="A70" s="40">
        <f>IF($D$70="","",21)</f>
        <v/>
      </c>
      <c r="B70" s="10" t="n"/>
      <c r="C70" s="41" t="inlineStr">
        <is>
          <t>마케팅2팀</t>
        </is>
      </c>
      <c r="D70" s="42" t="n"/>
      <c r="E70" s="43" t="inlineStr">
        <is>
          <t>기획</t>
        </is>
      </c>
      <c r="F70" s="44" t="n"/>
      <c r="G70" s="45" t="n"/>
      <c r="H70" s="46">
        <f>IF($I$70="","",IF($I$70&lt;0,"🔴지연",IF($I$70&lt;=1,"🟡임박","🟢여유")))</f>
        <v/>
      </c>
      <c r="I70" s="47">
        <f>IF(OR($G$70="",$K$70=""),"",$G$70-$K$70)</f>
        <v/>
      </c>
      <c r="J70" s="48">
        <f>IF(SUM($L$70:$L$72)=0,"",SUM($L$70:$L$72))</f>
        <v/>
      </c>
      <c r="K70" s="49">
        <f>IF($J$70="","",MAX($N$70:$N$72))</f>
        <v/>
      </c>
      <c r="L70" s="50">
        <f>IF(SUM(U70:AY70)=0,"",SUM(U70:AY70))</f>
        <v/>
      </c>
      <c r="M70" s="51">
        <f>IFERROR(INDEX(U$2:AY$2,MATCH(TRUE,INDEX(U70:AY70&lt;&gt;"",0),0)),"")</f>
        <v/>
      </c>
      <c r="N70" s="51">
        <f>IFERROR(LOOKUP(2,1/(U70:AY70&lt;&gt;""),U$2:AY$2),"")</f>
        <v/>
      </c>
      <c r="O70" s="52" t="n"/>
      <c r="P70" s="52" t="n"/>
      <c r="Q70" s="52" t="n"/>
      <c r="R70" s="44" t="n"/>
      <c r="S70" s="14" t="n"/>
      <c r="U70" s="53" t="n"/>
      <c r="V70" s="53" t="n"/>
      <c r="W70" s="53" t="n"/>
      <c r="X70" s="53" t="n"/>
      <c r="Y70" s="53" t="n"/>
      <c r="Z70" s="53" t="n"/>
      <c r="AA70" s="53" t="n"/>
      <c r="AB70" s="53" t="n"/>
      <c r="AC70" s="53" t="n"/>
      <c r="AD70" s="53" t="n"/>
      <c r="AE70" s="53" t="n"/>
      <c r="AF70" s="53" t="n"/>
      <c r="AG70" s="53" t="n"/>
      <c r="AH70" s="53" t="n"/>
      <c r="AI70" s="53" t="n"/>
      <c r="AJ70" s="53" t="n"/>
      <c r="AK70" s="53" t="n"/>
      <c r="AL70" s="53" t="n"/>
      <c r="AM70" s="53" t="n"/>
      <c r="AN70" s="53" t="n"/>
      <c r="AO70" s="53" t="n"/>
      <c r="AP70" s="53" t="n"/>
      <c r="AQ70" s="53" t="n"/>
      <c r="AR70" s="53" t="n"/>
      <c r="AS70" s="53" t="n"/>
      <c r="AT70" s="53" t="n"/>
      <c r="AU70" s="53" t="n"/>
      <c r="AV70" s="53" t="n"/>
      <c r="AW70" s="53" t="n"/>
      <c r="AX70" s="53" t="n"/>
      <c r="AY70" s="53" t="n"/>
    </row>
    <row r="71" ht="15" customHeight="1">
      <c r="A71" s="54" t="n"/>
      <c r="B71" s="55">
        <f>IF($B$70="","",$B$70)</f>
        <v/>
      </c>
      <c r="C71" s="56" t="inlineStr">
        <is>
          <t>마케팅2팀</t>
        </is>
      </c>
      <c r="D71" s="55">
        <f>IF($D$70="","",$D$70)</f>
        <v/>
      </c>
      <c r="E71" s="57" t="inlineStr">
        <is>
          <t>이미지</t>
        </is>
      </c>
      <c r="F71" s="44" t="n"/>
      <c r="G71" s="58">
        <f>IF($G$70="","",$G$70)</f>
        <v/>
      </c>
      <c r="H71" s="59" t="n"/>
      <c r="I71" s="59" t="n"/>
      <c r="J71" s="59" t="n"/>
      <c r="K71" s="59" t="n"/>
      <c r="L71" s="60">
        <f>IF(SUM(U71:AY71)=0,"",SUM(U71:AY71))</f>
        <v/>
      </c>
      <c r="M71" s="61">
        <f>IFERROR(INDEX(U$2:AY$2,MATCH(TRUE,INDEX(U71:AY71&lt;&gt;"",0),0)),"")</f>
        <v/>
      </c>
      <c r="N71" s="61">
        <f>IFERROR(LOOKUP(2,1/(U71:AY71&lt;&gt;""),U$2:AY$2),"")</f>
        <v/>
      </c>
      <c r="O71" s="59" t="n"/>
      <c r="P71" s="59" t="n"/>
      <c r="Q71" s="59" t="n"/>
      <c r="R71" s="59" t="n"/>
      <c r="S71" s="14" t="n"/>
      <c r="U71" s="53" t="n"/>
      <c r="V71" s="53" t="n"/>
      <c r="W71" s="53" t="n"/>
      <c r="X71" s="53" t="n"/>
      <c r="Y71" s="53" t="n"/>
      <c r="Z71" s="53" t="n"/>
      <c r="AA71" s="53" t="n"/>
      <c r="AB71" s="53" t="n"/>
      <c r="AC71" s="53" t="n"/>
      <c r="AD71" s="53" t="n"/>
      <c r="AE71" s="53" t="n"/>
      <c r="AF71" s="53" t="n"/>
      <c r="AG71" s="53" t="n"/>
      <c r="AH71" s="53" t="n"/>
      <c r="AI71" s="53" t="n"/>
      <c r="AJ71" s="53" t="n"/>
      <c r="AK71" s="53" t="n"/>
      <c r="AL71" s="53" t="n"/>
      <c r="AM71" s="53" t="n"/>
      <c r="AN71" s="53" t="n"/>
      <c r="AO71" s="53" t="n"/>
      <c r="AP71" s="53" t="n"/>
      <c r="AQ71" s="53" t="n"/>
      <c r="AR71" s="53" t="n"/>
      <c r="AS71" s="53" t="n"/>
      <c r="AT71" s="53" t="n"/>
      <c r="AU71" s="53" t="n"/>
      <c r="AV71" s="53" t="n"/>
      <c r="AW71" s="53" t="n"/>
      <c r="AX71" s="53" t="n"/>
      <c r="AY71" s="53" t="n"/>
    </row>
    <row r="72" ht="15" customHeight="1">
      <c r="A72" s="62" t="n"/>
      <c r="B72" s="55">
        <f>IF($B$70="","",$B$70)</f>
        <v/>
      </c>
      <c r="C72" s="63" t="inlineStr">
        <is>
          <t>마케팅2팀</t>
        </is>
      </c>
      <c r="D72" s="55">
        <f>IF($D$70="","",$D$70)</f>
        <v/>
      </c>
      <c r="E72" s="64" t="inlineStr">
        <is>
          <t>영상</t>
        </is>
      </c>
      <c r="F72" s="44" t="n"/>
      <c r="G72" s="58">
        <f>IF($G$70="","",$G$70)</f>
        <v/>
      </c>
      <c r="H72" s="59" t="n"/>
      <c r="I72" s="59" t="n"/>
      <c r="J72" s="59" t="n"/>
      <c r="K72" s="59" t="n"/>
      <c r="L72" s="65">
        <f>IF(SUM(U72:AY72)=0,"",SUM(U72:AY72))</f>
        <v/>
      </c>
      <c r="M72" s="66">
        <f>IFERROR(INDEX(U$2:AY$2,MATCH(TRUE,INDEX(U72:AY72&lt;&gt;"",0),0)),"")</f>
        <v/>
      </c>
      <c r="N72" s="66">
        <f>IFERROR(LOOKUP(2,1/(U72:AY72&lt;&gt;""),U$2:AY$2),"")</f>
        <v/>
      </c>
      <c r="O72" s="59" t="n"/>
      <c r="P72" s="59" t="n"/>
      <c r="Q72" s="59" t="n"/>
      <c r="R72" s="59" t="n"/>
      <c r="S72" s="14" t="n"/>
      <c r="U72" s="53" t="n"/>
      <c r="V72" s="53" t="n"/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53" t="n"/>
      <c r="AF72" s="53" t="n"/>
      <c r="AG72" s="53" t="n"/>
      <c r="AH72" s="53" t="n"/>
      <c r="AI72" s="53" t="n"/>
      <c r="AJ72" s="53" t="n"/>
      <c r="AK72" s="53" t="n"/>
      <c r="AL72" s="53" t="n"/>
      <c r="AM72" s="53" t="n"/>
      <c r="AN72" s="53" t="n"/>
      <c r="AO72" s="53" t="n"/>
      <c r="AP72" s="53" t="n"/>
      <c r="AQ72" s="53" t="n"/>
      <c r="AR72" s="53" t="n"/>
      <c r="AS72" s="53" t="n"/>
      <c r="AT72" s="53" t="n"/>
      <c r="AU72" s="53" t="n"/>
      <c r="AV72" s="53" t="n"/>
      <c r="AW72" s="53" t="n"/>
      <c r="AX72" s="53" t="n"/>
      <c r="AY72" s="53" t="n"/>
    </row>
    <row r="73" ht="15" customHeight="1">
      <c r="A73" s="40">
        <f>IF($D$73="","",22)</f>
        <v/>
      </c>
      <c r="B73" s="10" t="n"/>
      <c r="C73" s="41" t="inlineStr">
        <is>
          <t>마케팅2팀</t>
        </is>
      </c>
      <c r="D73" s="42" t="n"/>
      <c r="E73" s="43" t="inlineStr">
        <is>
          <t>기획</t>
        </is>
      </c>
      <c r="F73" s="44" t="n"/>
      <c r="G73" s="45" t="n"/>
      <c r="H73" s="46">
        <f>IF($I$73="","",IF($I$73&lt;0,"🔴지연",IF($I$73&lt;=1,"🟡임박","🟢여유")))</f>
        <v/>
      </c>
      <c r="I73" s="47">
        <f>IF(OR($G$73="",$K$73=""),"",$G$73-$K$73)</f>
        <v/>
      </c>
      <c r="J73" s="48">
        <f>IF(SUM($L$73:$L$75)=0,"",SUM($L$73:$L$75))</f>
        <v/>
      </c>
      <c r="K73" s="49">
        <f>IF($J$73="","",MAX($N$73:$N$75))</f>
        <v/>
      </c>
      <c r="L73" s="50">
        <f>IF(SUM(U73:AY73)=0,"",SUM(U73:AY73))</f>
        <v/>
      </c>
      <c r="M73" s="51">
        <f>IFERROR(INDEX(U$2:AY$2,MATCH(TRUE,INDEX(U73:AY73&lt;&gt;"",0),0)),"")</f>
        <v/>
      </c>
      <c r="N73" s="51">
        <f>IFERROR(LOOKUP(2,1/(U73:AY73&lt;&gt;""),U$2:AY$2),"")</f>
        <v/>
      </c>
      <c r="O73" s="52" t="n"/>
      <c r="P73" s="52" t="n"/>
      <c r="Q73" s="52" t="n"/>
      <c r="R73" s="44" t="n"/>
      <c r="S73" s="14" t="n"/>
      <c r="U73" s="53" t="n"/>
      <c r="V73" s="53" t="n"/>
      <c r="W73" s="53" t="n"/>
      <c r="X73" s="53" t="n"/>
      <c r="Y73" s="53" t="n"/>
      <c r="Z73" s="53" t="n"/>
      <c r="AA73" s="53" t="n"/>
      <c r="AB73" s="53" t="n"/>
      <c r="AC73" s="53" t="n"/>
      <c r="AD73" s="53" t="n"/>
      <c r="AE73" s="53" t="n"/>
      <c r="AF73" s="53" t="n"/>
      <c r="AG73" s="53" t="n"/>
      <c r="AH73" s="53" t="n"/>
      <c r="AI73" s="53" t="n"/>
      <c r="AJ73" s="53" t="n"/>
      <c r="AK73" s="53" t="n"/>
      <c r="AL73" s="53" t="n"/>
      <c r="AM73" s="53" t="n"/>
      <c r="AN73" s="53" t="n"/>
      <c r="AO73" s="53" t="n"/>
      <c r="AP73" s="53" t="n"/>
      <c r="AQ73" s="53" t="n"/>
      <c r="AR73" s="53" t="n"/>
      <c r="AS73" s="53" t="n"/>
      <c r="AT73" s="53" t="n"/>
      <c r="AU73" s="53" t="n"/>
      <c r="AV73" s="53" t="n"/>
      <c r="AW73" s="53" t="n"/>
      <c r="AX73" s="53" t="n"/>
      <c r="AY73" s="53" t="n"/>
    </row>
    <row r="74" ht="15" customHeight="1">
      <c r="A74" s="54" t="n"/>
      <c r="B74" s="55">
        <f>IF($B$73="","",$B$73)</f>
        <v/>
      </c>
      <c r="C74" s="56" t="inlineStr">
        <is>
          <t>마케팅2팀</t>
        </is>
      </c>
      <c r="D74" s="55">
        <f>IF($D$73="","",$D$73)</f>
        <v/>
      </c>
      <c r="E74" s="57" t="inlineStr">
        <is>
          <t>이미지</t>
        </is>
      </c>
      <c r="F74" s="44" t="n"/>
      <c r="G74" s="58">
        <f>IF($G$73="","",$G$73)</f>
        <v/>
      </c>
      <c r="H74" s="59" t="n"/>
      <c r="I74" s="59" t="n"/>
      <c r="J74" s="59" t="n"/>
      <c r="K74" s="59" t="n"/>
      <c r="L74" s="60">
        <f>IF(SUM(U74:AY74)=0,"",SUM(U74:AY74))</f>
        <v/>
      </c>
      <c r="M74" s="61">
        <f>IFERROR(INDEX(U$2:AY$2,MATCH(TRUE,INDEX(U74:AY74&lt;&gt;"",0),0)),"")</f>
        <v/>
      </c>
      <c r="N74" s="61">
        <f>IFERROR(LOOKUP(2,1/(U74:AY74&lt;&gt;""),U$2:AY$2),"")</f>
        <v/>
      </c>
      <c r="O74" s="59" t="n"/>
      <c r="P74" s="59" t="n"/>
      <c r="Q74" s="59" t="n"/>
      <c r="R74" s="59" t="n"/>
      <c r="S74" s="14" t="n"/>
      <c r="U74" s="53" t="n"/>
      <c r="V74" s="53" t="n"/>
      <c r="W74" s="53" t="n"/>
      <c r="X74" s="53" t="n"/>
      <c r="Y74" s="53" t="n"/>
      <c r="Z74" s="53" t="n"/>
      <c r="AA74" s="53" t="n"/>
      <c r="AB74" s="53" t="n"/>
      <c r="AC74" s="53" t="n"/>
      <c r="AD74" s="53" t="n"/>
      <c r="AE74" s="53" t="n"/>
      <c r="AF74" s="53" t="n"/>
      <c r="AG74" s="53" t="n"/>
      <c r="AH74" s="53" t="n"/>
      <c r="AI74" s="53" t="n"/>
      <c r="AJ74" s="53" t="n"/>
      <c r="AK74" s="53" t="n"/>
      <c r="AL74" s="53" t="n"/>
      <c r="AM74" s="53" t="n"/>
      <c r="AN74" s="53" t="n"/>
      <c r="AO74" s="53" t="n"/>
      <c r="AP74" s="53" t="n"/>
      <c r="AQ74" s="53" t="n"/>
      <c r="AR74" s="53" t="n"/>
      <c r="AS74" s="53" t="n"/>
      <c r="AT74" s="53" t="n"/>
      <c r="AU74" s="53" t="n"/>
      <c r="AV74" s="53" t="n"/>
      <c r="AW74" s="53" t="n"/>
      <c r="AX74" s="53" t="n"/>
      <c r="AY74" s="53" t="n"/>
    </row>
    <row r="75" ht="15" customHeight="1">
      <c r="A75" s="62" t="n"/>
      <c r="B75" s="55">
        <f>IF($B$73="","",$B$73)</f>
        <v/>
      </c>
      <c r="C75" s="63" t="inlineStr">
        <is>
          <t>마케팅2팀</t>
        </is>
      </c>
      <c r="D75" s="55">
        <f>IF($D$73="","",$D$73)</f>
        <v/>
      </c>
      <c r="E75" s="64" t="inlineStr">
        <is>
          <t>영상</t>
        </is>
      </c>
      <c r="F75" s="44" t="n"/>
      <c r="G75" s="58">
        <f>IF($G$73="","",$G$73)</f>
        <v/>
      </c>
      <c r="H75" s="59" t="n"/>
      <c r="I75" s="59" t="n"/>
      <c r="J75" s="59" t="n"/>
      <c r="K75" s="59" t="n"/>
      <c r="L75" s="65">
        <f>IF(SUM(U75:AY75)=0,"",SUM(U75:AY75))</f>
        <v/>
      </c>
      <c r="M75" s="66">
        <f>IFERROR(INDEX(U$2:AY$2,MATCH(TRUE,INDEX(U75:AY75&lt;&gt;"",0),0)),"")</f>
        <v/>
      </c>
      <c r="N75" s="66">
        <f>IFERROR(LOOKUP(2,1/(U75:AY75&lt;&gt;""),U$2:AY$2),"")</f>
        <v/>
      </c>
      <c r="O75" s="59" t="n"/>
      <c r="P75" s="59" t="n"/>
      <c r="Q75" s="59" t="n"/>
      <c r="R75" s="59" t="n"/>
      <c r="S75" s="14" t="n"/>
      <c r="U75" s="53" t="n"/>
      <c r="V75" s="53" t="n"/>
      <c r="W75" s="53" t="n"/>
      <c r="X75" s="53" t="n"/>
      <c r="Y75" s="53" t="n"/>
      <c r="Z75" s="53" t="n"/>
      <c r="AA75" s="53" t="n"/>
      <c r="AB75" s="53" t="n"/>
      <c r="AC75" s="53" t="n"/>
      <c r="AD75" s="53" t="n"/>
      <c r="AE75" s="53" t="n"/>
      <c r="AF75" s="53" t="n"/>
      <c r="AG75" s="53" t="n"/>
      <c r="AH75" s="53" t="n"/>
      <c r="AI75" s="53" t="n"/>
      <c r="AJ75" s="53" t="n"/>
      <c r="AK75" s="53" t="n"/>
      <c r="AL75" s="53" t="n"/>
      <c r="AM75" s="53" t="n"/>
      <c r="AN75" s="53" t="n"/>
      <c r="AO75" s="53" t="n"/>
      <c r="AP75" s="53" t="n"/>
      <c r="AQ75" s="53" t="n"/>
      <c r="AR75" s="53" t="n"/>
      <c r="AS75" s="53" t="n"/>
      <c r="AT75" s="53" t="n"/>
      <c r="AU75" s="53" t="n"/>
      <c r="AV75" s="53" t="n"/>
      <c r="AW75" s="53" t="n"/>
      <c r="AX75" s="53" t="n"/>
      <c r="AY75" s="53" t="n"/>
    </row>
    <row r="76" ht="15" customHeight="1">
      <c r="A76" s="40">
        <f>IF($D$76="","",23)</f>
        <v/>
      </c>
      <c r="B76" s="10" t="n"/>
      <c r="C76" s="41" t="inlineStr">
        <is>
          <t>마케팅2팀</t>
        </is>
      </c>
      <c r="D76" s="42" t="n"/>
      <c r="E76" s="43" t="inlineStr">
        <is>
          <t>기획</t>
        </is>
      </c>
      <c r="F76" s="44" t="n"/>
      <c r="G76" s="45" t="n"/>
      <c r="H76" s="46">
        <f>IF($I$76="","",IF($I$76&lt;0,"🔴지연",IF($I$76&lt;=1,"🟡임박","🟢여유")))</f>
        <v/>
      </c>
      <c r="I76" s="47">
        <f>IF(OR($G$76="",$K$76=""),"",$G$76-$K$76)</f>
        <v/>
      </c>
      <c r="J76" s="48">
        <f>IF(SUM($L$76:$L$78)=0,"",SUM($L$76:$L$78))</f>
        <v/>
      </c>
      <c r="K76" s="49">
        <f>IF($J$76="","",MAX($N$76:$N$78))</f>
        <v/>
      </c>
      <c r="L76" s="50">
        <f>IF(SUM(U76:AY76)=0,"",SUM(U76:AY76))</f>
        <v/>
      </c>
      <c r="M76" s="51">
        <f>IFERROR(INDEX(U$2:AY$2,MATCH(TRUE,INDEX(U76:AY76&lt;&gt;"",0),0)),"")</f>
        <v/>
      </c>
      <c r="N76" s="51">
        <f>IFERROR(LOOKUP(2,1/(U76:AY76&lt;&gt;""),U$2:AY$2),"")</f>
        <v/>
      </c>
      <c r="O76" s="52" t="n"/>
      <c r="P76" s="52" t="n"/>
      <c r="Q76" s="52" t="n"/>
      <c r="R76" s="44" t="n"/>
      <c r="S76" s="14" t="n"/>
      <c r="U76" s="53" t="n"/>
      <c r="V76" s="53" t="n"/>
      <c r="W76" s="53" t="n"/>
      <c r="X76" s="53" t="n"/>
      <c r="Y76" s="53" t="n"/>
      <c r="Z76" s="53" t="n"/>
      <c r="AA76" s="53" t="n"/>
      <c r="AB76" s="53" t="n"/>
      <c r="AC76" s="53" t="n"/>
      <c r="AD76" s="53" t="n"/>
      <c r="AE76" s="53" t="n"/>
      <c r="AF76" s="53" t="n"/>
      <c r="AG76" s="53" t="n"/>
      <c r="AH76" s="53" t="n"/>
      <c r="AI76" s="53" t="n"/>
      <c r="AJ76" s="53" t="n"/>
      <c r="AK76" s="53" t="n"/>
      <c r="AL76" s="53" t="n"/>
      <c r="AM76" s="53" t="n"/>
      <c r="AN76" s="53" t="n"/>
      <c r="AO76" s="53" t="n"/>
      <c r="AP76" s="53" t="n"/>
      <c r="AQ76" s="53" t="n"/>
      <c r="AR76" s="53" t="n"/>
      <c r="AS76" s="53" t="n"/>
      <c r="AT76" s="53" t="n"/>
      <c r="AU76" s="53" t="n"/>
      <c r="AV76" s="53" t="n"/>
      <c r="AW76" s="53" t="n"/>
      <c r="AX76" s="53" t="n"/>
      <c r="AY76" s="53" t="n"/>
    </row>
    <row r="77" ht="15" customHeight="1">
      <c r="A77" s="54" t="n"/>
      <c r="B77" s="55">
        <f>IF($B$76="","",$B$76)</f>
        <v/>
      </c>
      <c r="C77" s="56" t="inlineStr">
        <is>
          <t>마케팅2팀</t>
        </is>
      </c>
      <c r="D77" s="55">
        <f>IF($D$76="","",$D$76)</f>
        <v/>
      </c>
      <c r="E77" s="57" t="inlineStr">
        <is>
          <t>이미지</t>
        </is>
      </c>
      <c r="F77" s="44" t="n"/>
      <c r="G77" s="58">
        <f>IF($G$76="","",$G$76)</f>
        <v/>
      </c>
      <c r="H77" s="59" t="n"/>
      <c r="I77" s="59" t="n"/>
      <c r="J77" s="59" t="n"/>
      <c r="K77" s="59" t="n"/>
      <c r="L77" s="60">
        <f>IF(SUM(U77:AY77)=0,"",SUM(U77:AY77))</f>
        <v/>
      </c>
      <c r="M77" s="61">
        <f>IFERROR(INDEX(U$2:AY$2,MATCH(TRUE,INDEX(U77:AY77&lt;&gt;"",0),0)),"")</f>
        <v/>
      </c>
      <c r="N77" s="61">
        <f>IFERROR(LOOKUP(2,1/(U77:AY77&lt;&gt;""),U$2:AY$2),"")</f>
        <v/>
      </c>
      <c r="O77" s="59" t="n"/>
      <c r="P77" s="59" t="n"/>
      <c r="Q77" s="59" t="n"/>
      <c r="R77" s="59" t="n"/>
      <c r="S77" s="14" t="n"/>
      <c r="U77" s="53" t="n"/>
      <c r="V77" s="53" t="n"/>
      <c r="W77" s="53" t="n"/>
      <c r="X77" s="53" t="n"/>
      <c r="Y77" s="53" t="n"/>
      <c r="Z77" s="53" t="n"/>
      <c r="AA77" s="53" t="n"/>
      <c r="AB77" s="53" t="n"/>
      <c r="AC77" s="53" t="n"/>
      <c r="AD77" s="53" t="n"/>
      <c r="AE77" s="53" t="n"/>
      <c r="AF77" s="53" t="n"/>
      <c r="AG77" s="53" t="n"/>
      <c r="AH77" s="53" t="n"/>
      <c r="AI77" s="53" t="n"/>
      <c r="AJ77" s="53" t="n"/>
      <c r="AK77" s="53" t="n"/>
      <c r="AL77" s="53" t="n"/>
      <c r="AM77" s="53" t="n"/>
      <c r="AN77" s="53" t="n"/>
      <c r="AO77" s="53" t="n"/>
      <c r="AP77" s="53" t="n"/>
      <c r="AQ77" s="53" t="n"/>
      <c r="AR77" s="53" t="n"/>
      <c r="AS77" s="53" t="n"/>
      <c r="AT77" s="53" t="n"/>
      <c r="AU77" s="53" t="n"/>
      <c r="AV77" s="53" t="n"/>
      <c r="AW77" s="53" t="n"/>
      <c r="AX77" s="53" t="n"/>
      <c r="AY77" s="53" t="n"/>
    </row>
    <row r="78" ht="15" customHeight="1">
      <c r="A78" s="62" t="n"/>
      <c r="B78" s="55">
        <f>IF($B$76="","",$B$76)</f>
        <v/>
      </c>
      <c r="C78" s="63" t="inlineStr">
        <is>
          <t>마케팅2팀</t>
        </is>
      </c>
      <c r="D78" s="55">
        <f>IF($D$76="","",$D$76)</f>
        <v/>
      </c>
      <c r="E78" s="64" t="inlineStr">
        <is>
          <t>영상</t>
        </is>
      </c>
      <c r="F78" s="44" t="n"/>
      <c r="G78" s="58">
        <f>IF($G$76="","",$G$76)</f>
        <v/>
      </c>
      <c r="H78" s="59" t="n"/>
      <c r="I78" s="59" t="n"/>
      <c r="J78" s="59" t="n"/>
      <c r="K78" s="59" t="n"/>
      <c r="L78" s="65">
        <f>IF(SUM(U78:AY78)=0,"",SUM(U78:AY78))</f>
        <v/>
      </c>
      <c r="M78" s="66">
        <f>IFERROR(INDEX(U$2:AY$2,MATCH(TRUE,INDEX(U78:AY78&lt;&gt;"",0),0)),"")</f>
        <v/>
      </c>
      <c r="N78" s="66">
        <f>IFERROR(LOOKUP(2,1/(U78:AY78&lt;&gt;""),U$2:AY$2),"")</f>
        <v/>
      </c>
      <c r="O78" s="59" t="n"/>
      <c r="P78" s="59" t="n"/>
      <c r="Q78" s="59" t="n"/>
      <c r="R78" s="59" t="n"/>
      <c r="S78" s="14" t="n"/>
      <c r="U78" s="53" t="n"/>
      <c r="V78" s="53" t="n"/>
      <c r="W78" s="53" t="n"/>
      <c r="X78" s="53" t="n"/>
      <c r="Y78" s="53" t="n"/>
      <c r="Z78" s="53" t="n"/>
      <c r="AA78" s="53" t="n"/>
      <c r="AB78" s="53" t="n"/>
      <c r="AC78" s="53" t="n"/>
      <c r="AD78" s="53" t="n"/>
      <c r="AE78" s="53" t="n"/>
      <c r="AF78" s="53" t="n"/>
      <c r="AG78" s="53" t="n"/>
      <c r="AH78" s="53" t="n"/>
      <c r="AI78" s="53" t="n"/>
      <c r="AJ78" s="53" t="n"/>
      <c r="AK78" s="53" t="n"/>
      <c r="AL78" s="53" t="n"/>
      <c r="AM78" s="53" t="n"/>
      <c r="AN78" s="53" t="n"/>
      <c r="AO78" s="53" t="n"/>
      <c r="AP78" s="53" t="n"/>
      <c r="AQ78" s="53" t="n"/>
      <c r="AR78" s="53" t="n"/>
      <c r="AS78" s="53" t="n"/>
      <c r="AT78" s="53" t="n"/>
      <c r="AU78" s="53" t="n"/>
      <c r="AV78" s="53" t="n"/>
      <c r="AW78" s="53" t="n"/>
      <c r="AX78" s="53" t="n"/>
      <c r="AY78" s="53" t="n"/>
    </row>
    <row r="79" ht="15" customHeight="1">
      <c r="A79" s="40">
        <f>IF($D$79="","",24)</f>
        <v/>
      </c>
      <c r="B79" s="10" t="n"/>
      <c r="C79" s="41" t="inlineStr">
        <is>
          <t>마케팅2팀</t>
        </is>
      </c>
      <c r="D79" s="42" t="n"/>
      <c r="E79" s="43" t="inlineStr">
        <is>
          <t>기획</t>
        </is>
      </c>
      <c r="F79" s="44" t="n"/>
      <c r="G79" s="45" t="n"/>
      <c r="H79" s="46">
        <f>IF($I$79="","",IF($I$79&lt;0,"🔴지연",IF($I$79&lt;=1,"🟡임박","🟢여유")))</f>
        <v/>
      </c>
      <c r="I79" s="47">
        <f>IF(OR($G$79="",$K$79=""),"",$G$79-$K$79)</f>
        <v/>
      </c>
      <c r="J79" s="48">
        <f>IF(SUM($L$79:$L$81)=0,"",SUM($L$79:$L$81))</f>
        <v/>
      </c>
      <c r="K79" s="49">
        <f>IF($J$79="","",MAX($N$79:$N$81))</f>
        <v/>
      </c>
      <c r="L79" s="50">
        <f>IF(SUM(U79:AY79)=0,"",SUM(U79:AY79))</f>
        <v/>
      </c>
      <c r="M79" s="51">
        <f>IFERROR(INDEX(U$2:AY$2,MATCH(TRUE,INDEX(U79:AY79&lt;&gt;"",0),0)),"")</f>
        <v/>
      </c>
      <c r="N79" s="51">
        <f>IFERROR(LOOKUP(2,1/(U79:AY79&lt;&gt;""),U$2:AY$2),"")</f>
        <v/>
      </c>
      <c r="O79" s="52" t="n"/>
      <c r="P79" s="52" t="n"/>
      <c r="Q79" s="52" t="n"/>
      <c r="R79" s="44" t="n"/>
      <c r="S79" s="14" t="n"/>
      <c r="U79" s="53" t="n"/>
      <c r="V79" s="53" t="n"/>
      <c r="W79" s="53" t="n"/>
      <c r="X79" s="53" t="n"/>
      <c r="Y79" s="53" t="n"/>
      <c r="Z79" s="53" t="n"/>
      <c r="AA79" s="53" t="n"/>
      <c r="AB79" s="53" t="n"/>
      <c r="AC79" s="53" t="n"/>
      <c r="AD79" s="53" t="n"/>
      <c r="AE79" s="53" t="n"/>
      <c r="AF79" s="53" t="n"/>
      <c r="AG79" s="53" t="n"/>
      <c r="AH79" s="53" t="n"/>
      <c r="AI79" s="53" t="n"/>
      <c r="AJ79" s="53" t="n"/>
      <c r="AK79" s="53" t="n"/>
      <c r="AL79" s="53" t="n"/>
      <c r="AM79" s="53" t="n"/>
      <c r="AN79" s="53" t="n"/>
      <c r="AO79" s="53" t="n"/>
      <c r="AP79" s="53" t="n"/>
      <c r="AQ79" s="53" t="n"/>
      <c r="AR79" s="53" t="n"/>
      <c r="AS79" s="53" t="n"/>
      <c r="AT79" s="53" t="n"/>
      <c r="AU79" s="53" t="n"/>
      <c r="AV79" s="53" t="n"/>
      <c r="AW79" s="53" t="n"/>
      <c r="AX79" s="53" t="n"/>
      <c r="AY79" s="53" t="n"/>
    </row>
    <row r="80" ht="15" customHeight="1">
      <c r="A80" s="54" t="n"/>
      <c r="B80" s="55">
        <f>IF($B$79="","",$B$79)</f>
        <v/>
      </c>
      <c r="C80" s="56" t="inlineStr">
        <is>
          <t>마케팅2팀</t>
        </is>
      </c>
      <c r="D80" s="55">
        <f>IF($D$79="","",$D$79)</f>
        <v/>
      </c>
      <c r="E80" s="57" t="inlineStr">
        <is>
          <t>이미지</t>
        </is>
      </c>
      <c r="F80" s="44" t="n"/>
      <c r="G80" s="58">
        <f>IF($G$79="","",$G$79)</f>
        <v/>
      </c>
      <c r="H80" s="59" t="n"/>
      <c r="I80" s="59" t="n"/>
      <c r="J80" s="59" t="n"/>
      <c r="K80" s="59" t="n"/>
      <c r="L80" s="60">
        <f>IF(SUM(U80:AY80)=0,"",SUM(U80:AY80))</f>
        <v/>
      </c>
      <c r="M80" s="61">
        <f>IFERROR(INDEX(U$2:AY$2,MATCH(TRUE,INDEX(U80:AY80&lt;&gt;"",0),0)),"")</f>
        <v/>
      </c>
      <c r="N80" s="61">
        <f>IFERROR(LOOKUP(2,1/(U80:AY80&lt;&gt;""),U$2:AY$2),"")</f>
        <v/>
      </c>
      <c r="O80" s="59" t="n"/>
      <c r="P80" s="59" t="n"/>
      <c r="Q80" s="59" t="n"/>
      <c r="R80" s="59" t="n"/>
      <c r="S80" s="14" t="n"/>
      <c r="U80" s="53" t="n"/>
      <c r="V80" s="53" t="n"/>
      <c r="W80" s="53" t="n"/>
      <c r="X80" s="53" t="n"/>
      <c r="Y80" s="53" t="n"/>
      <c r="Z80" s="53" t="n"/>
      <c r="AA80" s="53" t="n"/>
      <c r="AB80" s="53" t="n"/>
      <c r="AC80" s="53" t="n"/>
      <c r="AD80" s="53" t="n"/>
      <c r="AE80" s="53" t="n"/>
      <c r="AF80" s="53" t="n"/>
      <c r="AG80" s="53" t="n"/>
      <c r="AH80" s="53" t="n"/>
      <c r="AI80" s="53" t="n"/>
      <c r="AJ80" s="53" t="n"/>
      <c r="AK80" s="53" t="n"/>
      <c r="AL80" s="53" t="n"/>
      <c r="AM80" s="53" t="n"/>
      <c r="AN80" s="53" t="n"/>
      <c r="AO80" s="53" t="n"/>
      <c r="AP80" s="53" t="n"/>
      <c r="AQ80" s="53" t="n"/>
      <c r="AR80" s="53" t="n"/>
      <c r="AS80" s="53" t="n"/>
      <c r="AT80" s="53" t="n"/>
      <c r="AU80" s="53" t="n"/>
      <c r="AV80" s="53" t="n"/>
      <c r="AW80" s="53" t="n"/>
      <c r="AX80" s="53" t="n"/>
      <c r="AY80" s="53" t="n"/>
    </row>
    <row r="81" ht="15" customHeight="1">
      <c r="A81" s="62" t="n"/>
      <c r="B81" s="55">
        <f>IF($B$79="","",$B$79)</f>
        <v/>
      </c>
      <c r="C81" s="63" t="inlineStr">
        <is>
          <t>마케팅2팀</t>
        </is>
      </c>
      <c r="D81" s="55">
        <f>IF($D$79="","",$D$79)</f>
        <v/>
      </c>
      <c r="E81" s="64" t="inlineStr">
        <is>
          <t>영상</t>
        </is>
      </c>
      <c r="F81" s="44" t="n"/>
      <c r="G81" s="58">
        <f>IF($G$79="","",$G$79)</f>
        <v/>
      </c>
      <c r="H81" s="59" t="n"/>
      <c r="I81" s="59" t="n"/>
      <c r="J81" s="59" t="n"/>
      <c r="K81" s="59" t="n"/>
      <c r="L81" s="65">
        <f>IF(SUM(U81:AY81)=0,"",SUM(U81:AY81))</f>
        <v/>
      </c>
      <c r="M81" s="66">
        <f>IFERROR(INDEX(U$2:AY$2,MATCH(TRUE,INDEX(U81:AY81&lt;&gt;"",0),0)),"")</f>
        <v/>
      </c>
      <c r="N81" s="66">
        <f>IFERROR(LOOKUP(2,1/(U81:AY81&lt;&gt;""),U$2:AY$2),"")</f>
        <v/>
      </c>
      <c r="O81" s="59" t="n"/>
      <c r="P81" s="59" t="n"/>
      <c r="Q81" s="59" t="n"/>
      <c r="R81" s="59" t="n"/>
      <c r="S81" s="14" t="n"/>
      <c r="U81" s="53" t="n"/>
      <c r="V81" s="53" t="n"/>
      <c r="W81" s="53" t="n"/>
      <c r="X81" s="53" t="n"/>
      <c r="Y81" s="53" t="n"/>
      <c r="Z81" s="53" t="n"/>
      <c r="AA81" s="53" t="n"/>
      <c r="AB81" s="53" t="n"/>
      <c r="AC81" s="53" t="n"/>
      <c r="AD81" s="53" t="n"/>
      <c r="AE81" s="53" t="n"/>
      <c r="AF81" s="53" t="n"/>
      <c r="AG81" s="53" t="n"/>
      <c r="AH81" s="53" t="n"/>
      <c r="AI81" s="53" t="n"/>
      <c r="AJ81" s="53" t="n"/>
      <c r="AK81" s="53" t="n"/>
      <c r="AL81" s="53" t="n"/>
      <c r="AM81" s="53" t="n"/>
      <c r="AN81" s="53" t="n"/>
      <c r="AO81" s="53" t="n"/>
      <c r="AP81" s="53" t="n"/>
      <c r="AQ81" s="53" t="n"/>
      <c r="AR81" s="53" t="n"/>
      <c r="AS81" s="53" t="n"/>
      <c r="AT81" s="53" t="n"/>
      <c r="AU81" s="53" t="n"/>
      <c r="AV81" s="53" t="n"/>
      <c r="AW81" s="53" t="n"/>
      <c r="AX81" s="53" t="n"/>
      <c r="AY81" s="53" t="n"/>
    </row>
    <row r="82" ht="15" customHeight="1">
      <c r="A82" s="40">
        <f>IF($D$82="","",25)</f>
        <v/>
      </c>
      <c r="B82" s="10" t="n"/>
      <c r="C82" s="41" t="inlineStr">
        <is>
          <t>마케팅2팀</t>
        </is>
      </c>
      <c r="D82" s="42" t="n"/>
      <c r="E82" s="43" t="inlineStr">
        <is>
          <t>기획</t>
        </is>
      </c>
      <c r="F82" s="44" t="n"/>
      <c r="G82" s="45" t="n"/>
      <c r="H82" s="46">
        <f>IF($I$82="","",IF($I$82&lt;0,"🔴지연",IF($I$82&lt;=1,"🟡임박","🟢여유")))</f>
        <v/>
      </c>
      <c r="I82" s="47">
        <f>IF(OR($G$82="",$K$82=""),"",$G$82-$K$82)</f>
        <v/>
      </c>
      <c r="J82" s="48">
        <f>IF(SUM($L$82:$L$84)=0,"",SUM($L$82:$L$84))</f>
        <v/>
      </c>
      <c r="K82" s="49">
        <f>IF($J$82="","",MAX($N$82:$N$84))</f>
        <v/>
      </c>
      <c r="L82" s="50">
        <f>IF(SUM(U82:AY82)=0,"",SUM(U82:AY82))</f>
        <v/>
      </c>
      <c r="M82" s="51">
        <f>IFERROR(INDEX(U$2:AY$2,MATCH(TRUE,INDEX(U82:AY82&lt;&gt;"",0),0)),"")</f>
        <v/>
      </c>
      <c r="N82" s="51">
        <f>IFERROR(LOOKUP(2,1/(U82:AY82&lt;&gt;""),U$2:AY$2),"")</f>
        <v/>
      </c>
      <c r="O82" s="52" t="n"/>
      <c r="P82" s="52" t="n"/>
      <c r="Q82" s="52" t="n"/>
      <c r="R82" s="44" t="n"/>
      <c r="S82" s="14" t="n"/>
      <c r="U82" s="53" t="n"/>
      <c r="V82" s="53" t="n"/>
      <c r="W82" s="53" t="n"/>
      <c r="X82" s="53" t="n"/>
      <c r="Y82" s="53" t="n"/>
      <c r="Z82" s="53" t="n"/>
      <c r="AA82" s="53" t="n"/>
      <c r="AB82" s="53" t="n"/>
      <c r="AC82" s="53" t="n"/>
      <c r="AD82" s="53" t="n"/>
      <c r="AE82" s="53" t="n"/>
      <c r="AF82" s="53" t="n"/>
      <c r="AG82" s="53" t="n"/>
      <c r="AH82" s="53" t="n"/>
      <c r="AI82" s="53" t="n"/>
      <c r="AJ82" s="53" t="n"/>
      <c r="AK82" s="53" t="n"/>
      <c r="AL82" s="53" t="n"/>
      <c r="AM82" s="53" t="n"/>
      <c r="AN82" s="53" t="n"/>
      <c r="AO82" s="53" t="n"/>
      <c r="AP82" s="53" t="n"/>
      <c r="AQ82" s="53" t="n"/>
      <c r="AR82" s="53" t="n"/>
      <c r="AS82" s="53" t="n"/>
      <c r="AT82" s="53" t="n"/>
      <c r="AU82" s="53" t="n"/>
      <c r="AV82" s="53" t="n"/>
      <c r="AW82" s="53" t="n"/>
      <c r="AX82" s="53" t="n"/>
      <c r="AY82" s="53" t="n"/>
    </row>
    <row r="83" ht="15" customHeight="1">
      <c r="A83" s="54" t="n"/>
      <c r="B83" s="55">
        <f>IF($B$82="","",$B$82)</f>
        <v/>
      </c>
      <c r="C83" s="56" t="inlineStr">
        <is>
          <t>마케팅2팀</t>
        </is>
      </c>
      <c r="D83" s="55">
        <f>IF($D$82="","",$D$82)</f>
        <v/>
      </c>
      <c r="E83" s="57" t="inlineStr">
        <is>
          <t>이미지</t>
        </is>
      </c>
      <c r="F83" s="44" t="n"/>
      <c r="G83" s="58">
        <f>IF($G$82="","",$G$82)</f>
        <v/>
      </c>
      <c r="H83" s="59" t="n"/>
      <c r="I83" s="59" t="n"/>
      <c r="J83" s="59" t="n"/>
      <c r="K83" s="59" t="n"/>
      <c r="L83" s="60">
        <f>IF(SUM(U83:AY83)=0,"",SUM(U83:AY83))</f>
        <v/>
      </c>
      <c r="M83" s="61">
        <f>IFERROR(INDEX(U$2:AY$2,MATCH(TRUE,INDEX(U83:AY83&lt;&gt;"",0),0)),"")</f>
        <v/>
      </c>
      <c r="N83" s="61">
        <f>IFERROR(LOOKUP(2,1/(U83:AY83&lt;&gt;""),U$2:AY$2),"")</f>
        <v/>
      </c>
      <c r="O83" s="59" t="n"/>
      <c r="P83" s="59" t="n"/>
      <c r="Q83" s="59" t="n"/>
      <c r="R83" s="59" t="n"/>
      <c r="S83" s="14" t="n"/>
      <c r="U83" s="53" t="n"/>
      <c r="V83" s="53" t="n"/>
      <c r="W83" s="53" t="n"/>
      <c r="X83" s="53" t="n"/>
      <c r="Y83" s="53" t="n"/>
      <c r="Z83" s="53" t="n"/>
      <c r="AA83" s="53" t="n"/>
      <c r="AB83" s="53" t="n"/>
      <c r="AC83" s="53" t="n"/>
      <c r="AD83" s="53" t="n"/>
      <c r="AE83" s="53" t="n"/>
      <c r="AF83" s="53" t="n"/>
      <c r="AG83" s="53" t="n"/>
      <c r="AH83" s="53" t="n"/>
      <c r="AI83" s="53" t="n"/>
      <c r="AJ83" s="53" t="n"/>
      <c r="AK83" s="53" t="n"/>
      <c r="AL83" s="53" t="n"/>
      <c r="AM83" s="53" t="n"/>
      <c r="AN83" s="53" t="n"/>
      <c r="AO83" s="53" t="n"/>
      <c r="AP83" s="53" t="n"/>
      <c r="AQ83" s="53" t="n"/>
      <c r="AR83" s="53" t="n"/>
      <c r="AS83" s="53" t="n"/>
      <c r="AT83" s="53" t="n"/>
      <c r="AU83" s="53" t="n"/>
      <c r="AV83" s="53" t="n"/>
      <c r="AW83" s="53" t="n"/>
      <c r="AX83" s="53" t="n"/>
      <c r="AY83" s="53" t="n"/>
    </row>
    <row r="84" ht="15" customHeight="1">
      <c r="A84" s="62" t="n"/>
      <c r="B84" s="55">
        <f>IF($B$82="","",$B$82)</f>
        <v/>
      </c>
      <c r="C84" s="63" t="inlineStr">
        <is>
          <t>마케팅2팀</t>
        </is>
      </c>
      <c r="D84" s="55">
        <f>IF($D$82="","",$D$82)</f>
        <v/>
      </c>
      <c r="E84" s="64" t="inlineStr">
        <is>
          <t>영상</t>
        </is>
      </c>
      <c r="F84" s="44" t="n"/>
      <c r="G84" s="58">
        <f>IF($G$82="","",$G$82)</f>
        <v/>
      </c>
      <c r="H84" s="59" t="n"/>
      <c r="I84" s="59" t="n"/>
      <c r="J84" s="59" t="n"/>
      <c r="K84" s="59" t="n"/>
      <c r="L84" s="65">
        <f>IF(SUM(U84:AY84)=0,"",SUM(U84:AY84))</f>
        <v/>
      </c>
      <c r="M84" s="66">
        <f>IFERROR(INDEX(U$2:AY$2,MATCH(TRUE,INDEX(U84:AY84&lt;&gt;"",0),0)),"")</f>
        <v/>
      </c>
      <c r="N84" s="66">
        <f>IFERROR(LOOKUP(2,1/(U84:AY84&lt;&gt;""),U$2:AY$2),"")</f>
        <v/>
      </c>
      <c r="O84" s="59" t="n"/>
      <c r="P84" s="59" t="n"/>
      <c r="Q84" s="59" t="n"/>
      <c r="R84" s="59" t="n"/>
      <c r="S84" s="14" t="n"/>
      <c r="U84" s="53" t="n"/>
      <c r="V84" s="53" t="n"/>
      <c r="W84" s="53" t="n"/>
      <c r="X84" s="53" t="n"/>
      <c r="Y84" s="53" t="n"/>
      <c r="Z84" s="53" t="n"/>
      <c r="AA84" s="53" t="n"/>
      <c r="AB84" s="53" t="n"/>
      <c r="AC84" s="53" t="n"/>
      <c r="AD84" s="53" t="n"/>
      <c r="AE84" s="53" t="n"/>
      <c r="AF84" s="53" t="n"/>
      <c r="AG84" s="53" t="n"/>
      <c r="AH84" s="53" t="n"/>
      <c r="AI84" s="53" t="n"/>
      <c r="AJ84" s="53" t="n"/>
      <c r="AK84" s="53" t="n"/>
      <c r="AL84" s="53" t="n"/>
      <c r="AM84" s="53" t="n"/>
      <c r="AN84" s="53" t="n"/>
      <c r="AO84" s="53" t="n"/>
      <c r="AP84" s="53" t="n"/>
      <c r="AQ84" s="53" t="n"/>
      <c r="AR84" s="53" t="n"/>
      <c r="AS84" s="53" t="n"/>
      <c r="AT84" s="53" t="n"/>
      <c r="AU84" s="53" t="n"/>
      <c r="AV84" s="53" t="n"/>
      <c r="AW84" s="53" t="n"/>
      <c r="AX84" s="53" t="n"/>
      <c r="AY84" s="53" t="n"/>
    </row>
    <row r="85" ht="15" customHeight="1">
      <c r="A85" s="40">
        <f>IF($D$85="","",26)</f>
        <v/>
      </c>
      <c r="B85" s="10" t="n"/>
      <c r="C85" s="41" t="inlineStr">
        <is>
          <t>마케팅2팀</t>
        </is>
      </c>
      <c r="D85" s="42" t="n"/>
      <c r="E85" s="43" t="inlineStr">
        <is>
          <t>기획</t>
        </is>
      </c>
      <c r="F85" s="44" t="n"/>
      <c r="G85" s="45" t="n"/>
      <c r="H85" s="46">
        <f>IF($I$85="","",IF($I$85&lt;0,"🔴지연",IF($I$85&lt;=1,"🟡임박","🟢여유")))</f>
        <v/>
      </c>
      <c r="I85" s="47">
        <f>IF(OR($G$85="",$K$85=""),"",$G$85-$K$85)</f>
        <v/>
      </c>
      <c r="J85" s="48">
        <f>IF(SUM($L$85:$L$87)=0,"",SUM($L$85:$L$87))</f>
        <v/>
      </c>
      <c r="K85" s="49">
        <f>IF($J$85="","",MAX($N$85:$N$87))</f>
        <v/>
      </c>
      <c r="L85" s="50">
        <f>IF(SUM(U85:AY85)=0,"",SUM(U85:AY85))</f>
        <v/>
      </c>
      <c r="M85" s="51">
        <f>IFERROR(INDEX(U$2:AY$2,MATCH(TRUE,INDEX(U85:AY85&lt;&gt;"",0),0)),"")</f>
        <v/>
      </c>
      <c r="N85" s="51">
        <f>IFERROR(LOOKUP(2,1/(U85:AY85&lt;&gt;""),U$2:AY$2),"")</f>
        <v/>
      </c>
      <c r="O85" s="52" t="n"/>
      <c r="P85" s="52" t="n"/>
      <c r="Q85" s="52" t="n"/>
      <c r="R85" s="44" t="n"/>
      <c r="S85" s="14" t="n"/>
      <c r="U85" s="53" t="n"/>
      <c r="V85" s="53" t="n"/>
      <c r="W85" s="53" t="n"/>
      <c r="X85" s="53" t="n"/>
      <c r="Y85" s="53" t="n"/>
      <c r="Z85" s="53" t="n"/>
      <c r="AA85" s="53" t="n"/>
      <c r="AB85" s="53" t="n"/>
      <c r="AC85" s="53" t="n"/>
      <c r="AD85" s="53" t="n"/>
      <c r="AE85" s="53" t="n"/>
      <c r="AF85" s="53" t="n"/>
      <c r="AG85" s="53" t="n"/>
      <c r="AH85" s="53" t="n"/>
      <c r="AI85" s="53" t="n"/>
      <c r="AJ85" s="53" t="n"/>
      <c r="AK85" s="53" t="n"/>
      <c r="AL85" s="53" t="n"/>
      <c r="AM85" s="53" t="n"/>
      <c r="AN85" s="53" t="n"/>
      <c r="AO85" s="53" t="n"/>
      <c r="AP85" s="53" t="n"/>
      <c r="AQ85" s="53" t="n"/>
      <c r="AR85" s="53" t="n"/>
      <c r="AS85" s="53" t="n"/>
      <c r="AT85" s="53" t="n"/>
      <c r="AU85" s="53" t="n"/>
      <c r="AV85" s="53" t="n"/>
      <c r="AW85" s="53" t="n"/>
      <c r="AX85" s="53" t="n"/>
      <c r="AY85" s="53" t="n"/>
    </row>
    <row r="86" ht="15" customHeight="1">
      <c r="A86" s="54" t="n"/>
      <c r="B86" s="55">
        <f>IF($B$85="","",$B$85)</f>
        <v/>
      </c>
      <c r="C86" s="56" t="inlineStr">
        <is>
          <t>마케팅2팀</t>
        </is>
      </c>
      <c r="D86" s="55">
        <f>IF($D$85="","",$D$85)</f>
        <v/>
      </c>
      <c r="E86" s="57" t="inlineStr">
        <is>
          <t>이미지</t>
        </is>
      </c>
      <c r="F86" s="44" t="n"/>
      <c r="G86" s="58">
        <f>IF($G$85="","",$G$85)</f>
        <v/>
      </c>
      <c r="H86" s="59" t="n"/>
      <c r="I86" s="59" t="n"/>
      <c r="J86" s="59" t="n"/>
      <c r="K86" s="59" t="n"/>
      <c r="L86" s="60">
        <f>IF(SUM(U86:AY86)=0,"",SUM(U86:AY86))</f>
        <v/>
      </c>
      <c r="M86" s="61">
        <f>IFERROR(INDEX(U$2:AY$2,MATCH(TRUE,INDEX(U86:AY86&lt;&gt;"",0),0)),"")</f>
        <v/>
      </c>
      <c r="N86" s="61">
        <f>IFERROR(LOOKUP(2,1/(U86:AY86&lt;&gt;""),U$2:AY$2),"")</f>
        <v/>
      </c>
      <c r="O86" s="59" t="n"/>
      <c r="P86" s="59" t="n"/>
      <c r="Q86" s="59" t="n"/>
      <c r="R86" s="59" t="n"/>
      <c r="S86" s="14" t="n"/>
      <c r="U86" s="53" t="n"/>
      <c r="V86" s="53" t="n"/>
      <c r="W86" s="53" t="n"/>
      <c r="X86" s="53" t="n"/>
      <c r="Y86" s="53" t="n"/>
      <c r="Z86" s="53" t="n"/>
      <c r="AA86" s="53" t="n"/>
      <c r="AB86" s="53" t="n"/>
      <c r="AC86" s="53" t="n"/>
      <c r="AD86" s="53" t="n"/>
      <c r="AE86" s="53" t="n"/>
      <c r="AF86" s="53" t="n"/>
      <c r="AG86" s="53" t="n"/>
      <c r="AH86" s="53" t="n"/>
      <c r="AI86" s="53" t="n"/>
      <c r="AJ86" s="53" t="n"/>
      <c r="AK86" s="53" t="n"/>
      <c r="AL86" s="53" t="n"/>
      <c r="AM86" s="53" t="n"/>
      <c r="AN86" s="53" t="n"/>
      <c r="AO86" s="53" t="n"/>
      <c r="AP86" s="53" t="n"/>
      <c r="AQ86" s="53" t="n"/>
      <c r="AR86" s="53" t="n"/>
      <c r="AS86" s="53" t="n"/>
      <c r="AT86" s="53" t="n"/>
      <c r="AU86" s="53" t="n"/>
      <c r="AV86" s="53" t="n"/>
      <c r="AW86" s="53" t="n"/>
      <c r="AX86" s="53" t="n"/>
      <c r="AY86" s="53" t="n"/>
    </row>
    <row r="87" ht="15" customHeight="1">
      <c r="A87" s="62" t="n"/>
      <c r="B87" s="55">
        <f>IF($B$85="","",$B$85)</f>
        <v/>
      </c>
      <c r="C87" s="63" t="inlineStr">
        <is>
          <t>마케팅2팀</t>
        </is>
      </c>
      <c r="D87" s="55">
        <f>IF($D$85="","",$D$85)</f>
        <v/>
      </c>
      <c r="E87" s="64" t="inlineStr">
        <is>
          <t>영상</t>
        </is>
      </c>
      <c r="F87" s="44" t="n"/>
      <c r="G87" s="58">
        <f>IF($G$85="","",$G$85)</f>
        <v/>
      </c>
      <c r="H87" s="59" t="n"/>
      <c r="I87" s="59" t="n"/>
      <c r="J87" s="59" t="n"/>
      <c r="K87" s="59" t="n"/>
      <c r="L87" s="65">
        <f>IF(SUM(U87:AY87)=0,"",SUM(U87:AY87))</f>
        <v/>
      </c>
      <c r="M87" s="66">
        <f>IFERROR(INDEX(U$2:AY$2,MATCH(TRUE,INDEX(U87:AY87&lt;&gt;"",0),0)),"")</f>
        <v/>
      </c>
      <c r="N87" s="66">
        <f>IFERROR(LOOKUP(2,1/(U87:AY87&lt;&gt;""),U$2:AY$2),"")</f>
        <v/>
      </c>
      <c r="O87" s="59" t="n"/>
      <c r="P87" s="59" t="n"/>
      <c r="Q87" s="59" t="n"/>
      <c r="R87" s="59" t="n"/>
      <c r="S87" s="14" t="n"/>
      <c r="U87" s="53" t="n"/>
      <c r="V87" s="53" t="n"/>
      <c r="W87" s="53" t="n"/>
      <c r="X87" s="53" t="n"/>
      <c r="Y87" s="53" t="n"/>
      <c r="Z87" s="53" t="n"/>
      <c r="AA87" s="53" t="n"/>
      <c r="AB87" s="53" t="n"/>
      <c r="AC87" s="53" t="n"/>
      <c r="AD87" s="53" t="n"/>
      <c r="AE87" s="53" t="n"/>
      <c r="AF87" s="53" t="n"/>
      <c r="AG87" s="53" t="n"/>
      <c r="AH87" s="53" t="n"/>
      <c r="AI87" s="53" t="n"/>
      <c r="AJ87" s="53" t="n"/>
      <c r="AK87" s="53" t="n"/>
      <c r="AL87" s="53" t="n"/>
      <c r="AM87" s="53" t="n"/>
      <c r="AN87" s="53" t="n"/>
      <c r="AO87" s="53" t="n"/>
      <c r="AP87" s="53" t="n"/>
      <c r="AQ87" s="53" t="n"/>
      <c r="AR87" s="53" t="n"/>
      <c r="AS87" s="53" t="n"/>
      <c r="AT87" s="53" t="n"/>
      <c r="AU87" s="53" t="n"/>
      <c r="AV87" s="53" t="n"/>
      <c r="AW87" s="53" t="n"/>
      <c r="AX87" s="53" t="n"/>
      <c r="AY87" s="53" t="n"/>
    </row>
    <row r="88" ht="15" customHeight="1">
      <c r="A88" s="40">
        <f>IF($D$88="","",27)</f>
        <v/>
      </c>
      <c r="B88" s="10" t="n"/>
      <c r="C88" s="41" t="inlineStr">
        <is>
          <t>마케팅2팀</t>
        </is>
      </c>
      <c r="D88" s="42" t="n"/>
      <c r="E88" s="43" t="inlineStr">
        <is>
          <t>기획</t>
        </is>
      </c>
      <c r="F88" s="44" t="n"/>
      <c r="G88" s="45" t="n"/>
      <c r="H88" s="46">
        <f>IF($I$88="","",IF($I$88&lt;0,"🔴지연",IF($I$88&lt;=1,"🟡임박","🟢여유")))</f>
        <v/>
      </c>
      <c r="I88" s="47">
        <f>IF(OR($G$88="",$K$88=""),"",$G$88-$K$88)</f>
        <v/>
      </c>
      <c r="J88" s="48">
        <f>IF(SUM($L$88:$L$90)=0,"",SUM($L$88:$L$90))</f>
        <v/>
      </c>
      <c r="K88" s="49">
        <f>IF($J$88="","",MAX($N$88:$N$90))</f>
        <v/>
      </c>
      <c r="L88" s="50">
        <f>IF(SUM(U88:AY88)=0,"",SUM(U88:AY88))</f>
        <v/>
      </c>
      <c r="M88" s="51">
        <f>IFERROR(INDEX(U$2:AY$2,MATCH(TRUE,INDEX(U88:AY88&lt;&gt;"",0),0)),"")</f>
        <v/>
      </c>
      <c r="N88" s="51">
        <f>IFERROR(LOOKUP(2,1/(U88:AY88&lt;&gt;""),U$2:AY$2),"")</f>
        <v/>
      </c>
      <c r="O88" s="52" t="n"/>
      <c r="P88" s="52" t="n"/>
      <c r="Q88" s="52" t="n"/>
      <c r="R88" s="44" t="n"/>
      <c r="S88" s="14" t="n"/>
      <c r="U88" s="53" t="n"/>
      <c r="V88" s="53" t="n"/>
      <c r="W88" s="53" t="n"/>
      <c r="X88" s="53" t="n"/>
      <c r="Y88" s="53" t="n"/>
      <c r="Z88" s="53" t="n"/>
      <c r="AA88" s="53" t="n"/>
      <c r="AB88" s="53" t="n"/>
      <c r="AC88" s="53" t="n"/>
      <c r="AD88" s="53" t="n"/>
      <c r="AE88" s="53" t="n"/>
      <c r="AF88" s="53" t="n"/>
      <c r="AG88" s="53" t="n"/>
      <c r="AH88" s="53" t="n"/>
      <c r="AI88" s="53" t="n"/>
      <c r="AJ88" s="53" t="n"/>
      <c r="AK88" s="53" t="n"/>
      <c r="AL88" s="53" t="n"/>
      <c r="AM88" s="53" t="n"/>
      <c r="AN88" s="53" t="n"/>
      <c r="AO88" s="53" t="n"/>
      <c r="AP88" s="53" t="n"/>
      <c r="AQ88" s="53" t="n"/>
      <c r="AR88" s="53" t="n"/>
      <c r="AS88" s="53" t="n"/>
      <c r="AT88" s="53" t="n"/>
      <c r="AU88" s="53" t="n"/>
      <c r="AV88" s="53" t="n"/>
      <c r="AW88" s="53" t="n"/>
      <c r="AX88" s="53" t="n"/>
      <c r="AY88" s="53" t="n"/>
    </row>
    <row r="89" ht="15" customHeight="1">
      <c r="A89" s="54" t="n"/>
      <c r="B89" s="55">
        <f>IF($B$88="","",$B$88)</f>
        <v/>
      </c>
      <c r="C89" s="56" t="inlineStr">
        <is>
          <t>마케팅2팀</t>
        </is>
      </c>
      <c r="D89" s="55">
        <f>IF($D$88="","",$D$88)</f>
        <v/>
      </c>
      <c r="E89" s="57" t="inlineStr">
        <is>
          <t>이미지</t>
        </is>
      </c>
      <c r="F89" s="44" t="n"/>
      <c r="G89" s="58">
        <f>IF($G$88="","",$G$88)</f>
        <v/>
      </c>
      <c r="H89" s="59" t="n"/>
      <c r="I89" s="59" t="n"/>
      <c r="J89" s="59" t="n"/>
      <c r="K89" s="59" t="n"/>
      <c r="L89" s="60">
        <f>IF(SUM(U89:AY89)=0,"",SUM(U89:AY89))</f>
        <v/>
      </c>
      <c r="M89" s="61">
        <f>IFERROR(INDEX(U$2:AY$2,MATCH(TRUE,INDEX(U89:AY89&lt;&gt;"",0),0)),"")</f>
        <v/>
      </c>
      <c r="N89" s="61">
        <f>IFERROR(LOOKUP(2,1/(U89:AY89&lt;&gt;""),U$2:AY$2),"")</f>
        <v/>
      </c>
      <c r="O89" s="59" t="n"/>
      <c r="P89" s="59" t="n"/>
      <c r="Q89" s="59" t="n"/>
      <c r="R89" s="59" t="n"/>
      <c r="S89" s="14" t="n"/>
      <c r="U89" s="53" t="n"/>
      <c r="V89" s="53" t="n"/>
      <c r="W89" s="53" t="n"/>
      <c r="X89" s="53" t="n"/>
      <c r="Y89" s="53" t="n"/>
      <c r="Z89" s="53" t="n"/>
      <c r="AA89" s="53" t="n"/>
      <c r="AB89" s="53" t="n"/>
      <c r="AC89" s="53" t="n"/>
      <c r="AD89" s="53" t="n"/>
      <c r="AE89" s="53" t="n"/>
      <c r="AF89" s="53" t="n"/>
      <c r="AG89" s="53" t="n"/>
      <c r="AH89" s="53" t="n"/>
      <c r="AI89" s="53" t="n"/>
      <c r="AJ89" s="53" t="n"/>
      <c r="AK89" s="53" t="n"/>
      <c r="AL89" s="53" t="n"/>
      <c r="AM89" s="53" t="n"/>
      <c r="AN89" s="53" t="n"/>
      <c r="AO89" s="53" t="n"/>
      <c r="AP89" s="53" t="n"/>
      <c r="AQ89" s="53" t="n"/>
      <c r="AR89" s="53" t="n"/>
      <c r="AS89" s="53" t="n"/>
      <c r="AT89" s="53" t="n"/>
      <c r="AU89" s="53" t="n"/>
      <c r="AV89" s="53" t="n"/>
      <c r="AW89" s="53" t="n"/>
      <c r="AX89" s="53" t="n"/>
      <c r="AY89" s="53" t="n"/>
    </row>
    <row r="90" ht="15" customHeight="1">
      <c r="A90" s="62" t="n"/>
      <c r="B90" s="55">
        <f>IF($B$88="","",$B$88)</f>
        <v/>
      </c>
      <c r="C90" s="63" t="inlineStr">
        <is>
          <t>마케팅2팀</t>
        </is>
      </c>
      <c r="D90" s="55">
        <f>IF($D$88="","",$D$88)</f>
        <v/>
      </c>
      <c r="E90" s="64" t="inlineStr">
        <is>
          <t>영상</t>
        </is>
      </c>
      <c r="F90" s="44" t="n"/>
      <c r="G90" s="58">
        <f>IF($G$88="","",$G$88)</f>
        <v/>
      </c>
      <c r="H90" s="59" t="n"/>
      <c r="I90" s="59" t="n"/>
      <c r="J90" s="59" t="n"/>
      <c r="K90" s="59" t="n"/>
      <c r="L90" s="65">
        <f>IF(SUM(U90:AY90)=0,"",SUM(U90:AY90))</f>
        <v/>
      </c>
      <c r="M90" s="66">
        <f>IFERROR(INDEX(U$2:AY$2,MATCH(TRUE,INDEX(U90:AY90&lt;&gt;"",0),0)),"")</f>
        <v/>
      </c>
      <c r="N90" s="66">
        <f>IFERROR(LOOKUP(2,1/(U90:AY90&lt;&gt;""),U$2:AY$2),"")</f>
        <v/>
      </c>
      <c r="O90" s="59" t="n"/>
      <c r="P90" s="59" t="n"/>
      <c r="Q90" s="59" t="n"/>
      <c r="R90" s="59" t="n"/>
      <c r="S90" s="14" t="n"/>
      <c r="U90" s="53" t="n"/>
      <c r="V90" s="53" t="n"/>
      <c r="W90" s="53" t="n"/>
      <c r="X90" s="53" t="n"/>
      <c r="Y90" s="53" t="n"/>
      <c r="Z90" s="53" t="n"/>
      <c r="AA90" s="53" t="n"/>
      <c r="AB90" s="53" t="n"/>
      <c r="AC90" s="53" t="n"/>
      <c r="AD90" s="53" t="n"/>
      <c r="AE90" s="53" t="n"/>
      <c r="AF90" s="53" t="n"/>
      <c r="AG90" s="53" t="n"/>
      <c r="AH90" s="53" t="n"/>
      <c r="AI90" s="53" t="n"/>
      <c r="AJ90" s="53" t="n"/>
      <c r="AK90" s="53" t="n"/>
      <c r="AL90" s="53" t="n"/>
      <c r="AM90" s="53" t="n"/>
      <c r="AN90" s="53" t="n"/>
      <c r="AO90" s="53" t="n"/>
      <c r="AP90" s="53" t="n"/>
      <c r="AQ90" s="53" t="n"/>
      <c r="AR90" s="53" t="n"/>
      <c r="AS90" s="53" t="n"/>
      <c r="AT90" s="53" t="n"/>
      <c r="AU90" s="53" t="n"/>
      <c r="AV90" s="53" t="n"/>
      <c r="AW90" s="53" t="n"/>
      <c r="AX90" s="53" t="n"/>
      <c r="AY90" s="53" t="n"/>
    </row>
    <row r="91" ht="15" customHeight="1">
      <c r="A91" s="40">
        <f>IF($D$91="","",28)</f>
        <v/>
      </c>
      <c r="B91" s="10" t="n"/>
      <c r="C91" s="41" t="inlineStr">
        <is>
          <t>마케팅2팀</t>
        </is>
      </c>
      <c r="D91" s="42" t="n"/>
      <c r="E91" s="43" t="inlineStr">
        <is>
          <t>기획</t>
        </is>
      </c>
      <c r="F91" s="44" t="n"/>
      <c r="G91" s="45" t="n"/>
      <c r="H91" s="46">
        <f>IF($I$91="","",IF($I$91&lt;0,"🔴지연",IF($I$91&lt;=1,"🟡임박","🟢여유")))</f>
        <v/>
      </c>
      <c r="I91" s="47">
        <f>IF(OR($G$91="",$K$91=""),"",$G$91-$K$91)</f>
        <v/>
      </c>
      <c r="J91" s="48">
        <f>IF(SUM($L$91:$L$93)=0,"",SUM($L$91:$L$93))</f>
        <v/>
      </c>
      <c r="K91" s="49">
        <f>IF($J$91="","",MAX($N$91:$N$93))</f>
        <v/>
      </c>
      <c r="L91" s="50">
        <f>IF(SUM(U91:AY91)=0,"",SUM(U91:AY91))</f>
        <v/>
      </c>
      <c r="M91" s="51">
        <f>IFERROR(INDEX(U$2:AY$2,MATCH(TRUE,INDEX(U91:AY91&lt;&gt;"",0),0)),"")</f>
        <v/>
      </c>
      <c r="N91" s="51">
        <f>IFERROR(LOOKUP(2,1/(U91:AY91&lt;&gt;""),U$2:AY$2),"")</f>
        <v/>
      </c>
      <c r="O91" s="52" t="n"/>
      <c r="P91" s="52" t="n"/>
      <c r="Q91" s="52" t="n"/>
      <c r="R91" s="44" t="n"/>
      <c r="S91" s="14" t="n"/>
      <c r="U91" s="53" t="n"/>
      <c r="V91" s="53" t="n"/>
      <c r="W91" s="53" t="n"/>
      <c r="X91" s="53" t="n"/>
      <c r="Y91" s="53" t="n"/>
      <c r="Z91" s="53" t="n"/>
      <c r="AA91" s="53" t="n"/>
      <c r="AB91" s="53" t="n"/>
      <c r="AC91" s="53" t="n"/>
      <c r="AD91" s="53" t="n"/>
      <c r="AE91" s="53" t="n"/>
      <c r="AF91" s="53" t="n"/>
      <c r="AG91" s="53" t="n"/>
      <c r="AH91" s="53" t="n"/>
      <c r="AI91" s="53" t="n"/>
      <c r="AJ91" s="53" t="n"/>
      <c r="AK91" s="53" t="n"/>
      <c r="AL91" s="53" t="n"/>
      <c r="AM91" s="53" t="n"/>
      <c r="AN91" s="53" t="n"/>
      <c r="AO91" s="53" t="n"/>
      <c r="AP91" s="53" t="n"/>
      <c r="AQ91" s="53" t="n"/>
      <c r="AR91" s="53" t="n"/>
      <c r="AS91" s="53" t="n"/>
      <c r="AT91" s="53" t="n"/>
      <c r="AU91" s="53" t="n"/>
      <c r="AV91" s="53" t="n"/>
      <c r="AW91" s="53" t="n"/>
      <c r="AX91" s="53" t="n"/>
      <c r="AY91" s="53" t="n"/>
    </row>
    <row r="92" ht="15" customHeight="1">
      <c r="A92" s="54" t="n"/>
      <c r="B92" s="55">
        <f>IF($B$91="","",$B$91)</f>
        <v/>
      </c>
      <c r="C92" s="56" t="inlineStr">
        <is>
          <t>마케팅2팀</t>
        </is>
      </c>
      <c r="D92" s="55">
        <f>IF($D$91="","",$D$91)</f>
        <v/>
      </c>
      <c r="E92" s="57" t="inlineStr">
        <is>
          <t>이미지</t>
        </is>
      </c>
      <c r="F92" s="44" t="n"/>
      <c r="G92" s="58">
        <f>IF($G$91="","",$G$91)</f>
        <v/>
      </c>
      <c r="H92" s="59" t="n"/>
      <c r="I92" s="59" t="n"/>
      <c r="J92" s="59" t="n"/>
      <c r="K92" s="59" t="n"/>
      <c r="L92" s="60">
        <f>IF(SUM(U92:AY92)=0,"",SUM(U92:AY92))</f>
        <v/>
      </c>
      <c r="M92" s="61">
        <f>IFERROR(INDEX(U$2:AY$2,MATCH(TRUE,INDEX(U92:AY92&lt;&gt;"",0),0)),"")</f>
        <v/>
      </c>
      <c r="N92" s="61">
        <f>IFERROR(LOOKUP(2,1/(U92:AY92&lt;&gt;""),U$2:AY$2),"")</f>
        <v/>
      </c>
      <c r="O92" s="59" t="n"/>
      <c r="P92" s="59" t="n"/>
      <c r="Q92" s="59" t="n"/>
      <c r="R92" s="59" t="n"/>
      <c r="S92" s="14" t="n"/>
      <c r="U92" s="53" t="n"/>
      <c r="V92" s="53" t="n"/>
      <c r="W92" s="53" t="n"/>
      <c r="X92" s="53" t="n"/>
      <c r="Y92" s="53" t="n"/>
      <c r="Z92" s="53" t="n"/>
      <c r="AA92" s="53" t="n"/>
      <c r="AB92" s="53" t="n"/>
      <c r="AC92" s="53" t="n"/>
      <c r="AD92" s="53" t="n"/>
      <c r="AE92" s="53" t="n"/>
      <c r="AF92" s="53" t="n"/>
      <c r="AG92" s="53" t="n"/>
      <c r="AH92" s="53" t="n"/>
      <c r="AI92" s="53" t="n"/>
      <c r="AJ92" s="53" t="n"/>
      <c r="AK92" s="53" t="n"/>
      <c r="AL92" s="53" t="n"/>
      <c r="AM92" s="53" t="n"/>
      <c r="AN92" s="53" t="n"/>
      <c r="AO92" s="53" t="n"/>
      <c r="AP92" s="53" t="n"/>
      <c r="AQ92" s="53" t="n"/>
      <c r="AR92" s="53" t="n"/>
      <c r="AS92" s="53" t="n"/>
      <c r="AT92" s="53" t="n"/>
      <c r="AU92" s="53" t="n"/>
      <c r="AV92" s="53" t="n"/>
      <c r="AW92" s="53" t="n"/>
      <c r="AX92" s="53" t="n"/>
      <c r="AY92" s="53" t="n"/>
    </row>
    <row r="93" ht="15" customHeight="1">
      <c r="A93" s="62" t="n"/>
      <c r="B93" s="55">
        <f>IF($B$91="","",$B$91)</f>
        <v/>
      </c>
      <c r="C93" s="63" t="inlineStr">
        <is>
          <t>마케팅2팀</t>
        </is>
      </c>
      <c r="D93" s="55">
        <f>IF($D$91="","",$D$91)</f>
        <v/>
      </c>
      <c r="E93" s="64" t="inlineStr">
        <is>
          <t>영상</t>
        </is>
      </c>
      <c r="F93" s="44" t="n"/>
      <c r="G93" s="58">
        <f>IF($G$91="","",$G$91)</f>
        <v/>
      </c>
      <c r="H93" s="59" t="n"/>
      <c r="I93" s="59" t="n"/>
      <c r="J93" s="59" t="n"/>
      <c r="K93" s="59" t="n"/>
      <c r="L93" s="65">
        <f>IF(SUM(U93:AY93)=0,"",SUM(U93:AY93))</f>
        <v/>
      </c>
      <c r="M93" s="66">
        <f>IFERROR(INDEX(U$2:AY$2,MATCH(TRUE,INDEX(U93:AY93&lt;&gt;"",0),0)),"")</f>
        <v/>
      </c>
      <c r="N93" s="66">
        <f>IFERROR(LOOKUP(2,1/(U93:AY93&lt;&gt;""),U$2:AY$2),"")</f>
        <v/>
      </c>
      <c r="O93" s="59" t="n"/>
      <c r="P93" s="59" t="n"/>
      <c r="Q93" s="59" t="n"/>
      <c r="R93" s="59" t="n"/>
      <c r="S93" s="14" t="n"/>
      <c r="U93" s="53" t="n"/>
      <c r="V93" s="53" t="n"/>
      <c r="W93" s="53" t="n"/>
      <c r="X93" s="53" t="n"/>
      <c r="Y93" s="53" t="n"/>
      <c r="Z93" s="53" t="n"/>
      <c r="AA93" s="53" t="n"/>
      <c r="AB93" s="53" t="n"/>
      <c r="AC93" s="53" t="n"/>
      <c r="AD93" s="53" t="n"/>
      <c r="AE93" s="53" t="n"/>
      <c r="AF93" s="53" t="n"/>
      <c r="AG93" s="53" t="n"/>
      <c r="AH93" s="53" t="n"/>
      <c r="AI93" s="53" t="n"/>
      <c r="AJ93" s="53" t="n"/>
      <c r="AK93" s="53" t="n"/>
      <c r="AL93" s="53" t="n"/>
      <c r="AM93" s="53" t="n"/>
      <c r="AN93" s="53" t="n"/>
      <c r="AO93" s="53" t="n"/>
      <c r="AP93" s="53" t="n"/>
      <c r="AQ93" s="53" t="n"/>
      <c r="AR93" s="53" t="n"/>
      <c r="AS93" s="53" t="n"/>
      <c r="AT93" s="53" t="n"/>
      <c r="AU93" s="53" t="n"/>
      <c r="AV93" s="53" t="n"/>
      <c r="AW93" s="53" t="n"/>
      <c r="AX93" s="53" t="n"/>
      <c r="AY93" s="53" t="n"/>
    </row>
    <row r="94" ht="15" customHeight="1">
      <c r="A94" s="40">
        <f>IF($D$94="","",29)</f>
        <v/>
      </c>
      <c r="B94" s="10" t="n"/>
      <c r="C94" s="41" t="inlineStr">
        <is>
          <t>마케팅2팀</t>
        </is>
      </c>
      <c r="D94" s="42" t="n"/>
      <c r="E94" s="43" t="inlineStr">
        <is>
          <t>기획</t>
        </is>
      </c>
      <c r="F94" s="44" t="n"/>
      <c r="G94" s="45" t="n"/>
      <c r="H94" s="46">
        <f>IF($I$94="","",IF($I$94&lt;0,"🔴지연",IF($I$94&lt;=1,"🟡임박","🟢여유")))</f>
        <v/>
      </c>
      <c r="I94" s="47">
        <f>IF(OR($G$94="",$K$94=""),"",$G$94-$K$94)</f>
        <v/>
      </c>
      <c r="J94" s="48">
        <f>IF(SUM($L$94:$L$96)=0,"",SUM($L$94:$L$96))</f>
        <v/>
      </c>
      <c r="K94" s="49">
        <f>IF($J$94="","",MAX($N$94:$N$96))</f>
        <v/>
      </c>
      <c r="L94" s="50">
        <f>IF(SUM(U94:AY94)=0,"",SUM(U94:AY94))</f>
        <v/>
      </c>
      <c r="M94" s="51">
        <f>IFERROR(INDEX(U$2:AY$2,MATCH(TRUE,INDEX(U94:AY94&lt;&gt;"",0),0)),"")</f>
        <v/>
      </c>
      <c r="N94" s="51">
        <f>IFERROR(LOOKUP(2,1/(U94:AY94&lt;&gt;""),U$2:AY$2),"")</f>
        <v/>
      </c>
      <c r="O94" s="52" t="n"/>
      <c r="P94" s="52" t="n"/>
      <c r="Q94" s="52" t="n"/>
      <c r="R94" s="44" t="n"/>
      <c r="S94" s="14" t="n"/>
      <c r="U94" s="53" t="n"/>
      <c r="V94" s="53" t="n"/>
      <c r="W94" s="53" t="n"/>
      <c r="X94" s="53" t="n"/>
      <c r="Y94" s="53" t="n"/>
      <c r="Z94" s="53" t="n"/>
      <c r="AA94" s="53" t="n"/>
      <c r="AB94" s="53" t="n"/>
      <c r="AC94" s="53" t="n"/>
      <c r="AD94" s="53" t="n"/>
      <c r="AE94" s="53" t="n"/>
      <c r="AF94" s="53" t="n"/>
      <c r="AG94" s="53" t="n"/>
      <c r="AH94" s="53" t="n"/>
      <c r="AI94" s="53" t="n"/>
      <c r="AJ94" s="53" t="n"/>
      <c r="AK94" s="53" t="n"/>
      <c r="AL94" s="53" t="n"/>
      <c r="AM94" s="53" t="n"/>
      <c r="AN94" s="53" t="n"/>
      <c r="AO94" s="53" t="n"/>
      <c r="AP94" s="53" t="n"/>
      <c r="AQ94" s="53" t="n"/>
      <c r="AR94" s="53" t="n"/>
      <c r="AS94" s="53" t="n"/>
      <c r="AT94" s="53" t="n"/>
      <c r="AU94" s="53" t="n"/>
      <c r="AV94" s="53" t="n"/>
      <c r="AW94" s="53" t="n"/>
      <c r="AX94" s="53" t="n"/>
      <c r="AY94" s="53" t="n"/>
    </row>
    <row r="95" ht="15" customHeight="1">
      <c r="A95" s="54" t="n"/>
      <c r="B95" s="55">
        <f>IF($B$94="","",$B$94)</f>
        <v/>
      </c>
      <c r="C95" s="56" t="inlineStr">
        <is>
          <t>마케팅2팀</t>
        </is>
      </c>
      <c r="D95" s="55">
        <f>IF($D$94="","",$D$94)</f>
        <v/>
      </c>
      <c r="E95" s="57" t="inlineStr">
        <is>
          <t>이미지</t>
        </is>
      </c>
      <c r="F95" s="44" t="n"/>
      <c r="G95" s="58">
        <f>IF($G$94="","",$G$94)</f>
        <v/>
      </c>
      <c r="H95" s="59" t="n"/>
      <c r="I95" s="59" t="n"/>
      <c r="J95" s="59" t="n"/>
      <c r="K95" s="59" t="n"/>
      <c r="L95" s="60">
        <f>IF(SUM(U95:AY95)=0,"",SUM(U95:AY95))</f>
        <v/>
      </c>
      <c r="M95" s="61">
        <f>IFERROR(INDEX(U$2:AY$2,MATCH(TRUE,INDEX(U95:AY95&lt;&gt;"",0),0)),"")</f>
        <v/>
      </c>
      <c r="N95" s="61">
        <f>IFERROR(LOOKUP(2,1/(U95:AY95&lt;&gt;""),U$2:AY$2),"")</f>
        <v/>
      </c>
      <c r="O95" s="59" t="n"/>
      <c r="P95" s="59" t="n"/>
      <c r="Q95" s="59" t="n"/>
      <c r="R95" s="59" t="n"/>
      <c r="S95" s="14" t="n"/>
      <c r="U95" s="53" t="n"/>
      <c r="V95" s="53" t="n"/>
      <c r="W95" s="53" t="n"/>
      <c r="X95" s="53" t="n"/>
      <c r="Y95" s="53" t="n"/>
      <c r="Z95" s="53" t="n"/>
      <c r="AA95" s="53" t="n"/>
      <c r="AB95" s="53" t="n"/>
      <c r="AC95" s="53" t="n"/>
      <c r="AD95" s="53" t="n"/>
      <c r="AE95" s="53" t="n"/>
      <c r="AF95" s="53" t="n"/>
      <c r="AG95" s="53" t="n"/>
      <c r="AH95" s="53" t="n"/>
      <c r="AI95" s="53" t="n"/>
      <c r="AJ95" s="53" t="n"/>
      <c r="AK95" s="53" t="n"/>
      <c r="AL95" s="53" t="n"/>
      <c r="AM95" s="53" t="n"/>
      <c r="AN95" s="53" t="n"/>
      <c r="AO95" s="53" t="n"/>
      <c r="AP95" s="53" t="n"/>
      <c r="AQ95" s="53" t="n"/>
      <c r="AR95" s="53" t="n"/>
      <c r="AS95" s="53" t="n"/>
      <c r="AT95" s="53" t="n"/>
      <c r="AU95" s="53" t="n"/>
      <c r="AV95" s="53" t="n"/>
      <c r="AW95" s="53" t="n"/>
      <c r="AX95" s="53" t="n"/>
      <c r="AY95" s="53" t="n"/>
    </row>
    <row r="96" ht="15" customHeight="1">
      <c r="A96" s="62" t="n"/>
      <c r="B96" s="55">
        <f>IF($B$94="","",$B$94)</f>
        <v/>
      </c>
      <c r="C96" s="63" t="inlineStr">
        <is>
          <t>마케팅2팀</t>
        </is>
      </c>
      <c r="D96" s="55">
        <f>IF($D$94="","",$D$94)</f>
        <v/>
      </c>
      <c r="E96" s="64" t="inlineStr">
        <is>
          <t>영상</t>
        </is>
      </c>
      <c r="F96" s="44" t="n"/>
      <c r="G96" s="58">
        <f>IF($G$94="","",$G$94)</f>
        <v/>
      </c>
      <c r="H96" s="59" t="n"/>
      <c r="I96" s="59" t="n"/>
      <c r="J96" s="59" t="n"/>
      <c r="K96" s="59" t="n"/>
      <c r="L96" s="65">
        <f>IF(SUM(U96:AY96)=0,"",SUM(U96:AY96))</f>
        <v/>
      </c>
      <c r="M96" s="66">
        <f>IFERROR(INDEX(U$2:AY$2,MATCH(TRUE,INDEX(U96:AY96&lt;&gt;"",0),0)),"")</f>
        <v/>
      </c>
      <c r="N96" s="66">
        <f>IFERROR(LOOKUP(2,1/(U96:AY96&lt;&gt;""),U$2:AY$2),"")</f>
        <v/>
      </c>
      <c r="O96" s="59" t="n"/>
      <c r="P96" s="59" t="n"/>
      <c r="Q96" s="59" t="n"/>
      <c r="R96" s="59" t="n"/>
      <c r="S96" s="14" t="n"/>
      <c r="U96" s="53" t="n"/>
      <c r="V96" s="53" t="n"/>
      <c r="W96" s="53" t="n"/>
      <c r="X96" s="53" t="n"/>
      <c r="Y96" s="53" t="n"/>
      <c r="Z96" s="53" t="n"/>
      <c r="AA96" s="53" t="n"/>
      <c r="AB96" s="53" t="n"/>
      <c r="AC96" s="53" t="n"/>
      <c r="AD96" s="53" t="n"/>
      <c r="AE96" s="53" t="n"/>
      <c r="AF96" s="53" t="n"/>
      <c r="AG96" s="53" t="n"/>
      <c r="AH96" s="53" t="n"/>
      <c r="AI96" s="53" t="n"/>
      <c r="AJ96" s="53" t="n"/>
      <c r="AK96" s="53" t="n"/>
      <c r="AL96" s="53" t="n"/>
      <c r="AM96" s="53" t="n"/>
      <c r="AN96" s="53" t="n"/>
      <c r="AO96" s="53" t="n"/>
      <c r="AP96" s="53" t="n"/>
      <c r="AQ96" s="53" t="n"/>
      <c r="AR96" s="53" t="n"/>
      <c r="AS96" s="53" t="n"/>
      <c r="AT96" s="53" t="n"/>
      <c r="AU96" s="53" t="n"/>
      <c r="AV96" s="53" t="n"/>
      <c r="AW96" s="53" t="n"/>
      <c r="AX96" s="53" t="n"/>
      <c r="AY96" s="53" t="n"/>
    </row>
    <row r="97" ht="15" customHeight="1">
      <c r="A97" s="40">
        <f>IF($D$97="","",30)</f>
        <v/>
      </c>
      <c r="B97" s="10" t="n"/>
      <c r="C97" s="41" t="inlineStr">
        <is>
          <t>마케팅2팀</t>
        </is>
      </c>
      <c r="D97" s="42" t="n"/>
      <c r="E97" s="43" t="inlineStr">
        <is>
          <t>기획</t>
        </is>
      </c>
      <c r="F97" s="44" t="n"/>
      <c r="G97" s="45" t="n"/>
      <c r="H97" s="46">
        <f>IF($I$97="","",IF($I$97&lt;0,"🔴지연",IF($I$97&lt;=1,"🟡임박","🟢여유")))</f>
        <v/>
      </c>
      <c r="I97" s="47">
        <f>IF(OR($G$97="",$K$97=""),"",$G$97-$K$97)</f>
        <v/>
      </c>
      <c r="J97" s="48">
        <f>IF(SUM($L$97:$L$99)=0,"",SUM($L$97:$L$99))</f>
        <v/>
      </c>
      <c r="K97" s="49">
        <f>IF($J$97="","",MAX($N$97:$N$99))</f>
        <v/>
      </c>
      <c r="L97" s="50">
        <f>IF(SUM(U97:AY97)=0,"",SUM(U97:AY97))</f>
        <v/>
      </c>
      <c r="M97" s="51">
        <f>IFERROR(INDEX(U$2:AY$2,MATCH(TRUE,INDEX(U97:AY97&lt;&gt;"",0),0)),"")</f>
        <v/>
      </c>
      <c r="N97" s="51">
        <f>IFERROR(LOOKUP(2,1/(U97:AY97&lt;&gt;""),U$2:AY$2),"")</f>
        <v/>
      </c>
      <c r="O97" s="52" t="n"/>
      <c r="P97" s="52" t="n"/>
      <c r="Q97" s="52" t="n"/>
      <c r="R97" s="44" t="n"/>
      <c r="S97" s="14" t="n"/>
      <c r="U97" s="53" t="n"/>
      <c r="V97" s="53" t="n"/>
      <c r="W97" s="53" t="n"/>
      <c r="X97" s="53" t="n"/>
      <c r="Y97" s="53" t="n"/>
      <c r="Z97" s="53" t="n"/>
      <c r="AA97" s="53" t="n"/>
      <c r="AB97" s="53" t="n"/>
      <c r="AC97" s="53" t="n"/>
      <c r="AD97" s="53" t="n"/>
      <c r="AE97" s="53" t="n"/>
      <c r="AF97" s="53" t="n"/>
      <c r="AG97" s="53" t="n"/>
      <c r="AH97" s="53" t="n"/>
      <c r="AI97" s="53" t="n"/>
      <c r="AJ97" s="53" t="n"/>
      <c r="AK97" s="53" t="n"/>
      <c r="AL97" s="53" t="n"/>
      <c r="AM97" s="53" t="n"/>
      <c r="AN97" s="53" t="n"/>
      <c r="AO97" s="53" t="n"/>
      <c r="AP97" s="53" t="n"/>
      <c r="AQ97" s="53" t="n"/>
      <c r="AR97" s="53" t="n"/>
      <c r="AS97" s="53" t="n"/>
      <c r="AT97" s="53" t="n"/>
      <c r="AU97" s="53" t="n"/>
      <c r="AV97" s="53" t="n"/>
      <c r="AW97" s="53" t="n"/>
      <c r="AX97" s="53" t="n"/>
      <c r="AY97" s="53" t="n"/>
    </row>
    <row r="98" ht="15" customHeight="1">
      <c r="A98" s="54" t="n"/>
      <c r="B98" s="55">
        <f>IF($B$97="","",$B$97)</f>
        <v/>
      </c>
      <c r="C98" s="56" t="inlineStr">
        <is>
          <t>마케팅2팀</t>
        </is>
      </c>
      <c r="D98" s="55">
        <f>IF($D$97="","",$D$97)</f>
        <v/>
      </c>
      <c r="E98" s="57" t="inlineStr">
        <is>
          <t>이미지</t>
        </is>
      </c>
      <c r="F98" s="44" t="n"/>
      <c r="G98" s="58">
        <f>IF($G$97="","",$G$97)</f>
        <v/>
      </c>
      <c r="H98" s="59" t="n"/>
      <c r="I98" s="59" t="n"/>
      <c r="J98" s="59" t="n"/>
      <c r="K98" s="59" t="n"/>
      <c r="L98" s="60">
        <f>IF(SUM(U98:AY98)=0,"",SUM(U98:AY98))</f>
        <v/>
      </c>
      <c r="M98" s="61">
        <f>IFERROR(INDEX(U$2:AY$2,MATCH(TRUE,INDEX(U98:AY98&lt;&gt;"",0),0)),"")</f>
        <v/>
      </c>
      <c r="N98" s="61">
        <f>IFERROR(LOOKUP(2,1/(U98:AY98&lt;&gt;""),U$2:AY$2),"")</f>
        <v/>
      </c>
      <c r="O98" s="59" t="n"/>
      <c r="P98" s="59" t="n"/>
      <c r="Q98" s="59" t="n"/>
      <c r="R98" s="59" t="n"/>
      <c r="S98" s="14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3" t="n"/>
      <c r="AN98" s="53" t="n"/>
      <c r="AO98" s="53" t="n"/>
      <c r="AP98" s="53" t="n"/>
      <c r="AQ98" s="53" t="n"/>
      <c r="AR98" s="53" t="n"/>
      <c r="AS98" s="53" t="n"/>
      <c r="AT98" s="53" t="n"/>
      <c r="AU98" s="53" t="n"/>
      <c r="AV98" s="53" t="n"/>
      <c r="AW98" s="53" t="n"/>
      <c r="AX98" s="53" t="n"/>
      <c r="AY98" s="53" t="n"/>
    </row>
    <row r="99" ht="15" customHeight="1">
      <c r="A99" s="62" t="n"/>
      <c r="B99" s="55">
        <f>IF($B$97="","",$B$97)</f>
        <v/>
      </c>
      <c r="C99" s="63" t="inlineStr">
        <is>
          <t>마케팅2팀</t>
        </is>
      </c>
      <c r="D99" s="55">
        <f>IF($D$97="","",$D$97)</f>
        <v/>
      </c>
      <c r="E99" s="64" t="inlineStr">
        <is>
          <t>영상</t>
        </is>
      </c>
      <c r="F99" s="44" t="n"/>
      <c r="G99" s="58">
        <f>IF($G$97="","",$G$97)</f>
        <v/>
      </c>
      <c r="H99" s="59" t="n"/>
      <c r="I99" s="59" t="n"/>
      <c r="J99" s="59" t="n"/>
      <c r="K99" s="59" t="n"/>
      <c r="L99" s="65">
        <f>IF(SUM(U99:AY99)=0,"",SUM(U99:AY99))</f>
        <v/>
      </c>
      <c r="M99" s="66">
        <f>IFERROR(INDEX(U$2:AY$2,MATCH(TRUE,INDEX(U99:AY99&lt;&gt;"",0),0)),"")</f>
        <v/>
      </c>
      <c r="N99" s="66">
        <f>IFERROR(LOOKUP(2,1/(U99:AY99&lt;&gt;""),U$2:AY$2),"")</f>
        <v/>
      </c>
      <c r="O99" s="59" t="n"/>
      <c r="P99" s="59" t="n"/>
      <c r="Q99" s="59" t="n"/>
      <c r="R99" s="59" t="n"/>
      <c r="S99" s="14" t="n"/>
      <c r="U99" s="53" t="n"/>
      <c r="V99" s="53" t="n"/>
      <c r="W99" s="53" t="n"/>
      <c r="X99" s="53" t="n"/>
      <c r="Y99" s="53" t="n"/>
      <c r="Z99" s="53" t="n"/>
      <c r="AA99" s="53" t="n"/>
      <c r="AB99" s="53" t="n"/>
      <c r="AC99" s="53" t="n"/>
      <c r="AD99" s="53" t="n"/>
      <c r="AE99" s="53" t="n"/>
      <c r="AF99" s="53" t="n"/>
      <c r="AG99" s="53" t="n"/>
      <c r="AH99" s="53" t="n"/>
      <c r="AI99" s="53" t="n"/>
      <c r="AJ99" s="53" t="n"/>
      <c r="AK99" s="53" t="n"/>
      <c r="AL99" s="53" t="n"/>
      <c r="AM99" s="53" t="n"/>
      <c r="AN99" s="53" t="n"/>
      <c r="AO99" s="53" t="n"/>
      <c r="AP99" s="53" t="n"/>
      <c r="AQ99" s="53" t="n"/>
      <c r="AR99" s="53" t="n"/>
      <c r="AS99" s="53" t="n"/>
      <c r="AT99" s="53" t="n"/>
      <c r="AU99" s="53" t="n"/>
      <c r="AV99" s="53" t="n"/>
      <c r="AW99" s="53" t="n"/>
      <c r="AX99" s="53" t="n"/>
      <c r="AY99" s="53" t="n"/>
    </row>
    <row r="100" ht="15" customHeight="1">
      <c r="A100" s="40">
        <f>IF($D$100="","",31)</f>
        <v/>
      </c>
      <c r="B100" s="10" t="n"/>
      <c r="C100" s="41" t="inlineStr">
        <is>
          <t>마케팅2팀</t>
        </is>
      </c>
      <c r="D100" s="42" t="n"/>
      <c r="E100" s="43" t="inlineStr">
        <is>
          <t>기획</t>
        </is>
      </c>
      <c r="F100" s="44" t="n"/>
      <c r="G100" s="45" t="n"/>
      <c r="H100" s="46">
        <f>IF($I$100="","",IF($I$100&lt;0,"🔴지연",IF($I$100&lt;=1,"🟡임박","🟢여유")))</f>
        <v/>
      </c>
      <c r="I100" s="47">
        <f>IF(OR($G$100="",$K$100=""),"",$G$100-$K$100)</f>
        <v/>
      </c>
      <c r="J100" s="48">
        <f>IF(SUM($L$100:$L$102)=0,"",SUM($L$100:$L$102))</f>
        <v/>
      </c>
      <c r="K100" s="49">
        <f>IF($J$100="","",MAX($N$100:$N$102))</f>
        <v/>
      </c>
      <c r="L100" s="50">
        <f>IF(SUM(U100:AY100)=0,"",SUM(U100:AY100))</f>
        <v/>
      </c>
      <c r="M100" s="51">
        <f>IFERROR(INDEX(U$2:AY$2,MATCH(TRUE,INDEX(U100:AY100&lt;&gt;"",0),0)),"")</f>
        <v/>
      </c>
      <c r="N100" s="51">
        <f>IFERROR(LOOKUP(2,1/(U100:AY100&lt;&gt;""),U$2:AY$2),"")</f>
        <v/>
      </c>
      <c r="O100" s="52" t="n"/>
      <c r="P100" s="52" t="n"/>
      <c r="Q100" s="52" t="n"/>
      <c r="R100" s="44" t="n"/>
      <c r="S100" s="14" t="n"/>
      <c r="U100" s="53" t="n"/>
      <c r="V100" s="53" t="n"/>
      <c r="W100" s="53" t="n"/>
      <c r="X100" s="53" t="n"/>
      <c r="Y100" s="53" t="n"/>
      <c r="Z100" s="53" t="n"/>
      <c r="AA100" s="53" t="n"/>
      <c r="AB100" s="53" t="n"/>
      <c r="AC100" s="53" t="n"/>
      <c r="AD100" s="53" t="n"/>
      <c r="AE100" s="53" t="n"/>
      <c r="AF100" s="53" t="n"/>
      <c r="AG100" s="53" t="n"/>
      <c r="AH100" s="53" t="n"/>
      <c r="AI100" s="53" t="n"/>
      <c r="AJ100" s="53" t="n"/>
      <c r="AK100" s="53" t="n"/>
      <c r="AL100" s="53" t="n"/>
      <c r="AM100" s="53" t="n"/>
      <c r="AN100" s="53" t="n"/>
      <c r="AO100" s="53" t="n"/>
      <c r="AP100" s="53" t="n"/>
      <c r="AQ100" s="53" t="n"/>
      <c r="AR100" s="53" t="n"/>
      <c r="AS100" s="53" t="n"/>
      <c r="AT100" s="53" t="n"/>
      <c r="AU100" s="53" t="n"/>
      <c r="AV100" s="53" t="n"/>
      <c r="AW100" s="53" t="n"/>
      <c r="AX100" s="53" t="n"/>
      <c r="AY100" s="53" t="n"/>
    </row>
    <row r="101" ht="15" customHeight="1">
      <c r="A101" s="54" t="n"/>
      <c r="B101" s="55">
        <f>IF($B$100="","",$B$100)</f>
        <v/>
      </c>
      <c r="C101" s="56" t="inlineStr">
        <is>
          <t>마케팅2팀</t>
        </is>
      </c>
      <c r="D101" s="55">
        <f>IF($D$100="","",$D$100)</f>
        <v/>
      </c>
      <c r="E101" s="57" t="inlineStr">
        <is>
          <t>이미지</t>
        </is>
      </c>
      <c r="F101" s="44" t="n"/>
      <c r="G101" s="58">
        <f>IF($G$100="","",$G$100)</f>
        <v/>
      </c>
      <c r="H101" s="59" t="n"/>
      <c r="I101" s="59" t="n"/>
      <c r="J101" s="59" t="n"/>
      <c r="K101" s="59" t="n"/>
      <c r="L101" s="60">
        <f>IF(SUM(U101:AY101)=0,"",SUM(U101:AY101))</f>
        <v/>
      </c>
      <c r="M101" s="61">
        <f>IFERROR(INDEX(U$2:AY$2,MATCH(TRUE,INDEX(U101:AY101&lt;&gt;"",0),0)),"")</f>
        <v/>
      </c>
      <c r="N101" s="61">
        <f>IFERROR(LOOKUP(2,1/(U101:AY101&lt;&gt;""),U$2:AY$2),"")</f>
        <v/>
      </c>
      <c r="O101" s="59" t="n"/>
      <c r="P101" s="59" t="n"/>
      <c r="Q101" s="59" t="n"/>
      <c r="R101" s="59" t="n"/>
      <c r="S101" s="14" t="n"/>
      <c r="U101" s="53" t="n"/>
      <c r="V101" s="53" t="n"/>
      <c r="W101" s="53" t="n"/>
      <c r="X101" s="53" t="n"/>
      <c r="Y101" s="53" t="n"/>
      <c r="Z101" s="53" t="n"/>
      <c r="AA101" s="53" t="n"/>
      <c r="AB101" s="53" t="n"/>
      <c r="AC101" s="53" t="n"/>
      <c r="AD101" s="53" t="n"/>
      <c r="AE101" s="53" t="n"/>
      <c r="AF101" s="53" t="n"/>
      <c r="AG101" s="53" t="n"/>
      <c r="AH101" s="53" t="n"/>
      <c r="AI101" s="53" t="n"/>
      <c r="AJ101" s="53" t="n"/>
      <c r="AK101" s="53" t="n"/>
      <c r="AL101" s="53" t="n"/>
      <c r="AM101" s="53" t="n"/>
      <c r="AN101" s="53" t="n"/>
      <c r="AO101" s="53" t="n"/>
      <c r="AP101" s="53" t="n"/>
      <c r="AQ101" s="53" t="n"/>
      <c r="AR101" s="53" t="n"/>
      <c r="AS101" s="53" t="n"/>
      <c r="AT101" s="53" t="n"/>
      <c r="AU101" s="53" t="n"/>
      <c r="AV101" s="53" t="n"/>
      <c r="AW101" s="53" t="n"/>
      <c r="AX101" s="53" t="n"/>
      <c r="AY101" s="53" t="n"/>
    </row>
    <row r="102" ht="15" customHeight="1">
      <c r="A102" s="62" t="n"/>
      <c r="B102" s="55">
        <f>IF($B$100="","",$B$100)</f>
        <v/>
      </c>
      <c r="C102" s="63" t="inlineStr">
        <is>
          <t>마케팅2팀</t>
        </is>
      </c>
      <c r="D102" s="55">
        <f>IF($D$100="","",$D$100)</f>
        <v/>
      </c>
      <c r="E102" s="64" t="inlineStr">
        <is>
          <t>영상</t>
        </is>
      </c>
      <c r="F102" s="44" t="n"/>
      <c r="G102" s="58">
        <f>IF($G$100="","",$G$100)</f>
        <v/>
      </c>
      <c r="H102" s="59" t="n"/>
      <c r="I102" s="59" t="n"/>
      <c r="J102" s="59" t="n"/>
      <c r="K102" s="59" t="n"/>
      <c r="L102" s="65">
        <f>IF(SUM(U102:AY102)=0,"",SUM(U102:AY102))</f>
        <v/>
      </c>
      <c r="M102" s="66">
        <f>IFERROR(INDEX(U$2:AY$2,MATCH(TRUE,INDEX(U102:AY102&lt;&gt;"",0),0)),"")</f>
        <v/>
      </c>
      <c r="N102" s="66">
        <f>IFERROR(LOOKUP(2,1/(U102:AY102&lt;&gt;""),U$2:AY$2),"")</f>
        <v/>
      </c>
      <c r="O102" s="59" t="n"/>
      <c r="P102" s="59" t="n"/>
      <c r="Q102" s="59" t="n"/>
      <c r="R102" s="59" t="n"/>
      <c r="S102" s="14" t="n"/>
      <c r="U102" s="53" t="n"/>
      <c r="V102" s="53" t="n"/>
      <c r="W102" s="53" t="n"/>
      <c r="X102" s="53" t="n"/>
      <c r="Y102" s="53" t="n"/>
      <c r="Z102" s="53" t="n"/>
      <c r="AA102" s="53" t="n"/>
      <c r="AB102" s="53" t="n"/>
      <c r="AC102" s="53" t="n"/>
      <c r="AD102" s="53" t="n"/>
      <c r="AE102" s="53" t="n"/>
      <c r="AF102" s="53" t="n"/>
      <c r="AG102" s="53" t="n"/>
      <c r="AH102" s="53" t="n"/>
      <c r="AI102" s="53" t="n"/>
      <c r="AJ102" s="53" t="n"/>
      <c r="AK102" s="53" t="n"/>
      <c r="AL102" s="53" t="n"/>
      <c r="AM102" s="53" t="n"/>
      <c r="AN102" s="53" t="n"/>
      <c r="AO102" s="53" t="n"/>
      <c r="AP102" s="53" t="n"/>
      <c r="AQ102" s="53" t="n"/>
      <c r="AR102" s="53" t="n"/>
      <c r="AS102" s="53" t="n"/>
      <c r="AT102" s="53" t="n"/>
      <c r="AU102" s="53" t="n"/>
      <c r="AV102" s="53" t="n"/>
      <c r="AW102" s="53" t="n"/>
      <c r="AX102" s="53" t="n"/>
      <c r="AY102" s="53" t="n"/>
    </row>
    <row r="103" ht="15" customHeight="1">
      <c r="A103" s="40">
        <f>IF($D$103="","",32)</f>
        <v/>
      </c>
      <c r="B103" s="10" t="n"/>
      <c r="C103" s="41" t="inlineStr">
        <is>
          <t>마케팅2팀</t>
        </is>
      </c>
      <c r="D103" s="42" t="n"/>
      <c r="E103" s="43" t="inlineStr">
        <is>
          <t>기획</t>
        </is>
      </c>
      <c r="F103" s="44" t="n"/>
      <c r="G103" s="45" t="n"/>
      <c r="H103" s="46">
        <f>IF($I$103="","",IF($I$103&lt;0,"🔴지연",IF($I$103&lt;=1,"🟡임박","🟢여유")))</f>
        <v/>
      </c>
      <c r="I103" s="47">
        <f>IF(OR($G$103="",$K$103=""),"",$G$103-$K$103)</f>
        <v/>
      </c>
      <c r="J103" s="48">
        <f>IF(SUM($L$103:$L$105)=0,"",SUM($L$103:$L$105))</f>
        <v/>
      </c>
      <c r="K103" s="49">
        <f>IF($J$103="","",MAX($N$103:$N$105))</f>
        <v/>
      </c>
      <c r="L103" s="50">
        <f>IF(SUM(U103:AY103)=0,"",SUM(U103:AY103))</f>
        <v/>
      </c>
      <c r="M103" s="51">
        <f>IFERROR(INDEX(U$2:AY$2,MATCH(TRUE,INDEX(U103:AY103&lt;&gt;"",0),0)),"")</f>
        <v/>
      </c>
      <c r="N103" s="51">
        <f>IFERROR(LOOKUP(2,1/(U103:AY103&lt;&gt;""),U$2:AY$2),"")</f>
        <v/>
      </c>
      <c r="O103" s="52" t="n"/>
      <c r="P103" s="52" t="n"/>
      <c r="Q103" s="52" t="n"/>
      <c r="R103" s="44" t="n"/>
      <c r="S103" s="14" t="n"/>
      <c r="U103" s="53" t="n"/>
      <c r="V103" s="53" t="n"/>
      <c r="W103" s="53" t="n"/>
      <c r="X103" s="53" t="n"/>
      <c r="Y103" s="53" t="n"/>
      <c r="Z103" s="53" t="n"/>
      <c r="AA103" s="53" t="n"/>
      <c r="AB103" s="53" t="n"/>
      <c r="AC103" s="53" t="n"/>
      <c r="AD103" s="53" t="n"/>
      <c r="AE103" s="53" t="n"/>
      <c r="AF103" s="53" t="n"/>
      <c r="AG103" s="53" t="n"/>
      <c r="AH103" s="53" t="n"/>
      <c r="AI103" s="53" t="n"/>
      <c r="AJ103" s="53" t="n"/>
      <c r="AK103" s="53" t="n"/>
      <c r="AL103" s="53" t="n"/>
      <c r="AM103" s="53" t="n"/>
      <c r="AN103" s="53" t="n"/>
      <c r="AO103" s="53" t="n"/>
      <c r="AP103" s="53" t="n"/>
      <c r="AQ103" s="53" t="n"/>
      <c r="AR103" s="53" t="n"/>
      <c r="AS103" s="53" t="n"/>
      <c r="AT103" s="53" t="n"/>
      <c r="AU103" s="53" t="n"/>
      <c r="AV103" s="53" t="n"/>
      <c r="AW103" s="53" t="n"/>
      <c r="AX103" s="53" t="n"/>
      <c r="AY103" s="53" t="n"/>
    </row>
    <row r="104" ht="15" customHeight="1">
      <c r="A104" s="54" t="n"/>
      <c r="B104" s="55">
        <f>IF($B$103="","",$B$103)</f>
        <v/>
      </c>
      <c r="C104" s="56" t="inlineStr">
        <is>
          <t>마케팅2팀</t>
        </is>
      </c>
      <c r="D104" s="55">
        <f>IF($D$103="","",$D$103)</f>
        <v/>
      </c>
      <c r="E104" s="57" t="inlineStr">
        <is>
          <t>이미지</t>
        </is>
      </c>
      <c r="F104" s="44" t="n"/>
      <c r="G104" s="58">
        <f>IF($G$103="","",$G$103)</f>
        <v/>
      </c>
      <c r="H104" s="59" t="n"/>
      <c r="I104" s="59" t="n"/>
      <c r="J104" s="59" t="n"/>
      <c r="K104" s="59" t="n"/>
      <c r="L104" s="60">
        <f>IF(SUM(U104:AY104)=0,"",SUM(U104:AY104))</f>
        <v/>
      </c>
      <c r="M104" s="61">
        <f>IFERROR(INDEX(U$2:AY$2,MATCH(TRUE,INDEX(U104:AY104&lt;&gt;"",0),0)),"")</f>
        <v/>
      </c>
      <c r="N104" s="61">
        <f>IFERROR(LOOKUP(2,1/(U104:AY104&lt;&gt;""),U$2:AY$2),"")</f>
        <v/>
      </c>
      <c r="O104" s="59" t="n"/>
      <c r="P104" s="59" t="n"/>
      <c r="Q104" s="59" t="n"/>
      <c r="R104" s="59" t="n"/>
      <c r="S104" s="14" t="n"/>
      <c r="U104" s="53" t="n"/>
      <c r="V104" s="53" t="n"/>
      <c r="W104" s="53" t="n"/>
      <c r="X104" s="53" t="n"/>
      <c r="Y104" s="53" t="n"/>
      <c r="Z104" s="53" t="n"/>
      <c r="AA104" s="53" t="n"/>
      <c r="AB104" s="53" t="n"/>
      <c r="AC104" s="53" t="n"/>
      <c r="AD104" s="53" t="n"/>
      <c r="AE104" s="53" t="n"/>
      <c r="AF104" s="53" t="n"/>
      <c r="AG104" s="53" t="n"/>
      <c r="AH104" s="53" t="n"/>
      <c r="AI104" s="53" t="n"/>
      <c r="AJ104" s="53" t="n"/>
      <c r="AK104" s="53" t="n"/>
      <c r="AL104" s="53" t="n"/>
      <c r="AM104" s="53" t="n"/>
      <c r="AN104" s="53" t="n"/>
      <c r="AO104" s="53" t="n"/>
      <c r="AP104" s="53" t="n"/>
      <c r="AQ104" s="53" t="n"/>
      <c r="AR104" s="53" t="n"/>
      <c r="AS104" s="53" t="n"/>
      <c r="AT104" s="53" t="n"/>
      <c r="AU104" s="53" t="n"/>
      <c r="AV104" s="53" t="n"/>
      <c r="AW104" s="53" t="n"/>
      <c r="AX104" s="53" t="n"/>
      <c r="AY104" s="53" t="n"/>
    </row>
    <row r="105" ht="15" customHeight="1">
      <c r="A105" s="62" t="n"/>
      <c r="B105" s="55">
        <f>IF($B$103="","",$B$103)</f>
        <v/>
      </c>
      <c r="C105" s="63" t="inlineStr">
        <is>
          <t>마케팅2팀</t>
        </is>
      </c>
      <c r="D105" s="55">
        <f>IF($D$103="","",$D$103)</f>
        <v/>
      </c>
      <c r="E105" s="64" t="inlineStr">
        <is>
          <t>영상</t>
        </is>
      </c>
      <c r="F105" s="44" t="n"/>
      <c r="G105" s="58">
        <f>IF($G$103="","",$G$103)</f>
        <v/>
      </c>
      <c r="H105" s="59" t="n"/>
      <c r="I105" s="59" t="n"/>
      <c r="J105" s="59" t="n"/>
      <c r="K105" s="59" t="n"/>
      <c r="L105" s="65">
        <f>IF(SUM(U105:AY105)=0,"",SUM(U105:AY105))</f>
        <v/>
      </c>
      <c r="M105" s="66">
        <f>IFERROR(INDEX(U$2:AY$2,MATCH(TRUE,INDEX(U105:AY105&lt;&gt;"",0),0)),"")</f>
        <v/>
      </c>
      <c r="N105" s="66">
        <f>IFERROR(LOOKUP(2,1/(U105:AY105&lt;&gt;""),U$2:AY$2),"")</f>
        <v/>
      </c>
      <c r="O105" s="59" t="n"/>
      <c r="P105" s="59" t="n"/>
      <c r="Q105" s="59" t="n"/>
      <c r="R105" s="59" t="n"/>
      <c r="S105" s="14" t="n"/>
      <c r="U105" s="53" t="n"/>
      <c r="V105" s="53" t="n"/>
      <c r="W105" s="53" t="n"/>
      <c r="X105" s="53" t="n"/>
      <c r="Y105" s="53" t="n"/>
      <c r="Z105" s="53" t="n"/>
      <c r="AA105" s="53" t="n"/>
      <c r="AB105" s="53" t="n"/>
      <c r="AC105" s="53" t="n"/>
      <c r="AD105" s="53" t="n"/>
      <c r="AE105" s="53" t="n"/>
      <c r="AF105" s="53" t="n"/>
      <c r="AG105" s="53" t="n"/>
      <c r="AH105" s="53" t="n"/>
      <c r="AI105" s="53" t="n"/>
      <c r="AJ105" s="53" t="n"/>
      <c r="AK105" s="53" t="n"/>
      <c r="AL105" s="53" t="n"/>
      <c r="AM105" s="53" t="n"/>
      <c r="AN105" s="53" t="n"/>
      <c r="AO105" s="53" t="n"/>
      <c r="AP105" s="53" t="n"/>
      <c r="AQ105" s="53" t="n"/>
      <c r="AR105" s="53" t="n"/>
      <c r="AS105" s="53" t="n"/>
      <c r="AT105" s="53" t="n"/>
      <c r="AU105" s="53" t="n"/>
      <c r="AV105" s="53" t="n"/>
      <c r="AW105" s="53" t="n"/>
      <c r="AX105" s="53" t="n"/>
      <c r="AY105" s="53" t="n"/>
    </row>
    <row r="106" ht="15" customHeight="1">
      <c r="A106" s="40">
        <f>IF($D$106="","",33)</f>
        <v/>
      </c>
      <c r="B106" s="10" t="n"/>
      <c r="C106" s="41" t="inlineStr">
        <is>
          <t>마케팅2팀</t>
        </is>
      </c>
      <c r="D106" s="42" t="n"/>
      <c r="E106" s="43" t="inlineStr">
        <is>
          <t>기획</t>
        </is>
      </c>
      <c r="F106" s="44" t="n"/>
      <c r="G106" s="45" t="n"/>
      <c r="H106" s="46">
        <f>IF($I$106="","",IF($I$106&lt;0,"🔴지연",IF($I$106&lt;=1,"🟡임박","🟢여유")))</f>
        <v/>
      </c>
      <c r="I106" s="47">
        <f>IF(OR($G$106="",$K$106=""),"",$G$106-$K$106)</f>
        <v/>
      </c>
      <c r="J106" s="48">
        <f>IF(SUM($L$106:$L$108)=0,"",SUM($L$106:$L$108))</f>
        <v/>
      </c>
      <c r="K106" s="49">
        <f>IF($J$106="","",MAX($N$106:$N$108))</f>
        <v/>
      </c>
      <c r="L106" s="50">
        <f>IF(SUM(U106:AY106)=0,"",SUM(U106:AY106))</f>
        <v/>
      </c>
      <c r="M106" s="51">
        <f>IFERROR(INDEX(U$2:AY$2,MATCH(TRUE,INDEX(U106:AY106&lt;&gt;"",0),0)),"")</f>
        <v/>
      </c>
      <c r="N106" s="51">
        <f>IFERROR(LOOKUP(2,1/(U106:AY106&lt;&gt;""),U$2:AY$2),"")</f>
        <v/>
      </c>
      <c r="O106" s="52" t="n"/>
      <c r="P106" s="52" t="n"/>
      <c r="Q106" s="52" t="n"/>
      <c r="R106" s="44" t="n"/>
      <c r="S106" s="14" t="n"/>
      <c r="U106" s="53" t="n"/>
      <c r="V106" s="53" t="n"/>
      <c r="W106" s="53" t="n"/>
      <c r="X106" s="53" t="n"/>
      <c r="Y106" s="53" t="n"/>
      <c r="Z106" s="53" t="n"/>
      <c r="AA106" s="53" t="n"/>
      <c r="AB106" s="53" t="n"/>
      <c r="AC106" s="53" t="n"/>
      <c r="AD106" s="53" t="n"/>
      <c r="AE106" s="53" t="n"/>
      <c r="AF106" s="53" t="n"/>
      <c r="AG106" s="53" t="n"/>
      <c r="AH106" s="53" t="n"/>
      <c r="AI106" s="53" t="n"/>
      <c r="AJ106" s="53" t="n"/>
      <c r="AK106" s="53" t="n"/>
      <c r="AL106" s="53" t="n"/>
      <c r="AM106" s="53" t="n"/>
      <c r="AN106" s="53" t="n"/>
      <c r="AO106" s="53" t="n"/>
      <c r="AP106" s="53" t="n"/>
      <c r="AQ106" s="53" t="n"/>
      <c r="AR106" s="53" t="n"/>
      <c r="AS106" s="53" t="n"/>
      <c r="AT106" s="53" t="n"/>
      <c r="AU106" s="53" t="n"/>
      <c r="AV106" s="53" t="n"/>
      <c r="AW106" s="53" t="n"/>
      <c r="AX106" s="53" t="n"/>
      <c r="AY106" s="53" t="n"/>
    </row>
    <row r="107" ht="15" customHeight="1">
      <c r="A107" s="54" t="n"/>
      <c r="B107" s="55">
        <f>IF($B$106="","",$B$106)</f>
        <v/>
      </c>
      <c r="C107" s="56" t="inlineStr">
        <is>
          <t>마케팅2팀</t>
        </is>
      </c>
      <c r="D107" s="55">
        <f>IF($D$106="","",$D$106)</f>
        <v/>
      </c>
      <c r="E107" s="57" t="inlineStr">
        <is>
          <t>이미지</t>
        </is>
      </c>
      <c r="F107" s="44" t="n"/>
      <c r="G107" s="58">
        <f>IF($G$106="","",$G$106)</f>
        <v/>
      </c>
      <c r="H107" s="59" t="n"/>
      <c r="I107" s="59" t="n"/>
      <c r="J107" s="59" t="n"/>
      <c r="K107" s="59" t="n"/>
      <c r="L107" s="60">
        <f>IF(SUM(U107:AY107)=0,"",SUM(U107:AY107))</f>
        <v/>
      </c>
      <c r="M107" s="61">
        <f>IFERROR(INDEX(U$2:AY$2,MATCH(TRUE,INDEX(U107:AY107&lt;&gt;"",0),0)),"")</f>
        <v/>
      </c>
      <c r="N107" s="61">
        <f>IFERROR(LOOKUP(2,1/(U107:AY107&lt;&gt;""),U$2:AY$2),"")</f>
        <v/>
      </c>
      <c r="O107" s="59" t="n"/>
      <c r="P107" s="59" t="n"/>
      <c r="Q107" s="59" t="n"/>
      <c r="R107" s="59" t="n"/>
      <c r="S107" s="14" t="n"/>
      <c r="U107" s="53" t="n"/>
      <c r="V107" s="53" t="n"/>
      <c r="W107" s="53" t="n"/>
      <c r="X107" s="53" t="n"/>
      <c r="Y107" s="53" t="n"/>
      <c r="Z107" s="53" t="n"/>
      <c r="AA107" s="53" t="n"/>
      <c r="AB107" s="53" t="n"/>
      <c r="AC107" s="53" t="n"/>
      <c r="AD107" s="53" t="n"/>
      <c r="AE107" s="53" t="n"/>
      <c r="AF107" s="53" t="n"/>
      <c r="AG107" s="53" t="n"/>
      <c r="AH107" s="53" t="n"/>
      <c r="AI107" s="53" t="n"/>
      <c r="AJ107" s="53" t="n"/>
      <c r="AK107" s="53" t="n"/>
      <c r="AL107" s="53" t="n"/>
      <c r="AM107" s="53" t="n"/>
      <c r="AN107" s="53" t="n"/>
      <c r="AO107" s="53" t="n"/>
      <c r="AP107" s="53" t="n"/>
      <c r="AQ107" s="53" t="n"/>
      <c r="AR107" s="53" t="n"/>
      <c r="AS107" s="53" t="n"/>
      <c r="AT107" s="53" t="n"/>
      <c r="AU107" s="53" t="n"/>
      <c r="AV107" s="53" t="n"/>
      <c r="AW107" s="53" t="n"/>
      <c r="AX107" s="53" t="n"/>
      <c r="AY107" s="53" t="n"/>
    </row>
    <row r="108" ht="15" customHeight="1">
      <c r="A108" s="62" t="n"/>
      <c r="B108" s="55">
        <f>IF($B$106="","",$B$106)</f>
        <v/>
      </c>
      <c r="C108" s="63" t="inlineStr">
        <is>
          <t>마케팅2팀</t>
        </is>
      </c>
      <c r="D108" s="55">
        <f>IF($D$106="","",$D$106)</f>
        <v/>
      </c>
      <c r="E108" s="64" t="inlineStr">
        <is>
          <t>영상</t>
        </is>
      </c>
      <c r="F108" s="44" t="n"/>
      <c r="G108" s="58">
        <f>IF($G$106="","",$G$106)</f>
        <v/>
      </c>
      <c r="H108" s="59" t="n"/>
      <c r="I108" s="59" t="n"/>
      <c r="J108" s="59" t="n"/>
      <c r="K108" s="59" t="n"/>
      <c r="L108" s="65">
        <f>IF(SUM(U108:AY108)=0,"",SUM(U108:AY108))</f>
        <v/>
      </c>
      <c r="M108" s="66">
        <f>IFERROR(INDEX(U$2:AY$2,MATCH(TRUE,INDEX(U108:AY108&lt;&gt;"",0),0)),"")</f>
        <v/>
      </c>
      <c r="N108" s="66">
        <f>IFERROR(LOOKUP(2,1/(U108:AY108&lt;&gt;""),U$2:AY$2),"")</f>
        <v/>
      </c>
      <c r="O108" s="59" t="n"/>
      <c r="P108" s="59" t="n"/>
      <c r="Q108" s="59" t="n"/>
      <c r="R108" s="59" t="n"/>
      <c r="S108" s="14" t="n"/>
      <c r="U108" s="53" t="n"/>
      <c r="V108" s="53" t="n"/>
      <c r="W108" s="53" t="n"/>
      <c r="X108" s="53" t="n"/>
      <c r="Y108" s="53" t="n"/>
      <c r="Z108" s="53" t="n"/>
      <c r="AA108" s="53" t="n"/>
      <c r="AB108" s="53" t="n"/>
      <c r="AC108" s="53" t="n"/>
      <c r="AD108" s="53" t="n"/>
      <c r="AE108" s="53" t="n"/>
      <c r="AF108" s="53" t="n"/>
      <c r="AG108" s="53" t="n"/>
      <c r="AH108" s="53" t="n"/>
      <c r="AI108" s="53" t="n"/>
      <c r="AJ108" s="53" t="n"/>
      <c r="AK108" s="53" t="n"/>
      <c r="AL108" s="53" t="n"/>
      <c r="AM108" s="53" t="n"/>
      <c r="AN108" s="53" t="n"/>
      <c r="AO108" s="53" t="n"/>
      <c r="AP108" s="53" t="n"/>
      <c r="AQ108" s="53" t="n"/>
      <c r="AR108" s="53" t="n"/>
      <c r="AS108" s="53" t="n"/>
      <c r="AT108" s="53" t="n"/>
      <c r="AU108" s="53" t="n"/>
      <c r="AV108" s="53" t="n"/>
      <c r="AW108" s="53" t="n"/>
      <c r="AX108" s="53" t="n"/>
      <c r="AY108" s="53" t="n"/>
    </row>
    <row r="109" ht="15" customHeight="1">
      <c r="A109" s="40">
        <f>IF($D$109="","",34)</f>
        <v/>
      </c>
      <c r="B109" s="10" t="n"/>
      <c r="C109" s="41" t="inlineStr">
        <is>
          <t>마케팅2팀</t>
        </is>
      </c>
      <c r="D109" s="42" t="n"/>
      <c r="E109" s="43" t="inlineStr">
        <is>
          <t>기획</t>
        </is>
      </c>
      <c r="F109" s="44" t="n"/>
      <c r="G109" s="45" t="n"/>
      <c r="H109" s="46">
        <f>IF($I$109="","",IF($I$109&lt;0,"🔴지연",IF($I$109&lt;=1,"🟡임박","🟢여유")))</f>
        <v/>
      </c>
      <c r="I109" s="47">
        <f>IF(OR($G$109="",$K$109=""),"",$G$109-$K$109)</f>
        <v/>
      </c>
      <c r="J109" s="48">
        <f>IF(SUM($L$109:$L$111)=0,"",SUM($L$109:$L$111))</f>
        <v/>
      </c>
      <c r="K109" s="49">
        <f>IF($J$109="","",MAX($N$109:$N$111))</f>
        <v/>
      </c>
      <c r="L109" s="50">
        <f>IF(SUM(U109:AY109)=0,"",SUM(U109:AY109))</f>
        <v/>
      </c>
      <c r="M109" s="51">
        <f>IFERROR(INDEX(U$2:AY$2,MATCH(TRUE,INDEX(U109:AY109&lt;&gt;"",0),0)),"")</f>
        <v/>
      </c>
      <c r="N109" s="51">
        <f>IFERROR(LOOKUP(2,1/(U109:AY109&lt;&gt;""),U$2:AY$2),"")</f>
        <v/>
      </c>
      <c r="O109" s="52" t="n"/>
      <c r="P109" s="52" t="n"/>
      <c r="Q109" s="52" t="n"/>
      <c r="R109" s="44" t="n"/>
      <c r="S109" s="14" t="n"/>
      <c r="U109" s="53" t="n"/>
      <c r="V109" s="53" t="n"/>
      <c r="W109" s="53" t="n"/>
      <c r="X109" s="53" t="n"/>
      <c r="Y109" s="53" t="n"/>
      <c r="Z109" s="53" t="n"/>
      <c r="AA109" s="53" t="n"/>
      <c r="AB109" s="53" t="n"/>
      <c r="AC109" s="53" t="n"/>
      <c r="AD109" s="53" t="n"/>
      <c r="AE109" s="53" t="n"/>
      <c r="AF109" s="53" t="n"/>
      <c r="AG109" s="53" t="n"/>
      <c r="AH109" s="53" t="n"/>
      <c r="AI109" s="53" t="n"/>
      <c r="AJ109" s="53" t="n"/>
      <c r="AK109" s="53" t="n"/>
      <c r="AL109" s="53" t="n"/>
      <c r="AM109" s="53" t="n"/>
      <c r="AN109" s="53" t="n"/>
      <c r="AO109" s="53" t="n"/>
      <c r="AP109" s="53" t="n"/>
      <c r="AQ109" s="53" t="n"/>
      <c r="AR109" s="53" t="n"/>
      <c r="AS109" s="53" t="n"/>
      <c r="AT109" s="53" t="n"/>
      <c r="AU109" s="53" t="n"/>
      <c r="AV109" s="53" t="n"/>
      <c r="AW109" s="53" t="n"/>
      <c r="AX109" s="53" t="n"/>
      <c r="AY109" s="53" t="n"/>
    </row>
    <row r="110" ht="15" customHeight="1">
      <c r="A110" s="54" t="n"/>
      <c r="B110" s="55">
        <f>IF($B$109="","",$B$109)</f>
        <v/>
      </c>
      <c r="C110" s="56" t="inlineStr">
        <is>
          <t>마케팅2팀</t>
        </is>
      </c>
      <c r="D110" s="55">
        <f>IF($D$109="","",$D$109)</f>
        <v/>
      </c>
      <c r="E110" s="57" t="inlineStr">
        <is>
          <t>이미지</t>
        </is>
      </c>
      <c r="F110" s="44" t="n"/>
      <c r="G110" s="58">
        <f>IF($G$109="","",$G$109)</f>
        <v/>
      </c>
      <c r="H110" s="59" t="n"/>
      <c r="I110" s="59" t="n"/>
      <c r="J110" s="59" t="n"/>
      <c r="K110" s="59" t="n"/>
      <c r="L110" s="60">
        <f>IF(SUM(U110:AY110)=0,"",SUM(U110:AY110))</f>
        <v/>
      </c>
      <c r="M110" s="61">
        <f>IFERROR(INDEX(U$2:AY$2,MATCH(TRUE,INDEX(U110:AY110&lt;&gt;"",0),0)),"")</f>
        <v/>
      </c>
      <c r="N110" s="61">
        <f>IFERROR(LOOKUP(2,1/(U110:AY110&lt;&gt;""),U$2:AY$2),"")</f>
        <v/>
      </c>
      <c r="O110" s="59" t="n"/>
      <c r="P110" s="59" t="n"/>
      <c r="Q110" s="59" t="n"/>
      <c r="R110" s="59" t="n"/>
      <c r="S110" s="14" t="n"/>
      <c r="U110" s="53" t="n"/>
      <c r="V110" s="53" t="n"/>
      <c r="W110" s="53" t="n"/>
      <c r="X110" s="53" t="n"/>
      <c r="Y110" s="53" t="n"/>
      <c r="Z110" s="53" t="n"/>
      <c r="AA110" s="53" t="n"/>
      <c r="AB110" s="53" t="n"/>
      <c r="AC110" s="53" t="n"/>
      <c r="AD110" s="53" t="n"/>
      <c r="AE110" s="53" t="n"/>
      <c r="AF110" s="53" t="n"/>
      <c r="AG110" s="53" t="n"/>
      <c r="AH110" s="53" t="n"/>
      <c r="AI110" s="53" t="n"/>
      <c r="AJ110" s="53" t="n"/>
      <c r="AK110" s="53" t="n"/>
      <c r="AL110" s="53" t="n"/>
      <c r="AM110" s="53" t="n"/>
      <c r="AN110" s="53" t="n"/>
      <c r="AO110" s="53" t="n"/>
      <c r="AP110" s="53" t="n"/>
      <c r="AQ110" s="53" t="n"/>
      <c r="AR110" s="53" t="n"/>
      <c r="AS110" s="53" t="n"/>
      <c r="AT110" s="53" t="n"/>
      <c r="AU110" s="53" t="n"/>
      <c r="AV110" s="53" t="n"/>
      <c r="AW110" s="53" t="n"/>
      <c r="AX110" s="53" t="n"/>
      <c r="AY110" s="53" t="n"/>
    </row>
    <row r="111" ht="15" customHeight="1">
      <c r="A111" s="62" t="n"/>
      <c r="B111" s="55">
        <f>IF($B$109="","",$B$109)</f>
        <v/>
      </c>
      <c r="C111" s="63" t="inlineStr">
        <is>
          <t>마케팅2팀</t>
        </is>
      </c>
      <c r="D111" s="55">
        <f>IF($D$109="","",$D$109)</f>
        <v/>
      </c>
      <c r="E111" s="64" t="inlineStr">
        <is>
          <t>영상</t>
        </is>
      </c>
      <c r="F111" s="44" t="n"/>
      <c r="G111" s="58">
        <f>IF($G$109="","",$G$109)</f>
        <v/>
      </c>
      <c r="H111" s="59" t="n"/>
      <c r="I111" s="59" t="n"/>
      <c r="J111" s="59" t="n"/>
      <c r="K111" s="59" t="n"/>
      <c r="L111" s="65">
        <f>IF(SUM(U111:AY111)=0,"",SUM(U111:AY111))</f>
        <v/>
      </c>
      <c r="M111" s="66">
        <f>IFERROR(INDEX(U$2:AY$2,MATCH(TRUE,INDEX(U111:AY111&lt;&gt;"",0),0)),"")</f>
        <v/>
      </c>
      <c r="N111" s="66">
        <f>IFERROR(LOOKUP(2,1/(U111:AY111&lt;&gt;""),U$2:AY$2),"")</f>
        <v/>
      </c>
      <c r="O111" s="59" t="n"/>
      <c r="P111" s="59" t="n"/>
      <c r="Q111" s="59" t="n"/>
      <c r="R111" s="59" t="n"/>
      <c r="S111" s="14" t="n"/>
      <c r="U111" s="53" t="n"/>
      <c r="V111" s="53" t="n"/>
      <c r="W111" s="53" t="n"/>
      <c r="X111" s="53" t="n"/>
      <c r="Y111" s="53" t="n"/>
      <c r="Z111" s="53" t="n"/>
      <c r="AA111" s="53" t="n"/>
      <c r="AB111" s="53" t="n"/>
      <c r="AC111" s="53" t="n"/>
      <c r="AD111" s="53" t="n"/>
      <c r="AE111" s="53" t="n"/>
      <c r="AF111" s="53" t="n"/>
      <c r="AG111" s="53" t="n"/>
      <c r="AH111" s="53" t="n"/>
      <c r="AI111" s="53" t="n"/>
      <c r="AJ111" s="53" t="n"/>
      <c r="AK111" s="53" t="n"/>
      <c r="AL111" s="53" t="n"/>
      <c r="AM111" s="53" t="n"/>
      <c r="AN111" s="53" t="n"/>
      <c r="AO111" s="53" t="n"/>
      <c r="AP111" s="53" t="n"/>
      <c r="AQ111" s="53" t="n"/>
      <c r="AR111" s="53" t="n"/>
      <c r="AS111" s="53" t="n"/>
      <c r="AT111" s="53" t="n"/>
      <c r="AU111" s="53" t="n"/>
      <c r="AV111" s="53" t="n"/>
      <c r="AW111" s="53" t="n"/>
      <c r="AX111" s="53" t="n"/>
      <c r="AY111" s="53" t="n"/>
    </row>
    <row r="112" ht="15" customHeight="1">
      <c r="A112" s="40">
        <f>IF($D$112="","",35)</f>
        <v/>
      </c>
      <c r="B112" s="10" t="n"/>
      <c r="C112" s="41" t="inlineStr">
        <is>
          <t>마케팅2팀</t>
        </is>
      </c>
      <c r="D112" s="42" t="n"/>
      <c r="E112" s="43" t="inlineStr">
        <is>
          <t>기획</t>
        </is>
      </c>
      <c r="F112" s="44" t="n"/>
      <c r="G112" s="45" t="n"/>
      <c r="H112" s="46">
        <f>IF($I$112="","",IF($I$112&lt;0,"🔴지연",IF($I$112&lt;=1,"🟡임박","🟢여유")))</f>
        <v/>
      </c>
      <c r="I112" s="47">
        <f>IF(OR($G$112="",$K$112=""),"",$G$112-$K$112)</f>
        <v/>
      </c>
      <c r="J112" s="48">
        <f>IF(SUM($L$112:$L$114)=0,"",SUM($L$112:$L$114))</f>
        <v/>
      </c>
      <c r="K112" s="49">
        <f>IF($J$112="","",MAX($N$112:$N$114))</f>
        <v/>
      </c>
      <c r="L112" s="50">
        <f>IF(SUM(U112:AY112)=0,"",SUM(U112:AY112))</f>
        <v/>
      </c>
      <c r="M112" s="51">
        <f>IFERROR(INDEX(U$2:AY$2,MATCH(TRUE,INDEX(U112:AY112&lt;&gt;"",0),0)),"")</f>
        <v/>
      </c>
      <c r="N112" s="51">
        <f>IFERROR(LOOKUP(2,1/(U112:AY112&lt;&gt;""),U$2:AY$2),"")</f>
        <v/>
      </c>
      <c r="O112" s="52" t="n"/>
      <c r="P112" s="52" t="n"/>
      <c r="Q112" s="52" t="n"/>
      <c r="R112" s="44" t="n"/>
      <c r="S112" s="14" t="n"/>
      <c r="U112" s="53" t="n"/>
      <c r="V112" s="53" t="n"/>
      <c r="W112" s="53" t="n"/>
      <c r="X112" s="53" t="n"/>
      <c r="Y112" s="53" t="n"/>
      <c r="Z112" s="53" t="n"/>
      <c r="AA112" s="53" t="n"/>
      <c r="AB112" s="53" t="n"/>
      <c r="AC112" s="53" t="n"/>
      <c r="AD112" s="53" t="n"/>
      <c r="AE112" s="53" t="n"/>
      <c r="AF112" s="53" t="n"/>
      <c r="AG112" s="53" t="n"/>
      <c r="AH112" s="53" t="n"/>
      <c r="AI112" s="53" t="n"/>
      <c r="AJ112" s="53" t="n"/>
      <c r="AK112" s="53" t="n"/>
      <c r="AL112" s="53" t="n"/>
      <c r="AM112" s="53" t="n"/>
      <c r="AN112" s="53" t="n"/>
      <c r="AO112" s="53" t="n"/>
      <c r="AP112" s="53" t="n"/>
      <c r="AQ112" s="53" t="n"/>
      <c r="AR112" s="53" t="n"/>
      <c r="AS112" s="53" t="n"/>
      <c r="AT112" s="53" t="n"/>
      <c r="AU112" s="53" t="n"/>
      <c r="AV112" s="53" t="n"/>
      <c r="AW112" s="53" t="n"/>
      <c r="AX112" s="53" t="n"/>
      <c r="AY112" s="53" t="n"/>
    </row>
    <row r="113" ht="15" customHeight="1">
      <c r="A113" s="54" t="n"/>
      <c r="B113" s="55">
        <f>IF($B$112="","",$B$112)</f>
        <v/>
      </c>
      <c r="C113" s="56" t="inlineStr">
        <is>
          <t>마케팅2팀</t>
        </is>
      </c>
      <c r="D113" s="55">
        <f>IF($D$112="","",$D$112)</f>
        <v/>
      </c>
      <c r="E113" s="57" t="inlineStr">
        <is>
          <t>이미지</t>
        </is>
      </c>
      <c r="F113" s="44" t="n"/>
      <c r="G113" s="58">
        <f>IF($G$112="","",$G$112)</f>
        <v/>
      </c>
      <c r="H113" s="59" t="n"/>
      <c r="I113" s="59" t="n"/>
      <c r="J113" s="59" t="n"/>
      <c r="K113" s="59" t="n"/>
      <c r="L113" s="60">
        <f>IF(SUM(U113:AY113)=0,"",SUM(U113:AY113))</f>
        <v/>
      </c>
      <c r="M113" s="61">
        <f>IFERROR(INDEX(U$2:AY$2,MATCH(TRUE,INDEX(U113:AY113&lt;&gt;"",0),0)),"")</f>
        <v/>
      </c>
      <c r="N113" s="61">
        <f>IFERROR(LOOKUP(2,1/(U113:AY113&lt;&gt;""),U$2:AY$2),"")</f>
        <v/>
      </c>
      <c r="O113" s="59" t="n"/>
      <c r="P113" s="59" t="n"/>
      <c r="Q113" s="59" t="n"/>
      <c r="R113" s="59" t="n"/>
      <c r="S113" s="14" t="n"/>
      <c r="U113" s="53" t="n"/>
      <c r="V113" s="53" t="n"/>
      <c r="W113" s="53" t="n"/>
      <c r="X113" s="53" t="n"/>
      <c r="Y113" s="53" t="n"/>
      <c r="Z113" s="53" t="n"/>
      <c r="AA113" s="53" t="n"/>
      <c r="AB113" s="53" t="n"/>
      <c r="AC113" s="53" t="n"/>
      <c r="AD113" s="53" t="n"/>
      <c r="AE113" s="53" t="n"/>
      <c r="AF113" s="53" t="n"/>
      <c r="AG113" s="53" t="n"/>
      <c r="AH113" s="53" t="n"/>
      <c r="AI113" s="53" t="n"/>
      <c r="AJ113" s="53" t="n"/>
      <c r="AK113" s="53" t="n"/>
      <c r="AL113" s="53" t="n"/>
      <c r="AM113" s="53" t="n"/>
      <c r="AN113" s="53" t="n"/>
      <c r="AO113" s="53" t="n"/>
      <c r="AP113" s="53" t="n"/>
      <c r="AQ113" s="53" t="n"/>
      <c r="AR113" s="53" t="n"/>
      <c r="AS113" s="53" t="n"/>
      <c r="AT113" s="53" t="n"/>
      <c r="AU113" s="53" t="n"/>
      <c r="AV113" s="53" t="n"/>
      <c r="AW113" s="53" t="n"/>
      <c r="AX113" s="53" t="n"/>
      <c r="AY113" s="53" t="n"/>
    </row>
    <row r="114" ht="15" customHeight="1">
      <c r="A114" s="62" t="n"/>
      <c r="B114" s="55">
        <f>IF($B$112="","",$B$112)</f>
        <v/>
      </c>
      <c r="C114" s="63" t="inlineStr">
        <is>
          <t>마케팅2팀</t>
        </is>
      </c>
      <c r="D114" s="55">
        <f>IF($D$112="","",$D$112)</f>
        <v/>
      </c>
      <c r="E114" s="64" t="inlineStr">
        <is>
          <t>영상</t>
        </is>
      </c>
      <c r="F114" s="44" t="n"/>
      <c r="G114" s="58">
        <f>IF($G$112="","",$G$112)</f>
        <v/>
      </c>
      <c r="H114" s="59" t="n"/>
      <c r="I114" s="59" t="n"/>
      <c r="J114" s="59" t="n"/>
      <c r="K114" s="59" t="n"/>
      <c r="L114" s="65">
        <f>IF(SUM(U114:AY114)=0,"",SUM(U114:AY114))</f>
        <v/>
      </c>
      <c r="M114" s="66">
        <f>IFERROR(INDEX(U$2:AY$2,MATCH(TRUE,INDEX(U114:AY114&lt;&gt;"",0),0)),"")</f>
        <v/>
      </c>
      <c r="N114" s="66">
        <f>IFERROR(LOOKUP(2,1/(U114:AY114&lt;&gt;""),U$2:AY$2),"")</f>
        <v/>
      </c>
      <c r="O114" s="59" t="n"/>
      <c r="P114" s="59" t="n"/>
      <c r="Q114" s="59" t="n"/>
      <c r="R114" s="59" t="n"/>
      <c r="S114" s="14" t="n"/>
      <c r="U114" s="53" t="n"/>
      <c r="V114" s="53" t="n"/>
      <c r="W114" s="53" t="n"/>
      <c r="X114" s="53" t="n"/>
      <c r="Y114" s="53" t="n"/>
      <c r="Z114" s="53" t="n"/>
      <c r="AA114" s="53" t="n"/>
      <c r="AB114" s="53" t="n"/>
      <c r="AC114" s="53" t="n"/>
      <c r="AD114" s="53" t="n"/>
      <c r="AE114" s="53" t="n"/>
      <c r="AF114" s="53" t="n"/>
      <c r="AG114" s="53" t="n"/>
      <c r="AH114" s="53" t="n"/>
      <c r="AI114" s="53" t="n"/>
      <c r="AJ114" s="53" t="n"/>
      <c r="AK114" s="53" t="n"/>
      <c r="AL114" s="53" t="n"/>
      <c r="AM114" s="53" t="n"/>
      <c r="AN114" s="53" t="n"/>
      <c r="AO114" s="53" t="n"/>
      <c r="AP114" s="53" t="n"/>
      <c r="AQ114" s="53" t="n"/>
      <c r="AR114" s="53" t="n"/>
      <c r="AS114" s="53" t="n"/>
      <c r="AT114" s="53" t="n"/>
      <c r="AU114" s="53" t="n"/>
      <c r="AV114" s="53" t="n"/>
      <c r="AW114" s="53" t="n"/>
      <c r="AX114" s="53" t="n"/>
      <c r="AY114" s="53" t="n"/>
    </row>
    <row r="115" ht="15" customHeight="1">
      <c r="A115" s="40">
        <f>IF($D$115="","",36)</f>
        <v/>
      </c>
      <c r="B115" s="10" t="n"/>
      <c r="C115" s="41" t="inlineStr">
        <is>
          <t>마케팅2팀</t>
        </is>
      </c>
      <c r="D115" s="42" t="n"/>
      <c r="E115" s="43" t="inlineStr">
        <is>
          <t>기획</t>
        </is>
      </c>
      <c r="F115" s="44" t="n"/>
      <c r="G115" s="45" t="n"/>
      <c r="H115" s="46">
        <f>IF($I$115="","",IF($I$115&lt;0,"🔴지연",IF($I$115&lt;=1,"🟡임박","🟢여유")))</f>
        <v/>
      </c>
      <c r="I115" s="47">
        <f>IF(OR($G$115="",$K$115=""),"",$G$115-$K$115)</f>
        <v/>
      </c>
      <c r="J115" s="48">
        <f>IF(SUM($L$115:$L$117)=0,"",SUM($L$115:$L$117))</f>
        <v/>
      </c>
      <c r="K115" s="49">
        <f>IF($J$115="","",MAX($N$115:$N$117))</f>
        <v/>
      </c>
      <c r="L115" s="50">
        <f>IF(SUM(U115:AY115)=0,"",SUM(U115:AY115))</f>
        <v/>
      </c>
      <c r="M115" s="51">
        <f>IFERROR(INDEX(U$2:AY$2,MATCH(TRUE,INDEX(U115:AY115&lt;&gt;"",0),0)),"")</f>
        <v/>
      </c>
      <c r="N115" s="51">
        <f>IFERROR(LOOKUP(2,1/(U115:AY115&lt;&gt;""),U$2:AY$2),"")</f>
        <v/>
      </c>
      <c r="O115" s="52" t="n"/>
      <c r="P115" s="52" t="n"/>
      <c r="Q115" s="52" t="n"/>
      <c r="R115" s="44" t="n"/>
      <c r="S115" s="14" t="n"/>
      <c r="U115" s="53" t="n"/>
      <c r="V115" s="53" t="n"/>
      <c r="W115" s="53" t="n"/>
      <c r="X115" s="53" t="n"/>
      <c r="Y115" s="53" t="n"/>
      <c r="Z115" s="53" t="n"/>
      <c r="AA115" s="53" t="n"/>
      <c r="AB115" s="53" t="n"/>
      <c r="AC115" s="53" t="n"/>
      <c r="AD115" s="53" t="n"/>
      <c r="AE115" s="53" t="n"/>
      <c r="AF115" s="53" t="n"/>
      <c r="AG115" s="53" t="n"/>
      <c r="AH115" s="53" t="n"/>
      <c r="AI115" s="53" t="n"/>
      <c r="AJ115" s="53" t="n"/>
      <c r="AK115" s="53" t="n"/>
      <c r="AL115" s="53" t="n"/>
      <c r="AM115" s="53" t="n"/>
      <c r="AN115" s="53" t="n"/>
      <c r="AO115" s="53" t="n"/>
      <c r="AP115" s="53" t="n"/>
      <c r="AQ115" s="53" t="n"/>
      <c r="AR115" s="53" t="n"/>
      <c r="AS115" s="53" t="n"/>
      <c r="AT115" s="53" t="n"/>
      <c r="AU115" s="53" t="n"/>
      <c r="AV115" s="53" t="n"/>
      <c r="AW115" s="53" t="n"/>
      <c r="AX115" s="53" t="n"/>
      <c r="AY115" s="53" t="n"/>
    </row>
    <row r="116" ht="15" customHeight="1">
      <c r="A116" s="54" t="n"/>
      <c r="B116" s="55">
        <f>IF($B$115="","",$B$115)</f>
        <v/>
      </c>
      <c r="C116" s="56" t="inlineStr">
        <is>
          <t>마케팅2팀</t>
        </is>
      </c>
      <c r="D116" s="55">
        <f>IF($D$115="","",$D$115)</f>
        <v/>
      </c>
      <c r="E116" s="57" t="inlineStr">
        <is>
          <t>이미지</t>
        </is>
      </c>
      <c r="F116" s="44" t="n"/>
      <c r="G116" s="58">
        <f>IF($G$115="","",$G$115)</f>
        <v/>
      </c>
      <c r="H116" s="59" t="n"/>
      <c r="I116" s="59" t="n"/>
      <c r="J116" s="59" t="n"/>
      <c r="K116" s="59" t="n"/>
      <c r="L116" s="60">
        <f>IF(SUM(U116:AY116)=0,"",SUM(U116:AY116))</f>
        <v/>
      </c>
      <c r="M116" s="61">
        <f>IFERROR(INDEX(U$2:AY$2,MATCH(TRUE,INDEX(U116:AY116&lt;&gt;"",0),0)),"")</f>
        <v/>
      </c>
      <c r="N116" s="61">
        <f>IFERROR(LOOKUP(2,1/(U116:AY116&lt;&gt;""),U$2:AY$2),"")</f>
        <v/>
      </c>
      <c r="O116" s="59" t="n"/>
      <c r="P116" s="59" t="n"/>
      <c r="Q116" s="59" t="n"/>
      <c r="R116" s="59" t="n"/>
      <c r="S116" s="14" t="n"/>
      <c r="U116" s="53" t="n"/>
      <c r="V116" s="53" t="n"/>
      <c r="W116" s="53" t="n"/>
      <c r="X116" s="53" t="n"/>
      <c r="Y116" s="53" t="n"/>
      <c r="Z116" s="53" t="n"/>
      <c r="AA116" s="53" t="n"/>
      <c r="AB116" s="53" t="n"/>
      <c r="AC116" s="53" t="n"/>
      <c r="AD116" s="53" t="n"/>
      <c r="AE116" s="53" t="n"/>
      <c r="AF116" s="53" t="n"/>
      <c r="AG116" s="53" t="n"/>
      <c r="AH116" s="53" t="n"/>
      <c r="AI116" s="53" t="n"/>
      <c r="AJ116" s="53" t="n"/>
      <c r="AK116" s="53" t="n"/>
      <c r="AL116" s="53" t="n"/>
      <c r="AM116" s="53" t="n"/>
      <c r="AN116" s="53" t="n"/>
      <c r="AO116" s="53" t="n"/>
      <c r="AP116" s="53" t="n"/>
      <c r="AQ116" s="53" t="n"/>
      <c r="AR116" s="53" t="n"/>
      <c r="AS116" s="53" t="n"/>
      <c r="AT116" s="53" t="n"/>
      <c r="AU116" s="53" t="n"/>
      <c r="AV116" s="53" t="n"/>
      <c r="AW116" s="53" t="n"/>
      <c r="AX116" s="53" t="n"/>
      <c r="AY116" s="53" t="n"/>
    </row>
    <row r="117" ht="15" customHeight="1">
      <c r="A117" s="62" t="n"/>
      <c r="B117" s="55">
        <f>IF($B$115="","",$B$115)</f>
        <v/>
      </c>
      <c r="C117" s="63" t="inlineStr">
        <is>
          <t>마케팅2팀</t>
        </is>
      </c>
      <c r="D117" s="55">
        <f>IF($D$115="","",$D$115)</f>
        <v/>
      </c>
      <c r="E117" s="64" t="inlineStr">
        <is>
          <t>영상</t>
        </is>
      </c>
      <c r="F117" s="44" t="n"/>
      <c r="G117" s="58">
        <f>IF($G$115="","",$G$115)</f>
        <v/>
      </c>
      <c r="H117" s="59" t="n"/>
      <c r="I117" s="59" t="n"/>
      <c r="J117" s="59" t="n"/>
      <c r="K117" s="59" t="n"/>
      <c r="L117" s="65">
        <f>IF(SUM(U117:AY117)=0,"",SUM(U117:AY117))</f>
        <v/>
      </c>
      <c r="M117" s="66">
        <f>IFERROR(INDEX(U$2:AY$2,MATCH(TRUE,INDEX(U117:AY117&lt;&gt;"",0),0)),"")</f>
        <v/>
      </c>
      <c r="N117" s="66">
        <f>IFERROR(LOOKUP(2,1/(U117:AY117&lt;&gt;""),U$2:AY$2),"")</f>
        <v/>
      </c>
      <c r="O117" s="59" t="n"/>
      <c r="P117" s="59" t="n"/>
      <c r="Q117" s="59" t="n"/>
      <c r="R117" s="59" t="n"/>
      <c r="S117" s="14" t="n"/>
      <c r="U117" s="53" t="n"/>
      <c r="V117" s="53" t="n"/>
      <c r="W117" s="53" t="n"/>
      <c r="X117" s="53" t="n"/>
      <c r="Y117" s="53" t="n"/>
      <c r="Z117" s="53" t="n"/>
      <c r="AA117" s="53" t="n"/>
      <c r="AB117" s="53" t="n"/>
      <c r="AC117" s="53" t="n"/>
      <c r="AD117" s="53" t="n"/>
      <c r="AE117" s="53" t="n"/>
      <c r="AF117" s="53" t="n"/>
      <c r="AG117" s="53" t="n"/>
      <c r="AH117" s="53" t="n"/>
      <c r="AI117" s="53" t="n"/>
      <c r="AJ117" s="53" t="n"/>
      <c r="AK117" s="53" t="n"/>
      <c r="AL117" s="53" t="n"/>
      <c r="AM117" s="53" t="n"/>
      <c r="AN117" s="53" t="n"/>
      <c r="AO117" s="53" t="n"/>
      <c r="AP117" s="53" t="n"/>
      <c r="AQ117" s="53" t="n"/>
      <c r="AR117" s="53" t="n"/>
      <c r="AS117" s="53" t="n"/>
      <c r="AT117" s="53" t="n"/>
      <c r="AU117" s="53" t="n"/>
      <c r="AV117" s="53" t="n"/>
      <c r="AW117" s="53" t="n"/>
      <c r="AX117" s="53" t="n"/>
      <c r="AY117" s="53" t="n"/>
    </row>
    <row r="118" ht="15" customHeight="1">
      <c r="A118" s="40">
        <f>IF($D$118="","",37)</f>
        <v/>
      </c>
      <c r="B118" s="10" t="n"/>
      <c r="C118" s="41" t="inlineStr">
        <is>
          <t>마케팅2팀</t>
        </is>
      </c>
      <c r="D118" s="42" t="n"/>
      <c r="E118" s="43" t="inlineStr">
        <is>
          <t>기획</t>
        </is>
      </c>
      <c r="F118" s="44" t="n"/>
      <c r="G118" s="45" t="n"/>
      <c r="H118" s="46">
        <f>IF($I$118="","",IF($I$118&lt;0,"🔴지연",IF($I$118&lt;=1,"🟡임박","🟢여유")))</f>
        <v/>
      </c>
      <c r="I118" s="47">
        <f>IF(OR($G$118="",$K$118=""),"",$G$118-$K$118)</f>
        <v/>
      </c>
      <c r="J118" s="48">
        <f>IF(SUM($L$118:$L$120)=0,"",SUM($L$118:$L$120))</f>
        <v/>
      </c>
      <c r="K118" s="49">
        <f>IF($J$118="","",MAX($N$118:$N$120))</f>
        <v/>
      </c>
      <c r="L118" s="50">
        <f>IF(SUM(U118:AY118)=0,"",SUM(U118:AY118))</f>
        <v/>
      </c>
      <c r="M118" s="51">
        <f>IFERROR(INDEX(U$2:AY$2,MATCH(TRUE,INDEX(U118:AY118&lt;&gt;"",0),0)),"")</f>
        <v/>
      </c>
      <c r="N118" s="51">
        <f>IFERROR(LOOKUP(2,1/(U118:AY118&lt;&gt;""),U$2:AY$2),"")</f>
        <v/>
      </c>
      <c r="O118" s="52" t="n"/>
      <c r="P118" s="52" t="n"/>
      <c r="Q118" s="52" t="n"/>
      <c r="R118" s="44" t="n"/>
      <c r="S118" s="14" t="n"/>
      <c r="U118" s="53" t="n"/>
      <c r="V118" s="53" t="n"/>
      <c r="W118" s="53" t="n"/>
      <c r="X118" s="53" t="n"/>
      <c r="Y118" s="53" t="n"/>
      <c r="Z118" s="53" t="n"/>
      <c r="AA118" s="53" t="n"/>
      <c r="AB118" s="53" t="n"/>
      <c r="AC118" s="53" t="n"/>
      <c r="AD118" s="53" t="n"/>
      <c r="AE118" s="53" t="n"/>
      <c r="AF118" s="53" t="n"/>
      <c r="AG118" s="53" t="n"/>
      <c r="AH118" s="53" t="n"/>
      <c r="AI118" s="53" t="n"/>
      <c r="AJ118" s="53" t="n"/>
      <c r="AK118" s="53" t="n"/>
      <c r="AL118" s="53" t="n"/>
      <c r="AM118" s="53" t="n"/>
      <c r="AN118" s="53" t="n"/>
      <c r="AO118" s="53" t="n"/>
      <c r="AP118" s="53" t="n"/>
      <c r="AQ118" s="53" t="n"/>
      <c r="AR118" s="53" t="n"/>
      <c r="AS118" s="53" t="n"/>
      <c r="AT118" s="53" t="n"/>
      <c r="AU118" s="53" t="n"/>
      <c r="AV118" s="53" t="n"/>
      <c r="AW118" s="53" t="n"/>
      <c r="AX118" s="53" t="n"/>
      <c r="AY118" s="53" t="n"/>
    </row>
    <row r="119" ht="15" customHeight="1">
      <c r="A119" s="54" t="n"/>
      <c r="B119" s="55">
        <f>IF($B$118="","",$B$118)</f>
        <v/>
      </c>
      <c r="C119" s="56" t="inlineStr">
        <is>
          <t>마케팅2팀</t>
        </is>
      </c>
      <c r="D119" s="55">
        <f>IF($D$118="","",$D$118)</f>
        <v/>
      </c>
      <c r="E119" s="57" t="inlineStr">
        <is>
          <t>이미지</t>
        </is>
      </c>
      <c r="F119" s="44" t="n"/>
      <c r="G119" s="58">
        <f>IF($G$118="","",$G$118)</f>
        <v/>
      </c>
      <c r="H119" s="59" t="n"/>
      <c r="I119" s="59" t="n"/>
      <c r="J119" s="59" t="n"/>
      <c r="K119" s="59" t="n"/>
      <c r="L119" s="60">
        <f>IF(SUM(U119:AY119)=0,"",SUM(U119:AY119))</f>
        <v/>
      </c>
      <c r="M119" s="61">
        <f>IFERROR(INDEX(U$2:AY$2,MATCH(TRUE,INDEX(U119:AY119&lt;&gt;"",0),0)),"")</f>
        <v/>
      </c>
      <c r="N119" s="61">
        <f>IFERROR(LOOKUP(2,1/(U119:AY119&lt;&gt;""),U$2:AY$2),"")</f>
        <v/>
      </c>
      <c r="O119" s="59" t="n"/>
      <c r="P119" s="59" t="n"/>
      <c r="Q119" s="59" t="n"/>
      <c r="R119" s="59" t="n"/>
      <c r="S119" s="14" t="n"/>
      <c r="U119" s="53" t="n"/>
      <c r="V119" s="53" t="n"/>
      <c r="W119" s="53" t="n"/>
      <c r="X119" s="53" t="n"/>
      <c r="Y119" s="53" t="n"/>
      <c r="Z119" s="53" t="n"/>
      <c r="AA119" s="53" t="n"/>
      <c r="AB119" s="53" t="n"/>
      <c r="AC119" s="53" t="n"/>
      <c r="AD119" s="53" t="n"/>
      <c r="AE119" s="53" t="n"/>
      <c r="AF119" s="53" t="n"/>
      <c r="AG119" s="53" t="n"/>
      <c r="AH119" s="53" t="n"/>
      <c r="AI119" s="53" t="n"/>
      <c r="AJ119" s="53" t="n"/>
      <c r="AK119" s="53" t="n"/>
      <c r="AL119" s="53" t="n"/>
      <c r="AM119" s="53" t="n"/>
      <c r="AN119" s="53" t="n"/>
      <c r="AO119" s="53" t="n"/>
      <c r="AP119" s="53" t="n"/>
      <c r="AQ119" s="53" t="n"/>
      <c r="AR119" s="53" t="n"/>
      <c r="AS119" s="53" t="n"/>
      <c r="AT119" s="53" t="n"/>
      <c r="AU119" s="53" t="n"/>
      <c r="AV119" s="53" t="n"/>
      <c r="AW119" s="53" t="n"/>
      <c r="AX119" s="53" t="n"/>
      <c r="AY119" s="53" t="n"/>
    </row>
    <row r="120" ht="15" customHeight="1">
      <c r="A120" s="62" t="n"/>
      <c r="B120" s="55">
        <f>IF($B$118="","",$B$118)</f>
        <v/>
      </c>
      <c r="C120" s="63" t="inlineStr">
        <is>
          <t>마케팅2팀</t>
        </is>
      </c>
      <c r="D120" s="55">
        <f>IF($D$118="","",$D$118)</f>
        <v/>
      </c>
      <c r="E120" s="64" t="inlineStr">
        <is>
          <t>영상</t>
        </is>
      </c>
      <c r="F120" s="44" t="n"/>
      <c r="G120" s="58">
        <f>IF($G$118="","",$G$118)</f>
        <v/>
      </c>
      <c r="H120" s="59" t="n"/>
      <c r="I120" s="59" t="n"/>
      <c r="J120" s="59" t="n"/>
      <c r="K120" s="59" t="n"/>
      <c r="L120" s="65">
        <f>IF(SUM(U120:AY120)=0,"",SUM(U120:AY120))</f>
        <v/>
      </c>
      <c r="M120" s="66">
        <f>IFERROR(INDEX(U$2:AY$2,MATCH(TRUE,INDEX(U120:AY120&lt;&gt;"",0),0)),"")</f>
        <v/>
      </c>
      <c r="N120" s="66">
        <f>IFERROR(LOOKUP(2,1/(U120:AY120&lt;&gt;""),U$2:AY$2),"")</f>
        <v/>
      </c>
      <c r="O120" s="59" t="n"/>
      <c r="P120" s="59" t="n"/>
      <c r="Q120" s="59" t="n"/>
      <c r="R120" s="59" t="n"/>
      <c r="S120" s="14" t="n"/>
      <c r="U120" s="53" t="n"/>
      <c r="V120" s="53" t="n"/>
      <c r="W120" s="53" t="n"/>
      <c r="X120" s="53" t="n"/>
      <c r="Y120" s="53" t="n"/>
      <c r="Z120" s="53" t="n"/>
      <c r="AA120" s="53" t="n"/>
      <c r="AB120" s="53" t="n"/>
      <c r="AC120" s="53" t="n"/>
      <c r="AD120" s="53" t="n"/>
      <c r="AE120" s="53" t="n"/>
      <c r="AF120" s="53" t="n"/>
      <c r="AG120" s="53" t="n"/>
      <c r="AH120" s="53" t="n"/>
      <c r="AI120" s="53" t="n"/>
      <c r="AJ120" s="53" t="n"/>
      <c r="AK120" s="53" t="n"/>
      <c r="AL120" s="53" t="n"/>
      <c r="AM120" s="53" t="n"/>
      <c r="AN120" s="53" t="n"/>
      <c r="AO120" s="53" t="n"/>
      <c r="AP120" s="53" t="n"/>
      <c r="AQ120" s="53" t="n"/>
      <c r="AR120" s="53" t="n"/>
      <c r="AS120" s="53" t="n"/>
      <c r="AT120" s="53" t="n"/>
      <c r="AU120" s="53" t="n"/>
      <c r="AV120" s="53" t="n"/>
      <c r="AW120" s="53" t="n"/>
      <c r="AX120" s="53" t="n"/>
      <c r="AY120" s="53" t="n"/>
    </row>
    <row r="121" ht="15" customHeight="1">
      <c r="A121" s="40">
        <f>IF($D$121="","",38)</f>
        <v/>
      </c>
      <c r="B121" s="10" t="n"/>
      <c r="C121" s="41" t="inlineStr">
        <is>
          <t>마케팅2팀</t>
        </is>
      </c>
      <c r="D121" s="42" t="n"/>
      <c r="E121" s="43" t="inlineStr">
        <is>
          <t>기획</t>
        </is>
      </c>
      <c r="F121" s="44" t="n"/>
      <c r="G121" s="45" t="n"/>
      <c r="H121" s="46">
        <f>IF($I$121="","",IF($I$121&lt;0,"🔴지연",IF($I$121&lt;=1,"🟡임박","🟢여유")))</f>
        <v/>
      </c>
      <c r="I121" s="47">
        <f>IF(OR($G$121="",$K$121=""),"",$G$121-$K$121)</f>
        <v/>
      </c>
      <c r="J121" s="48">
        <f>IF(SUM($L$121:$L$123)=0,"",SUM($L$121:$L$123))</f>
        <v/>
      </c>
      <c r="K121" s="49">
        <f>IF($J$121="","",MAX($N$121:$N$123))</f>
        <v/>
      </c>
      <c r="L121" s="50">
        <f>IF(SUM(U121:AY121)=0,"",SUM(U121:AY121))</f>
        <v/>
      </c>
      <c r="M121" s="51">
        <f>IFERROR(INDEX(U$2:AY$2,MATCH(TRUE,INDEX(U121:AY121&lt;&gt;"",0),0)),"")</f>
        <v/>
      </c>
      <c r="N121" s="51">
        <f>IFERROR(LOOKUP(2,1/(U121:AY121&lt;&gt;""),U$2:AY$2),"")</f>
        <v/>
      </c>
      <c r="O121" s="52" t="n"/>
      <c r="P121" s="52" t="n"/>
      <c r="Q121" s="52" t="n"/>
      <c r="R121" s="44" t="n"/>
      <c r="S121" s="14" t="n"/>
      <c r="U121" s="53" t="n"/>
      <c r="V121" s="53" t="n"/>
      <c r="W121" s="53" t="n"/>
      <c r="X121" s="53" t="n"/>
      <c r="Y121" s="53" t="n"/>
      <c r="Z121" s="53" t="n"/>
      <c r="AA121" s="53" t="n"/>
      <c r="AB121" s="53" t="n"/>
      <c r="AC121" s="53" t="n"/>
      <c r="AD121" s="53" t="n"/>
      <c r="AE121" s="53" t="n"/>
      <c r="AF121" s="53" t="n"/>
      <c r="AG121" s="53" t="n"/>
      <c r="AH121" s="53" t="n"/>
      <c r="AI121" s="53" t="n"/>
      <c r="AJ121" s="53" t="n"/>
      <c r="AK121" s="53" t="n"/>
      <c r="AL121" s="53" t="n"/>
      <c r="AM121" s="53" t="n"/>
      <c r="AN121" s="53" t="n"/>
      <c r="AO121" s="53" t="n"/>
      <c r="AP121" s="53" t="n"/>
      <c r="AQ121" s="53" t="n"/>
      <c r="AR121" s="53" t="n"/>
      <c r="AS121" s="53" t="n"/>
      <c r="AT121" s="53" t="n"/>
      <c r="AU121" s="53" t="n"/>
      <c r="AV121" s="53" t="n"/>
      <c r="AW121" s="53" t="n"/>
      <c r="AX121" s="53" t="n"/>
      <c r="AY121" s="53" t="n"/>
    </row>
    <row r="122" ht="15" customHeight="1">
      <c r="A122" s="54" t="n"/>
      <c r="B122" s="55">
        <f>IF($B$121="","",$B$121)</f>
        <v/>
      </c>
      <c r="C122" s="56" t="inlineStr">
        <is>
          <t>마케팅2팀</t>
        </is>
      </c>
      <c r="D122" s="55">
        <f>IF($D$121="","",$D$121)</f>
        <v/>
      </c>
      <c r="E122" s="57" t="inlineStr">
        <is>
          <t>이미지</t>
        </is>
      </c>
      <c r="F122" s="44" t="n"/>
      <c r="G122" s="58">
        <f>IF($G$121="","",$G$121)</f>
        <v/>
      </c>
      <c r="H122" s="59" t="n"/>
      <c r="I122" s="59" t="n"/>
      <c r="J122" s="59" t="n"/>
      <c r="K122" s="59" t="n"/>
      <c r="L122" s="60">
        <f>IF(SUM(U122:AY122)=0,"",SUM(U122:AY122))</f>
        <v/>
      </c>
      <c r="M122" s="61">
        <f>IFERROR(INDEX(U$2:AY$2,MATCH(TRUE,INDEX(U122:AY122&lt;&gt;"",0),0)),"")</f>
        <v/>
      </c>
      <c r="N122" s="61">
        <f>IFERROR(LOOKUP(2,1/(U122:AY122&lt;&gt;""),U$2:AY$2),"")</f>
        <v/>
      </c>
      <c r="O122" s="59" t="n"/>
      <c r="P122" s="59" t="n"/>
      <c r="Q122" s="59" t="n"/>
      <c r="R122" s="59" t="n"/>
      <c r="S122" s="14" t="n"/>
      <c r="U122" s="53" t="n"/>
      <c r="V122" s="53" t="n"/>
      <c r="W122" s="53" t="n"/>
      <c r="X122" s="53" t="n"/>
      <c r="Y122" s="53" t="n"/>
      <c r="Z122" s="53" t="n"/>
      <c r="AA122" s="53" t="n"/>
      <c r="AB122" s="53" t="n"/>
      <c r="AC122" s="53" t="n"/>
      <c r="AD122" s="53" t="n"/>
      <c r="AE122" s="53" t="n"/>
      <c r="AF122" s="53" t="n"/>
      <c r="AG122" s="53" t="n"/>
      <c r="AH122" s="53" t="n"/>
      <c r="AI122" s="53" t="n"/>
      <c r="AJ122" s="53" t="n"/>
      <c r="AK122" s="53" t="n"/>
      <c r="AL122" s="53" t="n"/>
      <c r="AM122" s="53" t="n"/>
      <c r="AN122" s="53" t="n"/>
      <c r="AO122" s="53" t="n"/>
      <c r="AP122" s="53" t="n"/>
      <c r="AQ122" s="53" t="n"/>
      <c r="AR122" s="53" t="n"/>
      <c r="AS122" s="53" t="n"/>
      <c r="AT122" s="53" t="n"/>
      <c r="AU122" s="53" t="n"/>
      <c r="AV122" s="53" t="n"/>
      <c r="AW122" s="53" t="n"/>
      <c r="AX122" s="53" t="n"/>
      <c r="AY122" s="53" t="n"/>
    </row>
    <row r="123" ht="15" customHeight="1">
      <c r="A123" s="62" t="n"/>
      <c r="B123" s="55">
        <f>IF($B$121="","",$B$121)</f>
        <v/>
      </c>
      <c r="C123" s="63" t="inlineStr">
        <is>
          <t>마케팅2팀</t>
        </is>
      </c>
      <c r="D123" s="55">
        <f>IF($D$121="","",$D$121)</f>
        <v/>
      </c>
      <c r="E123" s="64" t="inlineStr">
        <is>
          <t>영상</t>
        </is>
      </c>
      <c r="F123" s="44" t="n"/>
      <c r="G123" s="58">
        <f>IF($G$121="","",$G$121)</f>
        <v/>
      </c>
      <c r="H123" s="59" t="n"/>
      <c r="I123" s="59" t="n"/>
      <c r="J123" s="59" t="n"/>
      <c r="K123" s="59" t="n"/>
      <c r="L123" s="65">
        <f>IF(SUM(U123:AY123)=0,"",SUM(U123:AY123))</f>
        <v/>
      </c>
      <c r="M123" s="66">
        <f>IFERROR(INDEX(U$2:AY$2,MATCH(TRUE,INDEX(U123:AY123&lt;&gt;"",0),0)),"")</f>
        <v/>
      </c>
      <c r="N123" s="66">
        <f>IFERROR(LOOKUP(2,1/(U123:AY123&lt;&gt;""),U$2:AY$2),"")</f>
        <v/>
      </c>
      <c r="O123" s="59" t="n"/>
      <c r="P123" s="59" t="n"/>
      <c r="Q123" s="59" t="n"/>
      <c r="R123" s="59" t="n"/>
      <c r="S123" s="14" t="n"/>
      <c r="U123" s="53" t="n"/>
      <c r="V123" s="53" t="n"/>
      <c r="W123" s="53" t="n"/>
      <c r="X123" s="53" t="n"/>
      <c r="Y123" s="53" t="n"/>
      <c r="Z123" s="53" t="n"/>
      <c r="AA123" s="53" t="n"/>
      <c r="AB123" s="53" t="n"/>
      <c r="AC123" s="53" t="n"/>
      <c r="AD123" s="53" t="n"/>
      <c r="AE123" s="53" t="n"/>
      <c r="AF123" s="53" t="n"/>
      <c r="AG123" s="53" t="n"/>
      <c r="AH123" s="53" t="n"/>
      <c r="AI123" s="53" t="n"/>
      <c r="AJ123" s="53" t="n"/>
      <c r="AK123" s="53" t="n"/>
      <c r="AL123" s="53" t="n"/>
      <c r="AM123" s="53" t="n"/>
      <c r="AN123" s="53" t="n"/>
      <c r="AO123" s="53" t="n"/>
      <c r="AP123" s="53" t="n"/>
      <c r="AQ123" s="53" t="n"/>
      <c r="AR123" s="53" t="n"/>
      <c r="AS123" s="53" t="n"/>
      <c r="AT123" s="53" t="n"/>
      <c r="AU123" s="53" t="n"/>
      <c r="AV123" s="53" t="n"/>
      <c r="AW123" s="53" t="n"/>
      <c r="AX123" s="53" t="n"/>
      <c r="AY123" s="53" t="n"/>
    </row>
    <row r="124" ht="15" customHeight="1">
      <c r="A124" s="40">
        <f>IF($D$124="","",39)</f>
        <v/>
      </c>
      <c r="B124" s="10" t="n"/>
      <c r="C124" s="41" t="inlineStr">
        <is>
          <t>마케팅2팀</t>
        </is>
      </c>
      <c r="D124" s="42" t="n"/>
      <c r="E124" s="43" t="inlineStr">
        <is>
          <t>기획</t>
        </is>
      </c>
      <c r="F124" s="44" t="n"/>
      <c r="G124" s="45" t="n"/>
      <c r="H124" s="46">
        <f>IF($I$124="","",IF($I$124&lt;0,"🔴지연",IF($I$124&lt;=1,"🟡임박","🟢여유")))</f>
        <v/>
      </c>
      <c r="I124" s="47">
        <f>IF(OR($G$124="",$K$124=""),"",$G$124-$K$124)</f>
        <v/>
      </c>
      <c r="J124" s="48">
        <f>IF(SUM($L$124:$L$126)=0,"",SUM($L$124:$L$126))</f>
        <v/>
      </c>
      <c r="K124" s="49">
        <f>IF($J$124="","",MAX($N$124:$N$126))</f>
        <v/>
      </c>
      <c r="L124" s="50">
        <f>IF(SUM(U124:AY124)=0,"",SUM(U124:AY124))</f>
        <v/>
      </c>
      <c r="M124" s="51">
        <f>IFERROR(INDEX(U$2:AY$2,MATCH(TRUE,INDEX(U124:AY124&lt;&gt;"",0),0)),"")</f>
        <v/>
      </c>
      <c r="N124" s="51">
        <f>IFERROR(LOOKUP(2,1/(U124:AY124&lt;&gt;""),U$2:AY$2),"")</f>
        <v/>
      </c>
      <c r="O124" s="52" t="n"/>
      <c r="P124" s="52" t="n"/>
      <c r="Q124" s="52" t="n"/>
      <c r="R124" s="44" t="n"/>
      <c r="S124" s="14" t="n"/>
      <c r="U124" s="53" t="n"/>
      <c r="V124" s="53" t="n"/>
      <c r="W124" s="53" t="n"/>
      <c r="X124" s="53" t="n"/>
      <c r="Y124" s="53" t="n"/>
      <c r="Z124" s="53" t="n"/>
      <c r="AA124" s="53" t="n"/>
      <c r="AB124" s="53" t="n"/>
      <c r="AC124" s="53" t="n"/>
      <c r="AD124" s="53" t="n"/>
      <c r="AE124" s="53" t="n"/>
      <c r="AF124" s="53" t="n"/>
      <c r="AG124" s="53" t="n"/>
      <c r="AH124" s="53" t="n"/>
      <c r="AI124" s="53" t="n"/>
      <c r="AJ124" s="53" t="n"/>
      <c r="AK124" s="53" t="n"/>
      <c r="AL124" s="53" t="n"/>
      <c r="AM124" s="53" t="n"/>
      <c r="AN124" s="53" t="n"/>
      <c r="AO124" s="53" t="n"/>
      <c r="AP124" s="53" t="n"/>
      <c r="AQ124" s="53" t="n"/>
      <c r="AR124" s="53" t="n"/>
      <c r="AS124" s="53" t="n"/>
      <c r="AT124" s="53" t="n"/>
      <c r="AU124" s="53" t="n"/>
      <c r="AV124" s="53" t="n"/>
      <c r="AW124" s="53" t="n"/>
      <c r="AX124" s="53" t="n"/>
      <c r="AY124" s="53" t="n"/>
    </row>
    <row r="125" ht="15" customHeight="1">
      <c r="A125" s="54" t="n"/>
      <c r="B125" s="55">
        <f>IF($B$124="","",$B$124)</f>
        <v/>
      </c>
      <c r="C125" s="56" t="inlineStr">
        <is>
          <t>마케팅2팀</t>
        </is>
      </c>
      <c r="D125" s="55">
        <f>IF($D$124="","",$D$124)</f>
        <v/>
      </c>
      <c r="E125" s="57" t="inlineStr">
        <is>
          <t>이미지</t>
        </is>
      </c>
      <c r="F125" s="44" t="n"/>
      <c r="G125" s="58">
        <f>IF($G$124="","",$G$124)</f>
        <v/>
      </c>
      <c r="H125" s="59" t="n"/>
      <c r="I125" s="59" t="n"/>
      <c r="J125" s="59" t="n"/>
      <c r="K125" s="59" t="n"/>
      <c r="L125" s="60">
        <f>IF(SUM(U125:AY125)=0,"",SUM(U125:AY125))</f>
        <v/>
      </c>
      <c r="M125" s="61">
        <f>IFERROR(INDEX(U$2:AY$2,MATCH(TRUE,INDEX(U125:AY125&lt;&gt;"",0),0)),"")</f>
        <v/>
      </c>
      <c r="N125" s="61">
        <f>IFERROR(LOOKUP(2,1/(U125:AY125&lt;&gt;""),U$2:AY$2),"")</f>
        <v/>
      </c>
      <c r="O125" s="59" t="n"/>
      <c r="P125" s="59" t="n"/>
      <c r="Q125" s="59" t="n"/>
      <c r="R125" s="59" t="n"/>
      <c r="S125" s="14" t="n"/>
      <c r="U125" s="53" t="n"/>
      <c r="V125" s="53" t="n"/>
      <c r="W125" s="53" t="n"/>
      <c r="X125" s="53" t="n"/>
      <c r="Y125" s="53" t="n"/>
      <c r="Z125" s="53" t="n"/>
      <c r="AA125" s="53" t="n"/>
      <c r="AB125" s="53" t="n"/>
      <c r="AC125" s="53" t="n"/>
      <c r="AD125" s="53" t="n"/>
      <c r="AE125" s="53" t="n"/>
      <c r="AF125" s="53" t="n"/>
      <c r="AG125" s="53" t="n"/>
      <c r="AH125" s="53" t="n"/>
      <c r="AI125" s="53" t="n"/>
      <c r="AJ125" s="53" t="n"/>
      <c r="AK125" s="53" t="n"/>
      <c r="AL125" s="53" t="n"/>
      <c r="AM125" s="53" t="n"/>
      <c r="AN125" s="53" t="n"/>
      <c r="AO125" s="53" t="n"/>
      <c r="AP125" s="53" t="n"/>
      <c r="AQ125" s="53" t="n"/>
      <c r="AR125" s="53" t="n"/>
      <c r="AS125" s="53" t="n"/>
      <c r="AT125" s="53" t="n"/>
      <c r="AU125" s="53" t="n"/>
      <c r="AV125" s="53" t="n"/>
      <c r="AW125" s="53" t="n"/>
      <c r="AX125" s="53" t="n"/>
      <c r="AY125" s="53" t="n"/>
    </row>
    <row r="126" ht="15" customHeight="1">
      <c r="A126" s="62" t="n"/>
      <c r="B126" s="55">
        <f>IF($B$124="","",$B$124)</f>
        <v/>
      </c>
      <c r="C126" s="63" t="inlineStr">
        <is>
          <t>마케팅2팀</t>
        </is>
      </c>
      <c r="D126" s="55">
        <f>IF($D$124="","",$D$124)</f>
        <v/>
      </c>
      <c r="E126" s="64" t="inlineStr">
        <is>
          <t>영상</t>
        </is>
      </c>
      <c r="F126" s="44" t="n"/>
      <c r="G126" s="58">
        <f>IF($G$124="","",$G$124)</f>
        <v/>
      </c>
      <c r="H126" s="59" t="n"/>
      <c r="I126" s="59" t="n"/>
      <c r="J126" s="59" t="n"/>
      <c r="K126" s="59" t="n"/>
      <c r="L126" s="65">
        <f>IF(SUM(U126:AY126)=0,"",SUM(U126:AY126))</f>
        <v/>
      </c>
      <c r="M126" s="66">
        <f>IFERROR(INDEX(U$2:AY$2,MATCH(TRUE,INDEX(U126:AY126&lt;&gt;"",0),0)),"")</f>
        <v/>
      </c>
      <c r="N126" s="66">
        <f>IFERROR(LOOKUP(2,1/(U126:AY126&lt;&gt;""),U$2:AY$2),"")</f>
        <v/>
      </c>
      <c r="O126" s="59" t="n"/>
      <c r="P126" s="59" t="n"/>
      <c r="Q126" s="59" t="n"/>
      <c r="R126" s="59" t="n"/>
      <c r="S126" s="14" t="n"/>
      <c r="U126" s="53" t="n"/>
      <c r="V126" s="53" t="n"/>
      <c r="W126" s="53" t="n"/>
      <c r="X126" s="53" t="n"/>
      <c r="Y126" s="53" t="n"/>
      <c r="Z126" s="53" t="n"/>
      <c r="AA126" s="53" t="n"/>
      <c r="AB126" s="53" t="n"/>
      <c r="AC126" s="53" t="n"/>
      <c r="AD126" s="53" t="n"/>
      <c r="AE126" s="53" t="n"/>
      <c r="AF126" s="53" t="n"/>
      <c r="AG126" s="53" t="n"/>
      <c r="AH126" s="53" t="n"/>
      <c r="AI126" s="53" t="n"/>
      <c r="AJ126" s="53" t="n"/>
      <c r="AK126" s="53" t="n"/>
      <c r="AL126" s="53" t="n"/>
      <c r="AM126" s="53" t="n"/>
      <c r="AN126" s="53" t="n"/>
      <c r="AO126" s="53" t="n"/>
      <c r="AP126" s="53" t="n"/>
      <c r="AQ126" s="53" t="n"/>
      <c r="AR126" s="53" t="n"/>
      <c r="AS126" s="53" t="n"/>
      <c r="AT126" s="53" t="n"/>
      <c r="AU126" s="53" t="n"/>
      <c r="AV126" s="53" t="n"/>
      <c r="AW126" s="53" t="n"/>
      <c r="AX126" s="53" t="n"/>
      <c r="AY126" s="53" t="n"/>
    </row>
    <row r="127" ht="15" customHeight="1">
      <c r="A127" s="40">
        <f>IF($D$127="","",40)</f>
        <v/>
      </c>
      <c r="B127" s="10" t="n"/>
      <c r="C127" s="41" t="inlineStr">
        <is>
          <t>마케팅2팀</t>
        </is>
      </c>
      <c r="D127" s="42" t="n"/>
      <c r="E127" s="43" t="inlineStr">
        <is>
          <t>기획</t>
        </is>
      </c>
      <c r="F127" s="44" t="n"/>
      <c r="G127" s="45" t="n"/>
      <c r="H127" s="46">
        <f>IF($I$127="","",IF($I$127&lt;0,"🔴지연",IF($I$127&lt;=1,"🟡임박","🟢여유")))</f>
        <v/>
      </c>
      <c r="I127" s="47">
        <f>IF(OR($G$127="",$K$127=""),"",$G$127-$K$127)</f>
        <v/>
      </c>
      <c r="J127" s="48">
        <f>IF(SUM($L$127:$L$129)=0,"",SUM($L$127:$L$129))</f>
        <v/>
      </c>
      <c r="K127" s="49">
        <f>IF($J$127="","",MAX($N$127:$N$129))</f>
        <v/>
      </c>
      <c r="L127" s="50">
        <f>IF(SUM(U127:AY127)=0,"",SUM(U127:AY127))</f>
        <v/>
      </c>
      <c r="M127" s="51">
        <f>IFERROR(INDEX(U$2:AY$2,MATCH(TRUE,INDEX(U127:AY127&lt;&gt;"",0),0)),"")</f>
        <v/>
      </c>
      <c r="N127" s="51">
        <f>IFERROR(LOOKUP(2,1/(U127:AY127&lt;&gt;""),U$2:AY$2),"")</f>
        <v/>
      </c>
      <c r="O127" s="52" t="n"/>
      <c r="P127" s="52" t="n"/>
      <c r="Q127" s="52" t="n"/>
      <c r="R127" s="44" t="n"/>
      <c r="S127" s="14" t="n"/>
      <c r="U127" s="53" t="n"/>
      <c r="V127" s="53" t="n"/>
      <c r="W127" s="53" t="n"/>
      <c r="X127" s="53" t="n"/>
      <c r="Y127" s="53" t="n"/>
      <c r="Z127" s="53" t="n"/>
      <c r="AA127" s="53" t="n"/>
      <c r="AB127" s="53" t="n"/>
      <c r="AC127" s="53" t="n"/>
      <c r="AD127" s="53" t="n"/>
      <c r="AE127" s="53" t="n"/>
      <c r="AF127" s="53" t="n"/>
      <c r="AG127" s="53" t="n"/>
      <c r="AH127" s="53" t="n"/>
      <c r="AI127" s="53" t="n"/>
      <c r="AJ127" s="53" t="n"/>
      <c r="AK127" s="53" t="n"/>
      <c r="AL127" s="53" t="n"/>
      <c r="AM127" s="53" t="n"/>
      <c r="AN127" s="53" t="n"/>
      <c r="AO127" s="53" t="n"/>
      <c r="AP127" s="53" t="n"/>
      <c r="AQ127" s="53" t="n"/>
      <c r="AR127" s="53" t="n"/>
      <c r="AS127" s="53" t="n"/>
      <c r="AT127" s="53" t="n"/>
      <c r="AU127" s="53" t="n"/>
      <c r="AV127" s="53" t="n"/>
      <c r="AW127" s="53" t="n"/>
      <c r="AX127" s="53" t="n"/>
      <c r="AY127" s="53" t="n"/>
    </row>
    <row r="128" ht="15" customHeight="1">
      <c r="A128" s="54" t="n"/>
      <c r="B128" s="55">
        <f>IF($B$127="","",$B$127)</f>
        <v/>
      </c>
      <c r="C128" s="56" t="inlineStr">
        <is>
          <t>마케팅2팀</t>
        </is>
      </c>
      <c r="D128" s="55">
        <f>IF($D$127="","",$D$127)</f>
        <v/>
      </c>
      <c r="E128" s="57" t="inlineStr">
        <is>
          <t>이미지</t>
        </is>
      </c>
      <c r="F128" s="44" t="n"/>
      <c r="G128" s="58">
        <f>IF($G$127="","",$G$127)</f>
        <v/>
      </c>
      <c r="H128" s="59" t="n"/>
      <c r="I128" s="59" t="n"/>
      <c r="J128" s="59" t="n"/>
      <c r="K128" s="59" t="n"/>
      <c r="L128" s="60">
        <f>IF(SUM(U128:AY128)=0,"",SUM(U128:AY128))</f>
        <v/>
      </c>
      <c r="M128" s="61">
        <f>IFERROR(INDEX(U$2:AY$2,MATCH(TRUE,INDEX(U128:AY128&lt;&gt;"",0),0)),"")</f>
        <v/>
      </c>
      <c r="N128" s="61">
        <f>IFERROR(LOOKUP(2,1/(U128:AY128&lt;&gt;""),U$2:AY$2),"")</f>
        <v/>
      </c>
      <c r="O128" s="59" t="n"/>
      <c r="P128" s="59" t="n"/>
      <c r="Q128" s="59" t="n"/>
      <c r="R128" s="59" t="n"/>
      <c r="S128" s="14" t="n"/>
      <c r="U128" s="53" t="n"/>
      <c r="V128" s="53" t="n"/>
      <c r="W128" s="53" t="n"/>
      <c r="X128" s="53" t="n"/>
      <c r="Y128" s="53" t="n"/>
      <c r="Z128" s="53" t="n"/>
      <c r="AA128" s="53" t="n"/>
      <c r="AB128" s="53" t="n"/>
      <c r="AC128" s="53" t="n"/>
      <c r="AD128" s="53" t="n"/>
      <c r="AE128" s="53" t="n"/>
      <c r="AF128" s="53" t="n"/>
      <c r="AG128" s="53" t="n"/>
      <c r="AH128" s="53" t="n"/>
      <c r="AI128" s="53" t="n"/>
      <c r="AJ128" s="53" t="n"/>
      <c r="AK128" s="53" t="n"/>
      <c r="AL128" s="53" t="n"/>
      <c r="AM128" s="53" t="n"/>
      <c r="AN128" s="53" t="n"/>
      <c r="AO128" s="53" t="n"/>
      <c r="AP128" s="53" t="n"/>
      <c r="AQ128" s="53" t="n"/>
      <c r="AR128" s="53" t="n"/>
      <c r="AS128" s="53" t="n"/>
      <c r="AT128" s="53" t="n"/>
      <c r="AU128" s="53" t="n"/>
      <c r="AV128" s="53" t="n"/>
      <c r="AW128" s="53" t="n"/>
      <c r="AX128" s="53" t="n"/>
      <c r="AY128" s="53" t="n"/>
    </row>
    <row r="129" ht="15" customHeight="1">
      <c r="A129" s="62" t="n"/>
      <c r="B129" s="55">
        <f>IF($B$127="","",$B$127)</f>
        <v/>
      </c>
      <c r="C129" s="63" t="inlineStr">
        <is>
          <t>마케팅2팀</t>
        </is>
      </c>
      <c r="D129" s="55">
        <f>IF($D$127="","",$D$127)</f>
        <v/>
      </c>
      <c r="E129" s="64" t="inlineStr">
        <is>
          <t>영상</t>
        </is>
      </c>
      <c r="F129" s="44" t="n"/>
      <c r="G129" s="58">
        <f>IF($G$127="","",$G$127)</f>
        <v/>
      </c>
      <c r="H129" s="59" t="n"/>
      <c r="I129" s="59" t="n"/>
      <c r="J129" s="59" t="n"/>
      <c r="K129" s="59" t="n"/>
      <c r="L129" s="65">
        <f>IF(SUM(U129:AY129)=0,"",SUM(U129:AY129))</f>
        <v/>
      </c>
      <c r="M129" s="66">
        <f>IFERROR(INDEX(U$2:AY$2,MATCH(TRUE,INDEX(U129:AY129&lt;&gt;"",0),0)),"")</f>
        <v/>
      </c>
      <c r="N129" s="66">
        <f>IFERROR(LOOKUP(2,1/(U129:AY129&lt;&gt;""),U$2:AY$2),"")</f>
        <v/>
      </c>
      <c r="O129" s="59" t="n"/>
      <c r="P129" s="59" t="n"/>
      <c r="Q129" s="59" t="n"/>
      <c r="R129" s="59" t="n"/>
      <c r="S129" s="14" t="n"/>
      <c r="U129" s="53" t="n"/>
      <c r="V129" s="53" t="n"/>
      <c r="W129" s="53" t="n"/>
      <c r="X129" s="53" t="n"/>
      <c r="Y129" s="53" t="n"/>
      <c r="Z129" s="53" t="n"/>
      <c r="AA129" s="53" t="n"/>
      <c r="AB129" s="53" t="n"/>
      <c r="AC129" s="53" t="n"/>
      <c r="AD129" s="53" t="n"/>
      <c r="AE129" s="53" t="n"/>
      <c r="AF129" s="53" t="n"/>
      <c r="AG129" s="53" t="n"/>
      <c r="AH129" s="53" t="n"/>
      <c r="AI129" s="53" t="n"/>
      <c r="AJ129" s="53" t="n"/>
      <c r="AK129" s="53" t="n"/>
      <c r="AL129" s="53" t="n"/>
      <c r="AM129" s="53" t="n"/>
      <c r="AN129" s="53" t="n"/>
      <c r="AO129" s="53" t="n"/>
      <c r="AP129" s="53" t="n"/>
      <c r="AQ129" s="53" t="n"/>
      <c r="AR129" s="53" t="n"/>
      <c r="AS129" s="53" t="n"/>
      <c r="AT129" s="53" t="n"/>
      <c r="AU129" s="53" t="n"/>
      <c r="AV129" s="53" t="n"/>
      <c r="AW129" s="53" t="n"/>
      <c r="AX129" s="53" t="n"/>
      <c r="AY129" s="53" t="n"/>
    </row>
    <row r="130" ht="18" customHeight="1">
      <c r="A130" s="39" t="inlineStr">
        <is>
          <t>마케팅3팀   (131~190행 · 소재 20개)</t>
        </is>
      </c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  <c r="AN130" s="8" t="n"/>
      <c r="AO130" s="8" t="n"/>
      <c r="AP130" s="8" t="n"/>
      <c r="AQ130" s="8" t="n"/>
      <c r="AR130" s="8" t="n"/>
      <c r="AS130" s="8" t="n"/>
      <c r="AT130" s="8" t="n"/>
      <c r="AU130" s="8" t="n"/>
      <c r="AV130" s="8" t="n"/>
      <c r="AW130" s="8" t="n"/>
      <c r="AX130" s="8" t="n"/>
      <c r="AY130" s="4" t="n"/>
    </row>
    <row r="131" ht="15" customHeight="1">
      <c r="A131" s="40">
        <f>IF($D$131="","",41)</f>
        <v/>
      </c>
      <c r="B131" s="10" t="n"/>
      <c r="C131" s="41" t="inlineStr">
        <is>
          <t>마케팅3팀</t>
        </is>
      </c>
      <c r="D131" s="42" t="n"/>
      <c r="E131" s="43" t="inlineStr">
        <is>
          <t>기획</t>
        </is>
      </c>
      <c r="F131" s="44" t="n"/>
      <c r="G131" s="45" t="n"/>
      <c r="H131" s="46">
        <f>IF($I$131="","",IF($I$131&lt;0,"🔴지연",IF($I$131&lt;=1,"🟡임박","🟢여유")))</f>
        <v/>
      </c>
      <c r="I131" s="47">
        <f>IF(OR($G$131="",$K$131=""),"",$G$131-$K$131)</f>
        <v/>
      </c>
      <c r="J131" s="48">
        <f>IF(SUM($L$131:$L$133)=0,"",SUM($L$131:$L$133))</f>
        <v/>
      </c>
      <c r="K131" s="49">
        <f>IF($J$131="","",MAX($N$131:$N$133))</f>
        <v/>
      </c>
      <c r="L131" s="50">
        <f>IF(SUM(U131:AY131)=0,"",SUM(U131:AY131))</f>
        <v/>
      </c>
      <c r="M131" s="51">
        <f>IFERROR(INDEX(U$2:AY$2,MATCH(TRUE,INDEX(U131:AY131&lt;&gt;"",0),0)),"")</f>
        <v/>
      </c>
      <c r="N131" s="51">
        <f>IFERROR(LOOKUP(2,1/(U131:AY131&lt;&gt;""),U$2:AY$2),"")</f>
        <v/>
      </c>
      <c r="O131" s="52" t="n"/>
      <c r="P131" s="52" t="n"/>
      <c r="Q131" s="52" t="n"/>
      <c r="R131" s="44" t="n"/>
      <c r="S131" s="14" t="n"/>
      <c r="U131" s="53" t="n"/>
      <c r="V131" s="53" t="n"/>
      <c r="W131" s="53" t="n"/>
      <c r="X131" s="53" t="n"/>
      <c r="Y131" s="53" t="n"/>
      <c r="Z131" s="53" t="n"/>
      <c r="AA131" s="53" t="n"/>
      <c r="AB131" s="53" t="n"/>
      <c r="AC131" s="53" t="n"/>
      <c r="AD131" s="53" t="n"/>
      <c r="AE131" s="53" t="n"/>
      <c r="AF131" s="53" t="n"/>
      <c r="AG131" s="53" t="n"/>
      <c r="AH131" s="53" t="n"/>
      <c r="AI131" s="53" t="n"/>
      <c r="AJ131" s="53" t="n"/>
      <c r="AK131" s="53" t="n"/>
      <c r="AL131" s="53" t="n"/>
      <c r="AM131" s="53" t="n"/>
      <c r="AN131" s="53" t="n"/>
      <c r="AO131" s="53" t="n"/>
      <c r="AP131" s="53" t="n"/>
      <c r="AQ131" s="53" t="n"/>
      <c r="AR131" s="53" t="n"/>
      <c r="AS131" s="53" t="n"/>
      <c r="AT131" s="53" t="n"/>
      <c r="AU131" s="53" t="n"/>
      <c r="AV131" s="53" t="n"/>
      <c r="AW131" s="53" t="n"/>
      <c r="AX131" s="53" t="n"/>
      <c r="AY131" s="53" t="n"/>
    </row>
    <row r="132" ht="15" customHeight="1">
      <c r="A132" s="54" t="n"/>
      <c r="B132" s="55">
        <f>IF($B$131="","",$B$131)</f>
        <v/>
      </c>
      <c r="C132" s="56" t="inlineStr">
        <is>
          <t>마케팅3팀</t>
        </is>
      </c>
      <c r="D132" s="55">
        <f>IF($D$131="","",$D$131)</f>
        <v/>
      </c>
      <c r="E132" s="57" t="inlineStr">
        <is>
          <t>이미지</t>
        </is>
      </c>
      <c r="F132" s="44" t="n"/>
      <c r="G132" s="58">
        <f>IF($G$131="","",$G$131)</f>
        <v/>
      </c>
      <c r="H132" s="59" t="n"/>
      <c r="I132" s="59" t="n"/>
      <c r="J132" s="59" t="n"/>
      <c r="K132" s="59" t="n"/>
      <c r="L132" s="60">
        <f>IF(SUM(U132:AY132)=0,"",SUM(U132:AY132))</f>
        <v/>
      </c>
      <c r="M132" s="61">
        <f>IFERROR(INDEX(U$2:AY$2,MATCH(TRUE,INDEX(U132:AY132&lt;&gt;"",0),0)),"")</f>
        <v/>
      </c>
      <c r="N132" s="61">
        <f>IFERROR(LOOKUP(2,1/(U132:AY132&lt;&gt;""),U$2:AY$2),"")</f>
        <v/>
      </c>
      <c r="O132" s="59" t="n"/>
      <c r="P132" s="59" t="n"/>
      <c r="Q132" s="59" t="n"/>
      <c r="R132" s="59" t="n"/>
      <c r="S132" s="14" t="n"/>
      <c r="U132" s="53" t="n"/>
      <c r="V132" s="53" t="n"/>
      <c r="W132" s="53" t="n"/>
      <c r="X132" s="53" t="n"/>
      <c r="Y132" s="53" t="n"/>
      <c r="Z132" s="53" t="n"/>
      <c r="AA132" s="53" t="n"/>
      <c r="AB132" s="53" t="n"/>
      <c r="AC132" s="53" t="n"/>
      <c r="AD132" s="53" t="n"/>
      <c r="AE132" s="53" t="n"/>
      <c r="AF132" s="53" t="n"/>
      <c r="AG132" s="53" t="n"/>
      <c r="AH132" s="53" t="n"/>
      <c r="AI132" s="53" t="n"/>
      <c r="AJ132" s="53" t="n"/>
      <c r="AK132" s="53" t="n"/>
      <c r="AL132" s="53" t="n"/>
      <c r="AM132" s="53" t="n"/>
      <c r="AN132" s="53" t="n"/>
      <c r="AO132" s="53" t="n"/>
      <c r="AP132" s="53" t="n"/>
      <c r="AQ132" s="53" t="n"/>
      <c r="AR132" s="53" t="n"/>
      <c r="AS132" s="53" t="n"/>
      <c r="AT132" s="53" t="n"/>
      <c r="AU132" s="53" t="n"/>
      <c r="AV132" s="53" t="n"/>
      <c r="AW132" s="53" t="n"/>
      <c r="AX132" s="53" t="n"/>
      <c r="AY132" s="53" t="n"/>
    </row>
    <row r="133" ht="15" customHeight="1">
      <c r="A133" s="62" t="n"/>
      <c r="B133" s="55">
        <f>IF($B$131="","",$B$131)</f>
        <v/>
      </c>
      <c r="C133" s="63" t="inlineStr">
        <is>
          <t>마케팅3팀</t>
        </is>
      </c>
      <c r="D133" s="55">
        <f>IF($D$131="","",$D$131)</f>
        <v/>
      </c>
      <c r="E133" s="64" t="inlineStr">
        <is>
          <t>영상</t>
        </is>
      </c>
      <c r="F133" s="44" t="n"/>
      <c r="G133" s="58">
        <f>IF($G$131="","",$G$131)</f>
        <v/>
      </c>
      <c r="H133" s="59" t="n"/>
      <c r="I133" s="59" t="n"/>
      <c r="J133" s="59" t="n"/>
      <c r="K133" s="59" t="n"/>
      <c r="L133" s="65">
        <f>IF(SUM(U133:AY133)=0,"",SUM(U133:AY133))</f>
        <v/>
      </c>
      <c r="M133" s="66">
        <f>IFERROR(INDEX(U$2:AY$2,MATCH(TRUE,INDEX(U133:AY133&lt;&gt;"",0),0)),"")</f>
        <v/>
      </c>
      <c r="N133" s="66">
        <f>IFERROR(LOOKUP(2,1/(U133:AY133&lt;&gt;""),U$2:AY$2),"")</f>
        <v/>
      </c>
      <c r="O133" s="59" t="n"/>
      <c r="P133" s="59" t="n"/>
      <c r="Q133" s="59" t="n"/>
      <c r="R133" s="59" t="n"/>
      <c r="S133" s="14" t="n"/>
      <c r="U133" s="53" t="n"/>
      <c r="V133" s="53" t="n"/>
      <c r="W133" s="53" t="n"/>
      <c r="X133" s="53" t="n"/>
      <c r="Y133" s="53" t="n"/>
      <c r="Z133" s="53" t="n"/>
      <c r="AA133" s="53" t="n"/>
      <c r="AB133" s="53" t="n"/>
      <c r="AC133" s="53" t="n"/>
      <c r="AD133" s="53" t="n"/>
      <c r="AE133" s="53" t="n"/>
      <c r="AF133" s="53" t="n"/>
      <c r="AG133" s="53" t="n"/>
      <c r="AH133" s="53" t="n"/>
      <c r="AI133" s="53" t="n"/>
      <c r="AJ133" s="53" t="n"/>
      <c r="AK133" s="53" t="n"/>
      <c r="AL133" s="53" t="n"/>
      <c r="AM133" s="53" t="n"/>
      <c r="AN133" s="53" t="n"/>
      <c r="AO133" s="53" t="n"/>
      <c r="AP133" s="53" t="n"/>
      <c r="AQ133" s="53" t="n"/>
      <c r="AR133" s="53" t="n"/>
      <c r="AS133" s="53" t="n"/>
      <c r="AT133" s="53" t="n"/>
      <c r="AU133" s="53" t="n"/>
      <c r="AV133" s="53" t="n"/>
      <c r="AW133" s="53" t="n"/>
      <c r="AX133" s="53" t="n"/>
      <c r="AY133" s="53" t="n"/>
    </row>
    <row r="134" ht="15" customHeight="1">
      <c r="A134" s="40">
        <f>IF($D$134="","",42)</f>
        <v/>
      </c>
      <c r="B134" s="10" t="n"/>
      <c r="C134" s="41" t="inlineStr">
        <is>
          <t>마케팅3팀</t>
        </is>
      </c>
      <c r="D134" s="42" t="n"/>
      <c r="E134" s="43" t="inlineStr">
        <is>
          <t>기획</t>
        </is>
      </c>
      <c r="F134" s="44" t="n"/>
      <c r="G134" s="45" t="n"/>
      <c r="H134" s="46">
        <f>IF($I$134="","",IF($I$134&lt;0,"🔴지연",IF($I$134&lt;=1,"🟡임박","🟢여유")))</f>
        <v/>
      </c>
      <c r="I134" s="47">
        <f>IF(OR($G$134="",$K$134=""),"",$G$134-$K$134)</f>
        <v/>
      </c>
      <c r="J134" s="48">
        <f>IF(SUM($L$134:$L$136)=0,"",SUM($L$134:$L$136))</f>
        <v/>
      </c>
      <c r="K134" s="49">
        <f>IF($J$134="","",MAX($N$134:$N$136))</f>
        <v/>
      </c>
      <c r="L134" s="50">
        <f>IF(SUM(U134:AY134)=0,"",SUM(U134:AY134))</f>
        <v/>
      </c>
      <c r="M134" s="51">
        <f>IFERROR(INDEX(U$2:AY$2,MATCH(TRUE,INDEX(U134:AY134&lt;&gt;"",0),0)),"")</f>
        <v/>
      </c>
      <c r="N134" s="51">
        <f>IFERROR(LOOKUP(2,1/(U134:AY134&lt;&gt;""),U$2:AY$2),"")</f>
        <v/>
      </c>
      <c r="O134" s="52" t="n"/>
      <c r="P134" s="52" t="n"/>
      <c r="Q134" s="52" t="n"/>
      <c r="R134" s="44" t="n"/>
      <c r="S134" s="14" t="n"/>
      <c r="U134" s="53" t="n"/>
      <c r="V134" s="53" t="n"/>
      <c r="W134" s="53" t="n"/>
      <c r="X134" s="53" t="n"/>
      <c r="Y134" s="53" t="n"/>
      <c r="Z134" s="53" t="n"/>
      <c r="AA134" s="53" t="n"/>
      <c r="AB134" s="53" t="n"/>
      <c r="AC134" s="53" t="n"/>
      <c r="AD134" s="53" t="n"/>
      <c r="AE134" s="53" t="n"/>
      <c r="AF134" s="53" t="n"/>
      <c r="AG134" s="53" t="n"/>
      <c r="AH134" s="53" t="n"/>
      <c r="AI134" s="53" t="n"/>
      <c r="AJ134" s="53" t="n"/>
      <c r="AK134" s="53" t="n"/>
      <c r="AL134" s="53" t="n"/>
      <c r="AM134" s="53" t="n"/>
      <c r="AN134" s="53" t="n"/>
      <c r="AO134" s="53" t="n"/>
      <c r="AP134" s="53" t="n"/>
      <c r="AQ134" s="53" t="n"/>
      <c r="AR134" s="53" t="n"/>
      <c r="AS134" s="53" t="n"/>
      <c r="AT134" s="53" t="n"/>
      <c r="AU134" s="53" t="n"/>
      <c r="AV134" s="53" t="n"/>
      <c r="AW134" s="53" t="n"/>
      <c r="AX134" s="53" t="n"/>
      <c r="AY134" s="53" t="n"/>
    </row>
    <row r="135" ht="15" customHeight="1">
      <c r="A135" s="54" t="n"/>
      <c r="B135" s="55">
        <f>IF($B$134="","",$B$134)</f>
        <v/>
      </c>
      <c r="C135" s="56" t="inlineStr">
        <is>
          <t>마케팅3팀</t>
        </is>
      </c>
      <c r="D135" s="55">
        <f>IF($D$134="","",$D$134)</f>
        <v/>
      </c>
      <c r="E135" s="57" t="inlineStr">
        <is>
          <t>이미지</t>
        </is>
      </c>
      <c r="F135" s="44" t="n"/>
      <c r="G135" s="58">
        <f>IF($G$134="","",$G$134)</f>
        <v/>
      </c>
      <c r="H135" s="59" t="n"/>
      <c r="I135" s="59" t="n"/>
      <c r="J135" s="59" t="n"/>
      <c r="K135" s="59" t="n"/>
      <c r="L135" s="60">
        <f>IF(SUM(U135:AY135)=0,"",SUM(U135:AY135))</f>
        <v/>
      </c>
      <c r="M135" s="61">
        <f>IFERROR(INDEX(U$2:AY$2,MATCH(TRUE,INDEX(U135:AY135&lt;&gt;"",0),0)),"")</f>
        <v/>
      </c>
      <c r="N135" s="61">
        <f>IFERROR(LOOKUP(2,1/(U135:AY135&lt;&gt;""),U$2:AY$2),"")</f>
        <v/>
      </c>
      <c r="O135" s="59" t="n"/>
      <c r="P135" s="59" t="n"/>
      <c r="Q135" s="59" t="n"/>
      <c r="R135" s="59" t="n"/>
      <c r="S135" s="14" t="n"/>
      <c r="U135" s="53" t="n"/>
      <c r="V135" s="53" t="n"/>
      <c r="W135" s="53" t="n"/>
      <c r="X135" s="53" t="n"/>
      <c r="Y135" s="53" t="n"/>
      <c r="Z135" s="53" t="n"/>
      <c r="AA135" s="53" t="n"/>
      <c r="AB135" s="53" t="n"/>
      <c r="AC135" s="53" t="n"/>
      <c r="AD135" s="53" t="n"/>
      <c r="AE135" s="53" t="n"/>
      <c r="AF135" s="53" t="n"/>
      <c r="AG135" s="53" t="n"/>
      <c r="AH135" s="53" t="n"/>
      <c r="AI135" s="53" t="n"/>
      <c r="AJ135" s="53" t="n"/>
      <c r="AK135" s="53" t="n"/>
      <c r="AL135" s="53" t="n"/>
      <c r="AM135" s="53" t="n"/>
      <c r="AN135" s="53" t="n"/>
      <c r="AO135" s="53" t="n"/>
      <c r="AP135" s="53" t="n"/>
      <c r="AQ135" s="53" t="n"/>
      <c r="AR135" s="53" t="n"/>
      <c r="AS135" s="53" t="n"/>
      <c r="AT135" s="53" t="n"/>
      <c r="AU135" s="53" t="n"/>
      <c r="AV135" s="53" t="n"/>
      <c r="AW135" s="53" t="n"/>
      <c r="AX135" s="53" t="n"/>
      <c r="AY135" s="53" t="n"/>
    </row>
    <row r="136" ht="15" customHeight="1">
      <c r="A136" s="62" t="n"/>
      <c r="B136" s="55">
        <f>IF($B$134="","",$B$134)</f>
        <v/>
      </c>
      <c r="C136" s="63" t="inlineStr">
        <is>
          <t>마케팅3팀</t>
        </is>
      </c>
      <c r="D136" s="55">
        <f>IF($D$134="","",$D$134)</f>
        <v/>
      </c>
      <c r="E136" s="64" t="inlineStr">
        <is>
          <t>영상</t>
        </is>
      </c>
      <c r="F136" s="44" t="n"/>
      <c r="G136" s="58">
        <f>IF($G$134="","",$G$134)</f>
        <v/>
      </c>
      <c r="H136" s="59" t="n"/>
      <c r="I136" s="59" t="n"/>
      <c r="J136" s="59" t="n"/>
      <c r="K136" s="59" t="n"/>
      <c r="L136" s="65">
        <f>IF(SUM(U136:AY136)=0,"",SUM(U136:AY136))</f>
        <v/>
      </c>
      <c r="M136" s="66">
        <f>IFERROR(INDEX(U$2:AY$2,MATCH(TRUE,INDEX(U136:AY136&lt;&gt;"",0),0)),"")</f>
        <v/>
      </c>
      <c r="N136" s="66">
        <f>IFERROR(LOOKUP(2,1/(U136:AY136&lt;&gt;""),U$2:AY$2),"")</f>
        <v/>
      </c>
      <c r="O136" s="59" t="n"/>
      <c r="P136" s="59" t="n"/>
      <c r="Q136" s="59" t="n"/>
      <c r="R136" s="59" t="n"/>
      <c r="S136" s="14" t="n"/>
      <c r="U136" s="53" t="n"/>
      <c r="V136" s="53" t="n"/>
      <c r="W136" s="53" t="n"/>
      <c r="X136" s="53" t="n"/>
      <c r="Y136" s="53" t="n"/>
      <c r="Z136" s="53" t="n"/>
      <c r="AA136" s="53" t="n"/>
      <c r="AB136" s="53" t="n"/>
      <c r="AC136" s="53" t="n"/>
      <c r="AD136" s="53" t="n"/>
      <c r="AE136" s="53" t="n"/>
      <c r="AF136" s="53" t="n"/>
      <c r="AG136" s="53" t="n"/>
      <c r="AH136" s="53" t="n"/>
      <c r="AI136" s="53" t="n"/>
      <c r="AJ136" s="53" t="n"/>
      <c r="AK136" s="53" t="n"/>
      <c r="AL136" s="53" t="n"/>
      <c r="AM136" s="53" t="n"/>
      <c r="AN136" s="53" t="n"/>
      <c r="AO136" s="53" t="n"/>
      <c r="AP136" s="53" t="n"/>
      <c r="AQ136" s="53" t="n"/>
      <c r="AR136" s="53" t="n"/>
      <c r="AS136" s="53" t="n"/>
      <c r="AT136" s="53" t="n"/>
      <c r="AU136" s="53" t="n"/>
      <c r="AV136" s="53" t="n"/>
      <c r="AW136" s="53" t="n"/>
      <c r="AX136" s="53" t="n"/>
      <c r="AY136" s="53" t="n"/>
    </row>
    <row r="137" ht="15" customHeight="1">
      <c r="A137" s="40">
        <f>IF($D$137="","",43)</f>
        <v/>
      </c>
      <c r="B137" s="10" t="n"/>
      <c r="C137" s="41" t="inlineStr">
        <is>
          <t>마케팅3팀</t>
        </is>
      </c>
      <c r="D137" s="42" t="n"/>
      <c r="E137" s="43" t="inlineStr">
        <is>
          <t>기획</t>
        </is>
      </c>
      <c r="F137" s="44" t="n"/>
      <c r="G137" s="45" t="n"/>
      <c r="H137" s="46">
        <f>IF($I$137="","",IF($I$137&lt;0,"🔴지연",IF($I$137&lt;=1,"🟡임박","🟢여유")))</f>
        <v/>
      </c>
      <c r="I137" s="47">
        <f>IF(OR($G$137="",$K$137=""),"",$G$137-$K$137)</f>
        <v/>
      </c>
      <c r="J137" s="48">
        <f>IF(SUM($L$137:$L$139)=0,"",SUM($L$137:$L$139))</f>
        <v/>
      </c>
      <c r="K137" s="49">
        <f>IF($J$137="","",MAX($N$137:$N$139))</f>
        <v/>
      </c>
      <c r="L137" s="50">
        <f>IF(SUM(U137:AY137)=0,"",SUM(U137:AY137))</f>
        <v/>
      </c>
      <c r="M137" s="51">
        <f>IFERROR(INDEX(U$2:AY$2,MATCH(TRUE,INDEX(U137:AY137&lt;&gt;"",0),0)),"")</f>
        <v/>
      </c>
      <c r="N137" s="51">
        <f>IFERROR(LOOKUP(2,1/(U137:AY137&lt;&gt;""),U$2:AY$2),"")</f>
        <v/>
      </c>
      <c r="O137" s="52" t="n"/>
      <c r="P137" s="52" t="n"/>
      <c r="Q137" s="52" t="n"/>
      <c r="R137" s="44" t="n"/>
      <c r="S137" s="14" t="n"/>
      <c r="U137" s="53" t="n"/>
      <c r="V137" s="53" t="n"/>
      <c r="W137" s="53" t="n"/>
      <c r="X137" s="53" t="n"/>
      <c r="Y137" s="53" t="n"/>
      <c r="Z137" s="53" t="n"/>
      <c r="AA137" s="53" t="n"/>
      <c r="AB137" s="53" t="n"/>
      <c r="AC137" s="53" t="n"/>
      <c r="AD137" s="53" t="n"/>
      <c r="AE137" s="53" t="n"/>
      <c r="AF137" s="53" t="n"/>
      <c r="AG137" s="53" t="n"/>
      <c r="AH137" s="53" t="n"/>
      <c r="AI137" s="53" t="n"/>
      <c r="AJ137" s="53" t="n"/>
      <c r="AK137" s="53" t="n"/>
      <c r="AL137" s="53" t="n"/>
      <c r="AM137" s="53" t="n"/>
      <c r="AN137" s="53" t="n"/>
      <c r="AO137" s="53" t="n"/>
      <c r="AP137" s="53" t="n"/>
      <c r="AQ137" s="53" t="n"/>
      <c r="AR137" s="53" t="n"/>
      <c r="AS137" s="53" t="n"/>
      <c r="AT137" s="53" t="n"/>
      <c r="AU137" s="53" t="n"/>
      <c r="AV137" s="53" t="n"/>
      <c r="AW137" s="53" t="n"/>
      <c r="AX137" s="53" t="n"/>
      <c r="AY137" s="53" t="n"/>
    </row>
    <row r="138" ht="15" customHeight="1">
      <c r="A138" s="54" t="n"/>
      <c r="B138" s="55">
        <f>IF($B$137="","",$B$137)</f>
        <v/>
      </c>
      <c r="C138" s="56" t="inlineStr">
        <is>
          <t>마케팅3팀</t>
        </is>
      </c>
      <c r="D138" s="55">
        <f>IF($D$137="","",$D$137)</f>
        <v/>
      </c>
      <c r="E138" s="57" t="inlineStr">
        <is>
          <t>이미지</t>
        </is>
      </c>
      <c r="F138" s="44" t="n"/>
      <c r="G138" s="58">
        <f>IF($G$137="","",$G$137)</f>
        <v/>
      </c>
      <c r="H138" s="59" t="n"/>
      <c r="I138" s="59" t="n"/>
      <c r="J138" s="59" t="n"/>
      <c r="K138" s="59" t="n"/>
      <c r="L138" s="60">
        <f>IF(SUM(U138:AY138)=0,"",SUM(U138:AY138))</f>
        <v/>
      </c>
      <c r="M138" s="61">
        <f>IFERROR(INDEX(U$2:AY$2,MATCH(TRUE,INDEX(U138:AY138&lt;&gt;"",0),0)),"")</f>
        <v/>
      </c>
      <c r="N138" s="61">
        <f>IFERROR(LOOKUP(2,1/(U138:AY138&lt;&gt;""),U$2:AY$2),"")</f>
        <v/>
      </c>
      <c r="O138" s="59" t="n"/>
      <c r="P138" s="59" t="n"/>
      <c r="Q138" s="59" t="n"/>
      <c r="R138" s="59" t="n"/>
      <c r="S138" s="14" t="n"/>
      <c r="U138" s="53" t="n"/>
      <c r="V138" s="53" t="n"/>
      <c r="W138" s="53" t="n"/>
      <c r="X138" s="53" t="n"/>
      <c r="Y138" s="53" t="n"/>
      <c r="Z138" s="53" t="n"/>
      <c r="AA138" s="53" t="n"/>
      <c r="AB138" s="53" t="n"/>
      <c r="AC138" s="53" t="n"/>
      <c r="AD138" s="53" t="n"/>
      <c r="AE138" s="53" t="n"/>
      <c r="AF138" s="53" t="n"/>
      <c r="AG138" s="53" t="n"/>
      <c r="AH138" s="53" t="n"/>
      <c r="AI138" s="53" t="n"/>
      <c r="AJ138" s="53" t="n"/>
      <c r="AK138" s="53" t="n"/>
      <c r="AL138" s="53" t="n"/>
      <c r="AM138" s="53" t="n"/>
      <c r="AN138" s="53" t="n"/>
      <c r="AO138" s="53" t="n"/>
      <c r="AP138" s="53" t="n"/>
      <c r="AQ138" s="53" t="n"/>
      <c r="AR138" s="53" t="n"/>
      <c r="AS138" s="53" t="n"/>
      <c r="AT138" s="53" t="n"/>
      <c r="AU138" s="53" t="n"/>
      <c r="AV138" s="53" t="n"/>
      <c r="AW138" s="53" t="n"/>
      <c r="AX138" s="53" t="n"/>
      <c r="AY138" s="53" t="n"/>
    </row>
    <row r="139" ht="15" customHeight="1">
      <c r="A139" s="62" t="n"/>
      <c r="B139" s="55">
        <f>IF($B$137="","",$B$137)</f>
        <v/>
      </c>
      <c r="C139" s="63" t="inlineStr">
        <is>
          <t>마케팅3팀</t>
        </is>
      </c>
      <c r="D139" s="55">
        <f>IF($D$137="","",$D$137)</f>
        <v/>
      </c>
      <c r="E139" s="64" t="inlineStr">
        <is>
          <t>영상</t>
        </is>
      </c>
      <c r="F139" s="44" t="n"/>
      <c r="G139" s="58">
        <f>IF($G$137="","",$G$137)</f>
        <v/>
      </c>
      <c r="H139" s="59" t="n"/>
      <c r="I139" s="59" t="n"/>
      <c r="J139" s="59" t="n"/>
      <c r="K139" s="59" t="n"/>
      <c r="L139" s="65">
        <f>IF(SUM(U139:AY139)=0,"",SUM(U139:AY139))</f>
        <v/>
      </c>
      <c r="M139" s="66">
        <f>IFERROR(INDEX(U$2:AY$2,MATCH(TRUE,INDEX(U139:AY139&lt;&gt;"",0),0)),"")</f>
        <v/>
      </c>
      <c r="N139" s="66">
        <f>IFERROR(LOOKUP(2,1/(U139:AY139&lt;&gt;""),U$2:AY$2),"")</f>
        <v/>
      </c>
      <c r="O139" s="59" t="n"/>
      <c r="P139" s="59" t="n"/>
      <c r="Q139" s="59" t="n"/>
      <c r="R139" s="59" t="n"/>
      <c r="S139" s="14" t="n"/>
      <c r="U139" s="53" t="n"/>
      <c r="V139" s="53" t="n"/>
      <c r="W139" s="53" t="n"/>
      <c r="X139" s="53" t="n"/>
      <c r="Y139" s="53" t="n"/>
      <c r="Z139" s="53" t="n"/>
      <c r="AA139" s="53" t="n"/>
      <c r="AB139" s="53" t="n"/>
      <c r="AC139" s="53" t="n"/>
      <c r="AD139" s="53" t="n"/>
      <c r="AE139" s="53" t="n"/>
      <c r="AF139" s="53" t="n"/>
      <c r="AG139" s="53" t="n"/>
      <c r="AH139" s="53" t="n"/>
      <c r="AI139" s="53" t="n"/>
      <c r="AJ139" s="53" t="n"/>
      <c r="AK139" s="53" t="n"/>
      <c r="AL139" s="53" t="n"/>
      <c r="AM139" s="53" t="n"/>
      <c r="AN139" s="53" t="n"/>
      <c r="AO139" s="53" t="n"/>
      <c r="AP139" s="53" t="n"/>
      <c r="AQ139" s="53" t="n"/>
      <c r="AR139" s="53" t="n"/>
      <c r="AS139" s="53" t="n"/>
      <c r="AT139" s="53" t="n"/>
      <c r="AU139" s="53" t="n"/>
      <c r="AV139" s="53" t="n"/>
      <c r="AW139" s="53" t="n"/>
      <c r="AX139" s="53" t="n"/>
      <c r="AY139" s="53" t="n"/>
    </row>
    <row r="140" ht="15" customHeight="1">
      <c r="A140" s="40">
        <f>IF($D$140="","",44)</f>
        <v/>
      </c>
      <c r="B140" s="10" t="n"/>
      <c r="C140" s="41" t="inlineStr">
        <is>
          <t>마케팅3팀</t>
        </is>
      </c>
      <c r="D140" s="42" t="n"/>
      <c r="E140" s="43" t="inlineStr">
        <is>
          <t>기획</t>
        </is>
      </c>
      <c r="F140" s="44" t="n"/>
      <c r="G140" s="45" t="n"/>
      <c r="H140" s="46">
        <f>IF($I$140="","",IF($I$140&lt;0,"🔴지연",IF($I$140&lt;=1,"🟡임박","🟢여유")))</f>
        <v/>
      </c>
      <c r="I140" s="47">
        <f>IF(OR($G$140="",$K$140=""),"",$G$140-$K$140)</f>
        <v/>
      </c>
      <c r="J140" s="48">
        <f>IF(SUM($L$140:$L$142)=0,"",SUM($L$140:$L$142))</f>
        <v/>
      </c>
      <c r="K140" s="49">
        <f>IF($J$140="","",MAX($N$140:$N$142))</f>
        <v/>
      </c>
      <c r="L140" s="50">
        <f>IF(SUM(U140:AY140)=0,"",SUM(U140:AY140))</f>
        <v/>
      </c>
      <c r="M140" s="51">
        <f>IFERROR(INDEX(U$2:AY$2,MATCH(TRUE,INDEX(U140:AY140&lt;&gt;"",0),0)),"")</f>
        <v/>
      </c>
      <c r="N140" s="51">
        <f>IFERROR(LOOKUP(2,1/(U140:AY140&lt;&gt;""),U$2:AY$2),"")</f>
        <v/>
      </c>
      <c r="O140" s="52" t="n"/>
      <c r="P140" s="52" t="n"/>
      <c r="Q140" s="52" t="n"/>
      <c r="R140" s="44" t="n"/>
      <c r="S140" s="14" t="n"/>
      <c r="U140" s="53" t="n"/>
      <c r="V140" s="53" t="n"/>
      <c r="W140" s="53" t="n"/>
      <c r="X140" s="53" t="n"/>
      <c r="Y140" s="53" t="n"/>
      <c r="Z140" s="53" t="n"/>
      <c r="AA140" s="53" t="n"/>
      <c r="AB140" s="53" t="n"/>
      <c r="AC140" s="53" t="n"/>
      <c r="AD140" s="53" t="n"/>
      <c r="AE140" s="53" t="n"/>
      <c r="AF140" s="53" t="n"/>
      <c r="AG140" s="53" t="n"/>
      <c r="AH140" s="53" t="n"/>
      <c r="AI140" s="53" t="n"/>
      <c r="AJ140" s="53" t="n"/>
      <c r="AK140" s="53" t="n"/>
      <c r="AL140" s="53" t="n"/>
      <c r="AM140" s="53" t="n"/>
      <c r="AN140" s="53" t="n"/>
      <c r="AO140" s="53" t="n"/>
      <c r="AP140" s="53" t="n"/>
      <c r="AQ140" s="53" t="n"/>
      <c r="AR140" s="53" t="n"/>
      <c r="AS140" s="53" t="n"/>
      <c r="AT140" s="53" t="n"/>
      <c r="AU140" s="53" t="n"/>
      <c r="AV140" s="53" t="n"/>
      <c r="AW140" s="53" t="n"/>
      <c r="AX140" s="53" t="n"/>
      <c r="AY140" s="53" t="n"/>
    </row>
    <row r="141" ht="15" customHeight="1">
      <c r="A141" s="54" t="n"/>
      <c r="B141" s="55">
        <f>IF($B$140="","",$B$140)</f>
        <v/>
      </c>
      <c r="C141" s="56" t="inlineStr">
        <is>
          <t>마케팅3팀</t>
        </is>
      </c>
      <c r="D141" s="55">
        <f>IF($D$140="","",$D$140)</f>
        <v/>
      </c>
      <c r="E141" s="57" t="inlineStr">
        <is>
          <t>이미지</t>
        </is>
      </c>
      <c r="F141" s="44" t="n"/>
      <c r="G141" s="58">
        <f>IF($G$140="","",$G$140)</f>
        <v/>
      </c>
      <c r="H141" s="59" t="n"/>
      <c r="I141" s="59" t="n"/>
      <c r="J141" s="59" t="n"/>
      <c r="K141" s="59" t="n"/>
      <c r="L141" s="60">
        <f>IF(SUM(U141:AY141)=0,"",SUM(U141:AY141))</f>
        <v/>
      </c>
      <c r="M141" s="61">
        <f>IFERROR(INDEX(U$2:AY$2,MATCH(TRUE,INDEX(U141:AY141&lt;&gt;"",0),0)),"")</f>
        <v/>
      </c>
      <c r="N141" s="61">
        <f>IFERROR(LOOKUP(2,1/(U141:AY141&lt;&gt;""),U$2:AY$2),"")</f>
        <v/>
      </c>
      <c r="O141" s="59" t="n"/>
      <c r="P141" s="59" t="n"/>
      <c r="Q141" s="59" t="n"/>
      <c r="R141" s="59" t="n"/>
      <c r="S141" s="14" t="n"/>
      <c r="U141" s="53" t="n"/>
      <c r="V141" s="53" t="n"/>
      <c r="W141" s="53" t="n"/>
      <c r="X141" s="53" t="n"/>
      <c r="Y141" s="53" t="n"/>
      <c r="Z141" s="53" t="n"/>
      <c r="AA141" s="53" t="n"/>
      <c r="AB141" s="53" t="n"/>
      <c r="AC141" s="53" t="n"/>
      <c r="AD141" s="53" t="n"/>
      <c r="AE141" s="53" t="n"/>
      <c r="AF141" s="53" t="n"/>
      <c r="AG141" s="53" t="n"/>
      <c r="AH141" s="53" t="n"/>
      <c r="AI141" s="53" t="n"/>
      <c r="AJ141" s="53" t="n"/>
      <c r="AK141" s="53" t="n"/>
      <c r="AL141" s="53" t="n"/>
      <c r="AM141" s="53" t="n"/>
      <c r="AN141" s="53" t="n"/>
      <c r="AO141" s="53" t="n"/>
      <c r="AP141" s="53" t="n"/>
      <c r="AQ141" s="53" t="n"/>
      <c r="AR141" s="53" t="n"/>
      <c r="AS141" s="53" t="n"/>
      <c r="AT141" s="53" t="n"/>
      <c r="AU141" s="53" t="n"/>
      <c r="AV141" s="53" t="n"/>
      <c r="AW141" s="53" t="n"/>
      <c r="AX141" s="53" t="n"/>
      <c r="AY141" s="53" t="n"/>
    </row>
    <row r="142" ht="15" customHeight="1">
      <c r="A142" s="62" t="n"/>
      <c r="B142" s="55">
        <f>IF($B$140="","",$B$140)</f>
        <v/>
      </c>
      <c r="C142" s="63" t="inlineStr">
        <is>
          <t>마케팅3팀</t>
        </is>
      </c>
      <c r="D142" s="55">
        <f>IF($D$140="","",$D$140)</f>
        <v/>
      </c>
      <c r="E142" s="64" t="inlineStr">
        <is>
          <t>영상</t>
        </is>
      </c>
      <c r="F142" s="44" t="n"/>
      <c r="G142" s="58">
        <f>IF($G$140="","",$G$140)</f>
        <v/>
      </c>
      <c r="H142" s="59" t="n"/>
      <c r="I142" s="59" t="n"/>
      <c r="J142" s="59" t="n"/>
      <c r="K142" s="59" t="n"/>
      <c r="L142" s="65">
        <f>IF(SUM(U142:AY142)=0,"",SUM(U142:AY142))</f>
        <v/>
      </c>
      <c r="M142" s="66">
        <f>IFERROR(INDEX(U$2:AY$2,MATCH(TRUE,INDEX(U142:AY142&lt;&gt;"",0),0)),"")</f>
        <v/>
      </c>
      <c r="N142" s="66">
        <f>IFERROR(LOOKUP(2,1/(U142:AY142&lt;&gt;""),U$2:AY$2),"")</f>
        <v/>
      </c>
      <c r="O142" s="59" t="n"/>
      <c r="P142" s="59" t="n"/>
      <c r="Q142" s="59" t="n"/>
      <c r="R142" s="59" t="n"/>
      <c r="S142" s="14" t="n"/>
      <c r="U142" s="53" t="n"/>
      <c r="V142" s="53" t="n"/>
      <c r="W142" s="53" t="n"/>
      <c r="X142" s="53" t="n"/>
      <c r="Y142" s="53" t="n"/>
      <c r="Z142" s="53" t="n"/>
      <c r="AA142" s="53" t="n"/>
      <c r="AB142" s="53" t="n"/>
      <c r="AC142" s="53" t="n"/>
      <c r="AD142" s="53" t="n"/>
      <c r="AE142" s="53" t="n"/>
      <c r="AF142" s="53" t="n"/>
      <c r="AG142" s="53" t="n"/>
      <c r="AH142" s="53" t="n"/>
      <c r="AI142" s="53" t="n"/>
      <c r="AJ142" s="53" t="n"/>
      <c r="AK142" s="53" t="n"/>
      <c r="AL142" s="53" t="n"/>
      <c r="AM142" s="53" t="n"/>
      <c r="AN142" s="53" t="n"/>
      <c r="AO142" s="53" t="n"/>
      <c r="AP142" s="53" t="n"/>
      <c r="AQ142" s="53" t="n"/>
      <c r="AR142" s="53" t="n"/>
      <c r="AS142" s="53" t="n"/>
      <c r="AT142" s="53" t="n"/>
      <c r="AU142" s="53" t="n"/>
      <c r="AV142" s="53" t="n"/>
      <c r="AW142" s="53" t="n"/>
      <c r="AX142" s="53" t="n"/>
      <c r="AY142" s="53" t="n"/>
    </row>
    <row r="143" ht="15" customHeight="1">
      <c r="A143" s="40">
        <f>IF($D$143="","",45)</f>
        <v/>
      </c>
      <c r="B143" s="10" t="n"/>
      <c r="C143" s="41" t="inlineStr">
        <is>
          <t>마케팅3팀</t>
        </is>
      </c>
      <c r="D143" s="42" t="n"/>
      <c r="E143" s="43" t="inlineStr">
        <is>
          <t>기획</t>
        </is>
      </c>
      <c r="F143" s="44" t="n"/>
      <c r="G143" s="45" t="n"/>
      <c r="H143" s="46">
        <f>IF($I$143="","",IF($I$143&lt;0,"🔴지연",IF($I$143&lt;=1,"🟡임박","🟢여유")))</f>
        <v/>
      </c>
      <c r="I143" s="47">
        <f>IF(OR($G$143="",$K$143=""),"",$G$143-$K$143)</f>
        <v/>
      </c>
      <c r="J143" s="48">
        <f>IF(SUM($L$143:$L$145)=0,"",SUM($L$143:$L$145))</f>
        <v/>
      </c>
      <c r="K143" s="49">
        <f>IF($J$143="","",MAX($N$143:$N$145))</f>
        <v/>
      </c>
      <c r="L143" s="50">
        <f>IF(SUM(U143:AY143)=0,"",SUM(U143:AY143))</f>
        <v/>
      </c>
      <c r="M143" s="51">
        <f>IFERROR(INDEX(U$2:AY$2,MATCH(TRUE,INDEX(U143:AY143&lt;&gt;"",0),0)),"")</f>
        <v/>
      </c>
      <c r="N143" s="51">
        <f>IFERROR(LOOKUP(2,1/(U143:AY143&lt;&gt;""),U$2:AY$2),"")</f>
        <v/>
      </c>
      <c r="O143" s="52" t="n"/>
      <c r="P143" s="52" t="n"/>
      <c r="Q143" s="52" t="n"/>
      <c r="R143" s="44" t="n"/>
      <c r="S143" s="14" t="n"/>
      <c r="U143" s="53" t="n"/>
      <c r="V143" s="53" t="n"/>
      <c r="W143" s="53" t="n"/>
      <c r="X143" s="53" t="n"/>
      <c r="Y143" s="53" t="n"/>
      <c r="Z143" s="53" t="n"/>
      <c r="AA143" s="53" t="n"/>
      <c r="AB143" s="53" t="n"/>
      <c r="AC143" s="53" t="n"/>
      <c r="AD143" s="53" t="n"/>
      <c r="AE143" s="53" t="n"/>
      <c r="AF143" s="53" t="n"/>
      <c r="AG143" s="53" t="n"/>
      <c r="AH143" s="53" t="n"/>
      <c r="AI143" s="53" t="n"/>
      <c r="AJ143" s="53" t="n"/>
      <c r="AK143" s="53" t="n"/>
      <c r="AL143" s="53" t="n"/>
      <c r="AM143" s="53" t="n"/>
      <c r="AN143" s="53" t="n"/>
      <c r="AO143" s="53" t="n"/>
      <c r="AP143" s="53" t="n"/>
      <c r="AQ143" s="53" t="n"/>
      <c r="AR143" s="53" t="n"/>
      <c r="AS143" s="53" t="n"/>
      <c r="AT143" s="53" t="n"/>
      <c r="AU143" s="53" t="n"/>
      <c r="AV143" s="53" t="n"/>
      <c r="AW143" s="53" t="n"/>
      <c r="AX143" s="53" t="n"/>
      <c r="AY143" s="53" t="n"/>
    </row>
    <row r="144" ht="15" customHeight="1">
      <c r="A144" s="54" t="n"/>
      <c r="B144" s="55">
        <f>IF($B$143="","",$B$143)</f>
        <v/>
      </c>
      <c r="C144" s="56" t="inlineStr">
        <is>
          <t>마케팅3팀</t>
        </is>
      </c>
      <c r="D144" s="55">
        <f>IF($D$143="","",$D$143)</f>
        <v/>
      </c>
      <c r="E144" s="57" t="inlineStr">
        <is>
          <t>이미지</t>
        </is>
      </c>
      <c r="F144" s="44" t="n"/>
      <c r="G144" s="58">
        <f>IF($G$143="","",$G$143)</f>
        <v/>
      </c>
      <c r="H144" s="59" t="n"/>
      <c r="I144" s="59" t="n"/>
      <c r="J144" s="59" t="n"/>
      <c r="K144" s="59" t="n"/>
      <c r="L144" s="60">
        <f>IF(SUM(U144:AY144)=0,"",SUM(U144:AY144))</f>
        <v/>
      </c>
      <c r="M144" s="61">
        <f>IFERROR(INDEX(U$2:AY$2,MATCH(TRUE,INDEX(U144:AY144&lt;&gt;"",0),0)),"")</f>
        <v/>
      </c>
      <c r="N144" s="61">
        <f>IFERROR(LOOKUP(2,1/(U144:AY144&lt;&gt;""),U$2:AY$2),"")</f>
        <v/>
      </c>
      <c r="O144" s="59" t="n"/>
      <c r="P144" s="59" t="n"/>
      <c r="Q144" s="59" t="n"/>
      <c r="R144" s="59" t="n"/>
      <c r="S144" s="14" t="n"/>
      <c r="U144" s="53" t="n"/>
      <c r="V144" s="53" t="n"/>
      <c r="W144" s="53" t="n"/>
      <c r="X144" s="53" t="n"/>
      <c r="Y144" s="53" t="n"/>
      <c r="Z144" s="53" t="n"/>
      <c r="AA144" s="53" t="n"/>
      <c r="AB144" s="53" t="n"/>
      <c r="AC144" s="53" t="n"/>
      <c r="AD144" s="53" t="n"/>
      <c r="AE144" s="53" t="n"/>
      <c r="AF144" s="53" t="n"/>
      <c r="AG144" s="53" t="n"/>
      <c r="AH144" s="53" t="n"/>
      <c r="AI144" s="53" t="n"/>
      <c r="AJ144" s="53" t="n"/>
      <c r="AK144" s="53" t="n"/>
      <c r="AL144" s="53" t="n"/>
      <c r="AM144" s="53" t="n"/>
      <c r="AN144" s="53" t="n"/>
      <c r="AO144" s="53" t="n"/>
      <c r="AP144" s="53" t="n"/>
      <c r="AQ144" s="53" t="n"/>
      <c r="AR144" s="53" t="n"/>
      <c r="AS144" s="53" t="n"/>
      <c r="AT144" s="53" t="n"/>
      <c r="AU144" s="53" t="n"/>
      <c r="AV144" s="53" t="n"/>
      <c r="AW144" s="53" t="n"/>
      <c r="AX144" s="53" t="n"/>
      <c r="AY144" s="53" t="n"/>
    </row>
    <row r="145" ht="15" customHeight="1">
      <c r="A145" s="62" t="n"/>
      <c r="B145" s="55">
        <f>IF($B$143="","",$B$143)</f>
        <v/>
      </c>
      <c r="C145" s="63" t="inlineStr">
        <is>
          <t>마케팅3팀</t>
        </is>
      </c>
      <c r="D145" s="55">
        <f>IF($D$143="","",$D$143)</f>
        <v/>
      </c>
      <c r="E145" s="64" t="inlineStr">
        <is>
          <t>영상</t>
        </is>
      </c>
      <c r="F145" s="44" t="n"/>
      <c r="G145" s="58">
        <f>IF($G$143="","",$G$143)</f>
        <v/>
      </c>
      <c r="H145" s="59" t="n"/>
      <c r="I145" s="59" t="n"/>
      <c r="J145" s="59" t="n"/>
      <c r="K145" s="59" t="n"/>
      <c r="L145" s="65">
        <f>IF(SUM(U145:AY145)=0,"",SUM(U145:AY145))</f>
        <v/>
      </c>
      <c r="M145" s="66">
        <f>IFERROR(INDEX(U$2:AY$2,MATCH(TRUE,INDEX(U145:AY145&lt;&gt;"",0),0)),"")</f>
        <v/>
      </c>
      <c r="N145" s="66">
        <f>IFERROR(LOOKUP(2,1/(U145:AY145&lt;&gt;""),U$2:AY$2),"")</f>
        <v/>
      </c>
      <c r="O145" s="59" t="n"/>
      <c r="P145" s="59" t="n"/>
      <c r="Q145" s="59" t="n"/>
      <c r="R145" s="59" t="n"/>
      <c r="S145" s="14" t="n"/>
      <c r="U145" s="53" t="n"/>
      <c r="V145" s="53" t="n"/>
      <c r="W145" s="53" t="n"/>
      <c r="X145" s="53" t="n"/>
      <c r="Y145" s="53" t="n"/>
      <c r="Z145" s="53" t="n"/>
      <c r="AA145" s="53" t="n"/>
      <c r="AB145" s="53" t="n"/>
      <c r="AC145" s="53" t="n"/>
      <c r="AD145" s="53" t="n"/>
      <c r="AE145" s="53" t="n"/>
      <c r="AF145" s="53" t="n"/>
      <c r="AG145" s="53" t="n"/>
      <c r="AH145" s="53" t="n"/>
      <c r="AI145" s="53" t="n"/>
      <c r="AJ145" s="53" t="n"/>
      <c r="AK145" s="53" t="n"/>
      <c r="AL145" s="53" t="n"/>
      <c r="AM145" s="53" t="n"/>
      <c r="AN145" s="53" t="n"/>
      <c r="AO145" s="53" t="n"/>
      <c r="AP145" s="53" t="n"/>
      <c r="AQ145" s="53" t="n"/>
      <c r="AR145" s="53" t="n"/>
      <c r="AS145" s="53" t="n"/>
      <c r="AT145" s="53" t="n"/>
      <c r="AU145" s="53" t="n"/>
      <c r="AV145" s="53" t="n"/>
      <c r="AW145" s="53" t="n"/>
      <c r="AX145" s="53" t="n"/>
      <c r="AY145" s="53" t="n"/>
    </row>
    <row r="146" ht="15" customHeight="1">
      <c r="A146" s="40">
        <f>IF($D$146="","",46)</f>
        <v/>
      </c>
      <c r="B146" s="10" t="n"/>
      <c r="C146" s="41" t="inlineStr">
        <is>
          <t>마케팅3팀</t>
        </is>
      </c>
      <c r="D146" s="42" t="n"/>
      <c r="E146" s="43" t="inlineStr">
        <is>
          <t>기획</t>
        </is>
      </c>
      <c r="F146" s="44" t="n"/>
      <c r="G146" s="45" t="n"/>
      <c r="H146" s="46">
        <f>IF($I$146="","",IF($I$146&lt;0,"🔴지연",IF($I$146&lt;=1,"🟡임박","🟢여유")))</f>
        <v/>
      </c>
      <c r="I146" s="47">
        <f>IF(OR($G$146="",$K$146=""),"",$G$146-$K$146)</f>
        <v/>
      </c>
      <c r="J146" s="48">
        <f>IF(SUM($L$146:$L$148)=0,"",SUM($L$146:$L$148))</f>
        <v/>
      </c>
      <c r="K146" s="49">
        <f>IF($J$146="","",MAX($N$146:$N$148))</f>
        <v/>
      </c>
      <c r="L146" s="50">
        <f>IF(SUM(U146:AY146)=0,"",SUM(U146:AY146))</f>
        <v/>
      </c>
      <c r="M146" s="51">
        <f>IFERROR(INDEX(U$2:AY$2,MATCH(TRUE,INDEX(U146:AY146&lt;&gt;"",0),0)),"")</f>
        <v/>
      </c>
      <c r="N146" s="51">
        <f>IFERROR(LOOKUP(2,1/(U146:AY146&lt;&gt;""),U$2:AY$2),"")</f>
        <v/>
      </c>
      <c r="O146" s="52" t="n"/>
      <c r="P146" s="52" t="n"/>
      <c r="Q146" s="52" t="n"/>
      <c r="R146" s="44" t="n"/>
      <c r="S146" s="14" t="n"/>
      <c r="U146" s="53" t="n"/>
      <c r="V146" s="53" t="n"/>
      <c r="W146" s="53" t="n"/>
      <c r="X146" s="53" t="n"/>
      <c r="Y146" s="53" t="n"/>
      <c r="Z146" s="53" t="n"/>
      <c r="AA146" s="53" t="n"/>
      <c r="AB146" s="53" t="n"/>
      <c r="AC146" s="53" t="n"/>
      <c r="AD146" s="53" t="n"/>
      <c r="AE146" s="53" t="n"/>
      <c r="AF146" s="53" t="n"/>
      <c r="AG146" s="53" t="n"/>
      <c r="AH146" s="53" t="n"/>
      <c r="AI146" s="53" t="n"/>
      <c r="AJ146" s="53" t="n"/>
      <c r="AK146" s="53" t="n"/>
      <c r="AL146" s="53" t="n"/>
      <c r="AM146" s="53" t="n"/>
      <c r="AN146" s="53" t="n"/>
      <c r="AO146" s="53" t="n"/>
      <c r="AP146" s="53" t="n"/>
      <c r="AQ146" s="53" t="n"/>
      <c r="AR146" s="53" t="n"/>
      <c r="AS146" s="53" t="n"/>
      <c r="AT146" s="53" t="n"/>
      <c r="AU146" s="53" t="n"/>
      <c r="AV146" s="53" t="n"/>
      <c r="AW146" s="53" t="n"/>
      <c r="AX146" s="53" t="n"/>
      <c r="AY146" s="53" t="n"/>
    </row>
    <row r="147" ht="15" customHeight="1">
      <c r="A147" s="54" t="n"/>
      <c r="B147" s="55">
        <f>IF($B$146="","",$B$146)</f>
        <v/>
      </c>
      <c r="C147" s="56" t="inlineStr">
        <is>
          <t>마케팅3팀</t>
        </is>
      </c>
      <c r="D147" s="55">
        <f>IF($D$146="","",$D$146)</f>
        <v/>
      </c>
      <c r="E147" s="57" t="inlineStr">
        <is>
          <t>이미지</t>
        </is>
      </c>
      <c r="F147" s="44" t="n"/>
      <c r="G147" s="58">
        <f>IF($G$146="","",$G$146)</f>
        <v/>
      </c>
      <c r="H147" s="59" t="n"/>
      <c r="I147" s="59" t="n"/>
      <c r="J147" s="59" t="n"/>
      <c r="K147" s="59" t="n"/>
      <c r="L147" s="60">
        <f>IF(SUM(U147:AY147)=0,"",SUM(U147:AY147))</f>
        <v/>
      </c>
      <c r="M147" s="61">
        <f>IFERROR(INDEX(U$2:AY$2,MATCH(TRUE,INDEX(U147:AY147&lt;&gt;"",0),0)),"")</f>
        <v/>
      </c>
      <c r="N147" s="61">
        <f>IFERROR(LOOKUP(2,1/(U147:AY147&lt;&gt;""),U$2:AY$2),"")</f>
        <v/>
      </c>
      <c r="O147" s="59" t="n"/>
      <c r="P147" s="59" t="n"/>
      <c r="Q147" s="59" t="n"/>
      <c r="R147" s="59" t="n"/>
      <c r="S147" s="14" t="n"/>
      <c r="U147" s="53" t="n"/>
      <c r="V147" s="53" t="n"/>
      <c r="W147" s="53" t="n"/>
      <c r="X147" s="53" t="n"/>
      <c r="Y147" s="53" t="n"/>
      <c r="Z147" s="53" t="n"/>
      <c r="AA147" s="53" t="n"/>
      <c r="AB147" s="53" t="n"/>
      <c r="AC147" s="53" t="n"/>
      <c r="AD147" s="53" t="n"/>
      <c r="AE147" s="53" t="n"/>
      <c r="AF147" s="53" t="n"/>
      <c r="AG147" s="53" t="n"/>
      <c r="AH147" s="53" t="n"/>
      <c r="AI147" s="53" t="n"/>
      <c r="AJ147" s="53" t="n"/>
      <c r="AK147" s="53" t="n"/>
      <c r="AL147" s="53" t="n"/>
      <c r="AM147" s="53" t="n"/>
      <c r="AN147" s="53" t="n"/>
      <c r="AO147" s="53" t="n"/>
      <c r="AP147" s="53" t="n"/>
      <c r="AQ147" s="53" t="n"/>
      <c r="AR147" s="53" t="n"/>
      <c r="AS147" s="53" t="n"/>
      <c r="AT147" s="53" t="n"/>
      <c r="AU147" s="53" t="n"/>
      <c r="AV147" s="53" t="n"/>
      <c r="AW147" s="53" t="n"/>
      <c r="AX147" s="53" t="n"/>
      <c r="AY147" s="53" t="n"/>
    </row>
    <row r="148" ht="15" customHeight="1">
      <c r="A148" s="62" t="n"/>
      <c r="B148" s="55">
        <f>IF($B$146="","",$B$146)</f>
        <v/>
      </c>
      <c r="C148" s="63" t="inlineStr">
        <is>
          <t>마케팅3팀</t>
        </is>
      </c>
      <c r="D148" s="55">
        <f>IF($D$146="","",$D$146)</f>
        <v/>
      </c>
      <c r="E148" s="64" t="inlineStr">
        <is>
          <t>영상</t>
        </is>
      </c>
      <c r="F148" s="44" t="n"/>
      <c r="G148" s="58">
        <f>IF($G$146="","",$G$146)</f>
        <v/>
      </c>
      <c r="H148" s="59" t="n"/>
      <c r="I148" s="59" t="n"/>
      <c r="J148" s="59" t="n"/>
      <c r="K148" s="59" t="n"/>
      <c r="L148" s="65">
        <f>IF(SUM(U148:AY148)=0,"",SUM(U148:AY148))</f>
        <v/>
      </c>
      <c r="M148" s="66">
        <f>IFERROR(INDEX(U$2:AY$2,MATCH(TRUE,INDEX(U148:AY148&lt;&gt;"",0),0)),"")</f>
        <v/>
      </c>
      <c r="N148" s="66">
        <f>IFERROR(LOOKUP(2,1/(U148:AY148&lt;&gt;""),U$2:AY$2),"")</f>
        <v/>
      </c>
      <c r="O148" s="59" t="n"/>
      <c r="P148" s="59" t="n"/>
      <c r="Q148" s="59" t="n"/>
      <c r="R148" s="59" t="n"/>
      <c r="S148" s="14" t="n"/>
      <c r="U148" s="53" t="n"/>
      <c r="V148" s="53" t="n"/>
      <c r="W148" s="53" t="n"/>
      <c r="X148" s="53" t="n"/>
      <c r="Y148" s="53" t="n"/>
      <c r="Z148" s="53" t="n"/>
      <c r="AA148" s="53" t="n"/>
      <c r="AB148" s="53" t="n"/>
      <c r="AC148" s="53" t="n"/>
      <c r="AD148" s="53" t="n"/>
      <c r="AE148" s="53" t="n"/>
      <c r="AF148" s="53" t="n"/>
      <c r="AG148" s="53" t="n"/>
      <c r="AH148" s="53" t="n"/>
      <c r="AI148" s="53" t="n"/>
      <c r="AJ148" s="53" t="n"/>
      <c r="AK148" s="53" t="n"/>
      <c r="AL148" s="53" t="n"/>
      <c r="AM148" s="53" t="n"/>
      <c r="AN148" s="53" t="n"/>
      <c r="AO148" s="53" t="n"/>
      <c r="AP148" s="53" t="n"/>
      <c r="AQ148" s="53" t="n"/>
      <c r="AR148" s="53" t="n"/>
      <c r="AS148" s="53" t="n"/>
      <c r="AT148" s="53" t="n"/>
      <c r="AU148" s="53" t="n"/>
      <c r="AV148" s="53" t="n"/>
      <c r="AW148" s="53" t="n"/>
      <c r="AX148" s="53" t="n"/>
      <c r="AY148" s="53" t="n"/>
    </row>
    <row r="149" ht="15" customHeight="1">
      <c r="A149" s="40">
        <f>IF($D$149="","",47)</f>
        <v/>
      </c>
      <c r="B149" s="10" t="n"/>
      <c r="C149" s="41" t="inlineStr">
        <is>
          <t>마케팅3팀</t>
        </is>
      </c>
      <c r="D149" s="42" t="n"/>
      <c r="E149" s="43" t="inlineStr">
        <is>
          <t>기획</t>
        </is>
      </c>
      <c r="F149" s="44" t="n"/>
      <c r="G149" s="45" t="n"/>
      <c r="H149" s="46">
        <f>IF($I$149="","",IF($I$149&lt;0,"🔴지연",IF($I$149&lt;=1,"🟡임박","🟢여유")))</f>
        <v/>
      </c>
      <c r="I149" s="47">
        <f>IF(OR($G$149="",$K$149=""),"",$G$149-$K$149)</f>
        <v/>
      </c>
      <c r="J149" s="48">
        <f>IF(SUM($L$149:$L$151)=0,"",SUM($L$149:$L$151))</f>
        <v/>
      </c>
      <c r="K149" s="49">
        <f>IF($J$149="","",MAX($N$149:$N$151))</f>
        <v/>
      </c>
      <c r="L149" s="50">
        <f>IF(SUM(U149:AY149)=0,"",SUM(U149:AY149))</f>
        <v/>
      </c>
      <c r="M149" s="51">
        <f>IFERROR(INDEX(U$2:AY$2,MATCH(TRUE,INDEX(U149:AY149&lt;&gt;"",0),0)),"")</f>
        <v/>
      </c>
      <c r="N149" s="51">
        <f>IFERROR(LOOKUP(2,1/(U149:AY149&lt;&gt;""),U$2:AY$2),"")</f>
        <v/>
      </c>
      <c r="O149" s="52" t="n"/>
      <c r="P149" s="52" t="n"/>
      <c r="Q149" s="52" t="n"/>
      <c r="R149" s="44" t="n"/>
      <c r="S149" s="14" t="n"/>
      <c r="U149" s="53" t="n"/>
      <c r="V149" s="53" t="n"/>
      <c r="W149" s="53" t="n"/>
      <c r="X149" s="53" t="n"/>
      <c r="Y149" s="53" t="n"/>
      <c r="Z149" s="53" t="n"/>
      <c r="AA149" s="53" t="n"/>
      <c r="AB149" s="53" t="n"/>
      <c r="AC149" s="53" t="n"/>
      <c r="AD149" s="53" t="n"/>
      <c r="AE149" s="53" t="n"/>
      <c r="AF149" s="53" t="n"/>
      <c r="AG149" s="53" t="n"/>
      <c r="AH149" s="53" t="n"/>
      <c r="AI149" s="53" t="n"/>
      <c r="AJ149" s="53" t="n"/>
      <c r="AK149" s="53" t="n"/>
      <c r="AL149" s="53" t="n"/>
      <c r="AM149" s="53" t="n"/>
      <c r="AN149" s="53" t="n"/>
      <c r="AO149" s="53" t="n"/>
      <c r="AP149" s="53" t="n"/>
      <c r="AQ149" s="53" t="n"/>
      <c r="AR149" s="53" t="n"/>
      <c r="AS149" s="53" t="n"/>
      <c r="AT149" s="53" t="n"/>
      <c r="AU149" s="53" t="n"/>
      <c r="AV149" s="53" t="n"/>
      <c r="AW149" s="53" t="n"/>
      <c r="AX149" s="53" t="n"/>
      <c r="AY149" s="53" t="n"/>
    </row>
    <row r="150" ht="15" customHeight="1">
      <c r="A150" s="54" t="n"/>
      <c r="B150" s="55">
        <f>IF($B$149="","",$B$149)</f>
        <v/>
      </c>
      <c r="C150" s="56" t="inlineStr">
        <is>
          <t>마케팅3팀</t>
        </is>
      </c>
      <c r="D150" s="55">
        <f>IF($D$149="","",$D$149)</f>
        <v/>
      </c>
      <c r="E150" s="57" t="inlineStr">
        <is>
          <t>이미지</t>
        </is>
      </c>
      <c r="F150" s="44" t="n"/>
      <c r="G150" s="58">
        <f>IF($G$149="","",$G$149)</f>
        <v/>
      </c>
      <c r="H150" s="59" t="n"/>
      <c r="I150" s="59" t="n"/>
      <c r="J150" s="59" t="n"/>
      <c r="K150" s="59" t="n"/>
      <c r="L150" s="60">
        <f>IF(SUM(U150:AY150)=0,"",SUM(U150:AY150))</f>
        <v/>
      </c>
      <c r="M150" s="61">
        <f>IFERROR(INDEX(U$2:AY$2,MATCH(TRUE,INDEX(U150:AY150&lt;&gt;"",0),0)),"")</f>
        <v/>
      </c>
      <c r="N150" s="61">
        <f>IFERROR(LOOKUP(2,1/(U150:AY150&lt;&gt;""),U$2:AY$2),"")</f>
        <v/>
      </c>
      <c r="O150" s="59" t="n"/>
      <c r="P150" s="59" t="n"/>
      <c r="Q150" s="59" t="n"/>
      <c r="R150" s="59" t="n"/>
      <c r="S150" s="14" t="n"/>
      <c r="U150" s="53" t="n"/>
      <c r="V150" s="53" t="n"/>
      <c r="W150" s="53" t="n"/>
      <c r="X150" s="53" t="n"/>
      <c r="Y150" s="53" t="n"/>
      <c r="Z150" s="53" t="n"/>
      <c r="AA150" s="53" t="n"/>
      <c r="AB150" s="53" t="n"/>
      <c r="AC150" s="53" t="n"/>
      <c r="AD150" s="53" t="n"/>
      <c r="AE150" s="53" t="n"/>
      <c r="AF150" s="53" t="n"/>
      <c r="AG150" s="53" t="n"/>
      <c r="AH150" s="53" t="n"/>
      <c r="AI150" s="53" t="n"/>
      <c r="AJ150" s="53" t="n"/>
      <c r="AK150" s="53" t="n"/>
      <c r="AL150" s="53" t="n"/>
      <c r="AM150" s="53" t="n"/>
      <c r="AN150" s="53" t="n"/>
      <c r="AO150" s="53" t="n"/>
      <c r="AP150" s="53" t="n"/>
      <c r="AQ150" s="53" t="n"/>
      <c r="AR150" s="53" t="n"/>
      <c r="AS150" s="53" t="n"/>
      <c r="AT150" s="53" t="n"/>
      <c r="AU150" s="53" t="n"/>
      <c r="AV150" s="53" t="n"/>
      <c r="AW150" s="53" t="n"/>
      <c r="AX150" s="53" t="n"/>
      <c r="AY150" s="53" t="n"/>
    </row>
    <row r="151" ht="15" customHeight="1">
      <c r="A151" s="62" t="n"/>
      <c r="B151" s="55">
        <f>IF($B$149="","",$B$149)</f>
        <v/>
      </c>
      <c r="C151" s="63" t="inlineStr">
        <is>
          <t>마케팅3팀</t>
        </is>
      </c>
      <c r="D151" s="55">
        <f>IF($D$149="","",$D$149)</f>
        <v/>
      </c>
      <c r="E151" s="64" t="inlineStr">
        <is>
          <t>영상</t>
        </is>
      </c>
      <c r="F151" s="44" t="n"/>
      <c r="G151" s="58">
        <f>IF($G$149="","",$G$149)</f>
        <v/>
      </c>
      <c r="H151" s="59" t="n"/>
      <c r="I151" s="59" t="n"/>
      <c r="J151" s="59" t="n"/>
      <c r="K151" s="59" t="n"/>
      <c r="L151" s="65">
        <f>IF(SUM(U151:AY151)=0,"",SUM(U151:AY151))</f>
        <v/>
      </c>
      <c r="M151" s="66">
        <f>IFERROR(INDEX(U$2:AY$2,MATCH(TRUE,INDEX(U151:AY151&lt;&gt;"",0),0)),"")</f>
        <v/>
      </c>
      <c r="N151" s="66">
        <f>IFERROR(LOOKUP(2,1/(U151:AY151&lt;&gt;""),U$2:AY$2),"")</f>
        <v/>
      </c>
      <c r="O151" s="59" t="n"/>
      <c r="P151" s="59" t="n"/>
      <c r="Q151" s="59" t="n"/>
      <c r="R151" s="59" t="n"/>
      <c r="S151" s="14" t="n"/>
      <c r="U151" s="53" t="n"/>
      <c r="V151" s="53" t="n"/>
      <c r="W151" s="53" t="n"/>
      <c r="X151" s="53" t="n"/>
      <c r="Y151" s="53" t="n"/>
      <c r="Z151" s="53" t="n"/>
      <c r="AA151" s="53" t="n"/>
      <c r="AB151" s="53" t="n"/>
      <c r="AC151" s="53" t="n"/>
      <c r="AD151" s="53" t="n"/>
      <c r="AE151" s="53" t="n"/>
      <c r="AF151" s="53" t="n"/>
      <c r="AG151" s="53" t="n"/>
      <c r="AH151" s="53" t="n"/>
      <c r="AI151" s="53" t="n"/>
      <c r="AJ151" s="53" t="n"/>
      <c r="AK151" s="53" t="n"/>
      <c r="AL151" s="53" t="n"/>
      <c r="AM151" s="53" t="n"/>
      <c r="AN151" s="53" t="n"/>
      <c r="AO151" s="53" t="n"/>
      <c r="AP151" s="53" t="n"/>
      <c r="AQ151" s="53" t="n"/>
      <c r="AR151" s="53" t="n"/>
      <c r="AS151" s="53" t="n"/>
      <c r="AT151" s="53" t="n"/>
      <c r="AU151" s="53" t="n"/>
      <c r="AV151" s="53" t="n"/>
      <c r="AW151" s="53" t="n"/>
      <c r="AX151" s="53" t="n"/>
      <c r="AY151" s="53" t="n"/>
    </row>
    <row r="152" ht="15" customHeight="1">
      <c r="A152" s="40">
        <f>IF($D$152="","",48)</f>
        <v/>
      </c>
      <c r="B152" s="10" t="n"/>
      <c r="C152" s="41" t="inlineStr">
        <is>
          <t>마케팅3팀</t>
        </is>
      </c>
      <c r="D152" s="42" t="n"/>
      <c r="E152" s="43" t="inlineStr">
        <is>
          <t>기획</t>
        </is>
      </c>
      <c r="F152" s="44" t="n"/>
      <c r="G152" s="45" t="n"/>
      <c r="H152" s="46">
        <f>IF($I$152="","",IF($I$152&lt;0,"🔴지연",IF($I$152&lt;=1,"🟡임박","🟢여유")))</f>
        <v/>
      </c>
      <c r="I152" s="47">
        <f>IF(OR($G$152="",$K$152=""),"",$G$152-$K$152)</f>
        <v/>
      </c>
      <c r="J152" s="48">
        <f>IF(SUM($L$152:$L$154)=0,"",SUM($L$152:$L$154))</f>
        <v/>
      </c>
      <c r="K152" s="49">
        <f>IF($J$152="","",MAX($N$152:$N$154))</f>
        <v/>
      </c>
      <c r="L152" s="50">
        <f>IF(SUM(U152:AY152)=0,"",SUM(U152:AY152))</f>
        <v/>
      </c>
      <c r="M152" s="51">
        <f>IFERROR(INDEX(U$2:AY$2,MATCH(TRUE,INDEX(U152:AY152&lt;&gt;"",0),0)),"")</f>
        <v/>
      </c>
      <c r="N152" s="51">
        <f>IFERROR(LOOKUP(2,1/(U152:AY152&lt;&gt;""),U$2:AY$2),"")</f>
        <v/>
      </c>
      <c r="O152" s="52" t="n"/>
      <c r="P152" s="52" t="n"/>
      <c r="Q152" s="52" t="n"/>
      <c r="R152" s="44" t="n"/>
      <c r="S152" s="14" t="n"/>
      <c r="U152" s="53" t="n"/>
      <c r="V152" s="53" t="n"/>
      <c r="W152" s="53" t="n"/>
      <c r="X152" s="53" t="n"/>
      <c r="Y152" s="53" t="n"/>
      <c r="Z152" s="53" t="n"/>
      <c r="AA152" s="53" t="n"/>
      <c r="AB152" s="53" t="n"/>
      <c r="AC152" s="53" t="n"/>
      <c r="AD152" s="53" t="n"/>
      <c r="AE152" s="53" t="n"/>
      <c r="AF152" s="53" t="n"/>
      <c r="AG152" s="53" t="n"/>
      <c r="AH152" s="53" t="n"/>
      <c r="AI152" s="53" t="n"/>
      <c r="AJ152" s="53" t="n"/>
      <c r="AK152" s="53" t="n"/>
      <c r="AL152" s="53" t="n"/>
      <c r="AM152" s="53" t="n"/>
      <c r="AN152" s="53" t="n"/>
      <c r="AO152" s="53" t="n"/>
      <c r="AP152" s="53" t="n"/>
      <c r="AQ152" s="53" t="n"/>
      <c r="AR152" s="53" t="n"/>
      <c r="AS152" s="53" t="n"/>
      <c r="AT152" s="53" t="n"/>
      <c r="AU152" s="53" t="n"/>
      <c r="AV152" s="53" t="n"/>
      <c r="AW152" s="53" t="n"/>
      <c r="AX152" s="53" t="n"/>
      <c r="AY152" s="53" t="n"/>
    </row>
    <row r="153" ht="15" customHeight="1">
      <c r="A153" s="54" t="n"/>
      <c r="B153" s="55">
        <f>IF($B$152="","",$B$152)</f>
        <v/>
      </c>
      <c r="C153" s="56" t="inlineStr">
        <is>
          <t>마케팅3팀</t>
        </is>
      </c>
      <c r="D153" s="55">
        <f>IF($D$152="","",$D$152)</f>
        <v/>
      </c>
      <c r="E153" s="57" t="inlineStr">
        <is>
          <t>이미지</t>
        </is>
      </c>
      <c r="F153" s="44" t="n"/>
      <c r="G153" s="58">
        <f>IF($G$152="","",$G$152)</f>
        <v/>
      </c>
      <c r="H153" s="59" t="n"/>
      <c r="I153" s="59" t="n"/>
      <c r="J153" s="59" t="n"/>
      <c r="K153" s="59" t="n"/>
      <c r="L153" s="60">
        <f>IF(SUM(U153:AY153)=0,"",SUM(U153:AY153))</f>
        <v/>
      </c>
      <c r="M153" s="61">
        <f>IFERROR(INDEX(U$2:AY$2,MATCH(TRUE,INDEX(U153:AY153&lt;&gt;"",0),0)),"")</f>
        <v/>
      </c>
      <c r="N153" s="61">
        <f>IFERROR(LOOKUP(2,1/(U153:AY153&lt;&gt;""),U$2:AY$2),"")</f>
        <v/>
      </c>
      <c r="O153" s="59" t="n"/>
      <c r="P153" s="59" t="n"/>
      <c r="Q153" s="59" t="n"/>
      <c r="R153" s="59" t="n"/>
      <c r="S153" s="14" t="n"/>
      <c r="U153" s="53" t="n"/>
      <c r="V153" s="53" t="n"/>
      <c r="W153" s="53" t="n"/>
      <c r="X153" s="53" t="n"/>
      <c r="Y153" s="53" t="n"/>
      <c r="Z153" s="53" t="n"/>
      <c r="AA153" s="53" t="n"/>
      <c r="AB153" s="53" t="n"/>
      <c r="AC153" s="53" t="n"/>
      <c r="AD153" s="53" t="n"/>
      <c r="AE153" s="53" t="n"/>
      <c r="AF153" s="53" t="n"/>
      <c r="AG153" s="53" t="n"/>
      <c r="AH153" s="53" t="n"/>
      <c r="AI153" s="53" t="n"/>
      <c r="AJ153" s="53" t="n"/>
      <c r="AK153" s="53" t="n"/>
      <c r="AL153" s="53" t="n"/>
      <c r="AM153" s="53" t="n"/>
      <c r="AN153" s="53" t="n"/>
      <c r="AO153" s="53" t="n"/>
      <c r="AP153" s="53" t="n"/>
      <c r="AQ153" s="53" t="n"/>
      <c r="AR153" s="53" t="n"/>
      <c r="AS153" s="53" t="n"/>
      <c r="AT153" s="53" t="n"/>
      <c r="AU153" s="53" t="n"/>
      <c r="AV153" s="53" t="n"/>
      <c r="AW153" s="53" t="n"/>
      <c r="AX153" s="53" t="n"/>
      <c r="AY153" s="53" t="n"/>
    </row>
    <row r="154" ht="15" customHeight="1">
      <c r="A154" s="62" t="n"/>
      <c r="B154" s="55">
        <f>IF($B$152="","",$B$152)</f>
        <v/>
      </c>
      <c r="C154" s="63" t="inlineStr">
        <is>
          <t>마케팅3팀</t>
        </is>
      </c>
      <c r="D154" s="55">
        <f>IF($D$152="","",$D$152)</f>
        <v/>
      </c>
      <c r="E154" s="64" t="inlineStr">
        <is>
          <t>영상</t>
        </is>
      </c>
      <c r="F154" s="44" t="n"/>
      <c r="G154" s="58">
        <f>IF($G$152="","",$G$152)</f>
        <v/>
      </c>
      <c r="H154" s="59" t="n"/>
      <c r="I154" s="59" t="n"/>
      <c r="J154" s="59" t="n"/>
      <c r="K154" s="59" t="n"/>
      <c r="L154" s="65">
        <f>IF(SUM(U154:AY154)=0,"",SUM(U154:AY154))</f>
        <v/>
      </c>
      <c r="M154" s="66">
        <f>IFERROR(INDEX(U$2:AY$2,MATCH(TRUE,INDEX(U154:AY154&lt;&gt;"",0),0)),"")</f>
        <v/>
      </c>
      <c r="N154" s="66">
        <f>IFERROR(LOOKUP(2,1/(U154:AY154&lt;&gt;""),U$2:AY$2),"")</f>
        <v/>
      </c>
      <c r="O154" s="59" t="n"/>
      <c r="P154" s="59" t="n"/>
      <c r="Q154" s="59" t="n"/>
      <c r="R154" s="59" t="n"/>
      <c r="S154" s="14" t="n"/>
      <c r="U154" s="53" t="n"/>
      <c r="V154" s="53" t="n"/>
      <c r="W154" s="53" t="n"/>
      <c r="X154" s="53" t="n"/>
      <c r="Y154" s="53" t="n"/>
      <c r="Z154" s="53" t="n"/>
      <c r="AA154" s="53" t="n"/>
      <c r="AB154" s="53" t="n"/>
      <c r="AC154" s="53" t="n"/>
      <c r="AD154" s="53" t="n"/>
      <c r="AE154" s="53" t="n"/>
      <c r="AF154" s="53" t="n"/>
      <c r="AG154" s="53" t="n"/>
      <c r="AH154" s="53" t="n"/>
      <c r="AI154" s="53" t="n"/>
      <c r="AJ154" s="53" t="n"/>
      <c r="AK154" s="53" t="n"/>
      <c r="AL154" s="53" t="n"/>
      <c r="AM154" s="53" t="n"/>
      <c r="AN154" s="53" t="n"/>
      <c r="AO154" s="53" t="n"/>
      <c r="AP154" s="53" t="n"/>
      <c r="AQ154" s="53" t="n"/>
      <c r="AR154" s="53" t="n"/>
      <c r="AS154" s="53" t="n"/>
      <c r="AT154" s="53" t="n"/>
      <c r="AU154" s="53" t="n"/>
      <c r="AV154" s="53" t="n"/>
      <c r="AW154" s="53" t="n"/>
      <c r="AX154" s="53" t="n"/>
      <c r="AY154" s="53" t="n"/>
    </row>
    <row r="155" ht="15" customHeight="1">
      <c r="A155" s="40">
        <f>IF($D$155="","",49)</f>
        <v/>
      </c>
      <c r="B155" s="10" t="n"/>
      <c r="C155" s="41" t="inlineStr">
        <is>
          <t>마케팅3팀</t>
        </is>
      </c>
      <c r="D155" s="42" t="n"/>
      <c r="E155" s="43" t="inlineStr">
        <is>
          <t>기획</t>
        </is>
      </c>
      <c r="F155" s="44" t="n"/>
      <c r="G155" s="45" t="n"/>
      <c r="H155" s="46">
        <f>IF($I$155="","",IF($I$155&lt;0,"🔴지연",IF($I$155&lt;=1,"🟡임박","🟢여유")))</f>
        <v/>
      </c>
      <c r="I155" s="47">
        <f>IF(OR($G$155="",$K$155=""),"",$G$155-$K$155)</f>
        <v/>
      </c>
      <c r="J155" s="48">
        <f>IF(SUM($L$155:$L$157)=0,"",SUM($L$155:$L$157))</f>
        <v/>
      </c>
      <c r="K155" s="49">
        <f>IF($J$155="","",MAX($N$155:$N$157))</f>
        <v/>
      </c>
      <c r="L155" s="50">
        <f>IF(SUM(U155:AY155)=0,"",SUM(U155:AY155))</f>
        <v/>
      </c>
      <c r="M155" s="51">
        <f>IFERROR(INDEX(U$2:AY$2,MATCH(TRUE,INDEX(U155:AY155&lt;&gt;"",0),0)),"")</f>
        <v/>
      </c>
      <c r="N155" s="51">
        <f>IFERROR(LOOKUP(2,1/(U155:AY155&lt;&gt;""),U$2:AY$2),"")</f>
        <v/>
      </c>
      <c r="O155" s="52" t="n"/>
      <c r="P155" s="52" t="n"/>
      <c r="Q155" s="52" t="n"/>
      <c r="R155" s="44" t="n"/>
      <c r="S155" s="14" t="n"/>
      <c r="U155" s="53" t="n"/>
      <c r="V155" s="53" t="n"/>
      <c r="W155" s="53" t="n"/>
      <c r="X155" s="53" t="n"/>
      <c r="Y155" s="53" t="n"/>
      <c r="Z155" s="53" t="n"/>
      <c r="AA155" s="53" t="n"/>
      <c r="AB155" s="53" t="n"/>
      <c r="AC155" s="53" t="n"/>
      <c r="AD155" s="53" t="n"/>
      <c r="AE155" s="53" t="n"/>
      <c r="AF155" s="53" t="n"/>
      <c r="AG155" s="53" t="n"/>
      <c r="AH155" s="53" t="n"/>
      <c r="AI155" s="53" t="n"/>
      <c r="AJ155" s="53" t="n"/>
      <c r="AK155" s="53" t="n"/>
      <c r="AL155" s="53" t="n"/>
      <c r="AM155" s="53" t="n"/>
      <c r="AN155" s="53" t="n"/>
      <c r="AO155" s="53" t="n"/>
      <c r="AP155" s="53" t="n"/>
      <c r="AQ155" s="53" t="n"/>
      <c r="AR155" s="53" t="n"/>
      <c r="AS155" s="53" t="n"/>
      <c r="AT155" s="53" t="n"/>
      <c r="AU155" s="53" t="n"/>
      <c r="AV155" s="53" t="n"/>
      <c r="AW155" s="53" t="n"/>
      <c r="AX155" s="53" t="n"/>
      <c r="AY155" s="53" t="n"/>
    </row>
    <row r="156" ht="15" customHeight="1">
      <c r="A156" s="54" t="n"/>
      <c r="B156" s="55">
        <f>IF($B$155="","",$B$155)</f>
        <v/>
      </c>
      <c r="C156" s="56" t="inlineStr">
        <is>
          <t>마케팅3팀</t>
        </is>
      </c>
      <c r="D156" s="55">
        <f>IF($D$155="","",$D$155)</f>
        <v/>
      </c>
      <c r="E156" s="57" t="inlineStr">
        <is>
          <t>이미지</t>
        </is>
      </c>
      <c r="F156" s="44" t="n"/>
      <c r="G156" s="58">
        <f>IF($G$155="","",$G$155)</f>
        <v/>
      </c>
      <c r="H156" s="59" t="n"/>
      <c r="I156" s="59" t="n"/>
      <c r="J156" s="59" t="n"/>
      <c r="K156" s="59" t="n"/>
      <c r="L156" s="60">
        <f>IF(SUM(U156:AY156)=0,"",SUM(U156:AY156))</f>
        <v/>
      </c>
      <c r="M156" s="61">
        <f>IFERROR(INDEX(U$2:AY$2,MATCH(TRUE,INDEX(U156:AY156&lt;&gt;"",0),0)),"")</f>
        <v/>
      </c>
      <c r="N156" s="61">
        <f>IFERROR(LOOKUP(2,1/(U156:AY156&lt;&gt;""),U$2:AY$2),"")</f>
        <v/>
      </c>
      <c r="O156" s="59" t="n"/>
      <c r="P156" s="59" t="n"/>
      <c r="Q156" s="59" t="n"/>
      <c r="R156" s="59" t="n"/>
      <c r="S156" s="14" t="n"/>
      <c r="U156" s="53" t="n"/>
      <c r="V156" s="53" t="n"/>
      <c r="W156" s="53" t="n"/>
      <c r="X156" s="53" t="n"/>
      <c r="Y156" s="53" t="n"/>
      <c r="Z156" s="53" t="n"/>
      <c r="AA156" s="53" t="n"/>
      <c r="AB156" s="53" t="n"/>
      <c r="AC156" s="53" t="n"/>
      <c r="AD156" s="53" t="n"/>
      <c r="AE156" s="53" t="n"/>
      <c r="AF156" s="53" t="n"/>
      <c r="AG156" s="53" t="n"/>
      <c r="AH156" s="53" t="n"/>
      <c r="AI156" s="53" t="n"/>
      <c r="AJ156" s="53" t="n"/>
      <c r="AK156" s="53" t="n"/>
      <c r="AL156" s="53" t="n"/>
      <c r="AM156" s="53" t="n"/>
      <c r="AN156" s="53" t="n"/>
      <c r="AO156" s="53" t="n"/>
      <c r="AP156" s="53" t="n"/>
      <c r="AQ156" s="53" t="n"/>
      <c r="AR156" s="53" t="n"/>
      <c r="AS156" s="53" t="n"/>
      <c r="AT156" s="53" t="n"/>
      <c r="AU156" s="53" t="n"/>
      <c r="AV156" s="53" t="n"/>
      <c r="AW156" s="53" t="n"/>
      <c r="AX156" s="53" t="n"/>
      <c r="AY156" s="53" t="n"/>
    </row>
    <row r="157" ht="15" customHeight="1">
      <c r="A157" s="62" t="n"/>
      <c r="B157" s="55">
        <f>IF($B$155="","",$B$155)</f>
        <v/>
      </c>
      <c r="C157" s="63" t="inlineStr">
        <is>
          <t>마케팅3팀</t>
        </is>
      </c>
      <c r="D157" s="55">
        <f>IF($D$155="","",$D$155)</f>
        <v/>
      </c>
      <c r="E157" s="64" t="inlineStr">
        <is>
          <t>영상</t>
        </is>
      </c>
      <c r="F157" s="44" t="n"/>
      <c r="G157" s="58">
        <f>IF($G$155="","",$G$155)</f>
        <v/>
      </c>
      <c r="H157" s="59" t="n"/>
      <c r="I157" s="59" t="n"/>
      <c r="J157" s="59" t="n"/>
      <c r="K157" s="59" t="n"/>
      <c r="L157" s="65">
        <f>IF(SUM(U157:AY157)=0,"",SUM(U157:AY157))</f>
        <v/>
      </c>
      <c r="M157" s="66">
        <f>IFERROR(INDEX(U$2:AY$2,MATCH(TRUE,INDEX(U157:AY157&lt;&gt;"",0),0)),"")</f>
        <v/>
      </c>
      <c r="N157" s="66">
        <f>IFERROR(LOOKUP(2,1/(U157:AY157&lt;&gt;""),U$2:AY$2),"")</f>
        <v/>
      </c>
      <c r="O157" s="59" t="n"/>
      <c r="P157" s="59" t="n"/>
      <c r="Q157" s="59" t="n"/>
      <c r="R157" s="59" t="n"/>
      <c r="S157" s="14" t="n"/>
      <c r="U157" s="53" t="n"/>
      <c r="V157" s="53" t="n"/>
      <c r="W157" s="53" t="n"/>
      <c r="X157" s="53" t="n"/>
      <c r="Y157" s="53" t="n"/>
      <c r="Z157" s="53" t="n"/>
      <c r="AA157" s="53" t="n"/>
      <c r="AB157" s="53" t="n"/>
      <c r="AC157" s="53" t="n"/>
      <c r="AD157" s="53" t="n"/>
      <c r="AE157" s="53" t="n"/>
      <c r="AF157" s="53" t="n"/>
      <c r="AG157" s="53" t="n"/>
      <c r="AH157" s="53" t="n"/>
      <c r="AI157" s="53" t="n"/>
      <c r="AJ157" s="53" t="n"/>
      <c r="AK157" s="53" t="n"/>
      <c r="AL157" s="53" t="n"/>
      <c r="AM157" s="53" t="n"/>
      <c r="AN157" s="53" t="n"/>
      <c r="AO157" s="53" t="n"/>
      <c r="AP157" s="53" t="n"/>
      <c r="AQ157" s="53" t="n"/>
      <c r="AR157" s="53" t="n"/>
      <c r="AS157" s="53" t="n"/>
      <c r="AT157" s="53" t="n"/>
      <c r="AU157" s="53" t="n"/>
      <c r="AV157" s="53" t="n"/>
      <c r="AW157" s="53" t="n"/>
      <c r="AX157" s="53" t="n"/>
      <c r="AY157" s="53" t="n"/>
    </row>
    <row r="158" ht="15" customHeight="1">
      <c r="A158" s="40">
        <f>IF($D$158="","",50)</f>
        <v/>
      </c>
      <c r="B158" s="10" t="n"/>
      <c r="C158" s="41" t="inlineStr">
        <is>
          <t>마케팅3팀</t>
        </is>
      </c>
      <c r="D158" s="42" t="n"/>
      <c r="E158" s="43" t="inlineStr">
        <is>
          <t>기획</t>
        </is>
      </c>
      <c r="F158" s="44" t="n"/>
      <c r="G158" s="45" t="n"/>
      <c r="H158" s="46">
        <f>IF($I$158="","",IF($I$158&lt;0,"🔴지연",IF($I$158&lt;=1,"🟡임박","🟢여유")))</f>
        <v/>
      </c>
      <c r="I158" s="47">
        <f>IF(OR($G$158="",$K$158=""),"",$G$158-$K$158)</f>
        <v/>
      </c>
      <c r="J158" s="48">
        <f>IF(SUM($L$158:$L$160)=0,"",SUM($L$158:$L$160))</f>
        <v/>
      </c>
      <c r="K158" s="49">
        <f>IF($J$158="","",MAX($N$158:$N$160))</f>
        <v/>
      </c>
      <c r="L158" s="50">
        <f>IF(SUM(U158:AY158)=0,"",SUM(U158:AY158))</f>
        <v/>
      </c>
      <c r="M158" s="51">
        <f>IFERROR(INDEX(U$2:AY$2,MATCH(TRUE,INDEX(U158:AY158&lt;&gt;"",0),0)),"")</f>
        <v/>
      </c>
      <c r="N158" s="51">
        <f>IFERROR(LOOKUP(2,1/(U158:AY158&lt;&gt;""),U$2:AY$2),"")</f>
        <v/>
      </c>
      <c r="O158" s="52" t="n"/>
      <c r="P158" s="52" t="n"/>
      <c r="Q158" s="52" t="n"/>
      <c r="R158" s="44" t="n"/>
      <c r="S158" s="14" t="n"/>
      <c r="U158" s="53" t="n"/>
      <c r="V158" s="53" t="n"/>
      <c r="W158" s="53" t="n"/>
      <c r="X158" s="53" t="n"/>
      <c r="Y158" s="53" t="n"/>
      <c r="Z158" s="53" t="n"/>
      <c r="AA158" s="53" t="n"/>
      <c r="AB158" s="53" t="n"/>
      <c r="AC158" s="53" t="n"/>
      <c r="AD158" s="53" t="n"/>
      <c r="AE158" s="53" t="n"/>
      <c r="AF158" s="53" t="n"/>
      <c r="AG158" s="53" t="n"/>
      <c r="AH158" s="53" t="n"/>
      <c r="AI158" s="53" t="n"/>
      <c r="AJ158" s="53" t="n"/>
      <c r="AK158" s="53" t="n"/>
      <c r="AL158" s="53" t="n"/>
      <c r="AM158" s="53" t="n"/>
      <c r="AN158" s="53" t="n"/>
      <c r="AO158" s="53" t="n"/>
      <c r="AP158" s="53" t="n"/>
      <c r="AQ158" s="53" t="n"/>
      <c r="AR158" s="53" t="n"/>
      <c r="AS158" s="53" t="n"/>
      <c r="AT158" s="53" t="n"/>
      <c r="AU158" s="53" t="n"/>
      <c r="AV158" s="53" t="n"/>
      <c r="AW158" s="53" t="n"/>
      <c r="AX158" s="53" t="n"/>
      <c r="AY158" s="53" t="n"/>
    </row>
    <row r="159" ht="15" customHeight="1">
      <c r="A159" s="54" t="n"/>
      <c r="B159" s="55">
        <f>IF($B$158="","",$B$158)</f>
        <v/>
      </c>
      <c r="C159" s="56" t="inlineStr">
        <is>
          <t>마케팅3팀</t>
        </is>
      </c>
      <c r="D159" s="55">
        <f>IF($D$158="","",$D$158)</f>
        <v/>
      </c>
      <c r="E159" s="57" t="inlineStr">
        <is>
          <t>이미지</t>
        </is>
      </c>
      <c r="F159" s="44" t="n"/>
      <c r="G159" s="58">
        <f>IF($G$158="","",$G$158)</f>
        <v/>
      </c>
      <c r="H159" s="59" t="n"/>
      <c r="I159" s="59" t="n"/>
      <c r="J159" s="59" t="n"/>
      <c r="K159" s="59" t="n"/>
      <c r="L159" s="60">
        <f>IF(SUM(U159:AY159)=0,"",SUM(U159:AY159))</f>
        <v/>
      </c>
      <c r="M159" s="61">
        <f>IFERROR(INDEX(U$2:AY$2,MATCH(TRUE,INDEX(U159:AY159&lt;&gt;"",0),0)),"")</f>
        <v/>
      </c>
      <c r="N159" s="61">
        <f>IFERROR(LOOKUP(2,1/(U159:AY159&lt;&gt;""),U$2:AY$2),"")</f>
        <v/>
      </c>
      <c r="O159" s="59" t="n"/>
      <c r="P159" s="59" t="n"/>
      <c r="Q159" s="59" t="n"/>
      <c r="R159" s="59" t="n"/>
      <c r="S159" s="14" t="n"/>
      <c r="U159" s="53" t="n"/>
      <c r="V159" s="53" t="n"/>
      <c r="W159" s="53" t="n"/>
      <c r="X159" s="53" t="n"/>
      <c r="Y159" s="53" t="n"/>
      <c r="Z159" s="53" t="n"/>
      <c r="AA159" s="53" t="n"/>
      <c r="AB159" s="53" t="n"/>
      <c r="AC159" s="53" t="n"/>
      <c r="AD159" s="53" t="n"/>
      <c r="AE159" s="53" t="n"/>
      <c r="AF159" s="53" t="n"/>
      <c r="AG159" s="53" t="n"/>
      <c r="AH159" s="53" t="n"/>
      <c r="AI159" s="53" t="n"/>
      <c r="AJ159" s="53" t="n"/>
      <c r="AK159" s="53" t="n"/>
      <c r="AL159" s="53" t="n"/>
      <c r="AM159" s="53" t="n"/>
      <c r="AN159" s="53" t="n"/>
      <c r="AO159" s="53" t="n"/>
      <c r="AP159" s="53" t="n"/>
      <c r="AQ159" s="53" t="n"/>
      <c r="AR159" s="53" t="n"/>
      <c r="AS159" s="53" t="n"/>
      <c r="AT159" s="53" t="n"/>
      <c r="AU159" s="53" t="n"/>
      <c r="AV159" s="53" t="n"/>
      <c r="AW159" s="53" t="n"/>
      <c r="AX159" s="53" t="n"/>
      <c r="AY159" s="53" t="n"/>
    </row>
    <row r="160" ht="15" customHeight="1">
      <c r="A160" s="62" t="n"/>
      <c r="B160" s="55">
        <f>IF($B$158="","",$B$158)</f>
        <v/>
      </c>
      <c r="C160" s="63" t="inlineStr">
        <is>
          <t>마케팅3팀</t>
        </is>
      </c>
      <c r="D160" s="55">
        <f>IF($D$158="","",$D$158)</f>
        <v/>
      </c>
      <c r="E160" s="64" t="inlineStr">
        <is>
          <t>영상</t>
        </is>
      </c>
      <c r="F160" s="44" t="n"/>
      <c r="G160" s="58">
        <f>IF($G$158="","",$G$158)</f>
        <v/>
      </c>
      <c r="H160" s="59" t="n"/>
      <c r="I160" s="59" t="n"/>
      <c r="J160" s="59" t="n"/>
      <c r="K160" s="59" t="n"/>
      <c r="L160" s="65">
        <f>IF(SUM(U160:AY160)=0,"",SUM(U160:AY160))</f>
        <v/>
      </c>
      <c r="M160" s="66">
        <f>IFERROR(INDEX(U$2:AY$2,MATCH(TRUE,INDEX(U160:AY160&lt;&gt;"",0),0)),"")</f>
        <v/>
      </c>
      <c r="N160" s="66">
        <f>IFERROR(LOOKUP(2,1/(U160:AY160&lt;&gt;""),U$2:AY$2),"")</f>
        <v/>
      </c>
      <c r="O160" s="59" t="n"/>
      <c r="P160" s="59" t="n"/>
      <c r="Q160" s="59" t="n"/>
      <c r="R160" s="59" t="n"/>
      <c r="S160" s="14" t="n"/>
      <c r="U160" s="53" t="n"/>
      <c r="V160" s="53" t="n"/>
      <c r="W160" s="53" t="n"/>
      <c r="X160" s="53" t="n"/>
      <c r="Y160" s="53" t="n"/>
      <c r="Z160" s="53" t="n"/>
      <c r="AA160" s="53" t="n"/>
      <c r="AB160" s="53" t="n"/>
      <c r="AC160" s="53" t="n"/>
      <c r="AD160" s="53" t="n"/>
      <c r="AE160" s="53" t="n"/>
      <c r="AF160" s="53" t="n"/>
      <c r="AG160" s="53" t="n"/>
      <c r="AH160" s="53" t="n"/>
      <c r="AI160" s="53" t="n"/>
      <c r="AJ160" s="53" t="n"/>
      <c r="AK160" s="53" t="n"/>
      <c r="AL160" s="53" t="n"/>
      <c r="AM160" s="53" t="n"/>
      <c r="AN160" s="53" t="n"/>
      <c r="AO160" s="53" t="n"/>
      <c r="AP160" s="53" t="n"/>
      <c r="AQ160" s="53" t="n"/>
      <c r="AR160" s="53" t="n"/>
      <c r="AS160" s="53" t="n"/>
      <c r="AT160" s="53" t="n"/>
      <c r="AU160" s="53" t="n"/>
      <c r="AV160" s="53" t="n"/>
      <c r="AW160" s="53" t="n"/>
      <c r="AX160" s="53" t="n"/>
      <c r="AY160" s="53" t="n"/>
    </row>
    <row r="161" ht="15" customHeight="1">
      <c r="A161" s="40">
        <f>IF($D$161="","",51)</f>
        <v/>
      </c>
      <c r="B161" s="10" t="n"/>
      <c r="C161" s="41" t="inlineStr">
        <is>
          <t>마케팅3팀</t>
        </is>
      </c>
      <c r="D161" s="42" t="n"/>
      <c r="E161" s="43" t="inlineStr">
        <is>
          <t>기획</t>
        </is>
      </c>
      <c r="F161" s="44" t="n"/>
      <c r="G161" s="45" t="n"/>
      <c r="H161" s="46">
        <f>IF($I$161="","",IF($I$161&lt;0,"🔴지연",IF($I$161&lt;=1,"🟡임박","🟢여유")))</f>
        <v/>
      </c>
      <c r="I161" s="47">
        <f>IF(OR($G$161="",$K$161=""),"",$G$161-$K$161)</f>
        <v/>
      </c>
      <c r="J161" s="48">
        <f>IF(SUM($L$161:$L$163)=0,"",SUM($L$161:$L$163))</f>
        <v/>
      </c>
      <c r="K161" s="49">
        <f>IF($J$161="","",MAX($N$161:$N$163))</f>
        <v/>
      </c>
      <c r="L161" s="50">
        <f>IF(SUM(U161:AY161)=0,"",SUM(U161:AY161))</f>
        <v/>
      </c>
      <c r="M161" s="51">
        <f>IFERROR(INDEX(U$2:AY$2,MATCH(TRUE,INDEX(U161:AY161&lt;&gt;"",0),0)),"")</f>
        <v/>
      </c>
      <c r="N161" s="51">
        <f>IFERROR(LOOKUP(2,1/(U161:AY161&lt;&gt;""),U$2:AY$2),"")</f>
        <v/>
      </c>
      <c r="O161" s="52" t="n"/>
      <c r="P161" s="52" t="n"/>
      <c r="Q161" s="52" t="n"/>
      <c r="R161" s="44" t="n"/>
      <c r="S161" s="14" t="n"/>
      <c r="U161" s="53" t="n"/>
      <c r="V161" s="53" t="n"/>
      <c r="W161" s="53" t="n"/>
      <c r="X161" s="53" t="n"/>
      <c r="Y161" s="53" t="n"/>
      <c r="Z161" s="53" t="n"/>
      <c r="AA161" s="53" t="n"/>
      <c r="AB161" s="53" t="n"/>
      <c r="AC161" s="53" t="n"/>
      <c r="AD161" s="53" t="n"/>
      <c r="AE161" s="53" t="n"/>
      <c r="AF161" s="53" t="n"/>
      <c r="AG161" s="53" t="n"/>
      <c r="AH161" s="53" t="n"/>
      <c r="AI161" s="53" t="n"/>
      <c r="AJ161" s="53" t="n"/>
      <c r="AK161" s="53" t="n"/>
      <c r="AL161" s="53" t="n"/>
      <c r="AM161" s="53" t="n"/>
      <c r="AN161" s="53" t="n"/>
      <c r="AO161" s="53" t="n"/>
      <c r="AP161" s="53" t="n"/>
      <c r="AQ161" s="53" t="n"/>
      <c r="AR161" s="53" t="n"/>
      <c r="AS161" s="53" t="n"/>
      <c r="AT161" s="53" t="n"/>
      <c r="AU161" s="53" t="n"/>
      <c r="AV161" s="53" t="n"/>
      <c r="AW161" s="53" t="n"/>
      <c r="AX161" s="53" t="n"/>
      <c r="AY161" s="53" t="n"/>
    </row>
    <row r="162" ht="15" customHeight="1">
      <c r="A162" s="54" t="n"/>
      <c r="B162" s="55">
        <f>IF($B$161="","",$B$161)</f>
        <v/>
      </c>
      <c r="C162" s="56" t="inlineStr">
        <is>
          <t>마케팅3팀</t>
        </is>
      </c>
      <c r="D162" s="55">
        <f>IF($D$161="","",$D$161)</f>
        <v/>
      </c>
      <c r="E162" s="57" t="inlineStr">
        <is>
          <t>이미지</t>
        </is>
      </c>
      <c r="F162" s="44" t="n"/>
      <c r="G162" s="58">
        <f>IF($G$161="","",$G$161)</f>
        <v/>
      </c>
      <c r="H162" s="59" t="n"/>
      <c r="I162" s="59" t="n"/>
      <c r="J162" s="59" t="n"/>
      <c r="K162" s="59" t="n"/>
      <c r="L162" s="60">
        <f>IF(SUM(U162:AY162)=0,"",SUM(U162:AY162))</f>
        <v/>
      </c>
      <c r="M162" s="61">
        <f>IFERROR(INDEX(U$2:AY$2,MATCH(TRUE,INDEX(U162:AY162&lt;&gt;"",0),0)),"")</f>
        <v/>
      </c>
      <c r="N162" s="61">
        <f>IFERROR(LOOKUP(2,1/(U162:AY162&lt;&gt;""),U$2:AY$2),"")</f>
        <v/>
      </c>
      <c r="O162" s="59" t="n"/>
      <c r="P162" s="59" t="n"/>
      <c r="Q162" s="59" t="n"/>
      <c r="R162" s="59" t="n"/>
      <c r="S162" s="14" t="n"/>
      <c r="U162" s="53" t="n"/>
      <c r="V162" s="53" t="n"/>
      <c r="W162" s="53" t="n"/>
      <c r="X162" s="53" t="n"/>
      <c r="Y162" s="53" t="n"/>
      <c r="Z162" s="53" t="n"/>
      <c r="AA162" s="53" t="n"/>
      <c r="AB162" s="53" t="n"/>
      <c r="AC162" s="53" t="n"/>
      <c r="AD162" s="53" t="n"/>
      <c r="AE162" s="53" t="n"/>
      <c r="AF162" s="53" t="n"/>
      <c r="AG162" s="53" t="n"/>
      <c r="AH162" s="53" t="n"/>
      <c r="AI162" s="53" t="n"/>
      <c r="AJ162" s="53" t="n"/>
      <c r="AK162" s="53" t="n"/>
      <c r="AL162" s="53" t="n"/>
      <c r="AM162" s="53" t="n"/>
      <c r="AN162" s="53" t="n"/>
      <c r="AO162" s="53" t="n"/>
      <c r="AP162" s="53" t="n"/>
      <c r="AQ162" s="53" t="n"/>
      <c r="AR162" s="53" t="n"/>
      <c r="AS162" s="53" t="n"/>
      <c r="AT162" s="53" t="n"/>
      <c r="AU162" s="53" t="n"/>
      <c r="AV162" s="53" t="n"/>
      <c r="AW162" s="53" t="n"/>
      <c r="AX162" s="53" t="n"/>
      <c r="AY162" s="53" t="n"/>
    </row>
    <row r="163" ht="15" customHeight="1">
      <c r="A163" s="62" t="n"/>
      <c r="B163" s="55">
        <f>IF($B$161="","",$B$161)</f>
        <v/>
      </c>
      <c r="C163" s="63" t="inlineStr">
        <is>
          <t>마케팅3팀</t>
        </is>
      </c>
      <c r="D163" s="55">
        <f>IF($D$161="","",$D$161)</f>
        <v/>
      </c>
      <c r="E163" s="64" t="inlineStr">
        <is>
          <t>영상</t>
        </is>
      </c>
      <c r="F163" s="44" t="n"/>
      <c r="G163" s="58">
        <f>IF($G$161="","",$G$161)</f>
        <v/>
      </c>
      <c r="H163" s="59" t="n"/>
      <c r="I163" s="59" t="n"/>
      <c r="J163" s="59" t="n"/>
      <c r="K163" s="59" t="n"/>
      <c r="L163" s="65">
        <f>IF(SUM(U163:AY163)=0,"",SUM(U163:AY163))</f>
        <v/>
      </c>
      <c r="M163" s="66">
        <f>IFERROR(INDEX(U$2:AY$2,MATCH(TRUE,INDEX(U163:AY163&lt;&gt;"",0),0)),"")</f>
        <v/>
      </c>
      <c r="N163" s="66">
        <f>IFERROR(LOOKUP(2,1/(U163:AY163&lt;&gt;""),U$2:AY$2),"")</f>
        <v/>
      </c>
      <c r="O163" s="59" t="n"/>
      <c r="P163" s="59" t="n"/>
      <c r="Q163" s="59" t="n"/>
      <c r="R163" s="59" t="n"/>
      <c r="S163" s="14" t="n"/>
      <c r="U163" s="53" t="n"/>
      <c r="V163" s="53" t="n"/>
      <c r="W163" s="53" t="n"/>
      <c r="X163" s="53" t="n"/>
      <c r="Y163" s="53" t="n"/>
      <c r="Z163" s="53" t="n"/>
      <c r="AA163" s="53" t="n"/>
      <c r="AB163" s="53" t="n"/>
      <c r="AC163" s="53" t="n"/>
      <c r="AD163" s="53" t="n"/>
      <c r="AE163" s="53" t="n"/>
      <c r="AF163" s="53" t="n"/>
      <c r="AG163" s="53" t="n"/>
      <c r="AH163" s="53" t="n"/>
      <c r="AI163" s="53" t="n"/>
      <c r="AJ163" s="53" t="n"/>
      <c r="AK163" s="53" t="n"/>
      <c r="AL163" s="53" t="n"/>
      <c r="AM163" s="53" t="n"/>
      <c r="AN163" s="53" t="n"/>
      <c r="AO163" s="53" t="n"/>
      <c r="AP163" s="53" t="n"/>
      <c r="AQ163" s="53" t="n"/>
      <c r="AR163" s="53" t="n"/>
      <c r="AS163" s="53" t="n"/>
      <c r="AT163" s="53" t="n"/>
      <c r="AU163" s="53" t="n"/>
      <c r="AV163" s="53" t="n"/>
      <c r="AW163" s="53" t="n"/>
      <c r="AX163" s="53" t="n"/>
      <c r="AY163" s="53" t="n"/>
    </row>
    <row r="164" ht="15" customHeight="1">
      <c r="A164" s="40">
        <f>IF($D$164="","",52)</f>
        <v/>
      </c>
      <c r="B164" s="10" t="n"/>
      <c r="C164" s="41" t="inlineStr">
        <is>
          <t>마케팅3팀</t>
        </is>
      </c>
      <c r="D164" s="42" t="n"/>
      <c r="E164" s="43" t="inlineStr">
        <is>
          <t>기획</t>
        </is>
      </c>
      <c r="F164" s="44" t="n"/>
      <c r="G164" s="45" t="n"/>
      <c r="H164" s="46">
        <f>IF($I$164="","",IF($I$164&lt;0,"🔴지연",IF($I$164&lt;=1,"🟡임박","🟢여유")))</f>
        <v/>
      </c>
      <c r="I164" s="47">
        <f>IF(OR($G$164="",$K$164=""),"",$G$164-$K$164)</f>
        <v/>
      </c>
      <c r="J164" s="48">
        <f>IF(SUM($L$164:$L$166)=0,"",SUM($L$164:$L$166))</f>
        <v/>
      </c>
      <c r="K164" s="49">
        <f>IF($J$164="","",MAX($N$164:$N$166))</f>
        <v/>
      </c>
      <c r="L164" s="50">
        <f>IF(SUM(U164:AY164)=0,"",SUM(U164:AY164))</f>
        <v/>
      </c>
      <c r="M164" s="51">
        <f>IFERROR(INDEX(U$2:AY$2,MATCH(TRUE,INDEX(U164:AY164&lt;&gt;"",0),0)),"")</f>
        <v/>
      </c>
      <c r="N164" s="51">
        <f>IFERROR(LOOKUP(2,1/(U164:AY164&lt;&gt;""),U$2:AY$2),"")</f>
        <v/>
      </c>
      <c r="O164" s="52" t="n"/>
      <c r="P164" s="52" t="n"/>
      <c r="Q164" s="52" t="n"/>
      <c r="R164" s="44" t="n"/>
      <c r="S164" s="14" t="n"/>
      <c r="U164" s="53" t="n"/>
      <c r="V164" s="53" t="n"/>
      <c r="W164" s="53" t="n"/>
      <c r="X164" s="53" t="n"/>
      <c r="Y164" s="53" t="n"/>
      <c r="Z164" s="53" t="n"/>
      <c r="AA164" s="53" t="n"/>
      <c r="AB164" s="53" t="n"/>
      <c r="AC164" s="53" t="n"/>
      <c r="AD164" s="53" t="n"/>
      <c r="AE164" s="53" t="n"/>
      <c r="AF164" s="53" t="n"/>
      <c r="AG164" s="53" t="n"/>
      <c r="AH164" s="53" t="n"/>
      <c r="AI164" s="53" t="n"/>
      <c r="AJ164" s="53" t="n"/>
      <c r="AK164" s="53" t="n"/>
      <c r="AL164" s="53" t="n"/>
      <c r="AM164" s="53" t="n"/>
      <c r="AN164" s="53" t="n"/>
      <c r="AO164" s="53" t="n"/>
      <c r="AP164" s="53" t="n"/>
      <c r="AQ164" s="53" t="n"/>
      <c r="AR164" s="53" t="n"/>
      <c r="AS164" s="53" t="n"/>
      <c r="AT164" s="53" t="n"/>
      <c r="AU164" s="53" t="n"/>
      <c r="AV164" s="53" t="n"/>
      <c r="AW164" s="53" t="n"/>
      <c r="AX164" s="53" t="n"/>
      <c r="AY164" s="53" t="n"/>
    </row>
    <row r="165" ht="15" customHeight="1">
      <c r="A165" s="54" t="n"/>
      <c r="B165" s="55">
        <f>IF($B$164="","",$B$164)</f>
        <v/>
      </c>
      <c r="C165" s="56" t="inlineStr">
        <is>
          <t>마케팅3팀</t>
        </is>
      </c>
      <c r="D165" s="55">
        <f>IF($D$164="","",$D$164)</f>
        <v/>
      </c>
      <c r="E165" s="57" t="inlineStr">
        <is>
          <t>이미지</t>
        </is>
      </c>
      <c r="F165" s="44" t="n"/>
      <c r="G165" s="58">
        <f>IF($G$164="","",$G$164)</f>
        <v/>
      </c>
      <c r="H165" s="59" t="n"/>
      <c r="I165" s="59" t="n"/>
      <c r="J165" s="59" t="n"/>
      <c r="K165" s="59" t="n"/>
      <c r="L165" s="60">
        <f>IF(SUM(U165:AY165)=0,"",SUM(U165:AY165))</f>
        <v/>
      </c>
      <c r="M165" s="61">
        <f>IFERROR(INDEX(U$2:AY$2,MATCH(TRUE,INDEX(U165:AY165&lt;&gt;"",0),0)),"")</f>
        <v/>
      </c>
      <c r="N165" s="61">
        <f>IFERROR(LOOKUP(2,1/(U165:AY165&lt;&gt;""),U$2:AY$2),"")</f>
        <v/>
      </c>
      <c r="O165" s="59" t="n"/>
      <c r="P165" s="59" t="n"/>
      <c r="Q165" s="59" t="n"/>
      <c r="R165" s="59" t="n"/>
      <c r="S165" s="14" t="n"/>
      <c r="U165" s="53" t="n"/>
      <c r="V165" s="53" t="n"/>
      <c r="W165" s="53" t="n"/>
      <c r="X165" s="53" t="n"/>
      <c r="Y165" s="53" t="n"/>
      <c r="Z165" s="53" t="n"/>
      <c r="AA165" s="53" t="n"/>
      <c r="AB165" s="53" t="n"/>
      <c r="AC165" s="53" t="n"/>
      <c r="AD165" s="53" t="n"/>
      <c r="AE165" s="53" t="n"/>
      <c r="AF165" s="53" t="n"/>
      <c r="AG165" s="53" t="n"/>
      <c r="AH165" s="53" t="n"/>
      <c r="AI165" s="53" t="n"/>
      <c r="AJ165" s="53" t="n"/>
      <c r="AK165" s="53" t="n"/>
      <c r="AL165" s="53" t="n"/>
      <c r="AM165" s="53" t="n"/>
      <c r="AN165" s="53" t="n"/>
      <c r="AO165" s="53" t="n"/>
      <c r="AP165" s="53" t="n"/>
      <c r="AQ165" s="53" t="n"/>
      <c r="AR165" s="53" t="n"/>
      <c r="AS165" s="53" t="n"/>
      <c r="AT165" s="53" t="n"/>
      <c r="AU165" s="53" t="n"/>
      <c r="AV165" s="53" t="n"/>
      <c r="AW165" s="53" t="n"/>
      <c r="AX165" s="53" t="n"/>
      <c r="AY165" s="53" t="n"/>
    </row>
    <row r="166" ht="15" customHeight="1">
      <c r="A166" s="62" t="n"/>
      <c r="B166" s="55">
        <f>IF($B$164="","",$B$164)</f>
        <v/>
      </c>
      <c r="C166" s="63" t="inlineStr">
        <is>
          <t>마케팅3팀</t>
        </is>
      </c>
      <c r="D166" s="55">
        <f>IF($D$164="","",$D$164)</f>
        <v/>
      </c>
      <c r="E166" s="64" t="inlineStr">
        <is>
          <t>영상</t>
        </is>
      </c>
      <c r="F166" s="44" t="n"/>
      <c r="G166" s="58">
        <f>IF($G$164="","",$G$164)</f>
        <v/>
      </c>
      <c r="H166" s="59" t="n"/>
      <c r="I166" s="59" t="n"/>
      <c r="J166" s="59" t="n"/>
      <c r="K166" s="59" t="n"/>
      <c r="L166" s="65">
        <f>IF(SUM(U166:AY166)=0,"",SUM(U166:AY166))</f>
        <v/>
      </c>
      <c r="M166" s="66">
        <f>IFERROR(INDEX(U$2:AY$2,MATCH(TRUE,INDEX(U166:AY166&lt;&gt;"",0),0)),"")</f>
        <v/>
      </c>
      <c r="N166" s="66">
        <f>IFERROR(LOOKUP(2,1/(U166:AY166&lt;&gt;""),U$2:AY$2),"")</f>
        <v/>
      </c>
      <c r="O166" s="59" t="n"/>
      <c r="P166" s="59" t="n"/>
      <c r="Q166" s="59" t="n"/>
      <c r="R166" s="59" t="n"/>
      <c r="S166" s="14" t="n"/>
      <c r="U166" s="53" t="n"/>
      <c r="V166" s="53" t="n"/>
      <c r="W166" s="53" t="n"/>
      <c r="X166" s="53" t="n"/>
      <c r="Y166" s="53" t="n"/>
      <c r="Z166" s="53" t="n"/>
      <c r="AA166" s="53" t="n"/>
      <c r="AB166" s="53" t="n"/>
      <c r="AC166" s="53" t="n"/>
      <c r="AD166" s="53" t="n"/>
      <c r="AE166" s="53" t="n"/>
      <c r="AF166" s="53" t="n"/>
      <c r="AG166" s="53" t="n"/>
      <c r="AH166" s="53" t="n"/>
      <c r="AI166" s="53" t="n"/>
      <c r="AJ166" s="53" t="n"/>
      <c r="AK166" s="53" t="n"/>
      <c r="AL166" s="53" t="n"/>
      <c r="AM166" s="53" t="n"/>
      <c r="AN166" s="53" t="n"/>
      <c r="AO166" s="53" t="n"/>
      <c r="AP166" s="53" t="n"/>
      <c r="AQ166" s="53" t="n"/>
      <c r="AR166" s="53" t="n"/>
      <c r="AS166" s="53" t="n"/>
      <c r="AT166" s="53" t="n"/>
      <c r="AU166" s="53" t="n"/>
      <c r="AV166" s="53" t="n"/>
      <c r="AW166" s="53" t="n"/>
      <c r="AX166" s="53" t="n"/>
      <c r="AY166" s="53" t="n"/>
    </row>
    <row r="167" ht="15" customHeight="1">
      <c r="A167" s="40">
        <f>IF($D$167="","",53)</f>
        <v/>
      </c>
      <c r="B167" s="10" t="n"/>
      <c r="C167" s="41" t="inlineStr">
        <is>
          <t>마케팅3팀</t>
        </is>
      </c>
      <c r="D167" s="42" t="n"/>
      <c r="E167" s="43" t="inlineStr">
        <is>
          <t>기획</t>
        </is>
      </c>
      <c r="F167" s="44" t="n"/>
      <c r="G167" s="45" t="n"/>
      <c r="H167" s="46">
        <f>IF($I$167="","",IF($I$167&lt;0,"🔴지연",IF($I$167&lt;=1,"🟡임박","🟢여유")))</f>
        <v/>
      </c>
      <c r="I167" s="47">
        <f>IF(OR($G$167="",$K$167=""),"",$G$167-$K$167)</f>
        <v/>
      </c>
      <c r="J167" s="48">
        <f>IF(SUM($L$167:$L$169)=0,"",SUM($L$167:$L$169))</f>
        <v/>
      </c>
      <c r="K167" s="49">
        <f>IF($J$167="","",MAX($N$167:$N$169))</f>
        <v/>
      </c>
      <c r="L167" s="50">
        <f>IF(SUM(U167:AY167)=0,"",SUM(U167:AY167))</f>
        <v/>
      </c>
      <c r="M167" s="51">
        <f>IFERROR(INDEX(U$2:AY$2,MATCH(TRUE,INDEX(U167:AY167&lt;&gt;"",0),0)),"")</f>
        <v/>
      </c>
      <c r="N167" s="51">
        <f>IFERROR(LOOKUP(2,1/(U167:AY167&lt;&gt;""),U$2:AY$2),"")</f>
        <v/>
      </c>
      <c r="O167" s="52" t="n"/>
      <c r="P167" s="52" t="n"/>
      <c r="Q167" s="52" t="n"/>
      <c r="R167" s="44" t="n"/>
      <c r="S167" s="14" t="n"/>
      <c r="U167" s="53" t="n"/>
      <c r="V167" s="53" t="n"/>
      <c r="W167" s="53" t="n"/>
      <c r="X167" s="53" t="n"/>
      <c r="Y167" s="53" t="n"/>
      <c r="Z167" s="53" t="n"/>
      <c r="AA167" s="53" t="n"/>
      <c r="AB167" s="53" t="n"/>
      <c r="AC167" s="53" t="n"/>
      <c r="AD167" s="53" t="n"/>
      <c r="AE167" s="53" t="n"/>
      <c r="AF167" s="53" t="n"/>
      <c r="AG167" s="53" t="n"/>
      <c r="AH167" s="53" t="n"/>
      <c r="AI167" s="53" t="n"/>
      <c r="AJ167" s="53" t="n"/>
      <c r="AK167" s="53" t="n"/>
      <c r="AL167" s="53" t="n"/>
      <c r="AM167" s="53" t="n"/>
      <c r="AN167" s="53" t="n"/>
      <c r="AO167" s="53" t="n"/>
      <c r="AP167" s="53" t="n"/>
      <c r="AQ167" s="53" t="n"/>
      <c r="AR167" s="53" t="n"/>
      <c r="AS167" s="53" t="n"/>
      <c r="AT167" s="53" t="n"/>
      <c r="AU167" s="53" t="n"/>
      <c r="AV167" s="53" t="n"/>
      <c r="AW167" s="53" t="n"/>
      <c r="AX167" s="53" t="n"/>
      <c r="AY167" s="53" t="n"/>
    </row>
    <row r="168" ht="15" customHeight="1">
      <c r="A168" s="54" t="n"/>
      <c r="B168" s="55">
        <f>IF($B$167="","",$B$167)</f>
        <v/>
      </c>
      <c r="C168" s="56" t="inlineStr">
        <is>
          <t>마케팅3팀</t>
        </is>
      </c>
      <c r="D168" s="55">
        <f>IF($D$167="","",$D$167)</f>
        <v/>
      </c>
      <c r="E168" s="57" t="inlineStr">
        <is>
          <t>이미지</t>
        </is>
      </c>
      <c r="F168" s="44" t="n"/>
      <c r="G168" s="58">
        <f>IF($G$167="","",$G$167)</f>
        <v/>
      </c>
      <c r="H168" s="59" t="n"/>
      <c r="I168" s="59" t="n"/>
      <c r="J168" s="59" t="n"/>
      <c r="K168" s="59" t="n"/>
      <c r="L168" s="60">
        <f>IF(SUM(U168:AY168)=0,"",SUM(U168:AY168))</f>
        <v/>
      </c>
      <c r="M168" s="61">
        <f>IFERROR(INDEX(U$2:AY$2,MATCH(TRUE,INDEX(U168:AY168&lt;&gt;"",0),0)),"")</f>
        <v/>
      </c>
      <c r="N168" s="61">
        <f>IFERROR(LOOKUP(2,1/(U168:AY168&lt;&gt;""),U$2:AY$2),"")</f>
        <v/>
      </c>
      <c r="O168" s="59" t="n"/>
      <c r="P168" s="59" t="n"/>
      <c r="Q168" s="59" t="n"/>
      <c r="R168" s="59" t="n"/>
      <c r="S168" s="14" t="n"/>
      <c r="U168" s="53" t="n"/>
      <c r="V168" s="53" t="n"/>
      <c r="W168" s="53" t="n"/>
      <c r="X168" s="53" t="n"/>
      <c r="Y168" s="53" t="n"/>
      <c r="Z168" s="53" t="n"/>
      <c r="AA168" s="53" t="n"/>
      <c r="AB168" s="53" t="n"/>
      <c r="AC168" s="53" t="n"/>
      <c r="AD168" s="53" t="n"/>
      <c r="AE168" s="53" t="n"/>
      <c r="AF168" s="53" t="n"/>
      <c r="AG168" s="53" t="n"/>
      <c r="AH168" s="53" t="n"/>
      <c r="AI168" s="53" t="n"/>
      <c r="AJ168" s="53" t="n"/>
      <c r="AK168" s="53" t="n"/>
      <c r="AL168" s="53" t="n"/>
      <c r="AM168" s="53" t="n"/>
      <c r="AN168" s="53" t="n"/>
      <c r="AO168" s="53" t="n"/>
      <c r="AP168" s="53" t="n"/>
      <c r="AQ168" s="53" t="n"/>
      <c r="AR168" s="53" t="n"/>
      <c r="AS168" s="53" t="n"/>
      <c r="AT168" s="53" t="n"/>
      <c r="AU168" s="53" t="n"/>
      <c r="AV168" s="53" t="n"/>
      <c r="AW168" s="53" t="n"/>
      <c r="AX168" s="53" t="n"/>
      <c r="AY168" s="53" t="n"/>
    </row>
    <row r="169" ht="15" customHeight="1">
      <c r="A169" s="62" t="n"/>
      <c r="B169" s="55">
        <f>IF($B$167="","",$B$167)</f>
        <v/>
      </c>
      <c r="C169" s="63" t="inlineStr">
        <is>
          <t>마케팅3팀</t>
        </is>
      </c>
      <c r="D169" s="55">
        <f>IF($D$167="","",$D$167)</f>
        <v/>
      </c>
      <c r="E169" s="64" t="inlineStr">
        <is>
          <t>영상</t>
        </is>
      </c>
      <c r="F169" s="44" t="n"/>
      <c r="G169" s="58">
        <f>IF($G$167="","",$G$167)</f>
        <v/>
      </c>
      <c r="H169" s="59" t="n"/>
      <c r="I169" s="59" t="n"/>
      <c r="J169" s="59" t="n"/>
      <c r="K169" s="59" t="n"/>
      <c r="L169" s="65">
        <f>IF(SUM(U169:AY169)=0,"",SUM(U169:AY169))</f>
        <v/>
      </c>
      <c r="M169" s="66">
        <f>IFERROR(INDEX(U$2:AY$2,MATCH(TRUE,INDEX(U169:AY169&lt;&gt;"",0),0)),"")</f>
        <v/>
      </c>
      <c r="N169" s="66">
        <f>IFERROR(LOOKUP(2,1/(U169:AY169&lt;&gt;""),U$2:AY$2),"")</f>
        <v/>
      </c>
      <c r="O169" s="59" t="n"/>
      <c r="P169" s="59" t="n"/>
      <c r="Q169" s="59" t="n"/>
      <c r="R169" s="59" t="n"/>
      <c r="S169" s="14" t="n"/>
      <c r="U169" s="53" t="n"/>
      <c r="V169" s="53" t="n"/>
      <c r="W169" s="53" t="n"/>
      <c r="X169" s="53" t="n"/>
      <c r="Y169" s="53" t="n"/>
      <c r="Z169" s="53" t="n"/>
      <c r="AA169" s="53" t="n"/>
      <c r="AB169" s="53" t="n"/>
      <c r="AC169" s="53" t="n"/>
      <c r="AD169" s="53" t="n"/>
      <c r="AE169" s="53" t="n"/>
      <c r="AF169" s="53" t="n"/>
      <c r="AG169" s="53" t="n"/>
      <c r="AH169" s="53" t="n"/>
      <c r="AI169" s="53" t="n"/>
      <c r="AJ169" s="53" t="n"/>
      <c r="AK169" s="53" t="n"/>
      <c r="AL169" s="53" t="n"/>
      <c r="AM169" s="53" t="n"/>
      <c r="AN169" s="53" t="n"/>
      <c r="AO169" s="53" t="n"/>
      <c r="AP169" s="53" t="n"/>
      <c r="AQ169" s="53" t="n"/>
      <c r="AR169" s="53" t="n"/>
      <c r="AS169" s="53" t="n"/>
      <c r="AT169" s="53" t="n"/>
      <c r="AU169" s="53" t="n"/>
      <c r="AV169" s="53" t="n"/>
      <c r="AW169" s="53" t="n"/>
      <c r="AX169" s="53" t="n"/>
      <c r="AY169" s="53" t="n"/>
    </row>
    <row r="170" ht="15" customHeight="1">
      <c r="A170" s="40">
        <f>IF($D$170="","",54)</f>
        <v/>
      </c>
      <c r="B170" s="10" t="n"/>
      <c r="C170" s="41" t="inlineStr">
        <is>
          <t>마케팅3팀</t>
        </is>
      </c>
      <c r="D170" s="42" t="n"/>
      <c r="E170" s="43" t="inlineStr">
        <is>
          <t>기획</t>
        </is>
      </c>
      <c r="F170" s="44" t="n"/>
      <c r="G170" s="45" t="n"/>
      <c r="H170" s="46">
        <f>IF($I$170="","",IF($I$170&lt;0,"🔴지연",IF($I$170&lt;=1,"🟡임박","🟢여유")))</f>
        <v/>
      </c>
      <c r="I170" s="47">
        <f>IF(OR($G$170="",$K$170=""),"",$G$170-$K$170)</f>
        <v/>
      </c>
      <c r="J170" s="48">
        <f>IF(SUM($L$170:$L$172)=0,"",SUM($L$170:$L$172))</f>
        <v/>
      </c>
      <c r="K170" s="49">
        <f>IF($J$170="","",MAX($N$170:$N$172))</f>
        <v/>
      </c>
      <c r="L170" s="50">
        <f>IF(SUM(U170:AY170)=0,"",SUM(U170:AY170))</f>
        <v/>
      </c>
      <c r="M170" s="51">
        <f>IFERROR(INDEX(U$2:AY$2,MATCH(TRUE,INDEX(U170:AY170&lt;&gt;"",0),0)),"")</f>
        <v/>
      </c>
      <c r="N170" s="51">
        <f>IFERROR(LOOKUP(2,1/(U170:AY170&lt;&gt;""),U$2:AY$2),"")</f>
        <v/>
      </c>
      <c r="O170" s="52" t="n"/>
      <c r="P170" s="52" t="n"/>
      <c r="Q170" s="52" t="n"/>
      <c r="R170" s="44" t="n"/>
      <c r="S170" s="14" t="n"/>
      <c r="U170" s="53" t="n"/>
      <c r="V170" s="53" t="n"/>
      <c r="W170" s="53" t="n"/>
      <c r="X170" s="53" t="n"/>
      <c r="Y170" s="53" t="n"/>
      <c r="Z170" s="53" t="n"/>
      <c r="AA170" s="53" t="n"/>
      <c r="AB170" s="53" t="n"/>
      <c r="AC170" s="53" t="n"/>
      <c r="AD170" s="53" t="n"/>
      <c r="AE170" s="53" t="n"/>
      <c r="AF170" s="53" t="n"/>
      <c r="AG170" s="53" t="n"/>
      <c r="AH170" s="53" t="n"/>
      <c r="AI170" s="53" t="n"/>
      <c r="AJ170" s="53" t="n"/>
      <c r="AK170" s="53" t="n"/>
      <c r="AL170" s="53" t="n"/>
      <c r="AM170" s="53" t="n"/>
      <c r="AN170" s="53" t="n"/>
      <c r="AO170" s="53" t="n"/>
      <c r="AP170" s="53" t="n"/>
      <c r="AQ170" s="53" t="n"/>
      <c r="AR170" s="53" t="n"/>
      <c r="AS170" s="53" t="n"/>
      <c r="AT170" s="53" t="n"/>
      <c r="AU170" s="53" t="n"/>
      <c r="AV170" s="53" t="n"/>
      <c r="AW170" s="53" t="n"/>
      <c r="AX170" s="53" t="n"/>
      <c r="AY170" s="53" t="n"/>
    </row>
    <row r="171" ht="15" customHeight="1">
      <c r="A171" s="54" t="n"/>
      <c r="B171" s="55">
        <f>IF($B$170="","",$B$170)</f>
        <v/>
      </c>
      <c r="C171" s="56" t="inlineStr">
        <is>
          <t>마케팅3팀</t>
        </is>
      </c>
      <c r="D171" s="55">
        <f>IF($D$170="","",$D$170)</f>
        <v/>
      </c>
      <c r="E171" s="57" t="inlineStr">
        <is>
          <t>이미지</t>
        </is>
      </c>
      <c r="F171" s="44" t="n"/>
      <c r="G171" s="58">
        <f>IF($G$170="","",$G$170)</f>
        <v/>
      </c>
      <c r="H171" s="59" t="n"/>
      <c r="I171" s="59" t="n"/>
      <c r="J171" s="59" t="n"/>
      <c r="K171" s="59" t="n"/>
      <c r="L171" s="60">
        <f>IF(SUM(U171:AY171)=0,"",SUM(U171:AY171))</f>
        <v/>
      </c>
      <c r="M171" s="61">
        <f>IFERROR(INDEX(U$2:AY$2,MATCH(TRUE,INDEX(U171:AY171&lt;&gt;"",0),0)),"")</f>
        <v/>
      </c>
      <c r="N171" s="61">
        <f>IFERROR(LOOKUP(2,1/(U171:AY171&lt;&gt;""),U$2:AY$2),"")</f>
        <v/>
      </c>
      <c r="O171" s="59" t="n"/>
      <c r="P171" s="59" t="n"/>
      <c r="Q171" s="59" t="n"/>
      <c r="R171" s="59" t="n"/>
      <c r="S171" s="14" t="n"/>
      <c r="U171" s="53" t="n"/>
      <c r="V171" s="53" t="n"/>
      <c r="W171" s="53" t="n"/>
      <c r="X171" s="53" t="n"/>
      <c r="Y171" s="53" t="n"/>
      <c r="Z171" s="53" t="n"/>
      <c r="AA171" s="53" t="n"/>
      <c r="AB171" s="53" t="n"/>
      <c r="AC171" s="53" t="n"/>
      <c r="AD171" s="53" t="n"/>
      <c r="AE171" s="53" t="n"/>
      <c r="AF171" s="53" t="n"/>
      <c r="AG171" s="53" t="n"/>
      <c r="AH171" s="53" t="n"/>
      <c r="AI171" s="53" t="n"/>
      <c r="AJ171" s="53" t="n"/>
      <c r="AK171" s="53" t="n"/>
      <c r="AL171" s="53" t="n"/>
      <c r="AM171" s="53" t="n"/>
      <c r="AN171" s="53" t="n"/>
      <c r="AO171" s="53" t="n"/>
      <c r="AP171" s="53" t="n"/>
      <c r="AQ171" s="53" t="n"/>
      <c r="AR171" s="53" t="n"/>
      <c r="AS171" s="53" t="n"/>
      <c r="AT171" s="53" t="n"/>
      <c r="AU171" s="53" t="n"/>
      <c r="AV171" s="53" t="n"/>
      <c r="AW171" s="53" t="n"/>
      <c r="AX171" s="53" t="n"/>
      <c r="AY171" s="53" t="n"/>
    </row>
    <row r="172" ht="15" customHeight="1">
      <c r="A172" s="62" t="n"/>
      <c r="B172" s="55">
        <f>IF($B$170="","",$B$170)</f>
        <v/>
      </c>
      <c r="C172" s="63" t="inlineStr">
        <is>
          <t>마케팅3팀</t>
        </is>
      </c>
      <c r="D172" s="55">
        <f>IF($D$170="","",$D$170)</f>
        <v/>
      </c>
      <c r="E172" s="64" t="inlineStr">
        <is>
          <t>영상</t>
        </is>
      </c>
      <c r="F172" s="44" t="n"/>
      <c r="G172" s="58">
        <f>IF($G$170="","",$G$170)</f>
        <v/>
      </c>
      <c r="H172" s="59" t="n"/>
      <c r="I172" s="59" t="n"/>
      <c r="J172" s="59" t="n"/>
      <c r="K172" s="59" t="n"/>
      <c r="L172" s="65">
        <f>IF(SUM(U172:AY172)=0,"",SUM(U172:AY172))</f>
        <v/>
      </c>
      <c r="M172" s="66">
        <f>IFERROR(INDEX(U$2:AY$2,MATCH(TRUE,INDEX(U172:AY172&lt;&gt;"",0),0)),"")</f>
        <v/>
      </c>
      <c r="N172" s="66">
        <f>IFERROR(LOOKUP(2,1/(U172:AY172&lt;&gt;""),U$2:AY$2),"")</f>
        <v/>
      </c>
      <c r="O172" s="59" t="n"/>
      <c r="P172" s="59" t="n"/>
      <c r="Q172" s="59" t="n"/>
      <c r="R172" s="59" t="n"/>
      <c r="S172" s="14" t="n"/>
      <c r="U172" s="53" t="n"/>
      <c r="V172" s="53" t="n"/>
      <c r="W172" s="53" t="n"/>
      <c r="X172" s="53" t="n"/>
      <c r="Y172" s="53" t="n"/>
      <c r="Z172" s="53" t="n"/>
      <c r="AA172" s="53" t="n"/>
      <c r="AB172" s="53" t="n"/>
      <c r="AC172" s="53" t="n"/>
      <c r="AD172" s="53" t="n"/>
      <c r="AE172" s="53" t="n"/>
      <c r="AF172" s="53" t="n"/>
      <c r="AG172" s="53" t="n"/>
      <c r="AH172" s="53" t="n"/>
      <c r="AI172" s="53" t="n"/>
      <c r="AJ172" s="53" t="n"/>
      <c r="AK172" s="53" t="n"/>
      <c r="AL172" s="53" t="n"/>
      <c r="AM172" s="53" t="n"/>
      <c r="AN172" s="53" t="n"/>
      <c r="AO172" s="53" t="n"/>
      <c r="AP172" s="53" t="n"/>
      <c r="AQ172" s="53" t="n"/>
      <c r="AR172" s="53" t="n"/>
      <c r="AS172" s="53" t="n"/>
      <c r="AT172" s="53" t="n"/>
      <c r="AU172" s="53" t="n"/>
      <c r="AV172" s="53" t="n"/>
      <c r="AW172" s="53" t="n"/>
      <c r="AX172" s="53" t="n"/>
      <c r="AY172" s="53" t="n"/>
    </row>
    <row r="173" ht="15" customHeight="1">
      <c r="A173" s="40">
        <f>IF($D$173="","",55)</f>
        <v/>
      </c>
      <c r="B173" s="10" t="n"/>
      <c r="C173" s="41" t="inlineStr">
        <is>
          <t>마케팅3팀</t>
        </is>
      </c>
      <c r="D173" s="42" t="n"/>
      <c r="E173" s="43" t="inlineStr">
        <is>
          <t>기획</t>
        </is>
      </c>
      <c r="F173" s="44" t="n"/>
      <c r="G173" s="45" t="n"/>
      <c r="H173" s="46">
        <f>IF($I$173="","",IF($I$173&lt;0,"🔴지연",IF($I$173&lt;=1,"🟡임박","🟢여유")))</f>
        <v/>
      </c>
      <c r="I173" s="47">
        <f>IF(OR($G$173="",$K$173=""),"",$G$173-$K$173)</f>
        <v/>
      </c>
      <c r="J173" s="48">
        <f>IF(SUM($L$173:$L$175)=0,"",SUM($L$173:$L$175))</f>
        <v/>
      </c>
      <c r="K173" s="49">
        <f>IF($J$173="","",MAX($N$173:$N$175))</f>
        <v/>
      </c>
      <c r="L173" s="50">
        <f>IF(SUM(U173:AY173)=0,"",SUM(U173:AY173))</f>
        <v/>
      </c>
      <c r="M173" s="51">
        <f>IFERROR(INDEX(U$2:AY$2,MATCH(TRUE,INDEX(U173:AY173&lt;&gt;"",0),0)),"")</f>
        <v/>
      </c>
      <c r="N173" s="51">
        <f>IFERROR(LOOKUP(2,1/(U173:AY173&lt;&gt;""),U$2:AY$2),"")</f>
        <v/>
      </c>
      <c r="O173" s="52" t="n"/>
      <c r="P173" s="52" t="n"/>
      <c r="Q173" s="52" t="n"/>
      <c r="R173" s="44" t="n"/>
      <c r="S173" s="14" t="n"/>
      <c r="U173" s="53" t="n"/>
      <c r="V173" s="53" t="n"/>
      <c r="W173" s="53" t="n"/>
      <c r="X173" s="53" t="n"/>
      <c r="Y173" s="53" t="n"/>
      <c r="Z173" s="53" t="n"/>
      <c r="AA173" s="53" t="n"/>
      <c r="AB173" s="53" t="n"/>
      <c r="AC173" s="53" t="n"/>
      <c r="AD173" s="53" t="n"/>
      <c r="AE173" s="53" t="n"/>
      <c r="AF173" s="53" t="n"/>
      <c r="AG173" s="53" t="n"/>
      <c r="AH173" s="53" t="n"/>
      <c r="AI173" s="53" t="n"/>
      <c r="AJ173" s="53" t="n"/>
      <c r="AK173" s="53" t="n"/>
      <c r="AL173" s="53" t="n"/>
      <c r="AM173" s="53" t="n"/>
      <c r="AN173" s="53" t="n"/>
      <c r="AO173" s="53" t="n"/>
      <c r="AP173" s="53" t="n"/>
      <c r="AQ173" s="53" t="n"/>
      <c r="AR173" s="53" t="n"/>
      <c r="AS173" s="53" t="n"/>
      <c r="AT173" s="53" t="n"/>
      <c r="AU173" s="53" t="n"/>
      <c r="AV173" s="53" t="n"/>
      <c r="AW173" s="53" t="n"/>
      <c r="AX173" s="53" t="n"/>
      <c r="AY173" s="53" t="n"/>
    </row>
    <row r="174" ht="15" customHeight="1">
      <c r="A174" s="54" t="n"/>
      <c r="B174" s="55">
        <f>IF($B$173="","",$B$173)</f>
        <v/>
      </c>
      <c r="C174" s="56" t="inlineStr">
        <is>
          <t>마케팅3팀</t>
        </is>
      </c>
      <c r="D174" s="55">
        <f>IF($D$173="","",$D$173)</f>
        <v/>
      </c>
      <c r="E174" s="57" t="inlineStr">
        <is>
          <t>이미지</t>
        </is>
      </c>
      <c r="F174" s="44" t="n"/>
      <c r="G174" s="58">
        <f>IF($G$173="","",$G$173)</f>
        <v/>
      </c>
      <c r="H174" s="59" t="n"/>
      <c r="I174" s="59" t="n"/>
      <c r="J174" s="59" t="n"/>
      <c r="K174" s="59" t="n"/>
      <c r="L174" s="60">
        <f>IF(SUM(U174:AY174)=0,"",SUM(U174:AY174))</f>
        <v/>
      </c>
      <c r="M174" s="61">
        <f>IFERROR(INDEX(U$2:AY$2,MATCH(TRUE,INDEX(U174:AY174&lt;&gt;"",0),0)),"")</f>
        <v/>
      </c>
      <c r="N174" s="61">
        <f>IFERROR(LOOKUP(2,1/(U174:AY174&lt;&gt;""),U$2:AY$2),"")</f>
        <v/>
      </c>
      <c r="O174" s="59" t="n"/>
      <c r="P174" s="59" t="n"/>
      <c r="Q174" s="59" t="n"/>
      <c r="R174" s="59" t="n"/>
      <c r="S174" s="14" t="n"/>
      <c r="U174" s="53" t="n"/>
      <c r="V174" s="53" t="n"/>
      <c r="W174" s="53" t="n"/>
      <c r="X174" s="53" t="n"/>
      <c r="Y174" s="53" t="n"/>
      <c r="Z174" s="53" t="n"/>
      <c r="AA174" s="53" t="n"/>
      <c r="AB174" s="53" t="n"/>
      <c r="AC174" s="53" t="n"/>
      <c r="AD174" s="53" t="n"/>
      <c r="AE174" s="53" t="n"/>
      <c r="AF174" s="53" t="n"/>
      <c r="AG174" s="53" t="n"/>
      <c r="AH174" s="53" t="n"/>
      <c r="AI174" s="53" t="n"/>
      <c r="AJ174" s="53" t="n"/>
      <c r="AK174" s="53" t="n"/>
      <c r="AL174" s="53" t="n"/>
      <c r="AM174" s="53" t="n"/>
      <c r="AN174" s="53" t="n"/>
      <c r="AO174" s="53" t="n"/>
      <c r="AP174" s="53" t="n"/>
      <c r="AQ174" s="53" t="n"/>
      <c r="AR174" s="53" t="n"/>
      <c r="AS174" s="53" t="n"/>
      <c r="AT174" s="53" t="n"/>
      <c r="AU174" s="53" t="n"/>
      <c r="AV174" s="53" t="n"/>
      <c r="AW174" s="53" t="n"/>
      <c r="AX174" s="53" t="n"/>
      <c r="AY174" s="53" t="n"/>
    </row>
    <row r="175" ht="15" customHeight="1">
      <c r="A175" s="62" t="n"/>
      <c r="B175" s="55">
        <f>IF($B$173="","",$B$173)</f>
        <v/>
      </c>
      <c r="C175" s="63" t="inlineStr">
        <is>
          <t>마케팅3팀</t>
        </is>
      </c>
      <c r="D175" s="55">
        <f>IF($D$173="","",$D$173)</f>
        <v/>
      </c>
      <c r="E175" s="64" t="inlineStr">
        <is>
          <t>영상</t>
        </is>
      </c>
      <c r="F175" s="44" t="n"/>
      <c r="G175" s="58">
        <f>IF($G$173="","",$G$173)</f>
        <v/>
      </c>
      <c r="H175" s="59" t="n"/>
      <c r="I175" s="59" t="n"/>
      <c r="J175" s="59" t="n"/>
      <c r="K175" s="59" t="n"/>
      <c r="L175" s="65">
        <f>IF(SUM(U175:AY175)=0,"",SUM(U175:AY175))</f>
        <v/>
      </c>
      <c r="M175" s="66">
        <f>IFERROR(INDEX(U$2:AY$2,MATCH(TRUE,INDEX(U175:AY175&lt;&gt;"",0),0)),"")</f>
        <v/>
      </c>
      <c r="N175" s="66">
        <f>IFERROR(LOOKUP(2,1/(U175:AY175&lt;&gt;""),U$2:AY$2),"")</f>
        <v/>
      </c>
      <c r="O175" s="59" t="n"/>
      <c r="P175" s="59" t="n"/>
      <c r="Q175" s="59" t="n"/>
      <c r="R175" s="59" t="n"/>
      <c r="S175" s="14" t="n"/>
      <c r="U175" s="53" t="n"/>
      <c r="V175" s="53" t="n"/>
      <c r="W175" s="53" t="n"/>
      <c r="X175" s="53" t="n"/>
      <c r="Y175" s="53" t="n"/>
      <c r="Z175" s="53" t="n"/>
      <c r="AA175" s="53" t="n"/>
      <c r="AB175" s="53" t="n"/>
      <c r="AC175" s="53" t="n"/>
      <c r="AD175" s="53" t="n"/>
      <c r="AE175" s="53" t="n"/>
      <c r="AF175" s="53" t="n"/>
      <c r="AG175" s="53" t="n"/>
      <c r="AH175" s="53" t="n"/>
      <c r="AI175" s="53" t="n"/>
      <c r="AJ175" s="53" t="n"/>
      <c r="AK175" s="53" t="n"/>
      <c r="AL175" s="53" t="n"/>
      <c r="AM175" s="53" t="n"/>
      <c r="AN175" s="53" t="n"/>
      <c r="AO175" s="53" t="n"/>
      <c r="AP175" s="53" t="n"/>
      <c r="AQ175" s="53" t="n"/>
      <c r="AR175" s="53" t="n"/>
      <c r="AS175" s="53" t="n"/>
      <c r="AT175" s="53" t="n"/>
      <c r="AU175" s="53" t="n"/>
      <c r="AV175" s="53" t="n"/>
      <c r="AW175" s="53" t="n"/>
      <c r="AX175" s="53" t="n"/>
      <c r="AY175" s="53" t="n"/>
    </row>
    <row r="176" ht="15" customHeight="1">
      <c r="A176" s="40">
        <f>IF($D$176="","",56)</f>
        <v/>
      </c>
      <c r="B176" s="10" t="n"/>
      <c r="C176" s="41" t="inlineStr">
        <is>
          <t>마케팅3팀</t>
        </is>
      </c>
      <c r="D176" s="42" t="n"/>
      <c r="E176" s="43" t="inlineStr">
        <is>
          <t>기획</t>
        </is>
      </c>
      <c r="F176" s="44" t="n"/>
      <c r="G176" s="45" t="n"/>
      <c r="H176" s="46">
        <f>IF($I$176="","",IF($I$176&lt;0,"🔴지연",IF($I$176&lt;=1,"🟡임박","🟢여유")))</f>
        <v/>
      </c>
      <c r="I176" s="47">
        <f>IF(OR($G$176="",$K$176=""),"",$G$176-$K$176)</f>
        <v/>
      </c>
      <c r="J176" s="48">
        <f>IF(SUM($L$176:$L$178)=0,"",SUM($L$176:$L$178))</f>
        <v/>
      </c>
      <c r="K176" s="49">
        <f>IF($J$176="","",MAX($N$176:$N$178))</f>
        <v/>
      </c>
      <c r="L176" s="50">
        <f>IF(SUM(U176:AY176)=0,"",SUM(U176:AY176))</f>
        <v/>
      </c>
      <c r="M176" s="51">
        <f>IFERROR(INDEX(U$2:AY$2,MATCH(TRUE,INDEX(U176:AY176&lt;&gt;"",0),0)),"")</f>
        <v/>
      </c>
      <c r="N176" s="51">
        <f>IFERROR(LOOKUP(2,1/(U176:AY176&lt;&gt;""),U$2:AY$2),"")</f>
        <v/>
      </c>
      <c r="O176" s="52" t="n"/>
      <c r="P176" s="52" t="n"/>
      <c r="Q176" s="52" t="n"/>
      <c r="R176" s="44" t="n"/>
      <c r="S176" s="14" t="n"/>
      <c r="U176" s="53" t="n"/>
      <c r="V176" s="53" t="n"/>
      <c r="W176" s="53" t="n"/>
      <c r="X176" s="53" t="n"/>
      <c r="Y176" s="53" t="n"/>
      <c r="Z176" s="53" t="n"/>
      <c r="AA176" s="53" t="n"/>
      <c r="AB176" s="53" t="n"/>
      <c r="AC176" s="53" t="n"/>
      <c r="AD176" s="53" t="n"/>
      <c r="AE176" s="53" t="n"/>
      <c r="AF176" s="53" t="n"/>
      <c r="AG176" s="53" t="n"/>
      <c r="AH176" s="53" t="n"/>
      <c r="AI176" s="53" t="n"/>
      <c r="AJ176" s="53" t="n"/>
      <c r="AK176" s="53" t="n"/>
      <c r="AL176" s="53" t="n"/>
      <c r="AM176" s="53" t="n"/>
      <c r="AN176" s="53" t="n"/>
      <c r="AO176" s="53" t="n"/>
      <c r="AP176" s="53" t="n"/>
      <c r="AQ176" s="53" t="n"/>
      <c r="AR176" s="53" t="n"/>
      <c r="AS176" s="53" t="n"/>
      <c r="AT176" s="53" t="n"/>
      <c r="AU176" s="53" t="n"/>
      <c r="AV176" s="53" t="n"/>
      <c r="AW176" s="53" t="n"/>
      <c r="AX176" s="53" t="n"/>
      <c r="AY176" s="53" t="n"/>
    </row>
    <row r="177" ht="15" customHeight="1">
      <c r="A177" s="54" t="n"/>
      <c r="B177" s="55">
        <f>IF($B$176="","",$B$176)</f>
        <v/>
      </c>
      <c r="C177" s="56" t="inlineStr">
        <is>
          <t>마케팅3팀</t>
        </is>
      </c>
      <c r="D177" s="55">
        <f>IF($D$176="","",$D$176)</f>
        <v/>
      </c>
      <c r="E177" s="57" t="inlineStr">
        <is>
          <t>이미지</t>
        </is>
      </c>
      <c r="F177" s="44" t="n"/>
      <c r="G177" s="58">
        <f>IF($G$176="","",$G$176)</f>
        <v/>
      </c>
      <c r="H177" s="59" t="n"/>
      <c r="I177" s="59" t="n"/>
      <c r="J177" s="59" t="n"/>
      <c r="K177" s="59" t="n"/>
      <c r="L177" s="60">
        <f>IF(SUM(U177:AY177)=0,"",SUM(U177:AY177))</f>
        <v/>
      </c>
      <c r="M177" s="61">
        <f>IFERROR(INDEX(U$2:AY$2,MATCH(TRUE,INDEX(U177:AY177&lt;&gt;"",0),0)),"")</f>
        <v/>
      </c>
      <c r="N177" s="61">
        <f>IFERROR(LOOKUP(2,1/(U177:AY177&lt;&gt;""),U$2:AY$2),"")</f>
        <v/>
      </c>
      <c r="O177" s="59" t="n"/>
      <c r="P177" s="59" t="n"/>
      <c r="Q177" s="59" t="n"/>
      <c r="R177" s="59" t="n"/>
      <c r="S177" s="14" t="n"/>
      <c r="U177" s="53" t="n"/>
      <c r="V177" s="53" t="n"/>
      <c r="W177" s="53" t="n"/>
      <c r="X177" s="53" t="n"/>
      <c r="Y177" s="53" t="n"/>
      <c r="Z177" s="53" t="n"/>
      <c r="AA177" s="53" t="n"/>
      <c r="AB177" s="53" t="n"/>
      <c r="AC177" s="53" t="n"/>
      <c r="AD177" s="53" t="n"/>
      <c r="AE177" s="53" t="n"/>
      <c r="AF177" s="53" t="n"/>
      <c r="AG177" s="53" t="n"/>
      <c r="AH177" s="53" t="n"/>
      <c r="AI177" s="53" t="n"/>
      <c r="AJ177" s="53" t="n"/>
      <c r="AK177" s="53" t="n"/>
      <c r="AL177" s="53" t="n"/>
      <c r="AM177" s="53" t="n"/>
      <c r="AN177" s="53" t="n"/>
      <c r="AO177" s="53" t="n"/>
      <c r="AP177" s="53" t="n"/>
      <c r="AQ177" s="53" t="n"/>
      <c r="AR177" s="53" t="n"/>
      <c r="AS177" s="53" t="n"/>
      <c r="AT177" s="53" t="n"/>
      <c r="AU177" s="53" t="n"/>
      <c r="AV177" s="53" t="n"/>
      <c r="AW177" s="53" t="n"/>
      <c r="AX177" s="53" t="n"/>
      <c r="AY177" s="53" t="n"/>
    </row>
    <row r="178" ht="15" customHeight="1">
      <c r="A178" s="62" t="n"/>
      <c r="B178" s="55">
        <f>IF($B$176="","",$B$176)</f>
        <v/>
      </c>
      <c r="C178" s="63" t="inlineStr">
        <is>
          <t>마케팅3팀</t>
        </is>
      </c>
      <c r="D178" s="55">
        <f>IF($D$176="","",$D$176)</f>
        <v/>
      </c>
      <c r="E178" s="64" t="inlineStr">
        <is>
          <t>영상</t>
        </is>
      </c>
      <c r="F178" s="44" t="n"/>
      <c r="G178" s="58">
        <f>IF($G$176="","",$G$176)</f>
        <v/>
      </c>
      <c r="H178" s="59" t="n"/>
      <c r="I178" s="59" t="n"/>
      <c r="J178" s="59" t="n"/>
      <c r="K178" s="59" t="n"/>
      <c r="L178" s="65">
        <f>IF(SUM(U178:AY178)=0,"",SUM(U178:AY178))</f>
        <v/>
      </c>
      <c r="M178" s="66">
        <f>IFERROR(INDEX(U$2:AY$2,MATCH(TRUE,INDEX(U178:AY178&lt;&gt;"",0),0)),"")</f>
        <v/>
      </c>
      <c r="N178" s="66">
        <f>IFERROR(LOOKUP(2,1/(U178:AY178&lt;&gt;""),U$2:AY$2),"")</f>
        <v/>
      </c>
      <c r="O178" s="59" t="n"/>
      <c r="P178" s="59" t="n"/>
      <c r="Q178" s="59" t="n"/>
      <c r="R178" s="59" t="n"/>
      <c r="S178" s="14" t="n"/>
      <c r="U178" s="53" t="n"/>
      <c r="V178" s="53" t="n"/>
      <c r="W178" s="53" t="n"/>
      <c r="X178" s="53" t="n"/>
      <c r="Y178" s="53" t="n"/>
      <c r="Z178" s="53" t="n"/>
      <c r="AA178" s="53" t="n"/>
      <c r="AB178" s="53" t="n"/>
      <c r="AC178" s="53" t="n"/>
      <c r="AD178" s="53" t="n"/>
      <c r="AE178" s="53" t="n"/>
      <c r="AF178" s="53" t="n"/>
      <c r="AG178" s="53" t="n"/>
      <c r="AH178" s="53" t="n"/>
      <c r="AI178" s="53" t="n"/>
      <c r="AJ178" s="53" t="n"/>
      <c r="AK178" s="53" t="n"/>
      <c r="AL178" s="53" t="n"/>
      <c r="AM178" s="53" t="n"/>
      <c r="AN178" s="53" t="n"/>
      <c r="AO178" s="53" t="n"/>
      <c r="AP178" s="53" t="n"/>
      <c r="AQ178" s="53" t="n"/>
      <c r="AR178" s="53" t="n"/>
      <c r="AS178" s="53" t="n"/>
      <c r="AT178" s="53" t="n"/>
      <c r="AU178" s="53" t="n"/>
      <c r="AV178" s="53" t="n"/>
      <c r="AW178" s="53" t="n"/>
      <c r="AX178" s="53" t="n"/>
      <c r="AY178" s="53" t="n"/>
    </row>
    <row r="179" ht="15" customHeight="1">
      <c r="A179" s="40">
        <f>IF($D$179="","",57)</f>
        <v/>
      </c>
      <c r="B179" s="10" t="n"/>
      <c r="C179" s="41" t="inlineStr">
        <is>
          <t>마케팅3팀</t>
        </is>
      </c>
      <c r="D179" s="42" t="n"/>
      <c r="E179" s="43" t="inlineStr">
        <is>
          <t>기획</t>
        </is>
      </c>
      <c r="F179" s="44" t="n"/>
      <c r="G179" s="45" t="n"/>
      <c r="H179" s="46">
        <f>IF($I$179="","",IF($I$179&lt;0,"🔴지연",IF($I$179&lt;=1,"🟡임박","🟢여유")))</f>
        <v/>
      </c>
      <c r="I179" s="47">
        <f>IF(OR($G$179="",$K$179=""),"",$G$179-$K$179)</f>
        <v/>
      </c>
      <c r="J179" s="48">
        <f>IF(SUM($L$179:$L$181)=0,"",SUM($L$179:$L$181))</f>
        <v/>
      </c>
      <c r="K179" s="49">
        <f>IF($J$179="","",MAX($N$179:$N$181))</f>
        <v/>
      </c>
      <c r="L179" s="50">
        <f>IF(SUM(U179:AY179)=0,"",SUM(U179:AY179))</f>
        <v/>
      </c>
      <c r="M179" s="51">
        <f>IFERROR(INDEX(U$2:AY$2,MATCH(TRUE,INDEX(U179:AY179&lt;&gt;"",0),0)),"")</f>
        <v/>
      </c>
      <c r="N179" s="51">
        <f>IFERROR(LOOKUP(2,1/(U179:AY179&lt;&gt;""),U$2:AY$2),"")</f>
        <v/>
      </c>
      <c r="O179" s="52" t="n"/>
      <c r="P179" s="52" t="n"/>
      <c r="Q179" s="52" t="n"/>
      <c r="R179" s="44" t="n"/>
      <c r="S179" s="14" t="n"/>
      <c r="U179" s="53" t="n"/>
      <c r="V179" s="53" t="n"/>
      <c r="W179" s="53" t="n"/>
      <c r="X179" s="53" t="n"/>
      <c r="Y179" s="53" t="n"/>
      <c r="Z179" s="53" t="n"/>
      <c r="AA179" s="53" t="n"/>
      <c r="AB179" s="53" t="n"/>
      <c r="AC179" s="53" t="n"/>
      <c r="AD179" s="53" t="n"/>
      <c r="AE179" s="53" t="n"/>
      <c r="AF179" s="53" t="n"/>
      <c r="AG179" s="53" t="n"/>
      <c r="AH179" s="53" t="n"/>
      <c r="AI179" s="53" t="n"/>
      <c r="AJ179" s="53" t="n"/>
      <c r="AK179" s="53" t="n"/>
      <c r="AL179" s="53" t="n"/>
      <c r="AM179" s="53" t="n"/>
      <c r="AN179" s="53" t="n"/>
      <c r="AO179" s="53" t="n"/>
      <c r="AP179" s="53" t="n"/>
      <c r="AQ179" s="53" t="n"/>
      <c r="AR179" s="53" t="n"/>
      <c r="AS179" s="53" t="n"/>
      <c r="AT179" s="53" t="n"/>
      <c r="AU179" s="53" t="n"/>
      <c r="AV179" s="53" t="n"/>
      <c r="AW179" s="53" t="n"/>
      <c r="AX179" s="53" t="n"/>
      <c r="AY179" s="53" t="n"/>
    </row>
    <row r="180" ht="15" customHeight="1">
      <c r="A180" s="54" t="n"/>
      <c r="B180" s="55">
        <f>IF($B$179="","",$B$179)</f>
        <v/>
      </c>
      <c r="C180" s="56" t="inlineStr">
        <is>
          <t>마케팅3팀</t>
        </is>
      </c>
      <c r="D180" s="55">
        <f>IF($D$179="","",$D$179)</f>
        <v/>
      </c>
      <c r="E180" s="57" t="inlineStr">
        <is>
          <t>이미지</t>
        </is>
      </c>
      <c r="F180" s="44" t="n"/>
      <c r="G180" s="58">
        <f>IF($G$179="","",$G$179)</f>
        <v/>
      </c>
      <c r="H180" s="59" t="n"/>
      <c r="I180" s="59" t="n"/>
      <c r="J180" s="59" t="n"/>
      <c r="K180" s="59" t="n"/>
      <c r="L180" s="60">
        <f>IF(SUM(U180:AY180)=0,"",SUM(U180:AY180))</f>
        <v/>
      </c>
      <c r="M180" s="61">
        <f>IFERROR(INDEX(U$2:AY$2,MATCH(TRUE,INDEX(U180:AY180&lt;&gt;"",0),0)),"")</f>
        <v/>
      </c>
      <c r="N180" s="61">
        <f>IFERROR(LOOKUP(2,1/(U180:AY180&lt;&gt;""),U$2:AY$2),"")</f>
        <v/>
      </c>
      <c r="O180" s="59" t="n"/>
      <c r="P180" s="59" t="n"/>
      <c r="Q180" s="59" t="n"/>
      <c r="R180" s="59" t="n"/>
      <c r="S180" s="14" t="n"/>
      <c r="U180" s="53" t="n"/>
      <c r="V180" s="53" t="n"/>
      <c r="W180" s="53" t="n"/>
      <c r="X180" s="53" t="n"/>
      <c r="Y180" s="53" t="n"/>
      <c r="Z180" s="53" t="n"/>
      <c r="AA180" s="53" t="n"/>
      <c r="AB180" s="53" t="n"/>
      <c r="AC180" s="53" t="n"/>
      <c r="AD180" s="53" t="n"/>
      <c r="AE180" s="53" t="n"/>
      <c r="AF180" s="53" t="n"/>
      <c r="AG180" s="53" t="n"/>
      <c r="AH180" s="53" t="n"/>
      <c r="AI180" s="53" t="n"/>
      <c r="AJ180" s="53" t="n"/>
      <c r="AK180" s="53" t="n"/>
      <c r="AL180" s="53" t="n"/>
      <c r="AM180" s="53" t="n"/>
      <c r="AN180" s="53" t="n"/>
      <c r="AO180" s="53" t="n"/>
      <c r="AP180" s="53" t="n"/>
      <c r="AQ180" s="53" t="n"/>
      <c r="AR180" s="53" t="n"/>
      <c r="AS180" s="53" t="n"/>
      <c r="AT180" s="53" t="n"/>
      <c r="AU180" s="53" t="n"/>
      <c r="AV180" s="53" t="n"/>
      <c r="AW180" s="53" t="n"/>
      <c r="AX180" s="53" t="n"/>
      <c r="AY180" s="53" t="n"/>
    </row>
    <row r="181" ht="15" customHeight="1">
      <c r="A181" s="62" t="n"/>
      <c r="B181" s="55">
        <f>IF($B$179="","",$B$179)</f>
        <v/>
      </c>
      <c r="C181" s="63" t="inlineStr">
        <is>
          <t>마케팅3팀</t>
        </is>
      </c>
      <c r="D181" s="55">
        <f>IF($D$179="","",$D$179)</f>
        <v/>
      </c>
      <c r="E181" s="64" t="inlineStr">
        <is>
          <t>영상</t>
        </is>
      </c>
      <c r="F181" s="44" t="n"/>
      <c r="G181" s="58">
        <f>IF($G$179="","",$G$179)</f>
        <v/>
      </c>
      <c r="H181" s="59" t="n"/>
      <c r="I181" s="59" t="n"/>
      <c r="J181" s="59" t="n"/>
      <c r="K181" s="59" t="n"/>
      <c r="L181" s="65">
        <f>IF(SUM(U181:AY181)=0,"",SUM(U181:AY181))</f>
        <v/>
      </c>
      <c r="M181" s="66">
        <f>IFERROR(INDEX(U$2:AY$2,MATCH(TRUE,INDEX(U181:AY181&lt;&gt;"",0),0)),"")</f>
        <v/>
      </c>
      <c r="N181" s="66">
        <f>IFERROR(LOOKUP(2,1/(U181:AY181&lt;&gt;""),U$2:AY$2),"")</f>
        <v/>
      </c>
      <c r="O181" s="59" t="n"/>
      <c r="P181" s="59" t="n"/>
      <c r="Q181" s="59" t="n"/>
      <c r="R181" s="59" t="n"/>
      <c r="S181" s="14" t="n"/>
      <c r="U181" s="53" t="n"/>
      <c r="V181" s="53" t="n"/>
      <c r="W181" s="53" t="n"/>
      <c r="X181" s="53" t="n"/>
      <c r="Y181" s="53" t="n"/>
      <c r="Z181" s="53" t="n"/>
      <c r="AA181" s="53" t="n"/>
      <c r="AB181" s="53" t="n"/>
      <c r="AC181" s="53" t="n"/>
      <c r="AD181" s="53" t="n"/>
      <c r="AE181" s="53" t="n"/>
      <c r="AF181" s="53" t="n"/>
      <c r="AG181" s="53" t="n"/>
      <c r="AH181" s="53" t="n"/>
      <c r="AI181" s="53" t="n"/>
      <c r="AJ181" s="53" t="n"/>
      <c r="AK181" s="53" t="n"/>
      <c r="AL181" s="53" t="n"/>
      <c r="AM181" s="53" t="n"/>
      <c r="AN181" s="53" t="n"/>
      <c r="AO181" s="53" t="n"/>
      <c r="AP181" s="53" t="n"/>
      <c r="AQ181" s="53" t="n"/>
      <c r="AR181" s="53" t="n"/>
      <c r="AS181" s="53" t="n"/>
      <c r="AT181" s="53" t="n"/>
      <c r="AU181" s="53" t="n"/>
      <c r="AV181" s="53" t="n"/>
      <c r="AW181" s="53" t="n"/>
      <c r="AX181" s="53" t="n"/>
      <c r="AY181" s="53" t="n"/>
    </row>
    <row r="182" ht="15" customHeight="1">
      <c r="A182" s="40">
        <f>IF($D$182="","",58)</f>
        <v/>
      </c>
      <c r="B182" s="10" t="n"/>
      <c r="C182" s="41" t="inlineStr">
        <is>
          <t>마케팅3팀</t>
        </is>
      </c>
      <c r="D182" s="42" t="n"/>
      <c r="E182" s="43" t="inlineStr">
        <is>
          <t>기획</t>
        </is>
      </c>
      <c r="F182" s="44" t="n"/>
      <c r="G182" s="45" t="n"/>
      <c r="H182" s="46">
        <f>IF($I$182="","",IF($I$182&lt;0,"🔴지연",IF($I$182&lt;=1,"🟡임박","🟢여유")))</f>
        <v/>
      </c>
      <c r="I182" s="47">
        <f>IF(OR($G$182="",$K$182=""),"",$G$182-$K$182)</f>
        <v/>
      </c>
      <c r="J182" s="48">
        <f>IF(SUM($L$182:$L$184)=0,"",SUM($L$182:$L$184))</f>
        <v/>
      </c>
      <c r="K182" s="49">
        <f>IF($J$182="","",MAX($N$182:$N$184))</f>
        <v/>
      </c>
      <c r="L182" s="50">
        <f>IF(SUM(U182:AY182)=0,"",SUM(U182:AY182))</f>
        <v/>
      </c>
      <c r="M182" s="51">
        <f>IFERROR(INDEX(U$2:AY$2,MATCH(TRUE,INDEX(U182:AY182&lt;&gt;"",0),0)),"")</f>
        <v/>
      </c>
      <c r="N182" s="51">
        <f>IFERROR(LOOKUP(2,1/(U182:AY182&lt;&gt;""),U$2:AY$2),"")</f>
        <v/>
      </c>
      <c r="O182" s="52" t="n"/>
      <c r="P182" s="52" t="n"/>
      <c r="Q182" s="52" t="n"/>
      <c r="R182" s="44" t="n"/>
      <c r="S182" s="14" t="n"/>
      <c r="U182" s="53" t="n"/>
      <c r="V182" s="53" t="n"/>
      <c r="W182" s="53" t="n"/>
      <c r="X182" s="53" t="n"/>
      <c r="Y182" s="53" t="n"/>
      <c r="Z182" s="53" t="n"/>
      <c r="AA182" s="53" t="n"/>
      <c r="AB182" s="53" t="n"/>
      <c r="AC182" s="53" t="n"/>
      <c r="AD182" s="53" t="n"/>
      <c r="AE182" s="53" t="n"/>
      <c r="AF182" s="53" t="n"/>
      <c r="AG182" s="53" t="n"/>
      <c r="AH182" s="53" t="n"/>
      <c r="AI182" s="53" t="n"/>
      <c r="AJ182" s="53" t="n"/>
      <c r="AK182" s="53" t="n"/>
      <c r="AL182" s="53" t="n"/>
      <c r="AM182" s="53" t="n"/>
      <c r="AN182" s="53" t="n"/>
      <c r="AO182" s="53" t="n"/>
      <c r="AP182" s="53" t="n"/>
      <c r="AQ182" s="53" t="n"/>
      <c r="AR182" s="53" t="n"/>
      <c r="AS182" s="53" t="n"/>
      <c r="AT182" s="53" t="n"/>
      <c r="AU182" s="53" t="n"/>
      <c r="AV182" s="53" t="n"/>
      <c r="AW182" s="53" t="n"/>
      <c r="AX182" s="53" t="n"/>
      <c r="AY182" s="53" t="n"/>
    </row>
    <row r="183" ht="15" customHeight="1">
      <c r="A183" s="54" t="n"/>
      <c r="B183" s="55">
        <f>IF($B$182="","",$B$182)</f>
        <v/>
      </c>
      <c r="C183" s="56" t="inlineStr">
        <is>
          <t>마케팅3팀</t>
        </is>
      </c>
      <c r="D183" s="55">
        <f>IF($D$182="","",$D$182)</f>
        <v/>
      </c>
      <c r="E183" s="57" t="inlineStr">
        <is>
          <t>이미지</t>
        </is>
      </c>
      <c r="F183" s="44" t="n"/>
      <c r="G183" s="58">
        <f>IF($G$182="","",$G$182)</f>
        <v/>
      </c>
      <c r="H183" s="59" t="n"/>
      <c r="I183" s="59" t="n"/>
      <c r="J183" s="59" t="n"/>
      <c r="K183" s="59" t="n"/>
      <c r="L183" s="60">
        <f>IF(SUM(U183:AY183)=0,"",SUM(U183:AY183))</f>
        <v/>
      </c>
      <c r="M183" s="61">
        <f>IFERROR(INDEX(U$2:AY$2,MATCH(TRUE,INDEX(U183:AY183&lt;&gt;"",0),0)),"")</f>
        <v/>
      </c>
      <c r="N183" s="61">
        <f>IFERROR(LOOKUP(2,1/(U183:AY183&lt;&gt;""),U$2:AY$2),"")</f>
        <v/>
      </c>
      <c r="O183" s="59" t="n"/>
      <c r="P183" s="59" t="n"/>
      <c r="Q183" s="59" t="n"/>
      <c r="R183" s="59" t="n"/>
      <c r="S183" s="14" t="n"/>
      <c r="U183" s="53" t="n"/>
      <c r="V183" s="53" t="n"/>
      <c r="W183" s="53" t="n"/>
      <c r="X183" s="53" t="n"/>
      <c r="Y183" s="53" t="n"/>
      <c r="Z183" s="53" t="n"/>
      <c r="AA183" s="53" t="n"/>
      <c r="AB183" s="53" t="n"/>
      <c r="AC183" s="53" t="n"/>
      <c r="AD183" s="53" t="n"/>
      <c r="AE183" s="53" t="n"/>
      <c r="AF183" s="53" t="n"/>
      <c r="AG183" s="53" t="n"/>
      <c r="AH183" s="53" t="n"/>
      <c r="AI183" s="53" t="n"/>
      <c r="AJ183" s="53" t="n"/>
      <c r="AK183" s="53" t="n"/>
      <c r="AL183" s="53" t="n"/>
      <c r="AM183" s="53" t="n"/>
      <c r="AN183" s="53" t="n"/>
      <c r="AO183" s="53" t="n"/>
      <c r="AP183" s="53" t="n"/>
      <c r="AQ183" s="53" t="n"/>
      <c r="AR183" s="53" t="n"/>
      <c r="AS183" s="53" t="n"/>
      <c r="AT183" s="53" t="n"/>
      <c r="AU183" s="53" t="n"/>
      <c r="AV183" s="53" t="n"/>
      <c r="AW183" s="53" t="n"/>
      <c r="AX183" s="53" t="n"/>
      <c r="AY183" s="53" t="n"/>
    </row>
    <row r="184" ht="15" customHeight="1">
      <c r="A184" s="62" t="n"/>
      <c r="B184" s="55">
        <f>IF($B$182="","",$B$182)</f>
        <v/>
      </c>
      <c r="C184" s="63" t="inlineStr">
        <is>
          <t>마케팅3팀</t>
        </is>
      </c>
      <c r="D184" s="55">
        <f>IF($D$182="","",$D$182)</f>
        <v/>
      </c>
      <c r="E184" s="64" t="inlineStr">
        <is>
          <t>영상</t>
        </is>
      </c>
      <c r="F184" s="44" t="n"/>
      <c r="G184" s="58">
        <f>IF($G$182="","",$G$182)</f>
        <v/>
      </c>
      <c r="H184" s="59" t="n"/>
      <c r="I184" s="59" t="n"/>
      <c r="J184" s="59" t="n"/>
      <c r="K184" s="59" t="n"/>
      <c r="L184" s="65">
        <f>IF(SUM(U184:AY184)=0,"",SUM(U184:AY184))</f>
        <v/>
      </c>
      <c r="M184" s="66">
        <f>IFERROR(INDEX(U$2:AY$2,MATCH(TRUE,INDEX(U184:AY184&lt;&gt;"",0),0)),"")</f>
        <v/>
      </c>
      <c r="N184" s="66">
        <f>IFERROR(LOOKUP(2,1/(U184:AY184&lt;&gt;""),U$2:AY$2),"")</f>
        <v/>
      </c>
      <c r="O184" s="59" t="n"/>
      <c r="P184" s="59" t="n"/>
      <c r="Q184" s="59" t="n"/>
      <c r="R184" s="59" t="n"/>
      <c r="S184" s="14" t="n"/>
      <c r="U184" s="53" t="n"/>
      <c r="V184" s="53" t="n"/>
      <c r="W184" s="53" t="n"/>
      <c r="X184" s="53" t="n"/>
      <c r="Y184" s="53" t="n"/>
      <c r="Z184" s="53" t="n"/>
      <c r="AA184" s="53" t="n"/>
      <c r="AB184" s="53" t="n"/>
      <c r="AC184" s="53" t="n"/>
      <c r="AD184" s="53" t="n"/>
      <c r="AE184" s="53" t="n"/>
      <c r="AF184" s="53" t="n"/>
      <c r="AG184" s="53" t="n"/>
      <c r="AH184" s="53" t="n"/>
      <c r="AI184" s="53" t="n"/>
      <c r="AJ184" s="53" t="n"/>
      <c r="AK184" s="53" t="n"/>
      <c r="AL184" s="53" t="n"/>
      <c r="AM184" s="53" t="n"/>
      <c r="AN184" s="53" t="n"/>
      <c r="AO184" s="53" t="n"/>
      <c r="AP184" s="53" t="n"/>
      <c r="AQ184" s="53" t="n"/>
      <c r="AR184" s="53" t="n"/>
      <c r="AS184" s="53" t="n"/>
      <c r="AT184" s="53" t="n"/>
      <c r="AU184" s="53" t="n"/>
      <c r="AV184" s="53" t="n"/>
      <c r="AW184" s="53" t="n"/>
      <c r="AX184" s="53" t="n"/>
      <c r="AY184" s="53" t="n"/>
    </row>
    <row r="185" ht="15" customHeight="1">
      <c r="A185" s="40">
        <f>IF($D$185="","",59)</f>
        <v/>
      </c>
      <c r="B185" s="10" t="n"/>
      <c r="C185" s="41" t="inlineStr">
        <is>
          <t>마케팅3팀</t>
        </is>
      </c>
      <c r="D185" s="42" t="n"/>
      <c r="E185" s="43" t="inlineStr">
        <is>
          <t>기획</t>
        </is>
      </c>
      <c r="F185" s="44" t="n"/>
      <c r="G185" s="45" t="n"/>
      <c r="H185" s="46">
        <f>IF($I$185="","",IF($I$185&lt;0,"🔴지연",IF($I$185&lt;=1,"🟡임박","🟢여유")))</f>
        <v/>
      </c>
      <c r="I185" s="47">
        <f>IF(OR($G$185="",$K$185=""),"",$G$185-$K$185)</f>
        <v/>
      </c>
      <c r="J185" s="48">
        <f>IF(SUM($L$185:$L$187)=0,"",SUM($L$185:$L$187))</f>
        <v/>
      </c>
      <c r="K185" s="49">
        <f>IF($J$185="","",MAX($N$185:$N$187))</f>
        <v/>
      </c>
      <c r="L185" s="50">
        <f>IF(SUM(U185:AY185)=0,"",SUM(U185:AY185))</f>
        <v/>
      </c>
      <c r="M185" s="51">
        <f>IFERROR(INDEX(U$2:AY$2,MATCH(TRUE,INDEX(U185:AY185&lt;&gt;"",0),0)),"")</f>
        <v/>
      </c>
      <c r="N185" s="51">
        <f>IFERROR(LOOKUP(2,1/(U185:AY185&lt;&gt;""),U$2:AY$2),"")</f>
        <v/>
      </c>
      <c r="O185" s="52" t="n"/>
      <c r="P185" s="52" t="n"/>
      <c r="Q185" s="52" t="n"/>
      <c r="R185" s="44" t="n"/>
      <c r="S185" s="14" t="n"/>
      <c r="U185" s="53" t="n"/>
      <c r="V185" s="53" t="n"/>
      <c r="W185" s="53" t="n"/>
      <c r="X185" s="53" t="n"/>
      <c r="Y185" s="53" t="n"/>
      <c r="Z185" s="53" t="n"/>
      <c r="AA185" s="53" t="n"/>
      <c r="AB185" s="53" t="n"/>
      <c r="AC185" s="53" t="n"/>
      <c r="AD185" s="53" t="n"/>
      <c r="AE185" s="53" t="n"/>
      <c r="AF185" s="53" t="n"/>
      <c r="AG185" s="53" t="n"/>
      <c r="AH185" s="53" t="n"/>
      <c r="AI185" s="53" t="n"/>
      <c r="AJ185" s="53" t="n"/>
      <c r="AK185" s="53" t="n"/>
      <c r="AL185" s="53" t="n"/>
      <c r="AM185" s="53" t="n"/>
      <c r="AN185" s="53" t="n"/>
      <c r="AO185" s="53" t="n"/>
      <c r="AP185" s="53" t="n"/>
      <c r="AQ185" s="53" t="n"/>
      <c r="AR185" s="53" t="n"/>
      <c r="AS185" s="53" t="n"/>
      <c r="AT185" s="53" t="n"/>
      <c r="AU185" s="53" t="n"/>
      <c r="AV185" s="53" t="n"/>
      <c r="AW185" s="53" t="n"/>
      <c r="AX185" s="53" t="n"/>
      <c r="AY185" s="53" t="n"/>
    </row>
    <row r="186" ht="15" customHeight="1">
      <c r="A186" s="54" t="n"/>
      <c r="B186" s="55">
        <f>IF($B$185="","",$B$185)</f>
        <v/>
      </c>
      <c r="C186" s="56" t="inlineStr">
        <is>
          <t>마케팅3팀</t>
        </is>
      </c>
      <c r="D186" s="55">
        <f>IF($D$185="","",$D$185)</f>
        <v/>
      </c>
      <c r="E186" s="57" t="inlineStr">
        <is>
          <t>이미지</t>
        </is>
      </c>
      <c r="F186" s="44" t="n"/>
      <c r="G186" s="58">
        <f>IF($G$185="","",$G$185)</f>
        <v/>
      </c>
      <c r="H186" s="59" t="n"/>
      <c r="I186" s="59" t="n"/>
      <c r="J186" s="59" t="n"/>
      <c r="K186" s="59" t="n"/>
      <c r="L186" s="60">
        <f>IF(SUM(U186:AY186)=0,"",SUM(U186:AY186))</f>
        <v/>
      </c>
      <c r="M186" s="61">
        <f>IFERROR(INDEX(U$2:AY$2,MATCH(TRUE,INDEX(U186:AY186&lt;&gt;"",0),0)),"")</f>
        <v/>
      </c>
      <c r="N186" s="61">
        <f>IFERROR(LOOKUP(2,1/(U186:AY186&lt;&gt;""),U$2:AY$2),"")</f>
        <v/>
      </c>
      <c r="O186" s="59" t="n"/>
      <c r="P186" s="59" t="n"/>
      <c r="Q186" s="59" t="n"/>
      <c r="R186" s="59" t="n"/>
      <c r="S186" s="14" t="n"/>
      <c r="U186" s="53" t="n"/>
      <c r="V186" s="53" t="n"/>
      <c r="W186" s="53" t="n"/>
      <c r="X186" s="53" t="n"/>
      <c r="Y186" s="53" t="n"/>
      <c r="Z186" s="53" t="n"/>
      <c r="AA186" s="53" t="n"/>
      <c r="AB186" s="53" t="n"/>
      <c r="AC186" s="53" t="n"/>
      <c r="AD186" s="53" t="n"/>
      <c r="AE186" s="53" t="n"/>
      <c r="AF186" s="53" t="n"/>
      <c r="AG186" s="53" t="n"/>
      <c r="AH186" s="53" t="n"/>
      <c r="AI186" s="53" t="n"/>
      <c r="AJ186" s="53" t="n"/>
      <c r="AK186" s="53" t="n"/>
      <c r="AL186" s="53" t="n"/>
      <c r="AM186" s="53" t="n"/>
      <c r="AN186" s="53" t="n"/>
      <c r="AO186" s="53" t="n"/>
      <c r="AP186" s="53" t="n"/>
      <c r="AQ186" s="53" t="n"/>
      <c r="AR186" s="53" t="n"/>
      <c r="AS186" s="53" t="n"/>
      <c r="AT186" s="53" t="n"/>
      <c r="AU186" s="53" t="n"/>
      <c r="AV186" s="53" t="n"/>
      <c r="AW186" s="53" t="n"/>
      <c r="AX186" s="53" t="n"/>
      <c r="AY186" s="53" t="n"/>
    </row>
    <row r="187" ht="15" customHeight="1">
      <c r="A187" s="62" t="n"/>
      <c r="B187" s="55">
        <f>IF($B$185="","",$B$185)</f>
        <v/>
      </c>
      <c r="C187" s="63" t="inlineStr">
        <is>
          <t>마케팅3팀</t>
        </is>
      </c>
      <c r="D187" s="55">
        <f>IF($D$185="","",$D$185)</f>
        <v/>
      </c>
      <c r="E187" s="64" t="inlineStr">
        <is>
          <t>영상</t>
        </is>
      </c>
      <c r="F187" s="44" t="n"/>
      <c r="G187" s="58">
        <f>IF($G$185="","",$G$185)</f>
        <v/>
      </c>
      <c r="H187" s="59" t="n"/>
      <c r="I187" s="59" t="n"/>
      <c r="J187" s="59" t="n"/>
      <c r="K187" s="59" t="n"/>
      <c r="L187" s="65">
        <f>IF(SUM(U187:AY187)=0,"",SUM(U187:AY187))</f>
        <v/>
      </c>
      <c r="M187" s="66">
        <f>IFERROR(INDEX(U$2:AY$2,MATCH(TRUE,INDEX(U187:AY187&lt;&gt;"",0),0)),"")</f>
        <v/>
      </c>
      <c r="N187" s="66">
        <f>IFERROR(LOOKUP(2,1/(U187:AY187&lt;&gt;""),U$2:AY$2),"")</f>
        <v/>
      </c>
      <c r="O187" s="59" t="n"/>
      <c r="P187" s="59" t="n"/>
      <c r="Q187" s="59" t="n"/>
      <c r="R187" s="59" t="n"/>
      <c r="S187" s="14" t="n"/>
      <c r="U187" s="53" t="n"/>
      <c r="V187" s="53" t="n"/>
      <c r="W187" s="53" t="n"/>
      <c r="X187" s="53" t="n"/>
      <c r="Y187" s="53" t="n"/>
      <c r="Z187" s="53" t="n"/>
      <c r="AA187" s="53" t="n"/>
      <c r="AB187" s="53" t="n"/>
      <c r="AC187" s="53" t="n"/>
      <c r="AD187" s="53" t="n"/>
      <c r="AE187" s="53" t="n"/>
      <c r="AF187" s="53" t="n"/>
      <c r="AG187" s="53" t="n"/>
      <c r="AH187" s="53" t="n"/>
      <c r="AI187" s="53" t="n"/>
      <c r="AJ187" s="53" t="n"/>
      <c r="AK187" s="53" t="n"/>
      <c r="AL187" s="53" t="n"/>
      <c r="AM187" s="53" t="n"/>
      <c r="AN187" s="53" t="n"/>
      <c r="AO187" s="53" t="n"/>
      <c r="AP187" s="53" t="n"/>
      <c r="AQ187" s="53" t="n"/>
      <c r="AR187" s="53" t="n"/>
      <c r="AS187" s="53" t="n"/>
      <c r="AT187" s="53" t="n"/>
      <c r="AU187" s="53" t="n"/>
      <c r="AV187" s="53" t="n"/>
      <c r="AW187" s="53" t="n"/>
      <c r="AX187" s="53" t="n"/>
      <c r="AY187" s="53" t="n"/>
    </row>
    <row r="188" ht="15" customHeight="1">
      <c r="A188" s="40">
        <f>IF($D$188="","",60)</f>
        <v/>
      </c>
      <c r="B188" s="10" t="n"/>
      <c r="C188" s="41" t="inlineStr">
        <is>
          <t>마케팅3팀</t>
        </is>
      </c>
      <c r="D188" s="42" t="n"/>
      <c r="E188" s="43" t="inlineStr">
        <is>
          <t>기획</t>
        </is>
      </c>
      <c r="F188" s="44" t="n"/>
      <c r="G188" s="45" t="n"/>
      <c r="H188" s="46">
        <f>IF($I$188="","",IF($I$188&lt;0,"🔴지연",IF($I$188&lt;=1,"🟡임박","🟢여유")))</f>
        <v/>
      </c>
      <c r="I188" s="47">
        <f>IF(OR($G$188="",$K$188=""),"",$G$188-$K$188)</f>
        <v/>
      </c>
      <c r="J188" s="48">
        <f>IF(SUM($L$188:$L$190)=0,"",SUM($L$188:$L$190))</f>
        <v/>
      </c>
      <c r="K188" s="49">
        <f>IF($J$188="","",MAX($N$188:$N$190))</f>
        <v/>
      </c>
      <c r="L188" s="50">
        <f>IF(SUM(U188:AY188)=0,"",SUM(U188:AY188))</f>
        <v/>
      </c>
      <c r="M188" s="51">
        <f>IFERROR(INDEX(U$2:AY$2,MATCH(TRUE,INDEX(U188:AY188&lt;&gt;"",0),0)),"")</f>
        <v/>
      </c>
      <c r="N188" s="51">
        <f>IFERROR(LOOKUP(2,1/(U188:AY188&lt;&gt;""),U$2:AY$2),"")</f>
        <v/>
      </c>
      <c r="O188" s="52" t="n"/>
      <c r="P188" s="52" t="n"/>
      <c r="Q188" s="52" t="n"/>
      <c r="R188" s="44" t="n"/>
      <c r="S188" s="14" t="n"/>
      <c r="U188" s="53" t="n"/>
      <c r="V188" s="53" t="n"/>
      <c r="W188" s="53" t="n"/>
      <c r="X188" s="53" t="n"/>
      <c r="Y188" s="53" t="n"/>
      <c r="Z188" s="53" t="n"/>
      <c r="AA188" s="53" t="n"/>
      <c r="AB188" s="53" t="n"/>
      <c r="AC188" s="53" t="n"/>
      <c r="AD188" s="53" t="n"/>
      <c r="AE188" s="53" t="n"/>
      <c r="AF188" s="53" t="n"/>
      <c r="AG188" s="53" t="n"/>
      <c r="AH188" s="53" t="n"/>
      <c r="AI188" s="53" t="n"/>
      <c r="AJ188" s="53" t="n"/>
      <c r="AK188" s="53" t="n"/>
      <c r="AL188" s="53" t="n"/>
      <c r="AM188" s="53" t="n"/>
      <c r="AN188" s="53" t="n"/>
      <c r="AO188" s="53" t="n"/>
      <c r="AP188" s="53" t="n"/>
      <c r="AQ188" s="53" t="n"/>
      <c r="AR188" s="53" t="n"/>
      <c r="AS188" s="53" t="n"/>
      <c r="AT188" s="53" t="n"/>
      <c r="AU188" s="53" t="n"/>
      <c r="AV188" s="53" t="n"/>
      <c r="AW188" s="53" t="n"/>
      <c r="AX188" s="53" t="n"/>
      <c r="AY188" s="53" t="n"/>
    </row>
    <row r="189" ht="15" customHeight="1">
      <c r="A189" s="54" t="n"/>
      <c r="B189" s="55">
        <f>IF($B$188="","",$B$188)</f>
        <v/>
      </c>
      <c r="C189" s="56" t="inlineStr">
        <is>
          <t>마케팅3팀</t>
        </is>
      </c>
      <c r="D189" s="55">
        <f>IF($D$188="","",$D$188)</f>
        <v/>
      </c>
      <c r="E189" s="57" t="inlineStr">
        <is>
          <t>이미지</t>
        </is>
      </c>
      <c r="F189" s="44" t="n"/>
      <c r="G189" s="58">
        <f>IF($G$188="","",$G$188)</f>
        <v/>
      </c>
      <c r="H189" s="59" t="n"/>
      <c r="I189" s="59" t="n"/>
      <c r="J189" s="59" t="n"/>
      <c r="K189" s="59" t="n"/>
      <c r="L189" s="60">
        <f>IF(SUM(U189:AY189)=0,"",SUM(U189:AY189))</f>
        <v/>
      </c>
      <c r="M189" s="61">
        <f>IFERROR(INDEX(U$2:AY$2,MATCH(TRUE,INDEX(U189:AY189&lt;&gt;"",0),0)),"")</f>
        <v/>
      </c>
      <c r="N189" s="61">
        <f>IFERROR(LOOKUP(2,1/(U189:AY189&lt;&gt;""),U$2:AY$2),"")</f>
        <v/>
      </c>
      <c r="O189" s="59" t="n"/>
      <c r="P189" s="59" t="n"/>
      <c r="Q189" s="59" t="n"/>
      <c r="R189" s="59" t="n"/>
      <c r="S189" s="14" t="n"/>
      <c r="U189" s="53" t="n"/>
      <c r="V189" s="53" t="n"/>
      <c r="W189" s="53" t="n"/>
      <c r="X189" s="53" t="n"/>
      <c r="Y189" s="53" t="n"/>
      <c r="Z189" s="53" t="n"/>
      <c r="AA189" s="53" t="n"/>
      <c r="AB189" s="53" t="n"/>
      <c r="AC189" s="53" t="n"/>
      <c r="AD189" s="53" t="n"/>
      <c r="AE189" s="53" t="n"/>
      <c r="AF189" s="53" t="n"/>
      <c r="AG189" s="53" t="n"/>
      <c r="AH189" s="53" t="n"/>
      <c r="AI189" s="53" t="n"/>
      <c r="AJ189" s="53" t="n"/>
      <c r="AK189" s="53" t="n"/>
      <c r="AL189" s="53" t="n"/>
      <c r="AM189" s="53" t="n"/>
      <c r="AN189" s="53" t="n"/>
      <c r="AO189" s="53" t="n"/>
      <c r="AP189" s="53" t="n"/>
      <c r="AQ189" s="53" t="n"/>
      <c r="AR189" s="53" t="n"/>
      <c r="AS189" s="53" t="n"/>
      <c r="AT189" s="53" t="n"/>
      <c r="AU189" s="53" t="n"/>
      <c r="AV189" s="53" t="n"/>
      <c r="AW189" s="53" t="n"/>
      <c r="AX189" s="53" t="n"/>
      <c r="AY189" s="53" t="n"/>
    </row>
    <row r="190" ht="15" customHeight="1">
      <c r="A190" s="62" t="n"/>
      <c r="B190" s="55">
        <f>IF($B$188="","",$B$188)</f>
        <v/>
      </c>
      <c r="C190" s="63" t="inlineStr">
        <is>
          <t>마케팅3팀</t>
        </is>
      </c>
      <c r="D190" s="55">
        <f>IF($D$188="","",$D$188)</f>
        <v/>
      </c>
      <c r="E190" s="64" t="inlineStr">
        <is>
          <t>영상</t>
        </is>
      </c>
      <c r="F190" s="44" t="n"/>
      <c r="G190" s="58">
        <f>IF($G$188="","",$G$188)</f>
        <v/>
      </c>
      <c r="H190" s="59" t="n"/>
      <c r="I190" s="59" t="n"/>
      <c r="J190" s="59" t="n"/>
      <c r="K190" s="59" t="n"/>
      <c r="L190" s="65">
        <f>IF(SUM(U190:AY190)=0,"",SUM(U190:AY190))</f>
        <v/>
      </c>
      <c r="M190" s="66">
        <f>IFERROR(INDEX(U$2:AY$2,MATCH(TRUE,INDEX(U190:AY190&lt;&gt;"",0),0)),"")</f>
        <v/>
      </c>
      <c r="N190" s="66">
        <f>IFERROR(LOOKUP(2,1/(U190:AY190&lt;&gt;""),U$2:AY$2),"")</f>
        <v/>
      </c>
      <c r="O190" s="59" t="n"/>
      <c r="P190" s="59" t="n"/>
      <c r="Q190" s="59" t="n"/>
      <c r="R190" s="59" t="n"/>
      <c r="S190" s="14" t="n"/>
      <c r="U190" s="53" t="n"/>
      <c r="V190" s="53" t="n"/>
      <c r="W190" s="53" t="n"/>
      <c r="X190" s="53" t="n"/>
      <c r="Y190" s="53" t="n"/>
      <c r="Z190" s="53" t="n"/>
      <c r="AA190" s="53" t="n"/>
      <c r="AB190" s="53" t="n"/>
      <c r="AC190" s="53" t="n"/>
      <c r="AD190" s="53" t="n"/>
      <c r="AE190" s="53" t="n"/>
      <c r="AF190" s="53" t="n"/>
      <c r="AG190" s="53" t="n"/>
      <c r="AH190" s="53" t="n"/>
      <c r="AI190" s="53" t="n"/>
      <c r="AJ190" s="53" t="n"/>
      <c r="AK190" s="53" t="n"/>
      <c r="AL190" s="53" t="n"/>
      <c r="AM190" s="53" t="n"/>
      <c r="AN190" s="53" t="n"/>
      <c r="AO190" s="53" t="n"/>
      <c r="AP190" s="53" t="n"/>
      <c r="AQ190" s="53" t="n"/>
      <c r="AR190" s="53" t="n"/>
      <c r="AS190" s="53" t="n"/>
      <c r="AT190" s="53" t="n"/>
      <c r="AU190" s="53" t="n"/>
      <c r="AV190" s="53" t="n"/>
      <c r="AW190" s="53" t="n"/>
      <c r="AX190" s="53" t="n"/>
      <c r="AY190" s="53" t="n"/>
    </row>
    <row r="191" ht="18" customHeight="1">
      <c r="A191" s="39" t="inlineStr">
        <is>
          <t>마케팅4팀   (192~251행 · 소재 20개)</t>
        </is>
      </c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I191" s="8" t="n"/>
      <c r="AJ191" s="8" t="n"/>
      <c r="AK191" s="8" t="n"/>
      <c r="AL191" s="8" t="n"/>
      <c r="AM191" s="8" t="n"/>
      <c r="AN191" s="8" t="n"/>
      <c r="AO191" s="8" t="n"/>
      <c r="AP191" s="8" t="n"/>
      <c r="AQ191" s="8" t="n"/>
      <c r="AR191" s="8" t="n"/>
      <c r="AS191" s="8" t="n"/>
      <c r="AT191" s="8" t="n"/>
      <c r="AU191" s="8" t="n"/>
      <c r="AV191" s="8" t="n"/>
      <c r="AW191" s="8" t="n"/>
      <c r="AX191" s="8" t="n"/>
      <c r="AY191" s="4" t="n"/>
    </row>
    <row r="192" ht="15" customHeight="1">
      <c r="A192" s="40">
        <f>IF($D$192="","",61)</f>
        <v/>
      </c>
      <c r="B192" s="10" t="n"/>
      <c r="C192" s="41" t="inlineStr">
        <is>
          <t>마케팅4팀</t>
        </is>
      </c>
      <c r="D192" s="42" t="n"/>
      <c r="E192" s="43" t="inlineStr">
        <is>
          <t>기획</t>
        </is>
      </c>
      <c r="F192" s="44" t="n"/>
      <c r="G192" s="45" t="n"/>
      <c r="H192" s="46">
        <f>IF($I$192="","",IF($I$192&lt;0,"🔴지연",IF($I$192&lt;=1,"🟡임박","🟢여유")))</f>
        <v/>
      </c>
      <c r="I192" s="47">
        <f>IF(OR($G$192="",$K$192=""),"",$G$192-$K$192)</f>
        <v/>
      </c>
      <c r="J192" s="48">
        <f>IF(SUM($L$192:$L$194)=0,"",SUM($L$192:$L$194))</f>
        <v/>
      </c>
      <c r="K192" s="49">
        <f>IF($J$192="","",MAX($N$192:$N$194))</f>
        <v/>
      </c>
      <c r="L192" s="50">
        <f>IF(SUM(U192:AY192)=0,"",SUM(U192:AY192))</f>
        <v/>
      </c>
      <c r="M192" s="51">
        <f>IFERROR(INDEX(U$2:AY$2,MATCH(TRUE,INDEX(U192:AY192&lt;&gt;"",0),0)),"")</f>
        <v/>
      </c>
      <c r="N192" s="51">
        <f>IFERROR(LOOKUP(2,1/(U192:AY192&lt;&gt;""),U$2:AY$2),"")</f>
        <v/>
      </c>
      <c r="O192" s="52" t="n"/>
      <c r="P192" s="52" t="n"/>
      <c r="Q192" s="52" t="n"/>
      <c r="R192" s="44" t="n"/>
      <c r="S192" s="14" t="n"/>
      <c r="U192" s="53" t="n"/>
      <c r="V192" s="53" t="n"/>
      <c r="W192" s="53" t="n"/>
      <c r="X192" s="53" t="n"/>
      <c r="Y192" s="53" t="n"/>
      <c r="Z192" s="53" t="n"/>
      <c r="AA192" s="53" t="n"/>
      <c r="AB192" s="53" t="n"/>
      <c r="AC192" s="53" t="n"/>
      <c r="AD192" s="53" t="n"/>
      <c r="AE192" s="53" t="n"/>
      <c r="AF192" s="53" t="n"/>
      <c r="AG192" s="53" t="n"/>
      <c r="AH192" s="53" t="n"/>
      <c r="AI192" s="53" t="n"/>
      <c r="AJ192" s="53" t="n"/>
      <c r="AK192" s="53" t="n"/>
      <c r="AL192" s="53" t="n"/>
      <c r="AM192" s="53" t="n"/>
      <c r="AN192" s="53" t="n"/>
      <c r="AO192" s="53" t="n"/>
      <c r="AP192" s="53" t="n"/>
      <c r="AQ192" s="53" t="n"/>
      <c r="AR192" s="53" t="n"/>
      <c r="AS192" s="53" t="n"/>
      <c r="AT192" s="53" t="n"/>
      <c r="AU192" s="53" t="n"/>
      <c r="AV192" s="53" t="n"/>
      <c r="AW192" s="53" t="n"/>
      <c r="AX192" s="53" t="n"/>
      <c r="AY192" s="53" t="n"/>
    </row>
    <row r="193" ht="15" customHeight="1">
      <c r="A193" s="54" t="n"/>
      <c r="B193" s="55">
        <f>IF($B$192="","",$B$192)</f>
        <v/>
      </c>
      <c r="C193" s="56" t="inlineStr">
        <is>
          <t>마케팅4팀</t>
        </is>
      </c>
      <c r="D193" s="55">
        <f>IF($D$192="","",$D$192)</f>
        <v/>
      </c>
      <c r="E193" s="57" t="inlineStr">
        <is>
          <t>이미지</t>
        </is>
      </c>
      <c r="F193" s="44" t="n"/>
      <c r="G193" s="58">
        <f>IF($G$192="","",$G$192)</f>
        <v/>
      </c>
      <c r="H193" s="59" t="n"/>
      <c r="I193" s="59" t="n"/>
      <c r="J193" s="59" t="n"/>
      <c r="K193" s="59" t="n"/>
      <c r="L193" s="60">
        <f>IF(SUM(U193:AY193)=0,"",SUM(U193:AY193))</f>
        <v/>
      </c>
      <c r="M193" s="61">
        <f>IFERROR(INDEX(U$2:AY$2,MATCH(TRUE,INDEX(U193:AY193&lt;&gt;"",0),0)),"")</f>
        <v/>
      </c>
      <c r="N193" s="61">
        <f>IFERROR(LOOKUP(2,1/(U193:AY193&lt;&gt;""),U$2:AY$2),"")</f>
        <v/>
      </c>
      <c r="O193" s="59" t="n"/>
      <c r="P193" s="59" t="n"/>
      <c r="Q193" s="59" t="n"/>
      <c r="R193" s="59" t="n"/>
      <c r="S193" s="14" t="n"/>
      <c r="U193" s="53" t="n"/>
      <c r="V193" s="53" t="n"/>
      <c r="W193" s="53" t="n"/>
      <c r="X193" s="53" t="n"/>
      <c r="Y193" s="53" t="n"/>
      <c r="Z193" s="53" t="n"/>
      <c r="AA193" s="53" t="n"/>
      <c r="AB193" s="53" t="n"/>
      <c r="AC193" s="53" t="n"/>
      <c r="AD193" s="53" t="n"/>
      <c r="AE193" s="53" t="n"/>
      <c r="AF193" s="53" t="n"/>
      <c r="AG193" s="53" t="n"/>
      <c r="AH193" s="53" t="n"/>
      <c r="AI193" s="53" t="n"/>
      <c r="AJ193" s="53" t="n"/>
      <c r="AK193" s="53" t="n"/>
      <c r="AL193" s="53" t="n"/>
      <c r="AM193" s="53" t="n"/>
      <c r="AN193" s="53" t="n"/>
      <c r="AO193" s="53" t="n"/>
      <c r="AP193" s="53" t="n"/>
      <c r="AQ193" s="53" t="n"/>
      <c r="AR193" s="53" t="n"/>
      <c r="AS193" s="53" t="n"/>
      <c r="AT193" s="53" t="n"/>
      <c r="AU193" s="53" t="n"/>
      <c r="AV193" s="53" t="n"/>
      <c r="AW193" s="53" t="n"/>
      <c r="AX193" s="53" t="n"/>
      <c r="AY193" s="53" t="n"/>
    </row>
    <row r="194" ht="15" customHeight="1">
      <c r="A194" s="62" t="n"/>
      <c r="B194" s="55">
        <f>IF($B$192="","",$B$192)</f>
        <v/>
      </c>
      <c r="C194" s="63" t="inlineStr">
        <is>
          <t>마케팅4팀</t>
        </is>
      </c>
      <c r="D194" s="55">
        <f>IF($D$192="","",$D$192)</f>
        <v/>
      </c>
      <c r="E194" s="64" t="inlineStr">
        <is>
          <t>영상</t>
        </is>
      </c>
      <c r="F194" s="44" t="n"/>
      <c r="G194" s="58">
        <f>IF($G$192="","",$G$192)</f>
        <v/>
      </c>
      <c r="H194" s="59" t="n"/>
      <c r="I194" s="59" t="n"/>
      <c r="J194" s="59" t="n"/>
      <c r="K194" s="59" t="n"/>
      <c r="L194" s="65">
        <f>IF(SUM(U194:AY194)=0,"",SUM(U194:AY194))</f>
        <v/>
      </c>
      <c r="M194" s="66">
        <f>IFERROR(INDEX(U$2:AY$2,MATCH(TRUE,INDEX(U194:AY194&lt;&gt;"",0),0)),"")</f>
        <v/>
      </c>
      <c r="N194" s="66">
        <f>IFERROR(LOOKUP(2,1/(U194:AY194&lt;&gt;""),U$2:AY$2),"")</f>
        <v/>
      </c>
      <c r="O194" s="59" t="n"/>
      <c r="P194" s="59" t="n"/>
      <c r="Q194" s="59" t="n"/>
      <c r="R194" s="59" t="n"/>
      <c r="S194" s="14" t="n"/>
      <c r="U194" s="53" t="n"/>
      <c r="V194" s="53" t="n"/>
      <c r="W194" s="53" t="n"/>
      <c r="X194" s="53" t="n"/>
      <c r="Y194" s="53" t="n"/>
      <c r="Z194" s="53" t="n"/>
      <c r="AA194" s="53" t="n"/>
      <c r="AB194" s="53" t="n"/>
      <c r="AC194" s="53" t="n"/>
      <c r="AD194" s="53" t="n"/>
      <c r="AE194" s="53" t="n"/>
      <c r="AF194" s="53" t="n"/>
      <c r="AG194" s="53" t="n"/>
      <c r="AH194" s="53" t="n"/>
      <c r="AI194" s="53" t="n"/>
      <c r="AJ194" s="53" t="n"/>
      <c r="AK194" s="53" t="n"/>
      <c r="AL194" s="53" t="n"/>
      <c r="AM194" s="53" t="n"/>
      <c r="AN194" s="53" t="n"/>
      <c r="AO194" s="53" t="n"/>
      <c r="AP194" s="53" t="n"/>
      <c r="AQ194" s="53" t="n"/>
      <c r="AR194" s="53" t="n"/>
      <c r="AS194" s="53" t="n"/>
      <c r="AT194" s="53" t="n"/>
      <c r="AU194" s="53" t="n"/>
      <c r="AV194" s="53" t="n"/>
      <c r="AW194" s="53" t="n"/>
      <c r="AX194" s="53" t="n"/>
      <c r="AY194" s="53" t="n"/>
    </row>
    <row r="195" ht="15" customHeight="1">
      <c r="A195" s="40">
        <f>IF($D$195="","",62)</f>
        <v/>
      </c>
      <c r="B195" s="10" t="n"/>
      <c r="C195" s="41" t="inlineStr">
        <is>
          <t>마케팅4팀</t>
        </is>
      </c>
      <c r="D195" s="42" t="n"/>
      <c r="E195" s="43" t="inlineStr">
        <is>
          <t>기획</t>
        </is>
      </c>
      <c r="F195" s="44" t="n"/>
      <c r="G195" s="45" t="n"/>
      <c r="H195" s="46">
        <f>IF($I$195="","",IF($I$195&lt;0,"🔴지연",IF($I$195&lt;=1,"🟡임박","🟢여유")))</f>
        <v/>
      </c>
      <c r="I195" s="47">
        <f>IF(OR($G$195="",$K$195=""),"",$G$195-$K$195)</f>
        <v/>
      </c>
      <c r="J195" s="48">
        <f>IF(SUM($L$195:$L$197)=0,"",SUM($L$195:$L$197))</f>
        <v/>
      </c>
      <c r="K195" s="49">
        <f>IF($J$195="","",MAX($N$195:$N$197))</f>
        <v/>
      </c>
      <c r="L195" s="50">
        <f>IF(SUM(U195:AY195)=0,"",SUM(U195:AY195))</f>
        <v/>
      </c>
      <c r="M195" s="51">
        <f>IFERROR(INDEX(U$2:AY$2,MATCH(TRUE,INDEX(U195:AY195&lt;&gt;"",0),0)),"")</f>
        <v/>
      </c>
      <c r="N195" s="51">
        <f>IFERROR(LOOKUP(2,1/(U195:AY195&lt;&gt;""),U$2:AY$2),"")</f>
        <v/>
      </c>
      <c r="O195" s="52" t="n"/>
      <c r="P195" s="52" t="n"/>
      <c r="Q195" s="52" t="n"/>
      <c r="R195" s="44" t="n"/>
      <c r="S195" s="14" t="n"/>
      <c r="U195" s="53" t="n"/>
      <c r="V195" s="53" t="n"/>
      <c r="W195" s="53" t="n"/>
      <c r="X195" s="53" t="n"/>
      <c r="Y195" s="53" t="n"/>
      <c r="Z195" s="53" t="n"/>
      <c r="AA195" s="53" t="n"/>
      <c r="AB195" s="53" t="n"/>
      <c r="AC195" s="53" t="n"/>
      <c r="AD195" s="53" t="n"/>
      <c r="AE195" s="53" t="n"/>
      <c r="AF195" s="53" t="n"/>
      <c r="AG195" s="53" t="n"/>
      <c r="AH195" s="53" t="n"/>
      <c r="AI195" s="53" t="n"/>
      <c r="AJ195" s="53" t="n"/>
      <c r="AK195" s="53" t="n"/>
      <c r="AL195" s="53" t="n"/>
      <c r="AM195" s="53" t="n"/>
      <c r="AN195" s="53" t="n"/>
      <c r="AO195" s="53" t="n"/>
      <c r="AP195" s="53" t="n"/>
      <c r="AQ195" s="53" t="n"/>
      <c r="AR195" s="53" t="n"/>
      <c r="AS195" s="53" t="n"/>
      <c r="AT195" s="53" t="n"/>
      <c r="AU195" s="53" t="n"/>
      <c r="AV195" s="53" t="n"/>
      <c r="AW195" s="53" t="n"/>
      <c r="AX195" s="53" t="n"/>
      <c r="AY195" s="53" t="n"/>
    </row>
    <row r="196" ht="15" customHeight="1">
      <c r="A196" s="54" t="n"/>
      <c r="B196" s="55">
        <f>IF($B$195="","",$B$195)</f>
        <v/>
      </c>
      <c r="C196" s="56" t="inlineStr">
        <is>
          <t>마케팅4팀</t>
        </is>
      </c>
      <c r="D196" s="55">
        <f>IF($D$195="","",$D$195)</f>
        <v/>
      </c>
      <c r="E196" s="57" t="inlineStr">
        <is>
          <t>이미지</t>
        </is>
      </c>
      <c r="F196" s="44" t="n"/>
      <c r="G196" s="58">
        <f>IF($G$195="","",$G$195)</f>
        <v/>
      </c>
      <c r="H196" s="59" t="n"/>
      <c r="I196" s="59" t="n"/>
      <c r="J196" s="59" t="n"/>
      <c r="K196" s="59" t="n"/>
      <c r="L196" s="60">
        <f>IF(SUM(U196:AY196)=0,"",SUM(U196:AY196))</f>
        <v/>
      </c>
      <c r="M196" s="61">
        <f>IFERROR(INDEX(U$2:AY$2,MATCH(TRUE,INDEX(U196:AY196&lt;&gt;"",0),0)),"")</f>
        <v/>
      </c>
      <c r="N196" s="61">
        <f>IFERROR(LOOKUP(2,1/(U196:AY196&lt;&gt;""),U$2:AY$2),"")</f>
        <v/>
      </c>
      <c r="O196" s="59" t="n"/>
      <c r="P196" s="59" t="n"/>
      <c r="Q196" s="59" t="n"/>
      <c r="R196" s="59" t="n"/>
      <c r="S196" s="14" t="n"/>
      <c r="U196" s="53" t="n"/>
      <c r="V196" s="53" t="n"/>
      <c r="W196" s="53" t="n"/>
      <c r="X196" s="53" t="n"/>
      <c r="Y196" s="53" t="n"/>
      <c r="Z196" s="53" t="n"/>
      <c r="AA196" s="53" t="n"/>
      <c r="AB196" s="53" t="n"/>
      <c r="AC196" s="53" t="n"/>
      <c r="AD196" s="53" t="n"/>
      <c r="AE196" s="53" t="n"/>
      <c r="AF196" s="53" t="n"/>
      <c r="AG196" s="53" t="n"/>
      <c r="AH196" s="53" t="n"/>
      <c r="AI196" s="53" t="n"/>
      <c r="AJ196" s="53" t="n"/>
      <c r="AK196" s="53" t="n"/>
      <c r="AL196" s="53" t="n"/>
      <c r="AM196" s="53" t="n"/>
      <c r="AN196" s="53" t="n"/>
      <c r="AO196" s="53" t="n"/>
      <c r="AP196" s="53" t="n"/>
      <c r="AQ196" s="53" t="n"/>
      <c r="AR196" s="53" t="n"/>
      <c r="AS196" s="53" t="n"/>
      <c r="AT196" s="53" t="n"/>
      <c r="AU196" s="53" t="n"/>
      <c r="AV196" s="53" t="n"/>
      <c r="AW196" s="53" t="n"/>
      <c r="AX196" s="53" t="n"/>
      <c r="AY196" s="53" t="n"/>
    </row>
    <row r="197" ht="15" customHeight="1">
      <c r="A197" s="62" t="n"/>
      <c r="B197" s="55">
        <f>IF($B$195="","",$B$195)</f>
        <v/>
      </c>
      <c r="C197" s="63" t="inlineStr">
        <is>
          <t>마케팅4팀</t>
        </is>
      </c>
      <c r="D197" s="55">
        <f>IF($D$195="","",$D$195)</f>
        <v/>
      </c>
      <c r="E197" s="64" t="inlineStr">
        <is>
          <t>영상</t>
        </is>
      </c>
      <c r="F197" s="44" t="n"/>
      <c r="G197" s="58">
        <f>IF($G$195="","",$G$195)</f>
        <v/>
      </c>
      <c r="H197" s="59" t="n"/>
      <c r="I197" s="59" t="n"/>
      <c r="J197" s="59" t="n"/>
      <c r="K197" s="59" t="n"/>
      <c r="L197" s="65">
        <f>IF(SUM(U197:AY197)=0,"",SUM(U197:AY197))</f>
        <v/>
      </c>
      <c r="M197" s="66">
        <f>IFERROR(INDEX(U$2:AY$2,MATCH(TRUE,INDEX(U197:AY197&lt;&gt;"",0),0)),"")</f>
        <v/>
      </c>
      <c r="N197" s="66">
        <f>IFERROR(LOOKUP(2,1/(U197:AY197&lt;&gt;""),U$2:AY$2),"")</f>
        <v/>
      </c>
      <c r="O197" s="59" t="n"/>
      <c r="P197" s="59" t="n"/>
      <c r="Q197" s="59" t="n"/>
      <c r="R197" s="59" t="n"/>
      <c r="S197" s="14" t="n"/>
      <c r="U197" s="53" t="n"/>
      <c r="V197" s="53" t="n"/>
      <c r="W197" s="53" t="n"/>
      <c r="X197" s="53" t="n"/>
      <c r="Y197" s="53" t="n"/>
      <c r="Z197" s="53" t="n"/>
      <c r="AA197" s="53" t="n"/>
      <c r="AB197" s="53" t="n"/>
      <c r="AC197" s="53" t="n"/>
      <c r="AD197" s="53" t="n"/>
      <c r="AE197" s="53" t="n"/>
      <c r="AF197" s="53" t="n"/>
      <c r="AG197" s="53" t="n"/>
      <c r="AH197" s="53" t="n"/>
      <c r="AI197" s="53" t="n"/>
      <c r="AJ197" s="53" t="n"/>
      <c r="AK197" s="53" t="n"/>
      <c r="AL197" s="53" t="n"/>
      <c r="AM197" s="53" t="n"/>
      <c r="AN197" s="53" t="n"/>
      <c r="AO197" s="53" t="n"/>
      <c r="AP197" s="53" t="n"/>
      <c r="AQ197" s="53" t="n"/>
      <c r="AR197" s="53" t="n"/>
      <c r="AS197" s="53" t="n"/>
      <c r="AT197" s="53" t="n"/>
      <c r="AU197" s="53" t="n"/>
      <c r="AV197" s="53" t="n"/>
      <c r="AW197" s="53" t="n"/>
      <c r="AX197" s="53" t="n"/>
      <c r="AY197" s="53" t="n"/>
    </row>
    <row r="198" ht="15" customHeight="1">
      <c r="A198" s="40">
        <f>IF($D$198="","",63)</f>
        <v/>
      </c>
      <c r="B198" s="10" t="n"/>
      <c r="C198" s="41" t="inlineStr">
        <is>
          <t>마케팅4팀</t>
        </is>
      </c>
      <c r="D198" s="42" t="n"/>
      <c r="E198" s="43" t="inlineStr">
        <is>
          <t>기획</t>
        </is>
      </c>
      <c r="F198" s="44" t="n"/>
      <c r="G198" s="45" t="n"/>
      <c r="H198" s="46">
        <f>IF($I$198="","",IF($I$198&lt;0,"🔴지연",IF($I$198&lt;=1,"🟡임박","🟢여유")))</f>
        <v/>
      </c>
      <c r="I198" s="47">
        <f>IF(OR($G$198="",$K$198=""),"",$G$198-$K$198)</f>
        <v/>
      </c>
      <c r="J198" s="48">
        <f>IF(SUM($L$198:$L$200)=0,"",SUM($L$198:$L$200))</f>
        <v/>
      </c>
      <c r="K198" s="49">
        <f>IF($J$198="","",MAX($N$198:$N$200))</f>
        <v/>
      </c>
      <c r="L198" s="50">
        <f>IF(SUM(U198:AY198)=0,"",SUM(U198:AY198))</f>
        <v/>
      </c>
      <c r="M198" s="51">
        <f>IFERROR(INDEX(U$2:AY$2,MATCH(TRUE,INDEX(U198:AY198&lt;&gt;"",0),0)),"")</f>
        <v/>
      </c>
      <c r="N198" s="51">
        <f>IFERROR(LOOKUP(2,1/(U198:AY198&lt;&gt;""),U$2:AY$2),"")</f>
        <v/>
      </c>
      <c r="O198" s="52" t="n"/>
      <c r="P198" s="52" t="n"/>
      <c r="Q198" s="52" t="n"/>
      <c r="R198" s="44" t="n"/>
      <c r="S198" s="14" t="n"/>
      <c r="U198" s="53" t="n"/>
      <c r="V198" s="53" t="n"/>
      <c r="W198" s="53" t="n"/>
      <c r="X198" s="53" t="n"/>
      <c r="Y198" s="53" t="n"/>
      <c r="Z198" s="53" t="n"/>
      <c r="AA198" s="53" t="n"/>
      <c r="AB198" s="53" t="n"/>
      <c r="AC198" s="53" t="n"/>
      <c r="AD198" s="53" t="n"/>
      <c r="AE198" s="53" t="n"/>
      <c r="AF198" s="53" t="n"/>
      <c r="AG198" s="53" t="n"/>
      <c r="AH198" s="53" t="n"/>
      <c r="AI198" s="53" t="n"/>
      <c r="AJ198" s="53" t="n"/>
      <c r="AK198" s="53" t="n"/>
      <c r="AL198" s="53" t="n"/>
      <c r="AM198" s="53" t="n"/>
      <c r="AN198" s="53" t="n"/>
      <c r="AO198" s="53" t="n"/>
      <c r="AP198" s="53" t="n"/>
      <c r="AQ198" s="53" t="n"/>
      <c r="AR198" s="53" t="n"/>
      <c r="AS198" s="53" t="n"/>
      <c r="AT198" s="53" t="n"/>
      <c r="AU198" s="53" t="n"/>
      <c r="AV198" s="53" t="n"/>
      <c r="AW198" s="53" t="n"/>
      <c r="AX198" s="53" t="n"/>
      <c r="AY198" s="53" t="n"/>
    </row>
    <row r="199" ht="15" customHeight="1">
      <c r="A199" s="54" t="n"/>
      <c r="B199" s="55">
        <f>IF($B$198="","",$B$198)</f>
        <v/>
      </c>
      <c r="C199" s="56" t="inlineStr">
        <is>
          <t>마케팅4팀</t>
        </is>
      </c>
      <c r="D199" s="55">
        <f>IF($D$198="","",$D$198)</f>
        <v/>
      </c>
      <c r="E199" s="57" t="inlineStr">
        <is>
          <t>이미지</t>
        </is>
      </c>
      <c r="F199" s="44" t="n"/>
      <c r="G199" s="58">
        <f>IF($G$198="","",$G$198)</f>
        <v/>
      </c>
      <c r="H199" s="59" t="n"/>
      <c r="I199" s="59" t="n"/>
      <c r="J199" s="59" t="n"/>
      <c r="K199" s="59" t="n"/>
      <c r="L199" s="60">
        <f>IF(SUM(U199:AY199)=0,"",SUM(U199:AY199))</f>
        <v/>
      </c>
      <c r="M199" s="61">
        <f>IFERROR(INDEX(U$2:AY$2,MATCH(TRUE,INDEX(U199:AY199&lt;&gt;"",0),0)),"")</f>
        <v/>
      </c>
      <c r="N199" s="61">
        <f>IFERROR(LOOKUP(2,1/(U199:AY199&lt;&gt;""),U$2:AY$2),"")</f>
        <v/>
      </c>
      <c r="O199" s="59" t="n"/>
      <c r="P199" s="59" t="n"/>
      <c r="Q199" s="59" t="n"/>
      <c r="R199" s="59" t="n"/>
      <c r="S199" s="14" t="n"/>
      <c r="U199" s="53" t="n"/>
      <c r="V199" s="53" t="n"/>
      <c r="W199" s="53" t="n"/>
      <c r="X199" s="53" t="n"/>
      <c r="Y199" s="53" t="n"/>
      <c r="Z199" s="53" t="n"/>
      <c r="AA199" s="53" t="n"/>
      <c r="AB199" s="53" t="n"/>
      <c r="AC199" s="53" t="n"/>
      <c r="AD199" s="53" t="n"/>
      <c r="AE199" s="53" t="n"/>
      <c r="AF199" s="53" t="n"/>
      <c r="AG199" s="53" t="n"/>
      <c r="AH199" s="53" t="n"/>
      <c r="AI199" s="53" t="n"/>
      <c r="AJ199" s="53" t="n"/>
      <c r="AK199" s="53" t="n"/>
      <c r="AL199" s="53" t="n"/>
      <c r="AM199" s="53" t="n"/>
      <c r="AN199" s="53" t="n"/>
      <c r="AO199" s="53" t="n"/>
      <c r="AP199" s="53" t="n"/>
      <c r="AQ199" s="53" t="n"/>
      <c r="AR199" s="53" t="n"/>
      <c r="AS199" s="53" t="n"/>
      <c r="AT199" s="53" t="n"/>
      <c r="AU199" s="53" t="n"/>
      <c r="AV199" s="53" t="n"/>
      <c r="AW199" s="53" t="n"/>
      <c r="AX199" s="53" t="n"/>
      <c r="AY199" s="53" t="n"/>
    </row>
    <row r="200" ht="15" customHeight="1">
      <c r="A200" s="62" t="n"/>
      <c r="B200" s="55">
        <f>IF($B$198="","",$B$198)</f>
        <v/>
      </c>
      <c r="C200" s="63" t="inlineStr">
        <is>
          <t>마케팅4팀</t>
        </is>
      </c>
      <c r="D200" s="55">
        <f>IF($D$198="","",$D$198)</f>
        <v/>
      </c>
      <c r="E200" s="64" t="inlineStr">
        <is>
          <t>영상</t>
        </is>
      </c>
      <c r="F200" s="44" t="n"/>
      <c r="G200" s="58">
        <f>IF($G$198="","",$G$198)</f>
        <v/>
      </c>
      <c r="H200" s="59" t="n"/>
      <c r="I200" s="59" t="n"/>
      <c r="J200" s="59" t="n"/>
      <c r="K200" s="59" t="n"/>
      <c r="L200" s="65">
        <f>IF(SUM(U200:AY200)=0,"",SUM(U200:AY200))</f>
        <v/>
      </c>
      <c r="M200" s="66">
        <f>IFERROR(INDEX(U$2:AY$2,MATCH(TRUE,INDEX(U200:AY200&lt;&gt;"",0),0)),"")</f>
        <v/>
      </c>
      <c r="N200" s="66">
        <f>IFERROR(LOOKUP(2,1/(U200:AY200&lt;&gt;""),U$2:AY$2),"")</f>
        <v/>
      </c>
      <c r="O200" s="59" t="n"/>
      <c r="P200" s="59" t="n"/>
      <c r="Q200" s="59" t="n"/>
      <c r="R200" s="59" t="n"/>
      <c r="S200" s="14" t="n"/>
      <c r="U200" s="53" t="n"/>
      <c r="V200" s="53" t="n"/>
      <c r="W200" s="53" t="n"/>
      <c r="X200" s="53" t="n"/>
      <c r="Y200" s="53" t="n"/>
      <c r="Z200" s="53" t="n"/>
      <c r="AA200" s="53" t="n"/>
      <c r="AB200" s="53" t="n"/>
      <c r="AC200" s="53" t="n"/>
      <c r="AD200" s="53" t="n"/>
      <c r="AE200" s="53" t="n"/>
      <c r="AF200" s="53" t="n"/>
      <c r="AG200" s="53" t="n"/>
      <c r="AH200" s="53" t="n"/>
      <c r="AI200" s="53" t="n"/>
      <c r="AJ200" s="53" t="n"/>
      <c r="AK200" s="53" t="n"/>
      <c r="AL200" s="53" t="n"/>
      <c r="AM200" s="53" t="n"/>
      <c r="AN200" s="53" t="n"/>
      <c r="AO200" s="53" t="n"/>
      <c r="AP200" s="53" t="n"/>
      <c r="AQ200" s="53" t="n"/>
      <c r="AR200" s="53" t="n"/>
      <c r="AS200" s="53" t="n"/>
      <c r="AT200" s="53" t="n"/>
      <c r="AU200" s="53" t="n"/>
      <c r="AV200" s="53" t="n"/>
      <c r="AW200" s="53" t="n"/>
      <c r="AX200" s="53" t="n"/>
      <c r="AY200" s="53" t="n"/>
    </row>
    <row r="201" ht="15" customHeight="1">
      <c r="A201" s="40">
        <f>IF($D$201="","",64)</f>
        <v/>
      </c>
      <c r="B201" s="10" t="n"/>
      <c r="C201" s="41" t="inlineStr">
        <is>
          <t>마케팅4팀</t>
        </is>
      </c>
      <c r="D201" s="42" t="n"/>
      <c r="E201" s="43" t="inlineStr">
        <is>
          <t>기획</t>
        </is>
      </c>
      <c r="F201" s="44" t="n"/>
      <c r="G201" s="45" t="n"/>
      <c r="H201" s="46">
        <f>IF($I$201="","",IF($I$201&lt;0,"🔴지연",IF($I$201&lt;=1,"🟡임박","🟢여유")))</f>
        <v/>
      </c>
      <c r="I201" s="47">
        <f>IF(OR($G$201="",$K$201=""),"",$G$201-$K$201)</f>
        <v/>
      </c>
      <c r="J201" s="48">
        <f>IF(SUM($L$201:$L$203)=0,"",SUM($L$201:$L$203))</f>
        <v/>
      </c>
      <c r="K201" s="49">
        <f>IF($J$201="","",MAX($N$201:$N$203))</f>
        <v/>
      </c>
      <c r="L201" s="50">
        <f>IF(SUM(U201:AY201)=0,"",SUM(U201:AY201))</f>
        <v/>
      </c>
      <c r="M201" s="51">
        <f>IFERROR(INDEX(U$2:AY$2,MATCH(TRUE,INDEX(U201:AY201&lt;&gt;"",0),0)),"")</f>
        <v/>
      </c>
      <c r="N201" s="51">
        <f>IFERROR(LOOKUP(2,1/(U201:AY201&lt;&gt;""),U$2:AY$2),"")</f>
        <v/>
      </c>
      <c r="O201" s="52" t="n"/>
      <c r="P201" s="52" t="n"/>
      <c r="Q201" s="52" t="n"/>
      <c r="R201" s="44" t="n"/>
      <c r="S201" s="14" t="n"/>
      <c r="U201" s="53" t="n"/>
      <c r="V201" s="53" t="n"/>
      <c r="W201" s="53" t="n"/>
      <c r="X201" s="53" t="n"/>
      <c r="Y201" s="53" t="n"/>
      <c r="Z201" s="53" t="n"/>
      <c r="AA201" s="53" t="n"/>
      <c r="AB201" s="53" t="n"/>
      <c r="AC201" s="53" t="n"/>
      <c r="AD201" s="53" t="n"/>
      <c r="AE201" s="53" t="n"/>
      <c r="AF201" s="53" t="n"/>
      <c r="AG201" s="53" t="n"/>
      <c r="AH201" s="53" t="n"/>
      <c r="AI201" s="53" t="n"/>
      <c r="AJ201" s="53" t="n"/>
      <c r="AK201" s="53" t="n"/>
      <c r="AL201" s="53" t="n"/>
      <c r="AM201" s="53" t="n"/>
      <c r="AN201" s="53" t="n"/>
      <c r="AO201" s="53" t="n"/>
      <c r="AP201" s="53" t="n"/>
      <c r="AQ201" s="53" t="n"/>
      <c r="AR201" s="53" t="n"/>
      <c r="AS201" s="53" t="n"/>
      <c r="AT201" s="53" t="n"/>
      <c r="AU201" s="53" t="n"/>
      <c r="AV201" s="53" t="n"/>
      <c r="AW201" s="53" t="n"/>
      <c r="AX201" s="53" t="n"/>
      <c r="AY201" s="53" t="n"/>
    </row>
    <row r="202" ht="15" customHeight="1">
      <c r="A202" s="54" t="n"/>
      <c r="B202" s="55">
        <f>IF($B$201="","",$B$201)</f>
        <v/>
      </c>
      <c r="C202" s="56" t="inlineStr">
        <is>
          <t>마케팅4팀</t>
        </is>
      </c>
      <c r="D202" s="55">
        <f>IF($D$201="","",$D$201)</f>
        <v/>
      </c>
      <c r="E202" s="57" t="inlineStr">
        <is>
          <t>이미지</t>
        </is>
      </c>
      <c r="F202" s="44" t="n"/>
      <c r="G202" s="58">
        <f>IF($G$201="","",$G$201)</f>
        <v/>
      </c>
      <c r="H202" s="59" t="n"/>
      <c r="I202" s="59" t="n"/>
      <c r="J202" s="59" t="n"/>
      <c r="K202" s="59" t="n"/>
      <c r="L202" s="60">
        <f>IF(SUM(U202:AY202)=0,"",SUM(U202:AY202))</f>
        <v/>
      </c>
      <c r="M202" s="61">
        <f>IFERROR(INDEX(U$2:AY$2,MATCH(TRUE,INDEX(U202:AY202&lt;&gt;"",0),0)),"")</f>
        <v/>
      </c>
      <c r="N202" s="61">
        <f>IFERROR(LOOKUP(2,1/(U202:AY202&lt;&gt;""),U$2:AY$2),"")</f>
        <v/>
      </c>
      <c r="O202" s="59" t="n"/>
      <c r="P202" s="59" t="n"/>
      <c r="Q202" s="59" t="n"/>
      <c r="R202" s="59" t="n"/>
      <c r="S202" s="14" t="n"/>
      <c r="U202" s="53" t="n"/>
      <c r="V202" s="53" t="n"/>
      <c r="W202" s="53" t="n"/>
      <c r="X202" s="53" t="n"/>
      <c r="Y202" s="53" t="n"/>
      <c r="Z202" s="53" t="n"/>
      <c r="AA202" s="53" t="n"/>
      <c r="AB202" s="53" t="n"/>
      <c r="AC202" s="53" t="n"/>
      <c r="AD202" s="53" t="n"/>
      <c r="AE202" s="53" t="n"/>
      <c r="AF202" s="53" t="n"/>
      <c r="AG202" s="53" t="n"/>
      <c r="AH202" s="53" t="n"/>
      <c r="AI202" s="53" t="n"/>
      <c r="AJ202" s="53" t="n"/>
      <c r="AK202" s="53" t="n"/>
      <c r="AL202" s="53" t="n"/>
      <c r="AM202" s="53" t="n"/>
      <c r="AN202" s="53" t="n"/>
      <c r="AO202" s="53" t="n"/>
      <c r="AP202" s="53" t="n"/>
      <c r="AQ202" s="53" t="n"/>
      <c r="AR202" s="53" t="n"/>
      <c r="AS202" s="53" t="n"/>
      <c r="AT202" s="53" t="n"/>
      <c r="AU202" s="53" t="n"/>
      <c r="AV202" s="53" t="n"/>
      <c r="AW202" s="53" t="n"/>
      <c r="AX202" s="53" t="n"/>
      <c r="AY202" s="53" t="n"/>
    </row>
    <row r="203" ht="15" customHeight="1">
      <c r="A203" s="62" t="n"/>
      <c r="B203" s="55">
        <f>IF($B$201="","",$B$201)</f>
        <v/>
      </c>
      <c r="C203" s="63" t="inlineStr">
        <is>
          <t>마케팅4팀</t>
        </is>
      </c>
      <c r="D203" s="55">
        <f>IF($D$201="","",$D$201)</f>
        <v/>
      </c>
      <c r="E203" s="64" t="inlineStr">
        <is>
          <t>영상</t>
        </is>
      </c>
      <c r="F203" s="44" t="n"/>
      <c r="G203" s="58">
        <f>IF($G$201="","",$G$201)</f>
        <v/>
      </c>
      <c r="H203" s="59" t="n"/>
      <c r="I203" s="59" t="n"/>
      <c r="J203" s="59" t="n"/>
      <c r="K203" s="59" t="n"/>
      <c r="L203" s="65">
        <f>IF(SUM(U203:AY203)=0,"",SUM(U203:AY203))</f>
        <v/>
      </c>
      <c r="M203" s="66">
        <f>IFERROR(INDEX(U$2:AY$2,MATCH(TRUE,INDEX(U203:AY203&lt;&gt;"",0),0)),"")</f>
        <v/>
      </c>
      <c r="N203" s="66">
        <f>IFERROR(LOOKUP(2,1/(U203:AY203&lt;&gt;""),U$2:AY$2),"")</f>
        <v/>
      </c>
      <c r="O203" s="59" t="n"/>
      <c r="P203" s="59" t="n"/>
      <c r="Q203" s="59" t="n"/>
      <c r="R203" s="59" t="n"/>
      <c r="S203" s="14" t="n"/>
      <c r="U203" s="53" t="n"/>
      <c r="V203" s="53" t="n"/>
      <c r="W203" s="53" t="n"/>
      <c r="X203" s="53" t="n"/>
      <c r="Y203" s="53" t="n"/>
      <c r="Z203" s="53" t="n"/>
      <c r="AA203" s="53" t="n"/>
      <c r="AB203" s="53" t="n"/>
      <c r="AC203" s="53" t="n"/>
      <c r="AD203" s="53" t="n"/>
      <c r="AE203" s="53" t="n"/>
      <c r="AF203" s="53" t="n"/>
      <c r="AG203" s="53" t="n"/>
      <c r="AH203" s="53" t="n"/>
      <c r="AI203" s="53" t="n"/>
      <c r="AJ203" s="53" t="n"/>
      <c r="AK203" s="53" t="n"/>
      <c r="AL203" s="53" t="n"/>
      <c r="AM203" s="53" t="n"/>
      <c r="AN203" s="53" t="n"/>
      <c r="AO203" s="53" t="n"/>
      <c r="AP203" s="53" t="n"/>
      <c r="AQ203" s="53" t="n"/>
      <c r="AR203" s="53" t="n"/>
      <c r="AS203" s="53" t="n"/>
      <c r="AT203" s="53" t="n"/>
      <c r="AU203" s="53" t="n"/>
      <c r="AV203" s="53" t="n"/>
      <c r="AW203" s="53" t="n"/>
      <c r="AX203" s="53" t="n"/>
      <c r="AY203" s="53" t="n"/>
    </row>
    <row r="204" ht="15" customHeight="1">
      <c r="A204" s="40">
        <f>IF($D$204="","",65)</f>
        <v/>
      </c>
      <c r="B204" s="10" t="n"/>
      <c r="C204" s="41" t="inlineStr">
        <is>
          <t>마케팅4팀</t>
        </is>
      </c>
      <c r="D204" s="42" t="n"/>
      <c r="E204" s="43" t="inlineStr">
        <is>
          <t>기획</t>
        </is>
      </c>
      <c r="F204" s="44" t="n"/>
      <c r="G204" s="45" t="n"/>
      <c r="H204" s="46">
        <f>IF($I$204="","",IF($I$204&lt;0,"🔴지연",IF($I$204&lt;=1,"🟡임박","🟢여유")))</f>
        <v/>
      </c>
      <c r="I204" s="47">
        <f>IF(OR($G$204="",$K$204=""),"",$G$204-$K$204)</f>
        <v/>
      </c>
      <c r="J204" s="48">
        <f>IF(SUM($L$204:$L$206)=0,"",SUM($L$204:$L$206))</f>
        <v/>
      </c>
      <c r="K204" s="49">
        <f>IF($J$204="","",MAX($N$204:$N$206))</f>
        <v/>
      </c>
      <c r="L204" s="50">
        <f>IF(SUM(U204:AY204)=0,"",SUM(U204:AY204))</f>
        <v/>
      </c>
      <c r="M204" s="51">
        <f>IFERROR(INDEX(U$2:AY$2,MATCH(TRUE,INDEX(U204:AY204&lt;&gt;"",0),0)),"")</f>
        <v/>
      </c>
      <c r="N204" s="51">
        <f>IFERROR(LOOKUP(2,1/(U204:AY204&lt;&gt;""),U$2:AY$2),"")</f>
        <v/>
      </c>
      <c r="O204" s="52" t="n"/>
      <c r="P204" s="52" t="n"/>
      <c r="Q204" s="52" t="n"/>
      <c r="R204" s="44" t="n"/>
      <c r="S204" s="14" t="n"/>
      <c r="U204" s="53" t="n"/>
      <c r="V204" s="53" t="n"/>
      <c r="W204" s="53" t="n"/>
      <c r="X204" s="53" t="n"/>
      <c r="Y204" s="53" t="n"/>
      <c r="Z204" s="53" t="n"/>
      <c r="AA204" s="53" t="n"/>
      <c r="AB204" s="53" t="n"/>
      <c r="AC204" s="53" t="n"/>
      <c r="AD204" s="53" t="n"/>
      <c r="AE204" s="53" t="n"/>
      <c r="AF204" s="53" t="n"/>
      <c r="AG204" s="53" t="n"/>
      <c r="AH204" s="53" t="n"/>
      <c r="AI204" s="53" t="n"/>
      <c r="AJ204" s="53" t="n"/>
      <c r="AK204" s="53" t="n"/>
      <c r="AL204" s="53" t="n"/>
      <c r="AM204" s="53" t="n"/>
      <c r="AN204" s="53" t="n"/>
      <c r="AO204" s="53" t="n"/>
      <c r="AP204" s="53" t="n"/>
      <c r="AQ204" s="53" t="n"/>
      <c r="AR204" s="53" t="n"/>
      <c r="AS204" s="53" t="n"/>
      <c r="AT204" s="53" t="n"/>
      <c r="AU204" s="53" t="n"/>
      <c r="AV204" s="53" t="n"/>
      <c r="AW204" s="53" t="n"/>
      <c r="AX204" s="53" t="n"/>
      <c r="AY204" s="53" t="n"/>
    </row>
    <row r="205" ht="15" customHeight="1">
      <c r="A205" s="54" t="n"/>
      <c r="B205" s="55">
        <f>IF($B$204="","",$B$204)</f>
        <v/>
      </c>
      <c r="C205" s="56" t="inlineStr">
        <is>
          <t>마케팅4팀</t>
        </is>
      </c>
      <c r="D205" s="55">
        <f>IF($D$204="","",$D$204)</f>
        <v/>
      </c>
      <c r="E205" s="57" t="inlineStr">
        <is>
          <t>이미지</t>
        </is>
      </c>
      <c r="F205" s="44" t="n"/>
      <c r="G205" s="58">
        <f>IF($G$204="","",$G$204)</f>
        <v/>
      </c>
      <c r="H205" s="59" t="n"/>
      <c r="I205" s="59" t="n"/>
      <c r="J205" s="59" t="n"/>
      <c r="K205" s="59" t="n"/>
      <c r="L205" s="60">
        <f>IF(SUM(U205:AY205)=0,"",SUM(U205:AY205))</f>
        <v/>
      </c>
      <c r="M205" s="61">
        <f>IFERROR(INDEX(U$2:AY$2,MATCH(TRUE,INDEX(U205:AY205&lt;&gt;"",0),0)),"")</f>
        <v/>
      </c>
      <c r="N205" s="61">
        <f>IFERROR(LOOKUP(2,1/(U205:AY205&lt;&gt;""),U$2:AY$2),"")</f>
        <v/>
      </c>
      <c r="O205" s="59" t="n"/>
      <c r="P205" s="59" t="n"/>
      <c r="Q205" s="59" t="n"/>
      <c r="R205" s="59" t="n"/>
      <c r="S205" s="14" t="n"/>
      <c r="U205" s="53" t="n"/>
      <c r="V205" s="53" t="n"/>
      <c r="W205" s="53" t="n"/>
      <c r="X205" s="53" t="n"/>
      <c r="Y205" s="53" t="n"/>
      <c r="Z205" s="53" t="n"/>
      <c r="AA205" s="53" t="n"/>
      <c r="AB205" s="53" t="n"/>
      <c r="AC205" s="53" t="n"/>
      <c r="AD205" s="53" t="n"/>
      <c r="AE205" s="53" t="n"/>
      <c r="AF205" s="53" t="n"/>
      <c r="AG205" s="53" t="n"/>
      <c r="AH205" s="53" t="n"/>
      <c r="AI205" s="53" t="n"/>
      <c r="AJ205" s="53" t="n"/>
      <c r="AK205" s="53" t="n"/>
      <c r="AL205" s="53" t="n"/>
      <c r="AM205" s="53" t="n"/>
      <c r="AN205" s="53" t="n"/>
      <c r="AO205" s="53" t="n"/>
      <c r="AP205" s="53" t="n"/>
      <c r="AQ205" s="53" t="n"/>
      <c r="AR205" s="53" t="n"/>
      <c r="AS205" s="53" t="n"/>
      <c r="AT205" s="53" t="n"/>
      <c r="AU205" s="53" t="n"/>
      <c r="AV205" s="53" t="n"/>
      <c r="AW205" s="53" t="n"/>
      <c r="AX205" s="53" t="n"/>
      <c r="AY205" s="53" t="n"/>
    </row>
    <row r="206" ht="15" customHeight="1">
      <c r="A206" s="62" t="n"/>
      <c r="B206" s="55">
        <f>IF($B$204="","",$B$204)</f>
        <v/>
      </c>
      <c r="C206" s="63" t="inlineStr">
        <is>
          <t>마케팅4팀</t>
        </is>
      </c>
      <c r="D206" s="55">
        <f>IF($D$204="","",$D$204)</f>
        <v/>
      </c>
      <c r="E206" s="64" t="inlineStr">
        <is>
          <t>영상</t>
        </is>
      </c>
      <c r="F206" s="44" t="n"/>
      <c r="G206" s="58">
        <f>IF($G$204="","",$G$204)</f>
        <v/>
      </c>
      <c r="H206" s="59" t="n"/>
      <c r="I206" s="59" t="n"/>
      <c r="J206" s="59" t="n"/>
      <c r="K206" s="59" t="n"/>
      <c r="L206" s="65">
        <f>IF(SUM(U206:AY206)=0,"",SUM(U206:AY206))</f>
        <v/>
      </c>
      <c r="M206" s="66">
        <f>IFERROR(INDEX(U$2:AY$2,MATCH(TRUE,INDEX(U206:AY206&lt;&gt;"",0),0)),"")</f>
        <v/>
      </c>
      <c r="N206" s="66">
        <f>IFERROR(LOOKUP(2,1/(U206:AY206&lt;&gt;""),U$2:AY$2),"")</f>
        <v/>
      </c>
      <c r="O206" s="59" t="n"/>
      <c r="P206" s="59" t="n"/>
      <c r="Q206" s="59" t="n"/>
      <c r="R206" s="59" t="n"/>
      <c r="S206" s="14" t="n"/>
      <c r="U206" s="53" t="n"/>
      <c r="V206" s="53" t="n"/>
      <c r="W206" s="53" t="n"/>
      <c r="X206" s="53" t="n"/>
      <c r="Y206" s="53" t="n"/>
      <c r="Z206" s="53" t="n"/>
      <c r="AA206" s="53" t="n"/>
      <c r="AB206" s="53" t="n"/>
      <c r="AC206" s="53" t="n"/>
      <c r="AD206" s="53" t="n"/>
      <c r="AE206" s="53" t="n"/>
      <c r="AF206" s="53" t="n"/>
      <c r="AG206" s="53" t="n"/>
      <c r="AH206" s="53" t="n"/>
      <c r="AI206" s="53" t="n"/>
      <c r="AJ206" s="53" t="n"/>
      <c r="AK206" s="53" t="n"/>
      <c r="AL206" s="53" t="n"/>
      <c r="AM206" s="53" t="n"/>
      <c r="AN206" s="53" t="n"/>
      <c r="AO206" s="53" t="n"/>
      <c r="AP206" s="53" t="n"/>
      <c r="AQ206" s="53" t="n"/>
      <c r="AR206" s="53" t="n"/>
      <c r="AS206" s="53" t="n"/>
      <c r="AT206" s="53" t="n"/>
      <c r="AU206" s="53" t="n"/>
      <c r="AV206" s="53" t="n"/>
      <c r="AW206" s="53" t="n"/>
      <c r="AX206" s="53" t="n"/>
      <c r="AY206" s="53" t="n"/>
    </row>
    <row r="207" ht="15" customHeight="1">
      <c r="A207" s="40">
        <f>IF($D$207="","",66)</f>
        <v/>
      </c>
      <c r="B207" s="10" t="n"/>
      <c r="C207" s="41" t="inlineStr">
        <is>
          <t>마케팅4팀</t>
        </is>
      </c>
      <c r="D207" s="42" t="n"/>
      <c r="E207" s="43" t="inlineStr">
        <is>
          <t>기획</t>
        </is>
      </c>
      <c r="F207" s="44" t="n"/>
      <c r="G207" s="45" t="n"/>
      <c r="H207" s="46">
        <f>IF($I$207="","",IF($I$207&lt;0,"🔴지연",IF($I$207&lt;=1,"🟡임박","🟢여유")))</f>
        <v/>
      </c>
      <c r="I207" s="47">
        <f>IF(OR($G$207="",$K$207=""),"",$G$207-$K$207)</f>
        <v/>
      </c>
      <c r="J207" s="48">
        <f>IF(SUM($L$207:$L$209)=0,"",SUM($L$207:$L$209))</f>
        <v/>
      </c>
      <c r="K207" s="49">
        <f>IF($J$207="","",MAX($N$207:$N$209))</f>
        <v/>
      </c>
      <c r="L207" s="50">
        <f>IF(SUM(U207:AY207)=0,"",SUM(U207:AY207))</f>
        <v/>
      </c>
      <c r="M207" s="51">
        <f>IFERROR(INDEX(U$2:AY$2,MATCH(TRUE,INDEX(U207:AY207&lt;&gt;"",0),0)),"")</f>
        <v/>
      </c>
      <c r="N207" s="51">
        <f>IFERROR(LOOKUP(2,1/(U207:AY207&lt;&gt;""),U$2:AY$2),"")</f>
        <v/>
      </c>
      <c r="O207" s="52" t="n"/>
      <c r="P207" s="52" t="n"/>
      <c r="Q207" s="52" t="n"/>
      <c r="R207" s="44" t="n"/>
      <c r="S207" s="14" t="n"/>
      <c r="U207" s="53" t="n"/>
      <c r="V207" s="53" t="n"/>
      <c r="W207" s="53" t="n"/>
      <c r="X207" s="53" t="n"/>
      <c r="Y207" s="53" t="n"/>
      <c r="Z207" s="53" t="n"/>
      <c r="AA207" s="53" t="n"/>
      <c r="AB207" s="53" t="n"/>
      <c r="AC207" s="53" t="n"/>
      <c r="AD207" s="53" t="n"/>
      <c r="AE207" s="53" t="n"/>
      <c r="AF207" s="53" t="n"/>
      <c r="AG207" s="53" t="n"/>
      <c r="AH207" s="53" t="n"/>
      <c r="AI207" s="53" t="n"/>
      <c r="AJ207" s="53" t="n"/>
      <c r="AK207" s="53" t="n"/>
      <c r="AL207" s="53" t="n"/>
      <c r="AM207" s="53" t="n"/>
      <c r="AN207" s="53" t="n"/>
      <c r="AO207" s="53" t="n"/>
      <c r="AP207" s="53" t="n"/>
      <c r="AQ207" s="53" t="n"/>
      <c r="AR207" s="53" t="n"/>
      <c r="AS207" s="53" t="n"/>
      <c r="AT207" s="53" t="n"/>
      <c r="AU207" s="53" t="n"/>
      <c r="AV207" s="53" t="n"/>
      <c r="AW207" s="53" t="n"/>
      <c r="AX207" s="53" t="n"/>
      <c r="AY207" s="53" t="n"/>
    </row>
    <row r="208" ht="15" customHeight="1">
      <c r="A208" s="54" t="n"/>
      <c r="B208" s="55">
        <f>IF($B$207="","",$B$207)</f>
        <v/>
      </c>
      <c r="C208" s="56" t="inlineStr">
        <is>
          <t>마케팅4팀</t>
        </is>
      </c>
      <c r="D208" s="55">
        <f>IF($D$207="","",$D$207)</f>
        <v/>
      </c>
      <c r="E208" s="57" t="inlineStr">
        <is>
          <t>이미지</t>
        </is>
      </c>
      <c r="F208" s="44" t="n"/>
      <c r="G208" s="58">
        <f>IF($G$207="","",$G$207)</f>
        <v/>
      </c>
      <c r="H208" s="59" t="n"/>
      <c r="I208" s="59" t="n"/>
      <c r="J208" s="59" t="n"/>
      <c r="K208" s="59" t="n"/>
      <c r="L208" s="60">
        <f>IF(SUM(U208:AY208)=0,"",SUM(U208:AY208))</f>
        <v/>
      </c>
      <c r="M208" s="61">
        <f>IFERROR(INDEX(U$2:AY$2,MATCH(TRUE,INDEX(U208:AY208&lt;&gt;"",0),0)),"")</f>
        <v/>
      </c>
      <c r="N208" s="61">
        <f>IFERROR(LOOKUP(2,1/(U208:AY208&lt;&gt;""),U$2:AY$2),"")</f>
        <v/>
      </c>
      <c r="O208" s="59" t="n"/>
      <c r="P208" s="59" t="n"/>
      <c r="Q208" s="59" t="n"/>
      <c r="R208" s="59" t="n"/>
      <c r="S208" s="14" t="n"/>
      <c r="U208" s="53" t="n"/>
      <c r="V208" s="53" t="n"/>
      <c r="W208" s="53" t="n"/>
      <c r="X208" s="53" t="n"/>
      <c r="Y208" s="53" t="n"/>
      <c r="Z208" s="53" t="n"/>
      <c r="AA208" s="53" t="n"/>
      <c r="AB208" s="53" t="n"/>
      <c r="AC208" s="53" t="n"/>
      <c r="AD208" s="53" t="n"/>
      <c r="AE208" s="53" t="n"/>
      <c r="AF208" s="53" t="n"/>
      <c r="AG208" s="53" t="n"/>
      <c r="AH208" s="53" t="n"/>
      <c r="AI208" s="53" t="n"/>
      <c r="AJ208" s="53" t="n"/>
      <c r="AK208" s="53" t="n"/>
      <c r="AL208" s="53" t="n"/>
      <c r="AM208" s="53" t="n"/>
      <c r="AN208" s="53" t="n"/>
      <c r="AO208" s="53" t="n"/>
      <c r="AP208" s="53" t="n"/>
      <c r="AQ208" s="53" t="n"/>
      <c r="AR208" s="53" t="n"/>
      <c r="AS208" s="53" t="n"/>
      <c r="AT208" s="53" t="n"/>
      <c r="AU208" s="53" t="n"/>
      <c r="AV208" s="53" t="n"/>
      <c r="AW208" s="53" t="n"/>
      <c r="AX208" s="53" t="n"/>
      <c r="AY208" s="53" t="n"/>
    </row>
    <row r="209" ht="15" customHeight="1">
      <c r="A209" s="62" t="n"/>
      <c r="B209" s="55">
        <f>IF($B$207="","",$B$207)</f>
        <v/>
      </c>
      <c r="C209" s="63" t="inlineStr">
        <is>
          <t>마케팅4팀</t>
        </is>
      </c>
      <c r="D209" s="55">
        <f>IF($D$207="","",$D$207)</f>
        <v/>
      </c>
      <c r="E209" s="64" t="inlineStr">
        <is>
          <t>영상</t>
        </is>
      </c>
      <c r="F209" s="44" t="n"/>
      <c r="G209" s="58">
        <f>IF($G$207="","",$G$207)</f>
        <v/>
      </c>
      <c r="H209" s="59" t="n"/>
      <c r="I209" s="59" t="n"/>
      <c r="J209" s="59" t="n"/>
      <c r="K209" s="59" t="n"/>
      <c r="L209" s="65">
        <f>IF(SUM(U209:AY209)=0,"",SUM(U209:AY209))</f>
        <v/>
      </c>
      <c r="M209" s="66">
        <f>IFERROR(INDEX(U$2:AY$2,MATCH(TRUE,INDEX(U209:AY209&lt;&gt;"",0),0)),"")</f>
        <v/>
      </c>
      <c r="N209" s="66">
        <f>IFERROR(LOOKUP(2,1/(U209:AY209&lt;&gt;""),U$2:AY$2),"")</f>
        <v/>
      </c>
      <c r="O209" s="59" t="n"/>
      <c r="P209" s="59" t="n"/>
      <c r="Q209" s="59" t="n"/>
      <c r="R209" s="59" t="n"/>
      <c r="S209" s="14" t="n"/>
      <c r="U209" s="53" t="n"/>
      <c r="V209" s="53" t="n"/>
      <c r="W209" s="53" t="n"/>
      <c r="X209" s="53" t="n"/>
      <c r="Y209" s="53" t="n"/>
      <c r="Z209" s="53" t="n"/>
      <c r="AA209" s="53" t="n"/>
      <c r="AB209" s="53" t="n"/>
      <c r="AC209" s="53" t="n"/>
      <c r="AD209" s="53" t="n"/>
      <c r="AE209" s="53" t="n"/>
      <c r="AF209" s="53" t="n"/>
      <c r="AG209" s="53" t="n"/>
      <c r="AH209" s="53" t="n"/>
      <c r="AI209" s="53" t="n"/>
      <c r="AJ209" s="53" t="n"/>
      <c r="AK209" s="53" t="n"/>
      <c r="AL209" s="53" t="n"/>
      <c r="AM209" s="53" t="n"/>
      <c r="AN209" s="53" t="n"/>
      <c r="AO209" s="53" t="n"/>
      <c r="AP209" s="53" t="n"/>
      <c r="AQ209" s="53" t="n"/>
      <c r="AR209" s="53" t="n"/>
      <c r="AS209" s="53" t="n"/>
      <c r="AT209" s="53" t="n"/>
      <c r="AU209" s="53" t="n"/>
      <c r="AV209" s="53" t="n"/>
      <c r="AW209" s="53" t="n"/>
      <c r="AX209" s="53" t="n"/>
      <c r="AY209" s="53" t="n"/>
    </row>
    <row r="210" ht="15" customHeight="1">
      <c r="A210" s="40">
        <f>IF($D$210="","",67)</f>
        <v/>
      </c>
      <c r="B210" s="10" t="n"/>
      <c r="C210" s="41" t="inlineStr">
        <is>
          <t>마케팅4팀</t>
        </is>
      </c>
      <c r="D210" s="42" t="n"/>
      <c r="E210" s="43" t="inlineStr">
        <is>
          <t>기획</t>
        </is>
      </c>
      <c r="F210" s="44" t="n"/>
      <c r="G210" s="45" t="n"/>
      <c r="H210" s="46">
        <f>IF($I$210="","",IF($I$210&lt;0,"🔴지연",IF($I$210&lt;=1,"🟡임박","🟢여유")))</f>
        <v/>
      </c>
      <c r="I210" s="47">
        <f>IF(OR($G$210="",$K$210=""),"",$G$210-$K$210)</f>
        <v/>
      </c>
      <c r="J210" s="48">
        <f>IF(SUM($L$210:$L$212)=0,"",SUM($L$210:$L$212))</f>
        <v/>
      </c>
      <c r="K210" s="49">
        <f>IF($J$210="","",MAX($N$210:$N$212))</f>
        <v/>
      </c>
      <c r="L210" s="50">
        <f>IF(SUM(U210:AY210)=0,"",SUM(U210:AY210))</f>
        <v/>
      </c>
      <c r="M210" s="51">
        <f>IFERROR(INDEX(U$2:AY$2,MATCH(TRUE,INDEX(U210:AY210&lt;&gt;"",0),0)),"")</f>
        <v/>
      </c>
      <c r="N210" s="51">
        <f>IFERROR(LOOKUP(2,1/(U210:AY210&lt;&gt;""),U$2:AY$2),"")</f>
        <v/>
      </c>
      <c r="O210" s="52" t="n"/>
      <c r="P210" s="52" t="n"/>
      <c r="Q210" s="52" t="n"/>
      <c r="R210" s="44" t="n"/>
      <c r="S210" s="14" t="n"/>
      <c r="U210" s="53" t="n"/>
      <c r="V210" s="53" t="n"/>
      <c r="W210" s="53" t="n"/>
      <c r="X210" s="53" t="n"/>
      <c r="Y210" s="53" t="n"/>
      <c r="Z210" s="53" t="n"/>
      <c r="AA210" s="53" t="n"/>
      <c r="AB210" s="53" t="n"/>
      <c r="AC210" s="53" t="n"/>
      <c r="AD210" s="53" t="n"/>
      <c r="AE210" s="53" t="n"/>
      <c r="AF210" s="53" t="n"/>
      <c r="AG210" s="53" t="n"/>
      <c r="AH210" s="53" t="n"/>
      <c r="AI210" s="53" t="n"/>
      <c r="AJ210" s="53" t="n"/>
      <c r="AK210" s="53" t="n"/>
      <c r="AL210" s="53" t="n"/>
      <c r="AM210" s="53" t="n"/>
      <c r="AN210" s="53" t="n"/>
      <c r="AO210" s="53" t="n"/>
      <c r="AP210" s="53" t="n"/>
      <c r="AQ210" s="53" t="n"/>
      <c r="AR210" s="53" t="n"/>
      <c r="AS210" s="53" t="n"/>
      <c r="AT210" s="53" t="n"/>
      <c r="AU210" s="53" t="n"/>
      <c r="AV210" s="53" t="n"/>
      <c r="AW210" s="53" t="n"/>
      <c r="AX210" s="53" t="n"/>
      <c r="AY210" s="53" t="n"/>
    </row>
    <row r="211" ht="15" customHeight="1">
      <c r="A211" s="54" t="n"/>
      <c r="B211" s="55">
        <f>IF($B$210="","",$B$210)</f>
        <v/>
      </c>
      <c r="C211" s="56" t="inlineStr">
        <is>
          <t>마케팅4팀</t>
        </is>
      </c>
      <c r="D211" s="55">
        <f>IF($D$210="","",$D$210)</f>
        <v/>
      </c>
      <c r="E211" s="57" t="inlineStr">
        <is>
          <t>이미지</t>
        </is>
      </c>
      <c r="F211" s="44" t="n"/>
      <c r="G211" s="58">
        <f>IF($G$210="","",$G$210)</f>
        <v/>
      </c>
      <c r="H211" s="59" t="n"/>
      <c r="I211" s="59" t="n"/>
      <c r="J211" s="59" t="n"/>
      <c r="K211" s="59" t="n"/>
      <c r="L211" s="60">
        <f>IF(SUM(U211:AY211)=0,"",SUM(U211:AY211))</f>
        <v/>
      </c>
      <c r="M211" s="61">
        <f>IFERROR(INDEX(U$2:AY$2,MATCH(TRUE,INDEX(U211:AY211&lt;&gt;"",0),0)),"")</f>
        <v/>
      </c>
      <c r="N211" s="61">
        <f>IFERROR(LOOKUP(2,1/(U211:AY211&lt;&gt;""),U$2:AY$2),"")</f>
        <v/>
      </c>
      <c r="O211" s="59" t="n"/>
      <c r="P211" s="59" t="n"/>
      <c r="Q211" s="59" t="n"/>
      <c r="R211" s="59" t="n"/>
      <c r="S211" s="14" t="n"/>
      <c r="U211" s="53" t="n"/>
      <c r="V211" s="53" t="n"/>
      <c r="W211" s="53" t="n"/>
      <c r="X211" s="53" t="n"/>
      <c r="Y211" s="53" t="n"/>
      <c r="Z211" s="53" t="n"/>
      <c r="AA211" s="53" t="n"/>
      <c r="AB211" s="53" t="n"/>
      <c r="AC211" s="53" t="n"/>
      <c r="AD211" s="53" t="n"/>
      <c r="AE211" s="53" t="n"/>
      <c r="AF211" s="53" t="n"/>
      <c r="AG211" s="53" t="n"/>
      <c r="AH211" s="53" t="n"/>
      <c r="AI211" s="53" t="n"/>
      <c r="AJ211" s="53" t="n"/>
      <c r="AK211" s="53" t="n"/>
      <c r="AL211" s="53" t="n"/>
      <c r="AM211" s="53" t="n"/>
      <c r="AN211" s="53" t="n"/>
      <c r="AO211" s="53" t="n"/>
      <c r="AP211" s="53" t="n"/>
      <c r="AQ211" s="53" t="n"/>
      <c r="AR211" s="53" t="n"/>
      <c r="AS211" s="53" t="n"/>
      <c r="AT211" s="53" t="n"/>
      <c r="AU211" s="53" t="n"/>
      <c r="AV211" s="53" t="n"/>
      <c r="AW211" s="53" t="n"/>
      <c r="AX211" s="53" t="n"/>
      <c r="AY211" s="53" t="n"/>
    </row>
    <row r="212" ht="15" customHeight="1">
      <c r="A212" s="62" t="n"/>
      <c r="B212" s="55">
        <f>IF($B$210="","",$B$210)</f>
        <v/>
      </c>
      <c r="C212" s="63" t="inlineStr">
        <is>
          <t>마케팅4팀</t>
        </is>
      </c>
      <c r="D212" s="55">
        <f>IF($D$210="","",$D$210)</f>
        <v/>
      </c>
      <c r="E212" s="64" t="inlineStr">
        <is>
          <t>영상</t>
        </is>
      </c>
      <c r="F212" s="44" t="n"/>
      <c r="G212" s="58">
        <f>IF($G$210="","",$G$210)</f>
        <v/>
      </c>
      <c r="H212" s="59" t="n"/>
      <c r="I212" s="59" t="n"/>
      <c r="J212" s="59" t="n"/>
      <c r="K212" s="59" t="n"/>
      <c r="L212" s="65">
        <f>IF(SUM(U212:AY212)=0,"",SUM(U212:AY212))</f>
        <v/>
      </c>
      <c r="M212" s="66">
        <f>IFERROR(INDEX(U$2:AY$2,MATCH(TRUE,INDEX(U212:AY212&lt;&gt;"",0),0)),"")</f>
        <v/>
      </c>
      <c r="N212" s="66">
        <f>IFERROR(LOOKUP(2,1/(U212:AY212&lt;&gt;""),U$2:AY$2),"")</f>
        <v/>
      </c>
      <c r="O212" s="59" t="n"/>
      <c r="P212" s="59" t="n"/>
      <c r="Q212" s="59" t="n"/>
      <c r="R212" s="59" t="n"/>
      <c r="S212" s="14" t="n"/>
      <c r="U212" s="53" t="n"/>
      <c r="V212" s="53" t="n"/>
      <c r="W212" s="53" t="n"/>
      <c r="X212" s="53" t="n"/>
      <c r="Y212" s="53" t="n"/>
      <c r="Z212" s="53" t="n"/>
      <c r="AA212" s="53" t="n"/>
      <c r="AB212" s="53" t="n"/>
      <c r="AC212" s="53" t="n"/>
      <c r="AD212" s="53" t="n"/>
      <c r="AE212" s="53" t="n"/>
      <c r="AF212" s="53" t="n"/>
      <c r="AG212" s="53" t="n"/>
      <c r="AH212" s="53" t="n"/>
      <c r="AI212" s="53" t="n"/>
      <c r="AJ212" s="53" t="n"/>
      <c r="AK212" s="53" t="n"/>
      <c r="AL212" s="53" t="n"/>
      <c r="AM212" s="53" t="n"/>
      <c r="AN212" s="53" t="n"/>
      <c r="AO212" s="53" t="n"/>
      <c r="AP212" s="53" t="n"/>
      <c r="AQ212" s="53" t="n"/>
      <c r="AR212" s="53" t="n"/>
      <c r="AS212" s="53" t="n"/>
      <c r="AT212" s="53" t="n"/>
      <c r="AU212" s="53" t="n"/>
      <c r="AV212" s="53" t="n"/>
      <c r="AW212" s="53" t="n"/>
      <c r="AX212" s="53" t="n"/>
      <c r="AY212" s="53" t="n"/>
    </row>
    <row r="213" ht="15" customHeight="1">
      <c r="A213" s="40">
        <f>IF($D$213="","",68)</f>
        <v/>
      </c>
      <c r="B213" s="10" t="n"/>
      <c r="C213" s="41" t="inlineStr">
        <is>
          <t>마케팅4팀</t>
        </is>
      </c>
      <c r="D213" s="42" t="n"/>
      <c r="E213" s="43" t="inlineStr">
        <is>
          <t>기획</t>
        </is>
      </c>
      <c r="F213" s="44" t="n"/>
      <c r="G213" s="45" t="n"/>
      <c r="H213" s="46">
        <f>IF($I$213="","",IF($I$213&lt;0,"🔴지연",IF($I$213&lt;=1,"🟡임박","🟢여유")))</f>
        <v/>
      </c>
      <c r="I213" s="47">
        <f>IF(OR($G$213="",$K$213=""),"",$G$213-$K$213)</f>
        <v/>
      </c>
      <c r="J213" s="48">
        <f>IF(SUM($L$213:$L$215)=0,"",SUM($L$213:$L$215))</f>
        <v/>
      </c>
      <c r="K213" s="49">
        <f>IF($J$213="","",MAX($N$213:$N$215))</f>
        <v/>
      </c>
      <c r="L213" s="50">
        <f>IF(SUM(U213:AY213)=0,"",SUM(U213:AY213))</f>
        <v/>
      </c>
      <c r="M213" s="51">
        <f>IFERROR(INDEX(U$2:AY$2,MATCH(TRUE,INDEX(U213:AY213&lt;&gt;"",0),0)),"")</f>
        <v/>
      </c>
      <c r="N213" s="51">
        <f>IFERROR(LOOKUP(2,1/(U213:AY213&lt;&gt;""),U$2:AY$2),"")</f>
        <v/>
      </c>
      <c r="O213" s="52" t="n"/>
      <c r="P213" s="52" t="n"/>
      <c r="Q213" s="52" t="n"/>
      <c r="R213" s="44" t="n"/>
      <c r="S213" s="14" t="n"/>
      <c r="U213" s="53" t="n"/>
      <c r="V213" s="53" t="n"/>
      <c r="W213" s="53" t="n"/>
      <c r="X213" s="53" t="n"/>
      <c r="Y213" s="53" t="n"/>
      <c r="Z213" s="53" t="n"/>
      <c r="AA213" s="53" t="n"/>
      <c r="AB213" s="53" t="n"/>
      <c r="AC213" s="53" t="n"/>
      <c r="AD213" s="53" t="n"/>
      <c r="AE213" s="53" t="n"/>
      <c r="AF213" s="53" t="n"/>
      <c r="AG213" s="53" t="n"/>
      <c r="AH213" s="53" t="n"/>
      <c r="AI213" s="53" t="n"/>
      <c r="AJ213" s="53" t="n"/>
      <c r="AK213" s="53" t="n"/>
      <c r="AL213" s="53" t="n"/>
      <c r="AM213" s="53" t="n"/>
      <c r="AN213" s="53" t="n"/>
      <c r="AO213" s="53" t="n"/>
      <c r="AP213" s="53" t="n"/>
      <c r="AQ213" s="53" t="n"/>
      <c r="AR213" s="53" t="n"/>
      <c r="AS213" s="53" t="n"/>
      <c r="AT213" s="53" t="n"/>
      <c r="AU213" s="53" t="n"/>
      <c r="AV213" s="53" t="n"/>
      <c r="AW213" s="53" t="n"/>
      <c r="AX213" s="53" t="n"/>
      <c r="AY213" s="53" t="n"/>
    </row>
    <row r="214" ht="15" customHeight="1">
      <c r="A214" s="54" t="n"/>
      <c r="B214" s="55">
        <f>IF($B$213="","",$B$213)</f>
        <v/>
      </c>
      <c r="C214" s="56" t="inlineStr">
        <is>
          <t>마케팅4팀</t>
        </is>
      </c>
      <c r="D214" s="55">
        <f>IF($D$213="","",$D$213)</f>
        <v/>
      </c>
      <c r="E214" s="57" t="inlineStr">
        <is>
          <t>이미지</t>
        </is>
      </c>
      <c r="F214" s="44" t="n"/>
      <c r="G214" s="58">
        <f>IF($G$213="","",$G$213)</f>
        <v/>
      </c>
      <c r="H214" s="59" t="n"/>
      <c r="I214" s="59" t="n"/>
      <c r="J214" s="59" t="n"/>
      <c r="K214" s="59" t="n"/>
      <c r="L214" s="60">
        <f>IF(SUM(U214:AY214)=0,"",SUM(U214:AY214))</f>
        <v/>
      </c>
      <c r="M214" s="61">
        <f>IFERROR(INDEX(U$2:AY$2,MATCH(TRUE,INDEX(U214:AY214&lt;&gt;"",0),0)),"")</f>
        <v/>
      </c>
      <c r="N214" s="61">
        <f>IFERROR(LOOKUP(2,1/(U214:AY214&lt;&gt;""),U$2:AY$2),"")</f>
        <v/>
      </c>
      <c r="O214" s="59" t="n"/>
      <c r="P214" s="59" t="n"/>
      <c r="Q214" s="59" t="n"/>
      <c r="R214" s="59" t="n"/>
      <c r="S214" s="14" t="n"/>
      <c r="U214" s="53" t="n"/>
      <c r="V214" s="53" t="n"/>
      <c r="W214" s="53" t="n"/>
      <c r="X214" s="53" t="n"/>
      <c r="Y214" s="53" t="n"/>
      <c r="Z214" s="53" t="n"/>
      <c r="AA214" s="53" t="n"/>
      <c r="AB214" s="53" t="n"/>
      <c r="AC214" s="53" t="n"/>
      <c r="AD214" s="53" t="n"/>
      <c r="AE214" s="53" t="n"/>
      <c r="AF214" s="53" t="n"/>
      <c r="AG214" s="53" t="n"/>
      <c r="AH214" s="53" t="n"/>
      <c r="AI214" s="53" t="n"/>
      <c r="AJ214" s="53" t="n"/>
      <c r="AK214" s="53" t="n"/>
      <c r="AL214" s="53" t="n"/>
      <c r="AM214" s="53" t="n"/>
      <c r="AN214" s="53" t="n"/>
      <c r="AO214" s="53" t="n"/>
      <c r="AP214" s="53" t="n"/>
      <c r="AQ214" s="53" t="n"/>
      <c r="AR214" s="53" t="n"/>
      <c r="AS214" s="53" t="n"/>
      <c r="AT214" s="53" t="n"/>
      <c r="AU214" s="53" t="n"/>
      <c r="AV214" s="53" t="n"/>
      <c r="AW214" s="53" t="n"/>
      <c r="AX214" s="53" t="n"/>
      <c r="AY214" s="53" t="n"/>
    </row>
    <row r="215" ht="15" customHeight="1">
      <c r="A215" s="62" t="n"/>
      <c r="B215" s="55">
        <f>IF($B$213="","",$B$213)</f>
        <v/>
      </c>
      <c r="C215" s="63" t="inlineStr">
        <is>
          <t>마케팅4팀</t>
        </is>
      </c>
      <c r="D215" s="55">
        <f>IF($D$213="","",$D$213)</f>
        <v/>
      </c>
      <c r="E215" s="64" t="inlineStr">
        <is>
          <t>영상</t>
        </is>
      </c>
      <c r="F215" s="44" t="n"/>
      <c r="G215" s="58">
        <f>IF($G$213="","",$G$213)</f>
        <v/>
      </c>
      <c r="H215" s="59" t="n"/>
      <c r="I215" s="59" t="n"/>
      <c r="J215" s="59" t="n"/>
      <c r="K215" s="59" t="n"/>
      <c r="L215" s="65">
        <f>IF(SUM(U215:AY215)=0,"",SUM(U215:AY215))</f>
        <v/>
      </c>
      <c r="M215" s="66">
        <f>IFERROR(INDEX(U$2:AY$2,MATCH(TRUE,INDEX(U215:AY215&lt;&gt;"",0),0)),"")</f>
        <v/>
      </c>
      <c r="N215" s="66">
        <f>IFERROR(LOOKUP(2,1/(U215:AY215&lt;&gt;""),U$2:AY$2),"")</f>
        <v/>
      </c>
      <c r="O215" s="59" t="n"/>
      <c r="P215" s="59" t="n"/>
      <c r="Q215" s="59" t="n"/>
      <c r="R215" s="59" t="n"/>
      <c r="S215" s="14" t="n"/>
      <c r="U215" s="53" t="n"/>
      <c r="V215" s="53" t="n"/>
      <c r="W215" s="53" t="n"/>
      <c r="X215" s="53" t="n"/>
      <c r="Y215" s="53" t="n"/>
      <c r="Z215" s="53" t="n"/>
      <c r="AA215" s="53" t="n"/>
      <c r="AB215" s="53" t="n"/>
      <c r="AC215" s="53" t="n"/>
      <c r="AD215" s="53" t="n"/>
      <c r="AE215" s="53" t="n"/>
      <c r="AF215" s="53" t="n"/>
      <c r="AG215" s="53" t="n"/>
      <c r="AH215" s="53" t="n"/>
      <c r="AI215" s="53" t="n"/>
      <c r="AJ215" s="53" t="n"/>
      <c r="AK215" s="53" t="n"/>
      <c r="AL215" s="53" t="n"/>
      <c r="AM215" s="53" t="n"/>
      <c r="AN215" s="53" t="n"/>
      <c r="AO215" s="53" t="n"/>
      <c r="AP215" s="53" t="n"/>
      <c r="AQ215" s="53" t="n"/>
      <c r="AR215" s="53" t="n"/>
      <c r="AS215" s="53" t="n"/>
      <c r="AT215" s="53" t="n"/>
      <c r="AU215" s="53" t="n"/>
      <c r="AV215" s="53" t="n"/>
      <c r="AW215" s="53" t="n"/>
      <c r="AX215" s="53" t="n"/>
      <c r="AY215" s="53" t="n"/>
    </row>
    <row r="216" ht="15" customHeight="1">
      <c r="A216" s="40">
        <f>IF($D$216="","",69)</f>
        <v/>
      </c>
      <c r="B216" s="10" t="n"/>
      <c r="C216" s="41" t="inlineStr">
        <is>
          <t>마케팅4팀</t>
        </is>
      </c>
      <c r="D216" s="42" t="n"/>
      <c r="E216" s="43" t="inlineStr">
        <is>
          <t>기획</t>
        </is>
      </c>
      <c r="F216" s="44" t="n"/>
      <c r="G216" s="45" t="n"/>
      <c r="H216" s="46">
        <f>IF($I$216="","",IF($I$216&lt;0,"🔴지연",IF($I$216&lt;=1,"🟡임박","🟢여유")))</f>
        <v/>
      </c>
      <c r="I216" s="47">
        <f>IF(OR($G$216="",$K$216=""),"",$G$216-$K$216)</f>
        <v/>
      </c>
      <c r="J216" s="48">
        <f>IF(SUM($L$216:$L$218)=0,"",SUM($L$216:$L$218))</f>
        <v/>
      </c>
      <c r="K216" s="49">
        <f>IF($J$216="","",MAX($N$216:$N$218))</f>
        <v/>
      </c>
      <c r="L216" s="50">
        <f>IF(SUM(U216:AY216)=0,"",SUM(U216:AY216))</f>
        <v/>
      </c>
      <c r="M216" s="51">
        <f>IFERROR(INDEX(U$2:AY$2,MATCH(TRUE,INDEX(U216:AY216&lt;&gt;"",0),0)),"")</f>
        <v/>
      </c>
      <c r="N216" s="51">
        <f>IFERROR(LOOKUP(2,1/(U216:AY216&lt;&gt;""),U$2:AY$2),"")</f>
        <v/>
      </c>
      <c r="O216" s="52" t="n"/>
      <c r="P216" s="52" t="n"/>
      <c r="Q216" s="52" t="n"/>
      <c r="R216" s="44" t="n"/>
      <c r="S216" s="14" t="n"/>
      <c r="U216" s="53" t="n"/>
      <c r="V216" s="53" t="n"/>
      <c r="W216" s="53" t="n"/>
      <c r="X216" s="53" t="n"/>
      <c r="Y216" s="53" t="n"/>
      <c r="Z216" s="53" t="n"/>
      <c r="AA216" s="53" t="n"/>
      <c r="AB216" s="53" t="n"/>
      <c r="AC216" s="53" t="n"/>
      <c r="AD216" s="53" t="n"/>
      <c r="AE216" s="53" t="n"/>
      <c r="AF216" s="53" t="n"/>
      <c r="AG216" s="53" t="n"/>
      <c r="AH216" s="53" t="n"/>
      <c r="AI216" s="53" t="n"/>
      <c r="AJ216" s="53" t="n"/>
      <c r="AK216" s="53" t="n"/>
      <c r="AL216" s="53" t="n"/>
      <c r="AM216" s="53" t="n"/>
      <c r="AN216" s="53" t="n"/>
      <c r="AO216" s="53" t="n"/>
      <c r="AP216" s="53" t="n"/>
      <c r="AQ216" s="53" t="n"/>
      <c r="AR216" s="53" t="n"/>
      <c r="AS216" s="53" t="n"/>
      <c r="AT216" s="53" t="n"/>
      <c r="AU216" s="53" t="n"/>
      <c r="AV216" s="53" t="n"/>
      <c r="AW216" s="53" t="n"/>
      <c r="AX216" s="53" t="n"/>
      <c r="AY216" s="53" t="n"/>
    </row>
    <row r="217" ht="15" customHeight="1">
      <c r="A217" s="54" t="n"/>
      <c r="B217" s="55">
        <f>IF($B$216="","",$B$216)</f>
        <v/>
      </c>
      <c r="C217" s="56" t="inlineStr">
        <is>
          <t>마케팅4팀</t>
        </is>
      </c>
      <c r="D217" s="55">
        <f>IF($D$216="","",$D$216)</f>
        <v/>
      </c>
      <c r="E217" s="57" t="inlineStr">
        <is>
          <t>이미지</t>
        </is>
      </c>
      <c r="F217" s="44" t="n"/>
      <c r="G217" s="58">
        <f>IF($G$216="","",$G$216)</f>
        <v/>
      </c>
      <c r="H217" s="59" t="n"/>
      <c r="I217" s="59" t="n"/>
      <c r="J217" s="59" t="n"/>
      <c r="K217" s="59" t="n"/>
      <c r="L217" s="60">
        <f>IF(SUM(U217:AY217)=0,"",SUM(U217:AY217))</f>
        <v/>
      </c>
      <c r="M217" s="61">
        <f>IFERROR(INDEX(U$2:AY$2,MATCH(TRUE,INDEX(U217:AY217&lt;&gt;"",0),0)),"")</f>
        <v/>
      </c>
      <c r="N217" s="61">
        <f>IFERROR(LOOKUP(2,1/(U217:AY217&lt;&gt;""),U$2:AY$2),"")</f>
        <v/>
      </c>
      <c r="O217" s="59" t="n"/>
      <c r="P217" s="59" t="n"/>
      <c r="Q217" s="59" t="n"/>
      <c r="R217" s="59" t="n"/>
      <c r="S217" s="14" t="n"/>
      <c r="U217" s="53" t="n"/>
      <c r="V217" s="53" t="n"/>
      <c r="W217" s="53" t="n"/>
      <c r="X217" s="53" t="n"/>
      <c r="Y217" s="53" t="n"/>
      <c r="Z217" s="53" t="n"/>
      <c r="AA217" s="53" t="n"/>
      <c r="AB217" s="53" t="n"/>
      <c r="AC217" s="53" t="n"/>
      <c r="AD217" s="53" t="n"/>
      <c r="AE217" s="53" t="n"/>
      <c r="AF217" s="53" t="n"/>
      <c r="AG217" s="53" t="n"/>
      <c r="AH217" s="53" t="n"/>
      <c r="AI217" s="53" t="n"/>
      <c r="AJ217" s="53" t="n"/>
      <c r="AK217" s="53" t="n"/>
      <c r="AL217" s="53" t="n"/>
      <c r="AM217" s="53" t="n"/>
      <c r="AN217" s="53" t="n"/>
      <c r="AO217" s="53" t="n"/>
      <c r="AP217" s="53" t="n"/>
      <c r="AQ217" s="53" t="n"/>
      <c r="AR217" s="53" t="n"/>
      <c r="AS217" s="53" t="n"/>
      <c r="AT217" s="53" t="n"/>
      <c r="AU217" s="53" t="n"/>
      <c r="AV217" s="53" t="n"/>
      <c r="AW217" s="53" t="n"/>
      <c r="AX217" s="53" t="n"/>
      <c r="AY217" s="53" t="n"/>
    </row>
    <row r="218" ht="15" customHeight="1">
      <c r="A218" s="62" t="n"/>
      <c r="B218" s="55">
        <f>IF($B$216="","",$B$216)</f>
        <v/>
      </c>
      <c r="C218" s="63" t="inlineStr">
        <is>
          <t>마케팅4팀</t>
        </is>
      </c>
      <c r="D218" s="55">
        <f>IF($D$216="","",$D$216)</f>
        <v/>
      </c>
      <c r="E218" s="64" t="inlineStr">
        <is>
          <t>영상</t>
        </is>
      </c>
      <c r="F218" s="44" t="n"/>
      <c r="G218" s="58">
        <f>IF($G$216="","",$G$216)</f>
        <v/>
      </c>
      <c r="H218" s="59" t="n"/>
      <c r="I218" s="59" t="n"/>
      <c r="J218" s="59" t="n"/>
      <c r="K218" s="59" t="n"/>
      <c r="L218" s="65">
        <f>IF(SUM(U218:AY218)=0,"",SUM(U218:AY218))</f>
        <v/>
      </c>
      <c r="M218" s="66">
        <f>IFERROR(INDEX(U$2:AY$2,MATCH(TRUE,INDEX(U218:AY218&lt;&gt;"",0),0)),"")</f>
        <v/>
      </c>
      <c r="N218" s="66">
        <f>IFERROR(LOOKUP(2,1/(U218:AY218&lt;&gt;""),U$2:AY$2),"")</f>
        <v/>
      </c>
      <c r="O218" s="59" t="n"/>
      <c r="P218" s="59" t="n"/>
      <c r="Q218" s="59" t="n"/>
      <c r="R218" s="59" t="n"/>
      <c r="S218" s="14" t="n"/>
      <c r="U218" s="53" t="n"/>
      <c r="V218" s="53" t="n"/>
      <c r="W218" s="53" t="n"/>
      <c r="X218" s="53" t="n"/>
      <c r="Y218" s="53" t="n"/>
      <c r="Z218" s="53" t="n"/>
      <c r="AA218" s="53" t="n"/>
      <c r="AB218" s="53" t="n"/>
      <c r="AC218" s="53" t="n"/>
      <c r="AD218" s="53" t="n"/>
      <c r="AE218" s="53" t="n"/>
      <c r="AF218" s="53" t="n"/>
      <c r="AG218" s="53" t="n"/>
      <c r="AH218" s="53" t="n"/>
      <c r="AI218" s="53" t="n"/>
      <c r="AJ218" s="53" t="n"/>
      <c r="AK218" s="53" t="n"/>
      <c r="AL218" s="53" t="n"/>
      <c r="AM218" s="53" t="n"/>
      <c r="AN218" s="53" t="n"/>
      <c r="AO218" s="53" t="n"/>
      <c r="AP218" s="53" t="n"/>
      <c r="AQ218" s="53" t="n"/>
      <c r="AR218" s="53" t="n"/>
      <c r="AS218" s="53" t="n"/>
      <c r="AT218" s="53" t="n"/>
      <c r="AU218" s="53" t="n"/>
      <c r="AV218" s="53" t="n"/>
      <c r="AW218" s="53" t="n"/>
      <c r="AX218" s="53" t="n"/>
      <c r="AY218" s="53" t="n"/>
    </row>
    <row r="219" ht="15" customHeight="1">
      <c r="A219" s="40">
        <f>IF($D$219="","",70)</f>
        <v/>
      </c>
      <c r="B219" s="10" t="n"/>
      <c r="C219" s="41" t="inlineStr">
        <is>
          <t>마케팅4팀</t>
        </is>
      </c>
      <c r="D219" s="42" t="n"/>
      <c r="E219" s="43" t="inlineStr">
        <is>
          <t>기획</t>
        </is>
      </c>
      <c r="F219" s="44" t="n"/>
      <c r="G219" s="45" t="n"/>
      <c r="H219" s="46">
        <f>IF($I$219="","",IF($I$219&lt;0,"🔴지연",IF($I$219&lt;=1,"🟡임박","🟢여유")))</f>
        <v/>
      </c>
      <c r="I219" s="47">
        <f>IF(OR($G$219="",$K$219=""),"",$G$219-$K$219)</f>
        <v/>
      </c>
      <c r="J219" s="48">
        <f>IF(SUM($L$219:$L$221)=0,"",SUM($L$219:$L$221))</f>
        <v/>
      </c>
      <c r="K219" s="49">
        <f>IF($J$219="","",MAX($N$219:$N$221))</f>
        <v/>
      </c>
      <c r="L219" s="50">
        <f>IF(SUM(U219:AY219)=0,"",SUM(U219:AY219))</f>
        <v/>
      </c>
      <c r="M219" s="51">
        <f>IFERROR(INDEX(U$2:AY$2,MATCH(TRUE,INDEX(U219:AY219&lt;&gt;"",0),0)),"")</f>
        <v/>
      </c>
      <c r="N219" s="51">
        <f>IFERROR(LOOKUP(2,1/(U219:AY219&lt;&gt;""),U$2:AY$2),"")</f>
        <v/>
      </c>
      <c r="O219" s="52" t="n"/>
      <c r="P219" s="52" t="n"/>
      <c r="Q219" s="52" t="n"/>
      <c r="R219" s="44" t="n"/>
      <c r="S219" s="14" t="n"/>
      <c r="U219" s="53" t="n"/>
      <c r="V219" s="53" t="n"/>
      <c r="W219" s="53" t="n"/>
      <c r="X219" s="53" t="n"/>
      <c r="Y219" s="53" t="n"/>
      <c r="Z219" s="53" t="n"/>
      <c r="AA219" s="53" t="n"/>
      <c r="AB219" s="53" t="n"/>
      <c r="AC219" s="53" t="n"/>
      <c r="AD219" s="53" t="n"/>
      <c r="AE219" s="53" t="n"/>
      <c r="AF219" s="53" t="n"/>
      <c r="AG219" s="53" t="n"/>
      <c r="AH219" s="53" t="n"/>
      <c r="AI219" s="53" t="n"/>
      <c r="AJ219" s="53" t="n"/>
      <c r="AK219" s="53" t="n"/>
      <c r="AL219" s="53" t="n"/>
      <c r="AM219" s="53" t="n"/>
      <c r="AN219" s="53" t="n"/>
      <c r="AO219" s="53" t="n"/>
      <c r="AP219" s="53" t="n"/>
      <c r="AQ219" s="53" t="n"/>
      <c r="AR219" s="53" t="n"/>
      <c r="AS219" s="53" t="n"/>
      <c r="AT219" s="53" t="n"/>
      <c r="AU219" s="53" t="n"/>
      <c r="AV219" s="53" t="n"/>
      <c r="AW219" s="53" t="n"/>
      <c r="AX219" s="53" t="n"/>
      <c r="AY219" s="53" t="n"/>
    </row>
    <row r="220" ht="15" customHeight="1">
      <c r="A220" s="54" t="n"/>
      <c r="B220" s="55">
        <f>IF($B$219="","",$B$219)</f>
        <v/>
      </c>
      <c r="C220" s="56" t="inlineStr">
        <is>
          <t>마케팅4팀</t>
        </is>
      </c>
      <c r="D220" s="55">
        <f>IF($D$219="","",$D$219)</f>
        <v/>
      </c>
      <c r="E220" s="57" t="inlineStr">
        <is>
          <t>이미지</t>
        </is>
      </c>
      <c r="F220" s="44" t="n"/>
      <c r="G220" s="58">
        <f>IF($G$219="","",$G$219)</f>
        <v/>
      </c>
      <c r="H220" s="59" t="n"/>
      <c r="I220" s="59" t="n"/>
      <c r="J220" s="59" t="n"/>
      <c r="K220" s="59" t="n"/>
      <c r="L220" s="60">
        <f>IF(SUM(U220:AY220)=0,"",SUM(U220:AY220))</f>
        <v/>
      </c>
      <c r="M220" s="61">
        <f>IFERROR(INDEX(U$2:AY$2,MATCH(TRUE,INDEX(U220:AY220&lt;&gt;"",0),0)),"")</f>
        <v/>
      </c>
      <c r="N220" s="61">
        <f>IFERROR(LOOKUP(2,1/(U220:AY220&lt;&gt;""),U$2:AY$2),"")</f>
        <v/>
      </c>
      <c r="O220" s="59" t="n"/>
      <c r="P220" s="59" t="n"/>
      <c r="Q220" s="59" t="n"/>
      <c r="R220" s="59" t="n"/>
      <c r="S220" s="14" t="n"/>
      <c r="U220" s="53" t="n"/>
      <c r="V220" s="53" t="n"/>
      <c r="W220" s="53" t="n"/>
      <c r="X220" s="53" t="n"/>
      <c r="Y220" s="53" t="n"/>
      <c r="Z220" s="53" t="n"/>
      <c r="AA220" s="53" t="n"/>
      <c r="AB220" s="53" t="n"/>
      <c r="AC220" s="53" t="n"/>
      <c r="AD220" s="53" t="n"/>
      <c r="AE220" s="53" t="n"/>
      <c r="AF220" s="53" t="n"/>
      <c r="AG220" s="53" t="n"/>
      <c r="AH220" s="53" t="n"/>
      <c r="AI220" s="53" t="n"/>
      <c r="AJ220" s="53" t="n"/>
      <c r="AK220" s="53" t="n"/>
      <c r="AL220" s="53" t="n"/>
      <c r="AM220" s="53" t="n"/>
      <c r="AN220" s="53" t="n"/>
      <c r="AO220" s="53" t="n"/>
      <c r="AP220" s="53" t="n"/>
      <c r="AQ220" s="53" t="n"/>
      <c r="AR220" s="53" t="n"/>
      <c r="AS220" s="53" t="n"/>
      <c r="AT220" s="53" t="n"/>
      <c r="AU220" s="53" t="n"/>
      <c r="AV220" s="53" t="n"/>
      <c r="AW220" s="53" t="n"/>
      <c r="AX220" s="53" t="n"/>
      <c r="AY220" s="53" t="n"/>
    </row>
    <row r="221" ht="15" customHeight="1">
      <c r="A221" s="62" t="n"/>
      <c r="B221" s="55">
        <f>IF($B$219="","",$B$219)</f>
        <v/>
      </c>
      <c r="C221" s="63" t="inlineStr">
        <is>
          <t>마케팅4팀</t>
        </is>
      </c>
      <c r="D221" s="55">
        <f>IF($D$219="","",$D$219)</f>
        <v/>
      </c>
      <c r="E221" s="64" t="inlineStr">
        <is>
          <t>영상</t>
        </is>
      </c>
      <c r="F221" s="44" t="n"/>
      <c r="G221" s="58">
        <f>IF($G$219="","",$G$219)</f>
        <v/>
      </c>
      <c r="H221" s="59" t="n"/>
      <c r="I221" s="59" t="n"/>
      <c r="J221" s="59" t="n"/>
      <c r="K221" s="59" t="n"/>
      <c r="L221" s="65">
        <f>IF(SUM(U221:AY221)=0,"",SUM(U221:AY221))</f>
        <v/>
      </c>
      <c r="M221" s="66">
        <f>IFERROR(INDEX(U$2:AY$2,MATCH(TRUE,INDEX(U221:AY221&lt;&gt;"",0),0)),"")</f>
        <v/>
      </c>
      <c r="N221" s="66">
        <f>IFERROR(LOOKUP(2,1/(U221:AY221&lt;&gt;""),U$2:AY$2),"")</f>
        <v/>
      </c>
      <c r="O221" s="59" t="n"/>
      <c r="P221" s="59" t="n"/>
      <c r="Q221" s="59" t="n"/>
      <c r="R221" s="59" t="n"/>
      <c r="S221" s="14" t="n"/>
      <c r="U221" s="53" t="n"/>
      <c r="V221" s="53" t="n"/>
      <c r="W221" s="53" t="n"/>
      <c r="X221" s="53" t="n"/>
      <c r="Y221" s="53" t="n"/>
      <c r="Z221" s="53" t="n"/>
      <c r="AA221" s="53" t="n"/>
      <c r="AB221" s="53" t="n"/>
      <c r="AC221" s="53" t="n"/>
      <c r="AD221" s="53" t="n"/>
      <c r="AE221" s="53" t="n"/>
      <c r="AF221" s="53" t="n"/>
      <c r="AG221" s="53" t="n"/>
      <c r="AH221" s="53" t="n"/>
      <c r="AI221" s="53" t="n"/>
      <c r="AJ221" s="53" t="n"/>
      <c r="AK221" s="53" t="n"/>
      <c r="AL221" s="53" t="n"/>
      <c r="AM221" s="53" t="n"/>
      <c r="AN221" s="53" t="n"/>
      <c r="AO221" s="53" t="n"/>
      <c r="AP221" s="53" t="n"/>
      <c r="AQ221" s="53" t="n"/>
      <c r="AR221" s="53" t="n"/>
      <c r="AS221" s="53" t="n"/>
      <c r="AT221" s="53" t="n"/>
      <c r="AU221" s="53" t="n"/>
      <c r="AV221" s="53" t="n"/>
      <c r="AW221" s="53" t="n"/>
      <c r="AX221" s="53" t="n"/>
      <c r="AY221" s="53" t="n"/>
    </row>
    <row r="222" ht="15" customHeight="1">
      <c r="A222" s="40">
        <f>IF($D$222="","",71)</f>
        <v/>
      </c>
      <c r="B222" s="10" t="n"/>
      <c r="C222" s="41" t="inlineStr">
        <is>
          <t>마케팅4팀</t>
        </is>
      </c>
      <c r="D222" s="42" t="n"/>
      <c r="E222" s="43" t="inlineStr">
        <is>
          <t>기획</t>
        </is>
      </c>
      <c r="F222" s="44" t="n"/>
      <c r="G222" s="45" t="n"/>
      <c r="H222" s="46">
        <f>IF($I$222="","",IF($I$222&lt;0,"🔴지연",IF($I$222&lt;=1,"🟡임박","🟢여유")))</f>
        <v/>
      </c>
      <c r="I222" s="47">
        <f>IF(OR($G$222="",$K$222=""),"",$G$222-$K$222)</f>
        <v/>
      </c>
      <c r="J222" s="48">
        <f>IF(SUM($L$222:$L$224)=0,"",SUM($L$222:$L$224))</f>
        <v/>
      </c>
      <c r="K222" s="49">
        <f>IF($J$222="","",MAX($N$222:$N$224))</f>
        <v/>
      </c>
      <c r="L222" s="50">
        <f>IF(SUM(U222:AY222)=0,"",SUM(U222:AY222))</f>
        <v/>
      </c>
      <c r="M222" s="51">
        <f>IFERROR(INDEX(U$2:AY$2,MATCH(TRUE,INDEX(U222:AY222&lt;&gt;"",0),0)),"")</f>
        <v/>
      </c>
      <c r="N222" s="51">
        <f>IFERROR(LOOKUP(2,1/(U222:AY222&lt;&gt;""),U$2:AY$2),"")</f>
        <v/>
      </c>
      <c r="O222" s="52" t="n"/>
      <c r="P222" s="52" t="n"/>
      <c r="Q222" s="52" t="n"/>
      <c r="R222" s="44" t="n"/>
      <c r="S222" s="14" t="n"/>
      <c r="U222" s="53" t="n"/>
      <c r="V222" s="53" t="n"/>
      <c r="W222" s="53" t="n"/>
      <c r="X222" s="53" t="n"/>
      <c r="Y222" s="53" t="n"/>
      <c r="Z222" s="53" t="n"/>
      <c r="AA222" s="53" t="n"/>
      <c r="AB222" s="53" t="n"/>
      <c r="AC222" s="53" t="n"/>
      <c r="AD222" s="53" t="n"/>
      <c r="AE222" s="53" t="n"/>
      <c r="AF222" s="53" t="n"/>
      <c r="AG222" s="53" t="n"/>
      <c r="AH222" s="53" t="n"/>
      <c r="AI222" s="53" t="n"/>
      <c r="AJ222" s="53" t="n"/>
      <c r="AK222" s="53" t="n"/>
      <c r="AL222" s="53" t="n"/>
      <c r="AM222" s="53" t="n"/>
      <c r="AN222" s="53" t="n"/>
      <c r="AO222" s="53" t="n"/>
      <c r="AP222" s="53" t="n"/>
      <c r="AQ222" s="53" t="n"/>
      <c r="AR222" s="53" t="n"/>
      <c r="AS222" s="53" t="n"/>
      <c r="AT222" s="53" t="n"/>
      <c r="AU222" s="53" t="n"/>
      <c r="AV222" s="53" t="n"/>
      <c r="AW222" s="53" t="n"/>
      <c r="AX222" s="53" t="n"/>
      <c r="AY222" s="53" t="n"/>
    </row>
    <row r="223" ht="15" customHeight="1">
      <c r="A223" s="54" t="n"/>
      <c r="B223" s="55">
        <f>IF($B$222="","",$B$222)</f>
        <v/>
      </c>
      <c r="C223" s="56" t="inlineStr">
        <is>
          <t>마케팅4팀</t>
        </is>
      </c>
      <c r="D223" s="55">
        <f>IF($D$222="","",$D$222)</f>
        <v/>
      </c>
      <c r="E223" s="57" t="inlineStr">
        <is>
          <t>이미지</t>
        </is>
      </c>
      <c r="F223" s="44" t="n"/>
      <c r="G223" s="58">
        <f>IF($G$222="","",$G$222)</f>
        <v/>
      </c>
      <c r="H223" s="59" t="n"/>
      <c r="I223" s="59" t="n"/>
      <c r="J223" s="59" t="n"/>
      <c r="K223" s="59" t="n"/>
      <c r="L223" s="60">
        <f>IF(SUM(U223:AY223)=0,"",SUM(U223:AY223))</f>
        <v/>
      </c>
      <c r="M223" s="61">
        <f>IFERROR(INDEX(U$2:AY$2,MATCH(TRUE,INDEX(U223:AY223&lt;&gt;"",0),0)),"")</f>
        <v/>
      </c>
      <c r="N223" s="61">
        <f>IFERROR(LOOKUP(2,1/(U223:AY223&lt;&gt;""),U$2:AY$2),"")</f>
        <v/>
      </c>
      <c r="O223" s="59" t="n"/>
      <c r="P223" s="59" t="n"/>
      <c r="Q223" s="59" t="n"/>
      <c r="R223" s="59" t="n"/>
      <c r="S223" s="14" t="n"/>
      <c r="U223" s="53" t="n"/>
      <c r="V223" s="53" t="n"/>
      <c r="W223" s="53" t="n"/>
      <c r="X223" s="53" t="n"/>
      <c r="Y223" s="53" t="n"/>
      <c r="Z223" s="53" t="n"/>
      <c r="AA223" s="53" t="n"/>
      <c r="AB223" s="53" t="n"/>
      <c r="AC223" s="53" t="n"/>
      <c r="AD223" s="53" t="n"/>
      <c r="AE223" s="53" t="n"/>
      <c r="AF223" s="53" t="n"/>
      <c r="AG223" s="53" t="n"/>
      <c r="AH223" s="53" t="n"/>
      <c r="AI223" s="53" t="n"/>
      <c r="AJ223" s="53" t="n"/>
      <c r="AK223" s="53" t="n"/>
      <c r="AL223" s="53" t="n"/>
      <c r="AM223" s="53" t="n"/>
      <c r="AN223" s="53" t="n"/>
      <c r="AO223" s="53" t="n"/>
      <c r="AP223" s="53" t="n"/>
      <c r="AQ223" s="53" t="n"/>
      <c r="AR223" s="53" t="n"/>
      <c r="AS223" s="53" t="n"/>
      <c r="AT223" s="53" t="n"/>
      <c r="AU223" s="53" t="n"/>
      <c r="AV223" s="53" t="n"/>
      <c r="AW223" s="53" t="n"/>
      <c r="AX223" s="53" t="n"/>
      <c r="AY223" s="53" t="n"/>
    </row>
    <row r="224" ht="15" customHeight="1">
      <c r="A224" s="62" t="n"/>
      <c r="B224" s="55">
        <f>IF($B$222="","",$B$222)</f>
        <v/>
      </c>
      <c r="C224" s="63" t="inlineStr">
        <is>
          <t>마케팅4팀</t>
        </is>
      </c>
      <c r="D224" s="55">
        <f>IF($D$222="","",$D$222)</f>
        <v/>
      </c>
      <c r="E224" s="64" t="inlineStr">
        <is>
          <t>영상</t>
        </is>
      </c>
      <c r="F224" s="44" t="n"/>
      <c r="G224" s="58">
        <f>IF($G$222="","",$G$222)</f>
        <v/>
      </c>
      <c r="H224" s="59" t="n"/>
      <c r="I224" s="59" t="n"/>
      <c r="J224" s="59" t="n"/>
      <c r="K224" s="59" t="n"/>
      <c r="L224" s="65">
        <f>IF(SUM(U224:AY224)=0,"",SUM(U224:AY224))</f>
        <v/>
      </c>
      <c r="M224" s="66">
        <f>IFERROR(INDEX(U$2:AY$2,MATCH(TRUE,INDEX(U224:AY224&lt;&gt;"",0),0)),"")</f>
        <v/>
      </c>
      <c r="N224" s="66">
        <f>IFERROR(LOOKUP(2,1/(U224:AY224&lt;&gt;""),U$2:AY$2),"")</f>
        <v/>
      </c>
      <c r="O224" s="59" t="n"/>
      <c r="P224" s="59" t="n"/>
      <c r="Q224" s="59" t="n"/>
      <c r="R224" s="59" t="n"/>
      <c r="S224" s="14" t="n"/>
      <c r="U224" s="53" t="n"/>
      <c r="V224" s="53" t="n"/>
      <c r="W224" s="53" t="n"/>
      <c r="X224" s="53" t="n"/>
      <c r="Y224" s="53" t="n"/>
      <c r="Z224" s="53" t="n"/>
      <c r="AA224" s="53" t="n"/>
      <c r="AB224" s="53" t="n"/>
      <c r="AC224" s="53" t="n"/>
      <c r="AD224" s="53" t="n"/>
      <c r="AE224" s="53" t="n"/>
      <c r="AF224" s="53" t="n"/>
      <c r="AG224" s="53" t="n"/>
      <c r="AH224" s="53" t="n"/>
      <c r="AI224" s="53" t="n"/>
      <c r="AJ224" s="53" t="n"/>
      <c r="AK224" s="53" t="n"/>
      <c r="AL224" s="53" t="n"/>
      <c r="AM224" s="53" t="n"/>
      <c r="AN224" s="53" t="n"/>
      <c r="AO224" s="53" t="n"/>
      <c r="AP224" s="53" t="n"/>
      <c r="AQ224" s="53" t="n"/>
      <c r="AR224" s="53" t="n"/>
      <c r="AS224" s="53" t="n"/>
      <c r="AT224" s="53" t="n"/>
      <c r="AU224" s="53" t="n"/>
      <c r="AV224" s="53" t="n"/>
      <c r="AW224" s="53" t="n"/>
      <c r="AX224" s="53" t="n"/>
      <c r="AY224" s="53" t="n"/>
    </row>
    <row r="225" ht="15" customHeight="1">
      <c r="A225" s="40">
        <f>IF($D$225="","",72)</f>
        <v/>
      </c>
      <c r="B225" s="10" t="n"/>
      <c r="C225" s="41" t="inlineStr">
        <is>
          <t>마케팅4팀</t>
        </is>
      </c>
      <c r="D225" s="42" t="n"/>
      <c r="E225" s="43" t="inlineStr">
        <is>
          <t>기획</t>
        </is>
      </c>
      <c r="F225" s="44" t="n"/>
      <c r="G225" s="45" t="n"/>
      <c r="H225" s="46">
        <f>IF($I$225="","",IF($I$225&lt;0,"🔴지연",IF($I$225&lt;=1,"🟡임박","🟢여유")))</f>
        <v/>
      </c>
      <c r="I225" s="47">
        <f>IF(OR($G$225="",$K$225=""),"",$G$225-$K$225)</f>
        <v/>
      </c>
      <c r="J225" s="48">
        <f>IF(SUM($L$225:$L$227)=0,"",SUM($L$225:$L$227))</f>
        <v/>
      </c>
      <c r="K225" s="49">
        <f>IF($J$225="","",MAX($N$225:$N$227))</f>
        <v/>
      </c>
      <c r="L225" s="50">
        <f>IF(SUM(U225:AY225)=0,"",SUM(U225:AY225))</f>
        <v/>
      </c>
      <c r="M225" s="51">
        <f>IFERROR(INDEX(U$2:AY$2,MATCH(TRUE,INDEX(U225:AY225&lt;&gt;"",0),0)),"")</f>
        <v/>
      </c>
      <c r="N225" s="51">
        <f>IFERROR(LOOKUP(2,1/(U225:AY225&lt;&gt;""),U$2:AY$2),"")</f>
        <v/>
      </c>
      <c r="O225" s="52" t="n"/>
      <c r="P225" s="52" t="n"/>
      <c r="Q225" s="52" t="n"/>
      <c r="R225" s="44" t="n"/>
      <c r="S225" s="14" t="n"/>
      <c r="U225" s="53" t="n"/>
      <c r="V225" s="53" t="n"/>
      <c r="W225" s="53" t="n"/>
      <c r="X225" s="53" t="n"/>
      <c r="Y225" s="53" t="n"/>
      <c r="Z225" s="53" t="n"/>
      <c r="AA225" s="53" t="n"/>
      <c r="AB225" s="53" t="n"/>
      <c r="AC225" s="53" t="n"/>
      <c r="AD225" s="53" t="n"/>
      <c r="AE225" s="53" t="n"/>
      <c r="AF225" s="53" t="n"/>
      <c r="AG225" s="53" t="n"/>
      <c r="AH225" s="53" t="n"/>
      <c r="AI225" s="53" t="n"/>
      <c r="AJ225" s="53" t="n"/>
      <c r="AK225" s="53" t="n"/>
      <c r="AL225" s="53" t="n"/>
      <c r="AM225" s="53" t="n"/>
      <c r="AN225" s="53" t="n"/>
      <c r="AO225" s="53" t="n"/>
      <c r="AP225" s="53" t="n"/>
      <c r="AQ225" s="53" t="n"/>
      <c r="AR225" s="53" t="n"/>
      <c r="AS225" s="53" t="n"/>
      <c r="AT225" s="53" t="n"/>
      <c r="AU225" s="53" t="n"/>
      <c r="AV225" s="53" t="n"/>
      <c r="AW225" s="53" t="n"/>
      <c r="AX225" s="53" t="n"/>
      <c r="AY225" s="53" t="n"/>
    </row>
    <row r="226" ht="15" customHeight="1">
      <c r="A226" s="54" t="n"/>
      <c r="B226" s="55">
        <f>IF($B$225="","",$B$225)</f>
        <v/>
      </c>
      <c r="C226" s="56" t="inlineStr">
        <is>
          <t>마케팅4팀</t>
        </is>
      </c>
      <c r="D226" s="55">
        <f>IF($D$225="","",$D$225)</f>
        <v/>
      </c>
      <c r="E226" s="57" t="inlineStr">
        <is>
          <t>이미지</t>
        </is>
      </c>
      <c r="F226" s="44" t="n"/>
      <c r="G226" s="58">
        <f>IF($G$225="","",$G$225)</f>
        <v/>
      </c>
      <c r="H226" s="59" t="n"/>
      <c r="I226" s="59" t="n"/>
      <c r="J226" s="59" t="n"/>
      <c r="K226" s="59" t="n"/>
      <c r="L226" s="60">
        <f>IF(SUM(U226:AY226)=0,"",SUM(U226:AY226))</f>
        <v/>
      </c>
      <c r="M226" s="61">
        <f>IFERROR(INDEX(U$2:AY$2,MATCH(TRUE,INDEX(U226:AY226&lt;&gt;"",0),0)),"")</f>
        <v/>
      </c>
      <c r="N226" s="61">
        <f>IFERROR(LOOKUP(2,1/(U226:AY226&lt;&gt;""),U$2:AY$2),"")</f>
        <v/>
      </c>
      <c r="O226" s="59" t="n"/>
      <c r="P226" s="59" t="n"/>
      <c r="Q226" s="59" t="n"/>
      <c r="R226" s="59" t="n"/>
      <c r="S226" s="14" t="n"/>
      <c r="U226" s="53" t="n"/>
      <c r="V226" s="53" t="n"/>
      <c r="W226" s="53" t="n"/>
      <c r="X226" s="53" t="n"/>
      <c r="Y226" s="53" t="n"/>
      <c r="Z226" s="53" t="n"/>
      <c r="AA226" s="53" t="n"/>
      <c r="AB226" s="53" t="n"/>
      <c r="AC226" s="53" t="n"/>
      <c r="AD226" s="53" t="n"/>
      <c r="AE226" s="53" t="n"/>
      <c r="AF226" s="53" t="n"/>
      <c r="AG226" s="53" t="n"/>
      <c r="AH226" s="53" t="n"/>
      <c r="AI226" s="53" t="n"/>
      <c r="AJ226" s="53" t="n"/>
      <c r="AK226" s="53" t="n"/>
      <c r="AL226" s="53" t="n"/>
      <c r="AM226" s="53" t="n"/>
      <c r="AN226" s="53" t="n"/>
      <c r="AO226" s="53" t="n"/>
      <c r="AP226" s="53" t="n"/>
      <c r="AQ226" s="53" t="n"/>
      <c r="AR226" s="53" t="n"/>
      <c r="AS226" s="53" t="n"/>
      <c r="AT226" s="53" t="n"/>
      <c r="AU226" s="53" t="n"/>
      <c r="AV226" s="53" t="n"/>
      <c r="AW226" s="53" t="n"/>
      <c r="AX226" s="53" t="n"/>
      <c r="AY226" s="53" t="n"/>
    </row>
    <row r="227" ht="15" customHeight="1">
      <c r="A227" s="62" t="n"/>
      <c r="B227" s="55">
        <f>IF($B$225="","",$B$225)</f>
        <v/>
      </c>
      <c r="C227" s="63" t="inlineStr">
        <is>
          <t>마케팅4팀</t>
        </is>
      </c>
      <c r="D227" s="55">
        <f>IF($D$225="","",$D$225)</f>
        <v/>
      </c>
      <c r="E227" s="64" t="inlineStr">
        <is>
          <t>영상</t>
        </is>
      </c>
      <c r="F227" s="44" t="n"/>
      <c r="G227" s="58">
        <f>IF($G$225="","",$G$225)</f>
        <v/>
      </c>
      <c r="H227" s="59" t="n"/>
      <c r="I227" s="59" t="n"/>
      <c r="J227" s="59" t="n"/>
      <c r="K227" s="59" t="n"/>
      <c r="L227" s="65">
        <f>IF(SUM(U227:AY227)=0,"",SUM(U227:AY227))</f>
        <v/>
      </c>
      <c r="M227" s="66">
        <f>IFERROR(INDEX(U$2:AY$2,MATCH(TRUE,INDEX(U227:AY227&lt;&gt;"",0),0)),"")</f>
        <v/>
      </c>
      <c r="N227" s="66">
        <f>IFERROR(LOOKUP(2,1/(U227:AY227&lt;&gt;""),U$2:AY$2),"")</f>
        <v/>
      </c>
      <c r="O227" s="59" t="n"/>
      <c r="P227" s="59" t="n"/>
      <c r="Q227" s="59" t="n"/>
      <c r="R227" s="59" t="n"/>
      <c r="S227" s="14" t="n"/>
      <c r="U227" s="53" t="n"/>
      <c r="V227" s="53" t="n"/>
      <c r="W227" s="53" t="n"/>
      <c r="X227" s="53" t="n"/>
      <c r="Y227" s="53" t="n"/>
      <c r="Z227" s="53" t="n"/>
      <c r="AA227" s="53" t="n"/>
      <c r="AB227" s="53" t="n"/>
      <c r="AC227" s="53" t="n"/>
      <c r="AD227" s="53" t="n"/>
      <c r="AE227" s="53" t="n"/>
      <c r="AF227" s="53" t="n"/>
      <c r="AG227" s="53" t="n"/>
      <c r="AH227" s="53" t="n"/>
      <c r="AI227" s="53" t="n"/>
      <c r="AJ227" s="53" t="n"/>
      <c r="AK227" s="53" t="n"/>
      <c r="AL227" s="53" t="n"/>
      <c r="AM227" s="53" t="n"/>
      <c r="AN227" s="53" t="n"/>
      <c r="AO227" s="53" t="n"/>
      <c r="AP227" s="53" t="n"/>
      <c r="AQ227" s="53" t="n"/>
      <c r="AR227" s="53" t="n"/>
      <c r="AS227" s="53" t="n"/>
      <c r="AT227" s="53" t="n"/>
      <c r="AU227" s="53" t="n"/>
      <c r="AV227" s="53" t="n"/>
      <c r="AW227" s="53" t="n"/>
      <c r="AX227" s="53" t="n"/>
      <c r="AY227" s="53" t="n"/>
    </row>
    <row r="228" ht="15" customHeight="1">
      <c r="A228" s="40">
        <f>IF($D$228="","",73)</f>
        <v/>
      </c>
      <c r="B228" s="10" t="n"/>
      <c r="C228" s="41" t="inlineStr">
        <is>
          <t>마케팅4팀</t>
        </is>
      </c>
      <c r="D228" s="42" t="n"/>
      <c r="E228" s="43" t="inlineStr">
        <is>
          <t>기획</t>
        </is>
      </c>
      <c r="F228" s="44" t="n"/>
      <c r="G228" s="45" t="n"/>
      <c r="H228" s="46">
        <f>IF($I$228="","",IF($I$228&lt;0,"🔴지연",IF($I$228&lt;=1,"🟡임박","🟢여유")))</f>
        <v/>
      </c>
      <c r="I228" s="47">
        <f>IF(OR($G$228="",$K$228=""),"",$G$228-$K$228)</f>
        <v/>
      </c>
      <c r="J228" s="48">
        <f>IF(SUM($L$228:$L$230)=0,"",SUM($L$228:$L$230))</f>
        <v/>
      </c>
      <c r="K228" s="49">
        <f>IF($J$228="","",MAX($N$228:$N$230))</f>
        <v/>
      </c>
      <c r="L228" s="50">
        <f>IF(SUM(U228:AY228)=0,"",SUM(U228:AY228))</f>
        <v/>
      </c>
      <c r="M228" s="51">
        <f>IFERROR(INDEX(U$2:AY$2,MATCH(TRUE,INDEX(U228:AY228&lt;&gt;"",0),0)),"")</f>
        <v/>
      </c>
      <c r="N228" s="51">
        <f>IFERROR(LOOKUP(2,1/(U228:AY228&lt;&gt;""),U$2:AY$2),"")</f>
        <v/>
      </c>
      <c r="O228" s="52" t="n"/>
      <c r="P228" s="52" t="n"/>
      <c r="Q228" s="52" t="n"/>
      <c r="R228" s="44" t="n"/>
      <c r="S228" s="14" t="n"/>
      <c r="U228" s="53" t="n"/>
      <c r="V228" s="53" t="n"/>
      <c r="W228" s="53" t="n"/>
      <c r="X228" s="53" t="n"/>
      <c r="Y228" s="53" t="n"/>
      <c r="Z228" s="53" t="n"/>
      <c r="AA228" s="53" t="n"/>
      <c r="AB228" s="53" t="n"/>
      <c r="AC228" s="53" t="n"/>
      <c r="AD228" s="53" t="n"/>
      <c r="AE228" s="53" t="n"/>
      <c r="AF228" s="53" t="n"/>
      <c r="AG228" s="53" t="n"/>
      <c r="AH228" s="53" t="n"/>
      <c r="AI228" s="53" t="n"/>
      <c r="AJ228" s="53" t="n"/>
      <c r="AK228" s="53" t="n"/>
      <c r="AL228" s="53" t="n"/>
      <c r="AM228" s="53" t="n"/>
      <c r="AN228" s="53" t="n"/>
      <c r="AO228" s="53" t="n"/>
      <c r="AP228" s="53" t="n"/>
      <c r="AQ228" s="53" t="n"/>
      <c r="AR228" s="53" t="n"/>
      <c r="AS228" s="53" t="n"/>
      <c r="AT228" s="53" t="n"/>
      <c r="AU228" s="53" t="n"/>
      <c r="AV228" s="53" t="n"/>
      <c r="AW228" s="53" t="n"/>
      <c r="AX228" s="53" t="n"/>
      <c r="AY228" s="53" t="n"/>
    </row>
    <row r="229" ht="15" customHeight="1">
      <c r="A229" s="54" t="n"/>
      <c r="B229" s="55">
        <f>IF($B$228="","",$B$228)</f>
        <v/>
      </c>
      <c r="C229" s="56" t="inlineStr">
        <is>
          <t>마케팅4팀</t>
        </is>
      </c>
      <c r="D229" s="55">
        <f>IF($D$228="","",$D$228)</f>
        <v/>
      </c>
      <c r="E229" s="57" t="inlineStr">
        <is>
          <t>이미지</t>
        </is>
      </c>
      <c r="F229" s="44" t="n"/>
      <c r="G229" s="58">
        <f>IF($G$228="","",$G$228)</f>
        <v/>
      </c>
      <c r="H229" s="59" t="n"/>
      <c r="I229" s="59" t="n"/>
      <c r="J229" s="59" t="n"/>
      <c r="K229" s="59" t="n"/>
      <c r="L229" s="60">
        <f>IF(SUM(U229:AY229)=0,"",SUM(U229:AY229))</f>
        <v/>
      </c>
      <c r="M229" s="61">
        <f>IFERROR(INDEX(U$2:AY$2,MATCH(TRUE,INDEX(U229:AY229&lt;&gt;"",0),0)),"")</f>
        <v/>
      </c>
      <c r="N229" s="61">
        <f>IFERROR(LOOKUP(2,1/(U229:AY229&lt;&gt;""),U$2:AY$2),"")</f>
        <v/>
      </c>
      <c r="O229" s="59" t="n"/>
      <c r="P229" s="59" t="n"/>
      <c r="Q229" s="59" t="n"/>
      <c r="R229" s="59" t="n"/>
      <c r="S229" s="14" t="n"/>
      <c r="U229" s="53" t="n"/>
      <c r="V229" s="53" t="n"/>
      <c r="W229" s="53" t="n"/>
      <c r="X229" s="53" t="n"/>
      <c r="Y229" s="53" t="n"/>
      <c r="Z229" s="53" t="n"/>
      <c r="AA229" s="53" t="n"/>
      <c r="AB229" s="53" t="n"/>
      <c r="AC229" s="53" t="n"/>
      <c r="AD229" s="53" t="n"/>
      <c r="AE229" s="53" t="n"/>
      <c r="AF229" s="53" t="n"/>
      <c r="AG229" s="53" t="n"/>
      <c r="AH229" s="53" t="n"/>
      <c r="AI229" s="53" t="n"/>
      <c r="AJ229" s="53" t="n"/>
      <c r="AK229" s="53" t="n"/>
      <c r="AL229" s="53" t="n"/>
      <c r="AM229" s="53" t="n"/>
      <c r="AN229" s="53" t="n"/>
      <c r="AO229" s="53" t="n"/>
      <c r="AP229" s="53" t="n"/>
      <c r="AQ229" s="53" t="n"/>
      <c r="AR229" s="53" t="n"/>
      <c r="AS229" s="53" t="n"/>
      <c r="AT229" s="53" t="n"/>
      <c r="AU229" s="53" t="n"/>
      <c r="AV229" s="53" t="n"/>
      <c r="AW229" s="53" t="n"/>
      <c r="AX229" s="53" t="n"/>
      <c r="AY229" s="53" t="n"/>
    </row>
    <row r="230" ht="15" customHeight="1">
      <c r="A230" s="62" t="n"/>
      <c r="B230" s="55">
        <f>IF($B$228="","",$B$228)</f>
        <v/>
      </c>
      <c r="C230" s="63" t="inlineStr">
        <is>
          <t>마케팅4팀</t>
        </is>
      </c>
      <c r="D230" s="55">
        <f>IF($D$228="","",$D$228)</f>
        <v/>
      </c>
      <c r="E230" s="64" t="inlineStr">
        <is>
          <t>영상</t>
        </is>
      </c>
      <c r="F230" s="44" t="n"/>
      <c r="G230" s="58">
        <f>IF($G$228="","",$G$228)</f>
        <v/>
      </c>
      <c r="H230" s="59" t="n"/>
      <c r="I230" s="59" t="n"/>
      <c r="J230" s="59" t="n"/>
      <c r="K230" s="59" t="n"/>
      <c r="L230" s="65">
        <f>IF(SUM(U230:AY230)=0,"",SUM(U230:AY230))</f>
        <v/>
      </c>
      <c r="M230" s="66">
        <f>IFERROR(INDEX(U$2:AY$2,MATCH(TRUE,INDEX(U230:AY230&lt;&gt;"",0),0)),"")</f>
        <v/>
      </c>
      <c r="N230" s="66">
        <f>IFERROR(LOOKUP(2,1/(U230:AY230&lt;&gt;""),U$2:AY$2),"")</f>
        <v/>
      </c>
      <c r="O230" s="59" t="n"/>
      <c r="P230" s="59" t="n"/>
      <c r="Q230" s="59" t="n"/>
      <c r="R230" s="59" t="n"/>
      <c r="S230" s="14" t="n"/>
      <c r="U230" s="53" t="n"/>
      <c r="V230" s="53" t="n"/>
      <c r="W230" s="53" t="n"/>
      <c r="X230" s="53" t="n"/>
      <c r="Y230" s="53" t="n"/>
      <c r="Z230" s="53" t="n"/>
      <c r="AA230" s="53" t="n"/>
      <c r="AB230" s="53" t="n"/>
      <c r="AC230" s="53" t="n"/>
      <c r="AD230" s="53" t="n"/>
      <c r="AE230" s="53" t="n"/>
      <c r="AF230" s="53" t="n"/>
      <c r="AG230" s="53" t="n"/>
      <c r="AH230" s="53" t="n"/>
      <c r="AI230" s="53" t="n"/>
      <c r="AJ230" s="53" t="n"/>
      <c r="AK230" s="53" t="n"/>
      <c r="AL230" s="53" t="n"/>
      <c r="AM230" s="53" t="n"/>
      <c r="AN230" s="53" t="n"/>
      <c r="AO230" s="53" t="n"/>
      <c r="AP230" s="53" t="n"/>
      <c r="AQ230" s="53" t="n"/>
      <c r="AR230" s="53" t="n"/>
      <c r="AS230" s="53" t="n"/>
      <c r="AT230" s="53" t="n"/>
      <c r="AU230" s="53" t="n"/>
      <c r="AV230" s="53" t="n"/>
      <c r="AW230" s="53" t="n"/>
      <c r="AX230" s="53" t="n"/>
      <c r="AY230" s="53" t="n"/>
    </row>
    <row r="231" ht="15" customHeight="1">
      <c r="A231" s="40">
        <f>IF($D$231="","",74)</f>
        <v/>
      </c>
      <c r="B231" s="10" t="n"/>
      <c r="C231" s="41" t="inlineStr">
        <is>
          <t>마케팅4팀</t>
        </is>
      </c>
      <c r="D231" s="42" t="n"/>
      <c r="E231" s="43" t="inlineStr">
        <is>
          <t>기획</t>
        </is>
      </c>
      <c r="F231" s="44" t="n"/>
      <c r="G231" s="45" t="n"/>
      <c r="H231" s="46">
        <f>IF($I$231="","",IF($I$231&lt;0,"🔴지연",IF($I$231&lt;=1,"🟡임박","🟢여유")))</f>
        <v/>
      </c>
      <c r="I231" s="47">
        <f>IF(OR($G$231="",$K$231=""),"",$G$231-$K$231)</f>
        <v/>
      </c>
      <c r="J231" s="48">
        <f>IF(SUM($L$231:$L$233)=0,"",SUM($L$231:$L$233))</f>
        <v/>
      </c>
      <c r="K231" s="49">
        <f>IF($J$231="","",MAX($N$231:$N$233))</f>
        <v/>
      </c>
      <c r="L231" s="50">
        <f>IF(SUM(U231:AY231)=0,"",SUM(U231:AY231))</f>
        <v/>
      </c>
      <c r="M231" s="51">
        <f>IFERROR(INDEX(U$2:AY$2,MATCH(TRUE,INDEX(U231:AY231&lt;&gt;"",0),0)),"")</f>
        <v/>
      </c>
      <c r="N231" s="51">
        <f>IFERROR(LOOKUP(2,1/(U231:AY231&lt;&gt;""),U$2:AY$2),"")</f>
        <v/>
      </c>
      <c r="O231" s="52" t="n"/>
      <c r="P231" s="52" t="n"/>
      <c r="Q231" s="52" t="n"/>
      <c r="R231" s="44" t="n"/>
      <c r="S231" s="14" t="n"/>
      <c r="U231" s="53" t="n"/>
      <c r="V231" s="53" t="n"/>
      <c r="W231" s="53" t="n"/>
      <c r="X231" s="53" t="n"/>
      <c r="Y231" s="53" t="n"/>
      <c r="Z231" s="53" t="n"/>
      <c r="AA231" s="53" t="n"/>
      <c r="AB231" s="53" t="n"/>
      <c r="AC231" s="53" t="n"/>
      <c r="AD231" s="53" t="n"/>
      <c r="AE231" s="53" t="n"/>
      <c r="AF231" s="53" t="n"/>
      <c r="AG231" s="53" t="n"/>
      <c r="AH231" s="53" t="n"/>
      <c r="AI231" s="53" t="n"/>
      <c r="AJ231" s="53" t="n"/>
      <c r="AK231" s="53" t="n"/>
      <c r="AL231" s="53" t="n"/>
      <c r="AM231" s="53" t="n"/>
      <c r="AN231" s="53" t="n"/>
      <c r="AO231" s="53" t="n"/>
      <c r="AP231" s="53" t="n"/>
      <c r="AQ231" s="53" t="n"/>
      <c r="AR231" s="53" t="n"/>
      <c r="AS231" s="53" t="n"/>
      <c r="AT231" s="53" t="n"/>
      <c r="AU231" s="53" t="n"/>
      <c r="AV231" s="53" t="n"/>
      <c r="AW231" s="53" t="n"/>
      <c r="AX231" s="53" t="n"/>
      <c r="AY231" s="53" t="n"/>
    </row>
    <row r="232" ht="15" customHeight="1">
      <c r="A232" s="54" t="n"/>
      <c r="B232" s="55">
        <f>IF($B$231="","",$B$231)</f>
        <v/>
      </c>
      <c r="C232" s="56" t="inlineStr">
        <is>
          <t>마케팅4팀</t>
        </is>
      </c>
      <c r="D232" s="55">
        <f>IF($D$231="","",$D$231)</f>
        <v/>
      </c>
      <c r="E232" s="57" t="inlineStr">
        <is>
          <t>이미지</t>
        </is>
      </c>
      <c r="F232" s="44" t="n"/>
      <c r="G232" s="58">
        <f>IF($G$231="","",$G$231)</f>
        <v/>
      </c>
      <c r="H232" s="59" t="n"/>
      <c r="I232" s="59" t="n"/>
      <c r="J232" s="59" t="n"/>
      <c r="K232" s="59" t="n"/>
      <c r="L232" s="60">
        <f>IF(SUM(U232:AY232)=0,"",SUM(U232:AY232))</f>
        <v/>
      </c>
      <c r="M232" s="61">
        <f>IFERROR(INDEX(U$2:AY$2,MATCH(TRUE,INDEX(U232:AY232&lt;&gt;"",0),0)),"")</f>
        <v/>
      </c>
      <c r="N232" s="61">
        <f>IFERROR(LOOKUP(2,1/(U232:AY232&lt;&gt;""),U$2:AY$2),"")</f>
        <v/>
      </c>
      <c r="O232" s="59" t="n"/>
      <c r="P232" s="59" t="n"/>
      <c r="Q232" s="59" t="n"/>
      <c r="R232" s="59" t="n"/>
      <c r="S232" s="14" t="n"/>
      <c r="U232" s="53" t="n"/>
      <c r="V232" s="53" t="n"/>
      <c r="W232" s="53" t="n"/>
      <c r="X232" s="53" t="n"/>
      <c r="Y232" s="53" t="n"/>
      <c r="Z232" s="53" t="n"/>
      <c r="AA232" s="53" t="n"/>
      <c r="AB232" s="53" t="n"/>
      <c r="AC232" s="53" t="n"/>
      <c r="AD232" s="53" t="n"/>
      <c r="AE232" s="53" t="n"/>
      <c r="AF232" s="53" t="n"/>
      <c r="AG232" s="53" t="n"/>
      <c r="AH232" s="53" t="n"/>
      <c r="AI232" s="53" t="n"/>
      <c r="AJ232" s="53" t="n"/>
      <c r="AK232" s="53" t="n"/>
      <c r="AL232" s="53" t="n"/>
      <c r="AM232" s="53" t="n"/>
      <c r="AN232" s="53" t="n"/>
      <c r="AO232" s="53" t="n"/>
      <c r="AP232" s="53" t="n"/>
      <c r="AQ232" s="53" t="n"/>
      <c r="AR232" s="53" t="n"/>
      <c r="AS232" s="53" t="n"/>
      <c r="AT232" s="53" t="n"/>
      <c r="AU232" s="53" t="n"/>
      <c r="AV232" s="53" t="n"/>
      <c r="AW232" s="53" t="n"/>
      <c r="AX232" s="53" t="n"/>
      <c r="AY232" s="53" t="n"/>
    </row>
    <row r="233" ht="15" customHeight="1">
      <c r="A233" s="62" t="n"/>
      <c r="B233" s="55">
        <f>IF($B$231="","",$B$231)</f>
        <v/>
      </c>
      <c r="C233" s="63" t="inlineStr">
        <is>
          <t>마케팅4팀</t>
        </is>
      </c>
      <c r="D233" s="55">
        <f>IF($D$231="","",$D$231)</f>
        <v/>
      </c>
      <c r="E233" s="64" t="inlineStr">
        <is>
          <t>영상</t>
        </is>
      </c>
      <c r="F233" s="44" t="n"/>
      <c r="G233" s="58">
        <f>IF($G$231="","",$G$231)</f>
        <v/>
      </c>
      <c r="H233" s="59" t="n"/>
      <c r="I233" s="59" t="n"/>
      <c r="J233" s="59" t="n"/>
      <c r="K233" s="59" t="n"/>
      <c r="L233" s="65">
        <f>IF(SUM(U233:AY233)=0,"",SUM(U233:AY233))</f>
        <v/>
      </c>
      <c r="M233" s="66">
        <f>IFERROR(INDEX(U$2:AY$2,MATCH(TRUE,INDEX(U233:AY233&lt;&gt;"",0),0)),"")</f>
        <v/>
      </c>
      <c r="N233" s="66">
        <f>IFERROR(LOOKUP(2,1/(U233:AY233&lt;&gt;""),U$2:AY$2),"")</f>
        <v/>
      </c>
      <c r="O233" s="59" t="n"/>
      <c r="P233" s="59" t="n"/>
      <c r="Q233" s="59" t="n"/>
      <c r="R233" s="59" t="n"/>
      <c r="S233" s="14" t="n"/>
      <c r="U233" s="53" t="n"/>
      <c r="V233" s="53" t="n"/>
      <c r="W233" s="53" t="n"/>
      <c r="X233" s="53" t="n"/>
      <c r="Y233" s="53" t="n"/>
      <c r="Z233" s="53" t="n"/>
      <c r="AA233" s="53" t="n"/>
      <c r="AB233" s="53" t="n"/>
      <c r="AC233" s="53" t="n"/>
      <c r="AD233" s="53" t="n"/>
      <c r="AE233" s="53" t="n"/>
      <c r="AF233" s="53" t="n"/>
      <c r="AG233" s="53" t="n"/>
      <c r="AH233" s="53" t="n"/>
      <c r="AI233" s="53" t="n"/>
      <c r="AJ233" s="53" t="n"/>
      <c r="AK233" s="53" t="n"/>
      <c r="AL233" s="53" t="n"/>
      <c r="AM233" s="53" t="n"/>
      <c r="AN233" s="53" t="n"/>
      <c r="AO233" s="53" t="n"/>
      <c r="AP233" s="53" t="n"/>
      <c r="AQ233" s="53" t="n"/>
      <c r="AR233" s="53" t="n"/>
      <c r="AS233" s="53" t="n"/>
      <c r="AT233" s="53" t="n"/>
      <c r="AU233" s="53" t="n"/>
      <c r="AV233" s="53" t="n"/>
      <c r="AW233" s="53" t="n"/>
      <c r="AX233" s="53" t="n"/>
      <c r="AY233" s="53" t="n"/>
    </row>
    <row r="234" ht="15" customHeight="1">
      <c r="A234" s="40">
        <f>IF($D$234="","",75)</f>
        <v/>
      </c>
      <c r="B234" s="10" t="n"/>
      <c r="C234" s="41" t="inlineStr">
        <is>
          <t>마케팅4팀</t>
        </is>
      </c>
      <c r="D234" s="42" t="n"/>
      <c r="E234" s="43" t="inlineStr">
        <is>
          <t>기획</t>
        </is>
      </c>
      <c r="F234" s="44" t="n"/>
      <c r="G234" s="45" t="n"/>
      <c r="H234" s="46">
        <f>IF($I$234="","",IF($I$234&lt;0,"🔴지연",IF($I$234&lt;=1,"🟡임박","🟢여유")))</f>
        <v/>
      </c>
      <c r="I234" s="47">
        <f>IF(OR($G$234="",$K$234=""),"",$G$234-$K$234)</f>
        <v/>
      </c>
      <c r="J234" s="48">
        <f>IF(SUM($L$234:$L$236)=0,"",SUM($L$234:$L$236))</f>
        <v/>
      </c>
      <c r="K234" s="49">
        <f>IF($J$234="","",MAX($N$234:$N$236))</f>
        <v/>
      </c>
      <c r="L234" s="50">
        <f>IF(SUM(U234:AY234)=0,"",SUM(U234:AY234))</f>
        <v/>
      </c>
      <c r="M234" s="51">
        <f>IFERROR(INDEX(U$2:AY$2,MATCH(TRUE,INDEX(U234:AY234&lt;&gt;"",0),0)),"")</f>
        <v/>
      </c>
      <c r="N234" s="51">
        <f>IFERROR(LOOKUP(2,1/(U234:AY234&lt;&gt;""),U$2:AY$2),"")</f>
        <v/>
      </c>
      <c r="O234" s="52" t="n"/>
      <c r="P234" s="52" t="n"/>
      <c r="Q234" s="52" t="n"/>
      <c r="R234" s="44" t="n"/>
      <c r="S234" s="14" t="n"/>
      <c r="U234" s="53" t="n"/>
      <c r="V234" s="53" t="n"/>
      <c r="W234" s="53" t="n"/>
      <c r="X234" s="53" t="n"/>
      <c r="Y234" s="53" t="n"/>
      <c r="Z234" s="53" t="n"/>
      <c r="AA234" s="53" t="n"/>
      <c r="AB234" s="53" t="n"/>
      <c r="AC234" s="53" t="n"/>
      <c r="AD234" s="53" t="n"/>
      <c r="AE234" s="53" t="n"/>
      <c r="AF234" s="53" t="n"/>
      <c r="AG234" s="53" t="n"/>
      <c r="AH234" s="53" t="n"/>
      <c r="AI234" s="53" t="n"/>
      <c r="AJ234" s="53" t="n"/>
      <c r="AK234" s="53" t="n"/>
      <c r="AL234" s="53" t="n"/>
      <c r="AM234" s="53" t="n"/>
      <c r="AN234" s="53" t="n"/>
      <c r="AO234" s="53" t="n"/>
      <c r="AP234" s="53" t="n"/>
      <c r="AQ234" s="53" t="n"/>
      <c r="AR234" s="53" t="n"/>
      <c r="AS234" s="53" t="n"/>
      <c r="AT234" s="53" t="n"/>
      <c r="AU234" s="53" t="n"/>
      <c r="AV234" s="53" t="n"/>
      <c r="AW234" s="53" t="n"/>
      <c r="AX234" s="53" t="n"/>
      <c r="AY234" s="53" t="n"/>
    </row>
    <row r="235" ht="15" customHeight="1">
      <c r="A235" s="54" t="n"/>
      <c r="B235" s="55">
        <f>IF($B$234="","",$B$234)</f>
        <v/>
      </c>
      <c r="C235" s="56" t="inlineStr">
        <is>
          <t>마케팅4팀</t>
        </is>
      </c>
      <c r="D235" s="55">
        <f>IF($D$234="","",$D$234)</f>
        <v/>
      </c>
      <c r="E235" s="57" t="inlineStr">
        <is>
          <t>이미지</t>
        </is>
      </c>
      <c r="F235" s="44" t="n"/>
      <c r="G235" s="58">
        <f>IF($G$234="","",$G$234)</f>
        <v/>
      </c>
      <c r="H235" s="59" t="n"/>
      <c r="I235" s="59" t="n"/>
      <c r="J235" s="59" t="n"/>
      <c r="K235" s="59" t="n"/>
      <c r="L235" s="60">
        <f>IF(SUM(U235:AY235)=0,"",SUM(U235:AY235))</f>
        <v/>
      </c>
      <c r="M235" s="61">
        <f>IFERROR(INDEX(U$2:AY$2,MATCH(TRUE,INDEX(U235:AY235&lt;&gt;"",0),0)),"")</f>
        <v/>
      </c>
      <c r="N235" s="61">
        <f>IFERROR(LOOKUP(2,1/(U235:AY235&lt;&gt;""),U$2:AY$2),"")</f>
        <v/>
      </c>
      <c r="O235" s="59" t="n"/>
      <c r="P235" s="59" t="n"/>
      <c r="Q235" s="59" t="n"/>
      <c r="R235" s="59" t="n"/>
      <c r="S235" s="14" t="n"/>
      <c r="U235" s="53" t="n"/>
      <c r="V235" s="53" t="n"/>
      <c r="W235" s="53" t="n"/>
      <c r="X235" s="53" t="n"/>
      <c r="Y235" s="53" t="n"/>
      <c r="Z235" s="53" t="n"/>
      <c r="AA235" s="53" t="n"/>
      <c r="AB235" s="53" t="n"/>
      <c r="AC235" s="53" t="n"/>
      <c r="AD235" s="53" t="n"/>
      <c r="AE235" s="53" t="n"/>
      <c r="AF235" s="53" t="n"/>
      <c r="AG235" s="53" t="n"/>
      <c r="AH235" s="53" t="n"/>
      <c r="AI235" s="53" t="n"/>
      <c r="AJ235" s="53" t="n"/>
      <c r="AK235" s="53" t="n"/>
      <c r="AL235" s="53" t="n"/>
      <c r="AM235" s="53" t="n"/>
      <c r="AN235" s="53" t="n"/>
      <c r="AO235" s="53" t="n"/>
      <c r="AP235" s="53" t="n"/>
      <c r="AQ235" s="53" t="n"/>
      <c r="AR235" s="53" t="n"/>
      <c r="AS235" s="53" t="n"/>
      <c r="AT235" s="53" t="n"/>
      <c r="AU235" s="53" t="n"/>
      <c r="AV235" s="53" t="n"/>
      <c r="AW235" s="53" t="n"/>
      <c r="AX235" s="53" t="n"/>
      <c r="AY235" s="53" t="n"/>
    </row>
    <row r="236" ht="15" customHeight="1">
      <c r="A236" s="62" t="n"/>
      <c r="B236" s="55">
        <f>IF($B$234="","",$B$234)</f>
        <v/>
      </c>
      <c r="C236" s="63" t="inlineStr">
        <is>
          <t>마케팅4팀</t>
        </is>
      </c>
      <c r="D236" s="55">
        <f>IF($D$234="","",$D$234)</f>
        <v/>
      </c>
      <c r="E236" s="64" t="inlineStr">
        <is>
          <t>영상</t>
        </is>
      </c>
      <c r="F236" s="44" t="n"/>
      <c r="G236" s="58">
        <f>IF($G$234="","",$G$234)</f>
        <v/>
      </c>
      <c r="H236" s="59" t="n"/>
      <c r="I236" s="59" t="n"/>
      <c r="J236" s="59" t="n"/>
      <c r="K236" s="59" t="n"/>
      <c r="L236" s="65">
        <f>IF(SUM(U236:AY236)=0,"",SUM(U236:AY236))</f>
        <v/>
      </c>
      <c r="M236" s="66">
        <f>IFERROR(INDEX(U$2:AY$2,MATCH(TRUE,INDEX(U236:AY236&lt;&gt;"",0),0)),"")</f>
        <v/>
      </c>
      <c r="N236" s="66">
        <f>IFERROR(LOOKUP(2,1/(U236:AY236&lt;&gt;""),U$2:AY$2),"")</f>
        <v/>
      </c>
      <c r="O236" s="59" t="n"/>
      <c r="P236" s="59" t="n"/>
      <c r="Q236" s="59" t="n"/>
      <c r="R236" s="59" t="n"/>
      <c r="S236" s="14" t="n"/>
      <c r="U236" s="53" t="n"/>
      <c r="V236" s="53" t="n"/>
      <c r="W236" s="53" t="n"/>
      <c r="X236" s="53" t="n"/>
      <c r="Y236" s="53" t="n"/>
      <c r="Z236" s="53" t="n"/>
      <c r="AA236" s="53" t="n"/>
      <c r="AB236" s="53" t="n"/>
      <c r="AC236" s="53" t="n"/>
      <c r="AD236" s="53" t="n"/>
      <c r="AE236" s="53" t="n"/>
      <c r="AF236" s="53" t="n"/>
      <c r="AG236" s="53" t="n"/>
      <c r="AH236" s="53" t="n"/>
      <c r="AI236" s="53" t="n"/>
      <c r="AJ236" s="53" t="n"/>
      <c r="AK236" s="53" t="n"/>
      <c r="AL236" s="53" t="n"/>
      <c r="AM236" s="53" t="n"/>
      <c r="AN236" s="53" t="n"/>
      <c r="AO236" s="53" t="n"/>
      <c r="AP236" s="53" t="n"/>
      <c r="AQ236" s="53" t="n"/>
      <c r="AR236" s="53" t="n"/>
      <c r="AS236" s="53" t="n"/>
      <c r="AT236" s="53" t="n"/>
      <c r="AU236" s="53" t="n"/>
      <c r="AV236" s="53" t="n"/>
      <c r="AW236" s="53" t="n"/>
      <c r="AX236" s="53" t="n"/>
      <c r="AY236" s="53" t="n"/>
    </row>
    <row r="237" ht="15" customHeight="1">
      <c r="A237" s="40">
        <f>IF($D$237="","",76)</f>
        <v/>
      </c>
      <c r="B237" s="10" t="n"/>
      <c r="C237" s="41" t="inlineStr">
        <is>
          <t>마케팅4팀</t>
        </is>
      </c>
      <c r="D237" s="42" t="n"/>
      <c r="E237" s="43" t="inlineStr">
        <is>
          <t>기획</t>
        </is>
      </c>
      <c r="F237" s="44" t="n"/>
      <c r="G237" s="45" t="n"/>
      <c r="H237" s="46">
        <f>IF($I$237="","",IF($I$237&lt;0,"🔴지연",IF($I$237&lt;=1,"🟡임박","🟢여유")))</f>
        <v/>
      </c>
      <c r="I237" s="47">
        <f>IF(OR($G$237="",$K$237=""),"",$G$237-$K$237)</f>
        <v/>
      </c>
      <c r="J237" s="48">
        <f>IF(SUM($L$237:$L$239)=0,"",SUM($L$237:$L$239))</f>
        <v/>
      </c>
      <c r="K237" s="49">
        <f>IF($J$237="","",MAX($N$237:$N$239))</f>
        <v/>
      </c>
      <c r="L237" s="50">
        <f>IF(SUM(U237:AY237)=0,"",SUM(U237:AY237))</f>
        <v/>
      </c>
      <c r="M237" s="51">
        <f>IFERROR(INDEX(U$2:AY$2,MATCH(TRUE,INDEX(U237:AY237&lt;&gt;"",0),0)),"")</f>
        <v/>
      </c>
      <c r="N237" s="51">
        <f>IFERROR(LOOKUP(2,1/(U237:AY237&lt;&gt;""),U$2:AY$2),"")</f>
        <v/>
      </c>
      <c r="O237" s="52" t="n"/>
      <c r="P237" s="52" t="n"/>
      <c r="Q237" s="52" t="n"/>
      <c r="R237" s="44" t="n"/>
      <c r="S237" s="14" t="n"/>
      <c r="U237" s="53" t="n"/>
      <c r="V237" s="53" t="n"/>
      <c r="W237" s="53" t="n"/>
      <c r="X237" s="53" t="n"/>
      <c r="Y237" s="53" t="n"/>
      <c r="Z237" s="53" t="n"/>
      <c r="AA237" s="53" t="n"/>
      <c r="AB237" s="53" t="n"/>
      <c r="AC237" s="53" t="n"/>
      <c r="AD237" s="53" t="n"/>
      <c r="AE237" s="53" t="n"/>
      <c r="AF237" s="53" t="n"/>
      <c r="AG237" s="53" t="n"/>
      <c r="AH237" s="53" t="n"/>
      <c r="AI237" s="53" t="n"/>
      <c r="AJ237" s="53" t="n"/>
      <c r="AK237" s="53" t="n"/>
      <c r="AL237" s="53" t="n"/>
      <c r="AM237" s="53" t="n"/>
      <c r="AN237" s="53" t="n"/>
      <c r="AO237" s="53" t="n"/>
      <c r="AP237" s="53" t="n"/>
      <c r="AQ237" s="53" t="n"/>
      <c r="AR237" s="53" t="n"/>
      <c r="AS237" s="53" t="n"/>
      <c r="AT237" s="53" t="n"/>
      <c r="AU237" s="53" t="n"/>
      <c r="AV237" s="53" t="n"/>
      <c r="AW237" s="53" t="n"/>
      <c r="AX237" s="53" t="n"/>
      <c r="AY237" s="53" t="n"/>
    </row>
    <row r="238" ht="15" customHeight="1">
      <c r="A238" s="54" t="n"/>
      <c r="B238" s="55">
        <f>IF($B$237="","",$B$237)</f>
        <v/>
      </c>
      <c r="C238" s="56" t="inlineStr">
        <is>
          <t>마케팅4팀</t>
        </is>
      </c>
      <c r="D238" s="55">
        <f>IF($D$237="","",$D$237)</f>
        <v/>
      </c>
      <c r="E238" s="57" t="inlineStr">
        <is>
          <t>이미지</t>
        </is>
      </c>
      <c r="F238" s="44" t="n"/>
      <c r="G238" s="58">
        <f>IF($G$237="","",$G$237)</f>
        <v/>
      </c>
      <c r="H238" s="59" t="n"/>
      <c r="I238" s="59" t="n"/>
      <c r="J238" s="59" t="n"/>
      <c r="K238" s="59" t="n"/>
      <c r="L238" s="60">
        <f>IF(SUM(U238:AY238)=0,"",SUM(U238:AY238))</f>
        <v/>
      </c>
      <c r="M238" s="61">
        <f>IFERROR(INDEX(U$2:AY$2,MATCH(TRUE,INDEX(U238:AY238&lt;&gt;"",0),0)),"")</f>
        <v/>
      </c>
      <c r="N238" s="61">
        <f>IFERROR(LOOKUP(2,1/(U238:AY238&lt;&gt;""),U$2:AY$2),"")</f>
        <v/>
      </c>
      <c r="O238" s="59" t="n"/>
      <c r="P238" s="59" t="n"/>
      <c r="Q238" s="59" t="n"/>
      <c r="R238" s="59" t="n"/>
      <c r="S238" s="14" t="n"/>
      <c r="U238" s="53" t="n"/>
      <c r="V238" s="53" t="n"/>
      <c r="W238" s="53" t="n"/>
      <c r="X238" s="53" t="n"/>
      <c r="Y238" s="53" t="n"/>
      <c r="Z238" s="53" t="n"/>
      <c r="AA238" s="53" t="n"/>
      <c r="AB238" s="53" t="n"/>
      <c r="AC238" s="53" t="n"/>
      <c r="AD238" s="53" t="n"/>
      <c r="AE238" s="53" t="n"/>
      <c r="AF238" s="53" t="n"/>
      <c r="AG238" s="53" t="n"/>
      <c r="AH238" s="53" t="n"/>
      <c r="AI238" s="53" t="n"/>
      <c r="AJ238" s="53" t="n"/>
      <c r="AK238" s="53" t="n"/>
      <c r="AL238" s="53" t="n"/>
      <c r="AM238" s="53" t="n"/>
      <c r="AN238" s="53" t="n"/>
      <c r="AO238" s="53" t="n"/>
      <c r="AP238" s="53" t="n"/>
      <c r="AQ238" s="53" t="n"/>
      <c r="AR238" s="53" t="n"/>
      <c r="AS238" s="53" t="n"/>
      <c r="AT238" s="53" t="n"/>
      <c r="AU238" s="53" t="n"/>
      <c r="AV238" s="53" t="n"/>
      <c r="AW238" s="53" t="n"/>
      <c r="AX238" s="53" t="n"/>
      <c r="AY238" s="53" t="n"/>
    </row>
    <row r="239" ht="15" customHeight="1">
      <c r="A239" s="62" t="n"/>
      <c r="B239" s="55">
        <f>IF($B$237="","",$B$237)</f>
        <v/>
      </c>
      <c r="C239" s="63" t="inlineStr">
        <is>
          <t>마케팅4팀</t>
        </is>
      </c>
      <c r="D239" s="55">
        <f>IF($D$237="","",$D$237)</f>
        <v/>
      </c>
      <c r="E239" s="64" t="inlineStr">
        <is>
          <t>영상</t>
        </is>
      </c>
      <c r="F239" s="44" t="n"/>
      <c r="G239" s="58">
        <f>IF($G$237="","",$G$237)</f>
        <v/>
      </c>
      <c r="H239" s="59" t="n"/>
      <c r="I239" s="59" t="n"/>
      <c r="J239" s="59" t="n"/>
      <c r="K239" s="59" t="n"/>
      <c r="L239" s="65">
        <f>IF(SUM(U239:AY239)=0,"",SUM(U239:AY239))</f>
        <v/>
      </c>
      <c r="M239" s="66">
        <f>IFERROR(INDEX(U$2:AY$2,MATCH(TRUE,INDEX(U239:AY239&lt;&gt;"",0),0)),"")</f>
        <v/>
      </c>
      <c r="N239" s="66">
        <f>IFERROR(LOOKUP(2,1/(U239:AY239&lt;&gt;""),U$2:AY$2),"")</f>
        <v/>
      </c>
      <c r="O239" s="59" t="n"/>
      <c r="P239" s="59" t="n"/>
      <c r="Q239" s="59" t="n"/>
      <c r="R239" s="59" t="n"/>
      <c r="S239" s="14" t="n"/>
      <c r="U239" s="53" t="n"/>
      <c r="V239" s="53" t="n"/>
      <c r="W239" s="53" t="n"/>
      <c r="X239" s="53" t="n"/>
      <c r="Y239" s="53" t="n"/>
      <c r="Z239" s="53" t="n"/>
      <c r="AA239" s="53" t="n"/>
      <c r="AB239" s="53" t="n"/>
      <c r="AC239" s="53" t="n"/>
      <c r="AD239" s="53" t="n"/>
      <c r="AE239" s="53" t="n"/>
      <c r="AF239" s="53" t="n"/>
      <c r="AG239" s="53" t="n"/>
      <c r="AH239" s="53" t="n"/>
      <c r="AI239" s="53" t="n"/>
      <c r="AJ239" s="53" t="n"/>
      <c r="AK239" s="53" t="n"/>
      <c r="AL239" s="53" t="n"/>
      <c r="AM239" s="53" t="n"/>
      <c r="AN239" s="53" t="n"/>
      <c r="AO239" s="53" t="n"/>
      <c r="AP239" s="53" t="n"/>
      <c r="AQ239" s="53" t="n"/>
      <c r="AR239" s="53" t="n"/>
      <c r="AS239" s="53" t="n"/>
      <c r="AT239" s="53" t="n"/>
      <c r="AU239" s="53" t="n"/>
      <c r="AV239" s="53" t="n"/>
      <c r="AW239" s="53" t="n"/>
      <c r="AX239" s="53" t="n"/>
      <c r="AY239" s="53" t="n"/>
    </row>
    <row r="240" ht="15" customHeight="1">
      <c r="A240" s="40">
        <f>IF($D$240="","",77)</f>
        <v/>
      </c>
      <c r="B240" s="10" t="n"/>
      <c r="C240" s="41" t="inlineStr">
        <is>
          <t>마케팅4팀</t>
        </is>
      </c>
      <c r="D240" s="42" t="n"/>
      <c r="E240" s="43" t="inlineStr">
        <is>
          <t>기획</t>
        </is>
      </c>
      <c r="F240" s="44" t="n"/>
      <c r="G240" s="45" t="n"/>
      <c r="H240" s="46">
        <f>IF($I$240="","",IF($I$240&lt;0,"🔴지연",IF($I$240&lt;=1,"🟡임박","🟢여유")))</f>
        <v/>
      </c>
      <c r="I240" s="47">
        <f>IF(OR($G$240="",$K$240=""),"",$G$240-$K$240)</f>
        <v/>
      </c>
      <c r="J240" s="48">
        <f>IF(SUM($L$240:$L$242)=0,"",SUM($L$240:$L$242))</f>
        <v/>
      </c>
      <c r="K240" s="49">
        <f>IF($J$240="","",MAX($N$240:$N$242))</f>
        <v/>
      </c>
      <c r="L240" s="50">
        <f>IF(SUM(U240:AY240)=0,"",SUM(U240:AY240))</f>
        <v/>
      </c>
      <c r="M240" s="51">
        <f>IFERROR(INDEX(U$2:AY$2,MATCH(TRUE,INDEX(U240:AY240&lt;&gt;"",0),0)),"")</f>
        <v/>
      </c>
      <c r="N240" s="51">
        <f>IFERROR(LOOKUP(2,1/(U240:AY240&lt;&gt;""),U$2:AY$2),"")</f>
        <v/>
      </c>
      <c r="O240" s="52" t="n"/>
      <c r="P240" s="52" t="n"/>
      <c r="Q240" s="52" t="n"/>
      <c r="R240" s="44" t="n"/>
      <c r="S240" s="14" t="n"/>
      <c r="U240" s="53" t="n"/>
      <c r="V240" s="53" t="n"/>
      <c r="W240" s="53" t="n"/>
      <c r="X240" s="53" t="n"/>
      <c r="Y240" s="53" t="n"/>
      <c r="Z240" s="53" t="n"/>
      <c r="AA240" s="53" t="n"/>
      <c r="AB240" s="53" t="n"/>
      <c r="AC240" s="53" t="n"/>
      <c r="AD240" s="53" t="n"/>
      <c r="AE240" s="53" t="n"/>
      <c r="AF240" s="53" t="n"/>
      <c r="AG240" s="53" t="n"/>
      <c r="AH240" s="53" t="n"/>
      <c r="AI240" s="53" t="n"/>
      <c r="AJ240" s="53" t="n"/>
      <c r="AK240" s="53" t="n"/>
      <c r="AL240" s="53" t="n"/>
      <c r="AM240" s="53" t="n"/>
      <c r="AN240" s="53" t="n"/>
      <c r="AO240" s="53" t="n"/>
      <c r="AP240" s="53" t="n"/>
      <c r="AQ240" s="53" t="n"/>
      <c r="AR240" s="53" t="n"/>
      <c r="AS240" s="53" t="n"/>
      <c r="AT240" s="53" t="n"/>
      <c r="AU240" s="53" t="n"/>
      <c r="AV240" s="53" t="n"/>
      <c r="AW240" s="53" t="n"/>
      <c r="AX240" s="53" t="n"/>
      <c r="AY240" s="53" t="n"/>
    </row>
    <row r="241" ht="15" customHeight="1">
      <c r="A241" s="54" t="n"/>
      <c r="B241" s="55">
        <f>IF($B$240="","",$B$240)</f>
        <v/>
      </c>
      <c r="C241" s="56" t="inlineStr">
        <is>
          <t>마케팅4팀</t>
        </is>
      </c>
      <c r="D241" s="55">
        <f>IF($D$240="","",$D$240)</f>
        <v/>
      </c>
      <c r="E241" s="57" t="inlineStr">
        <is>
          <t>이미지</t>
        </is>
      </c>
      <c r="F241" s="44" t="n"/>
      <c r="G241" s="58">
        <f>IF($G$240="","",$G$240)</f>
        <v/>
      </c>
      <c r="H241" s="59" t="n"/>
      <c r="I241" s="59" t="n"/>
      <c r="J241" s="59" t="n"/>
      <c r="K241" s="59" t="n"/>
      <c r="L241" s="60">
        <f>IF(SUM(U241:AY241)=0,"",SUM(U241:AY241))</f>
        <v/>
      </c>
      <c r="M241" s="61">
        <f>IFERROR(INDEX(U$2:AY$2,MATCH(TRUE,INDEX(U241:AY241&lt;&gt;"",0),0)),"")</f>
        <v/>
      </c>
      <c r="N241" s="61">
        <f>IFERROR(LOOKUP(2,1/(U241:AY241&lt;&gt;""),U$2:AY$2),"")</f>
        <v/>
      </c>
      <c r="O241" s="59" t="n"/>
      <c r="P241" s="59" t="n"/>
      <c r="Q241" s="59" t="n"/>
      <c r="R241" s="59" t="n"/>
      <c r="S241" s="14" t="n"/>
      <c r="U241" s="53" t="n"/>
      <c r="V241" s="53" t="n"/>
      <c r="W241" s="53" t="n"/>
      <c r="X241" s="53" t="n"/>
      <c r="Y241" s="53" t="n"/>
      <c r="Z241" s="53" t="n"/>
      <c r="AA241" s="53" t="n"/>
      <c r="AB241" s="53" t="n"/>
      <c r="AC241" s="53" t="n"/>
      <c r="AD241" s="53" t="n"/>
      <c r="AE241" s="53" t="n"/>
      <c r="AF241" s="53" t="n"/>
      <c r="AG241" s="53" t="n"/>
      <c r="AH241" s="53" t="n"/>
      <c r="AI241" s="53" t="n"/>
      <c r="AJ241" s="53" t="n"/>
      <c r="AK241" s="53" t="n"/>
      <c r="AL241" s="53" t="n"/>
      <c r="AM241" s="53" t="n"/>
      <c r="AN241" s="53" t="n"/>
      <c r="AO241" s="53" t="n"/>
      <c r="AP241" s="53" t="n"/>
      <c r="AQ241" s="53" t="n"/>
      <c r="AR241" s="53" t="n"/>
      <c r="AS241" s="53" t="n"/>
      <c r="AT241" s="53" t="n"/>
      <c r="AU241" s="53" t="n"/>
      <c r="AV241" s="53" t="n"/>
      <c r="AW241" s="53" t="n"/>
      <c r="AX241" s="53" t="n"/>
      <c r="AY241" s="53" t="n"/>
    </row>
    <row r="242" ht="15" customHeight="1">
      <c r="A242" s="62" t="n"/>
      <c r="B242" s="55">
        <f>IF($B$240="","",$B$240)</f>
        <v/>
      </c>
      <c r="C242" s="63" t="inlineStr">
        <is>
          <t>마케팅4팀</t>
        </is>
      </c>
      <c r="D242" s="55">
        <f>IF($D$240="","",$D$240)</f>
        <v/>
      </c>
      <c r="E242" s="64" t="inlineStr">
        <is>
          <t>영상</t>
        </is>
      </c>
      <c r="F242" s="44" t="n"/>
      <c r="G242" s="58">
        <f>IF($G$240="","",$G$240)</f>
        <v/>
      </c>
      <c r="H242" s="59" t="n"/>
      <c r="I242" s="59" t="n"/>
      <c r="J242" s="59" t="n"/>
      <c r="K242" s="59" t="n"/>
      <c r="L242" s="65">
        <f>IF(SUM(U242:AY242)=0,"",SUM(U242:AY242))</f>
        <v/>
      </c>
      <c r="M242" s="66">
        <f>IFERROR(INDEX(U$2:AY$2,MATCH(TRUE,INDEX(U242:AY242&lt;&gt;"",0),0)),"")</f>
        <v/>
      </c>
      <c r="N242" s="66">
        <f>IFERROR(LOOKUP(2,1/(U242:AY242&lt;&gt;""),U$2:AY$2),"")</f>
        <v/>
      </c>
      <c r="O242" s="59" t="n"/>
      <c r="P242" s="59" t="n"/>
      <c r="Q242" s="59" t="n"/>
      <c r="R242" s="59" t="n"/>
      <c r="S242" s="14" t="n"/>
      <c r="U242" s="53" t="n"/>
      <c r="V242" s="53" t="n"/>
      <c r="W242" s="53" t="n"/>
      <c r="X242" s="53" t="n"/>
      <c r="Y242" s="53" t="n"/>
      <c r="Z242" s="53" t="n"/>
      <c r="AA242" s="53" t="n"/>
      <c r="AB242" s="53" t="n"/>
      <c r="AC242" s="53" t="n"/>
      <c r="AD242" s="53" t="n"/>
      <c r="AE242" s="53" t="n"/>
      <c r="AF242" s="53" t="n"/>
      <c r="AG242" s="53" t="n"/>
      <c r="AH242" s="53" t="n"/>
      <c r="AI242" s="53" t="n"/>
      <c r="AJ242" s="53" t="n"/>
      <c r="AK242" s="53" t="n"/>
      <c r="AL242" s="53" t="n"/>
      <c r="AM242" s="53" t="n"/>
      <c r="AN242" s="53" t="n"/>
      <c r="AO242" s="53" t="n"/>
      <c r="AP242" s="53" t="n"/>
      <c r="AQ242" s="53" t="n"/>
      <c r="AR242" s="53" t="n"/>
      <c r="AS242" s="53" t="n"/>
      <c r="AT242" s="53" t="n"/>
      <c r="AU242" s="53" t="n"/>
      <c r="AV242" s="53" t="n"/>
      <c r="AW242" s="53" t="n"/>
      <c r="AX242" s="53" t="n"/>
      <c r="AY242" s="53" t="n"/>
    </row>
    <row r="243" ht="15" customHeight="1">
      <c r="A243" s="40">
        <f>IF($D$243="","",78)</f>
        <v/>
      </c>
      <c r="B243" s="10" t="n"/>
      <c r="C243" s="41" t="inlineStr">
        <is>
          <t>마케팅4팀</t>
        </is>
      </c>
      <c r="D243" s="42" t="n"/>
      <c r="E243" s="43" t="inlineStr">
        <is>
          <t>기획</t>
        </is>
      </c>
      <c r="F243" s="44" t="n"/>
      <c r="G243" s="45" t="n"/>
      <c r="H243" s="46">
        <f>IF($I$243="","",IF($I$243&lt;0,"🔴지연",IF($I$243&lt;=1,"🟡임박","🟢여유")))</f>
        <v/>
      </c>
      <c r="I243" s="47">
        <f>IF(OR($G$243="",$K$243=""),"",$G$243-$K$243)</f>
        <v/>
      </c>
      <c r="J243" s="48">
        <f>IF(SUM($L$243:$L$245)=0,"",SUM($L$243:$L$245))</f>
        <v/>
      </c>
      <c r="K243" s="49">
        <f>IF($J$243="","",MAX($N$243:$N$245))</f>
        <v/>
      </c>
      <c r="L243" s="50">
        <f>IF(SUM(U243:AY243)=0,"",SUM(U243:AY243))</f>
        <v/>
      </c>
      <c r="M243" s="51">
        <f>IFERROR(INDEX(U$2:AY$2,MATCH(TRUE,INDEX(U243:AY243&lt;&gt;"",0),0)),"")</f>
        <v/>
      </c>
      <c r="N243" s="51">
        <f>IFERROR(LOOKUP(2,1/(U243:AY243&lt;&gt;""),U$2:AY$2),"")</f>
        <v/>
      </c>
      <c r="O243" s="52" t="n"/>
      <c r="P243" s="52" t="n"/>
      <c r="Q243" s="52" t="n"/>
      <c r="R243" s="44" t="n"/>
      <c r="S243" s="14" t="n"/>
      <c r="U243" s="53" t="n"/>
      <c r="V243" s="53" t="n"/>
      <c r="W243" s="53" t="n"/>
      <c r="X243" s="53" t="n"/>
      <c r="Y243" s="53" t="n"/>
      <c r="Z243" s="53" t="n"/>
      <c r="AA243" s="53" t="n"/>
      <c r="AB243" s="53" t="n"/>
      <c r="AC243" s="53" t="n"/>
      <c r="AD243" s="53" t="n"/>
      <c r="AE243" s="53" t="n"/>
      <c r="AF243" s="53" t="n"/>
      <c r="AG243" s="53" t="n"/>
      <c r="AH243" s="53" t="n"/>
      <c r="AI243" s="53" t="n"/>
      <c r="AJ243" s="53" t="n"/>
      <c r="AK243" s="53" t="n"/>
      <c r="AL243" s="53" t="n"/>
      <c r="AM243" s="53" t="n"/>
      <c r="AN243" s="53" t="n"/>
      <c r="AO243" s="53" t="n"/>
      <c r="AP243" s="53" t="n"/>
      <c r="AQ243" s="53" t="n"/>
      <c r="AR243" s="53" t="n"/>
      <c r="AS243" s="53" t="n"/>
      <c r="AT243" s="53" t="n"/>
      <c r="AU243" s="53" t="n"/>
      <c r="AV243" s="53" t="n"/>
      <c r="AW243" s="53" t="n"/>
      <c r="AX243" s="53" t="n"/>
      <c r="AY243" s="53" t="n"/>
    </row>
    <row r="244" ht="15" customHeight="1">
      <c r="A244" s="54" t="n"/>
      <c r="B244" s="55">
        <f>IF($B$243="","",$B$243)</f>
        <v/>
      </c>
      <c r="C244" s="56" t="inlineStr">
        <is>
          <t>마케팅4팀</t>
        </is>
      </c>
      <c r="D244" s="55">
        <f>IF($D$243="","",$D$243)</f>
        <v/>
      </c>
      <c r="E244" s="57" t="inlineStr">
        <is>
          <t>이미지</t>
        </is>
      </c>
      <c r="F244" s="44" t="n"/>
      <c r="G244" s="58">
        <f>IF($G$243="","",$G$243)</f>
        <v/>
      </c>
      <c r="H244" s="59" t="n"/>
      <c r="I244" s="59" t="n"/>
      <c r="J244" s="59" t="n"/>
      <c r="K244" s="59" t="n"/>
      <c r="L244" s="60">
        <f>IF(SUM(U244:AY244)=0,"",SUM(U244:AY244))</f>
        <v/>
      </c>
      <c r="M244" s="61">
        <f>IFERROR(INDEX(U$2:AY$2,MATCH(TRUE,INDEX(U244:AY244&lt;&gt;"",0),0)),"")</f>
        <v/>
      </c>
      <c r="N244" s="61">
        <f>IFERROR(LOOKUP(2,1/(U244:AY244&lt;&gt;""),U$2:AY$2),"")</f>
        <v/>
      </c>
      <c r="O244" s="59" t="n"/>
      <c r="P244" s="59" t="n"/>
      <c r="Q244" s="59" t="n"/>
      <c r="R244" s="59" t="n"/>
      <c r="S244" s="14" t="n"/>
      <c r="U244" s="53" t="n"/>
      <c r="V244" s="53" t="n"/>
      <c r="W244" s="53" t="n"/>
      <c r="X244" s="53" t="n"/>
      <c r="Y244" s="53" t="n"/>
      <c r="Z244" s="53" t="n"/>
      <c r="AA244" s="53" t="n"/>
      <c r="AB244" s="53" t="n"/>
      <c r="AC244" s="53" t="n"/>
      <c r="AD244" s="53" t="n"/>
      <c r="AE244" s="53" t="n"/>
      <c r="AF244" s="53" t="n"/>
      <c r="AG244" s="53" t="n"/>
      <c r="AH244" s="53" t="n"/>
      <c r="AI244" s="53" t="n"/>
      <c r="AJ244" s="53" t="n"/>
      <c r="AK244" s="53" t="n"/>
      <c r="AL244" s="53" t="n"/>
      <c r="AM244" s="53" t="n"/>
      <c r="AN244" s="53" t="n"/>
      <c r="AO244" s="53" t="n"/>
      <c r="AP244" s="53" t="n"/>
      <c r="AQ244" s="53" t="n"/>
      <c r="AR244" s="53" t="n"/>
      <c r="AS244" s="53" t="n"/>
      <c r="AT244" s="53" t="n"/>
      <c r="AU244" s="53" t="n"/>
      <c r="AV244" s="53" t="n"/>
      <c r="AW244" s="53" t="n"/>
      <c r="AX244" s="53" t="n"/>
      <c r="AY244" s="53" t="n"/>
    </row>
    <row r="245" ht="15" customHeight="1">
      <c r="A245" s="62" t="n"/>
      <c r="B245" s="55">
        <f>IF($B$243="","",$B$243)</f>
        <v/>
      </c>
      <c r="C245" s="63" t="inlineStr">
        <is>
          <t>마케팅4팀</t>
        </is>
      </c>
      <c r="D245" s="55">
        <f>IF($D$243="","",$D$243)</f>
        <v/>
      </c>
      <c r="E245" s="64" t="inlineStr">
        <is>
          <t>영상</t>
        </is>
      </c>
      <c r="F245" s="44" t="n"/>
      <c r="G245" s="58">
        <f>IF($G$243="","",$G$243)</f>
        <v/>
      </c>
      <c r="H245" s="59" t="n"/>
      <c r="I245" s="59" t="n"/>
      <c r="J245" s="59" t="n"/>
      <c r="K245" s="59" t="n"/>
      <c r="L245" s="65">
        <f>IF(SUM(U245:AY245)=0,"",SUM(U245:AY245))</f>
        <v/>
      </c>
      <c r="M245" s="66">
        <f>IFERROR(INDEX(U$2:AY$2,MATCH(TRUE,INDEX(U245:AY245&lt;&gt;"",0),0)),"")</f>
        <v/>
      </c>
      <c r="N245" s="66">
        <f>IFERROR(LOOKUP(2,1/(U245:AY245&lt;&gt;""),U$2:AY$2),"")</f>
        <v/>
      </c>
      <c r="O245" s="59" t="n"/>
      <c r="P245" s="59" t="n"/>
      <c r="Q245" s="59" t="n"/>
      <c r="R245" s="59" t="n"/>
      <c r="S245" s="14" t="n"/>
      <c r="U245" s="53" t="n"/>
      <c r="V245" s="53" t="n"/>
      <c r="W245" s="53" t="n"/>
      <c r="X245" s="53" t="n"/>
      <c r="Y245" s="53" t="n"/>
      <c r="Z245" s="53" t="n"/>
      <c r="AA245" s="53" t="n"/>
      <c r="AB245" s="53" t="n"/>
      <c r="AC245" s="53" t="n"/>
      <c r="AD245" s="53" t="n"/>
      <c r="AE245" s="53" t="n"/>
      <c r="AF245" s="53" t="n"/>
      <c r="AG245" s="53" t="n"/>
      <c r="AH245" s="53" t="n"/>
      <c r="AI245" s="53" t="n"/>
      <c r="AJ245" s="53" t="n"/>
      <c r="AK245" s="53" t="n"/>
      <c r="AL245" s="53" t="n"/>
      <c r="AM245" s="53" t="n"/>
      <c r="AN245" s="53" t="n"/>
      <c r="AO245" s="53" t="n"/>
      <c r="AP245" s="53" t="n"/>
      <c r="AQ245" s="53" t="n"/>
      <c r="AR245" s="53" t="n"/>
      <c r="AS245" s="53" t="n"/>
      <c r="AT245" s="53" t="n"/>
      <c r="AU245" s="53" t="n"/>
      <c r="AV245" s="53" t="n"/>
      <c r="AW245" s="53" t="n"/>
      <c r="AX245" s="53" t="n"/>
      <c r="AY245" s="53" t="n"/>
    </row>
    <row r="246" ht="15" customHeight="1">
      <c r="A246" s="40">
        <f>IF($D$246="","",79)</f>
        <v/>
      </c>
      <c r="B246" s="10" t="n"/>
      <c r="C246" s="41" t="inlineStr">
        <is>
          <t>마케팅4팀</t>
        </is>
      </c>
      <c r="D246" s="42" t="n"/>
      <c r="E246" s="43" t="inlineStr">
        <is>
          <t>기획</t>
        </is>
      </c>
      <c r="F246" s="44" t="n"/>
      <c r="G246" s="45" t="n"/>
      <c r="H246" s="46">
        <f>IF($I$246="","",IF($I$246&lt;0,"🔴지연",IF($I$246&lt;=1,"🟡임박","🟢여유")))</f>
        <v/>
      </c>
      <c r="I246" s="47">
        <f>IF(OR($G$246="",$K$246=""),"",$G$246-$K$246)</f>
        <v/>
      </c>
      <c r="J246" s="48">
        <f>IF(SUM($L$246:$L$248)=0,"",SUM($L$246:$L$248))</f>
        <v/>
      </c>
      <c r="K246" s="49">
        <f>IF($J$246="","",MAX($N$246:$N$248))</f>
        <v/>
      </c>
      <c r="L246" s="50">
        <f>IF(SUM(U246:AY246)=0,"",SUM(U246:AY246))</f>
        <v/>
      </c>
      <c r="M246" s="51">
        <f>IFERROR(INDEX(U$2:AY$2,MATCH(TRUE,INDEX(U246:AY246&lt;&gt;"",0),0)),"")</f>
        <v/>
      </c>
      <c r="N246" s="51">
        <f>IFERROR(LOOKUP(2,1/(U246:AY246&lt;&gt;""),U$2:AY$2),"")</f>
        <v/>
      </c>
      <c r="O246" s="52" t="n"/>
      <c r="P246" s="52" t="n"/>
      <c r="Q246" s="52" t="n"/>
      <c r="R246" s="44" t="n"/>
      <c r="S246" s="14" t="n"/>
      <c r="U246" s="53" t="n"/>
      <c r="V246" s="53" t="n"/>
      <c r="W246" s="53" t="n"/>
      <c r="X246" s="53" t="n"/>
      <c r="Y246" s="53" t="n"/>
      <c r="Z246" s="53" t="n"/>
      <c r="AA246" s="53" t="n"/>
      <c r="AB246" s="53" t="n"/>
      <c r="AC246" s="53" t="n"/>
      <c r="AD246" s="53" t="n"/>
      <c r="AE246" s="53" t="n"/>
      <c r="AF246" s="53" t="n"/>
      <c r="AG246" s="53" t="n"/>
      <c r="AH246" s="53" t="n"/>
      <c r="AI246" s="53" t="n"/>
      <c r="AJ246" s="53" t="n"/>
      <c r="AK246" s="53" t="n"/>
      <c r="AL246" s="53" t="n"/>
      <c r="AM246" s="53" t="n"/>
      <c r="AN246" s="53" t="n"/>
      <c r="AO246" s="53" t="n"/>
      <c r="AP246" s="53" t="n"/>
      <c r="AQ246" s="53" t="n"/>
      <c r="AR246" s="53" t="n"/>
      <c r="AS246" s="53" t="n"/>
      <c r="AT246" s="53" t="n"/>
      <c r="AU246" s="53" t="n"/>
      <c r="AV246" s="53" t="n"/>
      <c r="AW246" s="53" t="n"/>
      <c r="AX246" s="53" t="n"/>
      <c r="AY246" s="53" t="n"/>
    </row>
    <row r="247" ht="15" customHeight="1">
      <c r="A247" s="54" t="n"/>
      <c r="B247" s="55">
        <f>IF($B$246="","",$B$246)</f>
        <v/>
      </c>
      <c r="C247" s="56" t="inlineStr">
        <is>
          <t>마케팅4팀</t>
        </is>
      </c>
      <c r="D247" s="55">
        <f>IF($D$246="","",$D$246)</f>
        <v/>
      </c>
      <c r="E247" s="57" t="inlineStr">
        <is>
          <t>이미지</t>
        </is>
      </c>
      <c r="F247" s="44" t="n"/>
      <c r="G247" s="58">
        <f>IF($G$246="","",$G$246)</f>
        <v/>
      </c>
      <c r="H247" s="59" t="n"/>
      <c r="I247" s="59" t="n"/>
      <c r="J247" s="59" t="n"/>
      <c r="K247" s="59" t="n"/>
      <c r="L247" s="60">
        <f>IF(SUM(U247:AY247)=0,"",SUM(U247:AY247))</f>
        <v/>
      </c>
      <c r="M247" s="61">
        <f>IFERROR(INDEX(U$2:AY$2,MATCH(TRUE,INDEX(U247:AY247&lt;&gt;"",0),0)),"")</f>
        <v/>
      </c>
      <c r="N247" s="61">
        <f>IFERROR(LOOKUP(2,1/(U247:AY247&lt;&gt;""),U$2:AY$2),"")</f>
        <v/>
      </c>
      <c r="O247" s="59" t="n"/>
      <c r="P247" s="59" t="n"/>
      <c r="Q247" s="59" t="n"/>
      <c r="R247" s="59" t="n"/>
      <c r="S247" s="14" t="n"/>
      <c r="U247" s="53" t="n"/>
      <c r="V247" s="53" t="n"/>
      <c r="W247" s="53" t="n"/>
      <c r="X247" s="53" t="n"/>
      <c r="Y247" s="53" t="n"/>
      <c r="Z247" s="53" t="n"/>
      <c r="AA247" s="53" t="n"/>
      <c r="AB247" s="53" t="n"/>
      <c r="AC247" s="53" t="n"/>
      <c r="AD247" s="53" t="n"/>
      <c r="AE247" s="53" t="n"/>
      <c r="AF247" s="53" t="n"/>
      <c r="AG247" s="53" t="n"/>
      <c r="AH247" s="53" t="n"/>
      <c r="AI247" s="53" t="n"/>
      <c r="AJ247" s="53" t="n"/>
      <c r="AK247" s="53" t="n"/>
      <c r="AL247" s="53" t="n"/>
      <c r="AM247" s="53" t="n"/>
      <c r="AN247" s="53" t="n"/>
      <c r="AO247" s="53" t="n"/>
      <c r="AP247" s="53" t="n"/>
      <c r="AQ247" s="53" t="n"/>
      <c r="AR247" s="53" t="n"/>
      <c r="AS247" s="53" t="n"/>
      <c r="AT247" s="53" t="n"/>
      <c r="AU247" s="53" t="n"/>
      <c r="AV247" s="53" t="n"/>
      <c r="AW247" s="53" t="n"/>
      <c r="AX247" s="53" t="n"/>
      <c r="AY247" s="53" t="n"/>
    </row>
    <row r="248" ht="15" customHeight="1">
      <c r="A248" s="62" t="n"/>
      <c r="B248" s="55">
        <f>IF($B$246="","",$B$246)</f>
        <v/>
      </c>
      <c r="C248" s="63" t="inlineStr">
        <is>
          <t>마케팅4팀</t>
        </is>
      </c>
      <c r="D248" s="55">
        <f>IF($D$246="","",$D$246)</f>
        <v/>
      </c>
      <c r="E248" s="64" t="inlineStr">
        <is>
          <t>영상</t>
        </is>
      </c>
      <c r="F248" s="44" t="n"/>
      <c r="G248" s="58">
        <f>IF($G$246="","",$G$246)</f>
        <v/>
      </c>
      <c r="H248" s="59" t="n"/>
      <c r="I248" s="59" t="n"/>
      <c r="J248" s="59" t="n"/>
      <c r="K248" s="59" t="n"/>
      <c r="L248" s="65">
        <f>IF(SUM(U248:AY248)=0,"",SUM(U248:AY248))</f>
        <v/>
      </c>
      <c r="M248" s="66">
        <f>IFERROR(INDEX(U$2:AY$2,MATCH(TRUE,INDEX(U248:AY248&lt;&gt;"",0),0)),"")</f>
        <v/>
      </c>
      <c r="N248" s="66">
        <f>IFERROR(LOOKUP(2,1/(U248:AY248&lt;&gt;""),U$2:AY$2),"")</f>
        <v/>
      </c>
      <c r="O248" s="59" t="n"/>
      <c r="P248" s="59" t="n"/>
      <c r="Q248" s="59" t="n"/>
      <c r="R248" s="59" t="n"/>
      <c r="S248" s="14" t="n"/>
      <c r="U248" s="53" t="n"/>
      <c r="V248" s="53" t="n"/>
      <c r="W248" s="53" t="n"/>
      <c r="X248" s="53" t="n"/>
      <c r="Y248" s="53" t="n"/>
      <c r="Z248" s="53" t="n"/>
      <c r="AA248" s="53" t="n"/>
      <c r="AB248" s="53" t="n"/>
      <c r="AC248" s="53" t="n"/>
      <c r="AD248" s="53" t="n"/>
      <c r="AE248" s="53" t="n"/>
      <c r="AF248" s="53" t="n"/>
      <c r="AG248" s="53" t="n"/>
      <c r="AH248" s="53" t="n"/>
      <c r="AI248" s="53" t="n"/>
      <c r="AJ248" s="53" t="n"/>
      <c r="AK248" s="53" t="n"/>
      <c r="AL248" s="53" t="n"/>
      <c r="AM248" s="53" t="n"/>
      <c r="AN248" s="53" t="n"/>
      <c r="AO248" s="53" t="n"/>
      <c r="AP248" s="53" t="n"/>
      <c r="AQ248" s="53" t="n"/>
      <c r="AR248" s="53" t="n"/>
      <c r="AS248" s="53" t="n"/>
      <c r="AT248" s="53" t="n"/>
      <c r="AU248" s="53" t="n"/>
      <c r="AV248" s="53" t="n"/>
      <c r="AW248" s="53" t="n"/>
      <c r="AX248" s="53" t="n"/>
      <c r="AY248" s="53" t="n"/>
    </row>
    <row r="249" ht="15" customHeight="1">
      <c r="A249" s="40">
        <f>IF($D$249="","",80)</f>
        <v/>
      </c>
      <c r="B249" s="10" t="n"/>
      <c r="C249" s="41" t="inlineStr">
        <is>
          <t>마케팅4팀</t>
        </is>
      </c>
      <c r="D249" s="42" t="n"/>
      <c r="E249" s="43" t="inlineStr">
        <is>
          <t>기획</t>
        </is>
      </c>
      <c r="F249" s="44" t="n"/>
      <c r="G249" s="45" t="n"/>
      <c r="H249" s="46">
        <f>IF($I$249="","",IF($I$249&lt;0,"🔴지연",IF($I$249&lt;=1,"🟡임박","🟢여유")))</f>
        <v/>
      </c>
      <c r="I249" s="47">
        <f>IF(OR($G$249="",$K$249=""),"",$G$249-$K$249)</f>
        <v/>
      </c>
      <c r="J249" s="48">
        <f>IF(SUM($L$249:$L$251)=0,"",SUM($L$249:$L$251))</f>
        <v/>
      </c>
      <c r="K249" s="49">
        <f>IF($J$249="","",MAX($N$249:$N$251))</f>
        <v/>
      </c>
      <c r="L249" s="50">
        <f>IF(SUM(U249:AY249)=0,"",SUM(U249:AY249))</f>
        <v/>
      </c>
      <c r="M249" s="51">
        <f>IFERROR(INDEX(U$2:AY$2,MATCH(TRUE,INDEX(U249:AY249&lt;&gt;"",0),0)),"")</f>
        <v/>
      </c>
      <c r="N249" s="51">
        <f>IFERROR(LOOKUP(2,1/(U249:AY249&lt;&gt;""),U$2:AY$2),"")</f>
        <v/>
      </c>
      <c r="O249" s="52" t="n"/>
      <c r="P249" s="52" t="n"/>
      <c r="Q249" s="52" t="n"/>
      <c r="R249" s="44" t="n"/>
      <c r="S249" s="14" t="n"/>
      <c r="U249" s="53" t="n"/>
      <c r="V249" s="53" t="n"/>
      <c r="W249" s="53" t="n"/>
      <c r="X249" s="53" t="n"/>
      <c r="Y249" s="53" t="n"/>
      <c r="Z249" s="53" t="n"/>
      <c r="AA249" s="53" t="n"/>
      <c r="AB249" s="53" t="n"/>
      <c r="AC249" s="53" t="n"/>
      <c r="AD249" s="53" t="n"/>
      <c r="AE249" s="53" t="n"/>
      <c r="AF249" s="53" t="n"/>
      <c r="AG249" s="53" t="n"/>
      <c r="AH249" s="53" t="n"/>
      <c r="AI249" s="53" t="n"/>
      <c r="AJ249" s="53" t="n"/>
      <c r="AK249" s="53" t="n"/>
      <c r="AL249" s="53" t="n"/>
      <c r="AM249" s="53" t="n"/>
      <c r="AN249" s="53" t="n"/>
      <c r="AO249" s="53" t="n"/>
      <c r="AP249" s="53" t="n"/>
      <c r="AQ249" s="53" t="n"/>
      <c r="AR249" s="53" t="n"/>
      <c r="AS249" s="53" t="n"/>
      <c r="AT249" s="53" t="n"/>
      <c r="AU249" s="53" t="n"/>
      <c r="AV249" s="53" t="n"/>
      <c r="AW249" s="53" t="n"/>
      <c r="AX249" s="53" t="n"/>
      <c r="AY249" s="53" t="n"/>
    </row>
    <row r="250" ht="15" customHeight="1">
      <c r="A250" s="54" t="n"/>
      <c r="B250" s="55">
        <f>IF($B$249="","",$B$249)</f>
        <v/>
      </c>
      <c r="C250" s="56" t="inlineStr">
        <is>
          <t>마케팅4팀</t>
        </is>
      </c>
      <c r="D250" s="55">
        <f>IF($D$249="","",$D$249)</f>
        <v/>
      </c>
      <c r="E250" s="57" t="inlineStr">
        <is>
          <t>이미지</t>
        </is>
      </c>
      <c r="F250" s="44" t="n"/>
      <c r="G250" s="58">
        <f>IF($G$249="","",$G$249)</f>
        <v/>
      </c>
      <c r="H250" s="59" t="n"/>
      <c r="I250" s="59" t="n"/>
      <c r="J250" s="59" t="n"/>
      <c r="K250" s="59" t="n"/>
      <c r="L250" s="60">
        <f>IF(SUM(U250:AY250)=0,"",SUM(U250:AY250))</f>
        <v/>
      </c>
      <c r="M250" s="61">
        <f>IFERROR(INDEX(U$2:AY$2,MATCH(TRUE,INDEX(U250:AY250&lt;&gt;"",0),0)),"")</f>
        <v/>
      </c>
      <c r="N250" s="61">
        <f>IFERROR(LOOKUP(2,1/(U250:AY250&lt;&gt;""),U$2:AY$2),"")</f>
        <v/>
      </c>
      <c r="O250" s="59" t="n"/>
      <c r="P250" s="59" t="n"/>
      <c r="Q250" s="59" t="n"/>
      <c r="R250" s="59" t="n"/>
      <c r="S250" s="14" t="n"/>
      <c r="U250" s="53" t="n"/>
      <c r="V250" s="53" t="n"/>
      <c r="W250" s="53" t="n"/>
      <c r="X250" s="53" t="n"/>
      <c r="Y250" s="53" t="n"/>
      <c r="Z250" s="53" t="n"/>
      <c r="AA250" s="53" t="n"/>
      <c r="AB250" s="53" t="n"/>
      <c r="AC250" s="53" t="n"/>
      <c r="AD250" s="53" t="n"/>
      <c r="AE250" s="53" t="n"/>
      <c r="AF250" s="53" t="n"/>
      <c r="AG250" s="53" t="n"/>
      <c r="AH250" s="53" t="n"/>
      <c r="AI250" s="53" t="n"/>
      <c r="AJ250" s="53" t="n"/>
      <c r="AK250" s="53" t="n"/>
      <c r="AL250" s="53" t="n"/>
      <c r="AM250" s="53" t="n"/>
      <c r="AN250" s="53" t="n"/>
      <c r="AO250" s="53" t="n"/>
      <c r="AP250" s="53" t="n"/>
      <c r="AQ250" s="53" t="n"/>
      <c r="AR250" s="53" t="n"/>
      <c r="AS250" s="53" t="n"/>
      <c r="AT250" s="53" t="n"/>
      <c r="AU250" s="53" t="n"/>
      <c r="AV250" s="53" t="n"/>
      <c r="AW250" s="53" t="n"/>
      <c r="AX250" s="53" t="n"/>
      <c r="AY250" s="53" t="n"/>
    </row>
    <row r="251" ht="15" customHeight="1">
      <c r="A251" s="62" t="n"/>
      <c r="B251" s="55">
        <f>IF($B$249="","",$B$249)</f>
        <v/>
      </c>
      <c r="C251" s="63" t="inlineStr">
        <is>
          <t>마케팅4팀</t>
        </is>
      </c>
      <c r="D251" s="55">
        <f>IF($D$249="","",$D$249)</f>
        <v/>
      </c>
      <c r="E251" s="64" t="inlineStr">
        <is>
          <t>영상</t>
        </is>
      </c>
      <c r="F251" s="44" t="n"/>
      <c r="G251" s="58">
        <f>IF($G$249="","",$G$249)</f>
        <v/>
      </c>
      <c r="H251" s="59" t="n"/>
      <c r="I251" s="59" t="n"/>
      <c r="J251" s="59" t="n"/>
      <c r="K251" s="59" t="n"/>
      <c r="L251" s="65">
        <f>IF(SUM(U251:AY251)=0,"",SUM(U251:AY251))</f>
        <v/>
      </c>
      <c r="M251" s="66">
        <f>IFERROR(INDEX(U$2:AY$2,MATCH(TRUE,INDEX(U251:AY251&lt;&gt;"",0),0)),"")</f>
        <v/>
      </c>
      <c r="N251" s="66">
        <f>IFERROR(LOOKUP(2,1/(U251:AY251&lt;&gt;""),U$2:AY$2),"")</f>
        <v/>
      </c>
      <c r="O251" s="59" t="n"/>
      <c r="P251" s="59" t="n"/>
      <c r="Q251" s="59" t="n"/>
      <c r="R251" s="59" t="n"/>
      <c r="S251" s="14" t="n"/>
      <c r="U251" s="53" t="n"/>
      <c r="V251" s="53" t="n"/>
      <c r="W251" s="53" t="n"/>
      <c r="X251" s="53" t="n"/>
      <c r="Y251" s="53" t="n"/>
      <c r="Z251" s="53" t="n"/>
      <c r="AA251" s="53" t="n"/>
      <c r="AB251" s="53" t="n"/>
      <c r="AC251" s="53" t="n"/>
      <c r="AD251" s="53" t="n"/>
      <c r="AE251" s="53" t="n"/>
      <c r="AF251" s="53" t="n"/>
      <c r="AG251" s="53" t="n"/>
      <c r="AH251" s="53" t="n"/>
      <c r="AI251" s="53" t="n"/>
      <c r="AJ251" s="53" t="n"/>
      <c r="AK251" s="53" t="n"/>
      <c r="AL251" s="53" t="n"/>
      <c r="AM251" s="53" t="n"/>
      <c r="AN251" s="53" t="n"/>
      <c r="AO251" s="53" t="n"/>
      <c r="AP251" s="53" t="n"/>
      <c r="AQ251" s="53" t="n"/>
      <c r="AR251" s="53" t="n"/>
      <c r="AS251" s="53" t="n"/>
      <c r="AT251" s="53" t="n"/>
      <c r="AU251" s="53" t="n"/>
      <c r="AV251" s="53" t="n"/>
      <c r="AW251" s="53" t="n"/>
      <c r="AX251" s="53" t="n"/>
      <c r="AY251" s="53" t="n"/>
    </row>
    <row r="252" ht="18" customHeight="1">
      <c r="A252" s="39" t="inlineStr">
        <is>
          <t>기타   (253~312행 · 소재 20개)</t>
        </is>
      </c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  <c r="AA252" s="8" t="n"/>
      <c r="AB252" s="8" t="n"/>
      <c r="AC252" s="8" t="n"/>
      <c r="AD252" s="8" t="n"/>
      <c r="AE252" s="8" t="n"/>
      <c r="AF252" s="8" t="n"/>
      <c r="AG252" s="8" t="n"/>
      <c r="AH252" s="8" t="n"/>
      <c r="AI252" s="8" t="n"/>
      <c r="AJ252" s="8" t="n"/>
      <c r="AK252" s="8" t="n"/>
      <c r="AL252" s="8" t="n"/>
      <c r="AM252" s="8" t="n"/>
      <c r="AN252" s="8" t="n"/>
      <c r="AO252" s="8" t="n"/>
      <c r="AP252" s="8" t="n"/>
      <c r="AQ252" s="8" t="n"/>
      <c r="AR252" s="8" t="n"/>
      <c r="AS252" s="8" t="n"/>
      <c r="AT252" s="8" t="n"/>
      <c r="AU252" s="8" t="n"/>
      <c r="AV252" s="8" t="n"/>
      <c r="AW252" s="8" t="n"/>
      <c r="AX252" s="8" t="n"/>
      <c r="AY252" s="4" t="n"/>
    </row>
    <row r="253" ht="15" customHeight="1">
      <c r="A253" s="40">
        <f>IF($D$253="","",81)</f>
        <v/>
      </c>
      <c r="B253" s="10" t="n"/>
      <c r="C253" s="41" t="inlineStr">
        <is>
          <t>기타</t>
        </is>
      </c>
      <c r="D253" s="42" t="n"/>
      <c r="E253" s="43" t="inlineStr">
        <is>
          <t>기획</t>
        </is>
      </c>
      <c r="F253" s="44" t="n"/>
      <c r="G253" s="45" t="n"/>
      <c r="H253" s="46">
        <f>IF($I$253="","",IF($I$253&lt;0,"🔴지연",IF($I$253&lt;=1,"🟡임박","🟢여유")))</f>
        <v/>
      </c>
      <c r="I253" s="47">
        <f>IF(OR($G$253="",$K$253=""),"",$G$253-$K$253)</f>
        <v/>
      </c>
      <c r="J253" s="48">
        <f>IF(SUM($L$253:$L$255)=0,"",SUM($L$253:$L$255))</f>
        <v/>
      </c>
      <c r="K253" s="49">
        <f>IF($J$253="","",MAX($N$253:$N$255))</f>
        <v/>
      </c>
      <c r="L253" s="50">
        <f>IF(SUM(U253:AY253)=0,"",SUM(U253:AY253))</f>
        <v/>
      </c>
      <c r="M253" s="51">
        <f>IFERROR(INDEX(U$2:AY$2,MATCH(TRUE,INDEX(U253:AY253&lt;&gt;"",0),0)),"")</f>
        <v/>
      </c>
      <c r="N253" s="51">
        <f>IFERROR(LOOKUP(2,1/(U253:AY253&lt;&gt;""),U$2:AY$2),"")</f>
        <v/>
      </c>
      <c r="O253" s="52" t="n"/>
      <c r="P253" s="52" t="n"/>
      <c r="Q253" s="52" t="n"/>
      <c r="R253" s="44" t="n"/>
      <c r="S253" s="14" t="n"/>
      <c r="U253" s="53" t="n"/>
      <c r="V253" s="53" t="n"/>
      <c r="W253" s="53" t="n"/>
      <c r="X253" s="53" t="n"/>
      <c r="Y253" s="53" t="n"/>
      <c r="Z253" s="53" t="n"/>
      <c r="AA253" s="53" t="n"/>
      <c r="AB253" s="53" t="n"/>
      <c r="AC253" s="53" t="n"/>
      <c r="AD253" s="53" t="n"/>
      <c r="AE253" s="53" t="n"/>
      <c r="AF253" s="53" t="n"/>
      <c r="AG253" s="53" t="n"/>
      <c r="AH253" s="53" t="n"/>
      <c r="AI253" s="53" t="n"/>
      <c r="AJ253" s="53" t="n"/>
      <c r="AK253" s="53" t="n"/>
      <c r="AL253" s="53" t="n"/>
      <c r="AM253" s="53" t="n"/>
      <c r="AN253" s="53" t="n"/>
      <c r="AO253" s="53" t="n"/>
      <c r="AP253" s="53" t="n"/>
      <c r="AQ253" s="53" t="n"/>
      <c r="AR253" s="53" t="n"/>
      <c r="AS253" s="53" t="n"/>
      <c r="AT253" s="53" t="n"/>
      <c r="AU253" s="53" t="n"/>
      <c r="AV253" s="53" t="n"/>
      <c r="AW253" s="53" t="n"/>
      <c r="AX253" s="53" t="n"/>
      <c r="AY253" s="53" t="n"/>
    </row>
    <row r="254" ht="15" customHeight="1">
      <c r="A254" s="54" t="n"/>
      <c r="B254" s="55">
        <f>IF($B$253="","",$B$253)</f>
        <v/>
      </c>
      <c r="C254" s="56" t="inlineStr">
        <is>
          <t>기타</t>
        </is>
      </c>
      <c r="D254" s="55">
        <f>IF($D$253="","",$D$253)</f>
        <v/>
      </c>
      <c r="E254" s="57" t="inlineStr">
        <is>
          <t>이미지</t>
        </is>
      </c>
      <c r="F254" s="44" t="n"/>
      <c r="G254" s="58">
        <f>IF($G$253="","",$G$253)</f>
        <v/>
      </c>
      <c r="H254" s="59" t="n"/>
      <c r="I254" s="59" t="n"/>
      <c r="J254" s="59" t="n"/>
      <c r="K254" s="59" t="n"/>
      <c r="L254" s="60">
        <f>IF(SUM(U254:AY254)=0,"",SUM(U254:AY254))</f>
        <v/>
      </c>
      <c r="M254" s="61">
        <f>IFERROR(INDEX(U$2:AY$2,MATCH(TRUE,INDEX(U254:AY254&lt;&gt;"",0),0)),"")</f>
        <v/>
      </c>
      <c r="N254" s="61">
        <f>IFERROR(LOOKUP(2,1/(U254:AY254&lt;&gt;""),U$2:AY$2),"")</f>
        <v/>
      </c>
      <c r="O254" s="59" t="n"/>
      <c r="P254" s="59" t="n"/>
      <c r="Q254" s="59" t="n"/>
      <c r="R254" s="59" t="n"/>
      <c r="S254" s="14" t="n"/>
      <c r="U254" s="53" t="n"/>
      <c r="V254" s="53" t="n"/>
      <c r="W254" s="53" t="n"/>
      <c r="X254" s="53" t="n"/>
      <c r="Y254" s="53" t="n"/>
      <c r="Z254" s="53" t="n"/>
      <c r="AA254" s="53" t="n"/>
      <c r="AB254" s="53" t="n"/>
      <c r="AC254" s="53" t="n"/>
      <c r="AD254" s="53" t="n"/>
      <c r="AE254" s="53" t="n"/>
      <c r="AF254" s="53" t="n"/>
      <c r="AG254" s="53" t="n"/>
      <c r="AH254" s="53" t="n"/>
      <c r="AI254" s="53" t="n"/>
      <c r="AJ254" s="53" t="n"/>
      <c r="AK254" s="53" t="n"/>
      <c r="AL254" s="53" t="n"/>
      <c r="AM254" s="53" t="n"/>
      <c r="AN254" s="53" t="n"/>
      <c r="AO254" s="53" t="n"/>
      <c r="AP254" s="53" t="n"/>
      <c r="AQ254" s="53" t="n"/>
      <c r="AR254" s="53" t="n"/>
      <c r="AS254" s="53" t="n"/>
      <c r="AT254" s="53" t="n"/>
      <c r="AU254" s="53" t="n"/>
      <c r="AV254" s="53" t="n"/>
      <c r="AW254" s="53" t="n"/>
      <c r="AX254" s="53" t="n"/>
      <c r="AY254" s="53" t="n"/>
    </row>
    <row r="255" ht="15" customHeight="1">
      <c r="A255" s="62" t="n"/>
      <c r="B255" s="55">
        <f>IF($B$253="","",$B$253)</f>
        <v/>
      </c>
      <c r="C255" s="63" t="inlineStr">
        <is>
          <t>기타</t>
        </is>
      </c>
      <c r="D255" s="55">
        <f>IF($D$253="","",$D$253)</f>
        <v/>
      </c>
      <c r="E255" s="64" t="inlineStr">
        <is>
          <t>영상</t>
        </is>
      </c>
      <c r="F255" s="44" t="n"/>
      <c r="G255" s="58">
        <f>IF($G$253="","",$G$253)</f>
        <v/>
      </c>
      <c r="H255" s="59" t="n"/>
      <c r="I255" s="59" t="n"/>
      <c r="J255" s="59" t="n"/>
      <c r="K255" s="59" t="n"/>
      <c r="L255" s="65">
        <f>IF(SUM(U255:AY255)=0,"",SUM(U255:AY255))</f>
        <v/>
      </c>
      <c r="M255" s="66">
        <f>IFERROR(INDEX(U$2:AY$2,MATCH(TRUE,INDEX(U255:AY255&lt;&gt;"",0),0)),"")</f>
        <v/>
      </c>
      <c r="N255" s="66">
        <f>IFERROR(LOOKUP(2,1/(U255:AY255&lt;&gt;""),U$2:AY$2),"")</f>
        <v/>
      </c>
      <c r="O255" s="59" t="n"/>
      <c r="P255" s="59" t="n"/>
      <c r="Q255" s="59" t="n"/>
      <c r="R255" s="59" t="n"/>
      <c r="S255" s="14" t="n"/>
      <c r="U255" s="53" t="n"/>
      <c r="V255" s="53" t="n"/>
      <c r="W255" s="53" t="n"/>
      <c r="X255" s="53" t="n"/>
      <c r="Y255" s="53" t="n"/>
      <c r="Z255" s="53" t="n"/>
      <c r="AA255" s="53" t="n"/>
      <c r="AB255" s="53" t="n"/>
      <c r="AC255" s="53" t="n"/>
      <c r="AD255" s="53" t="n"/>
      <c r="AE255" s="53" t="n"/>
      <c r="AF255" s="53" t="n"/>
      <c r="AG255" s="53" t="n"/>
      <c r="AH255" s="53" t="n"/>
      <c r="AI255" s="53" t="n"/>
      <c r="AJ255" s="53" t="n"/>
      <c r="AK255" s="53" t="n"/>
      <c r="AL255" s="53" t="n"/>
      <c r="AM255" s="53" t="n"/>
      <c r="AN255" s="53" t="n"/>
      <c r="AO255" s="53" t="n"/>
      <c r="AP255" s="53" t="n"/>
      <c r="AQ255" s="53" t="n"/>
      <c r="AR255" s="53" t="n"/>
      <c r="AS255" s="53" t="n"/>
      <c r="AT255" s="53" t="n"/>
      <c r="AU255" s="53" t="n"/>
      <c r="AV255" s="53" t="n"/>
      <c r="AW255" s="53" t="n"/>
      <c r="AX255" s="53" t="n"/>
      <c r="AY255" s="53" t="n"/>
    </row>
    <row r="256" ht="15" customHeight="1">
      <c r="A256" s="40">
        <f>IF($D$256="","",82)</f>
        <v/>
      </c>
      <c r="B256" s="10" t="n"/>
      <c r="C256" s="41" t="inlineStr">
        <is>
          <t>기타</t>
        </is>
      </c>
      <c r="D256" s="42" t="n"/>
      <c r="E256" s="43" t="inlineStr">
        <is>
          <t>기획</t>
        </is>
      </c>
      <c r="F256" s="44" t="n"/>
      <c r="G256" s="45" t="n"/>
      <c r="H256" s="46">
        <f>IF($I$256="","",IF($I$256&lt;0,"🔴지연",IF($I$256&lt;=1,"🟡임박","🟢여유")))</f>
        <v/>
      </c>
      <c r="I256" s="47">
        <f>IF(OR($G$256="",$K$256=""),"",$G$256-$K$256)</f>
        <v/>
      </c>
      <c r="J256" s="48">
        <f>IF(SUM($L$256:$L$258)=0,"",SUM($L$256:$L$258))</f>
        <v/>
      </c>
      <c r="K256" s="49">
        <f>IF($J$256="","",MAX($N$256:$N$258))</f>
        <v/>
      </c>
      <c r="L256" s="50">
        <f>IF(SUM(U256:AY256)=0,"",SUM(U256:AY256))</f>
        <v/>
      </c>
      <c r="M256" s="51">
        <f>IFERROR(INDEX(U$2:AY$2,MATCH(TRUE,INDEX(U256:AY256&lt;&gt;"",0),0)),"")</f>
        <v/>
      </c>
      <c r="N256" s="51">
        <f>IFERROR(LOOKUP(2,1/(U256:AY256&lt;&gt;""),U$2:AY$2),"")</f>
        <v/>
      </c>
      <c r="O256" s="52" t="n"/>
      <c r="P256" s="52" t="n"/>
      <c r="Q256" s="52" t="n"/>
      <c r="R256" s="44" t="n"/>
      <c r="S256" s="14" t="n"/>
      <c r="U256" s="53" t="n"/>
      <c r="V256" s="53" t="n"/>
      <c r="W256" s="53" t="n"/>
      <c r="X256" s="53" t="n"/>
      <c r="Y256" s="53" t="n"/>
      <c r="Z256" s="53" t="n"/>
      <c r="AA256" s="53" t="n"/>
      <c r="AB256" s="53" t="n"/>
      <c r="AC256" s="53" t="n"/>
      <c r="AD256" s="53" t="n"/>
      <c r="AE256" s="53" t="n"/>
      <c r="AF256" s="53" t="n"/>
      <c r="AG256" s="53" t="n"/>
      <c r="AH256" s="53" t="n"/>
      <c r="AI256" s="53" t="n"/>
      <c r="AJ256" s="53" t="n"/>
      <c r="AK256" s="53" t="n"/>
      <c r="AL256" s="53" t="n"/>
      <c r="AM256" s="53" t="n"/>
      <c r="AN256" s="53" t="n"/>
      <c r="AO256" s="53" t="n"/>
      <c r="AP256" s="53" t="n"/>
      <c r="AQ256" s="53" t="n"/>
      <c r="AR256" s="53" t="n"/>
      <c r="AS256" s="53" t="n"/>
      <c r="AT256" s="53" t="n"/>
      <c r="AU256" s="53" t="n"/>
      <c r="AV256" s="53" t="n"/>
      <c r="AW256" s="53" t="n"/>
      <c r="AX256" s="53" t="n"/>
      <c r="AY256" s="53" t="n"/>
    </row>
    <row r="257" ht="15" customHeight="1">
      <c r="A257" s="54" t="n"/>
      <c r="B257" s="55">
        <f>IF($B$256="","",$B$256)</f>
        <v/>
      </c>
      <c r="C257" s="56" t="inlineStr">
        <is>
          <t>기타</t>
        </is>
      </c>
      <c r="D257" s="55">
        <f>IF($D$256="","",$D$256)</f>
        <v/>
      </c>
      <c r="E257" s="57" t="inlineStr">
        <is>
          <t>이미지</t>
        </is>
      </c>
      <c r="F257" s="44" t="n"/>
      <c r="G257" s="58">
        <f>IF($G$256="","",$G$256)</f>
        <v/>
      </c>
      <c r="H257" s="59" t="n"/>
      <c r="I257" s="59" t="n"/>
      <c r="J257" s="59" t="n"/>
      <c r="K257" s="59" t="n"/>
      <c r="L257" s="60">
        <f>IF(SUM(U257:AY257)=0,"",SUM(U257:AY257))</f>
        <v/>
      </c>
      <c r="M257" s="61">
        <f>IFERROR(INDEX(U$2:AY$2,MATCH(TRUE,INDEX(U257:AY257&lt;&gt;"",0),0)),"")</f>
        <v/>
      </c>
      <c r="N257" s="61">
        <f>IFERROR(LOOKUP(2,1/(U257:AY257&lt;&gt;""),U$2:AY$2),"")</f>
        <v/>
      </c>
      <c r="O257" s="59" t="n"/>
      <c r="P257" s="59" t="n"/>
      <c r="Q257" s="59" t="n"/>
      <c r="R257" s="59" t="n"/>
      <c r="S257" s="14" t="n"/>
      <c r="U257" s="53" t="n"/>
      <c r="V257" s="53" t="n"/>
      <c r="W257" s="53" t="n"/>
      <c r="X257" s="53" t="n"/>
      <c r="Y257" s="53" t="n"/>
      <c r="Z257" s="53" t="n"/>
      <c r="AA257" s="53" t="n"/>
      <c r="AB257" s="53" t="n"/>
      <c r="AC257" s="53" t="n"/>
      <c r="AD257" s="53" t="n"/>
      <c r="AE257" s="53" t="n"/>
      <c r="AF257" s="53" t="n"/>
      <c r="AG257" s="53" t="n"/>
      <c r="AH257" s="53" t="n"/>
      <c r="AI257" s="53" t="n"/>
      <c r="AJ257" s="53" t="n"/>
      <c r="AK257" s="53" t="n"/>
      <c r="AL257" s="53" t="n"/>
      <c r="AM257" s="53" t="n"/>
      <c r="AN257" s="53" t="n"/>
      <c r="AO257" s="53" t="n"/>
      <c r="AP257" s="53" t="n"/>
      <c r="AQ257" s="53" t="n"/>
      <c r="AR257" s="53" t="n"/>
      <c r="AS257" s="53" t="n"/>
      <c r="AT257" s="53" t="n"/>
      <c r="AU257" s="53" t="n"/>
      <c r="AV257" s="53" t="n"/>
      <c r="AW257" s="53" t="n"/>
      <c r="AX257" s="53" t="n"/>
      <c r="AY257" s="53" t="n"/>
    </row>
    <row r="258" ht="15" customHeight="1">
      <c r="A258" s="62" t="n"/>
      <c r="B258" s="55">
        <f>IF($B$256="","",$B$256)</f>
        <v/>
      </c>
      <c r="C258" s="63" t="inlineStr">
        <is>
          <t>기타</t>
        </is>
      </c>
      <c r="D258" s="55">
        <f>IF($D$256="","",$D$256)</f>
        <v/>
      </c>
      <c r="E258" s="64" t="inlineStr">
        <is>
          <t>영상</t>
        </is>
      </c>
      <c r="F258" s="44" t="n"/>
      <c r="G258" s="58">
        <f>IF($G$256="","",$G$256)</f>
        <v/>
      </c>
      <c r="H258" s="59" t="n"/>
      <c r="I258" s="59" t="n"/>
      <c r="J258" s="59" t="n"/>
      <c r="K258" s="59" t="n"/>
      <c r="L258" s="65">
        <f>IF(SUM(U258:AY258)=0,"",SUM(U258:AY258))</f>
        <v/>
      </c>
      <c r="M258" s="66">
        <f>IFERROR(INDEX(U$2:AY$2,MATCH(TRUE,INDEX(U258:AY258&lt;&gt;"",0),0)),"")</f>
        <v/>
      </c>
      <c r="N258" s="66">
        <f>IFERROR(LOOKUP(2,1/(U258:AY258&lt;&gt;""),U$2:AY$2),"")</f>
        <v/>
      </c>
      <c r="O258" s="59" t="n"/>
      <c r="P258" s="59" t="n"/>
      <c r="Q258" s="59" t="n"/>
      <c r="R258" s="59" t="n"/>
      <c r="S258" s="14" t="n"/>
      <c r="U258" s="53" t="n"/>
      <c r="V258" s="53" t="n"/>
      <c r="W258" s="53" t="n"/>
      <c r="X258" s="53" t="n"/>
      <c r="Y258" s="53" t="n"/>
      <c r="Z258" s="53" t="n"/>
      <c r="AA258" s="53" t="n"/>
      <c r="AB258" s="53" t="n"/>
      <c r="AC258" s="53" t="n"/>
      <c r="AD258" s="53" t="n"/>
      <c r="AE258" s="53" t="n"/>
      <c r="AF258" s="53" t="n"/>
      <c r="AG258" s="53" t="n"/>
      <c r="AH258" s="53" t="n"/>
      <c r="AI258" s="53" t="n"/>
      <c r="AJ258" s="53" t="n"/>
      <c r="AK258" s="53" t="n"/>
      <c r="AL258" s="53" t="n"/>
      <c r="AM258" s="53" t="n"/>
      <c r="AN258" s="53" t="n"/>
      <c r="AO258" s="53" t="n"/>
      <c r="AP258" s="53" t="n"/>
      <c r="AQ258" s="53" t="n"/>
      <c r="AR258" s="53" t="n"/>
      <c r="AS258" s="53" t="n"/>
      <c r="AT258" s="53" t="n"/>
      <c r="AU258" s="53" t="n"/>
      <c r="AV258" s="53" t="n"/>
      <c r="AW258" s="53" t="n"/>
      <c r="AX258" s="53" t="n"/>
      <c r="AY258" s="53" t="n"/>
    </row>
    <row r="259" ht="15" customHeight="1">
      <c r="A259" s="40">
        <f>IF($D$259="","",83)</f>
        <v/>
      </c>
      <c r="B259" s="10" t="n"/>
      <c r="C259" s="41" t="inlineStr">
        <is>
          <t>기타</t>
        </is>
      </c>
      <c r="D259" s="42" t="n"/>
      <c r="E259" s="43" t="inlineStr">
        <is>
          <t>기획</t>
        </is>
      </c>
      <c r="F259" s="44" t="n"/>
      <c r="G259" s="45" t="n"/>
      <c r="H259" s="46">
        <f>IF($I$259="","",IF($I$259&lt;0,"🔴지연",IF($I$259&lt;=1,"🟡임박","🟢여유")))</f>
        <v/>
      </c>
      <c r="I259" s="47">
        <f>IF(OR($G$259="",$K$259=""),"",$G$259-$K$259)</f>
        <v/>
      </c>
      <c r="J259" s="48">
        <f>IF(SUM($L$259:$L$261)=0,"",SUM($L$259:$L$261))</f>
        <v/>
      </c>
      <c r="K259" s="49">
        <f>IF($J$259="","",MAX($N$259:$N$261))</f>
        <v/>
      </c>
      <c r="L259" s="50">
        <f>IF(SUM(U259:AY259)=0,"",SUM(U259:AY259))</f>
        <v/>
      </c>
      <c r="M259" s="51">
        <f>IFERROR(INDEX(U$2:AY$2,MATCH(TRUE,INDEX(U259:AY259&lt;&gt;"",0),0)),"")</f>
        <v/>
      </c>
      <c r="N259" s="51">
        <f>IFERROR(LOOKUP(2,1/(U259:AY259&lt;&gt;""),U$2:AY$2),"")</f>
        <v/>
      </c>
      <c r="O259" s="52" t="n"/>
      <c r="P259" s="52" t="n"/>
      <c r="Q259" s="52" t="n"/>
      <c r="R259" s="44" t="n"/>
      <c r="S259" s="14" t="n"/>
      <c r="U259" s="53" t="n"/>
      <c r="V259" s="53" t="n"/>
      <c r="W259" s="53" t="n"/>
      <c r="X259" s="53" t="n"/>
      <c r="Y259" s="53" t="n"/>
      <c r="Z259" s="53" t="n"/>
      <c r="AA259" s="53" t="n"/>
      <c r="AB259" s="53" t="n"/>
      <c r="AC259" s="53" t="n"/>
      <c r="AD259" s="53" t="n"/>
      <c r="AE259" s="53" t="n"/>
      <c r="AF259" s="53" t="n"/>
      <c r="AG259" s="53" t="n"/>
      <c r="AH259" s="53" t="n"/>
      <c r="AI259" s="53" t="n"/>
      <c r="AJ259" s="53" t="n"/>
      <c r="AK259" s="53" t="n"/>
      <c r="AL259" s="53" t="n"/>
      <c r="AM259" s="53" t="n"/>
      <c r="AN259" s="53" t="n"/>
      <c r="AO259" s="53" t="n"/>
      <c r="AP259" s="53" t="n"/>
      <c r="AQ259" s="53" t="n"/>
      <c r="AR259" s="53" t="n"/>
      <c r="AS259" s="53" t="n"/>
      <c r="AT259" s="53" t="n"/>
      <c r="AU259" s="53" t="n"/>
      <c r="AV259" s="53" t="n"/>
      <c r="AW259" s="53" t="n"/>
      <c r="AX259" s="53" t="n"/>
      <c r="AY259" s="53" t="n"/>
    </row>
    <row r="260" ht="15" customHeight="1">
      <c r="A260" s="54" t="n"/>
      <c r="B260" s="55">
        <f>IF($B$259="","",$B$259)</f>
        <v/>
      </c>
      <c r="C260" s="56" t="inlineStr">
        <is>
          <t>기타</t>
        </is>
      </c>
      <c r="D260" s="55">
        <f>IF($D$259="","",$D$259)</f>
        <v/>
      </c>
      <c r="E260" s="57" t="inlineStr">
        <is>
          <t>이미지</t>
        </is>
      </c>
      <c r="F260" s="44" t="n"/>
      <c r="G260" s="58">
        <f>IF($G$259="","",$G$259)</f>
        <v/>
      </c>
      <c r="H260" s="59" t="n"/>
      <c r="I260" s="59" t="n"/>
      <c r="J260" s="59" t="n"/>
      <c r="K260" s="59" t="n"/>
      <c r="L260" s="60">
        <f>IF(SUM(U260:AY260)=0,"",SUM(U260:AY260))</f>
        <v/>
      </c>
      <c r="M260" s="61">
        <f>IFERROR(INDEX(U$2:AY$2,MATCH(TRUE,INDEX(U260:AY260&lt;&gt;"",0),0)),"")</f>
        <v/>
      </c>
      <c r="N260" s="61">
        <f>IFERROR(LOOKUP(2,1/(U260:AY260&lt;&gt;""),U$2:AY$2),"")</f>
        <v/>
      </c>
      <c r="O260" s="59" t="n"/>
      <c r="P260" s="59" t="n"/>
      <c r="Q260" s="59" t="n"/>
      <c r="R260" s="59" t="n"/>
      <c r="S260" s="14" t="n"/>
      <c r="U260" s="53" t="n"/>
      <c r="V260" s="53" t="n"/>
      <c r="W260" s="53" t="n"/>
      <c r="X260" s="53" t="n"/>
      <c r="Y260" s="53" t="n"/>
      <c r="Z260" s="53" t="n"/>
      <c r="AA260" s="53" t="n"/>
      <c r="AB260" s="53" t="n"/>
      <c r="AC260" s="53" t="n"/>
      <c r="AD260" s="53" t="n"/>
      <c r="AE260" s="53" t="n"/>
      <c r="AF260" s="53" t="n"/>
      <c r="AG260" s="53" t="n"/>
      <c r="AH260" s="53" t="n"/>
      <c r="AI260" s="53" t="n"/>
      <c r="AJ260" s="53" t="n"/>
      <c r="AK260" s="53" t="n"/>
      <c r="AL260" s="53" t="n"/>
      <c r="AM260" s="53" t="n"/>
      <c r="AN260" s="53" t="n"/>
      <c r="AO260" s="53" t="n"/>
      <c r="AP260" s="53" t="n"/>
      <c r="AQ260" s="53" t="n"/>
      <c r="AR260" s="53" t="n"/>
      <c r="AS260" s="53" t="n"/>
      <c r="AT260" s="53" t="n"/>
      <c r="AU260" s="53" t="n"/>
      <c r="AV260" s="53" t="n"/>
      <c r="AW260" s="53" t="n"/>
      <c r="AX260" s="53" t="n"/>
      <c r="AY260" s="53" t="n"/>
    </row>
    <row r="261" ht="15" customHeight="1">
      <c r="A261" s="62" t="n"/>
      <c r="B261" s="55">
        <f>IF($B$259="","",$B$259)</f>
        <v/>
      </c>
      <c r="C261" s="63" t="inlineStr">
        <is>
          <t>기타</t>
        </is>
      </c>
      <c r="D261" s="55">
        <f>IF($D$259="","",$D$259)</f>
        <v/>
      </c>
      <c r="E261" s="64" t="inlineStr">
        <is>
          <t>영상</t>
        </is>
      </c>
      <c r="F261" s="44" t="n"/>
      <c r="G261" s="58">
        <f>IF($G$259="","",$G$259)</f>
        <v/>
      </c>
      <c r="H261" s="59" t="n"/>
      <c r="I261" s="59" t="n"/>
      <c r="J261" s="59" t="n"/>
      <c r="K261" s="59" t="n"/>
      <c r="L261" s="65">
        <f>IF(SUM(U261:AY261)=0,"",SUM(U261:AY261))</f>
        <v/>
      </c>
      <c r="M261" s="66">
        <f>IFERROR(INDEX(U$2:AY$2,MATCH(TRUE,INDEX(U261:AY261&lt;&gt;"",0),0)),"")</f>
        <v/>
      </c>
      <c r="N261" s="66">
        <f>IFERROR(LOOKUP(2,1/(U261:AY261&lt;&gt;""),U$2:AY$2),"")</f>
        <v/>
      </c>
      <c r="O261" s="59" t="n"/>
      <c r="P261" s="59" t="n"/>
      <c r="Q261" s="59" t="n"/>
      <c r="R261" s="59" t="n"/>
      <c r="S261" s="14" t="n"/>
      <c r="U261" s="53" t="n"/>
      <c r="V261" s="53" t="n"/>
      <c r="W261" s="53" t="n"/>
      <c r="X261" s="53" t="n"/>
      <c r="Y261" s="53" t="n"/>
      <c r="Z261" s="53" t="n"/>
      <c r="AA261" s="53" t="n"/>
      <c r="AB261" s="53" t="n"/>
      <c r="AC261" s="53" t="n"/>
      <c r="AD261" s="53" t="n"/>
      <c r="AE261" s="53" t="n"/>
      <c r="AF261" s="53" t="n"/>
      <c r="AG261" s="53" t="n"/>
      <c r="AH261" s="53" t="n"/>
      <c r="AI261" s="53" t="n"/>
      <c r="AJ261" s="53" t="n"/>
      <c r="AK261" s="53" t="n"/>
      <c r="AL261" s="53" t="n"/>
      <c r="AM261" s="53" t="n"/>
      <c r="AN261" s="53" t="n"/>
      <c r="AO261" s="53" t="n"/>
      <c r="AP261" s="53" t="n"/>
      <c r="AQ261" s="53" t="n"/>
      <c r="AR261" s="53" t="n"/>
      <c r="AS261" s="53" t="n"/>
      <c r="AT261" s="53" t="n"/>
      <c r="AU261" s="53" t="n"/>
      <c r="AV261" s="53" t="n"/>
      <c r="AW261" s="53" t="n"/>
      <c r="AX261" s="53" t="n"/>
      <c r="AY261" s="53" t="n"/>
    </row>
    <row r="262" ht="15" customHeight="1">
      <c r="A262" s="40">
        <f>IF($D$262="","",84)</f>
        <v/>
      </c>
      <c r="B262" s="10" t="n"/>
      <c r="C262" s="41" t="inlineStr">
        <is>
          <t>기타</t>
        </is>
      </c>
      <c r="D262" s="42" t="n"/>
      <c r="E262" s="43" t="inlineStr">
        <is>
          <t>기획</t>
        </is>
      </c>
      <c r="F262" s="44" t="n"/>
      <c r="G262" s="45" t="n"/>
      <c r="H262" s="46">
        <f>IF($I$262="","",IF($I$262&lt;0,"🔴지연",IF($I$262&lt;=1,"🟡임박","🟢여유")))</f>
        <v/>
      </c>
      <c r="I262" s="47">
        <f>IF(OR($G$262="",$K$262=""),"",$G$262-$K$262)</f>
        <v/>
      </c>
      <c r="J262" s="48">
        <f>IF(SUM($L$262:$L$264)=0,"",SUM($L$262:$L$264))</f>
        <v/>
      </c>
      <c r="K262" s="49">
        <f>IF($J$262="","",MAX($N$262:$N$264))</f>
        <v/>
      </c>
      <c r="L262" s="50">
        <f>IF(SUM(U262:AY262)=0,"",SUM(U262:AY262))</f>
        <v/>
      </c>
      <c r="M262" s="51">
        <f>IFERROR(INDEX(U$2:AY$2,MATCH(TRUE,INDEX(U262:AY262&lt;&gt;"",0),0)),"")</f>
        <v/>
      </c>
      <c r="N262" s="51">
        <f>IFERROR(LOOKUP(2,1/(U262:AY262&lt;&gt;""),U$2:AY$2),"")</f>
        <v/>
      </c>
      <c r="O262" s="52" t="n"/>
      <c r="P262" s="52" t="n"/>
      <c r="Q262" s="52" t="n"/>
      <c r="R262" s="44" t="n"/>
      <c r="S262" s="14" t="n"/>
      <c r="U262" s="53" t="n"/>
      <c r="V262" s="53" t="n"/>
      <c r="W262" s="53" t="n"/>
      <c r="X262" s="53" t="n"/>
      <c r="Y262" s="53" t="n"/>
      <c r="Z262" s="53" t="n"/>
      <c r="AA262" s="53" t="n"/>
      <c r="AB262" s="53" t="n"/>
      <c r="AC262" s="53" t="n"/>
      <c r="AD262" s="53" t="n"/>
      <c r="AE262" s="53" t="n"/>
      <c r="AF262" s="53" t="n"/>
      <c r="AG262" s="53" t="n"/>
      <c r="AH262" s="53" t="n"/>
      <c r="AI262" s="53" t="n"/>
      <c r="AJ262" s="53" t="n"/>
      <c r="AK262" s="53" t="n"/>
      <c r="AL262" s="53" t="n"/>
      <c r="AM262" s="53" t="n"/>
      <c r="AN262" s="53" t="n"/>
      <c r="AO262" s="53" t="n"/>
      <c r="AP262" s="53" t="n"/>
      <c r="AQ262" s="53" t="n"/>
      <c r="AR262" s="53" t="n"/>
      <c r="AS262" s="53" t="n"/>
      <c r="AT262" s="53" t="n"/>
      <c r="AU262" s="53" t="n"/>
      <c r="AV262" s="53" t="n"/>
      <c r="AW262" s="53" t="n"/>
      <c r="AX262" s="53" t="n"/>
      <c r="AY262" s="53" t="n"/>
    </row>
    <row r="263" ht="15" customHeight="1">
      <c r="A263" s="54" t="n"/>
      <c r="B263" s="55">
        <f>IF($B$262="","",$B$262)</f>
        <v/>
      </c>
      <c r="C263" s="56" t="inlineStr">
        <is>
          <t>기타</t>
        </is>
      </c>
      <c r="D263" s="55">
        <f>IF($D$262="","",$D$262)</f>
        <v/>
      </c>
      <c r="E263" s="57" t="inlineStr">
        <is>
          <t>이미지</t>
        </is>
      </c>
      <c r="F263" s="44" t="n"/>
      <c r="G263" s="58">
        <f>IF($G$262="","",$G$262)</f>
        <v/>
      </c>
      <c r="H263" s="59" t="n"/>
      <c r="I263" s="59" t="n"/>
      <c r="J263" s="59" t="n"/>
      <c r="K263" s="59" t="n"/>
      <c r="L263" s="60">
        <f>IF(SUM(U263:AY263)=0,"",SUM(U263:AY263))</f>
        <v/>
      </c>
      <c r="M263" s="61">
        <f>IFERROR(INDEX(U$2:AY$2,MATCH(TRUE,INDEX(U263:AY263&lt;&gt;"",0),0)),"")</f>
        <v/>
      </c>
      <c r="N263" s="61">
        <f>IFERROR(LOOKUP(2,1/(U263:AY263&lt;&gt;""),U$2:AY$2),"")</f>
        <v/>
      </c>
      <c r="O263" s="59" t="n"/>
      <c r="P263" s="59" t="n"/>
      <c r="Q263" s="59" t="n"/>
      <c r="R263" s="59" t="n"/>
      <c r="S263" s="14" t="n"/>
      <c r="U263" s="53" t="n"/>
      <c r="V263" s="53" t="n"/>
      <c r="W263" s="53" t="n"/>
      <c r="X263" s="53" t="n"/>
      <c r="Y263" s="53" t="n"/>
      <c r="Z263" s="53" t="n"/>
      <c r="AA263" s="53" t="n"/>
      <c r="AB263" s="53" t="n"/>
      <c r="AC263" s="53" t="n"/>
      <c r="AD263" s="53" t="n"/>
      <c r="AE263" s="53" t="n"/>
      <c r="AF263" s="53" t="n"/>
      <c r="AG263" s="53" t="n"/>
      <c r="AH263" s="53" t="n"/>
      <c r="AI263" s="53" t="n"/>
      <c r="AJ263" s="53" t="n"/>
      <c r="AK263" s="53" t="n"/>
      <c r="AL263" s="53" t="n"/>
      <c r="AM263" s="53" t="n"/>
      <c r="AN263" s="53" t="n"/>
      <c r="AO263" s="53" t="n"/>
      <c r="AP263" s="53" t="n"/>
      <c r="AQ263" s="53" t="n"/>
      <c r="AR263" s="53" t="n"/>
      <c r="AS263" s="53" t="n"/>
      <c r="AT263" s="53" t="n"/>
      <c r="AU263" s="53" t="n"/>
      <c r="AV263" s="53" t="n"/>
      <c r="AW263" s="53" t="n"/>
      <c r="AX263" s="53" t="n"/>
      <c r="AY263" s="53" t="n"/>
    </row>
    <row r="264" ht="15" customHeight="1">
      <c r="A264" s="62" t="n"/>
      <c r="B264" s="55">
        <f>IF($B$262="","",$B$262)</f>
        <v/>
      </c>
      <c r="C264" s="63" t="inlineStr">
        <is>
          <t>기타</t>
        </is>
      </c>
      <c r="D264" s="55">
        <f>IF($D$262="","",$D$262)</f>
        <v/>
      </c>
      <c r="E264" s="64" t="inlineStr">
        <is>
          <t>영상</t>
        </is>
      </c>
      <c r="F264" s="44" t="n"/>
      <c r="G264" s="58">
        <f>IF($G$262="","",$G$262)</f>
        <v/>
      </c>
      <c r="H264" s="59" t="n"/>
      <c r="I264" s="59" t="n"/>
      <c r="J264" s="59" t="n"/>
      <c r="K264" s="59" t="n"/>
      <c r="L264" s="65">
        <f>IF(SUM(U264:AY264)=0,"",SUM(U264:AY264))</f>
        <v/>
      </c>
      <c r="M264" s="66">
        <f>IFERROR(INDEX(U$2:AY$2,MATCH(TRUE,INDEX(U264:AY264&lt;&gt;"",0),0)),"")</f>
        <v/>
      </c>
      <c r="N264" s="66">
        <f>IFERROR(LOOKUP(2,1/(U264:AY264&lt;&gt;""),U$2:AY$2),"")</f>
        <v/>
      </c>
      <c r="O264" s="59" t="n"/>
      <c r="P264" s="59" t="n"/>
      <c r="Q264" s="59" t="n"/>
      <c r="R264" s="59" t="n"/>
      <c r="S264" s="14" t="n"/>
      <c r="U264" s="53" t="n"/>
      <c r="V264" s="53" t="n"/>
      <c r="W264" s="53" t="n"/>
      <c r="X264" s="53" t="n"/>
      <c r="Y264" s="53" t="n"/>
      <c r="Z264" s="53" t="n"/>
      <c r="AA264" s="53" t="n"/>
      <c r="AB264" s="53" t="n"/>
      <c r="AC264" s="53" t="n"/>
      <c r="AD264" s="53" t="n"/>
      <c r="AE264" s="53" t="n"/>
      <c r="AF264" s="53" t="n"/>
      <c r="AG264" s="53" t="n"/>
      <c r="AH264" s="53" t="n"/>
      <c r="AI264" s="53" t="n"/>
      <c r="AJ264" s="53" t="n"/>
      <c r="AK264" s="53" t="n"/>
      <c r="AL264" s="53" t="n"/>
      <c r="AM264" s="53" t="n"/>
      <c r="AN264" s="53" t="n"/>
      <c r="AO264" s="53" t="n"/>
      <c r="AP264" s="53" t="n"/>
      <c r="AQ264" s="53" t="n"/>
      <c r="AR264" s="53" t="n"/>
      <c r="AS264" s="53" t="n"/>
      <c r="AT264" s="53" t="n"/>
      <c r="AU264" s="53" t="n"/>
      <c r="AV264" s="53" t="n"/>
      <c r="AW264" s="53" t="n"/>
      <c r="AX264" s="53" t="n"/>
      <c r="AY264" s="53" t="n"/>
    </row>
    <row r="265" ht="15" customHeight="1">
      <c r="A265" s="40">
        <f>IF($D$265="","",85)</f>
        <v/>
      </c>
      <c r="B265" s="10" t="n"/>
      <c r="C265" s="41" t="inlineStr">
        <is>
          <t>기타</t>
        </is>
      </c>
      <c r="D265" s="42" t="n"/>
      <c r="E265" s="43" t="inlineStr">
        <is>
          <t>기획</t>
        </is>
      </c>
      <c r="F265" s="44" t="n"/>
      <c r="G265" s="45" t="n"/>
      <c r="H265" s="46">
        <f>IF($I$265="","",IF($I$265&lt;0,"🔴지연",IF($I$265&lt;=1,"🟡임박","🟢여유")))</f>
        <v/>
      </c>
      <c r="I265" s="47">
        <f>IF(OR($G$265="",$K$265=""),"",$G$265-$K$265)</f>
        <v/>
      </c>
      <c r="J265" s="48">
        <f>IF(SUM($L$265:$L$267)=0,"",SUM($L$265:$L$267))</f>
        <v/>
      </c>
      <c r="K265" s="49">
        <f>IF($J$265="","",MAX($N$265:$N$267))</f>
        <v/>
      </c>
      <c r="L265" s="50">
        <f>IF(SUM(U265:AY265)=0,"",SUM(U265:AY265))</f>
        <v/>
      </c>
      <c r="M265" s="51">
        <f>IFERROR(INDEX(U$2:AY$2,MATCH(TRUE,INDEX(U265:AY265&lt;&gt;"",0),0)),"")</f>
        <v/>
      </c>
      <c r="N265" s="51">
        <f>IFERROR(LOOKUP(2,1/(U265:AY265&lt;&gt;""),U$2:AY$2),"")</f>
        <v/>
      </c>
      <c r="O265" s="52" t="n"/>
      <c r="P265" s="52" t="n"/>
      <c r="Q265" s="52" t="n"/>
      <c r="R265" s="44" t="n"/>
      <c r="S265" s="14" t="n"/>
      <c r="U265" s="53" t="n"/>
      <c r="V265" s="53" t="n"/>
      <c r="W265" s="53" t="n"/>
      <c r="X265" s="53" t="n"/>
      <c r="Y265" s="53" t="n"/>
      <c r="Z265" s="53" t="n"/>
      <c r="AA265" s="53" t="n"/>
      <c r="AB265" s="53" t="n"/>
      <c r="AC265" s="53" t="n"/>
      <c r="AD265" s="53" t="n"/>
      <c r="AE265" s="53" t="n"/>
      <c r="AF265" s="53" t="n"/>
      <c r="AG265" s="53" t="n"/>
      <c r="AH265" s="53" t="n"/>
      <c r="AI265" s="53" t="n"/>
      <c r="AJ265" s="53" t="n"/>
      <c r="AK265" s="53" t="n"/>
      <c r="AL265" s="53" t="n"/>
      <c r="AM265" s="53" t="n"/>
      <c r="AN265" s="53" t="n"/>
      <c r="AO265" s="53" t="n"/>
      <c r="AP265" s="53" t="n"/>
      <c r="AQ265" s="53" t="n"/>
      <c r="AR265" s="53" t="n"/>
      <c r="AS265" s="53" t="n"/>
      <c r="AT265" s="53" t="n"/>
      <c r="AU265" s="53" t="n"/>
      <c r="AV265" s="53" t="n"/>
      <c r="AW265" s="53" t="n"/>
      <c r="AX265" s="53" t="n"/>
      <c r="AY265" s="53" t="n"/>
    </row>
    <row r="266" ht="15" customHeight="1">
      <c r="A266" s="54" t="n"/>
      <c r="B266" s="55">
        <f>IF($B$265="","",$B$265)</f>
        <v/>
      </c>
      <c r="C266" s="56" t="inlineStr">
        <is>
          <t>기타</t>
        </is>
      </c>
      <c r="D266" s="55">
        <f>IF($D$265="","",$D$265)</f>
        <v/>
      </c>
      <c r="E266" s="57" t="inlineStr">
        <is>
          <t>이미지</t>
        </is>
      </c>
      <c r="F266" s="44" t="n"/>
      <c r="G266" s="58">
        <f>IF($G$265="","",$G$265)</f>
        <v/>
      </c>
      <c r="H266" s="59" t="n"/>
      <c r="I266" s="59" t="n"/>
      <c r="J266" s="59" t="n"/>
      <c r="K266" s="59" t="n"/>
      <c r="L266" s="60">
        <f>IF(SUM(U266:AY266)=0,"",SUM(U266:AY266))</f>
        <v/>
      </c>
      <c r="M266" s="61">
        <f>IFERROR(INDEX(U$2:AY$2,MATCH(TRUE,INDEX(U266:AY266&lt;&gt;"",0),0)),"")</f>
        <v/>
      </c>
      <c r="N266" s="61">
        <f>IFERROR(LOOKUP(2,1/(U266:AY266&lt;&gt;""),U$2:AY$2),"")</f>
        <v/>
      </c>
      <c r="O266" s="59" t="n"/>
      <c r="P266" s="59" t="n"/>
      <c r="Q266" s="59" t="n"/>
      <c r="R266" s="59" t="n"/>
      <c r="S266" s="14" t="n"/>
      <c r="U266" s="53" t="n"/>
      <c r="V266" s="53" t="n"/>
      <c r="W266" s="53" t="n"/>
      <c r="X266" s="53" t="n"/>
      <c r="Y266" s="53" t="n"/>
      <c r="Z266" s="53" t="n"/>
      <c r="AA266" s="53" t="n"/>
      <c r="AB266" s="53" t="n"/>
      <c r="AC266" s="53" t="n"/>
      <c r="AD266" s="53" t="n"/>
      <c r="AE266" s="53" t="n"/>
      <c r="AF266" s="53" t="n"/>
      <c r="AG266" s="53" t="n"/>
      <c r="AH266" s="53" t="n"/>
      <c r="AI266" s="53" t="n"/>
      <c r="AJ266" s="53" t="n"/>
      <c r="AK266" s="53" t="n"/>
      <c r="AL266" s="53" t="n"/>
      <c r="AM266" s="53" t="n"/>
      <c r="AN266" s="53" t="n"/>
      <c r="AO266" s="53" t="n"/>
      <c r="AP266" s="53" t="n"/>
      <c r="AQ266" s="53" t="n"/>
      <c r="AR266" s="53" t="n"/>
      <c r="AS266" s="53" t="n"/>
      <c r="AT266" s="53" t="n"/>
      <c r="AU266" s="53" t="n"/>
      <c r="AV266" s="53" t="n"/>
      <c r="AW266" s="53" t="n"/>
      <c r="AX266" s="53" t="n"/>
      <c r="AY266" s="53" t="n"/>
    </row>
    <row r="267" ht="15" customHeight="1">
      <c r="A267" s="62" t="n"/>
      <c r="B267" s="55">
        <f>IF($B$265="","",$B$265)</f>
        <v/>
      </c>
      <c r="C267" s="63" t="inlineStr">
        <is>
          <t>기타</t>
        </is>
      </c>
      <c r="D267" s="55">
        <f>IF($D$265="","",$D$265)</f>
        <v/>
      </c>
      <c r="E267" s="64" t="inlineStr">
        <is>
          <t>영상</t>
        </is>
      </c>
      <c r="F267" s="44" t="n"/>
      <c r="G267" s="58">
        <f>IF($G$265="","",$G$265)</f>
        <v/>
      </c>
      <c r="H267" s="59" t="n"/>
      <c r="I267" s="59" t="n"/>
      <c r="J267" s="59" t="n"/>
      <c r="K267" s="59" t="n"/>
      <c r="L267" s="65">
        <f>IF(SUM(U267:AY267)=0,"",SUM(U267:AY267))</f>
        <v/>
      </c>
      <c r="M267" s="66">
        <f>IFERROR(INDEX(U$2:AY$2,MATCH(TRUE,INDEX(U267:AY267&lt;&gt;"",0),0)),"")</f>
        <v/>
      </c>
      <c r="N267" s="66">
        <f>IFERROR(LOOKUP(2,1/(U267:AY267&lt;&gt;""),U$2:AY$2),"")</f>
        <v/>
      </c>
      <c r="O267" s="59" t="n"/>
      <c r="P267" s="59" t="n"/>
      <c r="Q267" s="59" t="n"/>
      <c r="R267" s="59" t="n"/>
      <c r="S267" s="14" t="n"/>
      <c r="U267" s="53" t="n"/>
      <c r="V267" s="53" t="n"/>
      <c r="W267" s="53" t="n"/>
      <c r="X267" s="53" t="n"/>
      <c r="Y267" s="53" t="n"/>
      <c r="Z267" s="53" t="n"/>
      <c r="AA267" s="53" t="n"/>
      <c r="AB267" s="53" t="n"/>
      <c r="AC267" s="53" t="n"/>
      <c r="AD267" s="53" t="n"/>
      <c r="AE267" s="53" t="n"/>
      <c r="AF267" s="53" t="n"/>
      <c r="AG267" s="53" t="n"/>
      <c r="AH267" s="53" t="n"/>
      <c r="AI267" s="53" t="n"/>
      <c r="AJ267" s="53" t="n"/>
      <c r="AK267" s="53" t="n"/>
      <c r="AL267" s="53" t="n"/>
      <c r="AM267" s="53" t="n"/>
      <c r="AN267" s="53" t="n"/>
      <c r="AO267" s="53" t="n"/>
      <c r="AP267" s="53" t="n"/>
      <c r="AQ267" s="53" t="n"/>
      <c r="AR267" s="53" t="n"/>
      <c r="AS267" s="53" t="n"/>
      <c r="AT267" s="53" t="n"/>
      <c r="AU267" s="53" t="n"/>
      <c r="AV267" s="53" t="n"/>
      <c r="AW267" s="53" t="n"/>
      <c r="AX267" s="53" t="n"/>
      <c r="AY267" s="53" t="n"/>
    </row>
    <row r="268" ht="15" customHeight="1">
      <c r="A268" s="40">
        <f>IF($D$268="","",86)</f>
        <v/>
      </c>
      <c r="B268" s="10" t="n"/>
      <c r="C268" s="41" t="inlineStr">
        <is>
          <t>기타</t>
        </is>
      </c>
      <c r="D268" s="42" t="n"/>
      <c r="E268" s="43" t="inlineStr">
        <is>
          <t>기획</t>
        </is>
      </c>
      <c r="F268" s="44" t="n"/>
      <c r="G268" s="45" t="n"/>
      <c r="H268" s="46">
        <f>IF($I$268="","",IF($I$268&lt;0,"🔴지연",IF($I$268&lt;=1,"🟡임박","🟢여유")))</f>
        <v/>
      </c>
      <c r="I268" s="47">
        <f>IF(OR($G$268="",$K$268=""),"",$G$268-$K$268)</f>
        <v/>
      </c>
      <c r="J268" s="48">
        <f>IF(SUM($L$268:$L$270)=0,"",SUM($L$268:$L$270))</f>
        <v/>
      </c>
      <c r="K268" s="49">
        <f>IF($J$268="","",MAX($N$268:$N$270))</f>
        <v/>
      </c>
      <c r="L268" s="50">
        <f>IF(SUM(U268:AY268)=0,"",SUM(U268:AY268))</f>
        <v/>
      </c>
      <c r="M268" s="51">
        <f>IFERROR(INDEX(U$2:AY$2,MATCH(TRUE,INDEX(U268:AY268&lt;&gt;"",0),0)),"")</f>
        <v/>
      </c>
      <c r="N268" s="51">
        <f>IFERROR(LOOKUP(2,1/(U268:AY268&lt;&gt;""),U$2:AY$2),"")</f>
        <v/>
      </c>
      <c r="O268" s="52" t="n"/>
      <c r="P268" s="52" t="n"/>
      <c r="Q268" s="52" t="n"/>
      <c r="R268" s="44" t="n"/>
      <c r="S268" s="14" t="n"/>
      <c r="U268" s="53" t="n"/>
      <c r="V268" s="53" t="n"/>
      <c r="W268" s="53" t="n"/>
      <c r="X268" s="53" t="n"/>
      <c r="Y268" s="53" t="n"/>
      <c r="Z268" s="53" t="n"/>
      <c r="AA268" s="53" t="n"/>
      <c r="AB268" s="53" t="n"/>
      <c r="AC268" s="53" t="n"/>
      <c r="AD268" s="53" t="n"/>
      <c r="AE268" s="53" t="n"/>
      <c r="AF268" s="53" t="n"/>
      <c r="AG268" s="53" t="n"/>
      <c r="AH268" s="53" t="n"/>
      <c r="AI268" s="53" t="n"/>
      <c r="AJ268" s="53" t="n"/>
      <c r="AK268" s="53" t="n"/>
      <c r="AL268" s="53" t="n"/>
      <c r="AM268" s="53" t="n"/>
      <c r="AN268" s="53" t="n"/>
      <c r="AO268" s="53" t="n"/>
      <c r="AP268" s="53" t="n"/>
      <c r="AQ268" s="53" t="n"/>
      <c r="AR268" s="53" t="n"/>
      <c r="AS268" s="53" t="n"/>
      <c r="AT268" s="53" t="n"/>
      <c r="AU268" s="53" t="n"/>
      <c r="AV268" s="53" t="n"/>
      <c r="AW268" s="53" t="n"/>
      <c r="AX268" s="53" t="n"/>
      <c r="AY268" s="53" t="n"/>
    </row>
    <row r="269" ht="15" customHeight="1">
      <c r="A269" s="54" t="n"/>
      <c r="B269" s="55">
        <f>IF($B$268="","",$B$268)</f>
        <v/>
      </c>
      <c r="C269" s="56" t="inlineStr">
        <is>
          <t>기타</t>
        </is>
      </c>
      <c r="D269" s="55">
        <f>IF($D$268="","",$D$268)</f>
        <v/>
      </c>
      <c r="E269" s="57" t="inlineStr">
        <is>
          <t>이미지</t>
        </is>
      </c>
      <c r="F269" s="44" t="n"/>
      <c r="G269" s="58">
        <f>IF($G$268="","",$G$268)</f>
        <v/>
      </c>
      <c r="H269" s="59" t="n"/>
      <c r="I269" s="59" t="n"/>
      <c r="J269" s="59" t="n"/>
      <c r="K269" s="59" t="n"/>
      <c r="L269" s="60">
        <f>IF(SUM(U269:AY269)=0,"",SUM(U269:AY269))</f>
        <v/>
      </c>
      <c r="M269" s="61">
        <f>IFERROR(INDEX(U$2:AY$2,MATCH(TRUE,INDEX(U269:AY269&lt;&gt;"",0),0)),"")</f>
        <v/>
      </c>
      <c r="N269" s="61">
        <f>IFERROR(LOOKUP(2,1/(U269:AY269&lt;&gt;""),U$2:AY$2),"")</f>
        <v/>
      </c>
      <c r="O269" s="59" t="n"/>
      <c r="P269" s="59" t="n"/>
      <c r="Q269" s="59" t="n"/>
      <c r="R269" s="59" t="n"/>
      <c r="S269" s="14" t="n"/>
      <c r="U269" s="53" t="n"/>
      <c r="V269" s="53" t="n"/>
      <c r="W269" s="53" t="n"/>
      <c r="X269" s="53" t="n"/>
      <c r="Y269" s="53" t="n"/>
      <c r="Z269" s="53" t="n"/>
      <c r="AA269" s="53" t="n"/>
      <c r="AB269" s="53" t="n"/>
      <c r="AC269" s="53" t="n"/>
      <c r="AD269" s="53" t="n"/>
      <c r="AE269" s="53" t="n"/>
      <c r="AF269" s="53" t="n"/>
      <c r="AG269" s="53" t="n"/>
      <c r="AH269" s="53" t="n"/>
      <c r="AI269" s="53" t="n"/>
      <c r="AJ269" s="53" t="n"/>
      <c r="AK269" s="53" t="n"/>
      <c r="AL269" s="53" t="n"/>
      <c r="AM269" s="53" t="n"/>
      <c r="AN269" s="53" t="n"/>
      <c r="AO269" s="53" t="n"/>
      <c r="AP269" s="53" t="n"/>
      <c r="AQ269" s="53" t="n"/>
      <c r="AR269" s="53" t="n"/>
      <c r="AS269" s="53" t="n"/>
      <c r="AT269" s="53" t="n"/>
      <c r="AU269" s="53" t="n"/>
      <c r="AV269" s="53" t="n"/>
      <c r="AW269" s="53" t="n"/>
      <c r="AX269" s="53" t="n"/>
      <c r="AY269" s="53" t="n"/>
    </row>
    <row r="270" ht="15" customHeight="1">
      <c r="A270" s="62" t="n"/>
      <c r="B270" s="55">
        <f>IF($B$268="","",$B$268)</f>
        <v/>
      </c>
      <c r="C270" s="63" t="inlineStr">
        <is>
          <t>기타</t>
        </is>
      </c>
      <c r="D270" s="55">
        <f>IF($D$268="","",$D$268)</f>
        <v/>
      </c>
      <c r="E270" s="64" t="inlineStr">
        <is>
          <t>영상</t>
        </is>
      </c>
      <c r="F270" s="44" t="n"/>
      <c r="G270" s="58">
        <f>IF($G$268="","",$G$268)</f>
        <v/>
      </c>
      <c r="H270" s="59" t="n"/>
      <c r="I270" s="59" t="n"/>
      <c r="J270" s="59" t="n"/>
      <c r="K270" s="59" t="n"/>
      <c r="L270" s="65">
        <f>IF(SUM(U270:AY270)=0,"",SUM(U270:AY270))</f>
        <v/>
      </c>
      <c r="M270" s="66">
        <f>IFERROR(INDEX(U$2:AY$2,MATCH(TRUE,INDEX(U270:AY270&lt;&gt;"",0),0)),"")</f>
        <v/>
      </c>
      <c r="N270" s="66">
        <f>IFERROR(LOOKUP(2,1/(U270:AY270&lt;&gt;""),U$2:AY$2),"")</f>
        <v/>
      </c>
      <c r="O270" s="59" t="n"/>
      <c r="P270" s="59" t="n"/>
      <c r="Q270" s="59" t="n"/>
      <c r="R270" s="59" t="n"/>
      <c r="S270" s="14" t="n"/>
      <c r="U270" s="53" t="n"/>
      <c r="V270" s="53" t="n"/>
      <c r="W270" s="53" t="n"/>
      <c r="X270" s="53" t="n"/>
      <c r="Y270" s="53" t="n"/>
      <c r="Z270" s="53" t="n"/>
      <c r="AA270" s="53" t="n"/>
      <c r="AB270" s="53" t="n"/>
      <c r="AC270" s="53" t="n"/>
      <c r="AD270" s="53" t="n"/>
      <c r="AE270" s="53" t="n"/>
      <c r="AF270" s="53" t="n"/>
      <c r="AG270" s="53" t="n"/>
      <c r="AH270" s="53" t="n"/>
      <c r="AI270" s="53" t="n"/>
      <c r="AJ270" s="53" t="n"/>
      <c r="AK270" s="53" t="n"/>
      <c r="AL270" s="53" t="n"/>
      <c r="AM270" s="53" t="n"/>
      <c r="AN270" s="53" t="n"/>
      <c r="AO270" s="53" t="n"/>
      <c r="AP270" s="53" t="n"/>
      <c r="AQ270" s="53" t="n"/>
      <c r="AR270" s="53" t="n"/>
      <c r="AS270" s="53" t="n"/>
      <c r="AT270" s="53" t="n"/>
      <c r="AU270" s="53" t="n"/>
      <c r="AV270" s="53" t="n"/>
      <c r="AW270" s="53" t="n"/>
      <c r="AX270" s="53" t="n"/>
      <c r="AY270" s="53" t="n"/>
    </row>
    <row r="271" ht="15" customHeight="1">
      <c r="A271" s="40">
        <f>IF($D$271="","",87)</f>
        <v/>
      </c>
      <c r="B271" s="10" t="n"/>
      <c r="C271" s="41" t="inlineStr">
        <is>
          <t>기타</t>
        </is>
      </c>
      <c r="D271" s="42" t="n"/>
      <c r="E271" s="43" t="inlineStr">
        <is>
          <t>기획</t>
        </is>
      </c>
      <c r="F271" s="44" t="n"/>
      <c r="G271" s="45" t="n"/>
      <c r="H271" s="46">
        <f>IF($I$271="","",IF($I$271&lt;0,"🔴지연",IF($I$271&lt;=1,"🟡임박","🟢여유")))</f>
        <v/>
      </c>
      <c r="I271" s="47">
        <f>IF(OR($G$271="",$K$271=""),"",$G$271-$K$271)</f>
        <v/>
      </c>
      <c r="J271" s="48">
        <f>IF(SUM($L$271:$L$273)=0,"",SUM($L$271:$L$273))</f>
        <v/>
      </c>
      <c r="K271" s="49">
        <f>IF($J$271="","",MAX($N$271:$N$273))</f>
        <v/>
      </c>
      <c r="L271" s="50">
        <f>IF(SUM(U271:AY271)=0,"",SUM(U271:AY271))</f>
        <v/>
      </c>
      <c r="M271" s="51">
        <f>IFERROR(INDEX(U$2:AY$2,MATCH(TRUE,INDEX(U271:AY271&lt;&gt;"",0),0)),"")</f>
        <v/>
      </c>
      <c r="N271" s="51">
        <f>IFERROR(LOOKUP(2,1/(U271:AY271&lt;&gt;""),U$2:AY$2),"")</f>
        <v/>
      </c>
      <c r="O271" s="52" t="n"/>
      <c r="P271" s="52" t="n"/>
      <c r="Q271" s="52" t="n"/>
      <c r="R271" s="44" t="n"/>
      <c r="S271" s="14" t="n"/>
      <c r="U271" s="53" t="n"/>
      <c r="V271" s="53" t="n"/>
      <c r="W271" s="53" t="n"/>
      <c r="X271" s="53" t="n"/>
      <c r="Y271" s="53" t="n"/>
      <c r="Z271" s="53" t="n"/>
      <c r="AA271" s="53" t="n"/>
      <c r="AB271" s="53" t="n"/>
      <c r="AC271" s="53" t="n"/>
      <c r="AD271" s="53" t="n"/>
      <c r="AE271" s="53" t="n"/>
      <c r="AF271" s="53" t="n"/>
      <c r="AG271" s="53" t="n"/>
      <c r="AH271" s="53" t="n"/>
      <c r="AI271" s="53" t="n"/>
      <c r="AJ271" s="53" t="n"/>
      <c r="AK271" s="53" t="n"/>
      <c r="AL271" s="53" t="n"/>
      <c r="AM271" s="53" t="n"/>
      <c r="AN271" s="53" t="n"/>
      <c r="AO271" s="53" t="n"/>
      <c r="AP271" s="53" t="n"/>
      <c r="AQ271" s="53" t="n"/>
      <c r="AR271" s="53" t="n"/>
      <c r="AS271" s="53" t="n"/>
      <c r="AT271" s="53" t="n"/>
      <c r="AU271" s="53" t="n"/>
      <c r="AV271" s="53" t="n"/>
      <c r="AW271" s="53" t="n"/>
      <c r="AX271" s="53" t="n"/>
      <c r="AY271" s="53" t="n"/>
    </row>
    <row r="272" ht="15" customHeight="1">
      <c r="A272" s="54" t="n"/>
      <c r="B272" s="55">
        <f>IF($B$271="","",$B$271)</f>
        <v/>
      </c>
      <c r="C272" s="56" t="inlineStr">
        <is>
          <t>기타</t>
        </is>
      </c>
      <c r="D272" s="55">
        <f>IF($D$271="","",$D$271)</f>
        <v/>
      </c>
      <c r="E272" s="57" t="inlineStr">
        <is>
          <t>이미지</t>
        </is>
      </c>
      <c r="F272" s="44" t="n"/>
      <c r="G272" s="58">
        <f>IF($G$271="","",$G$271)</f>
        <v/>
      </c>
      <c r="H272" s="59" t="n"/>
      <c r="I272" s="59" t="n"/>
      <c r="J272" s="59" t="n"/>
      <c r="K272" s="59" t="n"/>
      <c r="L272" s="60">
        <f>IF(SUM(U272:AY272)=0,"",SUM(U272:AY272))</f>
        <v/>
      </c>
      <c r="M272" s="61">
        <f>IFERROR(INDEX(U$2:AY$2,MATCH(TRUE,INDEX(U272:AY272&lt;&gt;"",0),0)),"")</f>
        <v/>
      </c>
      <c r="N272" s="61">
        <f>IFERROR(LOOKUP(2,1/(U272:AY272&lt;&gt;""),U$2:AY$2),"")</f>
        <v/>
      </c>
      <c r="O272" s="59" t="n"/>
      <c r="P272" s="59" t="n"/>
      <c r="Q272" s="59" t="n"/>
      <c r="R272" s="59" t="n"/>
      <c r="S272" s="14" t="n"/>
      <c r="U272" s="53" t="n"/>
      <c r="V272" s="53" t="n"/>
      <c r="W272" s="53" t="n"/>
      <c r="X272" s="53" t="n"/>
      <c r="Y272" s="53" t="n"/>
      <c r="Z272" s="53" t="n"/>
      <c r="AA272" s="53" t="n"/>
      <c r="AB272" s="53" t="n"/>
      <c r="AC272" s="53" t="n"/>
      <c r="AD272" s="53" t="n"/>
      <c r="AE272" s="53" t="n"/>
      <c r="AF272" s="53" t="n"/>
      <c r="AG272" s="53" t="n"/>
      <c r="AH272" s="53" t="n"/>
      <c r="AI272" s="53" t="n"/>
      <c r="AJ272" s="53" t="n"/>
      <c r="AK272" s="53" t="n"/>
      <c r="AL272" s="53" t="n"/>
      <c r="AM272" s="53" t="n"/>
      <c r="AN272" s="53" t="n"/>
      <c r="AO272" s="53" t="n"/>
      <c r="AP272" s="53" t="n"/>
      <c r="AQ272" s="53" t="n"/>
      <c r="AR272" s="53" t="n"/>
      <c r="AS272" s="53" t="n"/>
      <c r="AT272" s="53" t="n"/>
      <c r="AU272" s="53" t="n"/>
      <c r="AV272" s="53" t="n"/>
      <c r="AW272" s="53" t="n"/>
      <c r="AX272" s="53" t="n"/>
      <c r="AY272" s="53" t="n"/>
    </row>
    <row r="273" ht="15" customHeight="1">
      <c r="A273" s="62" t="n"/>
      <c r="B273" s="55">
        <f>IF($B$271="","",$B$271)</f>
        <v/>
      </c>
      <c r="C273" s="63" t="inlineStr">
        <is>
          <t>기타</t>
        </is>
      </c>
      <c r="D273" s="55">
        <f>IF($D$271="","",$D$271)</f>
        <v/>
      </c>
      <c r="E273" s="64" t="inlineStr">
        <is>
          <t>영상</t>
        </is>
      </c>
      <c r="F273" s="44" t="n"/>
      <c r="G273" s="58">
        <f>IF($G$271="","",$G$271)</f>
        <v/>
      </c>
      <c r="H273" s="59" t="n"/>
      <c r="I273" s="59" t="n"/>
      <c r="J273" s="59" t="n"/>
      <c r="K273" s="59" t="n"/>
      <c r="L273" s="65">
        <f>IF(SUM(U273:AY273)=0,"",SUM(U273:AY273))</f>
        <v/>
      </c>
      <c r="M273" s="66">
        <f>IFERROR(INDEX(U$2:AY$2,MATCH(TRUE,INDEX(U273:AY273&lt;&gt;"",0),0)),"")</f>
        <v/>
      </c>
      <c r="N273" s="66">
        <f>IFERROR(LOOKUP(2,1/(U273:AY273&lt;&gt;""),U$2:AY$2),"")</f>
        <v/>
      </c>
      <c r="O273" s="59" t="n"/>
      <c r="P273" s="59" t="n"/>
      <c r="Q273" s="59" t="n"/>
      <c r="R273" s="59" t="n"/>
      <c r="S273" s="14" t="n"/>
      <c r="U273" s="53" t="n"/>
      <c r="V273" s="53" t="n"/>
      <c r="W273" s="53" t="n"/>
      <c r="X273" s="53" t="n"/>
      <c r="Y273" s="53" t="n"/>
      <c r="Z273" s="53" t="n"/>
      <c r="AA273" s="53" t="n"/>
      <c r="AB273" s="53" t="n"/>
      <c r="AC273" s="53" t="n"/>
      <c r="AD273" s="53" t="n"/>
      <c r="AE273" s="53" t="n"/>
      <c r="AF273" s="53" t="n"/>
      <c r="AG273" s="53" t="n"/>
      <c r="AH273" s="53" t="n"/>
      <c r="AI273" s="53" t="n"/>
      <c r="AJ273" s="53" t="n"/>
      <c r="AK273" s="53" t="n"/>
      <c r="AL273" s="53" t="n"/>
      <c r="AM273" s="53" t="n"/>
      <c r="AN273" s="53" t="n"/>
      <c r="AO273" s="53" t="n"/>
      <c r="AP273" s="53" t="n"/>
      <c r="AQ273" s="53" t="n"/>
      <c r="AR273" s="53" t="n"/>
      <c r="AS273" s="53" t="n"/>
      <c r="AT273" s="53" t="n"/>
      <c r="AU273" s="53" t="n"/>
      <c r="AV273" s="53" t="n"/>
      <c r="AW273" s="53" t="n"/>
      <c r="AX273" s="53" t="n"/>
      <c r="AY273" s="53" t="n"/>
    </row>
    <row r="274" ht="15" customHeight="1">
      <c r="A274" s="40">
        <f>IF($D$274="","",88)</f>
        <v/>
      </c>
      <c r="B274" s="10" t="n"/>
      <c r="C274" s="41" t="inlineStr">
        <is>
          <t>기타</t>
        </is>
      </c>
      <c r="D274" s="42" t="n"/>
      <c r="E274" s="43" t="inlineStr">
        <is>
          <t>기획</t>
        </is>
      </c>
      <c r="F274" s="44" t="n"/>
      <c r="G274" s="45" t="n"/>
      <c r="H274" s="46">
        <f>IF($I$274="","",IF($I$274&lt;0,"🔴지연",IF($I$274&lt;=1,"🟡임박","🟢여유")))</f>
        <v/>
      </c>
      <c r="I274" s="47">
        <f>IF(OR($G$274="",$K$274=""),"",$G$274-$K$274)</f>
        <v/>
      </c>
      <c r="J274" s="48">
        <f>IF(SUM($L$274:$L$276)=0,"",SUM($L$274:$L$276))</f>
        <v/>
      </c>
      <c r="K274" s="49">
        <f>IF($J$274="","",MAX($N$274:$N$276))</f>
        <v/>
      </c>
      <c r="L274" s="50">
        <f>IF(SUM(U274:AY274)=0,"",SUM(U274:AY274))</f>
        <v/>
      </c>
      <c r="M274" s="51">
        <f>IFERROR(INDEX(U$2:AY$2,MATCH(TRUE,INDEX(U274:AY274&lt;&gt;"",0),0)),"")</f>
        <v/>
      </c>
      <c r="N274" s="51">
        <f>IFERROR(LOOKUP(2,1/(U274:AY274&lt;&gt;""),U$2:AY$2),"")</f>
        <v/>
      </c>
      <c r="O274" s="52" t="n"/>
      <c r="P274" s="52" t="n"/>
      <c r="Q274" s="52" t="n"/>
      <c r="R274" s="44" t="n"/>
      <c r="S274" s="14" t="n"/>
      <c r="U274" s="53" t="n"/>
      <c r="V274" s="53" t="n"/>
      <c r="W274" s="53" t="n"/>
      <c r="X274" s="53" t="n"/>
      <c r="Y274" s="53" t="n"/>
      <c r="Z274" s="53" t="n"/>
      <c r="AA274" s="53" t="n"/>
      <c r="AB274" s="53" t="n"/>
      <c r="AC274" s="53" t="n"/>
      <c r="AD274" s="53" t="n"/>
      <c r="AE274" s="53" t="n"/>
      <c r="AF274" s="53" t="n"/>
      <c r="AG274" s="53" t="n"/>
      <c r="AH274" s="53" t="n"/>
      <c r="AI274" s="53" t="n"/>
      <c r="AJ274" s="53" t="n"/>
      <c r="AK274" s="53" t="n"/>
      <c r="AL274" s="53" t="n"/>
      <c r="AM274" s="53" t="n"/>
      <c r="AN274" s="53" t="n"/>
      <c r="AO274" s="53" t="n"/>
      <c r="AP274" s="53" t="n"/>
      <c r="AQ274" s="53" t="n"/>
      <c r="AR274" s="53" t="n"/>
      <c r="AS274" s="53" t="n"/>
      <c r="AT274" s="53" t="n"/>
      <c r="AU274" s="53" t="n"/>
      <c r="AV274" s="53" t="n"/>
      <c r="AW274" s="53" t="n"/>
      <c r="AX274" s="53" t="n"/>
      <c r="AY274" s="53" t="n"/>
    </row>
    <row r="275" ht="15" customHeight="1">
      <c r="A275" s="54" t="n"/>
      <c r="B275" s="55">
        <f>IF($B$274="","",$B$274)</f>
        <v/>
      </c>
      <c r="C275" s="56" t="inlineStr">
        <is>
          <t>기타</t>
        </is>
      </c>
      <c r="D275" s="55">
        <f>IF($D$274="","",$D$274)</f>
        <v/>
      </c>
      <c r="E275" s="57" t="inlineStr">
        <is>
          <t>이미지</t>
        </is>
      </c>
      <c r="F275" s="44" t="n"/>
      <c r="G275" s="58">
        <f>IF($G$274="","",$G$274)</f>
        <v/>
      </c>
      <c r="H275" s="59" t="n"/>
      <c r="I275" s="59" t="n"/>
      <c r="J275" s="59" t="n"/>
      <c r="K275" s="59" t="n"/>
      <c r="L275" s="60">
        <f>IF(SUM(U275:AY275)=0,"",SUM(U275:AY275))</f>
        <v/>
      </c>
      <c r="M275" s="61">
        <f>IFERROR(INDEX(U$2:AY$2,MATCH(TRUE,INDEX(U275:AY275&lt;&gt;"",0),0)),"")</f>
        <v/>
      </c>
      <c r="N275" s="61">
        <f>IFERROR(LOOKUP(2,1/(U275:AY275&lt;&gt;""),U$2:AY$2),"")</f>
        <v/>
      </c>
      <c r="O275" s="59" t="n"/>
      <c r="P275" s="59" t="n"/>
      <c r="Q275" s="59" t="n"/>
      <c r="R275" s="59" t="n"/>
      <c r="S275" s="14" t="n"/>
      <c r="U275" s="53" t="n"/>
      <c r="V275" s="53" t="n"/>
      <c r="W275" s="53" t="n"/>
      <c r="X275" s="53" t="n"/>
      <c r="Y275" s="53" t="n"/>
      <c r="Z275" s="53" t="n"/>
      <c r="AA275" s="53" t="n"/>
      <c r="AB275" s="53" t="n"/>
      <c r="AC275" s="53" t="n"/>
      <c r="AD275" s="53" t="n"/>
      <c r="AE275" s="53" t="n"/>
      <c r="AF275" s="53" t="n"/>
      <c r="AG275" s="53" t="n"/>
      <c r="AH275" s="53" t="n"/>
      <c r="AI275" s="53" t="n"/>
      <c r="AJ275" s="53" t="n"/>
      <c r="AK275" s="53" t="n"/>
      <c r="AL275" s="53" t="n"/>
      <c r="AM275" s="53" t="n"/>
      <c r="AN275" s="53" t="n"/>
      <c r="AO275" s="53" t="n"/>
      <c r="AP275" s="53" t="n"/>
      <c r="AQ275" s="53" t="n"/>
      <c r="AR275" s="53" t="n"/>
      <c r="AS275" s="53" t="n"/>
      <c r="AT275" s="53" t="n"/>
      <c r="AU275" s="53" t="n"/>
      <c r="AV275" s="53" t="n"/>
      <c r="AW275" s="53" t="n"/>
      <c r="AX275" s="53" t="n"/>
      <c r="AY275" s="53" t="n"/>
    </row>
    <row r="276" ht="15" customHeight="1">
      <c r="A276" s="62" t="n"/>
      <c r="B276" s="55">
        <f>IF($B$274="","",$B$274)</f>
        <v/>
      </c>
      <c r="C276" s="63" t="inlineStr">
        <is>
          <t>기타</t>
        </is>
      </c>
      <c r="D276" s="55">
        <f>IF($D$274="","",$D$274)</f>
        <v/>
      </c>
      <c r="E276" s="64" t="inlineStr">
        <is>
          <t>영상</t>
        </is>
      </c>
      <c r="F276" s="44" t="n"/>
      <c r="G276" s="58">
        <f>IF($G$274="","",$G$274)</f>
        <v/>
      </c>
      <c r="H276" s="59" t="n"/>
      <c r="I276" s="59" t="n"/>
      <c r="J276" s="59" t="n"/>
      <c r="K276" s="59" t="n"/>
      <c r="L276" s="65">
        <f>IF(SUM(U276:AY276)=0,"",SUM(U276:AY276))</f>
        <v/>
      </c>
      <c r="M276" s="66">
        <f>IFERROR(INDEX(U$2:AY$2,MATCH(TRUE,INDEX(U276:AY276&lt;&gt;"",0),0)),"")</f>
        <v/>
      </c>
      <c r="N276" s="66">
        <f>IFERROR(LOOKUP(2,1/(U276:AY276&lt;&gt;""),U$2:AY$2),"")</f>
        <v/>
      </c>
      <c r="O276" s="59" t="n"/>
      <c r="P276" s="59" t="n"/>
      <c r="Q276" s="59" t="n"/>
      <c r="R276" s="59" t="n"/>
      <c r="S276" s="14" t="n"/>
      <c r="U276" s="53" t="n"/>
      <c r="V276" s="53" t="n"/>
      <c r="W276" s="53" t="n"/>
      <c r="X276" s="53" t="n"/>
      <c r="Y276" s="53" t="n"/>
      <c r="Z276" s="53" t="n"/>
      <c r="AA276" s="53" t="n"/>
      <c r="AB276" s="53" t="n"/>
      <c r="AC276" s="53" t="n"/>
      <c r="AD276" s="53" t="n"/>
      <c r="AE276" s="53" t="n"/>
      <c r="AF276" s="53" t="n"/>
      <c r="AG276" s="53" t="n"/>
      <c r="AH276" s="53" t="n"/>
      <c r="AI276" s="53" t="n"/>
      <c r="AJ276" s="53" t="n"/>
      <c r="AK276" s="53" t="n"/>
      <c r="AL276" s="53" t="n"/>
      <c r="AM276" s="53" t="n"/>
      <c r="AN276" s="53" t="n"/>
      <c r="AO276" s="53" t="n"/>
      <c r="AP276" s="53" t="n"/>
      <c r="AQ276" s="53" t="n"/>
      <c r="AR276" s="53" t="n"/>
      <c r="AS276" s="53" t="n"/>
      <c r="AT276" s="53" t="n"/>
      <c r="AU276" s="53" t="n"/>
      <c r="AV276" s="53" t="n"/>
      <c r="AW276" s="53" t="n"/>
      <c r="AX276" s="53" t="n"/>
      <c r="AY276" s="53" t="n"/>
    </row>
    <row r="277" ht="15" customHeight="1">
      <c r="A277" s="40">
        <f>IF($D$277="","",89)</f>
        <v/>
      </c>
      <c r="B277" s="10" t="n"/>
      <c r="C277" s="41" t="inlineStr">
        <is>
          <t>기타</t>
        </is>
      </c>
      <c r="D277" s="42" t="n"/>
      <c r="E277" s="43" t="inlineStr">
        <is>
          <t>기획</t>
        </is>
      </c>
      <c r="F277" s="44" t="n"/>
      <c r="G277" s="45" t="n"/>
      <c r="H277" s="46">
        <f>IF($I$277="","",IF($I$277&lt;0,"🔴지연",IF($I$277&lt;=1,"🟡임박","🟢여유")))</f>
        <v/>
      </c>
      <c r="I277" s="47">
        <f>IF(OR($G$277="",$K$277=""),"",$G$277-$K$277)</f>
        <v/>
      </c>
      <c r="J277" s="48">
        <f>IF(SUM($L$277:$L$279)=0,"",SUM($L$277:$L$279))</f>
        <v/>
      </c>
      <c r="K277" s="49">
        <f>IF($J$277="","",MAX($N$277:$N$279))</f>
        <v/>
      </c>
      <c r="L277" s="50">
        <f>IF(SUM(U277:AY277)=0,"",SUM(U277:AY277))</f>
        <v/>
      </c>
      <c r="M277" s="51">
        <f>IFERROR(INDEX(U$2:AY$2,MATCH(TRUE,INDEX(U277:AY277&lt;&gt;"",0),0)),"")</f>
        <v/>
      </c>
      <c r="N277" s="51">
        <f>IFERROR(LOOKUP(2,1/(U277:AY277&lt;&gt;""),U$2:AY$2),"")</f>
        <v/>
      </c>
      <c r="O277" s="52" t="n"/>
      <c r="P277" s="52" t="n"/>
      <c r="Q277" s="52" t="n"/>
      <c r="R277" s="44" t="n"/>
      <c r="S277" s="14" t="n"/>
      <c r="U277" s="53" t="n"/>
      <c r="V277" s="53" t="n"/>
      <c r="W277" s="53" t="n"/>
      <c r="X277" s="53" t="n"/>
      <c r="Y277" s="53" t="n"/>
      <c r="Z277" s="53" t="n"/>
      <c r="AA277" s="53" t="n"/>
      <c r="AB277" s="53" t="n"/>
      <c r="AC277" s="53" t="n"/>
      <c r="AD277" s="53" t="n"/>
      <c r="AE277" s="53" t="n"/>
      <c r="AF277" s="53" t="n"/>
      <c r="AG277" s="53" t="n"/>
      <c r="AH277" s="53" t="n"/>
      <c r="AI277" s="53" t="n"/>
      <c r="AJ277" s="53" t="n"/>
      <c r="AK277" s="53" t="n"/>
      <c r="AL277" s="53" t="n"/>
      <c r="AM277" s="53" t="n"/>
      <c r="AN277" s="53" t="n"/>
      <c r="AO277" s="53" t="n"/>
      <c r="AP277" s="53" t="n"/>
      <c r="AQ277" s="53" t="n"/>
      <c r="AR277" s="53" t="n"/>
      <c r="AS277" s="53" t="n"/>
      <c r="AT277" s="53" t="n"/>
      <c r="AU277" s="53" t="n"/>
      <c r="AV277" s="53" t="n"/>
      <c r="AW277" s="53" t="n"/>
      <c r="AX277" s="53" t="n"/>
      <c r="AY277" s="53" t="n"/>
    </row>
    <row r="278" ht="15" customHeight="1">
      <c r="A278" s="54" t="n"/>
      <c r="B278" s="55">
        <f>IF($B$277="","",$B$277)</f>
        <v/>
      </c>
      <c r="C278" s="56" t="inlineStr">
        <is>
          <t>기타</t>
        </is>
      </c>
      <c r="D278" s="55">
        <f>IF($D$277="","",$D$277)</f>
        <v/>
      </c>
      <c r="E278" s="57" t="inlineStr">
        <is>
          <t>이미지</t>
        </is>
      </c>
      <c r="F278" s="44" t="n"/>
      <c r="G278" s="58">
        <f>IF($G$277="","",$G$277)</f>
        <v/>
      </c>
      <c r="H278" s="59" t="n"/>
      <c r="I278" s="59" t="n"/>
      <c r="J278" s="59" t="n"/>
      <c r="K278" s="59" t="n"/>
      <c r="L278" s="60">
        <f>IF(SUM(U278:AY278)=0,"",SUM(U278:AY278))</f>
        <v/>
      </c>
      <c r="M278" s="61">
        <f>IFERROR(INDEX(U$2:AY$2,MATCH(TRUE,INDEX(U278:AY278&lt;&gt;"",0),0)),"")</f>
        <v/>
      </c>
      <c r="N278" s="61">
        <f>IFERROR(LOOKUP(2,1/(U278:AY278&lt;&gt;""),U$2:AY$2),"")</f>
        <v/>
      </c>
      <c r="O278" s="59" t="n"/>
      <c r="P278" s="59" t="n"/>
      <c r="Q278" s="59" t="n"/>
      <c r="R278" s="59" t="n"/>
      <c r="S278" s="14" t="n"/>
      <c r="U278" s="53" t="n"/>
      <c r="V278" s="53" t="n"/>
      <c r="W278" s="53" t="n"/>
      <c r="X278" s="53" t="n"/>
      <c r="Y278" s="53" t="n"/>
      <c r="Z278" s="53" t="n"/>
      <c r="AA278" s="53" t="n"/>
      <c r="AB278" s="53" t="n"/>
      <c r="AC278" s="53" t="n"/>
      <c r="AD278" s="53" t="n"/>
      <c r="AE278" s="53" t="n"/>
      <c r="AF278" s="53" t="n"/>
      <c r="AG278" s="53" t="n"/>
      <c r="AH278" s="53" t="n"/>
      <c r="AI278" s="53" t="n"/>
      <c r="AJ278" s="53" t="n"/>
      <c r="AK278" s="53" t="n"/>
      <c r="AL278" s="53" t="n"/>
      <c r="AM278" s="53" t="n"/>
      <c r="AN278" s="53" t="n"/>
      <c r="AO278" s="53" t="n"/>
      <c r="AP278" s="53" t="n"/>
      <c r="AQ278" s="53" t="n"/>
      <c r="AR278" s="53" t="n"/>
      <c r="AS278" s="53" t="n"/>
      <c r="AT278" s="53" t="n"/>
      <c r="AU278" s="53" t="n"/>
      <c r="AV278" s="53" t="n"/>
      <c r="AW278" s="53" t="n"/>
      <c r="AX278" s="53" t="n"/>
      <c r="AY278" s="53" t="n"/>
    </row>
    <row r="279" ht="15" customHeight="1">
      <c r="A279" s="62" t="n"/>
      <c r="B279" s="55">
        <f>IF($B$277="","",$B$277)</f>
        <v/>
      </c>
      <c r="C279" s="63" t="inlineStr">
        <is>
          <t>기타</t>
        </is>
      </c>
      <c r="D279" s="55">
        <f>IF($D$277="","",$D$277)</f>
        <v/>
      </c>
      <c r="E279" s="64" t="inlineStr">
        <is>
          <t>영상</t>
        </is>
      </c>
      <c r="F279" s="44" t="n"/>
      <c r="G279" s="58">
        <f>IF($G$277="","",$G$277)</f>
        <v/>
      </c>
      <c r="H279" s="59" t="n"/>
      <c r="I279" s="59" t="n"/>
      <c r="J279" s="59" t="n"/>
      <c r="K279" s="59" t="n"/>
      <c r="L279" s="65">
        <f>IF(SUM(U279:AY279)=0,"",SUM(U279:AY279))</f>
        <v/>
      </c>
      <c r="M279" s="66">
        <f>IFERROR(INDEX(U$2:AY$2,MATCH(TRUE,INDEX(U279:AY279&lt;&gt;"",0),0)),"")</f>
        <v/>
      </c>
      <c r="N279" s="66">
        <f>IFERROR(LOOKUP(2,1/(U279:AY279&lt;&gt;""),U$2:AY$2),"")</f>
        <v/>
      </c>
      <c r="O279" s="59" t="n"/>
      <c r="P279" s="59" t="n"/>
      <c r="Q279" s="59" t="n"/>
      <c r="R279" s="59" t="n"/>
      <c r="S279" s="14" t="n"/>
      <c r="U279" s="53" t="n"/>
      <c r="V279" s="53" t="n"/>
      <c r="W279" s="53" t="n"/>
      <c r="X279" s="53" t="n"/>
      <c r="Y279" s="53" t="n"/>
      <c r="Z279" s="53" t="n"/>
      <c r="AA279" s="53" t="n"/>
      <c r="AB279" s="53" t="n"/>
      <c r="AC279" s="53" t="n"/>
      <c r="AD279" s="53" t="n"/>
      <c r="AE279" s="53" t="n"/>
      <c r="AF279" s="53" t="n"/>
      <c r="AG279" s="53" t="n"/>
      <c r="AH279" s="53" t="n"/>
      <c r="AI279" s="53" t="n"/>
      <c r="AJ279" s="53" t="n"/>
      <c r="AK279" s="53" t="n"/>
      <c r="AL279" s="53" t="n"/>
      <c r="AM279" s="53" t="n"/>
      <c r="AN279" s="53" t="n"/>
      <c r="AO279" s="53" t="n"/>
      <c r="AP279" s="53" t="n"/>
      <c r="AQ279" s="53" t="n"/>
      <c r="AR279" s="53" t="n"/>
      <c r="AS279" s="53" t="n"/>
      <c r="AT279" s="53" t="n"/>
      <c r="AU279" s="53" t="n"/>
      <c r="AV279" s="53" t="n"/>
      <c r="AW279" s="53" t="n"/>
      <c r="AX279" s="53" t="n"/>
      <c r="AY279" s="53" t="n"/>
    </row>
    <row r="280" ht="15" customHeight="1">
      <c r="A280" s="40">
        <f>IF($D$280="","",90)</f>
        <v/>
      </c>
      <c r="B280" s="10" t="n"/>
      <c r="C280" s="41" t="inlineStr">
        <is>
          <t>기타</t>
        </is>
      </c>
      <c r="D280" s="42" t="n"/>
      <c r="E280" s="43" t="inlineStr">
        <is>
          <t>기획</t>
        </is>
      </c>
      <c r="F280" s="44" t="n"/>
      <c r="G280" s="45" t="n"/>
      <c r="H280" s="46">
        <f>IF($I$280="","",IF($I$280&lt;0,"🔴지연",IF($I$280&lt;=1,"🟡임박","🟢여유")))</f>
        <v/>
      </c>
      <c r="I280" s="47">
        <f>IF(OR($G$280="",$K$280=""),"",$G$280-$K$280)</f>
        <v/>
      </c>
      <c r="J280" s="48">
        <f>IF(SUM($L$280:$L$282)=0,"",SUM($L$280:$L$282))</f>
        <v/>
      </c>
      <c r="K280" s="49">
        <f>IF($J$280="","",MAX($N$280:$N$282))</f>
        <v/>
      </c>
      <c r="L280" s="50">
        <f>IF(SUM(U280:AY280)=0,"",SUM(U280:AY280))</f>
        <v/>
      </c>
      <c r="M280" s="51">
        <f>IFERROR(INDEX(U$2:AY$2,MATCH(TRUE,INDEX(U280:AY280&lt;&gt;"",0),0)),"")</f>
        <v/>
      </c>
      <c r="N280" s="51">
        <f>IFERROR(LOOKUP(2,1/(U280:AY280&lt;&gt;""),U$2:AY$2),"")</f>
        <v/>
      </c>
      <c r="O280" s="52" t="n"/>
      <c r="P280" s="52" t="n"/>
      <c r="Q280" s="52" t="n"/>
      <c r="R280" s="44" t="n"/>
      <c r="S280" s="14" t="n"/>
      <c r="U280" s="53" t="n"/>
      <c r="V280" s="53" t="n"/>
      <c r="W280" s="53" t="n"/>
      <c r="X280" s="53" t="n"/>
      <c r="Y280" s="53" t="n"/>
      <c r="Z280" s="53" t="n"/>
      <c r="AA280" s="53" t="n"/>
      <c r="AB280" s="53" t="n"/>
      <c r="AC280" s="53" t="n"/>
      <c r="AD280" s="53" t="n"/>
      <c r="AE280" s="53" t="n"/>
      <c r="AF280" s="53" t="n"/>
      <c r="AG280" s="53" t="n"/>
      <c r="AH280" s="53" t="n"/>
      <c r="AI280" s="53" t="n"/>
      <c r="AJ280" s="53" t="n"/>
      <c r="AK280" s="53" t="n"/>
      <c r="AL280" s="53" t="n"/>
      <c r="AM280" s="53" t="n"/>
      <c r="AN280" s="53" t="n"/>
      <c r="AO280" s="53" t="n"/>
      <c r="AP280" s="53" t="n"/>
      <c r="AQ280" s="53" t="n"/>
      <c r="AR280" s="53" t="n"/>
      <c r="AS280" s="53" t="n"/>
      <c r="AT280" s="53" t="n"/>
      <c r="AU280" s="53" t="n"/>
      <c r="AV280" s="53" t="n"/>
      <c r="AW280" s="53" t="n"/>
      <c r="AX280" s="53" t="n"/>
      <c r="AY280" s="53" t="n"/>
    </row>
    <row r="281" ht="15" customHeight="1">
      <c r="A281" s="54" t="n"/>
      <c r="B281" s="55">
        <f>IF($B$280="","",$B$280)</f>
        <v/>
      </c>
      <c r="C281" s="56" t="inlineStr">
        <is>
          <t>기타</t>
        </is>
      </c>
      <c r="D281" s="55">
        <f>IF($D$280="","",$D$280)</f>
        <v/>
      </c>
      <c r="E281" s="57" t="inlineStr">
        <is>
          <t>이미지</t>
        </is>
      </c>
      <c r="F281" s="44" t="n"/>
      <c r="G281" s="58">
        <f>IF($G$280="","",$G$280)</f>
        <v/>
      </c>
      <c r="H281" s="59" t="n"/>
      <c r="I281" s="59" t="n"/>
      <c r="J281" s="59" t="n"/>
      <c r="K281" s="59" t="n"/>
      <c r="L281" s="60">
        <f>IF(SUM(U281:AY281)=0,"",SUM(U281:AY281))</f>
        <v/>
      </c>
      <c r="M281" s="61">
        <f>IFERROR(INDEX(U$2:AY$2,MATCH(TRUE,INDEX(U281:AY281&lt;&gt;"",0),0)),"")</f>
        <v/>
      </c>
      <c r="N281" s="61">
        <f>IFERROR(LOOKUP(2,1/(U281:AY281&lt;&gt;""),U$2:AY$2),"")</f>
        <v/>
      </c>
      <c r="O281" s="59" t="n"/>
      <c r="P281" s="59" t="n"/>
      <c r="Q281" s="59" t="n"/>
      <c r="R281" s="59" t="n"/>
      <c r="S281" s="14" t="n"/>
      <c r="U281" s="53" t="n"/>
      <c r="V281" s="53" t="n"/>
      <c r="W281" s="53" t="n"/>
      <c r="X281" s="53" t="n"/>
      <c r="Y281" s="53" t="n"/>
      <c r="Z281" s="53" t="n"/>
      <c r="AA281" s="53" t="n"/>
      <c r="AB281" s="53" t="n"/>
      <c r="AC281" s="53" t="n"/>
      <c r="AD281" s="53" t="n"/>
      <c r="AE281" s="53" t="n"/>
      <c r="AF281" s="53" t="n"/>
      <c r="AG281" s="53" t="n"/>
      <c r="AH281" s="53" t="n"/>
      <c r="AI281" s="53" t="n"/>
      <c r="AJ281" s="53" t="n"/>
      <c r="AK281" s="53" t="n"/>
      <c r="AL281" s="53" t="n"/>
      <c r="AM281" s="53" t="n"/>
      <c r="AN281" s="53" t="n"/>
      <c r="AO281" s="53" t="n"/>
      <c r="AP281" s="53" t="n"/>
      <c r="AQ281" s="53" t="n"/>
      <c r="AR281" s="53" t="n"/>
      <c r="AS281" s="53" t="n"/>
      <c r="AT281" s="53" t="n"/>
      <c r="AU281" s="53" t="n"/>
      <c r="AV281" s="53" t="n"/>
      <c r="AW281" s="53" t="n"/>
      <c r="AX281" s="53" t="n"/>
      <c r="AY281" s="53" t="n"/>
    </row>
    <row r="282" ht="15" customHeight="1">
      <c r="A282" s="62" t="n"/>
      <c r="B282" s="55">
        <f>IF($B$280="","",$B$280)</f>
        <v/>
      </c>
      <c r="C282" s="63" t="inlineStr">
        <is>
          <t>기타</t>
        </is>
      </c>
      <c r="D282" s="55">
        <f>IF($D$280="","",$D$280)</f>
        <v/>
      </c>
      <c r="E282" s="64" t="inlineStr">
        <is>
          <t>영상</t>
        </is>
      </c>
      <c r="F282" s="44" t="n"/>
      <c r="G282" s="58">
        <f>IF($G$280="","",$G$280)</f>
        <v/>
      </c>
      <c r="H282" s="59" t="n"/>
      <c r="I282" s="59" t="n"/>
      <c r="J282" s="59" t="n"/>
      <c r="K282" s="59" t="n"/>
      <c r="L282" s="65">
        <f>IF(SUM(U282:AY282)=0,"",SUM(U282:AY282))</f>
        <v/>
      </c>
      <c r="M282" s="66">
        <f>IFERROR(INDEX(U$2:AY$2,MATCH(TRUE,INDEX(U282:AY282&lt;&gt;"",0),0)),"")</f>
        <v/>
      </c>
      <c r="N282" s="66">
        <f>IFERROR(LOOKUP(2,1/(U282:AY282&lt;&gt;""),U$2:AY$2),"")</f>
        <v/>
      </c>
      <c r="O282" s="59" t="n"/>
      <c r="P282" s="59" t="n"/>
      <c r="Q282" s="59" t="n"/>
      <c r="R282" s="59" t="n"/>
      <c r="S282" s="14" t="n"/>
      <c r="U282" s="53" t="n"/>
      <c r="V282" s="53" t="n"/>
      <c r="W282" s="53" t="n"/>
      <c r="X282" s="53" t="n"/>
      <c r="Y282" s="53" t="n"/>
      <c r="Z282" s="53" t="n"/>
      <c r="AA282" s="53" t="n"/>
      <c r="AB282" s="53" t="n"/>
      <c r="AC282" s="53" t="n"/>
      <c r="AD282" s="53" t="n"/>
      <c r="AE282" s="53" t="n"/>
      <c r="AF282" s="53" t="n"/>
      <c r="AG282" s="53" t="n"/>
      <c r="AH282" s="53" t="n"/>
      <c r="AI282" s="53" t="n"/>
      <c r="AJ282" s="53" t="n"/>
      <c r="AK282" s="53" t="n"/>
      <c r="AL282" s="53" t="n"/>
      <c r="AM282" s="53" t="n"/>
      <c r="AN282" s="53" t="n"/>
      <c r="AO282" s="53" t="n"/>
      <c r="AP282" s="53" t="n"/>
      <c r="AQ282" s="53" t="n"/>
      <c r="AR282" s="53" t="n"/>
      <c r="AS282" s="53" t="n"/>
      <c r="AT282" s="53" t="n"/>
      <c r="AU282" s="53" t="n"/>
      <c r="AV282" s="53" t="n"/>
      <c r="AW282" s="53" t="n"/>
      <c r="AX282" s="53" t="n"/>
      <c r="AY282" s="53" t="n"/>
    </row>
    <row r="283" ht="15" customHeight="1">
      <c r="A283" s="40">
        <f>IF($D$283="","",91)</f>
        <v/>
      </c>
      <c r="B283" s="10" t="n"/>
      <c r="C283" s="41" t="inlineStr">
        <is>
          <t>기타</t>
        </is>
      </c>
      <c r="D283" s="42" t="n"/>
      <c r="E283" s="43" t="inlineStr">
        <is>
          <t>기획</t>
        </is>
      </c>
      <c r="F283" s="44" t="n"/>
      <c r="G283" s="45" t="n"/>
      <c r="H283" s="46">
        <f>IF($I$283="","",IF($I$283&lt;0,"🔴지연",IF($I$283&lt;=1,"🟡임박","🟢여유")))</f>
        <v/>
      </c>
      <c r="I283" s="47">
        <f>IF(OR($G$283="",$K$283=""),"",$G$283-$K$283)</f>
        <v/>
      </c>
      <c r="J283" s="48">
        <f>IF(SUM($L$283:$L$285)=0,"",SUM($L$283:$L$285))</f>
        <v/>
      </c>
      <c r="K283" s="49">
        <f>IF($J$283="","",MAX($N$283:$N$285))</f>
        <v/>
      </c>
      <c r="L283" s="50">
        <f>IF(SUM(U283:AY283)=0,"",SUM(U283:AY283))</f>
        <v/>
      </c>
      <c r="M283" s="51">
        <f>IFERROR(INDEX(U$2:AY$2,MATCH(TRUE,INDEX(U283:AY283&lt;&gt;"",0),0)),"")</f>
        <v/>
      </c>
      <c r="N283" s="51">
        <f>IFERROR(LOOKUP(2,1/(U283:AY283&lt;&gt;""),U$2:AY$2),"")</f>
        <v/>
      </c>
      <c r="O283" s="52" t="n"/>
      <c r="P283" s="52" t="n"/>
      <c r="Q283" s="52" t="n"/>
      <c r="R283" s="44" t="n"/>
      <c r="S283" s="14" t="n"/>
      <c r="U283" s="53" t="n"/>
      <c r="V283" s="53" t="n"/>
      <c r="W283" s="53" t="n"/>
      <c r="X283" s="53" t="n"/>
      <c r="Y283" s="53" t="n"/>
      <c r="Z283" s="53" t="n"/>
      <c r="AA283" s="53" t="n"/>
      <c r="AB283" s="53" t="n"/>
      <c r="AC283" s="53" t="n"/>
      <c r="AD283" s="53" t="n"/>
      <c r="AE283" s="53" t="n"/>
      <c r="AF283" s="53" t="n"/>
      <c r="AG283" s="53" t="n"/>
      <c r="AH283" s="53" t="n"/>
      <c r="AI283" s="53" t="n"/>
      <c r="AJ283" s="53" t="n"/>
      <c r="AK283" s="53" t="n"/>
      <c r="AL283" s="53" t="n"/>
      <c r="AM283" s="53" t="n"/>
      <c r="AN283" s="53" t="n"/>
      <c r="AO283" s="53" t="n"/>
      <c r="AP283" s="53" t="n"/>
      <c r="AQ283" s="53" t="n"/>
      <c r="AR283" s="53" t="n"/>
      <c r="AS283" s="53" t="n"/>
      <c r="AT283" s="53" t="n"/>
      <c r="AU283" s="53" t="n"/>
      <c r="AV283" s="53" t="n"/>
      <c r="AW283" s="53" t="n"/>
      <c r="AX283" s="53" t="n"/>
      <c r="AY283" s="53" t="n"/>
    </row>
    <row r="284" ht="15" customHeight="1">
      <c r="A284" s="54" t="n"/>
      <c r="B284" s="55">
        <f>IF($B$283="","",$B$283)</f>
        <v/>
      </c>
      <c r="C284" s="56" t="inlineStr">
        <is>
          <t>기타</t>
        </is>
      </c>
      <c r="D284" s="55">
        <f>IF($D$283="","",$D$283)</f>
        <v/>
      </c>
      <c r="E284" s="57" t="inlineStr">
        <is>
          <t>이미지</t>
        </is>
      </c>
      <c r="F284" s="44" t="n"/>
      <c r="G284" s="58">
        <f>IF($G$283="","",$G$283)</f>
        <v/>
      </c>
      <c r="H284" s="59" t="n"/>
      <c r="I284" s="59" t="n"/>
      <c r="J284" s="59" t="n"/>
      <c r="K284" s="59" t="n"/>
      <c r="L284" s="60">
        <f>IF(SUM(U284:AY284)=0,"",SUM(U284:AY284))</f>
        <v/>
      </c>
      <c r="M284" s="61">
        <f>IFERROR(INDEX(U$2:AY$2,MATCH(TRUE,INDEX(U284:AY284&lt;&gt;"",0),0)),"")</f>
        <v/>
      </c>
      <c r="N284" s="61">
        <f>IFERROR(LOOKUP(2,1/(U284:AY284&lt;&gt;""),U$2:AY$2),"")</f>
        <v/>
      </c>
      <c r="O284" s="59" t="n"/>
      <c r="P284" s="59" t="n"/>
      <c r="Q284" s="59" t="n"/>
      <c r="R284" s="59" t="n"/>
      <c r="S284" s="14" t="n"/>
      <c r="U284" s="53" t="n"/>
      <c r="V284" s="53" t="n"/>
      <c r="W284" s="53" t="n"/>
      <c r="X284" s="53" t="n"/>
      <c r="Y284" s="53" t="n"/>
      <c r="Z284" s="53" t="n"/>
      <c r="AA284" s="53" t="n"/>
      <c r="AB284" s="53" t="n"/>
      <c r="AC284" s="53" t="n"/>
      <c r="AD284" s="53" t="n"/>
      <c r="AE284" s="53" t="n"/>
      <c r="AF284" s="53" t="n"/>
      <c r="AG284" s="53" t="n"/>
      <c r="AH284" s="53" t="n"/>
      <c r="AI284" s="53" t="n"/>
      <c r="AJ284" s="53" t="n"/>
      <c r="AK284" s="53" t="n"/>
      <c r="AL284" s="53" t="n"/>
      <c r="AM284" s="53" t="n"/>
      <c r="AN284" s="53" t="n"/>
      <c r="AO284" s="53" t="n"/>
      <c r="AP284" s="53" t="n"/>
      <c r="AQ284" s="53" t="n"/>
      <c r="AR284" s="53" t="n"/>
      <c r="AS284" s="53" t="n"/>
      <c r="AT284" s="53" t="n"/>
      <c r="AU284" s="53" t="n"/>
      <c r="AV284" s="53" t="n"/>
      <c r="AW284" s="53" t="n"/>
      <c r="AX284" s="53" t="n"/>
      <c r="AY284" s="53" t="n"/>
    </row>
    <row r="285" ht="15" customHeight="1">
      <c r="A285" s="62" t="n"/>
      <c r="B285" s="55">
        <f>IF($B$283="","",$B$283)</f>
        <v/>
      </c>
      <c r="C285" s="63" t="inlineStr">
        <is>
          <t>기타</t>
        </is>
      </c>
      <c r="D285" s="55">
        <f>IF($D$283="","",$D$283)</f>
        <v/>
      </c>
      <c r="E285" s="64" t="inlineStr">
        <is>
          <t>영상</t>
        </is>
      </c>
      <c r="F285" s="44" t="n"/>
      <c r="G285" s="58">
        <f>IF($G$283="","",$G$283)</f>
        <v/>
      </c>
      <c r="H285" s="59" t="n"/>
      <c r="I285" s="59" t="n"/>
      <c r="J285" s="59" t="n"/>
      <c r="K285" s="59" t="n"/>
      <c r="L285" s="65">
        <f>IF(SUM(U285:AY285)=0,"",SUM(U285:AY285))</f>
        <v/>
      </c>
      <c r="M285" s="66">
        <f>IFERROR(INDEX(U$2:AY$2,MATCH(TRUE,INDEX(U285:AY285&lt;&gt;"",0),0)),"")</f>
        <v/>
      </c>
      <c r="N285" s="66">
        <f>IFERROR(LOOKUP(2,1/(U285:AY285&lt;&gt;""),U$2:AY$2),"")</f>
        <v/>
      </c>
      <c r="O285" s="59" t="n"/>
      <c r="P285" s="59" t="n"/>
      <c r="Q285" s="59" t="n"/>
      <c r="R285" s="59" t="n"/>
      <c r="S285" s="14" t="n"/>
      <c r="U285" s="53" t="n"/>
      <c r="V285" s="53" t="n"/>
      <c r="W285" s="53" t="n"/>
      <c r="X285" s="53" t="n"/>
      <c r="Y285" s="53" t="n"/>
      <c r="Z285" s="53" t="n"/>
      <c r="AA285" s="53" t="n"/>
      <c r="AB285" s="53" t="n"/>
      <c r="AC285" s="53" t="n"/>
      <c r="AD285" s="53" t="n"/>
      <c r="AE285" s="53" t="n"/>
      <c r="AF285" s="53" t="n"/>
      <c r="AG285" s="53" t="n"/>
      <c r="AH285" s="53" t="n"/>
      <c r="AI285" s="53" t="n"/>
      <c r="AJ285" s="53" t="n"/>
      <c r="AK285" s="53" t="n"/>
      <c r="AL285" s="53" t="n"/>
      <c r="AM285" s="53" t="n"/>
      <c r="AN285" s="53" t="n"/>
      <c r="AO285" s="53" t="n"/>
      <c r="AP285" s="53" t="n"/>
      <c r="AQ285" s="53" t="n"/>
      <c r="AR285" s="53" t="n"/>
      <c r="AS285" s="53" t="n"/>
      <c r="AT285" s="53" t="n"/>
      <c r="AU285" s="53" t="n"/>
      <c r="AV285" s="53" t="n"/>
      <c r="AW285" s="53" t="n"/>
      <c r="AX285" s="53" t="n"/>
      <c r="AY285" s="53" t="n"/>
    </row>
    <row r="286" ht="15" customHeight="1">
      <c r="A286" s="40">
        <f>IF($D$286="","",92)</f>
        <v/>
      </c>
      <c r="B286" s="10" t="n"/>
      <c r="C286" s="41" t="inlineStr">
        <is>
          <t>기타</t>
        </is>
      </c>
      <c r="D286" s="42" t="n"/>
      <c r="E286" s="43" t="inlineStr">
        <is>
          <t>기획</t>
        </is>
      </c>
      <c r="F286" s="44" t="n"/>
      <c r="G286" s="45" t="n"/>
      <c r="H286" s="46">
        <f>IF($I$286="","",IF($I$286&lt;0,"🔴지연",IF($I$286&lt;=1,"🟡임박","🟢여유")))</f>
        <v/>
      </c>
      <c r="I286" s="47">
        <f>IF(OR($G$286="",$K$286=""),"",$G$286-$K$286)</f>
        <v/>
      </c>
      <c r="J286" s="48">
        <f>IF(SUM($L$286:$L$288)=0,"",SUM($L$286:$L$288))</f>
        <v/>
      </c>
      <c r="K286" s="49">
        <f>IF($J$286="","",MAX($N$286:$N$288))</f>
        <v/>
      </c>
      <c r="L286" s="50">
        <f>IF(SUM(U286:AY286)=0,"",SUM(U286:AY286))</f>
        <v/>
      </c>
      <c r="M286" s="51">
        <f>IFERROR(INDEX(U$2:AY$2,MATCH(TRUE,INDEX(U286:AY286&lt;&gt;"",0),0)),"")</f>
        <v/>
      </c>
      <c r="N286" s="51">
        <f>IFERROR(LOOKUP(2,1/(U286:AY286&lt;&gt;""),U$2:AY$2),"")</f>
        <v/>
      </c>
      <c r="O286" s="52" t="n"/>
      <c r="P286" s="52" t="n"/>
      <c r="Q286" s="52" t="n"/>
      <c r="R286" s="44" t="n"/>
      <c r="S286" s="14" t="n"/>
      <c r="U286" s="53" t="n"/>
      <c r="V286" s="53" t="n"/>
      <c r="W286" s="53" t="n"/>
      <c r="X286" s="53" t="n"/>
      <c r="Y286" s="53" t="n"/>
      <c r="Z286" s="53" t="n"/>
      <c r="AA286" s="53" t="n"/>
      <c r="AB286" s="53" t="n"/>
      <c r="AC286" s="53" t="n"/>
      <c r="AD286" s="53" t="n"/>
      <c r="AE286" s="53" t="n"/>
      <c r="AF286" s="53" t="n"/>
      <c r="AG286" s="53" t="n"/>
      <c r="AH286" s="53" t="n"/>
      <c r="AI286" s="53" t="n"/>
      <c r="AJ286" s="53" t="n"/>
      <c r="AK286" s="53" t="n"/>
      <c r="AL286" s="53" t="n"/>
      <c r="AM286" s="53" t="n"/>
      <c r="AN286" s="53" t="n"/>
      <c r="AO286" s="53" t="n"/>
      <c r="AP286" s="53" t="n"/>
      <c r="AQ286" s="53" t="n"/>
      <c r="AR286" s="53" t="n"/>
      <c r="AS286" s="53" t="n"/>
      <c r="AT286" s="53" t="n"/>
      <c r="AU286" s="53" t="n"/>
      <c r="AV286" s="53" t="n"/>
      <c r="AW286" s="53" t="n"/>
      <c r="AX286" s="53" t="n"/>
      <c r="AY286" s="53" t="n"/>
    </row>
    <row r="287" ht="15" customHeight="1">
      <c r="A287" s="54" t="n"/>
      <c r="B287" s="55">
        <f>IF($B$286="","",$B$286)</f>
        <v/>
      </c>
      <c r="C287" s="56" t="inlineStr">
        <is>
          <t>기타</t>
        </is>
      </c>
      <c r="D287" s="55">
        <f>IF($D$286="","",$D$286)</f>
        <v/>
      </c>
      <c r="E287" s="57" t="inlineStr">
        <is>
          <t>이미지</t>
        </is>
      </c>
      <c r="F287" s="44" t="n"/>
      <c r="G287" s="58">
        <f>IF($G$286="","",$G$286)</f>
        <v/>
      </c>
      <c r="H287" s="59" t="n"/>
      <c r="I287" s="59" t="n"/>
      <c r="J287" s="59" t="n"/>
      <c r="K287" s="59" t="n"/>
      <c r="L287" s="60">
        <f>IF(SUM(U287:AY287)=0,"",SUM(U287:AY287))</f>
        <v/>
      </c>
      <c r="M287" s="61">
        <f>IFERROR(INDEX(U$2:AY$2,MATCH(TRUE,INDEX(U287:AY287&lt;&gt;"",0),0)),"")</f>
        <v/>
      </c>
      <c r="N287" s="61">
        <f>IFERROR(LOOKUP(2,1/(U287:AY287&lt;&gt;""),U$2:AY$2),"")</f>
        <v/>
      </c>
      <c r="O287" s="59" t="n"/>
      <c r="P287" s="59" t="n"/>
      <c r="Q287" s="59" t="n"/>
      <c r="R287" s="59" t="n"/>
      <c r="S287" s="14" t="n"/>
      <c r="U287" s="53" t="n"/>
      <c r="V287" s="53" t="n"/>
      <c r="W287" s="53" t="n"/>
      <c r="X287" s="53" t="n"/>
      <c r="Y287" s="53" t="n"/>
      <c r="Z287" s="53" t="n"/>
      <c r="AA287" s="53" t="n"/>
      <c r="AB287" s="53" t="n"/>
      <c r="AC287" s="53" t="n"/>
      <c r="AD287" s="53" t="n"/>
      <c r="AE287" s="53" t="n"/>
      <c r="AF287" s="53" t="n"/>
      <c r="AG287" s="53" t="n"/>
      <c r="AH287" s="53" t="n"/>
      <c r="AI287" s="53" t="n"/>
      <c r="AJ287" s="53" t="n"/>
      <c r="AK287" s="53" t="n"/>
      <c r="AL287" s="53" t="n"/>
      <c r="AM287" s="53" t="n"/>
      <c r="AN287" s="53" t="n"/>
      <c r="AO287" s="53" t="n"/>
      <c r="AP287" s="53" t="n"/>
      <c r="AQ287" s="53" t="n"/>
      <c r="AR287" s="53" t="n"/>
      <c r="AS287" s="53" t="n"/>
      <c r="AT287" s="53" t="n"/>
      <c r="AU287" s="53" t="n"/>
      <c r="AV287" s="53" t="n"/>
      <c r="AW287" s="53" t="n"/>
      <c r="AX287" s="53" t="n"/>
      <c r="AY287" s="53" t="n"/>
    </row>
    <row r="288" ht="15" customHeight="1">
      <c r="A288" s="62" t="n"/>
      <c r="B288" s="55">
        <f>IF($B$286="","",$B$286)</f>
        <v/>
      </c>
      <c r="C288" s="63" t="inlineStr">
        <is>
          <t>기타</t>
        </is>
      </c>
      <c r="D288" s="55">
        <f>IF($D$286="","",$D$286)</f>
        <v/>
      </c>
      <c r="E288" s="64" t="inlineStr">
        <is>
          <t>영상</t>
        </is>
      </c>
      <c r="F288" s="44" t="n"/>
      <c r="G288" s="58">
        <f>IF($G$286="","",$G$286)</f>
        <v/>
      </c>
      <c r="H288" s="59" t="n"/>
      <c r="I288" s="59" t="n"/>
      <c r="J288" s="59" t="n"/>
      <c r="K288" s="59" t="n"/>
      <c r="L288" s="65">
        <f>IF(SUM(U288:AY288)=0,"",SUM(U288:AY288))</f>
        <v/>
      </c>
      <c r="M288" s="66">
        <f>IFERROR(INDEX(U$2:AY$2,MATCH(TRUE,INDEX(U288:AY288&lt;&gt;"",0),0)),"")</f>
        <v/>
      </c>
      <c r="N288" s="66">
        <f>IFERROR(LOOKUP(2,1/(U288:AY288&lt;&gt;""),U$2:AY$2),"")</f>
        <v/>
      </c>
      <c r="O288" s="59" t="n"/>
      <c r="P288" s="59" t="n"/>
      <c r="Q288" s="59" t="n"/>
      <c r="R288" s="59" t="n"/>
      <c r="S288" s="14" t="n"/>
      <c r="U288" s="53" t="n"/>
      <c r="V288" s="53" t="n"/>
      <c r="W288" s="53" t="n"/>
      <c r="X288" s="53" t="n"/>
      <c r="Y288" s="53" t="n"/>
      <c r="Z288" s="53" t="n"/>
      <c r="AA288" s="53" t="n"/>
      <c r="AB288" s="53" t="n"/>
      <c r="AC288" s="53" t="n"/>
      <c r="AD288" s="53" t="n"/>
      <c r="AE288" s="53" t="n"/>
      <c r="AF288" s="53" t="n"/>
      <c r="AG288" s="53" t="n"/>
      <c r="AH288" s="53" t="n"/>
      <c r="AI288" s="53" t="n"/>
      <c r="AJ288" s="53" t="n"/>
      <c r="AK288" s="53" t="n"/>
      <c r="AL288" s="53" t="n"/>
      <c r="AM288" s="53" t="n"/>
      <c r="AN288" s="53" t="n"/>
      <c r="AO288" s="53" t="n"/>
      <c r="AP288" s="53" t="n"/>
      <c r="AQ288" s="53" t="n"/>
      <c r="AR288" s="53" t="n"/>
      <c r="AS288" s="53" t="n"/>
      <c r="AT288" s="53" t="n"/>
      <c r="AU288" s="53" t="n"/>
      <c r="AV288" s="53" t="n"/>
      <c r="AW288" s="53" t="n"/>
      <c r="AX288" s="53" t="n"/>
      <c r="AY288" s="53" t="n"/>
    </row>
    <row r="289" ht="15" customHeight="1">
      <c r="A289" s="40">
        <f>IF($D$289="","",93)</f>
        <v/>
      </c>
      <c r="B289" s="10" t="n"/>
      <c r="C289" s="41" t="inlineStr">
        <is>
          <t>기타</t>
        </is>
      </c>
      <c r="D289" s="42" t="n"/>
      <c r="E289" s="43" t="inlineStr">
        <is>
          <t>기획</t>
        </is>
      </c>
      <c r="F289" s="44" t="n"/>
      <c r="G289" s="45" t="n"/>
      <c r="H289" s="46">
        <f>IF($I$289="","",IF($I$289&lt;0,"🔴지연",IF($I$289&lt;=1,"🟡임박","🟢여유")))</f>
        <v/>
      </c>
      <c r="I289" s="47">
        <f>IF(OR($G$289="",$K$289=""),"",$G$289-$K$289)</f>
        <v/>
      </c>
      <c r="J289" s="48">
        <f>IF(SUM($L$289:$L$291)=0,"",SUM($L$289:$L$291))</f>
        <v/>
      </c>
      <c r="K289" s="49">
        <f>IF($J$289="","",MAX($N$289:$N$291))</f>
        <v/>
      </c>
      <c r="L289" s="50">
        <f>IF(SUM(U289:AY289)=0,"",SUM(U289:AY289))</f>
        <v/>
      </c>
      <c r="M289" s="51">
        <f>IFERROR(INDEX(U$2:AY$2,MATCH(TRUE,INDEX(U289:AY289&lt;&gt;"",0),0)),"")</f>
        <v/>
      </c>
      <c r="N289" s="51">
        <f>IFERROR(LOOKUP(2,1/(U289:AY289&lt;&gt;""),U$2:AY$2),"")</f>
        <v/>
      </c>
      <c r="O289" s="52" t="n"/>
      <c r="P289" s="52" t="n"/>
      <c r="Q289" s="52" t="n"/>
      <c r="R289" s="44" t="n"/>
      <c r="S289" s="14" t="n"/>
      <c r="U289" s="53" t="n"/>
      <c r="V289" s="53" t="n"/>
      <c r="W289" s="53" t="n"/>
      <c r="X289" s="53" t="n"/>
      <c r="Y289" s="53" t="n"/>
      <c r="Z289" s="53" t="n"/>
      <c r="AA289" s="53" t="n"/>
      <c r="AB289" s="53" t="n"/>
      <c r="AC289" s="53" t="n"/>
      <c r="AD289" s="53" t="n"/>
      <c r="AE289" s="53" t="n"/>
      <c r="AF289" s="53" t="n"/>
      <c r="AG289" s="53" t="n"/>
      <c r="AH289" s="53" t="n"/>
      <c r="AI289" s="53" t="n"/>
      <c r="AJ289" s="53" t="n"/>
      <c r="AK289" s="53" t="n"/>
      <c r="AL289" s="53" t="n"/>
      <c r="AM289" s="53" t="n"/>
      <c r="AN289" s="53" t="n"/>
      <c r="AO289" s="53" t="n"/>
      <c r="AP289" s="53" t="n"/>
      <c r="AQ289" s="53" t="n"/>
      <c r="AR289" s="53" t="n"/>
      <c r="AS289" s="53" t="n"/>
      <c r="AT289" s="53" t="n"/>
      <c r="AU289" s="53" t="n"/>
      <c r="AV289" s="53" t="n"/>
      <c r="AW289" s="53" t="n"/>
      <c r="AX289" s="53" t="n"/>
      <c r="AY289" s="53" t="n"/>
    </row>
    <row r="290" ht="15" customHeight="1">
      <c r="A290" s="54" t="n"/>
      <c r="B290" s="55">
        <f>IF($B$289="","",$B$289)</f>
        <v/>
      </c>
      <c r="C290" s="56" t="inlineStr">
        <is>
          <t>기타</t>
        </is>
      </c>
      <c r="D290" s="55">
        <f>IF($D$289="","",$D$289)</f>
        <v/>
      </c>
      <c r="E290" s="57" t="inlineStr">
        <is>
          <t>이미지</t>
        </is>
      </c>
      <c r="F290" s="44" t="n"/>
      <c r="G290" s="58">
        <f>IF($G$289="","",$G$289)</f>
        <v/>
      </c>
      <c r="H290" s="59" t="n"/>
      <c r="I290" s="59" t="n"/>
      <c r="J290" s="59" t="n"/>
      <c r="K290" s="59" t="n"/>
      <c r="L290" s="60">
        <f>IF(SUM(U290:AY290)=0,"",SUM(U290:AY290))</f>
        <v/>
      </c>
      <c r="M290" s="61">
        <f>IFERROR(INDEX(U$2:AY$2,MATCH(TRUE,INDEX(U290:AY290&lt;&gt;"",0),0)),"")</f>
        <v/>
      </c>
      <c r="N290" s="61">
        <f>IFERROR(LOOKUP(2,1/(U290:AY290&lt;&gt;""),U$2:AY$2),"")</f>
        <v/>
      </c>
      <c r="O290" s="59" t="n"/>
      <c r="P290" s="59" t="n"/>
      <c r="Q290" s="59" t="n"/>
      <c r="R290" s="59" t="n"/>
      <c r="S290" s="14" t="n"/>
      <c r="U290" s="53" t="n"/>
      <c r="V290" s="53" t="n"/>
      <c r="W290" s="53" t="n"/>
      <c r="X290" s="53" t="n"/>
      <c r="Y290" s="53" t="n"/>
      <c r="Z290" s="53" t="n"/>
      <c r="AA290" s="53" t="n"/>
      <c r="AB290" s="53" t="n"/>
      <c r="AC290" s="53" t="n"/>
      <c r="AD290" s="53" t="n"/>
      <c r="AE290" s="53" t="n"/>
      <c r="AF290" s="53" t="n"/>
      <c r="AG290" s="53" t="n"/>
      <c r="AH290" s="53" t="n"/>
      <c r="AI290" s="53" t="n"/>
      <c r="AJ290" s="53" t="n"/>
      <c r="AK290" s="53" t="n"/>
      <c r="AL290" s="53" t="n"/>
      <c r="AM290" s="53" t="n"/>
      <c r="AN290" s="53" t="n"/>
      <c r="AO290" s="53" t="n"/>
      <c r="AP290" s="53" t="n"/>
      <c r="AQ290" s="53" t="n"/>
      <c r="AR290" s="53" t="n"/>
      <c r="AS290" s="53" t="n"/>
      <c r="AT290" s="53" t="n"/>
      <c r="AU290" s="53" t="n"/>
      <c r="AV290" s="53" t="n"/>
      <c r="AW290" s="53" t="n"/>
      <c r="AX290" s="53" t="n"/>
      <c r="AY290" s="53" t="n"/>
    </row>
    <row r="291" ht="15" customHeight="1">
      <c r="A291" s="62" t="n"/>
      <c r="B291" s="55">
        <f>IF($B$289="","",$B$289)</f>
        <v/>
      </c>
      <c r="C291" s="63" t="inlineStr">
        <is>
          <t>기타</t>
        </is>
      </c>
      <c r="D291" s="55">
        <f>IF($D$289="","",$D$289)</f>
        <v/>
      </c>
      <c r="E291" s="64" t="inlineStr">
        <is>
          <t>영상</t>
        </is>
      </c>
      <c r="F291" s="44" t="n"/>
      <c r="G291" s="58">
        <f>IF($G$289="","",$G$289)</f>
        <v/>
      </c>
      <c r="H291" s="59" t="n"/>
      <c r="I291" s="59" t="n"/>
      <c r="J291" s="59" t="n"/>
      <c r="K291" s="59" t="n"/>
      <c r="L291" s="65">
        <f>IF(SUM(U291:AY291)=0,"",SUM(U291:AY291))</f>
        <v/>
      </c>
      <c r="M291" s="66">
        <f>IFERROR(INDEX(U$2:AY$2,MATCH(TRUE,INDEX(U291:AY291&lt;&gt;"",0),0)),"")</f>
        <v/>
      </c>
      <c r="N291" s="66">
        <f>IFERROR(LOOKUP(2,1/(U291:AY291&lt;&gt;""),U$2:AY$2),"")</f>
        <v/>
      </c>
      <c r="O291" s="59" t="n"/>
      <c r="P291" s="59" t="n"/>
      <c r="Q291" s="59" t="n"/>
      <c r="R291" s="59" t="n"/>
      <c r="S291" s="14" t="n"/>
      <c r="U291" s="53" t="n"/>
      <c r="V291" s="53" t="n"/>
      <c r="W291" s="53" t="n"/>
      <c r="X291" s="53" t="n"/>
      <c r="Y291" s="53" t="n"/>
      <c r="Z291" s="53" t="n"/>
      <c r="AA291" s="53" t="n"/>
      <c r="AB291" s="53" t="n"/>
      <c r="AC291" s="53" t="n"/>
      <c r="AD291" s="53" t="n"/>
      <c r="AE291" s="53" t="n"/>
      <c r="AF291" s="53" t="n"/>
      <c r="AG291" s="53" t="n"/>
      <c r="AH291" s="53" t="n"/>
      <c r="AI291" s="53" t="n"/>
      <c r="AJ291" s="53" t="n"/>
      <c r="AK291" s="53" t="n"/>
      <c r="AL291" s="53" t="n"/>
      <c r="AM291" s="53" t="n"/>
      <c r="AN291" s="53" t="n"/>
      <c r="AO291" s="53" t="n"/>
      <c r="AP291" s="53" t="n"/>
      <c r="AQ291" s="53" t="n"/>
      <c r="AR291" s="53" t="n"/>
      <c r="AS291" s="53" t="n"/>
      <c r="AT291" s="53" t="n"/>
      <c r="AU291" s="53" t="n"/>
      <c r="AV291" s="53" t="n"/>
      <c r="AW291" s="53" t="n"/>
      <c r="AX291" s="53" t="n"/>
      <c r="AY291" s="53" t="n"/>
    </row>
    <row r="292" ht="15" customHeight="1">
      <c r="A292" s="40">
        <f>IF($D$292="","",94)</f>
        <v/>
      </c>
      <c r="B292" s="10" t="n"/>
      <c r="C292" s="41" t="inlineStr">
        <is>
          <t>기타</t>
        </is>
      </c>
      <c r="D292" s="42" t="n"/>
      <c r="E292" s="43" t="inlineStr">
        <is>
          <t>기획</t>
        </is>
      </c>
      <c r="F292" s="44" t="n"/>
      <c r="G292" s="45" t="n"/>
      <c r="H292" s="46">
        <f>IF($I$292="","",IF($I$292&lt;0,"🔴지연",IF($I$292&lt;=1,"🟡임박","🟢여유")))</f>
        <v/>
      </c>
      <c r="I292" s="47">
        <f>IF(OR($G$292="",$K$292=""),"",$G$292-$K$292)</f>
        <v/>
      </c>
      <c r="J292" s="48">
        <f>IF(SUM($L$292:$L$294)=0,"",SUM($L$292:$L$294))</f>
        <v/>
      </c>
      <c r="K292" s="49">
        <f>IF($J$292="","",MAX($N$292:$N$294))</f>
        <v/>
      </c>
      <c r="L292" s="50">
        <f>IF(SUM(U292:AY292)=0,"",SUM(U292:AY292))</f>
        <v/>
      </c>
      <c r="M292" s="51">
        <f>IFERROR(INDEX(U$2:AY$2,MATCH(TRUE,INDEX(U292:AY292&lt;&gt;"",0),0)),"")</f>
        <v/>
      </c>
      <c r="N292" s="51">
        <f>IFERROR(LOOKUP(2,1/(U292:AY292&lt;&gt;""),U$2:AY$2),"")</f>
        <v/>
      </c>
      <c r="O292" s="52" t="n"/>
      <c r="P292" s="52" t="n"/>
      <c r="Q292" s="52" t="n"/>
      <c r="R292" s="44" t="n"/>
      <c r="S292" s="14" t="n"/>
      <c r="U292" s="53" t="n"/>
      <c r="V292" s="53" t="n"/>
      <c r="W292" s="53" t="n"/>
      <c r="X292" s="53" t="n"/>
      <c r="Y292" s="53" t="n"/>
      <c r="Z292" s="53" t="n"/>
      <c r="AA292" s="53" t="n"/>
      <c r="AB292" s="53" t="n"/>
      <c r="AC292" s="53" t="n"/>
      <c r="AD292" s="53" t="n"/>
      <c r="AE292" s="53" t="n"/>
      <c r="AF292" s="53" t="n"/>
      <c r="AG292" s="53" t="n"/>
      <c r="AH292" s="53" t="n"/>
      <c r="AI292" s="53" t="n"/>
      <c r="AJ292" s="53" t="n"/>
      <c r="AK292" s="53" t="n"/>
      <c r="AL292" s="53" t="n"/>
      <c r="AM292" s="53" t="n"/>
      <c r="AN292" s="53" t="n"/>
      <c r="AO292" s="53" t="n"/>
      <c r="AP292" s="53" t="n"/>
      <c r="AQ292" s="53" t="n"/>
      <c r="AR292" s="53" t="n"/>
      <c r="AS292" s="53" t="n"/>
      <c r="AT292" s="53" t="n"/>
      <c r="AU292" s="53" t="n"/>
      <c r="AV292" s="53" t="n"/>
      <c r="AW292" s="53" t="n"/>
      <c r="AX292" s="53" t="n"/>
      <c r="AY292" s="53" t="n"/>
    </row>
    <row r="293" ht="15" customHeight="1">
      <c r="A293" s="54" t="n"/>
      <c r="B293" s="55">
        <f>IF($B$292="","",$B$292)</f>
        <v/>
      </c>
      <c r="C293" s="56" t="inlineStr">
        <is>
          <t>기타</t>
        </is>
      </c>
      <c r="D293" s="55">
        <f>IF($D$292="","",$D$292)</f>
        <v/>
      </c>
      <c r="E293" s="57" t="inlineStr">
        <is>
          <t>이미지</t>
        </is>
      </c>
      <c r="F293" s="44" t="n"/>
      <c r="G293" s="58">
        <f>IF($G$292="","",$G$292)</f>
        <v/>
      </c>
      <c r="H293" s="59" t="n"/>
      <c r="I293" s="59" t="n"/>
      <c r="J293" s="59" t="n"/>
      <c r="K293" s="59" t="n"/>
      <c r="L293" s="60">
        <f>IF(SUM(U293:AY293)=0,"",SUM(U293:AY293))</f>
        <v/>
      </c>
      <c r="M293" s="61">
        <f>IFERROR(INDEX(U$2:AY$2,MATCH(TRUE,INDEX(U293:AY293&lt;&gt;"",0),0)),"")</f>
        <v/>
      </c>
      <c r="N293" s="61">
        <f>IFERROR(LOOKUP(2,1/(U293:AY293&lt;&gt;""),U$2:AY$2),"")</f>
        <v/>
      </c>
      <c r="O293" s="59" t="n"/>
      <c r="P293" s="59" t="n"/>
      <c r="Q293" s="59" t="n"/>
      <c r="R293" s="59" t="n"/>
      <c r="S293" s="14" t="n"/>
      <c r="U293" s="53" t="n"/>
      <c r="V293" s="53" t="n"/>
      <c r="W293" s="53" t="n"/>
      <c r="X293" s="53" t="n"/>
      <c r="Y293" s="53" t="n"/>
      <c r="Z293" s="53" t="n"/>
      <c r="AA293" s="53" t="n"/>
      <c r="AB293" s="53" t="n"/>
      <c r="AC293" s="53" t="n"/>
      <c r="AD293" s="53" t="n"/>
      <c r="AE293" s="53" t="n"/>
      <c r="AF293" s="53" t="n"/>
      <c r="AG293" s="53" t="n"/>
      <c r="AH293" s="53" t="n"/>
      <c r="AI293" s="53" t="n"/>
      <c r="AJ293" s="53" t="n"/>
      <c r="AK293" s="53" t="n"/>
      <c r="AL293" s="53" t="n"/>
      <c r="AM293" s="53" t="n"/>
      <c r="AN293" s="53" t="n"/>
      <c r="AO293" s="53" t="n"/>
      <c r="AP293" s="53" t="n"/>
      <c r="AQ293" s="53" t="n"/>
      <c r="AR293" s="53" t="n"/>
      <c r="AS293" s="53" t="n"/>
      <c r="AT293" s="53" t="n"/>
      <c r="AU293" s="53" t="n"/>
      <c r="AV293" s="53" t="n"/>
      <c r="AW293" s="53" t="n"/>
      <c r="AX293" s="53" t="n"/>
      <c r="AY293" s="53" t="n"/>
    </row>
    <row r="294" ht="15" customHeight="1">
      <c r="A294" s="62" t="n"/>
      <c r="B294" s="55">
        <f>IF($B$292="","",$B$292)</f>
        <v/>
      </c>
      <c r="C294" s="63" t="inlineStr">
        <is>
          <t>기타</t>
        </is>
      </c>
      <c r="D294" s="55">
        <f>IF($D$292="","",$D$292)</f>
        <v/>
      </c>
      <c r="E294" s="64" t="inlineStr">
        <is>
          <t>영상</t>
        </is>
      </c>
      <c r="F294" s="44" t="n"/>
      <c r="G294" s="58">
        <f>IF($G$292="","",$G$292)</f>
        <v/>
      </c>
      <c r="H294" s="59" t="n"/>
      <c r="I294" s="59" t="n"/>
      <c r="J294" s="59" t="n"/>
      <c r="K294" s="59" t="n"/>
      <c r="L294" s="65">
        <f>IF(SUM(U294:AY294)=0,"",SUM(U294:AY294))</f>
        <v/>
      </c>
      <c r="M294" s="66">
        <f>IFERROR(INDEX(U$2:AY$2,MATCH(TRUE,INDEX(U294:AY294&lt;&gt;"",0),0)),"")</f>
        <v/>
      </c>
      <c r="N294" s="66">
        <f>IFERROR(LOOKUP(2,1/(U294:AY294&lt;&gt;""),U$2:AY$2),"")</f>
        <v/>
      </c>
      <c r="O294" s="59" t="n"/>
      <c r="P294" s="59" t="n"/>
      <c r="Q294" s="59" t="n"/>
      <c r="R294" s="59" t="n"/>
      <c r="S294" s="14" t="n"/>
      <c r="U294" s="53" t="n"/>
      <c r="V294" s="53" t="n"/>
      <c r="W294" s="53" t="n"/>
      <c r="X294" s="53" t="n"/>
      <c r="Y294" s="53" t="n"/>
      <c r="Z294" s="53" t="n"/>
      <c r="AA294" s="53" t="n"/>
      <c r="AB294" s="53" t="n"/>
      <c r="AC294" s="53" t="n"/>
      <c r="AD294" s="53" t="n"/>
      <c r="AE294" s="53" t="n"/>
      <c r="AF294" s="53" t="n"/>
      <c r="AG294" s="53" t="n"/>
      <c r="AH294" s="53" t="n"/>
      <c r="AI294" s="53" t="n"/>
      <c r="AJ294" s="53" t="n"/>
      <c r="AK294" s="53" t="n"/>
      <c r="AL294" s="53" t="n"/>
      <c r="AM294" s="53" t="n"/>
      <c r="AN294" s="53" t="n"/>
      <c r="AO294" s="53" t="n"/>
      <c r="AP294" s="53" t="n"/>
      <c r="AQ294" s="53" t="n"/>
      <c r="AR294" s="53" t="n"/>
      <c r="AS294" s="53" t="n"/>
      <c r="AT294" s="53" t="n"/>
      <c r="AU294" s="53" t="n"/>
      <c r="AV294" s="53" t="n"/>
      <c r="AW294" s="53" t="n"/>
      <c r="AX294" s="53" t="n"/>
      <c r="AY294" s="53" t="n"/>
    </row>
    <row r="295" ht="15" customHeight="1">
      <c r="A295" s="40">
        <f>IF($D$295="","",95)</f>
        <v/>
      </c>
      <c r="B295" s="10" t="n"/>
      <c r="C295" s="41" t="inlineStr">
        <is>
          <t>기타</t>
        </is>
      </c>
      <c r="D295" s="42" t="n"/>
      <c r="E295" s="43" t="inlineStr">
        <is>
          <t>기획</t>
        </is>
      </c>
      <c r="F295" s="44" t="n"/>
      <c r="G295" s="45" t="n"/>
      <c r="H295" s="46">
        <f>IF($I$295="","",IF($I$295&lt;0,"🔴지연",IF($I$295&lt;=1,"🟡임박","🟢여유")))</f>
        <v/>
      </c>
      <c r="I295" s="47">
        <f>IF(OR($G$295="",$K$295=""),"",$G$295-$K$295)</f>
        <v/>
      </c>
      <c r="J295" s="48">
        <f>IF(SUM($L$295:$L$297)=0,"",SUM($L$295:$L$297))</f>
        <v/>
      </c>
      <c r="K295" s="49">
        <f>IF($J$295="","",MAX($N$295:$N$297))</f>
        <v/>
      </c>
      <c r="L295" s="50">
        <f>IF(SUM(U295:AY295)=0,"",SUM(U295:AY295))</f>
        <v/>
      </c>
      <c r="M295" s="51">
        <f>IFERROR(INDEX(U$2:AY$2,MATCH(TRUE,INDEX(U295:AY295&lt;&gt;"",0),0)),"")</f>
        <v/>
      </c>
      <c r="N295" s="51">
        <f>IFERROR(LOOKUP(2,1/(U295:AY295&lt;&gt;""),U$2:AY$2),"")</f>
        <v/>
      </c>
      <c r="O295" s="52" t="n"/>
      <c r="P295" s="52" t="n"/>
      <c r="Q295" s="52" t="n"/>
      <c r="R295" s="44" t="n"/>
      <c r="S295" s="14" t="n"/>
      <c r="U295" s="53" t="n"/>
      <c r="V295" s="53" t="n"/>
      <c r="W295" s="53" t="n"/>
      <c r="X295" s="53" t="n"/>
      <c r="Y295" s="53" t="n"/>
      <c r="Z295" s="53" t="n"/>
      <c r="AA295" s="53" t="n"/>
      <c r="AB295" s="53" t="n"/>
      <c r="AC295" s="53" t="n"/>
      <c r="AD295" s="53" t="n"/>
      <c r="AE295" s="53" t="n"/>
      <c r="AF295" s="53" t="n"/>
      <c r="AG295" s="53" t="n"/>
      <c r="AH295" s="53" t="n"/>
      <c r="AI295" s="53" t="n"/>
      <c r="AJ295" s="53" t="n"/>
      <c r="AK295" s="53" t="n"/>
      <c r="AL295" s="53" t="n"/>
      <c r="AM295" s="53" t="n"/>
      <c r="AN295" s="53" t="n"/>
      <c r="AO295" s="53" t="n"/>
      <c r="AP295" s="53" t="n"/>
      <c r="AQ295" s="53" t="n"/>
      <c r="AR295" s="53" t="n"/>
      <c r="AS295" s="53" t="n"/>
      <c r="AT295" s="53" t="n"/>
      <c r="AU295" s="53" t="n"/>
      <c r="AV295" s="53" t="n"/>
      <c r="AW295" s="53" t="n"/>
      <c r="AX295" s="53" t="n"/>
      <c r="AY295" s="53" t="n"/>
    </row>
    <row r="296" ht="15" customHeight="1">
      <c r="A296" s="54" t="n"/>
      <c r="B296" s="55">
        <f>IF($B$295="","",$B$295)</f>
        <v/>
      </c>
      <c r="C296" s="56" t="inlineStr">
        <is>
          <t>기타</t>
        </is>
      </c>
      <c r="D296" s="55">
        <f>IF($D$295="","",$D$295)</f>
        <v/>
      </c>
      <c r="E296" s="57" t="inlineStr">
        <is>
          <t>이미지</t>
        </is>
      </c>
      <c r="F296" s="44" t="n"/>
      <c r="G296" s="58">
        <f>IF($G$295="","",$G$295)</f>
        <v/>
      </c>
      <c r="H296" s="59" t="n"/>
      <c r="I296" s="59" t="n"/>
      <c r="J296" s="59" t="n"/>
      <c r="K296" s="59" t="n"/>
      <c r="L296" s="60">
        <f>IF(SUM(U296:AY296)=0,"",SUM(U296:AY296))</f>
        <v/>
      </c>
      <c r="M296" s="61">
        <f>IFERROR(INDEX(U$2:AY$2,MATCH(TRUE,INDEX(U296:AY296&lt;&gt;"",0),0)),"")</f>
        <v/>
      </c>
      <c r="N296" s="61">
        <f>IFERROR(LOOKUP(2,1/(U296:AY296&lt;&gt;""),U$2:AY$2),"")</f>
        <v/>
      </c>
      <c r="O296" s="59" t="n"/>
      <c r="P296" s="59" t="n"/>
      <c r="Q296" s="59" t="n"/>
      <c r="R296" s="59" t="n"/>
      <c r="S296" s="14" t="n"/>
      <c r="U296" s="53" t="n"/>
      <c r="V296" s="53" t="n"/>
      <c r="W296" s="53" t="n"/>
      <c r="X296" s="53" t="n"/>
      <c r="Y296" s="53" t="n"/>
      <c r="Z296" s="53" t="n"/>
      <c r="AA296" s="53" t="n"/>
      <c r="AB296" s="53" t="n"/>
      <c r="AC296" s="53" t="n"/>
      <c r="AD296" s="53" t="n"/>
      <c r="AE296" s="53" t="n"/>
      <c r="AF296" s="53" t="n"/>
      <c r="AG296" s="53" t="n"/>
      <c r="AH296" s="53" t="n"/>
      <c r="AI296" s="53" t="n"/>
      <c r="AJ296" s="53" t="n"/>
      <c r="AK296" s="53" t="n"/>
      <c r="AL296" s="53" t="n"/>
      <c r="AM296" s="53" t="n"/>
      <c r="AN296" s="53" t="n"/>
      <c r="AO296" s="53" t="n"/>
      <c r="AP296" s="53" t="n"/>
      <c r="AQ296" s="53" t="n"/>
      <c r="AR296" s="53" t="n"/>
      <c r="AS296" s="53" t="n"/>
      <c r="AT296" s="53" t="n"/>
      <c r="AU296" s="53" t="n"/>
      <c r="AV296" s="53" t="n"/>
      <c r="AW296" s="53" t="n"/>
      <c r="AX296" s="53" t="n"/>
      <c r="AY296" s="53" t="n"/>
    </row>
    <row r="297" ht="15" customHeight="1">
      <c r="A297" s="62" t="n"/>
      <c r="B297" s="55">
        <f>IF($B$295="","",$B$295)</f>
        <v/>
      </c>
      <c r="C297" s="63" t="inlineStr">
        <is>
          <t>기타</t>
        </is>
      </c>
      <c r="D297" s="55">
        <f>IF($D$295="","",$D$295)</f>
        <v/>
      </c>
      <c r="E297" s="64" t="inlineStr">
        <is>
          <t>영상</t>
        </is>
      </c>
      <c r="F297" s="44" t="n"/>
      <c r="G297" s="58">
        <f>IF($G$295="","",$G$295)</f>
        <v/>
      </c>
      <c r="H297" s="59" t="n"/>
      <c r="I297" s="59" t="n"/>
      <c r="J297" s="59" t="n"/>
      <c r="K297" s="59" t="n"/>
      <c r="L297" s="65">
        <f>IF(SUM(U297:AY297)=0,"",SUM(U297:AY297))</f>
        <v/>
      </c>
      <c r="M297" s="66">
        <f>IFERROR(INDEX(U$2:AY$2,MATCH(TRUE,INDEX(U297:AY297&lt;&gt;"",0),0)),"")</f>
        <v/>
      </c>
      <c r="N297" s="66">
        <f>IFERROR(LOOKUP(2,1/(U297:AY297&lt;&gt;""),U$2:AY$2),"")</f>
        <v/>
      </c>
      <c r="O297" s="59" t="n"/>
      <c r="P297" s="59" t="n"/>
      <c r="Q297" s="59" t="n"/>
      <c r="R297" s="59" t="n"/>
      <c r="S297" s="14" t="n"/>
      <c r="U297" s="53" t="n"/>
      <c r="V297" s="53" t="n"/>
      <c r="W297" s="53" t="n"/>
      <c r="X297" s="53" t="n"/>
      <c r="Y297" s="53" t="n"/>
      <c r="Z297" s="53" t="n"/>
      <c r="AA297" s="53" t="n"/>
      <c r="AB297" s="53" t="n"/>
      <c r="AC297" s="53" t="n"/>
      <c r="AD297" s="53" t="n"/>
      <c r="AE297" s="53" t="n"/>
      <c r="AF297" s="53" t="n"/>
      <c r="AG297" s="53" t="n"/>
      <c r="AH297" s="53" t="n"/>
      <c r="AI297" s="53" t="n"/>
      <c r="AJ297" s="53" t="n"/>
      <c r="AK297" s="53" t="n"/>
      <c r="AL297" s="53" t="n"/>
      <c r="AM297" s="53" t="n"/>
      <c r="AN297" s="53" t="n"/>
      <c r="AO297" s="53" t="n"/>
      <c r="AP297" s="53" t="n"/>
      <c r="AQ297" s="53" t="n"/>
      <c r="AR297" s="53" t="n"/>
      <c r="AS297" s="53" t="n"/>
      <c r="AT297" s="53" t="n"/>
      <c r="AU297" s="53" t="n"/>
      <c r="AV297" s="53" t="n"/>
      <c r="AW297" s="53" t="n"/>
      <c r="AX297" s="53" t="n"/>
      <c r="AY297" s="53" t="n"/>
    </row>
    <row r="298" ht="15" customHeight="1">
      <c r="A298" s="40">
        <f>IF($D$298="","",96)</f>
        <v/>
      </c>
      <c r="B298" s="10" t="n"/>
      <c r="C298" s="41" t="inlineStr">
        <is>
          <t>기타</t>
        </is>
      </c>
      <c r="D298" s="42" t="n"/>
      <c r="E298" s="43" t="inlineStr">
        <is>
          <t>기획</t>
        </is>
      </c>
      <c r="F298" s="44" t="n"/>
      <c r="G298" s="45" t="n"/>
      <c r="H298" s="46">
        <f>IF($I$298="","",IF($I$298&lt;0,"🔴지연",IF($I$298&lt;=1,"🟡임박","🟢여유")))</f>
        <v/>
      </c>
      <c r="I298" s="47">
        <f>IF(OR($G$298="",$K$298=""),"",$G$298-$K$298)</f>
        <v/>
      </c>
      <c r="J298" s="48">
        <f>IF(SUM($L$298:$L$300)=0,"",SUM($L$298:$L$300))</f>
        <v/>
      </c>
      <c r="K298" s="49">
        <f>IF($J$298="","",MAX($N$298:$N$300))</f>
        <v/>
      </c>
      <c r="L298" s="50">
        <f>IF(SUM(U298:AY298)=0,"",SUM(U298:AY298))</f>
        <v/>
      </c>
      <c r="M298" s="51">
        <f>IFERROR(INDEX(U$2:AY$2,MATCH(TRUE,INDEX(U298:AY298&lt;&gt;"",0),0)),"")</f>
        <v/>
      </c>
      <c r="N298" s="51">
        <f>IFERROR(LOOKUP(2,1/(U298:AY298&lt;&gt;""),U$2:AY$2),"")</f>
        <v/>
      </c>
      <c r="O298" s="52" t="n"/>
      <c r="P298" s="52" t="n"/>
      <c r="Q298" s="52" t="n"/>
      <c r="R298" s="44" t="n"/>
      <c r="S298" s="14" t="n"/>
      <c r="U298" s="53" t="n"/>
      <c r="V298" s="53" t="n"/>
      <c r="W298" s="53" t="n"/>
      <c r="X298" s="53" t="n"/>
      <c r="Y298" s="53" t="n"/>
      <c r="Z298" s="53" t="n"/>
      <c r="AA298" s="53" t="n"/>
      <c r="AB298" s="53" t="n"/>
      <c r="AC298" s="53" t="n"/>
      <c r="AD298" s="53" t="n"/>
      <c r="AE298" s="53" t="n"/>
      <c r="AF298" s="53" t="n"/>
      <c r="AG298" s="53" t="n"/>
      <c r="AH298" s="53" t="n"/>
      <c r="AI298" s="53" t="n"/>
      <c r="AJ298" s="53" t="n"/>
      <c r="AK298" s="53" t="n"/>
      <c r="AL298" s="53" t="n"/>
      <c r="AM298" s="53" t="n"/>
      <c r="AN298" s="53" t="n"/>
      <c r="AO298" s="53" t="n"/>
      <c r="AP298" s="53" t="n"/>
      <c r="AQ298" s="53" t="n"/>
      <c r="AR298" s="53" t="n"/>
      <c r="AS298" s="53" t="n"/>
      <c r="AT298" s="53" t="n"/>
      <c r="AU298" s="53" t="n"/>
      <c r="AV298" s="53" t="n"/>
      <c r="AW298" s="53" t="n"/>
      <c r="AX298" s="53" t="n"/>
      <c r="AY298" s="53" t="n"/>
    </row>
    <row r="299" ht="15" customHeight="1">
      <c r="A299" s="54" t="n"/>
      <c r="B299" s="55">
        <f>IF($B$298="","",$B$298)</f>
        <v/>
      </c>
      <c r="C299" s="56" t="inlineStr">
        <is>
          <t>기타</t>
        </is>
      </c>
      <c r="D299" s="55">
        <f>IF($D$298="","",$D$298)</f>
        <v/>
      </c>
      <c r="E299" s="57" t="inlineStr">
        <is>
          <t>이미지</t>
        </is>
      </c>
      <c r="F299" s="44" t="n"/>
      <c r="G299" s="58">
        <f>IF($G$298="","",$G$298)</f>
        <v/>
      </c>
      <c r="H299" s="59" t="n"/>
      <c r="I299" s="59" t="n"/>
      <c r="J299" s="59" t="n"/>
      <c r="K299" s="59" t="n"/>
      <c r="L299" s="60">
        <f>IF(SUM(U299:AY299)=0,"",SUM(U299:AY299))</f>
        <v/>
      </c>
      <c r="M299" s="61">
        <f>IFERROR(INDEX(U$2:AY$2,MATCH(TRUE,INDEX(U299:AY299&lt;&gt;"",0),0)),"")</f>
        <v/>
      </c>
      <c r="N299" s="61">
        <f>IFERROR(LOOKUP(2,1/(U299:AY299&lt;&gt;""),U$2:AY$2),"")</f>
        <v/>
      </c>
      <c r="O299" s="59" t="n"/>
      <c r="P299" s="59" t="n"/>
      <c r="Q299" s="59" t="n"/>
      <c r="R299" s="59" t="n"/>
      <c r="S299" s="14" t="n"/>
      <c r="U299" s="53" t="n"/>
      <c r="V299" s="53" t="n"/>
      <c r="W299" s="53" t="n"/>
      <c r="X299" s="53" t="n"/>
      <c r="Y299" s="53" t="n"/>
      <c r="Z299" s="53" t="n"/>
      <c r="AA299" s="53" t="n"/>
      <c r="AB299" s="53" t="n"/>
      <c r="AC299" s="53" t="n"/>
      <c r="AD299" s="53" t="n"/>
      <c r="AE299" s="53" t="n"/>
      <c r="AF299" s="53" t="n"/>
      <c r="AG299" s="53" t="n"/>
      <c r="AH299" s="53" t="n"/>
      <c r="AI299" s="53" t="n"/>
      <c r="AJ299" s="53" t="n"/>
      <c r="AK299" s="53" t="n"/>
      <c r="AL299" s="53" t="n"/>
      <c r="AM299" s="53" t="n"/>
      <c r="AN299" s="53" t="n"/>
      <c r="AO299" s="53" t="n"/>
      <c r="AP299" s="53" t="n"/>
      <c r="AQ299" s="53" t="n"/>
      <c r="AR299" s="53" t="n"/>
      <c r="AS299" s="53" t="n"/>
      <c r="AT299" s="53" t="n"/>
      <c r="AU299" s="53" t="n"/>
      <c r="AV299" s="53" t="n"/>
      <c r="AW299" s="53" t="n"/>
      <c r="AX299" s="53" t="n"/>
      <c r="AY299" s="53" t="n"/>
    </row>
    <row r="300" ht="15" customHeight="1">
      <c r="A300" s="62" t="n"/>
      <c r="B300" s="55">
        <f>IF($B$298="","",$B$298)</f>
        <v/>
      </c>
      <c r="C300" s="63" t="inlineStr">
        <is>
          <t>기타</t>
        </is>
      </c>
      <c r="D300" s="55">
        <f>IF($D$298="","",$D$298)</f>
        <v/>
      </c>
      <c r="E300" s="64" t="inlineStr">
        <is>
          <t>영상</t>
        </is>
      </c>
      <c r="F300" s="44" t="n"/>
      <c r="G300" s="58">
        <f>IF($G$298="","",$G$298)</f>
        <v/>
      </c>
      <c r="H300" s="59" t="n"/>
      <c r="I300" s="59" t="n"/>
      <c r="J300" s="59" t="n"/>
      <c r="K300" s="59" t="n"/>
      <c r="L300" s="65">
        <f>IF(SUM(U300:AY300)=0,"",SUM(U300:AY300))</f>
        <v/>
      </c>
      <c r="M300" s="66">
        <f>IFERROR(INDEX(U$2:AY$2,MATCH(TRUE,INDEX(U300:AY300&lt;&gt;"",0),0)),"")</f>
        <v/>
      </c>
      <c r="N300" s="66">
        <f>IFERROR(LOOKUP(2,1/(U300:AY300&lt;&gt;""),U$2:AY$2),"")</f>
        <v/>
      </c>
      <c r="O300" s="59" t="n"/>
      <c r="P300" s="59" t="n"/>
      <c r="Q300" s="59" t="n"/>
      <c r="R300" s="59" t="n"/>
      <c r="S300" s="14" t="n"/>
      <c r="U300" s="53" t="n"/>
      <c r="V300" s="53" t="n"/>
      <c r="W300" s="53" t="n"/>
      <c r="X300" s="53" t="n"/>
      <c r="Y300" s="53" t="n"/>
      <c r="Z300" s="53" t="n"/>
      <c r="AA300" s="53" t="n"/>
      <c r="AB300" s="53" t="n"/>
      <c r="AC300" s="53" t="n"/>
      <c r="AD300" s="53" t="n"/>
      <c r="AE300" s="53" t="n"/>
      <c r="AF300" s="53" t="n"/>
      <c r="AG300" s="53" t="n"/>
      <c r="AH300" s="53" t="n"/>
      <c r="AI300" s="53" t="n"/>
      <c r="AJ300" s="53" t="n"/>
      <c r="AK300" s="53" t="n"/>
      <c r="AL300" s="53" t="n"/>
      <c r="AM300" s="53" t="n"/>
      <c r="AN300" s="53" t="n"/>
      <c r="AO300" s="53" t="n"/>
      <c r="AP300" s="53" t="n"/>
      <c r="AQ300" s="53" t="n"/>
      <c r="AR300" s="53" t="n"/>
      <c r="AS300" s="53" t="n"/>
      <c r="AT300" s="53" t="n"/>
      <c r="AU300" s="53" t="n"/>
      <c r="AV300" s="53" t="n"/>
      <c r="AW300" s="53" t="n"/>
      <c r="AX300" s="53" t="n"/>
      <c r="AY300" s="53" t="n"/>
    </row>
    <row r="301" ht="15" customHeight="1">
      <c r="A301" s="40">
        <f>IF($D$301="","",97)</f>
        <v/>
      </c>
      <c r="B301" s="10" t="n"/>
      <c r="C301" s="41" t="inlineStr">
        <is>
          <t>기타</t>
        </is>
      </c>
      <c r="D301" s="42" t="n"/>
      <c r="E301" s="43" t="inlineStr">
        <is>
          <t>기획</t>
        </is>
      </c>
      <c r="F301" s="44" t="n"/>
      <c r="G301" s="45" t="n"/>
      <c r="H301" s="46">
        <f>IF($I$301="","",IF($I$301&lt;0,"🔴지연",IF($I$301&lt;=1,"🟡임박","🟢여유")))</f>
        <v/>
      </c>
      <c r="I301" s="47">
        <f>IF(OR($G$301="",$K$301=""),"",$G$301-$K$301)</f>
        <v/>
      </c>
      <c r="J301" s="48">
        <f>IF(SUM($L$301:$L$303)=0,"",SUM($L$301:$L$303))</f>
        <v/>
      </c>
      <c r="K301" s="49">
        <f>IF($J$301="","",MAX($N$301:$N$303))</f>
        <v/>
      </c>
      <c r="L301" s="50">
        <f>IF(SUM(U301:AY301)=0,"",SUM(U301:AY301))</f>
        <v/>
      </c>
      <c r="M301" s="51">
        <f>IFERROR(INDEX(U$2:AY$2,MATCH(TRUE,INDEX(U301:AY301&lt;&gt;"",0),0)),"")</f>
        <v/>
      </c>
      <c r="N301" s="51">
        <f>IFERROR(LOOKUP(2,1/(U301:AY301&lt;&gt;""),U$2:AY$2),"")</f>
        <v/>
      </c>
      <c r="O301" s="52" t="n"/>
      <c r="P301" s="52" t="n"/>
      <c r="Q301" s="52" t="n"/>
      <c r="R301" s="44" t="n"/>
      <c r="S301" s="14" t="n"/>
      <c r="U301" s="53" t="n"/>
      <c r="V301" s="53" t="n"/>
      <c r="W301" s="53" t="n"/>
      <c r="X301" s="53" t="n"/>
      <c r="Y301" s="53" t="n"/>
      <c r="Z301" s="53" t="n"/>
      <c r="AA301" s="53" t="n"/>
      <c r="AB301" s="53" t="n"/>
      <c r="AC301" s="53" t="n"/>
      <c r="AD301" s="53" t="n"/>
      <c r="AE301" s="53" t="n"/>
      <c r="AF301" s="53" t="n"/>
      <c r="AG301" s="53" t="n"/>
      <c r="AH301" s="53" t="n"/>
      <c r="AI301" s="53" t="n"/>
      <c r="AJ301" s="53" t="n"/>
      <c r="AK301" s="53" t="n"/>
      <c r="AL301" s="53" t="n"/>
      <c r="AM301" s="53" t="n"/>
      <c r="AN301" s="53" t="n"/>
      <c r="AO301" s="53" t="n"/>
      <c r="AP301" s="53" t="n"/>
      <c r="AQ301" s="53" t="n"/>
      <c r="AR301" s="53" t="n"/>
      <c r="AS301" s="53" t="n"/>
      <c r="AT301" s="53" t="n"/>
      <c r="AU301" s="53" t="n"/>
      <c r="AV301" s="53" t="n"/>
      <c r="AW301" s="53" t="n"/>
      <c r="AX301" s="53" t="n"/>
      <c r="AY301" s="53" t="n"/>
    </row>
    <row r="302" ht="15" customHeight="1">
      <c r="A302" s="54" t="n"/>
      <c r="B302" s="55">
        <f>IF($B$301="","",$B$301)</f>
        <v/>
      </c>
      <c r="C302" s="56" t="inlineStr">
        <is>
          <t>기타</t>
        </is>
      </c>
      <c r="D302" s="55">
        <f>IF($D$301="","",$D$301)</f>
        <v/>
      </c>
      <c r="E302" s="57" t="inlineStr">
        <is>
          <t>이미지</t>
        </is>
      </c>
      <c r="F302" s="44" t="n"/>
      <c r="G302" s="58">
        <f>IF($G$301="","",$G$301)</f>
        <v/>
      </c>
      <c r="H302" s="59" t="n"/>
      <c r="I302" s="59" t="n"/>
      <c r="J302" s="59" t="n"/>
      <c r="K302" s="59" t="n"/>
      <c r="L302" s="60">
        <f>IF(SUM(U302:AY302)=0,"",SUM(U302:AY302))</f>
        <v/>
      </c>
      <c r="M302" s="61">
        <f>IFERROR(INDEX(U$2:AY$2,MATCH(TRUE,INDEX(U302:AY302&lt;&gt;"",0),0)),"")</f>
        <v/>
      </c>
      <c r="N302" s="61">
        <f>IFERROR(LOOKUP(2,1/(U302:AY302&lt;&gt;""),U$2:AY$2),"")</f>
        <v/>
      </c>
      <c r="O302" s="59" t="n"/>
      <c r="P302" s="59" t="n"/>
      <c r="Q302" s="59" t="n"/>
      <c r="R302" s="59" t="n"/>
      <c r="S302" s="14" t="n"/>
      <c r="U302" s="53" t="n"/>
      <c r="V302" s="53" t="n"/>
      <c r="W302" s="53" t="n"/>
      <c r="X302" s="53" t="n"/>
      <c r="Y302" s="53" t="n"/>
      <c r="Z302" s="53" t="n"/>
      <c r="AA302" s="53" t="n"/>
      <c r="AB302" s="53" t="n"/>
      <c r="AC302" s="53" t="n"/>
      <c r="AD302" s="53" t="n"/>
      <c r="AE302" s="53" t="n"/>
      <c r="AF302" s="53" t="n"/>
      <c r="AG302" s="53" t="n"/>
      <c r="AH302" s="53" t="n"/>
      <c r="AI302" s="53" t="n"/>
      <c r="AJ302" s="53" t="n"/>
      <c r="AK302" s="53" t="n"/>
      <c r="AL302" s="53" t="n"/>
      <c r="AM302" s="53" t="n"/>
      <c r="AN302" s="53" t="n"/>
      <c r="AO302" s="53" t="n"/>
      <c r="AP302" s="53" t="n"/>
      <c r="AQ302" s="53" t="n"/>
      <c r="AR302" s="53" t="n"/>
      <c r="AS302" s="53" t="n"/>
      <c r="AT302" s="53" t="n"/>
      <c r="AU302" s="53" t="n"/>
      <c r="AV302" s="53" t="n"/>
      <c r="AW302" s="53" t="n"/>
      <c r="AX302" s="53" t="n"/>
      <c r="AY302" s="53" t="n"/>
    </row>
    <row r="303" ht="15" customHeight="1">
      <c r="A303" s="62" t="n"/>
      <c r="B303" s="55">
        <f>IF($B$301="","",$B$301)</f>
        <v/>
      </c>
      <c r="C303" s="63" t="inlineStr">
        <is>
          <t>기타</t>
        </is>
      </c>
      <c r="D303" s="55">
        <f>IF($D$301="","",$D$301)</f>
        <v/>
      </c>
      <c r="E303" s="64" t="inlineStr">
        <is>
          <t>영상</t>
        </is>
      </c>
      <c r="F303" s="44" t="n"/>
      <c r="G303" s="58">
        <f>IF($G$301="","",$G$301)</f>
        <v/>
      </c>
      <c r="H303" s="59" t="n"/>
      <c r="I303" s="59" t="n"/>
      <c r="J303" s="59" t="n"/>
      <c r="K303" s="59" t="n"/>
      <c r="L303" s="65">
        <f>IF(SUM(U303:AY303)=0,"",SUM(U303:AY303))</f>
        <v/>
      </c>
      <c r="M303" s="66">
        <f>IFERROR(INDEX(U$2:AY$2,MATCH(TRUE,INDEX(U303:AY303&lt;&gt;"",0),0)),"")</f>
        <v/>
      </c>
      <c r="N303" s="66">
        <f>IFERROR(LOOKUP(2,1/(U303:AY303&lt;&gt;""),U$2:AY$2),"")</f>
        <v/>
      </c>
      <c r="O303" s="59" t="n"/>
      <c r="P303" s="59" t="n"/>
      <c r="Q303" s="59" t="n"/>
      <c r="R303" s="59" t="n"/>
      <c r="S303" s="14" t="n"/>
      <c r="U303" s="53" t="n"/>
      <c r="V303" s="53" t="n"/>
      <c r="W303" s="53" t="n"/>
      <c r="X303" s="53" t="n"/>
      <c r="Y303" s="53" t="n"/>
      <c r="Z303" s="53" t="n"/>
      <c r="AA303" s="53" t="n"/>
      <c r="AB303" s="53" t="n"/>
      <c r="AC303" s="53" t="n"/>
      <c r="AD303" s="53" t="n"/>
      <c r="AE303" s="53" t="n"/>
      <c r="AF303" s="53" t="n"/>
      <c r="AG303" s="53" t="n"/>
      <c r="AH303" s="53" t="n"/>
      <c r="AI303" s="53" t="n"/>
      <c r="AJ303" s="53" t="n"/>
      <c r="AK303" s="53" t="n"/>
      <c r="AL303" s="53" t="n"/>
      <c r="AM303" s="53" t="n"/>
      <c r="AN303" s="53" t="n"/>
      <c r="AO303" s="53" t="n"/>
      <c r="AP303" s="53" t="n"/>
      <c r="AQ303" s="53" t="n"/>
      <c r="AR303" s="53" t="n"/>
      <c r="AS303" s="53" t="n"/>
      <c r="AT303" s="53" t="n"/>
      <c r="AU303" s="53" t="n"/>
      <c r="AV303" s="53" t="n"/>
      <c r="AW303" s="53" t="n"/>
      <c r="AX303" s="53" t="n"/>
      <c r="AY303" s="53" t="n"/>
    </row>
    <row r="304" ht="15" customHeight="1">
      <c r="A304" s="40">
        <f>IF($D$304="","",98)</f>
        <v/>
      </c>
      <c r="B304" s="10" t="n"/>
      <c r="C304" s="41" t="inlineStr">
        <is>
          <t>기타</t>
        </is>
      </c>
      <c r="D304" s="42" t="n"/>
      <c r="E304" s="43" t="inlineStr">
        <is>
          <t>기획</t>
        </is>
      </c>
      <c r="F304" s="44" t="n"/>
      <c r="G304" s="45" t="n"/>
      <c r="H304" s="46">
        <f>IF($I$304="","",IF($I$304&lt;0,"🔴지연",IF($I$304&lt;=1,"🟡임박","🟢여유")))</f>
        <v/>
      </c>
      <c r="I304" s="47">
        <f>IF(OR($G$304="",$K$304=""),"",$G$304-$K$304)</f>
        <v/>
      </c>
      <c r="J304" s="48">
        <f>IF(SUM($L$304:$L$306)=0,"",SUM($L$304:$L$306))</f>
        <v/>
      </c>
      <c r="K304" s="49">
        <f>IF($J$304="","",MAX($N$304:$N$306))</f>
        <v/>
      </c>
      <c r="L304" s="50">
        <f>IF(SUM(U304:AY304)=0,"",SUM(U304:AY304))</f>
        <v/>
      </c>
      <c r="M304" s="51">
        <f>IFERROR(INDEX(U$2:AY$2,MATCH(TRUE,INDEX(U304:AY304&lt;&gt;"",0),0)),"")</f>
        <v/>
      </c>
      <c r="N304" s="51">
        <f>IFERROR(LOOKUP(2,1/(U304:AY304&lt;&gt;""),U$2:AY$2),"")</f>
        <v/>
      </c>
      <c r="O304" s="52" t="n"/>
      <c r="P304" s="52" t="n"/>
      <c r="Q304" s="52" t="n"/>
      <c r="R304" s="44" t="n"/>
      <c r="S304" s="14" t="n"/>
      <c r="U304" s="53" t="n"/>
      <c r="V304" s="53" t="n"/>
      <c r="W304" s="53" t="n"/>
      <c r="X304" s="53" t="n"/>
      <c r="Y304" s="53" t="n"/>
      <c r="Z304" s="53" t="n"/>
      <c r="AA304" s="53" t="n"/>
      <c r="AB304" s="53" t="n"/>
      <c r="AC304" s="53" t="n"/>
      <c r="AD304" s="53" t="n"/>
      <c r="AE304" s="53" t="n"/>
      <c r="AF304" s="53" t="n"/>
      <c r="AG304" s="53" t="n"/>
      <c r="AH304" s="53" t="n"/>
      <c r="AI304" s="53" t="n"/>
      <c r="AJ304" s="53" t="n"/>
      <c r="AK304" s="53" t="n"/>
      <c r="AL304" s="53" t="n"/>
      <c r="AM304" s="53" t="n"/>
      <c r="AN304" s="53" t="n"/>
      <c r="AO304" s="53" t="n"/>
      <c r="AP304" s="53" t="n"/>
      <c r="AQ304" s="53" t="n"/>
      <c r="AR304" s="53" t="n"/>
      <c r="AS304" s="53" t="n"/>
      <c r="AT304" s="53" t="n"/>
      <c r="AU304" s="53" t="n"/>
      <c r="AV304" s="53" t="n"/>
      <c r="AW304" s="53" t="n"/>
      <c r="AX304" s="53" t="n"/>
      <c r="AY304" s="53" t="n"/>
    </row>
    <row r="305" ht="15" customHeight="1">
      <c r="A305" s="54" t="n"/>
      <c r="B305" s="55">
        <f>IF($B$304="","",$B$304)</f>
        <v/>
      </c>
      <c r="C305" s="56" t="inlineStr">
        <is>
          <t>기타</t>
        </is>
      </c>
      <c r="D305" s="55">
        <f>IF($D$304="","",$D$304)</f>
        <v/>
      </c>
      <c r="E305" s="57" t="inlineStr">
        <is>
          <t>이미지</t>
        </is>
      </c>
      <c r="F305" s="44" t="n"/>
      <c r="G305" s="58">
        <f>IF($G$304="","",$G$304)</f>
        <v/>
      </c>
      <c r="H305" s="59" t="n"/>
      <c r="I305" s="59" t="n"/>
      <c r="J305" s="59" t="n"/>
      <c r="K305" s="59" t="n"/>
      <c r="L305" s="60">
        <f>IF(SUM(U305:AY305)=0,"",SUM(U305:AY305))</f>
        <v/>
      </c>
      <c r="M305" s="61">
        <f>IFERROR(INDEX(U$2:AY$2,MATCH(TRUE,INDEX(U305:AY305&lt;&gt;"",0),0)),"")</f>
        <v/>
      </c>
      <c r="N305" s="61">
        <f>IFERROR(LOOKUP(2,1/(U305:AY305&lt;&gt;""),U$2:AY$2),"")</f>
        <v/>
      </c>
      <c r="O305" s="59" t="n"/>
      <c r="P305" s="59" t="n"/>
      <c r="Q305" s="59" t="n"/>
      <c r="R305" s="59" t="n"/>
      <c r="S305" s="14" t="n"/>
      <c r="U305" s="53" t="n"/>
      <c r="V305" s="53" t="n"/>
      <c r="W305" s="53" t="n"/>
      <c r="X305" s="53" t="n"/>
      <c r="Y305" s="53" t="n"/>
      <c r="Z305" s="53" t="n"/>
      <c r="AA305" s="53" t="n"/>
      <c r="AB305" s="53" t="n"/>
      <c r="AC305" s="53" t="n"/>
      <c r="AD305" s="53" t="n"/>
      <c r="AE305" s="53" t="n"/>
      <c r="AF305" s="53" t="n"/>
      <c r="AG305" s="53" t="n"/>
      <c r="AH305" s="53" t="n"/>
      <c r="AI305" s="53" t="n"/>
      <c r="AJ305" s="53" t="n"/>
      <c r="AK305" s="53" t="n"/>
      <c r="AL305" s="53" t="n"/>
      <c r="AM305" s="53" t="n"/>
      <c r="AN305" s="53" t="n"/>
      <c r="AO305" s="53" t="n"/>
      <c r="AP305" s="53" t="n"/>
      <c r="AQ305" s="53" t="n"/>
      <c r="AR305" s="53" t="n"/>
      <c r="AS305" s="53" t="n"/>
      <c r="AT305" s="53" t="n"/>
      <c r="AU305" s="53" t="n"/>
      <c r="AV305" s="53" t="n"/>
      <c r="AW305" s="53" t="n"/>
      <c r="AX305" s="53" t="n"/>
      <c r="AY305" s="53" t="n"/>
    </row>
    <row r="306" ht="15" customHeight="1">
      <c r="A306" s="62" t="n"/>
      <c r="B306" s="55">
        <f>IF($B$304="","",$B$304)</f>
        <v/>
      </c>
      <c r="C306" s="63" t="inlineStr">
        <is>
          <t>기타</t>
        </is>
      </c>
      <c r="D306" s="55">
        <f>IF($D$304="","",$D$304)</f>
        <v/>
      </c>
      <c r="E306" s="64" t="inlineStr">
        <is>
          <t>영상</t>
        </is>
      </c>
      <c r="F306" s="44" t="n"/>
      <c r="G306" s="58">
        <f>IF($G$304="","",$G$304)</f>
        <v/>
      </c>
      <c r="H306" s="59" t="n"/>
      <c r="I306" s="59" t="n"/>
      <c r="J306" s="59" t="n"/>
      <c r="K306" s="59" t="n"/>
      <c r="L306" s="65">
        <f>IF(SUM(U306:AY306)=0,"",SUM(U306:AY306))</f>
        <v/>
      </c>
      <c r="M306" s="66">
        <f>IFERROR(INDEX(U$2:AY$2,MATCH(TRUE,INDEX(U306:AY306&lt;&gt;"",0),0)),"")</f>
        <v/>
      </c>
      <c r="N306" s="66">
        <f>IFERROR(LOOKUP(2,1/(U306:AY306&lt;&gt;""),U$2:AY$2),"")</f>
        <v/>
      </c>
      <c r="O306" s="59" t="n"/>
      <c r="P306" s="59" t="n"/>
      <c r="Q306" s="59" t="n"/>
      <c r="R306" s="59" t="n"/>
      <c r="S306" s="14" t="n"/>
      <c r="U306" s="53" t="n"/>
      <c r="V306" s="53" t="n"/>
      <c r="W306" s="53" t="n"/>
      <c r="X306" s="53" t="n"/>
      <c r="Y306" s="53" t="n"/>
      <c r="Z306" s="53" t="n"/>
      <c r="AA306" s="53" t="n"/>
      <c r="AB306" s="53" t="n"/>
      <c r="AC306" s="53" t="n"/>
      <c r="AD306" s="53" t="n"/>
      <c r="AE306" s="53" t="n"/>
      <c r="AF306" s="53" t="n"/>
      <c r="AG306" s="53" t="n"/>
      <c r="AH306" s="53" t="n"/>
      <c r="AI306" s="53" t="n"/>
      <c r="AJ306" s="53" t="n"/>
      <c r="AK306" s="53" t="n"/>
      <c r="AL306" s="53" t="n"/>
      <c r="AM306" s="53" t="n"/>
      <c r="AN306" s="53" t="n"/>
      <c r="AO306" s="53" t="n"/>
      <c r="AP306" s="53" t="n"/>
      <c r="AQ306" s="53" t="n"/>
      <c r="AR306" s="53" t="n"/>
      <c r="AS306" s="53" t="n"/>
      <c r="AT306" s="53" t="n"/>
      <c r="AU306" s="53" t="n"/>
      <c r="AV306" s="53" t="n"/>
      <c r="AW306" s="53" t="n"/>
      <c r="AX306" s="53" t="n"/>
      <c r="AY306" s="53" t="n"/>
    </row>
    <row r="307" ht="15" customHeight="1">
      <c r="A307" s="40">
        <f>IF($D$307="","",99)</f>
        <v/>
      </c>
      <c r="B307" s="10" t="n"/>
      <c r="C307" s="41" t="inlineStr">
        <is>
          <t>기타</t>
        </is>
      </c>
      <c r="D307" s="42" t="n"/>
      <c r="E307" s="43" t="inlineStr">
        <is>
          <t>기획</t>
        </is>
      </c>
      <c r="F307" s="44" t="n"/>
      <c r="G307" s="45" t="n"/>
      <c r="H307" s="46">
        <f>IF($I$307="","",IF($I$307&lt;0,"🔴지연",IF($I$307&lt;=1,"🟡임박","🟢여유")))</f>
        <v/>
      </c>
      <c r="I307" s="47">
        <f>IF(OR($G$307="",$K$307=""),"",$G$307-$K$307)</f>
        <v/>
      </c>
      <c r="J307" s="48">
        <f>IF(SUM($L$307:$L$309)=0,"",SUM($L$307:$L$309))</f>
        <v/>
      </c>
      <c r="K307" s="49">
        <f>IF($J$307="","",MAX($N$307:$N$309))</f>
        <v/>
      </c>
      <c r="L307" s="50">
        <f>IF(SUM(U307:AY307)=0,"",SUM(U307:AY307))</f>
        <v/>
      </c>
      <c r="M307" s="51">
        <f>IFERROR(INDEX(U$2:AY$2,MATCH(TRUE,INDEX(U307:AY307&lt;&gt;"",0),0)),"")</f>
        <v/>
      </c>
      <c r="N307" s="51">
        <f>IFERROR(LOOKUP(2,1/(U307:AY307&lt;&gt;""),U$2:AY$2),"")</f>
        <v/>
      </c>
      <c r="O307" s="52" t="n"/>
      <c r="P307" s="52" t="n"/>
      <c r="Q307" s="52" t="n"/>
      <c r="R307" s="44" t="n"/>
      <c r="S307" s="14" t="n"/>
      <c r="U307" s="53" t="n"/>
      <c r="V307" s="53" t="n"/>
      <c r="W307" s="53" t="n"/>
      <c r="X307" s="53" t="n"/>
      <c r="Y307" s="53" t="n"/>
      <c r="Z307" s="53" t="n"/>
      <c r="AA307" s="53" t="n"/>
      <c r="AB307" s="53" t="n"/>
      <c r="AC307" s="53" t="n"/>
      <c r="AD307" s="53" t="n"/>
      <c r="AE307" s="53" t="n"/>
      <c r="AF307" s="53" t="n"/>
      <c r="AG307" s="53" t="n"/>
      <c r="AH307" s="53" t="n"/>
      <c r="AI307" s="53" t="n"/>
      <c r="AJ307" s="53" t="n"/>
      <c r="AK307" s="53" t="n"/>
      <c r="AL307" s="53" t="n"/>
      <c r="AM307" s="53" t="n"/>
      <c r="AN307" s="53" t="n"/>
      <c r="AO307" s="53" t="n"/>
      <c r="AP307" s="53" t="n"/>
      <c r="AQ307" s="53" t="n"/>
      <c r="AR307" s="53" t="n"/>
      <c r="AS307" s="53" t="n"/>
      <c r="AT307" s="53" t="n"/>
      <c r="AU307" s="53" t="n"/>
      <c r="AV307" s="53" t="n"/>
      <c r="AW307" s="53" t="n"/>
      <c r="AX307" s="53" t="n"/>
      <c r="AY307" s="53" t="n"/>
    </row>
    <row r="308" ht="15" customHeight="1">
      <c r="A308" s="54" t="n"/>
      <c r="B308" s="55">
        <f>IF($B$307="","",$B$307)</f>
        <v/>
      </c>
      <c r="C308" s="56" t="inlineStr">
        <is>
          <t>기타</t>
        </is>
      </c>
      <c r="D308" s="55">
        <f>IF($D$307="","",$D$307)</f>
        <v/>
      </c>
      <c r="E308" s="57" t="inlineStr">
        <is>
          <t>이미지</t>
        </is>
      </c>
      <c r="F308" s="44" t="n"/>
      <c r="G308" s="58">
        <f>IF($G$307="","",$G$307)</f>
        <v/>
      </c>
      <c r="H308" s="59" t="n"/>
      <c r="I308" s="59" t="n"/>
      <c r="J308" s="59" t="n"/>
      <c r="K308" s="59" t="n"/>
      <c r="L308" s="60">
        <f>IF(SUM(U308:AY308)=0,"",SUM(U308:AY308))</f>
        <v/>
      </c>
      <c r="M308" s="61">
        <f>IFERROR(INDEX(U$2:AY$2,MATCH(TRUE,INDEX(U308:AY308&lt;&gt;"",0),0)),"")</f>
        <v/>
      </c>
      <c r="N308" s="61">
        <f>IFERROR(LOOKUP(2,1/(U308:AY308&lt;&gt;""),U$2:AY$2),"")</f>
        <v/>
      </c>
      <c r="O308" s="59" t="n"/>
      <c r="P308" s="59" t="n"/>
      <c r="Q308" s="59" t="n"/>
      <c r="R308" s="59" t="n"/>
      <c r="S308" s="14" t="n"/>
      <c r="U308" s="53" t="n"/>
      <c r="V308" s="53" t="n"/>
      <c r="W308" s="53" t="n"/>
      <c r="X308" s="53" t="n"/>
      <c r="Y308" s="53" t="n"/>
      <c r="Z308" s="53" t="n"/>
      <c r="AA308" s="53" t="n"/>
      <c r="AB308" s="53" t="n"/>
      <c r="AC308" s="53" t="n"/>
      <c r="AD308" s="53" t="n"/>
      <c r="AE308" s="53" t="n"/>
      <c r="AF308" s="53" t="n"/>
      <c r="AG308" s="53" t="n"/>
      <c r="AH308" s="53" t="n"/>
      <c r="AI308" s="53" t="n"/>
      <c r="AJ308" s="53" t="n"/>
      <c r="AK308" s="53" t="n"/>
      <c r="AL308" s="53" t="n"/>
      <c r="AM308" s="53" t="n"/>
      <c r="AN308" s="53" t="n"/>
      <c r="AO308" s="53" t="n"/>
      <c r="AP308" s="53" t="n"/>
      <c r="AQ308" s="53" t="n"/>
      <c r="AR308" s="53" t="n"/>
      <c r="AS308" s="53" t="n"/>
      <c r="AT308" s="53" t="n"/>
      <c r="AU308" s="53" t="n"/>
      <c r="AV308" s="53" t="n"/>
      <c r="AW308" s="53" t="n"/>
      <c r="AX308" s="53" t="n"/>
      <c r="AY308" s="53" t="n"/>
    </row>
    <row r="309" ht="15" customHeight="1">
      <c r="A309" s="62" t="n"/>
      <c r="B309" s="55">
        <f>IF($B$307="","",$B$307)</f>
        <v/>
      </c>
      <c r="C309" s="63" t="inlineStr">
        <is>
          <t>기타</t>
        </is>
      </c>
      <c r="D309" s="55">
        <f>IF($D$307="","",$D$307)</f>
        <v/>
      </c>
      <c r="E309" s="64" t="inlineStr">
        <is>
          <t>영상</t>
        </is>
      </c>
      <c r="F309" s="44" t="n"/>
      <c r="G309" s="58">
        <f>IF($G$307="","",$G$307)</f>
        <v/>
      </c>
      <c r="H309" s="59" t="n"/>
      <c r="I309" s="59" t="n"/>
      <c r="J309" s="59" t="n"/>
      <c r="K309" s="59" t="n"/>
      <c r="L309" s="65">
        <f>IF(SUM(U309:AY309)=0,"",SUM(U309:AY309))</f>
        <v/>
      </c>
      <c r="M309" s="66">
        <f>IFERROR(INDEX(U$2:AY$2,MATCH(TRUE,INDEX(U309:AY309&lt;&gt;"",0),0)),"")</f>
        <v/>
      </c>
      <c r="N309" s="66">
        <f>IFERROR(LOOKUP(2,1/(U309:AY309&lt;&gt;""),U$2:AY$2),"")</f>
        <v/>
      </c>
      <c r="O309" s="59" t="n"/>
      <c r="P309" s="59" t="n"/>
      <c r="Q309" s="59" t="n"/>
      <c r="R309" s="59" t="n"/>
      <c r="S309" s="14" t="n"/>
      <c r="U309" s="53" t="n"/>
      <c r="V309" s="53" t="n"/>
      <c r="W309" s="53" t="n"/>
      <c r="X309" s="53" t="n"/>
      <c r="Y309" s="53" t="n"/>
      <c r="Z309" s="53" t="n"/>
      <c r="AA309" s="53" t="n"/>
      <c r="AB309" s="53" t="n"/>
      <c r="AC309" s="53" t="n"/>
      <c r="AD309" s="53" t="n"/>
      <c r="AE309" s="53" t="n"/>
      <c r="AF309" s="53" t="n"/>
      <c r="AG309" s="53" t="n"/>
      <c r="AH309" s="53" t="n"/>
      <c r="AI309" s="53" t="n"/>
      <c r="AJ309" s="53" t="n"/>
      <c r="AK309" s="53" t="n"/>
      <c r="AL309" s="53" t="n"/>
      <c r="AM309" s="53" t="n"/>
      <c r="AN309" s="53" t="n"/>
      <c r="AO309" s="53" t="n"/>
      <c r="AP309" s="53" t="n"/>
      <c r="AQ309" s="53" t="n"/>
      <c r="AR309" s="53" t="n"/>
      <c r="AS309" s="53" t="n"/>
      <c r="AT309" s="53" t="n"/>
      <c r="AU309" s="53" t="n"/>
      <c r="AV309" s="53" t="n"/>
      <c r="AW309" s="53" t="n"/>
      <c r="AX309" s="53" t="n"/>
      <c r="AY309" s="53" t="n"/>
    </row>
    <row r="310" ht="15" customHeight="1">
      <c r="A310" s="40">
        <f>IF($D$310="","",100)</f>
        <v/>
      </c>
      <c r="B310" s="10" t="n"/>
      <c r="C310" s="41" t="inlineStr">
        <is>
          <t>기타</t>
        </is>
      </c>
      <c r="D310" s="42" t="n"/>
      <c r="E310" s="43" t="inlineStr">
        <is>
          <t>기획</t>
        </is>
      </c>
      <c r="F310" s="44" t="n"/>
      <c r="G310" s="45" t="n"/>
      <c r="H310" s="46">
        <f>IF($I$310="","",IF($I$310&lt;0,"🔴지연",IF($I$310&lt;=1,"🟡임박","🟢여유")))</f>
        <v/>
      </c>
      <c r="I310" s="47">
        <f>IF(OR($G$310="",$K$310=""),"",$G$310-$K$310)</f>
        <v/>
      </c>
      <c r="J310" s="48">
        <f>IF(SUM($L$310:$L$312)=0,"",SUM($L$310:$L$312))</f>
        <v/>
      </c>
      <c r="K310" s="49">
        <f>IF($J$310="","",MAX($N$310:$N$312))</f>
        <v/>
      </c>
      <c r="L310" s="50">
        <f>IF(SUM(U310:AY310)=0,"",SUM(U310:AY310))</f>
        <v/>
      </c>
      <c r="M310" s="51">
        <f>IFERROR(INDEX(U$2:AY$2,MATCH(TRUE,INDEX(U310:AY310&lt;&gt;"",0),0)),"")</f>
        <v/>
      </c>
      <c r="N310" s="51">
        <f>IFERROR(LOOKUP(2,1/(U310:AY310&lt;&gt;""),U$2:AY$2),"")</f>
        <v/>
      </c>
      <c r="O310" s="52" t="n"/>
      <c r="P310" s="52" t="n"/>
      <c r="Q310" s="52" t="n"/>
      <c r="R310" s="44" t="n"/>
      <c r="S310" s="14" t="n"/>
      <c r="U310" s="53" t="n"/>
      <c r="V310" s="53" t="n"/>
      <c r="W310" s="53" t="n"/>
      <c r="X310" s="53" t="n"/>
      <c r="Y310" s="53" t="n"/>
      <c r="Z310" s="53" t="n"/>
      <c r="AA310" s="53" t="n"/>
      <c r="AB310" s="53" t="n"/>
      <c r="AC310" s="53" t="n"/>
      <c r="AD310" s="53" t="n"/>
      <c r="AE310" s="53" t="n"/>
      <c r="AF310" s="53" t="n"/>
      <c r="AG310" s="53" t="n"/>
      <c r="AH310" s="53" t="n"/>
      <c r="AI310" s="53" t="n"/>
      <c r="AJ310" s="53" t="n"/>
      <c r="AK310" s="53" t="n"/>
      <c r="AL310" s="53" t="n"/>
      <c r="AM310" s="53" t="n"/>
      <c r="AN310" s="53" t="n"/>
      <c r="AO310" s="53" t="n"/>
      <c r="AP310" s="53" t="n"/>
      <c r="AQ310" s="53" t="n"/>
      <c r="AR310" s="53" t="n"/>
      <c r="AS310" s="53" t="n"/>
      <c r="AT310" s="53" t="n"/>
      <c r="AU310" s="53" t="n"/>
      <c r="AV310" s="53" t="n"/>
      <c r="AW310" s="53" t="n"/>
      <c r="AX310" s="53" t="n"/>
      <c r="AY310" s="53" t="n"/>
    </row>
    <row r="311" ht="15" customHeight="1">
      <c r="A311" s="54" t="n"/>
      <c r="B311" s="55">
        <f>IF($B$310="","",$B$310)</f>
        <v/>
      </c>
      <c r="C311" s="56" t="inlineStr">
        <is>
          <t>기타</t>
        </is>
      </c>
      <c r="D311" s="55">
        <f>IF($D$310="","",$D$310)</f>
        <v/>
      </c>
      <c r="E311" s="57" t="inlineStr">
        <is>
          <t>이미지</t>
        </is>
      </c>
      <c r="F311" s="44" t="n"/>
      <c r="G311" s="58">
        <f>IF($G$310="","",$G$310)</f>
        <v/>
      </c>
      <c r="H311" s="59" t="n"/>
      <c r="I311" s="59" t="n"/>
      <c r="J311" s="59" t="n"/>
      <c r="K311" s="59" t="n"/>
      <c r="L311" s="60">
        <f>IF(SUM(U311:AY311)=0,"",SUM(U311:AY311))</f>
        <v/>
      </c>
      <c r="M311" s="61">
        <f>IFERROR(INDEX(U$2:AY$2,MATCH(TRUE,INDEX(U311:AY311&lt;&gt;"",0),0)),"")</f>
        <v/>
      </c>
      <c r="N311" s="61">
        <f>IFERROR(LOOKUP(2,1/(U311:AY311&lt;&gt;""),U$2:AY$2),"")</f>
        <v/>
      </c>
      <c r="O311" s="59" t="n"/>
      <c r="P311" s="59" t="n"/>
      <c r="Q311" s="59" t="n"/>
      <c r="R311" s="59" t="n"/>
      <c r="S311" s="14" t="n"/>
      <c r="U311" s="53" t="n"/>
      <c r="V311" s="53" t="n"/>
      <c r="W311" s="53" t="n"/>
      <c r="X311" s="53" t="n"/>
      <c r="Y311" s="53" t="n"/>
      <c r="Z311" s="53" t="n"/>
      <c r="AA311" s="53" t="n"/>
      <c r="AB311" s="53" t="n"/>
      <c r="AC311" s="53" t="n"/>
      <c r="AD311" s="53" t="n"/>
      <c r="AE311" s="53" t="n"/>
      <c r="AF311" s="53" t="n"/>
      <c r="AG311" s="53" t="n"/>
      <c r="AH311" s="53" t="n"/>
      <c r="AI311" s="53" t="n"/>
      <c r="AJ311" s="53" t="n"/>
      <c r="AK311" s="53" t="n"/>
      <c r="AL311" s="53" t="n"/>
      <c r="AM311" s="53" t="n"/>
      <c r="AN311" s="53" t="n"/>
      <c r="AO311" s="53" t="n"/>
      <c r="AP311" s="53" t="n"/>
      <c r="AQ311" s="53" t="n"/>
      <c r="AR311" s="53" t="n"/>
      <c r="AS311" s="53" t="n"/>
      <c r="AT311" s="53" t="n"/>
      <c r="AU311" s="53" t="n"/>
      <c r="AV311" s="53" t="n"/>
      <c r="AW311" s="53" t="n"/>
      <c r="AX311" s="53" t="n"/>
      <c r="AY311" s="53" t="n"/>
    </row>
    <row r="312" ht="15" customHeight="1">
      <c r="A312" s="62" t="n"/>
      <c r="B312" s="55">
        <f>IF($B$310="","",$B$310)</f>
        <v/>
      </c>
      <c r="C312" s="63" t="inlineStr">
        <is>
          <t>기타</t>
        </is>
      </c>
      <c r="D312" s="55">
        <f>IF($D$310="","",$D$310)</f>
        <v/>
      </c>
      <c r="E312" s="64" t="inlineStr">
        <is>
          <t>영상</t>
        </is>
      </c>
      <c r="F312" s="44" t="n"/>
      <c r="G312" s="58">
        <f>IF($G$310="","",$G$310)</f>
        <v/>
      </c>
      <c r="H312" s="59" t="n"/>
      <c r="I312" s="59" t="n"/>
      <c r="J312" s="59" t="n"/>
      <c r="K312" s="59" t="n"/>
      <c r="L312" s="65">
        <f>IF(SUM(U312:AY312)=0,"",SUM(U312:AY312))</f>
        <v/>
      </c>
      <c r="M312" s="66">
        <f>IFERROR(INDEX(U$2:AY$2,MATCH(TRUE,INDEX(U312:AY312&lt;&gt;"",0),0)),"")</f>
        <v/>
      </c>
      <c r="N312" s="66">
        <f>IFERROR(LOOKUP(2,1/(U312:AY312&lt;&gt;""),U$2:AY$2),"")</f>
        <v/>
      </c>
      <c r="O312" s="59" t="n"/>
      <c r="P312" s="59" t="n"/>
      <c r="Q312" s="59" t="n"/>
      <c r="R312" s="59" t="n"/>
      <c r="S312" s="14" t="n"/>
      <c r="U312" s="53" t="n"/>
      <c r="V312" s="53" t="n"/>
      <c r="W312" s="53" t="n"/>
      <c r="X312" s="53" t="n"/>
      <c r="Y312" s="53" t="n"/>
      <c r="Z312" s="53" t="n"/>
      <c r="AA312" s="53" t="n"/>
      <c r="AB312" s="53" t="n"/>
      <c r="AC312" s="53" t="n"/>
      <c r="AD312" s="53" t="n"/>
      <c r="AE312" s="53" t="n"/>
      <c r="AF312" s="53" t="n"/>
      <c r="AG312" s="53" t="n"/>
      <c r="AH312" s="53" t="n"/>
      <c r="AI312" s="53" t="n"/>
      <c r="AJ312" s="53" t="n"/>
      <c r="AK312" s="53" t="n"/>
      <c r="AL312" s="53" t="n"/>
      <c r="AM312" s="53" t="n"/>
      <c r="AN312" s="53" t="n"/>
      <c r="AO312" s="53" t="n"/>
      <c r="AP312" s="53" t="n"/>
      <c r="AQ312" s="53" t="n"/>
      <c r="AR312" s="53" t="n"/>
      <c r="AS312" s="53" t="n"/>
      <c r="AT312" s="53" t="n"/>
      <c r="AU312" s="53" t="n"/>
      <c r="AV312" s="53" t="n"/>
      <c r="AW312" s="53" t="n"/>
      <c r="AX312" s="53" t="n"/>
      <c r="AY312" s="53" t="n"/>
    </row>
    <row r="315">
      <c r="A315" s="67" t="inlineStr">
        <is>
          <t>담당자 1일 캐파(MD)</t>
        </is>
      </c>
      <c r="B315" s="68">
        <f>'마스터'!$J$5</f>
        <v/>
      </c>
    </row>
    <row r="316">
      <c r="A316" s="67" t="inlineStr">
        <is>
          <t>공휴일(자동 연동)</t>
        </is>
      </c>
    </row>
    <row r="317">
      <c r="A317" s="67">
        <f>'마스터'!$I$13</f>
        <v/>
      </c>
      <c r="B317" s="69">
        <f>'마스터'!$J$13</f>
        <v/>
      </c>
    </row>
    <row r="318">
      <c r="A318" s="67">
        <f>'마스터'!$I$14</f>
        <v/>
      </c>
      <c r="B318" s="69">
        <f>'마스터'!$J$14</f>
        <v/>
      </c>
    </row>
    <row r="319">
      <c r="A319" s="67">
        <f>'마스터'!$I$15</f>
        <v/>
      </c>
      <c r="B319" s="69">
        <f>'마스터'!$J$15</f>
        <v/>
      </c>
    </row>
    <row r="320">
      <c r="A320" s="67">
        <f>'마스터'!$I$16</f>
        <v/>
      </c>
      <c r="B320" s="69">
        <f>'마스터'!$J$16</f>
        <v/>
      </c>
    </row>
    <row r="321">
      <c r="A321" s="67">
        <f>'마스터'!$I$17</f>
        <v/>
      </c>
      <c r="B321" s="69">
        <f>'마스터'!$J$17</f>
        <v/>
      </c>
    </row>
    <row r="322">
      <c r="A322" s="67">
        <f>'마스터'!$I$18</f>
        <v/>
      </c>
      <c r="B322" s="69">
        <f>'마스터'!$J$18</f>
        <v/>
      </c>
    </row>
    <row r="323">
      <c r="A323" s="67">
        <f>'마스터'!$I$19</f>
        <v/>
      </c>
      <c r="B323" s="69">
        <f>'마스터'!$J$19</f>
        <v/>
      </c>
    </row>
    <row r="324">
      <c r="A324" s="67">
        <f>'마스터'!$I$20</f>
        <v/>
      </c>
      <c r="B324" s="69">
        <f>'마스터'!$J$20</f>
        <v/>
      </c>
    </row>
    <row r="325">
      <c r="A325" s="67">
        <f>'마스터'!$I$21</f>
        <v/>
      </c>
      <c r="B325" s="69">
        <f>'마스터'!$J$21</f>
        <v/>
      </c>
    </row>
    <row r="326">
      <c r="A326" s="67">
        <f>'마스터'!$I$22</f>
        <v/>
      </c>
      <c r="B326" s="69">
        <f>'마스터'!$J$22</f>
        <v/>
      </c>
    </row>
    <row r="327">
      <c r="A327" s="67">
        <f>'마스터'!$I$23</f>
        <v/>
      </c>
      <c r="B327" s="69">
        <f>'마스터'!$J$23</f>
        <v/>
      </c>
    </row>
    <row r="328">
      <c r="A328" s="67">
        <f>'마스터'!$I$24</f>
        <v/>
      </c>
      <c r="B328" s="69">
        <f>'마스터'!$J$24</f>
        <v/>
      </c>
    </row>
    <row r="329">
      <c r="A329" s="67">
        <f>'마스터'!$I$25</f>
        <v/>
      </c>
      <c r="B329" s="69">
        <f>'마스터'!$J$25</f>
        <v/>
      </c>
    </row>
    <row r="330">
      <c r="A330" s="67">
        <f>'마스터'!$I$26</f>
        <v/>
      </c>
      <c r="B330" s="69">
        <f>'마스터'!$J$26</f>
        <v/>
      </c>
    </row>
    <row r="331">
      <c r="A331" s="67">
        <f>'마스터'!$I$27</f>
        <v/>
      </c>
      <c r="B331" s="69">
        <f>'마스터'!$J$27</f>
        <v/>
      </c>
    </row>
  </sheetData>
  <mergeCells count="16">
    <mergeCell ref="L1:N1"/>
    <mergeCell ref="A252:AY252"/>
    <mergeCell ref="O1:Q1"/>
    <mergeCell ref="A191:AY191"/>
    <mergeCell ref="A1:F1"/>
    <mergeCell ref="A5:F5"/>
    <mergeCell ref="A130:AY130"/>
    <mergeCell ref="G1:K1"/>
    <mergeCell ref="A8:AY8"/>
    <mergeCell ref="U1:AY1"/>
    <mergeCell ref="A6:F6"/>
    <mergeCell ref="A4:F4"/>
    <mergeCell ref="A3:F3"/>
    <mergeCell ref="A7:AY7"/>
    <mergeCell ref="A69:AY69"/>
    <mergeCell ref="R1:S1"/>
  </mergeCells>
  <conditionalFormatting sqref="U3:AY6">
    <cfRule type="expression" priority="1" dxfId="3">
      <formula>AND(U3&lt;&gt;"",U3&gt;$H3)</formula>
    </cfRule>
    <cfRule type="expression" priority="2" dxfId="4">
      <formula>AND(U3&gt;0,U3&gt;=$H3*0.8)</formula>
    </cfRule>
  </conditionalFormatting>
  <conditionalFormatting sqref="U3:AY312">
    <cfRule type="expression" priority="3" dxfId="5">
      <formula>U$2=""</formula>
    </cfRule>
    <cfRule type="expression" priority="4" dxfId="6">
      <formula>AND(U$2&lt;&gt;"",OR(WEEKDAY(U$2,2)&gt;5,COUNTIF($B$317:$B$331,U$2)&gt;0))</formula>
    </cfRule>
  </conditionalFormatting>
  <conditionalFormatting sqref="U9:AY312">
    <cfRule type="expression" priority="5" dxfId="7">
      <formula>AND(U9&lt;&gt;"",$G9&lt;&gt;"",U$2&lt;&gt;"",U$2&gt;$G9)</formula>
    </cfRule>
    <cfRule type="expression" priority="6" dxfId="8">
      <formula>AND($F9&lt;&gt;"",U9&lt;&gt;"",SUMIF($F$9:$F$312,$F9,U$9:U$312)&gt;$B$315)</formula>
    </cfRule>
    <cfRule type="expression" priority="7" dxfId="9">
      <formula>AND($E9="기획",U9&lt;&gt;"")</formula>
    </cfRule>
    <cfRule type="expression" priority="8" dxfId="10">
      <formula>AND($E9="이미지",U9&lt;&gt;"")</formula>
    </cfRule>
    <cfRule type="expression" priority="9" dxfId="11">
      <formula>AND($E9="영상",U9&lt;&gt;"")</formula>
    </cfRule>
  </conditionalFormatting>
  <conditionalFormatting sqref="H9:I312">
    <cfRule type="expression" priority="10" dxfId="12">
      <formula>AND($I9&lt;&gt;"",$I9&lt;0)</formula>
    </cfRule>
    <cfRule type="expression" priority="11" dxfId="13">
      <formula>AND($I9&lt;&gt;"",$I9&lt;=1)</formula>
    </cfRule>
    <cfRule type="expression" priority="12" dxfId="14">
      <formula>$I9&lt;&gt;""</formula>
    </cfRule>
  </conditionalFormatting>
  <dataValidations count="2">
    <dataValidation sqref="B9:B312" showDropDown="0" showInputMessage="0" showErrorMessage="0" allowBlank="1" type="list">
      <formula1>'마스터'!$A$3:$A$12</formula1>
    </dataValidation>
    <dataValidation sqref="R9:R312" showDropDown="0" showInputMessage="0" showErrorMessage="0" allowBlank="1" type="list">
      <formula1>'마스터'!$G$3:$G$6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2A44"/>
    <outlinePr summaryBelow="1" summaryRight="1"/>
    <pageSetUpPr/>
  </sheetPr>
  <dimension ref="A1:AY331"/>
  <sheetViews>
    <sheetView workbookViewId="0">
      <pane xSplit="8" ySplit="8" topLeftCell="I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28" customWidth="1" min="4" max="4"/>
    <col width="8" customWidth="1" min="5" max="5"/>
    <col width="10" customWidth="1" min="6" max="6"/>
    <col width="11" customWidth="1" min="7" max="7"/>
    <col width="9" customWidth="1" min="8" max="8"/>
    <col width="8" customWidth="1" min="9" max="9"/>
    <col width="8" customWidth="1" min="10" max="10"/>
    <col width="11" customWidth="1" min="11" max="11"/>
    <col width="8" customWidth="1" min="12" max="12"/>
    <col width="10" customWidth="1" min="13" max="13"/>
    <col width="10" customWidth="1" min="14" max="14"/>
    <col width="6" customWidth="1" min="15" max="15"/>
    <col width="6" customWidth="1" min="16" max="16"/>
    <col width="6" customWidth="1" min="17" max="17"/>
    <col width="8" customWidth="1" min="18" max="18"/>
    <col width="16" customWidth="1" min="19" max="19"/>
    <col width="2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3.6" customWidth="1" min="33" max="33"/>
    <col width="3.6" customWidth="1" min="34" max="34"/>
    <col width="3.6" customWidth="1" min="35" max="35"/>
    <col width="3.6" customWidth="1" min="36" max="36"/>
    <col width="3.6" customWidth="1" min="37" max="37"/>
    <col width="3.6" customWidth="1" min="38" max="38"/>
    <col width="3.6" customWidth="1" min="39" max="39"/>
    <col width="3.6" customWidth="1" min="40" max="40"/>
    <col width="3.6" customWidth="1" min="41" max="41"/>
    <col width="3.6" customWidth="1" min="42" max="42"/>
    <col width="3.6" customWidth="1" min="43" max="43"/>
    <col width="3.6" customWidth="1" min="44" max="44"/>
    <col width="3.6" customWidth="1" min="45" max="45"/>
    <col width="3.6" customWidth="1" min="46" max="46"/>
    <col width="3.6" customWidth="1" min="47" max="47"/>
    <col width="3.6" customWidth="1" min="48" max="48"/>
    <col width="3.6" customWidth="1" min="49" max="49"/>
    <col width="3.6" customWidth="1" min="50" max="50"/>
    <col width="3.6" customWidth="1" min="51" max="51"/>
  </cols>
  <sheetData>
    <row r="1" ht="22" customHeight="1">
      <c r="A1" s="27" t="inlineStr">
        <is>
          <t>5월 소재 정보  (소재 1개 = 기획/이미지/영상 3줄)</t>
        </is>
      </c>
      <c r="B1" s="8" t="n"/>
      <c r="C1" s="8" t="n"/>
      <c r="D1" s="8" t="n"/>
      <c r="E1" s="8" t="n"/>
      <c r="F1" s="4" t="n"/>
      <c r="G1" s="28" t="inlineStr">
        <is>
          <t>고객사 전달일 기준 (자동)</t>
        </is>
      </c>
      <c r="H1" s="8" t="n"/>
      <c r="I1" s="8" t="n"/>
      <c r="J1" s="8" t="n"/>
      <c r="K1" s="4" t="n"/>
      <c r="L1" s="29" t="inlineStr">
        <is>
          <t>직군별 집계 (자동)</t>
        </is>
      </c>
      <c r="M1" s="8" t="n"/>
      <c r="N1" s="4" t="n"/>
      <c r="O1" s="30" t="inlineStr">
        <is>
          <t>수량 (소재당 1번)</t>
        </is>
      </c>
      <c r="P1" s="8" t="n"/>
      <c r="Q1" s="4" t="n"/>
      <c r="R1" s="31" t="inlineStr">
        <is>
          <t>관리</t>
        </is>
      </c>
      <c r="S1" s="4" t="n"/>
      <c r="U1" s="32" t="inlineStr">
        <is>
          <t>5월 간트 - 날짜 칸에 실제 MD 직접 입력   |   상단 4줄 = 일자별 직군 TO 상태</t>
        </is>
      </c>
      <c r="V1" s="8" t="n"/>
      <c r="W1" s="8" t="n"/>
      <c r="X1" s="8" t="n"/>
      <c r="Y1" s="8" t="n"/>
      <c r="Z1" s="8" t="n"/>
      <c r="AA1" s="8" t="n"/>
      <c r="AB1" s="8" t="n"/>
      <c r="AC1" s="8" t="n"/>
      <c r="AD1" s="8" t="n"/>
      <c r="AE1" s="8" t="n"/>
      <c r="AF1" s="8" t="n"/>
      <c r="AG1" s="8" t="n"/>
      <c r="AH1" s="8" t="n"/>
      <c r="AI1" s="8" t="n"/>
      <c r="AJ1" s="8" t="n"/>
      <c r="AK1" s="8" t="n"/>
      <c r="AL1" s="8" t="n"/>
      <c r="AM1" s="8" t="n"/>
      <c r="AN1" s="8" t="n"/>
      <c r="AO1" s="8" t="n"/>
      <c r="AP1" s="8" t="n"/>
      <c r="AQ1" s="8" t="n"/>
      <c r="AR1" s="8" t="n"/>
      <c r="AS1" s="8" t="n"/>
      <c r="AT1" s="8" t="n"/>
      <c r="AU1" s="8" t="n"/>
      <c r="AV1" s="8" t="n"/>
      <c r="AW1" s="8" t="n"/>
      <c r="AX1" s="8" t="n"/>
      <c r="AY1" s="4" t="n"/>
    </row>
    <row r="2" ht="30" customHeight="1">
      <c r="A2" s="17" t="inlineStr">
        <is>
          <t>No</t>
        </is>
      </c>
      <c r="B2" s="17" t="inlineStr">
        <is>
          <t>게임 타이틀</t>
        </is>
      </c>
      <c r="C2" s="17" t="inlineStr">
        <is>
          <t>고객팀</t>
        </is>
      </c>
      <c r="D2" s="17" t="inlineStr">
        <is>
          <t>소재명(업무명)</t>
        </is>
      </c>
      <c r="E2" s="17" t="inlineStr">
        <is>
          <t>직군</t>
        </is>
      </c>
      <c r="F2" s="17" t="inlineStr">
        <is>
          <t>담당자</t>
        </is>
      </c>
      <c r="G2" s="17" t="inlineStr">
        <is>
          <t>고객사
전달일</t>
        </is>
      </c>
      <c r="H2" s="17" t="inlineStr">
        <is>
          <t>신호</t>
        </is>
      </c>
      <c r="I2" s="17" t="inlineStr">
        <is>
          <t>전달일
여유</t>
        </is>
      </c>
      <c r="J2" s="17" t="inlineStr">
        <is>
          <t>소재
총MD</t>
        </is>
      </c>
      <c r="K2" s="17" t="inlineStr">
        <is>
          <t>소재
최종완료</t>
        </is>
      </c>
      <c r="L2" s="17" t="inlineStr">
        <is>
          <t>직군
MD</t>
        </is>
      </c>
      <c r="M2" s="17" t="inlineStr">
        <is>
          <t>직군
시작일</t>
        </is>
      </c>
      <c r="N2" s="17" t="inlineStr">
        <is>
          <t>직군
완료일</t>
        </is>
      </c>
      <c r="O2" s="17" t="inlineStr">
        <is>
          <t>영상
수</t>
        </is>
      </c>
      <c r="P2" s="17" t="inlineStr">
        <is>
          <t>사이즈
베리</t>
        </is>
      </c>
      <c r="Q2" s="17" t="inlineStr">
        <is>
          <t>다국어
베리</t>
        </is>
      </c>
      <c r="R2" s="17" t="inlineStr">
        <is>
          <t>상태</t>
        </is>
      </c>
      <c r="S2" s="17" t="inlineStr">
        <is>
          <t>비고</t>
        </is>
      </c>
      <c r="U2" s="33">
        <f>IF(MONTH(DATE('마스터'!$J$3,5,1)+0)=5,DATE('마스터'!$J$3,5,1)+0,"")</f>
        <v/>
      </c>
      <c r="V2" s="33">
        <f>IF(MONTH(DATE('마스터'!$J$3,5,1)+1)=5,DATE('마스터'!$J$3,5,1)+1,"")</f>
        <v/>
      </c>
      <c r="W2" s="33">
        <f>IF(MONTH(DATE('마스터'!$J$3,5,1)+2)=5,DATE('마스터'!$J$3,5,1)+2,"")</f>
        <v/>
      </c>
      <c r="X2" s="33">
        <f>IF(MONTH(DATE('마스터'!$J$3,5,1)+3)=5,DATE('마스터'!$J$3,5,1)+3,"")</f>
        <v/>
      </c>
      <c r="Y2" s="33">
        <f>IF(MONTH(DATE('마스터'!$J$3,5,1)+4)=5,DATE('마스터'!$J$3,5,1)+4,"")</f>
        <v/>
      </c>
      <c r="Z2" s="33">
        <f>IF(MONTH(DATE('마스터'!$J$3,5,1)+5)=5,DATE('마스터'!$J$3,5,1)+5,"")</f>
        <v/>
      </c>
      <c r="AA2" s="33">
        <f>IF(MONTH(DATE('마스터'!$J$3,5,1)+6)=5,DATE('마스터'!$J$3,5,1)+6,"")</f>
        <v/>
      </c>
      <c r="AB2" s="33">
        <f>IF(MONTH(DATE('마스터'!$J$3,5,1)+7)=5,DATE('마스터'!$J$3,5,1)+7,"")</f>
        <v/>
      </c>
      <c r="AC2" s="33">
        <f>IF(MONTH(DATE('마스터'!$J$3,5,1)+8)=5,DATE('마스터'!$J$3,5,1)+8,"")</f>
        <v/>
      </c>
      <c r="AD2" s="33">
        <f>IF(MONTH(DATE('마스터'!$J$3,5,1)+9)=5,DATE('마스터'!$J$3,5,1)+9,"")</f>
        <v/>
      </c>
      <c r="AE2" s="33">
        <f>IF(MONTH(DATE('마스터'!$J$3,5,1)+10)=5,DATE('마스터'!$J$3,5,1)+10,"")</f>
        <v/>
      </c>
      <c r="AF2" s="33">
        <f>IF(MONTH(DATE('마스터'!$J$3,5,1)+11)=5,DATE('마스터'!$J$3,5,1)+11,"")</f>
        <v/>
      </c>
      <c r="AG2" s="33">
        <f>IF(MONTH(DATE('마스터'!$J$3,5,1)+12)=5,DATE('마스터'!$J$3,5,1)+12,"")</f>
        <v/>
      </c>
      <c r="AH2" s="33">
        <f>IF(MONTH(DATE('마스터'!$J$3,5,1)+13)=5,DATE('마스터'!$J$3,5,1)+13,"")</f>
        <v/>
      </c>
      <c r="AI2" s="33">
        <f>IF(MONTH(DATE('마스터'!$J$3,5,1)+14)=5,DATE('마스터'!$J$3,5,1)+14,"")</f>
        <v/>
      </c>
      <c r="AJ2" s="33">
        <f>IF(MONTH(DATE('마스터'!$J$3,5,1)+15)=5,DATE('마스터'!$J$3,5,1)+15,"")</f>
        <v/>
      </c>
      <c r="AK2" s="33">
        <f>IF(MONTH(DATE('마스터'!$J$3,5,1)+16)=5,DATE('마스터'!$J$3,5,1)+16,"")</f>
        <v/>
      </c>
      <c r="AL2" s="33">
        <f>IF(MONTH(DATE('마스터'!$J$3,5,1)+17)=5,DATE('마스터'!$J$3,5,1)+17,"")</f>
        <v/>
      </c>
      <c r="AM2" s="33">
        <f>IF(MONTH(DATE('마스터'!$J$3,5,1)+18)=5,DATE('마스터'!$J$3,5,1)+18,"")</f>
        <v/>
      </c>
      <c r="AN2" s="33">
        <f>IF(MONTH(DATE('마스터'!$J$3,5,1)+19)=5,DATE('마스터'!$J$3,5,1)+19,"")</f>
        <v/>
      </c>
      <c r="AO2" s="33">
        <f>IF(MONTH(DATE('마스터'!$J$3,5,1)+20)=5,DATE('마스터'!$J$3,5,1)+20,"")</f>
        <v/>
      </c>
      <c r="AP2" s="33">
        <f>IF(MONTH(DATE('마스터'!$J$3,5,1)+21)=5,DATE('마스터'!$J$3,5,1)+21,"")</f>
        <v/>
      </c>
      <c r="AQ2" s="33">
        <f>IF(MONTH(DATE('마스터'!$J$3,5,1)+22)=5,DATE('마스터'!$J$3,5,1)+22,"")</f>
        <v/>
      </c>
      <c r="AR2" s="33">
        <f>IF(MONTH(DATE('마스터'!$J$3,5,1)+23)=5,DATE('마스터'!$J$3,5,1)+23,"")</f>
        <v/>
      </c>
      <c r="AS2" s="33">
        <f>IF(MONTH(DATE('마스터'!$J$3,5,1)+24)=5,DATE('마스터'!$J$3,5,1)+24,"")</f>
        <v/>
      </c>
      <c r="AT2" s="33">
        <f>IF(MONTH(DATE('마스터'!$J$3,5,1)+25)=5,DATE('마스터'!$J$3,5,1)+25,"")</f>
        <v/>
      </c>
      <c r="AU2" s="33">
        <f>IF(MONTH(DATE('마스터'!$J$3,5,1)+26)=5,DATE('마스터'!$J$3,5,1)+26,"")</f>
        <v/>
      </c>
      <c r="AV2" s="33">
        <f>IF(MONTH(DATE('마스터'!$J$3,5,1)+27)=5,DATE('마스터'!$J$3,5,1)+27,"")</f>
        <v/>
      </c>
      <c r="AW2" s="33">
        <f>IF(MONTH(DATE('마스터'!$J$3,5,1)+28)=5,DATE('마스터'!$J$3,5,1)+28,"")</f>
        <v/>
      </c>
      <c r="AX2" s="33">
        <f>IF(MONTH(DATE('마스터'!$J$3,5,1)+29)=5,DATE('마스터'!$J$3,5,1)+29,"")</f>
        <v/>
      </c>
      <c r="AY2" s="33">
        <f>IF(MONTH(DATE('마스터'!$J$3,5,1)+30)=5,DATE('마스터'!$J$3,5,1)+30,"")</f>
        <v/>
      </c>
    </row>
    <row r="3" ht="15" customHeight="1">
      <c r="A3" s="5" t="inlineStr">
        <is>
          <t>전체 TO (일자별 부하)</t>
        </is>
      </c>
      <c r="B3" s="8" t="n"/>
      <c r="C3" s="8" t="n"/>
      <c r="D3" s="8" t="n"/>
      <c r="E3" s="8" t="n"/>
      <c r="F3" s="4" t="n"/>
      <c r="G3" s="34" t="inlineStr">
        <is>
          <t>정원</t>
        </is>
      </c>
      <c r="H3" s="35">
        <f>SUM('마스터'!$J$8:$J$10)</f>
        <v/>
      </c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U3" s="37">
        <f>SUM(U$9:U$312)</f>
        <v/>
      </c>
      <c r="V3" s="37">
        <f>SUM(V$9:V$312)</f>
        <v/>
      </c>
      <c r="W3" s="37">
        <f>SUM(W$9:W$312)</f>
        <v/>
      </c>
      <c r="X3" s="37">
        <f>SUM(X$9:X$312)</f>
        <v/>
      </c>
      <c r="Y3" s="37">
        <f>SUM(Y$9:Y$312)</f>
        <v/>
      </c>
      <c r="Z3" s="37">
        <f>SUM(Z$9:Z$312)</f>
        <v/>
      </c>
      <c r="AA3" s="37">
        <f>SUM(AA$9:AA$312)</f>
        <v/>
      </c>
      <c r="AB3" s="37">
        <f>SUM(AB$9:AB$312)</f>
        <v/>
      </c>
      <c r="AC3" s="37">
        <f>SUM(AC$9:AC$312)</f>
        <v/>
      </c>
      <c r="AD3" s="37">
        <f>SUM(AD$9:AD$312)</f>
        <v/>
      </c>
      <c r="AE3" s="37">
        <f>SUM(AE$9:AE$312)</f>
        <v/>
      </c>
      <c r="AF3" s="37">
        <f>SUM(AF$9:AF$312)</f>
        <v/>
      </c>
      <c r="AG3" s="37">
        <f>SUM(AG$9:AG$312)</f>
        <v/>
      </c>
      <c r="AH3" s="37">
        <f>SUM(AH$9:AH$312)</f>
        <v/>
      </c>
      <c r="AI3" s="37">
        <f>SUM(AI$9:AI$312)</f>
        <v/>
      </c>
      <c r="AJ3" s="37">
        <f>SUM(AJ$9:AJ$312)</f>
        <v/>
      </c>
      <c r="AK3" s="37">
        <f>SUM(AK$9:AK$312)</f>
        <v/>
      </c>
      <c r="AL3" s="37">
        <f>SUM(AL$9:AL$312)</f>
        <v/>
      </c>
      <c r="AM3" s="37">
        <f>SUM(AM$9:AM$312)</f>
        <v/>
      </c>
      <c r="AN3" s="37">
        <f>SUM(AN$9:AN$312)</f>
        <v/>
      </c>
      <c r="AO3" s="37">
        <f>SUM(AO$9:AO$312)</f>
        <v/>
      </c>
      <c r="AP3" s="37">
        <f>SUM(AP$9:AP$312)</f>
        <v/>
      </c>
      <c r="AQ3" s="37">
        <f>SUM(AQ$9:AQ$312)</f>
        <v/>
      </c>
      <c r="AR3" s="37">
        <f>SUM(AR$9:AR$312)</f>
        <v/>
      </c>
      <c r="AS3" s="37">
        <f>SUM(AS$9:AS$312)</f>
        <v/>
      </c>
      <c r="AT3" s="37">
        <f>SUM(AT$9:AT$312)</f>
        <v/>
      </c>
      <c r="AU3" s="37">
        <f>SUM(AU$9:AU$312)</f>
        <v/>
      </c>
      <c r="AV3" s="37">
        <f>SUM(AV$9:AV$312)</f>
        <v/>
      </c>
      <c r="AW3" s="37">
        <f>SUM(AW$9:AW$312)</f>
        <v/>
      </c>
      <c r="AX3" s="37">
        <f>SUM(AX$9:AX$312)</f>
        <v/>
      </c>
      <c r="AY3" s="37">
        <f>SUM(AY$9:AY$312)</f>
        <v/>
      </c>
    </row>
    <row r="4" ht="15" customHeight="1">
      <c r="A4" s="5" t="inlineStr">
        <is>
          <t>영상 TO</t>
        </is>
      </c>
      <c r="B4" s="8" t="n"/>
      <c r="C4" s="8" t="n"/>
      <c r="D4" s="8" t="n"/>
      <c r="E4" s="8" t="n"/>
      <c r="F4" s="4" t="n"/>
      <c r="G4" s="34" t="inlineStr">
        <is>
          <t>정원</t>
        </is>
      </c>
      <c r="H4" s="35">
        <f>'마스터'!$J$8</f>
        <v/>
      </c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U4" s="37">
        <f>SUMIF($E$9:$E$312,"영상",U$9:U$312)</f>
        <v/>
      </c>
      <c r="V4" s="37">
        <f>SUMIF($E$9:$E$312,"영상",V$9:V$312)</f>
        <v/>
      </c>
      <c r="W4" s="37">
        <f>SUMIF($E$9:$E$312,"영상",W$9:W$312)</f>
        <v/>
      </c>
      <c r="X4" s="37">
        <f>SUMIF($E$9:$E$312,"영상",X$9:X$312)</f>
        <v/>
      </c>
      <c r="Y4" s="37">
        <f>SUMIF($E$9:$E$312,"영상",Y$9:Y$312)</f>
        <v/>
      </c>
      <c r="Z4" s="37">
        <f>SUMIF($E$9:$E$312,"영상",Z$9:Z$312)</f>
        <v/>
      </c>
      <c r="AA4" s="37">
        <f>SUMIF($E$9:$E$312,"영상",AA$9:AA$312)</f>
        <v/>
      </c>
      <c r="AB4" s="37">
        <f>SUMIF($E$9:$E$312,"영상",AB$9:AB$312)</f>
        <v/>
      </c>
      <c r="AC4" s="37">
        <f>SUMIF($E$9:$E$312,"영상",AC$9:AC$312)</f>
        <v/>
      </c>
      <c r="AD4" s="37">
        <f>SUMIF($E$9:$E$312,"영상",AD$9:AD$312)</f>
        <v/>
      </c>
      <c r="AE4" s="37">
        <f>SUMIF($E$9:$E$312,"영상",AE$9:AE$312)</f>
        <v/>
      </c>
      <c r="AF4" s="37">
        <f>SUMIF($E$9:$E$312,"영상",AF$9:AF$312)</f>
        <v/>
      </c>
      <c r="AG4" s="37">
        <f>SUMIF($E$9:$E$312,"영상",AG$9:AG$312)</f>
        <v/>
      </c>
      <c r="AH4" s="37">
        <f>SUMIF($E$9:$E$312,"영상",AH$9:AH$312)</f>
        <v/>
      </c>
      <c r="AI4" s="37">
        <f>SUMIF($E$9:$E$312,"영상",AI$9:AI$312)</f>
        <v/>
      </c>
      <c r="AJ4" s="37">
        <f>SUMIF($E$9:$E$312,"영상",AJ$9:AJ$312)</f>
        <v/>
      </c>
      <c r="AK4" s="37">
        <f>SUMIF($E$9:$E$312,"영상",AK$9:AK$312)</f>
        <v/>
      </c>
      <c r="AL4" s="37">
        <f>SUMIF($E$9:$E$312,"영상",AL$9:AL$312)</f>
        <v/>
      </c>
      <c r="AM4" s="37">
        <f>SUMIF($E$9:$E$312,"영상",AM$9:AM$312)</f>
        <v/>
      </c>
      <c r="AN4" s="37">
        <f>SUMIF($E$9:$E$312,"영상",AN$9:AN$312)</f>
        <v/>
      </c>
      <c r="AO4" s="37">
        <f>SUMIF($E$9:$E$312,"영상",AO$9:AO$312)</f>
        <v/>
      </c>
      <c r="AP4" s="37">
        <f>SUMIF($E$9:$E$312,"영상",AP$9:AP$312)</f>
        <v/>
      </c>
      <c r="AQ4" s="37">
        <f>SUMIF($E$9:$E$312,"영상",AQ$9:AQ$312)</f>
        <v/>
      </c>
      <c r="AR4" s="37">
        <f>SUMIF($E$9:$E$312,"영상",AR$9:AR$312)</f>
        <v/>
      </c>
      <c r="AS4" s="37">
        <f>SUMIF($E$9:$E$312,"영상",AS$9:AS$312)</f>
        <v/>
      </c>
      <c r="AT4" s="37">
        <f>SUMIF($E$9:$E$312,"영상",AT$9:AT$312)</f>
        <v/>
      </c>
      <c r="AU4" s="37">
        <f>SUMIF($E$9:$E$312,"영상",AU$9:AU$312)</f>
        <v/>
      </c>
      <c r="AV4" s="37">
        <f>SUMIF($E$9:$E$312,"영상",AV$9:AV$312)</f>
        <v/>
      </c>
      <c r="AW4" s="37">
        <f>SUMIF($E$9:$E$312,"영상",AW$9:AW$312)</f>
        <v/>
      </c>
      <c r="AX4" s="37">
        <f>SUMIF($E$9:$E$312,"영상",AX$9:AX$312)</f>
        <v/>
      </c>
      <c r="AY4" s="37">
        <f>SUMIF($E$9:$E$312,"영상",AY$9:AY$312)</f>
        <v/>
      </c>
    </row>
    <row r="5" ht="15" customHeight="1">
      <c r="A5" s="5" t="inlineStr">
        <is>
          <t>이미지 TO</t>
        </is>
      </c>
      <c r="B5" s="8" t="n"/>
      <c r="C5" s="8" t="n"/>
      <c r="D5" s="8" t="n"/>
      <c r="E5" s="8" t="n"/>
      <c r="F5" s="4" t="n"/>
      <c r="G5" s="34" t="inlineStr">
        <is>
          <t>정원</t>
        </is>
      </c>
      <c r="H5" s="35">
        <f>'마스터'!$J$9</f>
        <v/>
      </c>
      <c r="I5" s="36" t="n"/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  <c r="S5" s="36" t="n"/>
      <c r="U5" s="37">
        <f>SUMIF($E$9:$E$312,"이미지",U$9:U$312)</f>
        <v/>
      </c>
      <c r="V5" s="37">
        <f>SUMIF($E$9:$E$312,"이미지",V$9:V$312)</f>
        <v/>
      </c>
      <c r="W5" s="37">
        <f>SUMIF($E$9:$E$312,"이미지",W$9:W$312)</f>
        <v/>
      </c>
      <c r="X5" s="37">
        <f>SUMIF($E$9:$E$312,"이미지",X$9:X$312)</f>
        <v/>
      </c>
      <c r="Y5" s="37">
        <f>SUMIF($E$9:$E$312,"이미지",Y$9:Y$312)</f>
        <v/>
      </c>
      <c r="Z5" s="37">
        <f>SUMIF($E$9:$E$312,"이미지",Z$9:Z$312)</f>
        <v/>
      </c>
      <c r="AA5" s="37">
        <f>SUMIF($E$9:$E$312,"이미지",AA$9:AA$312)</f>
        <v/>
      </c>
      <c r="AB5" s="37">
        <f>SUMIF($E$9:$E$312,"이미지",AB$9:AB$312)</f>
        <v/>
      </c>
      <c r="AC5" s="37">
        <f>SUMIF($E$9:$E$312,"이미지",AC$9:AC$312)</f>
        <v/>
      </c>
      <c r="AD5" s="37">
        <f>SUMIF($E$9:$E$312,"이미지",AD$9:AD$312)</f>
        <v/>
      </c>
      <c r="AE5" s="37">
        <f>SUMIF($E$9:$E$312,"이미지",AE$9:AE$312)</f>
        <v/>
      </c>
      <c r="AF5" s="37">
        <f>SUMIF($E$9:$E$312,"이미지",AF$9:AF$312)</f>
        <v/>
      </c>
      <c r="AG5" s="37">
        <f>SUMIF($E$9:$E$312,"이미지",AG$9:AG$312)</f>
        <v/>
      </c>
      <c r="AH5" s="37">
        <f>SUMIF($E$9:$E$312,"이미지",AH$9:AH$312)</f>
        <v/>
      </c>
      <c r="AI5" s="37">
        <f>SUMIF($E$9:$E$312,"이미지",AI$9:AI$312)</f>
        <v/>
      </c>
      <c r="AJ5" s="37">
        <f>SUMIF($E$9:$E$312,"이미지",AJ$9:AJ$312)</f>
        <v/>
      </c>
      <c r="AK5" s="37">
        <f>SUMIF($E$9:$E$312,"이미지",AK$9:AK$312)</f>
        <v/>
      </c>
      <c r="AL5" s="37">
        <f>SUMIF($E$9:$E$312,"이미지",AL$9:AL$312)</f>
        <v/>
      </c>
      <c r="AM5" s="37">
        <f>SUMIF($E$9:$E$312,"이미지",AM$9:AM$312)</f>
        <v/>
      </c>
      <c r="AN5" s="37">
        <f>SUMIF($E$9:$E$312,"이미지",AN$9:AN$312)</f>
        <v/>
      </c>
      <c r="AO5" s="37">
        <f>SUMIF($E$9:$E$312,"이미지",AO$9:AO$312)</f>
        <v/>
      </c>
      <c r="AP5" s="37">
        <f>SUMIF($E$9:$E$312,"이미지",AP$9:AP$312)</f>
        <v/>
      </c>
      <c r="AQ5" s="37">
        <f>SUMIF($E$9:$E$312,"이미지",AQ$9:AQ$312)</f>
        <v/>
      </c>
      <c r="AR5" s="37">
        <f>SUMIF($E$9:$E$312,"이미지",AR$9:AR$312)</f>
        <v/>
      </c>
      <c r="AS5" s="37">
        <f>SUMIF($E$9:$E$312,"이미지",AS$9:AS$312)</f>
        <v/>
      </c>
      <c r="AT5" s="37">
        <f>SUMIF($E$9:$E$312,"이미지",AT$9:AT$312)</f>
        <v/>
      </c>
      <c r="AU5" s="37">
        <f>SUMIF($E$9:$E$312,"이미지",AU$9:AU$312)</f>
        <v/>
      </c>
      <c r="AV5" s="37">
        <f>SUMIF($E$9:$E$312,"이미지",AV$9:AV$312)</f>
        <v/>
      </c>
      <c r="AW5" s="37">
        <f>SUMIF($E$9:$E$312,"이미지",AW$9:AW$312)</f>
        <v/>
      </c>
      <c r="AX5" s="37">
        <f>SUMIF($E$9:$E$312,"이미지",AX$9:AX$312)</f>
        <v/>
      </c>
      <c r="AY5" s="37">
        <f>SUMIF($E$9:$E$312,"이미지",AY$9:AY$312)</f>
        <v/>
      </c>
    </row>
    <row r="6" ht="15" customHeight="1">
      <c r="A6" s="5" t="inlineStr">
        <is>
          <t>기획 TO</t>
        </is>
      </c>
      <c r="B6" s="8" t="n"/>
      <c r="C6" s="8" t="n"/>
      <c r="D6" s="8" t="n"/>
      <c r="E6" s="8" t="n"/>
      <c r="F6" s="4" t="n"/>
      <c r="G6" s="34" t="inlineStr">
        <is>
          <t>정원</t>
        </is>
      </c>
      <c r="H6" s="35">
        <f>'마스터'!$J$10</f>
        <v/>
      </c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6" t="n"/>
      <c r="S6" s="36" t="n"/>
      <c r="U6" s="37">
        <f>SUMIF($E$9:$E$312,"기획",U$9:U$312)</f>
        <v/>
      </c>
      <c r="V6" s="37">
        <f>SUMIF($E$9:$E$312,"기획",V$9:V$312)</f>
        <v/>
      </c>
      <c r="W6" s="37">
        <f>SUMIF($E$9:$E$312,"기획",W$9:W$312)</f>
        <v/>
      </c>
      <c r="X6" s="37">
        <f>SUMIF($E$9:$E$312,"기획",X$9:X$312)</f>
        <v/>
      </c>
      <c r="Y6" s="37">
        <f>SUMIF($E$9:$E$312,"기획",Y$9:Y$312)</f>
        <v/>
      </c>
      <c r="Z6" s="37">
        <f>SUMIF($E$9:$E$312,"기획",Z$9:Z$312)</f>
        <v/>
      </c>
      <c r="AA6" s="37">
        <f>SUMIF($E$9:$E$312,"기획",AA$9:AA$312)</f>
        <v/>
      </c>
      <c r="AB6" s="37">
        <f>SUMIF($E$9:$E$312,"기획",AB$9:AB$312)</f>
        <v/>
      </c>
      <c r="AC6" s="37">
        <f>SUMIF($E$9:$E$312,"기획",AC$9:AC$312)</f>
        <v/>
      </c>
      <c r="AD6" s="37">
        <f>SUMIF($E$9:$E$312,"기획",AD$9:AD$312)</f>
        <v/>
      </c>
      <c r="AE6" s="37">
        <f>SUMIF($E$9:$E$312,"기획",AE$9:AE$312)</f>
        <v/>
      </c>
      <c r="AF6" s="37">
        <f>SUMIF($E$9:$E$312,"기획",AF$9:AF$312)</f>
        <v/>
      </c>
      <c r="AG6" s="37">
        <f>SUMIF($E$9:$E$312,"기획",AG$9:AG$312)</f>
        <v/>
      </c>
      <c r="AH6" s="37">
        <f>SUMIF($E$9:$E$312,"기획",AH$9:AH$312)</f>
        <v/>
      </c>
      <c r="AI6" s="37">
        <f>SUMIF($E$9:$E$312,"기획",AI$9:AI$312)</f>
        <v/>
      </c>
      <c r="AJ6" s="37">
        <f>SUMIF($E$9:$E$312,"기획",AJ$9:AJ$312)</f>
        <v/>
      </c>
      <c r="AK6" s="37">
        <f>SUMIF($E$9:$E$312,"기획",AK$9:AK$312)</f>
        <v/>
      </c>
      <c r="AL6" s="37">
        <f>SUMIF($E$9:$E$312,"기획",AL$9:AL$312)</f>
        <v/>
      </c>
      <c r="AM6" s="37">
        <f>SUMIF($E$9:$E$312,"기획",AM$9:AM$312)</f>
        <v/>
      </c>
      <c r="AN6" s="37">
        <f>SUMIF($E$9:$E$312,"기획",AN$9:AN$312)</f>
        <v/>
      </c>
      <c r="AO6" s="37">
        <f>SUMIF($E$9:$E$312,"기획",AO$9:AO$312)</f>
        <v/>
      </c>
      <c r="AP6" s="37">
        <f>SUMIF($E$9:$E$312,"기획",AP$9:AP$312)</f>
        <v/>
      </c>
      <c r="AQ6" s="37">
        <f>SUMIF($E$9:$E$312,"기획",AQ$9:AQ$312)</f>
        <v/>
      </c>
      <c r="AR6" s="37">
        <f>SUMIF($E$9:$E$312,"기획",AR$9:AR$312)</f>
        <v/>
      </c>
      <c r="AS6" s="37">
        <f>SUMIF($E$9:$E$312,"기획",AS$9:AS$312)</f>
        <v/>
      </c>
      <c r="AT6" s="37">
        <f>SUMIF($E$9:$E$312,"기획",AT$9:AT$312)</f>
        <v/>
      </c>
      <c r="AU6" s="37">
        <f>SUMIF($E$9:$E$312,"기획",AU$9:AU$312)</f>
        <v/>
      </c>
      <c r="AV6" s="37">
        <f>SUMIF($E$9:$E$312,"기획",AV$9:AV$312)</f>
        <v/>
      </c>
      <c r="AW6" s="37">
        <f>SUMIF($E$9:$E$312,"기획",AW$9:AW$312)</f>
        <v/>
      </c>
      <c r="AX6" s="37">
        <f>SUMIF($E$9:$E$312,"기획",AX$9:AX$312)</f>
        <v/>
      </c>
      <c r="AY6" s="37">
        <f>SUMIF($E$9:$E$312,"기획",AY$9:AY$312)</f>
        <v/>
      </c>
    </row>
    <row r="7">
      <c r="A7" s="38" t="inlineStr">
        <is>
          <t>▼ 아래부터 입력. 노란칸=직접 입력 / 회색칸=자동(건드리지 마세요)</t>
        </is>
      </c>
    </row>
    <row r="8" ht="18" customHeight="1">
      <c r="A8" s="39" t="inlineStr">
        <is>
          <t>마케팅1팀   (9~68행 · 소재 20개)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4" t="n"/>
    </row>
    <row r="9" ht="15" customHeight="1">
      <c r="A9" s="40">
        <f>IF($D$9="","",1)</f>
        <v/>
      </c>
      <c r="B9" s="10" t="n"/>
      <c r="C9" s="41" t="inlineStr">
        <is>
          <t>마케팅1팀</t>
        </is>
      </c>
      <c r="D9" s="42" t="n"/>
      <c r="E9" s="43" t="inlineStr">
        <is>
          <t>기획</t>
        </is>
      </c>
      <c r="F9" s="44" t="n"/>
      <c r="G9" s="45" t="n"/>
      <c r="H9" s="46">
        <f>IF($I$9="","",IF($I$9&lt;0,"🔴지연",IF($I$9&lt;=1,"🟡임박","🟢여유")))</f>
        <v/>
      </c>
      <c r="I9" s="47">
        <f>IF(OR($G$9="",$K$9=""),"",$G$9-$K$9)</f>
        <v/>
      </c>
      <c r="J9" s="48">
        <f>IF(SUM($L$9:$L$11)=0,"",SUM($L$9:$L$11))</f>
        <v/>
      </c>
      <c r="K9" s="49">
        <f>IF($J$9="","",MAX($N$9:$N$11))</f>
        <v/>
      </c>
      <c r="L9" s="50">
        <f>IF(SUM(U9:AY9)=0,"",SUM(U9:AY9))</f>
        <v/>
      </c>
      <c r="M9" s="51">
        <f>IFERROR(INDEX(U$2:AY$2,MATCH(TRUE,INDEX(U9:AY9&lt;&gt;"",0),0)),"")</f>
        <v/>
      </c>
      <c r="N9" s="51">
        <f>IFERROR(LOOKUP(2,1/(U9:AY9&lt;&gt;""),U$2:AY$2),"")</f>
        <v/>
      </c>
      <c r="O9" s="52" t="n"/>
      <c r="P9" s="52" t="n"/>
      <c r="Q9" s="52" t="n"/>
      <c r="R9" s="44" t="n"/>
      <c r="S9" s="14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</row>
    <row r="10" ht="15" customHeight="1">
      <c r="A10" s="54" t="n"/>
      <c r="B10" s="55">
        <f>IF($B$9="","",$B$9)</f>
        <v/>
      </c>
      <c r="C10" s="56" t="inlineStr">
        <is>
          <t>마케팅1팀</t>
        </is>
      </c>
      <c r="D10" s="55">
        <f>IF($D$9="","",$D$9)</f>
        <v/>
      </c>
      <c r="E10" s="57" t="inlineStr">
        <is>
          <t>이미지</t>
        </is>
      </c>
      <c r="F10" s="44" t="n"/>
      <c r="G10" s="58">
        <f>IF($G$9="","",$G$9)</f>
        <v/>
      </c>
      <c r="H10" s="59" t="n"/>
      <c r="I10" s="59" t="n"/>
      <c r="J10" s="59" t="n"/>
      <c r="K10" s="59" t="n"/>
      <c r="L10" s="60">
        <f>IF(SUM(U10:AY10)=0,"",SUM(U10:AY10))</f>
        <v/>
      </c>
      <c r="M10" s="61">
        <f>IFERROR(INDEX(U$2:AY$2,MATCH(TRUE,INDEX(U10:AY10&lt;&gt;"",0),0)),"")</f>
        <v/>
      </c>
      <c r="N10" s="61">
        <f>IFERROR(LOOKUP(2,1/(U10:AY10&lt;&gt;""),U$2:AY$2),"")</f>
        <v/>
      </c>
      <c r="O10" s="59" t="n"/>
      <c r="P10" s="59" t="n"/>
      <c r="Q10" s="59" t="n"/>
      <c r="R10" s="59" t="n"/>
      <c r="S10" s="14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</row>
    <row r="11" ht="15" customHeight="1">
      <c r="A11" s="62" t="n"/>
      <c r="B11" s="55">
        <f>IF($B$9="","",$B$9)</f>
        <v/>
      </c>
      <c r="C11" s="63" t="inlineStr">
        <is>
          <t>마케팅1팀</t>
        </is>
      </c>
      <c r="D11" s="55">
        <f>IF($D$9="","",$D$9)</f>
        <v/>
      </c>
      <c r="E11" s="64" t="inlineStr">
        <is>
          <t>영상</t>
        </is>
      </c>
      <c r="F11" s="44" t="n"/>
      <c r="G11" s="58">
        <f>IF($G$9="","",$G$9)</f>
        <v/>
      </c>
      <c r="H11" s="59" t="n"/>
      <c r="I11" s="59" t="n"/>
      <c r="J11" s="59" t="n"/>
      <c r="K11" s="59" t="n"/>
      <c r="L11" s="65">
        <f>IF(SUM(U11:AY11)=0,"",SUM(U11:AY11))</f>
        <v/>
      </c>
      <c r="M11" s="66">
        <f>IFERROR(INDEX(U$2:AY$2,MATCH(TRUE,INDEX(U11:AY11&lt;&gt;"",0),0)),"")</f>
        <v/>
      </c>
      <c r="N11" s="66">
        <f>IFERROR(LOOKUP(2,1/(U11:AY11&lt;&gt;""),U$2:AY$2),"")</f>
        <v/>
      </c>
      <c r="O11" s="59" t="n"/>
      <c r="P11" s="59" t="n"/>
      <c r="Q11" s="59" t="n"/>
      <c r="R11" s="59" t="n"/>
      <c r="S11" s="14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</row>
    <row r="12" ht="15" customHeight="1">
      <c r="A12" s="40">
        <f>IF($D$12="","",2)</f>
        <v/>
      </c>
      <c r="B12" s="10" t="n"/>
      <c r="C12" s="41" t="inlineStr">
        <is>
          <t>마케팅1팀</t>
        </is>
      </c>
      <c r="D12" s="42" t="n"/>
      <c r="E12" s="43" t="inlineStr">
        <is>
          <t>기획</t>
        </is>
      </c>
      <c r="F12" s="44" t="n"/>
      <c r="G12" s="45" t="n"/>
      <c r="H12" s="46">
        <f>IF($I$12="","",IF($I$12&lt;0,"🔴지연",IF($I$12&lt;=1,"🟡임박","🟢여유")))</f>
        <v/>
      </c>
      <c r="I12" s="47">
        <f>IF(OR($G$12="",$K$12=""),"",$G$12-$K$12)</f>
        <v/>
      </c>
      <c r="J12" s="48">
        <f>IF(SUM($L$12:$L$14)=0,"",SUM($L$12:$L$14))</f>
        <v/>
      </c>
      <c r="K12" s="49">
        <f>IF($J$12="","",MAX($N$12:$N$14))</f>
        <v/>
      </c>
      <c r="L12" s="50">
        <f>IF(SUM(U12:AY12)=0,"",SUM(U12:AY12))</f>
        <v/>
      </c>
      <c r="M12" s="51">
        <f>IFERROR(INDEX(U$2:AY$2,MATCH(TRUE,INDEX(U12:AY12&lt;&gt;"",0),0)),"")</f>
        <v/>
      </c>
      <c r="N12" s="51">
        <f>IFERROR(LOOKUP(2,1/(U12:AY12&lt;&gt;""),U$2:AY$2),"")</f>
        <v/>
      </c>
      <c r="O12" s="52" t="n"/>
      <c r="P12" s="52" t="n"/>
      <c r="Q12" s="52" t="n"/>
      <c r="R12" s="44" t="n"/>
      <c r="S12" s="14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</row>
    <row r="13" ht="15" customHeight="1">
      <c r="A13" s="54" t="n"/>
      <c r="B13" s="55">
        <f>IF($B$12="","",$B$12)</f>
        <v/>
      </c>
      <c r="C13" s="56" t="inlineStr">
        <is>
          <t>마케팅1팀</t>
        </is>
      </c>
      <c r="D13" s="55">
        <f>IF($D$12="","",$D$12)</f>
        <v/>
      </c>
      <c r="E13" s="57" t="inlineStr">
        <is>
          <t>이미지</t>
        </is>
      </c>
      <c r="F13" s="44" t="n"/>
      <c r="G13" s="58">
        <f>IF($G$12="","",$G$12)</f>
        <v/>
      </c>
      <c r="H13" s="59" t="n"/>
      <c r="I13" s="59" t="n"/>
      <c r="J13" s="59" t="n"/>
      <c r="K13" s="59" t="n"/>
      <c r="L13" s="60">
        <f>IF(SUM(U13:AY13)=0,"",SUM(U13:AY13))</f>
        <v/>
      </c>
      <c r="M13" s="61">
        <f>IFERROR(INDEX(U$2:AY$2,MATCH(TRUE,INDEX(U13:AY13&lt;&gt;"",0),0)),"")</f>
        <v/>
      </c>
      <c r="N13" s="61">
        <f>IFERROR(LOOKUP(2,1/(U13:AY13&lt;&gt;""),U$2:AY$2),"")</f>
        <v/>
      </c>
      <c r="O13" s="59" t="n"/>
      <c r="P13" s="59" t="n"/>
      <c r="Q13" s="59" t="n"/>
      <c r="R13" s="59" t="n"/>
      <c r="S13" s="14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</row>
    <row r="14" ht="15" customHeight="1">
      <c r="A14" s="62" t="n"/>
      <c r="B14" s="55">
        <f>IF($B$12="","",$B$12)</f>
        <v/>
      </c>
      <c r="C14" s="63" t="inlineStr">
        <is>
          <t>마케팅1팀</t>
        </is>
      </c>
      <c r="D14" s="55">
        <f>IF($D$12="","",$D$12)</f>
        <v/>
      </c>
      <c r="E14" s="64" t="inlineStr">
        <is>
          <t>영상</t>
        </is>
      </c>
      <c r="F14" s="44" t="n"/>
      <c r="G14" s="58">
        <f>IF($G$12="","",$G$12)</f>
        <v/>
      </c>
      <c r="H14" s="59" t="n"/>
      <c r="I14" s="59" t="n"/>
      <c r="J14" s="59" t="n"/>
      <c r="K14" s="59" t="n"/>
      <c r="L14" s="65">
        <f>IF(SUM(U14:AY14)=0,"",SUM(U14:AY14))</f>
        <v/>
      </c>
      <c r="M14" s="66">
        <f>IFERROR(INDEX(U$2:AY$2,MATCH(TRUE,INDEX(U14:AY14&lt;&gt;"",0),0)),"")</f>
        <v/>
      </c>
      <c r="N14" s="66">
        <f>IFERROR(LOOKUP(2,1/(U14:AY14&lt;&gt;""),U$2:AY$2),"")</f>
        <v/>
      </c>
      <c r="O14" s="59" t="n"/>
      <c r="P14" s="59" t="n"/>
      <c r="Q14" s="59" t="n"/>
      <c r="R14" s="59" t="n"/>
      <c r="S14" s="14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</row>
    <row r="15" ht="15" customHeight="1">
      <c r="A15" s="40">
        <f>IF($D$15="","",3)</f>
        <v/>
      </c>
      <c r="B15" s="10" t="n"/>
      <c r="C15" s="41" t="inlineStr">
        <is>
          <t>마케팅1팀</t>
        </is>
      </c>
      <c r="D15" s="42" t="n"/>
      <c r="E15" s="43" t="inlineStr">
        <is>
          <t>기획</t>
        </is>
      </c>
      <c r="F15" s="44" t="n"/>
      <c r="G15" s="45" t="n"/>
      <c r="H15" s="46">
        <f>IF($I$15="","",IF($I$15&lt;0,"🔴지연",IF($I$15&lt;=1,"🟡임박","🟢여유")))</f>
        <v/>
      </c>
      <c r="I15" s="47">
        <f>IF(OR($G$15="",$K$15=""),"",$G$15-$K$15)</f>
        <v/>
      </c>
      <c r="J15" s="48">
        <f>IF(SUM($L$15:$L$17)=0,"",SUM($L$15:$L$17))</f>
        <v/>
      </c>
      <c r="K15" s="49">
        <f>IF($J$15="","",MAX($N$15:$N$17))</f>
        <v/>
      </c>
      <c r="L15" s="50">
        <f>IF(SUM(U15:AY15)=0,"",SUM(U15:AY15))</f>
        <v/>
      </c>
      <c r="M15" s="51">
        <f>IFERROR(INDEX(U$2:AY$2,MATCH(TRUE,INDEX(U15:AY15&lt;&gt;"",0),0)),"")</f>
        <v/>
      </c>
      <c r="N15" s="51">
        <f>IFERROR(LOOKUP(2,1/(U15:AY15&lt;&gt;""),U$2:AY$2),"")</f>
        <v/>
      </c>
      <c r="O15" s="52" t="n"/>
      <c r="P15" s="52" t="n"/>
      <c r="Q15" s="52" t="n"/>
      <c r="R15" s="44" t="n"/>
      <c r="S15" s="14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</row>
    <row r="16" ht="15" customHeight="1">
      <c r="A16" s="54" t="n"/>
      <c r="B16" s="55">
        <f>IF($B$15="","",$B$15)</f>
        <v/>
      </c>
      <c r="C16" s="56" t="inlineStr">
        <is>
          <t>마케팅1팀</t>
        </is>
      </c>
      <c r="D16" s="55">
        <f>IF($D$15="","",$D$15)</f>
        <v/>
      </c>
      <c r="E16" s="57" t="inlineStr">
        <is>
          <t>이미지</t>
        </is>
      </c>
      <c r="F16" s="44" t="n"/>
      <c r="G16" s="58">
        <f>IF($G$15="","",$G$15)</f>
        <v/>
      </c>
      <c r="H16" s="59" t="n"/>
      <c r="I16" s="59" t="n"/>
      <c r="J16" s="59" t="n"/>
      <c r="K16" s="59" t="n"/>
      <c r="L16" s="60">
        <f>IF(SUM(U16:AY16)=0,"",SUM(U16:AY16))</f>
        <v/>
      </c>
      <c r="M16" s="61">
        <f>IFERROR(INDEX(U$2:AY$2,MATCH(TRUE,INDEX(U16:AY16&lt;&gt;"",0),0)),"")</f>
        <v/>
      </c>
      <c r="N16" s="61">
        <f>IFERROR(LOOKUP(2,1/(U16:AY16&lt;&gt;""),U$2:AY$2),"")</f>
        <v/>
      </c>
      <c r="O16" s="59" t="n"/>
      <c r="P16" s="59" t="n"/>
      <c r="Q16" s="59" t="n"/>
      <c r="R16" s="59" t="n"/>
      <c r="S16" s="14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</row>
    <row r="17" ht="15" customHeight="1">
      <c r="A17" s="62" t="n"/>
      <c r="B17" s="55">
        <f>IF($B$15="","",$B$15)</f>
        <v/>
      </c>
      <c r="C17" s="63" t="inlineStr">
        <is>
          <t>마케팅1팀</t>
        </is>
      </c>
      <c r="D17" s="55">
        <f>IF($D$15="","",$D$15)</f>
        <v/>
      </c>
      <c r="E17" s="64" t="inlineStr">
        <is>
          <t>영상</t>
        </is>
      </c>
      <c r="F17" s="44" t="n"/>
      <c r="G17" s="58">
        <f>IF($G$15="","",$G$15)</f>
        <v/>
      </c>
      <c r="H17" s="59" t="n"/>
      <c r="I17" s="59" t="n"/>
      <c r="J17" s="59" t="n"/>
      <c r="K17" s="59" t="n"/>
      <c r="L17" s="65">
        <f>IF(SUM(U17:AY17)=0,"",SUM(U17:AY17))</f>
        <v/>
      </c>
      <c r="M17" s="66">
        <f>IFERROR(INDEX(U$2:AY$2,MATCH(TRUE,INDEX(U17:AY17&lt;&gt;"",0),0)),"")</f>
        <v/>
      </c>
      <c r="N17" s="66">
        <f>IFERROR(LOOKUP(2,1/(U17:AY17&lt;&gt;""),U$2:AY$2),"")</f>
        <v/>
      </c>
      <c r="O17" s="59" t="n"/>
      <c r="P17" s="59" t="n"/>
      <c r="Q17" s="59" t="n"/>
      <c r="R17" s="59" t="n"/>
      <c r="S17" s="14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</row>
    <row r="18" ht="15" customHeight="1">
      <c r="A18" s="40">
        <f>IF($D$18="","",4)</f>
        <v/>
      </c>
      <c r="B18" s="10" t="n"/>
      <c r="C18" s="41" t="inlineStr">
        <is>
          <t>마케팅1팀</t>
        </is>
      </c>
      <c r="D18" s="42" t="n"/>
      <c r="E18" s="43" t="inlineStr">
        <is>
          <t>기획</t>
        </is>
      </c>
      <c r="F18" s="44" t="n"/>
      <c r="G18" s="45" t="n"/>
      <c r="H18" s="46">
        <f>IF($I$18="","",IF($I$18&lt;0,"🔴지연",IF($I$18&lt;=1,"🟡임박","🟢여유")))</f>
        <v/>
      </c>
      <c r="I18" s="47">
        <f>IF(OR($G$18="",$K$18=""),"",$G$18-$K$18)</f>
        <v/>
      </c>
      <c r="J18" s="48">
        <f>IF(SUM($L$18:$L$20)=0,"",SUM($L$18:$L$20))</f>
        <v/>
      </c>
      <c r="K18" s="49">
        <f>IF($J$18="","",MAX($N$18:$N$20))</f>
        <v/>
      </c>
      <c r="L18" s="50">
        <f>IF(SUM(U18:AY18)=0,"",SUM(U18:AY18))</f>
        <v/>
      </c>
      <c r="M18" s="51">
        <f>IFERROR(INDEX(U$2:AY$2,MATCH(TRUE,INDEX(U18:AY18&lt;&gt;"",0),0)),"")</f>
        <v/>
      </c>
      <c r="N18" s="51">
        <f>IFERROR(LOOKUP(2,1/(U18:AY18&lt;&gt;""),U$2:AY$2),"")</f>
        <v/>
      </c>
      <c r="O18" s="52" t="n"/>
      <c r="P18" s="52" t="n"/>
      <c r="Q18" s="52" t="n"/>
      <c r="R18" s="44" t="n"/>
      <c r="S18" s="14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</row>
    <row r="19" ht="15" customHeight="1">
      <c r="A19" s="54" t="n"/>
      <c r="B19" s="55">
        <f>IF($B$18="","",$B$18)</f>
        <v/>
      </c>
      <c r="C19" s="56" t="inlineStr">
        <is>
          <t>마케팅1팀</t>
        </is>
      </c>
      <c r="D19" s="55">
        <f>IF($D$18="","",$D$18)</f>
        <v/>
      </c>
      <c r="E19" s="57" t="inlineStr">
        <is>
          <t>이미지</t>
        </is>
      </c>
      <c r="F19" s="44" t="n"/>
      <c r="G19" s="58">
        <f>IF($G$18="","",$G$18)</f>
        <v/>
      </c>
      <c r="H19" s="59" t="n"/>
      <c r="I19" s="59" t="n"/>
      <c r="J19" s="59" t="n"/>
      <c r="K19" s="59" t="n"/>
      <c r="L19" s="60">
        <f>IF(SUM(U19:AY19)=0,"",SUM(U19:AY19))</f>
        <v/>
      </c>
      <c r="M19" s="61">
        <f>IFERROR(INDEX(U$2:AY$2,MATCH(TRUE,INDEX(U19:AY19&lt;&gt;"",0),0)),"")</f>
        <v/>
      </c>
      <c r="N19" s="61">
        <f>IFERROR(LOOKUP(2,1/(U19:AY19&lt;&gt;""),U$2:AY$2),"")</f>
        <v/>
      </c>
      <c r="O19" s="59" t="n"/>
      <c r="P19" s="59" t="n"/>
      <c r="Q19" s="59" t="n"/>
      <c r="R19" s="59" t="n"/>
      <c r="S19" s="14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</row>
    <row r="20" ht="15" customHeight="1">
      <c r="A20" s="62" t="n"/>
      <c r="B20" s="55">
        <f>IF($B$18="","",$B$18)</f>
        <v/>
      </c>
      <c r="C20" s="63" t="inlineStr">
        <is>
          <t>마케팅1팀</t>
        </is>
      </c>
      <c r="D20" s="55">
        <f>IF($D$18="","",$D$18)</f>
        <v/>
      </c>
      <c r="E20" s="64" t="inlineStr">
        <is>
          <t>영상</t>
        </is>
      </c>
      <c r="F20" s="44" t="n"/>
      <c r="G20" s="58">
        <f>IF($G$18="","",$G$18)</f>
        <v/>
      </c>
      <c r="H20" s="59" t="n"/>
      <c r="I20" s="59" t="n"/>
      <c r="J20" s="59" t="n"/>
      <c r="K20" s="59" t="n"/>
      <c r="L20" s="65">
        <f>IF(SUM(U20:AY20)=0,"",SUM(U20:AY20))</f>
        <v/>
      </c>
      <c r="M20" s="66">
        <f>IFERROR(INDEX(U$2:AY$2,MATCH(TRUE,INDEX(U20:AY20&lt;&gt;"",0),0)),"")</f>
        <v/>
      </c>
      <c r="N20" s="66">
        <f>IFERROR(LOOKUP(2,1/(U20:AY20&lt;&gt;""),U$2:AY$2),"")</f>
        <v/>
      </c>
      <c r="O20" s="59" t="n"/>
      <c r="P20" s="59" t="n"/>
      <c r="Q20" s="59" t="n"/>
      <c r="R20" s="59" t="n"/>
      <c r="S20" s="14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</row>
    <row r="21" ht="15" customHeight="1">
      <c r="A21" s="40">
        <f>IF($D$21="","",5)</f>
        <v/>
      </c>
      <c r="B21" s="10" t="n"/>
      <c r="C21" s="41" t="inlineStr">
        <is>
          <t>마케팅1팀</t>
        </is>
      </c>
      <c r="D21" s="42" t="n"/>
      <c r="E21" s="43" t="inlineStr">
        <is>
          <t>기획</t>
        </is>
      </c>
      <c r="F21" s="44" t="n"/>
      <c r="G21" s="45" t="n"/>
      <c r="H21" s="46">
        <f>IF($I$21="","",IF($I$21&lt;0,"🔴지연",IF($I$21&lt;=1,"🟡임박","🟢여유")))</f>
        <v/>
      </c>
      <c r="I21" s="47">
        <f>IF(OR($G$21="",$K$21=""),"",$G$21-$K$21)</f>
        <v/>
      </c>
      <c r="J21" s="48">
        <f>IF(SUM($L$21:$L$23)=0,"",SUM($L$21:$L$23))</f>
        <v/>
      </c>
      <c r="K21" s="49">
        <f>IF($J$21="","",MAX($N$21:$N$23))</f>
        <v/>
      </c>
      <c r="L21" s="50">
        <f>IF(SUM(U21:AY21)=0,"",SUM(U21:AY21))</f>
        <v/>
      </c>
      <c r="M21" s="51">
        <f>IFERROR(INDEX(U$2:AY$2,MATCH(TRUE,INDEX(U21:AY21&lt;&gt;"",0),0)),"")</f>
        <v/>
      </c>
      <c r="N21" s="51">
        <f>IFERROR(LOOKUP(2,1/(U21:AY21&lt;&gt;""),U$2:AY$2),"")</f>
        <v/>
      </c>
      <c r="O21" s="52" t="n"/>
      <c r="P21" s="52" t="n"/>
      <c r="Q21" s="52" t="n"/>
      <c r="R21" s="44" t="n"/>
      <c r="S21" s="14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</row>
    <row r="22" ht="15" customHeight="1">
      <c r="A22" s="54" t="n"/>
      <c r="B22" s="55">
        <f>IF($B$21="","",$B$21)</f>
        <v/>
      </c>
      <c r="C22" s="56" t="inlineStr">
        <is>
          <t>마케팅1팀</t>
        </is>
      </c>
      <c r="D22" s="55">
        <f>IF($D$21="","",$D$21)</f>
        <v/>
      </c>
      <c r="E22" s="57" t="inlineStr">
        <is>
          <t>이미지</t>
        </is>
      </c>
      <c r="F22" s="44" t="n"/>
      <c r="G22" s="58">
        <f>IF($G$21="","",$G$21)</f>
        <v/>
      </c>
      <c r="H22" s="59" t="n"/>
      <c r="I22" s="59" t="n"/>
      <c r="J22" s="59" t="n"/>
      <c r="K22" s="59" t="n"/>
      <c r="L22" s="60">
        <f>IF(SUM(U22:AY22)=0,"",SUM(U22:AY22))</f>
        <v/>
      </c>
      <c r="M22" s="61">
        <f>IFERROR(INDEX(U$2:AY$2,MATCH(TRUE,INDEX(U22:AY22&lt;&gt;"",0),0)),"")</f>
        <v/>
      </c>
      <c r="N22" s="61">
        <f>IFERROR(LOOKUP(2,1/(U22:AY22&lt;&gt;""),U$2:AY$2),"")</f>
        <v/>
      </c>
      <c r="O22" s="59" t="n"/>
      <c r="P22" s="59" t="n"/>
      <c r="Q22" s="59" t="n"/>
      <c r="R22" s="59" t="n"/>
      <c r="S22" s="14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</row>
    <row r="23" ht="15" customHeight="1">
      <c r="A23" s="62" t="n"/>
      <c r="B23" s="55">
        <f>IF($B$21="","",$B$21)</f>
        <v/>
      </c>
      <c r="C23" s="63" t="inlineStr">
        <is>
          <t>마케팅1팀</t>
        </is>
      </c>
      <c r="D23" s="55">
        <f>IF($D$21="","",$D$21)</f>
        <v/>
      </c>
      <c r="E23" s="64" t="inlineStr">
        <is>
          <t>영상</t>
        </is>
      </c>
      <c r="F23" s="44" t="n"/>
      <c r="G23" s="58">
        <f>IF($G$21="","",$G$21)</f>
        <v/>
      </c>
      <c r="H23" s="59" t="n"/>
      <c r="I23" s="59" t="n"/>
      <c r="J23" s="59" t="n"/>
      <c r="K23" s="59" t="n"/>
      <c r="L23" s="65">
        <f>IF(SUM(U23:AY23)=0,"",SUM(U23:AY23))</f>
        <v/>
      </c>
      <c r="M23" s="66">
        <f>IFERROR(INDEX(U$2:AY$2,MATCH(TRUE,INDEX(U23:AY23&lt;&gt;"",0),0)),"")</f>
        <v/>
      </c>
      <c r="N23" s="66">
        <f>IFERROR(LOOKUP(2,1/(U23:AY23&lt;&gt;""),U$2:AY$2),"")</f>
        <v/>
      </c>
      <c r="O23" s="59" t="n"/>
      <c r="P23" s="59" t="n"/>
      <c r="Q23" s="59" t="n"/>
      <c r="R23" s="59" t="n"/>
      <c r="S23" s="14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</row>
    <row r="24" ht="15" customHeight="1">
      <c r="A24" s="40">
        <f>IF($D$24="","",6)</f>
        <v/>
      </c>
      <c r="B24" s="10" t="n"/>
      <c r="C24" s="41" t="inlineStr">
        <is>
          <t>마케팅1팀</t>
        </is>
      </c>
      <c r="D24" s="42" t="n"/>
      <c r="E24" s="43" t="inlineStr">
        <is>
          <t>기획</t>
        </is>
      </c>
      <c r="F24" s="44" t="n"/>
      <c r="G24" s="45" t="n"/>
      <c r="H24" s="46">
        <f>IF($I$24="","",IF($I$24&lt;0,"🔴지연",IF($I$24&lt;=1,"🟡임박","🟢여유")))</f>
        <v/>
      </c>
      <c r="I24" s="47">
        <f>IF(OR($G$24="",$K$24=""),"",$G$24-$K$24)</f>
        <v/>
      </c>
      <c r="J24" s="48">
        <f>IF(SUM($L$24:$L$26)=0,"",SUM($L$24:$L$26))</f>
        <v/>
      </c>
      <c r="K24" s="49">
        <f>IF($J$24="","",MAX($N$24:$N$26))</f>
        <v/>
      </c>
      <c r="L24" s="50">
        <f>IF(SUM(U24:AY24)=0,"",SUM(U24:AY24))</f>
        <v/>
      </c>
      <c r="M24" s="51">
        <f>IFERROR(INDEX(U$2:AY$2,MATCH(TRUE,INDEX(U24:AY24&lt;&gt;"",0),0)),"")</f>
        <v/>
      </c>
      <c r="N24" s="51">
        <f>IFERROR(LOOKUP(2,1/(U24:AY24&lt;&gt;""),U$2:AY$2),"")</f>
        <v/>
      </c>
      <c r="O24" s="52" t="n"/>
      <c r="P24" s="52" t="n"/>
      <c r="Q24" s="52" t="n"/>
      <c r="R24" s="44" t="n"/>
      <c r="S24" s="14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</row>
    <row r="25" ht="15" customHeight="1">
      <c r="A25" s="54" t="n"/>
      <c r="B25" s="55">
        <f>IF($B$24="","",$B$24)</f>
        <v/>
      </c>
      <c r="C25" s="56" t="inlineStr">
        <is>
          <t>마케팅1팀</t>
        </is>
      </c>
      <c r="D25" s="55">
        <f>IF($D$24="","",$D$24)</f>
        <v/>
      </c>
      <c r="E25" s="57" t="inlineStr">
        <is>
          <t>이미지</t>
        </is>
      </c>
      <c r="F25" s="44" t="n"/>
      <c r="G25" s="58">
        <f>IF($G$24="","",$G$24)</f>
        <v/>
      </c>
      <c r="H25" s="59" t="n"/>
      <c r="I25" s="59" t="n"/>
      <c r="J25" s="59" t="n"/>
      <c r="K25" s="59" t="n"/>
      <c r="L25" s="60">
        <f>IF(SUM(U25:AY25)=0,"",SUM(U25:AY25))</f>
        <v/>
      </c>
      <c r="M25" s="61">
        <f>IFERROR(INDEX(U$2:AY$2,MATCH(TRUE,INDEX(U25:AY25&lt;&gt;"",0),0)),"")</f>
        <v/>
      </c>
      <c r="N25" s="61">
        <f>IFERROR(LOOKUP(2,1/(U25:AY25&lt;&gt;""),U$2:AY$2),"")</f>
        <v/>
      </c>
      <c r="O25" s="59" t="n"/>
      <c r="P25" s="59" t="n"/>
      <c r="Q25" s="59" t="n"/>
      <c r="R25" s="59" t="n"/>
      <c r="S25" s="14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</row>
    <row r="26" ht="15" customHeight="1">
      <c r="A26" s="62" t="n"/>
      <c r="B26" s="55">
        <f>IF($B$24="","",$B$24)</f>
        <v/>
      </c>
      <c r="C26" s="63" t="inlineStr">
        <is>
          <t>마케팅1팀</t>
        </is>
      </c>
      <c r="D26" s="55">
        <f>IF($D$24="","",$D$24)</f>
        <v/>
      </c>
      <c r="E26" s="64" t="inlineStr">
        <is>
          <t>영상</t>
        </is>
      </c>
      <c r="F26" s="44" t="n"/>
      <c r="G26" s="58">
        <f>IF($G$24="","",$G$24)</f>
        <v/>
      </c>
      <c r="H26" s="59" t="n"/>
      <c r="I26" s="59" t="n"/>
      <c r="J26" s="59" t="n"/>
      <c r="K26" s="59" t="n"/>
      <c r="L26" s="65">
        <f>IF(SUM(U26:AY26)=0,"",SUM(U26:AY26))</f>
        <v/>
      </c>
      <c r="M26" s="66">
        <f>IFERROR(INDEX(U$2:AY$2,MATCH(TRUE,INDEX(U26:AY26&lt;&gt;"",0),0)),"")</f>
        <v/>
      </c>
      <c r="N26" s="66">
        <f>IFERROR(LOOKUP(2,1/(U26:AY26&lt;&gt;""),U$2:AY$2),"")</f>
        <v/>
      </c>
      <c r="O26" s="59" t="n"/>
      <c r="P26" s="59" t="n"/>
      <c r="Q26" s="59" t="n"/>
      <c r="R26" s="59" t="n"/>
      <c r="S26" s="14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</row>
    <row r="27" ht="15" customHeight="1">
      <c r="A27" s="40">
        <f>IF($D$27="","",7)</f>
        <v/>
      </c>
      <c r="B27" s="10" t="n"/>
      <c r="C27" s="41" t="inlineStr">
        <is>
          <t>마케팅1팀</t>
        </is>
      </c>
      <c r="D27" s="42" t="n"/>
      <c r="E27" s="43" t="inlineStr">
        <is>
          <t>기획</t>
        </is>
      </c>
      <c r="F27" s="44" t="n"/>
      <c r="G27" s="45" t="n"/>
      <c r="H27" s="46">
        <f>IF($I$27="","",IF($I$27&lt;0,"🔴지연",IF($I$27&lt;=1,"🟡임박","🟢여유")))</f>
        <v/>
      </c>
      <c r="I27" s="47">
        <f>IF(OR($G$27="",$K$27=""),"",$G$27-$K$27)</f>
        <v/>
      </c>
      <c r="J27" s="48">
        <f>IF(SUM($L$27:$L$29)=0,"",SUM($L$27:$L$29))</f>
        <v/>
      </c>
      <c r="K27" s="49">
        <f>IF($J$27="","",MAX($N$27:$N$29))</f>
        <v/>
      </c>
      <c r="L27" s="50">
        <f>IF(SUM(U27:AY27)=0,"",SUM(U27:AY27))</f>
        <v/>
      </c>
      <c r="M27" s="51">
        <f>IFERROR(INDEX(U$2:AY$2,MATCH(TRUE,INDEX(U27:AY27&lt;&gt;"",0),0)),"")</f>
        <v/>
      </c>
      <c r="N27" s="51">
        <f>IFERROR(LOOKUP(2,1/(U27:AY27&lt;&gt;""),U$2:AY$2),"")</f>
        <v/>
      </c>
      <c r="O27" s="52" t="n"/>
      <c r="P27" s="52" t="n"/>
      <c r="Q27" s="52" t="n"/>
      <c r="R27" s="44" t="n"/>
      <c r="S27" s="14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</row>
    <row r="28" ht="15" customHeight="1">
      <c r="A28" s="54" t="n"/>
      <c r="B28" s="55">
        <f>IF($B$27="","",$B$27)</f>
        <v/>
      </c>
      <c r="C28" s="56" t="inlineStr">
        <is>
          <t>마케팅1팀</t>
        </is>
      </c>
      <c r="D28" s="55">
        <f>IF($D$27="","",$D$27)</f>
        <v/>
      </c>
      <c r="E28" s="57" t="inlineStr">
        <is>
          <t>이미지</t>
        </is>
      </c>
      <c r="F28" s="44" t="n"/>
      <c r="G28" s="58">
        <f>IF($G$27="","",$G$27)</f>
        <v/>
      </c>
      <c r="H28" s="59" t="n"/>
      <c r="I28" s="59" t="n"/>
      <c r="J28" s="59" t="n"/>
      <c r="K28" s="59" t="n"/>
      <c r="L28" s="60">
        <f>IF(SUM(U28:AY28)=0,"",SUM(U28:AY28))</f>
        <v/>
      </c>
      <c r="M28" s="61">
        <f>IFERROR(INDEX(U$2:AY$2,MATCH(TRUE,INDEX(U28:AY28&lt;&gt;"",0),0)),"")</f>
        <v/>
      </c>
      <c r="N28" s="61">
        <f>IFERROR(LOOKUP(2,1/(U28:AY28&lt;&gt;""),U$2:AY$2),"")</f>
        <v/>
      </c>
      <c r="O28" s="59" t="n"/>
      <c r="P28" s="59" t="n"/>
      <c r="Q28" s="59" t="n"/>
      <c r="R28" s="59" t="n"/>
      <c r="S28" s="14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3" t="n"/>
      <c r="AQ28" s="53" t="n"/>
      <c r="AR28" s="53" t="n"/>
      <c r="AS28" s="53" t="n"/>
      <c r="AT28" s="53" t="n"/>
      <c r="AU28" s="53" t="n"/>
      <c r="AV28" s="53" t="n"/>
      <c r="AW28" s="53" t="n"/>
      <c r="AX28" s="53" t="n"/>
      <c r="AY28" s="53" t="n"/>
    </row>
    <row r="29" ht="15" customHeight="1">
      <c r="A29" s="62" t="n"/>
      <c r="B29" s="55">
        <f>IF($B$27="","",$B$27)</f>
        <v/>
      </c>
      <c r="C29" s="63" t="inlineStr">
        <is>
          <t>마케팅1팀</t>
        </is>
      </c>
      <c r="D29" s="55">
        <f>IF($D$27="","",$D$27)</f>
        <v/>
      </c>
      <c r="E29" s="64" t="inlineStr">
        <is>
          <t>영상</t>
        </is>
      </c>
      <c r="F29" s="44" t="n"/>
      <c r="G29" s="58">
        <f>IF($G$27="","",$G$27)</f>
        <v/>
      </c>
      <c r="H29" s="59" t="n"/>
      <c r="I29" s="59" t="n"/>
      <c r="J29" s="59" t="n"/>
      <c r="K29" s="59" t="n"/>
      <c r="L29" s="65">
        <f>IF(SUM(U29:AY29)=0,"",SUM(U29:AY29))</f>
        <v/>
      </c>
      <c r="M29" s="66">
        <f>IFERROR(INDEX(U$2:AY$2,MATCH(TRUE,INDEX(U29:AY29&lt;&gt;"",0),0)),"")</f>
        <v/>
      </c>
      <c r="N29" s="66">
        <f>IFERROR(LOOKUP(2,1/(U29:AY29&lt;&gt;""),U$2:AY$2),"")</f>
        <v/>
      </c>
      <c r="O29" s="59" t="n"/>
      <c r="P29" s="59" t="n"/>
      <c r="Q29" s="59" t="n"/>
      <c r="R29" s="59" t="n"/>
      <c r="S29" s="14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</row>
    <row r="30" ht="15" customHeight="1">
      <c r="A30" s="40">
        <f>IF($D$30="","",8)</f>
        <v/>
      </c>
      <c r="B30" s="10" t="n"/>
      <c r="C30" s="41" t="inlineStr">
        <is>
          <t>마케팅1팀</t>
        </is>
      </c>
      <c r="D30" s="42" t="n"/>
      <c r="E30" s="43" t="inlineStr">
        <is>
          <t>기획</t>
        </is>
      </c>
      <c r="F30" s="44" t="n"/>
      <c r="G30" s="45" t="n"/>
      <c r="H30" s="46">
        <f>IF($I$30="","",IF($I$30&lt;0,"🔴지연",IF($I$30&lt;=1,"🟡임박","🟢여유")))</f>
        <v/>
      </c>
      <c r="I30" s="47">
        <f>IF(OR($G$30="",$K$30=""),"",$G$30-$K$30)</f>
        <v/>
      </c>
      <c r="J30" s="48">
        <f>IF(SUM($L$30:$L$32)=0,"",SUM($L$30:$L$32))</f>
        <v/>
      </c>
      <c r="K30" s="49">
        <f>IF($J$30="","",MAX($N$30:$N$32))</f>
        <v/>
      </c>
      <c r="L30" s="50">
        <f>IF(SUM(U30:AY30)=0,"",SUM(U30:AY30))</f>
        <v/>
      </c>
      <c r="M30" s="51">
        <f>IFERROR(INDEX(U$2:AY$2,MATCH(TRUE,INDEX(U30:AY30&lt;&gt;"",0),0)),"")</f>
        <v/>
      </c>
      <c r="N30" s="51">
        <f>IFERROR(LOOKUP(2,1/(U30:AY30&lt;&gt;""),U$2:AY$2),"")</f>
        <v/>
      </c>
      <c r="O30" s="52" t="n"/>
      <c r="P30" s="52" t="n"/>
      <c r="Q30" s="52" t="n"/>
      <c r="R30" s="44" t="n"/>
      <c r="S30" s="14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53" t="n"/>
      <c r="AH30" s="53" t="n"/>
      <c r="AI30" s="53" t="n"/>
      <c r="AJ30" s="53" t="n"/>
      <c r="AK30" s="53" t="n"/>
      <c r="AL30" s="53" t="n"/>
      <c r="AM30" s="53" t="n"/>
      <c r="AN30" s="53" t="n"/>
      <c r="AO30" s="53" t="n"/>
      <c r="AP30" s="53" t="n"/>
      <c r="AQ30" s="53" t="n"/>
      <c r="AR30" s="53" t="n"/>
      <c r="AS30" s="53" t="n"/>
      <c r="AT30" s="53" t="n"/>
      <c r="AU30" s="53" t="n"/>
      <c r="AV30" s="53" t="n"/>
      <c r="AW30" s="53" t="n"/>
      <c r="AX30" s="53" t="n"/>
      <c r="AY30" s="53" t="n"/>
    </row>
    <row r="31" ht="15" customHeight="1">
      <c r="A31" s="54" t="n"/>
      <c r="B31" s="55">
        <f>IF($B$30="","",$B$30)</f>
        <v/>
      </c>
      <c r="C31" s="56" t="inlineStr">
        <is>
          <t>마케팅1팀</t>
        </is>
      </c>
      <c r="D31" s="55">
        <f>IF($D$30="","",$D$30)</f>
        <v/>
      </c>
      <c r="E31" s="57" t="inlineStr">
        <is>
          <t>이미지</t>
        </is>
      </c>
      <c r="F31" s="44" t="n"/>
      <c r="G31" s="58">
        <f>IF($G$30="","",$G$30)</f>
        <v/>
      </c>
      <c r="H31" s="59" t="n"/>
      <c r="I31" s="59" t="n"/>
      <c r="J31" s="59" t="n"/>
      <c r="K31" s="59" t="n"/>
      <c r="L31" s="60">
        <f>IF(SUM(U31:AY31)=0,"",SUM(U31:AY31))</f>
        <v/>
      </c>
      <c r="M31" s="61">
        <f>IFERROR(INDEX(U$2:AY$2,MATCH(TRUE,INDEX(U31:AY31&lt;&gt;"",0),0)),"")</f>
        <v/>
      </c>
      <c r="N31" s="61">
        <f>IFERROR(LOOKUP(2,1/(U31:AY31&lt;&gt;""),U$2:AY$2),"")</f>
        <v/>
      </c>
      <c r="O31" s="59" t="n"/>
      <c r="P31" s="59" t="n"/>
      <c r="Q31" s="59" t="n"/>
      <c r="R31" s="59" t="n"/>
      <c r="S31" s="14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53" t="n"/>
      <c r="AH31" s="53" t="n"/>
      <c r="AI31" s="53" t="n"/>
      <c r="AJ31" s="53" t="n"/>
      <c r="AK31" s="53" t="n"/>
      <c r="AL31" s="53" t="n"/>
      <c r="AM31" s="53" t="n"/>
      <c r="AN31" s="53" t="n"/>
      <c r="AO31" s="53" t="n"/>
      <c r="AP31" s="53" t="n"/>
      <c r="AQ31" s="53" t="n"/>
      <c r="AR31" s="53" t="n"/>
      <c r="AS31" s="53" t="n"/>
      <c r="AT31" s="53" t="n"/>
      <c r="AU31" s="53" t="n"/>
      <c r="AV31" s="53" t="n"/>
      <c r="AW31" s="53" t="n"/>
      <c r="AX31" s="53" t="n"/>
      <c r="AY31" s="53" t="n"/>
    </row>
    <row r="32" ht="15" customHeight="1">
      <c r="A32" s="62" t="n"/>
      <c r="B32" s="55">
        <f>IF($B$30="","",$B$30)</f>
        <v/>
      </c>
      <c r="C32" s="63" t="inlineStr">
        <is>
          <t>마케팅1팀</t>
        </is>
      </c>
      <c r="D32" s="55">
        <f>IF($D$30="","",$D$30)</f>
        <v/>
      </c>
      <c r="E32" s="64" t="inlineStr">
        <is>
          <t>영상</t>
        </is>
      </c>
      <c r="F32" s="44" t="n"/>
      <c r="G32" s="58">
        <f>IF($G$30="","",$G$30)</f>
        <v/>
      </c>
      <c r="H32" s="59" t="n"/>
      <c r="I32" s="59" t="n"/>
      <c r="J32" s="59" t="n"/>
      <c r="K32" s="59" t="n"/>
      <c r="L32" s="65">
        <f>IF(SUM(U32:AY32)=0,"",SUM(U32:AY32))</f>
        <v/>
      </c>
      <c r="M32" s="66">
        <f>IFERROR(INDEX(U$2:AY$2,MATCH(TRUE,INDEX(U32:AY32&lt;&gt;"",0),0)),"")</f>
        <v/>
      </c>
      <c r="N32" s="66">
        <f>IFERROR(LOOKUP(2,1/(U32:AY32&lt;&gt;""),U$2:AY$2),"")</f>
        <v/>
      </c>
      <c r="O32" s="59" t="n"/>
      <c r="P32" s="59" t="n"/>
      <c r="Q32" s="59" t="n"/>
      <c r="R32" s="59" t="n"/>
      <c r="S32" s="14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53" t="n"/>
      <c r="AK32" s="53" t="n"/>
      <c r="AL32" s="53" t="n"/>
      <c r="AM32" s="53" t="n"/>
      <c r="AN32" s="53" t="n"/>
      <c r="AO32" s="53" t="n"/>
      <c r="AP32" s="53" t="n"/>
      <c r="AQ32" s="53" t="n"/>
      <c r="AR32" s="53" t="n"/>
      <c r="AS32" s="53" t="n"/>
      <c r="AT32" s="53" t="n"/>
      <c r="AU32" s="53" t="n"/>
      <c r="AV32" s="53" t="n"/>
      <c r="AW32" s="53" t="n"/>
      <c r="AX32" s="53" t="n"/>
      <c r="AY32" s="53" t="n"/>
    </row>
    <row r="33" ht="15" customHeight="1">
      <c r="A33" s="40">
        <f>IF($D$33="","",9)</f>
        <v/>
      </c>
      <c r="B33" s="10" t="n"/>
      <c r="C33" s="41" t="inlineStr">
        <is>
          <t>마케팅1팀</t>
        </is>
      </c>
      <c r="D33" s="42" t="n"/>
      <c r="E33" s="43" t="inlineStr">
        <is>
          <t>기획</t>
        </is>
      </c>
      <c r="F33" s="44" t="n"/>
      <c r="G33" s="45" t="n"/>
      <c r="H33" s="46">
        <f>IF($I$33="","",IF($I$33&lt;0,"🔴지연",IF($I$33&lt;=1,"🟡임박","🟢여유")))</f>
        <v/>
      </c>
      <c r="I33" s="47">
        <f>IF(OR($G$33="",$K$33=""),"",$G$33-$K$33)</f>
        <v/>
      </c>
      <c r="J33" s="48">
        <f>IF(SUM($L$33:$L$35)=0,"",SUM($L$33:$L$35))</f>
        <v/>
      </c>
      <c r="K33" s="49">
        <f>IF($J$33="","",MAX($N$33:$N$35))</f>
        <v/>
      </c>
      <c r="L33" s="50">
        <f>IF(SUM(U33:AY33)=0,"",SUM(U33:AY33))</f>
        <v/>
      </c>
      <c r="M33" s="51">
        <f>IFERROR(INDEX(U$2:AY$2,MATCH(TRUE,INDEX(U33:AY33&lt;&gt;"",0),0)),"")</f>
        <v/>
      </c>
      <c r="N33" s="51">
        <f>IFERROR(LOOKUP(2,1/(U33:AY33&lt;&gt;""),U$2:AY$2),"")</f>
        <v/>
      </c>
      <c r="O33" s="52" t="n"/>
      <c r="P33" s="52" t="n"/>
      <c r="Q33" s="52" t="n"/>
      <c r="R33" s="44" t="n"/>
      <c r="S33" s="14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53" t="n"/>
    </row>
    <row r="34" ht="15" customHeight="1">
      <c r="A34" s="54" t="n"/>
      <c r="B34" s="55">
        <f>IF($B$33="","",$B$33)</f>
        <v/>
      </c>
      <c r="C34" s="56" t="inlineStr">
        <is>
          <t>마케팅1팀</t>
        </is>
      </c>
      <c r="D34" s="55">
        <f>IF($D$33="","",$D$33)</f>
        <v/>
      </c>
      <c r="E34" s="57" t="inlineStr">
        <is>
          <t>이미지</t>
        </is>
      </c>
      <c r="F34" s="44" t="n"/>
      <c r="G34" s="58">
        <f>IF($G$33="","",$G$33)</f>
        <v/>
      </c>
      <c r="H34" s="59" t="n"/>
      <c r="I34" s="59" t="n"/>
      <c r="J34" s="59" t="n"/>
      <c r="K34" s="59" t="n"/>
      <c r="L34" s="60">
        <f>IF(SUM(U34:AY34)=0,"",SUM(U34:AY34))</f>
        <v/>
      </c>
      <c r="M34" s="61">
        <f>IFERROR(INDEX(U$2:AY$2,MATCH(TRUE,INDEX(U34:AY34&lt;&gt;"",0),0)),"")</f>
        <v/>
      </c>
      <c r="N34" s="61">
        <f>IFERROR(LOOKUP(2,1/(U34:AY34&lt;&gt;""),U$2:AY$2),"")</f>
        <v/>
      </c>
      <c r="O34" s="59" t="n"/>
      <c r="P34" s="59" t="n"/>
      <c r="Q34" s="59" t="n"/>
      <c r="R34" s="59" t="n"/>
      <c r="S34" s="14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  <c r="AD34" s="53" t="n"/>
      <c r="AE34" s="53" t="n"/>
      <c r="AF34" s="53" t="n"/>
      <c r="AG34" s="53" t="n"/>
      <c r="AH34" s="53" t="n"/>
      <c r="AI34" s="53" t="n"/>
      <c r="AJ34" s="53" t="n"/>
      <c r="AK34" s="53" t="n"/>
      <c r="AL34" s="53" t="n"/>
      <c r="AM34" s="53" t="n"/>
      <c r="AN34" s="53" t="n"/>
      <c r="AO34" s="53" t="n"/>
      <c r="AP34" s="53" t="n"/>
      <c r="AQ34" s="53" t="n"/>
      <c r="AR34" s="53" t="n"/>
      <c r="AS34" s="53" t="n"/>
      <c r="AT34" s="53" t="n"/>
      <c r="AU34" s="53" t="n"/>
      <c r="AV34" s="53" t="n"/>
      <c r="AW34" s="53" t="n"/>
      <c r="AX34" s="53" t="n"/>
      <c r="AY34" s="53" t="n"/>
    </row>
    <row r="35" ht="15" customHeight="1">
      <c r="A35" s="62" t="n"/>
      <c r="B35" s="55">
        <f>IF($B$33="","",$B$33)</f>
        <v/>
      </c>
      <c r="C35" s="63" t="inlineStr">
        <is>
          <t>마케팅1팀</t>
        </is>
      </c>
      <c r="D35" s="55">
        <f>IF($D$33="","",$D$33)</f>
        <v/>
      </c>
      <c r="E35" s="64" t="inlineStr">
        <is>
          <t>영상</t>
        </is>
      </c>
      <c r="F35" s="44" t="n"/>
      <c r="G35" s="58">
        <f>IF($G$33="","",$G$33)</f>
        <v/>
      </c>
      <c r="H35" s="59" t="n"/>
      <c r="I35" s="59" t="n"/>
      <c r="J35" s="59" t="n"/>
      <c r="K35" s="59" t="n"/>
      <c r="L35" s="65">
        <f>IF(SUM(U35:AY35)=0,"",SUM(U35:AY35))</f>
        <v/>
      </c>
      <c r="M35" s="66">
        <f>IFERROR(INDEX(U$2:AY$2,MATCH(TRUE,INDEX(U35:AY35&lt;&gt;"",0),0)),"")</f>
        <v/>
      </c>
      <c r="N35" s="66">
        <f>IFERROR(LOOKUP(2,1/(U35:AY35&lt;&gt;""),U$2:AY$2),"")</f>
        <v/>
      </c>
      <c r="O35" s="59" t="n"/>
      <c r="P35" s="59" t="n"/>
      <c r="Q35" s="59" t="n"/>
      <c r="R35" s="59" t="n"/>
      <c r="S35" s="14" t="n"/>
      <c r="U35" s="53" t="n"/>
      <c r="V35" s="53" t="n"/>
      <c r="W35" s="53" t="n"/>
      <c r="X35" s="53" t="n"/>
      <c r="Y35" s="53" t="n"/>
      <c r="Z35" s="53" t="n"/>
      <c r="AA35" s="53" t="n"/>
      <c r="AB35" s="53" t="n"/>
      <c r="AC35" s="53" t="n"/>
      <c r="AD35" s="53" t="n"/>
      <c r="AE35" s="53" t="n"/>
      <c r="AF35" s="53" t="n"/>
      <c r="AG35" s="53" t="n"/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</row>
    <row r="36" ht="15" customHeight="1">
      <c r="A36" s="40">
        <f>IF($D$36="","",10)</f>
        <v/>
      </c>
      <c r="B36" s="10" t="n"/>
      <c r="C36" s="41" t="inlineStr">
        <is>
          <t>마케팅1팀</t>
        </is>
      </c>
      <c r="D36" s="42" t="n"/>
      <c r="E36" s="43" t="inlineStr">
        <is>
          <t>기획</t>
        </is>
      </c>
      <c r="F36" s="44" t="n"/>
      <c r="G36" s="45" t="n"/>
      <c r="H36" s="46">
        <f>IF($I$36="","",IF($I$36&lt;0,"🔴지연",IF($I$36&lt;=1,"🟡임박","🟢여유")))</f>
        <v/>
      </c>
      <c r="I36" s="47">
        <f>IF(OR($G$36="",$K$36=""),"",$G$36-$K$36)</f>
        <v/>
      </c>
      <c r="J36" s="48">
        <f>IF(SUM($L$36:$L$38)=0,"",SUM($L$36:$L$38))</f>
        <v/>
      </c>
      <c r="K36" s="49">
        <f>IF($J$36="","",MAX($N$36:$N$38))</f>
        <v/>
      </c>
      <c r="L36" s="50">
        <f>IF(SUM(U36:AY36)=0,"",SUM(U36:AY36))</f>
        <v/>
      </c>
      <c r="M36" s="51">
        <f>IFERROR(INDEX(U$2:AY$2,MATCH(TRUE,INDEX(U36:AY36&lt;&gt;"",0),0)),"")</f>
        <v/>
      </c>
      <c r="N36" s="51">
        <f>IFERROR(LOOKUP(2,1/(U36:AY36&lt;&gt;""),U$2:AY$2),"")</f>
        <v/>
      </c>
      <c r="O36" s="52" t="n"/>
      <c r="P36" s="52" t="n"/>
      <c r="Q36" s="52" t="n"/>
      <c r="R36" s="44" t="n"/>
      <c r="S36" s="14" t="n"/>
      <c r="U36" s="53" t="n"/>
      <c r="V36" s="53" t="n"/>
      <c r="W36" s="53" t="n"/>
      <c r="X36" s="53" t="n"/>
      <c r="Y36" s="53" t="n"/>
      <c r="Z36" s="53" t="n"/>
      <c r="AA36" s="53" t="n"/>
      <c r="AB36" s="53" t="n"/>
      <c r="AC36" s="53" t="n"/>
      <c r="AD36" s="53" t="n"/>
      <c r="AE36" s="53" t="n"/>
      <c r="AF36" s="53" t="n"/>
      <c r="AG36" s="53" t="n"/>
      <c r="AH36" s="53" t="n"/>
      <c r="AI36" s="53" t="n"/>
      <c r="AJ36" s="53" t="n"/>
      <c r="AK36" s="53" t="n"/>
      <c r="AL36" s="53" t="n"/>
      <c r="AM36" s="53" t="n"/>
      <c r="AN36" s="53" t="n"/>
      <c r="AO36" s="53" t="n"/>
      <c r="AP36" s="53" t="n"/>
      <c r="AQ36" s="53" t="n"/>
      <c r="AR36" s="53" t="n"/>
      <c r="AS36" s="53" t="n"/>
      <c r="AT36" s="53" t="n"/>
      <c r="AU36" s="53" t="n"/>
      <c r="AV36" s="53" t="n"/>
      <c r="AW36" s="53" t="n"/>
      <c r="AX36" s="53" t="n"/>
      <c r="AY36" s="53" t="n"/>
    </row>
    <row r="37" ht="15" customHeight="1">
      <c r="A37" s="54" t="n"/>
      <c r="B37" s="55">
        <f>IF($B$36="","",$B$36)</f>
        <v/>
      </c>
      <c r="C37" s="56" t="inlineStr">
        <is>
          <t>마케팅1팀</t>
        </is>
      </c>
      <c r="D37" s="55">
        <f>IF($D$36="","",$D$36)</f>
        <v/>
      </c>
      <c r="E37" s="57" t="inlineStr">
        <is>
          <t>이미지</t>
        </is>
      </c>
      <c r="F37" s="44" t="n"/>
      <c r="G37" s="58">
        <f>IF($G$36="","",$G$36)</f>
        <v/>
      </c>
      <c r="H37" s="59" t="n"/>
      <c r="I37" s="59" t="n"/>
      <c r="J37" s="59" t="n"/>
      <c r="K37" s="59" t="n"/>
      <c r="L37" s="60">
        <f>IF(SUM(U37:AY37)=0,"",SUM(U37:AY37))</f>
        <v/>
      </c>
      <c r="M37" s="61">
        <f>IFERROR(INDEX(U$2:AY$2,MATCH(TRUE,INDEX(U37:AY37&lt;&gt;"",0),0)),"")</f>
        <v/>
      </c>
      <c r="N37" s="61">
        <f>IFERROR(LOOKUP(2,1/(U37:AY37&lt;&gt;""),U$2:AY$2),"")</f>
        <v/>
      </c>
      <c r="O37" s="59" t="n"/>
      <c r="P37" s="59" t="n"/>
      <c r="Q37" s="59" t="n"/>
      <c r="R37" s="59" t="n"/>
      <c r="S37" s="14" t="n"/>
      <c r="U37" s="53" t="n"/>
      <c r="V37" s="53" t="n"/>
      <c r="W37" s="53" t="n"/>
      <c r="X37" s="53" t="n"/>
      <c r="Y37" s="53" t="n"/>
      <c r="Z37" s="53" t="n"/>
      <c r="AA37" s="53" t="n"/>
      <c r="AB37" s="53" t="n"/>
      <c r="AC37" s="53" t="n"/>
      <c r="AD37" s="53" t="n"/>
      <c r="AE37" s="53" t="n"/>
      <c r="AF37" s="53" t="n"/>
      <c r="AG37" s="53" t="n"/>
      <c r="AH37" s="53" t="n"/>
      <c r="AI37" s="53" t="n"/>
      <c r="AJ37" s="53" t="n"/>
      <c r="AK37" s="53" t="n"/>
      <c r="AL37" s="53" t="n"/>
      <c r="AM37" s="53" t="n"/>
      <c r="AN37" s="53" t="n"/>
      <c r="AO37" s="53" t="n"/>
      <c r="AP37" s="53" t="n"/>
      <c r="AQ37" s="53" t="n"/>
      <c r="AR37" s="53" t="n"/>
      <c r="AS37" s="53" t="n"/>
      <c r="AT37" s="53" t="n"/>
      <c r="AU37" s="53" t="n"/>
      <c r="AV37" s="53" t="n"/>
      <c r="AW37" s="53" t="n"/>
      <c r="AX37" s="53" t="n"/>
      <c r="AY37" s="53" t="n"/>
    </row>
    <row r="38" ht="15" customHeight="1">
      <c r="A38" s="62" t="n"/>
      <c r="B38" s="55">
        <f>IF($B$36="","",$B$36)</f>
        <v/>
      </c>
      <c r="C38" s="63" t="inlineStr">
        <is>
          <t>마케팅1팀</t>
        </is>
      </c>
      <c r="D38" s="55">
        <f>IF($D$36="","",$D$36)</f>
        <v/>
      </c>
      <c r="E38" s="64" t="inlineStr">
        <is>
          <t>영상</t>
        </is>
      </c>
      <c r="F38" s="44" t="n"/>
      <c r="G38" s="58">
        <f>IF($G$36="","",$G$36)</f>
        <v/>
      </c>
      <c r="H38" s="59" t="n"/>
      <c r="I38" s="59" t="n"/>
      <c r="J38" s="59" t="n"/>
      <c r="K38" s="59" t="n"/>
      <c r="L38" s="65">
        <f>IF(SUM(U38:AY38)=0,"",SUM(U38:AY38))</f>
        <v/>
      </c>
      <c r="M38" s="66">
        <f>IFERROR(INDEX(U$2:AY$2,MATCH(TRUE,INDEX(U38:AY38&lt;&gt;"",0),0)),"")</f>
        <v/>
      </c>
      <c r="N38" s="66">
        <f>IFERROR(LOOKUP(2,1/(U38:AY38&lt;&gt;""),U$2:AY$2),"")</f>
        <v/>
      </c>
      <c r="O38" s="59" t="n"/>
      <c r="P38" s="59" t="n"/>
      <c r="Q38" s="59" t="n"/>
      <c r="R38" s="59" t="n"/>
      <c r="S38" s="14" t="n"/>
      <c r="U38" s="53" t="n"/>
      <c r="V38" s="53" t="n"/>
      <c r="W38" s="53" t="n"/>
      <c r="X38" s="53" t="n"/>
      <c r="Y38" s="53" t="n"/>
      <c r="Z38" s="53" t="n"/>
      <c r="AA38" s="53" t="n"/>
      <c r="AB38" s="53" t="n"/>
      <c r="AC38" s="53" t="n"/>
      <c r="AD38" s="53" t="n"/>
      <c r="AE38" s="53" t="n"/>
      <c r="AF38" s="53" t="n"/>
      <c r="AG38" s="53" t="n"/>
      <c r="AH38" s="53" t="n"/>
      <c r="AI38" s="53" t="n"/>
      <c r="AJ38" s="53" t="n"/>
      <c r="AK38" s="53" t="n"/>
      <c r="AL38" s="53" t="n"/>
      <c r="AM38" s="53" t="n"/>
      <c r="AN38" s="53" t="n"/>
      <c r="AO38" s="53" t="n"/>
      <c r="AP38" s="53" t="n"/>
      <c r="AQ38" s="53" t="n"/>
      <c r="AR38" s="53" t="n"/>
      <c r="AS38" s="53" t="n"/>
      <c r="AT38" s="53" t="n"/>
      <c r="AU38" s="53" t="n"/>
      <c r="AV38" s="53" t="n"/>
      <c r="AW38" s="53" t="n"/>
      <c r="AX38" s="53" t="n"/>
      <c r="AY38" s="53" t="n"/>
    </row>
    <row r="39" ht="15" customHeight="1">
      <c r="A39" s="40">
        <f>IF($D$39="","",11)</f>
        <v/>
      </c>
      <c r="B39" s="10" t="n"/>
      <c r="C39" s="41" t="inlineStr">
        <is>
          <t>마케팅1팀</t>
        </is>
      </c>
      <c r="D39" s="42" t="n"/>
      <c r="E39" s="43" t="inlineStr">
        <is>
          <t>기획</t>
        </is>
      </c>
      <c r="F39" s="44" t="n"/>
      <c r="G39" s="45" t="n"/>
      <c r="H39" s="46">
        <f>IF($I$39="","",IF($I$39&lt;0,"🔴지연",IF($I$39&lt;=1,"🟡임박","🟢여유")))</f>
        <v/>
      </c>
      <c r="I39" s="47">
        <f>IF(OR($G$39="",$K$39=""),"",$G$39-$K$39)</f>
        <v/>
      </c>
      <c r="J39" s="48">
        <f>IF(SUM($L$39:$L$41)=0,"",SUM($L$39:$L$41))</f>
        <v/>
      </c>
      <c r="K39" s="49">
        <f>IF($J$39="","",MAX($N$39:$N$41))</f>
        <v/>
      </c>
      <c r="L39" s="50">
        <f>IF(SUM(U39:AY39)=0,"",SUM(U39:AY39))</f>
        <v/>
      </c>
      <c r="M39" s="51">
        <f>IFERROR(INDEX(U$2:AY$2,MATCH(TRUE,INDEX(U39:AY39&lt;&gt;"",0),0)),"")</f>
        <v/>
      </c>
      <c r="N39" s="51">
        <f>IFERROR(LOOKUP(2,1/(U39:AY39&lt;&gt;""),U$2:AY$2),"")</f>
        <v/>
      </c>
      <c r="O39" s="52" t="n"/>
      <c r="P39" s="52" t="n"/>
      <c r="Q39" s="52" t="n"/>
      <c r="R39" s="44" t="n"/>
      <c r="S39" s="14" t="n"/>
      <c r="U39" s="53" t="n"/>
      <c r="V39" s="53" t="n"/>
      <c r="W39" s="53" t="n"/>
      <c r="X39" s="53" t="n"/>
      <c r="Y39" s="53" t="n"/>
      <c r="Z39" s="53" t="n"/>
      <c r="AA39" s="53" t="n"/>
      <c r="AB39" s="53" t="n"/>
      <c r="AC39" s="53" t="n"/>
      <c r="AD39" s="53" t="n"/>
      <c r="AE39" s="53" t="n"/>
      <c r="AF39" s="53" t="n"/>
      <c r="AG39" s="53" t="n"/>
      <c r="AH39" s="53" t="n"/>
      <c r="AI39" s="53" t="n"/>
      <c r="AJ39" s="53" t="n"/>
      <c r="AK39" s="53" t="n"/>
      <c r="AL39" s="53" t="n"/>
      <c r="AM39" s="53" t="n"/>
      <c r="AN39" s="53" t="n"/>
      <c r="AO39" s="53" t="n"/>
      <c r="AP39" s="53" t="n"/>
      <c r="AQ39" s="53" t="n"/>
      <c r="AR39" s="53" t="n"/>
      <c r="AS39" s="53" t="n"/>
      <c r="AT39" s="53" t="n"/>
      <c r="AU39" s="53" t="n"/>
      <c r="AV39" s="53" t="n"/>
      <c r="AW39" s="53" t="n"/>
      <c r="AX39" s="53" t="n"/>
      <c r="AY39" s="53" t="n"/>
    </row>
    <row r="40" ht="15" customHeight="1">
      <c r="A40" s="54" t="n"/>
      <c r="B40" s="55">
        <f>IF($B$39="","",$B$39)</f>
        <v/>
      </c>
      <c r="C40" s="56" t="inlineStr">
        <is>
          <t>마케팅1팀</t>
        </is>
      </c>
      <c r="D40" s="55">
        <f>IF($D$39="","",$D$39)</f>
        <v/>
      </c>
      <c r="E40" s="57" t="inlineStr">
        <is>
          <t>이미지</t>
        </is>
      </c>
      <c r="F40" s="44" t="n"/>
      <c r="G40" s="58">
        <f>IF($G$39="","",$G$39)</f>
        <v/>
      </c>
      <c r="H40" s="59" t="n"/>
      <c r="I40" s="59" t="n"/>
      <c r="J40" s="59" t="n"/>
      <c r="K40" s="59" t="n"/>
      <c r="L40" s="60">
        <f>IF(SUM(U40:AY40)=0,"",SUM(U40:AY40))</f>
        <v/>
      </c>
      <c r="M40" s="61">
        <f>IFERROR(INDEX(U$2:AY$2,MATCH(TRUE,INDEX(U40:AY40&lt;&gt;"",0),0)),"")</f>
        <v/>
      </c>
      <c r="N40" s="61">
        <f>IFERROR(LOOKUP(2,1/(U40:AY40&lt;&gt;""),U$2:AY$2),"")</f>
        <v/>
      </c>
      <c r="O40" s="59" t="n"/>
      <c r="P40" s="59" t="n"/>
      <c r="Q40" s="59" t="n"/>
      <c r="R40" s="59" t="n"/>
      <c r="S40" s="14" t="n"/>
      <c r="U40" s="53" t="n"/>
      <c r="V40" s="53" t="n"/>
      <c r="W40" s="53" t="n"/>
      <c r="X40" s="53" t="n"/>
      <c r="Y40" s="53" t="n"/>
      <c r="Z40" s="53" t="n"/>
      <c r="AA40" s="53" t="n"/>
      <c r="AB40" s="53" t="n"/>
      <c r="AC40" s="53" t="n"/>
      <c r="AD40" s="53" t="n"/>
      <c r="AE40" s="53" t="n"/>
      <c r="AF40" s="53" t="n"/>
      <c r="AG40" s="53" t="n"/>
      <c r="AH40" s="53" t="n"/>
      <c r="AI40" s="53" t="n"/>
      <c r="AJ40" s="53" t="n"/>
      <c r="AK40" s="53" t="n"/>
      <c r="AL40" s="53" t="n"/>
      <c r="AM40" s="53" t="n"/>
      <c r="AN40" s="53" t="n"/>
      <c r="AO40" s="53" t="n"/>
      <c r="AP40" s="53" t="n"/>
      <c r="AQ40" s="53" t="n"/>
      <c r="AR40" s="53" t="n"/>
      <c r="AS40" s="53" t="n"/>
      <c r="AT40" s="53" t="n"/>
      <c r="AU40" s="53" t="n"/>
      <c r="AV40" s="53" t="n"/>
      <c r="AW40" s="53" t="n"/>
      <c r="AX40" s="53" t="n"/>
      <c r="AY40" s="53" t="n"/>
    </row>
    <row r="41" ht="15" customHeight="1">
      <c r="A41" s="62" t="n"/>
      <c r="B41" s="55">
        <f>IF($B$39="","",$B$39)</f>
        <v/>
      </c>
      <c r="C41" s="63" t="inlineStr">
        <is>
          <t>마케팅1팀</t>
        </is>
      </c>
      <c r="D41" s="55">
        <f>IF($D$39="","",$D$39)</f>
        <v/>
      </c>
      <c r="E41" s="64" t="inlineStr">
        <is>
          <t>영상</t>
        </is>
      </c>
      <c r="F41" s="44" t="n"/>
      <c r="G41" s="58">
        <f>IF($G$39="","",$G$39)</f>
        <v/>
      </c>
      <c r="H41" s="59" t="n"/>
      <c r="I41" s="59" t="n"/>
      <c r="J41" s="59" t="n"/>
      <c r="K41" s="59" t="n"/>
      <c r="L41" s="65">
        <f>IF(SUM(U41:AY41)=0,"",SUM(U41:AY41))</f>
        <v/>
      </c>
      <c r="M41" s="66">
        <f>IFERROR(INDEX(U$2:AY$2,MATCH(TRUE,INDEX(U41:AY41&lt;&gt;"",0),0)),"")</f>
        <v/>
      </c>
      <c r="N41" s="66">
        <f>IFERROR(LOOKUP(2,1/(U41:AY41&lt;&gt;""),U$2:AY$2),"")</f>
        <v/>
      </c>
      <c r="O41" s="59" t="n"/>
      <c r="P41" s="59" t="n"/>
      <c r="Q41" s="59" t="n"/>
      <c r="R41" s="59" t="n"/>
      <c r="S41" s="14" t="n"/>
      <c r="U41" s="53" t="n"/>
      <c r="V41" s="53" t="n"/>
      <c r="W41" s="53" t="n"/>
      <c r="X41" s="53" t="n"/>
      <c r="Y41" s="53" t="n"/>
      <c r="Z41" s="53" t="n"/>
      <c r="AA41" s="53" t="n"/>
      <c r="AB41" s="53" t="n"/>
      <c r="AC41" s="53" t="n"/>
      <c r="AD41" s="53" t="n"/>
      <c r="AE41" s="53" t="n"/>
      <c r="AF41" s="53" t="n"/>
      <c r="AG41" s="53" t="n"/>
      <c r="AH41" s="53" t="n"/>
      <c r="AI41" s="53" t="n"/>
      <c r="AJ41" s="53" t="n"/>
      <c r="AK41" s="53" t="n"/>
      <c r="AL41" s="53" t="n"/>
      <c r="AM41" s="53" t="n"/>
      <c r="AN41" s="53" t="n"/>
      <c r="AO41" s="53" t="n"/>
      <c r="AP41" s="53" t="n"/>
      <c r="AQ41" s="53" t="n"/>
      <c r="AR41" s="53" t="n"/>
      <c r="AS41" s="53" t="n"/>
      <c r="AT41" s="53" t="n"/>
      <c r="AU41" s="53" t="n"/>
      <c r="AV41" s="53" t="n"/>
      <c r="AW41" s="53" t="n"/>
      <c r="AX41" s="53" t="n"/>
      <c r="AY41" s="53" t="n"/>
    </row>
    <row r="42" ht="15" customHeight="1">
      <c r="A42" s="40">
        <f>IF($D$42="","",12)</f>
        <v/>
      </c>
      <c r="B42" s="10" t="n"/>
      <c r="C42" s="41" t="inlineStr">
        <is>
          <t>마케팅1팀</t>
        </is>
      </c>
      <c r="D42" s="42" t="n"/>
      <c r="E42" s="43" t="inlineStr">
        <is>
          <t>기획</t>
        </is>
      </c>
      <c r="F42" s="44" t="n"/>
      <c r="G42" s="45" t="n"/>
      <c r="H42" s="46">
        <f>IF($I$42="","",IF($I$42&lt;0,"🔴지연",IF($I$42&lt;=1,"🟡임박","🟢여유")))</f>
        <v/>
      </c>
      <c r="I42" s="47">
        <f>IF(OR($G$42="",$K$42=""),"",$G$42-$K$42)</f>
        <v/>
      </c>
      <c r="J42" s="48">
        <f>IF(SUM($L$42:$L$44)=0,"",SUM($L$42:$L$44))</f>
        <v/>
      </c>
      <c r="K42" s="49">
        <f>IF($J$42="","",MAX($N$42:$N$44))</f>
        <v/>
      </c>
      <c r="L42" s="50">
        <f>IF(SUM(U42:AY42)=0,"",SUM(U42:AY42))</f>
        <v/>
      </c>
      <c r="M42" s="51">
        <f>IFERROR(INDEX(U$2:AY$2,MATCH(TRUE,INDEX(U42:AY42&lt;&gt;"",0),0)),"")</f>
        <v/>
      </c>
      <c r="N42" s="51">
        <f>IFERROR(LOOKUP(2,1/(U42:AY42&lt;&gt;""),U$2:AY$2),"")</f>
        <v/>
      </c>
      <c r="O42" s="52" t="n"/>
      <c r="P42" s="52" t="n"/>
      <c r="Q42" s="52" t="n"/>
      <c r="R42" s="44" t="n"/>
      <c r="S42" s="14" t="n"/>
      <c r="U42" s="53" t="n"/>
      <c r="V42" s="53" t="n"/>
      <c r="W42" s="53" t="n"/>
      <c r="X42" s="53" t="n"/>
      <c r="Y42" s="53" t="n"/>
      <c r="Z42" s="53" t="n"/>
      <c r="AA42" s="53" t="n"/>
      <c r="AB42" s="53" t="n"/>
      <c r="AC42" s="53" t="n"/>
      <c r="AD42" s="53" t="n"/>
      <c r="AE42" s="53" t="n"/>
      <c r="AF42" s="53" t="n"/>
      <c r="AG42" s="53" t="n"/>
      <c r="AH42" s="53" t="n"/>
      <c r="AI42" s="53" t="n"/>
      <c r="AJ42" s="53" t="n"/>
      <c r="AK42" s="53" t="n"/>
      <c r="AL42" s="53" t="n"/>
      <c r="AM42" s="53" t="n"/>
      <c r="AN42" s="53" t="n"/>
      <c r="AO42" s="53" t="n"/>
      <c r="AP42" s="53" t="n"/>
      <c r="AQ42" s="53" t="n"/>
      <c r="AR42" s="53" t="n"/>
      <c r="AS42" s="53" t="n"/>
      <c r="AT42" s="53" t="n"/>
      <c r="AU42" s="53" t="n"/>
      <c r="AV42" s="53" t="n"/>
      <c r="AW42" s="53" t="n"/>
      <c r="AX42" s="53" t="n"/>
      <c r="AY42" s="53" t="n"/>
    </row>
    <row r="43" ht="15" customHeight="1">
      <c r="A43" s="54" t="n"/>
      <c r="B43" s="55">
        <f>IF($B$42="","",$B$42)</f>
        <v/>
      </c>
      <c r="C43" s="56" t="inlineStr">
        <is>
          <t>마케팅1팀</t>
        </is>
      </c>
      <c r="D43" s="55">
        <f>IF($D$42="","",$D$42)</f>
        <v/>
      </c>
      <c r="E43" s="57" t="inlineStr">
        <is>
          <t>이미지</t>
        </is>
      </c>
      <c r="F43" s="44" t="n"/>
      <c r="G43" s="58">
        <f>IF($G$42="","",$G$42)</f>
        <v/>
      </c>
      <c r="H43" s="59" t="n"/>
      <c r="I43" s="59" t="n"/>
      <c r="J43" s="59" t="n"/>
      <c r="K43" s="59" t="n"/>
      <c r="L43" s="60">
        <f>IF(SUM(U43:AY43)=0,"",SUM(U43:AY43))</f>
        <v/>
      </c>
      <c r="M43" s="61">
        <f>IFERROR(INDEX(U$2:AY$2,MATCH(TRUE,INDEX(U43:AY43&lt;&gt;"",0),0)),"")</f>
        <v/>
      </c>
      <c r="N43" s="61">
        <f>IFERROR(LOOKUP(2,1/(U43:AY43&lt;&gt;""),U$2:AY$2),"")</f>
        <v/>
      </c>
      <c r="O43" s="59" t="n"/>
      <c r="P43" s="59" t="n"/>
      <c r="Q43" s="59" t="n"/>
      <c r="R43" s="59" t="n"/>
      <c r="S43" s="14" t="n"/>
      <c r="U43" s="53" t="n"/>
      <c r="V43" s="53" t="n"/>
      <c r="W43" s="53" t="n"/>
      <c r="X43" s="53" t="n"/>
      <c r="Y43" s="53" t="n"/>
      <c r="Z43" s="53" t="n"/>
      <c r="AA43" s="53" t="n"/>
      <c r="AB43" s="53" t="n"/>
      <c r="AC43" s="53" t="n"/>
      <c r="AD43" s="53" t="n"/>
      <c r="AE43" s="53" t="n"/>
      <c r="AF43" s="53" t="n"/>
      <c r="AG43" s="53" t="n"/>
      <c r="AH43" s="53" t="n"/>
      <c r="AI43" s="53" t="n"/>
      <c r="AJ43" s="53" t="n"/>
      <c r="AK43" s="53" t="n"/>
      <c r="AL43" s="53" t="n"/>
      <c r="AM43" s="53" t="n"/>
      <c r="AN43" s="53" t="n"/>
      <c r="AO43" s="53" t="n"/>
      <c r="AP43" s="53" t="n"/>
      <c r="AQ43" s="53" t="n"/>
      <c r="AR43" s="53" t="n"/>
      <c r="AS43" s="53" t="n"/>
      <c r="AT43" s="53" t="n"/>
      <c r="AU43" s="53" t="n"/>
      <c r="AV43" s="53" t="n"/>
      <c r="AW43" s="53" t="n"/>
      <c r="AX43" s="53" t="n"/>
      <c r="AY43" s="53" t="n"/>
    </row>
    <row r="44" ht="15" customHeight="1">
      <c r="A44" s="62" t="n"/>
      <c r="B44" s="55">
        <f>IF($B$42="","",$B$42)</f>
        <v/>
      </c>
      <c r="C44" s="63" t="inlineStr">
        <is>
          <t>마케팅1팀</t>
        </is>
      </c>
      <c r="D44" s="55">
        <f>IF($D$42="","",$D$42)</f>
        <v/>
      </c>
      <c r="E44" s="64" t="inlineStr">
        <is>
          <t>영상</t>
        </is>
      </c>
      <c r="F44" s="44" t="n"/>
      <c r="G44" s="58">
        <f>IF($G$42="","",$G$42)</f>
        <v/>
      </c>
      <c r="H44" s="59" t="n"/>
      <c r="I44" s="59" t="n"/>
      <c r="J44" s="59" t="n"/>
      <c r="K44" s="59" t="n"/>
      <c r="L44" s="65">
        <f>IF(SUM(U44:AY44)=0,"",SUM(U44:AY44))</f>
        <v/>
      </c>
      <c r="M44" s="66">
        <f>IFERROR(INDEX(U$2:AY$2,MATCH(TRUE,INDEX(U44:AY44&lt;&gt;"",0),0)),"")</f>
        <v/>
      </c>
      <c r="N44" s="66">
        <f>IFERROR(LOOKUP(2,1/(U44:AY44&lt;&gt;""),U$2:AY$2),"")</f>
        <v/>
      </c>
      <c r="O44" s="59" t="n"/>
      <c r="P44" s="59" t="n"/>
      <c r="Q44" s="59" t="n"/>
      <c r="R44" s="59" t="n"/>
      <c r="S44" s="14" t="n"/>
      <c r="U44" s="53" t="n"/>
      <c r="V44" s="53" t="n"/>
      <c r="W44" s="53" t="n"/>
      <c r="X44" s="53" t="n"/>
      <c r="Y44" s="53" t="n"/>
      <c r="Z44" s="53" t="n"/>
      <c r="AA44" s="53" t="n"/>
      <c r="AB44" s="53" t="n"/>
      <c r="AC44" s="53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53" t="n"/>
      <c r="AN44" s="53" t="n"/>
      <c r="AO44" s="53" t="n"/>
      <c r="AP44" s="53" t="n"/>
      <c r="AQ44" s="53" t="n"/>
      <c r="AR44" s="53" t="n"/>
      <c r="AS44" s="53" t="n"/>
      <c r="AT44" s="53" t="n"/>
      <c r="AU44" s="53" t="n"/>
      <c r="AV44" s="53" t="n"/>
      <c r="AW44" s="53" t="n"/>
      <c r="AX44" s="53" t="n"/>
      <c r="AY44" s="53" t="n"/>
    </row>
    <row r="45" ht="15" customHeight="1">
      <c r="A45" s="40">
        <f>IF($D$45="","",13)</f>
        <v/>
      </c>
      <c r="B45" s="10" t="n"/>
      <c r="C45" s="41" t="inlineStr">
        <is>
          <t>마케팅1팀</t>
        </is>
      </c>
      <c r="D45" s="42" t="n"/>
      <c r="E45" s="43" t="inlineStr">
        <is>
          <t>기획</t>
        </is>
      </c>
      <c r="F45" s="44" t="n"/>
      <c r="G45" s="45" t="n"/>
      <c r="H45" s="46">
        <f>IF($I$45="","",IF($I$45&lt;0,"🔴지연",IF($I$45&lt;=1,"🟡임박","🟢여유")))</f>
        <v/>
      </c>
      <c r="I45" s="47">
        <f>IF(OR($G$45="",$K$45=""),"",$G$45-$K$45)</f>
        <v/>
      </c>
      <c r="J45" s="48">
        <f>IF(SUM($L$45:$L$47)=0,"",SUM($L$45:$L$47))</f>
        <v/>
      </c>
      <c r="K45" s="49">
        <f>IF($J$45="","",MAX($N$45:$N$47))</f>
        <v/>
      </c>
      <c r="L45" s="50">
        <f>IF(SUM(U45:AY45)=0,"",SUM(U45:AY45))</f>
        <v/>
      </c>
      <c r="M45" s="51">
        <f>IFERROR(INDEX(U$2:AY$2,MATCH(TRUE,INDEX(U45:AY45&lt;&gt;"",0),0)),"")</f>
        <v/>
      </c>
      <c r="N45" s="51">
        <f>IFERROR(LOOKUP(2,1/(U45:AY45&lt;&gt;""),U$2:AY$2),"")</f>
        <v/>
      </c>
      <c r="O45" s="52" t="n"/>
      <c r="P45" s="52" t="n"/>
      <c r="Q45" s="52" t="n"/>
      <c r="R45" s="44" t="n"/>
      <c r="S45" s="14" t="n"/>
      <c r="U45" s="53" t="n"/>
      <c r="V45" s="53" t="n"/>
      <c r="W45" s="53" t="n"/>
      <c r="X45" s="53" t="n"/>
      <c r="Y45" s="53" t="n"/>
      <c r="Z45" s="53" t="n"/>
      <c r="AA45" s="53" t="n"/>
      <c r="AB45" s="53" t="n"/>
      <c r="AC45" s="53" t="n"/>
      <c r="AD45" s="53" t="n"/>
      <c r="AE45" s="53" t="n"/>
      <c r="AF45" s="53" t="n"/>
      <c r="AG45" s="53" t="n"/>
      <c r="AH45" s="53" t="n"/>
      <c r="AI45" s="53" t="n"/>
      <c r="AJ45" s="53" t="n"/>
      <c r="AK45" s="53" t="n"/>
      <c r="AL45" s="53" t="n"/>
      <c r="AM45" s="53" t="n"/>
      <c r="AN45" s="53" t="n"/>
      <c r="AO45" s="53" t="n"/>
      <c r="AP45" s="53" t="n"/>
      <c r="AQ45" s="53" t="n"/>
      <c r="AR45" s="53" t="n"/>
      <c r="AS45" s="53" t="n"/>
      <c r="AT45" s="53" t="n"/>
      <c r="AU45" s="53" t="n"/>
      <c r="AV45" s="53" t="n"/>
      <c r="AW45" s="53" t="n"/>
      <c r="AX45" s="53" t="n"/>
      <c r="AY45" s="53" t="n"/>
    </row>
    <row r="46" ht="15" customHeight="1">
      <c r="A46" s="54" t="n"/>
      <c r="B46" s="55">
        <f>IF($B$45="","",$B$45)</f>
        <v/>
      </c>
      <c r="C46" s="56" t="inlineStr">
        <is>
          <t>마케팅1팀</t>
        </is>
      </c>
      <c r="D46" s="55">
        <f>IF($D$45="","",$D$45)</f>
        <v/>
      </c>
      <c r="E46" s="57" t="inlineStr">
        <is>
          <t>이미지</t>
        </is>
      </c>
      <c r="F46" s="44" t="n"/>
      <c r="G46" s="58">
        <f>IF($G$45="","",$G$45)</f>
        <v/>
      </c>
      <c r="H46" s="59" t="n"/>
      <c r="I46" s="59" t="n"/>
      <c r="J46" s="59" t="n"/>
      <c r="K46" s="59" t="n"/>
      <c r="L46" s="60">
        <f>IF(SUM(U46:AY46)=0,"",SUM(U46:AY46))</f>
        <v/>
      </c>
      <c r="M46" s="61">
        <f>IFERROR(INDEX(U$2:AY$2,MATCH(TRUE,INDEX(U46:AY46&lt;&gt;"",0),0)),"")</f>
        <v/>
      </c>
      <c r="N46" s="61">
        <f>IFERROR(LOOKUP(2,1/(U46:AY46&lt;&gt;""),U$2:AY$2),"")</f>
        <v/>
      </c>
      <c r="O46" s="59" t="n"/>
      <c r="P46" s="59" t="n"/>
      <c r="Q46" s="59" t="n"/>
      <c r="R46" s="59" t="n"/>
      <c r="S46" s="14" t="n"/>
      <c r="U46" s="53" t="n"/>
      <c r="V46" s="53" t="n"/>
      <c r="W46" s="53" t="n"/>
      <c r="X46" s="53" t="n"/>
      <c r="Y46" s="53" t="n"/>
      <c r="Z46" s="53" t="n"/>
      <c r="AA46" s="53" t="n"/>
      <c r="AB46" s="53" t="n"/>
      <c r="AC46" s="53" t="n"/>
      <c r="AD46" s="53" t="n"/>
      <c r="AE46" s="53" t="n"/>
      <c r="AF46" s="53" t="n"/>
      <c r="AG46" s="53" t="n"/>
      <c r="AH46" s="53" t="n"/>
      <c r="AI46" s="53" t="n"/>
      <c r="AJ46" s="53" t="n"/>
      <c r="AK46" s="53" t="n"/>
      <c r="AL46" s="53" t="n"/>
      <c r="AM46" s="53" t="n"/>
      <c r="AN46" s="53" t="n"/>
      <c r="AO46" s="53" t="n"/>
      <c r="AP46" s="53" t="n"/>
      <c r="AQ46" s="53" t="n"/>
      <c r="AR46" s="53" t="n"/>
      <c r="AS46" s="53" t="n"/>
      <c r="AT46" s="53" t="n"/>
      <c r="AU46" s="53" t="n"/>
      <c r="AV46" s="53" t="n"/>
      <c r="AW46" s="53" t="n"/>
      <c r="AX46" s="53" t="n"/>
      <c r="AY46" s="53" t="n"/>
    </row>
    <row r="47" ht="15" customHeight="1">
      <c r="A47" s="62" t="n"/>
      <c r="B47" s="55">
        <f>IF($B$45="","",$B$45)</f>
        <v/>
      </c>
      <c r="C47" s="63" t="inlineStr">
        <is>
          <t>마케팅1팀</t>
        </is>
      </c>
      <c r="D47" s="55">
        <f>IF($D$45="","",$D$45)</f>
        <v/>
      </c>
      <c r="E47" s="64" t="inlineStr">
        <is>
          <t>영상</t>
        </is>
      </c>
      <c r="F47" s="44" t="n"/>
      <c r="G47" s="58">
        <f>IF($G$45="","",$G$45)</f>
        <v/>
      </c>
      <c r="H47" s="59" t="n"/>
      <c r="I47" s="59" t="n"/>
      <c r="J47" s="59" t="n"/>
      <c r="K47" s="59" t="n"/>
      <c r="L47" s="65">
        <f>IF(SUM(U47:AY47)=0,"",SUM(U47:AY47))</f>
        <v/>
      </c>
      <c r="M47" s="66">
        <f>IFERROR(INDEX(U$2:AY$2,MATCH(TRUE,INDEX(U47:AY47&lt;&gt;"",0),0)),"")</f>
        <v/>
      </c>
      <c r="N47" s="66">
        <f>IFERROR(LOOKUP(2,1/(U47:AY47&lt;&gt;""),U$2:AY$2),"")</f>
        <v/>
      </c>
      <c r="O47" s="59" t="n"/>
      <c r="P47" s="59" t="n"/>
      <c r="Q47" s="59" t="n"/>
      <c r="R47" s="59" t="n"/>
      <c r="S47" s="14" t="n"/>
      <c r="U47" s="53" t="n"/>
      <c r="V47" s="53" t="n"/>
      <c r="W47" s="53" t="n"/>
      <c r="X47" s="53" t="n"/>
      <c r="Y47" s="53" t="n"/>
      <c r="Z47" s="53" t="n"/>
      <c r="AA47" s="53" t="n"/>
      <c r="AB47" s="53" t="n"/>
      <c r="AC47" s="53" t="n"/>
      <c r="AD47" s="53" t="n"/>
      <c r="AE47" s="53" t="n"/>
      <c r="AF47" s="53" t="n"/>
      <c r="AG47" s="53" t="n"/>
      <c r="AH47" s="53" t="n"/>
      <c r="AI47" s="53" t="n"/>
      <c r="AJ47" s="53" t="n"/>
      <c r="AK47" s="53" t="n"/>
      <c r="AL47" s="53" t="n"/>
      <c r="AM47" s="53" t="n"/>
      <c r="AN47" s="53" t="n"/>
      <c r="AO47" s="53" t="n"/>
      <c r="AP47" s="53" t="n"/>
      <c r="AQ47" s="53" t="n"/>
      <c r="AR47" s="53" t="n"/>
      <c r="AS47" s="53" t="n"/>
      <c r="AT47" s="53" t="n"/>
      <c r="AU47" s="53" t="n"/>
      <c r="AV47" s="53" t="n"/>
      <c r="AW47" s="53" t="n"/>
      <c r="AX47" s="53" t="n"/>
      <c r="AY47" s="53" t="n"/>
    </row>
    <row r="48" ht="15" customHeight="1">
      <c r="A48" s="40">
        <f>IF($D$48="","",14)</f>
        <v/>
      </c>
      <c r="B48" s="10" t="n"/>
      <c r="C48" s="41" t="inlineStr">
        <is>
          <t>마케팅1팀</t>
        </is>
      </c>
      <c r="D48" s="42" t="n"/>
      <c r="E48" s="43" t="inlineStr">
        <is>
          <t>기획</t>
        </is>
      </c>
      <c r="F48" s="44" t="n"/>
      <c r="G48" s="45" t="n"/>
      <c r="H48" s="46">
        <f>IF($I$48="","",IF($I$48&lt;0,"🔴지연",IF($I$48&lt;=1,"🟡임박","🟢여유")))</f>
        <v/>
      </c>
      <c r="I48" s="47">
        <f>IF(OR($G$48="",$K$48=""),"",$G$48-$K$48)</f>
        <v/>
      </c>
      <c r="J48" s="48">
        <f>IF(SUM($L$48:$L$50)=0,"",SUM($L$48:$L$50))</f>
        <v/>
      </c>
      <c r="K48" s="49">
        <f>IF($J$48="","",MAX($N$48:$N$50))</f>
        <v/>
      </c>
      <c r="L48" s="50">
        <f>IF(SUM(U48:AY48)=0,"",SUM(U48:AY48))</f>
        <v/>
      </c>
      <c r="M48" s="51">
        <f>IFERROR(INDEX(U$2:AY$2,MATCH(TRUE,INDEX(U48:AY48&lt;&gt;"",0),0)),"")</f>
        <v/>
      </c>
      <c r="N48" s="51">
        <f>IFERROR(LOOKUP(2,1/(U48:AY48&lt;&gt;""),U$2:AY$2),"")</f>
        <v/>
      </c>
      <c r="O48" s="52" t="n"/>
      <c r="P48" s="52" t="n"/>
      <c r="Q48" s="52" t="n"/>
      <c r="R48" s="44" t="n"/>
      <c r="S48" s="14" t="n"/>
      <c r="U48" s="53" t="n"/>
      <c r="V48" s="53" t="n"/>
      <c r="W48" s="53" t="n"/>
      <c r="X48" s="53" t="n"/>
      <c r="Y48" s="53" t="n"/>
      <c r="Z48" s="53" t="n"/>
      <c r="AA48" s="53" t="n"/>
      <c r="AB48" s="53" t="n"/>
      <c r="AC48" s="53" t="n"/>
      <c r="AD48" s="53" t="n"/>
      <c r="AE48" s="53" t="n"/>
      <c r="AF48" s="53" t="n"/>
      <c r="AG48" s="53" t="n"/>
      <c r="AH48" s="53" t="n"/>
      <c r="AI48" s="53" t="n"/>
      <c r="AJ48" s="53" t="n"/>
      <c r="AK48" s="53" t="n"/>
      <c r="AL48" s="53" t="n"/>
      <c r="AM48" s="53" t="n"/>
      <c r="AN48" s="53" t="n"/>
      <c r="AO48" s="53" t="n"/>
      <c r="AP48" s="53" t="n"/>
      <c r="AQ48" s="53" t="n"/>
      <c r="AR48" s="53" t="n"/>
      <c r="AS48" s="53" t="n"/>
      <c r="AT48" s="53" t="n"/>
      <c r="AU48" s="53" t="n"/>
      <c r="AV48" s="53" t="n"/>
      <c r="AW48" s="53" t="n"/>
      <c r="AX48" s="53" t="n"/>
      <c r="AY48" s="53" t="n"/>
    </row>
    <row r="49" ht="15" customHeight="1">
      <c r="A49" s="54" t="n"/>
      <c r="B49" s="55">
        <f>IF($B$48="","",$B$48)</f>
        <v/>
      </c>
      <c r="C49" s="56" t="inlineStr">
        <is>
          <t>마케팅1팀</t>
        </is>
      </c>
      <c r="D49" s="55">
        <f>IF($D$48="","",$D$48)</f>
        <v/>
      </c>
      <c r="E49" s="57" t="inlineStr">
        <is>
          <t>이미지</t>
        </is>
      </c>
      <c r="F49" s="44" t="n"/>
      <c r="G49" s="58">
        <f>IF($G$48="","",$G$48)</f>
        <v/>
      </c>
      <c r="H49" s="59" t="n"/>
      <c r="I49" s="59" t="n"/>
      <c r="J49" s="59" t="n"/>
      <c r="K49" s="59" t="n"/>
      <c r="L49" s="60">
        <f>IF(SUM(U49:AY49)=0,"",SUM(U49:AY49))</f>
        <v/>
      </c>
      <c r="M49" s="61">
        <f>IFERROR(INDEX(U$2:AY$2,MATCH(TRUE,INDEX(U49:AY49&lt;&gt;"",0),0)),"")</f>
        <v/>
      </c>
      <c r="N49" s="61">
        <f>IFERROR(LOOKUP(2,1/(U49:AY49&lt;&gt;""),U$2:AY$2),"")</f>
        <v/>
      </c>
      <c r="O49" s="59" t="n"/>
      <c r="P49" s="59" t="n"/>
      <c r="Q49" s="59" t="n"/>
      <c r="R49" s="59" t="n"/>
      <c r="S49" s="14" t="n"/>
      <c r="U49" s="53" t="n"/>
      <c r="V49" s="53" t="n"/>
      <c r="W49" s="53" t="n"/>
      <c r="X49" s="53" t="n"/>
      <c r="Y49" s="53" t="n"/>
      <c r="Z49" s="53" t="n"/>
      <c r="AA49" s="53" t="n"/>
      <c r="AB49" s="53" t="n"/>
      <c r="AC49" s="53" t="n"/>
      <c r="AD49" s="53" t="n"/>
      <c r="AE49" s="53" t="n"/>
      <c r="AF49" s="53" t="n"/>
      <c r="AG49" s="53" t="n"/>
      <c r="AH49" s="53" t="n"/>
      <c r="AI49" s="53" t="n"/>
      <c r="AJ49" s="53" t="n"/>
      <c r="AK49" s="53" t="n"/>
      <c r="AL49" s="53" t="n"/>
      <c r="AM49" s="53" t="n"/>
      <c r="AN49" s="53" t="n"/>
      <c r="AO49" s="53" t="n"/>
      <c r="AP49" s="53" t="n"/>
      <c r="AQ49" s="53" t="n"/>
      <c r="AR49" s="53" t="n"/>
      <c r="AS49" s="53" t="n"/>
      <c r="AT49" s="53" t="n"/>
      <c r="AU49" s="53" t="n"/>
      <c r="AV49" s="53" t="n"/>
      <c r="AW49" s="53" t="n"/>
      <c r="AX49" s="53" t="n"/>
      <c r="AY49" s="53" t="n"/>
    </row>
    <row r="50" ht="15" customHeight="1">
      <c r="A50" s="62" t="n"/>
      <c r="B50" s="55">
        <f>IF($B$48="","",$B$48)</f>
        <v/>
      </c>
      <c r="C50" s="63" t="inlineStr">
        <is>
          <t>마케팅1팀</t>
        </is>
      </c>
      <c r="D50" s="55">
        <f>IF($D$48="","",$D$48)</f>
        <v/>
      </c>
      <c r="E50" s="64" t="inlineStr">
        <is>
          <t>영상</t>
        </is>
      </c>
      <c r="F50" s="44" t="n"/>
      <c r="G50" s="58">
        <f>IF($G$48="","",$G$48)</f>
        <v/>
      </c>
      <c r="H50" s="59" t="n"/>
      <c r="I50" s="59" t="n"/>
      <c r="J50" s="59" t="n"/>
      <c r="K50" s="59" t="n"/>
      <c r="L50" s="65">
        <f>IF(SUM(U50:AY50)=0,"",SUM(U50:AY50))</f>
        <v/>
      </c>
      <c r="M50" s="66">
        <f>IFERROR(INDEX(U$2:AY$2,MATCH(TRUE,INDEX(U50:AY50&lt;&gt;"",0),0)),"")</f>
        <v/>
      </c>
      <c r="N50" s="66">
        <f>IFERROR(LOOKUP(2,1/(U50:AY50&lt;&gt;""),U$2:AY$2),"")</f>
        <v/>
      </c>
      <c r="O50" s="59" t="n"/>
      <c r="P50" s="59" t="n"/>
      <c r="Q50" s="59" t="n"/>
      <c r="R50" s="59" t="n"/>
      <c r="S50" s="14" t="n"/>
      <c r="U50" s="53" t="n"/>
      <c r="V50" s="53" t="n"/>
      <c r="W50" s="53" t="n"/>
      <c r="X50" s="53" t="n"/>
      <c r="Y50" s="53" t="n"/>
      <c r="Z50" s="53" t="n"/>
      <c r="AA50" s="53" t="n"/>
      <c r="AB50" s="53" t="n"/>
      <c r="AC50" s="53" t="n"/>
      <c r="AD50" s="53" t="n"/>
      <c r="AE50" s="53" t="n"/>
      <c r="AF50" s="53" t="n"/>
      <c r="AG50" s="53" t="n"/>
      <c r="AH50" s="53" t="n"/>
      <c r="AI50" s="53" t="n"/>
      <c r="AJ50" s="53" t="n"/>
      <c r="AK50" s="53" t="n"/>
      <c r="AL50" s="53" t="n"/>
      <c r="AM50" s="53" t="n"/>
      <c r="AN50" s="53" t="n"/>
      <c r="AO50" s="53" t="n"/>
      <c r="AP50" s="53" t="n"/>
      <c r="AQ50" s="53" t="n"/>
      <c r="AR50" s="53" t="n"/>
      <c r="AS50" s="53" t="n"/>
      <c r="AT50" s="53" t="n"/>
      <c r="AU50" s="53" t="n"/>
      <c r="AV50" s="53" t="n"/>
      <c r="AW50" s="53" t="n"/>
      <c r="AX50" s="53" t="n"/>
      <c r="AY50" s="53" t="n"/>
    </row>
    <row r="51" ht="15" customHeight="1">
      <c r="A51" s="40">
        <f>IF($D$51="","",15)</f>
        <v/>
      </c>
      <c r="B51" s="10" t="n"/>
      <c r="C51" s="41" t="inlineStr">
        <is>
          <t>마케팅1팀</t>
        </is>
      </c>
      <c r="D51" s="42" t="n"/>
      <c r="E51" s="43" t="inlineStr">
        <is>
          <t>기획</t>
        </is>
      </c>
      <c r="F51" s="44" t="n"/>
      <c r="G51" s="45" t="n"/>
      <c r="H51" s="46">
        <f>IF($I$51="","",IF($I$51&lt;0,"🔴지연",IF($I$51&lt;=1,"🟡임박","🟢여유")))</f>
        <v/>
      </c>
      <c r="I51" s="47">
        <f>IF(OR($G$51="",$K$51=""),"",$G$51-$K$51)</f>
        <v/>
      </c>
      <c r="J51" s="48">
        <f>IF(SUM($L$51:$L$53)=0,"",SUM($L$51:$L$53))</f>
        <v/>
      </c>
      <c r="K51" s="49">
        <f>IF($J$51="","",MAX($N$51:$N$53))</f>
        <v/>
      </c>
      <c r="L51" s="50">
        <f>IF(SUM(U51:AY51)=0,"",SUM(U51:AY51))</f>
        <v/>
      </c>
      <c r="M51" s="51">
        <f>IFERROR(INDEX(U$2:AY$2,MATCH(TRUE,INDEX(U51:AY51&lt;&gt;"",0),0)),"")</f>
        <v/>
      </c>
      <c r="N51" s="51">
        <f>IFERROR(LOOKUP(2,1/(U51:AY51&lt;&gt;""),U$2:AY$2),"")</f>
        <v/>
      </c>
      <c r="O51" s="52" t="n"/>
      <c r="P51" s="52" t="n"/>
      <c r="Q51" s="52" t="n"/>
      <c r="R51" s="44" t="n"/>
      <c r="S51" s="14" t="n"/>
      <c r="U51" s="53" t="n"/>
      <c r="V51" s="53" t="n"/>
      <c r="W51" s="53" t="n"/>
      <c r="X51" s="53" t="n"/>
      <c r="Y51" s="53" t="n"/>
      <c r="Z51" s="53" t="n"/>
      <c r="AA51" s="53" t="n"/>
      <c r="AB51" s="53" t="n"/>
      <c r="AC51" s="53" t="n"/>
      <c r="AD51" s="53" t="n"/>
      <c r="AE51" s="53" t="n"/>
      <c r="AF51" s="53" t="n"/>
      <c r="AG51" s="53" t="n"/>
      <c r="AH51" s="53" t="n"/>
      <c r="AI51" s="53" t="n"/>
      <c r="AJ51" s="53" t="n"/>
      <c r="AK51" s="53" t="n"/>
      <c r="AL51" s="53" t="n"/>
      <c r="AM51" s="53" t="n"/>
      <c r="AN51" s="53" t="n"/>
      <c r="AO51" s="53" t="n"/>
      <c r="AP51" s="53" t="n"/>
      <c r="AQ51" s="53" t="n"/>
      <c r="AR51" s="53" t="n"/>
      <c r="AS51" s="53" t="n"/>
      <c r="AT51" s="53" t="n"/>
      <c r="AU51" s="53" t="n"/>
      <c r="AV51" s="53" t="n"/>
      <c r="AW51" s="53" t="n"/>
      <c r="AX51" s="53" t="n"/>
      <c r="AY51" s="53" t="n"/>
    </row>
    <row r="52" ht="15" customHeight="1">
      <c r="A52" s="54" t="n"/>
      <c r="B52" s="55">
        <f>IF($B$51="","",$B$51)</f>
        <v/>
      </c>
      <c r="C52" s="56" t="inlineStr">
        <is>
          <t>마케팅1팀</t>
        </is>
      </c>
      <c r="D52" s="55">
        <f>IF($D$51="","",$D$51)</f>
        <v/>
      </c>
      <c r="E52" s="57" t="inlineStr">
        <is>
          <t>이미지</t>
        </is>
      </c>
      <c r="F52" s="44" t="n"/>
      <c r="G52" s="58">
        <f>IF($G$51="","",$G$51)</f>
        <v/>
      </c>
      <c r="H52" s="59" t="n"/>
      <c r="I52" s="59" t="n"/>
      <c r="J52" s="59" t="n"/>
      <c r="K52" s="59" t="n"/>
      <c r="L52" s="60">
        <f>IF(SUM(U52:AY52)=0,"",SUM(U52:AY52))</f>
        <v/>
      </c>
      <c r="M52" s="61">
        <f>IFERROR(INDEX(U$2:AY$2,MATCH(TRUE,INDEX(U52:AY52&lt;&gt;"",0),0)),"")</f>
        <v/>
      </c>
      <c r="N52" s="61">
        <f>IFERROR(LOOKUP(2,1/(U52:AY52&lt;&gt;""),U$2:AY$2),"")</f>
        <v/>
      </c>
      <c r="O52" s="59" t="n"/>
      <c r="P52" s="59" t="n"/>
      <c r="Q52" s="59" t="n"/>
      <c r="R52" s="59" t="n"/>
      <c r="S52" s="14" t="n"/>
      <c r="U52" s="53" t="n"/>
      <c r="V52" s="53" t="n"/>
      <c r="W52" s="53" t="n"/>
      <c r="X52" s="53" t="n"/>
      <c r="Y52" s="53" t="n"/>
      <c r="Z52" s="53" t="n"/>
      <c r="AA52" s="53" t="n"/>
      <c r="AB52" s="53" t="n"/>
      <c r="AC52" s="53" t="n"/>
      <c r="AD52" s="53" t="n"/>
      <c r="AE52" s="53" t="n"/>
      <c r="AF52" s="53" t="n"/>
      <c r="AG52" s="53" t="n"/>
      <c r="AH52" s="53" t="n"/>
      <c r="AI52" s="53" t="n"/>
      <c r="AJ52" s="53" t="n"/>
      <c r="AK52" s="53" t="n"/>
      <c r="AL52" s="53" t="n"/>
      <c r="AM52" s="53" t="n"/>
      <c r="AN52" s="53" t="n"/>
      <c r="AO52" s="53" t="n"/>
      <c r="AP52" s="53" t="n"/>
      <c r="AQ52" s="53" t="n"/>
      <c r="AR52" s="53" t="n"/>
      <c r="AS52" s="53" t="n"/>
      <c r="AT52" s="53" t="n"/>
      <c r="AU52" s="53" t="n"/>
      <c r="AV52" s="53" t="n"/>
      <c r="AW52" s="53" t="n"/>
      <c r="AX52" s="53" t="n"/>
      <c r="AY52" s="53" t="n"/>
    </row>
    <row r="53" ht="15" customHeight="1">
      <c r="A53" s="62" t="n"/>
      <c r="B53" s="55">
        <f>IF($B$51="","",$B$51)</f>
        <v/>
      </c>
      <c r="C53" s="63" t="inlineStr">
        <is>
          <t>마케팅1팀</t>
        </is>
      </c>
      <c r="D53" s="55">
        <f>IF($D$51="","",$D$51)</f>
        <v/>
      </c>
      <c r="E53" s="64" t="inlineStr">
        <is>
          <t>영상</t>
        </is>
      </c>
      <c r="F53" s="44" t="n"/>
      <c r="G53" s="58">
        <f>IF($G$51="","",$G$51)</f>
        <v/>
      </c>
      <c r="H53" s="59" t="n"/>
      <c r="I53" s="59" t="n"/>
      <c r="J53" s="59" t="n"/>
      <c r="K53" s="59" t="n"/>
      <c r="L53" s="65">
        <f>IF(SUM(U53:AY53)=0,"",SUM(U53:AY53))</f>
        <v/>
      </c>
      <c r="M53" s="66">
        <f>IFERROR(INDEX(U$2:AY$2,MATCH(TRUE,INDEX(U53:AY53&lt;&gt;"",0),0)),"")</f>
        <v/>
      </c>
      <c r="N53" s="66">
        <f>IFERROR(LOOKUP(2,1/(U53:AY53&lt;&gt;""),U$2:AY$2),"")</f>
        <v/>
      </c>
      <c r="O53" s="59" t="n"/>
      <c r="P53" s="59" t="n"/>
      <c r="Q53" s="59" t="n"/>
      <c r="R53" s="59" t="n"/>
      <c r="S53" s="14" t="n"/>
      <c r="U53" s="53" t="n"/>
      <c r="V53" s="53" t="n"/>
      <c r="W53" s="53" t="n"/>
      <c r="X53" s="53" t="n"/>
      <c r="Y53" s="53" t="n"/>
      <c r="Z53" s="53" t="n"/>
      <c r="AA53" s="53" t="n"/>
      <c r="AB53" s="53" t="n"/>
      <c r="AC53" s="53" t="n"/>
      <c r="AD53" s="53" t="n"/>
      <c r="AE53" s="53" t="n"/>
      <c r="AF53" s="53" t="n"/>
      <c r="AG53" s="53" t="n"/>
      <c r="AH53" s="53" t="n"/>
      <c r="AI53" s="53" t="n"/>
      <c r="AJ53" s="53" t="n"/>
      <c r="AK53" s="53" t="n"/>
      <c r="AL53" s="53" t="n"/>
      <c r="AM53" s="53" t="n"/>
      <c r="AN53" s="53" t="n"/>
      <c r="AO53" s="53" t="n"/>
      <c r="AP53" s="53" t="n"/>
      <c r="AQ53" s="53" t="n"/>
      <c r="AR53" s="53" t="n"/>
      <c r="AS53" s="53" t="n"/>
      <c r="AT53" s="53" t="n"/>
      <c r="AU53" s="53" t="n"/>
      <c r="AV53" s="53" t="n"/>
      <c r="AW53" s="53" t="n"/>
      <c r="AX53" s="53" t="n"/>
      <c r="AY53" s="53" t="n"/>
    </row>
    <row r="54" ht="15" customHeight="1">
      <c r="A54" s="40">
        <f>IF($D$54="","",16)</f>
        <v/>
      </c>
      <c r="B54" s="10" t="n"/>
      <c r="C54" s="41" t="inlineStr">
        <is>
          <t>마케팅1팀</t>
        </is>
      </c>
      <c r="D54" s="42" t="n"/>
      <c r="E54" s="43" t="inlineStr">
        <is>
          <t>기획</t>
        </is>
      </c>
      <c r="F54" s="44" t="n"/>
      <c r="G54" s="45" t="n"/>
      <c r="H54" s="46">
        <f>IF($I$54="","",IF($I$54&lt;0,"🔴지연",IF($I$54&lt;=1,"🟡임박","🟢여유")))</f>
        <v/>
      </c>
      <c r="I54" s="47">
        <f>IF(OR($G$54="",$K$54=""),"",$G$54-$K$54)</f>
        <v/>
      </c>
      <c r="J54" s="48">
        <f>IF(SUM($L$54:$L$56)=0,"",SUM($L$54:$L$56))</f>
        <v/>
      </c>
      <c r="K54" s="49">
        <f>IF($J$54="","",MAX($N$54:$N$56))</f>
        <v/>
      </c>
      <c r="L54" s="50">
        <f>IF(SUM(U54:AY54)=0,"",SUM(U54:AY54))</f>
        <v/>
      </c>
      <c r="M54" s="51">
        <f>IFERROR(INDEX(U$2:AY$2,MATCH(TRUE,INDEX(U54:AY54&lt;&gt;"",0),0)),"")</f>
        <v/>
      </c>
      <c r="N54" s="51">
        <f>IFERROR(LOOKUP(2,1/(U54:AY54&lt;&gt;""),U$2:AY$2),"")</f>
        <v/>
      </c>
      <c r="O54" s="52" t="n"/>
      <c r="P54" s="52" t="n"/>
      <c r="Q54" s="52" t="n"/>
      <c r="R54" s="44" t="n"/>
      <c r="S54" s="14" t="n"/>
      <c r="U54" s="53" t="n"/>
      <c r="V54" s="53" t="n"/>
      <c r="W54" s="53" t="n"/>
      <c r="X54" s="53" t="n"/>
      <c r="Y54" s="53" t="n"/>
      <c r="Z54" s="53" t="n"/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s="53" t="n"/>
      <c r="AJ54" s="53" t="n"/>
      <c r="AK54" s="53" t="n"/>
      <c r="AL54" s="53" t="n"/>
      <c r="AM54" s="53" t="n"/>
      <c r="AN54" s="53" t="n"/>
      <c r="AO54" s="53" t="n"/>
      <c r="AP54" s="53" t="n"/>
      <c r="AQ54" s="53" t="n"/>
      <c r="AR54" s="53" t="n"/>
      <c r="AS54" s="53" t="n"/>
      <c r="AT54" s="53" t="n"/>
      <c r="AU54" s="53" t="n"/>
      <c r="AV54" s="53" t="n"/>
      <c r="AW54" s="53" t="n"/>
      <c r="AX54" s="53" t="n"/>
      <c r="AY54" s="53" t="n"/>
    </row>
    <row r="55" ht="15" customHeight="1">
      <c r="A55" s="54" t="n"/>
      <c r="B55" s="55">
        <f>IF($B$54="","",$B$54)</f>
        <v/>
      </c>
      <c r="C55" s="56" t="inlineStr">
        <is>
          <t>마케팅1팀</t>
        </is>
      </c>
      <c r="D55" s="55">
        <f>IF($D$54="","",$D$54)</f>
        <v/>
      </c>
      <c r="E55" s="57" t="inlineStr">
        <is>
          <t>이미지</t>
        </is>
      </c>
      <c r="F55" s="44" t="n"/>
      <c r="G55" s="58">
        <f>IF($G$54="","",$G$54)</f>
        <v/>
      </c>
      <c r="H55" s="59" t="n"/>
      <c r="I55" s="59" t="n"/>
      <c r="J55" s="59" t="n"/>
      <c r="K55" s="59" t="n"/>
      <c r="L55" s="60">
        <f>IF(SUM(U55:AY55)=0,"",SUM(U55:AY55))</f>
        <v/>
      </c>
      <c r="M55" s="61">
        <f>IFERROR(INDEX(U$2:AY$2,MATCH(TRUE,INDEX(U55:AY55&lt;&gt;"",0),0)),"")</f>
        <v/>
      </c>
      <c r="N55" s="61">
        <f>IFERROR(LOOKUP(2,1/(U55:AY55&lt;&gt;""),U$2:AY$2),"")</f>
        <v/>
      </c>
      <c r="O55" s="59" t="n"/>
      <c r="P55" s="59" t="n"/>
      <c r="Q55" s="59" t="n"/>
      <c r="R55" s="59" t="n"/>
      <c r="S55" s="14" t="n"/>
      <c r="U55" s="53" t="n"/>
      <c r="V55" s="53" t="n"/>
      <c r="W55" s="53" t="n"/>
      <c r="X55" s="53" t="n"/>
      <c r="Y55" s="53" t="n"/>
      <c r="Z55" s="53" t="n"/>
      <c r="AA55" s="53" t="n"/>
      <c r="AB55" s="53" t="n"/>
      <c r="AC55" s="53" t="n"/>
      <c r="AD55" s="53" t="n"/>
      <c r="AE55" s="53" t="n"/>
      <c r="AF55" s="53" t="n"/>
      <c r="AG55" s="53" t="n"/>
      <c r="AH55" s="53" t="n"/>
      <c r="AI55" s="53" t="n"/>
      <c r="AJ55" s="53" t="n"/>
      <c r="AK55" s="53" t="n"/>
      <c r="AL55" s="53" t="n"/>
      <c r="AM55" s="53" t="n"/>
      <c r="AN55" s="53" t="n"/>
      <c r="AO55" s="53" t="n"/>
      <c r="AP55" s="53" t="n"/>
      <c r="AQ55" s="53" t="n"/>
      <c r="AR55" s="53" t="n"/>
      <c r="AS55" s="53" t="n"/>
      <c r="AT55" s="53" t="n"/>
      <c r="AU55" s="53" t="n"/>
      <c r="AV55" s="53" t="n"/>
      <c r="AW55" s="53" t="n"/>
      <c r="AX55" s="53" t="n"/>
      <c r="AY55" s="53" t="n"/>
    </row>
    <row r="56" ht="15" customHeight="1">
      <c r="A56" s="62" t="n"/>
      <c r="B56" s="55">
        <f>IF($B$54="","",$B$54)</f>
        <v/>
      </c>
      <c r="C56" s="63" t="inlineStr">
        <is>
          <t>마케팅1팀</t>
        </is>
      </c>
      <c r="D56" s="55">
        <f>IF($D$54="","",$D$54)</f>
        <v/>
      </c>
      <c r="E56" s="64" t="inlineStr">
        <is>
          <t>영상</t>
        </is>
      </c>
      <c r="F56" s="44" t="n"/>
      <c r="G56" s="58">
        <f>IF($G$54="","",$G$54)</f>
        <v/>
      </c>
      <c r="H56" s="59" t="n"/>
      <c r="I56" s="59" t="n"/>
      <c r="J56" s="59" t="n"/>
      <c r="K56" s="59" t="n"/>
      <c r="L56" s="65">
        <f>IF(SUM(U56:AY56)=0,"",SUM(U56:AY56))</f>
        <v/>
      </c>
      <c r="M56" s="66">
        <f>IFERROR(INDEX(U$2:AY$2,MATCH(TRUE,INDEX(U56:AY56&lt;&gt;"",0),0)),"")</f>
        <v/>
      </c>
      <c r="N56" s="66">
        <f>IFERROR(LOOKUP(2,1/(U56:AY56&lt;&gt;""),U$2:AY$2),"")</f>
        <v/>
      </c>
      <c r="O56" s="59" t="n"/>
      <c r="P56" s="59" t="n"/>
      <c r="Q56" s="59" t="n"/>
      <c r="R56" s="59" t="n"/>
      <c r="S56" s="14" t="n"/>
      <c r="U56" s="53" t="n"/>
      <c r="V56" s="53" t="n"/>
      <c r="W56" s="53" t="n"/>
      <c r="X56" s="5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s="53" t="n"/>
      <c r="AJ56" s="53" t="n"/>
      <c r="AK56" s="53" t="n"/>
      <c r="AL56" s="53" t="n"/>
      <c r="AM56" s="53" t="n"/>
      <c r="AN56" s="53" t="n"/>
      <c r="AO56" s="53" t="n"/>
      <c r="AP56" s="53" t="n"/>
      <c r="AQ56" s="53" t="n"/>
      <c r="AR56" s="53" t="n"/>
      <c r="AS56" s="53" t="n"/>
      <c r="AT56" s="53" t="n"/>
      <c r="AU56" s="53" t="n"/>
      <c r="AV56" s="53" t="n"/>
      <c r="AW56" s="53" t="n"/>
      <c r="AX56" s="53" t="n"/>
      <c r="AY56" s="53" t="n"/>
    </row>
    <row r="57" ht="15" customHeight="1">
      <c r="A57" s="40">
        <f>IF($D$57="","",17)</f>
        <v/>
      </c>
      <c r="B57" s="10" t="n"/>
      <c r="C57" s="41" t="inlineStr">
        <is>
          <t>마케팅1팀</t>
        </is>
      </c>
      <c r="D57" s="42" t="n"/>
      <c r="E57" s="43" t="inlineStr">
        <is>
          <t>기획</t>
        </is>
      </c>
      <c r="F57" s="44" t="n"/>
      <c r="G57" s="45" t="n"/>
      <c r="H57" s="46">
        <f>IF($I$57="","",IF($I$57&lt;0,"🔴지연",IF($I$57&lt;=1,"🟡임박","🟢여유")))</f>
        <v/>
      </c>
      <c r="I57" s="47">
        <f>IF(OR($G$57="",$K$57=""),"",$G$57-$K$57)</f>
        <v/>
      </c>
      <c r="J57" s="48">
        <f>IF(SUM($L$57:$L$59)=0,"",SUM($L$57:$L$59))</f>
        <v/>
      </c>
      <c r="K57" s="49">
        <f>IF($J$57="","",MAX($N$57:$N$59))</f>
        <v/>
      </c>
      <c r="L57" s="50">
        <f>IF(SUM(U57:AY57)=0,"",SUM(U57:AY57))</f>
        <v/>
      </c>
      <c r="M57" s="51">
        <f>IFERROR(INDEX(U$2:AY$2,MATCH(TRUE,INDEX(U57:AY57&lt;&gt;"",0),0)),"")</f>
        <v/>
      </c>
      <c r="N57" s="51">
        <f>IFERROR(LOOKUP(2,1/(U57:AY57&lt;&gt;""),U$2:AY$2),"")</f>
        <v/>
      </c>
      <c r="O57" s="52" t="n"/>
      <c r="P57" s="52" t="n"/>
      <c r="Q57" s="52" t="n"/>
      <c r="R57" s="44" t="n"/>
      <c r="S57" s="14" t="n"/>
      <c r="U57" s="53" t="n"/>
      <c r="V57" s="53" t="n"/>
      <c r="W57" s="53" t="n"/>
      <c r="X57" s="53" t="n"/>
      <c r="Y57" s="53" t="n"/>
      <c r="Z57" s="53" t="n"/>
      <c r="AA57" s="53" t="n"/>
      <c r="AB57" s="53" t="n"/>
      <c r="AC57" s="53" t="n"/>
      <c r="AD57" s="53" t="n"/>
      <c r="AE57" s="53" t="n"/>
      <c r="AF57" s="53" t="n"/>
      <c r="AG57" s="53" t="n"/>
      <c r="AH57" s="53" t="n"/>
      <c r="AI57" s="53" t="n"/>
      <c r="AJ57" s="53" t="n"/>
      <c r="AK57" s="53" t="n"/>
      <c r="AL57" s="53" t="n"/>
      <c r="AM57" s="53" t="n"/>
      <c r="AN57" s="53" t="n"/>
      <c r="AO57" s="53" t="n"/>
      <c r="AP57" s="53" t="n"/>
      <c r="AQ57" s="53" t="n"/>
      <c r="AR57" s="53" t="n"/>
      <c r="AS57" s="53" t="n"/>
      <c r="AT57" s="53" t="n"/>
      <c r="AU57" s="53" t="n"/>
      <c r="AV57" s="53" t="n"/>
      <c r="AW57" s="53" t="n"/>
      <c r="AX57" s="53" t="n"/>
      <c r="AY57" s="53" t="n"/>
    </row>
    <row r="58" ht="15" customHeight="1">
      <c r="A58" s="54" t="n"/>
      <c r="B58" s="55">
        <f>IF($B$57="","",$B$57)</f>
        <v/>
      </c>
      <c r="C58" s="56" t="inlineStr">
        <is>
          <t>마케팅1팀</t>
        </is>
      </c>
      <c r="D58" s="55">
        <f>IF($D$57="","",$D$57)</f>
        <v/>
      </c>
      <c r="E58" s="57" t="inlineStr">
        <is>
          <t>이미지</t>
        </is>
      </c>
      <c r="F58" s="44" t="n"/>
      <c r="G58" s="58">
        <f>IF($G$57="","",$G$57)</f>
        <v/>
      </c>
      <c r="H58" s="59" t="n"/>
      <c r="I58" s="59" t="n"/>
      <c r="J58" s="59" t="n"/>
      <c r="K58" s="59" t="n"/>
      <c r="L58" s="60">
        <f>IF(SUM(U58:AY58)=0,"",SUM(U58:AY58))</f>
        <v/>
      </c>
      <c r="M58" s="61">
        <f>IFERROR(INDEX(U$2:AY$2,MATCH(TRUE,INDEX(U58:AY58&lt;&gt;"",0),0)),"")</f>
        <v/>
      </c>
      <c r="N58" s="61">
        <f>IFERROR(LOOKUP(2,1/(U58:AY58&lt;&gt;""),U$2:AY$2),"")</f>
        <v/>
      </c>
      <c r="O58" s="59" t="n"/>
      <c r="P58" s="59" t="n"/>
      <c r="Q58" s="59" t="n"/>
      <c r="R58" s="59" t="n"/>
      <c r="S58" s="14" t="n"/>
      <c r="U58" s="53" t="n"/>
      <c r="V58" s="53" t="n"/>
      <c r="W58" s="53" t="n"/>
      <c r="X58" s="53" t="n"/>
      <c r="Y58" s="53" t="n"/>
      <c r="Z58" s="53" t="n"/>
      <c r="AA58" s="53" t="n"/>
      <c r="AB58" s="53" t="n"/>
      <c r="AC58" s="53" t="n"/>
      <c r="AD58" s="53" t="n"/>
      <c r="AE58" s="53" t="n"/>
      <c r="AF58" s="53" t="n"/>
      <c r="AG58" s="53" t="n"/>
      <c r="AH58" s="53" t="n"/>
      <c r="AI58" s="53" t="n"/>
      <c r="AJ58" s="53" t="n"/>
      <c r="AK58" s="53" t="n"/>
      <c r="AL58" s="53" t="n"/>
      <c r="AM58" s="53" t="n"/>
      <c r="AN58" s="53" t="n"/>
      <c r="AO58" s="53" t="n"/>
      <c r="AP58" s="53" t="n"/>
      <c r="AQ58" s="53" t="n"/>
      <c r="AR58" s="53" t="n"/>
      <c r="AS58" s="53" t="n"/>
      <c r="AT58" s="53" t="n"/>
      <c r="AU58" s="53" t="n"/>
      <c r="AV58" s="53" t="n"/>
      <c r="AW58" s="53" t="n"/>
      <c r="AX58" s="53" t="n"/>
      <c r="AY58" s="53" t="n"/>
    </row>
    <row r="59" ht="15" customHeight="1">
      <c r="A59" s="62" t="n"/>
      <c r="B59" s="55">
        <f>IF($B$57="","",$B$57)</f>
        <v/>
      </c>
      <c r="C59" s="63" t="inlineStr">
        <is>
          <t>마케팅1팀</t>
        </is>
      </c>
      <c r="D59" s="55">
        <f>IF($D$57="","",$D$57)</f>
        <v/>
      </c>
      <c r="E59" s="64" t="inlineStr">
        <is>
          <t>영상</t>
        </is>
      </c>
      <c r="F59" s="44" t="n"/>
      <c r="G59" s="58">
        <f>IF($G$57="","",$G$57)</f>
        <v/>
      </c>
      <c r="H59" s="59" t="n"/>
      <c r="I59" s="59" t="n"/>
      <c r="J59" s="59" t="n"/>
      <c r="K59" s="59" t="n"/>
      <c r="L59" s="65">
        <f>IF(SUM(U59:AY59)=0,"",SUM(U59:AY59))</f>
        <v/>
      </c>
      <c r="M59" s="66">
        <f>IFERROR(INDEX(U$2:AY$2,MATCH(TRUE,INDEX(U59:AY59&lt;&gt;"",0),0)),"")</f>
        <v/>
      </c>
      <c r="N59" s="66">
        <f>IFERROR(LOOKUP(2,1/(U59:AY59&lt;&gt;""),U$2:AY$2),"")</f>
        <v/>
      </c>
      <c r="O59" s="59" t="n"/>
      <c r="P59" s="59" t="n"/>
      <c r="Q59" s="59" t="n"/>
      <c r="R59" s="59" t="n"/>
      <c r="S59" s="14" t="n"/>
      <c r="U59" s="53" t="n"/>
      <c r="V59" s="53" t="n"/>
      <c r="W59" s="53" t="n"/>
      <c r="X59" s="53" t="n"/>
      <c r="Y59" s="53" t="n"/>
      <c r="Z59" s="53" t="n"/>
      <c r="AA59" s="53" t="n"/>
      <c r="AB59" s="53" t="n"/>
      <c r="AC59" s="53" t="n"/>
      <c r="AD59" s="53" t="n"/>
      <c r="AE59" s="53" t="n"/>
      <c r="AF59" s="53" t="n"/>
      <c r="AG59" s="53" t="n"/>
      <c r="AH59" s="53" t="n"/>
      <c r="AI59" s="53" t="n"/>
      <c r="AJ59" s="53" t="n"/>
      <c r="AK59" s="53" t="n"/>
      <c r="AL59" s="53" t="n"/>
      <c r="AM59" s="53" t="n"/>
      <c r="AN59" s="53" t="n"/>
      <c r="AO59" s="53" t="n"/>
      <c r="AP59" s="53" t="n"/>
      <c r="AQ59" s="53" t="n"/>
      <c r="AR59" s="53" t="n"/>
      <c r="AS59" s="53" t="n"/>
      <c r="AT59" s="53" t="n"/>
      <c r="AU59" s="53" t="n"/>
      <c r="AV59" s="53" t="n"/>
      <c r="AW59" s="53" t="n"/>
      <c r="AX59" s="53" t="n"/>
      <c r="AY59" s="53" t="n"/>
    </row>
    <row r="60" ht="15" customHeight="1">
      <c r="A60" s="40">
        <f>IF($D$60="","",18)</f>
        <v/>
      </c>
      <c r="B60" s="10" t="n"/>
      <c r="C60" s="41" t="inlineStr">
        <is>
          <t>마케팅1팀</t>
        </is>
      </c>
      <c r="D60" s="42" t="n"/>
      <c r="E60" s="43" t="inlineStr">
        <is>
          <t>기획</t>
        </is>
      </c>
      <c r="F60" s="44" t="n"/>
      <c r="G60" s="45" t="n"/>
      <c r="H60" s="46">
        <f>IF($I$60="","",IF($I$60&lt;0,"🔴지연",IF($I$60&lt;=1,"🟡임박","🟢여유")))</f>
        <v/>
      </c>
      <c r="I60" s="47">
        <f>IF(OR($G$60="",$K$60=""),"",$G$60-$K$60)</f>
        <v/>
      </c>
      <c r="J60" s="48">
        <f>IF(SUM($L$60:$L$62)=0,"",SUM($L$60:$L$62))</f>
        <v/>
      </c>
      <c r="K60" s="49">
        <f>IF($J$60="","",MAX($N$60:$N$62))</f>
        <v/>
      </c>
      <c r="L60" s="50">
        <f>IF(SUM(U60:AY60)=0,"",SUM(U60:AY60))</f>
        <v/>
      </c>
      <c r="M60" s="51">
        <f>IFERROR(INDEX(U$2:AY$2,MATCH(TRUE,INDEX(U60:AY60&lt;&gt;"",0),0)),"")</f>
        <v/>
      </c>
      <c r="N60" s="51">
        <f>IFERROR(LOOKUP(2,1/(U60:AY60&lt;&gt;""),U$2:AY$2),"")</f>
        <v/>
      </c>
      <c r="O60" s="52" t="n"/>
      <c r="P60" s="52" t="n"/>
      <c r="Q60" s="52" t="n"/>
      <c r="R60" s="44" t="n"/>
      <c r="S60" s="14" t="n"/>
      <c r="U60" s="53" t="n"/>
      <c r="V60" s="53" t="n"/>
      <c r="W60" s="53" t="n"/>
      <c r="X60" s="53" t="n"/>
      <c r="Y60" s="53" t="n"/>
      <c r="Z60" s="53" t="n"/>
      <c r="AA60" s="53" t="n"/>
      <c r="AB60" s="53" t="n"/>
      <c r="AC60" s="53" t="n"/>
      <c r="AD60" s="53" t="n"/>
      <c r="AE60" s="53" t="n"/>
      <c r="AF60" s="53" t="n"/>
      <c r="AG60" s="53" t="n"/>
      <c r="AH60" s="53" t="n"/>
      <c r="AI60" s="53" t="n"/>
      <c r="AJ60" s="53" t="n"/>
      <c r="AK60" s="53" t="n"/>
      <c r="AL60" s="53" t="n"/>
      <c r="AM60" s="53" t="n"/>
      <c r="AN60" s="53" t="n"/>
      <c r="AO60" s="53" t="n"/>
      <c r="AP60" s="53" t="n"/>
      <c r="AQ60" s="53" t="n"/>
      <c r="AR60" s="53" t="n"/>
      <c r="AS60" s="53" t="n"/>
      <c r="AT60" s="53" t="n"/>
      <c r="AU60" s="53" t="n"/>
      <c r="AV60" s="53" t="n"/>
      <c r="AW60" s="53" t="n"/>
      <c r="AX60" s="53" t="n"/>
      <c r="AY60" s="53" t="n"/>
    </row>
    <row r="61" ht="15" customHeight="1">
      <c r="A61" s="54" t="n"/>
      <c r="B61" s="55">
        <f>IF($B$60="","",$B$60)</f>
        <v/>
      </c>
      <c r="C61" s="56" t="inlineStr">
        <is>
          <t>마케팅1팀</t>
        </is>
      </c>
      <c r="D61" s="55">
        <f>IF($D$60="","",$D$60)</f>
        <v/>
      </c>
      <c r="E61" s="57" t="inlineStr">
        <is>
          <t>이미지</t>
        </is>
      </c>
      <c r="F61" s="44" t="n"/>
      <c r="G61" s="58">
        <f>IF($G$60="","",$G$60)</f>
        <v/>
      </c>
      <c r="H61" s="59" t="n"/>
      <c r="I61" s="59" t="n"/>
      <c r="J61" s="59" t="n"/>
      <c r="K61" s="59" t="n"/>
      <c r="L61" s="60">
        <f>IF(SUM(U61:AY61)=0,"",SUM(U61:AY61))</f>
        <v/>
      </c>
      <c r="M61" s="61">
        <f>IFERROR(INDEX(U$2:AY$2,MATCH(TRUE,INDEX(U61:AY61&lt;&gt;"",0),0)),"")</f>
        <v/>
      </c>
      <c r="N61" s="61">
        <f>IFERROR(LOOKUP(2,1/(U61:AY61&lt;&gt;""),U$2:AY$2),"")</f>
        <v/>
      </c>
      <c r="O61" s="59" t="n"/>
      <c r="P61" s="59" t="n"/>
      <c r="Q61" s="59" t="n"/>
      <c r="R61" s="59" t="n"/>
      <c r="S61" s="14" t="n"/>
      <c r="U61" s="53" t="n"/>
      <c r="V61" s="53" t="n"/>
      <c r="W61" s="53" t="n"/>
      <c r="X61" s="53" t="n"/>
      <c r="Y61" s="53" t="n"/>
      <c r="Z61" s="53" t="n"/>
      <c r="AA61" s="53" t="n"/>
      <c r="AB61" s="53" t="n"/>
      <c r="AC61" s="53" t="n"/>
      <c r="AD61" s="53" t="n"/>
      <c r="AE61" s="53" t="n"/>
      <c r="AF61" s="53" t="n"/>
      <c r="AG61" s="53" t="n"/>
      <c r="AH61" s="53" t="n"/>
      <c r="AI61" s="53" t="n"/>
      <c r="AJ61" s="53" t="n"/>
      <c r="AK61" s="53" t="n"/>
      <c r="AL61" s="53" t="n"/>
      <c r="AM61" s="53" t="n"/>
      <c r="AN61" s="53" t="n"/>
      <c r="AO61" s="53" t="n"/>
      <c r="AP61" s="53" t="n"/>
      <c r="AQ61" s="53" t="n"/>
      <c r="AR61" s="53" t="n"/>
      <c r="AS61" s="53" t="n"/>
      <c r="AT61" s="53" t="n"/>
      <c r="AU61" s="53" t="n"/>
      <c r="AV61" s="53" t="n"/>
      <c r="AW61" s="53" t="n"/>
      <c r="AX61" s="53" t="n"/>
      <c r="AY61" s="53" t="n"/>
    </row>
    <row r="62" ht="15" customHeight="1">
      <c r="A62" s="62" t="n"/>
      <c r="B62" s="55">
        <f>IF($B$60="","",$B$60)</f>
        <v/>
      </c>
      <c r="C62" s="63" t="inlineStr">
        <is>
          <t>마케팅1팀</t>
        </is>
      </c>
      <c r="D62" s="55">
        <f>IF($D$60="","",$D$60)</f>
        <v/>
      </c>
      <c r="E62" s="64" t="inlineStr">
        <is>
          <t>영상</t>
        </is>
      </c>
      <c r="F62" s="44" t="n"/>
      <c r="G62" s="58">
        <f>IF($G$60="","",$G$60)</f>
        <v/>
      </c>
      <c r="H62" s="59" t="n"/>
      <c r="I62" s="59" t="n"/>
      <c r="J62" s="59" t="n"/>
      <c r="K62" s="59" t="n"/>
      <c r="L62" s="65">
        <f>IF(SUM(U62:AY62)=0,"",SUM(U62:AY62))</f>
        <v/>
      </c>
      <c r="M62" s="66">
        <f>IFERROR(INDEX(U$2:AY$2,MATCH(TRUE,INDEX(U62:AY62&lt;&gt;"",0),0)),"")</f>
        <v/>
      </c>
      <c r="N62" s="66">
        <f>IFERROR(LOOKUP(2,1/(U62:AY62&lt;&gt;""),U$2:AY$2),"")</f>
        <v/>
      </c>
      <c r="O62" s="59" t="n"/>
      <c r="P62" s="59" t="n"/>
      <c r="Q62" s="59" t="n"/>
      <c r="R62" s="59" t="n"/>
      <c r="S62" s="14" t="n"/>
      <c r="U62" s="53" t="n"/>
      <c r="V62" s="53" t="n"/>
      <c r="W62" s="53" t="n"/>
      <c r="X62" s="53" t="n"/>
      <c r="Y62" s="53" t="n"/>
      <c r="Z62" s="53" t="n"/>
      <c r="AA62" s="53" t="n"/>
      <c r="AB62" s="53" t="n"/>
      <c r="AC62" s="53" t="n"/>
      <c r="AD62" s="53" t="n"/>
      <c r="AE62" s="53" t="n"/>
      <c r="AF62" s="53" t="n"/>
      <c r="AG62" s="53" t="n"/>
      <c r="AH62" s="53" t="n"/>
      <c r="AI62" s="53" t="n"/>
      <c r="AJ62" s="53" t="n"/>
      <c r="AK62" s="53" t="n"/>
      <c r="AL62" s="53" t="n"/>
      <c r="AM62" s="53" t="n"/>
      <c r="AN62" s="53" t="n"/>
      <c r="AO62" s="53" t="n"/>
      <c r="AP62" s="53" t="n"/>
      <c r="AQ62" s="53" t="n"/>
      <c r="AR62" s="53" t="n"/>
      <c r="AS62" s="53" t="n"/>
      <c r="AT62" s="53" t="n"/>
      <c r="AU62" s="53" t="n"/>
      <c r="AV62" s="53" t="n"/>
      <c r="AW62" s="53" t="n"/>
      <c r="AX62" s="53" t="n"/>
      <c r="AY62" s="53" t="n"/>
    </row>
    <row r="63" ht="15" customHeight="1">
      <c r="A63" s="40">
        <f>IF($D$63="","",19)</f>
        <v/>
      </c>
      <c r="B63" s="10" t="n"/>
      <c r="C63" s="41" t="inlineStr">
        <is>
          <t>마케팅1팀</t>
        </is>
      </c>
      <c r="D63" s="42" t="n"/>
      <c r="E63" s="43" t="inlineStr">
        <is>
          <t>기획</t>
        </is>
      </c>
      <c r="F63" s="44" t="n"/>
      <c r="G63" s="45" t="n"/>
      <c r="H63" s="46">
        <f>IF($I$63="","",IF($I$63&lt;0,"🔴지연",IF($I$63&lt;=1,"🟡임박","🟢여유")))</f>
        <v/>
      </c>
      <c r="I63" s="47">
        <f>IF(OR($G$63="",$K$63=""),"",$G$63-$K$63)</f>
        <v/>
      </c>
      <c r="J63" s="48">
        <f>IF(SUM($L$63:$L$65)=0,"",SUM($L$63:$L$65))</f>
        <v/>
      </c>
      <c r="K63" s="49">
        <f>IF($J$63="","",MAX($N$63:$N$65))</f>
        <v/>
      </c>
      <c r="L63" s="50">
        <f>IF(SUM(U63:AY63)=0,"",SUM(U63:AY63))</f>
        <v/>
      </c>
      <c r="M63" s="51">
        <f>IFERROR(INDEX(U$2:AY$2,MATCH(TRUE,INDEX(U63:AY63&lt;&gt;"",0),0)),"")</f>
        <v/>
      </c>
      <c r="N63" s="51">
        <f>IFERROR(LOOKUP(2,1/(U63:AY63&lt;&gt;""),U$2:AY$2),"")</f>
        <v/>
      </c>
      <c r="O63" s="52" t="n"/>
      <c r="P63" s="52" t="n"/>
      <c r="Q63" s="52" t="n"/>
      <c r="R63" s="44" t="n"/>
      <c r="S63" s="14" t="n"/>
      <c r="U63" s="53" t="n"/>
      <c r="V63" s="53" t="n"/>
      <c r="W63" s="53" t="n"/>
      <c r="X63" s="53" t="n"/>
      <c r="Y63" s="53" t="n"/>
      <c r="Z63" s="53" t="n"/>
      <c r="AA63" s="53" t="n"/>
      <c r="AB63" s="53" t="n"/>
      <c r="AC63" s="53" t="n"/>
      <c r="AD63" s="53" t="n"/>
      <c r="AE63" s="53" t="n"/>
      <c r="AF63" s="53" t="n"/>
      <c r="AG63" s="53" t="n"/>
      <c r="AH63" s="53" t="n"/>
      <c r="AI63" s="53" t="n"/>
      <c r="AJ63" s="53" t="n"/>
      <c r="AK63" s="53" t="n"/>
      <c r="AL63" s="53" t="n"/>
      <c r="AM63" s="53" t="n"/>
      <c r="AN63" s="53" t="n"/>
      <c r="AO63" s="53" t="n"/>
      <c r="AP63" s="53" t="n"/>
      <c r="AQ63" s="53" t="n"/>
      <c r="AR63" s="53" t="n"/>
      <c r="AS63" s="53" t="n"/>
      <c r="AT63" s="53" t="n"/>
      <c r="AU63" s="53" t="n"/>
      <c r="AV63" s="53" t="n"/>
      <c r="AW63" s="53" t="n"/>
      <c r="AX63" s="53" t="n"/>
      <c r="AY63" s="53" t="n"/>
    </row>
    <row r="64" ht="15" customHeight="1">
      <c r="A64" s="54" t="n"/>
      <c r="B64" s="55">
        <f>IF($B$63="","",$B$63)</f>
        <v/>
      </c>
      <c r="C64" s="56" t="inlineStr">
        <is>
          <t>마케팅1팀</t>
        </is>
      </c>
      <c r="D64" s="55">
        <f>IF($D$63="","",$D$63)</f>
        <v/>
      </c>
      <c r="E64" s="57" t="inlineStr">
        <is>
          <t>이미지</t>
        </is>
      </c>
      <c r="F64" s="44" t="n"/>
      <c r="G64" s="58">
        <f>IF($G$63="","",$G$63)</f>
        <v/>
      </c>
      <c r="H64" s="59" t="n"/>
      <c r="I64" s="59" t="n"/>
      <c r="J64" s="59" t="n"/>
      <c r="K64" s="59" t="n"/>
      <c r="L64" s="60">
        <f>IF(SUM(U64:AY64)=0,"",SUM(U64:AY64))</f>
        <v/>
      </c>
      <c r="M64" s="61">
        <f>IFERROR(INDEX(U$2:AY$2,MATCH(TRUE,INDEX(U64:AY64&lt;&gt;"",0),0)),"")</f>
        <v/>
      </c>
      <c r="N64" s="61">
        <f>IFERROR(LOOKUP(2,1/(U64:AY64&lt;&gt;""),U$2:AY$2),"")</f>
        <v/>
      </c>
      <c r="O64" s="59" t="n"/>
      <c r="P64" s="59" t="n"/>
      <c r="Q64" s="59" t="n"/>
      <c r="R64" s="59" t="n"/>
      <c r="S64" s="14" t="n"/>
      <c r="U64" s="53" t="n"/>
      <c r="V64" s="53" t="n"/>
      <c r="W64" s="53" t="n"/>
      <c r="X64" s="53" t="n"/>
      <c r="Y64" s="53" t="n"/>
      <c r="Z64" s="53" t="n"/>
      <c r="AA64" s="53" t="n"/>
      <c r="AB64" s="53" t="n"/>
      <c r="AC64" s="53" t="n"/>
      <c r="AD64" s="53" t="n"/>
      <c r="AE64" s="53" t="n"/>
      <c r="AF64" s="53" t="n"/>
      <c r="AG64" s="53" t="n"/>
      <c r="AH64" s="53" t="n"/>
      <c r="AI64" s="53" t="n"/>
      <c r="AJ64" s="53" t="n"/>
      <c r="AK64" s="53" t="n"/>
      <c r="AL64" s="53" t="n"/>
      <c r="AM64" s="53" t="n"/>
      <c r="AN64" s="53" t="n"/>
      <c r="AO64" s="53" t="n"/>
      <c r="AP64" s="53" t="n"/>
      <c r="AQ64" s="53" t="n"/>
      <c r="AR64" s="53" t="n"/>
      <c r="AS64" s="53" t="n"/>
      <c r="AT64" s="53" t="n"/>
      <c r="AU64" s="53" t="n"/>
      <c r="AV64" s="53" t="n"/>
      <c r="AW64" s="53" t="n"/>
      <c r="AX64" s="53" t="n"/>
      <c r="AY64" s="53" t="n"/>
    </row>
    <row r="65" ht="15" customHeight="1">
      <c r="A65" s="62" t="n"/>
      <c r="B65" s="55">
        <f>IF($B$63="","",$B$63)</f>
        <v/>
      </c>
      <c r="C65" s="63" t="inlineStr">
        <is>
          <t>마케팅1팀</t>
        </is>
      </c>
      <c r="D65" s="55">
        <f>IF($D$63="","",$D$63)</f>
        <v/>
      </c>
      <c r="E65" s="64" t="inlineStr">
        <is>
          <t>영상</t>
        </is>
      </c>
      <c r="F65" s="44" t="n"/>
      <c r="G65" s="58">
        <f>IF($G$63="","",$G$63)</f>
        <v/>
      </c>
      <c r="H65" s="59" t="n"/>
      <c r="I65" s="59" t="n"/>
      <c r="J65" s="59" t="n"/>
      <c r="K65" s="59" t="n"/>
      <c r="L65" s="65">
        <f>IF(SUM(U65:AY65)=0,"",SUM(U65:AY65))</f>
        <v/>
      </c>
      <c r="M65" s="66">
        <f>IFERROR(INDEX(U$2:AY$2,MATCH(TRUE,INDEX(U65:AY65&lt;&gt;"",0),0)),"")</f>
        <v/>
      </c>
      <c r="N65" s="66">
        <f>IFERROR(LOOKUP(2,1/(U65:AY65&lt;&gt;""),U$2:AY$2),"")</f>
        <v/>
      </c>
      <c r="O65" s="59" t="n"/>
      <c r="P65" s="59" t="n"/>
      <c r="Q65" s="59" t="n"/>
      <c r="R65" s="59" t="n"/>
      <c r="S65" s="14" t="n"/>
      <c r="U65" s="53" t="n"/>
      <c r="V65" s="53" t="n"/>
      <c r="W65" s="53" t="n"/>
      <c r="X65" s="53" t="n"/>
      <c r="Y65" s="53" t="n"/>
      <c r="Z65" s="53" t="n"/>
      <c r="AA65" s="53" t="n"/>
      <c r="AB65" s="53" t="n"/>
      <c r="AC65" s="53" t="n"/>
      <c r="AD65" s="53" t="n"/>
      <c r="AE65" s="53" t="n"/>
      <c r="AF65" s="53" t="n"/>
      <c r="AG65" s="53" t="n"/>
      <c r="AH65" s="53" t="n"/>
      <c r="AI65" s="53" t="n"/>
      <c r="AJ65" s="53" t="n"/>
      <c r="AK65" s="53" t="n"/>
      <c r="AL65" s="53" t="n"/>
      <c r="AM65" s="53" t="n"/>
      <c r="AN65" s="53" t="n"/>
      <c r="AO65" s="53" t="n"/>
      <c r="AP65" s="53" t="n"/>
      <c r="AQ65" s="53" t="n"/>
      <c r="AR65" s="53" t="n"/>
      <c r="AS65" s="53" t="n"/>
      <c r="AT65" s="53" t="n"/>
      <c r="AU65" s="53" t="n"/>
      <c r="AV65" s="53" t="n"/>
      <c r="AW65" s="53" t="n"/>
      <c r="AX65" s="53" t="n"/>
      <c r="AY65" s="53" t="n"/>
    </row>
    <row r="66" ht="15" customHeight="1">
      <c r="A66" s="40">
        <f>IF($D$66="","",20)</f>
        <v/>
      </c>
      <c r="B66" s="10" t="n"/>
      <c r="C66" s="41" t="inlineStr">
        <is>
          <t>마케팅1팀</t>
        </is>
      </c>
      <c r="D66" s="42" t="n"/>
      <c r="E66" s="43" t="inlineStr">
        <is>
          <t>기획</t>
        </is>
      </c>
      <c r="F66" s="44" t="n"/>
      <c r="G66" s="45" t="n"/>
      <c r="H66" s="46">
        <f>IF($I$66="","",IF($I$66&lt;0,"🔴지연",IF($I$66&lt;=1,"🟡임박","🟢여유")))</f>
        <v/>
      </c>
      <c r="I66" s="47">
        <f>IF(OR($G$66="",$K$66=""),"",$G$66-$K$66)</f>
        <v/>
      </c>
      <c r="J66" s="48">
        <f>IF(SUM($L$66:$L$68)=0,"",SUM($L$66:$L$68))</f>
        <v/>
      </c>
      <c r="K66" s="49">
        <f>IF($J$66="","",MAX($N$66:$N$68))</f>
        <v/>
      </c>
      <c r="L66" s="50">
        <f>IF(SUM(U66:AY66)=0,"",SUM(U66:AY66))</f>
        <v/>
      </c>
      <c r="M66" s="51">
        <f>IFERROR(INDEX(U$2:AY$2,MATCH(TRUE,INDEX(U66:AY66&lt;&gt;"",0),0)),"")</f>
        <v/>
      </c>
      <c r="N66" s="51">
        <f>IFERROR(LOOKUP(2,1/(U66:AY66&lt;&gt;""),U$2:AY$2),"")</f>
        <v/>
      </c>
      <c r="O66" s="52" t="n"/>
      <c r="P66" s="52" t="n"/>
      <c r="Q66" s="52" t="n"/>
      <c r="R66" s="44" t="n"/>
      <c r="S66" s="14" t="n"/>
      <c r="U66" s="53" t="n"/>
      <c r="V66" s="53" t="n"/>
      <c r="W66" s="53" t="n"/>
      <c r="X66" s="53" t="n"/>
      <c r="Y66" s="53" t="n"/>
      <c r="Z66" s="53" t="n"/>
      <c r="AA66" s="53" t="n"/>
      <c r="AB66" s="53" t="n"/>
      <c r="AC66" s="53" t="n"/>
      <c r="AD66" s="53" t="n"/>
      <c r="AE66" s="53" t="n"/>
      <c r="AF66" s="53" t="n"/>
      <c r="AG66" s="53" t="n"/>
      <c r="AH66" s="53" t="n"/>
      <c r="AI66" s="53" t="n"/>
      <c r="AJ66" s="53" t="n"/>
      <c r="AK66" s="53" t="n"/>
      <c r="AL66" s="53" t="n"/>
      <c r="AM66" s="53" t="n"/>
      <c r="AN66" s="53" t="n"/>
      <c r="AO66" s="53" t="n"/>
      <c r="AP66" s="53" t="n"/>
      <c r="AQ66" s="53" t="n"/>
      <c r="AR66" s="53" t="n"/>
      <c r="AS66" s="53" t="n"/>
      <c r="AT66" s="53" t="n"/>
      <c r="AU66" s="53" t="n"/>
      <c r="AV66" s="53" t="n"/>
      <c r="AW66" s="53" t="n"/>
      <c r="AX66" s="53" t="n"/>
      <c r="AY66" s="53" t="n"/>
    </row>
    <row r="67" ht="15" customHeight="1">
      <c r="A67" s="54" t="n"/>
      <c r="B67" s="55">
        <f>IF($B$66="","",$B$66)</f>
        <v/>
      </c>
      <c r="C67" s="56" t="inlineStr">
        <is>
          <t>마케팅1팀</t>
        </is>
      </c>
      <c r="D67" s="55">
        <f>IF($D$66="","",$D$66)</f>
        <v/>
      </c>
      <c r="E67" s="57" t="inlineStr">
        <is>
          <t>이미지</t>
        </is>
      </c>
      <c r="F67" s="44" t="n"/>
      <c r="G67" s="58">
        <f>IF($G$66="","",$G$66)</f>
        <v/>
      </c>
      <c r="H67" s="59" t="n"/>
      <c r="I67" s="59" t="n"/>
      <c r="J67" s="59" t="n"/>
      <c r="K67" s="59" t="n"/>
      <c r="L67" s="60">
        <f>IF(SUM(U67:AY67)=0,"",SUM(U67:AY67))</f>
        <v/>
      </c>
      <c r="M67" s="61">
        <f>IFERROR(INDEX(U$2:AY$2,MATCH(TRUE,INDEX(U67:AY67&lt;&gt;"",0),0)),"")</f>
        <v/>
      </c>
      <c r="N67" s="61">
        <f>IFERROR(LOOKUP(2,1/(U67:AY67&lt;&gt;""),U$2:AY$2),"")</f>
        <v/>
      </c>
      <c r="O67" s="59" t="n"/>
      <c r="P67" s="59" t="n"/>
      <c r="Q67" s="59" t="n"/>
      <c r="R67" s="59" t="n"/>
      <c r="S67" s="14" t="n"/>
      <c r="U67" s="53" t="n"/>
      <c r="V67" s="53" t="n"/>
      <c r="W67" s="53" t="n"/>
      <c r="X67" s="53" t="n"/>
      <c r="Y67" s="53" t="n"/>
      <c r="Z67" s="53" t="n"/>
      <c r="AA67" s="53" t="n"/>
      <c r="AB67" s="53" t="n"/>
      <c r="AC67" s="53" t="n"/>
      <c r="AD67" s="53" t="n"/>
      <c r="AE67" s="53" t="n"/>
      <c r="AF67" s="53" t="n"/>
      <c r="AG67" s="53" t="n"/>
      <c r="AH67" s="53" t="n"/>
      <c r="AI67" s="53" t="n"/>
      <c r="AJ67" s="53" t="n"/>
      <c r="AK67" s="53" t="n"/>
      <c r="AL67" s="53" t="n"/>
      <c r="AM67" s="53" t="n"/>
      <c r="AN67" s="53" t="n"/>
      <c r="AO67" s="53" t="n"/>
      <c r="AP67" s="53" t="n"/>
      <c r="AQ67" s="53" t="n"/>
      <c r="AR67" s="53" t="n"/>
      <c r="AS67" s="53" t="n"/>
      <c r="AT67" s="53" t="n"/>
      <c r="AU67" s="53" t="n"/>
      <c r="AV67" s="53" t="n"/>
      <c r="AW67" s="53" t="n"/>
      <c r="AX67" s="53" t="n"/>
      <c r="AY67" s="53" t="n"/>
    </row>
    <row r="68" ht="15" customHeight="1">
      <c r="A68" s="62" t="n"/>
      <c r="B68" s="55">
        <f>IF($B$66="","",$B$66)</f>
        <v/>
      </c>
      <c r="C68" s="63" t="inlineStr">
        <is>
          <t>마케팅1팀</t>
        </is>
      </c>
      <c r="D68" s="55">
        <f>IF($D$66="","",$D$66)</f>
        <v/>
      </c>
      <c r="E68" s="64" t="inlineStr">
        <is>
          <t>영상</t>
        </is>
      </c>
      <c r="F68" s="44" t="n"/>
      <c r="G68" s="58">
        <f>IF($G$66="","",$G$66)</f>
        <v/>
      </c>
      <c r="H68" s="59" t="n"/>
      <c r="I68" s="59" t="n"/>
      <c r="J68" s="59" t="n"/>
      <c r="K68" s="59" t="n"/>
      <c r="L68" s="65">
        <f>IF(SUM(U68:AY68)=0,"",SUM(U68:AY68))</f>
        <v/>
      </c>
      <c r="M68" s="66">
        <f>IFERROR(INDEX(U$2:AY$2,MATCH(TRUE,INDEX(U68:AY68&lt;&gt;"",0),0)),"")</f>
        <v/>
      </c>
      <c r="N68" s="66">
        <f>IFERROR(LOOKUP(2,1/(U68:AY68&lt;&gt;""),U$2:AY$2),"")</f>
        <v/>
      </c>
      <c r="O68" s="59" t="n"/>
      <c r="P68" s="59" t="n"/>
      <c r="Q68" s="59" t="n"/>
      <c r="R68" s="59" t="n"/>
      <c r="S68" s="14" t="n"/>
      <c r="U68" s="53" t="n"/>
      <c r="V68" s="53" t="n"/>
      <c r="W68" s="53" t="n"/>
      <c r="X68" s="53" t="n"/>
      <c r="Y68" s="53" t="n"/>
      <c r="Z68" s="53" t="n"/>
      <c r="AA68" s="53" t="n"/>
      <c r="AB68" s="53" t="n"/>
      <c r="AC68" s="53" t="n"/>
      <c r="AD68" s="53" t="n"/>
      <c r="AE68" s="53" t="n"/>
      <c r="AF68" s="53" t="n"/>
      <c r="AG68" s="53" t="n"/>
      <c r="AH68" s="53" t="n"/>
      <c r="AI68" s="53" t="n"/>
      <c r="AJ68" s="53" t="n"/>
      <c r="AK68" s="53" t="n"/>
      <c r="AL68" s="53" t="n"/>
      <c r="AM68" s="53" t="n"/>
      <c r="AN68" s="53" t="n"/>
      <c r="AO68" s="53" t="n"/>
      <c r="AP68" s="53" t="n"/>
      <c r="AQ68" s="53" t="n"/>
      <c r="AR68" s="53" t="n"/>
      <c r="AS68" s="53" t="n"/>
      <c r="AT68" s="53" t="n"/>
      <c r="AU68" s="53" t="n"/>
      <c r="AV68" s="53" t="n"/>
      <c r="AW68" s="53" t="n"/>
      <c r="AX68" s="53" t="n"/>
      <c r="AY68" s="53" t="n"/>
    </row>
    <row r="69" ht="18" customHeight="1">
      <c r="A69" s="39" t="inlineStr">
        <is>
          <t>마케팅2팀   (70~129행 · 소재 20개)</t>
        </is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4" t="n"/>
    </row>
    <row r="70" ht="15" customHeight="1">
      <c r="A70" s="40">
        <f>IF($D$70="","",21)</f>
        <v/>
      </c>
      <c r="B70" s="10" t="n"/>
      <c r="C70" s="41" t="inlineStr">
        <is>
          <t>마케팅2팀</t>
        </is>
      </c>
      <c r="D70" s="42" t="n"/>
      <c r="E70" s="43" t="inlineStr">
        <is>
          <t>기획</t>
        </is>
      </c>
      <c r="F70" s="44" t="n"/>
      <c r="G70" s="45" t="n"/>
      <c r="H70" s="46">
        <f>IF($I$70="","",IF($I$70&lt;0,"🔴지연",IF($I$70&lt;=1,"🟡임박","🟢여유")))</f>
        <v/>
      </c>
      <c r="I70" s="47">
        <f>IF(OR($G$70="",$K$70=""),"",$G$70-$K$70)</f>
        <v/>
      </c>
      <c r="J70" s="48">
        <f>IF(SUM($L$70:$L$72)=0,"",SUM($L$70:$L$72))</f>
        <v/>
      </c>
      <c r="K70" s="49">
        <f>IF($J$70="","",MAX($N$70:$N$72))</f>
        <v/>
      </c>
      <c r="L70" s="50">
        <f>IF(SUM(U70:AY70)=0,"",SUM(U70:AY70))</f>
        <v/>
      </c>
      <c r="M70" s="51">
        <f>IFERROR(INDEX(U$2:AY$2,MATCH(TRUE,INDEX(U70:AY70&lt;&gt;"",0),0)),"")</f>
        <v/>
      </c>
      <c r="N70" s="51">
        <f>IFERROR(LOOKUP(2,1/(U70:AY70&lt;&gt;""),U$2:AY$2),"")</f>
        <v/>
      </c>
      <c r="O70" s="52" t="n"/>
      <c r="P70" s="52" t="n"/>
      <c r="Q70" s="52" t="n"/>
      <c r="R70" s="44" t="n"/>
      <c r="S70" s="14" t="n"/>
      <c r="U70" s="53" t="n"/>
      <c r="V70" s="53" t="n"/>
      <c r="W70" s="53" t="n"/>
      <c r="X70" s="53" t="n"/>
      <c r="Y70" s="53" t="n"/>
      <c r="Z70" s="53" t="n"/>
      <c r="AA70" s="53" t="n"/>
      <c r="AB70" s="53" t="n"/>
      <c r="AC70" s="53" t="n"/>
      <c r="AD70" s="53" t="n"/>
      <c r="AE70" s="53" t="n"/>
      <c r="AF70" s="53" t="n"/>
      <c r="AG70" s="53" t="n"/>
      <c r="AH70" s="53" t="n"/>
      <c r="AI70" s="53" t="n"/>
      <c r="AJ70" s="53" t="n"/>
      <c r="AK70" s="53" t="n"/>
      <c r="AL70" s="53" t="n"/>
      <c r="AM70" s="53" t="n"/>
      <c r="AN70" s="53" t="n"/>
      <c r="AO70" s="53" t="n"/>
      <c r="AP70" s="53" t="n"/>
      <c r="AQ70" s="53" t="n"/>
      <c r="AR70" s="53" t="n"/>
      <c r="AS70" s="53" t="n"/>
      <c r="AT70" s="53" t="n"/>
      <c r="AU70" s="53" t="n"/>
      <c r="AV70" s="53" t="n"/>
      <c r="AW70" s="53" t="n"/>
      <c r="AX70" s="53" t="n"/>
      <c r="AY70" s="53" t="n"/>
    </row>
    <row r="71" ht="15" customHeight="1">
      <c r="A71" s="54" t="n"/>
      <c r="B71" s="55">
        <f>IF($B$70="","",$B$70)</f>
        <v/>
      </c>
      <c r="C71" s="56" t="inlineStr">
        <is>
          <t>마케팅2팀</t>
        </is>
      </c>
      <c r="D71" s="55">
        <f>IF($D$70="","",$D$70)</f>
        <v/>
      </c>
      <c r="E71" s="57" t="inlineStr">
        <is>
          <t>이미지</t>
        </is>
      </c>
      <c r="F71" s="44" t="n"/>
      <c r="G71" s="58">
        <f>IF($G$70="","",$G$70)</f>
        <v/>
      </c>
      <c r="H71" s="59" t="n"/>
      <c r="I71" s="59" t="n"/>
      <c r="J71" s="59" t="n"/>
      <c r="K71" s="59" t="n"/>
      <c r="L71" s="60">
        <f>IF(SUM(U71:AY71)=0,"",SUM(U71:AY71))</f>
        <v/>
      </c>
      <c r="M71" s="61">
        <f>IFERROR(INDEX(U$2:AY$2,MATCH(TRUE,INDEX(U71:AY71&lt;&gt;"",0),0)),"")</f>
        <v/>
      </c>
      <c r="N71" s="61">
        <f>IFERROR(LOOKUP(2,1/(U71:AY71&lt;&gt;""),U$2:AY$2),"")</f>
        <v/>
      </c>
      <c r="O71" s="59" t="n"/>
      <c r="P71" s="59" t="n"/>
      <c r="Q71" s="59" t="n"/>
      <c r="R71" s="59" t="n"/>
      <c r="S71" s="14" t="n"/>
      <c r="U71" s="53" t="n"/>
      <c r="V71" s="53" t="n"/>
      <c r="W71" s="53" t="n"/>
      <c r="X71" s="53" t="n"/>
      <c r="Y71" s="53" t="n"/>
      <c r="Z71" s="53" t="n"/>
      <c r="AA71" s="53" t="n"/>
      <c r="AB71" s="53" t="n"/>
      <c r="AC71" s="53" t="n"/>
      <c r="AD71" s="53" t="n"/>
      <c r="AE71" s="53" t="n"/>
      <c r="AF71" s="53" t="n"/>
      <c r="AG71" s="53" t="n"/>
      <c r="AH71" s="53" t="n"/>
      <c r="AI71" s="53" t="n"/>
      <c r="AJ71" s="53" t="n"/>
      <c r="AK71" s="53" t="n"/>
      <c r="AL71" s="53" t="n"/>
      <c r="AM71" s="53" t="n"/>
      <c r="AN71" s="53" t="n"/>
      <c r="AO71" s="53" t="n"/>
      <c r="AP71" s="53" t="n"/>
      <c r="AQ71" s="53" t="n"/>
      <c r="AR71" s="53" t="n"/>
      <c r="AS71" s="53" t="n"/>
      <c r="AT71" s="53" t="n"/>
      <c r="AU71" s="53" t="n"/>
      <c r="AV71" s="53" t="n"/>
      <c r="AW71" s="53" t="n"/>
      <c r="AX71" s="53" t="n"/>
      <c r="AY71" s="53" t="n"/>
    </row>
    <row r="72" ht="15" customHeight="1">
      <c r="A72" s="62" t="n"/>
      <c r="B72" s="55">
        <f>IF($B$70="","",$B$70)</f>
        <v/>
      </c>
      <c r="C72" s="63" t="inlineStr">
        <is>
          <t>마케팅2팀</t>
        </is>
      </c>
      <c r="D72" s="55">
        <f>IF($D$70="","",$D$70)</f>
        <v/>
      </c>
      <c r="E72" s="64" t="inlineStr">
        <is>
          <t>영상</t>
        </is>
      </c>
      <c r="F72" s="44" t="n"/>
      <c r="G72" s="58">
        <f>IF($G$70="","",$G$70)</f>
        <v/>
      </c>
      <c r="H72" s="59" t="n"/>
      <c r="I72" s="59" t="n"/>
      <c r="J72" s="59" t="n"/>
      <c r="K72" s="59" t="n"/>
      <c r="L72" s="65">
        <f>IF(SUM(U72:AY72)=0,"",SUM(U72:AY72))</f>
        <v/>
      </c>
      <c r="M72" s="66">
        <f>IFERROR(INDEX(U$2:AY$2,MATCH(TRUE,INDEX(U72:AY72&lt;&gt;"",0),0)),"")</f>
        <v/>
      </c>
      <c r="N72" s="66">
        <f>IFERROR(LOOKUP(2,1/(U72:AY72&lt;&gt;""),U$2:AY$2),"")</f>
        <v/>
      </c>
      <c r="O72" s="59" t="n"/>
      <c r="P72" s="59" t="n"/>
      <c r="Q72" s="59" t="n"/>
      <c r="R72" s="59" t="n"/>
      <c r="S72" s="14" t="n"/>
      <c r="U72" s="53" t="n"/>
      <c r="V72" s="53" t="n"/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53" t="n"/>
      <c r="AF72" s="53" t="n"/>
      <c r="AG72" s="53" t="n"/>
      <c r="AH72" s="53" t="n"/>
      <c r="AI72" s="53" t="n"/>
      <c r="AJ72" s="53" t="n"/>
      <c r="AK72" s="53" t="n"/>
      <c r="AL72" s="53" t="n"/>
      <c r="AM72" s="53" t="n"/>
      <c r="AN72" s="53" t="n"/>
      <c r="AO72" s="53" t="n"/>
      <c r="AP72" s="53" t="n"/>
      <c r="AQ72" s="53" t="n"/>
      <c r="AR72" s="53" t="n"/>
      <c r="AS72" s="53" t="n"/>
      <c r="AT72" s="53" t="n"/>
      <c r="AU72" s="53" t="n"/>
      <c r="AV72" s="53" t="n"/>
      <c r="AW72" s="53" t="n"/>
      <c r="AX72" s="53" t="n"/>
      <c r="AY72" s="53" t="n"/>
    </row>
    <row r="73" ht="15" customHeight="1">
      <c r="A73" s="40">
        <f>IF($D$73="","",22)</f>
        <v/>
      </c>
      <c r="B73" s="10" t="n"/>
      <c r="C73" s="41" t="inlineStr">
        <is>
          <t>마케팅2팀</t>
        </is>
      </c>
      <c r="D73" s="42" t="n"/>
      <c r="E73" s="43" t="inlineStr">
        <is>
          <t>기획</t>
        </is>
      </c>
      <c r="F73" s="44" t="n"/>
      <c r="G73" s="45" t="n"/>
      <c r="H73" s="46">
        <f>IF($I$73="","",IF($I$73&lt;0,"🔴지연",IF($I$73&lt;=1,"🟡임박","🟢여유")))</f>
        <v/>
      </c>
      <c r="I73" s="47">
        <f>IF(OR($G$73="",$K$73=""),"",$G$73-$K$73)</f>
        <v/>
      </c>
      <c r="J73" s="48">
        <f>IF(SUM($L$73:$L$75)=0,"",SUM($L$73:$L$75))</f>
        <v/>
      </c>
      <c r="K73" s="49">
        <f>IF($J$73="","",MAX($N$73:$N$75))</f>
        <v/>
      </c>
      <c r="L73" s="50">
        <f>IF(SUM(U73:AY73)=0,"",SUM(U73:AY73))</f>
        <v/>
      </c>
      <c r="M73" s="51">
        <f>IFERROR(INDEX(U$2:AY$2,MATCH(TRUE,INDEX(U73:AY73&lt;&gt;"",0),0)),"")</f>
        <v/>
      </c>
      <c r="N73" s="51">
        <f>IFERROR(LOOKUP(2,1/(U73:AY73&lt;&gt;""),U$2:AY$2),"")</f>
        <v/>
      </c>
      <c r="O73" s="52" t="n"/>
      <c r="P73" s="52" t="n"/>
      <c r="Q73" s="52" t="n"/>
      <c r="R73" s="44" t="n"/>
      <c r="S73" s="14" t="n"/>
      <c r="U73" s="53" t="n"/>
      <c r="V73" s="53" t="n"/>
      <c r="W73" s="53" t="n"/>
      <c r="X73" s="53" t="n"/>
      <c r="Y73" s="53" t="n"/>
      <c r="Z73" s="53" t="n"/>
      <c r="AA73" s="53" t="n"/>
      <c r="AB73" s="53" t="n"/>
      <c r="AC73" s="53" t="n"/>
      <c r="AD73" s="53" t="n"/>
      <c r="AE73" s="53" t="n"/>
      <c r="AF73" s="53" t="n"/>
      <c r="AG73" s="53" t="n"/>
      <c r="AH73" s="53" t="n"/>
      <c r="AI73" s="53" t="n"/>
      <c r="AJ73" s="53" t="n"/>
      <c r="AK73" s="53" t="n"/>
      <c r="AL73" s="53" t="n"/>
      <c r="AM73" s="53" t="n"/>
      <c r="AN73" s="53" t="n"/>
      <c r="AO73" s="53" t="n"/>
      <c r="AP73" s="53" t="n"/>
      <c r="AQ73" s="53" t="n"/>
      <c r="AR73" s="53" t="n"/>
      <c r="AS73" s="53" t="n"/>
      <c r="AT73" s="53" t="n"/>
      <c r="AU73" s="53" t="n"/>
      <c r="AV73" s="53" t="n"/>
      <c r="AW73" s="53" t="n"/>
      <c r="AX73" s="53" t="n"/>
      <c r="AY73" s="53" t="n"/>
    </row>
    <row r="74" ht="15" customHeight="1">
      <c r="A74" s="54" t="n"/>
      <c r="B74" s="55">
        <f>IF($B$73="","",$B$73)</f>
        <v/>
      </c>
      <c r="C74" s="56" t="inlineStr">
        <is>
          <t>마케팅2팀</t>
        </is>
      </c>
      <c r="D74" s="55">
        <f>IF($D$73="","",$D$73)</f>
        <v/>
      </c>
      <c r="E74" s="57" t="inlineStr">
        <is>
          <t>이미지</t>
        </is>
      </c>
      <c r="F74" s="44" t="n"/>
      <c r="G74" s="58">
        <f>IF($G$73="","",$G$73)</f>
        <v/>
      </c>
      <c r="H74" s="59" t="n"/>
      <c r="I74" s="59" t="n"/>
      <c r="J74" s="59" t="n"/>
      <c r="K74" s="59" t="n"/>
      <c r="L74" s="60">
        <f>IF(SUM(U74:AY74)=0,"",SUM(U74:AY74))</f>
        <v/>
      </c>
      <c r="M74" s="61">
        <f>IFERROR(INDEX(U$2:AY$2,MATCH(TRUE,INDEX(U74:AY74&lt;&gt;"",0),0)),"")</f>
        <v/>
      </c>
      <c r="N74" s="61">
        <f>IFERROR(LOOKUP(2,1/(U74:AY74&lt;&gt;""),U$2:AY$2),"")</f>
        <v/>
      </c>
      <c r="O74" s="59" t="n"/>
      <c r="P74" s="59" t="n"/>
      <c r="Q74" s="59" t="n"/>
      <c r="R74" s="59" t="n"/>
      <c r="S74" s="14" t="n"/>
      <c r="U74" s="53" t="n"/>
      <c r="V74" s="53" t="n"/>
      <c r="W74" s="53" t="n"/>
      <c r="X74" s="53" t="n"/>
      <c r="Y74" s="53" t="n"/>
      <c r="Z74" s="53" t="n"/>
      <c r="AA74" s="53" t="n"/>
      <c r="AB74" s="53" t="n"/>
      <c r="AC74" s="53" t="n"/>
      <c r="AD74" s="53" t="n"/>
      <c r="AE74" s="53" t="n"/>
      <c r="AF74" s="53" t="n"/>
      <c r="AG74" s="53" t="n"/>
      <c r="AH74" s="53" t="n"/>
      <c r="AI74" s="53" t="n"/>
      <c r="AJ74" s="53" t="n"/>
      <c r="AK74" s="53" t="n"/>
      <c r="AL74" s="53" t="n"/>
      <c r="AM74" s="53" t="n"/>
      <c r="AN74" s="53" t="n"/>
      <c r="AO74" s="53" t="n"/>
      <c r="AP74" s="53" t="n"/>
      <c r="AQ74" s="53" t="n"/>
      <c r="AR74" s="53" t="n"/>
      <c r="AS74" s="53" t="n"/>
      <c r="AT74" s="53" t="n"/>
      <c r="AU74" s="53" t="n"/>
      <c r="AV74" s="53" t="n"/>
      <c r="AW74" s="53" t="n"/>
      <c r="AX74" s="53" t="n"/>
      <c r="AY74" s="53" t="n"/>
    </row>
    <row r="75" ht="15" customHeight="1">
      <c r="A75" s="62" t="n"/>
      <c r="B75" s="55">
        <f>IF($B$73="","",$B$73)</f>
        <v/>
      </c>
      <c r="C75" s="63" t="inlineStr">
        <is>
          <t>마케팅2팀</t>
        </is>
      </c>
      <c r="D75" s="55">
        <f>IF($D$73="","",$D$73)</f>
        <v/>
      </c>
      <c r="E75" s="64" t="inlineStr">
        <is>
          <t>영상</t>
        </is>
      </c>
      <c r="F75" s="44" t="n"/>
      <c r="G75" s="58">
        <f>IF($G$73="","",$G$73)</f>
        <v/>
      </c>
      <c r="H75" s="59" t="n"/>
      <c r="I75" s="59" t="n"/>
      <c r="J75" s="59" t="n"/>
      <c r="K75" s="59" t="n"/>
      <c r="L75" s="65">
        <f>IF(SUM(U75:AY75)=0,"",SUM(U75:AY75))</f>
        <v/>
      </c>
      <c r="M75" s="66">
        <f>IFERROR(INDEX(U$2:AY$2,MATCH(TRUE,INDEX(U75:AY75&lt;&gt;"",0),0)),"")</f>
        <v/>
      </c>
      <c r="N75" s="66">
        <f>IFERROR(LOOKUP(2,1/(U75:AY75&lt;&gt;""),U$2:AY$2),"")</f>
        <v/>
      </c>
      <c r="O75" s="59" t="n"/>
      <c r="P75" s="59" t="n"/>
      <c r="Q75" s="59" t="n"/>
      <c r="R75" s="59" t="n"/>
      <c r="S75" s="14" t="n"/>
      <c r="U75" s="53" t="n"/>
      <c r="V75" s="53" t="n"/>
      <c r="W75" s="53" t="n"/>
      <c r="X75" s="53" t="n"/>
      <c r="Y75" s="53" t="n"/>
      <c r="Z75" s="53" t="n"/>
      <c r="AA75" s="53" t="n"/>
      <c r="AB75" s="53" t="n"/>
      <c r="AC75" s="53" t="n"/>
      <c r="AD75" s="53" t="n"/>
      <c r="AE75" s="53" t="n"/>
      <c r="AF75" s="53" t="n"/>
      <c r="AG75" s="53" t="n"/>
      <c r="AH75" s="53" t="n"/>
      <c r="AI75" s="53" t="n"/>
      <c r="AJ75" s="53" t="n"/>
      <c r="AK75" s="53" t="n"/>
      <c r="AL75" s="53" t="n"/>
      <c r="AM75" s="53" t="n"/>
      <c r="AN75" s="53" t="n"/>
      <c r="AO75" s="53" t="n"/>
      <c r="AP75" s="53" t="n"/>
      <c r="AQ75" s="53" t="n"/>
      <c r="AR75" s="53" t="n"/>
      <c r="AS75" s="53" t="n"/>
      <c r="AT75" s="53" t="n"/>
      <c r="AU75" s="53" t="n"/>
      <c r="AV75" s="53" t="n"/>
      <c r="AW75" s="53" t="n"/>
      <c r="AX75" s="53" t="n"/>
      <c r="AY75" s="53" t="n"/>
    </row>
    <row r="76" ht="15" customHeight="1">
      <c r="A76" s="40">
        <f>IF($D$76="","",23)</f>
        <v/>
      </c>
      <c r="B76" s="10" t="n"/>
      <c r="C76" s="41" t="inlineStr">
        <is>
          <t>마케팅2팀</t>
        </is>
      </c>
      <c r="D76" s="42" t="n"/>
      <c r="E76" s="43" t="inlineStr">
        <is>
          <t>기획</t>
        </is>
      </c>
      <c r="F76" s="44" t="n"/>
      <c r="G76" s="45" t="n"/>
      <c r="H76" s="46">
        <f>IF($I$76="","",IF($I$76&lt;0,"🔴지연",IF($I$76&lt;=1,"🟡임박","🟢여유")))</f>
        <v/>
      </c>
      <c r="I76" s="47">
        <f>IF(OR($G$76="",$K$76=""),"",$G$76-$K$76)</f>
        <v/>
      </c>
      <c r="J76" s="48">
        <f>IF(SUM($L$76:$L$78)=0,"",SUM($L$76:$L$78))</f>
        <v/>
      </c>
      <c r="K76" s="49">
        <f>IF($J$76="","",MAX($N$76:$N$78))</f>
        <v/>
      </c>
      <c r="L76" s="50">
        <f>IF(SUM(U76:AY76)=0,"",SUM(U76:AY76))</f>
        <v/>
      </c>
      <c r="M76" s="51">
        <f>IFERROR(INDEX(U$2:AY$2,MATCH(TRUE,INDEX(U76:AY76&lt;&gt;"",0),0)),"")</f>
        <v/>
      </c>
      <c r="N76" s="51">
        <f>IFERROR(LOOKUP(2,1/(U76:AY76&lt;&gt;""),U$2:AY$2),"")</f>
        <v/>
      </c>
      <c r="O76" s="52" t="n"/>
      <c r="P76" s="52" t="n"/>
      <c r="Q76" s="52" t="n"/>
      <c r="R76" s="44" t="n"/>
      <c r="S76" s="14" t="n"/>
      <c r="U76" s="53" t="n"/>
      <c r="V76" s="53" t="n"/>
      <c r="W76" s="53" t="n"/>
      <c r="X76" s="53" t="n"/>
      <c r="Y76" s="53" t="n"/>
      <c r="Z76" s="53" t="n"/>
      <c r="AA76" s="53" t="n"/>
      <c r="AB76" s="53" t="n"/>
      <c r="AC76" s="53" t="n"/>
      <c r="AD76" s="53" t="n"/>
      <c r="AE76" s="53" t="n"/>
      <c r="AF76" s="53" t="n"/>
      <c r="AG76" s="53" t="n"/>
      <c r="AH76" s="53" t="n"/>
      <c r="AI76" s="53" t="n"/>
      <c r="AJ76" s="53" t="n"/>
      <c r="AK76" s="53" t="n"/>
      <c r="AL76" s="53" t="n"/>
      <c r="AM76" s="53" t="n"/>
      <c r="AN76" s="53" t="n"/>
      <c r="AO76" s="53" t="n"/>
      <c r="AP76" s="53" t="n"/>
      <c r="AQ76" s="53" t="n"/>
      <c r="AR76" s="53" t="n"/>
      <c r="AS76" s="53" t="n"/>
      <c r="AT76" s="53" t="n"/>
      <c r="AU76" s="53" t="n"/>
      <c r="AV76" s="53" t="n"/>
      <c r="AW76" s="53" t="n"/>
      <c r="AX76" s="53" t="n"/>
      <c r="AY76" s="53" t="n"/>
    </row>
    <row r="77" ht="15" customHeight="1">
      <c r="A77" s="54" t="n"/>
      <c r="B77" s="55">
        <f>IF($B$76="","",$B$76)</f>
        <v/>
      </c>
      <c r="C77" s="56" t="inlineStr">
        <is>
          <t>마케팅2팀</t>
        </is>
      </c>
      <c r="D77" s="55">
        <f>IF($D$76="","",$D$76)</f>
        <v/>
      </c>
      <c r="E77" s="57" t="inlineStr">
        <is>
          <t>이미지</t>
        </is>
      </c>
      <c r="F77" s="44" t="n"/>
      <c r="G77" s="58">
        <f>IF($G$76="","",$G$76)</f>
        <v/>
      </c>
      <c r="H77" s="59" t="n"/>
      <c r="I77" s="59" t="n"/>
      <c r="J77" s="59" t="n"/>
      <c r="K77" s="59" t="n"/>
      <c r="L77" s="60">
        <f>IF(SUM(U77:AY77)=0,"",SUM(U77:AY77))</f>
        <v/>
      </c>
      <c r="M77" s="61">
        <f>IFERROR(INDEX(U$2:AY$2,MATCH(TRUE,INDEX(U77:AY77&lt;&gt;"",0),0)),"")</f>
        <v/>
      </c>
      <c r="N77" s="61">
        <f>IFERROR(LOOKUP(2,1/(U77:AY77&lt;&gt;""),U$2:AY$2),"")</f>
        <v/>
      </c>
      <c r="O77" s="59" t="n"/>
      <c r="P77" s="59" t="n"/>
      <c r="Q77" s="59" t="n"/>
      <c r="R77" s="59" t="n"/>
      <c r="S77" s="14" t="n"/>
      <c r="U77" s="53" t="n"/>
      <c r="V77" s="53" t="n"/>
      <c r="W77" s="53" t="n"/>
      <c r="X77" s="53" t="n"/>
      <c r="Y77" s="53" t="n"/>
      <c r="Z77" s="53" t="n"/>
      <c r="AA77" s="53" t="n"/>
      <c r="AB77" s="53" t="n"/>
      <c r="AC77" s="53" t="n"/>
      <c r="AD77" s="53" t="n"/>
      <c r="AE77" s="53" t="n"/>
      <c r="AF77" s="53" t="n"/>
      <c r="AG77" s="53" t="n"/>
      <c r="AH77" s="53" t="n"/>
      <c r="AI77" s="53" t="n"/>
      <c r="AJ77" s="53" t="n"/>
      <c r="AK77" s="53" t="n"/>
      <c r="AL77" s="53" t="n"/>
      <c r="AM77" s="53" t="n"/>
      <c r="AN77" s="53" t="n"/>
      <c r="AO77" s="53" t="n"/>
      <c r="AP77" s="53" t="n"/>
      <c r="AQ77" s="53" t="n"/>
      <c r="AR77" s="53" t="n"/>
      <c r="AS77" s="53" t="n"/>
      <c r="AT77" s="53" t="n"/>
      <c r="AU77" s="53" t="n"/>
      <c r="AV77" s="53" t="n"/>
      <c r="AW77" s="53" t="n"/>
      <c r="AX77" s="53" t="n"/>
      <c r="AY77" s="53" t="n"/>
    </row>
    <row r="78" ht="15" customHeight="1">
      <c r="A78" s="62" t="n"/>
      <c r="B78" s="55">
        <f>IF($B$76="","",$B$76)</f>
        <v/>
      </c>
      <c r="C78" s="63" t="inlineStr">
        <is>
          <t>마케팅2팀</t>
        </is>
      </c>
      <c r="D78" s="55">
        <f>IF($D$76="","",$D$76)</f>
        <v/>
      </c>
      <c r="E78" s="64" t="inlineStr">
        <is>
          <t>영상</t>
        </is>
      </c>
      <c r="F78" s="44" t="n"/>
      <c r="G78" s="58">
        <f>IF($G$76="","",$G$76)</f>
        <v/>
      </c>
      <c r="H78" s="59" t="n"/>
      <c r="I78" s="59" t="n"/>
      <c r="J78" s="59" t="n"/>
      <c r="K78" s="59" t="n"/>
      <c r="L78" s="65">
        <f>IF(SUM(U78:AY78)=0,"",SUM(U78:AY78))</f>
        <v/>
      </c>
      <c r="M78" s="66">
        <f>IFERROR(INDEX(U$2:AY$2,MATCH(TRUE,INDEX(U78:AY78&lt;&gt;"",0),0)),"")</f>
        <v/>
      </c>
      <c r="N78" s="66">
        <f>IFERROR(LOOKUP(2,1/(U78:AY78&lt;&gt;""),U$2:AY$2),"")</f>
        <v/>
      </c>
      <c r="O78" s="59" t="n"/>
      <c r="P78" s="59" t="n"/>
      <c r="Q78" s="59" t="n"/>
      <c r="R78" s="59" t="n"/>
      <c r="S78" s="14" t="n"/>
      <c r="U78" s="53" t="n"/>
      <c r="V78" s="53" t="n"/>
      <c r="W78" s="53" t="n"/>
      <c r="X78" s="53" t="n"/>
      <c r="Y78" s="53" t="n"/>
      <c r="Z78" s="53" t="n"/>
      <c r="AA78" s="53" t="n"/>
      <c r="AB78" s="53" t="n"/>
      <c r="AC78" s="53" t="n"/>
      <c r="AD78" s="53" t="n"/>
      <c r="AE78" s="53" t="n"/>
      <c r="AF78" s="53" t="n"/>
      <c r="AG78" s="53" t="n"/>
      <c r="AH78" s="53" t="n"/>
      <c r="AI78" s="53" t="n"/>
      <c r="AJ78" s="53" t="n"/>
      <c r="AK78" s="53" t="n"/>
      <c r="AL78" s="53" t="n"/>
      <c r="AM78" s="53" t="n"/>
      <c r="AN78" s="53" t="n"/>
      <c r="AO78" s="53" t="n"/>
      <c r="AP78" s="53" t="n"/>
      <c r="AQ78" s="53" t="n"/>
      <c r="AR78" s="53" t="n"/>
      <c r="AS78" s="53" t="n"/>
      <c r="AT78" s="53" t="n"/>
      <c r="AU78" s="53" t="n"/>
      <c r="AV78" s="53" t="n"/>
      <c r="AW78" s="53" t="n"/>
      <c r="AX78" s="53" t="n"/>
      <c r="AY78" s="53" t="n"/>
    </row>
    <row r="79" ht="15" customHeight="1">
      <c r="A79" s="40">
        <f>IF($D$79="","",24)</f>
        <v/>
      </c>
      <c r="B79" s="10" t="n"/>
      <c r="C79" s="41" t="inlineStr">
        <is>
          <t>마케팅2팀</t>
        </is>
      </c>
      <c r="D79" s="42" t="n"/>
      <c r="E79" s="43" t="inlineStr">
        <is>
          <t>기획</t>
        </is>
      </c>
      <c r="F79" s="44" t="n"/>
      <c r="G79" s="45" t="n"/>
      <c r="H79" s="46">
        <f>IF($I$79="","",IF($I$79&lt;0,"🔴지연",IF($I$79&lt;=1,"🟡임박","🟢여유")))</f>
        <v/>
      </c>
      <c r="I79" s="47">
        <f>IF(OR($G$79="",$K$79=""),"",$G$79-$K$79)</f>
        <v/>
      </c>
      <c r="J79" s="48">
        <f>IF(SUM($L$79:$L$81)=0,"",SUM($L$79:$L$81))</f>
        <v/>
      </c>
      <c r="K79" s="49">
        <f>IF($J$79="","",MAX($N$79:$N$81))</f>
        <v/>
      </c>
      <c r="L79" s="50">
        <f>IF(SUM(U79:AY79)=0,"",SUM(U79:AY79))</f>
        <v/>
      </c>
      <c r="M79" s="51">
        <f>IFERROR(INDEX(U$2:AY$2,MATCH(TRUE,INDEX(U79:AY79&lt;&gt;"",0),0)),"")</f>
        <v/>
      </c>
      <c r="N79" s="51">
        <f>IFERROR(LOOKUP(2,1/(U79:AY79&lt;&gt;""),U$2:AY$2),"")</f>
        <v/>
      </c>
      <c r="O79" s="52" t="n"/>
      <c r="P79" s="52" t="n"/>
      <c r="Q79" s="52" t="n"/>
      <c r="R79" s="44" t="n"/>
      <c r="S79" s="14" t="n"/>
      <c r="U79" s="53" t="n"/>
      <c r="V79" s="53" t="n"/>
      <c r="W79" s="53" t="n"/>
      <c r="X79" s="53" t="n"/>
      <c r="Y79" s="53" t="n"/>
      <c r="Z79" s="53" t="n"/>
      <c r="AA79" s="53" t="n"/>
      <c r="AB79" s="53" t="n"/>
      <c r="AC79" s="53" t="n"/>
      <c r="AD79" s="53" t="n"/>
      <c r="AE79" s="53" t="n"/>
      <c r="AF79" s="53" t="n"/>
      <c r="AG79" s="53" t="n"/>
      <c r="AH79" s="53" t="n"/>
      <c r="AI79" s="53" t="n"/>
      <c r="AJ79" s="53" t="n"/>
      <c r="AK79" s="53" t="n"/>
      <c r="AL79" s="53" t="n"/>
      <c r="AM79" s="53" t="n"/>
      <c r="AN79" s="53" t="n"/>
      <c r="AO79" s="53" t="n"/>
      <c r="AP79" s="53" t="n"/>
      <c r="AQ79" s="53" t="n"/>
      <c r="AR79" s="53" t="n"/>
      <c r="AS79" s="53" t="n"/>
      <c r="AT79" s="53" t="n"/>
      <c r="AU79" s="53" t="n"/>
      <c r="AV79" s="53" t="n"/>
      <c r="AW79" s="53" t="n"/>
      <c r="AX79" s="53" t="n"/>
      <c r="AY79" s="53" t="n"/>
    </row>
    <row r="80" ht="15" customHeight="1">
      <c r="A80" s="54" t="n"/>
      <c r="B80" s="55">
        <f>IF($B$79="","",$B$79)</f>
        <v/>
      </c>
      <c r="C80" s="56" t="inlineStr">
        <is>
          <t>마케팅2팀</t>
        </is>
      </c>
      <c r="D80" s="55">
        <f>IF($D$79="","",$D$79)</f>
        <v/>
      </c>
      <c r="E80" s="57" t="inlineStr">
        <is>
          <t>이미지</t>
        </is>
      </c>
      <c r="F80" s="44" t="n"/>
      <c r="G80" s="58">
        <f>IF($G$79="","",$G$79)</f>
        <v/>
      </c>
      <c r="H80" s="59" t="n"/>
      <c r="I80" s="59" t="n"/>
      <c r="J80" s="59" t="n"/>
      <c r="K80" s="59" t="n"/>
      <c r="L80" s="60">
        <f>IF(SUM(U80:AY80)=0,"",SUM(U80:AY80))</f>
        <v/>
      </c>
      <c r="M80" s="61">
        <f>IFERROR(INDEX(U$2:AY$2,MATCH(TRUE,INDEX(U80:AY80&lt;&gt;"",0),0)),"")</f>
        <v/>
      </c>
      <c r="N80" s="61">
        <f>IFERROR(LOOKUP(2,1/(U80:AY80&lt;&gt;""),U$2:AY$2),"")</f>
        <v/>
      </c>
      <c r="O80" s="59" t="n"/>
      <c r="P80" s="59" t="n"/>
      <c r="Q80" s="59" t="n"/>
      <c r="R80" s="59" t="n"/>
      <c r="S80" s="14" t="n"/>
      <c r="U80" s="53" t="n"/>
      <c r="V80" s="53" t="n"/>
      <c r="W80" s="53" t="n"/>
      <c r="X80" s="53" t="n"/>
      <c r="Y80" s="53" t="n"/>
      <c r="Z80" s="53" t="n"/>
      <c r="AA80" s="53" t="n"/>
      <c r="AB80" s="53" t="n"/>
      <c r="AC80" s="53" t="n"/>
      <c r="AD80" s="53" t="n"/>
      <c r="AE80" s="53" t="n"/>
      <c r="AF80" s="53" t="n"/>
      <c r="AG80" s="53" t="n"/>
      <c r="AH80" s="53" t="n"/>
      <c r="AI80" s="53" t="n"/>
      <c r="AJ80" s="53" t="n"/>
      <c r="AK80" s="53" t="n"/>
      <c r="AL80" s="53" t="n"/>
      <c r="AM80" s="53" t="n"/>
      <c r="AN80" s="53" t="n"/>
      <c r="AO80" s="53" t="n"/>
      <c r="AP80" s="53" t="n"/>
      <c r="AQ80" s="53" t="n"/>
      <c r="AR80" s="53" t="n"/>
      <c r="AS80" s="53" t="n"/>
      <c r="AT80" s="53" t="n"/>
      <c r="AU80" s="53" t="n"/>
      <c r="AV80" s="53" t="n"/>
      <c r="AW80" s="53" t="n"/>
      <c r="AX80" s="53" t="n"/>
      <c r="AY80" s="53" t="n"/>
    </row>
    <row r="81" ht="15" customHeight="1">
      <c r="A81" s="62" t="n"/>
      <c r="B81" s="55">
        <f>IF($B$79="","",$B$79)</f>
        <v/>
      </c>
      <c r="C81" s="63" t="inlineStr">
        <is>
          <t>마케팅2팀</t>
        </is>
      </c>
      <c r="D81" s="55">
        <f>IF($D$79="","",$D$79)</f>
        <v/>
      </c>
      <c r="E81" s="64" t="inlineStr">
        <is>
          <t>영상</t>
        </is>
      </c>
      <c r="F81" s="44" t="n"/>
      <c r="G81" s="58">
        <f>IF($G$79="","",$G$79)</f>
        <v/>
      </c>
      <c r="H81" s="59" t="n"/>
      <c r="I81" s="59" t="n"/>
      <c r="J81" s="59" t="n"/>
      <c r="K81" s="59" t="n"/>
      <c r="L81" s="65">
        <f>IF(SUM(U81:AY81)=0,"",SUM(U81:AY81))</f>
        <v/>
      </c>
      <c r="M81" s="66">
        <f>IFERROR(INDEX(U$2:AY$2,MATCH(TRUE,INDEX(U81:AY81&lt;&gt;"",0),0)),"")</f>
        <v/>
      </c>
      <c r="N81" s="66">
        <f>IFERROR(LOOKUP(2,1/(U81:AY81&lt;&gt;""),U$2:AY$2),"")</f>
        <v/>
      </c>
      <c r="O81" s="59" t="n"/>
      <c r="P81" s="59" t="n"/>
      <c r="Q81" s="59" t="n"/>
      <c r="R81" s="59" t="n"/>
      <c r="S81" s="14" t="n"/>
      <c r="U81" s="53" t="n"/>
      <c r="V81" s="53" t="n"/>
      <c r="W81" s="53" t="n"/>
      <c r="X81" s="53" t="n"/>
      <c r="Y81" s="53" t="n"/>
      <c r="Z81" s="53" t="n"/>
      <c r="AA81" s="53" t="n"/>
      <c r="AB81" s="53" t="n"/>
      <c r="AC81" s="53" t="n"/>
      <c r="AD81" s="53" t="n"/>
      <c r="AE81" s="53" t="n"/>
      <c r="AF81" s="53" t="n"/>
      <c r="AG81" s="53" t="n"/>
      <c r="AH81" s="53" t="n"/>
      <c r="AI81" s="53" t="n"/>
      <c r="AJ81" s="53" t="n"/>
      <c r="AK81" s="53" t="n"/>
      <c r="AL81" s="53" t="n"/>
      <c r="AM81" s="53" t="n"/>
      <c r="AN81" s="53" t="n"/>
      <c r="AO81" s="53" t="n"/>
      <c r="AP81" s="53" t="n"/>
      <c r="AQ81" s="53" t="n"/>
      <c r="AR81" s="53" t="n"/>
      <c r="AS81" s="53" t="n"/>
      <c r="AT81" s="53" t="n"/>
      <c r="AU81" s="53" t="n"/>
      <c r="AV81" s="53" t="n"/>
      <c r="AW81" s="53" t="n"/>
      <c r="AX81" s="53" t="n"/>
      <c r="AY81" s="53" t="n"/>
    </row>
    <row r="82" ht="15" customHeight="1">
      <c r="A82" s="40">
        <f>IF($D$82="","",25)</f>
        <v/>
      </c>
      <c r="B82" s="10" t="n"/>
      <c r="C82" s="41" t="inlineStr">
        <is>
          <t>마케팅2팀</t>
        </is>
      </c>
      <c r="D82" s="42" t="n"/>
      <c r="E82" s="43" t="inlineStr">
        <is>
          <t>기획</t>
        </is>
      </c>
      <c r="F82" s="44" t="n"/>
      <c r="G82" s="45" t="n"/>
      <c r="H82" s="46">
        <f>IF($I$82="","",IF($I$82&lt;0,"🔴지연",IF($I$82&lt;=1,"🟡임박","🟢여유")))</f>
        <v/>
      </c>
      <c r="I82" s="47">
        <f>IF(OR($G$82="",$K$82=""),"",$G$82-$K$82)</f>
        <v/>
      </c>
      <c r="J82" s="48">
        <f>IF(SUM($L$82:$L$84)=0,"",SUM($L$82:$L$84))</f>
        <v/>
      </c>
      <c r="K82" s="49">
        <f>IF($J$82="","",MAX($N$82:$N$84))</f>
        <v/>
      </c>
      <c r="L82" s="50">
        <f>IF(SUM(U82:AY82)=0,"",SUM(U82:AY82))</f>
        <v/>
      </c>
      <c r="M82" s="51">
        <f>IFERROR(INDEX(U$2:AY$2,MATCH(TRUE,INDEX(U82:AY82&lt;&gt;"",0),0)),"")</f>
        <v/>
      </c>
      <c r="N82" s="51">
        <f>IFERROR(LOOKUP(2,1/(U82:AY82&lt;&gt;""),U$2:AY$2),"")</f>
        <v/>
      </c>
      <c r="O82" s="52" t="n"/>
      <c r="P82" s="52" t="n"/>
      <c r="Q82" s="52" t="n"/>
      <c r="R82" s="44" t="n"/>
      <c r="S82" s="14" t="n"/>
      <c r="U82" s="53" t="n"/>
      <c r="V82" s="53" t="n"/>
      <c r="W82" s="53" t="n"/>
      <c r="X82" s="53" t="n"/>
      <c r="Y82" s="53" t="n"/>
      <c r="Z82" s="53" t="n"/>
      <c r="AA82" s="53" t="n"/>
      <c r="AB82" s="53" t="n"/>
      <c r="AC82" s="53" t="n"/>
      <c r="AD82" s="53" t="n"/>
      <c r="AE82" s="53" t="n"/>
      <c r="AF82" s="53" t="n"/>
      <c r="AG82" s="53" t="n"/>
      <c r="AH82" s="53" t="n"/>
      <c r="AI82" s="53" t="n"/>
      <c r="AJ82" s="53" t="n"/>
      <c r="AK82" s="53" t="n"/>
      <c r="AL82" s="53" t="n"/>
      <c r="AM82" s="53" t="n"/>
      <c r="AN82" s="53" t="n"/>
      <c r="AO82" s="53" t="n"/>
      <c r="AP82" s="53" t="n"/>
      <c r="AQ82" s="53" t="n"/>
      <c r="AR82" s="53" t="n"/>
      <c r="AS82" s="53" t="n"/>
      <c r="AT82" s="53" t="n"/>
      <c r="AU82" s="53" t="n"/>
      <c r="AV82" s="53" t="n"/>
      <c r="AW82" s="53" t="n"/>
      <c r="AX82" s="53" t="n"/>
      <c r="AY82" s="53" t="n"/>
    </row>
    <row r="83" ht="15" customHeight="1">
      <c r="A83" s="54" t="n"/>
      <c r="B83" s="55">
        <f>IF($B$82="","",$B$82)</f>
        <v/>
      </c>
      <c r="C83" s="56" t="inlineStr">
        <is>
          <t>마케팅2팀</t>
        </is>
      </c>
      <c r="D83" s="55">
        <f>IF($D$82="","",$D$82)</f>
        <v/>
      </c>
      <c r="E83" s="57" t="inlineStr">
        <is>
          <t>이미지</t>
        </is>
      </c>
      <c r="F83" s="44" t="n"/>
      <c r="G83" s="58">
        <f>IF($G$82="","",$G$82)</f>
        <v/>
      </c>
      <c r="H83" s="59" t="n"/>
      <c r="I83" s="59" t="n"/>
      <c r="J83" s="59" t="n"/>
      <c r="K83" s="59" t="n"/>
      <c r="L83" s="60">
        <f>IF(SUM(U83:AY83)=0,"",SUM(U83:AY83))</f>
        <v/>
      </c>
      <c r="M83" s="61">
        <f>IFERROR(INDEX(U$2:AY$2,MATCH(TRUE,INDEX(U83:AY83&lt;&gt;"",0),0)),"")</f>
        <v/>
      </c>
      <c r="N83" s="61">
        <f>IFERROR(LOOKUP(2,1/(U83:AY83&lt;&gt;""),U$2:AY$2),"")</f>
        <v/>
      </c>
      <c r="O83" s="59" t="n"/>
      <c r="P83" s="59" t="n"/>
      <c r="Q83" s="59" t="n"/>
      <c r="R83" s="59" t="n"/>
      <c r="S83" s="14" t="n"/>
      <c r="U83" s="53" t="n"/>
      <c r="V83" s="53" t="n"/>
      <c r="W83" s="53" t="n"/>
      <c r="X83" s="53" t="n"/>
      <c r="Y83" s="53" t="n"/>
      <c r="Z83" s="53" t="n"/>
      <c r="AA83" s="53" t="n"/>
      <c r="AB83" s="53" t="n"/>
      <c r="AC83" s="53" t="n"/>
      <c r="AD83" s="53" t="n"/>
      <c r="AE83" s="53" t="n"/>
      <c r="AF83" s="53" t="n"/>
      <c r="AG83" s="53" t="n"/>
      <c r="AH83" s="53" t="n"/>
      <c r="AI83" s="53" t="n"/>
      <c r="AJ83" s="53" t="n"/>
      <c r="AK83" s="53" t="n"/>
      <c r="AL83" s="53" t="n"/>
      <c r="AM83" s="53" t="n"/>
      <c r="AN83" s="53" t="n"/>
      <c r="AO83" s="53" t="n"/>
      <c r="AP83" s="53" t="n"/>
      <c r="AQ83" s="53" t="n"/>
      <c r="AR83" s="53" t="n"/>
      <c r="AS83" s="53" t="n"/>
      <c r="AT83" s="53" t="n"/>
      <c r="AU83" s="53" t="n"/>
      <c r="AV83" s="53" t="n"/>
      <c r="AW83" s="53" t="n"/>
      <c r="AX83" s="53" t="n"/>
      <c r="AY83" s="53" t="n"/>
    </row>
    <row r="84" ht="15" customHeight="1">
      <c r="A84" s="62" t="n"/>
      <c r="B84" s="55">
        <f>IF($B$82="","",$B$82)</f>
        <v/>
      </c>
      <c r="C84" s="63" t="inlineStr">
        <is>
          <t>마케팅2팀</t>
        </is>
      </c>
      <c r="D84" s="55">
        <f>IF($D$82="","",$D$82)</f>
        <v/>
      </c>
      <c r="E84" s="64" t="inlineStr">
        <is>
          <t>영상</t>
        </is>
      </c>
      <c r="F84" s="44" t="n"/>
      <c r="G84" s="58">
        <f>IF($G$82="","",$G$82)</f>
        <v/>
      </c>
      <c r="H84" s="59" t="n"/>
      <c r="I84" s="59" t="n"/>
      <c r="J84" s="59" t="n"/>
      <c r="K84" s="59" t="n"/>
      <c r="L84" s="65">
        <f>IF(SUM(U84:AY84)=0,"",SUM(U84:AY84))</f>
        <v/>
      </c>
      <c r="M84" s="66">
        <f>IFERROR(INDEX(U$2:AY$2,MATCH(TRUE,INDEX(U84:AY84&lt;&gt;"",0),0)),"")</f>
        <v/>
      </c>
      <c r="N84" s="66">
        <f>IFERROR(LOOKUP(2,1/(U84:AY84&lt;&gt;""),U$2:AY$2),"")</f>
        <v/>
      </c>
      <c r="O84" s="59" t="n"/>
      <c r="P84" s="59" t="n"/>
      <c r="Q84" s="59" t="n"/>
      <c r="R84" s="59" t="n"/>
      <c r="S84" s="14" t="n"/>
      <c r="U84" s="53" t="n"/>
      <c r="V84" s="53" t="n"/>
      <c r="W84" s="53" t="n"/>
      <c r="X84" s="53" t="n"/>
      <c r="Y84" s="53" t="n"/>
      <c r="Z84" s="53" t="n"/>
      <c r="AA84" s="53" t="n"/>
      <c r="AB84" s="53" t="n"/>
      <c r="AC84" s="53" t="n"/>
      <c r="AD84" s="53" t="n"/>
      <c r="AE84" s="53" t="n"/>
      <c r="AF84" s="53" t="n"/>
      <c r="AG84" s="53" t="n"/>
      <c r="AH84" s="53" t="n"/>
      <c r="AI84" s="53" t="n"/>
      <c r="AJ84" s="53" t="n"/>
      <c r="AK84" s="53" t="n"/>
      <c r="AL84" s="53" t="n"/>
      <c r="AM84" s="53" t="n"/>
      <c r="AN84" s="53" t="n"/>
      <c r="AO84" s="53" t="n"/>
      <c r="AP84" s="53" t="n"/>
      <c r="AQ84" s="53" t="n"/>
      <c r="AR84" s="53" t="n"/>
      <c r="AS84" s="53" t="n"/>
      <c r="AT84" s="53" t="n"/>
      <c r="AU84" s="53" t="n"/>
      <c r="AV84" s="53" t="n"/>
      <c r="AW84" s="53" t="n"/>
      <c r="AX84" s="53" t="n"/>
      <c r="AY84" s="53" t="n"/>
    </row>
    <row r="85" ht="15" customHeight="1">
      <c r="A85" s="40">
        <f>IF($D$85="","",26)</f>
        <v/>
      </c>
      <c r="B85" s="10" t="n"/>
      <c r="C85" s="41" t="inlineStr">
        <is>
          <t>마케팅2팀</t>
        </is>
      </c>
      <c r="D85" s="42" t="n"/>
      <c r="E85" s="43" t="inlineStr">
        <is>
          <t>기획</t>
        </is>
      </c>
      <c r="F85" s="44" t="n"/>
      <c r="G85" s="45" t="n"/>
      <c r="H85" s="46">
        <f>IF($I$85="","",IF($I$85&lt;0,"🔴지연",IF($I$85&lt;=1,"🟡임박","🟢여유")))</f>
        <v/>
      </c>
      <c r="I85" s="47">
        <f>IF(OR($G$85="",$K$85=""),"",$G$85-$K$85)</f>
        <v/>
      </c>
      <c r="J85" s="48">
        <f>IF(SUM($L$85:$L$87)=0,"",SUM($L$85:$L$87))</f>
        <v/>
      </c>
      <c r="K85" s="49">
        <f>IF($J$85="","",MAX($N$85:$N$87))</f>
        <v/>
      </c>
      <c r="L85" s="50">
        <f>IF(SUM(U85:AY85)=0,"",SUM(U85:AY85))</f>
        <v/>
      </c>
      <c r="M85" s="51">
        <f>IFERROR(INDEX(U$2:AY$2,MATCH(TRUE,INDEX(U85:AY85&lt;&gt;"",0),0)),"")</f>
        <v/>
      </c>
      <c r="N85" s="51">
        <f>IFERROR(LOOKUP(2,1/(U85:AY85&lt;&gt;""),U$2:AY$2),"")</f>
        <v/>
      </c>
      <c r="O85" s="52" t="n"/>
      <c r="P85" s="52" t="n"/>
      <c r="Q85" s="52" t="n"/>
      <c r="R85" s="44" t="n"/>
      <c r="S85" s="14" t="n"/>
      <c r="U85" s="53" t="n"/>
      <c r="V85" s="53" t="n"/>
      <c r="W85" s="53" t="n"/>
      <c r="X85" s="53" t="n"/>
      <c r="Y85" s="53" t="n"/>
      <c r="Z85" s="53" t="n"/>
      <c r="AA85" s="53" t="n"/>
      <c r="AB85" s="53" t="n"/>
      <c r="AC85" s="53" t="n"/>
      <c r="AD85" s="53" t="n"/>
      <c r="AE85" s="53" t="n"/>
      <c r="AF85" s="53" t="n"/>
      <c r="AG85" s="53" t="n"/>
      <c r="AH85" s="53" t="n"/>
      <c r="AI85" s="53" t="n"/>
      <c r="AJ85" s="53" t="n"/>
      <c r="AK85" s="53" t="n"/>
      <c r="AL85" s="53" t="n"/>
      <c r="AM85" s="53" t="n"/>
      <c r="AN85" s="53" t="n"/>
      <c r="AO85" s="53" t="n"/>
      <c r="AP85" s="53" t="n"/>
      <c r="AQ85" s="53" t="n"/>
      <c r="AR85" s="53" t="n"/>
      <c r="AS85" s="53" t="n"/>
      <c r="AT85" s="53" t="n"/>
      <c r="AU85" s="53" t="n"/>
      <c r="AV85" s="53" t="n"/>
      <c r="AW85" s="53" t="n"/>
      <c r="AX85" s="53" t="n"/>
      <c r="AY85" s="53" t="n"/>
    </row>
    <row r="86" ht="15" customHeight="1">
      <c r="A86" s="54" t="n"/>
      <c r="B86" s="55">
        <f>IF($B$85="","",$B$85)</f>
        <v/>
      </c>
      <c r="C86" s="56" t="inlineStr">
        <is>
          <t>마케팅2팀</t>
        </is>
      </c>
      <c r="D86" s="55">
        <f>IF($D$85="","",$D$85)</f>
        <v/>
      </c>
      <c r="E86" s="57" t="inlineStr">
        <is>
          <t>이미지</t>
        </is>
      </c>
      <c r="F86" s="44" t="n"/>
      <c r="G86" s="58">
        <f>IF($G$85="","",$G$85)</f>
        <v/>
      </c>
      <c r="H86" s="59" t="n"/>
      <c r="I86" s="59" t="n"/>
      <c r="J86" s="59" t="n"/>
      <c r="K86" s="59" t="n"/>
      <c r="L86" s="60">
        <f>IF(SUM(U86:AY86)=0,"",SUM(U86:AY86))</f>
        <v/>
      </c>
      <c r="M86" s="61">
        <f>IFERROR(INDEX(U$2:AY$2,MATCH(TRUE,INDEX(U86:AY86&lt;&gt;"",0),0)),"")</f>
        <v/>
      </c>
      <c r="N86" s="61">
        <f>IFERROR(LOOKUP(2,1/(U86:AY86&lt;&gt;""),U$2:AY$2),"")</f>
        <v/>
      </c>
      <c r="O86" s="59" t="n"/>
      <c r="P86" s="59" t="n"/>
      <c r="Q86" s="59" t="n"/>
      <c r="R86" s="59" t="n"/>
      <c r="S86" s="14" t="n"/>
      <c r="U86" s="53" t="n"/>
      <c r="V86" s="53" t="n"/>
      <c r="W86" s="53" t="n"/>
      <c r="X86" s="53" t="n"/>
      <c r="Y86" s="53" t="n"/>
      <c r="Z86" s="53" t="n"/>
      <c r="AA86" s="53" t="n"/>
      <c r="AB86" s="53" t="n"/>
      <c r="AC86" s="53" t="n"/>
      <c r="AD86" s="53" t="n"/>
      <c r="AE86" s="53" t="n"/>
      <c r="AF86" s="53" t="n"/>
      <c r="AG86" s="53" t="n"/>
      <c r="AH86" s="53" t="n"/>
      <c r="AI86" s="53" t="n"/>
      <c r="AJ86" s="53" t="n"/>
      <c r="AK86" s="53" t="n"/>
      <c r="AL86" s="53" t="n"/>
      <c r="AM86" s="53" t="n"/>
      <c r="AN86" s="53" t="n"/>
      <c r="AO86" s="53" t="n"/>
      <c r="AP86" s="53" t="n"/>
      <c r="AQ86" s="53" t="n"/>
      <c r="AR86" s="53" t="n"/>
      <c r="AS86" s="53" t="n"/>
      <c r="AT86" s="53" t="n"/>
      <c r="AU86" s="53" t="n"/>
      <c r="AV86" s="53" t="n"/>
      <c r="AW86" s="53" t="n"/>
      <c r="AX86" s="53" t="n"/>
      <c r="AY86" s="53" t="n"/>
    </row>
    <row r="87" ht="15" customHeight="1">
      <c r="A87" s="62" t="n"/>
      <c r="B87" s="55">
        <f>IF($B$85="","",$B$85)</f>
        <v/>
      </c>
      <c r="C87" s="63" t="inlineStr">
        <is>
          <t>마케팅2팀</t>
        </is>
      </c>
      <c r="D87" s="55">
        <f>IF($D$85="","",$D$85)</f>
        <v/>
      </c>
      <c r="E87" s="64" t="inlineStr">
        <is>
          <t>영상</t>
        </is>
      </c>
      <c r="F87" s="44" t="n"/>
      <c r="G87" s="58">
        <f>IF($G$85="","",$G$85)</f>
        <v/>
      </c>
      <c r="H87" s="59" t="n"/>
      <c r="I87" s="59" t="n"/>
      <c r="J87" s="59" t="n"/>
      <c r="K87" s="59" t="n"/>
      <c r="L87" s="65">
        <f>IF(SUM(U87:AY87)=0,"",SUM(U87:AY87))</f>
        <v/>
      </c>
      <c r="M87" s="66">
        <f>IFERROR(INDEX(U$2:AY$2,MATCH(TRUE,INDEX(U87:AY87&lt;&gt;"",0),0)),"")</f>
        <v/>
      </c>
      <c r="N87" s="66">
        <f>IFERROR(LOOKUP(2,1/(U87:AY87&lt;&gt;""),U$2:AY$2),"")</f>
        <v/>
      </c>
      <c r="O87" s="59" t="n"/>
      <c r="P87" s="59" t="n"/>
      <c r="Q87" s="59" t="n"/>
      <c r="R87" s="59" t="n"/>
      <c r="S87" s="14" t="n"/>
      <c r="U87" s="53" t="n"/>
      <c r="V87" s="53" t="n"/>
      <c r="W87" s="53" t="n"/>
      <c r="X87" s="53" t="n"/>
      <c r="Y87" s="53" t="n"/>
      <c r="Z87" s="53" t="n"/>
      <c r="AA87" s="53" t="n"/>
      <c r="AB87" s="53" t="n"/>
      <c r="AC87" s="53" t="n"/>
      <c r="AD87" s="53" t="n"/>
      <c r="AE87" s="53" t="n"/>
      <c r="AF87" s="53" t="n"/>
      <c r="AG87" s="53" t="n"/>
      <c r="AH87" s="53" t="n"/>
      <c r="AI87" s="53" t="n"/>
      <c r="AJ87" s="53" t="n"/>
      <c r="AK87" s="53" t="n"/>
      <c r="AL87" s="53" t="n"/>
      <c r="AM87" s="53" t="n"/>
      <c r="AN87" s="53" t="n"/>
      <c r="AO87" s="53" t="n"/>
      <c r="AP87" s="53" t="n"/>
      <c r="AQ87" s="53" t="n"/>
      <c r="AR87" s="53" t="n"/>
      <c r="AS87" s="53" t="n"/>
      <c r="AT87" s="53" t="n"/>
      <c r="AU87" s="53" t="n"/>
      <c r="AV87" s="53" t="n"/>
      <c r="AW87" s="53" t="n"/>
      <c r="AX87" s="53" t="n"/>
      <c r="AY87" s="53" t="n"/>
    </row>
    <row r="88" ht="15" customHeight="1">
      <c r="A88" s="40">
        <f>IF($D$88="","",27)</f>
        <v/>
      </c>
      <c r="B88" s="10" t="n"/>
      <c r="C88" s="41" t="inlineStr">
        <is>
          <t>마케팅2팀</t>
        </is>
      </c>
      <c r="D88" s="42" t="n"/>
      <c r="E88" s="43" t="inlineStr">
        <is>
          <t>기획</t>
        </is>
      </c>
      <c r="F88" s="44" t="n"/>
      <c r="G88" s="45" t="n"/>
      <c r="H88" s="46">
        <f>IF($I$88="","",IF($I$88&lt;0,"🔴지연",IF($I$88&lt;=1,"🟡임박","🟢여유")))</f>
        <v/>
      </c>
      <c r="I88" s="47">
        <f>IF(OR($G$88="",$K$88=""),"",$G$88-$K$88)</f>
        <v/>
      </c>
      <c r="J88" s="48">
        <f>IF(SUM($L$88:$L$90)=0,"",SUM($L$88:$L$90))</f>
        <v/>
      </c>
      <c r="K88" s="49">
        <f>IF($J$88="","",MAX($N$88:$N$90))</f>
        <v/>
      </c>
      <c r="L88" s="50">
        <f>IF(SUM(U88:AY88)=0,"",SUM(U88:AY88))</f>
        <v/>
      </c>
      <c r="M88" s="51">
        <f>IFERROR(INDEX(U$2:AY$2,MATCH(TRUE,INDEX(U88:AY88&lt;&gt;"",0),0)),"")</f>
        <v/>
      </c>
      <c r="N88" s="51">
        <f>IFERROR(LOOKUP(2,1/(U88:AY88&lt;&gt;""),U$2:AY$2),"")</f>
        <v/>
      </c>
      <c r="O88" s="52" t="n"/>
      <c r="P88" s="52" t="n"/>
      <c r="Q88" s="52" t="n"/>
      <c r="R88" s="44" t="n"/>
      <c r="S88" s="14" t="n"/>
      <c r="U88" s="53" t="n"/>
      <c r="V88" s="53" t="n"/>
      <c r="W88" s="53" t="n"/>
      <c r="X88" s="53" t="n"/>
      <c r="Y88" s="53" t="n"/>
      <c r="Z88" s="53" t="n"/>
      <c r="AA88" s="53" t="n"/>
      <c r="AB88" s="53" t="n"/>
      <c r="AC88" s="53" t="n"/>
      <c r="AD88" s="53" t="n"/>
      <c r="AE88" s="53" t="n"/>
      <c r="AF88" s="53" t="n"/>
      <c r="AG88" s="53" t="n"/>
      <c r="AH88" s="53" t="n"/>
      <c r="AI88" s="53" t="n"/>
      <c r="AJ88" s="53" t="n"/>
      <c r="AK88" s="53" t="n"/>
      <c r="AL88" s="53" t="n"/>
      <c r="AM88" s="53" t="n"/>
      <c r="AN88" s="53" t="n"/>
      <c r="AO88" s="53" t="n"/>
      <c r="AP88" s="53" t="n"/>
      <c r="AQ88" s="53" t="n"/>
      <c r="AR88" s="53" t="n"/>
      <c r="AS88" s="53" t="n"/>
      <c r="AT88" s="53" t="n"/>
      <c r="AU88" s="53" t="n"/>
      <c r="AV88" s="53" t="n"/>
      <c r="AW88" s="53" t="n"/>
      <c r="AX88" s="53" t="n"/>
      <c r="AY88" s="53" t="n"/>
    </row>
    <row r="89" ht="15" customHeight="1">
      <c r="A89" s="54" t="n"/>
      <c r="B89" s="55">
        <f>IF($B$88="","",$B$88)</f>
        <v/>
      </c>
      <c r="C89" s="56" t="inlineStr">
        <is>
          <t>마케팅2팀</t>
        </is>
      </c>
      <c r="D89" s="55">
        <f>IF($D$88="","",$D$88)</f>
        <v/>
      </c>
      <c r="E89" s="57" t="inlineStr">
        <is>
          <t>이미지</t>
        </is>
      </c>
      <c r="F89" s="44" t="n"/>
      <c r="G89" s="58">
        <f>IF($G$88="","",$G$88)</f>
        <v/>
      </c>
      <c r="H89" s="59" t="n"/>
      <c r="I89" s="59" t="n"/>
      <c r="J89" s="59" t="n"/>
      <c r="K89" s="59" t="n"/>
      <c r="L89" s="60">
        <f>IF(SUM(U89:AY89)=0,"",SUM(U89:AY89))</f>
        <v/>
      </c>
      <c r="M89" s="61">
        <f>IFERROR(INDEX(U$2:AY$2,MATCH(TRUE,INDEX(U89:AY89&lt;&gt;"",0),0)),"")</f>
        <v/>
      </c>
      <c r="N89" s="61">
        <f>IFERROR(LOOKUP(2,1/(U89:AY89&lt;&gt;""),U$2:AY$2),"")</f>
        <v/>
      </c>
      <c r="O89" s="59" t="n"/>
      <c r="P89" s="59" t="n"/>
      <c r="Q89" s="59" t="n"/>
      <c r="R89" s="59" t="n"/>
      <c r="S89" s="14" t="n"/>
      <c r="U89" s="53" t="n"/>
      <c r="V89" s="53" t="n"/>
      <c r="W89" s="53" t="n"/>
      <c r="X89" s="53" t="n"/>
      <c r="Y89" s="53" t="n"/>
      <c r="Z89" s="53" t="n"/>
      <c r="AA89" s="53" t="n"/>
      <c r="AB89" s="53" t="n"/>
      <c r="AC89" s="53" t="n"/>
      <c r="AD89" s="53" t="n"/>
      <c r="AE89" s="53" t="n"/>
      <c r="AF89" s="53" t="n"/>
      <c r="AG89" s="53" t="n"/>
      <c r="AH89" s="53" t="n"/>
      <c r="AI89" s="53" t="n"/>
      <c r="AJ89" s="53" t="n"/>
      <c r="AK89" s="53" t="n"/>
      <c r="AL89" s="53" t="n"/>
      <c r="AM89" s="53" t="n"/>
      <c r="AN89" s="53" t="n"/>
      <c r="AO89" s="53" t="n"/>
      <c r="AP89" s="53" t="n"/>
      <c r="AQ89" s="53" t="n"/>
      <c r="AR89" s="53" t="n"/>
      <c r="AS89" s="53" t="n"/>
      <c r="AT89" s="53" t="n"/>
      <c r="AU89" s="53" t="n"/>
      <c r="AV89" s="53" t="n"/>
      <c r="AW89" s="53" t="n"/>
      <c r="AX89" s="53" t="n"/>
      <c r="AY89" s="53" t="n"/>
    </row>
    <row r="90" ht="15" customHeight="1">
      <c r="A90" s="62" t="n"/>
      <c r="B90" s="55">
        <f>IF($B$88="","",$B$88)</f>
        <v/>
      </c>
      <c r="C90" s="63" t="inlineStr">
        <is>
          <t>마케팅2팀</t>
        </is>
      </c>
      <c r="D90" s="55">
        <f>IF($D$88="","",$D$88)</f>
        <v/>
      </c>
      <c r="E90" s="64" t="inlineStr">
        <is>
          <t>영상</t>
        </is>
      </c>
      <c r="F90" s="44" t="n"/>
      <c r="G90" s="58">
        <f>IF($G$88="","",$G$88)</f>
        <v/>
      </c>
      <c r="H90" s="59" t="n"/>
      <c r="I90" s="59" t="n"/>
      <c r="J90" s="59" t="n"/>
      <c r="K90" s="59" t="n"/>
      <c r="L90" s="65">
        <f>IF(SUM(U90:AY90)=0,"",SUM(U90:AY90))</f>
        <v/>
      </c>
      <c r="M90" s="66">
        <f>IFERROR(INDEX(U$2:AY$2,MATCH(TRUE,INDEX(U90:AY90&lt;&gt;"",0),0)),"")</f>
        <v/>
      </c>
      <c r="N90" s="66">
        <f>IFERROR(LOOKUP(2,1/(U90:AY90&lt;&gt;""),U$2:AY$2),"")</f>
        <v/>
      </c>
      <c r="O90" s="59" t="n"/>
      <c r="P90" s="59" t="n"/>
      <c r="Q90" s="59" t="n"/>
      <c r="R90" s="59" t="n"/>
      <c r="S90" s="14" t="n"/>
      <c r="U90" s="53" t="n"/>
      <c r="V90" s="53" t="n"/>
      <c r="W90" s="53" t="n"/>
      <c r="X90" s="53" t="n"/>
      <c r="Y90" s="53" t="n"/>
      <c r="Z90" s="53" t="n"/>
      <c r="AA90" s="53" t="n"/>
      <c r="AB90" s="53" t="n"/>
      <c r="AC90" s="53" t="n"/>
      <c r="AD90" s="53" t="n"/>
      <c r="AE90" s="53" t="n"/>
      <c r="AF90" s="53" t="n"/>
      <c r="AG90" s="53" t="n"/>
      <c r="AH90" s="53" t="n"/>
      <c r="AI90" s="53" t="n"/>
      <c r="AJ90" s="53" t="n"/>
      <c r="AK90" s="53" t="n"/>
      <c r="AL90" s="53" t="n"/>
      <c r="AM90" s="53" t="n"/>
      <c r="AN90" s="53" t="n"/>
      <c r="AO90" s="53" t="n"/>
      <c r="AP90" s="53" t="n"/>
      <c r="AQ90" s="53" t="n"/>
      <c r="AR90" s="53" t="n"/>
      <c r="AS90" s="53" t="n"/>
      <c r="AT90" s="53" t="n"/>
      <c r="AU90" s="53" t="n"/>
      <c r="AV90" s="53" t="n"/>
      <c r="AW90" s="53" t="n"/>
      <c r="AX90" s="53" t="n"/>
      <c r="AY90" s="53" t="n"/>
    </row>
    <row r="91" ht="15" customHeight="1">
      <c r="A91" s="40">
        <f>IF($D$91="","",28)</f>
        <v/>
      </c>
      <c r="B91" s="10" t="n"/>
      <c r="C91" s="41" t="inlineStr">
        <is>
          <t>마케팅2팀</t>
        </is>
      </c>
      <c r="D91" s="42" t="n"/>
      <c r="E91" s="43" t="inlineStr">
        <is>
          <t>기획</t>
        </is>
      </c>
      <c r="F91" s="44" t="n"/>
      <c r="G91" s="45" t="n"/>
      <c r="H91" s="46">
        <f>IF($I$91="","",IF($I$91&lt;0,"🔴지연",IF($I$91&lt;=1,"🟡임박","🟢여유")))</f>
        <v/>
      </c>
      <c r="I91" s="47">
        <f>IF(OR($G$91="",$K$91=""),"",$G$91-$K$91)</f>
        <v/>
      </c>
      <c r="J91" s="48">
        <f>IF(SUM($L$91:$L$93)=0,"",SUM($L$91:$L$93))</f>
        <v/>
      </c>
      <c r="K91" s="49">
        <f>IF($J$91="","",MAX($N$91:$N$93))</f>
        <v/>
      </c>
      <c r="L91" s="50">
        <f>IF(SUM(U91:AY91)=0,"",SUM(U91:AY91))</f>
        <v/>
      </c>
      <c r="M91" s="51">
        <f>IFERROR(INDEX(U$2:AY$2,MATCH(TRUE,INDEX(U91:AY91&lt;&gt;"",0),0)),"")</f>
        <v/>
      </c>
      <c r="N91" s="51">
        <f>IFERROR(LOOKUP(2,1/(U91:AY91&lt;&gt;""),U$2:AY$2),"")</f>
        <v/>
      </c>
      <c r="O91" s="52" t="n"/>
      <c r="P91" s="52" t="n"/>
      <c r="Q91" s="52" t="n"/>
      <c r="R91" s="44" t="n"/>
      <c r="S91" s="14" t="n"/>
      <c r="U91" s="53" t="n"/>
      <c r="V91" s="53" t="n"/>
      <c r="W91" s="53" t="n"/>
      <c r="X91" s="53" t="n"/>
      <c r="Y91" s="53" t="n"/>
      <c r="Z91" s="53" t="n"/>
      <c r="AA91" s="53" t="n"/>
      <c r="AB91" s="53" t="n"/>
      <c r="AC91" s="53" t="n"/>
      <c r="AD91" s="53" t="n"/>
      <c r="AE91" s="53" t="n"/>
      <c r="AF91" s="53" t="n"/>
      <c r="AG91" s="53" t="n"/>
      <c r="AH91" s="53" t="n"/>
      <c r="AI91" s="53" t="n"/>
      <c r="AJ91" s="53" t="n"/>
      <c r="AK91" s="53" t="n"/>
      <c r="AL91" s="53" t="n"/>
      <c r="AM91" s="53" t="n"/>
      <c r="AN91" s="53" t="n"/>
      <c r="AO91" s="53" t="n"/>
      <c r="AP91" s="53" t="n"/>
      <c r="AQ91" s="53" t="n"/>
      <c r="AR91" s="53" t="n"/>
      <c r="AS91" s="53" t="n"/>
      <c r="AT91" s="53" t="n"/>
      <c r="AU91" s="53" t="n"/>
      <c r="AV91" s="53" t="n"/>
      <c r="AW91" s="53" t="n"/>
      <c r="AX91" s="53" t="n"/>
      <c r="AY91" s="53" t="n"/>
    </row>
    <row r="92" ht="15" customHeight="1">
      <c r="A92" s="54" t="n"/>
      <c r="B92" s="55">
        <f>IF($B$91="","",$B$91)</f>
        <v/>
      </c>
      <c r="C92" s="56" t="inlineStr">
        <is>
          <t>마케팅2팀</t>
        </is>
      </c>
      <c r="D92" s="55">
        <f>IF($D$91="","",$D$91)</f>
        <v/>
      </c>
      <c r="E92" s="57" t="inlineStr">
        <is>
          <t>이미지</t>
        </is>
      </c>
      <c r="F92" s="44" t="n"/>
      <c r="G92" s="58">
        <f>IF($G$91="","",$G$91)</f>
        <v/>
      </c>
      <c r="H92" s="59" t="n"/>
      <c r="I92" s="59" t="n"/>
      <c r="J92" s="59" t="n"/>
      <c r="K92" s="59" t="n"/>
      <c r="L92" s="60">
        <f>IF(SUM(U92:AY92)=0,"",SUM(U92:AY92))</f>
        <v/>
      </c>
      <c r="M92" s="61">
        <f>IFERROR(INDEX(U$2:AY$2,MATCH(TRUE,INDEX(U92:AY92&lt;&gt;"",0),0)),"")</f>
        <v/>
      </c>
      <c r="N92" s="61">
        <f>IFERROR(LOOKUP(2,1/(U92:AY92&lt;&gt;""),U$2:AY$2),"")</f>
        <v/>
      </c>
      <c r="O92" s="59" t="n"/>
      <c r="P92" s="59" t="n"/>
      <c r="Q92" s="59" t="n"/>
      <c r="R92" s="59" t="n"/>
      <c r="S92" s="14" t="n"/>
      <c r="U92" s="53" t="n"/>
      <c r="V92" s="53" t="n"/>
      <c r="W92" s="53" t="n"/>
      <c r="X92" s="53" t="n"/>
      <c r="Y92" s="53" t="n"/>
      <c r="Z92" s="53" t="n"/>
      <c r="AA92" s="53" t="n"/>
      <c r="AB92" s="53" t="n"/>
      <c r="AC92" s="53" t="n"/>
      <c r="AD92" s="53" t="n"/>
      <c r="AE92" s="53" t="n"/>
      <c r="AF92" s="53" t="n"/>
      <c r="AG92" s="53" t="n"/>
      <c r="AH92" s="53" t="n"/>
      <c r="AI92" s="53" t="n"/>
      <c r="AJ92" s="53" t="n"/>
      <c r="AK92" s="53" t="n"/>
      <c r="AL92" s="53" t="n"/>
      <c r="AM92" s="53" t="n"/>
      <c r="AN92" s="53" t="n"/>
      <c r="AO92" s="53" t="n"/>
      <c r="AP92" s="53" t="n"/>
      <c r="AQ92" s="53" t="n"/>
      <c r="AR92" s="53" t="n"/>
      <c r="AS92" s="53" t="n"/>
      <c r="AT92" s="53" t="n"/>
      <c r="AU92" s="53" t="n"/>
      <c r="AV92" s="53" t="n"/>
      <c r="AW92" s="53" t="n"/>
      <c r="AX92" s="53" t="n"/>
      <c r="AY92" s="53" t="n"/>
    </row>
    <row r="93" ht="15" customHeight="1">
      <c r="A93" s="62" t="n"/>
      <c r="B93" s="55">
        <f>IF($B$91="","",$B$91)</f>
        <v/>
      </c>
      <c r="C93" s="63" t="inlineStr">
        <is>
          <t>마케팅2팀</t>
        </is>
      </c>
      <c r="D93" s="55">
        <f>IF($D$91="","",$D$91)</f>
        <v/>
      </c>
      <c r="E93" s="64" t="inlineStr">
        <is>
          <t>영상</t>
        </is>
      </c>
      <c r="F93" s="44" t="n"/>
      <c r="G93" s="58">
        <f>IF($G$91="","",$G$91)</f>
        <v/>
      </c>
      <c r="H93" s="59" t="n"/>
      <c r="I93" s="59" t="n"/>
      <c r="J93" s="59" t="n"/>
      <c r="K93" s="59" t="n"/>
      <c r="L93" s="65">
        <f>IF(SUM(U93:AY93)=0,"",SUM(U93:AY93))</f>
        <v/>
      </c>
      <c r="M93" s="66">
        <f>IFERROR(INDEX(U$2:AY$2,MATCH(TRUE,INDEX(U93:AY93&lt;&gt;"",0),0)),"")</f>
        <v/>
      </c>
      <c r="N93" s="66">
        <f>IFERROR(LOOKUP(2,1/(U93:AY93&lt;&gt;""),U$2:AY$2),"")</f>
        <v/>
      </c>
      <c r="O93" s="59" t="n"/>
      <c r="P93" s="59" t="n"/>
      <c r="Q93" s="59" t="n"/>
      <c r="R93" s="59" t="n"/>
      <c r="S93" s="14" t="n"/>
      <c r="U93" s="53" t="n"/>
      <c r="V93" s="53" t="n"/>
      <c r="W93" s="53" t="n"/>
      <c r="X93" s="53" t="n"/>
      <c r="Y93" s="53" t="n"/>
      <c r="Z93" s="53" t="n"/>
      <c r="AA93" s="53" t="n"/>
      <c r="AB93" s="53" t="n"/>
      <c r="AC93" s="53" t="n"/>
      <c r="AD93" s="53" t="n"/>
      <c r="AE93" s="53" t="n"/>
      <c r="AF93" s="53" t="n"/>
      <c r="AG93" s="53" t="n"/>
      <c r="AH93" s="53" t="n"/>
      <c r="AI93" s="53" t="n"/>
      <c r="AJ93" s="53" t="n"/>
      <c r="AK93" s="53" t="n"/>
      <c r="AL93" s="53" t="n"/>
      <c r="AM93" s="53" t="n"/>
      <c r="AN93" s="53" t="n"/>
      <c r="AO93" s="53" t="n"/>
      <c r="AP93" s="53" t="n"/>
      <c r="AQ93" s="53" t="n"/>
      <c r="AR93" s="53" t="n"/>
      <c r="AS93" s="53" t="n"/>
      <c r="AT93" s="53" t="n"/>
      <c r="AU93" s="53" t="n"/>
      <c r="AV93" s="53" t="n"/>
      <c r="AW93" s="53" t="n"/>
      <c r="AX93" s="53" t="n"/>
      <c r="AY93" s="53" t="n"/>
    </row>
    <row r="94" ht="15" customHeight="1">
      <c r="A94" s="40">
        <f>IF($D$94="","",29)</f>
        <v/>
      </c>
      <c r="B94" s="10" t="n"/>
      <c r="C94" s="41" t="inlineStr">
        <is>
          <t>마케팅2팀</t>
        </is>
      </c>
      <c r="D94" s="42" t="n"/>
      <c r="E94" s="43" t="inlineStr">
        <is>
          <t>기획</t>
        </is>
      </c>
      <c r="F94" s="44" t="n"/>
      <c r="G94" s="45" t="n"/>
      <c r="H94" s="46">
        <f>IF($I$94="","",IF($I$94&lt;0,"🔴지연",IF($I$94&lt;=1,"🟡임박","🟢여유")))</f>
        <v/>
      </c>
      <c r="I94" s="47">
        <f>IF(OR($G$94="",$K$94=""),"",$G$94-$K$94)</f>
        <v/>
      </c>
      <c r="J94" s="48">
        <f>IF(SUM($L$94:$L$96)=0,"",SUM($L$94:$L$96))</f>
        <v/>
      </c>
      <c r="K94" s="49">
        <f>IF($J$94="","",MAX($N$94:$N$96))</f>
        <v/>
      </c>
      <c r="L94" s="50">
        <f>IF(SUM(U94:AY94)=0,"",SUM(U94:AY94))</f>
        <v/>
      </c>
      <c r="M94" s="51">
        <f>IFERROR(INDEX(U$2:AY$2,MATCH(TRUE,INDEX(U94:AY94&lt;&gt;"",0),0)),"")</f>
        <v/>
      </c>
      <c r="N94" s="51">
        <f>IFERROR(LOOKUP(2,1/(U94:AY94&lt;&gt;""),U$2:AY$2),"")</f>
        <v/>
      </c>
      <c r="O94" s="52" t="n"/>
      <c r="P94" s="52" t="n"/>
      <c r="Q94" s="52" t="n"/>
      <c r="R94" s="44" t="n"/>
      <c r="S94" s="14" t="n"/>
      <c r="U94" s="53" t="n"/>
      <c r="V94" s="53" t="n"/>
      <c r="W94" s="53" t="n"/>
      <c r="X94" s="53" t="n"/>
      <c r="Y94" s="53" t="n"/>
      <c r="Z94" s="53" t="n"/>
      <c r="AA94" s="53" t="n"/>
      <c r="AB94" s="53" t="n"/>
      <c r="AC94" s="53" t="n"/>
      <c r="AD94" s="53" t="n"/>
      <c r="AE94" s="53" t="n"/>
      <c r="AF94" s="53" t="n"/>
      <c r="AG94" s="53" t="n"/>
      <c r="AH94" s="53" t="n"/>
      <c r="AI94" s="53" t="n"/>
      <c r="AJ94" s="53" t="n"/>
      <c r="AK94" s="53" t="n"/>
      <c r="AL94" s="53" t="n"/>
      <c r="AM94" s="53" t="n"/>
      <c r="AN94" s="53" t="n"/>
      <c r="AO94" s="53" t="n"/>
      <c r="AP94" s="53" t="n"/>
      <c r="AQ94" s="53" t="n"/>
      <c r="AR94" s="53" t="n"/>
      <c r="AS94" s="53" t="n"/>
      <c r="AT94" s="53" t="n"/>
      <c r="AU94" s="53" t="n"/>
      <c r="AV94" s="53" t="n"/>
      <c r="AW94" s="53" t="n"/>
      <c r="AX94" s="53" t="n"/>
      <c r="AY94" s="53" t="n"/>
    </row>
    <row r="95" ht="15" customHeight="1">
      <c r="A95" s="54" t="n"/>
      <c r="B95" s="55">
        <f>IF($B$94="","",$B$94)</f>
        <v/>
      </c>
      <c r="C95" s="56" t="inlineStr">
        <is>
          <t>마케팅2팀</t>
        </is>
      </c>
      <c r="D95" s="55">
        <f>IF($D$94="","",$D$94)</f>
        <v/>
      </c>
      <c r="E95" s="57" t="inlineStr">
        <is>
          <t>이미지</t>
        </is>
      </c>
      <c r="F95" s="44" t="n"/>
      <c r="G95" s="58">
        <f>IF($G$94="","",$G$94)</f>
        <v/>
      </c>
      <c r="H95" s="59" t="n"/>
      <c r="I95" s="59" t="n"/>
      <c r="J95" s="59" t="n"/>
      <c r="K95" s="59" t="n"/>
      <c r="L95" s="60">
        <f>IF(SUM(U95:AY95)=0,"",SUM(U95:AY95))</f>
        <v/>
      </c>
      <c r="M95" s="61">
        <f>IFERROR(INDEX(U$2:AY$2,MATCH(TRUE,INDEX(U95:AY95&lt;&gt;"",0),0)),"")</f>
        <v/>
      </c>
      <c r="N95" s="61">
        <f>IFERROR(LOOKUP(2,1/(U95:AY95&lt;&gt;""),U$2:AY$2),"")</f>
        <v/>
      </c>
      <c r="O95" s="59" t="n"/>
      <c r="P95" s="59" t="n"/>
      <c r="Q95" s="59" t="n"/>
      <c r="R95" s="59" t="n"/>
      <c r="S95" s="14" t="n"/>
      <c r="U95" s="53" t="n"/>
      <c r="V95" s="53" t="n"/>
      <c r="W95" s="53" t="n"/>
      <c r="X95" s="53" t="n"/>
      <c r="Y95" s="53" t="n"/>
      <c r="Z95" s="53" t="n"/>
      <c r="AA95" s="53" t="n"/>
      <c r="AB95" s="53" t="n"/>
      <c r="AC95" s="53" t="n"/>
      <c r="AD95" s="53" t="n"/>
      <c r="AE95" s="53" t="n"/>
      <c r="AF95" s="53" t="n"/>
      <c r="AG95" s="53" t="n"/>
      <c r="AH95" s="53" t="n"/>
      <c r="AI95" s="53" t="n"/>
      <c r="AJ95" s="53" t="n"/>
      <c r="AK95" s="53" t="n"/>
      <c r="AL95" s="53" t="n"/>
      <c r="AM95" s="53" t="n"/>
      <c r="AN95" s="53" t="n"/>
      <c r="AO95" s="53" t="n"/>
      <c r="AP95" s="53" t="n"/>
      <c r="AQ95" s="53" t="n"/>
      <c r="AR95" s="53" t="n"/>
      <c r="AS95" s="53" t="n"/>
      <c r="AT95" s="53" t="n"/>
      <c r="AU95" s="53" t="n"/>
      <c r="AV95" s="53" t="n"/>
      <c r="AW95" s="53" t="n"/>
      <c r="AX95" s="53" t="n"/>
      <c r="AY95" s="53" t="n"/>
    </row>
    <row r="96" ht="15" customHeight="1">
      <c r="A96" s="62" t="n"/>
      <c r="B96" s="55">
        <f>IF($B$94="","",$B$94)</f>
        <v/>
      </c>
      <c r="C96" s="63" t="inlineStr">
        <is>
          <t>마케팅2팀</t>
        </is>
      </c>
      <c r="D96" s="55">
        <f>IF($D$94="","",$D$94)</f>
        <v/>
      </c>
      <c r="E96" s="64" t="inlineStr">
        <is>
          <t>영상</t>
        </is>
      </c>
      <c r="F96" s="44" t="n"/>
      <c r="G96" s="58">
        <f>IF($G$94="","",$G$94)</f>
        <v/>
      </c>
      <c r="H96" s="59" t="n"/>
      <c r="I96" s="59" t="n"/>
      <c r="J96" s="59" t="n"/>
      <c r="K96" s="59" t="n"/>
      <c r="L96" s="65">
        <f>IF(SUM(U96:AY96)=0,"",SUM(U96:AY96))</f>
        <v/>
      </c>
      <c r="M96" s="66">
        <f>IFERROR(INDEX(U$2:AY$2,MATCH(TRUE,INDEX(U96:AY96&lt;&gt;"",0),0)),"")</f>
        <v/>
      </c>
      <c r="N96" s="66">
        <f>IFERROR(LOOKUP(2,1/(U96:AY96&lt;&gt;""),U$2:AY$2),"")</f>
        <v/>
      </c>
      <c r="O96" s="59" t="n"/>
      <c r="P96" s="59" t="n"/>
      <c r="Q96" s="59" t="n"/>
      <c r="R96" s="59" t="n"/>
      <c r="S96" s="14" t="n"/>
      <c r="U96" s="53" t="n"/>
      <c r="V96" s="53" t="n"/>
      <c r="W96" s="53" t="n"/>
      <c r="X96" s="53" t="n"/>
      <c r="Y96" s="53" t="n"/>
      <c r="Z96" s="53" t="n"/>
      <c r="AA96" s="53" t="n"/>
      <c r="AB96" s="53" t="n"/>
      <c r="AC96" s="53" t="n"/>
      <c r="AD96" s="53" t="n"/>
      <c r="AE96" s="53" t="n"/>
      <c r="AF96" s="53" t="n"/>
      <c r="AG96" s="53" t="n"/>
      <c r="AH96" s="53" t="n"/>
      <c r="AI96" s="53" t="n"/>
      <c r="AJ96" s="53" t="n"/>
      <c r="AK96" s="53" t="n"/>
      <c r="AL96" s="53" t="n"/>
      <c r="AM96" s="53" t="n"/>
      <c r="AN96" s="53" t="n"/>
      <c r="AO96" s="53" t="n"/>
      <c r="AP96" s="53" t="n"/>
      <c r="AQ96" s="53" t="n"/>
      <c r="AR96" s="53" t="n"/>
      <c r="AS96" s="53" t="n"/>
      <c r="AT96" s="53" t="n"/>
      <c r="AU96" s="53" t="n"/>
      <c r="AV96" s="53" t="n"/>
      <c r="AW96" s="53" t="n"/>
      <c r="AX96" s="53" t="n"/>
      <c r="AY96" s="53" t="n"/>
    </row>
    <row r="97" ht="15" customHeight="1">
      <c r="A97" s="40">
        <f>IF($D$97="","",30)</f>
        <v/>
      </c>
      <c r="B97" s="10" t="n"/>
      <c r="C97" s="41" t="inlineStr">
        <is>
          <t>마케팅2팀</t>
        </is>
      </c>
      <c r="D97" s="42" t="n"/>
      <c r="E97" s="43" t="inlineStr">
        <is>
          <t>기획</t>
        </is>
      </c>
      <c r="F97" s="44" t="n"/>
      <c r="G97" s="45" t="n"/>
      <c r="H97" s="46">
        <f>IF($I$97="","",IF($I$97&lt;0,"🔴지연",IF($I$97&lt;=1,"🟡임박","🟢여유")))</f>
        <v/>
      </c>
      <c r="I97" s="47">
        <f>IF(OR($G$97="",$K$97=""),"",$G$97-$K$97)</f>
        <v/>
      </c>
      <c r="J97" s="48">
        <f>IF(SUM($L$97:$L$99)=0,"",SUM($L$97:$L$99))</f>
        <v/>
      </c>
      <c r="K97" s="49">
        <f>IF($J$97="","",MAX($N$97:$N$99))</f>
        <v/>
      </c>
      <c r="L97" s="50">
        <f>IF(SUM(U97:AY97)=0,"",SUM(U97:AY97))</f>
        <v/>
      </c>
      <c r="M97" s="51">
        <f>IFERROR(INDEX(U$2:AY$2,MATCH(TRUE,INDEX(U97:AY97&lt;&gt;"",0),0)),"")</f>
        <v/>
      </c>
      <c r="N97" s="51">
        <f>IFERROR(LOOKUP(2,1/(U97:AY97&lt;&gt;""),U$2:AY$2),"")</f>
        <v/>
      </c>
      <c r="O97" s="52" t="n"/>
      <c r="P97" s="52" t="n"/>
      <c r="Q97" s="52" t="n"/>
      <c r="R97" s="44" t="n"/>
      <c r="S97" s="14" t="n"/>
      <c r="U97" s="53" t="n"/>
      <c r="V97" s="53" t="n"/>
      <c r="W97" s="53" t="n"/>
      <c r="X97" s="53" t="n"/>
      <c r="Y97" s="53" t="n"/>
      <c r="Z97" s="53" t="n"/>
      <c r="AA97" s="53" t="n"/>
      <c r="AB97" s="53" t="n"/>
      <c r="AC97" s="53" t="n"/>
      <c r="AD97" s="53" t="n"/>
      <c r="AE97" s="53" t="n"/>
      <c r="AF97" s="53" t="n"/>
      <c r="AG97" s="53" t="n"/>
      <c r="AH97" s="53" t="n"/>
      <c r="AI97" s="53" t="n"/>
      <c r="AJ97" s="53" t="n"/>
      <c r="AK97" s="53" t="n"/>
      <c r="AL97" s="53" t="n"/>
      <c r="AM97" s="53" t="n"/>
      <c r="AN97" s="53" t="n"/>
      <c r="AO97" s="53" t="n"/>
      <c r="AP97" s="53" t="n"/>
      <c r="AQ97" s="53" t="n"/>
      <c r="AR97" s="53" t="n"/>
      <c r="AS97" s="53" t="n"/>
      <c r="AT97" s="53" t="n"/>
      <c r="AU97" s="53" t="n"/>
      <c r="AV97" s="53" t="n"/>
      <c r="AW97" s="53" t="n"/>
      <c r="AX97" s="53" t="n"/>
      <c r="AY97" s="53" t="n"/>
    </row>
    <row r="98" ht="15" customHeight="1">
      <c r="A98" s="54" t="n"/>
      <c r="B98" s="55">
        <f>IF($B$97="","",$B$97)</f>
        <v/>
      </c>
      <c r="C98" s="56" t="inlineStr">
        <is>
          <t>마케팅2팀</t>
        </is>
      </c>
      <c r="D98" s="55">
        <f>IF($D$97="","",$D$97)</f>
        <v/>
      </c>
      <c r="E98" s="57" t="inlineStr">
        <is>
          <t>이미지</t>
        </is>
      </c>
      <c r="F98" s="44" t="n"/>
      <c r="G98" s="58">
        <f>IF($G$97="","",$G$97)</f>
        <v/>
      </c>
      <c r="H98" s="59" t="n"/>
      <c r="I98" s="59" t="n"/>
      <c r="J98" s="59" t="n"/>
      <c r="K98" s="59" t="n"/>
      <c r="L98" s="60">
        <f>IF(SUM(U98:AY98)=0,"",SUM(U98:AY98))</f>
        <v/>
      </c>
      <c r="M98" s="61">
        <f>IFERROR(INDEX(U$2:AY$2,MATCH(TRUE,INDEX(U98:AY98&lt;&gt;"",0),0)),"")</f>
        <v/>
      </c>
      <c r="N98" s="61">
        <f>IFERROR(LOOKUP(2,1/(U98:AY98&lt;&gt;""),U$2:AY$2),"")</f>
        <v/>
      </c>
      <c r="O98" s="59" t="n"/>
      <c r="P98" s="59" t="n"/>
      <c r="Q98" s="59" t="n"/>
      <c r="R98" s="59" t="n"/>
      <c r="S98" s="14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3" t="n"/>
      <c r="AN98" s="53" t="n"/>
      <c r="AO98" s="53" t="n"/>
      <c r="AP98" s="53" t="n"/>
      <c r="AQ98" s="53" t="n"/>
      <c r="AR98" s="53" t="n"/>
      <c r="AS98" s="53" t="n"/>
      <c r="AT98" s="53" t="n"/>
      <c r="AU98" s="53" t="n"/>
      <c r="AV98" s="53" t="n"/>
      <c r="AW98" s="53" t="n"/>
      <c r="AX98" s="53" t="n"/>
      <c r="AY98" s="53" t="n"/>
    </row>
    <row r="99" ht="15" customHeight="1">
      <c r="A99" s="62" t="n"/>
      <c r="B99" s="55">
        <f>IF($B$97="","",$B$97)</f>
        <v/>
      </c>
      <c r="C99" s="63" t="inlineStr">
        <is>
          <t>마케팅2팀</t>
        </is>
      </c>
      <c r="D99" s="55">
        <f>IF($D$97="","",$D$97)</f>
        <v/>
      </c>
      <c r="E99" s="64" t="inlineStr">
        <is>
          <t>영상</t>
        </is>
      </c>
      <c r="F99" s="44" t="n"/>
      <c r="G99" s="58">
        <f>IF($G$97="","",$G$97)</f>
        <v/>
      </c>
      <c r="H99" s="59" t="n"/>
      <c r="I99" s="59" t="n"/>
      <c r="J99" s="59" t="n"/>
      <c r="K99" s="59" t="n"/>
      <c r="L99" s="65">
        <f>IF(SUM(U99:AY99)=0,"",SUM(U99:AY99))</f>
        <v/>
      </c>
      <c r="M99" s="66">
        <f>IFERROR(INDEX(U$2:AY$2,MATCH(TRUE,INDEX(U99:AY99&lt;&gt;"",0),0)),"")</f>
        <v/>
      </c>
      <c r="N99" s="66">
        <f>IFERROR(LOOKUP(2,1/(U99:AY99&lt;&gt;""),U$2:AY$2),"")</f>
        <v/>
      </c>
      <c r="O99" s="59" t="n"/>
      <c r="P99" s="59" t="n"/>
      <c r="Q99" s="59" t="n"/>
      <c r="R99" s="59" t="n"/>
      <c r="S99" s="14" t="n"/>
      <c r="U99" s="53" t="n"/>
      <c r="V99" s="53" t="n"/>
      <c r="W99" s="53" t="n"/>
      <c r="X99" s="53" t="n"/>
      <c r="Y99" s="53" t="n"/>
      <c r="Z99" s="53" t="n"/>
      <c r="AA99" s="53" t="n"/>
      <c r="AB99" s="53" t="n"/>
      <c r="AC99" s="53" t="n"/>
      <c r="AD99" s="53" t="n"/>
      <c r="AE99" s="53" t="n"/>
      <c r="AF99" s="53" t="n"/>
      <c r="AG99" s="53" t="n"/>
      <c r="AH99" s="53" t="n"/>
      <c r="AI99" s="53" t="n"/>
      <c r="AJ99" s="53" t="n"/>
      <c r="AK99" s="53" t="n"/>
      <c r="AL99" s="53" t="n"/>
      <c r="AM99" s="53" t="n"/>
      <c r="AN99" s="53" t="n"/>
      <c r="AO99" s="53" t="n"/>
      <c r="AP99" s="53" t="n"/>
      <c r="AQ99" s="53" t="n"/>
      <c r="AR99" s="53" t="n"/>
      <c r="AS99" s="53" t="n"/>
      <c r="AT99" s="53" t="n"/>
      <c r="AU99" s="53" t="n"/>
      <c r="AV99" s="53" t="n"/>
      <c r="AW99" s="53" t="n"/>
      <c r="AX99" s="53" t="n"/>
      <c r="AY99" s="53" t="n"/>
    </row>
    <row r="100" ht="15" customHeight="1">
      <c r="A100" s="40">
        <f>IF($D$100="","",31)</f>
        <v/>
      </c>
      <c r="B100" s="10" t="n"/>
      <c r="C100" s="41" t="inlineStr">
        <is>
          <t>마케팅2팀</t>
        </is>
      </c>
      <c r="D100" s="42" t="n"/>
      <c r="E100" s="43" t="inlineStr">
        <is>
          <t>기획</t>
        </is>
      </c>
      <c r="F100" s="44" t="n"/>
      <c r="G100" s="45" t="n"/>
      <c r="H100" s="46">
        <f>IF($I$100="","",IF($I$100&lt;0,"🔴지연",IF($I$100&lt;=1,"🟡임박","🟢여유")))</f>
        <v/>
      </c>
      <c r="I100" s="47">
        <f>IF(OR($G$100="",$K$100=""),"",$G$100-$K$100)</f>
        <v/>
      </c>
      <c r="J100" s="48">
        <f>IF(SUM($L$100:$L$102)=0,"",SUM($L$100:$L$102))</f>
        <v/>
      </c>
      <c r="K100" s="49">
        <f>IF($J$100="","",MAX($N$100:$N$102))</f>
        <v/>
      </c>
      <c r="L100" s="50">
        <f>IF(SUM(U100:AY100)=0,"",SUM(U100:AY100))</f>
        <v/>
      </c>
      <c r="M100" s="51">
        <f>IFERROR(INDEX(U$2:AY$2,MATCH(TRUE,INDEX(U100:AY100&lt;&gt;"",0),0)),"")</f>
        <v/>
      </c>
      <c r="N100" s="51">
        <f>IFERROR(LOOKUP(2,1/(U100:AY100&lt;&gt;""),U$2:AY$2),"")</f>
        <v/>
      </c>
      <c r="O100" s="52" t="n"/>
      <c r="P100" s="52" t="n"/>
      <c r="Q100" s="52" t="n"/>
      <c r="R100" s="44" t="n"/>
      <c r="S100" s="14" t="n"/>
      <c r="U100" s="53" t="n"/>
      <c r="V100" s="53" t="n"/>
      <c r="W100" s="53" t="n"/>
      <c r="X100" s="53" t="n"/>
      <c r="Y100" s="53" t="n"/>
      <c r="Z100" s="53" t="n"/>
      <c r="AA100" s="53" t="n"/>
      <c r="AB100" s="53" t="n"/>
      <c r="AC100" s="53" t="n"/>
      <c r="AD100" s="53" t="n"/>
      <c r="AE100" s="53" t="n"/>
      <c r="AF100" s="53" t="n"/>
      <c r="AG100" s="53" t="n"/>
      <c r="AH100" s="53" t="n"/>
      <c r="AI100" s="53" t="n"/>
      <c r="AJ100" s="53" t="n"/>
      <c r="AK100" s="53" t="n"/>
      <c r="AL100" s="53" t="n"/>
      <c r="AM100" s="53" t="n"/>
      <c r="AN100" s="53" t="n"/>
      <c r="AO100" s="53" t="n"/>
      <c r="AP100" s="53" t="n"/>
      <c r="AQ100" s="53" t="n"/>
      <c r="AR100" s="53" t="n"/>
      <c r="AS100" s="53" t="n"/>
      <c r="AT100" s="53" t="n"/>
      <c r="AU100" s="53" t="n"/>
      <c r="AV100" s="53" t="n"/>
      <c r="AW100" s="53" t="n"/>
      <c r="AX100" s="53" t="n"/>
      <c r="AY100" s="53" t="n"/>
    </row>
    <row r="101" ht="15" customHeight="1">
      <c r="A101" s="54" t="n"/>
      <c r="B101" s="55">
        <f>IF($B$100="","",$B$100)</f>
        <v/>
      </c>
      <c r="C101" s="56" t="inlineStr">
        <is>
          <t>마케팅2팀</t>
        </is>
      </c>
      <c r="D101" s="55">
        <f>IF($D$100="","",$D$100)</f>
        <v/>
      </c>
      <c r="E101" s="57" t="inlineStr">
        <is>
          <t>이미지</t>
        </is>
      </c>
      <c r="F101" s="44" t="n"/>
      <c r="G101" s="58">
        <f>IF($G$100="","",$G$100)</f>
        <v/>
      </c>
      <c r="H101" s="59" t="n"/>
      <c r="I101" s="59" t="n"/>
      <c r="J101" s="59" t="n"/>
      <c r="K101" s="59" t="n"/>
      <c r="L101" s="60">
        <f>IF(SUM(U101:AY101)=0,"",SUM(U101:AY101))</f>
        <v/>
      </c>
      <c r="M101" s="61">
        <f>IFERROR(INDEX(U$2:AY$2,MATCH(TRUE,INDEX(U101:AY101&lt;&gt;"",0),0)),"")</f>
        <v/>
      </c>
      <c r="N101" s="61">
        <f>IFERROR(LOOKUP(2,1/(U101:AY101&lt;&gt;""),U$2:AY$2),"")</f>
        <v/>
      </c>
      <c r="O101" s="59" t="n"/>
      <c r="P101" s="59" t="n"/>
      <c r="Q101" s="59" t="n"/>
      <c r="R101" s="59" t="n"/>
      <c r="S101" s="14" t="n"/>
      <c r="U101" s="53" t="n"/>
      <c r="V101" s="53" t="n"/>
      <c r="W101" s="53" t="n"/>
      <c r="X101" s="53" t="n"/>
      <c r="Y101" s="53" t="n"/>
      <c r="Z101" s="53" t="n"/>
      <c r="AA101" s="53" t="n"/>
      <c r="AB101" s="53" t="n"/>
      <c r="AC101" s="53" t="n"/>
      <c r="AD101" s="53" t="n"/>
      <c r="AE101" s="53" t="n"/>
      <c r="AF101" s="53" t="n"/>
      <c r="AG101" s="53" t="n"/>
      <c r="AH101" s="53" t="n"/>
      <c r="AI101" s="53" t="n"/>
      <c r="AJ101" s="53" t="n"/>
      <c r="AK101" s="53" t="n"/>
      <c r="AL101" s="53" t="n"/>
      <c r="AM101" s="53" t="n"/>
      <c r="AN101" s="53" t="n"/>
      <c r="AO101" s="53" t="n"/>
      <c r="AP101" s="53" t="n"/>
      <c r="AQ101" s="53" t="n"/>
      <c r="AR101" s="53" t="n"/>
      <c r="AS101" s="53" t="n"/>
      <c r="AT101" s="53" t="n"/>
      <c r="AU101" s="53" t="n"/>
      <c r="AV101" s="53" t="n"/>
      <c r="AW101" s="53" t="n"/>
      <c r="AX101" s="53" t="n"/>
      <c r="AY101" s="53" t="n"/>
    </row>
    <row r="102" ht="15" customHeight="1">
      <c r="A102" s="62" t="n"/>
      <c r="B102" s="55">
        <f>IF($B$100="","",$B$100)</f>
        <v/>
      </c>
      <c r="C102" s="63" t="inlineStr">
        <is>
          <t>마케팅2팀</t>
        </is>
      </c>
      <c r="D102" s="55">
        <f>IF($D$100="","",$D$100)</f>
        <v/>
      </c>
      <c r="E102" s="64" t="inlineStr">
        <is>
          <t>영상</t>
        </is>
      </c>
      <c r="F102" s="44" t="n"/>
      <c r="G102" s="58">
        <f>IF($G$100="","",$G$100)</f>
        <v/>
      </c>
      <c r="H102" s="59" t="n"/>
      <c r="I102" s="59" t="n"/>
      <c r="J102" s="59" t="n"/>
      <c r="K102" s="59" t="n"/>
      <c r="L102" s="65">
        <f>IF(SUM(U102:AY102)=0,"",SUM(U102:AY102))</f>
        <v/>
      </c>
      <c r="M102" s="66">
        <f>IFERROR(INDEX(U$2:AY$2,MATCH(TRUE,INDEX(U102:AY102&lt;&gt;"",0),0)),"")</f>
        <v/>
      </c>
      <c r="N102" s="66">
        <f>IFERROR(LOOKUP(2,1/(U102:AY102&lt;&gt;""),U$2:AY$2),"")</f>
        <v/>
      </c>
      <c r="O102" s="59" t="n"/>
      <c r="P102" s="59" t="n"/>
      <c r="Q102" s="59" t="n"/>
      <c r="R102" s="59" t="n"/>
      <c r="S102" s="14" t="n"/>
      <c r="U102" s="53" t="n"/>
      <c r="V102" s="53" t="n"/>
      <c r="W102" s="53" t="n"/>
      <c r="X102" s="53" t="n"/>
      <c r="Y102" s="53" t="n"/>
      <c r="Z102" s="53" t="n"/>
      <c r="AA102" s="53" t="n"/>
      <c r="AB102" s="53" t="n"/>
      <c r="AC102" s="53" t="n"/>
      <c r="AD102" s="53" t="n"/>
      <c r="AE102" s="53" t="n"/>
      <c r="AF102" s="53" t="n"/>
      <c r="AG102" s="53" t="n"/>
      <c r="AH102" s="53" t="n"/>
      <c r="AI102" s="53" t="n"/>
      <c r="AJ102" s="53" t="n"/>
      <c r="AK102" s="53" t="n"/>
      <c r="AL102" s="53" t="n"/>
      <c r="AM102" s="53" t="n"/>
      <c r="AN102" s="53" t="n"/>
      <c r="AO102" s="53" t="n"/>
      <c r="AP102" s="53" t="n"/>
      <c r="AQ102" s="53" t="n"/>
      <c r="AR102" s="53" t="n"/>
      <c r="AS102" s="53" t="n"/>
      <c r="AT102" s="53" t="n"/>
      <c r="AU102" s="53" t="n"/>
      <c r="AV102" s="53" t="n"/>
      <c r="AW102" s="53" t="n"/>
      <c r="AX102" s="53" t="n"/>
      <c r="AY102" s="53" t="n"/>
    </row>
    <row r="103" ht="15" customHeight="1">
      <c r="A103" s="40">
        <f>IF($D$103="","",32)</f>
        <v/>
      </c>
      <c r="B103" s="10" t="n"/>
      <c r="C103" s="41" t="inlineStr">
        <is>
          <t>마케팅2팀</t>
        </is>
      </c>
      <c r="D103" s="42" t="n"/>
      <c r="E103" s="43" t="inlineStr">
        <is>
          <t>기획</t>
        </is>
      </c>
      <c r="F103" s="44" t="n"/>
      <c r="G103" s="45" t="n"/>
      <c r="H103" s="46">
        <f>IF($I$103="","",IF($I$103&lt;0,"🔴지연",IF($I$103&lt;=1,"🟡임박","🟢여유")))</f>
        <v/>
      </c>
      <c r="I103" s="47">
        <f>IF(OR($G$103="",$K$103=""),"",$G$103-$K$103)</f>
        <v/>
      </c>
      <c r="J103" s="48">
        <f>IF(SUM($L$103:$L$105)=0,"",SUM($L$103:$L$105))</f>
        <v/>
      </c>
      <c r="K103" s="49">
        <f>IF($J$103="","",MAX($N$103:$N$105))</f>
        <v/>
      </c>
      <c r="L103" s="50">
        <f>IF(SUM(U103:AY103)=0,"",SUM(U103:AY103))</f>
        <v/>
      </c>
      <c r="M103" s="51">
        <f>IFERROR(INDEX(U$2:AY$2,MATCH(TRUE,INDEX(U103:AY103&lt;&gt;"",0),0)),"")</f>
        <v/>
      </c>
      <c r="N103" s="51">
        <f>IFERROR(LOOKUP(2,1/(U103:AY103&lt;&gt;""),U$2:AY$2),"")</f>
        <v/>
      </c>
      <c r="O103" s="52" t="n"/>
      <c r="P103" s="52" t="n"/>
      <c r="Q103" s="52" t="n"/>
      <c r="R103" s="44" t="n"/>
      <c r="S103" s="14" t="n"/>
      <c r="U103" s="53" t="n"/>
      <c r="V103" s="53" t="n"/>
      <c r="W103" s="53" t="n"/>
      <c r="X103" s="53" t="n"/>
      <c r="Y103" s="53" t="n"/>
      <c r="Z103" s="53" t="n"/>
      <c r="AA103" s="53" t="n"/>
      <c r="AB103" s="53" t="n"/>
      <c r="AC103" s="53" t="n"/>
      <c r="AD103" s="53" t="n"/>
      <c r="AE103" s="53" t="n"/>
      <c r="AF103" s="53" t="n"/>
      <c r="AG103" s="53" t="n"/>
      <c r="AH103" s="53" t="n"/>
      <c r="AI103" s="53" t="n"/>
      <c r="AJ103" s="53" t="n"/>
      <c r="AK103" s="53" t="n"/>
      <c r="AL103" s="53" t="n"/>
      <c r="AM103" s="53" t="n"/>
      <c r="AN103" s="53" t="n"/>
      <c r="AO103" s="53" t="n"/>
      <c r="AP103" s="53" t="n"/>
      <c r="AQ103" s="53" t="n"/>
      <c r="AR103" s="53" t="n"/>
      <c r="AS103" s="53" t="n"/>
      <c r="AT103" s="53" t="n"/>
      <c r="AU103" s="53" t="n"/>
      <c r="AV103" s="53" t="n"/>
      <c r="AW103" s="53" t="n"/>
      <c r="AX103" s="53" t="n"/>
      <c r="AY103" s="53" t="n"/>
    </row>
    <row r="104" ht="15" customHeight="1">
      <c r="A104" s="54" t="n"/>
      <c r="B104" s="55">
        <f>IF($B$103="","",$B$103)</f>
        <v/>
      </c>
      <c r="C104" s="56" t="inlineStr">
        <is>
          <t>마케팅2팀</t>
        </is>
      </c>
      <c r="D104" s="55">
        <f>IF($D$103="","",$D$103)</f>
        <v/>
      </c>
      <c r="E104" s="57" t="inlineStr">
        <is>
          <t>이미지</t>
        </is>
      </c>
      <c r="F104" s="44" t="n"/>
      <c r="G104" s="58">
        <f>IF($G$103="","",$G$103)</f>
        <v/>
      </c>
      <c r="H104" s="59" t="n"/>
      <c r="I104" s="59" t="n"/>
      <c r="J104" s="59" t="n"/>
      <c r="K104" s="59" t="n"/>
      <c r="L104" s="60">
        <f>IF(SUM(U104:AY104)=0,"",SUM(U104:AY104))</f>
        <v/>
      </c>
      <c r="M104" s="61">
        <f>IFERROR(INDEX(U$2:AY$2,MATCH(TRUE,INDEX(U104:AY104&lt;&gt;"",0),0)),"")</f>
        <v/>
      </c>
      <c r="N104" s="61">
        <f>IFERROR(LOOKUP(2,1/(U104:AY104&lt;&gt;""),U$2:AY$2),"")</f>
        <v/>
      </c>
      <c r="O104" s="59" t="n"/>
      <c r="P104" s="59" t="n"/>
      <c r="Q104" s="59" t="n"/>
      <c r="R104" s="59" t="n"/>
      <c r="S104" s="14" t="n"/>
      <c r="U104" s="53" t="n"/>
      <c r="V104" s="53" t="n"/>
      <c r="W104" s="53" t="n"/>
      <c r="X104" s="53" t="n"/>
      <c r="Y104" s="53" t="n"/>
      <c r="Z104" s="53" t="n"/>
      <c r="AA104" s="53" t="n"/>
      <c r="AB104" s="53" t="n"/>
      <c r="AC104" s="53" t="n"/>
      <c r="AD104" s="53" t="n"/>
      <c r="AE104" s="53" t="n"/>
      <c r="AF104" s="53" t="n"/>
      <c r="AG104" s="53" t="n"/>
      <c r="AH104" s="53" t="n"/>
      <c r="AI104" s="53" t="n"/>
      <c r="AJ104" s="53" t="n"/>
      <c r="AK104" s="53" t="n"/>
      <c r="AL104" s="53" t="n"/>
      <c r="AM104" s="53" t="n"/>
      <c r="AN104" s="53" t="n"/>
      <c r="AO104" s="53" t="n"/>
      <c r="AP104" s="53" t="n"/>
      <c r="AQ104" s="53" t="n"/>
      <c r="AR104" s="53" t="n"/>
      <c r="AS104" s="53" t="n"/>
      <c r="AT104" s="53" t="n"/>
      <c r="AU104" s="53" t="n"/>
      <c r="AV104" s="53" t="n"/>
      <c r="AW104" s="53" t="n"/>
      <c r="AX104" s="53" t="n"/>
      <c r="AY104" s="53" t="n"/>
    </row>
    <row r="105" ht="15" customHeight="1">
      <c r="A105" s="62" t="n"/>
      <c r="B105" s="55">
        <f>IF($B$103="","",$B$103)</f>
        <v/>
      </c>
      <c r="C105" s="63" t="inlineStr">
        <is>
          <t>마케팅2팀</t>
        </is>
      </c>
      <c r="D105" s="55">
        <f>IF($D$103="","",$D$103)</f>
        <v/>
      </c>
      <c r="E105" s="64" t="inlineStr">
        <is>
          <t>영상</t>
        </is>
      </c>
      <c r="F105" s="44" t="n"/>
      <c r="G105" s="58">
        <f>IF($G$103="","",$G$103)</f>
        <v/>
      </c>
      <c r="H105" s="59" t="n"/>
      <c r="I105" s="59" t="n"/>
      <c r="J105" s="59" t="n"/>
      <c r="K105" s="59" t="n"/>
      <c r="L105" s="65">
        <f>IF(SUM(U105:AY105)=0,"",SUM(U105:AY105))</f>
        <v/>
      </c>
      <c r="M105" s="66">
        <f>IFERROR(INDEX(U$2:AY$2,MATCH(TRUE,INDEX(U105:AY105&lt;&gt;"",0),0)),"")</f>
        <v/>
      </c>
      <c r="N105" s="66">
        <f>IFERROR(LOOKUP(2,1/(U105:AY105&lt;&gt;""),U$2:AY$2),"")</f>
        <v/>
      </c>
      <c r="O105" s="59" t="n"/>
      <c r="P105" s="59" t="n"/>
      <c r="Q105" s="59" t="n"/>
      <c r="R105" s="59" t="n"/>
      <c r="S105" s="14" t="n"/>
      <c r="U105" s="53" t="n"/>
      <c r="V105" s="53" t="n"/>
      <c r="W105" s="53" t="n"/>
      <c r="X105" s="53" t="n"/>
      <c r="Y105" s="53" t="n"/>
      <c r="Z105" s="53" t="n"/>
      <c r="AA105" s="53" t="n"/>
      <c r="AB105" s="53" t="n"/>
      <c r="AC105" s="53" t="n"/>
      <c r="AD105" s="53" t="n"/>
      <c r="AE105" s="53" t="n"/>
      <c r="AF105" s="53" t="n"/>
      <c r="AG105" s="53" t="n"/>
      <c r="AH105" s="53" t="n"/>
      <c r="AI105" s="53" t="n"/>
      <c r="AJ105" s="53" t="n"/>
      <c r="AK105" s="53" t="n"/>
      <c r="AL105" s="53" t="n"/>
      <c r="AM105" s="53" t="n"/>
      <c r="AN105" s="53" t="n"/>
      <c r="AO105" s="53" t="n"/>
      <c r="AP105" s="53" t="n"/>
      <c r="AQ105" s="53" t="n"/>
      <c r="AR105" s="53" t="n"/>
      <c r="AS105" s="53" t="n"/>
      <c r="AT105" s="53" t="n"/>
      <c r="AU105" s="53" t="n"/>
      <c r="AV105" s="53" t="n"/>
      <c r="AW105" s="53" t="n"/>
      <c r="AX105" s="53" t="n"/>
      <c r="AY105" s="53" t="n"/>
    </row>
    <row r="106" ht="15" customHeight="1">
      <c r="A106" s="40">
        <f>IF($D$106="","",33)</f>
        <v/>
      </c>
      <c r="B106" s="10" t="n"/>
      <c r="C106" s="41" t="inlineStr">
        <is>
          <t>마케팅2팀</t>
        </is>
      </c>
      <c r="D106" s="42" t="n"/>
      <c r="E106" s="43" t="inlineStr">
        <is>
          <t>기획</t>
        </is>
      </c>
      <c r="F106" s="44" t="n"/>
      <c r="G106" s="45" t="n"/>
      <c r="H106" s="46">
        <f>IF($I$106="","",IF($I$106&lt;0,"🔴지연",IF($I$106&lt;=1,"🟡임박","🟢여유")))</f>
        <v/>
      </c>
      <c r="I106" s="47">
        <f>IF(OR($G$106="",$K$106=""),"",$G$106-$K$106)</f>
        <v/>
      </c>
      <c r="J106" s="48">
        <f>IF(SUM($L$106:$L$108)=0,"",SUM($L$106:$L$108))</f>
        <v/>
      </c>
      <c r="K106" s="49">
        <f>IF($J$106="","",MAX($N$106:$N$108))</f>
        <v/>
      </c>
      <c r="L106" s="50">
        <f>IF(SUM(U106:AY106)=0,"",SUM(U106:AY106))</f>
        <v/>
      </c>
      <c r="M106" s="51">
        <f>IFERROR(INDEX(U$2:AY$2,MATCH(TRUE,INDEX(U106:AY106&lt;&gt;"",0),0)),"")</f>
        <v/>
      </c>
      <c r="N106" s="51">
        <f>IFERROR(LOOKUP(2,1/(U106:AY106&lt;&gt;""),U$2:AY$2),"")</f>
        <v/>
      </c>
      <c r="O106" s="52" t="n"/>
      <c r="P106" s="52" t="n"/>
      <c r="Q106" s="52" t="n"/>
      <c r="R106" s="44" t="n"/>
      <c r="S106" s="14" t="n"/>
      <c r="U106" s="53" t="n"/>
      <c r="V106" s="53" t="n"/>
      <c r="W106" s="53" t="n"/>
      <c r="X106" s="53" t="n"/>
      <c r="Y106" s="53" t="n"/>
      <c r="Z106" s="53" t="n"/>
      <c r="AA106" s="53" t="n"/>
      <c r="AB106" s="53" t="n"/>
      <c r="AC106" s="53" t="n"/>
      <c r="AD106" s="53" t="n"/>
      <c r="AE106" s="53" t="n"/>
      <c r="AF106" s="53" t="n"/>
      <c r="AG106" s="53" t="n"/>
      <c r="AH106" s="53" t="n"/>
      <c r="AI106" s="53" t="n"/>
      <c r="AJ106" s="53" t="n"/>
      <c r="AK106" s="53" t="n"/>
      <c r="AL106" s="53" t="n"/>
      <c r="AM106" s="53" t="n"/>
      <c r="AN106" s="53" t="n"/>
      <c r="AO106" s="53" t="n"/>
      <c r="AP106" s="53" t="n"/>
      <c r="AQ106" s="53" t="n"/>
      <c r="AR106" s="53" t="n"/>
      <c r="AS106" s="53" t="n"/>
      <c r="AT106" s="53" t="n"/>
      <c r="AU106" s="53" t="n"/>
      <c r="AV106" s="53" t="n"/>
      <c r="AW106" s="53" t="n"/>
      <c r="AX106" s="53" t="n"/>
      <c r="AY106" s="53" t="n"/>
    </row>
    <row r="107" ht="15" customHeight="1">
      <c r="A107" s="54" t="n"/>
      <c r="B107" s="55">
        <f>IF($B$106="","",$B$106)</f>
        <v/>
      </c>
      <c r="C107" s="56" t="inlineStr">
        <is>
          <t>마케팅2팀</t>
        </is>
      </c>
      <c r="D107" s="55">
        <f>IF($D$106="","",$D$106)</f>
        <v/>
      </c>
      <c r="E107" s="57" t="inlineStr">
        <is>
          <t>이미지</t>
        </is>
      </c>
      <c r="F107" s="44" t="n"/>
      <c r="G107" s="58">
        <f>IF($G$106="","",$G$106)</f>
        <v/>
      </c>
      <c r="H107" s="59" t="n"/>
      <c r="I107" s="59" t="n"/>
      <c r="J107" s="59" t="n"/>
      <c r="K107" s="59" t="n"/>
      <c r="L107" s="60">
        <f>IF(SUM(U107:AY107)=0,"",SUM(U107:AY107))</f>
        <v/>
      </c>
      <c r="M107" s="61">
        <f>IFERROR(INDEX(U$2:AY$2,MATCH(TRUE,INDEX(U107:AY107&lt;&gt;"",0),0)),"")</f>
        <v/>
      </c>
      <c r="N107" s="61">
        <f>IFERROR(LOOKUP(2,1/(U107:AY107&lt;&gt;""),U$2:AY$2),"")</f>
        <v/>
      </c>
      <c r="O107" s="59" t="n"/>
      <c r="P107" s="59" t="n"/>
      <c r="Q107" s="59" t="n"/>
      <c r="R107" s="59" t="n"/>
      <c r="S107" s="14" t="n"/>
      <c r="U107" s="53" t="n"/>
      <c r="V107" s="53" t="n"/>
      <c r="W107" s="53" t="n"/>
      <c r="X107" s="53" t="n"/>
      <c r="Y107" s="53" t="n"/>
      <c r="Z107" s="53" t="n"/>
      <c r="AA107" s="53" t="n"/>
      <c r="AB107" s="53" t="n"/>
      <c r="AC107" s="53" t="n"/>
      <c r="AD107" s="53" t="n"/>
      <c r="AE107" s="53" t="n"/>
      <c r="AF107" s="53" t="n"/>
      <c r="AG107" s="53" t="n"/>
      <c r="AH107" s="53" t="n"/>
      <c r="AI107" s="53" t="n"/>
      <c r="AJ107" s="53" t="n"/>
      <c r="AK107" s="53" t="n"/>
      <c r="AL107" s="53" t="n"/>
      <c r="AM107" s="53" t="n"/>
      <c r="AN107" s="53" t="n"/>
      <c r="AO107" s="53" t="n"/>
      <c r="AP107" s="53" t="n"/>
      <c r="AQ107" s="53" t="n"/>
      <c r="AR107" s="53" t="n"/>
      <c r="AS107" s="53" t="n"/>
      <c r="AT107" s="53" t="n"/>
      <c r="AU107" s="53" t="n"/>
      <c r="AV107" s="53" t="n"/>
      <c r="AW107" s="53" t="n"/>
      <c r="AX107" s="53" t="n"/>
      <c r="AY107" s="53" t="n"/>
    </row>
    <row r="108" ht="15" customHeight="1">
      <c r="A108" s="62" t="n"/>
      <c r="B108" s="55">
        <f>IF($B$106="","",$B$106)</f>
        <v/>
      </c>
      <c r="C108" s="63" t="inlineStr">
        <is>
          <t>마케팅2팀</t>
        </is>
      </c>
      <c r="D108" s="55">
        <f>IF($D$106="","",$D$106)</f>
        <v/>
      </c>
      <c r="E108" s="64" t="inlineStr">
        <is>
          <t>영상</t>
        </is>
      </c>
      <c r="F108" s="44" t="n"/>
      <c r="G108" s="58">
        <f>IF($G$106="","",$G$106)</f>
        <v/>
      </c>
      <c r="H108" s="59" t="n"/>
      <c r="I108" s="59" t="n"/>
      <c r="J108" s="59" t="n"/>
      <c r="K108" s="59" t="n"/>
      <c r="L108" s="65">
        <f>IF(SUM(U108:AY108)=0,"",SUM(U108:AY108))</f>
        <v/>
      </c>
      <c r="M108" s="66">
        <f>IFERROR(INDEX(U$2:AY$2,MATCH(TRUE,INDEX(U108:AY108&lt;&gt;"",0),0)),"")</f>
        <v/>
      </c>
      <c r="N108" s="66">
        <f>IFERROR(LOOKUP(2,1/(U108:AY108&lt;&gt;""),U$2:AY$2),"")</f>
        <v/>
      </c>
      <c r="O108" s="59" t="n"/>
      <c r="P108" s="59" t="n"/>
      <c r="Q108" s="59" t="n"/>
      <c r="R108" s="59" t="n"/>
      <c r="S108" s="14" t="n"/>
      <c r="U108" s="53" t="n"/>
      <c r="V108" s="53" t="n"/>
      <c r="W108" s="53" t="n"/>
      <c r="X108" s="53" t="n"/>
      <c r="Y108" s="53" t="n"/>
      <c r="Z108" s="53" t="n"/>
      <c r="AA108" s="53" t="n"/>
      <c r="AB108" s="53" t="n"/>
      <c r="AC108" s="53" t="n"/>
      <c r="AD108" s="53" t="n"/>
      <c r="AE108" s="53" t="n"/>
      <c r="AF108" s="53" t="n"/>
      <c r="AG108" s="53" t="n"/>
      <c r="AH108" s="53" t="n"/>
      <c r="AI108" s="53" t="n"/>
      <c r="AJ108" s="53" t="n"/>
      <c r="AK108" s="53" t="n"/>
      <c r="AL108" s="53" t="n"/>
      <c r="AM108" s="53" t="n"/>
      <c r="AN108" s="53" t="n"/>
      <c r="AO108" s="53" t="n"/>
      <c r="AP108" s="53" t="n"/>
      <c r="AQ108" s="53" t="n"/>
      <c r="AR108" s="53" t="n"/>
      <c r="AS108" s="53" t="n"/>
      <c r="AT108" s="53" t="n"/>
      <c r="AU108" s="53" t="n"/>
      <c r="AV108" s="53" t="n"/>
      <c r="AW108" s="53" t="n"/>
      <c r="AX108" s="53" t="n"/>
      <c r="AY108" s="53" t="n"/>
    </row>
    <row r="109" ht="15" customHeight="1">
      <c r="A109" s="40">
        <f>IF($D$109="","",34)</f>
        <v/>
      </c>
      <c r="B109" s="10" t="n"/>
      <c r="C109" s="41" t="inlineStr">
        <is>
          <t>마케팅2팀</t>
        </is>
      </c>
      <c r="D109" s="42" t="n"/>
      <c r="E109" s="43" t="inlineStr">
        <is>
          <t>기획</t>
        </is>
      </c>
      <c r="F109" s="44" t="n"/>
      <c r="G109" s="45" t="n"/>
      <c r="H109" s="46">
        <f>IF($I$109="","",IF($I$109&lt;0,"🔴지연",IF($I$109&lt;=1,"🟡임박","🟢여유")))</f>
        <v/>
      </c>
      <c r="I109" s="47">
        <f>IF(OR($G$109="",$K$109=""),"",$G$109-$K$109)</f>
        <v/>
      </c>
      <c r="J109" s="48">
        <f>IF(SUM($L$109:$L$111)=0,"",SUM($L$109:$L$111))</f>
        <v/>
      </c>
      <c r="K109" s="49">
        <f>IF($J$109="","",MAX($N$109:$N$111))</f>
        <v/>
      </c>
      <c r="L109" s="50">
        <f>IF(SUM(U109:AY109)=0,"",SUM(U109:AY109))</f>
        <v/>
      </c>
      <c r="M109" s="51">
        <f>IFERROR(INDEX(U$2:AY$2,MATCH(TRUE,INDEX(U109:AY109&lt;&gt;"",0),0)),"")</f>
        <v/>
      </c>
      <c r="N109" s="51">
        <f>IFERROR(LOOKUP(2,1/(U109:AY109&lt;&gt;""),U$2:AY$2),"")</f>
        <v/>
      </c>
      <c r="O109" s="52" t="n"/>
      <c r="P109" s="52" t="n"/>
      <c r="Q109" s="52" t="n"/>
      <c r="R109" s="44" t="n"/>
      <c r="S109" s="14" t="n"/>
      <c r="U109" s="53" t="n"/>
      <c r="V109" s="53" t="n"/>
      <c r="W109" s="53" t="n"/>
      <c r="X109" s="53" t="n"/>
      <c r="Y109" s="53" t="n"/>
      <c r="Z109" s="53" t="n"/>
      <c r="AA109" s="53" t="n"/>
      <c r="AB109" s="53" t="n"/>
      <c r="AC109" s="53" t="n"/>
      <c r="AD109" s="53" t="n"/>
      <c r="AE109" s="53" t="n"/>
      <c r="AF109" s="53" t="n"/>
      <c r="AG109" s="53" t="n"/>
      <c r="AH109" s="53" t="n"/>
      <c r="AI109" s="53" t="n"/>
      <c r="AJ109" s="53" t="n"/>
      <c r="AK109" s="53" t="n"/>
      <c r="AL109" s="53" t="n"/>
      <c r="AM109" s="53" t="n"/>
      <c r="AN109" s="53" t="n"/>
      <c r="AO109" s="53" t="n"/>
      <c r="AP109" s="53" t="n"/>
      <c r="AQ109" s="53" t="n"/>
      <c r="AR109" s="53" t="n"/>
      <c r="AS109" s="53" t="n"/>
      <c r="AT109" s="53" t="n"/>
      <c r="AU109" s="53" t="n"/>
      <c r="AV109" s="53" t="n"/>
      <c r="AW109" s="53" t="n"/>
      <c r="AX109" s="53" t="n"/>
      <c r="AY109" s="53" t="n"/>
    </row>
    <row r="110" ht="15" customHeight="1">
      <c r="A110" s="54" t="n"/>
      <c r="B110" s="55">
        <f>IF($B$109="","",$B$109)</f>
        <v/>
      </c>
      <c r="C110" s="56" t="inlineStr">
        <is>
          <t>마케팅2팀</t>
        </is>
      </c>
      <c r="D110" s="55">
        <f>IF($D$109="","",$D$109)</f>
        <v/>
      </c>
      <c r="E110" s="57" t="inlineStr">
        <is>
          <t>이미지</t>
        </is>
      </c>
      <c r="F110" s="44" t="n"/>
      <c r="G110" s="58">
        <f>IF($G$109="","",$G$109)</f>
        <v/>
      </c>
      <c r="H110" s="59" t="n"/>
      <c r="I110" s="59" t="n"/>
      <c r="J110" s="59" t="n"/>
      <c r="K110" s="59" t="n"/>
      <c r="L110" s="60">
        <f>IF(SUM(U110:AY110)=0,"",SUM(U110:AY110))</f>
        <v/>
      </c>
      <c r="M110" s="61">
        <f>IFERROR(INDEX(U$2:AY$2,MATCH(TRUE,INDEX(U110:AY110&lt;&gt;"",0),0)),"")</f>
        <v/>
      </c>
      <c r="N110" s="61">
        <f>IFERROR(LOOKUP(2,1/(U110:AY110&lt;&gt;""),U$2:AY$2),"")</f>
        <v/>
      </c>
      <c r="O110" s="59" t="n"/>
      <c r="P110" s="59" t="n"/>
      <c r="Q110" s="59" t="n"/>
      <c r="R110" s="59" t="n"/>
      <c r="S110" s="14" t="n"/>
      <c r="U110" s="53" t="n"/>
      <c r="V110" s="53" t="n"/>
      <c r="W110" s="53" t="n"/>
      <c r="X110" s="53" t="n"/>
      <c r="Y110" s="53" t="n"/>
      <c r="Z110" s="53" t="n"/>
      <c r="AA110" s="53" t="n"/>
      <c r="AB110" s="53" t="n"/>
      <c r="AC110" s="53" t="n"/>
      <c r="AD110" s="53" t="n"/>
      <c r="AE110" s="53" t="n"/>
      <c r="AF110" s="53" t="n"/>
      <c r="AG110" s="53" t="n"/>
      <c r="AH110" s="53" t="n"/>
      <c r="AI110" s="53" t="n"/>
      <c r="AJ110" s="53" t="n"/>
      <c r="AK110" s="53" t="n"/>
      <c r="AL110" s="53" t="n"/>
      <c r="AM110" s="53" t="n"/>
      <c r="AN110" s="53" t="n"/>
      <c r="AO110" s="53" t="n"/>
      <c r="AP110" s="53" t="n"/>
      <c r="AQ110" s="53" t="n"/>
      <c r="AR110" s="53" t="n"/>
      <c r="AS110" s="53" t="n"/>
      <c r="AT110" s="53" t="n"/>
      <c r="AU110" s="53" t="n"/>
      <c r="AV110" s="53" t="n"/>
      <c r="AW110" s="53" t="n"/>
      <c r="AX110" s="53" t="n"/>
      <c r="AY110" s="53" t="n"/>
    </row>
    <row r="111" ht="15" customHeight="1">
      <c r="A111" s="62" t="n"/>
      <c r="B111" s="55">
        <f>IF($B$109="","",$B$109)</f>
        <v/>
      </c>
      <c r="C111" s="63" t="inlineStr">
        <is>
          <t>마케팅2팀</t>
        </is>
      </c>
      <c r="D111" s="55">
        <f>IF($D$109="","",$D$109)</f>
        <v/>
      </c>
      <c r="E111" s="64" t="inlineStr">
        <is>
          <t>영상</t>
        </is>
      </c>
      <c r="F111" s="44" t="n"/>
      <c r="G111" s="58">
        <f>IF($G$109="","",$G$109)</f>
        <v/>
      </c>
      <c r="H111" s="59" t="n"/>
      <c r="I111" s="59" t="n"/>
      <c r="J111" s="59" t="n"/>
      <c r="K111" s="59" t="n"/>
      <c r="L111" s="65">
        <f>IF(SUM(U111:AY111)=0,"",SUM(U111:AY111))</f>
        <v/>
      </c>
      <c r="M111" s="66">
        <f>IFERROR(INDEX(U$2:AY$2,MATCH(TRUE,INDEX(U111:AY111&lt;&gt;"",0),0)),"")</f>
        <v/>
      </c>
      <c r="N111" s="66">
        <f>IFERROR(LOOKUP(2,1/(U111:AY111&lt;&gt;""),U$2:AY$2),"")</f>
        <v/>
      </c>
      <c r="O111" s="59" t="n"/>
      <c r="P111" s="59" t="n"/>
      <c r="Q111" s="59" t="n"/>
      <c r="R111" s="59" t="n"/>
      <c r="S111" s="14" t="n"/>
      <c r="U111" s="53" t="n"/>
      <c r="V111" s="53" t="n"/>
      <c r="W111" s="53" t="n"/>
      <c r="X111" s="53" t="n"/>
      <c r="Y111" s="53" t="n"/>
      <c r="Z111" s="53" t="n"/>
      <c r="AA111" s="53" t="n"/>
      <c r="AB111" s="53" t="n"/>
      <c r="AC111" s="53" t="n"/>
      <c r="AD111" s="53" t="n"/>
      <c r="AE111" s="53" t="n"/>
      <c r="AF111" s="53" t="n"/>
      <c r="AG111" s="53" t="n"/>
      <c r="AH111" s="53" t="n"/>
      <c r="AI111" s="53" t="n"/>
      <c r="AJ111" s="53" t="n"/>
      <c r="AK111" s="53" t="n"/>
      <c r="AL111" s="53" t="n"/>
      <c r="AM111" s="53" t="n"/>
      <c r="AN111" s="53" t="n"/>
      <c r="AO111" s="53" t="n"/>
      <c r="AP111" s="53" t="n"/>
      <c r="AQ111" s="53" t="n"/>
      <c r="AR111" s="53" t="n"/>
      <c r="AS111" s="53" t="n"/>
      <c r="AT111" s="53" t="n"/>
      <c r="AU111" s="53" t="n"/>
      <c r="AV111" s="53" t="n"/>
      <c r="AW111" s="53" t="n"/>
      <c r="AX111" s="53" t="n"/>
      <c r="AY111" s="53" t="n"/>
    </row>
    <row r="112" ht="15" customHeight="1">
      <c r="A112" s="40">
        <f>IF($D$112="","",35)</f>
        <v/>
      </c>
      <c r="B112" s="10" t="n"/>
      <c r="C112" s="41" t="inlineStr">
        <is>
          <t>마케팅2팀</t>
        </is>
      </c>
      <c r="D112" s="42" t="n"/>
      <c r="E112" s="43" t="inlineStr">
        <is>
          <t>기획</t>
        </is>
      </c>
      <c r="F112" s="44" t="n"/>
      <c r="G112" s="45" t="n"/>
      <c r="H112" s="46">
        <f>IF($I$112="","",IF($I$112&lt;0,"🔴지연",IF($I$112&lt;=1,"🟡임박","🟢여유")))</f>
        <v/>
      </c>
      <c r="I112" s="47">
        <f>IF(OR($G$112="",$K$112=""),"",$G$112-$K$112)</f>
        <v/>
      </c>
      <c r="J112" s="48">
        <f>IF(SUM($L$112:$L$114)=0,"",SUM($L$112:$L$114))</f>
        <v/>
      </c>
      <c r="K112" s="49">
        <f>IF($J$112="","",MAX($N$112:$N$114))</f>
        <v/>
      </c>
      <c r="L112" s="50">
        <f>IF(SUM(U112:AY112)=0,"",SUM(U112:AY112))</f>
        <v/>
      </c>
      <c r="M112" s="51">
        <f>IFERROR(INDEX(U$2:AY$2,MATCH(TRUE,INDEX(U112:AY112&lt;&gt;"",0),0)),"")</f>
        <v/>
      </c>
      <c r="N112" s="51">
        <f>IFERROR(LOOKUP(2,1/(U112:AY112&lt;&gt;""),U$2:AY$2),"")</f>
        <v/>
      </c>
      <c r="O112" s="52" t="n"/>
      <c r="P112" s="52" t="n"/>
      <c r="Q112" s="52" t="n"/>
      <c r="R112" s="44" t="n"/>
      <c r="S112" s="14" t="n"/>
      <c r="U112" s="53" t="n"/>
      <c r="V112" s="53" t="n"/>
      <c r="W112" s="53" t="n"/>
      <c r="X112" s="53" t="n"/>
      <c r="Y112" s="53" t="n"/>
      <c r="Z112" s="53" t="n"/>
      <c r="AA112" s="53" t="n"/>
      <c r="AB112" s="53" t="n"/>
      <c r="AC112" s="53" t="n"/>
      <c r="AD112" s="53" t="n"/>
      <c r="AE112" s="53" t="n"/>
      <c r="AF112" s="53" t="n"/>
      <c r="AG112" s="53" t="n"/>
      <c r="AH112" s="53" t="n"/>
      <c r="AI112" s="53" t="n"/>
      <c r="AJ112" s="53" t="n"/>
      <c r="AK112" s="53" t="n"/>
      <c r="AL112" s="53" t="n"/>
      <c r="AM112" s="53" t="n"/>
      <c r="AN112" s="53" t="n"/>
      <c r="AO112" s="53" t="n"/>
      <c r="AP112" s="53" t="n"/>
      <c r="AQ112" s="53" t="n"/>
      <c r="AR112" s="53" t="n"/>
      <c r="AS112" s="53" t="n"/>
      <c r="AT112" s="53" t="n"/>
      <c r="AU112" s="53" t="n"/>
      <c r="AV112" s="53" t="n"/>
      <c r="AW112" s="53" t="n"/>
      <c r="AX112" s="53" t="n"/>
      <c r="AY112" s="53" t="n"/>
    </row>
    <row r="113" ht="15" customHeight="1">
      <c r="A113" s="54" t="n"/>
      <c r="B113" s="55">
        <f>IF($B$112="","",$B$112)</f>
        <v/>
      </c>
      <c r="C113" s="56" t="inlineStr">
        <is>
          <t>마케팅2팀</t>
        </is>
      </c>
      <c r="D113" s="55">
        <f>IF($D$112="","",$D$112)</f>
        <v/>
      </c>
      <c r="E113" s="57" t="inlineStr">
        <is>
          <t>이미지</t>
        </is>
      </c>
      <c r="F113" s="44" t="n"/>
      <c r="G113" s="58">
        <f>IF($G$112="","",$G$112)</f>
        <v/>
      </c>
      <c r="H113" s="59" t="n"/>
      <c r="I113" s="59" t="n"/>
      <c r="J113" s="59" t="n"/>
      <c r="K113" s="59" t="n"/>
      <c r="L113" s="60">
        <f>IF(SUM(U113:AY113)=0,"",SUM(U113:AY113))</f>
        <v/>
      </c>
      <c r="M113" s="61">
        <f>IFERROR(INDEX(U$2:AY$2,MATCH(TRUE,INDEX(U113:AY113&lt;&gt;"",0),0)),"")</f>
        <v/>
      </c>
      <c r="N113" s="61">
        <f>IFERROR(LOOKUP(2,1/(U113:AY113&lt;&gt;""),U$2:AY$2),"")</f>
        <v/>
      </c>
      <c r="O113" s="59" t="n"/>
      <c r="P113" s="59" t="n"/>
      <c r="Q113" s="59" t="n"/>
      <c r="R113" s="59" t="n"/>
      <c r="S113" s="14" t="n"/>
      <c r="U113" s="53" t="n"/>
      <c r="V113" s="53" t="n"/>
      <c r="W113" s="53" t="n"/>
      <c r="X113" s="53" t="n"/>
      <c r="Y113" s="53" t="n"/>
      <c r="Z113" s="53" t="n"/>
      <c r="AA113" s="53" t="n"/>
      <c r="AB113" s="53" t="n"/>
      <c r="AC113" s="53" t="n"/>
      <c r="AD113" s="53" t="n"/>
      <c r="AE113" s="53" t="n"/>
      <c r="AF113" s="53" t="n"/>
      <c r="AG113" s="53" t="n"/>
      <c r="AH113" s="53" t="n"/>
      <c r="AI113" s="53" t="n"/>
      <c r="AJ113" s="53" t="n"/>
      <c r="AK113" s="53" t="n"/>
      <c r="AL113" s="53" t="n"/>
      <c r="AM113" s="53" t="n"/>
      <c r="AN113" s="53" t="n"/>
      <c r="AO113" s="53" t="n"/>
      <c r="AP113" s="53" t="n"/>
      <c r="AQ113" s="53" t="n"/>
      <c r="AR113" s="53" t="n"/>
      <c r="AS113" s="53" t="n"/>
      <c r="AT113" s="53" t="n"/>
      <c r="AU113" s="53" t="n"/>
      <c r="AV113" s="53" t="n"/>
      <c r="AW113" s="53" t="n"/>
      <c r="AX113" s="53" t="n"/>
      <c r="AY113" s="53" t="n"/>
    </row>
    <row r="114" ht="15" customHeight="1">
      <c r="A114" s="62" t="n"/>
      <c r="B114" s="55">
        <f>IF($B$112="","",$B$112)</f>
        <v/>
      </c>
      <c r="C114" s="63" t="inlineStr">
        <is>
          <t>마케팅2팀</t>
        </is>
      </c>
      <c r="D114" s="55">
        <f>IF($D$112="","",$D$112)</f>
        <v/>
      </c>
      <c r="E114" s="64" t="inlineStr">
        <is>
          <t>영상</t>
        </is>
      </c>
      <c r="F114" s="44" t="n"/>
      <c r="G114" s="58">
        <f>IF($G$112="","",$G$112)</f>
        <v/>
      </c>
      <c r="H114" s="59" t="n"/>
      <c r="I114" s="59" t="n"/>
      <c r="J114" s="59" t="n"/>
      <c r="K114" s="59" t="n"/>
      <c r="L114" s="65">
        <f>IF(SUM(U114:AY114)=0,"",SUM(U114:AY114))</f>
        <v/>
      </c>
      <c r="M114" s="66">
        <f>IFERROR(INDEX(U$2:AY$2,MATCH(TRUE,INDEX(U114:AY114&lt;&gt;"",0),0)),"")</f>
        <v/>
      </c>
      <c r="N114" s="66">
        <f>IFERROR(LOOKUP(2,1/(U114:AY114&lt;&gt;""),U$2:AY$2),"")</f>
        <v/>
      </c>
      <c r="O114" s="59" t="n"/>
      <c r="P114" s="59" t="n"/>
      <c r="Q114" s="59" t="n"/>
      <c r="R114" s="59" t="n"/>
      <c r="S114" s="14" t="n"/>
      <c r="U114" s="53" t="n"/>
      <c r="V114" s="53" t="n"/>
      <c r="W114" s="53" t="n"/>
      <c r="X114" s="53" t="n"/>
      <c r="Y114" s="53" t="n"/>
      <c r="Z114" s="53" t="n"/>
      <c r="AA114" s="53" t="n"/>
      <c r="AB114" s="53" t="n"/>
      <c r="AC114" s="53" t="n"/>
      <c r="AD114" s="53" t="n"/>
      <c r="AE114" s="53" t="n"/>
      <c r="AF114" s="53" t="n"/>
      <c r="AG114" s="53" t="n"/>
      <c r="AH114" s="53" t="n"/>
      <c r="AI114" s="53" t="n"/>
      <c r="AJ114" s="53" t="n"/>
      <c r="AK114" s="53" t="n"/>
      <c r="AL114" s="53" t="n"/>
      <c r="AM114" s="53" t="n"/>
      <c r="AN114" s="53" t="n"/>
      <c r="AO114" s="53" t="n"/>
      <c r="AP114" s="53" t="n"/>
      <c r="AQ114" s="53" t="n"/>
      <c r="AR114" s="53" t="n"/>
      <c r="AS114" s="53" t="n"/>
      <c r="AT114" s="53" t="n"/>
      <c r="AU114" s="53" t="n"/>
      <c r="AV114" s="53" t="n"/>
      <c r="AW114" s="53" t="n"/>
      <c r="AX114" s="53" t="n"/>
      <c r="AY114" s="53" t="n"/>
    </row>
    <row r="115" ht="15" customHeight="1">
      <c r="A115" s="40">
        <f>IF($D$115="","",36)</f>
        <v/>
      </c>
      <c r="B115" s="10" t="n"/>
      <c r="C115" s="41" t="inlineStr">
        <is>
          <t>마케팅2팀</t>
        </is>
      </c>
      <c r="D115" s="42" t="n"/>
      <c r="E115" s="43" t="inlineStr">
        <is>
          <t>기획</t>
        </is>
      </c>
      <c r="F115" s="44" t="n"/>
      <c r="G115" s="45" t="n"/>
      <c r="H115" s="46">
        <f>IF($I$115="","",IF($I$115&lt;0,"🔴지연",IF($I$115&lt;=1,"🟡임박","🟢여유")))</f>
        <v/>
      </c>
      <c r="I115" s="47">
        <f>IF(OR($G$115="",$K$115=""),"",$G$115-$K$115)</f>
        <v/>
      </c>
      <c r="J115" s="48">
        <f>IF(SUM($L$115:$L$117)=0,"",SUM($L$115:$L$117))</f>
        <v/>
      </c>
      <c r="K115" s="49">
        <f>IF($J$115="","",MAX($N$115:$N$117))</f>
        <v/>
      </c>
      <c r="L115" s="50">
        <f>IF(SUM(U115:AY115)=0,"",SUM(U115:AY115))</f>
        <v/>
      </c>
      <c r="M115" s="51">
        <f>IFERROR(INDEX(U$2:AY$2,MATCH(TRUE,INDEX(U115:AY115&lt;&gt;"",0),0)),"")</f>
        <v/>
      </c>
      <c r="N115" s="51">
        <f>IFERROR(LOOKUP(2,1/(U115:AY115&lt;&gt;""),U$2:AY$2),"")</f>
        <v/>
      </c>
      <c r="O115" s="52" t="n"/>
      <c r="P115" s="52" t="n"/>
      <c r="Q115" s="52" t="n"/>
      <c r="R115" s="44" t="n"/>
      <c r="S115" s="14" t="n"/>
      <c r="U115" s="53" t="n"/>
      <c r="V115" s="53" t="n"/>
      <c r="W115" s="53" t="n"/>
      <c r="X115" s="53" t="n"/>
      <c r="Y115" s="53" t="n"/>
      <c r="Z115" s="53" t="n"/>
      <c r="AA115" s="53" t="n"/>
      <c r="AB115" s="53" t="n"/>
      <c r="AC115" s="53" t="n"/>
      <c r="AD115" s="53" t="n"/>
      <c r="AE115" s="53" t="n"/>
      <c r="AF115" s="53" t="n"/>
      <c r="AG115" s="53" t="n"/>
      <c r="AH115" s="53" t="n"/>
      <c r="AI115" s="53" t="n"/>
      <c r="AJ115" s="53" t="n"/>
      <c r="AK115" s="53" t="n"/>
      <c r="AL115" s="53" t="n"/>
      <c r="AM115" s="53" t="n"/>
      <c r="AN115" s="53" t="n"/>
      <c r="AO115" s="53" t="n"/>
      <c r="AP115" s="53" t="n"/>
      <c r="AQ115" s="53" t="n"/>
      <c r="AR115" s="53" t="n"/>
      <c r="AS115" s="53" t="n"/>
      <c r="AT115" s="53" t="n"/>
      <c r="AU115" s="53" t="n"/>
      <c r="AV115" s="53" t="n"/>
      <c r="AW115" s="53" t="n"/>
      <c r="AX115" s="53" t="n"/>
      <c r="AY115" s="53" t="n"/>
    </row>
    <row r="116" ht="15" customHeight="1">
      <c r="A116" s="54" t="n"/>
      <c r="B116" s="55">
        <f>IF($B$115="","",$B$115)</f>
        <v/>
      </c>
      <c r="C116" s="56" t="inlineStr">
        <is>
          <t>마케팅2팀</t>
        </is>
      </c>
      <c r="D116" s="55">
        <f>IF($D$115="","",$D$115)</f>
        <v/>
      </c>
      <c r="E116" s="57" t="inlineStr">
        <is>
          <t>이미지</t>
        </is>
      </c>
      <c r="F116" s="44" t="n"/>
      <c r="G116" s="58">
        <f>IF($G$115="","",$G$115)</f>
        <v/>
      </c>
      <c r="H116" s="59" t="n"/>
      <c r="I116" s="59" t="n"/>
      <c r="J116" s="59" t="n"/>
      <c r="K116" s="59" t="n"/>
      <c r="L116" s="60">
        <f>IF(SUM(U116:AY116)=0,"",SUM(U116:AY116))</f>
        <v/>
      </c>
      <c r="M116" s="61">
        <f>IFERROR(INDEX(U$2:AY$2,MATCH(TRUE,INDEX(U116:AY116&lt;&gt;"",0),0)),"")</f>
        <v/>
      </c>
      <c r="N116" s="61">
        <f>IFERROR(LOOKUP(2,1/(U116:AY116&lt;&gt;""),U$2:AY$2),"")</f>
        <v/>
      </c>
      <c r="O116" s="59" t="n"/>
      <c r="P116" s="59" t="n"/>
      <c r="Q116" s="59" t="n"/>
      <c r="R116" s="59" t="n"/>
      <c r="S116" s="14" t="n"/>
      <c r="U116" s="53" t="n"/>
      <c r="V116" s="53" t="n"/>
      <c r="W116" s="53" t="n"/>
      <c r="X116" s="53" t="n"/>
      <c r="Y116" s="53" t="n"/>
      <c r="Z116" s="53" t="n"/>
      <c r="AA116" s="53" t="n"/>
      <c r="AB116" s="53" t="n"/>
      <c r="AC116" s="53" t="n"/>
      <c r="AD116" s="53" t="n"/>
      <c r="AE116" s="53" t="n"/>
      <c r="AF116" s="53" t="n"/>
      <c r="AG116" s="53" t="n"/>
      <c r="AH116" s="53" t="n"/>
      <c r="AI116" s="53" t="n"/>
      <c r="AJ116" s="53" t="n"/>
      <c r="AK116" s="53" t="n"/>
      <c r="AL116" s="53" t="n"/>
      <c r="AM116" s="53" t="n"/>
      <c r="AN116" s="53" t="n"/>
      <c r="AO116" s="53" t="n"/>
      <c r="AP116" s="53" t="n"/>
      <c r="AQ116" s="53" t="n"/>
      <c r="AR116" s="53" t="n"/>
      <c r="AS116" s="53" t="n"/>
      <c r="AT116" s="53" t="n"/>
      <c r="AU116" s="53" t="n"/>
      <c r="AV116" s="53" t="n"/>
      <c r="AW116" s="53" t="n"/>
      <c r="AX116" s="53" t="n"/>
      <c r="AY116" s="53" t="n"/>
    </row>
    <row r="117" ht="15" customHeight="1">
      <c r="A117" s="62" t="n"/>
      <c r="B117" s="55">
        <f>IF($B$115="","",$B$115)</f>
        <v/>
      </c>
      <c r="C117" s="63" t="inlineStr">
        <is>
          <t>마케팅2팀</t>
        </is>
      </c>
      <c r="D117" s="55">
        <f>IF($D$115="","",$D$115)</f>
        <v/>
      </c>
      <c r="E117" s="64" t="inlineStr">
        <is>
          <t>영상</t>
        </is>
      </c>
      <c r="F117" s="44" t="n"/>
      <c r="G117" s="58">
        <f>IF($G$115="","",$G$115)</f>
        <v/>
      </c>
      <c r="H117" s="59" t="n"/>
      <c r="I117" s="59" t="n"/>
      <c r="J117" s="59" t="n"/>
      <c r="K117" s="59" t="n"/>
      <c r="L117" s="65">
        <f>IF(SUM(U117:AY117)=0,"",SUM(U117:AY117))</f>
        <v/>
      </c>
      <c r="M117" s="66">
        <f>IFERROR(INDEX(U$2:AY$2,MATCH(TRUE,INDEX(U117:AY117&lt;&gt;"",0),0)),"")</f>
        <v/>
      </c>
      <c r="N117" s="66">
        <f>IFERROR(LOOKUP(2,1/(U117:AY117&lt;&gt;""),U$2:AY$2),"")</f>
        <v/>
      </c>
      <c r="O117" s="59" t="n"/>
      <c r="P117" s="59" t="n"/>
      <c r="Q117" s="59" t="n"/>
      <c r="R117" s="59" t="n"/>
      <c r="S117" s="14" t="n"/>
      <c r="U117" s="53" t="n"/>
      <c r="V117" s="53" t="n"/>
      <c r="W117" s="53" t="n"/>
      <c r="X117" s="53" t="n"/>
      <c r="Y117" s="53" t="n"/>
      <c r="Z117" s="53" t="n"/>
      <c r="AA117" s="53" t="n"/>
      <c r="AB117" s="53" t="n"/>
      <c r="AC117" s="53" t="n"/>
      <c r="AD117" s="53" t="n"/>
      <c r="AE117" s="53" t="n"/>
      <c r="AF117" s="53" t="n"/>
      <c r="AG117" s="53" t="n"/>
      <c r="AH117" s="53" t="n"/>
      <c r="AI117" s="53" t="n"/>
      <c r="AJ117" s="53" t="n"/>
      <c r="AK117" s="53" t="n"/>
      <c r="AL117" s="53" t="n"/>
      <c r="AM117" s="53" t="n"/>
      <c r="AN117" s="53" t="n"/>
      <c r="AO117" s="53" t="n"/>
      <c r="AP117" s="53" t="n"/>
      <c r="AQ117" s="53" t="n"/>
      <c r="AR117" s="53" t="n"/>
      <c r="AS117" s="53" t="n"/>
      <c r="AT117" s="53" t="n"/>
      <c r="AU117" s="53" t="n"/>
      <c r="AV117" s="53" t="n"/>
      <c r="AW117" s="53" t="n"/>
      <c r="AX117" s="53" t="n"/>
      <c r="AY117" s="53" t="n"/>
    </row>
    <row r="118" ht="15" customHeight="1">
      <c r="A118" s="40">
        <f>IF($D$118="","",37)</f>
        <v/>
      </c>
      <c r="B118" s="10" t="n"/>
      <c r="C118" s="41" t="inlineStr">
        <is>
          <t>마케팅2팀</t>
        </is>
      </c>
      <c r="D118" s="42" t="n"/>
      <c r="E118" s="43" t="inlineStr">
        <is>
          <t>기획</t>
        </is>
      </c>
      <c r="F118" s="44" t="n"/>
      <c r="G118" s="45" t="n"/>
      <c r="H118" s="46">
        <f>IF($I$118="","",IF($I$118&lt;0,"🔴지연",IF($I$118&lt;=1,"🟡임박","🟢여유")))</f>
        <v/>
      </c>
      <c r="I118" s="47">
        <f>IF(OR($G$118="",$K$118=""),"",$G$118-$K$118)</f>
        <v/>
      </c>
      <c r="J118" s="48">
        <f>IF(SUM($L$118:$L$120)=0,"",SUM($L$118:$L$120))</f>
        <v/>
      </c>
      <c r="K118" s="49">
        <f>IF($J$118="","",MAX($N$118:$N$120))</f>
        <v/>
      </c>
      <c r="L118" s="50">
        <f>IF(SUM(U118:AY118)=0,"",SUM(U118:AY118))</f>
        <v/>
      </c>
      <c r="M118" s="51">
        <f>IFERROR(INDEX(U$2:AY$2,MATCH(TRUE,INDEX(U118:AY118&lt;&gt;"",0),0)),"")</f>
        <v/>
      </c>
      <c r="N118" s="51">
        <f>IFERROR(LOOKUP(2,1/(U118:AY118&lt;&gt;""),U$2:AY$2),"")</f>
        <v/>
      </c>
      <c r="O118" s="52" t="n"/>
      <c r="P118" s="52" t="n"/>
      <c r="Q118" s="52" t="n"/>
      <c r="R118" s="44" t="n"/>
      <c r="S118" s="14" t="n"/>
      <c r="U118" s="53" t="n"/>
      <c r="V118" s="53" t="n"/>
      <c r="W118" s="53" t="n"/>
      <c r="X118" s="53" t="n"/>
      <c r="Y118" s="53" t="n"/>
      <c r="Z118" s="53" t="n"/>
      <c r="AA118" s="53" t="n"/>
      <c r="AB118" s="53" t="n"/>
      <c r="AC118" s="53" t="n"/>
      <c r="AD118" s="53" t="n"/>
      <c r="AE118" s="53" t="n"/>
      <c r="AF118" s="53" t="n"/>
      <c r="AG118" s="53" t="n"/>
      <c r="AH118" s="53" t="n"/>
      <c r="AI118" s="53" t="n"/>
      <c r="AJ118" s="53" t="n"/>
      <c r="AK118" s="53" t="n"/>
      <c r="AL118" s="53" t="n"/>
      <c r="AM118" s="53" t="n"/>
      <c r="AN118" s="53" t="n"/>
      <c r="AO118" s="53" t="n"/>
      <c r="AP118" s="53" t="n"/>
      <c r="AQ118" s="53" t="n"/>
      <c r="AR118" s="53" t="n"/>
      <c r="AS118" s="53" t="n"/>
      <c r="AT118" s="53" t="n"/>
      <c r="AU118" s="53" t="n"/>
      <c r="AV118" s="53" t="n"/>
      <c r="AW118" s="53" t="n"/>
      <c r="AX118" s="53" t="n"/>
      <c r="AY118" s="53" t="n"/>
    </row>
    <row r="119" ht="15" customHeight="1">
      <c r="A119" s="54" t="n"/>
      <c r="B119" s="55">
        <f>IF($B$118="","",$B$118)</f>
        <v/>
      </c>
      <c r="C119" s="56" t="inlineStr">
        <is>
          <t>마케팅2팀</t>
        </is>
      </c>
      <c r="D119" s="55">
        <f>IF($D$118="","",$D$118)</f>
        <v/>
      </c>
      <c r="E119" s="57" t="inlineStr">
        <is>
          <t>이미지</t>
        </is>
      </c>
      <c r="F119" s="44" t="n"/>
      <c r="G119" s="58">
        <f>IF($G$118="","",$G$118)</f>
        <v/>
      </c>
      <c r="H119" s="59" t="n"/>
      <c r="I119" s="59" t="n"/>
      <c r="J119" s="59" t="n"/>
      <c r="K119" s="59" t="n"/>
      <c r="L119" s="60">
        <f>IF(SUM(U119:AY119)=0,"",SUM(U119:AY119))</f>
        <v/>
      </c>
      <c r="M119" s="61">
        <f>IFERROR(INDEX(U$2:AY$2,MATCH(TRUE,INDEX(U119:AY119&lt;&gt;"",0),0)),"")</f>
        <v/>
      </c>
      <c r="N119" s="61">
        <f>IFERROR(LOOKUP(2,1/(U119:AY119&lt;&gt;""),U$2:AY$2),"")</f>
        <v/>
      </c>
      <c r="O119" s="59" t="n"/>
      <c r="P119" s="59" t="n"/>
      <c r="Q119" s="59" t="n"/>
      <c r="R119" s="59" t="n"/>
      <c r="S119" s="14" t="n"/>
      <c r="U119" s="53" t="n"/>
      <c r="V119" s="53" t="n"/>
      <c r="W119" s="53" t="n"/>
      <c r="X119" s="53" t="n"/>
      <c r="Y119" s="53" t="n"/>
      <c r="Z119" s="53" t="n"/>
      <c r="AA119" s="53" t="n"/>
      <c r="AB119" s="53" t="n"/>
      <c r="AC119" s="53" t="n"/>
      <c r="AD119" s="53" t="n"/>
      <c r="AE119" s="53" t="n"/>
      <c r="AF119" s="53" t="n"/>
      <c r="AG119" s="53" t="n"/>
      <c r="AH119" s="53" t="n"/>
      <c r="AI119" s="53" t="n"/>
      <c r="AJ119" s="53" t="n"/>
      <c r="AK119" s="53" t="n"/>
      <c r="AL119" s="53" t="n"/>
      <c r="AM119" s="53" t="n"/>
      <c r="AN119" s="53" t="n"/>
      <c r="AO119" s="53" t="n"/>
      <c r="AP119" s="53" t="n"/>
      <c r="AQ119" s="53" t="n"/>
      <c r="AR119" s="53" t="n"/>
      <c r="AS119" s="53" t="n"/>
      <c r="AT119" s="53" t="n"/>
      <c r="AU119" s="53" t="n"/>
      <c r="AV119" s="53" t="n"/>
      <c r="AW119" s="53" t="n"/>
      <c r="AX119" s="53" t="n"/>
      <c r="AY119" s="53" t="n"/>
    </row>
    <row r="120" ht="15" customHeight="1">
      <c r="A120" s="62" t="n"/>
      <c r="B120" s="55">
        <f>IF($B$118="","",$B$118)</f>
        <v/>
      </c>
      <c r="C120" s="63" t="inlineStr">
        <is>
          <t>마케팅2팀</t>
        </is>
      </c>
      <c r="D120" s="55">
        <f>IF($D$118="","",$D$118)</f>
        <v/>
      </c>
      <c r="E120" s="64" t="inlineStr">
        <is>
          <t>영상</t>
        </is>
      </c>
      <c r="F120" s="44" t="n"/>
      <c r="G120" s="58">
        <f>IF($G$118="","",$G$118)</f>
        <v/>
      </c>
      <c r="H120" s="59" t="n"/>
      <c r="I120" s="59" t="n"/>
      <c r="J120" s="59" t="n"/>
      <c r="K120" s="59" t="n"/>
      <c r="L120" s="65">
        <f>IF(SUM(U120:AY120)=0,"",SUM(U120:AY120))</f>
        <v/>
      </c>
      <c r="M120" s="66">
        <f>IFERROR(INDEX(U$2:AY$2,MATCH(TRUE,INDEX(U120:AY120&lt;&gt;"",0),0)),"")</f>
        <v/>
      </c>
      <c r="N120" s="66">
        <f>IFERROR(LOOKUP(2,1/(U120:AY120&lt;&gt;""),U$2:AY$2),"")</f>
        <v/>
      </c>
      <c r="O120" s="59" t="n"/>
      <c r="P120" s="59" t="n"/>
      <c r="Q120" s="59" t="n"/>
      <c r="R120" s="59" t="n"/>
      <c r="S120" s="14" t="n"/>
      <c r="U120" s="53" t="n"/>
      <c r="V120" s="53" t="n"/>
      <c r="W120" s="53" t="n"/>
      <c r="X120" s="53" t="n"/>
      <c r="Y120" s="53" t="n"/>
      <c r="Z120" s="53" t="n"/>
      <c r="AA120" s="53" t="n"/>
      <c r="AB120" s="53" t="n"/>
      <c r="AC120" s="53" t="n"/>
      <c r="AD120" s="53" t="n"/>
      <c r="AE120" s="53" t="n"/>
      <c r="AF120" s="53" t="n"/>
      <c r="AG120" s="53" t="n"/>
      <c r="AH120" s="53" t="n"/>
      <c r="AI120" s="53" t="n"/>
      <c r="AJ120" s="53" t="n"/>
      <c r="AK120" s="53" t="n"/>
      <c r="AL120" s="53" t="n"/>
      <c r="AM120" s="53" t="n"/>
      <c r="AN120" s="53" t="n"/>
      <c r="AO120" s="53" t="n"/>
      <c r="AP120" s="53" t="n"/>
      <c r="AQ120" s="53" t="n"/>
      <c r="AR120" s="53" t="n"/>
      <c r="AS120" s="53" t="n"/>
      <c r="AT120" s="53" t="n"/>
      <c r="AU120" s="53" t="n"/>
      <c r="AV120" s="53" t="n"/>
      <c r="AW120" s="53" t="n"/>
      <c r="AX120" s="53" t="n"/>
      <c r="AY120" s="53" t="n"/>
    </row>
    <row r="121" ht="15" customHeight="1">
      <c r="A121" s="40">
        <f>IF($D$121="","",38)</f>
        <v/>
      </c>
      <c r="B121" s="10" t="n"/>
      <c r="C121" s="41" t="inlineStr">
        <is>
          <t>마케팅2팀</t>
        </is>
      </c>
      <c r="D121" s="42" t="n"/>
      <c r="E121" s="43" t="inlineStr">
        <is>
          <t>기획</t>
        </is>
      </c>
      <c r="F121" s="44" t="n"/>
      <c r="G121" s="45" t="n"/>
      <c r="H121" s="46">
        <f>IF($I$121="","",IF($I$121&lt;0,"🔴지연",IF($I$121&lt;=1,"🟡임박","🟢여유")))</f>
        <v/>
      </c>
      <c r="I121" s="47">
        <f>IF(OR($G$121="",$K$121=""),"",$G$121-$K$121)</f>
        <v/>
      </c>
      <c r="J121" s="48">
        <f>IF(SUM($L$121:$L$123)=0,"",SUM($L$121:$L$123))</f>
        <v/>
      </c>
      <c r="K121" s="49">
        <f>IF($J$121="","",MAX($N$121:$N$123))</f>
        <v/>
      </c>
      <c r="L121" s="50">
        <f>IF(SUM(U121:AY121)=0,"",SUM(U121:AY121))</f>
        <v/>
      </c>
      <c r="M121" s="51">
        <f>IFERROR(INDEX(U$2:AY$2,MATCH(TRUE,INDEX(U121:AY121&lt;&gt;"",0),0)),"")</f>
        <v/>
      </c>
      <c r="N121" s="51">
        <f>IFERROR(LOOKUP(2,1/(U121:AY121&lt;&gt;""),U$2:AY$2),"")</f>
        <v/>
      </c>
      <c r="O121" s="52" t="n"/>
      <c r="P121" s="52" t="n"/>
      <c r="Q121" s="52" t="n"/>
      <c r="R121" s="44" t="n"/>
      <c r="S121" s="14" t="n"/>
      <c r="U121" s="53" t="n"/>
      <c r="V121" s="53" t="n"/>
      <c r="W121" s="53" t="n"/>
      <c r="X121" s="53" t="n"/>
      <c r="Y121" s="53" t="n"/>
      <c r="Z121" s="53" t="n"/>
      <c r="AA121" s="53" t="n"/>
      <c r="AB121" s="53" t="n"/>
      <c r="AC121" s="53" t="n"/>
      <c r="AD121" s="53" t="n"/>
      <c r="AE121" s="53" t="n"/>
      <c r="AF121" s="53" t="n"/>
      <c r="AG121" s="53" t="n"/>
      <c r="AH121" s="53" t="n"/>
      <c r="AI121" s="53" t="n"/>
      <c r="AJ121" s="53" t="n"/>
      <c r="AK121" s="53" t="n"/>
      <c r="AL121" s="53" t="n"/>
      <c r="AM121" s="53" t="n"/>
      <c r="AN121" s="53" t="n"/>
      <c r="AO121" s="53" t="n"/>
      <c r="AP121" s="53" t="n"/>
      <c r="AQ121" s="53" t="n"/>
      <c r="AR121" s="53" t="n"/>
      <c r="AS121" s="53" t="n"/>
      <c r="AT121" s="53" t="n"/>
      <c r="AU121" s="53" t="n"/>
      <c r="AV121" s="53" t="n"/>
      <c r="AW121" s="53" t="n"/>
      <c r="AX121" s="53" t="n"/>
      <c r="AY121" s="53" t="n"/>
    </row>
    <row r="122" ht="15" customHeight="1">
      <c r="A122" s="54" t="n"/>
      <c r="B122" s="55">
        <f>IF($B$121="","",$B$121)</f>
        <v/>
      </c>
      <c r="C122" s="56" t="inlineStr">
        <is>
          <t>마케팅2팀</t>
        </is>
      </c>
      <c r="D122" s="55">
        <f>IF($D$121="","",$D$121)</f>
        <v/>
      </c>
      <c r="E122" s="57" t="inlineStr">
        <is>
          <t>이미지</t>
        </is>
      </c>
      <c r="F122" s="44" t="n"/>
      <c r="G122" s="58">
        <f>IF($G$121="","",$G$121)</f>
        <v/>
      </c>
      <c r="H122" s="59" t="n"/>
      <c r="I122" s="59" t="n"/>
      <c r="J122" s="59" t="n"/>
      <c r="K122" s="59" t="n"/>
      <c r="L122" s="60">
        <f>IF(SUM(U122:AY122)=0,"",SUM(U122:AY122))</f>
        <v/>
      </c>
      <c r="M122" s="61">
        <f>IFERROR(INDEX(U$2:AY$2,MATCH(TRUE,INDEX(U122:AY122&lt;&gt;"",0),0)),"")</f>
        <v/>
      </c>
      <c r="N122" s="61">
        <f>IFERROR(LOOKUP(2,1/(U122:AY122&lt;&gt;""),U$2:AY$2),"")</f>
        <v/>
      </c>
      <c r="O122" s="59" t="n"/>
      <c r="P122" s="59" t="n"/>
      <c r="Q122" s="59" t="n"/>
      <c r="R122" s="59" t="n"/>
      <c r="S122" s="14" t="n"/>
      <c r="U122" s="53" t="n"/>
      <c r="V122" s="53" t="n"/>
      <c r="W122" s="53" t="n"/>
      <c r="X122" s="53" t="n"/>
      <c r="Y122" s="53" t="n"/>
      <c r="Z122" s="53" t="n"/>
      <c r="AA122" s="53" t="n"/>
      <c r="AB122" s="53" t="n"/>
      <c r="AC122" s="53" t="n"/>
      <c r="AD122" s="53" t="n"/>
      <c r="AE122" s="53" t="n"/>
      <c r="AF122" s="53" t="n"/>
      <c r="AG122" s="53" t="n"/>
      <c r="AH122" s="53" t="n"/>
      <c r="AI122" s="53" t="n"/>
      <c r="AJ122" s="53" t="n"/>
      <c r="AK122" s="53" t="n"/>
      <c r="AL122" s="53" t="n"/>
      <c r="AM122" s="53" t="n"/>
      <c r="AN122" s="53" t="n"/>
      <c r="AO122" s="53" t="n"/>
      <c r="AP122" s="53" t="n"/>
      <c r="AQ122" s="53" t="n"/>
      <c r="AR122" s="53" t="n"/>
      <c r="AS122" s="53" t="n"/>
      <c r="AT122" s="53" t="n"/>
      <c r="AU122" s="53" t="n"/>
      <c r="AV122" s="53" t="n"/>
      <c r="AW122" s="53" t="n"/>
      <c r="AX122" s="53" t="n"/>
      <c r="AY122" s="53" t="n"/>
    </row>
    <row r="123" ht="15" customHeight="1">
      <c r="A123" s="62" t="n"/>
      <c r="B123" s="55">
        <f>IF($B$121="","",$B$121)</f>
        <v/>
      </c>
      <c r="C123" s="63" t="inlineStr">
        <is>
          <t>마케팅2팀</t>
        </is>
      </c>
      <c r="D123" s="55">
        <f>IF($D$121="","",$D$121)</f>
        <v/>
      </c>
      <c r="E123" s="64" t="inlineStr">
        <is>
          <t>영상</t>
        </is>
      </c>
      <c r="F123" s="44" t="n"/>
      <c r="G123" s="58">
        <f>IF($G$121="","",$G$121)</f>
        <v/>
      </c>
      <c r="H123" s="59" t="n"/>
      <c r="I123" s="59" t="n"/>
      <c r="J123" s="59" t="n"/>
      <c r="K123" s="59" t="n"/>
      <c r="L123" s="65">
        <f>IF(SUM(U123:AY123)=0,"",SUM(U123:AY123))</f>
        <v/>
      </c>
      <c r="M123" s="66">
        <f>IFERROR(INDEX(U$2:AY$2,MATCH(TRUE,INDEX(U123:AY123&lt;&gt;"",0),0)),"")</f>
        <v/>
      </c>
      <c r="N123" s="66">
        <f>IFERROR(LOOKUP(2,1/(U123:AY123&lt;&gt;""),U$2:AY$2),"")</f>
        <v/>
      </c>
      <c r="O123" s="59" t="n"/>
      <c r="P123" s="59" t="n"/>
      <c r="Q123" s="59" t="n"/>
      <c r="R123" s="59" t="n"/>
      <c r="S123" s="14" t="n"/>
      <c r="U123" s="53" t="n"/>
      <c r="V123" s="53" t="n"/>
      <c r="W123" s="53" t="n"/>
      <c r="X123" s="53" t="n"/>
      <c r="Y123" s="53" t="n"/>
      <c r="Z123" s="53" t="n"/>
      <c r="AA123" s="53" t="n"/>
      <c r="AB123" s="53" t="n"/>
      <c r="AC123" s="53" t="n"/>
      <c r="AD123" s="53" t="n"/>
      <c r="AE123" s="53" t="n"/>
      <c r="AF123" s="53" t="n"/>
      <c r="AG123" s="53" t="n"/>
      <c r="AH123" s="53" t="n"/>
      <c r="AI123" s="53" t="n"/>
      <c r="AJ123" s="53" t="n"/>
      <c r="AK123" s="53" t="n"/>
      <c r="AL123" s="53" t="n"/>
      <c r="AM123" s="53" t="n"/>
      <c r="AN123" s="53" t="n"/>
      <c r="AO123" s="53" t="n"/>
      <c r="AP123" s="53" t="n"/>
      <c r="AQ123" s="53" t="n"/>
      <c r="AR123" s="53" t="n"/>
      <c r="AS123" s="53" t="n"/>
      <c r="AT123" s="53" t="n"/>
      <c r="AU123" s="53" t="n"/>
      <c r="AV123" s="53" t="n"/>
      <c r="AW123" s="53" t="n"/>
      <c r="AX123" s="53" t="n"/>
      <c r="AY123" s="53" t="n"/>
    </row>
    <row r="124" ht="15" customHeight="1">
      <c r="A124" s="40">
        <f>IF($D$124="","",39)</f>
        <v/>
      </c>
      <c r="B124" s="10" t="n"/>
      <c r="C124" s="41" t="inlineStr">
        <is>
          <t>마케팅2팀</t>
        </is>
      </c>
      <c r="D124" s="42" t="n"/>
      <c r="E124" s="43" t="inlineStr">
        <is>
          <t>기획</t>
        </is>
      </c>
      <c r="F124" s="44" t="n"/>
      <c r="G124" s="45" t="n"/>
      <c r="H124" s="46">
        <f>IF($I$124="","",IF($I$124&lt;0,"🔴지연",IF($I$124&lt;=1,"🟡임박","🟢여유")))</f>
        <v/>
      </c>
      <c r="I124" s="47">
        <f>IF(OR($G$124="",$K$124=""),"",$G$124-$K$124)</f>
        <v/>
      </c>
      <c r="J124" s="48">
        <f>IF(SUM($L$124:$L$126)=0,"",SUM($L$124:$L$126))</f>
        <v/>
      </c>
      <c r="K124" s="49">
        <f>IF($J$124="","",MAX($N$124:$N$126))</f>
        <v/>
      </c>
      <c r="L124" s="50">
        <f>IF(SUM(U124:AY124)=0,"",SUM(U124:AY124))</f>
        <v/>
      </c>
      <c r="M124" s="51">
        <f>IFERROR(INDEX(U$2:AY$2,MATCH(TRUE,INDEX(U124:AY124&lt;&gt;"",0),0)),"")</f>
        <v/>
      </c>
      <c r="N124" s="51">
        <f>IFERROR(LOOKUP(2,1/(U124:AY124&lt;&gt;""),U$2:AY$2),"")</f>
        <v/>
      </c>
      <c r="O124" s="52" t="n"/>
      <c r="P124" s="52" t="n"/>
      <c r="Q124" s="52" t="n"/>
      <c r="R124" s="44" t="n"/>
      <c r="S124" s="14" t="n"/>
      <c r="U124" s="53" t="n"/>
      <c r="V124" s="53" t="n"/>
      <c r="W124" s="53" t="n"/>
      <c r="X124" s="53" t="n"/>
      <c r="Y124" s="53" t="n"/>
      <c r="Z124" s="53" t="n"/>
      <c r="AA124" s="53" t="n"/>
      <c r="AB124" s="53" t="n"/>
      <c r="AC124" s="53" t="n"/>
      <c r="AD124" s="53" t="n"/>
      <c r="AE124" s="53" t="n"/>
      <c r="AF124" s="53" t="n"/>
      <c r="AG124" s="53" t="n"/>
      <c r="AH124" s="53" t="n"/>
      <c r="AI124" s="53" t="n"/>
      <c r="AJ124" s="53" t="n"/>
      <c r="AK124" s="53" t="n"/>
      <c r="AL124" s="53" t="n"/>
      <c r="AM124" s="53" t="n"/>
      <c r="AN124" s="53" t="n"/>
      <c r="AO124" s="53" t="n"/>
      <c r="AP124" s="53" t="n"/>
      <c r="AQ124" s="53" t="n"/>
      <c r="AR124" s="53" t="n"/>
      <c r="AS124" s="53" t="n"/>
      <c r="AT124" s="53" t="n"/>
      <c r="AU124" s="53" t="n"/>
      <c r="AV124" s="53" t="n"/>
      <c r="AW124" s="53" t="n"/>
      <c r="AX124" s="53" t="n"/>
      <c r="AY124" s="53" t="n"/>
    </row>
    <row r="125" ht="15" customHeight="1">
      <c r="A125" s="54" t="n"/>
      <c r="B125" s="55">
        <f>IF($B$124="","",$B$124)</f>
        <v/>
      </c>
      <c r="C125" s="56" t="inlineStr">
        <is>
          <t>마케팅2팀</t>
        </is>
      </c>
      <c r="D125" s="55">
        <f>IF($D$124="","",$D$124)</f>
        <v/>
      </c>
      <c r="E125" s="57" t="inlineStr">
        <is>
          <t>이미지</t>
        </is>
      </c>
      <c r="F125" s="44" t="n"/>
      <c r="G125" s="58">
        <f>IF($G$124="","",$G$124)</f>
        <v/>
      </c>
      <c r="H125" s="59" t="n"/>
      <c r="I125" s="59" t="n"/>
      <c r="J125" s="59" t="n"/>
      <c r="K125" s="59" t="n"/>
      <c r="L125" s="60">
        <f>IF(SUM(U125:AY125)=0,"",SUM(U125:AY125))</f>
        <v/>
      </c>
      <c r="M125" s="61">
        <f>IFERROR(INDEX(U$2:AY$2,MATCH(TRUE,INDEX(U125:AY125&lt;&gt;"",0),0)),"")</f>
        <v/>
      </c>
      <c r="N125" s="61">
        <f>IFERROR(LOOKUP(2,1/(U125:AY125&lt;&gt;""),U$2:AY$2),"")</f>
        <v/>
      </c>
      <c r="O125" s="59" t="n"/>
      <c r="P125" s="59" t="n"/>
      <c r="Q125" s="59" t="n"/>
      <c r="R125" s="59" t="n"/>
      <c r="S125" s="14" t="n"/>
      <c r="U125" s="53" t="n"/>
      <c r="V125" s="53" t="n"/>
      <c r="W125" s="53" t="n"/>
      <c r="X125" s="53" t="n"/>
      <c r="Y125" s="53" t="n"/>
      <c r="Z125" s="53" t="n"/>
      <c r="AA125" s="53" t="n"/>
      <c r="AB125" s="53" t="n"/>
      <c r="AC125" s="53" t="n"/>
      <c r="AD125" s="53" t="n"/>
      <c r="AE125" s="53" t="n"/>
      <c r="AF125" s="53" t="n"/>
      <c r="AG125" s="53" t="n"/>
      <c r="AH125" s="53" t="n"/>
      <c r="AI125" s="53" t="n"/>
      <c r="AJ125" s="53" t="n"/>
      <c r="AK125" s="53" t="n"/>
      <c r="AL125" s="53" t="n"/>
      <c r="AM125" s="53" t="n"/>
      <c r="AN125" s="53" t="n"/>
      <c r="AO125" s="53" t="n"/>
      <c r="AP125" s="53" t="n"/>
      <c r="AQ125" s="53" t="n"/>
      <c r="AR125" s="53" t="n"/>
      <c r="AS125" s="53" t="n"/>
      <c r="AT125" s="53" t="n"/>
      <c r="AU125" s="53" t="n"/>
      <c r="AV125" s="53" t="n"/>
      <c r="AW125" s="53" t="n"/>
      <c r="AX125" s="53" t="n"/>
      <c r="AY125" s="53" t="n"/>
    </row>
    <row r="126" ht="15" customHeight="1">
      <c r="A126" s="62" t="n"/>
      <c r="B126" s="55">
        <f>IF($B$124="","",$B$124)</f>
        <v/>
      </c>
      <c r="C126" s="63" t="inlineStr">
        <is>
          <t>마케팅2팀</t>
        </is>
      </c>
      <c r="D126" s="55">
        <f>IF($D$124="","",$D$124)</f>
        <v/>
      </c>
      <c r="E126" s="64" t="inlineStr">
        <is>
          <t>영상</t>
        </is>
      </c>
      <c r="F126" s="44" t="n"/>
      <c r="G126" s="58">
        <f>IF($G$124="","",$G$124)</f>
        <v/>
      </c>
      <c r="H126" s="59" t="n"/>
      <c r="I126" s="59" t="n"/>
      <c r="J126" s="59" t="n"/>
      <c r="K126" s="59" t="n"/>
      <c r="L126" s="65">
        <f>IF(SUM(U126:AY126)=0,"",SUM(U126:AY126))</f>
        <v/>
      </c>
      <c r="M126" s="66">
        <f>IFERROR(INDEX(U$2:AY$2,MATCH(TRUE,INDEX(U126:AY126&lt;&gt;"",0),0)),"")</f>
        <v/>
      </c>
      <c r="N126" s="66">
        <f>IFERROR(LOOKUP(2,1/(U126:AY126&lt;&gt;""),U$2:AY$2),"")</f>
        <v/>
      </c>
      <c r="O126" s="59" t="n"/>
      <c r="P126" s="59" t="n"/>
      <c r="Q126" s="59" t="n"/>
      <c r="R126" s="59" t="n"/>
      <c r="S126" s="14" t="n"/>
      <c r="U126" s="53" t="n"/>
      <c r="V126" s="53" t="n"/>
      <c r="W126" s="53" t="n"/>
      <c r="X126" s="53" t="n"/>
      <c r="Y126" s="53" t="n"/>
      <c r="Z126" s="53" t="n"/>
      <c r="AA126" s="53" t="n"/>
      <c r="AB126" s="53" t="n"/>
      <c r="AC126" s="53" t="n"/>
      <c r="AD126" s="53" t="n"/>
      <c r="AE126" s="53" t="n"/>
      <c r="AF126" s="53" t="n"/>
      <c r="AG126" s="53" t="n"/>
      <c r="AH126" s="53" t="n"/>
      <c r="AI126" s="53" t="n"/>
      <c r="AJ126" s="53" t="n"/>
      <c r="AK126" s="53" t="n"/>
      <c r="AL126" s="53" t="n"/>
      <c r="AM126" s="53" t="n"/>
      <c r="AN126" s="53" t="n"/>
      <c r="AO126" s="53" t="n"/>
      <c r="AP126" s="53" t="n"/>
      <c r="AQ126" s="53" t="n"/>
      <c r="AR126" s="53" t="n"/>
      <c r="AS126" s="53" t="n"/>
      <c r="AT126" s="53" t="n"/>
      <c r="AU126" s="53" t="n"/>
      <c r="AV126" s="53" t="n"/>
      <c r="AW126" s="53" t="n"/>
      <c r="AX126" s="53" t="n"/>
      <c r="AY126" s="53" t="n"/>
    </row>
    <row r="127" ht="15" customHeight="1">
      <c r="A127" s="40">
        <f>IF($D$127="","",40)</f>
        <v/>
      </c>
      <c r="B127" s="10" t="n"/>
      <c r="C127" s="41" t="inlineStr">
        <is>
          <t>마케팅2팀</t>
        </is>
      </c>
      <c r="D127" s="42" t="n"/>
      <c r="E127" s="43" t="inlineStr">
        <is>
          <t>기획</t>
        </is>
      </c>
      <c r="F127" s="44" t="n"/>
      <c r="G127" s="45" t="n"/>
      <c r="H127" s="46">
        <f>IF($I$127="","",IF($I$127&lt;0,"🔴지연",IF($I$127&lt;=1,"🟡임박","🟢여유")))</f>
        <v/>
      </c>
      <c r="I127" s="47">
        <f>IF(OR($G$127="",$K$127=""),"",$G$127-$K$127)</f>
        <v/>
      </c>
      <c r="J127" s="48">
        <f>IF(SUM($L$127:$L$129)=0,"",SUM($L$127:$L$129))</f>
        <v/>
      </c>
      <c r="K127" s="49">
        <f>IF($J$127="","",MAX($N$127:$N$129))</f>
        <v/>
      </c>
      <c r="L127" s="50">
        <f>IF(SUM(U127:AY127)=0,"",SUM(U127:AY127))</f>
        <v/>
      </c>
      <c r="M127" s="51">
        <f>IFERROR(INDEX(U$2:AY$2,MATCH(TRUE,INDEX(U127:AY127&lt;&gt;"",0),0)),"")</f>
        <v/>
      </c>
      <c r="N127" s="51">
        <f>IFERROR(LOOKUP(2,1/(U127:AY127&lt;&gt;""),U$2:AY$2),"")</f>
        <v/>
      </c>
      <c r="O127" s="52" t="n"/>
      <c r="P127" s="52" t="n"/>
      <c r="Q127" s="52" t="n"/>
      <c r="R127" s="44" t="n"/>
      <c r="S127" s="14" t="n"/>
      <c r="U127" s="53" t="n"/>
      <c r="V127" s="53" t="n"/>
      <c r="W127" s="53" t="n"/>
      <c r="X127" s="53" t="n"/>
      <c r="Y127" s="53" t="n"/>
      <c r="Z127" s="53" t="n"/>
      <c r="AA127" s="53" t="n"/>
      <c r="AB127" s="53" t="n"/>
      <c r="AC127" s="53" t="n"/>
      <c r="AD127" s="53" t="n"/>
      <c r="AE127" s="53" t="n"/>
      <c r="AF127" s="53" t="n"/>
      <c r="AG127" s="53" t="n"/>
      <c r="AH127" s="53" t="n"/>
      <c r="AI127" s="53" t="n"/>
      <c r="AJ127" s="53" t="n"/>
      <c r="AK127" s="53" t="n"/>
      <c r="AL127" s="53" t="n"/>
      <c r="AM127" s="53" t="n"/>
      <c r="AN127" s="53" t="n"/>
      <c r="AO127" s="53" t="n"/>
      <c r="AP127" s="53" t="n"/>
      <c r="AQ127" s="53" t="n"/>
      <c r="AR127" s="53" t="n"/>
      <c r="AS127" s="53" t="n"/>
      <c r="AT127" s="53" t="n"/>
      <c r="AU127" s="53" t="n"/>
      <c r="AV127" s="53" t="n"/>
      <c r="AW127" s="53" t="n"/>
      <c r="AX127" s="53" t="n"/>
      <c r="AY127" s="53" t="n"/>
    </row>
    <row r="128" ht="15" customHeight="1">
      <c r="A128" s="54" t="n"/>
      <c r="B128" s="55">
        <f>IF($B$127="","",$B$127)</f>
        <v/>
      </c>
      <c r="C128" s="56" t="inlineStr">
        <is>
          <t>마케팅2팀</t>
        </is>
      </c>
      <c r="D128" s="55">
        <f>IF($D$127="","",$D$127)</f>
        <v/>
      </c>
      <c r="E128" s="57" t="inlineStr">
        <is>
          <t>이미지</t>
        </is>
      </c>
      <c r="F128" s="44" t="n"/>
      <c r="G128" s="58">
        <f>IF($G$127="","",$G$127)</f>
        <v/>
      </c>
      <c r="H128" s="59" t="n"/>
      <c r="I128" s="59" t="n"/>
      <c r="J128" s="59" t="n"/>
      <c r="K128" s="59" t="n"/>
      <c r="L128" s="60">
        <f>IF(SUM(U128:AY128)=0,"",SUM(U128:AY128))</f>
        <v/>
      </c>
      <c r="M128" s="61">
        <f>IFERROR(INDEX(U$2:AY$2,MATCH(TRUE,INDEX(U128:AY128&lt;&gt;"",0),0)),"")</f>
        <v/>
      </c>
      <c r="N128" s="61">
        <f>IFERROR(LOOKUP(2,1/(U128:AY128&lt;&gt;""),U$2:AY$2),"")</f>
        <v/>
      </c>
      <c r="O128" s="59" t="n"/>
      <c r="P128" s="59" t="n"/>
      <c r="Q128" s="59" t="n"/>
      <c r="R128" s="59" t="n"/>
      <c r="S128" s="14" t="n"/>
      <c r="U128" s="53" t="n"/>
      <c r="V128" s="53" t="n"/>
      <c r="W128" s="53" t="n"/>
      <c r="X128" s="53" t="n"/>
      <c r="Y128" s="53" t="n"/>
      <c r="Z128" s="53" t="n"/>
      <c r="AA128" s="53" t="n"/>
      <c r="AB128" s="53" t="n"/>
      <c r="AC128" s="53" t="n"/>
      <c r="AD128" s="53" t="n"/>
      <c r="AE128" s="53" t="n"/>
      <c r="AF128" s="53" t="n"/>
      <c r="AG128" s="53" t="n"/>
      <c r="AH128" s="53" t="n"/>
      <c r="AI128" s="53" t="n"/>
      <c r="AJ128" s="53" t="n"/>
      <c r="AK128" s="53" t="n"/>
      <c r="AL128" s="53" t="n"/>
      <c r="AM128" s="53" t="n"/>
      <c r="AN128" s="53" t="n"/>
      <c r="AO128" s="53" t="n"/>
      <c r="AP128" s="53" t="n"/>
      <c r="AQ128" s="53" t="n"/>
      <c r="AR128" s="53" t="n"/>
      <c r="AS128" s="53" t="n"/>
      <c r="AT128" s="53" t="n"/>
      <c r="AU128" s="53" t="n"/>
      <c r="AV128" s="53" t="n"/>
      <c r="AW128" s="53" t="n"/>
      <c r="AX128" s="53" t="n"/>
      <c r="AY128" s="53" t="n"/>
    </row>
    <row r="129" ht="15" customHeight="1">
      <c r="A129" s="62" t="n"/>
      <c r="B129" s="55">
        <f>IF($B$127="","",$B$127)</f>
        <v/>
      </c>
      <c r="C129" s="63" t="inlineStr">
        <is>
          <t>마케팅2팀</t>
        </is>
      </c>
      <c r="D129" s="55">
        <f>IF($D$127="","",$D$127)</f>
        <v/>
      </c>
      <c r="E129" s="64" t="inlineStr">
        <is>
          <t>영상</t>
        </is>
      </c>
      <c r="F129" s="44" t="n"/>
      <c r="G129" s="58">
        <f>IF($G$127="","",$G$127)</f>
        <v/>
      </c>
      <c r="H129" s="59" t="n"/>
      <c r="I129" s="59" t="n"/>
      <c r="J129" s="59" t="n"/>
      <c r="K129" s="59" t="n"/>
      <c r="L129" s="65">
        <f>IF(SUM(U129:AY129)=0,"",SUM(U129:AY129))</f>
        <v/>
      </c>
      <c r="M129" s="66">
        <f>IFERROR(INDEX(U$2:AY$2,MATCH(TRUE,INDEX(U129:AY129&lt;&gt;"",0),0)),"")</f>
        <v/>
      </c>
      <c r="N129" s="66">
        <f>IFERROR(LOOKUP(2,1/(U129:AY129&lt;&gt;""),U$2:AY$2),"")</f>
        <v/>
      </c>
      <c r="O129" s="59" t="n"/>
      <c r="P129" s="59" t="n"/>
      <c r="Q129" s="59" t="n"/>
      <c r="R129" s="59" t="n"/>
      <c r="S129" s="14" t="n"/>
      <c r="U129" s="53" t="n"/>
      <c r="V129" s="53" t="n"/>
      <c r="W129" s="53" t="n"/>
      <c r="X129" s="53" t="n"/>
      <c r="Y129" s="53" t="n"/>
      <c r="Z129" s="53" t="n"/>
      <c r="AA129" s="53" t="n"/>
      <c r="AB129" s="53" t="n"/>
      <c r="AC129" s="53" t="n"/>
      <c r="AD129" s="53" t="n"/>
      <c r="AE129" s="53" t="n"/>
      <c r="AF129" s="53" t="n"/>
      <c r="AG129" s="53" t="n"/>
      <c r="AH129" s="53" t="n"/>
      <c r="AI129" s="53" t="n"/>
      <c r="AJ129" s="53" t="n"/>
      <c r="AK129" s="53" t="n"/>
      <c r="AL129" s="53" t="n"/>
      <c r="AM129" s="53" t="n"/>
      <c r="AN129" s="53" t="n"/>
      <c r="AO129" s="53" t="n"/>
      <c r="AP129" s="53" t="n"/>
      <c r="AQ129" s="53" t="n"/>
      <c r="AR129" s="53" t="n"/>
      <c r="AS129" s="53" t="n"/>
      <c r="AT129" s="53" t="n"/>
      <c r="AU129" s="53" t="n"/>
      <c r="AV129" s="53" t="n"/>
      <c r="AW129" s="53" t="n"/>
      <c r="AX129" s="53" t="n"/>
      <c r="AY129" s="53" t="n"/>
    </row>
    <row r="130" ht="18" customHeight="1">
      <c r="A130" s="39" t="inlineStr">
        <is>
          <t>마케팅3팀   (131~190행 · 소재 20개)</t>
        </is>
      </c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  <c r="AN130" s="8" t="n"/>
      <c r="AO130" s="8" t="n"/>
      <c r="AP130" s="8" t="n"/>
      <c r="AQ130" s="8" t="n"/>
      <c r="AR130" s="8" t="n"/>
      <c r="AS130" s="8" t="n"/>
      <c r="AT130" s="8" t="n"/>
      <c r="AU130" s="8" t="n"/>
      <c r="AV130" s="8" t="n"/>
      <c r="AW130" s="8" t="n"/>
      <c r="AX130" s="8" t="n"/>
      <c r="AY130" s="4" t="n"/>
    </row>
    <row r="131" ht="15" customHeight="1">
      <c r="A131" s="40">
        <f>IF($D$131="","",41)</f>
        <v/>
      </c>
      <c r="B131" s="10" t="n"/>
      <c r="C131" s="41" t="inlineStr">
        <is>
          <t>마케팅3팀</t>
        </is>
      </c>
      <c r="D131" s="42" t="n"/>
      <c r="E131" s="43" t="inlineStr">
        <is>
          <t>기획</t>
        </is>
      </c>
      <c r="F131" s="44" t="n"/>
      <c r="G131" s="45" t="n"/>
      <c r="H131" s="46">
        <f>IF($I$131="","",IF($I$131&lt;0,"🔴지연",IF($I$131&lt;=1,"🟡임박","🟢여유")))</f>
        <v/>
      </c>
      <c r="I131" s="47">
        <f>IF(OR($G$131="",$K$131=""),"",$G$131-$K$131)</f>
        <v/>
      </c>
      <c r="J131" s="48">
        <f>IF(SUM($L$131:$L$133)=0,"",SUM($L$131:$L$133))</f>
        <v/>
      </c>
      <c r="K131" s="49">
        <f>IF($J$131="","",MAX($N$131:$N$133))</f>
        <v/>
      </c>
      <c r="L131" s="50">
        <f>IF(SUM(U131:AY131)=0,"",SUM(U131:AY131))</f>
        <v/>
      </c>
      <c r="M131" s="51">
        <f>IFERROR(INDEX(U$2:AY$2,MATCH(TRUE,INDEX(U131:AY131&lt;&gt;"",0),0)),"")</f>
        <v/>
      </c>
      <c r="N131" s="51">
        <f>IFERROR(LOOKUP(2,1/(U131:AY131&lt;&gt;""),U$2:AY$2),"")</f>
        <v/>
      </c>
      <c r="O131" s="52" t="n"/>
      <c r="P131" s="52" t="n"/>
      <c r="Q131" s="52" t="n"/>
      <c r="R131" s="44" t="n"/>
      <c r="S131" s="14" t="n"/>
      <c r="U131" s="53" t="n"/>
      <c r="V131" s="53" t="n"/>
      <c r="W131" s="53" t="n"/>
      <c r="X131" s="53" t="n"/>
      <c r="Y131" s="53" t="n"/>
      <c r="Z131" s="53" t="n"/>
      <c r="AA131" s="53" t="n"/>
      <c r="AB131" s="53" t="n"/>
      <c r="AC131" s="53" t="n"/>
      <c r="AD131" s="53" t="n"/>
      <c r="AE131" s="53" t="n"/>
      <c r="AF131" s="53" t="n"/>
      <c r="AG131" s="53" t="n"/>
      <c r="AH131" s="53" t="n"/>
      <c r="AI131" s="53" t="n"/>
      <c r="AJ131" s="53" t="n"/>
      <c r="AK131" s="53" t="n"/>
      <c r="AL131" s="53" t="n"/>
      <c r="AM131" s="53" t="n"/>
      <c r="AN131" s="53" t="n"/>
      <c r="AO131" s="53" t="n"/>
      <c r="AP131" s="53" t="n"/>
      <c r="AQ131" s="53" t="n"/>
      <c r="AR131" s="53" t="n"/>
      <c r="AS131" s="53" t="n"/>
      <c r="AT131" s="53" t="n"/>
      <c r="AU131" s="53" t="n"/>
      <c r="AV131" s="53" t="n"/>
      <c r="AW131" s="53" t="n"/>
      <c r="AX131" s="53" t="n"/>
      <c r="AY131" s="53" t="n"/>
    </row>
    <row r="132" ht="15" customHeight="1">
      <c r="A132" s="54" t="n"/>
      <c r="B132" s="55">
        <f>IF($B$131="","",$B$131)</f>
        <v/>
      </c>
      <c r="C132" s="56" t="inlineStr">
        <is>
          <t>마케팅3팀</t>
        </is>
      </c>
      <c r="D132" s="55">
        <f>IF($D$131="","",$D$131)</f>
        <v/>
      </c>
      <c r="E132" s="57" t="inlineStr">
        <is>
          <t>이미지</t>
        </is>
      </c>
      <c r="F132" s="44" t="n"/>
      <c r="G132" s="58">
        <f>IF($G$131="","",$G$131)</f>
        <v/>
      </c>
      <c r="H132" s="59" t="n"/>
      <c r="I132" s="59" t="n"/>
      <c r="J132" s="59" t="n"/>
      <c r="K132" s="59" t="n"/>
      <c r="L132" s="60">
        <f>IF(SUM(U132:AY132)=0,"",SUM(U132:AY132))</f>
        <v/>
      </c>
      <c r="M132" s="61">
        <f>IFERROR(INDEX(U$2:AY$2,MATCH(TRUE,INDEX(U132:AY132&lt;&gt;"",0),0)),"")</f>
        <v/>
      </c>
      <c r="N132" s="61">
        <f>IFERROR(LOOKUP(2,1/(U132:AY132&lt;&gt;""),U$2:AY$2),"")</f>
        <v/>
      </c>
      <c r="O132" s="59" t="n"/>
      <c r="P132" s="59" t="n"/>
      <c r="Q132" s="59" t="n"/>
      <c r="R132" s="59" t="n"/>
      <c r="S132" s="14" t="n"/>
      <c r="U132" s="53" t="n"/>
      <c r="V132" s="53" t="n"/>
      <c r="W132" s="53" t="n"/>
      <c r="X132" s="53" t="n"/>
      <c r="Y132" s="53" t="n"/>
      <c r="Z132" s="53" t="n"/>
      <c r="AA132" s="53" t="n"/>
      <c r="AB132" s="53" t="n"/>
      <c r="AC132" s="53" t="n"/>
      <c r="AD132" s="53" t="n"/>
      <c r="AE132" s="53" t="n"/>
      <c r="AF132" s="53" t="n"/>
      <c r="AG132" s="53" t="n"/>
      <c r="AH132" s="53" t="n"/>
      <c r="AI132" s="53" t="n"/>
      <c r="AJ132" s="53" t="n"/>
      <c r="AK132" s="53" t="n"/>
      <c r="AL132" s="53" t="n"/>
      <c r="AM132" s="53" t="n"/>
      <c r="AN132" s="53" t="n"/>
      <c r="AO132" s="53" t="n"/>
      <c r="AP132" s="53" t="n"/>
      <c r="AQ132" s="53" t="n"/>
      <c r="AR132" s="53" t="n"/>
      <c r="AS132" s="53" t="n"/>
      <c r="AT132" s="53" t="n"/>
      <c r="AU132" s="53" t="n"/>
      <c r="AV132" s="53" t="n"/>
      <c r="AW132" s="53" t="n"/>
      <c r="AX132" s="53" t="n"/>
      <c r="AY132" s="53" t="n"/>
    </row>
    <row r="133" ht="15" customHeight="1">
      <c r="A133" s="62" t="n"/>
      <c r="B133" s="55">
        <f>IF($B$131="","",$B$131)</f>
        <v/>
      </c>
      <c r="C133" s="63" t="inlineStr">
        <is>
          <t>마케팅3팀</t>
        </is>
      </c>
      <c r="D133" s="55">
        <f>IF($D$131="","",$D$131)</f>
        <v/>
      </c>
      <c r="E133" s="64" t="inlineStr">
        <is>
          <t>영상</t>
        </is>
      </c>
      <c r="F133" s="44" t="n"/>
      <c r="G133" s="58">
        <f>IF($G$131="","",$G$131)</f>
        <v/>
      </c>
      <c r="H133" s="59" t="n"/>
      <c r="I133" s="59" t="n"/>
      <c r="J133" s="59" t="n"/>
      <c r="K133" s="59" t="n"/>
      <c r="L133" s="65">
        <f>IF(SUM(U133:AY133)=0,"",SUM(U133:AY133))</f>
        <v/>
      </c>
      <c r="M133" s="66">
        <f>IFERROR(INDEX(U$2:AY$2,MATCH(TRUE,INDEX(U133:AY133&lt;&gt;"",0),0)),"")</f>
        <v/>
      </c>
      <c r="N133" s="66">
        <f>IFERROR(LOOKUP(2,1/(U133:AY133&lt;&gt;""),U$2:AY$2),"")</f>
        <v/>
      </c>
      <c r="O133" s="59" t="n"/>
      <c r="P133" s="59" t="n"/>
      <c r="Q133" s="59" t="n"/>
      <c r="R133" s="59" t="n"/>
      <c r="S133" s="14" t="n"/>
      <c r="U133" s="53" t="n"/>
      <c r="V133" s="53" t="n"/>
      <c r="W133" s="53" t="n"/>
      <c r="X133" s="53" t="n"/>
      <c r="Y133" s="53" t="n"/>
      <c r="Z133" s="53" t="n"/>
      <c r="AA133" s="53" t="n"/>
      <c r="AB133" s="53" t="n"/>
      <c r="AC133" s="53" t="n"/>
      <c r="AD133" s="53" t="n"/>
      <c r="AE133" s="53" t="n"/>
      <c r="AF133" s="53" t="n"/>
      <c r="AG133" s="53" t="n"/>
      <c r="AH133" s="53" t="n"/>
      <c r="AI133" s="53" t="n"/>
      <c r="AJ133" s="53" t="n"/>
      <c r="AK133" s="53" t="n"/>
      <c r="AL133" s="53" t="n"/>
      <c r="AM133" s="53" t="n"/>
      <c r="AN133" s="53" t="n"/>
      <c r="AO133" s="53" t="n"/>
      <c r="AP133" s="53" t="n"/>
      <c r="AQ133" s="53" t="n"/>
      <c r="AR133" s="53" t="n"/>
      <c r="AS133" s="53" t="n"/>
      <c r="AT133" s="53" t="n"/>
      <c r="AU133" s="53" t="n"/>
      <c r="AV133" s="53" t="n"/>
      <c r="AW133" s="53" t="n"/>
      <c r="AX133" s="53" t="n"/>
      <c r="AY133" s="53" t="n"/>
    </row>
    <row r="134" ht="15" customHeight="1">
      <c r="A134" s="40">
        <f>IF($D$134="","",42)</f>
        <v/>
      </c>
      <c r="B134" s="10" t="n"/>
      <c r="C134" s="41" t="inlineStr">
        <is>
          <t>마케팅3팀</t>
        </is>
      </c>
      <c r="D134" s="42" t="n"/>
      <c r="E134" s="43" t="inlineStr">
        <is>
          <t>기획</t>
        </is>
      </c>
      <c r="F134" s="44" t="n"/>
      <c r="G134" s="45" t="n"/>
      <c r="H134" s="46">
        <f>IF($I$134="","",IF($I$134&lt;0,"🔴지연",IF($I$134&lt;=1,"🟡임박","🟢여유")))</f>
        <v/>
      </c>
      <c r="I134" s="47">
        <f>IF(OR($G$134="",$K$134=""),"",$G$134-$K$134)</f>
        <v/>
      </c>
      <c r="J134" s="48">
        <f>IF(SUM($L$134:$L$136)=0,"",SUM($L$134:$L$136))</f>
        <v/>
      </c>
      <c r="K134" s="49">
        <f>IF($J$134="","",MAX($N$134:$N$136))</f>
        <v/>
      </c>
      <c r="L134" s="50">
        <f>IF(SUM(U134:AY134)=0,"",SUM(U134:AY134))</f>
        <v/>
      </c>
      <c r="M134" s="51">
        <f>IFERROR(INDEX(U$2:AY$2,MATCH(TRUE,INDEX(U134:AY134&lt;&gt;"",0),0)),"")</f>
        <v/>
      </c>
      <c r="N134" s="51">
        <f>IFERROR(LOOKUP(2,1/(U134:AY134&lt;&gt;""),U$2:AY$2),"")</f>
        <v/>
      </c>
      <c r="O134" s="52" t="n"/>
      <c r="P134" s="52" t="n"/>
      <c r="Q134" s="52" t="n"/>
      <c r="R134" s="44" t="n"/>
      <c r="S134" s="14" t="n"/>
      <c r="U134" s="53" t="n"/>
      <c r="V134" s="53" t="n"/>
      <c r="W134" s="53" t="n"/>
      <c r="X134" s="53" t="n"/>
      <c r="Y134" s="53" t="n"/>
      <c r="Z134" s="53" t="n"/>
      <c r="AA134" s="53" t="n"/>
      <c r="AB134" s="53" t="n"/>
      <c r="AC134" s="53" t="n"/>
      <c r="AD134" s="53" t="n"/>
      <c r="AE134" s="53" t="n"/>
      <c r="AF134" s="53" t="n"/>
      <c r="AG134" s="53" t="n"/>
      <c r="AH134" s="53" t="n"/>
      <c r="AI134" s="53" t="n"/>
      <c r="AJ134" s="53" t="n"/>
      <c r="AK134" s="53" t="n"/>
      <c r="AL134" s="53" t="n"/>
      <c r="AM134" s="53" t="n"/>
      <c r="AN134" s="53" t="n"/>
      <c r="AO134" s="53" t="n"/>
      <c r="AP134" s="53" t="n"/>
      <c r="AQ134" s="53" t="n"/>
      <c r="AR134" s="53" t="n"/>
      <c r="AS134" s="53" t="n"/>
      <c r="AT134" s="53" t="n"/>
      <c r="AU134" s="53" t="n"/>
      <c r="AV134" s="53" t="n"/>
      <c r="AW134" s="53" t="n"/>
      <c r="AX134" s="53" t="n"/>
      <c r="AY134" s="53" t="n"/>
    </row>
    <row r="135" ht="15" customHeight="1">
      <c r="A135" s="54" t="n"/>
      <c r="B135" s="55">
        <f>IF($B$134="","",$B$134)</f>
        <v/>
      </c>
      <c r="C135" s="56" t="inlineStr">
        <is>
          <t>마케팅3팀</t>
        </is>
      </c>
      <c r="D135" s="55">
        <f>IF($D$134="","",$D$134)</f>
        <v/>
      </c>
      <c r="E135" s="57" t="inlineStr">
        <is>
          <t>이미지</t>
        </is>
      </c>
      <c r="F135" s="44" t="n"/>
      <c r="G135" s="58">
        <f>IF($G$134="","",$G$134)</f>
        <v/>
      </c>
      <c r="H135" s="59" t="n"/>
      <c r="I135" s="59" t="n"/>
      <c r="J135" s="59" t="n"/>
      <c r="K135" s="59" t="n"/>
      <c r="L135" s="60">
        <f>IF(SUM(U135:AY135)=0,"",SUM(U135:AY135))</f>
        <v/>
      </c>
      <c r="M135" s="61">
        <f>IFERROR(INDEX(U$2:AY$2,MATCH(TRUE,INDEX(U135:AY135&lt;&gt;"",0),0)),"")</f>
        <v/>
      </c>
      <c r="N135" s="61">
        <f>IFERROR(LOOKUP(2,1/(U135:AY135&lt;&gt;""),U$2:AY$2),"")</f>
        <v/>
      </c>
      <c r="O135" s="59" t="n"/>
      <c r="P135" s="59" t="n"/>
      <c r="Q135" s="59" t="n"/>
      <c r="R135" s="59" t="n"/>
      <c r="S135" s="14" t="n"/>
      <c r="U135" s="53" t="n"/>
      <c r="V135" s="53" t="n"/>
      <c r="W135" s="53" t="n"/>
      <c r="X135" s="53" t="n"/>
      <c r="Y135" s="53" t="n"/>
      <c r="Z135" s="53" t="n"/>
      <c r="AA135" s="53" t="n"/>
      <c r="AB135" s="53" t="n"/>
      <c r="AC135" s="53" t="n"/>
      <c r="AD135" s="53" t="n"/>
      <c r="AE135" s="53" t="n"/>
      <c r="AF135" s="53" t="n"/>
      <c r="AG135" s="53" t="n"/>
      <c r="AH135" s="53" t="n"/>
      <c r="AI135" s="53" t="n"/>
      <c r="AJ135" s="53" t="n"/>
      <c r="AK135" s="53" t="n"/>
      <c r="AL135" s="53" t="n"/>
      <c r="AM135" s="53" t="n"/>
      <c r="AN135" s="53" t="n"/>
      <c r="AO135" s="53" t="n"/>
      <c r="AP135" s="53" t="n"/>
      <c r="AQ135" s="53" t="n"/>
      <c r="AR135" s="53" t="n"/>
      <c r="AS135" s="53" t="n"/>
      <c r="AT135" s="53" t="n"/>
      <c r="AU135" s="53" t="n"/>
      <c r="AV135" s="53" t="n"/>
      <c r="AW135" s="53" t="n"/>
      <c r="AX135" s="53" t="n"/>
      <c r="AY135" s="53" t="n"/>
    </row>
    <row r="136" ht="15" customHeight="1">
      <c r="A136" s="62" t="n"/>
      <c r="B136" s="55">
        <f>IF($B$134="","",$B$134)</f>
        <v/>
      </c>
      <c r="C136" s="63" t="inlineStr">
        <is>
          <t>마케팅3팀</t>
        </is>
      </c>
      <c r="D136" s="55">
        <f>IF($D$134="","",$D$134)</f>
        <v/>
      </c>
      <c r="E136" s="64" t="inlineStr">
        <is>
          <t>영상</t>
        </is>
      </c>
      <c r="F136" s="44" t="n"/>
      <c r="G136" s="58">
        <f>IF($G$134="","",$G$134)</f>
        <v/>
      </c>
      <c r="H136" s="59" t="n"/>
      <c r="I136" s="59" t="n"/>
      <c r="J136" s="59" t="n"/>
      <c r="K136" s="59" t="n"/>
      <c r="L136" s="65">
        <f>IF(SUM(U136:AY136)=0,"",SUM(U136:AY136))</f>
        <v/>
      </c>
      <c r="M136" s="66">
        <f>IFERROR(INDEX(U$2:AY$2,MATCH(TRUE,INDEX(U136:AY136&lt;&gt;"",0),0)),"")</f>
        <v/>
      </c>
      <c r="N136" s="66">
        <f>IFERROR(LOOKUP(2,1/(U136:AY136&lt;&gt;""),U$2:AY$2),"")</f>
        <v/>
      </c>
      <c r="O136" s="59" t="n"/>
      <c r="P136" s="59" t="n"/>
      <c r="Q136" s="59" t="n"/>
      <c r="R136" s="59" t="n"/>
      <c r="S136" s="14" t="n"/>
      <c r="U136" s="53" t="n"/>
      <c r="V136" s="53" t="n"/>
      <c r="W136" s="53" t="n"/>
      <c r="X136" s="53" t="n"/>
      <c r="Y136" s="53" t="n"/>
      <c r="Z136" s="53" t="n"/>
      <c r="AA136" s="53" t="n"/>
      <c r="AB136" s="53" t="n"/>
      <c r="AC136" s="53" t="n"/>
      <c r="AD136" s="53" t="n"/>
      <c r="AE136" s="53" t="n"/>
      <c r="AF136" s="53" t="n"/>
      <c r="AG136" s="53" t="n"/>
      <c r="AH136" s="53" t="n"/>
      <c r="AI136" s="53" t="n"/>
      <c r="AJ136" s="53" t="n"/>
      <c r="AK136" s="53" t="n"/>
      <c r="AL136" s="53" t="n"/>
      <c r="AM136" s="53" t="n"/>
      <c r="AN136" s="53" t="n"/>
      <c r="AO136" s="53" t="n"/>
      <c r="AP136" s="53" t="n"/>
      <c r="AQ136" s="53" t="n"/>
      <c r="AR136" s="53" t="n"/>
      <c r="AS136" s="53" t="n"/>
      <c r="AT136" s="53" t="n"/>
      <c r="AU136" s="53" t="n"/>
      <c r="AV136" s="53" t="n"/>
      <c r="AW136" s="53" t="n"/>
      <c r="AX136" s="53" t="n"/>
      <c r="AY136" s="53" t="n"/>
    </row>
    <row r="137" ht="15" customHeight="1">
      <c r="A137" s="40">
        <f>IF($D$137="","",43)</f>
        <v/>
      </c>
      <c r="B137" s="10" t="n"/>
      <c r="C137" s="41" t="inlineStr">
        <is>
          <t>마케팅3팀</t>
        </is>
      </c>
      <c r="D137" s="42" t="n"/>
      <c r="E137" s="43" t="inlineStr">
        <is>
          <t>기획</t>
        </is>
      </c>
      <c r="F137" s="44" t="n"/>
      <c r="G137" s="45" t="n"/>
      <c r="H137" s="46">
        <f>IF($I$137="","",IF($I$137&lt;0,"🔴지연",IF($I$137&lt;=1,"🟡임박","🟢여유")))</f>
        <v/>
      </c>
      <c r="I137" s="47">
        <f>IF(OR($G$137="",$K$137=""),"",$G$137-$K$137)</f>
        <v/>
      </c>
      <c r="J137" s="48">
        <f>IF(SUM($L$137:$L$139)=0,"",SUM($L$137:$L$139))</f>
        <v/>
      </c>
      <c r="K137" s="49">
        <f>IF($J$137="","",MAX($N$137:$N$139))</f>
        <v/>
      </c>
      <c r="L137" s="50">
        <f>IF(SUM(U137:AY137)=0,"",SUM(U137:AY137))</f>
        <v/>
      </c>
      <c r="M137" s="51">
        <f>IFERROR(INDEX(U$2:AY$2,MATCH(TRUE,INDEX(U137:AY137&lt;&gt;"",0),0)),"")</f>
        <v/>
      </c>
      <c r="N137" s="51">
        <f>IFERROR(LOOKUP(2,1/(U137:AY137&lt;&gt;""),U$2:AY$2),"")</f>
        <v/>
      </c>
      <c r="O137" s="52" t="n"/>
      <c r="P137" s="52" t="n"/>
      <c r="Q137" s="52" t="n"/>
      <c r="R137" s="44" t="n"/>
      <c r="S137" s="14" t="n"/>
      <c r="U137" s="53" t="n"/>
      <c r="V137" s="53" t="n"/>
      <c r="W137" s="53" t="n"/>
      <c r="X137" s="53" t="n"/>
      <c r="Y137" s="53" t="n"/>
      <c r="Z137" s="53" t="n"/>
      <c r="AA137" s="53" t="n"/>
      <c r="AB137" s="53" t="n"/>
      <c r="AC137" s="53" t="n"/>
      <c r="AD137" s="53" t="n"/>
      <c r="AE137" s="53" t="n"/>
      <c r="AF137" s="53" t="n"/>
      <c r="AG137" s="53" t="n"/>
      <c r="AH137" s="53" t="n"/>
      <c r="AI137" s="53" t="n"/>
      <c r="AJ137" s="53" t="n"/>
      <c r="AK137" s="53" t="n"/>
      <c r="AL137" s="53" t="n"/>
      <c r="AM137" s="53" t="n"/>
      <c r="AN137" s="53" t="n"/>
      <c r="AO137" s="53" t="n"/>
      <c r="AP137" s="53" t="n"/>
      <c r="AQ137" s="53" t="n"/>
      <c r="AR137" s="53" t="n"/>
      <c r="AS137" s="53" t="n"/>
      <c r="AT137" s="53" t="n"/>
      <c r="AU137" s="53" t="n"/>
      <c r="AV137" s="53" t="n"/>
      <c r="AW137" s="53" t="n"/>
      <c r="AX137" s="53" t="n"/>
      <c r="AY137" s="53" t="n"/>
    </row>
    <row r="138" ht="15" customHeight="1">
      <c r="A138" s="54" t="n"/>
      <c r="B138" s="55">
        <f>IF($B$137="","",$B$137)</f>
        <v/>
      </c>
      <c r="C138" s="56" t="inlineStr">
        <is>
          <t>마케팅3팀</t>
        </is>
      </c>
      <c r="D138" s="55">
        <f>IF($D$137="","",$D$137)</f>
        <v/>
      </c>
      <c r="E138" s="57" t="inlineStr">
        <is>
          <t>이미지</t>
        </is>
      </c>
      <c r="F138" s="44" t="n"/>
      <c r="G138" s="58">
        <f>IF($G$137="","",$G$137)</f>
        <v/>
      </c>
      <c r="H138" s="59" t="n"/>
      <c r="I138" s="59" t="n"/>
      <c r="J138" s="59" t="n"/>
      <c r="K138" s="59" t="n"/>
      <c r="L138" s="60">
        <f>IF(SUM(U138:AY138)=0,"",SUM(U138:AY138))</f>
        <v/>
      </c>
      <c r="M138" s="61">
        <f>IFERROR(INDEX(U$2:AY$2,MATCH(TRUE,INDEX(U138:AY138&lt;&gt;"",0),0)),"")</f>
        <v/>
      </c>
      <c r="N138" s="61">
        <f>IFERROR(LOOKUP(2,1/(U138:AY138&lt;&gt;""),U$2:AY$2),"")</f>
        <v/>
      </c>
      <c r="O138" s="59" t="n"/>
      <c r="P138" s="59" t="n"/>
      <c r="Q138" s="59" t="n"/>
      <c r="R138" s="59" t="n"/>
      <c r="S138" s="14" t="n"/>
      <c r="U138" s="53" t="n"/>
      <c r="V138" s="53" t="n"/>
      <c r="W138" s="53" t="n"/>
      <c r="X138" s="53" t="n"/>
      <c r="Y138" s="53" t="n"/>
      <c r="Z138" s="53" t="n"/>
      <c r="AA138" s="53" t="n"/>
      <c r="AB138" s="53" t="n"/>
      <c r="AC138" s="53" t="n"/>
      <c r="AD138" s="53" t="n"/>
      <c r="AE138" s="53" t="n"/>
      <c r="AF138" s="53" t="n"/>
      <c r="AG138" s="53" t="n"/>
      <c r="AH138" s="53" t="n"/>
      <c r="AI138" s="53" t="n"/>
      <c r="AJ138" s="53" t="n"/>
      <c r="AK138" s="53" t="n"/>
      <c r="AL138" s="53" t="n"/>
      <c r="AM138" s="53" t="n"/>
      <c r="AN138" s="53" t="n"/>
      <c r="AO138" s="53" t="n"/>
      <c r="AP138" s="53" t="n"/>
      <c r="AQ138" s="53" t="n"/>
      <c r="AR138" s="53" t="n"/>
      <c r="AS138" s="53" t="n"/>
      <c r="AT138" s="53" t="n"/>
      <c r="AU138" s="53" t="n"/>
      <c r="AV138" s="53" t="n"/>
      <c r="AW138" s="53" t="n"/>
      <c r="AX138" s="53" t="n"/>
      <c r="AY138" s="53" t="n"/>
    </row>
    <row r="139" ht="15" customHeight="1">
      <c r="A139" s="62" t="n"/>
      <c r="B139" s="55">
        <f>IF($B$137="","",$B$137)</f>
        <v/>
      </c>
      <c r="C139" s="63" t="inlineStr">
        <is>
          <t>마케팅3팀</t>
        </is>
      </c>
      <c r="D139" s="55">
        <f>IF($D$137="","",$D$137)</f>
        <v/>
      </c>
      <c r="E139" s="64" t="inlineStr">
        <is>
          <t>영상</t>
        </is>
      </c>
      <c r="F139" s="44" t="n"/>
      <c r="G139" s="58">
        <f>IF($G$137="","",$G$137)</f>
        <v/>
      </c>
      <c r="H139" s="59" t="n"/>
      <c r="I139" s="59" t="n"/>
      <c r="J139" s="59" t="n"/>
      <c r="K139" s="59" t="n"/>
      <c r="L139" s="65">
        <f>IF(SUM(U139:AY139)=0,"",SUM(U139:AY139))</f>
        <v/>
      </c>
      <c r="M139" s="66">
        <f>IFERROR(INDEX(U$2:AY$2,MATCH(TRUE,INDEX(U139:AY139&lt;&gt;"",0),0)),"")</f>
        <v/>
      </c>
      <c r="N139" s="66">
        <f>IFERROR(LOOKUP(2,1/(U139:AY139&lt;&gt;""),U$2:AY$2),"")</f>
        <v/>
      </c>
      <c r="O139" s="59" t="n"/>
      <c r="P139" s="59" t="n"/>
      <c r="Q139" s="59" t="n"/>
      <c r="R139" s="59" t="n"/>
      <c r="S139" s="14" t="n"/>
      <c r="U139" s="53" t="n"/>
      <c r="V139" s="53" t="n"/>
      <c r="W139" s="53" t="n"/>
      <c r="X139" s="53" t="n"/>
      <c r="Y139" s="53" t="n"/>
      <c r="Z139" s="53" t="n"/>
      <c r="AA139" s="53" t="n"/>
      <c r="AB139" s="53" t="n"/>
      <c r="AC139" s="53" t="n"/>
      <c r="AD139" s="53" t="n"/>
      <c r="AE139" s="53" t="n"/>
      <c r="AF139" s="53" t="n"/>
      <c r="AG139" s="53" t="n"/>
      <c r="AH139" s="53" t="n"/>
      <c r="AI139" s="53" t="n"/>
      <c r="AJ139" s="53" t="n"/>
      <c r="AK139" s="53" t="n"/>
      <c r="AL139" s="53" t="n"/>
      <c r="AM139" s="53" t="n"/>
      <c r="AN139" s="53" t="n"/>
      <c r="AO139" s="53" t="n"/>
      <c r="AP139" s="53" t="n"/>
      <c r="AQ139" s="53" t="n"/>
      <c r="AR139" s="53" t="n"/>
      <c r="AS139" s="53" t="n"/>
      <c r="AT139" s="53" t="n"/>
      <c r="AU139" s="53" t="n"/>
      <c r="AV139" s="53" t="n"/>
      <c r="AW139" s="53" t="n"/>
      <c r="AX139" s="53" t="n"/>
      <c r="AY139" s="53" t="n"/>
    </row>
    <row r="140" ht="15" customHeight="1">
      <c r="A140" s="40">
        <f>IF($D$140="","",44)</f>
        <v/>
      </c>
      <c r="B140" s="10" t="n"/>
      <c r="C140" s="41" t="inlineStr">
        <is>
          <t>마케팅3팀</t>
        </is>
      </c>
      <c r="D140" s="42" t="n"/>
      <c r="E140" s="43" t="inlineStr">
        <is>
          <t>기획</t>
        </is>
      </c>
      <c r="F140" s="44" t="n"/>
      <c r="G140" s="45" t="n"/>
      <c r="H140" s="46">
        <f>IF($I$140="","",IF($I$140&lt;0,"🔴지연",IF($I$140&lt;=1,"🟡임박","🟢여유")))</f>
        <v/>
      </c>
      <c r="I140" s="47">
        <f>IF(OR($G$140="",$K$140=""),"",$G$140-$K$140)</f>
        <v/>
      </c>
      <c r="J140" s="48">
        <f>IF(SUM($L$140:$L$142)=0,"",SUM($L$140:$L$142))</f>
        <v/>
      </c>
      <c r="K140" s="49">
        <f>IF($J$140="","",MAX($N$140:$N$142))</f>
        <v/>
      </c>
      <c r="L140" s="50">
        <f>IF(SUM(U140:AY140)=0,"",SUM(U140:AY140))</f>
        <v/>
      </c>
      <c r="M140" s="51">
        <f>IFERROR(INDEX(U$2:AY$2,MATCH(TRUE,INDEX(U140:AY140&lt;&gt;"",0),0)),"")</f>
        <v/>
      </c>
      <c r="N140" s="51">
        <f>IFERROR(LOOKUP(2,1/(U140:AY140&lt;&gt;""),U$2:AY$2),"")</f>
        <v/>
      </c>
      <c r="O140" s="52" t="n"/>
      <c r="P140" s="52" t="n"/>
      <c r="Q140" s="52" t="n"/>
      <c r="R140" s="44" t="n"/>
      <c r="S140" s="14" t="n"/>
      <c r="U140" s="53" t="n"/>
      <c r="V140" s="53" t="n"/>
      <c r="W140" s="53" t="n"/>
      <c r="X140" s="53" t="n"/>
      <c r="Y140" s="53" t="n"/>
      <c r="Z140" s="53" t="n"/>
      <c r="AA140" s="53" t="n"/>
      <c r="AB140" s="53" t="n"/>
      <c r="AC140" s="53" t="n"/>
      <c r="AD140" s="53" t="n"/>
      <c r="AE140" s="53" t="n"/>
      <c r="AF140" s="53" t="n"/>
      <c r="AG140" s="53" t="n"/>
      <c r="AH140" s="53" t="n"/>
      <c r="AI140" s="53" t="n"/>
      <c r="AJ140" s="53" t="n"/>
      <c r="AK140" s="53" t="n"/>
      <c r="AL140" s="53" t="n"/>
      <c r="AM140" s="53" t="n"/>
      <c r="AN140" s="53" t="n"/>
      <c r="AO140" s="53" t="n"/>
      <c r="AP140" s="53" t="n"/>
      <c r="AQ140" s="53" t="n"/>
      <c r="AR140" s="53" t="n"/>
      <c r="AS140" s="53" t="n"/>
      <c r="AT140" s="53" t="n"/>
      <c r="AU140" s="53" t="n"/>
      <c r="AV140" s="53" t="n"/>
      <c r="AW140" s="53" t="n"/>
      <c r="AX140" s="53" t="n"/>
      <c r="AY140" s="53" t="n"/>
    </row>
    <row r="141" ht="15" customHeight="1">
      <c r="A141" s="54" t="n"/>
      <c r="B141" s="55">
        <f>IF($B$140="","",$B$140)</f>
        <v/>
      </c>
      <c r="C141" s="56" t="inlineStr">
        <is>
          <t>마케팅3팀</t>
        </is>
      </c>
      <c r="D141" s="55">
        <f>IF($D$140="","",$D$140)</f>
        <v/>
      </c>
      <c r="E141" s="57" t="inlineStr">
        <is>
          <t>이미지</t>
        </is>
      </c>
      <c r="F141" s="44" t="n"/>
      <c r="G141" s="58">
        <f>IF($G$140="","",$G$140)</f>
        <v/>
      </c>
      <c r="H141" s="59" t="n"/>
      <c r="I141" s="59" t="n"/>
      <c r="J141" s="59" t="n"/>
      <c r="K141" s="59" t="n"/>
      <c r="L141" s="60">
        <f>IF(SUM(U141:AY141)=0,"",SUM(U141:AY141))</f>
        <v/>
      </c>
      <c r="M141" s="61">
        <f>IFERROR(INDEX(U$2:AY$2,MATCH(TRUE,INDEX(U141:AY141&lt;&gt;"",0),0)),"")</f>
        <v/>
      </c>
      <c r="N141" s="61">
        <f>IFERROR(LOOKUP(2,1/(U141:AY141&lt;&gt;""),U$2:AY$2),"")</f>
        <v/>
      </c>
      <c r="O141" s="59" t="n"/>
      <c r="P141" s="59" t="n"/>
      <c r="Q141" s="59" t="n"/>
      <c r="R141" s="59" t="n"/>
      <c r="S141" s="14" t="n"/>
      <c r="U141" s="53" t="n"/>
      <c r="V141" s="53" t="n"/>
      <c r="W141" s="53" t="n"/>
      <c r="X141" s="53" t="n"/>
      <c r="Y141" s="53" t="n"/>
      <c r="Z141" s="53" t="n"/>
      <c r="AA141" s="53" t="n"/>
      <c r="AB141" s="53" t="n"/>
      <c r="AC141" s="53" t="n"/>
      <c r="AD141" s="53" t="n"/>
      <c r="AE141" s="53" t="n"/>
      <c r="AF141" s="53" t="n"/>
      <c r="AG141" s="53" t="n"/>
      <c r="AH141" s="53" t="n"/>
      <c r="AI141" s="53" t="n"/>
      <c r="AJ141" s="53" t="n"/>
      <c r="AK141" s="53" t="n"/>
      <c r="AL141" s="53" t="n"/>
      <c r="AM141" s="53" t="n"/>
      <c r="AN141" s="53" t="n"/>
      <c r="AO141" s="53" t="n"/>
      <c r="AP141" s="53" t="n"/>
      <c r="AQ141" s="53" t="n"/>
      <c r="AR141" s="53" t="n"/>
      <c r="AS141" s="53" t="n"/>
      <c r="AT141" s="53" t="n"/>
      <c r="AU141" s="53" t="n"/>
      <c r="AV141" s="53" t="n"/>
      <c r="AW141" s="53" t="n"/>
      <c r="AX141" s="53" t="n"/>
      <c r="AY141" s="53" t="n"/>
    </row>
    <row r="142" ht="15" customHeight="1">
      <c r="A142" s="62" t="n"/>
      <c r="B142" s="55">
        <f>IF($B$140="","",$B$140)</f>
        <v/>
      </c>
      <c r="C142" s="63" t="inlineStr">
        <is>
          <t>마케팅3팀</t>
        </is>
      </c>
      <c r="D142" s="55">
        <f>IF($D$140="","",$D$140)</f>
        <v/>
      </c>
      <c r="E142" s="64" t="inlineStr">
        <is>
          <t>영상</t>
        </is>
      </c>
      <c r="F142" s="44" t="n"/>
      <c r="G142" s="58">
        <f>IF($G$140="","",$G$140)</f>
        <v/>
      </c>
      <c r="H142" s="59" t="n"/>
      <c r="I142" s="59" t="n"/>
      <c r="J142" s="59" t="n"/>
      <c r="K142" s="59" t="n"/>
      <c r="L142" s="65">
        <f>IF(SUM(U142:AY142)=0,"",SUM(U142:AY142))</f>
        <v/>
      </c>
      <c r="M142" s="66">
        <f>IFERROR(INDEX(U$2:AY$2,MATCH(TRUE,INDEX(U142:AY142&lt;&gt;"",0),0)),"")</f>
        <v/>
      </c>
      <c r="N142" s="66">
        <f>IFERROR(LOOKUP(2,1/(U142:AY142&lt;&gt;""),U$2:AY$2),"")</f>
        <v/>
      </c>
      <c r="O142" s="59" t="n"/>
      <c r="P142" s="59" t="n"/>
      <c r="Q142" s="59" t="n"/>
      <c r="R142" s="59" t="n"/>
      <c r="S142" s="14" t="n"/>
      <c r="U142" s="53" t="n"/>
      <c r="V142" s="53" t="n"/>
      <c r="W142" s="53" t="n"/>
      <c r="X142" s="53" t="n"/>
      <c r="Y142" s="53" t="n"/>
      <c r="Z142" s="53" t="n"/>
      <c r="AA142" s="53" t="n"/>
      <c r="AB142" s="53" t="n"/>
      <c r="AC142" s="53" t="n"/>
      <c r="AD142" s="53" t="n"/>
      <c r="AE142" s="53" t="n"/>
      <c r="AF142" s="53" t="n"/>
      <c r="AG142" s="53" t="n"/>
      <c r="AH142" s="53" t="n"/>
      <c r="AI142" s="53" t="n"/>
      <c r="AJ142" s="53" t="n"/>
      <c r="AK142" s="53" t="n"/>
      <c r="AL142" s="53" t="n"/>
      <c r="AM142" s="53" t="n"/>
      <c r="AN142" s="53" t="n"/>
      <c r="AO142" s="53" t="n"/>
      <c r="AP142" s="53" t="n"/>
      <c r="AQ142" s="53" t="n"/>
      <c r="AR142" s="53" t="n"/>
      <c r="AS142" s="53" t="n"/>
      <c r="AT142" s="53" t="n"/>
      <c r="AU142" s="53" t="n"/>
      <c r="AV142" s="53" t="n"/>
      <c r="AW142" s="53" t="n"/>
      <c r="AX142" s="53" t="n"/>
      <c r="AY142" s="53" t="n"/>
    </row>
    <row r="143" ht="15" customHeight="1">
      <c r="A143" s="40">
        <f>IF($D$143="","",45)</f>
        <v/>
      </c>
      <c r="B143" s="10" t="n"/>
      <c r="C143" s="41" t="inlineStr">
        <is>
          <t>마케팅3팀</t>
        </is>
      </c>
      <c r="D143" s="42" t="n"/>
      <c r="E143" s="43" t="inlineStr">
        <is>
          <t>기획</t>
        </is>
      </c>
      <c r="F143" s="44" t="n"/>
      <c r="G143" s="45" t="n"/>
      <c r="H143" s="46">
        <f>IF($I$143="","",IF($I$143&lt;0,"🔴지연",IF($I$143&lt;=1,"🟡임박","🟢여유")))</f>
        <v/>
      </c>
      <c r="I143" s="47">
        <f>IF(OR($G$143="",$K$143=""),"",$G$143-$K$143)</f>
        <v/>
      </c>
      <c r="J143" s="48">
        <f>IF(SUM($L$143:$L$145)=0,"",SUM($L$143:$L$145))</f>
        <v/>
      </c>
      <c r="K143" s="49">
        <f>IF($J$143="","",MAX($N$143:$N$145))</f>
        <v/>
      </c>
      <c r="L143" s="50">
        <f>IF(SUM(U143:AY143)=0,"",SUM(U143:AY143))</f>
        <v/>
      </c>
      <c r="M143" s="51">
        <f>IFERROR(INDEX(U$2:AY$2,MATCH(TRUE,INDEX(U143:AY143&lt;&gt;"",0),0)),"")</f>
        <v/>
      </c>
      <c r="N143" s="51">
        <f>IFERROR(LOOKUP(2,1/(U143:AY143&lt;&gt;""),U$2:AY$2),"")</f>
        <v/>
      </c>
      <c r="O143" s="52" t="n"/>
      <c r="P143" s="52" t="n"/>
      <c r="Q143" s="52" t="n"/>
      <c r="R143" s="44" t="n"/>
      <c r="S143" s="14" t="n"/>
      <c r="U143" s="53" t="n"/>
      <c r="V143" s="53" t="n"/>
      <c r="W143" s="53" t="n"/>
      <c r="X143" s="53" t="n"/>
      <c r="Y143" s="53" t="n"/>
      <c r="Z143" s="53" t="n"/>
      <c r="AA143" s="53" t="n"/>
      <c r="AB143" s="53" t="n"/>
      <c r="AC143" s="53" t="n"/>
      <c r="AD143" s="53" t="n"/>
      <c r="AE143" s="53" t="n"/>
      <c r="AF143" s="53" t="n"/>
      <c r="AG143" s="53" t="n"/>
      <c r="AH143" s="53" t="n"/>
      <c r="AI143" s="53" t="n"/>
      <c r="AJ143" s="53" t="n"/>
      <c r="AK143" s="53" t="n"/>
      <c r="AL143" s="53" t="n"/>
      <c r="AM143" s="53" t="n"/>
      <c r="AN143" s="53" t="n"/>
      <c r="AO143" s="53" t="n"/>
      <c r="AP143" s="53" t="n"/>
      <c r="AQ143" s="53" t="n"/>
      <c r="AR143" s="53" t="n"/>
      <c r="AS143" s="53" t="n"/>
      <c r="AT143" s="53" t="n"/>
      <c r="AU143" s="53" t="n"/>
      <c r="AV143" s="53" t="n"/>
      <c r="AW143" s="53" t="n"/>
      <c r="AX143" s="53" t="n"/>
      <c r="AY143" s="53" t="n"/>
    </row>
    <row r="144" ht="15" customHeight="1">
      <c r="A144" s="54" t="n"/>
      <c r="B144" s="55">
        <f>IF($B$143="","",$B$143)</f>
        <v/>
      </c>
      <c r="C144" s="56" t="inlineStr">
        <is>
          <t>마케팅3팀</t>
        </is>
      </c>
      <c r="D144" s="55">
        <f>IF($D$143="","",$D$143)</f>
        <v/>
      </c>
      <c r="E144" s="57" t="inlineStr">
        <is>
          <t>이미지</t>
        </is>
      </c>
      <c r="F144" s="44" t="n"/>
      <c r="G144" s="58">
        <f>IF($G$143="","",$G$143)</f>
        <v/>
      </c>
      <c r="H144" s="59" t="n"/>
      <c r="I144" s="59" t="n"/>
      <c r="J144" s="59" t="n"/>
      <c r="K144" s="59" t="n"/>
      <c r="L144" s="60">
        <f>IF(SUM(U144:AY144)=0,"",SUM(U144:AY144))</f>
        <v/>
      </c>
      <c r="M144" s="61">
        <f>IFERROR(INDEX(U$2:AY$2,MATCH(TRUE,INDEX(U144:AY144&lt;&gt;"",0),0)),"")</f>
        <v/>
      </c>
      <c r="N144" s="61">
        <f>IFERROR(LOOKUP(2,1/(U144:AY144&lt;&gt;""),U$2:AY$2),"")</f>
        <v/>
      </c>
      <c r="O144" s="59" t="n"/>
      <c r="P144" s="59" t="n"/>
      <c r="Q144" s="59" t="n"/>
      <c r="R144" s="59" t="n"/>
      <c r="S144" s="14" t="n"/>
      <c r="U144" s="53" t="n"/>
      <c r="V144" s="53" t="n"/>
      <c r="W144" s="53" t="n"/>
      <c r="X144" s="53" t="n"/>
      <c r="Y144" s="53" t="n"/>
      <c r="Z144" s="53" t="n"/>
      <c r="AA144" s="53" t="n"/>
      <c r="AB144" s="53" t="n"/>
      <c r="AC144" s="53" t="n"/>
      <c r="AD144" s="53" t="n"/>
      <c r="AE144" s="53" t="n"/>
      <c r="AF144" s="53" t="n"/>
      <c r="AG144" s="53" t="n"/>
      <c r="AH144" s="53" t="n"/>
      <c r="AI144" s="53" t="n"/>
      <c r="AJ144" s="53" t="n"/>
      <c r="AK144" s="53" t="n"/>
      <c r="AL144" s="53" t="n"/>
      <c r="AM144" s="53" t="n"/>
      <c r="AN144" s="53" t="n"/>
      <c r="AO144" s="53" t="n"/>
      <c r="AP144" s="53" t="n"/>
      <c r="AQ144" s="53" t="n"/>
      <c r="AR144" s="53" t="n"/>
      <c r="AS144" s="53" t="n"/>
      <c r="AT144" s="53" t="n"/>
      <c r="AU144" s="53" t="n"/>
      <c r="AV144" s="53" t="n"/>
      <c r="AW144" s="53" t="n"/>
      <c r="AX144" s="53" t="n"/>
      <c r="AY144" s="53" t="n"/>
    </row>
    <row r="145" ht="15" customHeight="1">
      <c r="A145" s="62" t="n"/>
      <c r="B145" s="55">
        <f>IF($B$143="","",$B$143)</f>
        <v/>
      </c>
      <c r="C145" s="63" t="inlineStr">
        <is>
          <t>마케팅3팀</t>
        </is>
      </c>
      <c r="D145" s="55">
        <f>IF($D$143="","",$D$143)</f>
        <v/>
      </c>
      <c r="E145" s="64" t="inlineStr">
        <is>
          <t>영상</t>
        </is>
      </c>
      <c r="F145" s="44" t="n"/>
      <c r="G145" s="58">
        <f>IF($G$143="","",$G$143)</f>
        <v/>
      </c>
      <c r="H145" s="59" t="n"/>
      <c r="I145" s="59" t="n"/>
      <c r="J145" s="59" t="n"/>
      <c r="K145" s="59" t="n"/>
      <c r="L145" s="65">
        <f>IF(SUM(U145:AY145)=0,"",SUM(U145:AY145))</f>
        <v/>
      </c>
      <c r="M145" s="66">
        <f>IFERROR(INDEX(U$2:AY$2,MATCH(TRUE,INDEX(U145:AY145&lt;&gt;"",0),0)),"")</f>
        <v/>
      </c>
      <c r="N145" s="66">
        <f>IFERROR(LOOKUP(2,1/(U145:AY145&lt;&gt;""),U$2:AY$2),"")</f>
        <v/>
      </c>
      <c r="O145" s="59" t="n"/>
      <c r="P145" s="59" t="n"/>
      <c r="Q145" s="59" t="n"/>
      <c r="R145" s="59" t="n"/>
      <c r="S145" s="14" t="n"/>
      <c r="U145" s="53" t="n"/>
      <c r="V145" s="53" t="n"/>
      <c r="W145" s="53" t="n"/>
      <c r="X145" s="53" t="n"/>
      <c r="Y145" s="53" t="n"/>
      <c r="Z145" s="53" t="n"/>
      <c r="AA145" s="53" t="n"/>
      <c r="AB145" s="53" t="n"/>
      <c r="AC145" s="53" t="n"/>
      <c r="AD145" s="53" t="n"/>
      <c r="AE145" s="53" t="n"/>
      <c r="AF145" s="53" t="n"/>
      <c r="AG145" s="53" t="n"/>
      <c r="AH145" s="53" t="n"/>
      <c r="AI145" s="53" t="n"/>
      <c r="AJ145" s="53" t="n"/>
      <c r="AK145" s="53" t="n"/>
      <c r="AL145" s="53" t="n"/>
      <c r="AM145" s="53" t="n"/>
      <c r="AN145" s="53" t="n"/>
      <c r="AO145" s="53" t="n"/>
      <c r="AP145" s="53" t="n"/>
      <c r="AQ145" s="53" t="n"/>
      <c r="AR145" s="53" t="n"/>
      <c r="AS145" s="53" t="n"/>
      <c r="AT145" s="53" t="n"/>
      <c r="AU145" s="53" t="n"/>
      <c r="AV145" s="53" t="n"/>
      <c r="AW145" s="53" t="n"/>
      <c r="AX145" s="53" t="n"/>
      <c r="AY145" s="53" t="n"/>
    </row>
    <row r="146" ht="15" customHeight="1">
      <c r="A146" s="40">
        <f>IF($D$146="","",46)</f>
        <v/>
      </c>
      <c r="B146" s="10" t="n"/>
      <c r="C146" s="41" t="inlineStr">
        <is>
          <t>마케팅3팀</t>
        </is>
      </c>
      <c r="D146" s="42" t="n"/>
      <c r="E146" s="43" t="inlineStr">
        <is>
          <t>기획</t>
        </is>
      </c>
      <c r="F146" s="44" t="n"/>
      <c r="G146" s="45" t="n"/>
      <c r="H146" s="46">
        <f>IF($I$146="","",IF($I$146&lt;0,"🔴지연",IF($I$146&lt;=1,"🟡임박","🟢여유")))</f>
        <v/>
      </c>
      <c r="I146" s="47">
        <f>IF(OR($G$146="",$K$146=""),"",$G$146-$K$146)</f>
        <v/>
      </c>
      <c r="J146" s="48">
        <f>IF(SUM($L$146:$L$148)=0,"",SUM($L$146:$L$148))</f>
        <v/>
      </c>
      <c r="K146" s="49">
        <f>IF($J$146="","",MAX($N$146:$N$148))</f>
        <v/>
      </c>
      <c r="L146" s="50">
        <f>IF(SUM(U146:AY146)=0,"",SUM(U146:AY146))</f>
        <v/>
      </c>
      <c r="M146" s="51">
        <f>IFERROR(INDEX(U$2:AY$2,MATCH(TRUE,INDEX(U146:AY146&lt;&gt;"",0),0)),"")</f>
        <v/>
      </c>
      <c r="N146" s="51">
        <f>IFERROR(LOOKUP(2,1/(U146:AY146&lt;&gt;""),U$2:AY$2),"")</f>
        <v/>
      </c>
      <c r="O146" s="52" t="n"/>
      <c r="P146" s="52" t="n"/>
      <c r="Q146" s="52" t="n"/>
      <c r="R146" s="44" t="n"/>
      <c r="S146" s="14" t="n"/>
      <c r="U146" s="53" t="n"/>
      <c r="V146" s="53" t="n"/>
      <c r="W146" s="53" t="n"/>
      <c r="X146" s="53" t="n"/>
      <c r="Y146" s="53" t="n"/>
      <c r="Z146" s="53" t="n"/>
      <c r="AA146" s="53" t="n"/>
      <c r="AB146" s="53" t="n"/>
      <c r="AC146" s="53" t="n"/>
      <c r="AD146" s="53" t="n"/>
      <c r="AE146" s="53" t="n"/>
      <c r="AF146" s="53" t="n"/>
      <c r="AG146" s="53" t="n"/>
      <c r="AH146" s="53" t="n"/>
      <c r="AI146" s="53" t="n"/>
      <c r="AJ146" s="53" t="n"/>
      <c r="AK146" s="53" t="n"/>
      <c r="AL146" s="53" t="n"/>
      <c r="AM146" s="53" t="n"/>
      <c r="AN146" s="53" t="n"/>
      <c r="AO146" s="53" t="n"/>
      <c r="AP146" s="53" t="n"/>
      <c r="AQ146" s="53" t="n"/>
      <c r="AR146" s="53" t="n"/>
      <c r="AS146" s="53" t="n"/>
      <c r="AT146" s="53" t="n"/>
      <c r="AU146" s="53" t="n"/>
      <c r="AV146" s="53" t="n"/>
      <c r="AW146" s="53" t="n"/>
      <c r="AX146" s="53" t="n"/>
      <c r="AY146" s="53" t="n"/>
    </row>
    <row r="147" ht="15" customHeight="1">
      <c r="A147" s="54" t="n"/>
      <c r="B147" s="55">
        <f>IF($B$146="","",$B$146)</f>
        <v/>
      </c>
      <c r="C147" s="56" t="inlineStr">
        <is>
          <t>마케팅3팀</t>
        </is>
      </c>
      <c r="D147" s="55">
        <f>IF($D$146="","",$D$146)</f>
        <v/>
      </c>
      <c r="E147" s="57" t="inlineStr">
        <is>
          <t>이미지</t>
        </is>
      </c>
      <c r="F147" s="44" t="n"/>
      <c r="G147" s="58">
        <f>IF($G$146="","",$G$146)</f>
        <v/>
      </c>
      <c r="H147" s="59" t="n"/>
      <c r="I147" s="59" t="n"/>
      <c r="J147" s="59" t="n"/>
      <c r="K147" s="59" t="n"/>
      <c r="L147" s="60">
        <f>IF(SUM(U147:AY147)=0,"",SUM(U147:AY147))</f>
        <v/>
      </c>
      <c r="M147" s="61">
        <f>IFERROR(INDEX(U$2:AY$2,MATCH(TRUE,INDEX(U147:AY147&lt;&gt;"",0),0)),"")</f>
        <v/>
      </c>
      <c r="N147" s="61">
        <f>IFERROR(LOOKUP(2,1/(U147:AY147&lt;&gt;""),U$2:AY$2),"")</f>
        <v/>
      </c>
      <c r="O147" s="59" t="n"/>
      <c r="P147" s="59" t="n"/>
      <c r="Q147" s="59" t="n"/>
      <c r="R147" s="59" t="n"/>
      <c r="S147" s="14" t="n"/>
      <c r="U147" s="53" t="n"/>
      <c r="V147" s="53" t="n"/>
      <c r="W147" s="53" t="n"/>
      <c r="X147" s="53" t="n"/>
      <c r="Y147" s="53" t="n"/>
      <c r="Z147" s="53" t="n"/>
      <c r="AA147" s="53" t="n"/>
      <c r="AB147" s="53" t="n"/>
      <c r="AC147" s="53" t="n"/>
      <c r="AD147" s="53" t="n"/>
      <c r="AE147" s="53" t="n"/>
      <c r="AF147" s="53" t="n"/>
      <c r="AG147" s="53" t="n"/>
      <c r="AH147" s="53" t="n"/>
      <c r="AI147" s="53" t="n"/>
      <c r="AJ147" s="53" t="n"/>
      <c r="AK147" s="53" t="n"/>
      <c r="AL147" s="53" t="n"/>
      <c r="AM147" s="53" t="n"/>
      <c r="AN147" s="53" t="n"/>
      <c r="AO147" s="53" t="n"/>
      <c r="AP147" s="53" t="n"/>
      <c r="AQ147" s="53" t="n"/>
      <c r="AR147" s="53" t="n"/>
      <c r="AS147" s="53" t="n"/>
      <c r="AT147" s="53" t="n"/>
      <c r="AU147" s="53" t="n"/>
      <c r="AV147" s="53" t="n"/>
      <c r="AW147" s="53" t="n"/>
      <c r="AX147" s="53" t="n"/>
      <c r="AY147" s="53" t="n"/>
    </row>
    <row r="148" ht="15" customHeight="1">
      <c r="A148" s="62" t="n"/>
      <c r="B148" s="55">
        <f>IF($B$146="","",$B$146)</f>
        <v/>
      </c>
      <c r="C148" s="63" t="inlineStr">
        <is>
          <t>마케팅3팀</t>
        </is>
      </c>
      <c r="D148" s="55">
        <f>IF($D$146="","",$D$146)</f>
        <v/>
      </c>
      <c r="E148" s="64" t="inlineStr">
        <is>
          <t>영상</t>
        </is>
      </c>
      <c r="F148" s="44" t="n"/>
      <c r="G148" s="58">
        <f>IF($G$146="","",$G$146)</f>
        <v/>
      </c>
      <c r="H148" s="59" t="n"/>
      <c r="I148" s="59" t="n"/>
      <c r="J148" s="59" t="n"/>
      <c r="K148" s="59" t="n"/>
      <c r="L148" s="65">
        <f>IF(SUM(U148:AY148)=0,"",SUM(U148:AY148))</f>
        <v/>
      </c>
      <c r="M148" s="66">
        <f>IFERROR(INDEX(U$2:AY$2,MATCH(TRUE,INDEX(U148:AY148&lt;&gt;"",0),0)),"")</f>
        <v/>
      </c>
      <c r="N148" s="66">
        <f>IFERROR(LOOKUP(2,1/(U148:AY148&lt;&gt;""),U$2:AY$2),"")</f>
        <v/>
      </c>
      <c r="O148" s="59" t="n"/>
      <c r="P148" s="59" t="n"/>
      <c r="Q148" s="59" t="n"/>
      <c r="R148" s="59" t="n"/>
      <c r="S148" s="14" t="n"/>
      <c r="U148" s="53" t="n"/>
      <c r="V148" s="53" t="n"/>
      <c r="W148" s="53" t="n"/>
      <c r="X148" s="53" t="n"/>
      <c r="Y148" s="53" t="n"/>
      <c r="Z148" s="53" t="n"/>
      <c r="AA148" s="53" t="n"/>
      <c r="AB148" s="53" t="n"/>
      <c r="AC148" s="53" t="n"/>
      <c r="AD148" s="53" t="n"/>
      <c r="AE148" s="53" t="n"/>
      <c r="AF148" s="53" t="n"/>
      <c r="AG148" s="53" t="n"/>
      <c r="AH148" s="53" t="n"/>
      <c r="AI148" s="53" t="n"/>
      <c r="AJ148" s="53" t="n"/>
      <c r="AK148" s="53" t="n"/>
      <c r="AL148" s="53" t="n"/>
      <c r="AM148" s="53" t="n"/>
      <c r="AN148" s="53" t="n"/>
      <c r="AO148" s="53" t="n"/>
      <c r="AP148" s="53" t="n"/>
      <c r="AQ148" s="53" t="n"/>
      <c r="AR148" s="53" t="n"/>
      <c r="AS148" s="53" t="n"/>
      <c r="AT148" s="53" t="n"/>
      <c r="AU148" s="53" t="n"/>
      <c r="AV148" s="53" t="n"/>
      <c r="AW148" s="53" t="n"/>
      <c r="AX148" s="53" t="n"/>
      <c r="AY148" s="53" t="n"/>
    </row>
    <row r="149" ht="15" customHeight="1">
      <c r="A149" s="40">
        <f>IF($D$149="","",47)</f>
        <v/>
      </c>
      <c r="B149" s="10" t="n"/>
      <c r="C149" s="41" t="inlineStr">
        <is>
          <t>마케팅3팀</t>
        </is>
      </c>
      <c r="D149" s="42" t="n"/>
      <c r="E149" s="43" t="inlineStr">
        <is>
          <t>기획</t>
        </is>
      </c>
      <c r="F149" s="44" t="n"/>
      <c r="G149" s="45" t="n"/>
      <c r="H149" s="46">
        <f>IF($I$149="","",IF($I$149&lt;0,"🔴지연",IF($I$149&lt;=1,"🟡임박","🟢여유")))</f>
        <v/>
      </c>
      <c r="I149" s="47">
        <f>IF(OR($G$149="",$K$149=""),"",$G$149-$K$149)</f>
        <v/>
      </c>
      <c r="J149" s="48">
        <f>IF(SUM($L$149:$L$151)=0,"",SUM($L$149:$L$151))</f>
        <v/>
      </c>
      <c r="K149" s="49">
        <f>IF($J$149="","",MAX($N$149:$N$151))</f>
        <v/>
      </c>
      <c r="L149" s="50">
        <f>IF(SUM(U149:AY149)=0,"",SUM(U149:AY149))</f>
        <v/>
      </c>
      <c r="M149" s="51">
        <f>IFERROR(INDEX(U$2:AY$2,MATCH(TRUE,INDEX(U149:AY149&lt;&gt;"",0),0)),"")</f>
        <v/>
      </c>
      <c r="N149" s="51">
        <f>IFERROR(LOOKUP(2,1/(U149:AY149&lt;&gt;""),U$2:AY$2),"")</f>
        <v/>
      </c>
      <c r="O149" s="52" t="n"/>
      <c r="P149" s="52" t="n"/>
      <c r="Q149" s="52" t="n"/>
      <c r="R149" s="44" t="n"/>
      <c r="S149" s="14" t="n"/>
      <c r="U149" s="53" t="n"/>
      <c r="V149" s="53" t="n"/>
      <c r="W149" s="53" t="n"/>
      <c r="X149" s="53" t="n"/>
      <c r="Y149" s="53" t="n"/>
      <c r="Z149" s="53" t="n"/>
      <c r="AA149" s="53" t="n"/>
      <c r="AB149" s="53" t="n"/>
      <c r="AC149" s="53" t="n"/>
      <c r="AD149" s="53" t="n"/>
      <c r="AE149" s="53" t="n"/>
      <c r="AF149" s="53" t="n"/>
      <c r="AG149" s="53" t="n"/>
      <c r="AH149" s="53" t="n"/>
      <c r="AI149" s="53" t="n"/>
      <c r="AJ149" s="53" t="n"/>
      <c r="AK149" s="53" t="n"/>
      <c r="AL149" s="53" t="n"/>
      <c r="AM149" s="53" t="n"/>
      <c r="AN149" s="53" t="n"/>
      <c r="AO149" s="53" t="n"/>
      <c r="AP149" s="53" t="n"/>
      <c r="AQ149" s="53" t="n"/>
      <c r="AR149" s="53" t="n"/>
      <c r="AS149" s="53" t="n"/>
      <c r="AT149" s="53" t="n"/>
      <c r="AU149" s="53" t="n"/>
      <c r="AV149" s="53" t="n"/>
      <c r="AW149" s="53" t="n"/>
      <c r="AX149" s="53" t="n"/>
      <c r="AY149" s="53" t="n"/>
    </row>
    <row r="150" ht="15" customHeight="1">
      <c r="A150" s="54" t="n"/>
      <c r="B150" s="55">
        <f>IF($B$149="","",$B$149)</f>
        <v/>
      </c>
      <c r="C150" s="56" t="inlineStr">
        <is>
          <t>마케팅3팀</t>
        </is>
      </c>
      <c r="D150" s="55">
        <f>IF($D$149="","",$D$149)</f>
        <v/>
      </c>
      <c r="E150" s="57" t="inlineStr">
        <is>
          <t>이미지</t>
        </is>
      </c>
      <c r="F150" s="44" t="n"/>
      <c r="G150" s="58">
        <f>IF($G$149="","",$G$149)</f>
        <v/>
      </c>
      <c r="H150" s="59" t="n"/>
      <c r="I150" s="59" t="n"/>
      <c r="J150" s="59" t="n"/>
      <c r="K150" s="59" t="n"/>
      <c r="L150" s="60">
        <f>IF(SUM(U150:AY150)=0,"",SUM(U150:AY150))</f>
        <v/>
      </c>
      <c r="M150" s="61">
        <f>IFERROR(INDEX(U$2:AY$2,MATCH(TRUE,INDEX(U150:AY150&lt;&gt;"",0),0)),"")</f>
        <v/>
      </c>
      <c r="N150" s="61">
        <f>IFERROR(LOOKUP(2,1/(U150:AY150&lt;&gt;""),U$2:AY$2),"")</f>
        <v/>
      </c>
      <c r="O150" s="59" t="n"/>
      <c r="P150" s="59" t="n"/>
      <c r="Q150" s="59" t="n"/>
      <c r="R150" s="59" t="n"/>
      <c r="S150" s="14" t="n"/>
      <c r="U150" s="53" t="n"/>
      <c r="V150" s="53" t="n"/>
      <c r="W150" s="53" t="n"/>
      <c r="X150" s="53" t="n"/>
      <c r="Y150" s="53" t="n"/>
      <c r="Z150" s="53" t="n"/>
      <c r="AA150" s="53" t="n"/>
      <c r="AB150" s="53" t="n"/>
      <c r="AC150" s="53" t="n"/>
      <c r="AD150" s="53" t="n"/>
      <c r="AE150" s="53" t="n"/>
      <c r="AF150" s="53" t="n"/>
      <c r="AG150" s="53" t="n"/>
      <c r="AH150" s="53" t="n"/>
      <c r="AI150" s="53" t="n"/>
      <c r="AJ150" s="53" t="n"/>
      <c r="AK150" s="53" t="n"/>
      <c r="AL150" s="53" t="n"/>
      <c r="AM150" s="53" t="n"/>
      <c r="AN150" s="53" t="n"/>
      <c r="AO150" s="53" t="n"/>
      <c r="AP150" s="53" t="n"/>
      <c r="AQ150" s="53" t="n"/>
      <c r="AR150" s="53" t="n"/>
      <c r="AS150" s="53" t="n"/>
      <c r="AT150" s="53" t="n"/>
      <c r="AU150" s="53" t="n"/>
      <c r="AV150" s="53" t="n"/>
      <c r="AW150" s="53" t="n"/>
      <c r="AX150" s="53" t="n"/>
      <c r="AY150" s="53" t="n"/>
    </row>
    <row r="151" ht="15" customHeight="1">
      <c r="A151" s="62" t="n"/>
      <c r="B151" s="55">
        <f>IF($B$149="","",$B$149)</f>
        <v/>
      </c>
      <c r="C151" s="63" t="inlineStr">
        <is>
          <t>마케팅3팀</t>
        </is>
      </c>
      <c r="D151" s="55">
        <f>IF($D$149="","",$D$149)</f>
        <v/>
      </c>
      <c r="E151" s="64" t="inlineStr">
        <is>
          <t>영상</t>
        </is>
      </c>
      <c r="F151" s="44" t="n"/>
      <c r="G151" s="58">
        <f>IF($G$149="","",$G$149)</f>
        <v/>
      </c>
      <c r="H151" s="59" t="n"/>
      <c r="I151" s="59" t="n"/>
      <c r="J151" s="59" t="n"/>
      <c r="K151" s="59" t="n"/>
      <c r="L151" s="65">
        <f>IF(SUM(U151:AY151)=0,"",SUM(U151:AY151))</f>
        <v/>
      </c>
      <c r="M151" s="66">
        <f>IFERROR(INDEX(U$2:AY$2,MATCH(TRUE,INDEX(U151:AY151&lt;&gt;"",0),0)),"")</f>
        <v/>
      </c>
      <c r="N151" s="66">
        <f>IFERROR(LOOKUP(2,1/(U151:AY151&lt;&gt;""),U$2:AY$2),"")</f>
        <v/>
      </c>
      <c r="O151" s="59" t="n"/>
      <c r="P151" s="59" t="n"/>
      <c r="Q151" s="59" t="n"/>
      <c r="R151" s="59" t="n"/>
      <c r="S151" s="14" t="n"/>
      <c r="U151" s="53" t="n"/>
      <c r="V151" s="53" t="n"/>
      <c r="W151" s="53" t="n"/>
      <c r="X151" s="53" t="n"/>
      <c r="Y151" s="53" t="n"/>
      <c r="Z151" s="53" t="n"/>
      <c r="AA151" s="53" t="n"/>
      <c r="AB151" s="53" t="n"/>
      <c r="AC151" s="53" t="n"/>
      <c r="AD151" s="53" t="n"/>
      <c r="AE151" s="53" t="n"/>
      <c r="AF151" s="53" t="n"/>
      <c r="AG151" s="53" t="n"/>
      <c r="AH151" s="53" t="n"/>
      <c r="AI151" s="53" t="n"/>
      <c r="AJ151" s="53" t="n"/>
      <c r="AK151" s="53" t="n"/>
      <c r="AL151" s="53" t="n"/>
      <c r="AM151" s="53" t="n"/>
      <c r="AN151" s="53" t="n"/>
      <c r="AO151" s="53" t="n"/>
      <c r="AP151" s="53" t="n"/>
      <c r="AQ151" s="53" t="n"/>
      <c r="AR151" s="53" t="n"/>
      <c r="AS151" s="53" t="n"/>
      <c r="AT151" s="53" t="n"/>
      <c r="AU151" s="53" t="n"/>
      <c r="AV151" s="53" t="n"/>
      <c r="AW151" s="53" t="n"/>
      <c r="AX151" s="53" t="n"/>
      <c r="AY151" s="53" t="n"/>
    </row>
    <row r="152" ht="15" customHeight="1">
      <c r="A152" s="40">
        <f>IF($D$152="","",48)</f>
        <v/>
      </c>
      <c r="B152" s="10" t="n"/>
      <c r="C152" s="41" t="inlineStr">
        <is>
          <t>마케팅3팀</t>
        </is>
      </c>
      <c r="D152" s="42" t="n"/>
      <c r="E152" s="43" t="inlineStr">
        <is>
          <t>기획</t>
        </is>
      </c>
      <c r="F152" s="44" t="n"/>
      <c r="G152" s="45" t="n"/>
      <c r="H152" s="46">
        <f>IF($I$152="","",IF($I$152&lt;0,"🔴지연",IF($I$152&lt;=1,"🟡임박","🟢여유")))</f>
        <v/>
      </c>
      <c r="I152" s="47">
        <f>IF(OR($G$152="",$K$152=""),"",$G$152-$K$152)</f>
        <v/>
      </c>
      <c r="J152" s="48">
        <f>IF(SUM($L$152:$L$154)=0,"",SUM($L$152:$L$154))</f>
        <v/>
      </c>
      <c r="K152" s="49">
        <f>IF($J$152="","",MAX($N$152:$N$154))</f>
        <v/>
      </c>
      <c r="L152" s="50">
        <f>IF(SUM(U152:AY152)=0,"",SUM(U152:AY152))</f>
        <v/>
      </c>
      <c r="M152" s="51">
        <f>IFERROR(INDEX(U$2:AY$2,MATCH(TRUE,INDEX(U152:AY152&lt;&gt;"",0),0)),"")</f>
        <v/>
      </c>
      <c r="N152" s="51">
        <f>IFERROR(LOOKUP(2,1/(U152:AY152&lt;&gt;""),U$2:AY$2),"")</f>
        <v/>
      </c>
      <c r="O152" s="52" t="n"/>
      <c r="P152" s="52" t="n"/>
      <c r="Q152" s="52" t="n"/>
      <c r="R152" s="44" t="n"/>
      <c r="S152" s="14" t="n"/>
      <c r="U152" s="53" t="n"/>
      <c r="V152" s="53" t="n"/>
      <c r="W152" s="53" t="n"/>
      <c r="X152" s="53" t="n"/>
      <c r="Y152" s="53" t="n"/>
      <c r="Z152" s="53" t="n"/>
      <c r="AA152" s="53" t="n"/>
      <c r="AB152" s="53" t="n"/>
      <c r="AC152" s="53" t="n"/>
      <c r="AD152" s="53" t="n"/>
      <c r="AE152" s="53" t="n"/>
      <c r="AF152" s="53" t="n"/>
      <c r="AG152" s="53" t="n"/>
      <c r="AH152" s="53" t="n"/>
      <c r="AI152" s="53" t="n"/>
      <c r="AJ152" s="53" t="n"/>
      <c r="AK152" s="53" t="n"/>
      <c r="AL152" s="53" t="n"/>
      <c r="AM152" s="53" t="n"/>
      <c r="AN152" s="53" t="n"/>
      <c r="AO152" s="53" t="n"/>
      <c r="AP152" s="53" t="n"/>
      <c r="AQ152" s="53" t="n"/>
      <c r="AR152" s="53" t="n"/>
      <c r="AS152" s="53" t="n"/>
      <c r="AT152" s="53" t="n"/>
      <c r="AU152" s="53" t="n"/>
      <c r="AV152" s="53" t="n"/>
      <c r="AW152" s="53" t="n"/>
      <c r="AX152" s="53" t="n"/>
      <c r="AY152" s="53" t="n"/>
    </row>
    <row r="153" ht="15" customHeight="1">
      <c r="A153" s="54" t="n"/>
      <c r="B153" s="55">
        <f>IF($B$152="","",$B$152)</f>
        <v/>
      </c>
      <c r="C153" s="56" t="inlineStr">
        <is>
          <t>마케팅3팀</t>
        </is>
      </c>
      <c r="D153" s="55">
        <f>IF($D$152="","",$D$152)</f>
        <v/>
      </c>
      <c r="E153" s="57" t="inlineStr">
        <is>
          <t>이미지</t>
        </is>
      </c>
      <c r="F153" s="44" t="n"/>
      <c r="G153" s="58">
        <f>IF($G$152="","",$G$152)</f>
        <v/>
      </c>
      <c r="H153" s="59" t="n"/>
      <c r="I153" s="59" t="n"/>
      <c r="J153" s="59" t="n"/>
      <c r="K153" s="59" t="n"/>
      <c r="L153" s="60">
        <f>IF(SUM(U153:AY153)=0,"",SUM(U153:AY153))</f>
        <v/>
      </c>
      <c r="M153" s="61">
        <f>IFERROR(INDEX(U$2:AY$2,MATCH(TRUE,INDEX(U153:AY153&lt;&gt;"",0),0)),"")</f>
        <v/>
      </c>
      <c r="N153" s="61">
        <f>IFERROR(LOOKUP(2,1/(U153:AY153&lt;&gt;""),U$2:AY$2),"")</f>
        <v/>
      </c>
      <c r="O153" s="59" t="n"/>
      <c r="P153" s="59" t="n"/>
      <c r="Q153" s="59" t="n"/>
      <c r="R153" s="59" t="n"/>
      <c r="S153" s="14" t="n"/>
      <c r="U153" s="53" t="n"/>
      <c r="V153" s="53" t="n"/>
      <c r="W153" s="53" t="n"/>
      <c r="X153" s="53" t="n"/>
      <c r="Y153" s="53" t="n"/>
      <c r="Z153" s="53" t="n"/>
      <c r="AA153" s="53" t="n"/>
      <c r="AB153" s="53" t="n"/>
      <c r="AC153" s="53" t="n"/>
      <c r="AD153" s="53" t="n"/>
      <c r="AE153" s="53" t="n"/>
      <c r="AF153" s="53" t="n"/>
      <c r="AG153" s="53" t="n"/>
      <c r="AH153" s="53" t="n"/>
      <c r="AI153" s="53" t="n"/>
      <c r="AJ153" s="53" t="n"/>
      <c r="AK153" s="53" t="n"/>
      <c r="AL153" s="53" t="n"/>
      <c r="AM153" s="53" t="n"/>
      <c r="AN153" s="53" t="n"/>
      <c r="AO153" s="53" t="n"/>
      <c r="AP153" s="53" t="n"/>
      <c r="AQ153" s="53" t="n"/>
      <c r="AR153" s="53" t="n"/>
      <c r="AS153" s="53" t="n"/>
      <c r="AT153" s="53" t="n"/>
      <c r="AU153" s="53" t="n"/>
      <c r="AV153" s="53" t="n"/>
      <c r="AW153" s="53" t="n"/>
      <c r="AX153" s="53" t="n"/>
      <c r="AY153" s="53" t="n"/>
    </row>
    <row r="154" ht="15" customHeight="1">
      <c r="A154" s="62" t="n"/>
      <c r="B154" s="55">
        <f>IF($B$152="","",$B$152)</f>
        <v/>
      </c>
      <c r="C154" s="63" t="inlineStr">
        <is>
          <t>마케팅3팀</t>
        </is>
      </c>
      <c r="D154" s="55">
        <f>IF($D$152="","",$D$152)</f>
        <v/>
      </c>
      <c r="E154" s="64" t="inlineStr">
        <is>
          <t>영상</t>
        </is>
      </c>
      <c r="F154" s="44" t="n"/>
      <c r="G154" s="58">
        <f>IF($G$152="","",$G$152)</f>
        <v/>
      </c>
      <c r="H154" s="59" t="n"/>
      <c r="I154" s="59" t="n"/>
      <c r="J154" s="59" t="n"/>
      <c r="K154" s="59" t="n"/>
      <c r="L154" s="65">
        <f>IF(SUM(U154:AY154)=0,"",SUM(U154:AY154))</f>
        <v/>
      </c>
      <c r="M154" s="66">
        <f>IFERROR(INDEX(U$2:AY$2,MATCH(TRUE,INDEX(U154:AY154&lt;&gt;"",0),0)),"")</f>
        <v/>
      </c>
      <c r="N154" s="66">
        <f>IFERROR(LOOKUP(2,1/(U154:AY154&lt;&gt;""),U$2:AY$2),"")</f>
        <v/>
      </c>
      <c r="O154" s="59" t="n"/>
      <c r="P154" s="59" t="n"/>
      <c r="Q154" s="59" t="n"/>
      <c r="R154" s="59" t="n"/>
      <c r="S154" s="14" t="n"/>
      <c r="U154" s="53" t="n"/>
      <c r="V154" s="53" t="n"/>
      <c r="W154" s="53" t="n"/>
      <c r="X154" s="53" t="n"/>
      <c r="Y154" s="53" t="n"/>
      <c r="Z154" s="53" t="n"/>
      <c r="AA154" s="53" t="n"/>
      <c r="AB154" s="53" t="n"/>
      <c r="AC154" s="53" t="n"/>
      <c r="AD154" s="53" t="n"/>
      <c r="AE154" s="53" t="n"/>
      <c r="AF154" s="53" t="n"/>
      <c r="AG154" s="53" t="n"/>
      <c r="AH154" s="53" t="n"/>
      <c r="AI154" s="53" t="n"/>
      <c r="AJ154" s="53" t="n"/>
      <c r="AK154" s="53" t="n"/>
      <c r="AL154" s="53" t="n"/>
      <c r="AM154" s="53" t="n"/>
      <c r="AN154" s="53" t="n"/>
      <c r="AO154" s="53" t="n"/>
      <c r="AP154" s="53" t="n"/>
      <c r="AQ154" s="53" t="n"/>
      <c r="AR154" s="53" t="n"/>
      <c r="AS154" s="53" t="n"/>
      <c r="AT154" s="53" t="n"/>
      <c r="AU154" s="53" t="n"/>
      <c r="AV154" s="53" t="n"/>
      <c r="AW154" s="53" t="n"/>
      <c r="AX154" s="53" t="n"/>
      <c r="AY154" s="53" t="n"/>
    </row>
    <row r="155" ht="15" customHeight="1">
      <c r="A155" s="40">
        <f>IF($D$155="","",49)</f>
        <v/>
      </c>
      <c r="B155" s="10" t="n"/>
      <c r="C155" s="41" t="inlineStr">
        <is>
          <t>마케팅3팀</t>
        </is>
      </c>
      <c r="D155" s="42" t="n"/>
      <c r="E155" s="43" t="inlineStr">
        <is>
          <t>기획</t>
        </is>
      </c>
      <c r="F155" s="44" t="n"/>
      <c r="G155" s="45" t="n"/>
      <c r="H155" s="46">
        <f>IF($I$155="","",IF($I$155&lt;0,"🔴지연",IF($I$155&lt;=1,"🟡임박","🟢여유")))</f>
        <v/>
      </c>
      <c r="I155" s="47">
        <f>IF(OR($G$155="",$K$155=""),"",$G$155-$K$155)</f>
        <v/>
      </c>
      <c r="J155" s="48">
        <f>IF(SUM($L$155:$L$157)=0,"",SUM($L$155:$L$157))</f>
        <v/>
      </c>
      <c r="K155" s="49">
        <f>IF($J$155="","",MAX($N$155:$N$157))</f>
        <v/>
      </c>
      <c r="L155" s="50">
        <f>IF(SUM(U155:AY155)=0,"",SUM(U155:AY155))</f>
        <v/>
      </c>
      <c r="M155" s="51">
        <f>IFERROR(INDEX(U$2:AY$2,MATCH(TRUE,INDEX(U155:AY155&lt;&gt;"",0),0)),"")</f>
        <v/>
      </c>
      <c r="N155" s="51">
        <f>IFERROR(LOOKUP(2,1/(U155:AY155&lt;&gt;""),U$2:AY$2),"")</f>
        <v/>
      </c>
      <c r="O155" s="52" t="n"/>
      <c r="P155" s="52" t="n"/>
      <c r="Q155" s="52" t="n"/>
      <c r="R155" s="44" t="n"/>
      <c r="S155" s="14" t="n"/>
      <c r="U155" s="53" t="n"/>
      <c r="V155" s="53" t="n"/>
      <c r="W155" s="53" t="n"/>
      <c r="X155" s="53" t="n"/>
      <c r="Y155" s="53" t="n"/>
      <c r="Z155" s="53" t="n"/>
      <c r="AA155" s="53" t="n"/>
      <c r="AB155" s="53" t="n"/>
      <c r="AC155" s="53" t="n"/>
      <c r="AD155" s="53" t="n"/>
      <c r="AE155" s="53" t="n"/>
      <c r="AF155" s="53" t="n"/>
      <c r="AG155" s="53" t="n"/>
      <c r="AH155" s="53" t="n"/>
      <c r="AI155" s="53" t="n"/>
      <c r="AJ155" s="53" t="n"/>
      <c r="AK155" s="53" t="n"/>
      <c r="AL155" s="53" t="n"/>
      <c r="AM155" s="53" t="n"/>
      <c r="AN155" s="53" t="n"/>
      <c r="AO155" s="53" t="n"/>
      <c r="AP155" s="53" t="n"/>
      <c r="AQ155" s="53" t="n"/>
      <c r="AR155" s="53" t="n"/>
      <c r="AS155" s="53" t="n"/>
      <c r="AT155" s="53" t="n"/>
      <c r="AU155" s="53" t="n"/>
      <c r="AV155" s="53" t="n"/>
      <c r="AW155" s="53" t="n"/>
      <c r="AX155" s="53" t="n"/>
      <c r="AY155" s="53" t="n"/>
    </row>
    <row r="156" ht="15" customHeight="1">
      <c r="A156" s="54" t="n"/>
      <c r="B156" s="55">
        <f>IF($B$155="","",$B$155)</f>
        <v/>
      </c>
      <c r="C156" s="56" t="inlineStr">
        <is>
          <t>마케팅3팀</t>
        </is>
      </c>
      <c r="D156" s="55">
        <f>IF($D$155="","",$D$155)</f>
        <v/>
      </c>
      <c r="E156" s="57" t="inlineStr">
        <is>
          <t>이미지</t>
        </is>
      </c>
      <c r="F156" s="44" t="n"/>
      <c r="G156" s="58">
        <f>IF($G$155="","",$G$155)</f>
        <v/>
      </c>
      <c r="H156" s="59" t="n"/>
      <c r="I156" s="59" t="n"/>
      <c r="J156" s="59" t="n"/>
      <c r="K156" s="59" t="n"/>
      <c r="L156" s="60">
        <f>IF(SUM(U156:AY156)=0,"",SUM(U156:AY156))</f>
        <v/>
      </c>
      <c r="M156" s="61">
        <f>IFERROR(INDEX(U$2:AY$2,MATCH(TRUE,INDEX(U156:AY156&lt;&gt;"",0),0)),"")</f>
        <v/>
      </c>
      <c r="N156" s="61">
        <f>IFERROR(LOOKUP(2,1/(U156:AY156&lt;&gt;""),U$2:AY$2),"")</f>
        <v/>
      </c>
      <c r="O156" s="59" t="n"/>
      <c r="P156" s="59" t="n"/>
      <c r="Q156" s="59" t="n"/>
      <c r="R156" s="59" t="n"/>
      <c r="S156" s="14" t="n"/>
      <c r="U156" s="53" t="n"/>
      <c r="V156" s="53" t="n"/>
      <c r="W156" s="53" t="n"/>
      <c r="X156" s="53" t="n"/>
      <c r="Y156" s="53" t="n"/>
      <c r="Z156" s="53" t="n"/>
      <c r="AA156" s="53" t="n"/>
      <c r="AB156" s="53" t="n"/>
      <c r="AC156" s="53" t="n"/>
      <c r="AD156" s="53" t="n"/>
      <c r="AE156" s="53" t="n"/>
      <c r="AF156" s="53" t="n"/>
      <c r="AG156" s="53" t="n"/>
      <c r="AH156" s="53" t="n"/>
      <c r="AI156" s="53" t="n"/>
      <c r="AJ156" s="53" t="n"/>
      <c r="AK156" s="53" t="n"/>
      <c r="AL156" s="53" t="n"/>
      <c r="AM156" s="53" t="n"/>
      <c r="AN156" s="53" t="n"/>
      <c r="AO156" s="53" t="n"/>
      <c r="AP156" s="53" t="n"/>
      <c r="AQ156" s="53" t="n"/>
      <c r="AR156" s="53" t="n"/>
      <c r="AS156" s="53" t="n"/>
      <c r="AT156" s="53" t="n"/>
      <c r="AU156" s="53" t="n"/>
      <c r="AV156" s="53" t="n"/>
      <c r="AW156" s="53" t="n"/>
      <c r="AX156" s="53" t="n"/>
      <c r="AY156" s="53" t="n"/>
    </row>
    <row r="157" ht="15" customHeight="1">
      <c r="A157" s="62" t="n"/>
      <c r="B157" s="55">
        <f>IF($B$155="","",$B$155)</f>
        <v/>
      </c>
      <c r="C157" s="63" t="inlineStr">
        <is>
          <t>마케팅3팀</t>
        </is>
      </c>
      <c r="D157" s="55">
        <f>IF($D$155="","",$D$155)</f>
        <v/>
      </c>
      <c r="E157" s="64" t="inlineStr">
        <is>
          <t>영상</t>
        </is>
      </c>
      <c r="F157" s="44" t="n"/>
      <c r="G157" s="58">
        <f>IF($G$155="","",$G$155)</f>
        <v/>
      </c>
      <c r="H157" s="59" t="n"/>
      <c r="I157" s="59" t="n"/>
      <c r="J157" s="59" t="n"/>
      <c r="K157" s="59" t="n"/>
      <c r="L157" s="65">
        <f>IF(SUM(U157:AY157)=0,"",SUM(U157:AY157))</f>
        <v/>
      </c>
      <c r="M157" s="66">
        <f>IFERROR(INDEX(U$2:AY$2,MATCH(TRUE,INDEX(U157:AY157&lt;&gt;"",0),0)),"")</f>
        <v/>
      </c>
      <c r="N157" s="66">
        <f>IFERROR(LOOKUP(2,1/(U157:AY157&lt;&gt;""),U$2:AY$2),"")</f>
        <v/>
      </c>
      <c r="O157" s="59" t="n"/>
      <c r="P157" s="59" t="n"/>
      <c r="Q157" s="59" t="n"/>
      <c r="R157" s="59" t="n"/>
      <c r="S157" s="14" t="n"/>
      <c r="U157" s="53" t="n"/>
      <c r="V157" s="53" t="n"/>
      <c r="W157" s="53" t="n"/>
      <c r="X157" s="53" t="n"/>
      <c r="Y157" s="53" t="n"/>
      <c r="Z157" s="53" t="n"/>
      <c r="AA157" s="53" t="n"/>
      <c r="AB157" s="53" t="n"/>
      <c r="AC157" s="53" t="n"/>
      <c r="AD157" s="53" t="n"/>
      <c r="AE157" s="53" t="n"/>
      <c r="AF157" s="53" t="n"/>
      <c r="AG157" s="53" t="n"/>
      <c r="AH157" s="53" t="n"/>
      <c r="AI157" s="53" t="n"/>
      <c r="AJ157" s="53" t="n"/>
      <c r="AK157" s="53" t="n"/>
      <c r="AL157" s="53" t="n"/>
      <c r="AM157" s="53" t="n"/>
      <c r="AN157" s="53" t="n"/>
      <c r="AO157" s="53" t="n"/>
      <c r="AP157" s="53" t="n"/>
      <c r="AQ157" s="53" t="n"/>
      <c r="AR157" s="53" t="n"/>
      <c r="AS157" s="53" t="n"/>
      <c r="AT157" s="53" t="n"/>
      <c r="AU157" s="53" t="n"/>
      <c r="AV157" s="53" t="n"/>
      <c r="AW157" s="53" t="n"/>
      <c r="AX157" s="53" t="n"/>
      <c r="AY157" s="53" t="n"/>
    </row>
    <row r="158" ht="15" customHeight="1">
      <c r="A158" s="40">
        <f>IF($D$158="","",50)</f>
        <v/>
      </c>
      <c r="B158" s="10" t="n"/>
      <c r="C158" s="41" t="inlineStr">
        <is>
          <t>마케팅3팀</t>
        </is>
      </c>
      <c r="D158" s="42" t="n"/>
      <c r="E158" s="43" t="inlineStr">
        <is>
          <t>기획</t>
        </is>
      </c>
      <c r="F158" s="44" t="n"/>
      <c r="G158" s="45" t="n"/>
      <c r="H158" s="46">
        <f>IF($I$158="","",IF($I$158&lt;0,"🔴지연",IF($I$158&lt;=1,"🟡임박","🟢여유")))</f>
        <v/>
      </c>
      <c r="I158" s="47">
        <f>IF(OR($G$158="",$K$158=""),"",$G$158-$K$158)</f>
        <v/>
      </c>
      <c r="J158" s="48">
        <f>IF(SUM($L$158:$L$160)=0,"",SUM($L$158:$L$160))</f>
        <v/>
      </c>
      <c r="K158" s="49">
        <f>IF($J$158="","",MAX($N$158:$N$160))</f>
        <v/>
      </c>
      <c r="L158" s="50">
        <f>IF(SUM(U158:AY158)=0,"",SUM(U158:AY158))</f>
        <v/>
      </c>
      <c r="M158" s="51">
        <f>IFERROR(INDEX(U$2:AY$2,MATCH(TRUE,INDEX(U158:AY158&lt;&gt;"",0),0)),"")</f>
        <v/>
      </c>
      <c r="N158" s="51">
        <f>IFERROR(LOOKUP(2,1/(U158:AY158&lt;&gt;""),U$2:AY$2),"")</f>
        <v/>
      </c>
      <c r="O158" s="52" t="n"/>
      <c r="P158" s="52" t="n"/>
      <c r="Q158" s="52" t="n"/>
      <c r="R158" s="44" t="n"/>
      <c r="S158" s="14" t="n"/>
      <c r="U158" s="53" t="n"/>
      <c r="V158" s="53" t="n"/>
      <c r="W158" s="53" t="n"/>
      <c r="X158" s="53" t="n"/>
      <c r="Y158" s="53" t="n"/>
      <c r="Z158" s="53" t="n"/>
      <c r="AA158" s="53" t="n"/>
      <c r="AB158" s="53" t="n"/>
      <c r="AC158" s="53" t="n"/>
      <c r="AD158" s="53" t="n"/>
      <c r="AE158" s="53" t="n"/>
      <c r="AF158" s="53" t="n"/>
      <c r="AG158" s="53" t="n"/>
      <c r="AH158" s="53" t="n"/>
      <c r="AI158" s="53" t="n"/>
      <c r="AJ158" s="53" t="n"/>
      <c r="AK158" s="53" t="n"/>
      <c r="AL158" s="53" t="n"/>
      <c r="AM158" s="53" t="n"/>
      <c r="AN158" s="53" t="n"/>
      <c r="AO158" s="53" t="n"/>
      <c r="AP158" s="53" t="n"/>
      <c r="AQ158" s="53" t="n"/>
      <c r="AR158" s="53" t="n"/>
      <c r="AS158" s="53" t="n"/>
      <c r="AT158" s="53" t="n"/>
      <c r="AU158" s="53" t="n"/>
      <c r="AV158" s="53" t="n"/>
      <c r="AW158" s="53" t="n"/>
      <c r="AX158" s="53" t="n"/>
      <c r="AY158" s="53" t="n"/>
    </row>
    <row r="159" ht="15" customHeight="1">
      <c r="A159" s="54" t="n"/>
      <c r="B159" s="55">
        <f>IF($B$158="","",$B$158)</f>
        <v/>
      </c>
      <c r="C159" s="56" t="inlineStr">
        <is>
          <t>마케팅3팀</t>
        </is>
      </c>
      <c r="D159" s="55">
        <f>IF($D$158="","",$D$158)</f>
        <v/>
      </c>
      <c r="E159" s="57" t="inlineStr">
        <is>
          <t>이미지</t>
        </is>
      </c>
      <c r="F159" s="44" t="n"/>
      <c r="G159" s="58">
        <f>IF($G$158="","",$G$158)</f>
        <v/>
      </c>
      <c r="H159" s="59" t="n"/>
      <c r="I159" s="59" t="n"/>
      <c r="J159" s="59" t="n"/>
      <c r="K159" s="59" t="n"/>
      <c r="L159" s="60">
        <f>IF(SUM(U159:AY159)=0,"",SUM(U159:AY159))</f>
        <v/>
      </c>
      <c r="M159" s="61">
        <f>IFERROR(INDEX(U$2:AY$2,MATCH(TRUE,INDEX(U159:AY159&lt;&gt;"",0),0)),"")</f>
        <v/>
      </c>
      <c r="N159" s="61">
        <f>IFERROR(LOOKUP(2,1/(U159:AY159&lt;&gt;""),U$2:AY$2),"")</f>
        <v/>
      </c>
      <c r="O159" s="59" t="n"/>
      <c r="P159" s="59" t="n"/>
      <c r="Q159" s="59" t="n"/>
      <c r="R159" s="59" t="n"/>
      <c r="S159" s="14" t="n"/>
      <c r="U159" s="53" t="n"/>
      <c r="V159" s="53" t="n"/>
      <c r="W159" s="53" t="n"/>
      <c r="X159" s="53" t="n"/>
      <c r="Y159" s="53" t="n"/>
      <c r="Z159" s="53" t="n"/>
      <c r="AA159" s="53" t="n"/>
      <c r="AB159" s="53" t="n"/>
      <c r="AC159" s="53" t="n"/>
      <c r="AD159" s="53" t="n"/>
      <c r="AE159" s="53" t="n"/>
      <c r="AF159" s="53" t="n"/>
      <c r="AG159" s="53" t="n"/>
      <c r="AH159" s="53" t="n"/>
      <c r="AI159" s="53" t="n"/>
      <c r="AJ159" s="53" t="n"/>
      <c r="AK159" s="53" t="n"/>
      <c r="AL159" s="53" t="n"/>
      <c r="AM159" s="53" t="n"/>
      <c r="AN159" s="53" t="n"/>
      <c r="AO159" s="53" t="n"/>
      <c r="AP159" s="53" t="n"/>
      <c r="AQ159" s="53" t="n"/>
      <c r="AR159" s="53" t="n"/>
      <c r="AS159" s="53" t="n"/>
      <c r="AT159" s="53" t="n"/>
      <c r="AU159" s="53" t="n"/>
      <c r="AV159" s="53" t="n"/>
      <c r="AW159" s="53" t="n"/>
      <c r="AX159" s="53" t="n"/>
      <c r="AY159" s="53" t="n"/>
    </row>
    <row r="160" ht="15" customHeight="1">
      <c r="A160" s="62" t="n"/>
      <c r="B160" s="55">
        <f>IF($B$158="","",$B$158)</f>
        <v/>
      </c>
      <c r="C160" s="63" t="inlineStr">
        <is>
          <t>마케팅3팀</t>
        </is>
      </c>
      <c r="D160" s="55">
        <f>IF($D$158="","",$D$158)</f>
        <v/>
      </c>
      <c r="E160" s="64" t="inlineStr">
        <is>
          <t>영상</t>
        </is>
      </c>
      <c r="F160" s="44" t="n"/>
      <c r="G160" s="58">
        <f>IF($G$158="","",$G$158)</f>
        <v/>
      </c>
      <c r="H160" s="59" t="n"/>
      <c r="I160" s="59" t="n"/>
      <c r="J160" s="59" t="n"/>
      <c r="K160" s="59" t="n"/>
      <c r="L160" s="65">
        <f>IF(SUM(U160:AY160)=0,"",SUM(U160:AY160))</f>
        <v/>
      </c>
      <c r="M160" s="66">
        <f>IFERROR(INDEX(U$2:AY$2,MATCH(TRUE,INDEX(U160:AY160&lt;&gt;"",0),0)),"")</f>
        <v/>
      </c>
      <c r="N160" s="66">
        <f>IFERROR(LOOKUP(2,1/(U160:AY160&lt;&gt;""),U$2:AY$2),"")</f>
        <v/>
      </c>
      <c r="O160" s="59" t="n"/>
      <c r="P160" s="59" t="n"/>
      <c r="Q160" s="59" t="n"/>
      <c r="R160" s="59" t="n"/>
      <c r="S160" s="14" t="n"/>
      <c r="U160" s="53" t="n"/>
      <c r="V160" s="53" t="n"/>
      <c r="W160" s="53" t="n"/>
      <c r="X160" s="53" t="n"/>
      <c r="Y160" s="53" t="n"/>
      <c r="Z160" s="53" t="n"/>
      <c r="AA160" s="53" t="n"/>
      <c r="AB160" s="53" t="n"/>
      <c r="AC160" s="53" t="n"/>
      <c r="AD160" s="53" t="n"/>
      <c r="AE160" s="53" t="n"/>
      <c r="AF160" s="53" t="n"/>
      <c r="AG160" s="53" t="n"/>
      <c r="AH160" s="53" t="n"/>
      <c r="AI160" s="53" t="n"/>
      <c r="AJ160" s="53" t="n"/>
      <c r="AK160" s="53" t="n"/>
      <c r="AL160" s="53" t="n"/>
      <c r="AM160" s="53" t="n"/>
      <c r="AN160" s="53" t="n"/>
      <c r="AO160" s="53" t="n"/>
      <c r="AP160" s="53" t="n"/>
      <c r="AQ160" s="53" t="n"/>
      <c r="AR160" s="53" t="n"/>
      <c r="AS160" s="53" t="n"/>
      <c r="AT160" s="53" t="n"/>
      <c r="AU160" s="53" t="n"/>
      <c r="AV160" s="53" t="n"/>
      <c r="AW160" s="53" t="n"/>
      <c r="AX160" s="53" t="n"/>
      <c r="AY160" s="53" t="n"/>
    </row>
    <row r="161" ht="15" customHeight="1">
      <c r="A161" s="40">
        <f>IF($D$161="","",51)</f>
        <v/>
      </c>
      <c r="B161" s="10" t="n"/>
      <c r="C161" s="41" t="inlineStr">
        <is>
          <t>마케팅3팀</t>
        </is>
      </c>
      <c r="D161" s="42" t="n"/>
      <c r="E161" s="43" t="inlineStr">
        <is>
          <t>기획</t>
        </is>
      </c>
      <c r="F161" s="44" t="n"/>
      <c r="G161" s="45" t="n"/>
      <c r="H161" s="46">
        <f>IF($I$161="","",IF($I$161&lt;0,"🔴지연",IF($I$161&lt;=1,"🟡임박","🟢여유")))</f>
        <v/>
      </c>
      <c r="I161" s="47">
        <f>IF(OR($G$161="",$K$161=""),"",$G$161-$K$161)</f>
        <v/>
      </c>
      <c r="J161" s="48">
        <f>IF(SUM($L$161:$L$163)=0,"",SUM($L$161:$L$163))</f>
        <v/>
      </c>
      <c r="K161" s="49">
        <f>IF($J$161="","",MAX($N$161:$N$163))</f>
        <v/>
      </c>
      <c r="L161" s="50">
        <f>IF(SUM(U161:AY161)=0,"",SUM(U161:AY161))</f>
        <v/>
      </c>
      <c r="M161" s="51">
        <f>IFERROR(INDEX(U$2:AY$2,MATCH(TRUE,INDEX(U161:AY161&lt;&gt;"",0),0)),"")</f>
        <v/>
      </c>
      <c r="N161" s="51">
        <f>IFERROR(LOOKUP(2,1/(U161:AY161&lt;&gt;""),U$2:AY$2),"")</f>
        <v/>
      </c>
      <c r="O161" s="52" t="n"/>
      <c r="P161" s="52" t="n"/>
      <c r="Q161" s="52" t="n"/>
      <c r="R161" s="44" t="n"/>
      <c r="S161" s="14" t="n"/>
      <c r="U161" s="53" t="n"/>
      <c r="V161" s="53" t="n"/>
      <c r="W161" s="53" t="n"/>
      <c r="X161" s="53" t="n"/>
      <c r="Y161" s="53" t="n"/>
      <c r="Z161" s="53" t="n"/>
      <c r="AA161" s="53" t="n"/>
      <c r="AB161" s="53" t="n"/>
      <c r="AC161" s="53" t="n"/>
      <c r="AD161" s="53" t="n"/>
      <c r="AE161" s="53" t="n"/>
      <c r="AF161" s="53" t="n"/>
      <c r="AG161" s="53" t="n"/>
      <c r="AH161" s="53" t="n"/>
      <c r="AI161" s="53" t="n"/>
      <c r="AJ161" s="53" t="n"/>
      <c r="AK161" s="53" t="n"/>
      <c r="AL161" s="53" t="n"/>
      <c r="AM161" s="53" t="n"/>
      <c r="AN161" s="53" t="n"/>
      <c r="AO161" s="53" t="n"/>
      <c r="AP161" s="53" t="n"/>
      <c r="AQ161" s="53" t="n"/>
      <c r="AR161" s="53" t="n"/>
      <c r="AS161" s="53" t="n"/>
      <c r="AT161" s="53" t="n"/>
      <c r="AU161" s="53" t="n"/>
      <c r="AV161" s="53" t="n"/>
      <c r="AW161" s="53" t="n"/>
      <c r="AX161" s="53" t="n"/>
      <c r="AY161" s="53" t="n"/>
    </row>
    <row r="162" ht="15" customHeight="1">
      <c r="A162" s="54" t="n"/>
      <c r="B162" s="55">
        <f>IF($B$161="","",$B$161)</f>
        <v/>
      </c>
      <c r="C162" s="56" t="inlineStr">
        <is>
          <t>마케팅3팀</t>
        </is>
      </c>
      <c r="D162" s="55">
        <f>IF($D$161="","",$D$161)</f>
        <v/>
      </c>
      <c r="E162" s="57" t="inlineStr">
        <is>
          <t>이미지</t>
        </is>
      </c>
      <c r="F162" s="44" t="n"/>
      <c r="G162" s="58">
        <f>IF($G$161="","",$G$161)</f>
        <v/>
      </c>
      <c r="H162" s="59" t="n"/>
      <c r="I162" s="59" t="n"/>
      <c r="J162" s="59" t="n"/>
      <c r="K162" s="59" t="n"/>
      <c r="L162" s="60">
        <f>IF(SUM(U162:AY162)=0,"",SUM(U162:AY162))</f>
        <v/>
      </c>
      <c r="M162" s="61">
        <f>IFERROR(INDEX(U$2:AY$2,MATCH(TRUE,INDEX(U162:AY162&lt;&gt;"",0),0)),"")</f>
        <v/>
      </c>
      <c r="N162" s="61">
        <f>IFERROR(LOOKUP(2,1/(U162:AY162&lt;&gt;""),U$2:AY$2),"")</f>
        <v/>
      </c>
      <c r="O162" s="59" t="n"/>
      <c r="P162" s="59" t="n"/>
      <c r="Q162" s="59" t="n"/>
      <c r="R162" s="59" t="n"/>
      <c r="S162" s="14" t="n"/>
      <c r="U162" s="53" t="n"/>
      <c r="V162" s="53" t="n"/>
      <c r="W162" s="53" t="n"/>
      <c r="X162" s="53" t="n"/>
      <c r="Y162" s="53" t="n"/>
      <c r="Z162" s="53" t="n"/>
      <c r="AA162" s="53" t="n"/>
      <c r="AB162" s="53" t="n"/>
      <c r="AC162" s="53" t="n"/>
      <c r="AD162" s="53" t="n"/>
      <c r="AE162" s="53" t="n"/>
      <c r="AF162" s="53" t="n"/>
      <c r="AG162" s="53" t="n"/>
      <c r="AH162" s="53" t="n"/>
      <c r="AI162" s="53" t="n"/>
      <c r="AJ162" s="53" t="n"/>
      <c r="AK162" s="53" t="n"/>
      <c r="AL162" s="53" t="n"/>
      <c r="AM162" s="53" t="n"/>
      <c r="AN162" s="53" t="n"/>
      <c r="AO162" s="53" t="n"/>
      <c r="AP162" s="53" t="n"/>
      <c r="AQ162" s="53" t="n"/>
      <c r="AR162" s="53" t="n"/>
      <c r="AS162" s="53" t="n"/>
      <c r="AT162" s="53" t="n"/>
      <c r="AU162" s="53" t="n"/>
      <c r="AV162" s="53" t="n"/>
      <c r="AW162" s="53" t="n"/>
      <c r="AX162" s="53" t="n"/>
      <c r="AY162" s="53" t="n"/>
    </row>
    <row r="163" ht="15" customHeight="1">
      <c r="A163" s="62" t="n"/>
      <c r="B163" s="55">
        <f>IF($B$161="","",$B$161)</f>
        <v/>
      </c>
      <c r="C163" s="63" t="inlineStr">
        <is>
          <t>마케팅3팀</t>
        </is>
      </c>
      <c r="D163" s="55">
        <f>IF($D$161="","",$D$161)</f>
        <v/>
      </c>
      <c r="E163" s="64" t="inlineStr">
        <is>
          <t>영상</t>
        </is>
      </c>
      <c r="F163" s="44" t="n"/>
      <c r="G163" s="58">
        <f>IF($G$161="","",$G$161)</f>
        <v/>
      </c>
      <c r="H163" s="59" t="n"/>
      <c r="I163" s="59" t="n"/>
      <c r="J163" s="59" t="n"/>
      <c r="K163" s="59" t="n"/>
      <c r="L163" s="65">
        <f>IF(SUM(U163:AY163)=0,"",SUM(U163:AY163))</f>
        <v/>
      </c>
      <c r="M163" s="66">
        <f>IFERROR(INDEX(U$2:AY$2,MATCH(TRUE,INDEX(U163:AY163&lt;&gt;"",0),0)),"")</f>
        <v/>
      </c>
      <c r="N163" s="66">
        <f>IFERROR(LOOKUP(2,1/(U163:AY163&lt;&gt;""),U$2:AY$2),"")</f>
        <v/>
      </c>
      <c r="O163" s="59" t="n"/>
      <c r="P163" s="59" t="n"/>
      <c r="Q163" s="59" t="n"/>
      <c r="R163" s="59" t="n"/>
      <c r="S163" s="14" t="n"/>
      <c r="U163" s="53" t="n"/>
      <c r="V163" s="53" t="n"/>
      <c r="W163" s="53" t="n"/>
      <c r="X163" s="53" t="n"/>
      <c r="Y163" s="53" t="n"/>
      <c r="Z163" s="53" t="n"/>
      <c r="AA163" s="53" t="n"/>
      <c r="AB163" s="53" t="n"/>
      <c r="AC163" s="53" t="n"/>
      <c r="AD163" s="53" t="n"/>
      <c r="AE163" s="53" t="n"/>
      <c r="AF163" s="53" t="n"/>
      <c r="AG163" s="53" t="n"/>
      <c r="AH163" s="53" t="n"/>
      <c r="AI163" s="53" t="n"/>
      <c r="AJ163" s="53" t="n"/>
      <c r="AK163" s="53" t="n"/>
      <c r="AL163" s="53" t="n"/>
      <c r="AM163" s="53" t="n"/>
      <c r="AN163" s="53" t="n"/>
      <c r="AO163" s="53" t="n"/>
      <c r="AP163" s="53" t="n"/>
      <c r="AQ163" s="53" t="n"/>
      <c r="AR163" s="53" t="n"/>
      <c r="AS163" s="53" t="n"/>
      <c r="AT163" s="53" t="n"/>
      <c r="AU163" s="53" t="n"/>
      <c r="AV163" s="53" t="n"/>
      <c r="AW163" s="53" t="n"/>
      <c r="AX163" s="53" t="n"/>
      <c r="AY163" s="53" t="n"/>
    </row>
    <row r="164" ht="15" customHeight="1">
      <c r="A164" s="40">
        <f>IF($D$164="","",52)</f>
        <v/>
      </c>
      <c r="B164" s="10" t="n"/>
      <c r="C164" s="41" t="inlineStr">
        <is>
          <t>마케팅3팀</t>
        </is>
      </c>
      <c r="D164" s="42" t="n"/>
      <c r="E164" s="43" t="inlineStr">
        <is>
          <t>기획</t>
        </is>
      </c>
      <c r="F164" s="44" t="n"/>
      <c r="G164" s="45" t="n"/>
      <c r="H164" s="46">
        <f>IF($I$164="","",IF($I$164&lt;0,"🔴지연",IF($I$164&lt;=1,"🟡임박","🟢여유")))</f>
        <v/>
      </c>
      <c r="I164" s="47">
        <f>IF(OR($G$164="",$K$164=""),"",$G$164-$K$164)</f>
        <v/>
      </c>
      <c r="J164" s="48">
        <f>IF(SUM($L$164:$L$166)=0,"",SUM($L$164:$L$166))</f>
        <v/>
      </c>
      <c r="K164" s="49">
        <f>IF($J$164="","",MAX($N$164:$N$166))</f>
        <v/>
      </c>
      <c r="L164" s="50">
        <f>IF(SUM(U164:AY164)=0,"",SUM(U164:AY164))</f>
        <v/>
      </c>
      <c r="M164" s="51">
        <f>IFERROR(INDEX(U$2:AY$2,MATCH(TRUE,INDEX(U164:AY164&lt;&gt;"",0),0)),"")</f>
        <v/>
      </c>
      <c r="N164" s="51">
        <f>IFERROR(LOOKUP(2,1/(U164:AY164&lt;&gt;""),U$2:AY$2),"")</f>
        <v/>
      </c>
      <c r="O164" s="52" t="n"/>
      <c r="P164" s="52" t="n"/>
      <c r="Q164" s="52" t="n"/>
      <c r="R164" s="44" t="n"/>
      <c r="S164" s="14" t="n"/>
      <c r="U164" s="53" t="n"/>
      <c r="V164" s="53" t="n"/>
      <c r="W164" s="53" t="n"/>
      <c r="X164" s="53" t="n"/>
      <c r="Y164" s="53" t="n"/>
      <c r="Z164" s="53" t="n"/>
      <c r="AA164" s="53" t="n"/>
      <c r="AB164" s="53" t="n"/>
      <c r="AC164" s="53" t="n"/>
      <c r="AD164" s="53" t="n"/>
      <c r="AE164" s="53" t="n"/>
      <c r="AF164" s="53" t="n"/>
      <c r="AG164" s="53" t="n"/>
      <c r="AH164" s="53" t="n"/>
      <c r="AI164" s="53" t="n"/>
      <c r="AJ164" s="53" t="n"/>
      <c r="AK164" s="53" t="n"/>
      <c r="AL164" s="53" t="n"/>
      <c r="AM164" s="53" t="n"/>
      <c r="AN164" s="53" t="n"/>
      <c r="AO164" s="53" t="n"/>
      <c r="AP164" s="53" t="n"/>
      <c r="AQ164" s="53" t="n"/>
      <c r="AR164" s="53" t="n"/>
      <c r="AS164" s="53" t="n"/>
      <c r="AT164" s="53" t="n"/>
      <c r="AU164" s="53" t="n"/>
      <c r="AV164" s="53" t="n"/>
      <c r="AW164" s="53" t="n"/>
      <c r="AX164" s="53" t="n"/>
      <c r="AY164" s="53" t="n"/>
    </row>
    <row r="165" ht="15" customHeight="1">
      <c r="A165" s="54" t="n"/>
      <c r="B165" s="55">
        <f>IF($B$164="","",$B$164)</f>
        <v/>
      </c>
      <c r="C165" s="56" t="inlineStr">
        <is>
          <t>마케팅3팀</t>
        </is>
      </c>
      <c r="D165" s="55">
        <f>IF($D$164="","",$D$164)</f>
        <v/>
      </c>
      <c r="E165" s="57" t="inlineStr">
        <is>
          <t>이미지</t>
        </is>
      </c>
      <c r="F165" s="44" t="n"/>
      <c r="G165" s="58">
        <f>IF($G$164="","",$G$164)</f>
        <v/>
      </c>
      <c r="H165" s="59" t="n"/>
      <c r="I165" s="59" t="n"/>
      <c r="J165" s="59" t="n"/>
      <c r="K165" s="59" t="n"/>
      <c r="L165" s="60">
        <f>IF(SUM(U165:AY165)=0,"",SUM(U165:AY165))</f>
        <v/>
      </c>
      <c r="M165" s="61">
        <f>IFERROR(INDEX(U$2:AY$2,MATCH(TRUE,INDEX(U165:AY165&lt;&gt;"",0),0)),"")</f>
        <v/>
      </c>
      <c r="N165" s="61">
        <f>IFERROR(LOOKUP(2,1/(U165:AY165&lt;&gt;""),U$2:AY$2),"")</f>
        <v/>
      </c>
      <c r="O165" s="59" t="n"/>
      <c r="P165" s="59" t="n"/>
      <c r="Q165" s="59" t="n"/>
      <c r="R165" s="59" t="n"/>
      <c r="S165" s="14" t="n"/>
      <c r="U165" s="53" t="n"/>
      <c r="V165" s="53" t="n"/>
      <c r="W165" s="53" t="n"/>
      <c r="X165" s="53" t="n"/>
      <c r="Y165" s="53" t="n"/>
      <c r="Z165" s="53" t="n"/>
      <c r="AA165" s="53" t="n"/>
      <c r="AB165" s="53" t="n"/>
      <c r="AC165" s="53" t="n"/>
      <c r="AD165" s="53" t="n"/>
      <c r="AE165" s="53" t="n"/>
      <c r="AF165" s="53" t="n"/>
      <c r="AG165" s="53" t="n"/>
      <c r="AH165" s="53" t="n"/>
      <c r="AI165" s="53" t="n"/>
      <c r="AJ165" s="53" t="n"/>
      <c r="AK165" s="53" t="n"/>
      <c r="AL165" s="53" t="n"/>
      <c r="AM165" s="53" t="n"/>
      <c r="AN165" s="53" t="n"/>
      <c r="AO165" s="53" t="n"/>
      <c r="AP165" s="53" t="n"/>
      <c r="AQ165" s="53" t="n"/>
      <c r="AR165" s="53" t="n"/>
      <c r="AS165" s="53" t="n"/>
      <c r="AT165" s="53" t="n"/>
      <c r="AU165" s="53" t="n"/>
      <c r="AV165" s="53" t="n"/>
      <c r="AW165" s="53" t="n"/>
      <c r="AX165" s="53" t="n"/>
      <c r="AY165" s="53" t="n"/>
    </row>
    <row r="166" ht="15" customHeight="1">
      <c r="A166" s="62" t="n"/>
      <c r="B166" s="55">
        <f>IF($B$164="","",$B$164)</f>
        <v/>
      </c>
      <c r="C166" s="63" t="inlineStr">
        <is>
          <t>마케팅3팀</t>
        </is>
      </c>
      <c r="D166" s="55">
        <f>IF($D$164="","",$D$164)</f>
        <v/>
      </c>
      <c r="E166" s="64" t="inlineStr">
        <is>
          <t>영상</t>
        </is>
      </c>
      <c r="F166" s="44" t="n"/>
      <c r="G166" s="58">
        <f>IF($G$164="","",$G$164)</f>
        <v/>
      </c>
      <c r="H166" s="59" t="n"/>
      <c r="I166" s="59" t="n"/>
      <c r="J166" s="59" t="n"/>
      <c r="K166" s="59" t="n"/>
      <c r="L166" s="65">
        <f>IF(SUM(U166:AY166)=0,"",SUM(U166:AY166))</f>
        <v/>
      </c>
      <c r="M166" s="66">
        <f>IFERROR(INDEX(U$2:AY$2,MATCH(TRUE,INDEX(U166:AY166&lt;&gt;"",0),0)),"")</f>
        <v/>
      </c>
      <c r="N166" s="66">
        <f>IFERROR(LOOKUP(2,1/(U166:AY166&lt;&gt;""),U$2:AY$2),"")</f>
        <v/>
      </c>
      <c r="O166" s="59" t="n"/>
      <c r="P166" s="59" t="n"/>
      <c r="Q166" s="59" t="n"/>
      <c r="R166" s="59" t="n"/>
      <c r="S166" s="14" t="n"/>
      <c r="U166" s="53" t="n"/>
      <c r="V166" s="53" t="n"/>
      <c r="W166" s="53" t="n"/>
      <c r="X166" s="53" t="n"/>
      <c r="Y166" s="53" t="n"/>
      <c r="Z166" s="53" t="n"/>
      <c r="AA166" s="53" t="n"/>
      <c r="AB166" s="53" t="n"/>
      <c r="AC166" s="53" t="n"/>
      <c r="AD166" s="53" t="n"/>
      <c r="AE166" s="53" t="n"/>
      <c r="AF166" s="53" t="n"/>
      <c r="AG166" s="53" t="n"/>
      <c r="AH166" s="53" t="n"/>
      <c r="AI166" s="53" t="n"/>
      <c r="AJ166" s="53" t="n"/>
      <c r="AK166" s="53" t="n"/>
      <c r="AL166" s="53" t="n"/>
      <c r="AM166" s="53" t="n"/>
      <c r="AN166" s="53" t="n"/>
      <c r="AO166" s="53" t="n"/>
      <c r="AP166" s="53" t="n"/>
      <c r="AQ166" s="53" t="n"/>
      <c r="AR166" s="53" t="n"/>
      <c r="AS166" s="53" t="n"/>
      <c r="AT166" s="53" t="n"/>
      <c r="AU166" s="53" t="n"/>
      <c r="AV166" s="53" t="n"/>
      <c r="AW166" s="53" t="n"/>
      <c r="AX166" s="53" t="n"/>
      <c r="AY166" s="53" t="n"/>
    </row>
    <row r="167" ht="15" customHeight="1">
      <c r="A167" s="40">
        <f>IF($D$167="","",53)</f>
        <v/>
      </c>
      <c r="B167" s="10" t="n"/>
      <c r="C167" s="41" t="inlineStr">
        <is>
          <t>마케팅3팀</t>
        </is>
      </c>
      <c r="D167" s="42" t="n"/>
      <c r="E167" s="43" t="inlineStr">
        <is>
          <t>기획</t>
        </is>
      </c>
      <c r="F167" s="44" t="n"/>
      <c r="G167" s="45" t="n"/>
      <c r="H167" s="46">
        <f>IF($I$167="","",IF($I$167&lt;0,"🔴지연",IF($I$167&lt;=1,"🟡임박","🟢여유")))</f>
        <v/>
      </c>
      <c r="I167" s="47">
        <f>IF(OR($G$167="",$K$167=""),"",$G$167-$K$167)</f>
        <v/>
      </c>
      <c r="J167" s="48">
        <f>IF(SUM($L$167:$L$169)=0,"",SUM($L$167:$L$169))</f>
        <v/>
      </c>
      <c r="K167" s="49">
        <f>IF($J$167="","",MAX($N$167:$N$169))</f>
        <v/>
      </c>
      <c r="L167" s="50">
        <f>IF(SUM(U167:AY167)=0,"",SUM(U167:AY167))</f>
        <v/>
      </c>
      <c r="M167" s="51">
        <f>IFERROR(INDEX(U$2:AY$2,MATCH(TRUE,INDEX(U167:AY167&lt;&gt;"",0),0)),"")</f>
        <v/>
      </c>
      <c r="N167" s="51">
        <f>IFERROR(LOOKUP(2,1/(U167:AY167&lt;&gt;""),U$2:AY$2),"")</f>
        <v/>
      </c>
      <c r="O167" s="52" t="n"/>
      <c r="P167" s="52" t="n"/>
      <c r="Q167" s="52" t="n"/>
      <c r="R167" s="44" t="n"/>
      <c r="S167" s="14" t="n"/>
      <c r="U167" s="53" t="n"/>
      <c r="V167" s="53" t="n"/>
      <c r="W167" s="53" t="n"/>
      <c r="X167" s="53" t="n"/>
      <c r="Y167" s="53" t="n"/>
      <c r="Z167" s="53" t="n"/>
      <c r="AA167" s="53" t="n"/>
      <c r="AB167" s="53" t="n"/>
      <c r="AC167" s="53" t="n"/>
      <c r="AD167" s="53" t="n"/>
      <c r="AE167" s="53" t="n"/>
      <c r="AF167" s="53" t="n"/>
      <c r="AG167" s="53" t="n"/>
      <c r="AH167" s="53" t="n"/>
      <c r="AI167" s="53" t="n"/>
      <c r="AJ167" s="53" t="n"/>
      <c r="AK167" s="53" t="n"/>
      <c r="AL167" s="53" t="n"/>
      <c r="AM167" s="53" t="n"/>
      <c r="AN167" s="53" t="n"/>
      <c r="AO167" s="53" t="n"/>
      <c r="AP167" s="53" t="n"/>
      <c r="AQ167" s="53" t="n"/>
      <c r="AR167" s="53" t="n"/>
      <c r="AS167" s="53" t="n"/>
      <c r="AT167" s="53" t="n"/>
      <c r="AU167" s="53" t="n"/>
      <c r="AV167" s="53" t="n"/>
      <c r="AW167" s="53" t="n"/>
      <c r="AX167" s="53" t="n"/>
      <c r="AY167" s="53" t="n"/>
    </row>
    <row r="168" ht="15" customHeight="1">
      <c r="A168" s="54" t="n"/>
      <c r="B168" s="55">
        <f>IF($B$167="","",$B$167)</f>
        <v/>
      </c>
      <c r="C168" s="56" t="inlineStr">
        <is>
          <t>마케팅3팀</t>
        </is>
      </c>
      <c r="D168" s="55">
        <f>IF($D$167="","",$D$167)</f>
        <v/>
      </c>
      <c r="E168" s="57" t="inlineStr">
        <is>
          <t>이미지</t>
        </is>
      </c>
      <c r="F168" s="44" t="n"/>
      <c r="G168" s="58">
        <f>IF($G$167="","",$G$167)</f>
        <v/>
      </c>
      <c r="H168" s="59" t="n"/>
      <c r="I168" s="59" t="n"/>
      <c r="J168" s="59" t="n"/>
      <c r="K168" s="59" t="n"/>
      <c r="L168" s="60">
        <f>IF(SUM(U168:AY168)=0,"",SUM(U168:AY168))</f>
        <v/>
      </c>
      <c r="M168" s="61">
        <f>IFERROR(INDEX(U$2:AY$2,MATCH(TRUE,INDEX(U168:AY168&lt;&gt;"",0),0)),"")</f>
        <v/>
      </c>
      <c r="N168" s="61">
        <f>IFERROR(LOOKUP(2,1/(U168:AY168&lt;&gt;""),U$2:AY$2),"")</f>
        <v/>
      </c>
      <c r="O168" s="59" t="n"/>
      <c r="P168" s="59" t="n"/>
      <c r="Q168" s="59" t="n"/>
      <c r="R168" s="59" t="n"/>
      <c r="S168" s="14" t="n"/>
      <c r="U168" s="53" t="n"/>
      <c r="V168" s="53" t="n"/>
      <c r="W168" s="53" t="n"/>
      <c r="X168" s="53" t="n"/>
      <c r="Y168" s="53" t="n"/>
      <c r="Z168" s="53" t="n"/>
      <c r="AA168" s="53" t="n"/>
      <c r="AB168" s="53" t="n"/>
      <c r="AC168" s="53" t="n"/>
      <c r="AD168" s="53" t="n"/>
      <c r="AE168" s="53" t="n"/>
      <c r="AF168" s="53" t="n"/>
      <c r="AG168" s="53" t="n"/>
      <c r="AH168" s="53" t="n"/>
      <c r="AI168" s="53" t="n"/>
      <c r="AJ168" s="53" t="n"/>
      <c r="AK168" s="53" t="n"/>
      <c r="AL168" s="53" t="n"/>
      <c r="AM168" s="53" t="n"/>
      <c r="AN168" s="53" t="n"/>
      <c r="AO168" s="53" t="n"/>
      <c r="AP168" s="53" t="n"/>
      <c r="AQ168" s="53" t="n"/>
      <c r="AR168" s="53" t="n"/>
      <c r="AS168" s="53" t="n"/>
      <c r="AT168" s="53" t="n"/>
      <c r="AU168" s="53" t="n"/>
      <c r="AV168" s="53" t="n"/>
      <c r="AW168" s="53" t="n"/>
      <c r="AX168" s="53" t="n"/>
      <c r="AY168" s="53" t="n"/>
    </row>
    <row r="169" ht="15" customHeight="1">
      <c r="A169" s="62" t="n"/>
      <c r="B169" s="55">
        <f>IF($B$167="","",$B$167)</f>
        <v/>
      </c>
      <c r="C169" s="63" t="inlineStr">
        <is>
          <t>마케팅3팀</t>
        </is>
      </c>
      <c r="D169" s="55">
        <f>IF($D$167="","",$D$167)</f>
        <v/>
      </c>
      <c r="E169" s="64" t="inlineStr">
        <is>
          <t>영상</t>
        </is>
      </c>
      <c r="F169" s="44" t="n"/>
      <c r="G169" s="58">
        <f>IF($G$167="","",$G$167)</f>
        <v/>
      </c>
      <c r="H169" s="59" t="n"/>
      <c r="I169" s="59" t="n"/>
      <c r="J169" s="59" t="n"/>
      <c r="K169" s="59" t="n"/>
      <c r="L169" s="65">
        <f>IF(SUM(U169:AY169)=0,"",SUM(U169:AY169))</f>
        <v/>
      </c>
      <c r="M169" s="66">
        <f>IFERROR(INDEX(U$2:AY$2,MATCH(TRUE,INDEX(U169:AY169&lt;&gt;"",0),0)),"")</f>
        <v/>
      </c>
      <c r="N169" s="66">
        <f>IFERROR(LOOKUP(2,1/(U169:AY169&lt;&gt;""),U$2:AY$2),"")</f>
        <v/>
      </c>
      <c r="O169" s="59" t="n"/>
      <c r="P169" s="59" t="n"/>
      <c r="Q169" s="59" t="n"/>
      <c r="R169" s="59" t="n"/>
      <c r="S169" s="14" t="n"/>
      <c r="U169" s="53" t="n"/>
      <c r="V169" s="53" t="n"/>
      <c r="W169" s="53" t="n"/>
      <c r="X169" s="53" t="n"/>
      <c r="Y169" s="53" t="n"/>
      <c r="Z169" s="53" t="n"/>
      <c r="AA169" s="53" t="n"/>
      <c r="AB169" s="53" t="n"/>
      <c r="AC169" s="53" t="n"/>
      <c r="AD169" s="53" t="n"/>
      <c r="AE169" s="53" t="n"/>
      <c r="AF169" s="53" t="n"/>
      <c r="AG169" s="53" t="n"/>
      <c r="AH169" s="53" t="n"/>
      <c r="AI169" s="53" t="n"/>
      <c r="AJ169" s="53" t="n"/>
      <c r="AK169" s="53" t="n"/>
      <c r="AL169" s="53" t="n"/>
      <c r="AM169" s="53" t="n"/>
      <c r="AN169" s="53" t="n"/>
      <c r="AO169" s="53" t="n"/>
      <c r="AP169" s="53" t="n"/>
      <c r="AQ169" s="53" t="n"/>
      <c r="AR169" s="53" t="n"/>
      <c r="AS169" s="53" t="n"/>
      <c r="AT169" s="53" t="n"/>
      <c r="AU169" s="53" t="n"/>
      <c r="AV169" s="53" t="n"/>
      <c r="AW169" s="53" t="n"/>
      <c r="AX169" s="53" t="n"/>
      <c r="AY169" s="53" t="n"/>
    </row>
    <row r="170" ht="15" customHeight="1">
      <c r="A170" s="40">
        <f>IF($D$170="","",54)</f>
        <v/>
      </c>
      <c r="B170" s="10" t="n"/>
      <c r="C170" s="41" t="inlineStr">
        <is>
          <t>마케팅3팀</t>
        </is>
      </c>
      <c r="D170" s="42" t="n"/>
      <c r="E170" s="43" t="inlineStr">
        <is>
          <t>기획</t>
        </is>
      </c>
      <c r="F170" s="44" t="n"/>
      <c r="G170" s="45" t="n"/>
      <c r="H170" s="46">
        <f>IF($I$170="","",IF($I$170&lt;0,"🔴지연",IF($I$170&lt;=1,"🟡임박","🟢여유")))</f>
        <v/>
      </c>
      <c r="I170" s="47">
        <f>IF(OR($G$170="",$K$170=""),"",$G$170-$K$170)</f>
        <v/>
      </c>
      <c r="J170" s="48">
        <f>IF(SUM($L$170:$L$172)=0,"",SUM($L$170:$L$172))</f>
        <v/>
      </c>
      <c r="K170" s="49">
        <f>IF($J$170="","",MAX($N$170:$N$172))</f>
        <v/>
      </c>
      <c r="L170" s="50">
        <f>IF(SUM(U170:AY170)=0,"",SUM(U170:AY170))</f>
        <v/>
      </c>
      <c r="M170" s="51">
        <f>IFERROR(INDEX(U$2:AY$2,MATCH(TRUE,INDEX(U170:AY170&lt;&gt;"",0),0)),"")</f>
        <v/>
      </c>
      <c r="N170" s="51">
        <f>IFERROR(LOOKUP(2,1/(U170:AY170&lt;&gt;""),U$2:AY$2),"")</f>
        <v/>
      </c>
      <c r="O170" s="52" t="n"/>
      <c r="P170" s="52" t="n"/>
      <c r="Q170" s="52" t="n"/>
      <c r="R170" s="44" t="n"/>
      <c r="S170" s="14" t="n"/>
      <c r="U170" s="53" t="n"/>
      <c r="V170" s="53" t="n"/>
      <c r="W170" s="53" t="n"/>
      <c r="X170" s="53" t="n"/>
      <c r="Y170" s="53" t="n"/>
      <c r="Z170" s="53" t="n"/>
      <c r="AA170" s="53" t="n"/>
      <c r="AB170" s="53" t="n"/>
      <c r="AC170" s="53" t="n"/>
      <c r="AD170" s="53" t="n"/>
      <c r="AE170" s="53" t="n"/>
      <c r="AF170" s="53" t="n"/>
      <c r="AG170" s="53" t="n"/>
      <c r="AH170" s="53" t="n"/>
      <c r="AI170" s="53" t="n"/>
      <c r="AJ170" s="53" t="n"/>
      <c r="AK170" s="53" t="n"/>
      <c r="AL170" s="53" t="n"/>
      <c r="AM170" s="53" t="n"/>
      <c r="AN170" s="53" t="n"/>
      <c r="AO170" s="53" t="n"/>
      <c r="AP170" s="53" t="n"/>
      <c r="AQ170" s="53" t="n"/>
      <c r="AR170" s="53" t="n"/>
      <c r="AS170" s="53" t="n"/>
      <c r="AT170" s="53" t="n"/>
      <c r="AU170" s="53" t="n"/>
      <c r="AV170" s="53" t="n"/>
      <c r="AW170" s="53" t="n"/>
      <c r="AX170" s="53" t="n"/>
      <c r="AY170" s="53" t="n"/>
    </row>
    <row r="171" ht="15" customHeight="1">
      <c r="A171" s="54" t="n"/>
      <c r="B171" s="55">
        <f>IF($B$170="","",$B$170)</f>
        <v/>
      </c>
      <c r="C171" s="56" t="inlineStr">
        <is>
          <t>마케팅3팀</t>
        </is>
      </c>
      <c r="D171" s="55">
        <f>IF($D$170="","",$D$170)</f>
        <v/>
      </c>
      <c r="E171" s="57" t="inlineStr">
        <is>
          <t>이미지</t>
        </is>
      </c>
      <c r="F171" s="44" t="n"/>
      <c r="G171" s="58">
        <f>IF($G$170="","",$G$170)</f>
        <v/>
      </c>
      <c r="H171" s="59" t="n"/>
      <c r="I171" s="59" t="n"/>
      <c r="J171" s="59" t="n"/>
      <c r="K171" s="59" t="n"/>
      <c r="L171" s="60">
        <f>IF(SUM(U171:AY171)=0,"",SUM(U171:AY171))</f>
        <v/>
      </c>
      <c r="M171" s="61">
        <f>IFERROR(INDEX(U$2:AY$2,MATCH(TRUE,INDEX(U171:AY171&lt;&gt;"",0),0)),"")</f>
        <v/>
      </c>
      <c r="N171" s="61">
        <f>IFERROR(LOOKUP(2,1/(U171:AY171&lt;&gt;""),U$2:AY$2),"")</f>
        <v/>
      </c>
      <c r="O171" s="59" t="n"/>
      <c r="P171" s="59" t="n"/>
      <c r="Q171" s="59" t="n"/>
      <c r="R171" s="59" t="n"/>
      <c r="S171" s="14" t="n"/>
      <c r="U171" s="53" t="n"/>
      <c r="V171" s="53" t="n"/>
      <c r="W171" s="53" t="n"/>
      <c r="X171" s="53" t="n"/>
      <c r="Y171" s="53" t="n"/>
      <c r="Z171" s="53" t="n"/>
      <c r="AA171" s="53" t="n"/>
      <c r="AB171" s="53" t="n"/>
      <c r="AC171" s="53" t="n"/>
      <c r="AD171" s="53" t="n"/>
      <c r="AE171" s="53" t="n"/>
      <c r="AF171" s="53" t="n"/>
      <c r="AG171" s="53" t="n"/>
      <c r="AH171" s="53" t="n"/>
      <c r="AI171" s="53" t="n"/>
      <c r="AJ171" s="53" t="n"/>
      <c r="AK171" s="53" t="n"/>
      <c r="AL171" s="53" t="n"/>
      <c r="AM171" s="53" t="n"/>
      <c r="AN171" s="53" t="n"/>
      <c r="AO171" s="53" t="n"/>
      <c r="AP171" s="53" t="n"/>
      <c r="AQ171" s="53" t="n"/>
      <c r="AR171" s="53" t="n"/>
      <c r="AS171" s="53" t="n"/>
      <c r="AT171" s="53" t="n"/>
      <c r="AU171" s="53" t="n"/>
      <c r="AV171" s="53" t="n"/>
      <c r="AW171" s="53" t="n"/>
      <c r="AX171" s="53" t="n"/>
      <c r="AY171" s="53" t="n"/>
    </row>
    <row r="172" ht="15" customHeight="1">
      <c r="A172" s="62" t="n"/>
      <c r="B172" s="55">
        <f>IF($B$170="","",$B$170)</f>
        <v/>
      </c>
      <c r="C172" s="63" t="inlineStr">
        <is>
          <t>마케팅3팀</t>
        </is>
      </c>
      <c r="D172" s="55">
        <f>IF($D$170="","",$D$170)</f>
        <v/>
      </c>
      <c r="E172" s="64" t="inlineStr">
        <is>
          <t>영상</t>
        </is>
      </c>
      <c r="F172" s="44" t="n"/>
      <c r="G172" s="58">
        <f>IF($G$170="","",$G$170)</f>
        <v/>
      </c>
      <c r="H172" s="59" t="n"/>
      <c r="I172" s="59" t="n"/>
      <c r="J172" s="59" t="n"/>
      <c r="K172" s="59" t="n"/>
      <c r="L172" s="65">
        <f>IF(SUM(U172:AY172)=0,"",SUM(U172:AY172))</f>
        <v/>
      </c>
      <c r="M172" s="66">
        <f>IFERROR(INDEX(U$2:AY$2,MATCH(TRUE,INDEX(U172:AY172&lt;&gt;"",0),0)),"")</f>
        <v/>
      </c>
      <c r="N172" s="66">
        <f>IFERROR(LOOKUP(2,1/(U172:AY172&lt;&gt;""),U$2:AY$2),"")</f>
        <v/>
      </c>
      <c r="O172" s="59" t="n"/>
      <c r="P172" s="59" t="n"/>
      <c r="Q172" s="59" t="n"/>
      <c r="R172" s="59" t="n"/>
      <c r="S172" s="14" t="n"/>
      <c r="U172" s="53" t="n"/>
      <c r="V172" s="53" t="n"/>
      <c r="W172" s="53" t="n"/>
      <c r="X172" s="53" t="n"/>
      <c r="Y172" s="53" t="n"/>
      <c r="Z172" s="53" t="n"/>
      <c r="AA172" s="53" t="n"/>
      <c r="AB172" s="53" t="n"/>
      <c r="AC172" s="53" t="n"/>
      <c r="AD172" s="53" t="n"/>
      <c r="AE172" s="53" t="n"/>
      <c r="AF172" s="53" t="n"/>
      <c r="AG172" s="53" t="n"/>
      <c r="AH172" s="53" t="n"/>
      <c r="AI172" s="53" t="n"/>
      <c r="AJ172" s="53" t="n"/>
      <c r="AK172" s="53" t="n"/>
      <c r="AL172" s="53" t="n"/>
      <c r="AM172" s="53" t="n"/>
      <c r="AN172" s="53" t="n"/>
      <c r="AO172" s="53" t="n"/>
      <c r="AP172" s="53" t="n"/>
      <c r="AQ172" s="53" t="n"/>
      <c r="AR172" s="53" t="n"/>
      <c r="AS172" s="53" t="n"/>
      <c r="AT172" s="53" t="n"/>
      <c r="AU172" s="53" t="n"/>
      <c r="AV172" s="53" t="n"/>
      <c r="AW172" s="53" t="n"/>
      <c r="AX172" s="53" t="n"/>
      <c r="AY172" s="53" t="n"/>
    </row>
    <row r="173" ht="15" customHeight="1">
      <c r="A173" s="40">
        <f>IF($D$173="","",55)</f>
        <v/>
      </c>
      <c r="B173" s="10" t="n"/>
      <c r="C173" s="41" t="inlineStr">
        <is>
          <t>마케팅3팀</t>
        </is>
      </c>
      <c r="D173" s="42" t="n"/>
      <c r="E173" s="43" t="inlineStr">
        <is>
          <t>기획</t>
        </is>
      </c>
      <c r="F173" s="44" t="n"/>
      <c r="G173" s="45" t="n"/>
      <c r="H173" s="46">
        <f>IF($I$173="","",IF($I$173&lt;0,"🔴지연",IF($I$173&lt;=1,"🟡임박","🟢여유")))</f>
        <v/>
      </c>
      <c r="I173" s="47">
        <f>IF(OR($G$173="",$K$173=""),"",$G$173-$K$173)</f>
        <v/>
      </c>
      <c r="J173" s="48">
        <f>IF(SUM($L$173:$L$175)=0,"",SUM($L$173:$L$175))</f>
        <v/>
      </c>
      <c r="K173" s="49">
        <f>IF($J$173="","",MAX($N$173:$N$175))</f>
        <v/>
      </c>
      <c r="L173" s="50">
        <f>IF(SUM(U173:AY173)=0,"",SUM(U173:AY173))</f>
        <v/>
      </c>
      <c r="M173" s="51">
        <f>IFERROR(INDEX(U$2:AY$2,MATCH(TRUE,INDEX(U173:AY173&lt;&gt;"",0),0)),"")</f>
        <v/>
      </c>
      <c r="N173" s="51">
        <f>IFERROR(LOOKUP(2,1/(U173:AY173&lt;&gt;""),U$2:AY$2),"")</f>
        <v/>
      </c>
      <c r="O173" s="52" t="n"/>
      <c r="P173" s="52" t="n"/>
      <c r="Q173" s="52" t="n"/>
      <c r="R173" s="44" t="n"/>
      <c r="S173" s="14" t="n"/>
      <c r="U173" s="53" t="n"/>
      <c r="V173" s="53" t="n"/>
      <c r="W173" s="53" t="n"/>
      <c r="X173" s="53" t="n"/>
      <c r="Y173" s="53" t="n"/>
      <c r="Z173" s="53" t="n"/>
      <c r="AA173" s="53" t="n"/>
      <c r="AB173" s="53" t="n"/>
      <c r="AC173" s="53" t="n"/>
      <c r="AD173" s="53" t="n"/>
      <c r="AE173" s="53" t="n"/>
      <c r="AF173" s="53" t="n"/>
      <c r="AG173" s="53" t="n"/>
      <c r="AH173" s="53" t="n"/>
      <c r="AI173" s="53" t="n"/>
      <c r="AJ173" s="53" t="n"/>
      <c r="AK173" s="53" t="n"/>
      <c r="AL173" s="53" t="n"/>
      <c r="AM173" s="53" t="n"/>
      <c r="AN173" s="53" t="n"/>
      <c r="AO173" s="53" t="n"/>
      <c r="AP173" s="53" t="n"/>
      <c r="AQ173" s="53" t="n"/>
      <c r="AR173" s="53" t="n"/>
      <c r="AS173" s="53" t="n"/>
      <c r="AT173" s="53" t="n"/>
      <c r="AU173" s="53" t="n"/>
      <c r="AV173" s="53" t="n"/>
      <c r="AW173" s="53" t="n"/>
      <c r="AX173" s="53" t="n"/>
      <c r="AY173" s="53" t="n"/>
    </row>
    <row r="174" ht="15" customHeight="1">
      <c r="A174" s="54" t="n"/>
      <c r="B174" s="55">
        <f>IF($B$173="","",$B$173)</f>
        <v/>
      </c>
      <c r="C174" s="56" t="inlineStr">
        <is>
          <t>마케팅3팀</t>
        </is>
      </c>
      <c r="D174" s="55">
        <f>IF($D$173="","",$D$173)</f>
        <v/>
      </c>
      <c r="E174" s="57" t="inlineStr">
        <is>
          <t>이미지</t>
        </is>
      </c>
      <c r="F174" s="44" t="n"/>
      <c r="G174" s="58">
        <f>IF($G$173="","",$G$173)</f>
        <v/>
      </c>
      <c r="H174" s="59" t="n"/>
      <c r="I174" s="59" t="n"/>
      <c r="J174" s="59" t="n"/>
      <c r="K174" s="59" t="n"/>
      <c r="L174" s="60">
        <f>IF(SUM(U174:AY174)=0,"",SUM(U174:AY174))</f>
        <v/>
      </c>
      <c r="M174" s="61">
        <f>IFERROR(INDEX(U$2:AY$2,MATCH(TRUE,INDEX(U174:AY174&lt;&gt;"",0),0)),"")</f>
        <v/>
      </c>
      <c r="N174" s="61">
        <f>IFERROR(LOOKUP(2,1/(U174:AY174&lt;&gt;""),U$2:AY$2),"")</f>
        <v/>
      </c>
      <c r="O174" s="59" t="n"/>
      <c r="P174" s="59" t="n"/>
      <c r="Q174" s="59" t="n"/>
      <c r="R174" s="59" t="n"/>
      <c r="S174" s="14" t="n"/>
      <c r="U174" s="53" t="n"/>
      <c r="V174" s="53" t="n"/>
      <c r="W174" s="53" t="n"/>
      <c r="X174" s="53" t="n"/>
      <c r="Y174" s="53" t="n"/>
      <c r="Z174" s="53" t="n"/>
      <c r="AA174" s="53" t="n"/>
      <c r="AB174" s="53" t="n"/>
      <c r="AC174" s="53" t="n"/>
      <c r="AD174" s="53" t="n"/>
      <c r="AE174" s="53" t="n"/>
      <c r="AF174" s="53" t="n"/>
      <c r="AG174" s="53" t="n"/>
      <c r="AH174" s="53" t="n"/>
      <c r="AI174" s="53" t="n"/>
      <c r="AJ174" s="53" t="n"/>
      <c r="AK174" s="53" t="n"/>
      <c r="AL174" s="53" t="n"/>
      <c r="AM174" s="53" t="n"/>
      <c r="AN174" s="53" t="n"/>
      <c r="AO174" s="53" t="n"/>
      <c r="AP174" s="53" t="n"/>
      <c r="AQ174" s="53" t="n"/>
      <c r="AR174" s="53" t="n"/>
      <c r="AS174" s="53" t="n"/>
      <c r="AT174" s="53" t="n"/>
      <c r="AU174" s="53" t="n"/>
      <c r="AV174" s="53" t="n"/>
      <c r="AW174" s="53" t="n"/>
      <c r="AX174" s="53" t="n"/>
      <c r="AY174" s="53" t="n"/>
    </row>
    <row r="175" ht="15" customHeight="1">
      <c r="A175" s="62" t="n"/>
      <c r="B175" s="55">
        <f>IF($B$173="","",$B$173)</f>
        <v/>
      </c>
      <c r="C175" s="63" t="inlineStr">
        <is>
          <t>마케팅3팀</t>
        </is>
      </c>
      <c r="D175" s="55">
        <f>IF($D$173="","",$D$173)</f>
        <v/>
      </c>
      <c r="E175" s="64" t="inlineStr">
        <is>
          <t>영상</t>
        </is>
      </c>
      <c r="F175" s="44" t="n"/>
      <c r="G175" s="58">
        <f>IF($G$173="","",$G$173)</f>
        <v/>
      </c>
      <c r="H175" s="59" t="n"/>
      <c r="I175" s="59" t="n"/>
      <c r="J175" s="59" t="n"/>
      <c r="K175" s="59" t="n"/>
      <c r="L175" s="65">
        <f>IF(SUM(U175:AY175)=0,"",SUM(U175:AY175))</f>
        <v/>
      </c>
      <c r="M175" s="66">
        <f>IFERROR(INDEX(U$2:AY$2,MATCH(TRUE,INDEX(U175:AY175&lt;&gt;"",0),0)),"")</f>
        <v/>
      </c>
      <c r="N175" s="66">
        <f>IFERROR(LOOKUP(2,1/(U175:AY175&lt;&gt;""),U$2:AY$2),"")</f>
        <v/>
      </c>
      <c r="O175" s="59" t="n"/>
      <c r="P175" s="59" t="n"/>
      <c r="Q175" s="59" t="n"/>
      <c r="R175" s="59" t="n"/>
      <c r="S175" s="14" t="n"/>
      <c r="U175" s="53" t="n"/>
      <c r="V175" s="53" t="n"/>
      <c r="W175" s="53" t="n"/>
      <c r="X175" s="53" t="n"/>
      <c r="Y175" s="53" t="n"/>
      <c r="Z175" s="53" t="n"/>
      <c r="AA175" s="53" t="n"/>
      <c r="AB175" s="53" t="n"/>
      <c r="AC175" s="53" t="n"/>
      <c r="AD175" s="53" t="n"/>
      <c r="AE175" s="53" t="n"/>
      <c r="AF175" s="53" t="n"/>
      <c r="AG175" s="53" t="n"/>
      <c r="AH175" s="53" t="n"/>
      <c r="AI175" s="53" t="n"/>
      <c r="AJ175" s="53" t="n"/>
      <c r="AK175" s="53" t="n"/>
      <c r="AL175" s="53" t="n"/>
      <c r="AM175" s="53" t="n"/>
      <c r="AN175" s="53" t="n"/>
      <c r="AO175" s="53" t="n"/>
      <c r="AP175" s="53" t="n"/>
      <c r="AQ175" s="53" t="n"/>
      <c r="AR175" s="53" t="n"/>
      <c r="AS175" s="53" t="n"/>
      <c r="AT175" s="53" t="n"/>
      <c r="AU175" s="53" t="n"/>
      <c r="AV175" s="53" t="n"/>
      <c r="AW175" s="53" t="n"/>
      <c r="AX175" s="53" t="n"/>
      <c r="AY175" s="53" t="n"/>
    </row>
    <row r="176" ht="15" customHeight="1">
      <c r="A176" s="40">
        <f>IF($D$176="","",56)</f>
        <v/>
      </c>
      <c r="B176" s="10" t="n"/>
      <c r="C176" s="41" t="inlineStr">
        <is>
          <t>마케팅3팀</t>
        </is>
      </c>
      <c r="D176" s="42" t="n"/>
      <c r="E176" s="43" t="inlineStr">
        <is>
          <t>기획</t>
        </is>
      </c>
      <c r="F176" s="44" t="n"/>
      <c r="G176" s="45" t="n"/>
      <c r="H176" s="46">
        <f>IF($I$176="","",IF($I$176&lt;0,"🔴지연",IF($I$176&lt;=1,"🟡임박","🟢여유")))</f>
        <v/>
      </c>
      <c r="I176" s="47">
        <f>IF(OR($G$176="",$K$176=""),"",$G$176-$K$176)</f>
        <v/>
      </c>
      <c r="J176" s="48">
        <f>IF(SUM($L$176:$L$178)=0,"",SUM($L$176:$L$178))</f>
        <v/>
      </c>
      <c r="K176" s="49">
        <f>IF($J$176="","",MAX($N$176:$N$178))</f>
        <v/>
      </c>
      <c r="L176" s="50">
        <f>IF(SUM(U176:AY176)=0,"",SUM(U176:AY176))</f>
        <v/>
      </c>
      <c r="M176" s="51">
        <f>IFERROR(INDEX(U$2:AY$2,MATCH(TRUE,INDEX(U176:AY176&lt;&gt;"",0),0)),"")</f>
        <v/>
      </c>
      <c r="N176" s="51">
        <f>IFERROR(LOOKUP(2,1/(U176:AY176&lt;&gt;""),U$2:AY$2),"")</f>
        <v/>
      </c>
      <c r="O176" s="52" t="n"/>
      <c r="P176" s="52" t="n"/>
      <c r="Q176" s="52" t="n"/>
      <c r="R176" s="44" t="n"/>
      <c r="S176" s="14" t="n"/>
      <c r="U176" s="53" t="n"/>
      <c r="V176" s="53" t="n"/>
      <c r="W176" s="53" t="n"/>
      <c r="X176" s="53" t="n"/>
      <c r="Y176" s="53" t="n"/>
      <c r="Z176" s="53" t="n"/>
      <c r="AA176" s="53" t="n"/>
      <c r="AB176" s="53" t="n"/>
      <c r="AC176" s="53" t="n"/>
      <c r="AD176" s="53" t="n"/>
      <c r="AE176" s="53" t="n"/>
      <c r="AF176" s="53" t="n"/>
      <c r="AG176" s="53" t="n"/>
      <c r="AH176" s="53" t="n"/>
      <c r="AI176" s="53" t="n"/>
      <c r="AJ176" s="53" t="n"/>
      <c r="AK176" s="53" t="n"/>
      <c r="AL176" s="53" t="n"/>
      <c r="AM176" s="53" t="n"/>
      <c r="AN176" s="53" t="n"/>
      <c r="AO176" s="53" t="n"/>
      <c r="AP176" s="53" t="n"/>
      <c r="AQ176" s="53" t="n"/>
      <c r="AR176" s="53" t="n"/>
      <c r="AS176" s="53" t="n"/>
      <c r="AT176" s="53" t="n"/>
      <c r="AU176" s="53" t="n"/>
      <c r="AV176" s="53" t="n"/>
      <c r="AW176" s="53" t="n"/>
      <c r="AX176" s="53" t="n"/>
      <c r="AY176" s="53" t="n"/>
    </row>
    <row r="177" ht="15" customHeight="1">
      <c r="A177" s="54" t="n"/>
      <c r="B177" s="55">
        <f>IF($B$176="","",$B$176)</f>
        <v/>
      </c>
      <c r="C177" s="56" t="inlineStr">
        <is>
          <t>마케팅3팀</t>
        </is>
      </c>
      <c r="D177" s="55">
        <f>IF($D$176="","",$D$176)</f>
        <v/>
      </c>
      <c r="E177" s="57" t="inlineStr">
        <is>
          <t>이미지</t>
        </is>
      </c>
      <c r="F177" s="44" t="n"/>
      <c r="G177" s="58">
        <f>IF($G$176="","",$G$176)</f>
        <v/>
      </c>
      <c r="H177" s="59" t="n"/>
      <c r="I177" s="59" t="n"/>
      <c r="J177" s="59" t="n"/>
      <c r="K177" s="59" t="n"/>
      <c r="L177" s="60">
        <f>IF(SUM(U177:AY177)=0,"",SUM(U177:AY177))</f>
        <v/>
      </c>
      <c r="M177" s="61">
        <f>IFERROR(INDEX(U$2:AY$2,MATCH(TRUE,INDEX(U177:AY177&lt;&gt;"",0),0)),"")</f>
        <v/>
      </c>
      <c r="N177" s="61">
        <f>IFERROR(LOOKUP(2,1/(U177:AY177&lt;&gt;""),U$2:AY$2),"")</f>
        <v/>
      </c>
      <c r="O177" s="59" t="n"/>
      <c r="P177" s="59" t="n"/>
      <c r="Q177" s="59" t="n"/>
      <c r="R177" s="59" t="n"/>
      <c r="S177" s="14" t="n"/>
      <c r="U177" s="53" t="n"/>
      <c r="V177" s="53" t="n"/>
      <c r="W177" s="53" t="n"/>
      <c r="X177" s="53" t="n"/>
      <c r="Y177" s="53" t="n"/>
      <c r="Z177" s="53" t="n"/>
      <c r="AA177" s="53" t="n"/>
      <c r="AB177" s="53" t="n"/>
      <c r="AC177" s="53" t="n"/>
      <c r="AD177" s="53" t="n"/>
      <c r="AE177" s="53" t="n"/>
      <c r="AF177" s="53" t="n"/>
      <c r="AG177" s="53" t="n"/>
      <c r="AH177" s="53" t="n"/>
      <c r="AI177" s="53" t="n"/>
      <c r="AJ177" s="53" t="n"/>
      <c r="AK177" s="53" t="n"/>
      <c r="AL177" s="53" t="n"/>
      <c r="AM177" s="53" t="n"/>
      <c r="AN177" s="53" t="n"/>
      <c r="AO177" s="53" t="n"/>
      <c r="AP177" s="53" t="n"/>
      <c r="AQ177" s="53" t="n"/>
      <c r="AR177" s="53" t="n"/>
      <c r="AS177" s="53" t="n"/>
      <c r="AT177" s="53" t="n"/>
      <c r="AU177" s="53" t="n"/>
      <c r="AV177" s="53" t="n"/>
      <c r="AW177" s="53" t="n"/>
      <c r="AX177" s="53" t="n"/>
      <c r="AY177" s="53" t="n"/>
    </row>
    <row r="178" ht="15" customHeight="1">
      <c r="A178" s="62" t="n"/>
      <c r="B178" s="55">
        <f>IF($B$176="","",$B$176)</f>
        <v/>
      </c>
      <c r="C178" s="63" t="inlineStr">
        <is>
          <t>마케팅3팀</t>
        </is>
      </c>
      <c r="D178" s="55">
        <f>IF($D$176="","",$D$176)</f>
        <v/>
      </c>
      <c r="E178" s="64" t="inlineStr">
        <is>
          <t>영상</t>
        </is>
      </c>
      <c r="F178" s="44" t="n"/>
      <c r="G178" s="58">
        <f>IF($G$176="","",$G$176)</f>
        <v/>
      </c>
      <c r="H178" s="59" t="n"/>
      <c r="I178" s="59" t="n"/>
      <c r="J178" s="59" t="n"/>
      <c r="K178" s="59" t="n"/>
      <c r="L178" s="65">
        <f>IF(SUM(U178:AY178)=0,"",SUM(U178:AY178))</f>
        <v/>
      </c>
      <c r="M178" s="66">
        <f>IFERROR(INDEX(U$2:AY$2,MATCH(TRUE,INDEX(U178:AY178&lt;&gt;"",0),0)),"")</f>
        <v/>
      </c>
      <c r="N178" s="66">
        <f>IFERROR(LOOKUP(2,1/(U178:AY178&lt;&gt;""),U$2:AY$2),"")</f>
        <v/>
      </c>
      <c r="O178" s="59" t="n"/>
      <c r="P178" s="59" t="n"/>
      <c r="Q178" s="59" t="n"/>
      <c r="R178" s="59" t="n"/>
      <c r="S178" s="14" t="n"/>
      <c r="U178" s="53" t="n"/>
      <c r="V178" s="53" t="n"/>
      <c r="W178" s="53" t="n"/>
      <c r="X178" s="53" t="n"/>
      <c r="Y178" s="53" t="n"/>
      <c r="Z178" s="53" t="n"/>
      <c r="AA178" s="53" t="n"/>
      <c r="AB178" s="53" t="n"/>
      <c r="AC178" s="53" t="n"/>
      <c r="AD178" s="53" t="n"/>
      <c r="AE178" s="53" t="n"/>
      <c r="AF178" s="53" t="n"/>
      <c r="AG178" s="53" t="n"/>
      <c r="AH178" s="53" t="n"/>
      <c r="AI178" s="53" t="n"/>
      <c r="AJ178" s="53" t="n"/>
      <c r="AK178" s="53" t="n"/>
      <c r="AL178" s="53" t="n"/>
      <c r="AM178" s="53" t="n"/>
      <c r="AN178" s="53" t="n"/>
      <c r="AO178" s="53" t="n"/>
      <c r="AP178" s="53" t="n"/>
      <c r="AQ178" s="53" t="n"/>
      <c r="AR178" s="53" t="n"/>
      <c r="AS178" s="53" t="n"/>
      <c r="AT178" s="53" t="n"/>
      <c r="AU178" s="53" t="n"/>
      <c r="AV178" s="53" t="n"/>
      <c r="AW178" s="53" t="n"/>
      <c r="AX178" s="53" t="n"/>
      <c r="AY178" s="53" t="n"/>
    </row>
    <row r="179" ht="15" customHeight="1">
      <c r="A179" s="40">
        <f>IF($D$179="","",57)</f>
        <v/>
      </c>
      <c r="B179" s="10" t="n"/>
      <c r="C179" s="41" t="inlineStr">
        <is>
          <t>마케팅3팀</t>
        </is>
      </c>
      <c r="D179" s="42" t="n"/>
      <c r="E179" s="43" t="inlineStr">
        <is>
          <t>기획</t>
        </is>
      </c>
      <c r="F179" s="44" t="n"/>
      <c r="G179" s="45" t="n"/>
      <c r="H179" s="46">
        <f>IF($I$179="","",IF($I$179&lt;0,"🔴지연",IF($I$179&lt;=1,"🟡임박","🟢여유")))</f>
        <v/>
      </c>
      <c r="I179" s="47">
        <f>IF(OR($G$179="",$K$179=""),"",$G$179-$K$179)</f>
        <v/>
      </c>
      <c r="J179" s="48">
        <f>IF(SUM($L$179:$L$181)=0,"",SUM($L$179:$L$181))</f>
        <v/>
      </c>
      <c r="K179" s="49">
        <f>IF($J$179="","",MAX($N$179:$N$181))</f>
        <v/>
      </c>
      <c r="L179" s="50">
        <f>IF(SUM(U179:AY179)=0,"",SUM(U179:AY179))</f>
        <v/>
      </c>
      <c r="M179" s="51">
        <f>IFERROR(INDEX(U$2:AY$2,MATCH(TRUE,INDEX(U179:AY179&lt;&gt;"",0),0)),"")</f>
        <v/>
      </c>
      <c r="N179" s="51">
        <f>IFERROR(LOOKUP(2,1/(U179:AY179&lt;&gt;""),U$2:AY$2),"")</f>
        <v/>
      </c>
      <c r="O179" s="52" t="n"/>
      <c r="P179" s="52" t="n"/>
      <c r="Q179" s="52" t="n"/>
      <c r="R179" s="44" t="n"/>
      <c r="S179" s="14" t="n"/>
      <c r="U179" s="53" t="n"/>
      <c r="V179" s="53" t="n"/>
      <c r="W179" s="53" t="n"/>
      <c r="X179" s="53" t="n"/>
      <c r="Y179" s="53" t="n"/>
      <c r="Z179" s="53" t="n"/>
      <c r="AA179" s="53" t="n"/>
      <c r="AB179" s="53" t="n"/>
      <c r="AC179" s="53" t="n"/>
      <c r="AD179" s="53" t="n"/>
      <c r="AE179" s="53" t="n"/>
      <c r="AF179" s="53" t="n"/>
      <c r="AG179" s="53" t="n"/>
      <c r="AH179" s="53" t="n"/>
      <c r="AI179" s="53" t="n"/>
      <c r="AJ179" s="53" t="n"/>
      <c r="AK179" s="53" t="n"/>
      <c r="AL179" s="53" t="n"/>
      <c r="AM179" s="53" t="n"/>
      <c r="AN179" s="53" t="n"/>
      <c r="AO179" s="53" t="n"/>
      <c r="AP179" s="53" t="n"/>
      <c r="AQ179" s="53" t="n"/>
      <c r="AR179" s="53" t="n"/>
      <c r="AS179" s="53" t="n"/>
      <c r="AT179" s="53" t="n"/>
      <c r="AU179" s="53" t="n"/>
      <c r="AV179" s="53" t="n"/>
      <c r="AW179" s="53" t="n"/>
      <c r="AX179" s="53" t="n"/>
      <c r="AY179" s="53" t="n"/>
    </row>
    <row r="180" ht="15" customHeight="1">
      <c r="A180" s="54" t="n"/>
      <c r="B180" s="55">
        <f>IF($B$179="","",$B$179)</f>
        <v/>
      </c>
      <c r="C180" s="56" t="inlineStr">
        <is>
          <t>마케팅3팀</t>
        </is>
      </c>
      <c r="D180" s="55">
        <f>IF($D$179="","",$D$179)</f>
        <v/>
      </c>
      <c r="E180" s="57" t="inlineStr">
        <is>
          <t>이미지</t>
        </is>
      </c>
      <c r="F180" s="44" t="n"/>
      <c r="G180" s="58">
        <f>IF($G$179="","",$G$179)</f>
        <v/>
      </c>
      <c r="H180" s="59" t="n"/>
      <c r="I180" s="59" t="n"/>
      <c r="J180" s="59" t="n"/>
      <c r="K180" s="59" t="n"/>
      <c r="L180" s="60">
        <f>IF(SUM(U180:AY180)=0,"",SUM(U180:AY180))</f>
        <v/>
      </c>
      <c r="M180" s="61">
        <f>IFERROR(INDEX(U$2:AY$2,MATCH(TRUE,INDEX(U180:AY180&lt;&gt;"",0),0)),"")</f>
        <v/>
      </c>
      <c r="N180" s="61">
        <f>IFERROR(LOOKUP(2,1/(U180:AY180&lt;&gt;""),U$2:AY$2),"")</f>
        <v/>
      </c>
      <c r="O180" s="59" t="n"/>
      <c r="P180" s="59" t="n"/>
      <c r="Q180" s="59" t="n"/>
      <c r="R180" s="59" t="n"/>
      <c r="S180" s="14" t="n"/>
      <c r="U180" s="53" t="n"/>
      <c r="V180" s="53" t="n"/>
      <c r="W180" s="53" t="n"/>
      <c r="X180" s="53" t="n"/>
      <c r="Y180" s="53" t="n"/>
      <c r="Z180" s="53" t="n"/>
      <c r="AA180" s="53" t="n"/>
      <c r="AB180" s="53" t="n"/>
      <c r="AC180" s="53" t="n"/>
      <c r="AD180" s="53" t="n"/>
      <c r="AE180" s="53" t="n"/>
      <c r="AF180" s="53" t="n"/>
      <c r="AG180" s="53" t="n"/>
      <c r="AH180" s="53" t="n"/>
      <c r="AI180" s="53" t="n"/>
      <c r="AJ180" s="53" t="n"/>
      <c r="AK180" s="53" t="n"/>
      <c r="AL180" s="53" t="n"/>
      <c r="AM180" s="53" t="n"/>
      <c r="AN180" s="53" t="n"/>
      <c r="AO180" s="53" t="n"/>
      <c r="AP180" s="53" t="n"/>
      <c r="AQ180" s="53" t="n"/>
      <c r="AR180" s="53" t="n"/>
      <c r="AS180" s="53" t="n"/>
      <c r="AT180" s="53" t="n"/>
      <c r="AU180" s="53" t="n"/>
      <c r="AV180" s="53" t="n"/>
      <c r="AW180" s="53" t="n"/>
      <c r="AX180" s="53" t="n"/>
      <c r="AY180" s="53" t="n"/>
    </row>
    <row r="181" ht="15" customHeight="1">
      <c r="A181" s="62" t="n"/>
      <c r="B181" s="55">
        <f>IF($B$179="","",$B$179)</f>
        <v/>
      </c>
      <c r="C181" s="63" t="inlineStr">
        <is>
          <t>마케팅3팀</t>
        </is>
      </c>
      <c r="D181" s="55">
        <f>IF($D$179="","",$D$179)</f>
        <v/>
      </c>
      <c r="E181" s="64" t="inlineStr">
        <is>
          <t>영상</t>
        </is>
      </c>
      <c r="F181" s="44" t="n"/>
      <c r="G181" s="58">
        <f>IF($G$179="","",$G$179)</f>
        <v/>
      </c>
      <c r="H181" s="59" t="n"/>
      <c r="I181" s="59" t="n"/>
      <c r="J181" s="59" t="n"/>
      <c r="K181" s="59" t="n"/>
      <c r="L181" s="65">
        <f>IF(SUM(U181:AY181)=0,"",SUM(U181:AY181))</f>
        <v/>
      </c>
      <c r="M181" s="66">
        <f>IFERROR(INDEX(U$2:AY$2,MATCH(TRUE,INDEX(U181:AY181&lt;&gt;"",0),0)),"")</f>
        <v/>
      </c>
      <c r="N181" s="66">
        <f>IFERROR(LOOKUP(2,1/(U181:AY181&lt;&gt;""),U$2:AY$2),"")</f>
        <v/>
      </c>
      <c r="O181" s="59" t="n"/>
      <c r="P181" s="59" t="n"/>
      <c r="Q181" s="59" t="n"/>
      <c r="R181" s="59" t="n"/>
      <c r="S181" s="14" t="n"/>
      <c r="U181" s="53" t="n"/>
      <c r="V181" s="53" t="n"/>
      <c r="W181" s="53" t="n"/>
      <c r="X181" s="53" t="n"/>
      <c r="Y181" s="53" t="n"/>
      <c r="Z181" s="53" t="n"/>
      <c r="AA181" s="53" t="n"/>
      <c r="AB181" s="53" t="n"/>
      <c r="AC181" s="53" t="n"/>
      <c r="AD181" s="53" t="n"/>
      <c r="AE181" s="53" t="n"/>
      <c r="AF181" s="53" t="n"/>
      <c r="AG181" s="53" t="n"/>
      <c r="AH181" s="53" t="n"/>
      <c r="AI181" s="53" t="n"/>
      <c r="AJ181" s="53" t="n"/>
      <c r="AK181" s="53" t="n"/>
      <c r="AL181" s="53" t="n"/>
      <c r="AM181" s="53" t="n"/>
      <c r="AN181" s="53" t="n"/>
      <c r="AO181" s="53" t="n"/>
      <c r="AP181" s="53" t="n"/>
      <c r="AQ181" s="53" t="n"/>
      <c r="AR181" s="53" t="n"/>
      <c r="AS181" s="53" t="n"/>
      <c r="AT181" s="53" t="n"/>
      <c r="AU181" s="53" t="n"/>
      <c r="AV181" s="53" t="n"/>
      <c r="AW181" s="53" t="n"/>
      <c r="AX181" s="53" t="n"/>
      <c r="AY181" s="53" t="n"/>
    </row>
    <row r="182" ht="15" customHeight="1">
      <c r="A182" s="40">
        <f>IF($D$182="","",58)</f>
        <v/>
      </c>
      <c r="B182" s="10" t="n"/>
      <c r="C182" s="41" t="inlineStr">
        <is>
          <t>마케팅3팀</t>
        </is>
      </c>
      <c r="D182" s="42" t="n"/>
      <c r="E182" s="43" t="inlineStr">
        <is>
          <t>기획</t>
        </is>
      </c>
      <c r="F182" s="44" t="n"/>
      <c r="G182" s="45" t="n"/>
      <c r="H182" s="46">
        <f>IF($I$182="","",IF($I$182&lt;0,"🔴지연",IF($I$182&lt;=1,"🟡임박","🟢여유")))</f>
        <v/>
      </c>
      <c r="I182" s="47">
        <f>IF(OR($G$182="",$K$182=""),"",$G$182-$K$182)</f>
        <v/>
      </c>
      <c r="J182" s="48">
        <f>IF(SUM($L$182:$L$184)=0,"",SUM($L$182:$L$184))</f>
        <v/>
      </c>
      <c r="K182" s="49">
        <f>IF($J$182="","",MAX($N$182:$N$184))</f>
        <v/>
      </c>
      <c r="L182" s="50">
        <f>IF(SUM(U182:AY182)=0,"",SUM(U182:AY182))</f>
        <v/>
      </c>
      <c r="M182" s="51">
        <f>IFERROR(INDEX(U$2:AY$2,MATCH(TRUE,INDEX(U182:AY182&lt;&gt;"",0),0)),"")</f>
        <v/>
      </c>
      <c r="N182" s="51">
        <f>IFERROR(LOOKUP(2,1/(U182:AY182&lt;&gt;""),U$2:AY$2),"")</f>
        <v/>
      </c>
      <c r="O182" s="52" t="n"/>
      <c r="P182" s="52" t="n"/>
      <c r="Q182" s="52" t="n"/>
      <c r="R182" s="44" t="n"/>
      <c r="S182" s="14" t="n"/>
      <c r="U182" s="53" t="n"/>
      <c r="V182" s="53" t="n"/>
      <c r="W182" s="53" t="n"/>
      <c r="X182" s="53" t="n"/>
      <c r="Y182" s="53" t="n"/>
      <c r="Z182" s="53" t="n"/>
      <c r="AA182" s="53" t="n"/>
      <c r="AB182" s="53" t="n"/>
      <c r="AC182" s="53" t="n"/>
      <c r="AD182" s="53" t="n"/>
      <c r="AE182" s="53" t="n"/>
      <c r="AF182" s="53" t="n"/>
      <c r="AG182" s="53" t="n"/>
      <c r="AH182" s="53" t="n"/>
      <c r="AI182" s="53" t="n"/>
      <c r="AJ182" s="53" t="n"/>
      <c r="AK182" s="53" t="n"/>
      <c r="AL182" s="53" t="n"/>
      <c r="AM182" s="53" t="n"/>
      <c r="AN182" s="53" t="n"/>
      <c r="AO182" s="53" t="n"/>
      <c r="AP182" s="53" t="n"/>
      <c r="AQ182" s="53" t="n"/>
      <c r="AR182" s="53" t="n"/>
      <c r="AS182" s="53" t="n"/>
      <c r="AT182" s="53" t="n"/>
      <c r="AU182" s="53" t="n"/>
      <c r="AV182" s="53" t="n"/>
      <c r="AW182" s="53" t="n"/>
      <c r="AX182" s="53" t="n"/>
      <c r="AY182" s="53" t="n"/>
    </row>
    <row r="183" ht="15" customHeight="1">
      <c r="A183" s="54" t="n"/>
      <c r="B183" s="55">
        <f>IF($B$182="","",$B$182)</f>
        <v/>
      </c>
      <c r="C183" s="56" t="inlineStr">
        <is>
          <t>마케팅3팀</t>
        </is>
      </c>
      <c r="D183" s="55">
        <f>IF($D$182="","",$D$182)</f>
        <v/>
      </c>
      <c r="E183" s="57" t="inlineStr">
        <is>
          <t>이미지</t>
        </is>
      </c>
      <c r="F183" s="44" t="n"/>
      <c r="G183" s="58">
        <f>IF($G$182="","",$G$182)</f>
        <v/>
      </c>
      <c r="H183" s="59" t="n"/>
      <c r="I183" s="59" t="n"/>
      <c r="J183" s="59" t="n"/>
      <c r="K183" s="59" t="n"/>
      <c r="L183" s="60">
        <f>IF(SUM(U183:AY183)=0,"",SUM(U183:AY183))</f>
        <v/>
      </c>
      <c r="M183" s="61">
        <f>IFERROR(INDEX(U$2:AY$2,MATCH(TRUE,INDEX(U183:AY183&lt;&gt;"",0),0)),"")</f>
        <v/>
      </c>
      <c r="N183" s="61">
        <f>IFERROR(LOOKUP(2,1/(U183:AY183&lt;&gt;""),U$2:AY$2),"")</f>
        <v/>
      </c>
      <c r="O183" s="59" t="n"/>
      <c r="P183" s="59" t="n"/>
      <c r="Q183" s="59" t="n"/>
      <c r="R183" s="59" t="n"/>
      <c r="S183" s="14" t="n"/>
      <c r="U183" s="53" t="n"/>
      <c r="V183" s="53" t="n"/>
      <c r="W183" s="53" t="n"/>
      <c r="X183" s="53" t="n"/>
      <c r="Y183" s="53" t="n"/>
      <c r="Z183" s="53" t="n"/>
      <c r="AA183" s="53" t="n"/>
      <c r="AB183" s="53" t="n"/>
      <c r="AC183" s="53" t="n"/>
      <c r="AD183" s="53" t="n"/>
      <c r="AE183" s="53" t="n"/>
      <c r="AF183" s="53" t="n"/>
      <c r="AG183" s="53" t="n"/>
      <c r="AH183" s="53" t="n"/>
      <c r="AI183" s="53" t="n"/>
      <c r="AJ183" s="53" t="n"/>
      <c r="AK183" s="53" t="n"/>
      <c r="AL183" s="53" t="n"/>
      <c r="AM183" s="53" t="n"/>
      <c r="AN183" s="53" t="n"/>
      <c r="AO183" s="53" t="n"/>
      <c r="AP183" s="53" t="n"/>
      <c r="AQ183" s="53" t="n"/>
      <c r="AR183" s="53" t="n"/>
      <c r="AS183" s="53" t="n"/>
      <c r="AT183" s="53" t="n"/>
      <c r="AU183" s="53" t="n"/>
      <c r="AV183" s="53" t="n"/>
      <c r="AW183" s="53" t="n"/>
      <c r="AX183" s="53" t="n"/>
      <c r="AY183" s="53" t="n"/>
    </row>
    <row r="184" ht="15" customHeight="1">
      <c r="A184" s="62" t="n"/>
      <c r="B184" s="55">
        <f>IF($B$182="","",$B$182)</f>
        <v/>
      </c>
      <c r="C184" s="63" t="inlineStr">
        <is>
          <t>마케팅3팀</t>
        </is>
      </c>
      <c r="D184" s="55">
        <f>IF($D$182="","",$D$182)</f>
        <v/>
      </c>
      <c r="E184" s="64" t="inlineStr">
        <is>
          <t>영상</t>
        </is>
      </c>
      <c r="F184" s="44" t="n"/>
      <c r="G184" s="58">
        <f>IF($G$182="","",$G$182)</f>
        <v/>
      </c>
      <c r="H184" s="59" t="n"/>
      <c r="I184" s="59" t="n"/>
      <c r="J184" s="59" t="n"/>
      <c r="K184" s="59" t="n"/>
      <c r="L184" s="65">
        <f>IF(SUM(U184:AY184)=0,"",SUM(U184:AY184))</f>
        <v/>
      </c>
      <c r="M184" s="66">
        <f>IFERROR(INDEX(U$2:AY$2,MATCH(TRUE,INDEX(U184:AY184&lt;&gt;"",0),0)),"")</f>
        <v/>
      </c>
      <c r="N184" s="66">
        <f>IFERROR(LOOKUP(2,1/(U184:AY184&lt;&gt;""),U$2:AY$2),"")</f>
        <v/>
      </c>
      <c r="O184" s="59" t="n"/>
      <c r="P184" s="59" t="n"/>
      <c r="Q184" s="59" t="n"/>
      <c r="R184" s="59" t="n"/>
      <c r="S184" s="14" t="n"/>
      <c r="U184" s="53" t="n"/>
      <c r="V184" s="53" t="n"/>
      <c r="W184" s="53" t="n"/>
      <c r="X184" s="53" t="n"/>
      <c r="Y184" s="53" t="n"/>
      <c r="Z184" s="53" t="n"/>
      <c r="AA184" s="53" t="n"/>
      <c r="AB184" s="53" t="n"/>
      <c r="AC184" s="53" t="n"/>
      <c r="AD184" s="53" t="n"/>
      <c r="AE184" s="53" t="n"/>
      <c r="AF184" s="53" t="n"/>
      <c r="AG184" s="53" t="n"/>
      <c r="AH184" s="53" t="n"/>
      <c r="AI184" s="53" t="n"/>
      <c r="AJ184" s="53" t="n"/>
      <c r="AK184" s="53" t="n"/>
      <c r="AL184" s="53" t="n"/>
      <c r="AM184" s="53" t="n"/>
      <c r="AN184" s="53" t="n"/>
      <c r="AO184" s="53" t="n"/>
      <c r="AP184" s="53" t="n"/>
      <c r="AQ184" s="53" t="n"/>
      <c r="AR184" s="53" t="n"/>
      <c r="AS184" s="53" t="n"/>
      <c r="AT184" s="53" t="n"/>
      <c r="AU184" s="53" t="n"/>
      <c r="AV184" s="53" t="n"/>
      <c r="AW184" s="53" t="n"/>
      <c r="AX184" s="53" t="n"/>
      <c r="AY184" s="53" t="n"/>
    </row>
    <row r="185" ht="15" customHeight="1">
      <c r="A185" s="40">
        <f>IF($D$185="","",59)</f>
        <v/>
      </c>
      <c r="B185" s="10" t="n"/>
      <c r="C185" s="41" t="inlineStr">
        <is>
          <t>마케팅3팀</t>
        </is>
      </c>
      <c r="D185" s="42" t="n"/>
      <c r="E185" s="43" t="inlineStr">
        <is>
          <t>기획</t>
        </is>
      </c>
      <c r="F185" s="44" t="n"/>
      <c r="G185" s="45" t="n"/>
      <c r="H185" s="46">
        <f>IF($I$185="","",IF($I$185&lt;0,"🔴지연",IF($I$185&lt;=1,"🟡임박","🟢여유")))</f>
        <v/>
      </c>
      <c r="I185" s="47">
        <f>IF(OR($G$185="",$K$185=""),"",$G$185-$K$185)</f>
        <v/>
      </c>
      <c r="J185" s="48">
        <f>IF(SUM($L$185:$L$187)=0,"",SUM($L$185:$L$187))</f>
        <v/>
      </c>
      <c r="K185" s="49">
        <f>IF($J$185="","",MAX($N$185:$N$187))</f>
        <v/>
      </c>
      <c r="L185" s="50">
        <f>IF(SUM(U185:AY185)=0,"",SUM(U185:AY185))</f>
        <v/>
      </c>
      <c r="M185" s="51">
        <f>IFERROR(INDEX(U$2:AY$2,MATCH(TRUE,INDEX(U185:AY185&lt;&gt;"",0),0)),"")</f>
        <v/>
      </c>
      <c r="N185" s="51">
        <f>IFERROR(LOOKUP(2,1/(U185:AY185&lt;&gt;""),U$2:AY$2),"")</f>
        <v/>
      </c>
      <c r="O185" s="52" t="n"/>
      <c r="P185" s="52" t="n"/>
      <c r="Q185" s="52" t="n"/>
      <c r="R185" s="44" t="n"/>
      <c r="S185" s="14" t="n"/>
      <c r="U185" s="53" t="n"/>
      <c r="V185" s="53" t="n"/>
      <c r="W185" s="53" t="n"/>
      <c r="X185" s="53" t="n"/>
      <c r="Y185" s="53" t="n"/>
      <c r="Z185" s="53" t="n"/>
      <c r="AA185" s="53" t="n"/>
      <c r="AB185" s="53" t="n"/>
      <c r="AC185" s="53" t="n"/>
      <c r="AD185" s="53" t="n"/>
      <c r="AE185" s="53" t="n"/>
      <c r="AF185" s="53" t="n"/>
      <c r="AG185" s="53" t="n"/>
      <c r="AH185" s="53" t="n"/>
      <c r="AI185" s="53" t="n"/>
      <c r="AJ185" s="53" t="n"/>
      <c r="AK185" s="53" t="n"/>
      <c r="AL185" s="53" t="n"/>
      <c r="AM185" s="53" t="n"/>
      <c r="AN185" s="53" t="n"/>
      <c r="AO185" s="53" t="n"/>
      <c r="AP185" s="53" t="n"/>
      <c r="AQ185" s="53" t="n"/>
      <c r="AR185" s="53" t="n"/>
      <c r="AS185" s="53" t="n"/>
      <c r="AT185" s="53" t="n"/>
      <c r="AU185" s="53" t="n"/>
      <c r="AV185" s="53" t="n"/>
      <c r="AW185" s="53" t="n"/>
      <c r="AX185" s="53" t="n"/>
      <c r="AY185" s="53" t="n"/>
    </row>
    <row r="186" ht="15" customHeight="1">
      <c r="A186" s="54" t="n"/>
      <c r="B186" s="55">
        <f>IF($B$185="","",$B$185)</f>
        <v/>
      </c>
      <c r="C186" s="56" t="inlineStr">
        <is>
          <t>마케팅3팀</t>
        </is>
      </c>
      <c r="D186" s="55">
        <f>IF($D$185="","",$D$185)</f>
        <v/>
      </c>
      <c r="E186" s="57" t="inlineStr">
        <is>
          <t>이미지</t>
        </is>
      </c>
      <c r="F186" s="44" t="n"/>
      <c r="G186" s="58">
        <f>IF($G$185="","",$G$185)</f>
        <v/>
      </c>
      <c r="H186" s="59" t="n"/>
      <c r="I186" s="59" t="n"/>
      <c r="J186" s="59" t="n"/>
      <c r="K186" s="59" t="n"/>
      <c r="L186" s="60">
        <f>IF(SUM(U186:AY186)=0,"",SUM(U186:AY186))</f>
        <v/>
      </c>
      <c r="M186" s="61">
        <f>IFERROR(INDEX(U$2:AY$2,MATCH(TRUE,INDEX(U186:AY186&lt;&gt;"",0),0)),"")</f>
        <v/>
      </c>
      <c r="N186" s="61">
        <f>IFERROR(LOOKUP(2,1/(U186:AY186&lt;&gt;""),U$2:AY$2),"")</f>
        <v/>
      </c>
      <c r="O186" s="59" t="n"/>
      <c r="P186" s="59" t="n"/>
      <c r="Q186" s="59" t="n"/>
      <c r="R186" s="59" t="n"/>
      <c r="S186" s="14" t="n"/>
      <c r="U186" s="53" t="n"/>
      <c r="V186" s="53" t="n"/>
      <c r="W186" s="53" t="n"/>
      <c r="X186" s="53" t="n"/>
      <c r="Y186" s="53" t="n"/>
      <c r="Z186" s="53" t="n"/>
      <c r="AA186" s="53" t="n"/>
      <c r="AB186" s="53" t="n"/>
      <c r="AC186" s="53" t="n"/>
      <c r="AD186" s="53" t="n"/>
      <c r="AE186" s="53" t="n"/>
      <c r="AF186" s="53" t="n"/>
      <c r="AG186" s="53" t="n"/>
      <c r="AH186" s="53" t="n"/>
      <c r="AI186" s="53" t="n"/>
      <c r="AJ186" s="53" t="n"/>
      <c r="AK186" s="53" t="n"/>
      <c r="AL186" s="53" t="n"/>
      <c r="AM186" s="53" t="n"/>
      <c r="AN186" s="53" t="n"/>
      <c r="AO186" s="53" t="n"/>
      <c r="AP186" s="53" t="n"/>
      <c r="AQ186" s="53" t="n"/>
      <c r="AR186" s="53" t="n"/>
      <c r="AS186" s="53" t="n"/>
      <c r="AT186" s="53" t="n"/>
      <c r="AU186" s="53" t="n"/>
      <c r="AV186" s="53" t="n"/>
      <c r="AW186" s="53" t="n"/>
      <c r="AX186" s="53" t="n"/>
      <c r="AY186" s="53" t="n"/>
    </row>
    <row r="187" ht="15" customHeight="1">
      <c r="A187" s="62" t="n"/>
      <c r="B187" s="55">
        <f>IF($B$185="","",$B$185)</f>
        <v/>
      </c>
      <c r="C187" s="63" t="inlineStr">
        <is>
          <t>마케팅3팀</t>
        </is>
      </c>
      <c r="D187" s="55">
        <f>IF($D$185="","",$D$185)</f>
        <v/>
      </c>
      <c r="E187" s="64" t="inlineStr">
        <is>
          <t>영상</t>
        </is>
      </c>
      <c r="F187" s="44" t="n"/>
      <c r="G187" s="58">
        <f>IF($G$185="","",$G$185)</f>
        <v/>
      </c>
      <c r="H187" s="59" t="n"/>
      <c r="I187" s="59" t="n"/>
      <c r="J187" s="59" t="n"/>
      <c r="K187" s="59" t="n"/>
      <c r="L187" s="65">
        <f>IF(SUM(U187:AY187)=0,"",SUM(U187:AY187))</f>
        <v/>
      </c>
      <c r="M187" s="66">
        <f>IFERROR(INDEX(U$2:AY$2,MATCH(TRUE,INDEX(U187:AY187&lt;&gt;"",0),0)),"")</f>
        <v/>
      </c>
      <c r="N187" s="66">
        <f>IFERROR(LOOKUP(2,1/(U187:AY187&lt;&gt;""),U$2:AY$2),"")</f>
        <v/>
      </c>
      <c r="O187" s="59" t="n"/>
      <c r="P187" s="59" t="n"/>
      <c r="Q187" s="59" t="n"/>
      <c r="R187" s="59" t="n"/>
      <c r="S187" s="14" t="n"/>
      <c r="U187" s="53" t="n"/>
      <c r="V187" s="53" t="n"/>
      <c r="W187" s="53" t="n"/>
      <c r="X187" s="53" t="n"/>
      <c r="Y187" s="53" t="n"/>
      <c r="Z187" s="53" t="n"/>
      <c r="AA187" s="53" t="n"/>
      <c r="AB187" s="53" t="n"/>
      <c r="AC187" s="53" t="n"/>
      <c r="AD187" s="53" t="n"/>
      <c r="AE187" s="53" t="n"/>
      <c r="AF187" s="53" t="n"/>
      <c r="AG187" s="53" t="n"/>
      <c r="AH187" s="53" t="n"/>
      <c r="AI187" s="53" t="n"/>
      <c r="AJ187" s="53" t="n"/>
      <c r="AK187" s="53" t="n"/>
      <c r="AL187" s="53" t="n"/>
      <c r="AM187" s="53" t="n"/>
      <c r="AN187" s="53" t="n"/>
      <c r="AO187" s="53" t="n"/>
      <c r="AP187" s="53" t="n"/>
      <c r="AQ187" s="53" t="n"/>
      <c r="AR187" s="53" t="n"/>
      <c r="AS187" s="53" t="n"/>
      <c r="AT187" s="53" t="n"/>
      <c r="AU187" s="53" t="n"/>
      <c r="AV187" s="53" t="n"/>
      <c r="AW187" s="53" t="n"/>
      <c r="AX187" s="53" t="n"/>
      <c r="AY187" s="53" t="n"/>
    </row>
    <row r="188" ht="15" customHeight="1">
      <c r="A188" s="40">
        <f>IF($D$188="","",60)</f>
        <v/>
      </c>
      <c r="B188" s="10" t="n"/>
      <c r="C188" s="41" t="inlineStr">
        <is>
          <t>마케팅3팀</t>
        </is>
      </c>
      <c r="D188" s="42" t="n"/>
      <c r="E188" s="43" t="inlineStr">
        <is>
          <t>기획</t>
        </is>
      </c>
      <c r="F188" s="44" t="n"/>
      <c r="G188" s="45" t="n"/>
      <c r="H188" s="46">
        <f>IF($I$188="","",IF($I$188&lt;0,"🔴지연",IF($I$188&lt;=1,"🟡임박","🟢여유")))</f>
        <v/>
      </c>
      <c r="I188" s="47">
        <f>IF(OR($G$188="",$K$188=""),"",$G$188-$K$188)</f>
        <v/>
      </c>
      <c r="J188" s="48">
        <f>IF(SUM($L$188:$L$190)=0,"",SUM($L$188:$L$190))</f>
        <v/>
      </c>
      <c r="K188" s="49">
        <f>IF($J$188="","",MAX($N$188:$N$190))</f>
        <v/>
      </c>
      <c r="L188" s="50">
        <f>IF(SUM(U188:AY188)=0,"",SUM(U188:AY188))</f>
        <v/>
      </c>
      <c r="M188" s="51">
        <f>IFERROR(INDEX(U$2:AY$2,MATCH(TRUE,INDEX(U188:AY188&lt;&gt;"",0),0)),"")</f>
        <v/>
      </c>
      <c r="N188" s="51">
        <f>IFERROR(LOOKUP(2,1/(U188:AY188&lt;&gt;""),U$2:AY$2),"")</f>
        <v/>
      </c>
      <c r="O188" s="52" t="n"/>
      <c r="P188" s="52" t="n"/>
      <c r="Q188" s="52" t="n"/>
      <c r="R188" s="44" t="n"/>
      <c r="S188" s="14" t="n"/>
      <c r="U188" s="53" t="n"/>
      <c r="V188" s="53" t="n"/>
      <c r="W188" s="53" t="n"/>
      <c r="X188" s="53" t="n"/>
      <c r="Y188" s="53" t="n"/>
      <c r="Z188" s="53" t="n"/>
      <c r="AA188" s="53" t="n"/>
      <c r="AB188" s="53" t="n"/>
      <c r="AC188" s="53" t="n"/>
      <c r="AD188" s="53" t="n"/>
      <c r="AE188" s="53" t="n"/>
      <c r="AF188" s="53" t="n"/>
      <c r="AG188" s="53" t="n"/>
      <c r="AH188" s="53" t="n"/>
      <c r="AI188" s="53" t="n"/>
      <c r="AJ188" s="53" t="n"/>
      <c r="AK188" s="53" t="n"/>
      <c r="AL188" s="53" t="n"/>
      <c r="AM188" s="53" t="n"/>
      <c r="AN188" s="53" t="n"/>
      <c r="AO188" s="53" t="n"/>
      <c r="AP188" s="53" t="n"/>
      <c r="AQ188" s="53" t="n"/>
      <c r="AR188" s="53" t="n"/>
      <c r="AS188" s="53" t="n"/>
      <c r="AT188" s="53" t="n"/>
      <c r="AU188" s="53" t="n"/>
      <c r="AV188" s="53" t="n"/>
      <c r="AW188" s="53" t="n"/>
      <c r="AX188" s="53" t="n"/>
      <c r="AY188" s="53" t="n"/>
    </row>
    <row r="189" ht="15" customHeight="1">
      <c r="A189" s="54" t="n"/>
      <c r="B189" s="55">
        <f>IF($B$188="","",$B$188)</f>
        <v/>
      </c>
      <c r="C189" s="56" t="inlineStr">
        <is>
          <t>마케팅3팀</t>
        </is>
      </c>
      <c r="D189" s="55">
        <f>IF($D$188="","",$D$188)</f>
        <v/>
      </c>
      <c r="E189" s="57" t="inlineStr">
        <is>
          <t>이미지</t>
        </is>
      </c>
      <c r="F189" s="44" t="n"/>
      <c r="G189" s="58">
        <f>IF($G$188="","",$G$188)</f>
        <v/>
      </c>
      <c r="H189" s="59" t="n"/>
      <c r="I189" s="59" t="n"/>
      <c r="J189" s="59" t="n"/>
      <c r="K189" s="59" t="n"/>
      <c r="L189" s="60">
        <f>IF(SUM(U189:AY189)=0,"",SUM(U189:AY189))</f>
        <v/>
      </c>
      <c r="M189" s="61">
        <f>IFERROR(INDEX(U$2:AY$2,MATCH(TRUE,INDEX(U189:AY189&lt;&gt;"",0),0)),"")</f>
        <v/>
      </c>
      <c r="N189" s="61">
        <f>IFERROR(LOOKUP(2,1/(U189:AY189&lt;&gt;""),U$2:AY$2),"")</f>
        <v/>
      </c>
      <c r="O189" s="59" t="n"/>
      <c r="P189" s="59" t="n"/>
      <c r="Q189" s="59" t="n"/>
      <c r="R189" s="59" t="n"/>
      <c r="S189" s="14" t="n"/>
      <c r="U189" s="53" t="n"/>
      <c r="V189" s="53" t="n"/>
      <c r="W189" s="53" t="n"/>
      <c r="X189" s="53" t="n"/>
      <c r="Y189" s="53" t="n"/>
      <c r="Z189" s="53" t="n"/>
      <c r="AA189" s="53" t="n"/>
      <c r="AB189" s="53" t="n"/>
      <c r="AC189" s="53" t="n"/>
      <c r="AD189" s="53" t="n"/>
      <c r="AE189" s="53" t="n"/>
      <c r="AF189" s="53" t="n"/>
      <c r="AG189" s="53" t="n"/>
      <c r="AH189" s="53" t="n"/>
      <c r="AI189" s="53" t="n"/>
      <c r="AJ189" s="53" t="n"/>
      <c r="AK189" s="53" t="n"/>
      <c r="AL189" s="53" t="n"/>
      <c r="AM189" s="53" t="n"/>
      <c r="AN189" s="53" t="n"/>
      <c r="AO189" s="53" t="n"/>
      <c r="AP189" s="53" t="n"/>
      <c r="AQ189" s="53" t="n"/>
      <c r="AR189" s="53" t="n"/>
      <c r="AS189" s="53" t="n"/>
      <c r="AT189" s="53" t="n"/>
      <c r="AU189" s="53" t="n"/>
      <c r="AV189" s="53" t="n"/>
      <c r="AW189" s="53" t="n"/>
      <c r="AX189" s="53" t="n"/>
      <c r="AY189" s="53" t="n"/>
    </row>
    <row r="190" ht="15" customHeight="1">
      <c r="A190" s="62" t="n"/>
      <c r="B190" s="55">
        <f>IF($B$188="","",$B$188)</f>
        <v/>
      </c>
      <c r="C190" s="63" t="inlineStr">
        <is>
          <t>마케팅3팀</t>
        </is>
      </c>
      <c r="D190" s="55">
        <f>IF($D$188="","",$D$188)</f>
        <v/>
      </c>
      <c r="E190" s="64" t="inlineStr">
        <is>
          <t>영상</t>
        </is>
      </c>
      <c r="F190" s="44" t="n"/>
      <c r="G190" s="58">
        <f>IF($G$188="","",$G$188)</f>
        <v/>
      </c>
      <c r="H190" s="59" t="n"/>
      <c r="I190" s="59" t="n"/>
      <c r="J190" s="59" t="n"/>
      <c r="K190" s="59" t="n"/>
      <c r="L190" s="65">
        <f>IF(SUM(U190:AY190)=0,"",SUM(U190:AY190))</f>
        <v/>
      </c>
      <c r="M190" s="66">
        <f>IFERROR(INDEX(U$2:AY$2,MATCH(TRUE,INDEX(U190:AY190&lt;&gt;"",0),0)),"")</f>
        <v/>
      </c>
      <c r="N190" s="66">
        <f>IFERROR(LOOKUP(2,1/(U190:AY190&lt;&gt;""),U$2:AY$2),"")</f>
        <v/>
      </c>
      <c r="O190" s="59" t="n"/>
      <c r="P190" s="59" t="n"/>
      <c r="Q190" s="59" t="n"/>
      <c r="R190" s="59" t="n"/>
      <c r="S190" s="14" t="n"/>
      <c r="U190" s="53" t="n"/>
      <c r="V190" s="53" t="n"/>
      <c r="W190" s="53" t="n"/>
      <c r="X190" s="53" t="n"/>
      <c r="Y190" s="53" t="n"/>
      <c r="Z190" s="53" t="n"/>
      <c r="AA190" s="53" t="n"/>
      <c r="AB190" s="53" t="n"/>
      <c r="AC190" s="53" t="n"/>
      <c r="AD190" s="53" t="n"/>
      <c r="AE190" s="53" t="n"/>
      <c r="AF190" s="53" t="n"/>
      <c r="AG190" s="53" t="n"/>
      <c r="AH190" s="53" t="n"/>
      <c r="AI190" s="53" t="n"/>
      <c r="AJ190" s="53" t="n"/>
      <c r="AK190" s="53" t="n"/>
      <c r="AL190" s="53" t="n"/>
      <c r="AM190" s="53" t="n"/>
      <c r="AN190" s="53" t="n"/>
      <c r="AO190" s="53" t="n"/>
      <c r="AP190" s="53" t="n"/>
      <c r="AQ190" s="53" t="n"/>
      <c r="AR190" s="53" t="n"/>
      <c r="AS190" s="53" t="n"/>
      <c r="AT190" s="53" t="n"/>
      <c r="AU190" s="53" t="n"/>
      <c r="AV190" s="53" t="n"/>
      <c r="AW190" s="53" t="n"/>
      <c r="AX190" s="53" t="n"/>
      <c r="AY190" s="53" t="n"/>
    </row>
    <row r="191" ht="18" customHeight="1">
      <c r="A191" s="39" t="inlineStr">
        <is>
          <t>마케팅4팀   (192~251행 · 소재 20개)</t>
        </is>
      </c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I191" s="8" t="n"/>
      <c r="AJ191" s="8" t="n"/>
      <c r="AK191" s="8" t="n"/>
      <c r="AL191" s="8" t="n"/>
      <c r="AM191" s="8" t="n"/>
      <c r="AN191" s="8" t="n"/>
      <c r="AO191" s="8" t="n"/>
      <c r="AP191" s="8" t="n"/>
      <c r="AQ191" s="8" t="n"/>
      <c r="AR191" s="8" t="n"/>
      <c r="AS191" s="8" t="n"/>
      <c r="AT191" s="8" t="n"/>
      <c r="AU191" s="8" t="n"/>
      <c r="AV191" s="8" t="n"/>
      <c r="AW191" s="8" t="n"/>
      <c r="AX191" s="8" t="n"/>
      <c r="AY191" s="4" t="n"/>
    </row>
    <row r="192" ht="15" customHeight="1">
      <c r="A192" s="40">
        <f>IF($D$192="","",61)</f>
        <v/>
      </c>
      <c r="B192" s="10" t="n"/>
      <c r="C192" s="41" t="inlineStr">
        <is>
          <t>마케팅4팀</t>
        </is>
      </c>
      <c r="D192" s="42" t="n"/>
      <c r="E192" s="43" t="inlineStr">
        <is>
          <t>기획</t>
        </is>
      </c>
      <c r="F192" s="44" t="n"/>
      <c r="G192" s="45" t="n"/>
      <c r="H192" s="46">
        <f>IF($I$192="","",IF($I$192&lt;0,"🔴지연",IF($I$192&lt;=1,"🟡임박","🟢여유")))</f>
        <v/>
      </c>
      <c r="I192" s="47">
        <f>IF(OR($G$192="",$K$192=""),"",$G$192-$K$192)</f>
        <v/>
      </c>
      <c r="J192" s="48">
        <f>IF(SUM($L$192:$L$194)=0,"",SUM($L$192:$L$194))</f>
        <v/>
      </c>
      <c r="K192" s="49">
        <f>IF($J$192="","",MAX($N$192:$N$194))</f>
        <v/>
      </c>
      <c r="L192" s="50">
        <f>IF(SUM(U192:AY192)=0,"",SUM(U192:AY192))</f>
        <v/>
      </c>
      <c r="M192" s="51">
        <f>IFERROR(INDEX(U$2:AY$2,MATCH(TRUE,INDEX(U192:AY192&lt;&gt;"",0),0)),"")</f>
        <v/>
      </c>
      <c r="N192" s="51">
        <f>IFERROR(LOOKUP(2,1/(U192:AY192&lt;&gt;""),U$2:AY$2),"")</f>
        <v/>
      </c>
      <c r="O192" s="52" t="n"/>
      <c r="P192" s="52" t="n"/>
      <c r="Q192" s="52" t="n"/>
      <c r="R192" s="44" t="n"/>
      <c r="S192" s="14" t="n"/>
      <c r="U192" s="53" t="n"/>
      <c r="V192" s="53" t="n"/>
      <c r="W192" s="53" t="n"/>
      <c r="X192" s="53" t="n"/>
      <c r="Y192" s="53" t="n"/>
      <c r="Z192" s="53" t="n"/>
      <c r="AA192" s="53" t="n"/>
      <c r="AB192" s="53" t="n"/>
      <c r="AC192" s="53" t="n"/>
      <c r="AD192" s="53" t="n"/>
      <c r="AE192" s="53" t="n"/>
      <c r="AF192" s="53" t="n"/>
      <c r="AG192" s="53" t="n"/>
      <c r="AH192" s="53" t="n"/>
      <c r="AI192" s="53" t="n"/>
      <c r="AJ192" s="53" t="n"/>
      <c r="AK192" s="53" t="n"/>
      <c r="AL192" s="53" t="n"/>
      <c r="AM192" s="53" t="n"/>
      <c r="AN192" s="53" t="n"/>
      <c r="AO192" s="53" t="n"/>
      <c r="AP192" s="53" t="n"/>
      <c r="AQ192" s="53" t="n"/>
      <c r="AR192" s="53" t="n"/>
      <c r="AS192" s="53" t="n"/>
      <c r="AT192" s="53" t="n"/>
      <c r="AU192" s="53" t="n"/>
      <c r="AV192" s="53" t="n"/>
      <c r="AW192" s="53" t="n"/>
      <c r="AX192" s="53" t="n"/>
      <c r="AY192" s="53" t="n"/>
    </row>
    <row r="193" ht="15" customHeight="1">
      <c r="A193" s="54" t="n"/>
      <c r="B193" s="55">
        <f>IF($B$192="","",$B$192)</f>
        <v/>
      </c>
      <c r="C193" s="56" t="inlineStr">
        <is>
          <t>마케팅4팀</t>
        </is>
      </c>
      <c r="D193" s="55">
        <f>IF($D$192="","",$D$192)</f>
        <v/>
      </c>
      <c r="E193" s="57" t="inlineStr">
        <is>
          <t>이미지</t>
        </is>
      </c>
      <c r="F193" s="44" t="n"/>
      <c r="G193" s="58">
        <f>IF($G$192="","",$G$192)</f>
        <v/>
      </c>
      <c r="H193" s="59" t="n"/>
      <c r="I193" s="59" t="n"/>
      <c r="J193" s="59" t="n"/>
      <c r="K193" s="59" t="n"/>
      <c r="L193" s="60">
        <f>IF(SUM(U193:AY193)=0,"",SUM(U193:AY193))</f>
        <v/>
      </c>
      <c r="M193" s="61">
        <f>IFERROR(INDEX(U$2:AY$2,MATCH(TRUE,INDEX(U193:AY193&lt;&gt;"",0),0)),"")</f>
        <v/>
      </c>
      <c r="N193" s="61">
        <f>IFERROR(LOOKUP(2,1/(U193:AY193&lt;&gt;""),U$2:AY$2),"")</f>
        <v/>
      </c>
      <c r="O193" s="59" t="n"/>
      <c r="P193" s="59" t="n"/>
      <c r="Q193" s="59" t="n"/>
      <c r="R193" s="59" t="n"/>
      <c r="S193" s="14" t="n"/>
      <c r="U193" s="53" t="n"/>
      <c r="V193" s="53" t="n"/>
      <c r="W193" s="53" t="n"/>
      <c r="X193" s="53" t="n"/>
      <c r="Y193" s="53" t="n"/>
      <c r="Z193" s="53" t="n"/>
      <c r="AA193" s="53" t="n"/>
      <c r="AB193" s="53" t="n"/>
      <c r="AC193" s="53" t="n"/>
      <c r="AD193" s="53" t="n"/>
      <c r="AE193" s="53" t="n"/>
      <c r="AF193" s="53" t="n"/>
      <c r="AG193" s="53" t="n"/>
      <c r="AH193" s="53" t="n"/>
      <c r="AI193" s="53" t="n"/>
      <c r="AJ193" s="53" t="n"/>
      <c r="AK193" s="53" t="n"/>
      <c r="AL193" s="53" t="n"/>
      <c r="AM193" s="53" t="n"/>
      <c r="AN193" s="53" t="n"/>
      <c r="AO193" s="53" t="n"/>
      <c r="AP193" s="53" t="n"/>
      <c r="AQ193" s="53" t="n"/>
      <c r="AR193" s="53" t="n"/>
      <c r="AS193" s="53" t="n"/>
      <c r="AT193" s="53" t="n"/>
      <c r="AU193" s="53" t="n"/>
      <c r="AV193" s="53" t="n"/>
      <c r="AW193" s="53" t="n"/>
      <c r="AX193" s="53" t="n"/>
      <c r="AY193" s="53" t="n"/>
    </row>
    <row r="194" ht="15" customHeight="1">
      <c r="A194" s="62" t="n"/>
      <c r="B194" s="55">
        <f>IF($B$192="","",$B$192)</f>
        <v/>
      </c>
      <c r="C194" s="63" t="inlineStr">
        <is>
          <t>마케팅4팀</t>
        </is>
      </c>
      <c r="D194" s="55">
        <f>IF($D$192="","",$D$192)</f>
        <v/>
      </c>
      <c r="E194" s="64" t="inlineStr">
        <is>
          <t>영상</t>
        </is>
      </c>
      <c r="F194" s="44" t="n"/>
      <c r="G194" s="58">
        <f>IF($G$192="","",$G$192)</f>
        <v/>
      </c>
      <c r="H194" s="59" t="n"/>
      <c r="I194" s="59" t="n"/>
      <c r="J194" s="59" t="n"/>
      <c r="K194" s="59" t="n"/>
      <c r="L194" s="65">
        <f>IF(SUM(U194:AY194)=0,"",SUM(U194:AY194))</f>
        <v/>
      </c>
      <c r="M194" s="66">
        <f>IFERROR(INDEX(U$2:AY$2,MATCH(TRUE,INDEX(U194:AY194&lt;&gt;"",0),0)),"")</f>
        <v/>
      </c>
      <c r="N194" s="66">
        <f>IFERROR(LOOKUP(2,1/(U194:AY194&lt;&gt;""),U$2:AY$2),"")</f>
        <v/>
      </c>
      <c r="O194" s="59" t="n"/>
      <c r="P194" s="59" t="n"/>
      <c r="Q194" s="59" t="n"/>
      <c r="R194" s="59" t="n"/>
      <c r="S194" s="14" t="n"/>
      <c r="U194" s="53" t="n"/>
      <c r="V194" s="53" t="n"/>
      <c r="W194" s="53" t="n"/>
      <c r="X194" s="53" t="n"/>
      <c r="Y194" s="53" t="n"/>
      <c r="Z194" s="53" t="n"/>
      <c r="AA194" s="53" t="n"/>
      <c r="AB194" s="53" t="n"/>
      <c r="AC194" s="53" t="n"/>
      <c r="AD194" s="53" t="n"/>
      <c r="AE194" s="53" t="n"/>
      <c r="AF194" s="53" t="n"/>
      <c r="AG194" s="53" t="n"/>
      <c r="AH194" s="53" t="n"/>
      <c r="AI194" s="53" t="n"/>
      <c r="AJ194" s="53" t="n"/>
      <c r="AK194" s="53" t="n"/>
      <c r="AL194" s="53" t="n"/>
      <c r="AM194" s="53" t="n"/>
      <c r="AN194" s="53" t="n"/>
      <c r="AO194" s="53" t="n"/>
      <c r="AP194" s="53" t="n"/>
      <c r="AQ194" s="53" t="n"/>
      <c r="AR194" s="53" t="n"/>
      <c r="AS194" s="53" t="n"/>
      <c r="AT194" s="53" t="n"/>
      <c r="AU194" s="53" t="n"/>
      <c r="AV194" s="53" t="n"/>
      <c r="AW194" s="53" t="n"/>
      <c r="AX194" s="53" t="n"/>
      <c r="AY194" s="53" t="n"/>
    </row>
    <row r="195" ht="15" customHeight="1">
      <c r="A195" s="40">
        <f>IF($D$195="","",62)</f>
        <v/>
      </c>
      <c r="B195" s="10" t="n"/>
      <c r="C195" s="41" t="inlineStr">
        <is>
          <t>마케팅4팀</t>
        </is>
      </c>
      <c r="D195" s="42" t="n"/>
      <c r="E195" s="43" t="inlineStr">
        <is>
          <t>기획</t>
        </is>
      </c>
      <c r="F195" s="44" t="n"/>
      <c r="G195" s="45" t="n"/>
      <c r="H195" s="46">
        <f>IF($I$195="","",IF($I$195&lt;0,"🔴지연",IF($I$195&lt;=1,"🟡임박","🟢여유")))</f>
        <v/>
      </c>
      <c r="I195" s="47">
        <f>IF(OR($G$195="",$K$195=""),"",$G$195-$K$195)</f>
        <v/>
      </c>
      <c r="J195" s="48">
        <f>IF(SUM($L$195:$L$197)=0,"",SUM($L$195:$L$197))</f>
        <v/>
      </c>
      <c r="K195" s="49">
        <f>IF($J$195="","",MAX($N$195:$N$197))</f>
        <v/>
      </c>
      <c r="L195" s="50">
        <f>IF(SUM(U195:AY195)=0,"",SUM(U195:AY195))</f>
        <v/>
      </c>
      <c r="M195" s="51">
        <f>IFERROR(INDEX(U$2:AY$2,MATCH(TRUE,INDEX(U195:AY195&lt;&gt;"",0),0)),"")</f>
        <v/>
      </c>
      <c r="N195" s="51">
        <f>IFERROR(LOOKUP(2,1/(U195:AY195&lt;&gt;""),U$2:AY$2),"")</f>
        <v/>
      </c>
      <c r="O195" s="52" t="n"/>
      <c r="P195" s="52" t="n"/>
      <c r="Q195" s="52" t="n"/>
      <c r="R195" s="44" t="n"/>
      <c r="S195" s="14" t="n"/>
      <c r="U195" s="53" t="n"/>
      <c r="V195" s="53" t="n"/>
      <c r="W195" s="53" t="n"/>
      <c r="X195" s="53" t="n"/>
      <c r="Y195" s="53" t="n"/>
      <c r="Z195" s="53" t="n"/>
      <c r="AA195" s="53" t="n"/>
      <c r="AB195" s="53" t="n"/>
      <c r="AC195" s="53" t="n"/>
      <c r="AD195" s="53" t="n"/>
      <c r="AE195" s="53" t="n"/>
      <c r="AF195" s="53" t="n"/>
      <c r="AG195" s="53" t="n"/>
      <c r="AH195" s="53" t="n"/>
      <c r="AI195" s="53" t="n"/>
      <c r="AJ195" s="53" t="n"/>
      <c r="AK195" s="53" t="n"/>
      <c r="AL195" s="53" t="n"/>
      <c r="AM195" s="53" t="n"/>
      <c r="AN195" s="53" t="n"/>
      <c r="AO195" s="53" t="n"/>
      <c r="AP195" s="53" t="n"/>
      <c r="AQ195" s="53" t="n"/>
      <c r="AR195" s="53" t="n"/>
      <c r="AS195" s="53" t="n"/>
      <c r="AT195" s="53" t="n"/>
      <c r="AU195" s="53" t="n"/>
      <c r="AV195" s="53" t="n"/>
      <c r="AW195" s="53" t="n"/>
      <c r="AX195" s="53" t="n"/>
      <c r="AY195" s="53" t="n"/>
    </row>
    <row r="196" ht="15" customHeight="1">
      <c r="A196" s="54" t="n"/>
      <c r="B196" s="55">
        <f>IF($B$195="","",$B$195)</f>
        <v/>
      </c>
      <c r="C196" s="56" t="inlineStr">
        <is>
          <t>마케팅4팀</t>
        </is>
      </c>
      <c r="D196" s="55">
        <f>IF($D$195="","",$D$195)</f>
        <v/>
      </c>
      <c r="E196" s="57" t="inlineStr">
        <is>
          <t>이미지</t>
        </is>
      </c>
      <c r="F196" s="44" t="n"/>
      <c r="G196" s="58">
        <f>IF($G$195="","",$G$195)</f>
        <v/>
      </c>
      <c r="H196" s="59" t="n"/>
      <c r="I196" s="59" t="n"/>
      <c r="J196" s="59" t="n"/>
      <c r="K196" s="59" t="n"/>
      <c r="L196" s="60">
        <f>IF(SUM(U196:AY196)=0,"",SUM(U196:AY196))</f>
        <v/>
      </c>
      <c r="M196" s="61">
        <f>IFERROR(INDEX(U$2:AY$2,MATCH(TRUE,INDEX(U196:AY196&lt;&gt;"",0),0)),"")</f>
        <v/>
      </c>
      <c r="N196" s="61">
        <f>IFERROR(LOOKUP(2,1/(U196:AY196&lt;&gt;""),U$2:AY$2),"")</f>
        <v/>
      </c>
      <c r="O196" s="59" t="n"/>
      <c r="P196" s="59" t="n"/>
      <c r="Q196" s="59" t="n"/>
      <c r="R196" s="59" t="n"/>
      <c r="S196" s="14" t="n"/>
      <c r="U196" s="53" t="n"/>
      <c r="V196" s="53" t="n"/>
      <c r="W196" s="53" t="n"/>
      <c r="X196" s="53" t="n"/>
      <c r="Y196" s="53" t="n"/>
      <c r="Z196" s="53" t="n"/>
      <c r="AA196" s="53" t="n"/>
      <c r="AB196" s="53" t="n"/>
      <c r="AC196" s="53" t="n"/>
      <c r="AD196" s="53" t="n"/>
      <c r="AE196" s="53" t="n"/>
      <c r="AF196" s="53" t="n"/>
      <c r="AG196" s="53" t="n"/>
      <c r="AH196" s="53" t="n"/>
      <c r="AI196" s="53" t="n"/>
      <c r="AJ196" s="53" t="n"/>
      <c r="AK196" s="53" t="n"/>
      <c r="AL196" s="53" t="n"/>
      <c r="AM196" s="53" t="n"/>
      <c r="AN196" s="53" t="n"/>
      <c r="AO196" s="53" t="n"/>
      <c r="AP196" s="53" t="n"/>
      <c r="AQ196" s="53" t="n"/>
      <c r="AR196" s="53" t="n"/>
      <c r="AS196" s="53" t="n"/>
      <c r="AT196" s="53" t="n"/>
      <c r="AU196" s="53" t="n"/>
      <c r="AV196" s="53" t="n"/>
      <c r="AW196" s="53" t="n"/>
      <c r="AX196" s="53" t="n"/>
      <c r="AY196" s="53" t="n"/>
    </row>
    <row r="197" ht="15" customHeight="1">
      <c r="A197" s="62" t="n"/>
      <c r="B197" s="55">
        <f>IF($B$195="","",$B$195)</f>
        <v/>
      </c>
      <c r="C197" s="63" t="inlineStr">
        <is>
          <t>마케팅4팀</t>
        </is>
      </c>
      <c r="D197" s="55">
        <f>IF($D$195="","",$D$195)</f>
        <v/>
      </c>
      <c r="E197" s="64" t="inlineStr">
        <is>
          <t>영상</t>
        </is>
      </c>
      <c r="F197" s="44" t="n"/>
      <c r="G197" s="58">
        <f>IF($G$195="","",$G$195)</f>
        <v/>
      </c>
      <c r="H197" s="59" t="n"/>
      <c r="I197" s="59" t="n"/>
      <c r="J197" s="59" t="n"/>
      <c r="K197" s="59" t="n"/>
      <c r="L197" s="65">
        <f>IF(SUM(U197:AY197)=0,"",SUM(U197:AY197))</f>
        <v/>
      </c>
      <c r="M197" s="66">
        <f>IFERROR(INDEX(U$2:AY$2,MATCH(TRUE,INDEX(U197:AY197&lt;&gt;"",0),0)),"")</f>
        <v/>
      </c>
      <c r="N197" s="66">
        <f>IFERROR(LOOKUP(2,1/(U197:AY197&lt;&gt;""),U$2:AY$2),"")</f>
        <v/>
      </c>
      <c r="O197" s="59" t="n"/>
      <c r="P197" s="59" t="n"/>
      <c r="Q197" s="59" t="n"/>
      <c r="R197" s="59" t="n"/>
      <c r="S197" s="14" t="n"/>
      <c r="U197" s="53" t="n"/>
      <c r="V197" s="53" t="n"/>
      <c r="W197" s="53" t="n"/>
      <c r="X197" s="53" t="n"/>
      <c r="Y197" s="53" t="n"/>
      <c r="Z197" s="53" t="n"/>
      <c r="AA197" s="53" t="n"/>
      <c r="AB197" s="53" t="n"/>
      <c r="AC197" s="53" t="n"/>
      <c r="AD197" s="53" t="n"/>
      <c r="AE197" s="53" t="n"/>
      <c r="AF197" s="53" t="n"/>
      <c r="AG197" s="53" t="n"/>
      <c r="AH197" s="53" t="n"/>
      <c r="AI197" s="53" t="n"/>
      <c r="AJ197" s="53" t="n"/>
      <c r="AK197" s="53" t="n"/>
      <c r="AL197" s="53" t="n"/>
      <c r="AM197" s="53" t="n"/>
      <c r="AN197" s="53" t="n"/>
      <c r="AO197" s="53" t="n"/>
      <c r="AP197" s="53" t="n"/>
      <c r="AQ197" s="53" t="n"/>
      <c r="AR197" s="53" t="n"/>
      <c r="AS197" s="53" t="n"/>
      <c r="AT197" s="53" t="n"/>
      <c r="AU197" s="53" t="n"/>
      <c r="AV197" s="53" t="n"/>
      <c r="AW197" s="53" t="n"/>
      <c r="AX197" s="53" t="n"/>
      <c r="AY197" s="53" t="n"/>
    </row>
    <row r="198" ht="15" customHeight="1">
      <c r="A198" s="40">
        <f>IF($D$198="","",63)</f>
        <v/>
      </c>
      <c r="B198" s="10" t="n"/>
      <c r="C198" s="41" t="inlineStr">
        <is>
          <t>마케팅4팀</t>
        </is>
      </c>
      <c r="D198" s="42" t="n"/>
      <c r="E198" s="43" t="inlineStr">
        <is>
          <t>기획</t>
        </is>
      </c>
      <c r="F198" s="44" t="n"/>
      <c r="G198" s="45" t="n"/>
      <c r="H198" s="46">
        <f>IF($I$198="","",IF($I$198&lt;0,"🔴지연",IF($I$198&lt;=1,"🟡임박","🟢여유")))</f>
        <v/>
      </c>
      <c r="I198" s="47">
        <f>IF(OR($G$198="",$K$198=""),"",$G$198-$K$198)</f>
        <v/>
      </c>
      <c r="J198" s="48">
        <f>IF(SUM($L$198:$L$200)=0,"",SUM($L$198:$L$200))</f>
        <v/>
      </c>
      <c r="K198" s="49">
        <f>IF($J$198="","",MAX($N$198:$N$200))</f>
        <v/>
      </c>
      <c r="L198" s="50">
        <f>IF(SUM(U198:AY198)=0,"",SUM(U198:AY198))</f>
        <v/>
      </c>
      <c r="M198" s="51">
        <f>IFERROR(INDEX(U$2:AY$2,MATCH(TRUE,INDEX(U198:AY198&lt;&gt;"",0),0)),"")</f>
        <v/>
      </c>
      <c r="N198" s="51">
        <f>IFERROR(LOOKUP(2,1/(U198:AY198&lt;&gt;""),U$2:AY$2),"")</f>
        <v/>
      </c>
      <c r="O198" s="52" t="n"/>
      <c r="P198" s="52" t="n"/>
      <c r="Q198" s="52" t="n"/>
      <c r="R198" s="44" t="n"/>
      <c r="S198" s="14" t="n"/>
      <c r="U198" s="53" t="n"/>
      <c r="V198" s="53" t="n"/>
      <c r="W198" s="53" t="n"/>
      <c r="X198" s="53" t="n"/>
      <c r="Y198" s="53" t="n"/>
      <c r="Z198" s="53" t="n"/>
      <c r="AA198" s="53" t="n"/>
      <c r="AB198" s="53" t="n"/>
      <c r="AC198" s="53" t="n"/>
      <c r="AD198" s="53" t="n"/>
      <c r="AE198" s="53" t="n"/>
      <c r="AF198" s="53" t="n"/>
      <c r="AG198" s="53" t="n"/>
      <c r="AH198" s="53" t="n"/>
      <c r="AI198" s="53" t="n"/>
      <c r="AJ198" s="53" t="n"/>
      <c r="AK198" s="53" t="n"/>
      <c r="AL198" s="53" t="n"/>
      <c r="AM198" s="53" t="n"/>
      <c r="AN198" s="53" t="n"/>
      <c r="AO198" s="53" t="n"/>
      <c r="AP198" s="53" t="n"/>
      <c r="AQ198" s="53" t="n"/>
      <c r="AR198" s="53" t="n"/>
      <c r="AS198" s="53" t="n"/>
      <c r="AT198" s="53" t="n"/>
      <c r="AU198" s="53" t="n"/>
      <c r="AV198" s="53" t="n"/>
      <c r="AW198" s="53" t="n"/>
      <c r="AX198" s="53" t="n"/>
      <c r="AY198" s="53" t="n"/>
    </row>
    <row r="199" ht="15" customHeight="1">
      <c r="A199" s="54" t="n"/>
      <c r="B199" s="55">
        <f>IF($B$198="","",$B$198)</f>
        <v/>
      </c>
      <c r="C199" s="56" t="inlineStr">
        <is>
          <t>마케팅4팀</t>
        </is>
      </c>
      <c r="D199" s="55">
        <f>IF($D$198="","",$D$198)</f>
        <v/>
      </c>
      <c r="E199" s="57" t="inlineStr">
        <is>
          <t>이미지</t>
        </is>
      </c>
      <c r="F199" s="44" t="n"/>
      <c r="G199" s="58">
        <f>IF($G$198="","",$G$198)</f>
        <v/>
      </c>
      <c r="H199" s="59" t="n"/>
      <c r="I199" s="59" t="n"/>
      <c r="J199" s="59" t="n"/>
      <c r="K199" s="59" t="n"/>
      <c r="L199" s="60">
        <f>IF(SUM(U199:AY199)=0,"",SUM(U199:AY199))</f>
        <v/>
      </c>
      <c r="M199" s="61">
        <f>IFERROR(INDEX(U$2:AY$2,MATCH(TRUE,INDEX(U199:AY199&lt;&gt;"",0),0)),"")</f>
        <v/>
      </c>
      <c r="N199" s="61">
        <f>IFERROR(LOOKUP(2,1/(U199:AY199&lt;&gt;""),U$2:AY$2),"")</f>
        <v/>
      </c>
      <c r="O199" s="59" t="n"/>
      <c r="P199" s="59" t="n"/>
      <c r="Q199" s="59" t="n"/>
      <c r="R199" s="59" t="n"/>
      <c r="S199" s="14" t="n"/>
      <c r="U199" s="53" t="n"/>
      <c r="V199" s="53" t="n"/>
      <c r="W199" s="53" t="n"/>
      <c r="X199" s="53" t="n"/>
      <c r="Y199" s="53" t="n"/>
      <c r="Z199" s="53" t="n"/>
      <c r="AA199" s="53" t="n"/>
      <c r="AB199" s="53" t="n"/>
      <c r="AC199" s="53" t="n"/>
      <c r="AD199" s="53" t="n"/>
      <c r="AE199" s="53" t="n"/>
      <c r="AF199" s="53" t="n"/>
      <c r="AG199" s="53" t="n"/>
      <c r="AH199" s="53" t="n"/>
      <c r="AI199" s="53" t="n"/>
      <c r="AJ199" s="53" t="n"/>
      <c r="AK199" s="53" t="n"/>
      <c r="AL199" s="53" t="n"/>
      <c r="AM199" s="53" t="n"/>
      <c r="AN199" s="53" t="n"/>
      <c r="AO199" s="53" t="n"/>
      <c r="AP199" s="53" t="n"/>
      <c r="AQ199" s="53" t="n"/>
      <c r="AR199" s="53" t="n"/>
      <c r="AS199" s="53" t="n"/>
      <c r="AT199" s="53" t="n"/>
      <c r="AU199" s="53" t="n"/>
      <c r="AV199" s="53" t="n"/>
      <c r="AW199" s="53" t="n"/>
      <c r="AX199" s="53" t="n"/>
      <c r="AY199" s="53" t="n"/>
    </row>
    <row r="200" ht="15" customHeight="1">
      <c r="A200" s="62" t="n"/>
      <c r="B200" s="55">
        <f>IF($B$198="","",$B$198)</f>
        <v/>
      </c>
      <c r="C200" s="63" t="inlineStr">
        <is>
          <t>마케팅4팀</t>
        </is>
      </c>
      <c r="D200" s="55">
        <f>IF($D$198="","",$D$198)</f>
        <v/>
      </c>
      <c r="E200" s="64" t="inlineStr">
        <is>
          <t>영상</t>
        </is>
      </c>
      <c r="F200" s="44" t="n"/>
      <c r="G200" s="58">
        <f>IF($G$198="","",$G$198)</f>
        <v/>
      </c>
      <c r="H200" s="59" t="n"/>
      <c r="I200" s="59" t="n"/>
      <c r="J200" s="59" t="n"/>
      <c r="K200" s="59" t="n"/>
      <c r="L200" s="65">
        <f>IF(SUM(U200:AY200)=0,"",SUM(U200:AY200))</f>
        <v/>
      </c>
      <c r="M200" s="66">
        <f>IFERROR(INDEX(U$2:AY$2,MATCH(TRUE,INDEX(U200:AY200&lt;&gt;"",0),0)),"")</f>
        <v/>
      </c>
      <c r="N200" s="66">
        <f>IFERROR(LOOKUP(2,1/(U200:AY200&lt;&gt;""),U$2:AY$2),"")</f>
        <v/>
      </c>
      <c r="O200" s="59" t="n"/>
      <c r="P200" s="59" t="n"/>
      <c r="Q200" s="59" t="n"/>
      <c r="R200" s="59" t="n"/>
      <c r="S200" s="14" t="n"/>
      <c r="U200" s="53" t="n"/>
      <c r="V200" s="53" t="n"/>
      <c r="W200" s="53" t="n"/>
      <c r="X200" s="53" t="n"/>
      <c r="Y200" s="53" t="n"/>
      <c r="Z200" s="53" t="n"/>
      <c r="AA200" s="53" t="n"/>
      <c r="AB200" s="53" t="n"/>
      <c r="AC200" s="53" t="n"/>
      <c r="AD200" s="53" t="n"/>
      <c r="AE200" s="53" t="n"/>
      <c r="AF200" s="53" t="n"/>
      <c r="AG200" s="53" t="n"/>
      <c r="AH200" s="53" t="n"/>
      <c r="AI200" s="53" t="n"/>
      <c r="AJ200" s="53" t="n"/>
      <c r="AK200" s="53" t="n"/>
      <c r="AL200" s="53" t="n"/>
      <c r="AM200" s="53" t="n"/>
      <c r="AN200" s="53" t="n"/>
      <c r="AO200" s="53" t="n"/>
      <c r="AP200" s="53" t="n"/>
      <c r="AQ200" s="53" t="n"/>
      <c r="AR200" s="53" t="n"/>
      <c r="AS200" s="53" t="n"/>
      <c r="AT200" s="53" t="n"/>
      <c r="AU200" s="53" t="n"/>
      <c r="AV200" s="53" t="n"/>
      <c r="AW200" s="53" t="n"/>
      <c r="AX200" s="53" t="n"/>
      <c r="AY200" s="53" t="n"/>
    </row>
    <row r="201" ht="15" customHeight="1">
      <c r="A201" s="40">
        <f>IF($D$201="","",64)</f>
        <v/>
      </c>
      <c r="B201" s="10" t="n"/>
      <c r="C201" s="41" t="inlineStr">
        <is>
          <t>마케팅4팀</t>
        </is>
      </c>
      <c r="D201" s="42" t="n"/>
      <c r="E201" s="43" t="inlineStr">
        <is>
          <t>기획</t>
        </is>
      </c>
      <c r="F201" s="44" t="n"/>
      <c r="G201" s="45" t="n"/>
      <c r="H201" s="46">
        <f>IF($I$201="","",IF($I$201&lt;0,"🔴지연",IF($I$201&lt;=1,"🟡임박","🟢여유")))</f>
        <v/>
      </c>
      <c r="I201" s="47">
        <f>IF(OR($G$201="",$K$201=""),"",$G$201-$K$201)</f>
        <v/>
      </c>
      <c r="J201" s="48">
        <f>IF(SUM($L$201:$L$203)=0,"",SUM($L$201:$L$203))</f>
        <v/>
      </c>
      <c r="K201" s="49">
        <f>IF($J$201="","",MAX($N$201:$N$203))</f>
        <v/>
      </c>
      <c r="L201" s="50">
        <f>IF(SUM(U201:AY201)=0,"",SUM(U201:AY201))</f>
        <v/>
      </c>
      <c r="M201" s="51">
        <f>IFERROR(INDEX(U$2:AY$2,MATCH(TRUE,INDEX(U201:AY201&lt;&gt;"",0),0)),"")</f>
        <v/>
      </c>
      <c r="N201" s="51">
        <f>IFERROR(LOOKUP(2,1/(U201:AY201&lt;&gt;""),U$2:AY$2),"")</f>
        <v/>
      </c>
      <c r="O201" s="52" t="n"/>
      <c r="P201" s="52" t="n"/>
      <c r="Q201" s="52" t="n"/>
      <c r="R201" s="44" t="n"/>
      <c r="S201" s="14" t="n"/>
      <c r="U201" s="53" t="n"/>
      <c r="V201" s="53" t="n"/>
      <c r="W201" s="53" t="n"/>
      <c r="X201" s="53" t="n"/>
      <c r="Y201" s="53" t="n"/>
      <c r="Z201" s="53" t="n"/>
      <c r="AA201" s="53" t="n"/>
      <c r="AB201" s="53" t="n"/>
      <c r="AC201" s="53" t="n"/>
      <c r="AD201" s="53" t="n"/>
      <c r="AE201" s="53" t="n"/>
      <c r="AF201" s="53" t="n"/>
      <c r="AG201" s="53" t="n"/>
      <c r="AH201" s="53" t="n"/>
      <c r="AI201" s="53" t="n"/>
      <c r="AJ201" s="53" t="n"/>
      <c r="AK201" s="53" t="n"/>
      <c r="AL201" s="53" t="n"/>
      <c r="AM201" s="53" t="n"/>
      <c r="AN201" s="53" t="n"/>
      <c r="AO201" s="53" t="n"/>
      <c r="AP201" s="53" t="n"/>
      <c r="AQ201" s="53" t="n"/>
      <c r="AR201" s="53" t="n"/>
      <c r="AS201" s="53" t="n"/>
      <c r="AT201" s="53" t="n"/>
      <c r="AU201" s="53" t="n"/>
      <c r="AV201" s="53" t="n"/>
      <c r="AW201" s="53" t="n"/>
      <c r="AX201" s="53" t="n"/>
      <c r="AY201" s="53" t="n"/>
    </row>
    <row r="202" ht="15" customHeight="1">
      <c r="A202" s="54" t="n"/>
      <c r="B202" s="55">
        <f>IF($B$201="","",$B$201)</f>
        <v/>
      </c>
      <c r="C202" s="56" t="inlineStr">
        <is>
          <t>마케팅4팀</t>
        </is>
      </c>
      <c r="D202" s="55">
        <f>IF($D$201="","",$D$201)</f>
        <v/>
      </c>
      <c r="E202" s="57" t="inlineStr">
        <is>
          <t>이미지</t>
        </is>
      </c>
      <c r="F202" s="44" t="n"/>
      <c r="G202" s="58">
        <f>IF($G$201="","",$G$201)</f>
        <v/>
      </c>
      <c r="H202" s="59" t="n"/>
      <c r="I202" s="59" t="n"/>
      <c r="J202" s="59" t="n"/>
      <c r="K202" s="59" t="n"/>
      <c r="L202" s="60">
        <f>IF(SUM(U202:AY202)=0,"",SUM(U202:AY202))</f>
        <v/>
      </c>
      <c r="M202" s="61">
        <f>IFERROR(INDEX(U$2:AY$2,MATCH(TRUE,INDEX(U202:AY202&lt;&gt;"",0),0)),"")</f>
        <v/>
      </c>
      <c r="N202" s="61">
        <f>IFERROR(LOOKUP(2,1/(U202:AY202&lt;&gt;""),U$2:AY$2),"")</f>
        <v/>
      </c>
      <c r="O202" s="59" t="n"/>
      <c r="P202" s="59" t="n"/>
      <c r="Q202" s="59" t="n"/>
      <c r="R202" s="59" t="n"/>
      <c r="S202" s="14" t="n"/>
      <c r="U202" s="53" t="n"/>
      <c r="V202" s="53" t="n"/>
      <c r="W202" s="53" t="n"/>
      <c r="X202" s="53" t="n"/>
      <c r="Y202" s="53" t="n"/>
      <c r="Z202" s="53" t="n"/>
      <c r="AA202" s="53" t="n"/>
      <c r="AB202" s="53" t="n"/>
      <c r="AC202" s="53" t="n"/>
      <c r="AD202" s="53" t="n"/>
      <c r="AE202" s="53" t="n"/>
      <c r="AF202" s="53" t="n"/>
      <c r="AG202" s="53" t="n"/>
      <c r="AH202" s="53" t="n"/>
      <c r="AI202" s="53" t="n"/>
      <c r="AJ202" s="53" t="n"/>
      <c r="AK202" s="53" t="n"/>
      <c r="AL202" s="53" t="n"/>
      <c r="AM202" s="53" t="n"/>
      <c r="AN202" s="53" t="n"/>
      <c r="AO202" s="53" t="n"/>
      <c r="AP202" s="53" t="n"/>
      <c r="AQ202" s="53" t="n"/>
      <c r="AR202" s="53" t="n"/>
      <c r="AS202" s="53" t="n"/>
      <c r="AT202" s="53" t="n"/>
      <c r="AU202" s="53" t="n"/>
      <c r="AV202" s="53" t="n"/>
      <c r="AW202" s="53" t="n"/>
      <c r="AX202" s="53" t="n"/>
      <c r="AY202" s="53" t="n"/>
    </row>
    <row r="203" ht="15" customHeight="1">
      <c r="A203" s="62" t="n"/>
      <c r="B203" s="55">
        <f>IF($B$201="","",$B$201)</f>
        <v/>
      </c>
      <c r="C203" s="63" t="inlineStr">
        <is>
          <t>마케팅4팀</t>
        </is>
      </c>
      <c r="D203" s="55">
        <f>IF($D$201="","",$D$201)</f>
        <v/>
      </c>
      <c r="E203" s="64" t="inlineStr">
        <is>
          <t>영상</t>
        </is>
      </c>
      <c r="F203" s="44" t="n"/>
      <c r="G203" s="58">
        <f>IF($G$201="","",$G$201)</f>
        <v/>
      </c>
      <c r="H203" s="59" t="n"/>
      <c r="I203" s="59" t="n"/>
      <c r="J203" s="59" t="n"/>
      <c r="K203" s="59" t="n"/>
      <c r="L203" s="65">
        <f>IF(SUM(U203:AY203)=0,"",SUM(U203:AY203))</f>
        <v/>
      </c>
      <c r="M203" s="66">
        <f>IFERROR(INDEX(U$2:AY$2,MATCH(TRUE,INDEX(U203:AY203&lt;&gt;"",0),0)),"")</f>
        <v/>
      </c>
      <c r="N203" s="66">
        <f>IFERROR(LOOKUP(2,1/(U203:AY203&lt;&gt;""),U$2:AY$2),"")</f>
        <v/>
      </c>
      <c r="O203" s="59" t="n"/>
      <c r="P203" s="59" t="n"/>
      <c r="Q203" s="59" t="n"/>
      <c r="R203" s="59" t="n"/>
      <c r="S203" s="14" t="n"/>
      <c r="U203" s="53" t="n"/>
      <c r="V203" s="53" t="n"/>
      <c r="W203" s="53" t="n"/>
      <c r="X203" s="53" t="n"/>
      <c r="Y203" s="53" t="n"/>
      <c r="Z203" s="53" t="n"/>
      <c r="AA203" s="53" t="n"/>
      <c r="AB203" s="53" t="n"/>
      <c r="AC203" s="53" t="n"/>
      <c r="AD203" s="53" t="n"/>
      <c r="AE203" s="53" t="n"/>
      <c r="AF203" s="53" t="n"/>
      <c r="AG203" s="53" t="n"/>
      <c r="AH203" s="53" t="n"/>
      <c r="AI203" s="53" t="n"/>
      <c r="AJ203" s="53" t="n"/>
      <c r="AK203" s="53" t="n"/>
      <c r="AL203" s="53" t="n"/>
      <c r="AM203" s="53" t="n"/>
      <c r="AN203" s="53" t="n"/>
      <c r="AO203" s="53" t="n"/>
      <c r="AP203" s="53" t="n"/>
      <c r="AQ203" s="53" t="n"/>
      <c r="AR203" s="53" t="n"/>
      <c r="AS203" s="53" t="n"/>
      <c r="AT203" s="53" t="n"/>
      <c r="AU203" s="53" t="n"/>
      <c r="AV203" s="53" t="n"/>
      <c r="AW203" s="53" t="n"/>
      <c r="AX203" s="53" t="n"/>
      <c r="AY203" s="53" t="n"/>
    </row>
    <row r="204" ht="15" customHeight="1">
      <c r="A204" s="40">
        <f>IF($D$204="","",65)</f>
        <v/>
      </c>
      <c r="B204" s="10" t="n"/>
      <c r="C204" s="41" t="inlineStr">
        <is>
          <t>마케팅4팀</t>
        </is>
      </c>
      <c r="D204" s="42" t="n"/>
      <c r="E204" s="43" t="inlineStr">
        <is>
          <t>기획</t>
        </is>
      </c>
      <c r="F204" s="44" t="n"/>
      <c r="G204" s="45" t="n"/>
      <c r="H204" s="46">
        <f>IF($I$204="","",IF($I$204&lt;0,"🔴지연",IF($I$204&lt;=1,"🟡임박","🟢여유")))</f>
        <v/>
      </c>
      <c r="I204" s="47">
        <f>IF(OR($G$204="",$K$204=""),"",$G$204-$K$204)</f>
        <v/>
      </c>
      <c r="J204" s="48">
        <f>IF(SUM($L$204:$L$206)=0,"",SUM($L$204:$L$206))</f>
        <v/>
      </c>
      <c r="K204" s="49">
        <f>IF($J$204="","",MAX($N$204:$N$206))</f>
        <v/>
      </c>
      <c r="L204" s="50">
        <f>IF(SUM(U204:AY204)=0,"",SUM(U204:AY204))</f>
        <v/>
      </c>
      <c r="M204" s="51">
        <f>IFERROR(INDEX(U$2:AY$2,MATCH(TRUE,INDEX(U204:AY204&lt;&gt;"",0),0)),"")</f>
        <v/>
      </c>
      <c r="N204" s="51">
        <f>IFERROR(LOOKUP(2,1/(U204:AY204&lt;&gt;""),U$2:AY$2),"")</f>
        <v/>
      </c>
      <c r="O204" s="52" t="n"/>
      <c r="P204" s="52" t="n"/>
      <c r="Q204" s="52" t="n"/>
      <c r="R204" s="44" t="n"/>
      <c r="S204" s="14" t="n"/>
      <c r="U204" s="53" t="n"/>
      <c r="V204" s="53" t="n"/>
      <c r="W204" s="53" t="n"/>
      <c r="X204" s="53" t="n"/>
      <c r="Y204" s="53" t="n"/>
      <c r="Z204" s="53" t="n"/>
      <c r="AA204" s="53" t="n"/>
      <c r="AB204" s="53" t="n"/>
      <c r="AC204" s="53" t="n"/>
      <c r="AD204" s="53" t="n"/>
      <c r="AE204" s="53" t="n"/>
      <c r="AF204" s="53" t="n"/>
      <c r="AG204" s="53" t="n"/>
      <c r="AH204" s="53" t="n"/>
      <c r="AI204" s="53" t="n"/>
      <c r="AJ204" s="53" t="n"/>
      <c r="AK204" s="53" t="n"/>
      <c r="AL204" s="53" t="n"/>
      <c r="AM204" s="53" t="n"/>
      <c r="AN204" s="53" t="n"/>
      <c r="AO204" s="53" t="n"/>
      <c r="AP204" s="53" t="n"/>
      <c r="AQ204" s="53" t="n"/>
      <c r="AR204" s="53" t="n"/>
      <c r="AS204" s="53" t="n"/>
      <c r="AT204" s="53" t="n"/>
      <c r="AU204" s="53" t="n"/>
      <c r="AV204" s="53" t="n"/>
      <c r="AW204" s="53" t="n"/>
      <c r="AX204" s="53" t="n"/>
      <c r="AY204" s="53" t="n"/>
    </row>
    <row r="205" ht="15" customHeight="1">
      <c r="A205" s="54" t="n"/>
      <c r="B205" s="55">
        <f>IF($B$204="","",$B$204)</f>
        <v/>
      </c>
      <c r="C205" s="56" t="inlineStr">
        <is>
          <t>마케팅4팀</t>
        </is>
      </c>
      <c r="D205" s="55">
        <f>IF($D$204="","",$D$204)</f>
        <v/>
      </c>
      <c r="E205" s="57" t="inlineStr">
        <is>
          <t>이미지</t>
        </is>
      </c>
      <c r="F205" s="44" t="n"/>
      <c r="G205" s="58">
        <f>IF($G$204="","",$G$204)</f>
        <v/>
      </c>
      <c r="H205" s="59" t="n"/>
      <c r="I205" s="59" t="n"/>
      <c r="J205" s="59" t="n"/>
      <c r="K205" s="59" t="n"/>
      <c r="L205" s="60">
        <f>IF(SUM(U205:AY205)=0,"",SUM(U205:AY205))</f>
        <v/>
      </c>
      <c r="M205" s="61">
        <f>IFERROR(INDEX(U$2:AY$2,MATCH(TRUE,INDEX(U205:AY205&lt;&gt;"",0),0)),"")</f>
        <v/>
      </c>
      <c r="N205" s="61">
        <f>IFERROR(LOOKUP(2,1/(U205:AY205&lt;&gt;""),U$2:AY$2),"")</f>
        <v/>
      </c>
      <c r="O205" s="59" t="n"/>
      <c r="P205" s="59" t="n"/>
      <c r="Q205" s="59" t="n"/>
      <c r="R205" s="59" t="n"/>
      <c r="S205" s="14" t="n"/>
      <c r="U205" s="53" t="n"/>
      <c r="V205" s="53" t="n"/>
      <c r="W205" s="53" t="n"/>
      <c r="X205" s="53" t="n"/>
      <c r="Y205" s="53" t="n"/>
      <c r="Z205" s="53" t="n"/>
      <c r="AA205" s="53" t="n"/>
      <c r="AB205" s="53" t="n"/>
      <c r="AC205" s="53" t="n"/>
      <c r="AD205" s="53" t="n"/>
      <c r="AE205" s="53" t="n"/>
      <c r="AF205" s="53" t="n"/>
      <c r="AG205" s="53" t="n"/>
      <c r="AH205" s="53" t="n"/>
      <c r="AI205" s="53" t="n"/>
      <c r="AJ205" s="53" t="n"/>
      <c r="AK205" s="53" t="n"/>
      <c r="AL205" s="53" t="n"/>
      <c r="AM205" s="53" t="n"/>
      <c r="AN205" s="53" t="n"/>
      <c r="AO205" s="53" t="n"/>
      <c r="AP205" s="53" t="n"/>
      <c r="AQ205" s="53" t="n"/>
      <c r="AR205" s="53" t="n"/>
      <c r="AS205" s="53" t="n"/>
      <c r="AT205" s="53" t="n"/>
      <c r="AU205" s="53" t="n"/>
      <c r="AV205" s="53" t="n"/>
      <c r="AW205" s="53" t="n"/>
      <c r="AX205" s="53" t="n"/>
      <c r="AY205" s="53" t="n"/>
    </row>
    <row r="206" ht="15" customHeight="1">
      <c r="A206" s="62" t="n"/>
      <c r="B206" s="55">
        <f>IF($B$204="","",$B$204)</f>
        <v/>
      </c>
      <c r="C206" s="63" t="inlineStr">
        <is>
          <t>마케팅4팀</t>
        </is>
      </c>
      <c r="D206" s="55">
        <f>IF($D$204="","",$D$204)</f>
        <v/>
      </c>
      <c r="E206" s="64" t="inlineStr">
        <is>
          <t>영상</t>
        </is>
      </c>
      <c r="F206" s="44" t="n"/>
      <c r="G206" s="58">
        <f>IF($G$204="","",$G$204)</f>
        <v/>
      </c>
      <c r="H206" s="59" t="n"/>
      <c r="I206" s="59" t="n"/>
      <c r="J206" s="59" t="n"/>
      <c r="K206" s="59" t="n"/>
      <c r="L206" s="65">
        <f>IF(SUM(U206:AY206)=0,"",SUM(U206:AY206))</f>
        <v/>
      </c>
      <c r="M206" s="66">
        <f>IFERROR(INDEX(U$2:AY$2,MATCH(TRUE,INDEX(U206:AY206&lt;&gt;"",0),0)),"")</f>
        <v/>
      </c>
      <c r="N206" s="66">
        <f>IFERROR(LOOKUP(2,1/(U206:AY206&lt;&gt;""),U$2:AY$2),"")</f>
        <v/>
      </c>
      <c r="O206" s="59" t="n"/>
      <c r="P206" s="59" t="n"/>
      <c r="Q206" s="59" t="n"/>
      <c r="R206" s="59" t="n"/>
      <c r="S206" s="14" t="n"/>
      <c r="U206" s="53" t="n"/>
      <c r="V206" s="53" t="n"/>
      <c r="W206" s="53" t="n"/>
      <c r="X206" s="53" t="n"/>
      <c r="Y206" s="53" t="n"/>
      <c r="Z206" s="53" t="n"/>
      <c r="AA206" s="53" t="n"/>
      <c r="AB206" s="53" t="n"/>
      <c r="AC206" s="53" t="n"/>
      <c r="AD206" s="53" t="n"/>
      <c r="AE206" s="53" t="n"/>
      <c r="AF206" s="53" t="n"/>
      <c r="AG206" s="53" t="n"/>
      <c r="AH206" s="53" t="n"/>
      <c r="AI206" s="53" t="n"/>
      <c r="AJ206" s="53" t="n"/>
      <c r="AK206" s="53" t="n"/>
      <c r="AL206" s="53" t="n"/>
      <c r="AM206" s="53" t="n"/>
      <c r="AN206" s="53" t="n"/>
      <c r="AO206" s="53" t="n"/>
      <c r="AP206" s="53" t="n"/>
      <c r="AQ206" s="53" t="n"/>
      <c r="AR206" s="53" t="n"/>
      <c r="AS206" s="53" t="n"/>
      <c r="AT206" s="53" t="n"/>
      <c r="AU206" s="53" t="n"/>
      <c r="AV206" s="53" t="n"/>
      <c r="AW206" s="53" t="n"/>
      <c r="AX206" s="53" t="n"/>
      <c r="AY206" s="53" t="n"/>
    </row>
    <row r="207" ht="15" customHeight="1">
      <c r="A207" s="40">
        <f>IF($D$207="","",66)</f>
        <v/>
      </c>
      <c r="B207" s="10" t="n"/>
      <c r="C207" s="41" t="inlineStr">
        <is>
          <t>마케팅4팀</t>
        </is>
      </c>
      <c r="D207" s="42" t="n"/>
      <c r="E207" s="43" t="inlineStr">
        <is>
          <t>기획</t>
        </is>
      </c>
      <c r="F207" s="44" t="n"/>
      <c r="G207" s="45" t="n"/>
      <c r="H207" s="46">
        <f>IF($I$207="","",IF($I$207&lt;0,"🔴지연",IF($I$207&lt;=1,"🟡임박","🟢여유")))</f>
        <v/>
      </c>
      <c r="I207" s="47">
        <f>IF(OR($G$207="",$K$207=""),"",$G$207-$K$207)</f>
        <v/>
      </c>
      <c r="J207" s="48">
        <f>IF(SUM($L$207:$L$209)=0,"",SUM($L$207:$L$209))</f>
        <v/>
      </c>
      <c r="K207" s="49">
        <f>IF($J$207="","",MAX($N$207:$N$209))</f>
        <v/>
      </c>
      <c r="L207" s="50">
        <f>IF(SUM(U207:AY207)=0,"",SUM(U207:AY207))</f>
        <v/>
      </c>
      <c r="M207" s="51">
        <f>IFERROR(INDEX(U$2:AY$2,MATCH(TRUE,INDEX(U207:AY207&lt;&gt;"",0),0)),"")</f>
        <v/>
      </c>
      <c r="N207" s="51">
        <f>IFERROR(LOOKUP(2,1/(U207:AY207&lt;&gt;""),U$2:AY$2),"")</f>
        <v/>
      </c>
      <c r="O207" s="52" t="n"/>
      <c r="P207" s="52" t="n"/>
      <c r="Q207" s="52" t="n"/>
      <c r="R207" s="44" t="n"/>
      <c r="S207" s="14" t="n"/>
      <c r="U207" s="53" t="n"/>
      <c r="V207" s="53" t="n"/>
      <c r="W207" s="53" t="n"/>
      <c r="X207" s="53" t="n"/>
      <c r="Y207" s="53" t="n"/>
      <c r="Z207" s="53" t="n"/>
      <c r="AA207" s="53" t="n"/>
      <c r="AB207" s="53" t="n"/>
      <c r="AC207" s="53" t="n"/>
      <c r="AD207" s="53" t="n"/>
      <c r="AE207" s="53" t="n"/>
      <c r="AF207" s="53" t="n"/>
      <c r="AG207" s="53" t="n"/>
      <c r="AH207" s="53" t="n"/>
      <c r="AI207" s="53" t="n"/>
      <c r="AJ207" s="53" t="n"/>
      <c r="AK207" s="53" t="n"/>
      <c r="AL207" s="53" t="n"/>
      <c r="AM207" s="53" t="n"/>
      <c r="AN207" s="53" t="n"/>
      <c r="AO207" s="53" t="n"/>
      <c r="AP207" s="53" t="n"/>
      <c r="AQ207" s="53" t="n"/>
      <c r="AR207" s="53" t="n"/>
      <c r="AS207" s="53" t="n"/>
      <c r="AT207" s="53" t="n"/>
      <c r="AU207" s="53" t="n"/>
      <c r="AV207" s="53" t="n"/>
      <c r="AW207" s="53" t="n"/>
      <c r="AX207" s="53" t="n"/>
      <c r="AY207" s="53" t="n"/>
    </row>
    <row r="208" ht="15" customHeight="1">
      <c r="A208" s="54" t="n"/>
      <c r="B208" s="55">
        <f>IF($B$207="","",$B$207)</f>
        <v/>
      </c>
      <c r="C208" s="56" t="inlineStr">
        <is>
          <t>마케팅4팀</t>
        </is>
      </c>
      <c r="D208" s="55">
        <f>IF($D$207="","",$D$207)</f>
        <v/>
      </c>
      <c r="E208" s="57" t="inlineStr">
        <is>
          <t>이미지</t>
        </is>
      </c>
      <c r="F208" s="44" t="n"/>
      <c r="G208" s="58">
        <f>IF($G$207="","",$G$207)</f>
        <v/>
      </c>
      <c r="H208" s="59" t="n"/>
      <c r="I208" s="59" t="n"/>
      <c r="J208" s="59" t="n"/>
      <c r="K208" s="59" t="n"/>
      <c r="L208" s="60">
        <f>IF(SUM(U208:AY208)=0,"",SUM(U208:AY208))</f>
        <v/>
      </c>
      <c r="M208" s="61">
        <f>IFERROR(INDEX(U$2:AY$2,MATCH(TRUE,INDEX(U208:AY208&lt;&gt;"",0),0)),"")</f>
        <v/>
      </c>
      <c r="N208" s="61">
        <f>IFERROR(LOOKUP(2,1/(U208:AY208&lt;&gt;""),U$2:AY$2),"")</f>
        <v/>
      </c>
      <c r="O208" s="59" t="n"/>
      <c r="P208" s="59" t="n"/>
      <c r="Q208" s="59" t="n"/>
      <c r="R208" s="59" t="n"/>
      <c r="S208" s="14" t="n"/>
      <c r="U208" s="53" t="n"/>
      <c r="V208" s="53" t="n"/>
      <c r="W208" s="53" t="n"/>
      <c r="X208" s="53" t="n"/>
      <c r="Y208" s="53" t="n"/>
      <c r="Z208" s="53" t="n"/>
      <c r="AA208" s="53" t="n"/>
      <c r="AB208" s="53" t="n"/>
      <c r="AC208" s="53" t="n"/>
      <c r="AD208" s="53" t="n"/>
      <c r="AE208" s="53" t="n"/>
      <c r="AF208" s="53" t="n"/>
      <c r="AG208" s="53" t="n"/>
      <c r="AH208" s="53" t="n"/>
      <c r="AI208" s="53" t="n"/>
      <c r="AJ208" s="53" t="n"/>
      <c r="AK208" s="53" t="n"/>
      <c r="AL208" s="53" t="n"/>
      <c r="AM208" s="53" t="n"/>
      <c r="AN208" s="53" t="n"/>
      <c r="AO208" s="53" t="n"/>
      <c r="AP208" s="53" t="n"/>
      <c r="AQ208" s="53" t="n"/>
      <c r="AR208" s="53" t="n"/>
      <c r="AS208" s="53" t="n"/>
      <c r="AT208" s="53" t="n"/>
      <c r="AU208" s="53" t="n"/>
      <c r="AV208" s="53" t="n"/>
      <c r="AW208" s="53" t="n"/>
      <c r="AX208" s="53" t="n"/>
      <c r="AY208" s="53" t="n"/>
    </row>
    <row r="209" ht="15" customHeight="1">
      <c r="A209" s="62" t="n"/>
      <c r="B209" s="55">
        <f>IF($B$207="","",$B$207)</f>
        <v/>
      </c>
      <c r="C209" s="63" t="inlineStr">
        <is>
          <t>마케팅4팀</t>
        </is>
      </c>
      <c r="D209" s="55">
        <f>IF($D$207="","",$D$207)</f>
        <v/>
      </c>
      <c r="E209" s="64" t="inlineStr">
        <is>
          <t>영상</t>
        </is>
      </c>
      <c r="F209" s="44" t="n"/>
      <c r="G209" s="58">
        <f>IF($G$207="","",$G$207)</f>
        <v/>
      </c>
      <c r="H209" s="59" t="n"/>
      <c r="I209" s="59" t="n"/>
      <c r="J209" s="59" t="n"/>
      <c r="K209" s="59" t="n"/>
      <c r="L209" s="65">
        <f>IF(SUM(U209:AY209)=0,"",SUM(U209:AY209))</f>
        <v/>
      </c>
      <c r="M209" s="66">
        <f>IFERROR(INDEX(U$2:AY$2,MATCH(TRUE,INDEX(U209:AY209&lt;&gt;"",0),0)),"")</f>
        <v/>
      </c>
      <c r="N209" s="66">
        <f>IFERROR(LOOKUP(2,1/(U209:AY209&lt;&gt;""),U$2:AY$2),"")</f>
        <v/>
      </c>
      <c r="O209" s="59" t="n"/>
      <c r="P209" s="59" t="n"/>
      <c r="Q209" s="59" t="n"/>
      <c r="R209" s="59" t="n"/>
      <c r="S209" s="14" t="n"/>
      <c r="U209" s="53" t="n"/>
      <c r="V209" s="53" t="n"/>
      <c r="W209" s="53" t="n"/>
      <c r="X209" s="53" t="n"/>
      <c r="Y209" s="53" t="n"/>
      <c r="Z209" s="53" t="n"/>
      <c r="AA209" s="53" t="n"/>
      <c r="AB209" s="53" t="n"/>
      <c r="AC209" s="53" t="n"/>
      <c r="AD209" s="53" t="n"/>
      <c r="AE209" s="53" t="n"/>
      <c r="AF209" s="53" t="n"/>
      <c r="AG209" s="53" t="n"/>
      <c r="AH209" s="53" t="n"/>
      <c r="AI209" s="53" t="n"/>
      <c r="AJ209" s="53" t="n"/>
      <c r="AK209" s="53" t="n"/>
      <c r="AL209" s="53" t="n"/>
      <c r="AM209" s="53" t="n"/>
      <c r="AN209" s="53" t="n"/>
      <c r="AO209" s="53" t="n"/>
      <c r="AP209" s="53" t="n"/>
      <c r="AQ209" s="53" t="n"/>
      <c r="AR209" s="53" t="n"/>
      <c r="AS209" s="53" t="n"/>
      <c r="AT209" s="53" t="n"/>
      <c r="AU209" s="53" t="n"/>
      <c r="AV209" s="53" t="n"/>
      <c r="AW209" s="53" t="n"/>
      <c r="AX209" s="53" t="n"/>
      <c r="AY209" s="53" t="n"/>
    </row>
    <row r="210" ht="15" customHeight="1">
      <c r="A210" s="40">
        <f>IF($D$210="","",67)</f>
        <v/>
      </c>
      <c r="B210" s="10" t="n"/>
      <c r="C210" s="41" t="inlineStr">
        <is>
          <t>마케팅4팀</t>
        </is>
      </c>
      <c r="D210" s="42" t="n"/>
      <c r="E210" s="43" t="inlineStr">
        <is>
          <t>기획</t>
        </is>
      </c>
      <c r="F210" s="44" t="n"/>
      <c r="G210" s="45" t="n"/>
      <c r="H210" s="46">
        <f>IF($I$210="","",IF($I$210&lt;0,"🔴지연",IF($I$210&lt;=1,"🟡임박","🟢여유")))</f>
        <v/>
      </c>
      <c r="I210" s="47">
        <f>IF(OR($G$210="",$K$210=""),"",$G$210-$K$210)</f>
        <v/>
      </c>
      <c r="J210" s="48">
        <f>IF(SUM($L$210:$L$212)=0,"",SUM($L$210:$L$212))</f>
        <v/>
      </c>
      <c r="K210" s="49">
        <f>IF($J$210="","",MAX($N$210:$N$212))</f>
        <v/>
      </c>
      <c r="L210" s="50">
        <f>IF(SUM(U210:AY210)=0,"",SUM(U210:AY210))</f>
        <v/>
      </c>
      <c r="M210" s="51">
        <f>IFERROR(INDEX(U$2:AY$2,MATCH(TRUE,INDEX(U210:AY210&lt;&gt;"",0),0)),"")</f>
        <v/>
      </c>
      <c r="N210" s="51">
        <f>IFERROR(LOOKUP(2,1/(U210:AY210&lt;&gt;""),U$2:AY$2),"")</f>
        <v/>
      </c>
      <c r="O210" s="52" t="n"/>
      <c r="P210" s="52" t="n"/>
      <c r="Q210" s="52" t="n"/>
      <c r="R210" s="44" t="n"/>
      <c r="S210" s="14" t="n"/>
      <c r="U210" s="53" t="n"/>
      <c r="V210" s="53" t="n"/>
      <c r="W210" s="53" t="n"/>
      <c r="X210" s="53" t="n"/>
      <c r="Y210" s="53" t="n"/>
      <c r="Z210" s="53" t="n"/>
      <c r="AA210" s="53" t="n"/>
      <c r="AB210" s="53" t="n"/>
      <c r="AC210" s="53" t="n"/>
      <c r="AD210" s="53" t="n"/>
      <c r="AE210" s="53" t="n"/>
      <c r="AF210" s="53" t="n"/>
      <c r="AG210" s="53" t="n"/>
      <c r="AH210" s="53" t="n"/>
      <c r="AI210" s="53" t="n"/>
      <c r="AJ210" s="53" t="n"/>
      <c r="AK210" s="53" t="n"/>
      <c r="AL210" s="53" t="n"/>
      <c r="AM210" s="53" t="n"/>
      <c r="AN210" s="53" t="n"/>
      <c r="AO210" s="53" t="n"/>
      <c r="AP210" s="53" t="n"/>
      <c r="AQ210" s="53" t="n"/>
      <c r="AR210" s="53" t="n"/>
      <c r="AS210" s="53" t="n"/>
      <c r="AT210" s="53" t="n"/>
      <c r="AU210" s="53" t="n"/>
      <c r="AV210" s="53" t="n"/>
      <c r="AW210" s="53" t="n"/>
      <c r="AX210" s="53" t="n"/>
      <c r="AY210" s="53" t="n"/>
    </row>
    <row r="211" ht="15" customHeight="1">
      <c r="A211" s="54" t="n"/>
      <c r="B211" s="55">
        <f>IF($B$210="","",$B$210)</f>
        <v/>
      </c>
      <c r="C211" s="56" t="inlineStr">
        <is>
          <t>마케팅4팀</t>
        </is>
      </c>
      <c r="D211" s="55">
        <f>IF($D$210="","",$D$210)</f>
        <v/>
      </c>
      <c r="E211" s="57" t="inlineStr">
        <is>
          <t>이미지</t>
        </is>
      </c>
      <c r="F211" s="44" t="n"/>
      <c r="G211" s="58">
        <f>IF($G$210="","",$G$210)</f>
        <v/>
      </c>
      <c r="H211" s="59" t="n"/>
      <c r="I211" s="59" t="n"/>
      <c r="J211" s="59" t="n"/>
      <c r="K211" s="59" t="n"/>
      <c r="L211" s="60">
        <f>IF(SUM(U211:AY211)=0,"",SUM(U211:AY211))</f>
        <v/>
      </c>
      <c r="M211" s="61">
        <f>IFERROR(INDEX(U$2:AY$2,MATCH(TRUE,INDEX(U211:AY211&lt;&gt;"",0),0)),"")</f>
        <v/>
      </c>
      <c r="N211" s="61">
        <f>IFERROR(LOOKUP(2,1/(U211:AY211&lt;&gt;""),U$2:AY$2),"")</f>
        <v/>
      </c>
      <c r="O211" s="59" t="n"/>
      <c r="P211" s="59" t="n"/>
      <c r="Q211" s="59" t="n"/>
      <c r="R211" s="59" t="n"/>
      <c r="S211" s="14" t="n"/>
      <c r="U211" s="53" t="n"/>
      <c r="V211" s="53" t="n"/>
      <c r="W211" s="53" t="n"/>
      <c r="X211" s="53" t="n"/>
      <c r="Y211" s="53" t="n"/>
      <c r="Z211" s="53" t="n"/>
      <c r="AA211" s="53" t="n"/>
      <c r="AB211" s="53" t="n"/>
      <c r="AC211" s="53" t="n"/>
      <c r="AD211" s="53" t="n"/>
      <c r="AE211" s="53" t="n"/>
      <c r="AF211" s="53" t="n"/>
      <c r="AG211" s="53" t="n"/>
      <c r="AH211" s="53" t="n"/>
      <c r="AI211" s="53" t="n"/>
      <c r="AJ211" s="53" t="n"/>
      <c r="AK211" s="53" t="n"/>
      <c r="AL211" s="53" t="n"/>
      <c r="AM211" s="53" t="n"/>
      <c r="AN211" s="53" t="n"/>
      <c r="AO211" s="53" t="n"/>
      <c r="AP211" s="53" t="n"/>
      <c r="AQ211" s="53" t="n"/>
      <c r="AR211" s="53" t="n"/>
      <c r="AS211" s="53" t="n"/>
      <c r="AT211" s="53" t="n"/>
      <c r="AU211" s="53" t="n"/>
      <c r="AV211" s="53" t="n"/>
      <c r="AW211" s="53" t="n"/>
      <c r="AX211" s="53" t="n"/>
      <c r="AY211" s="53" t="n"/>
    </row>
    <row r="212" ht="15" customHeight="1">
      <c r="A212" s="62" t="n"/>
      <c r="B212" s="55">
        <f>IF($B$210="","",$B$210)</f>
        <v/>
      </c>
      <c r="C212" s="63" t="inlineStr">
        <is>
          <t>마케팅4팀</t>
        </is>
      </c>
      <c r="D212" s="55">
        <f>IF($D$210="","",$D$210)</f>
        <v/>
      </c>
      <c r="E212" s="64" t="inlineStr">
        <is>
          <t>영상</t>
        </is>
      </c>
      <c r="F212" s="44" t="n"/>
      <c r="G212" s="58">
        <f>IF($G$210="","",$G$210)</f>
        <v/>
      </c>
      <c r="H212" s="59" t="n"/>
      <c r="I212" s="59" t="n"/>
      <c r="J212" s="59" t="n"/>
      <c r="K212" s="59" t="n"/>
      <c r="L212" s="65">
        <f>IF(SUM(U212:AY212)=0,"",SUM(U212:AY212))</f>
        <v/>
      </c>
      <c r="M212" s="66">
        <f>IFERROR(INDEX(U$2:AY$2,MATCH(TRUE,INDEX(U212:AY212&lt;&gt;"",0),0)),"")</f>
        <v/>
      </c>
      <c r="N212" s="66">
        <f>IFERROR(LOOKUP(2,1/(U212:AY212&lt;&gt;""),U$2:AY$2),"")</f>
        <v/>
      </c>
      <c r="O212" s="59" t="n"/>
      <c r="P212" s="59" t="n"/>
      <c r="Q212" s="59" t="n"/>
      <c r="R212" s="59" t="n"/>
      <c r="S212" s="14" t="n"/>
      <c r="U212" s="53" t="n"/>
      <c r="V212" s="53" t="n"/>
      <c r="W212" s="53" t="n"/>
      <c r="X212" s="53" t="n"/>
      <c r="Y212" s="53" t="n"/>
      <c r="Z212" s="53" t="n"/>
      <c r="AA212" s="53" t="n"/>
      <c r="AB212" s="53" t="n"/>
      <c r="AC212" s="53" t="n"/>
      <c r="AD212" s="53" t="n"/>
      <c r="AE212" s="53" t="n"/>
      <c r="AF212" s="53" t="n"/>
      <c r="AG212" s="53" t="n"/>
      <c r="AH212" s="53" t="n"/>
      <c r="AI212" s="53" t="n"/>
      <c r="AJ212" s="53" t="n"/>
      <c r="AK212" s="53" t="n"/>
      <c r="AL212" s="53" t="n"/>
      <c r="AM212" s="53" t="n"/>
      <c r="AN212" s="53" t="n"/>
      <c r="AO212" s="53" t="n"/>
      <c r="AP212" s="53" t="n"/>
      <c r="AQ212" s="53" t="n"/>
      <c r="AR212" s="53" t="n"/>
      <c r="AS212" s="53" t="n"/>
      <c r="AT212" s="53" t="n"/>
      <c r="AU212" s="53" t="n"/>
      <c r="AV212" s="53" t="n"/>
      <c r="AW212" s="53" t="n"/>
      <c r="AX212" s="53" t="n"/>
      <c r="AY212" s="53" t="n"/>
    </row>
    <row r="213" ht="15" customHeight="1">
      <c r="A213" s="40">
        <f>IF($D$213="","",68)</f>
        <v/>
      </c>
      <c r="B213" s="10" t="n"/>
      <c r="C213" s="41" t="inlineStr">
        <is>
          <t>마케팅4팀</t>
        </is>
      </c>
      <c r="D213" s="42" t="n"/>
      <c r="E213" s="43" t="inlineStr">
        <is>
          <t>기획</t>
        </is>
      </c>
      <c r="F213" s="44" t="n"/>
      <c r="G213" s="45" t="n"/>
      <c r="H213" s="46">
        <f>IF($I$213="","",IF($I$213&lt;0,"🔴지연",IF($I$213&lt;=1,"🟡임박","🟢여유")))</f>
        <v/>
      </c>
      <c r="I213" s="47">
        <f>IF(OR($G$213="",$K$213=""),"",$G$213-$K$213)</f>
        <v/>
      </c>
      <c r="J213" s="48">
        <f>IF(SUM($L$213:$L$215)=0,"",SUM($L$213:$L$215))</f>
        <v/>
      </c>
      <c r="K213" s="49">
        <f>IF($J$213="","",MAX($N$213:$N$215))</f>
        <v/>
      </c>
      <c r="L213" s="50">
        <f>IF(SUM(U213:AY213)=0,"",SUM(U213:AY213))</f>
        <v/>
      </c>
      <c r="M213" s="51">
        <f>IFERROR(INDEX(U$2:AY$2,MATCH(TRUE,INDEX(U213:AY213&lt;&gt;"",0),0)),"")</f>
        <v/>
      </c>
      <c r="N213" s="51">
        <f>IFERROR(LOOKUP(2,1/(U213:AY213&lt;&gt;""),U$2:AY$2),"")</f>
        <v/>
      </c>
      <c r="O213" s="52" t="n"/>
      <c r="P213" s="52" t="n"/>
      <c r="Q213" s="52" t="n"/>
      <c r="R213" s="44" t="n"/>
      <c r="S213" s="14" t="n"/>
      <c r="U213" s="53" t="n"/>
      <c r="V213" s="53" t="n"/>
      <c r="W213" s="53" t="n"/>
      <c r="X213" s="53" t="n"/>
      <c r="Y213" s="53" t="n"/>
      <c r="Z213" s="53" t="n"/>
      <c r="AA213" s="53" t="n"/>
      <c r="AB213" s="53" t="n"/>
      <c r="AC213" s="53" t="n"/>
      <c r="AD213" s="53" t="n"/>
      <c r="AE213" s="53" t="n"/>
      <c r="AF213" s="53" t="n"/>
      <c r="AG213" s="53" t="n"/>
      <c r="AH213" s="53" t="n"/>
      <c r="AI213" s="53" t="n"/>
      <c r="AJ213" s="53" t="n"/>
      <c r="AK213" s="53" t="n"/>
      <c r="AL213" s="53" t="n"/>
      <c r="AM213" s="53" t="n"/>
      <c r="AN213" s="53" t="n"/>
      <c r="AO213" s="53" t="n"/>
      <c r="AP213" s="53" t="n"/>
      <c r="AQ213" s="53" t="n"/>
      <c r="AR213" s="53" t="n"/>
      <c r="AS213" s="53" t="n"/>
      <c r="AT213" s="53" t="n"/>
      <c r="AU213" s="53" t="n"/>
      <c r="AV213" s="53" t="n"/>
      <c r="AW213" s="53" t="n"/>
      <c r="AX213" s="53" t="n"/>
      <c r="AY213" s="53" t="n"/>
    </row>
    <row r="214" ht="15" customHeight="1">
      <c r="A214" s="54" t="n"/>
      <c r="B214" s="55">
        <f>IF($B$213="","",$B$213)</f>
        <v/>
      </c>
      <c r="C214" s="56" t="inlineStr">
        <is>
          <t>마케팅4팀</t>
        </is>
      </c>
      <c r="D214" s="55">
        <f>IF($D$213="","",$D$213)</f>
        <v/>
      </c>
      <c r="E214" s="57" t="inlineStr">
        <is>
          <t>이미지</t>
        </is>
      </c>
      <c r="F214" s="44" t="n"/>
      <c r="G214" s="58">
        <f>IF($G$213="","",$G$213)</f>
        <v/>
      </c>
      <c r="H214" s="59" t="n"/>
      <c r="I214" s="59" t="n"/>
      <c r="J214" s="59" t="n"/>
      <c r="K214" s="59" t="n"/>
      <c r="L214" s="60">
        <f>IF(SUM(U214:AY214)=0,"",SUM(U214:AY214))</f>
        <v/>
      </c>
      <c r="M214" s="61">
        <f>IFERROR(INDEX(U$2:AY$2,MATCH(TRUE,INDEX(U214:AY214&lt;&gt;"",0),0)),"")</f>
        <v/>
      </c>
      <c r="N214" s="61">
        <f>IFERROR(LOOKUP(2,1/(U214:AY214&lt;&gt;""),U$2:AY$2),"")</f>
        <v/>
      </c>
      <c r="O214" s="59" t="n"/>
      <c r="P214" s="59" t="n"/>
      <c r="Q214" s="59" t="n"/>
      <c r="R214" s="59" t="n"/>
      <c r="S214" s="14" t="n"/>
      <c r="U214" s="53" t="n"/>
      <c r="V214" s="53" t="n"/>
      <c r="W214" s="53" t="n"/>
      <c r="X214" s="53" t="n"/>
      <c r="Y214" s="53" t="n"/>
      <c r="Z214" s="53" t="n"/>
      <c r="AA214" s="53" t="n"/>
      <c r="AB214" s="53" t="n"/>
      <c r="AC214" s="53" t="n"/>
      <c r="AD214" s="53" t="n"/>
      <c r="AE214" s="53" t="n"/>
      <c r="AF214" s="53" t="n"/>
      <c r="AG214" s="53" t="n"/>
      <c r="AH214" s="53" t="n"/>
      <c r="AI214" s="53" t="n"/>
      <c r="AJ214" s="53" t="n"/>
      <c r="AK214" s="53" t="n"/>
      <c r="AL214" s="53" t="n"/>
      <c r="AM214" s="53" t="n"/>
      <c r="AN214" s="53" t="n"/>
      <c r="AO214" s="53" t="n"/>
      <c r="AP214" s="53" t="n"/>
      <c r="AQ214" s="53" t="n"/>
      <c r="AR214" s="53" t="n"/>
      <c r="AS214" s="53" t="n"/>
      <c r="AT214" s="53" t="n"/>
      <c r="AU214" s="53" t="n"/>
      <c r="AV214" s="53" t="n"/>
      <c r="AW214" s="53" t="n"/>
      <c r="AX214" s="53" t="n"/>
      <c r="AY214" s="53" t="n"/>
    </row>
    <row r="215" ht="15" customHeight="1">
      <c r="A215" s="62" t="n"/>
      <c r="B215" s="55">
        <f>IF($B$213="","",$B$213)</f>
        <v/>
      </c>
      <c r="C215" s="63" t="inlineStr">
        <is>
          <t>마케팅4팀</t>
        </is>
      </c>
      <c r="D215" s="55">
        <f>IF($D$213="","",$D$213)</f>
        <v/>
      </c>
      <c r="E215" s="64" t="inlineStr">
        <is>
          <t>영상</t>
        </is>
      </c>
      <c r="F215" s="44" t="n"/>
      <c r="G215" s="58">
        <f>IF($G$213="","",$G$213)</f>
        <v/>
      </c>
      <c r="H215" s="59" t="n"/>
      <c r="I215" s="59" t="n"/>
      <c r="J215" s="59" t="n"/>
      <c r="K215" s="59" t="n"/>
      <c r="L215" s="65">
        <f>IF(SUM(U215:AY215)=0,"",SUM(U215:AY215))</f>
        <v/>
      </c>
      <c r="M215" s="66">
        <f>IFERROR(INDEX(U$2:AY$2,MATCH(TRUE,INDEX(U215:AY215&lt;&gt;"",0),0)),"")</f>
        <v/>
      </c>
      <c r="N215" s="66">
        <f>IFERROR(LOOKUP(2,1/(U215:AY215&lt;&gt;""),U$2:AY$2),"")</f>
        <v/>
      </c>
      <c r="O215" s="59" t="n"/>
      <c r="P215" s="59" t="n"/>
      <c r="Q215" s="59" t="n"/>
      <c r="R215" s="59" t="n"/>
      <c r="S215" s="14" t="n"/>
      <c r="U215" s="53" t="n"/>
      <c r="V215" s="53" t="n"/>
      <c r="W215" s="53" t="n"/>
      <c r="X215" s="53" t="n"/>
      <c r="Y215" s="53" t="n"/>
      <c r="Z215" s="53" t="n"/>
      <c r="AA215" s="53" t="n"/>
      <c r="AB215" s="53" t="n"/>
      <c r="AC215" s="53" t="n"/>
      <c r="AD215" s="53" t="n"/>
      <c r="AE215" s="53" t="n"/>
      <c r="AF215" s="53" t="n"/>
      <c r="AG215" s="53" t="n"/>
      <c r="AH215" s="53" t="n"/>
      <c r="AI215" s="53" t="n"/>
      <c r="AJ215" s="53" t="n"/>
      <c r="AK215" s="53" t="n"/>
      <c r="AL215" s="53" t="n"/>
      <c r="AM215" s="53" t="n"/>
      <c r="AN215" s="53" t="n"/>
      <c r="AO215" s="53" t="n"/>
      <c r="AP215" s="53" t="n"/>
      <c r="AQ215" s="53" t="n"/>
      <c r="AR215" s="53" t="n"/>
      <c r="AS215" s="53" t="n"/>
      <c r="AT215" s="53" t="n"/>
      <c r="AU215" s="53" t="n"/>
      <c r="AV215" s="53" t="n"/>
      <c r="AW215" s="53" t="n"/>
      <c r="AX215" s="53" t="n"/>
      <c r="AY215" s="53" t="n"/>
    </row>
    <row r="216" ht="15" customHeight="1">
      <c r="A216" s="40">
        <f>IF($D$216="","",69)</f>
        <v/>
      </c>
      <c r="B216" s="10" t="n"/>
      <c r="C216" s="41" t="inlineStr">
        <is>
          <t>마케팅4팀</t>
        </is>
      </c>
      <c r="D216" s="42" t="n"/>
      <c r="E216" s="43" t="inlineStr">
        <is>
          <t>기획</t>
        </is>
      </c>
      <c r="F216" s="44" t="n"/>
      <c r="G216" s="45" t="n"/>
      <c r="H216" s="46">
        <f>IF($I$216="","",IF($I$216&lt;0,"🔴지연",IF($I$216&lt;=1,"🟡임박","🟢여유")))</f>
        <v/>
      </c>
      <c r="I216" s="47">
        <f>IF(OR($G$216="",$K$216=""),"",$G$216-$K$216)</f>
        <v/>
      </c>
      <c r="J216" s="48">
        <f>IF(SUM($L$216:$L$218)=0,"",SUM($L$216:$L$218))</f>
        <v/>
      </c>
      <c r="K216" s="49">
        <f>IF($J$216="","",MAX($N$216:$N$218))</f>
        <v/>
      </c>
      <c r="L216" s="50">
        <f>IF(SUM(U216:AY216)=0,"",SUM(U216:AY216))</f>
        <v/>
      </c>
      <c r="M216" s="51">
        <f>IFERROR(INDEX(U$2:AY$2,MATCH(TRUE,INDEX(U216:AY216&lt;&gt;"",0),0)),"")</f>
        <v/>
      </c>
      <c r="N216" s="51">
        <f>IFERROR(LOOKUP(2,1/(U216:AY216&lt;&gt;""),U$2:AY$2),"")</f>
        <v/>
      </c>
      <c r="O216" s="52" t="n"/>
      <c r="P216" s="52" t="n"/>
      <c r="Q216" s="52" t="n"/>
      <c r="R216" s="44" t="n"/>
      <c r="S216" s="14" t="n"/>
      <c r="U216" s="53" t="n"/>
      <c r="V216" s="53" t="n"/>
      <c r="W216" s="53" t="n"/>
      <c r="X216" s="53" t="n"/>
      <c r="Y216" s="53" t="n"/>
      <c r="Z216" s="53" t="n"/>
      <c r="AA216" s="53" t="n"/>
      <c r="AB216" s="53" t="n"/>
      <c r="AC216" s="53" t="n"/>
      <c r="AD216" s="53" t="n"/>
      <c r="AE216" s="53" t="n"/>
      <c r="AF216" s="53" t="n"/>
      <c r="AG216" s="53" t="n"/>
      <c r="AH216" s="53" t="n"/>
      <c r="AI216" s="53" t="n"/>
      <c r="AJ216" s="53" t="n"/>
      <c r="AK216" s="53" t="n"/>
      <c r="AL216" s="53" t="n"/>
      <c r="AM216" s="53" t="n"/>
      <c r="AN216" s="53" t="n"/>
      <c r="AO216" s="53" t="n"/>
      <c r="AP216" s="53" t="n"/>
      <c r="AQ216" s="53" t="n"/>
      <c r="AR216" s="53" t="n"/>
      <c r="AS216" s="53" t="n"/>
      <c r="AT216" s="53" t="n"/>
      <c r="AU216" s="53" t="n"/>
      <c r="AV216" s="53" t="n"/>
      <c r="AW216" s="53" t="n"/>
      <c r="AX216" s="53" t="n"/>
      <c r="AY216" s="53" t="n"/>
    </row>
    <row r="217" ht="15" customHeight="1">
      <c r="A217" s="54" t="n"/>
      <c r="B217" s="55">
        <f>IF($B$216="","",$B$216)</f>
        <v/>
      </c>
      <c r="C217" s="56" t="inlineStr">
        <is>
          <t>마케팅4팀</t>
        </is>
      </c>
      <c r="D217" s="55">
        <f>IF($D$216="","",$D$216)</f>
        <v/>
      </c>
      <c r="E217" s="57" t="inlineStr">
        <is>
          <t>이미지</t>
        </is>
      </c>
      <c r="F217" s="44" t="n"/>
      <c r="G217" s="58">
        <f>IF($G$216="","",$G$216)</f>
        <v/>
      </c>
      <c r="H217" s="59" t="n"/>
      <c r="I217" s="59" t="n"/>
      <c r="J217" s="59" t="n"/>
      <c r="K217" s="59" t="n"/>
      <c r="L217" s="60">
        <f>IF(SUM(U217:AY217)=0,"",SUM(U217:AY217))</f>
        <v/>
      </c>
      <c r="M217" s="61">
        <f>IFERROR(INDEX(U$2:AY$2,MATCH(TRUE,INDEX(U217:AY217&lt;&gt;"",0),0)),"")</f>
        <v/>
      </c>
      <c r="N217" s="61">
        <f>IFERROR(LOOKUP(2,1/(U217:AY217&lt;&gt;""),U$2:AY$2),"")</f>
        <v/>
      </c>
      <c r="O217" s="59" t="n"/>
      <c r="P217" s="59" t="n"/>
      <c r="Q217" s="59" t="n"/>
      <c r="R217" s="59" t="n"/>
      <c r="S217" s="14" t="n"/>
      <c r="U217" s="53" t="n"/>
      <c r="V217" s="53" t="n"/>
      <c r="W217" s="53" t="n"/>
      <c r="X217" s="53" t="n"/>
      <c r="Y217" s="53" t="n"/>
      <c r="Z217" s="53" t="n"/>
      <c r="AA217" s="53" t="n"/>
      <c r="AB217" s="53" t="n"/>
      <c r="AC217" s="53" t="n"/>
      <c r="AD217" s="53" t="n"/>
      <c r="AE217" s="53" t="n"/>
      <c r="AF217" s="53" t="n"/>
      <c r="AG217" s="53" t="n"/>
      <c r="AH217" s="53" t="n"/>
      <c r="AI217" s="53" t="n"/>
      <c r="AJ217" s="53" t="n"/>
      <c r="AK217" s="53" t="n"/>
      <c r="AL217" s="53" t="n"/>
      <c r="AM217" s="53" t="n"/>
      <c r="AN217" s="53" t="n"/>
      <c r="AO217" s="53" t="n"/>
      <c r="AP217" s="53" t="n"/>
      <c r="AQ217" s="53" t="n"/>
      <c r="AR217" s="53" t="n"/>
      <c r="AS217" s="53" t="n"/>
      <c r="AT217" s="53" t="n"/>
      <c r="AU217" s="53" t="n"/>
      <c r="AV217" s="53" t="n"/>
      <c r="AW217" s="53" t="n"/>
      <c r="AX217" s="53" t="n"/>
      <c r="AY217" s="53" t="n"/>
    </row>
    <row r="218" ht="15" customHeight="1">
      <c r="A218" s="62" t="n"/>
      <c r="B218" s="55">
        <f>IF($B$216="","",$B$216)</f>
        <v/>
      </c>
      <c r="C218" s="63" t="inlineStr">
        <is>
          <t>마케팅4팀</t>
        </is>
      </c>
      <c r="D218" s="55">
        <f>IF($D$216="","",$D$216)</f>
        <v/>
      </c>
      <c r="E218" s="64" t="inlineStr">
        <is>
          <t>영상</t>
        </is>
      </c>
      <c r="F218" s="44" t="n"/>
      <c r="G218" s="58">
        <f>IF($G$216="","",$G$216)</f>
        <v/>
      </c>
      <c r="H218" s="59" t="n"/>
      <c r="I218" s="59" t="n"/>
      <c r="J218" s="59" t="n"/>
      <c r="K218" s="59" t="n"/>
      <c r="L218" s="65">
        <f>IF(SUM(U218:AY218)=0,"",SUM(U218:AY218))</f>
        <v/>
      </c>
      <c r="M218" s="66">
        <f>IFERROR(INDEX(U$2:AY$2,MATCH(TRUE,INDEX(U218:AY218&lt;&gt;"",0),0)),"")</f>
        <v/>
      </c>
      <c r="N218" s="66">
        <f>IFERROR(LOOKUP(2,1/(U218:AY218&lt;&gt;""),U$2:AY$2),"")</f>
        <v/>
      </c>
      <c r="O218" s="59" t="n"/>
      <c r="P218" s="59" t="n"/>
      <c r="Q218" s="59" t="n"/>
      <c r="R218" s="59" t="n"/>
      <c r="S218" s="14" t="n"/>
      <c r="U218" s="53" t="n"/>
      <c r="V218" s="53" t="n"/>
      <c r="W218" s="53" t="n"/>
      <c r="X218" s="53" t="n"/>
      <c r="Y218" s="53" t="n"/>
      <c r="Z218" s="53" t="n"/>
      <c r="AA218" s="53" t="n"/>
      <c r="AB218" s="53" t="n"/>
      <c r="AC218" s="53" t="n"/>
      <c r="AD218" s="53" t="n"/>
      <c r="AE218" s="53" t="n"/>
      <c r="AF218" s="53" t="n"/>
      <c r="AG218" s="53" t="n"/>
      <c r="AH218" s="53" t="n"/>
      <c r="AI218" s="53" t="n"/>
      <c r="AJ218" s="53" t="n"/>
      <c r="AK218" s="53" t="n"/>
      <c r="AL218" s="53" t="n"/>
      <c r="AM218" s="53" t="n"/>
      <c r="AN218" s="53" t="n"/>
      <c r="AO218" s="53" t="n"/>
      <c r="AP218" s="53" t="n"/>
      <c r="AQ218" s="53" t="n"/>
      <c r="AR218" s="53" t="n"/>
      <c r="AS218" s="53" t="n"/>
      <c r="AT218" s="53" t="n"/>
      <c r="AU218" s="53" t="n"/>
      <c r="AV218" s="53" t="n"/>
      <c r="AW218" s="53" t="n"/>
      <c r="AX218" s="53" t="n"/>
      <c r="AY218" s="53" t="n"/>
    </row>
    <row r="219" ht="15" customHeight="1">
      <c r="A219" s="40">
        <f>IF($D$219="","",70)</f>
        <v/>
      </c>
      <c r="B219" s="10" t="n"/>
      <c r="C219" s="41" t="inlineStr">
        <is>
          <t>마케팅4팀</t>
        </is>
      </c>
      <c r="D219" s="42" t="n"/>
      <c r="E219" s="43" t="inlineStr">
        <is>
          <t>기획</t>
        </is>
      </c>
      <c r="F219" s="44" t="n"/>
      <c r="G219" s="45" t="n"/>
      <c r="H219" s="46">
        <f>IF($I$219="","",IF($I$219&lt;0,"🔴지연",IF($I$219&lt;=1,"🟡임박","🟢여유")))</f>
        <v/>
      </c>
      <c r="I219" s="47">
        <f>IF(OR($G$219="",$K$219=""),"",$G$219-$K$219)</f>
        <v/>
      </c>
      <c r="J219" s="48">
        <f>IF(SUM($L$219:$L$221)=0,"",SUM($L$219:$L$221))</f>
        <v/>
      </c>
      <c r="K219" s="49">
        <f>IF($J$219="","",MAX($N$219:$N$221))</f>
        <v/>
      </c>
      <c r="L219" s="50">
        <f>IF(SUM(U219:AY219)=0,"",SUM(U219:AY219))</f>
        <v/>
      </c>
      <c r="M219" s="51">
        <f>IFERROR(INDEX(U$2:AY$2,MATCH(TRUE,INDEX(U219:AY219&lt;&gt;"",0),0)),"")</f>
        <v/>
      </c>
      <c r="N219" s="51">
        <f>IFERROR(LOOKUP(2,1/(U219:AY219&lt;&gt;""),U$2:AY$2),"")</f>
        <v/>
      </c>
      <c r="O219" s="52" t="n"/>
      <c r="P219" s="52" t="n"/>
      <c r="Q219" s="52" t="n"/>
      <c r="R219" s="44" t="n"/>
      <c r="S219" s="14" t="n"/>
      <c r="U219" s="53" t="n"/>
      <c r="V219" s="53" t="n"/>
      <c r="W219" s="53" t="n"/>
      <c r="X219" s="53" t="n"/>
      <c r="Y219" s="53" t="n"/>
      <c r="Z219" s="53" t="n"/>
      <c r="AA219" s="53" t="n"/>
      <c r="AB219" s="53" t="n"/>
      <c r="AC219" s="53" t="n"/>
      <c r="AD219" s="53" t="n"/>
      <c r="AE219" s="53" t="n"/>
      <c r="AF219" s="53" t="n"/>
      <c r="AG219" s="53" t="n"/>
      <c r="AH219" s="53" t="n"/>
      <c r="AI219" s="53" t="n"/>
      <c r="AJ219" s="53" t="n"/>
      <c r="AK219" s="53" t="n"/>
      <c r="AL219" s="53" t="n"/>
      <c r="AM219" s="53" t="n"/>
      <c r="AN219" s="53" t="n"/>
      <c r="AO219" s="53" t="n"/>
      <c r="AP219" s="53" t="n"/>
      <c r="AQ219" s="53" t="n"/>
      <c r="AR219" s="53" t="n"/>
      <c r="AS219" s="53" t="n"/>
      <c r="AT219" s="53" t="n"/>
      <c r="AU219" s="53" t="n"/>
      <c r="AV219" s="53" t="n"/>
      <c r="AW219" s="53" t="n"/>
      <c r="AX219" s="53" t="n"/>
      <c r="AY219" s="53" t="n"/>
    </row>
    <row r="220" ht="15" customHeight="1">
      <c r="A220" s="54" t="n"/>
      <c r="B220" s="55">
        <f>IF($B$219="","",$B$219)</f>
        <v/>
      </c>
      <c r="C220" s="56" t="inlineStr">
        <is>
          <t>마케팅4팀</t>
        </is>
      </c>
      <c r="D220" s="55">
        <f>IF($D$219="","",$D$219)</f>
        <v/>
      </c>
      <c r="E220" s="57" t="inlineStr">
        <is>
          <t>이미지</t>
        </is>
      </c>
      <c r="F220" s="44" t="n"/>
      <c r="G220" s="58">
        <f>IF($G$219="","",$G$219)</f>
        <v/>
      </c>
      <c r="H220" s="59" t="n"/>
      <c r="I220" s="59" t="n"/>
      <c r="J220" s="59" t="n"/>
      <c r="K220" s="59" t="n"/>
      <c r="L220" s="60">
        <f>IF(SUM(U220:AY220)=0,"",SUM(U220:AY220))</f>
        <v/>
      </c>
      <c r="M220" s="61">
        <f>IFERROR(INDEX(U$2:AY$2,MATCH(TRUE,INDEX(U220:AY220&lt;&gt;"",0),0)),"")</f>
        <v/>
      </c>
      <c r="N220" s="61">
        <f>IFERROR(LOOKUP(2,1/(U220:AY220&lt;&gt;""),U$2:AY$2),"")</f>
        <v/>
      </c>
      <c r="O220" s="59" t="n"/>
      <c r="P220" s="59" t="n"/>
      <c r="Q220" s="59" t="n"/>
      <c r="R220" s="59" t="n"/>
      <c r="S220" s="14" t="n"/>
      <c r="U220" s="53" t="n"/>
      <c r="V220" s="53" t="n"/>
      <c r="W220" s="53" t="n"/>
      <c r="X220" s="53" t="n"/>
      <c r="Y220" s="53" t="n"/>
      <c r="Z220" s="53" t="n"/>
      <c r="AA220" s="53" t="n"/>
      <c r="AB220" s="53" t="n"/>
      <c r="AC220" s="53" t="n"/>
      <c r="AD220" s="53" t="n"/>
      <c r="AE220" s="53" t="n"/>
      <c r="AF220" s="53" t="n"/>
      <c r="AG220" s="53" t="n"/>
      <c r="AH220" s="53" t="n"/>
      <c r="AI220" s="53" t="n"/>
      <c r="AJ220" s="53" t="n"/>
      <c r="AK220" s="53" t="n"/>
      <c r="AL220" s="53" t="n"/>
      <c r="AM220" s="53" t="n"/>
      <c r="AN220" s="53" t="n"/>
      <c r="AO220" s="53" t="n"/>
      <c r="AP220" s="53" t="n"/>
      <c r="AQ220" s="53" t="n"/>
      <c r="AR220" s="53" t="n"/>
      <c r="AS220" s="53" t="n"/>
      <c r="AT220" s="53" t="n"/>
      <c r="AU220" s="53" t="n"/>
      <c r="AV220" s="53" t="n"/>
      <c r="AW220" s="53" t="n"/>
      <c r="AX220" s="53" t="n"/>
      <c r="AY220" s="53" t="n"/>
    </row>
    <row r="221" ht="15" customHeight="1">
      <c r="A221" s="62" t="n"/>
      <c r="B221" s="55">
        <f>IF($B$219="","",$B$219)</f>
        <v/>
      </c>
      <c r="C221" s="63" t="inlineStr">
        <is>
          <t>마케팅4팀</t>
        </is>
      </c>
      <c r="D221" s="55">
        <f>IF($D$219="","",$D$219)</f>
        <v/>
      </c>
      <c r="E221" s="64" t="inlineStr">
        <is>
          <t>영상</t>
        </is>
      </c>
      <c r="F221" s="44" t="n"/>
      <c r="G221" s="58">
        <f>IF($G$219="","",$G$219)</f>
        <v/>
      </c>
      <c r="H221" s="59" t="n"/>
      <c r="I221" s="59" t="n"/>
      <c r="J221" s="59" t="n"/>
      <c r="K221" s="59" t="n"/>
      <c r="L221" s="65">
        <f>IF(SUM(U221:AY221)=0,"",SUM(U221:AY221))</f>
        <v/>
      </c>
      <c r="M221" s="66">
        <f>IFERROR(INDEX(U$2:AY$2,MATCH(TRUE,INDEX(U221:AY221&lt;&gt;"",0),0)),"")</f>
        <v/>
      </c>
      <c r="N221" s="66">
        <f>IFERROR(LOOKUP(2,1/(U221:AY221&lt;&gt;""),U$2:AY$2),"")</f>
        <v/>
      </c>
      <c r="O221" s="59" t="n"/>
      <c r="P221" s="59" t="n"/>
      <c r="Q221" s="59" t="n"/>
      <c r="R221" s="59" t="n"/>
      <c r="S221" s="14" t="n"/>
      <c r="U221" s="53" t="n"/>
      <c r="V221" s="53" t="n"/>
      <c r="W221" s="53" t="n"/>
      <c r="X221" s="53" t="n"/>
      <c r="Y221" s="53" t="n"/>
      <c r="Z221" s="53" t="n"/>
      <c r="AA221" s="53" t="n"/>
      <c r="AB221" s="53" t="n"/>
      <c r="AC221" s="53" t="n"/>
      <c r="AD221" s="53" t="n"/>
      <c r="AE221" s="53" t="n"/>
      <c r="AF221" s="53" t="n"/>
      <c r="AG221" s="53" t="n"/>
      <c r="AH221" s="53" t="n"/>
      <c r="AI221" s="53" t="n"/>
      <c r="AJ221" s="53" t="n"/>
      <c r="AK221" s="53" t="n"/>
      <c r="AL221" s="53" t="n"/>
      <c r="AM221" s="53" t="n"/>
      <c r="AN221" s="53" t="n"/>
      <c r="AO221" s="53" t="n"/>
      <c r="AP221" s="53" t="n"/>
      <c r="AQ221" s="53" t="n"/>
      <c r="AR221" s="53" t="n"/>
      <c r="AS221" s="53" t="n"/>
      <c r="AT221" s="53" t="n"/>
      <c r="AU221" s="53" t="n"/>
      <c r="AV221" s="53" t="n"/>
      <c r="AW221" s="53" t="n"/>
      <c r="AX221" s="53" t="n"/>
      <c r="AY221" s="53" t="n"/>
    </row>
    <row r="222" ht="15" customHeight="1">
      <c r="A222" s="40">
        <f>IF($D$222="","",71)</f>
        <v/>
      </c>
      <c r="B222" s="10" t="n"/>
      <c r="C222" s="41" t="inlineStr">
        <is>
          <t>마케팅4팀</t>
        </is>
      </c>
      <c r="D222" s="42" t="n"/>
      <c r="E222" s="43" t="inlineStr">
        <is>
          <t>기획</t>
        </is>
      </c>
      <c r="F222" s="44" t="n"/>
      <c r="G222" s="45" t="n"/>
      <c r="H222" s="46">
        <f>IF($I$222="","",IF($I$222&lt;0,"🔴지연",IF($I$222&lt;=1,"🟡임박","🟢여유")))</f>
        <v/>
      </c>
      <c r="I222" s="47">
        <f>IF(OR($G$222="",$K$222=""),"",$G$222-$K$222)</f>
        <v/>
      </c>
      <c r="J222" s="48">
        <f>IF(SUM($L$222:$L$224)=0,"",SUM($L$222:$L$224))</f>
        <v/>
      </c>
      <c r="K222" s="49">
        <f>IF($J$222="","",MAX($N$222:$N$224))</f>
        <v/>
      </c>
      <c r="L222" s="50">
        <f>IF(SUM(U222:AY222)=0,"",SUM(U222:AY222))</f>
        <v/>
      </c>
      <c r="M222" s="51">
        <f>IFERROR(INDEX(U$2:AY$2,MATCH(TRUE,INDEX(U222:AY222&lt;&gt;"",0),0)),"")</f>
        <v/>
      </c>
      <c r="N222" s="51">
        <f>IFERROR(LOOKUP(2,1/(U222:AY222&lt;&gt;""),U$2:AY$2),"")</f>
        <v/>
      </c>
      <c r="O222" s="52" t="n"/>
      <c r="P222" s="52" t="n"/>
      <c r="Q222" s="52" t="n"/>
      <c r="R222" s="44" t="n"/>
      <c r="S222" s="14" t="n"/>
      <c r="U222" s="53" t="n"/>
      <c r="V222" s="53" t="n"/>
      <c r="W222" s="53" t="n"/>
      <c r="X222" s="53" t="n"/>
      <c r="Y222" s="53" t="n"/>
      <c r="Z222" s="53" t="n"/>
      <c r="AA222" s="53" t="n"/>
      <c r="AB222" s="53" t="n"/>
      <c r="AC222" s="53" t="n"/>
      <c r="AD222" s="53" t="n"/>
      <c r="AE222" s="53" t="n"/>
      <c r="AF222" s="53" t="n"/>
      <c r="AG222" s="53" t="n"/>
      <c r="AH222" s="53" t="n"/>
      <c r="AI222" s="53" t="n"/>
      <c r="AJ222" s="53" t="n"/>
      <c r="AK222" s="53" t="n"/>
      <c r="AL222" s="53" t="n"/>
      <c r="AM222" s="53" t="n"/>
      <c r="AN222" s="53" t="n"/>
      <c r="AO222" s="53" t="n"/>
      <c r="AP222" s="53" t="n"/>
      <c r="AQ222" s="53" t="n"/>
      <c r="AR222" s="53" t="n"/>
      <c r="AS222" s="53" t="n"/>
      <c r="AT222" s="53" t="n"/>
      <c r="AU222" s="53" t="n"/>
      <c r="AV222" s="53" t="n"/>
      <c r="AW222" s="53" t="n"/>
      <c r="AX222" s="53" t="n"/>
      <c r="AY222" s="53" t="n"/>
    </row>
    <row r="223" ht="15" customHeight="1">
      <c r="A223" s="54" t="n"/>
      <c r="B223" s="55">
        <f>IF($B$222="","",$B$222)</f>
        <v/>
      </c>
      <c r="C223" s="56" t="inlineStr">
        <is>
          <t>마케팅4팀</t>
        </is>
      </c>
      <c r="D223" s="55">
        <f>IF($D$222="","",$D$222)</f>
        <v/>
      </c>
      <c r="E223" s="57" t="inlineStr">
        <is>
          <t>이미지</t>
        </is>
      </c>
      <c r="F223" s="44" t="n"/>
      <c r="G223" s="58">
        <f>IF($G$222="","",$G$222)</f>
        <v/>
      </c>
      <c r="H223" s="59" t="n"/>
      <c r="I223" s="59" t="n"/>
      <c r="J223" s="59" t="n"/>
      <c r="K223" s="59" t="n"/>
      <c r="L223" s="60">
        <f>IF(SUM(U223:AY223)=0,"",SUM(U223:AY223))</f>
        <v/>
      </c>
      <c r="M223" s="61">
        <f>IFERROR(INDEX(U$2:AY$2,MATCH(TRUE,INDEX(U223:AY223&lt;&gt;"",0),0)),"")</f>
        <v/>
      </c>
      <c r="N223" s="61">
        <f>IFERROR(LOOKUP(2,1/(U223:AY223&lt;&gt;""),U$2:AY$2),"")</f>
        <v/>
      </c>
      <c r="O223" s="59" t="n"/>
      <c r="P223" s="59" t="n"/>
      <c r="Q223" s="59" t="n"/>
      <c r="R223" s="59" t="n"/>
      <c r="S223" s="14" t="n"/>
      <c r="U223" s="53" t="n"/>
      <c r="V223" s="53" t="n"/>
      <c r="W223" s="53" t="n"/>
      <c r="X223" s="53" t="n"/>
      <c r="Y223" s="53" t="n"/>
      <c r="Z223" s="53" t="n"/>
      <c r="AA223" s="53" t="n"/>
      <c r="AB223" s="53" t="n"/>
      <c r="AC223" s="53" t="n"/>
      <c r="AD223" s="53" t="n"/>
      <c r="AE223" s="53" t="n"/>
      <c r="AF223" s="53" t="n"/>
      <c r="AG223" s="53" t="n"/>
      <c r="AH223" s="53" t="n"/>
      <c r="AI223" s="53" t="n"/>
      <c r="AJ223" s="53" t="n"/>
      <c r="AK223" s="53" t="n"/>
      <c r="AL223" s="53" t="n"/>
      <c r="AM223" s="53" t="n"/>
      <c r="AN223" s="53" t="n"/>
      <c r="AO223" s="53" t="n"/>
      <c r="AP223" s="53" t="n"/>
      <c r="AQ223" s="53" t="n"/>
      <c r="AR223" s="53" t="n"/>
      <c r="AS223" s="53" t="n"/>
      <c r="AT223" s="53" t="n"/>
      <c r="AU223" s="53" t="n"/>
      <c r="AV223" s="53" t="n"/>
      <c r="AW223" s="53" t="n"/>
      <c r="AX223" s="53" t="n"/>
      <c r="AY223" s="53" t="n"/>
    </row>
    <row r="224" ht="15" customHeight="1">
      <c r="A224" s="62" t="n"/>
      <c r="B224" s="55">
        <f>IF($B$222="","",$B$222)</f>
        <v/>
      </c>
      <c r="C224" s="63" t="inlineStr">
        <is>
          <t>마케팅4팀</t>
        </is>
      </c>
      <c r="D224" s="55">
        <f>IF($D$222="","",$D$222)</f>
        <v/>
      </c>
      <c r="E224" s="64" t="inlineStr">
        <is>
          <t>영상</t>
        </is>
      </c>
      <c r="F224" s="44" t="n"/>
      <c r="G224" s="58">
        <f>IF($G$222="","",$G$222)</f>
        <v/>
      </c>
      <c r="H224" s="59" t="n"/>
      <c r="I224" s="59" t="n"/>
      <c r="J224" s="59" t="n"/>
      <c r="K224" s="59" t="n"/>
      <c r="L224" s="65">
        <f>IF(SUM(U224:AY224)=0,"",SUM(U224:AY224))</f>
        <v/>
      </c>
      <c r="M224" s="66">
        <f>IFERROR(INDEX(U$2:AY$2,MATCH(TRUE,INDEX(U224:AY224&lt;&gt;"",0),0)),"")</f>
        <v/>
      </c>
      <c r="N224" s="66">
        <f>IFERROR(LOOKUP(2,1/(U224:AY224&lt;&gt;""),U$2:AY$2),"")</f>
        <v/>
      </c>
      <c r="O224" s="59" t="n"/>
      <c r="P224" s="59" t="n"/>
      <c r="Q224" s="59" t="n"/>
      <c r="R224" s="59" t="n"/>
      <c r="S224" s="14" t="n"/>
      <c r="U224" s="53" t="n"/>
      <c r="V224" s="53" t="n"/>
      <c r="W224" s="53" t="n"/>
      <c r="X224" s="53" t="n"/>
      <c r="Y224" s="53" t="n"/>
      <c r="Z224" s="53" t="n"/>
      <c r="AA224" s="53" t="n"/>
      <c r="AB224" s="53" t="n"/>
      <c r="AC224" s="53" t="n"/>
      <c r="AD224" s="53" t="n"/>
      <c r="AE224" s="53" t="n"/>
      <c r="AF224" s="53" t="n"/>
      <c r="AG224" s="53" t="n"/>
      <c r="AH224" s="53" t="n"/>
      <c r="AI224" s="53" t="n"/>
      <c r="AJ224" s="53" t="n"/>
      <c r="AK224" s="53" t="n"/>
      <c r="AL224" s="53" t="n"/>
      <c r="AM224" s="53" t="n"/>
      <c r="AN224" s="53" t="n"/>
      <c r="AO224" s="53" t="n"/>
      <c r="AP224" s="53" t="n"/>
      <c r="AQ224" s="53" t="n"/>
      <c r="AR224" s="53" t="n"/>
      <c r="AS224" s="53" t="n"/>
      <c r="AT224" s="53" t="n"/>
      <c r="AU224" s="53" t="n"/>
      <c r="AV224" s="53" t="n"/>
      <c r="AW224" s="53" t="n"/>
      <c r="AX224" s="53" t="n"/>
      <c r="AY224" s="53" t="n"/>
    </row>
    <row r="225" ht="15" customHeight="1">
      <c r="A225" s="40">
        <f>IF($D$225="","",72)</f>
        <v/>
      </c>
      <c r="B225" s="10" t="n"/>
      <c r="C225" s="41" t="inlineStr">
        <is>
          <t>마케팅4팀</t>
        </is>
      </c>
      <c r="D225" s="42" t="n"/>
      <c r="E225" s="43" t="inlineStr">
        <is>
          <t>기획</t>
        </is>
      </c>
      <c r="F225" s="44" t="n"/>
      <c r="G225" s="45" t="n"/>
      <c r="H225" s="46">
        <f>IF($I$225="","",IF($I$225&lt;0,"🔴지연",IF($I$225&lt;=1,"🟡임박","🟢여유")))</f>
        <v/>
      </c>
      <c r="I225" s="47">
        <f>IF(OR($G$225="",$K$225=""),"",$G$225-$K$225)</f>
        <v/>
      </c>
      <c r="J225" s="48">
        <f>IF(SUM($L$225:$L$227)=0,"",SUM($L$225:$L$227))</f>
        <v/>
      </c>
      <c r="K225" s="49">
        <f>IF($J$225="","",MAX($N$225:$N$227))</f>
        <v/>
      </c>
      <c r="L225" s="50">
        <f>IF(SUM(U225:AY225)=0,"",SUM(U225:AY225))</f>
        <v/>
      </c>
      <c r="M225" s="51">
        <f>IFERROR(INDEX(U$2:AY$2,MATCH(TRUE,INDEX(U225:AY225&lt;&gt;"",0),0)),"")</f>
        <v/>
      </c>
      <c r="N225" s="51">
        <f>IFERROR(LOOKUP(2,1/(U225:AY225&lt;&gt;""),U$2:AY$2),"")</f>
        <v/>
      </c>
      <c r="O225" s="52" t="n"/>
      <c r="P225" s="52" t="n"/>
      <c r="Q225" s="52" t="n"/>
      <c r="R225" s="44" t="n"/>
      <c r="S225" s="14" t="n"/>
      <c r="U225" s="53" t="n"/>
      <c r="V225" s="53" t="n"/>
      <c r="W225" s="53" t="n"/>
      <c r="X225" s="53" t="n"/>
      <c r="Y225" s="53" t="n"/>
      <c r="Z225" s="53" t="n"/>
      <c r="AA225" s="53" t="n"/>
      <c r="AB225" s="53" t="n"/>
      <c r="AC225" s="53" t="n"/>
      <c r="AD225" s="53" t="n"/>
      <c r="AE225" s="53" t="n"/>
      <c r="AF225" s="53" t="n"/>
      <c r="AG225" s="53" t="n"/>
      <c r="AH225" s="53" t="n"/>
      <c r="AI225" s="53" t="n"/>
      <c r="AJ225" s="53" t="n"/>
      <c r="AK225" s="53" t="n"/>
      <c r="AL225" s="53" t="n"/>
      <c r="AM225" s="53" t="n"/>
      <c r="AN225" s="53" t="n"/>
      <c r="AO225" s="53" t="n"/>
      <c r="AP225" s="53" t="n"/>
      <c r="AQ225" s="53" t="n"/>
      <c r="AR225" s="53" t="n"/>
      <c r="AS225" s="53" t="n"/>
      <c r="AT225" s="53" t="n"/>
      <c r="AU225" s="53" t="n"/>
      <c r="AV225" s="53" t="n"/>
      <c r="AW225" s="53" t="n"/>
      <c r="AX225" s="53" t="n"/>
      <c r="AY225" s="53" t="n"/>
    </row>
    <row r="226" ht="15" customHeight="1">
      <c r="A226" s="54" t="n"/>
      <c r="B226" s="55">
        <f>IF($B$225="","",$B$225)</f>
        <v/>
      </c>
      <c r="C226" s="56" t="inlineStr">
        <is>
          <t>마케팅4팀</t>
        </is>
      </c>
      <c r="D226" s="55">
        <f>IF($D$225="","",$D$225)</f>
        <v/>
      </c>
      <c r="E226" s="57" t="inlineStr">
        <is>
          <t>이미지</t>
        </is>
      </c>
      <c r="F226" s="44" t="n"/>
      <c r="G226" s="58">
        <f>IF($G$225="","",$G$225)</f>
        <v/>
      </c>
      <c r="H226" s="59" t="n"/>
      <c r="I226" s="59" t="n"/>
      <c r="J226" s="59" t="n"/>
      <c r="K226" s="59" t="n"/>
      <c r="L226" s="60">
        <f>IF(SUM(U226:AY226)=0,"",SUM(U226:AY226))</f>
        <v/>
      </c>
      <c r="M226" s="61">
        <f>IFERROR(INDEX(U$2:AY$2,MATCH(TRUE,INDEX(U226:AY226&lt;&gt;"",0),0)),"")</f>
        <v/>
      </c>
      <c r="N226" s="61">
        <f>IFERROR(LOOKUP(2,1/(U226:AY226&lt;&gt;""),U$2:AY$2),"")</f>
        <v/>
      </c>
      <c r="O226" s="59" t="n"/>
      <c r="P226" s="59" t="n"/>
      <c r="Q226" s="59" t="n"/>
      <c r="R226" s="59" t="n"/>
      <c r="S226" s="14" t="n"/>
      <c r="U226" s="53" t="n"/>
      <c r="V226" s="53" t="n"/>
      <c r="W226" s="53" t="n"/>
      <c r="X226" s="53" t="n"/>
      <c r="Y226" s="53" t="n"/>
      <c r="Z226" s="53" t="n"/>
      <c r="AA226" s="53" t="n"/>
      <c r="AB226" s="53" t="n"/>
      <c r="AC226" s="53" t="n"/>
      <c r="AD226" s="53" t="n"/>
      <c r="AE226" s="53" t="n"/>
      <c r="AF226" s="53" t="n"/>
      <c r="AG226" s="53" t="n"/>
      <c r="AH226" s="53" t="n"/>
      <c r="AI226" s="53" t="n"/>
      <c r="AJ226" s="53" t="n"/>
      <c r="AK226" s="53" t="n"/>
      <c r="AL226" s="53" t="n"/>
      <c r="AM226" s="53" t="n"/>
      <c r="AN226" s="53" t="n"/>
      <c r="AO226" s="53" t="n"/>
      <c r="AP226" s="53" t="n"/>
      <c r="AQ226" s="53" t="n"/>
      <c r="AR226" s="53" t="n"/>
      <c r="AS226" s="53" t="n"/>
      <c r="AT226" s="53" t="n"/>
      <c r="AU226" s="53" t="n"/>
      <c r="AV226" s="53" t="n"/>
      <c r="AW226" s="53" t="n"/>
      <c r="AX226" s="53" t="n"/>
      <c r="AY226" s="53" t="n"/>
    </row>
    <row r="227" ht="15" customHeight="1">
      <c r="A227" s="62" t="n"/>
      <c r="B227" s="55">
        <f>IF($B$225="","",$B$225)</f>
        <v/>
      </c>
      <c r="C227" s="63" t="inlineStr">
        <is>
          <t>마케팅4팀</t>
        </is>
      </c>
      <c r="D227" s="55">
        <f>IF($D$225="","",$D$225)</f>
        <v/>
      </c>
      <c r="E227" s="64" t="inlineStr">
        <is>
          <t>영상</t>
        </is>
      </c>
      <c r="F227" s="44" t="n"/>
      <c r="G227" s="58">
        <f>IF($G$225="","",$G$225)</f>
        <v/>
      </c>
      <c r="H227" s="59" t="n"/>
      <c r="I227" s="59" t="n"/>
      <c r="J227" s="59" t="n"/>
      <c r="K227" s="59" t="n"/>
      <c r="L227" s="65">
        <f>IF(SUM(U227:AY227)=0,"",SUM(U227:AY227))</f>
        <v/>
      </c>
      <c r="M227" s="66">
        <f>IFERROR(INDEX(U$2:AY$2,MATCH(TRUE,INDEX(U227:AY227&lt;&gt;"",0),0)),"")</f>
        <v/>
      </c>
      <c r="N227" s="66">
        <f>IFERROR(LOOKUP(2,1/(U227:AY227&lt;&gt;""),U$2:AY$2),"")</f>
        <v/>
      </c>
      <c r="O227" s="59" t="n"/>
      <c r="P227" s="59" t="n"/>
      <c r="Q227" s="59" t="n"/>
      <c r="R227" s="59" t="n"/>
      <c r="S227" s="14" t="n"/>
      <c r="U227" s="53" t="n"/>
      <c r="V227" s="53" t="n"/>
      <c r="W227" s="53" t="n"/>
      <c r="X227" s="53" t="n"/>
      <c r="Y227" s="53" t="n"/>
      <c r="Z227" s="53" t="n"/>
      <c r="AA227" s="53" t="n"/>
      <c r="AB227" s="53" t="n"/>
      <c r="AC227" s="53" t="n"/>
      <c r="AD227" s="53" t="n"/>
      <c r="AE227" s="53" t="n"/>
      <c r="AF227" s="53" t="n"/>
      <c r="AG227" s="53" t="n"/>
      <c r="AH227" s="53" t="n"/>
      <c r="AI227" s="53" t="n"/>
      <c r="AJ227" s="53" t="n"/>
      <c r="AK227" s="53" t="n"/>
      <c r="AL227" s="53" t="n"/>
      <c r="AM227" s="53" t="n"/>
      <c r="AN227" s="53" t="n"/>
      <c r="AO227" s="53" t="n"/>
      <c r="AP227" s="53" t="n"/>
      <c r="AQ227" s="53" t="n"/>
      <c r="AR227" s="53" t="n"/>
      <c r="AS227" s="53" t="n"/>
      <c r="AT227" s="53" t="n"/>
      <c r="AU227" s="53" t="n"/>
      <c r="AV227" s="53" t="n"/>
      <c r="AW227" s="53" t="n"/>
      <c r="AX227" s="53" t="n"/>
      <c r="AY227" s="53" t="n"/>
    </row>
    <row r="228" ht="15" customHeight="1">
      <c r="A228" s="40">
        <f>IF($D$228="","",73)</f>
        <v/>
      </c>
      <c r="B228" s="10" t="n"/>
      <c r="C228" s="41" t="inlineStr">
        <is>
          <t>마케팅4팀</t>
        </is>
      </c>
      <c r="D228" s="42" t="n"/>
      <c r="E228" s="43" t="inlineStr">
        <is>
          <t>기획</t>
        </is>
      </c>
      <c r="F228" s="44" t="n"/>
      <c r="G228" s="45" t="n"/>
      <c r="H228" s="46">
        <f>IF($I$228="","",IF($I$228&lt;0,"🔴지연",IF($I$228&lt;=1,"🟡임박","🟢여유")))</f>
        <v/>
      </c>
      <c r="I228" s="47">
        <f>IF(OR($G$228="",$K$228=""),"",$G$228-$K$228)</f>
        <v/>
      </c>
      <c r="J228" s="48">
        <f>IF(SUM($L$228:$L$230)=0,"",SUM($L$228:$L$230))</f>
        <v/>
      </c>
      <c r="K228" s="49">
        <f>IF($J$228="","",MAX($N$228:$N$230))</f>
        <v/>
      </c>
      <c r="L228" s="50">
        <f>IF(SUM(U228:AY228)=0,"",SUM(U228:AY228))</f>
        <v/>
      </c>
      <c r="M228" s="51">
        <f>IFERROR(INDEX(U$2:AY$2,MATCH(TRUE,INDEX(U228:AY228&lt;&gt;"",0),0)),"")</f>
        <v/>
      </c>
      <c r="N228" s="51">
        <f>IFERROR(LOOKUP(2,1/(U228:AY228&lt;&gt;""),U$2:AY$2),"")</f>
        <v/>
      </c>
      <c r="O228" s="52" t="n"/>
      <c r="P228" s="52" t="n"/>
      <c r="Q228" s="52" t="n"/>
      <c r="R228" s="44" t="n"/>
      <c r="S228" s="14" t="n"/>
      <c r="U228" s="53" t="n"/>
      <c r="V228" s="53" t="n"/>
      <c r="W228" s="53" t="n"/>
      <c r="X228" s="53" t="n"/>
      <c r="Y228" s="53" t="n"/>
      <c r="Z228" s="53" t="n"/>
      <c r="AA228" s="53" t="n"/>
      <c r="AB228" s="53" t="n"/>
      <c r="AC228" s="53" t="n"/>
      <c r="AD228" s="53" t="n"/>
      <c r="AE228" s="53" t="n"/>
      <c r="AF228" s="53" t="n"/>
      <c r="AG228" s="53" t="n"/>
      <c r="AH228" s="53" t="n"/>
      <c r="AI228" s="53" t="n"/>
      <c r="AJ228" s="53" t="n"/>
      <c r="AK228" s="53" t="n"/>
      <c r="AL228" s="53" t="n"/>
      <c r="AM228" s="53" t="n"/>
      <c r="AN228" s="53" t="n"/>
      <c r="AO228" s="53" t="n"/>
      <c r="AP228" s="53" t="n"/>
      <c r="AQ228" s="53" t="n"/>
      <c r="AR228" s="53" t="n"/>
      <c r="AS228" s="53" t="n"/>
      <c r="AT228" s="53" t="n"/>
      <c r="AU228" s="53" t="n"/>
      <c r="AV228" s="53" t="n"/>
      <c r="AW228" s="53" t="n"/>
      <c r="AX228" s="53" t="n"/>
      <c r="AY228" s="53" t="n"/>
    </row>
    <row r="229" ht="15" customHeight="1">
      <c r="A229" s="54" t="n"/>
      <c r="B229" s="55">
        <f>IF($B$228="","",$B$228)</f>
        <v/>
      </c>
      <c r="C229" s="56" t="inlineStr">
        <is>
          <t>마케팅4팀</t>
        </is>
      </c>
      <c r="D229" s="55">
        <f>IF($D$228="","",$D$228)</f>
        <v/>
      </c>
      <c r="E229" s="57" t="inlineStr">
        <is>
          <t>이미지</t>
        </is>
      </c>
      <c r="F229" s="44" t="n"/>
      <c r="G229" s="58">
        <f>IF($G$228="","",$G$228)</f>
        <v/>
      </c>
      <c r="H229" s="59" t="n"/>
      <c r="I229" s="59" t="n"/>
      <c r="J229" s="59" t="n"/>
      <c r="K229" s="59" t="n"/>
      <c r="L229" s="60">
        <f>IF(SUM(U229:AY229)=0,"",SUM(U229:AY229))</f>
        <v/>
      </c>
      <c r="M229" s="61">
        <f>IFERROR(INDEX(U$2:AY$2,MATCH(TRUE,INDEX(U229:AY229&lt;&gt;"",0),0)),"")</f>
        <v/>
      </c>
      <c r="N229" s="61">
        <f>IFERROR(LOOKUP(2,1/(U229:AY229&lt;&gt;""),U$2:AY$2),"")</f>
        <v/>
      </c>
      <c r="O229" s="59" t="n"/>
      <c r="P229" s="59" t="n"/>
      <c r="Q229" s="59" t="n"/>
      <c r="R229" s="59" t="n"/>
      <c r="S229" s="14" t="n"/>
      <c r="U229" s="53" t="n"/>
      <c r="V229" s="53" t="n"/>
      <c r="W229" s="53" t="n"/>
      <c r="X229" s="53" t="n"/>
      <c r="Y229" s="53" t="n"/>
      <c r="Z229" s="53" t="n"/>
      <c r="AA229" s="53" t="n"/>
      <c r="AB229" s="53" t="n"/>
      <c r="AC229" s="53" t="n"/>
      <c r="AD229" s="53" t="n"/>
      <c r="AE229" s="53" t="n"/>
      <c r="AF229" s="53" t="n"/>
      <c r="AG229" s="53" t="n"/>
      <c r="AH229" s="53" t="n"/>
      <c r="AI229" s="53" t="n"/>
      <c r="AJ229" s="53" t="n"/>
      <c r="AK229" s="53" t="n"/>
      <c r="AL229" s="53" t="n"/>
      <c r="AM229" s="53" t="n"/>
      <c r="AN229" s="53" t="n"/>
      <c r="AO229" s="53" t="n"/>
      <c r="AP229" s="53" t="n"/>
      <c r="AQ229" s="53" t="n"/>
      <c r="AR229" s="53" t="n"/>
      <c r="AS229" s="53" t="n"/>
      <c r="AT229" s="53" t="n"/>
      <c r="AU229" s="53" t="n"/>
      <c r="AV229" s="53" t="n"/>
      <c r="AW229" s="53" t="n"/>
      <c r="AX229" s="53" t="n"/>
      <c r="AY229" s="53" t="n"/>
    </row>
    <row r="230" ht="15" customHeight="1">
      <c r="A230" s="62" t="n"/>
      <c r="B230" s="55">
        <f>IF($B$228="","",$B$228)</f>
        <v/>
      </c>
      <c r="C230" s="63" t="inlineStr">
        <is>
          <t>마케팅4팀</t>
        </is>
      </c>
      <c r="D230" s="55">
        <f>IF($D$228="","",$D$228)</f>
        <v/>
      </c>
      <c r="E230" s="64" t="inlineStr">
        <is>
          <t>영상</t>
        </is>
      </c>
      <c r="F230" s="44" t="n"/>
      <c r="G230" s="58">
        <f>IF($G$228="","",$G$228)</f>
        <v/>
      </c>
      <c r="H230" s="59" t="n"/>
      <c r="I230" s="59" t="n"/>
      <c r="J230" s="59" t="n"/>
      <c r="K230" s="59" t="n"/>
      <c r="L230" s="65">
        <f>IF(SUM(U230:AY230)=0,"",SUM(U230:AY230))</f>
        <v/>
      </c>
      <c r="M230" s="66">
        <f>IFERROR(INDEX(U$2:AY$2,MATCH(TRUE,INDEX(U230:AY230&lt;&gt;"",0),0)),"")</f>
        <v/>
      </c>
      <c r="N230" s="66">
        <f>IFERROR(LOOKUP(2,1/(U230:AY230&lt;&gt;""),U$2:AY$2),"")</f>
        <v/>
      </c>
      <c r="O230" s="59" t="n"/>
      <c r="P230" s="59" t="n"/>
      <c r="Q230" s="59" t="n"/>
      <c r="R230" s="59" t="n"/>
      <c r="S230" s="14" t="n"/>
      <c r="U230" s="53" t="n"/>
      <c r="V230" s="53" t="n"/>
      <c r="W230" s="53" t="n"/>
      <c r="X230" s="53" t="n"/>
      <c r="Y230" s="53" t="n"/>
      <c r="Z230" s="53" t="n"/>
      <c r="AA230" s="53" t="n"/>
      <c r="AB230" s="53" t="n"/>
      <c r="AC230" s="53" t="n"/>
      <c r="AD230" s="53" t="n"/>
      <c r="AE230" s="53" t="n"/>
      <c r="AF230" s="53" t="n"/>
      <c r="AG230" s="53" t="n"/>
      <c r="AH230" s="53" t="n"/>
      <c r="AI230" s="53" t="n"/>
      <c r="AJ230" s="53" t="n"/>
      <c r="AK230" s="53" t="n"/>
      <c r="AL230" s="53" t="n"/>
      <c r="AM230" s="53" t="n"/>
      <c r="AN230" s="53" t="n"/>
      <c r="AO230" s="53" t="n"/>
      <c r="AP230" s="53" t="n"/>
      <c r="AQ230" s="53" t="n"/>
      <c r="AR230" s="53" t="n"/>
      <c r="AS230" s="53" t="n"/>
      <c r="AT230" s="53" t="n"/>
      <c r="AU230" s="53" t="n"/>
      <c r="AV230" s="53" t="n"/>
      <c r="AW230" s="53" t="n"/>
      <c r="AX230" s="53" t="n"/>
      <c r="AY230" s="53" t="n"/>
    </row>
    <row r="231" ht="15" customHeight="1">
      <c r="A231" s="40">
        <f>IF($D$231="","",74)</f>
        <v/>
      </c>
      <c r="B231" s="10" t="n"/>
      <c r="C231" s="41" t="inlineStr">
        <is>
          <t>마케팅4팀</t>
        </is>
      </c>
      <c r="D231" s="42" t="n"/>
      <c r="E231" s="43" t="inlineStr">
        <is>
          <t>기획</t>
        </is>
      </c>
      <c r="F231" s="44" t="n"/>
      <c r="G231" s="45" t="n"/>
      <c r="H231" s="46">
        <f>IF($I$231="","",IF($I$231&lt;0,"🔴지연",IF($I$231&lt;=1,"🟡임박","🟢여유")))</f>
        <v/>
      </c>
      <c r="I231" s="47">
        <f>IF(OR($G$231="",$K$231=""),"",$G$231-$K$231)</f>
        <v/>
      </c>
      <c r="J231" s="48">
        <f>IF(SUM($L$231:$L$233)=0,"",SUM($L$231:$L$233))</f>
        <v/>
      </c>
      <c r="K231" s="49">
        <f>IF($J$231="","",MAX($N$231:$N$233))</f>
        <v/>
      </c>
      <c r="L231" s="50">
        <f>IF(SUM(U231:AY231)=0,"",SUM(U231:AY231))</f>
        <v/>
      </c>
      <c r="M231" s="51">
        <f>IFERROR(INDEX(U$2:AY$2,MATCH(TRUE,INDEX(U231:AY231&lt;&gt;"",0),0)),"")</f>
        <v/>
      </c>
      <c r="N231" s="51">
        <f>IFERROR(LOOKUP(2,1/(U231:AY231&lt;&gt;""),U$2:AY$2),"")</f>
        <v/>
      </c>
      <c r="O231" s="52" t="n"/>
      <c r="P231" s="52" t="n"/>
      <c r="Q231" s="52" t="n"/>
      <c r="R231" s="44" t="n"/>
      <c r="S231" s="14" t="n"/>
      <c r="U231" s="53" t="n"/>
      <c r="V231" s="53" t="n"/>
      <c r="W231" s="53" t="n"/>
      <c r="X231" s="53" t="n"/>
      <c r="Y231" s="53" t="n"/>
      <c r="Z231" s="53" t="n"/>
      <c r="AA231" s="53" t="n"/>
      <c r="AB231" s="53" t="n"/>
      <c r="AC231" s="53" t="n"/>
      <c r="AD231" s="53" t="n"/>
      <c r="AE231" s="53" t="n"/>
      <c r="AF231" s="53" t="n"/>
      <c r="AG231" s="53" t="n"/>
      <c r="AH231" s="53" t="n"/>
      <c r="AI231" s="53" t="n"/>
      <c r="AJ231" s="53" t="n"/>
      <c r="AK231" s="53" t="n"/>
      <c r="AL231" s="53" t="n"/>
      <c r="AM231" s="53" t="n"/>
      <c r="AN231" s="53" t="n"/>
      <c r="AO231" s="53" t="n"/>
      <c r="AP231" s="53" t="n"/>
      <c r="AQ231" s="53" t="n"/>
      <c r="AR231" s="53" t="n"/>
      <c r="AS231" s="53" t="n"/>
      <c r="AT231" s="53" t="n"/>
      <c r="AU231" s="53" t="n"/>
      <c r="AV231" s="53" t="n"/>
      <c r="AW231" s="53" t="n"/>
      <c r="AX231" s="53" t="n"/>
      <c r="AY231" s="53" t="n"/>
    </row>
    <row r="232" ht="15" customHeight="1">
      <c r="A232" s="54" t="n"/>
      <c r="B232" s="55">
        <f>IF($B$231="","",$B$231)</f>
        <v/>
      </c>
      <c r="C232" s="56" t="inlineStr">
        <is>
          <t>마케팅4팀</t>
        </is>
      </c>
      <c r="D232" s="55">
        <f>IF($D$231="","",$D$231)</f>
        <v/>
      </c>
      <c r="E232" s="57" t="inlineStr">
        <is>
          <t>이미지</t>
        </is>
      </c>
      <c r="F232" s="44" t="n"/>
      <c r="G232" s="58">
        <f>IF($G$231="","",$G$231)</f>
        <v/>
      </c>
      <c r="H232" s="59" t="n"/>
      <c r="I232" s="59" t="n"/>
      <c r="J232" s="59" t="n"/>
      <c r="K232" s="59" t="n"/>
      <c r="L232" s="60">
        <f>IF(SUM(U232:AY232)=0,"",SUM(U232:AY232))</f>
        <v/>
      </c>
      <c r="M232" s="61">
        <f>IFERROR(INDEX(U$2:AY$2,MATCH(TRUE,INDEX(U232:AY232&lt;&gt;"",0),0)),"")</f>
        <v/>
      </c>
      <c r="N232" s="61">
        <f>IFERROR(LOOKUP(2,1/(U232:AY232&lt;&gt;""),U$2:AY$2),"")</f>
        <v/>
      </c>
      <c r="O232" s="59" t="n"/>
      <c r="P232" s="59" t="n"/>
      <c r="Q232" s="59" t="n"/>
      <c r="R232" s="59" t="n"/>
      <c r="S232" s="14" t="n"/>
      <c r="U232" s="53" t="n"/>
      <c r="V232" s="53" t="n"/>
      <c r="W232" s="53" t="n"/>
      <c r="X232" s="53" t="n"/>
      <c r="Y232" s="53" t="n"/>
      <c r="Z232" s="53" t="n"/>
      <c r="AA232" s="53" t="n"/>
      <c r="AB232" s="53" t="n"/>
      <c r="AC232" s="53" t="n"/>
      <c r="AD232" s="53" t="n"/>
      <c r="AE232" s="53" t="n"/>
      <c r="AF232" s="53" t="n"/>
      <c r="AG232" s="53" t="n"/>
      <c r="AH232" s="53" t="n"/>
      <c r="AI232" s="53" t="n"/>
      <c r="AJ232" s="53" t="n"/>
      <c r="AK232" s="53" t="n"/>
      <c r="AL232" s="53" t="n"/>
      <c r="AM232" s="53" t="n"/>
      <c r="AN232" s="53" t="n"/>
      <c r="AO232" s="53" t="n"/>
      <c r="AP232" s="53" t="n"/>
      <c r="AQ232" s="53" t="n"/>
      <c r="AR232" s="53" t="n"/>
      <c r="AS232" s="53" t="n"/>
      <c r="AT232" s="53" t="n"/>
      <c r="AU232" s="53" t="n"/>
      <c r="AV232" s="53" t="n"/>
      <c r="AW232" s="53" t="n"/>
      <c r="AX232" s="53" t="n"/>
      <c r="AY232" s="53" t="n"/>
    </row>
    <row r="233" ht="15" customHeight="1">
      <c r="A233" s="62" t="n"/>
      <c r="B233" s="55">
        <f>IF($B$231="","",$B$231)</f>
        <v/>
      </c>
      <c r="C233" s="63" t="inlineStr">
        <is>
          <t>마케팅4팀</t>
        </is>
      </c>
      <c r="D233" s="55">
        <f>IF($D$231="","",$D$231)</f>
        <v/>
      </c>
      <c r="E233" s="64" t="inlineStr">
        <is>
          <t>영상</t>
        </is>
      </c>
      <c r="F233" s="44" t="n"/>
      <c r="G233" s="58">
        <f>IF($G$231="","",$G$231)</f>
        <v/>
      </c>
      <c r="H233" s="59" t="n"/>
      <c r="I233" s="59" t="n"/>
      <c r="J233" s="59" t="n"/>
      <c r="K233" s="59" t="n"/>
      <c r="L233" s="65">
        <f>IF(SUM(U233:AY233)=0,"",SUM(U233:AY233))</f>
        <v/>
      </c>
      <c r="M233" s="66">
        <f>IFERROR(INDEX(U$2:AY$2,MATCH(TRUE,INDEX(U233:AY233&lt;&gt;"",0),0)),"")</f>
        <v/>
      </c>
      <c r="N233" s="66">
        <f>IFERROR(LOOKUP(2,1/(U233:AY233&lt;&gt;""),U$2:AY$2),"")</f>
        <v/>
      </c>
      <c r="O233" s="59" t="n"/>
      <c r="P233" s="59" t="n"/>
      <c r="Q233" s="59" t="n"/>
      <c r="R233" s="59" t="n"/>
      <c r="S233" s="14" t="n"/>
      <c r="U233" s="53" t="n"/>
      <c r="V233" s="53" t="n"/>
      <c r="W233" s="53" t="n"/>
      <c r="X233" s="53" t="n"/>
      <c r="Y233" s="53" t="n"/>
      <c r="Z233" s="53" t="n"/>
      <c r="AA233" s="53" t="n"/>
      <c r="AB233" s="53" t="n"/>
      <c r="AC233" s="53" t="n"/>
      <c r="AD233" s="53" t="n"/>
      <c r="AE233" s="53" t="n"/>
      <c r="AF233" s="53" t="n"/>
      <c r="AG233" s="53" t="n"/>
      <c r="AH233" s="53" t="n"/>
      <c r="AI233" s="53" t="n"/>
      <c r="AJ233" s="53" t="n"/>
      <c r="AK233" s="53" t="n"/>
      <c r="AL233" s="53" t="n"/>
      <c r="AM233" s="53" t="n"/>
      <c r="AN233" s="53" t="n"/>
      <c r="AO233" s="53" t="n"/>
      <c r="AP233" s="53" t="n"/>
      <c r="AQ233" s="53" t="n"/>
      <c r="AR233" s="53" t="n"/>
      <c r="AS233" s="53" t="n"/>
      <c r="AT233" s="53" t="n"/>
      <c r="AU233" s="53" t="n"/>
      <c r="AV233" s="53" t="n"/>
      <c r="AW233" s="53" t="n"/>
      <c r="AX233" s="53" t="n"/>
      <c r="AY233" s="53" t="n"/>
    </row>
    <row r="234" ht="15" customHeight="1">
      <c r="A234" s="40">
        <f>IF($D$234="","",75)</f>
        <v/>
      </c>
      <c r="B234" s="10" t="n"/>
      <c r="C234" s="41" t="inlineStr">
        <is>
          <t>마케팅4팀</t>
        </is>
      </c>
      <c r="D234" s="42" t="n"/>
      <c r="E234" s="43" t="inlineStr">
        <is>
          <t>기획</t>
        </is>
      </c>
      <c r="F234" s="44" t="n"/>
      <c r="G234" s="45" t="n"/>
      <c r="H234" s="46">
        <f>IF($I$234="","",IF($I$234&lt;0,"🔴지연",IF($I$234&lt;=1,"🟡임박","🟢여유")))</f>
        <v/>
      </c>
      <c r="I234" s="47">
        <f>IF(OR($G$234="",$K$234=""),"",$G$234-$K$234)</f>
        <v/>
      </c>
      <c r="J234" s="48">
        <f>IF(SUM($L$234:$L$236)=0,"",SUM($L$234:$L$236))</f>
        <v/>
      </c>
      <c r="K234" s="49">
        <f>IF($J$234="","",MAX($N$234:$N$236))</f>
        <v/>
      </c>
      <c r="L234" s="50">
        <f>IF(SUM(U234:AY234)=0,"",SUM(U234:AY234))</f>
        <v/>
      </c>
      <c r="M234" s="51">
        <f>IFERROR(INDEX(U$2:AY$2,MATCH(TRUE,INDEX(U234:AY234&lt;&gt;"",0),0)),"")</f>
        <v/>
      </c>
      <c r="N234" s="51">
        <f>IFERROR(LOOKUP(2,1/(U234:AY234&lt;&gt;""),U$2:AY$2),"")</f>
        <v/>
      </c>
      <c r="O234" s="52" t="n"/>
      <c r="P234" s="52" t="n"/>
      <c r="Q234" s="52" t="n"/>
      <c r="R234" s="44" t="n"/>
      <c r="S234" s="14" t="n"/>
      <c r="U234" s="53" t="n"/>
      <c r="V234" s="53" t="n"/>
      <c r="W234" s="53" t="n"/>
      <c r="X234" s="53" t="n"/>
      <c r="Y234" s="53" t="n"/>
      <c r="Z234" s="53" t="n"/>
      <c r="AA234" s="53" t="n"/>
      <c r="AB234" s="53" t="n"/>
      <c r="AC234" s="53" t="n"/>
      <c r="AD234" s="53" t="n"/>
      <c r="AE234" s="53" t="n"/>
      <c r="AF234" s="53" t="n"/>
      <c r="AG234" s="53" t="n"/>
      <c r="AH234" s="53" t="n"/>
      <c r="AI234" s="53" t="n"/>
      <c r="AJ234" s="53" t="n"/>
      <c r="AK234" s="53" t="n"/>
      <c r="AL234" s="53" t="n"/>
      <c r="AM234" s="53" t="n"/>
      <c r="AN234" s="53" t="n"/>
      <c r="AO234" s="53" t="n"/>
      <c r="AP234" s="53" t="n"/>
      <c r="AQ234" s="53" t="n"/>
      <c r="AR234" s="53" t="n"/>
      <c r="AS234" s="53" t="n"/>
      <c r="AT234" s="53" t="n"/>
      <c r="AU234" s="53" t="n"/>
      <c r="AV234" s="53" t="n"/>
      <c r="AW234" s="53" t="n"/>
      <c r="AX234" s="53" t="n"/>
      <c r="AY234" s="53" t="n"/>
    </row>
    <row r="235" ht="15" customHeight="1">
      <c r="A235" s="54" t="n"/>
      <c r="B235" s="55">
        <f>IF($B$234="","",$B$234)</f>
        <v/>
      </c>
      <c r="C235" s="56" t="inlineStr">
        <is>
          <t>마케팅4팀</t>
        </is>
      </c>
      <c r="D235" s="55">
        <f>IF($D$234="","",$D$234)</f>
        <v/>
      </c>
      <c r="E235" s="57" t="inlineStr">
        <is>
          <t>이미지</t>
        </is>
      </c>
      <c r="F235" s="44" t="n"/>
      <c r="G235" s="58">
        <f>IF($G$234="","",$G$234)</f>
        <v/>
      </c>
      <c r="H235" s="59" t="n"/>
      <c r="I235" s="59" t="n"/>
      <c r="J235" s="59" t="n"/>
      <c r="K235" s="59" t="n"/>
      <c r="L235" s="60">
        <f>IF(SUM(U235:AY235)=0,"",SUM(U235:AY235))</f>
        <v/>
      </c>
      <c r="M235" s="61">
        <f>IFERROR(INDEX(U$2:AY$2,MATCH(TRUE,INDEX(U235:AY235&lt;&gt;"",0),0)),"")</f>
        <v/>
      </c>
      <c r="N235" s="61">
        <f>IFERROR(LOOKUP(2,1/(U235:AY235&lt;&gt;""),U$2:AY$2),"")</f>
        <v/>
      </c>
      <c r="O235" s="59" t="n"/>
      <c r="P235" s="59" t="n"/>
      <c r="Q235" s="59" t="n"/>
      <c r="R235" s="59" t="n"/>
      <c r="S235" s="14" t="n"/>
      <c r="U235" s="53" t="n"/>
      <c r="V235" s="53" t="n"/>
      <c r="W235" s="53" t="n"/>
      <c r="X235" s="53" t="n"/>
      <c r="Y235" s="53" t="n"/>
      <c r="Z235" s="53" t="n"/>
      <c r="AA235" s="53" t="n"/>
      <c r="AB235" s="53" t="n"/>
      <c r="AC235" s="53" t="n"/>
      <c r="AD235" s="53" t="n"/>
      <c r="AE235" s="53" t="n"/>
      <c r="AF235" s="53" t="n"/>
      <c r="AG235" s="53" t="n"/>
      <c r="AH235" s="53" t="n"/>
      <c r="AI235" s="53" t="n"/>
      <c r="AJ235" s="53" t="n"/>
      <c r="AK235" s="53" t="n"/>
      <c r="AL235" s="53" t="n"/>
      <c r="AM235" s="53" t="n"/>
      <c r="AN235" s="53" t="n"/>
      <c r="AO235" s="53" t="n"/>
      <c r="AP235" s="53" t="n"/>
      <c r="AQ235" s="53" t="n"/>
      <c r="AR235" s="53" t="n"/>
      <c r="AS235" s="53" t="n"/>
      <c r="AT235" s="53" t="n"/>
      <c r="AU235" s="53" t="n"/>
      <c r="AV235" s="53" t="n"/>
      <c r="AW235" s="53" t="n"/>
      <c r="AX235" s="53" t="n"/>
      <c r="AY235" s="53" t="n"/>
    </row>
    <row r="236" ht="15" customHeight="1">
      <c r="A236" s="62" t="n"/>
      <c r="B236" s="55">
        <f>IF($B$234="","",$B$234)</f>
        <v/>
      </c>
      <c r="C236" s="63" t="inlineStr">
        <is>
          <t>마케팅4팀</t>
        </is>
      </c>
      <c r="D236" s="55">
        <f>IF($D$234="","",$D$234)</f>
        <v/>
      </c>
      <c r="E236" s="64" t="inlineStr">
        <is>
          <t>영상</t>
        </is>
      </c>
      <c r="F236" s="44" t="n"/>
      <c r="G236" s="58">
        <f>IF($G$234="","",$G$234)</f>
        <v/>
      </c>
      <c r="H236" s="59" t="n"/>
      <c r="I236" s="59" t="n"/>
      <c r="J236" s="59" t="n"/>
      <c r="K236" s="59" t="n"/>
      <c r="L236" s="65">
        <f>IF(SUM(U236:AY236)=0,"",SUM(U236:AY236))</f>
        <v/>
      </c>
      <c r="M236" s="66">
        <f>IFERROR(INDEX(U$2:AY$2,MATCH(TRUE,INDEX(U236:AY236&lt;&gt;"",0),0)),"")</f>
        <v/>
      </c>
      <c r="N236" s="66">
        <f>IFERROR(LOOKUP(2,1/(U236:AY236&lt;&gt;""),U$2:AY$2),"")</f>
        <v/>
      </c>
      <c r="O236" s="59" t="n"/>
      <c r="P236" s="59" t="n"/>
      <c r="Q236" s="59" t="n"/>
      <c r="R236" s="59" t="n"/>
      <c r="S236" s="14" t="n"/>
      <c r="U236" s="53" t="n"/>
      <c r="V236" s="53" t="n"/>
      <c r="W236" s="53" t="n"/>
      <c r="X236" s="53" t="n"/>
      <c r="Y236" s="53" t="n"/>
      <c r="Z236" s="53" t="n"/>
      <c r="AA236" s="53" t="n"/>
      <c r="AB236" s="53" t="n"/>
      <c r="AC236" s="53" t="n"/>
      <c r="AD236" s="53" t="n"/>
      <c r="AE236" s="53" t="n"/>
      <c r="AF236" s="53" t="n"/>
      <c r="AG236" s="53" t="n"/>
      <c r="AH236" s="53" t="n"/>
      <c r="AI236" s="53" t="n"/>
      <c r="AJ236" s="53" t="n"/>
      <c r="AK236" s="53" t="n"/>
      <c r="AL236" s="53" t="n"/>
      <c r="AM236" s="53" t="n"/>
      <c r="AN236" s="53" t="n"/>
      <c r="AO236" s="53" t="n"/>
      <c r="AP236" s="53" t="n"/>
      <c r="AQ236" s="53" t="n"/>
      <c r="AR236" s="53" t="n"/>
      <c r="AS236" s="53" t="n"/>
      <c r="AT236" s="53" t="n"/>
      <c r="AU236" s="53" t="n"/>
      <c r="AV236" s="53" t="n"/>
      <c r="AW236" s="53" t="n"/>
      <c r="AX236" s="53" t="n"/>
      <c r="AY236" s="53" t="n"/>
    </row>
    <row r="237" ht="15" customHeight="1">
      <c r="A237" s="40">
        <f>IF($D$237="","",76)</f>
        <v/>
      </c>
      <c r="B237" s="10" t="n"/>
      <c r="C237" s="41" t="inlineStr">
        <is>
          <t>마케팅4팀</t>
        </is>
      </c>
      <c r="D237" s="42" t="n"/>
      <c r="E237" s="43" t="inlineStr">
        <is>
          <t>기획</t>
        </is>
      </c>
      <c r="F237" s="44" t="n"/>
      <c r="G237" s="45" t="n"/>
      <c r="H237" s="46">
        <f>IF($I$237="","",IF($I$237&lt;0,"🔴지연",IF($I$237&lt;=1,"🟡임박","🟢여유")))</f>
        <v/>
      </c>
      <c r="I237" s="47">
        <f>IF(OR($G$237="",$K$237=""),"",$G$237-$K$237)</f>
        <v/>
      </c>
      <c r="J237" s="48">
        <f>IF(SUM($L$237:$L$239)=0,"",SUM($L$237:$L$239))</f>
        <v/>
      </c>
      <c r="K237" s="49">
        <f>IF($J$237="","",MAX($N$237:$N$239))</f>
        <v/>
      </c>
      <c r="L237" s="50">
        <f>IF(SUM(U237:AY237)=0,"",SUM(U237:AY237))</f>
        <v/>
      </c>
      <c r="M237" s="51">
        <f>IFERROR(INDEX(U$2:AY$2,MATCH(TRUE,INDEX(U237:AY237&lt;&gt;"",0),0)),"")</f>
        <v/>
      </c>
      <c r="N237" s="51">
        <f>IFERROR(LOOKUP(2,1/(U237:AY237&lt;&gt;""),U$2:AY$2),"")</f>
        <v/>
      </c>
      <c r="O237" s="52" t="n"/>
      <c r="P237" s="52" t="n"/>
      <c r="Q237" s="52" t="n"/>
      <c r="R237" s="44" t="n"/>
      <c r="S237" s="14" t="n"/>
      <c r="U237" s="53" t="n"/>
      <c r="V237" s="53" t="n"/>
      <c r="W237" s="53" t="n"/>
      <c r="X237" s="53" t="n"/>
      <c r="Y237" s="53" t="n"/>
      <c r="Z237" s="53" t="n"/>
      <c r="AA237" s="53" t="n"/>
      <c r="AB237" s="53" t="n"/>
      <c r="AC237" s="53" t="n"/>
      <c r="AD237" s="53" t="n"/>
      <c r="AE237" s="53" t="n"/>
      <c r="AF237" s="53" t="n"/>
      <c r="AG237" s="53" t="n"/>
      <c r="AH237" s="53" t="n"/>
      <c r="AI237" s="53" t="n"/>
      <c r="AJ237" s="53" t="n"/>
      <c r="AK237" s="53" t="n"/>
      <c r="AL237" s="53" t="n"/>
      <c r="AM237" s="53" t="n"/>
      <c r="AN237" s="53" t="n"/>
      <c r="AO237" s="53" t="n"/>
      <c r="AP237" s="53" t="n"/>
      <c r="AQ237" s="53" t="n"/>
      <c r="AR237" s="53" t="n"/>
      <c r="AS237" s="53" t="n"/>
      <c r="AT237" s="53" t="n"/>
      <c r="AU237" s="53" t="n"/>
      <c r="AV237" s="53" t="n"/>
      <c r="AW237" s="53" t="n"/>
      <c r="AX237" s="53" t="n"/>
      <c r="AY237" s="53" t="n"/>
    </row>
    <row r="238" ht="15" customHeight="1">
      <c r="A238" s="54" t="n"/>
      <c r="B238" s="55">
        <f>IF($B$237="","",$B$237)</f>
        <v/>
      </c>
      <c r="C238" s="56" t="inlineStr">
        <is>
          <t>마케팅4팀</t>
        </is>
      </c>
      <c r="D238" s="55">
        <f>IF($D$237="","",$D$237)</f>
        <v/>
      </c>
      <c r="E238" s="57" t="inlineStr">
        <is>
          <t>이미지</t>
        </is>
      </c>
      <c r="F238" s="44" t="n"/>
      <c r="G238" s="58">
        <f>IF($G$237="","",$G$237)</f>
        <v/>
      </c>
      <c r="H238" s="59" t="n"/>
      <c r="I238" s="59" t="n"/>
      <c r="J238" s="59" t="n"/>
      <c r="K238" s="59" t="n"/>
      <c r="L238" s="60">
        <f>IF(SUM(U238:AY238)=0,"",SUM(U238:AY238))</f>
        <v/>
      </c>
      <c r="M238" s="61">
        <f>IFERROR(INDEX(U$2:AY$2,MATCH(TRUE,INDEX(U238:AY238&lt;&gt;"",0),0)),"")</f>
        <v/>
      </c>
      <c r="N238" s="61">
        <f>IFERROR(LOOKUP(2,1/(U238:AY238&lt;&gt;""),U$2:AY$2),"")</f>
        <v/>
      </c>
      <c r="O238" s="59" t="n"/>
      <c r="P238" s="59" t="n"/>
      <c r="Q238" s="59" t="n"/>
      <c r="R238" s="59" t="n"/>
      <c r="S238" s="14" t="n"/>
      <c r="U238" s="53" t="n"/>
      <c r="V238" s="53" t="n"/>
      <c r="W238" s="53" t="n"/>
      <c r="X238" s="53" t="n"/>
      <c r="Y238" s="53" t="n"/>
      <c r="Z238" s="53" t="n"/>
      <c r="AA238" s="53" t="n"/>
      <c r="AB238" s="53" t="n"/>
      <c r="AC238" s="53" t="n"/>
      <c r="AD238" s="53" t="n"/>
      <c r="AE238" s="53" t="n"/>
      <c r="AF238" s="53" t="n"/>
      <c r="AG238" s="53" t="n"/>
      <c r="AH238" s="53" t="n"/>
      <c r="AI238" s="53" t="n"/>
      <c r="AJ238" s="53" t="n"/>
      <c r="AK238" s="53" t="n"/>
      <c r="AL238" s="53" t="n"/>
      <c r="AM238" s="53" t="n"/>
      <c r="AN238" s="53" t="n"/>
      <c r="AO238" s="53" t="n"/>
      <c r="AP238" s="53" t="n"/>
      <c r="AQ238" s="53" t="n"/>
      <c r="AR238" s="53" t="n"/>
      <c r="AS238" s="53" t="n"/>
      <c r="AT238" s="53" t="n"/>
      <c r="AU238" s="53" t="n"/>
      <c r="AV238" s="53" t="n"/>
      <c r="AW238" s="53" t="n"/>
      <c r="AX238" s="53" t="n"/>
      <c r="AY238" s="53" t="n"/>
    </row>
    <row r="239" ht="15" customHeight="1">
      <c r="A239" s="62" t="n"/>
      <c r="B239" s="55">
        <f>IF($B$237="","",$B$237)</f>
        <v/>
      </c>
      <c r="C239" s="63" t="inlineStr">
        <is>
          <t>마케팅4팀</t>
        </is>
      </c>
      <c r="D239" s="55">
        <f>IF($D$237="","",$D$237)</f>
        <v/>
      </c>
      <c r="E239" s="64" t="inlineStr">
        <is>
          <t>영상</t>
        </is>
      </c>
      <c r="F239" s="44" t="n"/>
      <c r="G239" s="58">
        <f>IF($G$237="","",$G$237)</f>
        <v/>
      </c>
      <c r="H239" s="59" t="n"/>
      <c r="I239" s="59" t="n"/>
      <c r="J239" s="59" t="n"/>
      <c r="K239" s="59" t="n"/>
      <c r="L239" s="65">
        <f>IF(SUM(U239:AY239)=0,"",SUM(U239:AY239))</f>
        <v/>
      </c>
      <c r="M239" s="66">
        <f>IFERROR(INDEX(U$2:AY$2,MATCH(TRUE,INDEX(U239:AY239&lt;&gt;"",0),0)),"")</f>
        <v/>
      </c>
      <c r="N239" s="66">
        <f>IFERROR(LOOKUP(2,1/(U239:AY239&lt;&gt;""),U$2:AY$2),"")</f>
        <v/>
      </c>
      <c r="O239" s="59" t="n"/>
      <c r="P239" s="59" t="n"/>
      <c r="Q239" s="59" t="n"/>
      <c r="R239" s="59" t="n"/>
      <c r="S239" s="14" t="n"/>
      <c r="U239" s="53" t="n"/>
      <c r="V239" s="53" t="n"/>
      <c r="W239" s="53" t="n"/>
      <c r="X239" s="53" t="n"/>
      <c r="Y239" s="53" t="n"/>
      <c r="Z239" s="53" t="n"/>
      <c r="AA239" s="53" t="n"/>
      <c r="AB239" s="53" t="n"/>
      <c r="AC239" s="53" t="n"/>
      <c r="AD239" s="53" t="n"/>
      <c r="AE239" s="53" t="n"/>
      <c r="AF239" s="53" t="n"/>
      <c r="AG239" s="53" t="n"/>
      <c r="AH239" s="53" t="n"/>
      <c r="AI239" s="53" t="n"/>
      <c r="AJ239" s="53" t="n"/>
      <c r="AK239" s="53" t="n"/>
      <c r="AL239" s="53" t="n"/>
      <c r="AM239" s="53" t="n"/>
      <c r="AN239" s="53" t="n"/>
      <c r="AO239" s="53" t="n"/>
      <c r="AP239" s="53" t="n"/>
      <c r="AQ239" s="53" t="n"/>
      <c r="AR239" s="53" t="n"/>
      <c r="AS239" s="53" t="n"/>
      <c r="AT239" s="53" t="n"/>
      <c r="AU239" s="53" t="n"/>
      <c r="AV239" s="53" t="n"/>
      <c r="AW239" s="53" t="n"/>
      <c r="AX239" s="53" t="n"/>
      <c r="AY239" s="53" t="n"/>
    </row>
    <row r="240" ht="15" customHeight="1">
      <c r="A240" s="40">
        <f>IF($D$240="","",77)</f>
        <v/>
      </c>
      <c r="B240" s="10" t="n"/>
      <c r="C240" s="41" t="inlineStr">
        <is>
          <t>마케팅4팀</t>
        </is>
      </c>
      <c r="D240" s="42" t="n"/>
      <c r="E240" s="43" t="inlineStr">
        <is>
          <t>기획</t>
        </is>
      </c>
      <c r="F240" s="44" t="n"/>
      <c r="G240" s="45" t="n"/>
      <c r="H240" s="46">
        <f>IF($I$240="","",IF($I$240&lt;0,"🔴지연",IF($I$240&lt;=1,"🟡임박","🟢여유")))</f>
        <v/>
      </c>
      <c r="I240" s="47">
        <f>IF(OR($G$240="",$K$240=""),"",$G$240-$K$240)</f>
        <v/>
      </c>
      <c r="J240" s="48">
        <f>IF(SUM($L$240:$L$242)=0,"",SUM($L$240:$L$242))</f>
        <v/>
      </c>
      <c r="K240" s="49">
        <f>IF($J$240="","",MAX($N$240:$N$242))</f>
        <v/>
      </c>
      <c r="L240" s="50">
        <f>IF(SUM(U240:AY240)=0,"",SUM(U240:AY240))</f>
        <v/>
      </c>
      <c r="M240" s="51">
        <f>IFERROR(INDEX(U$2:AY$2,MATCH(TRUE,INDEX(U240:AY240&lt;&gt;"",0),0)),"")</f>
        <v/>
      </c>
      <c r="N240" s="51">
        <f>IFERROR(LOOKUP(2,1/(U240:AY240&lt;&gt;""),U$2:AY$2),"")</f>
        <v/>
      </c>
      <c r="O240" s="52" t="n"/>
      <c r="P240" s="52" t="n"/>
      <c r="Q240" s="52" t="n"/>
      <c r="R240" s="44" t="n"/>
      <c r="S240" s="14" t="n"/>
      <c r="U240" s="53" t="n"/>
      <c r="V240" s="53" t="n"/>
      <c r="W240" s="53" t="n"/>
      <c r="X240" s="53" t="n"/>
      <c r="Y240" s="53" t="n"/>
      <c r="Z240" s="53" t="n"/>
      <c r="AA240" s="53" t="n"/>
      <c r="AB240" s="53" t="n"/>
      <c r="AC240" s="53" t="n"/>
      <c r="AD240" s="53" t="n"/>
      <c r="AE240" s="53" t="n"/>
      <c r="AF240" s="53" t="n"/>
      <c r="AG240" s="53" t="n"/>
      <c r="AH240" s="53" t="n"/>
      <c r="AI240" s="53" t="n"/>
      <c r="AJ240" s="53" t="n"/>
      <c r="AK240" s="53" t="n"/>
      <c r="AL240" s="53" t="n"/>
      <c r="AM240" s="53" t="n"/>
      <c r="AN240" s="53" t="n"/>
      <c r="AO240" s="53" t="n"/>
      <c r="AP240" s="53" t="n"/>
      <c r="AQ240" s="53" t="n"/>
      <c r="AR240" s="53" t="n"/>
      <c r="AS240" s="53" t="n"/>
      <c r="AT240" s="53" t="n"/>
      <c r="AU240" s="53" t="n"/>
      <c r="AV240" s="53" t="n"/>
      <c r="AW240" s="53" t="n"/>
      <c r="AX240" s="53" t="n"/>
      <c r="AY240" s="53" t="n"/>
    </row>
    <row r="241" ht="15" customHeight="1">
      <c r="A241" s="54" t="n"/>
      <c r="B241" s="55">
        <f>IF($B$240="","",$B$240)</f>
        <v/>
      </c>
      <c r="C241" s="56" t="inlineStr">
        <is>
          <t>마케팅4팀</t>
        </is>
      </c>
      <c r="D241" s="55">
        <f>IF($D$240="","",$D$240)</f>
        <v/>
      </c>
      <c r="E241" s="57" t="inlineStr">
        <is>
          <t>이미지</t>
        </is>
      </c>
      <c r="F241" s="44" t="n"/>
      <c r="G241" s="58">
        <f>IF($G$240="","",$G$240)</f>
        <v/>
      </c>
      <c r="H241" s="59" t="n"/>
      <c r="I241" s="59" t="n"/>
      <c r="J241" s="59" t="n"/>
      <c r="K241" s="59" t="n"/>
      <c r="L241" s="60">
        <f>IF(SUM(U241:AY241)=0,"",SUM(U241:AY241))</f>
        <v/>
      </c>
      <c r="M241" s="61">
        <f>IFERROR(INDEX(U$2:AY$2,MATCH(TRUE,INDEX(U241:AY241&lt;&gt;"",0),0)),"")</f>
        <v/>
      </c>
      <c r="N241" s="61">
        <f>IFERROR(LOOKUP(2,1/(U241:AY241&lt;&gt;""),U$2:AY$2),"")</f>
        <v/>
      </c>
      <c r="O241" s="59" t="n"/>
      <c r="P241" s="59" t="n"/>
      <c r="Q241" s="59" t="n"/>
      <c r="R241" s="59" t="n"/>
      <c r="S241" s="14" t="n"/>
      <c r="U241" s="53" t="n"/>
      <c r="V241" s="53" t="n"/>
      <c r="W241" s="53" t="n"/>
      <c r="X241" s="53" t="n"/>
      <c r="Y241" s="53" t="n"/>
      <c r="Z241" s="53" t="n"/>
      <c r="AA241" s="53" t="n"/>
      <c r="AB241" s="53" t="n"/>
      <c r="AC241" s="53" t="n"/>
      <c r="AD241" s="53" t="n"/>
      <c r="AE241" s="53" t="n"/>
      <c r="AF241" s="53" t="n"/>
      <c r="AG241" s="53" t="n"/>
      <c r="AH241" s="53" t="n"/>
      <c r="AI241" s="53" t="n"/>
      <c r="AJ241" s="53" t="n"/>
      <c r="AK241" s="53" t="n"/>
      <c r="AL241" s="53" t="n"/>
      <c r="AM241" s="53" t="n"/>
      <c r="AN241" s="53" t="n"/>
      <c r="AO241" s="53" t="n"/>
      <c r="AP241" s="53" t="n"/>
      <c r="AQ241" s="53" t="n"/>
      <c r="AR241" s="53" t="n"/>
      <c r="AS241" s="53" t="n"/>
      <c r="AT241" s="53" t="n"/>
      <c r="AU241" s="53" t="n"/>
      <c r="AV241" s="53" t="n"/>
      <c r="AW241" s="53" t="n"/>
      <c r="AX241" s="53" t="n"/>
      <c r="AY241" s="53" t="n"/>
    </row>
    <row r="242" ht="15" customHeight="1">
      <c r="A242" s="62" t="n"/>
      <c r="B242" s="55">
        <f>IF($B$240="","",$B$240)</f>
        <v/>
      </c>
      <c r="C242" s="63" t="inlineStr">
        <is>
          <t>마케팅4팀</t>
        </is>
      </c>
      <c r="D242" s="55">
        <f>IF($D$240="","",$D$240)</f>
        <v/>
      </c>
      <c r="E242" s="64" t="inlineStr">
        <is>
          <t>영상</t>
        </is>
      </c>
      <c r="F242" s="44" t="n"/>
      <c r="G242" s="58">
        <f>IF($G$240="","",$G$240)</f>
        <v/>
      </c>
      <c r="H242" s="59" t="n"/>
      <c r="I242" s="59" t="n"/>
      <c r="J242" s="59" t="n"/>
      <c r="K242" s="59" t="n"/>
      <c r="L242" s="65">
        <f>IF(SUM(U242:AY242)=0,"",SUM(U242:AY242))</f>
        <v/>
      </c>
      <c r="M242" s="66">
        <f>IFERROR(INDEX(U$2:AY$2,MATCH(TRUE,INDEX(U242:AY242&lt;&gt;"",0),0)),"")</f>
        <v/>
      </c>
      <c r="N242" s="66">
        <f>IFERROR(LOOKUP(2,1/(U242:AY242&lt;&gt;""),U$2:AY$2),"")</f>
        <v/>
      </c>
      <c r="O242" s="59" t="n"/>
      <c r="P242" s="59" t="n"/>
      <c r="Q242" s="59" t="n"/>
      <c r="R242" s="59" t="n"/>
      <c r="S242" s="14" t="n"/>
      <c r="U242" s="53" t="n"/>
      <c r="V242" s="53" t="n"/>
      <c r="W242" s="53" t="n"/>
      <c r="X242" s="53" t="n"/>
      <c r="Y242" s="53" t="n"/>
      <c r="Z242" s="53" t="n"/>
      <c r="AA242" s="53" t="n"/>
      <c r="AB242" s="53" t="n"/>
      <c r="AC242" s="53" t="n"/>
      <c r="AD242" s="53" t="n"/>
      <c r="AE242" s="53" t="n"/>
      <c r="AF242" s="53" t="n"/>
      <c r="AG242" s="53" t="n"/>
      <c r="AH242" s="53" t="n"/>
      <c r="AI242" s="53" t="n"/>
      <c r="AJ242" s="53" t="n"/>
      <c r="AK242" s="53" t="n"/>
      <c r="AL242" s="53" t="n"/>
      <c r="AM242" s="53" t="n"/>
      <c r="AN242" s="53" t="n"/>
      <c r="AO242" s="53" t="n"/>
      <c r="AP242" s="53" t="n"/>
      <c r="AQ242" s="53" t="n"/>
      <c r="AR242" s="53" t="n"/>
      <c r="AS242" s="53" t="n"/>
      <c r="AT242" s="53" t="n"/>
      <c r="AU242" s="53" t="n"/>
      <c r="AV242" s="53" t="n"/>
      <c r="AW242" s="53" t="n"/>
      <c r="AX242" s="53" t="n"/>
      <c r="AY242" s="53" t="n"/>
    </row>
    <row r="243" ht="15" customHeight="1">
      <c r="A243" s="40">
        <f>IF($D$243="","",78)</f>
        <v/>
      </c>
      <c r="B243" s="10" t="n"/>
      <c r="C243" s="41" t="inlineStr">
        <is>
          <t>마케팅4팀</t>
        </is>
      </c>
      <c r="D243" s="42" t="n"/>
      <c r="E243" s="43" t="inlineStr">
        <is>
          <t>기획</t>
        </is>
      </c>
      <c r="F243" s="44" t="n"/>
      <c r="G243" s="45" t="n"/>
      <c r="H243" s="46">
        <f>IF($I$243="","",IF($I$243&lt;0,"🔴지연",IF($I$243&lt;=1,"🟡임박","🟢여유")))</f>
        <v/>
      </c>
      <c r="I243" s="47">
        <f>IF(OR($G$243="",$K$243=""),"",$G$243-$K$243)</f>
        <v/>
      </c>
      <c r="J243" s="48">
        <f>IF(SUM($L$243:$L$245)=0,"",SUM($L$243:$L$245))</f>
        <v/>
      </c>
      <c r="K243" s="49">
        <f>IF($J$243="","",MAX($N$243:$N$245))</f>
        <v/>
      </c>
      <c r="L243" s="50">
        <f>IF(SUM(U243:AY243)=0,"",SUM(U243:AY243))</f>
        <v/>
      </c>
      <c r="M243" s="51">
        <f>IFERROR(INDEX(U$2:AY$2,MATCH(TRUE,INDEX(U243:AY243&lt;&gt;"",0),0)),"")</f>
        <v/>
      </c>
      <c r="N243" s="51">
        <f>IFERROR(LOOKUP(2,1/(U243:AY243&lt;&gt;""),U$2:AY$2),"")</f>
        <v/>
      </c>
      <c r="O243" s="52" t="n"/>
      <c r="P243" s="52" t="n"/>
      <c r="Q243" s="52" t="n"/>
      <c r="R243" s="44" t="n"/>
      <c r="S243" s="14" t="n"/>
      <c r="U243" s="53" t="n"/>
      <c r="V243" s="53" t="n"/>
      <c r="W243" s="53" t="n"/>
      <c r="X243" s="53" t="n"/>
      <c r="Y243" s="53" t="n"/>
      <c r="Z243" s="53" t="n"/>
      <c r="AA243" s="53" t="n"/>
      <c r="AB243" s="53" t="n"/>
      <c r="AC243" s="53" t="n"/>
      <c r="AD243" s="53" t="n"/>
      <c r="AE243" s="53" t="n"/>
      <c r="AF243" s="53" t="n"/>
      <c r="AG243" s="53" t="n"/>
      <c r="AH243" s="53" t="n"/>
      <c r="AI243" s="53" t="n"/>
      <c r="AJ243" s="53" t="n"/>
      <c r="AK243" s="53" t="n"/>
      <c r="AL243" s="53" t="n"/>
      <c r="AM243" s="53" t="n"/>
      <c r="AN243" s="53" t="n"/>
      <c r="AO243" s="53" t="n"/>
      <c r="AP243" s="53" t="n"/>
      <c r="AQ243" s="53" t="n"/>
      <c r="AR243" s="53" t="n"/>
      <c r="AS243" s="53" t="n"/>
      <c r="AT243" s="53" t="n"/>
      <c r="AU243" s="53" t="n"/>
      <c r="AV243" s="53" t="n"/>
      <c r="AW243" s="53" t="n"/>
      <c r="AX243" s="53" t="n"/>
      <c r="AY243" s="53" t="n"/>
    </row>
    <row r="244" ht="15" customHeight="1">
      <c r="A244" s="54" t="n"/>
      <c r="B244" s="55">
        <f>IF($B$243="","",$B$243)</f>
        <v/>
      </c>
      <c r="C244" s="56" t="inlineStr">
        <is>
          <t>마케팅4팀</t>
        </is>
      </c>
      <c r="D244" s="55">
        <f>IF($D$243="","",$D$243)</f>
        <v/>
      </c>
      <c r="E244" s="57" t="inlineStr">
        <is>
          <t>이미지</t>
        </is>
      </c>
      <c r="F244" s="44" t="n"/>
      <c r="G244" s="58">
        <f>IF($G$243="","",$G$243)</f>
        <v/>
      </c>
      <c r="H244" s="59" t="n"/>
      <c r="I244" s="59" t="n"/>
      <c r="J244" s="59" t="n"/>
      <c r="K244" s="59" t="n"/>
      <c r="L244" s="60">
        <f>IF(SUM(U244:AY244)=0,"",SUM(U244:AY244))</f>
        <v/>
      </c>
      <c r="M244" s="61">
        <f>IFERROR(INDEX(U$2:AY$2,MATCH(TRUE,INDEX(U244:AY244&lt;&gt;"",0),0)),"")</f>
        <v/>
      </c>
      <c r="N244" s="61">
        <f>IFERROR(LOOKUP(2,1/(U244:AY244&lt;&gt;""),U$2:AY$2),"")</f>
        <v/>
      </c>
      <c r="O244" s="59" t="n"/>
      <c r="P244" s="59" t="n"/>
      <c r="Q244" s="59" t="n"/>
      <c r="R244" s="59" t="n"/>
      <c r="S244" s="14" t="n"/>
      <c r="U244" s="53" t="n"/>
      <c r="V244" s="53" t="n"/>
      <c r="W244" s="53" t="n"/>
      <c r="X244" s="53" t="n"/>
      <c r="Y244" s="53" t="n"/>
      <c r="Z244" s="53" t="n"/>
      <c r="AA244" s="53" t="n"/>
      <c r="AB244" s="53" t="n"/>
      <c r="AC244" s="53" t="n"/>
      <c r="AD244" s="53" t="n"/>
      <c r="AE244" s="53" t="n"/>
      <c r="AF244" s="53" t="n"/>
      <c r="AG244" s="53" t="n"/>
      <c r="AH244" s="53" t="n"/>
      <c r="AI244" s="53" t="n"/>
      <c r="AJ244" s="53" t="n"/>
      <c r="AK244" s="53" t="n"/>
      <c r="AL244" s="53" t="n"/>
      <c r="AM244" s="53" t="n"/>
      <c r="AN244" s="53" t="n"/>
      <c r="AO244" s="53" t="n"/>
      <c r="AP244" s="53" t="n"/>
      <c r="AQ244" s="53" t="n"/>
      <c r="AR244" s="53" t="n"/>
      <c r="AS244" s="53" t="n"/>
      <c r="AT244" s="53" t="n"/>
      <c r="AU244" s="53" t="n"/>
      <c r="AV244" s="53" t="n"/>
      <c r="AW244" s="53" t="n"/>
      <c r="AX244" s="53" t="n"/>
      <c r="AY244" s="53" t="n"/>
    </row>
    <row r="245" ht="15" customHeight="1">
      <c r="A245" s="62" t="n"/>
      <c r="B245" s="55">
        <f>IF($B$243="","",$B$243)</f>
        <v/>
      </c>
      <c r="C245" s="63" t="inlineStr">
        <is>
          <t>마케팅4팀</t>
        </is>
      </c>
      <c r="D245" s="55">
        <f>IF($D$243="","",$D$243)</f>
        <v/>
      </c>
      <c r="E245" s="64" t="inlineStr">
        <is>
          <t>영상</t>
        </is>
      </c>
      <c r="F245" s="44" t="n"/>
      <c r="G245" s="58">
        <f>IF($G$243="","",$G$243)</f>
        <v/>
      </c>
      <c r="H245" s="59" t="n"/>
      <c r="I245" s="59" t="n"/>
      <c r="J245" s="59" t="n"/>
      <c r="K245" s="59" t="n"/>
      <c r="L245" s="65">
        <f>IF(SUM(U245:AY245)=0,"",SUM(U245:AY245))</f>
        <v/>
      </c>
      <c r="M245" s="66">
        <f>IFERROR(INDEX(U$2:AY$2,MATCH(TRUE,INDEX(U245:AY245&lt;&gt;"",0),0)),"")</f>
        <v/>
      </c>
      <c r="N245" s="66">
        <f>IFERROR(LOOKUP(2,1/(U245:AY245&lt;&gt;""),U$2:AY$2),"")</f>
        <v/>
      </c>
      <c r="O245" s="59" t="n"/>
      <c r="P245" s="59" t="n"/>
      <c r="Q245" s="59" t="n"/>
      <c r="R245" s="59" t="n"/>
      <c r="S245" s="14" t="n"/>
      <c r="U245" s="53" t="n"/>
      <c r="V245" s="53" t="n"/>
      <c r="W245" s="53" t="n"/>
      <c r="X245" s="53" t="n"/>
      <c r="Y245" s="53" t="n"/>
      <c r="Z245" s="53" t="n"/>
      <c r="AA245" s="53" t="n"/>
      <c r="AB245" s="53" t="n"/>
      <c r="AC245" s="53" t="n"/>
      <c r="AD245" s="53" t="n"/>
      <c r="AE245" s="53" t="n"/>
      <c r="AF245" s="53" t="n"/>
      <c r="AG245" s="53" t="n"/>
      <c r="AH245" s="53" t="n"/>
      <c r="AI245" s="53" t="n"/>
      <c r="AJ245" s="53" t="n"/>
      <c r="AK245" s="53" t="n"/>
      <c r="AL245" s="53" t="n"/>
      <c r="AM245" s="53" t="n"/>
      <c r="AN245" s="53" t="n"/>
      <c r="AO245" s="53" t="n"/>
      <c r="AP245" s="53" t="n"/>
      <c r="AQ245" s="53" t="n"/>
      <c r="AR245" s="53" t="n"/>
      <c r="AS245" s="53" t="n"/>
      <c r="AT245" s="53" t="n"/>
      <c r="AU245" s="53" t="n"/>
      <c r="AV245" s="53" t="n"/>
      <c r="AW245" s="53" t="n"/>
      <c r="AX245" s="53" t="n"/>
      <c r="AY245" s="53" t="n"/>
    </row>
    <row r="246" ht="15" customHeight="1">
      <c r="A246" s="40">
        <f>IF($D$246="","",79)</f>
        <v/>
      </c>
      <c r="B246" s="10" t="n"/>
      <c r="C246" s="41" t="inlineStr">
        <is>
          <t>마케팅4팀</t>
        </is>
      </c>
      <c r="D246" s="42" t="n"/>
      <c r="E246" s="43" t="inlineStr">
        <is>
          <t>기획</t>
        </is>
      </c>
      <c r="F246" s="44" t="n"/>
      <c r="G246" s="45" t="n"/>
      <c r="H246" s="46">
        <f>IF($I$246="","",IF($I$246&lt;0,"🔴지연",IF($I$246&lt;=1,"🟡임박","🟢여유")))</f>
        <v/>
      </c>
      <c r="I246" s="47">
        <f>IF(OR($G$246="",$K$246=""),"",$G$246-$K$246)</f>
        <v/>
      </c>
      <c r="J246" s="48">
        <f>IF(SUM($L$246:$L$248)=0,"",SUM($L$246:$L$248))</f>
        <v/>
      </c>
      <c r="K246" s="49">
        <f>IF($J$246="","",MAX($N$246:$N$248))</f>
        <v/>
      </c>
      <c r="L246" s="50">
        <f>IF(SUM(U246:AY246)=0,"",SUM(U246:AY246))</f>
        <v/>
      </c>
      <c r="M246" s="51">
        <f>IFERROR(INDEX(U$2:AY$2,MATCH(TRUE,INDEX(U246:AY246&lt;&gt;"",0),0)),"")</f>
        <v/>
      </c>
      <c r="N246" s="51">
        <f>IFERROR(LOOKUP(2,1/(U246:AY246&lt;&gt;""),U$2:AY$2),"")</f>
        <v/>
      </c>
      <c r="O246" s="52" t="n"/>
      <c r="P246" s="52" t="n"/>
      <c r="Q246" s="52" t="n"/>
      <c r="R246" s="44" t="n"/>
      <c r="S246" s="14" t="n"/>
      <c r="U246" s="53" t="n"/>
      <c r="V246" s="53" t="n"/>
      <c r="W246" s="53" t="n"/>
      <c r="X246" s="53" t="n"/>
      <c r="Y246" s="53" t="n"/>
      <c r="Z246" s="53" t="n"/>
      <c r="AA246" s="53" t="n"/>
      <c r="AB246" s="53" t="n"/>
      <c r="AC246" s="53" t="n"/>
      <c r="AD246" s="53" t="n"/>
      <c r="AE246" s="53" t="n"/>
      <c r="AF246" s="53" t="n"/>
      <c r="AG246" s="53" t="n"/>
      <c r="AH246" s="53" t="n"/>
      <c r="AI246" s="53" t="n"/>
      <c r="AJ246" s="53" t="n"/>
      <c r="AK246" s="53" t="n"/>
      <c r="AL246" s="53" t="n"/>
      <c r="AM246" s="53" t="n"/>
      <c r="AN246" s="53" t="n"/>
      <c r="AO246" s="53" t="n"/>
      <c r="AP246" s="53" t="n"/>
      <c r="AQ246" s="53" t="n"/>
      <c r="AR246" s="53" t="n"/>
      <c r="AS246" s="53" t="n"/>
      <c r="AT246" s="53" t="n"/>
      <c r="AU246" s="53" t="n"/>
      <c r="AV246" s="53" t="n"/>
      <c r="AW246" s="53" t="n"/>
      <c r="AX246" s="53" t="n"/>
      <c r="AY246" s="53" t="n"/>
    </row>
    <row r="247" ht="15" customHeight="1">
      <c r="A247" s="54" t="n"/>
      <c r="B247" s="55">
        <f>IF($B$246="","",$B$246)</f>
        <v/>
      </c>
      <c r="C247" s="56" t="inlineStr">
        <is>
          <t>마케팅4팀</t>
        </is>
      </c>
      <c r="D247" s="55">
        <f>IF($D$246="","",$D$246)</f>
        <v/>
      </c>
      <c r="E247" s="57" t="inlineStr">
        <is>
          <t>이미지</t>
        </is>
      </c>
      <c r="F247" s="44" t="n"/>
      <c r="G247" s="58">
        <f>IF($G$246="","",$G$246)</f>
        <v/>
      </c>
      <c r="H247" s="59" t="n"/>
      <c r="I247" s="59" t="n"/>
      <c r="J247" s="59" t="n"/>
      <c r="K247" s="59" t="n"/>
      <c r="L247" s="60">
        <f>IF(SUM(U247:AY247)=0,"",SUM(U247:AY247))</f>
        <v/>
      </c>
      <c r="M247" s="61">
        <f>IFERROR(INDEX(U$2:AY$2,MATCH(TRUE,INDEX(U247:AY247&lt;&gt;"",0),0)),"")</f>
        <v/>
      </c>
      <c r="N247" s="61">
        <f>IFERROR(LOOKUP(2,1/(U247:AY247&lt;&gt;""),U$2:AY$2),"")</f>
        <v/>
      </c>
      <c r="O247" s="59" t="n"/>
      <c r="P247" s="59" t="n"/>
      <c r="Q247" s="59" t="n"/>
      <c r="R247" s="59" t="n"/>
      <c r="S247" s="14" t="n"/>
      <c r="U247" s="53" t="n"/>
      <c r="V247" s="53" t="n"/>
      <c r="W247" s="53" t="n"/>
      <c r="X247" s="53" t="n"/>
      <c r="Y247" s="53" t="n"/>
      <c r="Z247" s="53" t="n"/>
      <c r="AA247" s="53" t="n"/>
      <c r="AB247" s="53" t="n"/>
      <c r="AC247" s="53" t="n"/>
      <c r="AD247" s="53" t="n"/>
      <c r="AE247" s="53" t="n"/>
      <c r="AF247" s="53" t="n"/>
      <c r="AG247" s="53" t="n"/>
      <c r="AH247" s="53" t="n"/>
      <c r="AI247" s="53" t="n"/>
      <c r="AJ247" s="53" t="n"/>
      <c r="AK247" s="53" t="n"/>
      <c r="AL247" s="53" t="n"/>
      <c r="AM247" s="53" t="n"/>
      <c r="AN247" s="53" t="n"/>
      <c r="AO247" s="53" t="n"/>
      <c r="AP247" s="53" t="n"/>
      <c r="AQ247" s="53" t="n"/>
      <c r="AR247" s="53" t="n"/>
      <c r="AS247" s="53" t="n"/>
      <c r="AT247" s="53" t="n"/>
      <c r="AU247" s="53" t="n"/>
      <c r="AV247" s="53" t="n"/>
      <c r="AW247" s="53" t="n"/>
      <c r="AX247" s="53" t="n"/>
      <c r="AY247" s="53" t="n"/>
    </row>
    <row r="248" ht="15" customHeight="1">
      <c r="A248" s="62" t="n"/>
      <c r="B248" s="55">
        <f>IF($B$246="","",$B$246)</f>
        <v/>
      </c>
      <c r="C248" s="63" t="inlineStr">
        <is>
          <t>마케팅4팀</t>
        </is>
      </c>
      <c r="D248" s="55">
        <f>IF($D$246="","",$D$246)</f>
        <v/>
      </c>
      <c r="E248" s="64" t="inlineStr">
        <is>
          <t>영상</t>
        </is>
      </c>
      <c r="F248" s="44" t="n"/>
      <c r="G248" s="58">
        <f>IF($G$246="","",$G$246)</f>
        <v/>
      </c>
      <c r="H248" s="59" t="n"/>
      <c r="I248" s="59" t="n"/>
      <c r="J248" s="59" t="n"/>
      <c r="K248" s="59" t="n"/>
      <c r="L248" s="65">
        <f>IF(SUM(U248:AY248)=0,"",SUM(U248:AY248))</f>
        <v/>
      </c>
      <c r="M248" s="66">
        <f>IFERROR(INDEX(U$2:AY$2,MATCH(TRUE,INDEX(U248:AY248&lt;&gt;"",0),0)),"")</f>
        <v/>
      </c>
      <c r="N248" s="66">
        <f>IFERROR(LOOKUP(2,1/(U248:AY248&lt;&gt;""),U$2:AY$2),"")</f>
        <v/>
      </c>
      <c r="O248" s="59" t="n"/>
      <c r="P248" s="59" t="n"/>
      <c r="Q248" s="59" t="n"/>
      <c r="R248" s="59" t="n"/>
      <c r="S248" s="14" t="n"/>
      <c r="U248" s="53" t="n"/>
      <c r="V248" s="53" t="n"/>
      <c r="W248" s="53" t="n"/>
      <c r="X248" s="53" t="n"/>
      <c r="Y248" s="53" t="n"/>
      <c r="Z248" s="53" t="n"/>
      <c r="AA248" s="53" t="n"/>
      <c r="AB248" s="53" t="n"/>
      <c r="AC248" s="53" t="n"/>
      <c r="AD248" s="53" t="n"/>
      <c r="AE248" s="53" t="n"/>
      <c r="AF248" s="53" t="n"/>
      <c r="AG248" s="53" t="n"/>
      <c r="AH248" s="53" t="n"/>
      <c r="AI248" s="53" t="n"/>
      <c r="AJ248" s="53" t="n"/>
      <c r="AK248" s="53" t="n"/>
      <c r="AL248" s="53" t="n"/>
      <c r="AM248" s="53" t="n"/>
      <c r="AN248" s="53" t="n"/>
      <c r="AO248" s="53" t="n"/>
      <c r="AP248" s="53" t="n"/>
      <c r="AQ248" s="53" t="n"/>
      <c r="AR248" s="53" t="n"/>
      <c r="AS248" s="53" t="n"/>
      <c r="AT248" s="53" t="n"/>
      <c r="AU248" s="53" t="n"/>
      <c r="AV248" s="53" t="n"/>
      <c r="AW248" s="53" t="n"/>
      <c r="AX248" s="53" t="n"/>
      <c r="AY248" s="53" t="n"/>
    </row>
    <row r="249" ht="15" customHeight="1">
      <c r="A249" s="40">
        <f>IF($D$249="","",80)</f>
        <v/>
      </c>
      <c r="B249" s="10" t="n"/>
      <c r="C249" s="41" t="inlineStr">
        <is>
          <t>마케팅4팀</t>
        </is>
      </c>
      <c r="D249" s="42" t="n"/>
      <c r="E249" s="43" t="inlineStr">
        <is>
          <t>기획</t>
        </is>
      </c>
      <c r="F249" s="44" t="n"/>
      <c r="G249" s="45" t="n"/>
      <c r="H249" s="46">
        <f>IF($I$249="","",IF($I$249&lt;0,"🔴지연",IF($I$249&lt;=1,"🟡임박","🟢여유")))</f>
        <v/>
      </c>
      <c r="I249" s="47">
        <f>IF(OR($G$249="",$K$249=""),"",$G$249-$K$249)</f>
        <v/>
      </c>
      <c r="J249" s="48">
        <f>IF(SUM($L$249:$L$251)=0,"",SUM($L$249:$L$251))</f>
        <v/>
      </c>
      <c r="K249" s="49">
        <f>IF($J$249="","",MAX($N$249:$N$251))</f>
        <v/>
      </c>
      <c r="L249" s="50">
        <f>IF(SUM(U249:AY249)=0,"",SUM(U249:AY249))</f>
        <v/>
      </c>
      <c r="M249" s="51">
        <f>IFERROR(INDEX(U$2:AY$2,MATCH(TRUE,INDEX(U249:AY249&lt;&gt;"",0),0)),"")</f>
        <v/>
      </c>
      <c r="N249" s="51">
        <f>IFERROR(LOOKUP(2,1/(U249:AY249&lt;&gt;""),U$2:AY$2),"")</f>
        <v/>
      </c>
      <c r="O249" s="52" t="n"/>
      <c r="P249" s="52" t="n"/>
      <c r="Q249" s="52" t="n"/>
      <c r="R249" s="44" t="n"/>
      <c r="S249" s="14" t="n"/>
      <c r="U249" s="53" t="n"/>
      <c r="V249" s="53" t="n"/>
      <c r="W249" s="53" t="n"/>
      <c r="X249" s="53" t="n"/>
      <c r="Y249" s="53" t="n"/>
      <c r="Z249" s="53" t="n"/>
      <c r="AA249" s="53" t="n"/>
      <c r="AB249" s="53" t="n"/>
      <c r="AC249" s="53" t="n"/>
      <c r="AD249" s="53" t="n"/>
      <c r="AE249" s="53" t="n"/>
      <c r="AF249" s="53" t="n"/>
      <c r="AG249" s="53" t="n"/>
      <c r="AH249" s="53" t="n"/>
      <c r="AI249" s="53" t="n"/>
      <c r="AJ249" s="53" t="n"/>
      <c r="AK249" s="53" t="n"/>
      <c r="AL249" s="53" t="n"/>
      <c r="AM249" s="53" t="n"/>
      <c r="AN249" s="53" t="n"/>
      <c r="AO249" s="53" t="n"/>
      <c r="AP249" s="53" t="n"/>
      <c r="AQ249" s="53" t="n"/>
      <c r="AR249" s="53" t="n"/>
      <c r="AS249" s="53" t="n"/>
      <c r="AT249" s="53" t="n"/>
      <c r="AU249" s="53" t="n"/>
      <c r="AV249" s="53" t="n"/>
      <c r="AW249" s="53" t="n"/>
      <c r="AX249" s="53" t="n"/>
      <c r="AY249" s="53" t="n"/>
    </row>
    <row r="250" ht="15" customHeight="1">
      <c r="A250" s="54" t="n"/>
      <c r="B250" s="55">
        <f>IF($B$249="","",$B$249)</f>
        <v/>
      </c>
      <c r="C250" s="56" t="inlineStr">
        <is>
          <t>마케팅4팀</t>
        </is>
      </c>
      <c r="D250" s="55">
        <f>IF($D$249="","",$D$249)</f>
        <v/>
      </c>
      <c r="E250" s="57" t="inlineStr">
        <is>
          <t>이미지</t>
        </is>
      </c>
      <c r="F250" s="44" t="n"/>
      <c r="G250" s="58">
        <f>IF($G$249="","",$G$249)</f>
        <v/>
      </c>
      <c r="H250" s="59" t="n"/>
      <c r="I250" s="59" t="n"/>
      <c r="J250" s="59" t="n"/>
      <c r="K250" s="59" t="n"/>
      <c r="L250" s="60">
        <f>IF(SUM(U250:AY250)=0,"",SUM(U250:AY250))</f>
        <v/>
      </c>
      <c r="M250" s="61">
        <f>IFERROR(INDEX(U$2:AY$2,MATCH(TRUE,INDEX(U250:AY250&lt;&gt;"",0),0)),"")</f>
        <v/>
      </c>
      <c r="N250" s="61">
        <f>IFERROR(LOOKUP(2,1/(U250:AY250&lt;&gt;""),U$2:AY$2),"")</f>
        <v/>
      </c>
      <c r="O250" s="59" t="n"/>
      <c r="P250" s="59" t="n"/>
      <c r="Q250" s="59" t="n"/>
      <c r="R250" s="59" t="n"/>
      <c r="S250" s="14" t="n"/>
      <c r="U250" s="53" t="n"/>
      <c r="V250" s="53" t="n"/>
      <c r="W250" s="53" t="n"/>
      <c r="X250" s="53" t="n"/>
      <c r="Y250" s="53" t="n"/>
      <c r="Z250" s="53" t="n"/>
      <c r="AA250" s="53" t="n"/>
      <c r="AB250" s="53" t="n"/>
      <c r="AC250" s="53" t="n"/>
      <c r="AD250" s="53" t="n"/>
      <c r="AE250" s="53" t="n"/>
      <c r="AF250" s="53" t="n"/>
      <c r="AG250" s="53" t="n"/>
      <c r="AH250" s="53" t="n"/>
      <c r="AI250" s="53" t="n"/>
      <c r="AJ250" s="53" t="n"/>
      <c r="AK250" s="53" t="n"/>
      <c r="AL250" s="53" t="n"/>
      <c r="AM250" s="53" t="n"/>
      <c r="AN250" s="53" t="n"/>
      <c r="AO250" s="53" t="n"/>
      <c r="AP250" s="53" t="n"/>
      <c r="AQ250" s="53" t="n"/>
      <c r="AR250" s="53" t="n"/>
      <c r="AS250" s="53" t="n"/>
      <c r="AT250" s="53" t="n"/>
      <c r="AU250" s="53" t="n"/>
      <c r="AV250" s="53" t="n"/>
      <c r="AW250" s="53" t="n"/>
      <c r="AX250" s="53" t="n"/>
      <c r="AY250" s="53" t="n"/>
    </row>
    <row r="251" ht="15" customHeight="1">
      <c r="A251" s="62" t="n"/>
      <c r="B251" s="55">
        <f>IF($B$249="","",$B$249)</f>
        <v/>
      </c>
      <c r="C251" s="63" t="inlineStr">
        <is>
          <t>마케팅4팀</t>
        </is>
      </c>
      <c r="D251" s="55">
        <f>IF($D$249="","",$D$249)</f>
        <v/>
      </c>
      <c r="E251" s="64" t="inlineStr">
        <is>
          <t>영상</t>
        </is>
      </c>
      <c r="F251" s="44" t="n"/>
      <c r="G251" s="58">
        <f>IF($G$249="","",$G$249)</f>
        <v/>
      </c>
      <c r="H251" s="59" t="n"/>
      <c r="I251" s="59" t="n"/>
      <c r="J251" s="59" t="n"/>
      <c r="K251" s="59" t="n"/>
      <c r="L251" s="65">
        <f>IF(SUM(U251:AY251)=0,"",SUM(U251:AY251))</f>
        <v/>
      </c>
      <c r="M251" s="66">
        <f>IFERROR(INDEX(U$2:AY$2,MATCH(TRUE,INDEX(U251:AY251&lt;&gt;"",0),0)),"")</f>
        <v/>
      </c>
      <c r="N251" s="66">
        <f>IFERROR(LOOKUP(2,1/(U251:AY251&lt;&gt;""),U$2:AY$2),"")</f>
        <v/>
      </c>
      <c r="O251" s="59" t="n"/>
      <c r="P251" s="59" t="n"/>
      <c r="Q251" s="59" t="n"/>
      <c r="R251" s="59" t="n"/>
      <c r="S251" s="14" t="n"/>
      <c r="U251" s="53" t="n"/>
      <c r="V251" s="53" t="n"/>
      <c r="W251" s="53" t="n"/>
      <c r="X251" s="53" t="n"/>
      <c r="Y251" s="53" t="n"/>
      <c r="Z251" s="53" t="n"/>
      <c r="AA251" s="53" t="n"/>
      <c r="AB251" s="53" t="n"/>
      <c r="AC251" s="53" t="n"/>
      <c r="AD251" s="53" t="n"/>
      <c r="AE251" s="53" t="n"/>
      <c r="AF251" s="53" t="n"/>
      <c r="AG251" s="53" t="n"/>
      <c r="AH251" s="53" t="n"/>
      <c r="AI251" s="53" t="n"/>
      <c r="AJ251" s="53" t="n"/>
      <c r="AK251" s="53" t="n"/>
      <c r="AL251" s="53" t="n"/>
      <c r="AM251" s="53" t="n"/>
      <c r="AN251" s="53" t="n"/>
      <c r="AO251" s="53" t="n"/>
      <c r="AP251" s="53" t="n"/>
      <c r="AQ251" s="53" t="n"/>
      <c r="AR251" s="53" t="n"/>
      <c r="AS251" s="53" t="n"/>
      <c r="AT251" s="53" t="n"/>
      <c r="AU251" s="53" t="n"/>
      <c r="AV251" s="53" t="n"/>
      <c r="AW251" s="53" t="n"/>
      <c r="AX251" s="53" t="n"/>
      <c r="AY251" s="53" t="n"/>
    </row>
    <row r="252" ht="18" customHeight="1">
      <c r="A252" s="39" t="inlineStr">
        <is>
          <t>기타   (253~312행 · 소재 20개)</t>
        </is>
      </c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  <c r="AA252" s="8" t="n"/>
      <c r="AB252" s="8" t="n"/>
      <c r="AC252" s="8" t="n"/>
      <c r="AD252" s="8" t="n"/>
      <c r="AE252" s="8" t="n"/>
      <c r="AF252" s="8" t="n"/>
      <c r="AG252" s="8" t="n"/>
      <c r="AH252" s="8" t="n"/>
      <c r="AI252" s="8" t="n"/>
      <c r="AJ252" s="8" t="n"/>
      <c r="AK252" s="8" t="n"/>
      <c r="AL252" s="8" t="n"/>
      <c r="AM252" s="8" t="n"/>
      <c r="AN252" s="8" t="n"/>
      <c r="AO252" s="8" t="n"/>
      <c r="AP252" s="8" t="n"/>
      <c r="AQ252" s="8" t="n"/>
      <c r="AR252" s="8" t="n"/>
      <c r="AS252" s="8" t="n"/>
      <c r="AT252" s="8" t="n"/>
      <c r="AU252" s="8" t="n"/>
      <c r="AV252" s="8" t="n"/>
      <c r="AW252" s="8" t="n"/>
      <c r="AX252" s="8" t="n"/>
      <c r="AY252" s="4" t="n"/>
    </row>
    <row r="253" ht="15" customHeight="1">
      <c r="A253" s="40">
        <f>IF($D$253="","",81)</f>
        <v/>
      </c>
      <c r="B253" s="10" t="n"/>
      <c r="C253" s="41" t="inlineStr">
        <is>
          <t>기타</t>
        </is>
      </c>
      <c r="D253" s="42" t="n"/>
      <c r="E253" s="43" t="inlineStr">
        <is>
          <t>기획</t>
        </is>
      </c>
      <c r="F253" s="44" t="n"/>
      <c r="G253" s="45" t="n"/>
      <c r="H253" s="46">
        <f>IF($I$253="","",IF($I$253&lt;0,"🔴지연",IF($I$253&lt;=1,"🟡임박","🟢여유")))</f>
        <v/>
      </c>
      <c r="I253" s="47">
        <f>IF(OR($G$253="",$K$253=""),"",$G$253-$K$253)</f>
        <v/>
      </c>
      <c r="J253" s="48">
        <f>IF(SUM($L$253:$L$255)=0,"",SUM($L$253:$L$255))</f>
        <v/>
      </c>
      <c r="K253" s="49">
        <f>IF($J$253="","",MAX($N$253:$N$255))</f>
        <v/>
      </c>
      <c r="L253" s="50">
        <f>IF(SUM(U253:AY253)=0,"",SUM(U253:AY253))</f>
        <v/>
      </c>
      <c r="M253" s="51">
        <f>IFERROR(INDEX(U$2:AY$2,MATCH(TRUE,INDEX(U253:AY253&lt;&gt;"",0),0)),"")</f>
        <v/>
      </c>
      <c r="N253" s="51">
        <f>IFERROR(LOOKUP(2,1/(U253:AY253&lt;&gt;""),U$2:AY$2),"")</f>
        <v/>
      </c>
      <c r="O253" s="52" t="n"/>
      <c r="P253" s="52" t="n"/>
      <c r="Q253" s="52" t="n"/>
      <c r="R253" s="44" t="n"/>
      <c r="S253" s="14" t="n"/>
      <c r="U253" s="53" t="n"/>
      <c r="V253" s="53" t="n"/>
      <c r="W253" s="53" t="n"/>
      <c r="X253" s="53" t="n"/>
      <c r="Y253" s="53" t="n"/>
      <c r="Z253" s="53" t="n"/>
      <c r="AA253" s="53" t="n"/>
      <c r="AB253" s="53" t="n"/>
      <c r="AC253" s="53" t="n"/>
      <c r="AD253" s="53" t="n"/>
      <c r="AE253" s="53" t="n"/>
      <c r="AF253" s="53" t="n"/>
      <c r="AG253" s="53" t="n"/>
      <c r="AH253" s="53" t="n"/>
      <c r="AI253" s="53" t="n"/>
      <c r="AJ253" s="53" t="n"/>
      <c r="AK253" s="53" t="n"/>
      <c r="AL253" s="53" t="n"/>
      <c r="AM253" s="53" t="n"/>
      <c r="AN253" s="53" t="n"/>
      <c r="AO253" s="53" t="n"/>
      <c r="AP253" s="53" t="n"/>
      <c r="AQ253" s="53" t="n"/>
      <c r="AR253" s="53" t="n"/>
      <c r="AS253" s="53" t="n"/>
      <c r="AT253" s="53" t="n"/>
      <c r="AU253" s="53" t="n"/>
      <c r="AV253" s="53" t="n"/>
      <c r="AW253" s="53" t="n"/>
      <c r="AX253" s="53" t="n"/>
      <c r="AY253" s="53" t="n"/>
    </row>
    <row r="254" ht="15" customHeight="1">
      <c r="A254" s="54" t="n"/>
      <c r="B254" s="55">
        <f>IF($B$253="","",$B$253)</f>
        <v/>
      </c>
      <c r="C254" s="56" t="inlineStr">
        <is>
          <t>기타</t>
        </is>
      </c>
      <c r="D254" s="55">
        <f>IF($D$253="","",$D$253)</f>
        <v/>
      </c>
      <c r="E254" s="57" t="inlineStr">
        <is>
          <t>이미지</t>
        </is>
      </c>
      <c r="F254" s="44" t="n"/>
      <c r="G254" s="58">
        <f>IF($G$253="","",$G$253)</f>
        <v/>
      </c>
      <c r="H254" s="59" t="n"/>
      <c r="I254" s="59" t="n"/>
      <c r="J254" s="59" t="n"/>
      <c r="K254" s="59" t="n"/>
      <c r="L254" s="60">
        <f>IF(SUM(U254:AY254)=0,"",SUM(U254:AY254))</f>
        <v/>
      </c>
      <c r="M254" s="61">
        <f>IFERROR(INDEX(U$2:AY$2,MATCH(TRUE,INDEX(U254:AY254&lt;&gt;"",0),0)),"")</f>
        <v/>
      </c>
      <c r="N254" s="61">
        <f>IFERROR(LOOKUP(2,1/(U254:AY254&lt;&gt;""),U$2:AY$2),"")</f>
        <v/>
      </c>
      <c r="O254" s="59" t="n"/>
      <c r="P254" s="59" t="n"/>
      <c r="Q254" s="59" t="n"/>
      <c r="R254" s="59" t="n"/>
      <c r="S254" s="14" t="n"/>
      <c r="U254" s="53" t="n"/>
      <c r="V254" s="53" t="n"/>
      <c r="W254" s="53" t="n"/>
      <c r="X254" s="53" t="n"/>
      <c r="Y254" s="53" t="n"/>
      <c r="Z254" s="53" t="n"/>
      <c r="AA254" s="53" t="n"/>
      <c r="AB254" s="53" t="n"/>
      <c r="AC254" s="53" t="n"/>
      <c r="AD254" s="53" t="n"/>
      <c r="AE254" s="53" t="n"/>
      <c r="AF254" s="53" t="n"/>
      <c r="AG254" s="53" t="n"/>
      <c r="AH254" s="53" t="n"/>
      <c r="AI254" s="53" t="n"/>
      <c r="AJ254" s="53" t="n"/>
      <c r="AK254" s="53" t="n"/>
      <c r="AL254" s="53" t="n"/>
      <c r="AM254" s="53" t="n"/>
      <c r="AN254" s="53" t="n"/>
      <c r="AO254" s="53" t="n"/>
      <c r="AP254" s="53" t="n"/>
      <c r="AQ254" s="53" t="n"/>
      <c r="AR254" s="53" t="n"/>
      <c r="AS254" s="53" t="n"/>
      <c r="AT254" s="53" t="n"/>
      <c r="AU254" s="53" t="n"/>
      <c r="AV254" s="53" t="n"/>
      <c r="AW254" s="53" t="n"/>
      <c r="AX254" s="53" t="n"/>
      <c r="AY254" s="53" t="n"/>
    </row>
    <row r="255" ht="15" customHeight="1">
      <c r="A255" s="62" t="n"/>
      <c r="B255" s="55">
        <f>IF($B$253="","",$B$253)</f>
        <v/>
      </c>
      <c r="C255" s="63" t="inlineStr">
        <is>
          <t>기타</t>
        </is>
      </c>
      <c r="D255" s="55">
        <f>IF($D$253="","",$D$253)</f>
        <v/>
      </c>
      <c r="E255" s="64" t="inlineStr">
        <is>
          <t>영상</t>
        </is>
      </c>
      <c r="F255" s="44" t="n"/>
      <c r="G255" s="58">
        <f>IF($G$253="","",$G$253)</f>
        <v/>
      </c>
      <c r="H255" s="59" t="n"/>
      <c r="I255" s="59" t="n"/>
      <c r="J255" s="59" t="n"/>
      <c r="K255" s="59" t="n"/>
      <c r="L255" s="65">
        <f>IF(SUM(U255:AY255)=0,"",SUM(U255:AY255))</f>
        <v/>
      </c>
      <c r="M255" s="66">
        <f>IFERROR(INDEX(U$2:AY$2,MATCH(TRUE,INDEX(U255:AY255&lt;&gt;"",0),0)),"")</f>
        <v/>
      </c>
      <c r="N255" s="66">
        <f>IFERROR(LOOKUP(2,1/(U255:AY255&lt;&gt;""),U$2:AY$2),"")</f>
        <v/>
      </c>
      <c r="O255" s="59" t="n"/>
      <c r="P255" s="59" t="n"/>
      <c r="Q255" s="59" t="n"/>
      <c r="R255" s="59" t="n"/>
      <c r="S255" s="14" t="n"/>
      <c r="U255" s="53" t="n"/>
      <c r="V255" s="53" t="n"/>
      <c r="W255" s="53" t="n"/>
      <c r="X255" s="53" t="n"/>
      <c r="Y255" s="53" t="n"/>
      <c r="Z255" s="53" t="n"/>
      <c r="AA255" s="53" t="n"/>
      <c r="AB255" s="53" t="n"/>
      <c r="AC255" s="53" t="n"/>
      <c r="AD255" s="53" t="n"/>
      <c r="AE255" s="53" t="n"/>
      <c r="AF255" s="53" t="n"/>
      <c r="AG255" s="53" t="n"/>
      <c r="AH255" s="53" t="n"/>
      <c r="AI255" s="53" t="n"/>
      <c r="AJ255" s="53" t="n"/>
      <c r="AK255" s="53" t="n"/>
      <c r="AL255" s="53" t="n"/>
      <c r="AM255" s="53" t="n"/>
      <c r="AN255" s="53" t="n"/>
      <c r="AO255" s="53" t="n"/>
      <c r="AP255" s="53" t="n"/>
      <c r="AQ255" s="53" t="n"/>
      <c r="AR255" s="53" t="n"/>
      <c r="AS255" s="53" t="n"/>
      <c r="AT255" s="53" t="n"/>
      <c r="AU255" s="53" t="n"/>
      <c r="AV255" s="53" t="n"/>
      <c r="AW255" s="53" t="n"/>
      <c r="AX255" s="53" t="n"/>
      <c r="AY255" s="53" t="n"/>
    </row>
    <row r="256" ht="15" customHeight="1">
      <c r="A256" s="40">
        <f>IF($D$256="","",82)</f>
        <v/>
      </c>
      <c r="B256" s="10" t="n"/>
      <c r="C256" s="41" t="inlineStr">
        <is>
          <t>기타</t>
        </is>
      </c>
      <c r="D256" s="42" t="n"/>
      <c r="E256" s="43" t="inlineStr">
        <is>
          <t>기획</t>
        </is>
      </c>
      <c r="F256" s="44" t="n"/>
      <c r="G256" s="45" t="n"/>
      <c r="H256" s="46">
        <f>IF($I$256="","",IF($I$256&lt;0,"🔴지연",IF($I$256&lt;=1,"🟡임박","🟢여유")))</f>
        <v/>
      </c>
      <c r="I256" s="47">
        <f>IF(OR($G$256="",$K$256=""),"",$G$256-$K$256)</f>
        <v/>
      </c>
      <c r="J256" s="48">
        <f>IF(SUM($L$256:$L$258)=0,"",SUM($L$256:$L$258))</f>
        <v/>
      </c>
      <c r="K256" s="49">
        <f>IF($J$256="","",MAX($N$256:$N$258))</f>
        <v/>
      </c>
      <c r="L256" s="50">
        <f>IF(SUM(U256:AY256)=0,"",SUM(U256:AY256))</f>
        <v/>
      </c>
      <c r="M256" s="51">
        <f>IFERROR(INDEX(U$2:AY$2,MATCH(TRUE,INDEX(U256:AY256&lt;&gt;"",0),0)),"")</f>
        <v/>
      </c>
      <c r="N256" s="51">
        <f>IFERROR(LOOKUP(2,1/(U256:AY256&lt;&gt;""),U$2:AY$2),"")</f>
        <v/>
      </c>
      <c r="O256" s="52" t="n"/>
      <c r="P256" s="52" t="n"/>
      <c r="Q256" s="52" t="n"/>
      <c r="R256" s="44" t="n"/>
      <c r="S256" s="14" t="n"/>
      <c r="U256" s="53" t="n"/>
      <c r="V256" s="53" t="n"/>
      <c r="W256" s="53" t="n"/>
      <c r="X256" s="53" t="n"/>
      <c r="Y256" s="53" t="n"/>
      <c r="Z256" s="53" t="n"/>
      <c r="AA256" s="53" t="n"/>
      <c r="AB256" s="53" t="n"/>
      <c r="AC256" s="53" t="n"/>
      <c r="AD256" s="53" t="n"/>
      <c r="AE256" s="53" t="n"/>
      <c r="AF256" s="53" t="n"/>
      <c r="AG256" s="53" t="n"/>
      <c r="AH256" s="53" t="n"/>
      <c r="AI256" s="53" t="n"/>
      <c r="AJ256" s="53" t="n"/>
      <c r="AK256" s="53" t="n"/>
      <c r="AL256" s="53" t="n"/>
      <c r="AM256" s="53" t="n"/>
      <c r="AN256" s="53" t="n"/>
      <c r="AO256" s="53" t="n"/>
      <c r="AP256" s="53" t="n"/>
      <c r="AQ256" s="53" t="n"/>
      <c r="AR256" s="53" t="n"/>
      <c r="AS256" s="53" t="n"/>
      <c r="AT256" s="53" t="n"/>
      <c r="AU256" s="53" t="n"/>
      <c r="AV256" s="53" t="n"/>
      <c r="AW256" s="53" t="n"/>
      <c r="AX256" s="53" t="n"/>
      <c r="AY256" s="53" t="n"/>
    </row>
    <row r="257" ht="15" customHeight="1">
      <c r="A257" s="54" t="n"/>
      <c r="B257" s="55">
        <f>IF($B$256="","",$B$256)</f>
        <v/>
      </c>
      <c r="C257" s="56" t="inlineStr">
        <is>
          <t>기타</t>
        </is>
      </c>
      <c r="D257" s="55">
        <f>IF($D$256="","",$D$256)</f>
        <v/>
      </c>
      <c r="E257" s="57" t="inlineStr">
        <is>
          <t>이미지</t>
        </is>
      </c>
      <c r="F257" s="44" t="n"/>
      <c r="G257" s="58">
        <f>IF($G$256="","",$G$256)</f>
        <v/>
      </c>
      <c r="H257" s="59" t="n"/>
      <c r="I257" s="59" t="n"/>
      <c r="J257" s="59" t="n"/>
      <c r="K257" s="59" t="n"/>
      <c r="L257" s="60">
        <f>IF(SUM(U257:AY257)=0,"",SUM(U257:AY257))</f>
        <v/>
      </c>
      <c r="M257" s="61">
        <f>IFERROR(INDEX(U$2:AY$2,MATCH(TRUE,INDEX(U257:AY257&lt;&gt;"",0),0)),"")</f>
        <v/>
      </c>
      <c r="N257" s="61">
        <f>IFERROR(LOOKUP(2,1/(U257:AY257&lt;&gt;""),U$2:AY$2),"")</f>
        <v/>
      </c>
      <c r="O257" s="59" t="n"/>
      <c r="P257" s="59" t="n"/>
      <c r="Q257" s="59" t="n"/>
      <c r="R257" s="59" t="n"/>
      <c r="S257" s="14" t="n"/>
      <c r="U257" s="53" t="n"/>
      <c r="V257" s="53" t="n"/>
      <c r="W257" s="53" t="n"/>
      <c r="X257" s="53" t="n"/>
      <c r="Y257" s="53" t="n"/>
      <c r="Z257" s="53" t="n"/>
      <c r="AA257" s="53" t="n"/>
      <c r="AB257" s="53" t="n"/>
      <c r="AC257" s="53" t="n"/>
      <c r="AD257" s="53" t="n"/>
      <c r="AE257" s="53" t="n"/>
      <c r="AF257" s="53" t="n"/>
      <c r="AG257" s="53" t="n"/>
      <c r="AH257" s="53" t="n"/>
      <c r="AI257" s="53" t="n"/>
      <c r="AJ257" s="53" t="n"/>
      <c r="AK257" s="53" t="n"/>
      <c r="AL257" s="53" t="n"/>
      <c r="AM257" s="53" t="n"/>
      <c r="AN257" s="53" t="n"/>
      <c r="AO257" s="53" t="n"/>
      <c r="AP257" s="53" t="n"/>
      <c r="AQ257" s="53" t="n"/>
      <c r="AR257" s="53" t="n"/>
      <c r="AS257" s="53" t="n"/>
      <c r="AT257" s="53" t="n"/>
      <c r="AU257" s="53" t="n"/>
      <c r="AV257" s="53" t="n"/>
      <c r="AW257" s="53" t="n"/>
      <c r="AX257" s="53" t="n"/>
      <c r="AY257" s="53" t="n"/>
    </row>
    <row r="258" ht="15" customHeight="1">
      <c r="A258" s="62" t="n"/>
      <c r="B258" s="55">
        <f>IF($B$256="","",$B$256)</f>
        <v/>
      </c>
      <c r="C258" s="63" t="inlineStr">
        <is>
          <t>기타</t>
        </is>
      </c>
      <c r="D258" s="55">
        <f>IF($D$256="","",$D$256)</f>
        <v/>
      </c>
      <c r="E258" s="64" t="inlineStr">
        <is>
          <t>영상</t>
        </is>
      </c>
      <c r="F258" s="44" t="n"/>
      <c r="G258" s="58">
        <f>IF($G$256="","",$G$256)</f>
        <v/>
      </c>
      <c r="H258" s="59" t="n"/>
      <c r="I258" s="59" t="n"/>
      <c r="J258" s="59" t="n"/>
      <c r="K258" s="59" t="n"/>
      <c r="L258" s="65">
        <f>IF(SUM(U258:AY258)=0,"",SUM(U258:AY258))</f>
        <v/>
      </c>
      <c r="M258" s="66">
        <f>IFERROR(INDEX(U$2:AY$2,MATCH(TRUE,INDEX(U258:AY258&lt;&gt;"",0),0)),"")</f>
        <v/>
      </c>
      <c r="N258" s="66">
        <f>IFERROR(LOOKUP(2,1/(U258:AY258&lt;&gt;""),U$2:AY$2),"")</f>
        <v/>
      </c>
      <c r="O258" s="59" t="n"/>
      <c r="P258" s="59" t="n"/>
      <c r="Q258" s="59" t="n"/>
      <c r="R258" s="59" t="n"/>
      <c r="S258" s="14" t="n"/>
      <c r="U258" s="53" t="n"/>
      <c r="V258" s="53" t="n"/>
      <c r="W258" s="53" t="n"/>
      <c r="X258" s="53" t="n"/>
      <c r="Y258" s="53" t="n"/>
      <c r="Z258" s="53" t="n"/>
      <c r="AA258" s="53" t="n"/>
      <c r="AB258" s="53" t="n"/>
      <c r="AC258" s="53" t="n"/>
      <c r="AD258" s="53" t="n"/>
      <c r="AE258" s="53" t="n"/>
      <c r="AF258" s="53" t="n"/>
      <c r="AG258" s="53" t="n"/>
      <c r="AH258" s="53" t="n"/>
      <c r="AI258" s="53" t="n"/>
      <c r="AJ258" s="53" t="n"/>
      <c r="AK258" s="53" t="n"/>
      <c r="AL258" s="53" t="n"/>
      <c r="AM258" s="53" t="n"/>
      <c r="AN258" s="53" t="n"/>
      <c r="AO258" s="53" t="n"/>
      <c r="AP258" s="53" t="n"/>
      <c r="AQ258" s="53" t="n"/>
      <c r="AR258" s="53" t="n"/>
      <c r="AS258" s="53" t="n"/>
      <c r="AT258" s="53" t="n"/>
      <c r="AU258" s="53" t="n"/>
      <c r="AV258" s="53" t="n"/>
      <c r="AW258" s="53" t="n"/>
      <c r="AX258" s="53" t="n"/>
      <c r="AY258" s="53" t="n"/>
    </row>
    <row r="259" ht="15" customHeight="1">
      <c r="A259" s="40">
        <f>IF($D$259="","",83)</f>
        <v/>
      </c>
      <c r="B259" s="10" t="n"/>
      <c r="C259" s="41" t="inlineStr">
        <is>
          <t>기타</t>
        </is>
      </c>
      <c r="D259" s="42" t="n"/>
      <c r="E259" s="43" t="inlineStr">
        <is>
          <t>기획</t>
        </is>
      </c>
      <c r="F259" s="44" t="n"/>
      <c r="G259" s="45" t="n"/>
      <c r="H259" s="46">
        <f>IF($I$259="","",IF($I$259&lt;0,"🔴지연",IF($I$259&lt;=1,"🟡임박","🟢여유")))</f>
        <v/>
      </c>
      <c r="I259" s="47">
        <f>IF(OR($G$259="",$K$259=""),"",$G$259-$K$259)</f>
        <v/>
      </c>
      <c r="J259" s="48">
        <f>IF(SUM($L$259:$L$261)=0,"",SUM($L$259:$L$261))</f>
        <v/>
      </c>
      <c r="K259" s="49">
        <f>IF($J$259="","",MAX($N$259:$N$261))</f>
        <v/>
      </c>
      <c r="L259" s="50">
        <f>IF(SUM(U259:AY259)=0,"",SUM(U259:AY259))</f>
        <v/>
      </c>
      <c r="M259" s="51">
        <f>IFERROR(INDEX(U$2:AY$2,MATCH(TRUE,INDEX(U259:AY259&lt;&gt;"",0),0)),"")</f>
        <v/>
      </c>
      <c r="N259" s="51">
        <f>IFERROR(LOOKUP(2,1/(U259:AY259&lt;&gt;""),U$2:AY$2),"")</f>
        <v/>
      </c>
      <c r="O259" s="52" t="n"/>
      <c r="P259" s="52" t="n"/>
      <c r="Q259" s="52" t="n"/>
      <c r="R259" s="44" t="n"/>
      <c r="S259" s="14" t="n"/>
      <c r="U259" s="53" t="n"/>
      <c r="V259" s="53" t="n"/>
      <c r="W259" s="53" t="n"/>
      <c r="X259" s="53" t="n"/>
      <c r="Y259" s="53" t="n"/>
      <c r="Z259" s="53" t="n"/>
      <c r="AA259" s="53" t="n"/>
      <c r="AB259" s="53" t="n"/>
      <c r="AC259" s="53" t="n"/>
      <c r="AD259" s="53" t="n"/>
      <c r="AE259" s="53" t="n"/>
      <c r="AF259" s="53" t="n"/>
      <c r="AG259" s="53" t="n"/>
      <c r="AH259" s="53" t="n"/>
      <c r="AI259" s="53" t="n"/>
      <c r="AJ259" s="53" t="n"/>
      <c r="AK259" s="53" t="n"/>
      <c r="AL259" s="53" t="n"/>
      <c r="AM259" s="53" t="n"/>
      <c r="AN259" s="53" t="n"/>
      <c r="AO259" s="53" t="n"/>
      <c r="AP259" s="53" t="n"/>
      <c r="AQ259" s="53" t="n"/>
      <c r="AR259" s="53" t="n"/>
      <c r="AS259" s="53" t="n"/>
      <c r="AT259" s="53" t="n"/>
      <c r="AU259" s="53" t="n"/>
      <c r="AV259" s="53" t="n"/>
      <c r="AW259" s="53" t="n"/>
      <c r="AX259" s="53" t="n"/>
      <c r="AY259" s="53" t="n"/>
    </row>
    <row r="260" ht="15" customHeight="1">
      <c r="A260" s="54" t="n"/>
      <c r="B260" s="55">
        <f>IF($B$259="","",$B$259)</f>
        <v/>
      </c>
      <c r="C260" s="56" t="inlineStr">
        <is>
          <t>기타</t>
        </is>
      </c>
      <c r="D260" s="55">
        <f>IF($D$259="","",$D$259)</f>
        <v/>
      </c>
      <c r="E260" s="57" t="inlineStr">
        <is>
          <t>이미지</t>
        </is>
      </c>
      <c r="F260" s="44" t="n"/>
      <c r="G260" s="58">
        <f>IF($G$259="","",$G$259)</f>
        <v/>
      </c>
      <c r="H260" s="59" t="n"/>
      <c r="I260" s="59" t="n"/>
      <c r="J260" s="59" t="n"/>
      <c r="K260" s="59" t="n"/>
      <c r="L260" s="60">
        <f>IF(SUM(U260:AY260)=0,"",SUM(U260:AY260))</f>
        <v/>
      </c>
      <c r="M260" s="61">
        <f>IFERROR(INDEX(U$2:AY$2,MATCH(TRUE,INDEX(U260:AY260&lt;&gt;"",0),0)),"")</f>
        <v/>
      </c>
      <c r="N260" s="61">
        <f>IFERROR(LOOKUP(2,1/(U260:AY260&lt;&gt;""),U$2:AY$2),"")</f>
        <v/>
      </c>
      <c r="O260" s="59" t="n"/>
      <c r="P260" s="59" t="n"/>
      <c r="Q260" s="59" t="n"/>
      <c r="R260" s="59" t="n"/>
      <c r="S260" s="14" t="n"/>
      <c r="U260" s="53" t="n"/>
      <c r="V260" s="53" t="n"/>
      <c r="W260" s="53" t="n"/>
      <c r="X260" s="53" t="n"/>
      <c r="Y260" s="53" t="n"/>
      <c r="Z260" s="53" t="n"/>
      <c r="AA260" s="53" t="n"/>
      <c r="AB260" s="53" t="n"/>
      <c r="AC260" s="53" t="n"/>
      <c r="AD260" s="53" t="n"/>
      <c r="AE260" s="53" t="n"/>
      <c r="AF260" s="53" t="n"/>
      <c r="AG260" s="53" t="n"/>
      <c r="AH260" s="53" t="n"/>
      <c r="AI260" s="53" t="n"/>
      <c r="AJ260" s="53" t="n"/>
      <c r="AK260" s="53" t="n"/>
      <c r="AL260" s="53" t="n"/>
      <c r="AM260" s="53" t="n"/>
      <c r="AN260" s="53" t="n"/>
      <c r="AO260" s="53" t="n"/>
      <c r="AP260" s="53" t="n"/>
      <c r="AQ260" s="53" t="n"/>
      <c r="AR260" s="53" t="n"/>
      <c r="AS260" s="53" t="n"/>
      <c r="AT260" s="53" t="n"/>
      <c r="AU260" s="53" t="n"/>
      <c r="AV260" s="53" t="n"/>
      <c r="AW260" s="53" t="n"/>
      <c r="AX260" s="53" t="n"/>
      <c r="AY260" s="53" t="n"/>
    </row>
    <row r="261" ht="15" customHeight="1">
      <c r="A261" s="62" t="n"/>
      <c r="B261" s="55">
        <f>IF($B$259="","",$B$259)</f>
        <v/>
      </c>
      <c r="C261" s="63" t="inlineStr">
        <is>
          <t>기타</t>
        </is>
      </c>
      <c r="D261" s="55">
        <f>IF($D$259="","",$D$259)</f>
        <v/>
      </c>
      <c r="E261" s="64" t="inlineStr">
        <is>
          <t>영상</t>
        </is>
      </c>
      <c r="F261" s="44" t="n"/>
      <c r="G261" s="58">
        <f>IF($G$259="","",$G$259)</f>
        <v/>
      </c>
      <c r="H261" s="59" t="n"/>
      <c r="I261" s="59" t="n"/>
      <c r="J261" s="59" t="n"/>
      <c r="K261" s="59" t="n"/>
      <c r="L261" s="65">
        <f>IF(SUM(U261:AY261)=0,"",SUM(U261:AY261))</f>
        <v/>
      </c>
      <c r="M261" s="66">
        <f>IFERROR(INDEX(U$2:AY$2,MATCH(TRUE,INDEX(U261:AY261&lt;&gt;"",0),0)),"")</f>
        <v/>
      </c>
      <c r="N261" s="66">
        <f>IFERROR(LOOKUP(2,1/(U261:AY261&lt;&gt;""),U$2:AY$2),"")</f>
        <v/>
      </c>
      <c r="O261" s="59" t="n"/>
      <c r="P261" s="59" t="n"/>
      <c r="Q261" s="59" t="n"/>
      <c r="R261" s="59" t="n"/>
      <c r="S261" s="14" t="n"/>
      <c r="U261" s="53" t="n"/>
      <c r="V261" s="53" t="n"/>
      <c r="W261" s="53" t="n"/>
      <c r="X261" s="53" t="n"/>
      <c r="Y261" s="53" t="n"/>
      <c r="Z261" s="53" t="n"/>
      <c r="AA261" s="53" t="n"/>
      <c r="AB261" s="53" t="n"/>
      <c r="AC261" s="53" t="n"/>
      <c r="AD261" s="53" t="n"/>
      <c r="AE261" s="53" t="n"/>
      <c r="AF261" s="53" t="n"/>
      <c r="AG261" s="53" t="n"/>
      <c r="AH261" s="53" t="n"/>
      <c r="AI261" s="53" t="n"/>
      <c r="AJ261" s="53" t="n"/>
      <c r="AK261" s="53" t="n"/>
      <c r="AL261" s="53" t="n"/>
      <c r="AM261" s="53" t="n"/>
      <c r="AN261" s="53" t="n"/>
      <c r="AO261" s="53" t="n"/>
      <c r="AP261" s="53" t="n"/>
      <c r="AQ261" s="53" t="n"/>
      <c r="AR261" s="53" t="n"/>
      <c r="AS261" s="53" t="n"/>
      <c r="AT261" s="53" t="n"/>
      <c r="AU261" s="53" t="n"/>
      <c r="AV261" s="53" t="n"/>
      <c r="AW261" s="53" t="n"/>
      <c r="AX261" s="53" t="n"/>
      <c r="AY261" s="53" t="n"/>
    </row>
    <row r="262" ht="15" customHeight="1">
      <c r="A262" s="40">
        <f>IF($D$262="","",84)</f>
        <v/>
      </c>
      <c r="B262" s="10" t="n"/>
      <c r="C262" s="41" t="inlineStr">
        <is>
          <t>기타</t>
        </is>
      </c>
      <c r="D262" s="42" t="n"/>
      <c r="E262" s="43" t="inlineStr">
        <is>
          <t>기획</t>
        </is>
      </c>
      <c r="F262" s="44" t="n"/>
      <c r="G262" s="45" t="n"/>
      <c r="H262" s="46">
        <f>IF($I$262="","",IF($I$262&lt;0,"🔴지연",IF($I$262&lt;=1,"🟡임박","🟢여유")))</f>
        <v/>
      </c>
      <c r="I262" s="47">
        <f>IF(OR($G$262="",$K$262=""),"",$G$262-$K$262)</f>
        <v/>
      </c>
      <c r="J262" s="48">
        <f>IF(SUM($L$262:$L$264)=0,"",SUM($L$262:$L$264))</f>
        <v/>
      </c>
      <c r="K262" s="49">
        <f>IF($J$262="","",MAX($N$262:$N$264))</f>
        <v/>
      </c>
      <c r="L262" s="50">
        <f>IF(SUM(U262:AY262)=0,"",SUM(U262:AY262))</f>
        <v/>
      </c>
      <c r="M262" s="51">
        <f>IFERROR(INDEX(U$2:AY$2,MATCH(TRUE,INDEX(U262:AY262&lt;&gt;"",0),0)),"")</f>
        <v/>
      </c>
      <c r="N262" s="51">
        <f>IFERROR(LOOKUP(2,1/(U262:AY262&lt;&gt;""),U$2:AY$2),"")</f>
        <v/>
      </c>
      <c r="O262" s="52" t="n"/>
      <c r="P262" s="52" t="n"/>
      <c r="Q262" s="52" t="n"/>
      <c r="R262" s="44" t="n"/>
      <c r="S262" s="14" t="n"/>
      <c r="U262" s="53" t="n"/>
      <c r="V262" s="53" t="n"/>
      <c r="W262" s="53" t="n"/>
      <c r="X262" s="53" t="n"/>
      <c r="Y262" s="53" t="n"/>
      <c r="Z262" s="53" t="n"/>
      <c r="AA262" s="53" t="n"/>
      <c r="AB262" s="53" t="n"/>
      <c r="AC262" s="53" t="n"/>
      <c r="AD262" s="53" t="n"/>
      <c r="AE262" s="53" t="n"/>
      <c r="AF262" s="53" t="n"/>
      <c r="AG262" s="53" t="n"/>
      <c r="AH262" s="53" t="n"/>
      <c r="AI262" s="53" t="n"/>
      <c r="AJ262" s="53" t="n"/>
      <c r="AK262" s="53" t="n"/>
      <c r="AL262" s="53" t="n"/>
      <c r="AM262" s="53" t="n"/>
      <c r="AN262" s="53" t="n"/>
      <c r="AO262" s="53" t="n"/>
      <c r="AP262" s="53" t="n"/>
      <c r="AQ262" s="53" t="n"/>
      <c r="AR262" s="53" t="n"/>
      <c r="AS262" s="53" t="n"/>
      <c r="AT262" s="53" t="n"/>
      <c r="AU262" s="53" t="n"/>
      <c r="AV262" s="53" t="n"/>
      <c r="AW262" s="53" t="n"/>
      <c r="AX262" s="53" t="n"/>
      <c r="AY262" s="53" t="n"/>
    </row>
    <row r="263" ht="15" customHeight="1">
      <c r="A263" s="54" t="n"/>
      <c r="B263" s="55">
        <f>IF($B$262="","",$B$262)</f>
        <v/>
      </c>
      <c r="C263" s="56" t="inlineStr">
        <is>
          <t>기타</t>
        </is>
      </c>
      <c r="D263" s="55">
        <f>IF($D$262="","",$D$262)</f>
        <v/>
      </c>
      <c r="E263" s="57" t="inlineStr">
        <is>
          <t>이미지</t>
        </is>
      </c>
      <c r="F263" s="44" t="n"/>
      <c r="G263" s="58">
        <f>IF($G$262="","",$G$262)</f>
        <v/>
      </c>
      <c r="H263" s="59" t="n"/>
      <c r="I263" s="59" t="n"/>
      <c r="J263" s="59" t="n"/>
      <c r="K263" s="59" t="n"/>
      <c r="L263" s="60">
        <f>IF(SUM(U263:AY263)=0,"",SUM(U263:AY263))</f>
        <v/>
      </c>
      <c r="M263" s="61">
        <f>IFERROR(INDEX(U$2:AY$2,MATCH(TRUE,INDEX(U263:AY263&lt;&gt;"",0),0)),"")</f>
        <v/>
      </c>
      <c r="N263" s="61">
        <f>IFERROR(LOOKUP(2,1/(U263:AY263&lt;&gt;""),U$2:AY$2),"")</f>
        <v/>
      </c>
      <c r="O263" s="59" t="n"/>
      <c r="P263" s="59" t="n"/>
      <c r="Q263" s="59" t="n"/>
      <c r="R263" s="59" t="n"/>
      <c r="S263" s="14" t="n"/>
      <c r="U263" s="53" t="n"/>
      <c r="V263" s="53" t="n"/>
      <c r="W263" s="53" t="n"/>
      <c r="X263" s="53" t="n"/>
      <c r="Y263" s="53" t="n"/>
      <c r="Z263" s="53" t="n"/>
      <c r="AA263" s="53" t="n"/>
      <c r="AB263" s="53" t="n"/>
      <c r="AC263" s="53" t="n"/>
      <c r="AD263" s="53" t="n"/>
      <c r="AE263" s="53" t="n"/>
      <c r="AF263" s="53" t="n"/>
      <c r="AG263" s="53" t="n"/>
      <c r="AH263" s="53" t="n"/>
      <c r="AI263" s="53" t="n"/>
      <c r="AJ263" s="53" t="n"/>
      <c r="AK263" s="53" t="n"/>
      <c r="AL263" s="53" t="n"/>
      <c r="AM263" s="53" t="n"/>
      <c r="AN263" s="53" t="n"/>
      <c r="AO263" s="53" t="n"/>
      <c r="AP263" s="53" t="n"/>
      <c r="AQ263" s="53" t="n"/>
      <c r="AR263" s="53" t="n"/>
      <c r="AS263" s="53" t="n"/>
      <c r="AT263" s="53" t="n"/>
      <c r="AU263" s="53" t="n"/>
      <c r="AV263" s="53" t="n"/>
      <c r="AW263" s="53" t="n"/>
      <c r="AX263" s="53" t="n"/>
      <c r="AY263" s="53" t="n"/>
    </row>
    <row r="264" ht="15" customHeight="1">
      <c r="A264" s="62" t="n"/>
      <c r="B264" s="55">
        <f>IF($B$262="","",$B$262)</f>
        <v/>
      </c>
      <c r="C264" s="63" t="inlineStr">
        <is>
          <t>기타</t>
        </is>
      </c>
      <c r="D264" s="55">
        <f>IF($D$262="","",$D$262)</f>
        <v/>
      </c>
      <c r="E264" s="64" t="inlineStr">
        <is>
          <t>영상</t>
        </is>
      </c>
      <c r="F264" s="44" t="n"/>
      <c r="G264" s="58">
        <f>IF($G$262="","",$G$262)</f>
        <v/>
      </c>
      <c r="H264" s="59" t="n"/>
      <c r="I264" s="59" t="n"/>
      <c r="J264" s="59" t="n"/>
      <c r="K264" s="59" t="n"/>
      <c r="L264" s="65">
        <f>IF(SUM(U264:AY264)=0,"",SUM(U264:AY264))</f>
        <v/>
      </c>
      <c r="M264" s="66">
        <f>IFERROR(INDEX(U$2:AY$2,MATCH(TRUE,INDEX(U264:AY264&lt;&gt;"",0),0)),"")</f>
        <v/>
      </c>
      <c r="N264" s="66">
        <f>IFERROR(LOOKUP(2,1/(U264:AY264&lt;&gt;""),U$2:AY$2),"")</f>
        <v/>
      </c>
      <c r="O264" s="59" t="n"/>
      <c r="P264" s="59" t="n"/>
      <c r="Q264" s="59" t="n"/>
      <c r="R264" s="59" t="n"/>
      <c r="S264" s="14" t="n"/>
      <c r="U264" s="53" t="n"/>
      <c r="V264" s="53" t="n"/>
      <c r="W264" s="53" t="n"/>
      <c r="X264" s="53" t="n"/>
      <c r="Y264" s="53" t="n"/>
      <c r="Z264" s="53" t="n"/>
      <c r="AA264" s="53" t="n"/>
      <c r="AB264" s="53" t="n"/>
      <c r="AC264" s="53" t="n"/>
      <c r="AD264" s="53" t="n"/>
      <c r="AE264" s="53" t="n"/>
      <c r="AF264" s="53" t="n"/>
      <c r="AG264" s="53" t="n"/>
      <c r="AH264" s="53" t="n"/>
      <c r="AI264" s="53" t="n"/>
      <c r="AJ264" s="53" t="n"/>
      <c r="AK264" s="53" t="n"/>
      <c r="AL264" s="53" t="n"/>
      <c r="AM264" s="53" t="n"/>
      <c r="AN264" s="53" t="n"/>
      <c r="AO264" s="53" t="n"/>
      <c r="AP264" s="53" t="n"/>
      <c r="AQ264" s="53" t="n"/>
      <c r="AR264" s="53" t="n"/>
      <c r="AS264" s="53" t="n"/>
      <c r="AT264" s="53" t="n"/>
      <c r="AU264" s="53" t="n"/>
      <c r="AV264" s="53" t="n"/>
      <c r="AW264" s="53" t="n"/>
      <c r="AX264" s="53" t="n"/>
      <c r="AY264" s="53" t="n"/>
    </row>
    <row r="265" ht="15" customHeight="1">
      <c r="A265" s="40">
        <f>IF($D$265="","",85)</f>
        <v/>
      </c>
      <c r="B265" s="10" t="n"/>
      <c r="C265" s="41" t="inlineStr">
        <is>
          <t>기타</t>
        </is>
      </c>
      <c r="D265" s="42" t="n"/>
      <c r="E265" s="43" t="inlineStr">
        <is>
          <t>기획</t>
        </is>
      </c>
      <c r="F265" s="44" t="n"/>
      <c r="G265" s="45" t="n"/>
      <c r="H265" s="46">
        <f>IF($I$265="","",IF($I$265&lt;0,"🔴지연",IF($I$265&lt;=1,"🟡임박","🟢여유")))</f>
        <v/>
      </c>
      <c r="I265" s="47">
        <f>IF(OR($G$265="",$K$265=""),"",$G$265-$K$265)</f>
        <v/>
      </c>
      <c r="J265" s="48">
        <f>IF(SUM($L$265:$L$267)=0,"",SUM($L$265:$L$267))</f>
        <v/>
      </c>
      <c r="K265" s="49">
        <f>IF($J$265="","",MAX($N$265:$N$267))</f>
        <v/>
      </c>
      <c r="L265" s="50">
        <f>IF(SUM(U265:AY265)=0,"",SUM(U265:AY265))</f>
        <v/>
      </c>
      <c r="M265" s="51">
        <f>IFERROR(INDEX(U$2:AY$2,MATCH(TRUE,INDEX(U265:AY265&lt;&gt;"",0),0)),"")</f>
        <v/>
      </c>
      <c r="N265" s="51">
        <f>IFERROR(LOOKUP(2,1/(U265:AY265&lt;&gt;""),U$2:AY$2),"")</f>
        <v/>
      </c>
      <c r="O265" s="52" t="n"/>
      <c r="P265" s="52" t="n"/>
      <c r="Q265" s="52" t="n"/>
      <c r="R265" s="44" t="n"/>
      <c r="S265" s="14" t="n"/>
      <c r="U265" s="53" t="n"/>
      <c r="V265" s="53" t="n"/>
      <c r="W265" s="53" t="n"/>
      <c r="X265" s="53" t="n"/>
      <c r="Y265" s="53" t="n"/>
      <c r="Z265" s="53" t="n"/>
      <c r="AA265" s="53" t="n"/>
      <c r="AB265" s="53" t="n"/>
      <c r="AC265" s="53" t="n"/>
      <c r="AD265" s="53" t="n"/>
      <c r="AE265" s="53" t="n"/>
      <c r="AF265" s="53" t="n"/>
      <c r="AG265" s="53" t="n"/>
      <c r="AH265" s="53" t="n"/>
      <c r="AI265" s="53" t="n"/>
      <c r="AJ265" s="53" t="n"/>
      <c r="AK265" s="53" t="n"/>
      <c r="AL265" s="53" t="n"/>
      <c r="AM265" s="53" t="n"/>
      <c r="AN265" s="53" t="n"/>
      <c r="AO265" s="53" t="n"/>
      <c r="AP265" s="53" t="n"/>
      <c r="AQ265" s="53" t="n"/>
      <c r="AR265" s="53" t="n"/>
      <c r="AS265" s="53" t="n"/>
      <c r="AT265" s="53" t="n"/>
      <c r="AU265" s="53" t="n"/>
      <c r="AV265" s="53" t="n"/>
      <c r="AW265" s="53" t="n"/>
      <c r="AX265" s="53" t="n"/>
      <c r="AY265" s="53" t="n"/>
    </row>
    <row r="266" ht="15" customHeight="1">
      <c r="A266" s="54" t="n"/>
      <c r="B266" s="55">
        <f>IF($B$265="","",$B$265)</f>
        <v/>
      </c>
      <c r="C266" s="56" t="inlineStr">
        <is>
          <t>기타</t>
        </is>
      </c>
      <c r="D266" s="55">
        <f>IF($D$265="","",$D$265)</f>
        <v/>
      </c>
      <c r="E266" s="57" t="inlineStr">
        <is>
          <t>이미지</t>
        </is>
      </c>
      <c r="F266" s="44" t="n"/>
      <c r="G266" s="58">
        <f>IF($G$265="","",$G$265)</f>
        <v/>
      </c>
      <c r="H266" s="59" t="n"/>
      <c r="I266" s="59" t="n"/>
      <c r="J266" s="59" t="n"/>
      <c r="K266" s="59" t="n"/>
      <c r="L266" s="60">
        <f>IF(SUM(U266:AY266)=0,"",SUM(U266:AY266))</f>
        <v/>
      </c>
      <c r="M266" s="61">
        <f>IFERROR(INDEX(U$2:AY$2,MATCH(TRUE,INDEX(U266:AY266&lt;&gt;"",0),0)),"")</f>
        <v/>
      </c>
      <c r="N266" s="61">
        <f>IFERROR(LOOKUP(2,1/(U266:AY266&lt;&gt;""),U$2:AY$2),"")</f>
        <v/>
      </c>
      <c r="O266" s="59" t="n"/>
      <c r="P266" s="59" t="n"/>
      <c r="Q266" s="59" t="n"/>
      <c r="R266" s="59" t="n"/>
      <c r="S266" s="14" t="n"/>
      <c r="U266" s="53" t="n"/>
      <c r="V266" s="53" t="n"/>
      <c r="W266" s="53" t="n"/>
      <c r="X266" s="53" t="n"/>
      <c r="Y266" s="53" t="n"/>
      <c r="Z266" s="53" t="n"/>
      <c r="AA266" s="53" t="n"/>
      <c r="AB266" s="53" t="n"/>
      <c r="AC266" s="53" t="n"/>
      <c r="AD266" s="53" t="n"/>
      <c r="AE266" s="53" t="n"/>
      <c r="AF266" s="53" t="n"/>
      <c r="AG266" s="53" t="n"/>
      <c r="AH266" s="53" t="n"/>
      <c r="AI266" s="53" t="n"/>
      <c r="AJ266" s="53" t="n"/>
      <c r="AK266" s="53" t="n"/>
      <c r="AL266" s="53" t="n"/>
      <c r="AM266" s="53" t="n"/>
      <c r="AN266" s="53" t="n"/>
      <c r="AO266" s="53" t="n"/>
      <c r="AP266" s="53" t="n"/>
      <c r="AQ266" s="53" t="n"/>
      <c r="AR266" s="53" t="n"/>
      <c r="AS266" s="53" t="n"/>
      <c r="AT266" s="53" t="n"/>
      <c r="AU266" s="53" t="n"/>
      <c r="AV266" s="53" t="n"/>
      <c r="AW266" s="53" t="n"/>
      <c r="AX266" s="53" t="n"/>
      <c r="AY266" s="53" t="n"/>
    </row>
    <row r="267" ht="15" customHeight="1">
      <c r="A267" s="62" t="n"/>
      <c r="B267" s="55">
        <f>IF($B$265="","",$B$265)</f>
        <v/>
      </c>
      <c r="C267" s="63" t="inlineStr">
        <is>
          <t>기타</t>
        </is>
      </c>
      <c r="D267" s="55">
        <f>IF($D$265="","",$D$265)</f>
        <v/>
      </c>
      <c r="E267" s="64" t="inlineStr">
        <is>
          <t>영상</t>
        </is>
      </c>
      <c r="F267" s="44" t="n"/>
      <c r="G267" s="58">
        <f>IF($G$265="","",$G$265)</f>
        <v/>
      </c>
      <c r="H267" s="59" t="n"/>
      <c r="I267" s="59" t="n"/>
      <c r="J267" s="59" t="n"/>
      <c r="K267" s="59" t="n"/>
      <c r="L267" s="65">
        <f>IF(SUM(U267:AY267)=0,"",SUM(U267:AY267))</f>
        <v/>
      </c>
      <c r="M267" s="66">
        <f>IFERROR(INDEX(U$2:AY$2,MATCH(TRUE,INDEX(U267:AY267&lt;&gt;"",0),0)),"")</f>
        <v/>
      </c>
      <c r="N267" s="66">
        <f>IFERROR(LOOKUP(2,1/(U267:AY267&lt;&gt;""),U$2:AY$2),"")</f>
        <v/>
      </c>
      <c r="O267" s="59" t="n"/>
      <c r="P267" s="59" t="n"/>
      <c r="Q267" s="59" t="n"/>
      <c r="R267" s="59" t="n"/>
      <c r="S267" s="14" t="n"/>
      <c r="U267" s="53" t="n"/>
      <c r="V267" s="53" t="n"/>
      <c r="W267" s="53" t="n"/>
      <c r="X267" s="53" t="n"/>
      <c r="Y267" s="53" t="n"/>
      <c r="Z267" s="53" t="n"/>
      <c r="AA267" s="53" t="n"/>
      <c r="AB267" s="53" t="n"/>
      <c r="AC267" s="53" t="n"/>
      <c r="AD267" s="53" t="n"/>
      <c r="AE267" s="53" t="n"/>
      <c r="AF267" s="53" t="n"/>
      <c r="AG267" s="53" t="n"/>
      <c r="AH267" s="53" t="n"/>
      <c r="AI267" s="53" t="n"/>
      <c r="AJ267" s="53" t="n"/>
      <c r="AK267" s="53" t="n"/>
      <c r="AL267" s="53" t="n"/>
      <c r="AM267" s="53" t="n"/>
      <c r="AN267" s="53" t="n"/>
      <c r="AO267" s="53" t="n"/>
      <c r="AP267" s="53" t="n"/>
      <c r="AQ267" s="53" t="n"/>
      <c r="AR267" s="53" t="n"/>
      <c r="AS267" s="53" t="n"/>
      <c r="AT267" s="53" t="n"/>
      <c r="AU267" s="53" t="n"/>
      <c r="AV267" s="53" t="n"/>
      <c r="AW267" s="53" t="n"/>
      <c r="AX267" s="53" t="n"/>
      <c r="AY267" s="53" t="n"/>
    </row>
    <row r="268" ht="15" customHeight="1">
      <c r="A268" s="40">
        <f>IF($D$268="","",86)</f>
        <v/>
      </c>
      <c r="B268" s="10" t="n"/>
      <c r="C268" s="41" t="inlineStr">
        <is>
          <t>기타</t>
        </is>
      </c>
      <c r="D268" s="42" t="n"/>
      <c r="E268" s="43" t="inlineStr">
        <is>
          <t>기획</t>
        </is>
      </c>
      <c r="F268" s="44" t="n"/>
      <c r="G268" s="45" t="n"/>
      <c r="H268" s="46">
        <f>IF($I$268="","",IF($I$268&lt;0,"🔴지연",IF($I$268&lt;=1,"🟡임박","🟢여유")))</f>
        <v/>
      </c>
      <c r="I268" s="47">
        <f>IF(OR($G$268="",$K$268=""),"",$G$268-$K$268)</f>
        <v/>
      </c>
      <c r="J268" s="48">
        <f>IF(SUM($L$268:$L$270)=0,"",SUM($L$268:$L$270))</f>
        <v/>
      </c>
      <c r="K268" s="49">
        <f>IF($J$268="","",MAX($N$268:$N$270))</f>
        <v/>
      </c>
      <c r="L268" s="50">
        <f>IF(SUM(U268:AY268)=0,"",SUM(U268:AY268))</f>
        <v/>
      </c>
      <c r="M268" s="51">
        <f>IFERROR(INDEX(U$2:AY$2,MATCH(TRUE,INDEX(U268:AY268&lt;&gt;"",0),0)),"")</f>
        <v/>
      </c>
      <c r="N268" s="51">
        <f>IFERROR(LOOKUP(2,1/(U268:AY268&lt;&gt;""),U$2:AY$2),"")</f>
        <v/>
      </c>
      <c r="O268" s="52" t="n"/>
      <c r="P268" s="52" t="n"/>
      <c r="Q268" s="52" t="n"/>
      <c r="R268" s="44" t="n"/>
      <c r="S268" s="14" t="n"/>
      <c r="U268" s="53" t="n"/>
      <c r="V268" s="53" t="n"/>
      <c r="W268" s="53" t="n"/>
      <c r="X268" s="53" t="n"/>
      <c r="Y268" s="53" t="n"/>
      <c r="Z268" s="53" t="n"/>
      <c r="AA268" s="53" t="n"/>
      <c r="AB268" s="53" t="n"/>
      <c r="AC268" s="53" t="n"/>
      <c r="AD268" s="53" t="n"/>
      <c r="AE268" s="53" t="n"/>
      <c r="AF268" s="53" t="n"/>
      <c r="AG268" s="53" t="n"/>
      <c r="AH268" s="53" t="n"/>
      <c r="AI268" s="53" t="n"/>
      <c r="AJ268" s="53" t="n"/>
      <c r="AK268" s="53" t="n"/>
      <c r="AL268" s="53" t="n"/>
      <c r="AM268" s="53" t="n"/>
      <c r="AN268" s="53" t="n"/>
      <c r="AO268" s="53" t="n"/>
      <c r="AP268" s="53" t="n"/>
      <c r="AQ268" s="53" t="n"/>
      <c r="AR268" s="53" t="n"/>
      <c r="AS268" s="53" t="n"/>
      <c r="AT268" s="53" t="n"/>
      <c r="AU268" s="53" t="n"/>
      <c r="AV268" s="53" t="n"/>
      <c r="AW268" s="53" t="n"/>
      <c r="AX268" s="53" t="n"/>
      <c r="AY268" s="53" t="n"/>
    </row>
    <row r="269" ht="15" customHeight="1">
      <c r="A269" s="54" t="n"/>
      <c r="B269" s="55">
        <f>IF($B$268="","",$B$268)</f>
        <v/>
      </c>
      <c r="C269" s="56" t="inlineStr">
        <is>
          <t>기타</t>
        </is>
      </c>
      <c r="D269" s="55">
        <f>IF($D$268="","",$D$268)</f>
        <v/>
      </c>
      <c r="E269" s="57" t="inlineStr">
        <is>
          <t>이미지</t>
        </is>
      </c>
      <c r="F269" s="44" t="n"/>
      <c r="G269" s="58">
        <f>IF($G$268="","",$G$268)</f>
        <v/>
      </c>
      <c r="H269" s="59" t="n"/>
      <c r="I269" s="59" t="n"/>
      <c r="J269" s="59" t="n"/>
      <c r="K269" s="59" t="n"/>
      <c r="L269" s="60">
        <f>IF(SUM(U269:AY269)=0,"",SUM(U269:AY269))</f>
        <v/>
      </c>
      <c r="M269" s="61">
        <f>IFERROR(INDEX(U$2:AY$2,MATCH(TRUE,INDEX(U269:AY269&lt;&gt;"",0),0)),"")</f>
        <v/>
      </c>
      <c r="N269" s="61">
        <f>IFERROR(LOOKUP(2,1/(U269:AY269&lt;&gt;""),U$2:AY$2),"")</f>
        <v/>
      </c>
      <c r="O269" s="59" t="n"/>
      <c r="P269" s="59" t="n"/>
      <c r="Q269" s="59" t="n"/>
      <c r="R269" s="59" t="n"/>
      <c r="S269" s="14" t="n"/>
      <c r="U269" s="53" t="n"/>
      <c r="V269" s="53" t="n"/>
      <c r="W269" s="53" t="n"/>
      <c r="X269" s="53" t="n"/>
      <c r="Y269" s="53" t="n"/>
      <c r="Z269" s="53" t="n"/>
      <c r="AA269" s="53" t="n"/>
      <c r="AB269" s="53" t="n"/>
      <c r="AC269" s="53" t="n"/>
      <c r="AD269" s="53" t="n"/>
      <c r="AE269" s="53" t="n"/>
      <c r="AF269" s="53" t="n"/>
      <c r="AG269" s="53" t="n"/>
      <c r="AH269" s="53" t="n"/>
      <c r="AI269" s="53" t="n"/>
      <c r="AJ269" s="53" t="n"/>
      <c r="AK269" s="53" t="n"/>
      <c r="AL269" s="53" t="n"/>
      <c r="AM269" s="53" t="n"/>
      <c r="AN269" s="53" t="n"/>
      <c r="AO269" s="53" t="n"/>
      <c r="AP269" s="53" t="n"/>
      <c r="AQ269" s="53" t="n"/>
      <c r="AR269" s="53" t="n"/>
      <c r="AS269" s="53" t="n"/>
      <c r="AT269" s="53" t="n"/>
      <c r="AU269" s="53" t="n"/>
      <c r="AV269" s="53" t="n"/>
      <c r="AW269" s="53" t="n"/>
      <c r="AX269" s="53" t="n"/>
      <c r="AY269" s="53" t="n"/>
    </row>
    <row r="270" ht="15" customHeight="1">
      <c r="A270" s="62" t="n"/>
      <c r="B270" s="55">
        <f>IF($B$268="","",$B$268)</f>
        <v/>
      </c>
      <c r="C270" s="63" t="inlineStr">
        <is>
          <t>기타</t>
        </is>
      </c>
      <c r="D270" s="55">
        <f>IF($D$268="","",$D$268)</f>
        <v/>
      </c>
      <c r="E270" s="64" t="inlineStr">
        <is>
          <t>영상</t>
        </is>
      </c>
      <c r="F270" s="44" t="n"/>
      <c r="G270" s="58">
        <f>IF($G$268="","",$G$268)</f>
        <v/>
      </c>
      <c r="H270" s="59" t="n"/>
      <c r="I270" s="59" t="n"/>
      <c r="J270" s="59" t="n"/>
      <c r="K270" s="59" t="n"/>
      <c r="L270" s="65">
        <f>IF(SUM(U270:AY270)=0,"",SUM(U270:AY270))</f>
        <v/>
      </c>
      <c r="M270" s="66">
        <f>IFERROR(INDEX(U$2:AY$2,MATCH(TRUE,INDEX(U270:AY270&lt;&gt;"",0),0)),"")</f>
        <v/>
      </c>
      <c r="N270" s="66">
        <f>IFERROR(LOOKUP(2,1/(U270:AY270&lt;&gt;""),U$2:AY$2),"")</f>
        <v/>
      </c>
      <c r="O270" s="59" t="n"/>
      <c r="P270" s="59" t="n"/>
      <c r="Q270" s="59" t="n"/>
      <c r="R270" s="59" t="n"/>
      <c r="S270" s="14" t="n"/>
      <c r="U270" s="53" t="n"/>
      <c r="V270" s="53" t="n"/>
      <c r="W270" s="53" t="n"/>
      <c r="X270" s="53" t="n"/>
      <c r="Y270" s="53" t="n"/>
      <c r="Z270" s="53" t="n"/>
      <c r="AA270" s="53" t="n"/>
      <c r="AB270" s="53" t="n"/>
      <c r="AC270" s="53" t="n"/>
      <c r="AD270" s="53" t="n"/>
      <c r="AE270" s="53" t="n"/>
      <c r="AF270" s="53" t="n"/>
      <c r="AG270" s="53" t="n"/>
      <c r="AH270" s="53" t="n"/>
      <c r="AI270" s="53" t="n"/>
      <c r="AJ270" s="53" t="n"/>
      <c r="AK270" s="53" t="n"/>
      <c r="AL270" s="53" t="n"/>
      <c r="AM270" s="53" t="n"/>
      <c r="AN270" s="53" t="n"/>
      <c r="AO270" s="53" t="n"/>
      <c r="AP270" s="53" t="n"/>
      <c r="AQ270" s="53" t="n"/>
      <c r="AR270" s="53" t="n"/>
      <c r="AS270" s="53" t="n"/>
      <c r="AT270" s="53" t="n"/>
      <c r="AU270" s="53" t="n"/>
      <c r="AV270" s="53" t="n"/>
      <c r="AW270" s="53" t="n"/>
      <c r="AX270" s="53" t="n"/>
      <c r="AY270" s="53" t="n"/>
    </row>
    <row r="271" ht="15" customHeight="1">
      <c r="A271" s="40">
        <f>IF($D$271="","",87)</f>
        <v/>
      </c>
      <c r="B271" s="10" t="n"/>
      <c r="C271" s="41" t="inlineStr">
        <is>
          <t>기타</t>
        </is>
      </c>
      <c r="D271" s="42" t="n"/>
      <c r="E271" s="43" t="inlineStr">
        <is>
          <t>기획</t>
        </is>
      </c>
      <c r="F271" s="44" t="n"/>
      <c r="G271" s="45" t="n"/>
      <c r="H271" s="46">
        <f>IF($I$271="","",IF($I$271&lt;0,"🔴지연",IF($I$271&lt;=1,"🟡임박","🟢여유")))</f>
        <v/>
      </c>
      <c r="I271" s="47">
        <f>IF(OR($G$271="",$K$271=""),"",$G$271-$K$271)</f>
        <v/>
      </c>
      <c r="J271" s="48">
        <f>IF(SUM($L$271:$L$273)=0,"",SUM($L$271:$L$273))</f>
        <v/>
      </c>
      <c r="K271" s="49">
        <f>IF($J$271="","",MAX($N$271:$N$273))</f>
        <v/>
      </c>
      <c r="L271" s="50">
        <f>IF(SUM(U271:AY271)=0,"",SUM(U271:AY271))</f>
        <v/>
      </c>
      <c r="M271" s="51">
        <f>IFERROR(INDEX(U$2:AY$2,MATCH(TRUE,INDEX(U271:AY271&lt;&gt;"",0),0)),"")</f>
        <v/>
      </c>
      <c r="N271" s="51">
        <f>IFERROR(LOOKUP(2,1/(U271:AY271&lt;&gt;""),U$2:AY$2),"")</f>
        <v/>
      </c>
      <c r="O271" s="52" t="n"/>
      <c r="P271" s="52" t="n"/>
      <c r="Q271" s="52" t="n"/>
      <c r="R271" s="44" t="n"/>
      <c r="S271" s="14" t="n"/>
      <c r="U271" s="53" t="n"/>
      <c r="V271" s="53" t="n"/>
      <c r="W271" s="53" t="n"/>
      <c r="X271" s="53" t="n"/>
      <c r="Y271" s="53" t="n"/>
      <c r="Z271" s="53" t="n"/>
      <c r="AA271" s="53" t="n"/>
      <c r="AB271" s="53" t="n"/>
      <c r="AC271" s="53" t="n"/>
      <c r="AD271" s="53" t="n"/>
      <c r="AE271" s="53" t="n"/>
      <c r="AF271" s="53" t="n"/>
      <c r="AG271" s="53" t="n"/>
      <c r="AH271" s="53" t="n"/>
      <c r="AI271" s="53" t="n"/>
      <c r="AJ271" s="53" t="n"/>
      <c r="AK271" s="53" t="n"/>
      <c r="AL271" s="53" t="n"/>
      <c r="AM271" s="53" t="n"/>
      <c r="AN271" s="53" t="n"/>
      <c r="AO271" s="53" t="n"/>
      <c r="AP271" s="53" t="n"/>
      <c r="AQ271" s="53" t="n"/>
      <c r="AR271" s="53" t="n"/>
      <c r="AS271" s="53" t="n"/>
      <c r="AT271" s="53" t="n"/>
      <c r="AU271" s="53" t="n"/>
      <c r="AV271" s="53" t="n"/>
      <c r="AW271" s="53" t="n"/>
      <c r="AX271" s="53" t="n"/>
      <c r="AY271" s="53" t="n"/>
    </row>
    <row r="272" ht="15" customHeight="1">
      <c r="A272" s="54" t="n"/>
      <c r="B272" s="55">
        <f>IF($B$271="","",$B$271)</f>
        <v/>
      </c>
      <c r="C272" s="56" t="inlineStr">
        <is>
          <t>기타</t>
        </is>
      </c>
      <c r="D272" s="55">
        <f>IF($D$271="","",$D$271)</f>
        <v/>
      </c>
      <c r="E272" s="57" t="inlineStr">
        <is>
          <t>이미지</t>
        </is>
      </c>
      <c r="F272" s="44" t="n"/>
      <c r="G272" s="58">
        <f>IF($G$271="","",$G$271)</f>
        <v/>
      </c>
      <c r="H272" s="59" t="n"/>
      <c r="I272" s="59" t="n"/>
      <c r="J272" s="59" t="n"/>
      <c r="K272" s="59" t="n"/>
      <c r="L272" s="60">
        <f>IF(SUM(U272:AY272)=0,"",SUM(U272:AY272))</f>
        <v/>
      </c>
      <c r="M272" s="61">
        <f>IFERROR(INDEX(U$2:AY$2,MATCH(TRUE,INDEX(U272:AY272&lt;&gt;"",0),0)),"")</f>
        <v/>
      </c>
      <c r="N272" s="61">
        <f>IFERROR(LOOKUP(2,1/(U272:AY272&lt;&gt;""),U$2:AY$2),"")</f>
        <v/>
      </c>
      <c r="O272" s="59" t="n"/>
      <c r="P272" s="59" t="n"/>
      <c r="Q272" s="59" t="n"/>
      <c r="R272" s="59" t="n"/>
      <c r="S272" s="14" t="n"/>
      <c r="U272" s="53" t="n"/>
      <c r="V272" s="53" t="n"/>
      <c r="W272" s="53" t="n"/>
      <c r="X272" s="53" t="n"/>
      <c r="Y272" s="53" t="n"/>
      <c r="Z272" s="53" t="n"/>
      <c r="AA272" s="53" t="n"/>
      <c r="AB272" s="53" t="n"/>
      <c r="AC272" s="53" t="n"/>
      <c r="AD272" s="53" t="n"/>
      <c r="AE272" s="53" t="n"/>
      <c r="AF272" s="53" t="n"/>
      <c r="AG272" s="53" t="n"/>
      <c r="AH272" s="53" t="n"/>
      <c r="AI272" s="53" t="n"/>
      <c r="AJ272" s="53" t="n"/>
      <c r="AK272" s="53" t="n"/>
      <c r="AL272" s="53" t="n"/>
      <c r="AM272" s="53" t="n"/>
      <c r="AN272" s="53" t="n"/>
      <c r="AO272" s="53" t="n"/>
      <c r="AP272" s="53" t="n"/>
      <c r="AQ272" s="53" t="n"/>
      <c r="AR272" s="53" t="n"/>
      <c r="AS272" s="53" t="n"/>
      <c r="AT272" s="53" t="n"/>
      <c r="AU272" s="53" t="n"/>
      <c r="AV272" s="53" t="n"/>
      <c r="AW272" s="53" t="n"/>
      <c r="AX272" s="53" t="n"/>
      <c r="AY272" s="53" t="n"/>
    </row>
    <row r="273" ht="15" customHeight="1">
      <c r="A273" s="62" t="n"/>
      <c r="B273" s="55">
        <f>IF($B$271="","",$B$271)</f>
        <v/>
      </c>
      <c r="C273" s="63" t="inlineStr">
        <is>
          <t>기타</t>
        </is>
      </c>
      <c r="D273" s="55">
        <f>IF($D$271="","",$D$271)</f>
        <v/>
      </c>
      <c r="E273" s="64" t="inlineStr">
        <is>
          <t>영상</t>
        </is>
      </c>
      <c r="F273" s="44" t="n"/>
      <c r="G273" s="58">
        <f>IF($G$271="","",$G$271)</f>
        <v/>
      </c>
      <c r="H273" s="59" t="n"/>
      <c r="I273" s="59" t="n"/>
      <c r="J273" s="59" t="n"/>
      <c r="K273" s="59" t="n"/>
      <c r="L273" s="65">
        <f>IF(SUM(U273:AY273)=0,"",SUM(U273:AY273))</f>
        <v/>
      </c>
      <c r="M273" s="66">
        <f>IFERROR(INDEX(U$2:AY$2,MATCH(TRUE,INDEX(U273:AY273&lt;&gt;"",0),0)),"")</f>
        <v/>
      </c>
      <c r="N273" s="66">
        <f>IFERROR(LOOKUP(2,1/(U273:AY273&lt;&gt;""),U$2:AY$2),"")</f>
        <v/>
      </c>
      <c r="O273" s="59" t="n"/>
      <c r="P273" s="59" t="n"/>
      <c r="Q273" s="59" t="n"/>
      <c r="R273" s="59" t="n"/>
      <c r="S273" s="14" t="n"/>
      <c r="U273" s="53" t="n"/>
      <c r="V273" s="53" t="n"/>
      <c r="W273" s="53" t="n"/>
      <c r="X273" s="53" t="n"/>
      <c r="Y273" s="53" t="n"/>
      <c r="Z273" s="53" t="n"/>
      <c r="AA273" s="53" t="n"/>
      <c r="AB273" s="53" t="n"/>
      <c r="AC273" s="53" t="n"/>
      <c r="AD273" s="53" t="n"/>
      <c r="AE273" s="53" t="n"/>
      <c r="AF273" s="53" t="n"/>
      <c r="AG273" s="53" t="n"/>
      <c r="AH273" s="53" t="n"/>
      <c r="AI273" s="53" t="n"/>
      <c r="AJ273" s="53" t="n"/>
      <c r="AK273" s="53" t="n"/>
      <c r="AL273" s="53" t="n"/>
      <c r="AM273" s="53" t="n"/>
      <c r="AN273" s="53" t="n"/>
      <c r="AO273" s="53" t="n"/>
      <c r="AP273" s="53" t="n"/>
      <c r="AQ273" s="53" t="n"/>
      <c r="AR273" s="53" t="n"/>
      <c r="AS273" s="53" t="n"/>
      <c r="AT273" s="53" t="n"/>
      <c r="AU273" s="53" t="n"/>
      <c r="AV273" s="53" t="n"/>
      <c r="AW273" s="53" t="n"/>
      <c r="AX273" s="53" t="n"/>
      <c r="AY273" s="53" t="n"/>
    </row>
    <row r="274" ht="15" customHeight="1">
      <c r="A274" s="40">
        <f>IF($D$274="","",88)</f>
        <v/>
      </c>
      <c r="B274" s="10" t="n"/>
      <c r="C274" s="41" t="inlineStr">
        <is>
          <t>기타</t>
        </is>
      </c>
      <c r="D274" s="42" t="n"/>
      <c r="E274" s="43" t="inlineStr">
        <is>
          <t>기획</t>
        </is>
      </c>
      <c r="F274" s="44" t="n"/>
      <c r="G274" s="45" t="n"/>
      <c r="H274" s="46">
        <f>IF($I$274="","",IF($I$274&lt;0,"🔴지연",IF($I$274&lt;=1,"🟡임박","🟢여유")))</f>
        <v/>
      </c>
      <c r="I274" s="47">
        <f>IF(OR($G$274="",$K$274=""),"",$G$274-$K$274)</f>
        <v/>
      </c>
      <c r="J274" s="48">
        <f>IF(SUM($L$274:$L$276)=0,"",SUM($L$274:$L$276))</f>
        <v/>
      </c>
      <c r="K274" s="49">
        <f>IF($J$274="","",MAX($N$274:$N$276))</f>
        <v/>
      </c>
      <c r="L274" s="50">
        <f>IF(SUM(U274:AY274)=0,"",SUM(U274:AY274))</f>
        <v/>
      </c>
      <c r="M274" s="51">
        <f>IFERROR(INDEX(U$2:AY$2,MATCH(TRUE,INDEX(U274:AY274&lt;&gt;"",0),0)),"")</f>
        <v/>
      </c>
      <c r="N274" s="51">
        <f>IFERROR(LOOKUP(2,1/(U274:AY274&lt;&gt;""),U$2:AY$2),"")</f>
        <v/>
      </c>
      <c r="O274" s="52" t="n"/>
      <c r="P274" s="52" t="n"/>
      <c r="Q274" s="52" t="n"/>
      <c r="R274" s="44" t="n"/>
      <c r="S274" s="14" t="n"/>
      <c r="U274" s="53" t="n"/>
      <c r="V274" s="53" t="n"/>
      <c r="W274" s="53" t="n"/>
      <c r="X274" s="53" t="n"/>
      <c r="Y274" s="53" t="n"/>
      <c r="Z274" s="53" t="n"/>
      <c r="AA274" s="53" t="n"/>
      <c r="AB274" s="53" t="n"/>
      <c r="AC274" s="53" t="n"/>
      <c r="AD274" s="53" t="n"/>
      <c r="AE274" s="53" t="n"/>
      <c r="AF274" s="53" t="n"/>
      <c r="AG274" s="53" t="n"/>
      <c r="AH274" s="53" t="n"/>
      <c r="AI274" s="53" t="n"/>
      <c r="AJ274" s="53" t="n"/>
      <c r="AK274" s="53" t="n"/>
      <c r="AL274" s="53" t="n"/>
      <c r="AM274" s="53" t="n"/>
      <c r="AN274" s="53" t="n"/>
      <c r="AO274" s="53" t="n"/>
      <c r="AP274" s="53" t="n"/>
      <c r="AQ274" s="53" t="n"/>
      <c r="AR274" s="53" t="n"/>
      <c r="AS274" s="53" t="n"/>
      <c r="AT274" s="53" t="n"/>
      <c r="AU274" s="53" t="n"/>
      <c r="AV274" s="53" t="n"/>
      <c r="AW274" s="53" t="n"/>
      <c r="AX274" s="53" t="n"/>
      <c r="AY274" s="53" t="n"/>
    </row>
    <row r="275" ht="15" customHeight="1">
      <c r="A275" s="54" t="n"/>
      <c r="B275" s="55">
        <f>IF($B$274="","",$B$274)</f>
        <v/>
      </c>
      <c r="C275" s="56" t="inlineStr">
        <is>
          <t>기타</t>
        </is>
      </c>
      <c r="D275" s="55">
        <f>IF($D$274="","",$D$274)</f>
        <v/>
      </c>
      <c r="E275" s="57" t="inlineStr">
        <is>
          <t>이미지</t>
        </is>
      </c>
      <c r="F275" s="44" t="n"/>
      <c r="G275" s="58">
        <f>IF($G$274="","",$G$274)</f>
        <v/>
      </c>
      <c r="H275" s="59" t="n"/>
      <c r="I275" s="59" t="n"/>
      <c r="J275" s="59" t="n"/>
      <c r="K275" s="59" t="n"/>
      <c r="L275" s="60">
        <f>IF(SUM(U275:AY275)=0,"",SUM(U275:AY275))</f>
        <v/>
      </c>
      <c r="M275" s="61">
        <f>IFERROR(INDEX(U$2:AY$2,MATCH(TRUE,INDEX(U275:AY275&lt;&gt;"",0),0)),"")</f>
        <v/>
      </c>
      <c r="N275" s="61">
        <f>IFERROR(LOOKUP(2,1/(U275:AY275&lt;&gt;""),U$2:AY$2),"")</f>
        <v/>
      </c>
      <c r="O275" s="59" t="n"/>
      <c r="P275" s="59" t="n"/>
      <c r="Q275" s="59" t="n"/>
      <c r="R275" s="59" t="n"/>
      <c r="S275" s="14" t="n"/>
      <c r="U275" s="53" t="n"/>
      <c r="V275" s="53" t="n"/>
      <c r="W275" s="53" t="n"/>
      <c r="X275" s="53" t="n"/>
      <c r="Y275" s="53" t="n"/>
      <c r="Z275" s="53" t="n"/>
      <c r="AA275" s="53" t="n"/>
      <c r="AB275" s="53" t="n"/>
      <c r="AC275" s="53" t="n"/>
      <c r="AD275" s="53" t="n"/>
      <c r="AE275" s="53" t="n"/>
      <c r="AF275" s="53" t="n"/>
      <c r="AG275" s="53" t="n"/>
      <c r="AH275" s="53" t="n"/>
      <c r="AI275" s="53" t="n"/>
      <c r="AJ275" s="53" t="n"/>
      <c r="AK275" s="53" t="n"/>
      <c r="AL275" s="53" t="n"/>
      <c r="AM275" s="53" t="n"/>
      <c r="AN275" s="53" t="n"/>
      <c r="AO275" s="53" t="n"/>
      <c r="AP275" s="53" t="n"/>
      <c r="AQ275" s="53" t="n"/>
      <c r="AR275" s="53" t="n"/>
      <c r="AS275" s="53" t="n"/>
      <c r="AT275" s="53" t="n"/>
      <c r="AU275" s="53" t="n"/>
      <c r="AV275" s="53" t="n"/>
      <c r="AW275" s="53" t="n"/>
      <c r="AX275" s="53" t="n"/>
      <c r="AY275" s="53" t="n"/>
    </row>
    <row r="276" ht="15" customHeight="1">
      <c r="A276" s="62" t="n"/>
      <c r="B276" s="55">
        <f>IF($B$274="","",$B$274)</f>
        <v/>
      </c>
      <c r="C276" s="63" t="inlineStr">
        <is>
          <t>기타</t>
        </is>
      </c>
      <c r="D276" s="55">
        <f>IF($D$274="","",$D$274)</f>
        <v/>
      </c>
      <c r="E276" s="64" t="inlineStr">
        <is>
          <t>영상</t>
        </is>
      </c>
      <c r="F276" s="44" t="n"/>
      <c r="G276" s="58">
        <f>IF($G$274="","",$G$274)</f>
        <v/>
      </c>
      <c r="H276" s="59" t="n"/>
      <c r="I276" s="59" t="n"/>
      <c r="J276" s="59" t="n"/>
      <c r="K276" s="59" t="n"/>
      <c r="L276" s="65">
        <f>IF(SUM(U276:AY276)=0,"",SUM(U276:AY276))</f>
        <v/>
      </c>
      <c r="M276" s="66">
        <f>IFERROR(INDEX(U$2:AY$2,MATCH(TRUE,INDEX(U276:AY276&lt;&gt;"",0),0)),"")</f>
        <v/>
      </c>
      <c r="N276" s="66">
        <f>IFERROR(LOOKUP(2,1/(U276:AY276&lt;&gt;""),U$2:AY$2),"")</f>
        <v/>
      </c>
      <c r="O276" s="59" t="n"/>
      <c r="P276" s="59" t="n"/>
      <c r="Q276" s="59" t="n"/>
      <c r="R276" s="59" t="n"/>
      <c r="S276" s="14" t="n"/>
      <c r="U276" s="53" t="n"/>
      <c r="V276" s="53" t="n"/>
      <c r="W276" s="53" t="n"/>
      <c r="X276" s="53" t="n"/>
      <c r="Y276" s="53" t="n"/>
      <c r="Z276" s="53" t="n"/>
      <c r="AA276" s="53" t="n"/>
      <c r="AB276" s="53" t="n"/>
      <c r="AC276" s="53" t="n"/>
      <c r="AD276" s="53" t="n"/>
      <c r="AE276" s="53" t="n"/>
      <c r="AF276" s="53" t="n"/>
      <c r="AG276" s="53" t="n"/>
      <c r="AH276" s="53" t="n"/>
      <c r="AI276" s="53" t="n"/>
      <c r="AJ276" s="53" t="n"/>
      <c r="AK276" s="53" t="n"/>
      <c r="AL276" s="53" t="n"/>
      <c r="AM276" s="53" t="n"/>
      <c r="AN276" s="53" t="n"/>
      <c r="AO276" s="53" t="n"/>
      <c r="AP276" s="53" t="n"/>
      <c r="AQ276" s="53" t="n"/>
      <c r="AR276" s="53" t="n"/>
      <c r="AS276" s="53" t="n"/>
      <c r="AT276" s="53" t="n"/>
      <c r="AU276" s="53" t="n"/>
      <c r="AV276" s="53" t="n"/>
      <c r="AW276" s="53" t="n"/>
      <c r="AX276" s="53" t="n"/>
      <c r="AY276" s="53" t="n"/>
    </row>
    <row r="277" ht="15" customHeight="1">
      <c r="A277" s="40">
        <f>IF($D$277="","",89)</f>
        <v/>
      </c>
      <c r="B277" s="10" t="n"/>
      <c r="C277" s="41" t="inlineStr">
        <is>
          <t>기타</t>
        </is>
      </c>
      <c r="D277" s="42" t="n"/>
      <c r="E277" s="43" t="inlineStr">
        <is>
          <t>기획</t>
        </is>
      </c>
      <c r="F277" s="44" t="n"/>
      <c r="G277" s="45" t="n"/>
      <c r="H277" s="46">
        <f>IF($I$277="","",IF($I$277&lt;0,"🔴지연",IF($I$277&lt;=1,"🟡임박","🟢여유")))</f>
        <v/>
      </c>
      <c r="I277" s="47">
        <f>IF(OR($G$277="",$K$277=""),"",$G$277-$K$277)</f>
        <v/>
      </c>
      <c r="J277" s="48">
        <f>IF(SUM($L$277:$L$279)=0,"",SUM($L$277:$L$279))</f>
        <v/>
      </c>
      <c r="K277" s="49">
        <f>IF($J$277="","",MAX($N$277:$N$279))</f>
        <v/>
      </c>
      <c r="L277" s="50">
        <f>IF(SUM(U277:AY277)=0,"",SUM(U277:AY277))</f>
        <v/>
      </c>
      <c r="M277" s="51">
        <f>IFERROR(INDEX(U$2:AY$2,MATCH(TRUE,INDEX(U277:AY277&lt;&gt;"",0),0)),"")</f>
        <v/>
      </c>
      <c r="N277" s="51">
        <f>IFERROR(LOOKUP(2,1/(U277:AY277&lt;&gt;""),U$2:AY$2),"")</f>
        <v/>
      </c>
      <c r="O277" s="52" t="n"/>
      <c r="P277" s="52" t="n"/>
      <c r="Q277" s="52" t="n"/>
      <c r="R277" s="44" t="n"/>
      <c r="S277" s="14" t="n"/>
      <c r="U277" s="53" t="n"/>
      <c r="V277" s="53" t="n"/>
      <c r="W277" s="53" t="n"/>
      <c r="X277" s="53" t="n"/>
      <c r="Y277" s="53" t="n"/>
      <c r="Z277" s="53" t="n"/>
      <c r="AA277" s="53" t="n"/>
      <c r="AB277" s="53" t="n"/>
      <c r="AC277" s="53" t="n"/>
      <c r="AD277" s="53" t="n"/>
      <c r="AE277" s="53" t="n"/>
      <c r="AF277" s="53" t="n"/>
      <c r="AG277" s="53" t="n"/>
      <c r="AH277" s="53" t="n"/>
      <c r="AI277" s="53" t="n"/>
      <c r="AJ277" s="53" t="n"/>
      <c r="AK277" s="53" t="n"/>
      <c r="AL277" s="53" t="n"/>
      <c r="AM277" s="53" t="n"/>
      <c r="AN277" s="53" t="n"/>
      <c r="AO277" s="53" t="n"/>
      <c r="AP277" s="53" t="n"/>
      <c r="AQ277" s="53" t="n"/>
      <c r="AR277" s="53" t="n"/>
      <c r="AS277" s="53" t="n"/>
      <c r="AT277" s="53" t="n"/>
      <c r="AU277" s="53" t="n"/>
      <c r="AV277" s="53" t="n"/>
      <c r="AW277" s="53" t="n"/>
      <c r="AX277" s="53" t="n"/>
      <c r="AY277" s="53" t="n"/>
    </row>
    <row r="278" ht="15" customHeight="1">
      <c r="A278" s="54" t="n"/>
      <c r="B278" s="55">
        <f>IF($B$277="","",$B$277)</f>
        <v/>
      </c>
      <c r="C278" s="56" t="inlineStr">
        <is>
          <t>기타</t>
        </is>
      </c>
      <c r="D278" s="55">
        <f>IF($D$277="","",$D$277)</f>
        <v/>
      </c>
      <c r="E278" s="57" t="inlineStr">
        <is>
          <t>이미지</t>
        </is>
      </c>
      <c r="F278" s="44" t="n"/>
      <c r="G278" s="58">
        <f>IF($G$277="","",$G$277)</f>
        <v/>
      </c>
      <c r="H278" s="59" t="n"/>
      <c r="I278" s="59" t="n"/>
      <c r="J278" s="59" t="n"/>
      <c r="K278" s="59" t="n"/>
      <c r="L278" s="60">
        <f>IF(SUM(U278:AY278)=0,"",SUM(U278:AY278))</f>
        <v/>
      </c>
      <c r="M278" s="61">
        <f>IFERROR(INDEX(U$2:AY$2,MATCH(TRUE,INDEX(U278:AY278&lt;&gt;"",0),0)),"")</f>
        <v/>
      </c>
      <c r="N278" s="61">
        <f>IFERROR(LOOKUP(2,1/(U278:AY278&lt;&gt;""),U$2:AY$2),"")</f>
        <v/>
      </c>
      <c r="O278" s="59" t="n"/>
      <c r="P278" s="59" t="n"/>
      <c r="Q278" s="59" t="n"/>
      <c r="R278" s="59" t="n"/>
      <c r="S278" s="14" t="n"/>
      <c r="U278" s="53" t="n"/>
      <c r="V278" s="53" t="n"/>
      <c r="W278" s="53" t="n"/>
      <c r="X278" s="53" t="n"/>
      <c r="Y278" s="53" t="n"/>
      <c r="Z278" s="53" t="n"/>
      <c r="AA278" s="53" t="n"/>
      <c r="AB278" s="53" t="n"/>
      <c r="AC278" s="53" t="n"/>
      <c r="AD278" s="53" t="n"/>
      <c r="AE278" s="53" t="n"/>
      <c r="AF278" s="53" t="n"/>
      <c r="AG278" s="53" t="n"/>
      <c r="AH278" s="53" t="n"/>
      <c r="AI278" s="53" t="n"/>
      <c r="AJ278" s="53" t="n"/>
      <c r="AK278" s="53" t="n"/>
      <c r="AL278" s="53" t="n"/>
      <c r="AM278" s="53" t="n"/>
      <c r="AN278" s="53" t="n"/>
      <c r="AO278" s="53" t="n"/>
      <c r="AP278" s="53" t="n"/>
      <c r="AQ278" s="53" t="n"/>
      <c r="AR278" s="53" t="n"/>
      <c r="AS278" s="53" t="n"/>
      <c r="AT278" s="53" t="n"/>
      <c r="AU278" s="53" t="n"/>
      <c r="AV278" s="53" t="n"/>
      <c r="AW278" s="53" t="n"/>
      <c r="AX278" s="53" t="n"/>
      <c r="AY278" s="53" t="n"/>
    </row>
    <row r="279" ht="15" customHeight="1">
      <c r="A279" s="62" t="n"/>
      <c r="B279" s="55">
        <f>IF($B$277="","",$B$277)</f>
        <v/>
      </c>
      <c r="C279" s="63" t="inlineStr">
        <is>
          <t>기타</t>
        </is>
      </c>
      <c r="D279" s="55">
        <f>IF($D$277="","",$D$277)</f>
        <v/>
      </c>
      <c r="E279" s="64" t="inlineStr">
        <is>
          <t>영상</t>
        </is>
      </c>
      <c r="F279" s="44" t="n"/>
      <c r="G279" s="58">
        <f>IF($G$277="","",$G$277)</f>
        <v/>
      </c>
      <c r="H279" s="59" t="n"/>
      <c r="I279" s="59" t="n"/>
      <c r="J279" s="59" t="n"/>
      <c r="K279" s="59" t="n"/>
      <c r="L279" s="65">
        <f>IF(SUM(U279:AY279)=0,"",SUM(U279:AY279))</f>
        <v/>
      </c>
      <c r="M279" s="66">
        <f>IFERROR(INDEX(U$2:AY$2,MATCH(TRUE,INDEX(U279:AY279&lt;&gt;"",0),0)),"")</f>
        <v/>
      </c>
      <c r="N279" s="66">
        <f>IFERROR(LOOKUP(2,1/(U279:AY279&lt;&gt;""),U$2:AY$2),"")</f>
        <v/>
      </c>
      <c r="O279" s="59" t="n"/>
      <c r="P279" s="59" t="n"/>
      <c r="Q279" s="59" t="n"/>
      <c r="R279" s="59" t="n"/>
      <c r="S279" s="14" t="n"/>
      <c r="U279" s="53" t="n"/>
      <c r="V279" s="53" t="n"/>
      <c r="W279" s="53" t="n"/>
      <c r="X279" s="53" t="n"/>
      <c r="Y279" s="53" t="n"/>
      <c r="Z279" s="53" t="n"/>
      <c r="AA279" s="53" t="n"/>
      <c r="AB279" s="53" t="n"/>
      <c r="AC279" s="53" t="n"/>
      <c r="AD279" s="53" t="n"/>
      <c r="AE279" s="53" t="n"/>
      <c r="AF279" s="53" t="n"/>
      <c r="AG279" s="53" t="n"/>
      <c r="AH279" s="53" t="n"/>
      <c r="AI279" s="53" t="n"/>
      <c r="AJ279" s="53" t="n"/>
      <c r="AK279" s="53" t="n"/>
      <c r="AL279" s="53" t="n"/>
      <c r="AM279" s="53" t="n"/>
      <c r="AN279" s="53" t="n"/>
      <c r="AO279" s="53" t="n"/>
      <c r="AP279" s="53" t="n"/>
      <c r="AQ279" s="53" t="n"/>
      <c r="AR279" s="53" t="n"/>
      <c r="AS279" s="53" t="n"/>
      <c r="AT279" s="53" t="n"/>
      <c r="AU279" s="53" t="n"/>
      <c r="AV279" s="53" t="n"/>
      <c r="AW279" s="53" t="n"/>
      <c r="AX279" s="53" t="n"/>
      <c r="AY279" s="53" t="n"/>
    </row>
    <row r="280" ht="15" customHeight="1">
      <c r="A280" s="40">
        <f>IF($D$280="","",90)</f>
        <v/>
      </c>
      <c r="B280" s="10" t="n"/>
      <c r="C280" s="41" t="inlineStr">
        <is>
          <t>기타</t>
        </is>
      </c>
      <c r="D280" s="42" t="n"/>
      <c r="E280" s="43" t="inlineStr">
        <is>
          <t>기획</t>
        </is>
      </c>
      <c r="F280" s="44" t="n"/>
      <c r="G280" s="45" t="n"/>
      <c r="H280" s="46">
        <f>IF($I$280="","",IF($I$280&lt;0,"🔴지연",IF($I$280&lt;=1,"🟡임박","🟢여유")))</f>
        <v/>
      </c>
      <c r="I280" s="47">
        <f>IF(OR($G$280="",$K$280=""),"",$G$280-$K$280)</f>
        <v/>
      </c>
      <c r="J280" s="48">
        <f>IF(SUM($L$280:$L$282)=0,"",SUM($L$280:$L$282))</f>
        <v/>
      </c>
      <c r="K280" s="49">
        <f>IF($J$280="","",MAX($N$280:$N$282))</f>
        <v/>
      </c>
      <c r="L280" s="50">
        <f>IF(SUM(U280:AY280)=0,"",SUM(U280:AY280))</f>
        <v/>
      </c>
      <c r="M280" s="51">
        <f>IFERROR(INDEX(U$2:AY$2,MATCH(TRUE,INDEX(U280:AY280&lt;&gt;"",0),0)),"")</f>
        <v/>
      </c>
      <c r="N280" s="51">
        <f>IFERROR(LOOKUP(2,1/(U280:AY280&lt;&gt;""),U$2:AY$2),"")</f>
        <v/>
      </c>
      <c r="O280" s="52" t="n"/>
      <c r="P280" s="52" t="n"/>
      <c r="Q280" s="52" t="n"/>
      <c r="R280" s="44" t="n"/>
      <c r="S280" s="14" t="n"/>
      <c r="U280" s="53" t="n"/>
      <c r="V280" s="53" t="n"/>
      <c r="W280" s="53" t="n"/>
      <c r="X280" s="53" t="n"/>
      <c r="Y280" s="53" t="n"/>
      <c r="Z280" s="53" t="n"/>
      <c r="AA280" s="53" t="n"/>
      <c r="AB280" s="53" t="n"/>
      <c r="AC280" s="53" t="n"/>
      <c r="AD280" s="53" t="n"/>
      <c r="AE280" s="53" t="n"/>
      <c r="AF280" s="53" t="n"/>
      <c r="AG280" s="53" t="n"/>
      <c r="AH280" s="53" t="n"/>
      <c r="AI280" s="53" t="n"/>
      <c r="AJ280" s="53" t="n"/>
      <c r="AK280" s="53" t="n"/>
      <c r="AL280" s="53" t="n"/>
      <c r="AM280" s="53" t="n"/>
      <c r="AN280" s="53" t="n"/>
      <c r="AO280" s="53" t="n"/>
      <c r="AP280" s="53" t="n"/>
      <c r="AQ280" s="53" t="n"/>
      <c r="AR280" s="53" t="n"/>
      <c r="AS280" s="53" t="n"/>
      <c r="AT280" s="53" t="n"/>
      <c r="AU280" s="53" t="n"/>
      <c r="AV280" s="53" t="n"/>
      <c r="AW280" s="53" t="n"/>
      <c r="AX280" s="53" t="n"/>
      <c r="AY280" s="53" t="n"/>
    </row>
    <row r="281" ht="15" customHeight="1">
      <c r="A281" s="54" t="n"/>
      <c r="B281" s="55">
        <f>IF($B$280="","",$B$280)</f>
        <v/>
      </c>
      <c r="C281" s="56" t="inlineStr">
        <is>
          <t>기타</t>
        </is>
      </c>
      <c r="D281" s="55">
        <f>IF($D$280="","",$D$280)</f>
        <v/>
      </c>
      <c r="E281" s="57" t="inlineStr">
        <is>
          <t>이미지</t>
        </is>
      </c>
      <c r="F281" s="44" t="n"/>
      <c r="G281" s="58">
        <f>IF($G$280="","",$G$280)</f>
        <v/>
      </c>
      <c r="H281" s="59" t="n"/>
      <c r="I281" s="59" t="n"/>
      <c r="J281" s="59" t="n"/>
      <c r="K281" s="59" t="n"/>
      <c r="L281" s="60">
        <f>IF(SUM(U281:AY281)=0,"",SUM(U281:AY281))</f>
        <v/>
      </c>
      <c r="M281" s="61">
        <f>IFERROR(INDEX(U$2:AY$2,MATCH(TRUE,INDEX(U281:AY281&lt;&gt;"",0),0)),"")</f>
        <v/>
      </c>
      <c r="N281" s="61">
        <f>IFERROR(LOOKUP(2,1/(U281:AY281&lt;&gt;""),U$2:AY$2),"")</f>
        <v/>
      </c>
      <c r="O281" s="59" t="n"/>
      <c r="P281" s="59" t="n"/>
      <c r="Q281" s="59" t="n"/>
      <c r="R281" s="59" t="n"/>
      <c r="S281" s="14" t="n"/>
      <c r="U281" s="53" t="n"/>
      <c r="V281" s="53" t="n"/>
      <c r="W281" s="53" t="n"/>
      <c r="X281" s="53" t="n"/>
      <c r="Y281" s="53" t="n"/>
      <c r="Z281" s="53" t="n"/>
      <c r="AA281" s="53" t="n"/>
      <c r="AB281" s="53" t="n"/>
      <c r="AC281" s="53" t="n"/>
      <c r="AD281" s="53" t="n"/>
      <c r="AE281" s="53" t="n"/>
      <c r="AF281" s="53" t="n"/>
      <c r="AG281" s="53" t="n"/>
      <c r="AH281" s="53" t="n"/>
      <c r="AI281" s="53" t="n"/>
      <c r="AJ281" s="53" t="n"/>
      <c r="AK281" s="53" t="n"/>
      <c r="AL281" s="53" t="n"/>
      <c r="AM281" s="53" t="n"/>
      <c r="AN281" s="53" t="n"/>
      <c r="AO281" s="53" t="n"/>
      <c r="AP281" s="53" t="n"/>
      <c r="AQ281" s="53" t="n"/>
      <c r="AR281" s="53" t="n"/>
      <c r="AS281" s="53" t="n"/>
      <c r="AT281" s="53" t="n"/>
      <c r="AU281" s="53" t="n"/>
      <c r="AV281" s="53" t="n"/>
      <c r="AW281" s="53" t="n"/>
      <c r="AX281" s="53" t="n"/>
      <c r="AY281" s="53" t="n"/>
    </row>
    <row r="282" ht="15" customHeight="1">
      <c r="A282" s="62" t="n"/>
      <c r="B282" s="55">
        <f>IF($B$280="","",$B$280)</f>
        <v/>
      </c>
      <c r="C282" s="63" t="inlineStr">
        <is>
          <t>기타</t>
        </is>
      </c>
      <c r="D282" s="55">
        <f>IF($D$280="","",$D$280)</f>
        <v/>
      </c>
      <c r="E282" s="64" t="inlineStr">
        <is>
          <t>영상</t>
        </is>
      </c>
      <c r="F282" s="44" t="n"/>
      <c r="G282" s="58">
        <f>IF($G$280="","",$G$280)</f>
        <v/>
      </c>
      <c r="H282" s="59" t="n"/>
      <c r="I282" s="59" t="n"/>
      <c r="J282" s="59" t="n"/>
      <c r="K282" s="59" t="n"/>
      <c r="L282" s="65">
        <f>IF(SUM(U282:AY282)=0,"",SUM(U282:AY282))</f>
        <v/>
      </c>
      <c r="M282" s="66">
        <f>IFERROR(INDEX(U$2:AY$2,MATCH(TRUE,INDEX(U282:AY282&lt;&gt;"",0),0)),"")</f>
        <v/>
      </c>
      <c r="N282" s="66">
        <f>IFERROR(LOOKUP(2,1/(U282:AY282&lt;&gt;""),U$2:AY$2),"")</f>
        <v/>
      </c>
      <c r="O282" s="59" t="n"/>
      <c r="P282" s="59" t="n"/>
      <c r="Q282" s="59" t="n"/>
      <c r="R282" s="59" t="n"/>
      <c r="S282" s="14" t="n"/>
      <c r="U282" s="53" t="n"/>
      <c r="V282" s="53" t="n"/>
      <c r="W282" s="53" t="n"/>
      <c r="X282" s="53" t="n"/>
      <c r="Y282" s="53" t="n"/>
      <c r="Z282" s="53" t="n"/>
      <c r="AA282" s="53" t="n"/>
      <c r="AB282" s="53" t="n"/>
      <c r="AC282" s="53" t="n"/>
      <c r="AD282" s="53" t="n"/>
      <c r="AE282" s="53" t="n"/>
      <c r="AF282" s="53" t="n"/>
      <c r="AG282" s="53" t="n"/>
      <c r="AH282" s="53" t="n"/>
      <c r="AI282" s="53" t="n"/>
      <c r="AJ282" s="53" t="n"/>
      <c r="AK282" s="53" t="n"/>
      <c r="AL282" s="53" t="n"/>
      <c r="AM282" s="53" t="n"/>
      <c r="AN282" s="53" t="n"/>
      <c r="AO282" s="53" t="n"/>
      <c r="AP282" s="53" t="n"/>
      <c r="AQ282" s="53" t="n"/>
      <c r="AR282" s="53" t="n"/>
      <c r="AS282" s="53" t="n"/>
      <c r="AT282" s="53" t="n"/>
      <c r="AU282" s="53" t="n"/>
      <c r="AV282" s="53" t="n"/>
      <c r="AW282" s="53" t="n"/>
      <c r="AX282" s="53" t="n"/>
      <c r="AY282" s="53" t="n"/>
    </row>
    <row r="283" ht="15" customHeight="1">
      <c r="A283" s="40">
        <f>IF($D$283="","",91)</f>
        <v/>
      </c>
      <c r="B283" s="10" t="n"/>
      <c r="C283" s="41" t="inlineStr">
        <is>
          <t>기타</t>
        </is>
      </c>
      <c r="D283" s="42" t="n"/>
      <c r="E283" s="43" t="inlineStr">
        <is>
          <t>기획</t>
        </is>
      </c>
      <c r="F283" s="44" t="n"/>
      <c r="G283" s="45" t="n"/>
      <c r="H283" s="46">
        <f>IF($I$283="","",IF($I$283&lt;0,"🔴지연",IF($I$283&lt;=1,"🟡임박","🟢여유")))</f>
        <v/>
      </c>
      <c r="I283" s="47">
        <f>IF(OR($G$283="",$K$283=""),"",$G$283-$K$283)</f>
        <v/>
      </c>
      <c r="J283" s="48">
        <f>IF(SUM($L$283:$L$285)=0,"",SUM($L$283:$L$285))</f>
        <v/>
      </c>
      <c r="K283" s="49">
        <f>IF($J$283="","",MAX($N$283:$N$285))</f>
        <v/>
      </c>
      <c r="L283" s="50">
        <f>IF(SUM(U283:AY283)=0,"",SUM(U283:AY283))</f>
        <v/>
      </c>
      <c r="M283" s="51">
        <f>IFERROR(INDEX(U$2:AY$2,MATCH(TRUE,INDEX(U283:AY283&lt;&gt;"",0),0)),"")</f>
        <v/>
      </c>
      <c r="N283" s="51">
        <f>IFERROR(LOOKUP(2,1/(U283:AY283&lt;&gt;""),U$2:AY$2),"")</f>
        <v/>
      </c>
      <c r="O283" s="52" t="n"/>
      <c r="P283" s="52" t="n"/>
      <c r="Q283" s="52" t="n"/>
      <c r="R283" s="44" t="n"/>
      <c r="S283" s="14" t="n"/>
      <c r="U283" s="53" t="n"/>
      <c r="V283" s="53" t="n"/>
      <c r="W283" s="53" t="n"/>
      <c r="X283" s="53" t="n"/>
      <c r="Y283" s="53" t="n"/>
      <c r="Z283" s="53" t="n"/>
      <c r="AA283" s="53" t="n"/>
      <c r="AB283" s="53" t="n"/>
      <c r="AC283" s="53" t="n"/>
      <c r="AD283" s="53" t="n"/>
      <c r="AE283" s="53" t="n"/>
      <c r="AF283" s="53" t="n"/>
      <c r="AG283" s="53" t="n"/>
      <c r="AH283" s="53" t="n"/>
      <c r="AI283" s="53" t="n"/>
      <c r="AJ283" s="53" t="n"/>
      <c r="AK283" s="53" t="n"/>
      <c r="AL283" s="53" t="n"/>
      <c r="AM283" s="53" t="n"/>
      <c r="AN283" s="53" t="n"/>
      <c r="AO283" s="53" t="n"/>
      <c r="AP283" s="53" t="n"/>
      <c r="AQ283" s="53" t="n"/>
      <c r="AR283" s="53" t="n"/>
      <c r="AS283" s="53" t="n"/>
      <c r="AT283" s="53" t="n"/>
      <c r="AU283" s="53" t="n"/>
      <c r="AV283" s="53" t="n"/>
      <c r="AW283" s="53" t="n"/>
      <c r="AX283" s="53" t="n"/>
      <c r="AY283" s="53" t="n"/>
    </row>
    <row r="284" ht="15" customHeight="1">
      <c r="A284" s="54" t="n"/>
      <c r="B284" s="55">
        <f>IF($B$283="","",$B$283)</f>
        <v/>
      </c>
      <c r="C284" s="56" t="inlineStr">
        <is>
          <t>기타</t>
        </is>
      </c>
      <c r="D284" s="55">
        <f>IF($D$283="","",$D$283)</f>
        <v/>
      </c>
      <c r="E284" s="57" t="inlineStr">
        <is>
          <t>이미지</t>
        </is>
      </c>
      <c r="F284" s="44" t="n"/>
      <c r="G284" s="58">
        <f>IF($G$283="","",$G$283)</f>
        <v/>
      </c>
      <c r="H284" s="59" t="n"/>
      <c r="I284" s="59" t="n"/>
      <c r="J284" s="59" t="n"/>
      <c r="K284" s="59" t="n"/>
      <c r="L284" s="60">
        <f>IF(SUM(U284:AY284)=0,"",SUM(U284:AY284))</f>
        <v/>
      </c>
      <c r="M284" s="61">
        <f>IFERROR(INDEX(U$2:AY$2,MATCH(TRUE,INDEX(U284:AY284&lt;&gt;"",0),0)),"")</f>
        <v/>
      </c>
      <c r="N284" s="61">
        <f>IFERROR(LOOKUP(2,1/(U284:AY284&lt;&gt;""),U$2:AY$2),"")</f>
        <v/>
      </c>
      <c r="O284" s="59" t="n"/>
      <c r="P284" s="59" t="n"/>
      <c r="Q284" s="59" t="n"/>
      <c r="R284" s="59" t="n"/>
      <c r="S284" s="14" t="n"/>
      <c r="U284" s="53" t="n"/>
      <c r="V284" s="53" t="n"/>
      <c r="W284" s="53" t="n"/>
      <c r="X284" s="53" t="n"/>
      <c r="Y284" s="53" t="n"/>
      <c r="Z284" s="53" t="n"/>
      <c r="AA284" s="53" t="n"/>
      <c r="AB284" s="53" t="n"/>
      <c r="AC284" s="53" t="n"/>
      <c r="AD284" s="53" t="n"/>
      <c r="AE284" s="53" t="n"/>
      <c r="AF284" s="53" t="n"/>
      <c r="AG284" s="53" t="n"/>
      <c r="AH284" s="53" t="n"/>
      <c r="AI284" s="53" t="n"/>
      <c r="AJ284" s="53" t="n"/>
      <c r="AK284" s="53" t="n"/>
      <c r="AL284" s="53" t="n"/>
      <c r="AM284" s="53" t="n"/>
      <c r="AN284" s="53" t="n"/>
      <c r="AO284" s="53" t="n"/>
      <c r="AP284" s="53" t="n"/>
      <c r="AQ284" s="53" t="n"/>
      <c r="AR284" s="53" t="n"/>
      <c r="AS284" s="53" t="n"/>
      <c r="AT284" s="53" t="n"/>
      <c r="AU284" s="53" t="n"/>
      <c r="AV284" s="53" t="n"/>
      <c r="AW284" s="53" t="n"/>
      <c r="AX284" s="53" t="n"/>
      <c r="AY284" s="53" t="n"/>
    </row>
    <row r="285" ht="15" customHeight="1">
      <c r="A285" s="62" t="n"/>
      <c r="B285" s="55">
        <f>IF($B$283="","",$B$283)</f>
        <v/>
      </c>
      <c r="C285" s="63" t="inlineStr">
        <is>
          <t>기타</t>
        </is>
      </c>
      <c r="D285" s="55">
        <f>IF($D$283="","",$D$283)</f>
        <v/>
      </c>
      <c r="E285" s="64" t="inlineStr">
        <is>
          <t>영상</t>
        </is>
      </c>
      <c r="F285" s="44" t="n"/>
      <c r="G285" s="58">
        <f>IF($G$283="","",$G$283)</f>
        <v/>
      </c>
      <c r="H285" s="59" t="n"/>
      <c r="I285" s="59" t="n"/>
      <c r="J285" s="59" t="n"/>
      <c r="K285" s="59" t="n"/>
      <c r="L285" s="65">
        <f>IF(SUM(U285:AY285)=0,"",SUM(U285:AY285))</f>
        <v/>
      </c>
      <c r="M285" s="66">
        <f>IFERROR(INDEX(U$2:AY$2,MATCH(TRUE,INDEX(U285:AY285&lt;&gt;"",0),0)),"")</f>
        <v/>
      </c>
      <c r="N285" s="66">
        <f>IFERROR(LOOKUP(2,1/(U285:AY285&lt;&gt;""),U$2:AY$2),"")</f>
        <v/>
      </c>
      <c r="O285" s="59" t="n"/>
      <c r="P285" s="59" t="n"/>
      <c r="Q285" s="59" t="n"/>
      <c r="R285" s="59" t="n"/>
      <c r="S285" s="14" t="n"/>
      <c r="U285" s="53" t="n"/>
      <c r="V285" s="53" t="n"/>
      <c r="W285" s="53" t="n"/>
      <c r="X285" s="53" t="n"/>
      <c r="Y285" s="53" t="n"/>
      <c r="Z285" s="53" t="n"/>
      <c r="AA285" s="53" t="n"/>
      <c r="AB285" s="53" t="n"/>
      <c r="AC285" s="53" t="n"/>
      <c r="AD285" s="53" t="n"/>
      <c r="AE285" s="53" t="n"/>
      <c r="AF285" s="53" t="n"/>
      <c r="AG285" s="53" t="n"/>
      <c r="AH285" s="53" t="n"/>
      <c r="AI285" s="53" t="n"/>
      <c r="AJ285" s="53" t="n"/>
      <c r="AK285" s="53" t="n"/>
      <c r="AL285" s="53" t="n"/>
      <c r="AM285" s="53" t="n"/>
      <c r="AN285" s="53" t="n"/>
      <c r="AO285" s="53" t="n"/>
      <c r="AP285" s="53" t="n"/>
      <c r="AQ285" s="53" t="n"/>
      <c r="AR285" s="53" t="n"/>
      <c r="AS285" s="53" t="n"/>
      <c r="AT285" s="53" t="n"/>
      <c r="AU285" s="53" t="n"/>
      <c r="AV285" s="53" t="n"/>
      <c r="AW285" s="53" t="n"/>
      <c r="AX285" s="53" t="n"/>
      <c r="AY285" s="53" t="n"/>
    </row>
    <row r="286" ht="15" customHeight="1">
      <c r="A286" s="40">
        <f>IF($D$286="","",92)</f>
        <v/>
      </c>
      <c r="B286" s="10" t="n"/>
      <c r="C286" s="41" t="inlineStr">
        <is>
          <t>기타</t>
        </is>
      </c>
      <c r="D286" s="42" t="n"/>
      <c r="E286" s="43" t="inlineStr">
        <is>
          <t>기획</t>
        </is>
      </c>
      <c r="F286" s="44" t="n"/>
      <c r="G286" s="45" t="n"/>
      <c r="H286" s="46">
        <f>IF($I$286="","",IF($I$286&lt;0,"🔴지연",IF($I$286&lt;=1,"🟡임박","🟢여유")))</f>
        <v/>
      </c>
      <c r="I286" s="47">
        <f>IF(OR($G$286="",$K$286=""),"",$G$286-$K$286)</f>
        <v/>
      </c>
      <c r="J286" s="48">
        <f>IF(SUM($L$286:$L$288)=0,"",SUM($L$286:$L$288))</f>
        <v/>
      </c>
      <c r="K286" s="49">
        <f>IF($J$286="","",MAX($N$286:$N$288))</f>
        <v/>
      </c>
      <c r="L286" s="50">
        <f>IF(SUM(U286:AY286)=0,"",SUM(U286:AY286))</f>
        <v/>
      </c>
      <c r="M286" s="51">
        <f>IFERROR(INDEX(U$2:AY$2,MATCH(TRUE,INDEX(U286:AY286&lt;&gt;"",0),0)),"")</f>
        <v/>
      </c>
      <c r="N286" s="51">
        <f>IFERROR(LOOKUP(2,1/(U286:AY286&lt;&gt;""),U$2:AY$2),"")</f>
        <v/>
      </c>
      <c r="O286" s="52" t="n"/>
      <c r="P286" s="52" t="n"/>
      <c r="Q286" s="52" t="n"/>
      <c r="R286" s="44" t="n"/>
      <c r="S286" s="14" t="n"/>
      <c r="U286" s="53" t="n"/>
      <c r="V286" s="53" t="n"/>
      <c r="W286" s="53" t="n"/>
      <c r="X286" s="53" t="n"/>
      <c r="Y286" s="53" t="n"/>
      <c r="Z286" s="53" t="n"/>
      <c r="AA286" s="53" t="n"/>
      <c r="AB286" s="53" t="n"/>
      <c r="AC286" s="53" t="n"/>
      <c r="AD286" s="53" t="n"/>
      <c r="AE286" s="53" t="n"/>
      <c r="AF286" s="53" t="n"/>
      <c r="AG286" s="53" t="n"/>
      <c r="AH286" s="53" t="n"/>
      <c r="AI286" s="53" t="n"/>
      <c r="AJ286" s="53" t="n"/>
      <c r="AK286" s="53" t="n"/>
      <c r="AL286" s="53" t="n"/>
      <c r="AM286" s="53" t="n"/>
      <c r="AN286" s="53" t="n"/>
      <c r="AO286" s="53" t="n"/>
      <c r="AP286" s="53" t="n"/>
      <c r="AQ286" s="53" t="n"/>
      <c r="AR286" s="53" t="n"/>
      <c r="AS286" s="53" t="n"/>
      <c r="AT286" s="53" t="n"/>
      <c r="AU286" s="53" t="n"/>
      <c r="AV286" s="53" t="n"/>
      <c r="AW286" s="53" t="n"/>
      <c r="AX286" s="53" t="n"/>
      <c r="AY286" s="53" t="n"/>
    </row>
    <row r="287" ht="15" customHeight="1">
      <c r="A287" s="54" t="n"/>
      <c r="B287" s="55">
        <f>IF($B$286="","",$B$286)</f>
        <v/>
      </c>
      <c r="C287" s="56" t="inlineStr">
        <is>
          <t>기타</t>
        </is>
      </c>
      <c r="D287" s="55">
        <f>IF($D$286="","",$D$286)</f>
        <v/>
      </c>
      <c r="E287" s="57" t="inlineStr">
        <is>
          <t>이미지</t>
        </is>
      </c>
      <c r="F287" s="44" t="n"/>
      <c r="G287" s="58">
        <f>IF($G$286="","",$G$286)</f>
        <v/>
      </c>
      <c r="H287" s="59" t="n"/>
      <c r="I287" s="59" t="n"/>
      <c r="J287" s="59" t="n"/>
      <c r="K287" s="59" t="n"/>
      <c r="L287" s="60">
        <f>IF(SUM(U287:AY287)=0,"",SUM(U287:AY287))</f>
        <v/>
      </c>
      <c r="M287" s="61">
        <f>IFERROR(INDEX(U$2:AY$2,MATCH(TRUE,INDEX(U287:AY287&lt;&gt;"",0),0)),"")</f>
        <v/>
      </c>
      <c r="N287" s="61">
        <f>IFERROR(LOOKUP(2,1/(U287:AY287&lt;&gt;""),U$2:AY$2),"")</f>
        <v/>
      </c>
      <c r="O287" s="59" t="n"/>
      <c r="P287" s="59" t="n"/>
      <c r="Q287" s="59" t="n"/>
      <c r="R287" s="59" t="n"/>
      <c r="S287" s="14" t="n"/>
      <c r="U287" s="53" t="n"/>
      <c r="V287" s="53" t="n"/>
      <c r="W287" s="53" t="n"/>
      <c r="X287" s="53" t="n"/>
      <c r="Y287" s="53" t="n"/>
      <c r="Z287" s="53" t="n"/>
      <c r="AA287" s="53" t="n"/>
      <c r="AB287" s="53" t="n"/>
      <c r="AC287" s="53" t="n"/>
      <c r="AD287" s="53" t="n"/>
      <c r="AE287" s="53" t="n"/>
      <c r="AF287" s="53" t="n"/>
      <c r="AG287" s="53" t="n"/>
      <c r="AH287" s="53" t="n"/>
      <c r="AI287" s="53" t="n"/>
      <c r="AJ287" s="53" t="n"/>
      <c r="AK287" s="53" t="n"/>
      <c r="AL287" s="53" t="n"/>
      <c r="AM287" s="53" t="n"/>
      <c r="AN287" s="53" t="n"/>
      <c r="AO287" s="53" t="n"/>
      <c r="AP287" s="53" t="n"/>
      <c r="AQ287" s="53" t="n"/>
      <c r="AR287" s="53" t="n"/>
      <c r="AS287" s="53" t="n"/>
      <c r="AT287" s="53" t="n"/>
      <c r="AU287" s="53" t="n"/>
      <c r="AV287" s="53" t="n"/>
      <c r="AW287" s="53" t="n"/>
      <c r="AX287" s="53" t="n"/>
      <c r="AY287" s="53" t="n"/>
    </row>
    <row r="288" ht="15" customHeight="1">
      <c r="A288" s="62" t="n"/>
      <c r="B288" s="55">
        <f>IF($B$286="","",$B$286)</f>
        <v/>
      </c>
      <c r="C288" s="63" t="inlineStr">
        <is>
          <t>기타</t>
        </is>
      </c>
      <c r="D288" s="55">
        <f>IF($D$286="","",$D$286)</f>
        <v/>
      </c>
      <c r="E288" s="64" t="inlineStr">
        <is>
          <t>영상</t>
        </is>
      </c>
      <c r="F288" s="44" t="n"/>
      <c r="G288" s="58">
        <f>IF($G$286="","",$G$286)</f>
        <v/>
      </c>
      <c r="H288" s="59" t="n"/>
      <c r="I288" s="59" t="n"/>
      <c r="J288" s="59" t="n"/>
      <c r="K288" s="59" t="n"/>
      <c r="L288" s="65">
        <f>IF(SUM(U288:AY288)=0,"",SUM(U288:AY288))</f>
        <v/>
      </c>
      <c r="M288" s="66">
        <f>IFERROR(INDEX(U$2:AY$2,MATCH(TRUE,INDEX(U288:AY288&lt;&gt;"",0),0)),"")</f>
        <v/>
      </c>
      <c r="N288" s="66">
        <f>IFERROR(LOOKUP(2,1/(U288:AY288&lt;&gt;""),U$2:AY$2),"")</f>
        <v/>
      </c>
      <c r="O288" s="59" t="n"/>
      <c r="P288" s="59" t="n"/>
      <c r="Q288" s="59" t="n"/>
      <c r="R288" s="59" t="n"/>
      <c r="S288" s="14" t="n"/>
      <c r="U288" s="53" t="n"/>
      <c r="V288" s="53" t="n"/>
      <c r="W288" s="53" t="n"/>
      <c r="X288" s="53" t="n"/>
      <c r="Y288" s="53" t="n"/>
      <c r="Z288" s="53" t="n"/>
      <c r="AA288" s="53" t="n"/>
      <c r="AB288" s="53" t="n"/>
      <c r="AC288" s="53" t="n"/>
      <c r="AD288" s="53" t="n"/>
      <c r="AE288" s="53" t="n"/>
      <c r="AF288" s="53" t="n"/>
      <c r="AG288" s="53" t="n"/>
      <c r="AH288" s="53" t="n"/>
      <c r="AI288" s="53" t="n"/>
      <c r="AJ288" s="53" t="n"/>
      <c r="AK288" s="53" t="n"/>
      <c r="AL288" s="53" t="n"/>
      <c r="AM288" s="53" t="n"/>
      <c r="AN288" s="53" t="n"/>
      <c r="AO288" s="53" t="n"/>
      <c r="AP288" s="53" t="n"/>
      <c r="AQ288" s="53" t="n"/>
      <c r="AR288" s="53" t="n"/>
      <c r="AS288" s="53" t="n"/>
      <c r="AT288" s="53" t="n"/>
      <c r="AU288" s="53" t="n"/>
      <c r="AV288" s="53" t="n"/>
      <c r="AW288" s="53" t="n"/>
      <c r="AX288" s="53" t="n"/>
      <c r="AY288" s="53" t="n"/>
    </row>
    <row r="289" ht="15" customHeight="1">
      <c r="A289" s="40">
        <f>IF($D$289="","",93)</f>
        <v/>
      </c>
      <c r="B289" s="10" t="n"/>
      <c r="C289" s="41" t="inlineStr">
        <is>
          <t>기타</t>
        </is>
      </c>
      <c r="D289" s="42" t="n"/>
      <c r="E289" s="43" t="inlineStr">
        <is>
          <t>기획</t>
        </is>
      </c>
      <c r="F289" s="44" t="n"/>
      <c r="G289" s="45" t="n"/>
      <c r="H289" s="46">
        <f>IF($I$289="","",IF($I$289&lt;0,"🔴지연",IF($I$289&lt;=1,"🟡임박","🟢여유")))</f>
        <v/>
      </c>
      <c r="I289" s="47">
        <f>IF(OR($G$289="",$K$289=""),"",$G$289-$K$289)</f>
        <v/>
      </c>
      <c r="J289" s="48">
        <f>IF(SUM($L$289:$L$291)=0,"",SUM($L$289:$L$291))</f>
        <v/>
      </c>
      <c r="K289" s="49">
        <f>IF($J$289="","",MAX($N$289:$N$291))</f>
        <v/>
      </c>
      <c r="L289" s="50">
        <f>IF(SUM(U289:AY289)=0,"",SUM(U289:AY289))</f>
        <v/>
      </c>
      <c r="M289" s="51">
        <f>IFERROR(INDEX(U$2:AY$2,MATCH(TRUE,INDEX(U289:AY289&lt;&gt;"",0),0)),"")</f>
        <v/>
      </c>
      <c r="N289" s="51">
        <f>IFERROR(LOOKUP(2,1/(U289:AY289&lt;&gt;""),U$2:AY$2),"")</f>
        <v/>
      </c>
      <c r="O289" s="52" t="n"/>
      <c r="P289" s="52" t="n"/>
      <c r="Q289" s="52" t="n"/>
      <c r="R289" s="44" t="n"/>
      <c r="S289" s="14" t="n"/>
      <c r="U289" s="53" t="n"/>
      <c r="V289" s="53" t="n"/>
      <c r="W289" s="53" t="n"/>
      <c r="X289" s="53" t="n"/>
      <c r="Y289" s="53" t="n"/>
      <c r="Z289" s="53" t="n"/>
      <c r="AA289" s="53" t="n"/>
      <c r="AB289" s="53" t="n"/>
      <c r="AC289" s="53" t="n"/>
      <c r="AD289" s="53" t="n"/>
      <c r="AE289" s="53" t="n"/>
      <c r="AF289" s="53" t="n"/>
      <c r="AG289" s="53" t="n"/>
      <c r="AH289" s="53" t="n"/>
      <c r="AI289" s="53" t="n"/>
      <c r="AJ289" s="53" t="n"/>
      <c r="AK289" s="53" t="n"/>
      <c r="AL289" s="53" t="n"/>
      <c r="AM289" s="53" t="n"/>
      <c r="AN289" s="53" t="n"/>
      <c r="AO289" s="53" t="n"/>
      <c r="AP289" s="53" t="n"/>
      <c r="AQ289" s="53" t="n"/>
      <c r="AR289" s="53" t="n"/>
      <c r="AS289" s="53" t="n"/>
      <c r="AT289" s="53" t="n"/>
      <c r="AU289" s="53" t="n"/>
      <c r="AV289" s="53" t="n"/>
      <c r="AW289" s="53" t="n"/>
      <c r="AX289" s="53" t="n"/>
      <c r="AY289" s="53" t="n"/>
    </row>
    <row r="290" ht="15" customHeight="1">
      <c r="A290" s="54" t="n"/>
      <c r="B290" s="55">
        <f>IF($B$289="","",$B$289)</f>
        <v/>
      </c>
      <c r="C290" s="56" t="inlineStr">
        <is>
          <t>기타</t>
        </is>
      </c>
      <c r="D290" s="55">
        <f>IF($D$289="","",$D$289)</f>
        <v/>
      </c>
      <c r="E290" s="57" t="inlineStr">
        <is>
          <t>이미지</t>
        </is>
      </c>
      <c r="F290" s="44" t="n"/>
      <c r="G290" s="58">
        <f>IF($G$289="","",$G$289)</f>
        <v/>
      </c>
      <c r="H290" s="59" t="n"/>
      <c r="I290" s="59" t="n"/>
      <c r="J290" s="59" t="n"/>
      <c r="K290" s="59" t="n"/>
      <c r="L290" s="60">
        <f>IF(SUM(U290:AY290)=0,"",SUM(U290:AY290))</f>
        <v/>
      </c>
      <c r="M290" s="61">
        <f>IFERROR(INDEX(U$2:AY$2,MATCH(TRUE,INDEX(U290:AY290&lt;&gt;"",0),0)),"")</f>
        <v/>
      </c>
      <c r="N290" s="61">
        <f>IFERROR(LOOKUP(2,1/(U290:AY290&lt;&gt;""),U$2:AY$2),"")</f>
        <v/>
      </c>
      <c r="O290" s="59" t="n"/>
      <c r="P290" s="59" t="n"/>
      <c r="Q290" s="59" t="n"/>
      <c r="R290" s="59" t="n"/>
      <c r="S290" s="14" t="n"/>
      <c r="U290" s="53" t="n"/>
      <c r="V290" s="53" t="n"/>
      <c r="W290" s="53" t="n"/>
      <c r="X290" s="53" t="n"/>
      <c r="Y290" s="53" t="n"/>
      <c r="Z290" s="53" t="n"/>
      <c r="AA290" s="53" t="n"/>
      <c r="AB290" s="53" t="n"/>
      <c r="AC290" s="53" t="n"/>
      <c r="AD290" s="53" t="n"/>
      <c r="AE290" s="53" t="n"/>
      <c r="AF290" s="53" t="n"/>
      <c r="AG290" s="53" t="n"/>
      <c r="AH290" s="53" t="n"/>
      <c r="AI290" s="53" t="n"/>
      <c r="AJ290" s="53" t="n"/>
      <c r="AK290" s="53" t="n"/>
      <c r="AL290" s="53" t="n"/>
      <c r="AM290" s="53" t="n"/>
      <c r="AN290" s="53" t="n"/>
      <c r="AO290" s="53" t="n"/>
      <c r="AP290" s="53" t="n"/>
      <c r="AQ290" s="53" t="n"/>
      <c r="AR290" s="53" t="n"/>
      <c r="AS290" s="53" t="n"/>
      <c r="AT290" s="53" t="n"/>
      <c r="AU290" s="53" t="n"/>
      <c r="AV290" s="53" t="n"/>
      <c r="AW290" s="53" t="n"/>
      <c r="AX290" s="53" t="n"/>
      <c r="AY290" s="53" t="n"/>
    </row>
    <row r="291" ht="15" customHeight="1">
      <c r="A291" s="62" t="n"/>
      <c r="B291" s="55">
        <f>IF($B$289="","",$B$289)</f>
        <v/>
      </c>
      <c r="C291" s="63" t="inlineStr">
        <is>
          <t>기타</t>
        </is>
      </c>
      <c r="D291" s="55">
        <f>IF($D$289="","",$D$289)</f>
        <v/>
      </c>
      <c r="E291" s="64" t="inlineStr">
        <is>
          <t>영상</t>
        </is>
      </c>
      <c r="F291" s="44" t="n"/>
      <c r="G291" s="58">
        <f>IF($G$289="","",$G$289)</f>
        <v/>
      </c>
      <c r="H291" s="59" t="n"/>
      <c r="I291" s="59" t="n"/>
      <c r="J291" s="59" t="n"/>
      <c r="K291" s="59" t="n"/>
      <c r="L291" s="65">
        <f>IF(SUM(U291:AY291)=0,"",SUM(U291:AY291))</f>
        <v/>
      </c>
      <c r="M291" s="66">
        <f>IFERROR(INDEX(U$2:AY$2,MATCH(TRUE,INDEX(U291:AY291&lt;&gt;"",0),0)),"")</f>
        <v/>
      </c>
      <c r="N291" s="66">
        <f>IFERROR(LOOKUP(2,1/(U291:AY291&lt;&gt;""),U$2:AY$2),"")</f>
        <v/>
      </c>
      <c r="O291" s="59" t="n"/>
      <c r="P291" s="59" t="n"/>
      <c r="Q291" s="59" t="n"/>
      <c r="R291" s="59" t="n"/>
      <c r="S291" s="14" t="n"/>
      <c r="U291" s="53" t="n"/>
      <c r="V291" s="53" t="n"/>
      <c r="W291" s="53" t="n"/>
      <c r="X291" s="53" t="n"/>
      <c r="Y291" s="53" t="n"/>
      <c r="Z291" s="53" t="n"/>
      <c r="AA291" s="53" t="n"/>
      <c r="AB291" s="53" t="n"/>
      <c r="AC291" s="53" t="n"/>
      <c r="AD291" s="53" t="n"/>
      <c r="AE291" s="53" t="n"/>
      <c r="AF291" s="53" t="n"/>
      <c r="AG291" s="53" t="n"/>
      <c r="AH291" s="53" t="n"/>
      <c r="AI291" s="53" t="n"/>
      <c r="AJ291" s="53" t="n"/>
      <c r="AK291" s="53" t="n"/>
      <c r="AL291" s="53" t="n"/>
      <c r="AM291" s="53" t="n"/>
      <c r="AN291" s="53" t="n"/>
      <c r="AO291" s="53" t="n"/>
      <c r="AP291" s="53" t="n"/>
      <c r="AQ291" s="53" t="n"/>
      <c r="AR291" s="53" t="n"/>
      <c r="AS291" s="53" t="n"/>
      <c r="AT291" s="53" t="n"/>
      <c r="AU291" s="53" t="n"/>
      <c r="AV291" s="53" t="n"/>
      <c r="AW291" s="53" t="n"/>
      <c r="AX291" s="53" t="n"/>
      <c r="AY291" s="53" t="n"/>
    </row>
    <row r="292" ht="15" customHeight="1">
      <c r="A292" s="40">
        <f>IF($D$292="","",94)</f>
        <v/>
      </c>
      <c r="B292" s="10" t="n"/>
      <c r="C292" s="41" t="inlineStr">
        <is>
          <t>기타</t>
        </is>
      </c>
      <c r="D292" s="42" t="n"/>
      <c r="E292" s="43" t="inlineStr">
        <is>
          <t>기획</t>
        </is>
      </c>
      <c r="F292" s="44" t="n"/>
      <c r="G292" s="45" t="n"/>
      <c r="H292" s="46">
        <f>IF($I$292="","",IF($I$292&lt;0,"🔴지연",IF($I$292&lt;=1,"🟡임박","🟢여유")))</f>
        <v/>
      </c>
      <c r="I292" s="47">
        <f>IF(OR($G$292="",$K$292=""),"",$G$292-$K$292)</f>
        <v/>
      </c>
      <c r="J292" s="48">
        <f>IF(SUM($L$292:$L$294)=0,"",SUM($L$292:$L$294))</f>
        <v/>
      </c>
      <c r="K292" s="49">
        <f>IF($J$292="","",MAX($N$292:$N$294))</f>
        <v/>
      </c>
      <c r="L292" s="50">
        <f>IF(SUM(U292:AY292)=0,"",SUM(U292:AY292))</f>
        <v/>
      </c>
      <c r="M292" s="51">
        <f>IFERROR(INDEX(U$2:AY$2,MATCH(TRUE,INDEX(U292:AY292&lt;&gt;"",0),0)),"")</f>
        <v/>
      </c>
      <c r="N292" s="51">
        <f>IFERROR(LOOKUP(2,1/(U292:AY292&lt;&gt;""),U$2:AY$2),"")</f>
        <v/>
      </c>
      <c r="O292" s="52" t="n"/>
      <c r="P292" s="52" t="n"/>
      <c r="Q292" s="52" t="n"/>
      <c r="R292" s="44" t="n"/>
      <c r="S292" s="14" t="n"/>
      <c r="U292" s="53" t="n"/>
      <c r="V292" s="53" t="n"/>
      <c r="W292" s="53" t="n"/>
      <c r="X292" s="53" t="n"/>
      <c r="Y292" s="53" t="n"/>
      <c r="Z292" s="53" t="n"/>
      <c r="AA292" s="53" t="n"/>
      <c r="AB292" s="53" t="n"/>
      <c r="AC292" s="53" t="n"/>
      <c r="AD292" s="53" t="n"/>
      <c r="AE292" s="53" t="n"/>
      <c r="AF292" s="53" t="n"/>
      <c r="AG292" s="53" t="n"/>
      <c r="AH292" s="53" t="n"/>
      <c r="AI292" s="53" t="n"/>
      <c r="AJ292" s="53" t="n"/>
      <c r="AK292" s="53" t="n"/>
      <c r="AL292" s="53" t="n"/>
      <c r="AM292" s="53" t="n"/>
      <c r="AN292" s="53" t="n"/>
      <c r="AO292" s="53" t="n"/>
      <c r="AP292" s="53" t="n"/>
      <c r="AQ292" s="53" t="n"/>
      <c r="AR292" s="53" t="n"/>
      <c r="AS292" s="53" t="n"/>
      <c r="AT292" s="53" t="n"/>
      <c r="AU292" s="53" t="n"/>
      <c r="AV292" s="53" t="n"/>
      <c r="AW292" s="53" t="n"/>
      <c r="AX292" s="53" t="n"/>
      <c r="AY292" s="53" t="n"/>
    </row>
    <row r="293" ht="15" customHeight="1">
      <c r="A293" s="54" t="n"/>
      <c r="B293" s="55">
        <f>IF($B$292="","",$B$292)</f>
        <v/>
      </c>
      <c r="C293" s="56" t="inlineStr">
        <is>
          <t>기타</t>
        </is>
      </c>
      <c r="D293" s="55">
        <f>IF($D$292="","",$D$292)</f>
        <v/>
      </c>
      <c r="E293" s="57" t="inlineStr">
        <is>
          <t>이미지</t>
        </is>
      </c>
      <c r="F293" s="44" t="n"/>
      <c r="G293" s="58">
        <f>IF($G$292="","",$G$292)</f>
        <v/>
      </c>
      <c r="H293" s="59" t="n"/>
      <c r="I293" s="59" t="n"/>
      <c r="J293" s="59" t="n"/>
      <c r="K293" s="59" t="n"/>
      <c r="L293" s="60">
        <f>IF(SUM(U293:AY293)=0,"",SUM(U293:AY293))</f>
        <v/>
      </c>
      <c r="M293" s="61">
        <f>IFERROR(INDEX(U$2:AY$2,MATCH(TRUE,INDEX(U293:AY293&lt;&gt;"",0),0)),"")</f>
        <v/>
      </c>
      <c r="N293" s="61">
        <f>IFERROR(LOOKUP(2,1/(U293:AY293&lt;&gt;""),U$2:AY$2),"")</f>
        <v/>
      </c>
      <c r="O293" s="59" t="n"/>
      <c r="P293" s="59" t="n"/>
      <c r="Q293" s="59" t="n"/>
      <c r="R293" s="59" t="n"/>
      <c r="S293" s="14" t="n"/>
      <c r="U293" s="53" t="n"/>
      <c r="V293" s="53" t="n"/>
      <c r="W293" s="53" t="n"/>
      <c r="X293" s="53" t="n"/>
      <c r="Y293" s="53" t="n"/>
      <c r="Z293" s="53" t="n"/>
      <c r="AA293" s="53" t="n"/>
      <c r="AB293" s="53" t="n"/>
      <c r="AC293" s="53" t="n"/>
      <c r="AD293" s="53" t="n"/>
      <c r="AE293" s="53" t="n"/>
      <c r="AF293" s="53" t="n"/>
      <c r="AG293" s="53" t="n"/>
      <c r="AH293" s="53" t="n"/>
      <c r="AI293" s="53" t="n"/>
      <c r="AJ293" s="53" t="n"/>
      <c r="AK293" s="53" t="n"/>
      <c r="AL293" s="53" t="n"/>
      <c r="AM293" s="53" t="n"/>
      <c r="AN293" s="53" t="n"/>
      <c r="AO293" s="53" t="n"/>
      <c r="AP293" s="53" t="n"/>
      <c r="AQ293" s="53" t="n"/>
      <c r="AR293" s="53" t="n"/>
      <c r="AS293" s="53" t="n"/>
      <c r="AT293" s="53" t="n"/>
      <c r="AU293" s="53" t="n"/>
      <c r="AV293" s="53" t="n"/>
      <c r="AW293" s="53" t="n"/>
      <c r="AX293" s="53" t="n"/>
      <c r="AY293" s="53" t="n"/>
    </row>
    <row r="294" ht="15" customHeight="1">
      <c r="A294" s="62" t="n"/>
      <c r="B294" s="55">
        <f>IF($B$292="","",$B$292)</f>
        <v/>
      </c>
      <c r="C294" s="63" t="inlineStr">
        <is>
          <t>기타</t>
        </is>
      </c>
      <c r="D294" s="55">
        <f>IF($D$292="","",$D$292)</f>
        <v/>
      </c>
      <c r="E294" s="64" t="inlineStr">
        <is>
          <t>영상</t>
        </is>
      </c>
      <c r="F294" s="44" t="n"/>
      <c r="G294" s="58">
        <f>IF($G$292="","",$G$292)</f>
        <v/>
      </c>
      <c r="H294" s="59" t="n"/>
      <c r="I294" s="59" t="n"/>
      <c r="J294" s="59" t="n"/>
      <c r="K294" s="59" t="n"/>
      <c r="L294" s="65">
        <f>IF(SUM(U294:AY294)=0,"",SUM(U294:AY294))</f>
        <v/>
      </c>
      <c r="M294" s="66">
        <f>IFERROR(INDEX(U$2:AY$2,MATCH(TRUE,INDEX(U294:AY294&lt;&gt;"",0),0)),"")</f>
        <v/>
      </c>
      <c r="N294" s="66">
        <f>IFERROR(LOOKUP(2,1/(U294:AY294&lt;&gt;""),U$2:AY$2),"")</f>
        <v/>
      </c>
      <c r="O294" s="59" t="n"/>
      <c r="P294" s="59" t="n"/>
      <c r="Q294" s="59" t="n"/>
      <c r="R294" s="59" t="n"/>
      <c r="S294" s="14" t="n"/>
      <c r="U294" s="53" t="n"/>
      <c r="V294" s="53" t="n"/>
      <c r="W294" s="53" t="n"/>
      <c r="X294" s="53" t="n"/>
      <c r="Y294" s="53" t="n"/>
      <c r="Z294" s="53" t="n"/>
      <c r="AA294" s="53" t="n"/>
      <c r="AB294" s="53" t="n"/>
      <c r="AC294" s="53" t="n"/>
      <c r="AD294" s="53" t="n"/>
      <c r="AE294" s="53" t="n"/>
      <c r="AF294" s="53" t="n"/>
      <c r="AG294" s="53" t="n"/>
      <c r="AH294" s="53" t="n"/>
      <c r="AI294" s="53" t="n"/>
      <c r="AJ294" s="53" t="n"/>
      <c r="AK294" s="53" t="n"/>
      <c r="AL294" s="53" t="n"/>
      <c r="AM294" s="53" t="n"/>
      <c r="AN294" s="53" t="n"/>
      <c r="AO294" s="53" t="n"/>
      <c r="AP294" s="53" t="n"/>
      <c r="AQ294" s="53" t="n"/>
      <c r="AR294" s="53" t="n"/>
      <c r="AS294" s="53" t="n"/>
      <c r="AT294" s="53" t="n"/>
      <c r="AU294" s="53" t="n"/>
      <c r="AV294" s="53" t="n"/>
      <c r="AW294" s="53" t="n"/>
      <c r="AX294" s="53" t="n"/>
      <c r="AY294" s="53" t="n"/>
    </row>
    <row r="295" ht="15" customHeight="1">
      <c r="A295" s="40">
        <f>IF($D$295="","",95)</f>
        <v/>
      </c>
      <c r="B295" s="10" t="n"/>
      <c r="C295" s="41" t="inlineStr">
        <is>
          <t>기타</t>
        </is>
      </c>
      <c r="D295" s="42" t="n"/>
      <c r="E295" s="43" t="inlineStr">
        <is>
          <t>기획</t>
        </is>
      </c>
      <c r="F295" s="44" t="n"/>
      <c r="G295" s="45" t="n"/>
      <c r="H295" s="46">
        <f>IF($I$295="","",IF($I$295&lt;0,"🔴지연",IF($I$295&lt;=1,"🟡임박","🟢여유")))</f>
        <v/>
      </c>
      <c r="I295" s="47">
        <f>IF(OR($G$295="",$K$295=""),"",$G$295-$K$295)</f>
        <v/>
      </c>
      <c r="J295" s="48">
        <f>IF(SUM($L$295:$L$297)=0,"",SUM($L$295:$L$297))</f>
        <v/>
      </c>
      <c r="K295" s="49">
        <f>IF($J$295="","",MAX($N$295:$N$297))</f>
        <v/>
      </c>
      <c r="L295" s="50">
        <f>IF(SUM(U295:AY295)=0,"",SUM(U295:AY295))</f>
        <v/>
      </c>
      <c r="M295" s="51">
        <f>IFERROR(INDEX(U$2:AY$2,MATCH(TRUE,INDEX(U295:AY295&lt;&gt;"",0),0)),"")</f>
        <v/>
      </c>
      <c r="N295" s="51">
        <f>IFERROR(LOOKUP(2,1/(U295:AY295&lt;&gt;""),U$2:AY$2),"")</f>
        <v/>
      </c>
      <c r="O295" s="52" t="n"/>
      <c r="P295" s="52" t="n"/>
      <c r="Q295" s="52" t="n"/>
      <c r="R295" s="44" t="n"/>
      <c r="S295" s="14" t="n"/>
      <c r="U295" s="53" t="n"/>
      <c r="V295" s="53" t="n"/>
      <c r="W295" s="53" t="n"/>
      <c r="X295" s="53" t="n"/>
      <c r="Y295" s="53" t="n"/>
      <c r="Z295" s="53" t="n"/>
      <c r="AA295" s="53" t="n"/>
      <c r="AB295" s="53" t="n"/>
      <c r="AC295" s="53" t="n"/>
      <c r="AD295" s="53" t="n"/>
      <c r="AE295" s="53" t="n"/>
      <c r="AF295" s="53" t="n"/>
      <c r="AG295" s="53" t="n"/>
      <c r="AH295" s="53" t="n"/>
      <c r="AI295" s="53" t="n"/>
      <c r="AJ295" s="53" t="n"/>
      <c r="AK295" s="53" t="n"/>
      <c r="AL295" s="53" t="n"/>
      <c r="AM295" s="53" t="n"/>
      <c r="AN295" s="53" t="n"/>
      <c r="AO295" s="53" t="n"/>
      <c r="AP295" s="53" t="n"/>
      <c r="AQ295" s="53" t="n"/>
      <c r="AR295" s="53" t="n"/>
      <c r="AS295" s="53" t="n"/>
      <c r="AT295" s="53" t="n"/>
      <c r="AU295" s="53" t="n"/>
      <c r="AV295" s="53" t="n"/>
      <c r="AW295" s="53" t="n"/>
      <c r="AX295" s="53" t="n"/>
      <c r="AY295" s="53" t="n"/>
    </row>
    <row r="296" ht="15" customHeight="1">
      <c r="A296" s="54" t="n"/>
      <c r="B296" s="55">
        <f>IF($B$295="","",$B$295)</f>
        <v/>
      </c>
      <c r="C296" s="56" t="inlineStr">
        <is>
          <t>기타</t>
        </is>
      </c>
      <c r="D296" s="55">
        <f>IF($D$295="","",$D$295)</f>
        <v/>
      </c>
      <c r="E296" s="57" t="inlineStr">
        <is>
          <t>이미지</t>
        </is>
      </c>
      <c r="F296" s="44" t="n"/>
      <c r="G296" s="58">
        <f>IF($G$295="","",$G$295)</f>
        <v/>
      </c>
      <c r="H296" s="59" t="n"/>
      <c r="I296" s="59" t="n"/>
      <c r="J296" s="59" t="n"/>
      <c r="K296" s="59" t="n"/>
      <c r="L296" s="60">
        <f>IF(SUM(U296:AY296)=0,"",SUM(U296:AY296))</f>
        <v/>
      </c>
      <c r="M296" s="61">
        <f>IFERROR(INDEX(U$2:AY$2,MATCH(TRUE,INDEX(U296:AY296&lt;&gt;"",0),0)),"")</f>
        <v/>
      </c>
      <c r="N296" s="61">
        <f>IFERROR(LOOKUP(2,1/(U296:AY296&lt;&gt;""),U$2:AY$2),"")</f>
        <v/>
      </c>
      <c r="O296" s="59" t="n"/>
      <c r="P296" s="59" t="n"/>
      <c r="Q296" s="59" t="n"/>
      <c r="R296" s="59" t="n"/>
      <c r="S296" s="14" t="n"/>
      <c r="U296" s="53" t="n"/>
      <c r="V296" s="53" t="n"/>
      <c r="W296" s="53" t="n"/>
      <c r="X296" s="53" t="n"/>
      <c r="Y296" s="53" t="n"/>
      <c r="Z296" s="53" t="n"/>
      <c r="AA296" s="53" t="n"/>
      <c r="AB296" s="53" t="n"/>
      <c r="AC296" s="53" t="n"/>
      <c r="AD296" s="53" t="n"/>
      <c r="AE296" s="53" t="n"/>
      <c r="AF296" s="53" t="n"/>
      <c r="AG296" s="53" t="n"/>
      <c r="AH296" s="53" t="n"/>
      <c r="AI296" s="53" t="n"/>
      <c r="AJ296" s="53" t="n"/>
      <c r="AK296" s="53" t="n"/>
      <c r="AL296" s="53" t="n"/>
      <c r="AM296" s="53" t="n"/>
      <c r="AN296" s="53" t="n"/>
      <c r="AO296" s="53" t="n"/>
      <c r="AP296" s="53" t="n"/>
      <c r="AQ296" s="53" t="n"/>
      <c r="AR296" s="53" t="n"/>
      <c r="AS296" s="53" t="n"/>
      <c r="AT296" s="53" t="n"/>
      <c r="AU296" s="53" t="n"/>
      <c r="AV296" s="53" t="n"/>
      <c r="AW296" s="53" t="n"/>
      <c r="AX296" s="53" t="n"/>
      <c r="AY296" s="53" t="n"/>
    </row>
    <row r="297" ht="15" customHeight="1">
      <c r="A297" s="62" t="n"/>
      <c r="B297" s="55">
        <f>IF($B$295="","",$B$295)</f>
        <v/>
      </c>
      <c r="C297" s="63" t="inlineStr">
        <is>
          <t>기타</t>
        </is>
      </c>
      <c r="D297" s="55">
        <f>IF($D$295="","",$D$295)</f>
        <v/>
      </c>
      <c r="E297" s="64" t="inlineStr">
        <is>
          <t>영상</t>
        </is>
      </c>
      <c r="F297" s="44" t="n"/>
      <c r="G297" s="58">
        <f>IF($G$295="","",$G$295)</f>
        <v/>
      </c>
      <c r="H297" s="59" t="n"/>
      <c r="I297" s="59" t="n"/>
      <c r="J297" s="59" t="n"/>
      <c r="K297" s="59" t="n"/>
      <c r="L297" s="65">
        <f>IF(SUM(U297:AY297)=0,"",SUM(U297:AY297))</f>
        <v/>
      </c>
      <c r="M297" s="66">
        <f>IFERROR(INDEX(U$2:AY$2,MATCH(TRUE,INDEX(U297:AY297&lt;&gt;"",0),0)),"")</f>
        <v/>
      </c>
      <c r="N297" s="66">
        <f>IFERROR(LOOKUP(2,1/(U297:AY297&lt;&gt;""),U$2:AY$2),"")</f>
        <v/>
      </c>
      <c r="O297" s="59" t="n"/>
      <c r="P297" s="59" t="n"/>
      <c r="Q297" s="59" t="n"/>
      <c r="R297" s="59" t="n"/>
      <c r="S297" s="14" t="n"/>
      <c r="U297" s="53" t="n"/>
      <c r="V297" s="53" t="n"/>
      <c r="W297" s="53" t="n"/>
      <c r="X297" s="53" t="n"/>
      <c r="Y297" s="53" t="n"/>
      <c r="Z297" s="53" t="n"/>
      <c r="AA297" s="53" t="n"/>
      <c r="AB297" s="53" t="n"/>
      <c r="AC297" s="53" t="n"/>
      <c r="AD297" s="53" t="n"/>
      <c r="AE297" s="53" t="n"/>
      <c r="AF297" s="53" t="n"/>
      <c r="AG297" s="53" t="n"/>
      <c r="AH297" s="53" t="n"/>
      <c r="AI297" s="53" t="n"/>
      <c r="AJ297" s="53" t="n"/>
      <c r="AK297" s="53" t="n"/>
      <c r="AL297" s="53" t="n"/>
      <c r="AM297" s="53" t="n"/>
      <c r="AN297" s="53" t="n"/>
      <c r="AO297" s="53" t="n"/>
      <c r="AP297" s="53" t="n"/>
      <c r="AQ297" s="53" t="n"/>
      <c r="AR297" s="53" t="n"/>
      <c r="AS297" s="53" t="n"/>
      <c r="AT297" s="53" t="n"/>
      <c r="AU297" s="53" t="n"/>
      <c r="AV297" s="53" t="n"/>
      <c r="AW297" s="53" t="n"/>
      <c r="AX297" s="53" t="n"/>
      <c r="AY297" s="53" t="n"/>
    </row>
    <row r="298" ht="15" customHeight="1">
      <c r="A298" s="40">
        <f>IF($D$298="","",96)</f>
        <v/>
      </c>
      <c r="B298" s="10" t="n"/>
      <c r="C298" s="41" t="inlineStr">
        <is>
          <t>기타</t>
        </is>
      </c>
      <c r="D298" s="42" t="n"/>
      <c r="E298" s="43" t="inlineStr">
        <is>
          <t>기획</t>
        </is>
      </c>
      <c r="F298" s="44" t="n"/>
      <c r="G298" s="45" t="n"/>
      <c r="H298" s="46">
        <f>IF($I$298="","",IF($I$298&lt;0,"🔴지연",IF($I$298&lt;=1,"🟡임박","🟢여유")))</f>
        <v/>
      </c>
      <c r="I298" s="47">
        <f>IF(OR($G$298="",$K$298=""),"",$G$298-$K$298)</f>
        <v/>
      </c>
      <c r="J298" s="48">
        <f>IF(SUM($L$298:$L$300)=0,"",SUM($L$298:$L$300))</f>
        <v/>
      </c>
      <c r="K298" s="49">
        <f>IF($J$298="","",MAX($N$298:$N$300))</f>
        <v/>
      </c>
      <c r="L298" s="50">
        <f>IF(SUM(U298:AY298)=0,"",SUM(U298:AY298))</f>
        <v/>
      </c>
      <c r="M298" s="51">
        <f>IFERROR(INDEX(U$2:AY$2,MATCH(TRUE,INDEX(U298:AY298&lt;&gt;"",0),0)),"")</f>
        <v/>
      </c>
      <c r="N298" s="51">
        <f>IFERROR(LOOKUP(2,1/(U298:AY298&lt;&gt;""),U$2:AY$2),"")</f>
        <v/>
      </c>
      <c r="O298" s="52" t="n"/>
      <c r="P298" s="52" t="n"/>
      <c r="Q298" s="52" t="n"/>
      <c r="R298" s="44" t="n"/>
      <c r="S298" s="14" t="n"/>
      <c r="U298" s="53" t="n"/>
      <c r="V298" s="53" t="n"/>
      <c r="W298" s="53" t="n"/>
      <c r="X298" s="53" t="n"/>
      <c r="Y298" s="53" t="n"/>
      <c r="Z298" s="53" t="n"/>
      <c r="AA298" s="53" t="n"/>
      <c r="AB298" s="53" t="n"/>
      <c r="AC298" s="53" t="n"/>
      <c r="AD298" s="53" t="n"/>
      <c r="AE298" s="53" t="n"/>
      <c r="AF298" s="53" t="n"/>
      <c r="AG298" s="53" t="n"/>
      <c r="AH298" s="53" t="n"/>
      <c r="AI298" s="53" t="n"/>
      <c r="AJ298" s="53" t="n"/>
      <c r="AK298" s="53" t="n"/>
      <c r="AL298" s="53" t="n"/>
      <c r="AM298" s="53" t="n"/>
      <c r="AN298" s="53" t="n"/>
      <c r="AO298" s="53" t="n"/>
      <c r="AP298" s="53" t="n"/>
      <c r="AQ298" s="53" t="n"/>
      <c r="AR298" s="53" t="n"/>
      <c r="AS298" s="53" t="n"/>
      <c r="AT298" s="53" t="n"/>
      <c r="AU298" s="53" t="n"/>
      <c r="AV298" s="53" t="n"/>
      <c r="AW298" s="53" t="n"/>
      <c r="AX298" s="53" t="n"/>
      <c r="AY298" s="53" t="n"/>
    </row>
    <row r="299" ht="15" customHeight="1">
      <c r="A299" s="54" t="n"/>
      <c r="B299" s="55">
        <f>IF($B$298="","",$B$298)</f>
        <v/>
      </c>
      <c r="C299" s="56" t="inlineStr">
        <is>
          <t>기타</t>
        </is>
      </c>
      <c r="D299" s="55">
        <f>IF($D$298="","",$D$298)</f>
        <v/>
      </c>
      <c r="E299" s="57" t="inlineStr">
        <is>
          <t>이미지</t>
        </is>
      </c>
      <c r="F299" s="44" t="n"/>
      <c r="G299" s="58">
        <f>IF($G$298="","",$G$298)</f>
        <v/>
      </c>
      <c r="H299" s="59" t="n"/>
      <c r="I299" s="59" t="n"/>
      <c r="J299" s="59" t="n"/>
      <c r="K299" s="59" t="n"/>
      <c r="L299" s="60">
        <f>IF(SUM(U299:AY299)=0,"",SUM(U299:AY299))</f>
        <v/>
      </c>
      <c r="M299" s="61">
        <f>IFERROR(INDEX(U$2:AY$2,MATCH(TRUE,INDEX(U299:AY299&lt;&gt;"",0),0)),"")</f>
        <v/>
      </c>
      <c r="N299" s="61">
        <f>IFERROR(LOOKUP(2,1/(U299:AY299&lt;&gt;""),U$2:AY$2),"")</f>
        <v/>
      </c>
      <c r="O299" s="59" t="n"/>
      <c r="P299" s="59" t="n"/>
      <c r="Q299" s="59" t="n"/>
      <c r="R299" s="59" t="n"/>
      <c r="S299" s="14" t="n"/>
      <c r="U299" s="53" t="n"/>
      <c r="V299" s="53" t="n"/>
      <c r="W299" s="53" t="n"/>
      <c r="X299" s="53" t="n"/>
      <c r="Y299" s="53" t="n"/>
      <c r="Z299" s="53" t="n"/>
      <c r="AA299" s="53" t="n"/>
      <c r="AB299" s="53" t="n"/>
      <c r="AC299" s="53" t="n"/>
      <c r="AD299" s="53" t="n"/>
      <c r="AE299" s="53" t="n"/>
      <c r="AF299" s="53" t="n"/>
      <c r="AG299" s="53" t="n"/>
      <c r="AH299" s="53" t="n"/>
      <c r="AI299" s="53" t="n"/>
      <c r="AJ299" s="53" t="n"/>
      <c r="AK299" s="53" t="n"/>
      <c r="AL299" s="53" t="n"/>
      <c r="AM299" s="53" t="n"/>
      <c r="AN299" s="53" t="n"/>
      <c r="AO299" s="53" t="n"/>
      <c r="AP299" s="53" t="n"/>
      <c r="AQ299" s="53" t="n"/>
      <c r="AR299" s="53" t="n"/>
      <c r="AS299" s="53" t="n"/>
      <c r="AT299" s="53" t="n"/>
      <c r="AU299" s="53" t="n"/>
      <c r="AV299" s="53" t="n"/>
      <c r="AW299" s="53" t="n"/>
      <c r="AX299" s="53" t="n"/>
      <c r="AY299" s="53" t="n"/>
    </row>
    <row r="300" ht="15" customHeight="1">
      <c r="A300" s="62" t="n"/>
      <c r="B300" s="55">
        <f>IF($B$298="","",$B$298)</f>
        <v/>
      </c>
      <c r="C300" s="63" t="inlineStr">
        <is>
          <t>기타</t>
        </is>
      </c>
      <c r="D300" s="55">
        <f>IF($D$298="","",$D$298)</f>
        <v/>
      </c>
      <c r="E300" s="64" t="inlineStr">
        <is>
          <t>영상</t>
        </is>
      </c>
      <c r="F300" s="44" t="n"/>
      <c r="G300" s="58">
        <f>IF($G$298="","",$G$298)</f>
        <v/>
      </c>
      <c r="H300" s="59" t="n"/>
      <c r="I300" s="59" t="n"/>
      <c r="J300" s="59" t="n"/>
      <c r="K300" s="59" t="n"/>
      <c r="L300" s="65">
        <f>IF(SUM(U300:AY300)=0,"",SUM(U300:AY300))</f>
        <v/>
      </c>
      <c r="M300" s="66">
        <f>IFERROR(INDEX(U$2:AY$2,MATCH(TRUE,INDEX(U300:AY300&lt;&gt;"",0),0)),"")</f>
        <v/>
      </c>
      <c r="N300" s="66">
        <f>IFERROR(LOOKUP(2,1/(U300:AY300&lt;&gt;""),U$2:AY$2),"")</f>
        <v/>
      </c>
      <c r="O300" s="59" t="n"/>
      <c r="P300" s="59" t="n"/>
      <c r="Q300" s="59" t="n"/>
      <c r="R300" s="59" t="n"/>
      <c r="S300" s="14" t="n"/>
      <c r="U300" s="53" t="n"/>
      <c r="V300" s="53" t="n"/>
      <c r="W300" s="53" t="n"/>
      <c r="X300" s="53" t="n"/>
      <c r="Y300" s="53" t="n"/>
      <c r="Z300" s="53" t="n"/>
      <c r="AA300" s="53" t="n"/>
      <c r="AB300" s="53" t="n"/>
      <c r="AC300" s="53" t="n"/>
      <c r="AD300" s="53" t="n"/>
      <c r="AE300" s="53" t="n"/>
      <c r="AF300" s="53" t="n"/>
      <c r="AG300" s="53" t="n"/>
      <c r="AH300" s="53" t="n"/>
      <c r="AI300" s="53" t="n"/>
      <c r="AJ300" s="53" t="n"/>
      <c r="AK300" s="53" t="n"/>
      <c r="AL300" s="53" t="n"/>
      <c r="AM300" s="53" t="n"/>
      <c r="AN300" s="53" t="n"/>
      <c r="AO300" s="53" t="n"/>
      <c r="AP300" s="53" t="n"/>
      <c r="AQ300" s="53" t="n"/>
      <c r="AR300" s="53" t="n"/>
      <c r="AS300" s="53" t="n"/>
      <c r="AT300" s="53" t="n"/>
      <c r="AU300" s="53" t="n"/>
      <c r="AV300" s="53" t="n"/>
      <c r="AW300" s="53" t="n"/>
      <c r="AX300" s="53" t="n"/>
      <c r="AY300" s="53" t="n"/>
    </row>
    <row r="301" ht="15" customHeight="1">
      <c r="A301" s="40">
        <f>IF($D$301="","",97)</f>
        <v/>
      </c>
      <c r="B301" s="10" t="n"/>
      <c r="C301" s="41" t="inlineStr">
        <is>
          <t>기타</t>
        </is>
      </c>
      <c r="D301" s="42" t="n"/>
      <c r="E301" s="43" t="inlineStr">
        <is>
          <t>기획</t>
        </is>
      </c>
      <c r="F301" s="44" t="n"/>
      <c r="G301" s="45" t="n"/>
      <c r="H301" s="46">
        <f>IF($I$301="","",IF($I$301&lt;0,"🔴지연",IF($I$301&lt;=1,"🟡임박","🟢여유")))</f>
        <v/>
      </c>
      <c r="I301" s="47">
        <f>IF(OR($G$301="",$K$301=""),"",$G$301-$K$301)</f>
        <v/>
      </c>
      <c r="J301" s="48">
        <f>IF(SUM($L$301:$L$303)=0,"",SUM($L$301:$L$303))</f>
        <v/>
      </c>
      <c r="K301" s="49">
        <f>IF($J$301="","",MAX($N$301:$N$303))</f>
        <v/>
      </c>
      <c r="L301" s="50">
        <f>IF(SUM(U301:AY301)=0,"",SUM(U301:AY301))</f>
        <v/>
      </c>
      <c r="M301" s="51">
        <f>IFERROR(INDEX(U$2:AY$2,MATCH(TRUE,INDEX(U301:AY301&lt;&gt;"",0),0)),"")</f>
        <v/>
      </c>
      <c r="N301" s="51">
        <f>IFERROR(LOOKUP(2,1/(U301:AY301&lt;&gt;""),U$2:AY$2),"")</f>
        <v/>
      </c>
      <c r="O301" s="52" t="n"/>
      <c r="P301" s="52" t="n"/>
      <c r="Q301" s="52" t="n"/>
      <c r="R301" s="44" t="n"/>
      <c r="S301" s="14" t="n"/>
      <c r="U301" s="53" t="n"/>
      <c r="V301" s="53" t="n"/>
      <c r="W301" s="53" t="n"/>
      <c r="X301" s="53" t="n"/>
      <c r="Y301" s="53" t="n"/>
      <c r="Z301" s="53" t="n"/>
      <c r="AA301" s="53" t="n"/>
      <c r="AB301" s="53" t="n"/>
      <c r="AC301" s="53" t="n"/>
      <c r="AD301" s="53" t="n"/>
      <c r="AE301" s="53" t="n"/>
      <c r="AF301" s="53" t="n"/>
      <c r="AG301" s="53" t="n"/>
      <c r="AH301" s="53" t="n"/>
      <c r="AI301" s="53" t="n"/>
      <c r="AJ301" s="53" t="n"/>
      <c r="AK301" s="53" t="n"/>
      <c r="AL301" s="53" t="n"/>
      <c r="AM301" s="53" t="n"/>
      <c r="AN301" s="53" t="n"/>
      <c r="AO301" s="53" t="n"/>
      <c r="AP301" s="53" t="n"/>
      <c r="AQ301" s="53" t="n"/>
      <c r="AR301" s="53" t="n"/>
      <c r="AS301" s="53" t="n"/>
      <c r="AT301" s="53" t="n"/>
      <c r="AU301" s="53" t="n"/>
      <c r="AV301" s="53" t="n"/>
      <c r="AW301" s="53" t="n"/>
      <c r="AX301" s="53" t="n"/>
      <c r="AY301" s="53" t="n"/>
    </row>
    <row r="302" ht="15" customHeight="1">
      <c r="A302" s="54" t="n"/>
      <c r="B302" s="55">
        <f>IF($B$301="","",$B$301)</f>
        <v/>
      </c>
      <c r="C302" s="56" t="inlineStr">
        <is>
          <t>기타</t>
        </is>
      </c>
      <c r="D302" s="55">
        <f>IF($D$301="","",$D$301)</f>
        <v/>
      </c>
      <c r="E302" s="57" t="inlineStr">
        <is>
          <t>이미지</t>
        </is>
      </c>
      <c r="F302" s="44" t="n"/>
      <c r="G302" s="58">
        <f>IF($G$301="","",$G$301)</f>
        <v/>
      </c>
      <c r="H302" s="59" t="n"/>
      <c r="I302" s="59" t="n"/>
      <c r="J302" s="59" t="n"/>
      <c r="K302" s="59" t="n"/>
      <c r="L302" s="60">
        <f>IF(SUM(U302:AY302)=0,"",SUM(U302:AY302))</f>
        <v/>
      </c>
      <c r="M302" s="61">
        <f>IFERROR(INDEX(U$2:AY$2,MATCH(TRUE,INDEX(U302:AY302&lt;&gt;"",0),0)),"")</f>
        <v/>
      </c>
      <c r="N302" s="61">
        <f>IFERROR(LOOKUP(2,1/(U302:AY302&lt;&gt;""),U$2:AY$2),"")</f>
        <v/>
      </c>
      <c r="O302" s="59" t="n"/>
      <c r="P302" s="59" t="n"/>
      <c r="Q302" s="59" t="n"/>
      <c r="R302" s="59" t="n"/>
      <c r="S302" s="14" t="n"/>
      <c r="U302" s="53" t="n"/>
      <c r="V302" s="53" t="n"/>
      <c r="W302" s="53" t="n"/>
      <c r="X302" s="53" t="n"/>
      <c r="Y302" s="53" t="n"/>
      <c r="Z302" s="53" t="n"/>
      <c r="AA302" s="53" t="n"/>
      <c r="AB302" s="53" t="n"/>
      <c r="AC302" s="53" t="n"/>
      <c r="AD302" s="53" t="n"/>
      <c r="AE302" s="53" t="n"/>
      <c r="AF302" s="53" t="n"/>
      <c r="AG302" s="53" t="n"/>
      <c r="AH302" s="53" t="n"/>
      <c r="AI302" s="53" t="n"/>
      <c r="AJ302" s="53" t="n"/>
      <c r="AK302" s="53" t="n"/>
      <c r="AL302" s="53" t="n"/>
      <c r="AM302" s="53" t="n"/>
      <c r="AN302" s="53" t="n"/>
      <c r="AO302" s="53" t="n"/>
      <c r="AP302" s="53" t="n"/>
      <c r="AQ302" s="53" t="n"/>
      <c r="AR302" s="53" t="n"/>
      <c r="AS302" s="53" t="n"/>
      <c r="AT302" s="53" t="n"/>
      <c r="AU302" s="53" t="n"/>
      <c r="AV302" s="53" t="n"/>
      <c r="AW302" s="53" t="n"/>
      <c r="AX302" s="53" t="n"/>
      <c r="AY302" s="53" t="n"/>
    </row>
    <row r="303" ht="15" customHeight="1">
      <c r="A303" s="62" t="n"/>
      <c r="B303" s="55">
        <f>IF($B$301="","",$B$301)</f>
        <v/>
      </c>
      <c r="C303" s="63" t="inlineStr">
        <is>
          <t>기타</t>
        </is>
      </c>
      <c r="D303" s="55">
        <f>IF($D$301="","",$D$301)</f>
        <v/>
      </c>
      <c r="E303" s="64" t="inlineStr">
        <is>
          <t>영상</t>
        </is>
      </c>
      <c r="F303" s="44" t="n"/>
      <c r="G303" s="58">
        <f>IF($G$301="","",$G$301)</f>
        <v/>
      </c>
      <c r="H303" s="59" t="n"/>
      <c r="I303" s="59" t="n"/>
      <c r="J303" s="59" t="n"/>
      <c r="K303" s="59" t="n"/>
      <c r="L303" s="65">
        <f>IF(SUM(U303:AY303)=0,"",SUM(U303:AY303))</f>
        <v/>
      </c>
      <c r="M303" s="66">
        <f>IFERROR(INDEX(U$2:AY$2,MATCH(TRUE,INDEX(U303:AY303&lt;&gt;"",0),0)),"")</f>
        <v/>
      </c>
      <c r="N303" s="66">
        <f>IFERROR(LOOKUP(2,1/(U303:AY303&lt;&gt;""),U$2:AY$2),"")</f>
        <v/>
      </c>
      <c r="O303" s="59" t="n"/>
      <c r="P303" s="59" t="n"/>
      <c r="Q303" s="59" t="n"/>
      <c r="R303" s="59" t="n"/>
      <c r="S303" s="14" t="n"/>
      <c r="U303" s="53" t="n"/>
      <c r="V303" s="53" t="n"/>
      <c r="W303" s="53" t="n"/>
      <c r="X303" s="53" t="n"/>
      <c r="Y303" s="53" t="n"/>
      <c r="Z303" s="53" t="n"/>
      <c r="AA303" s="53" t="n"/>
      <c r="AB303" s="53" t="n"/>
      <c r="AC303" s="53" t="n"/>
      <c r="AD303" s="53" t="n"/>
      <c r="AE303" s="53" t="n"/>
      <c r="AF303" s="53" t="n"/>
      <c r="AG303" s="53" t="n"/>
      <c r="AH303" s="53" t="n"/>
      <c r="AI303" s="53" t="n"/>
      <c r="AJ303" s="53" t="n"/>
      <c r="AK303" s="53" t="n"/>
      <c r="AL303" s="53" t="n"/>
      <c r="AM303" s="53" t="n"/>
      <c r="AN303" s="53" t="n"/>
      <c r="AO303" s="53" t="n"/>
      <c r="AP303" s="53" t="n"/>
      <c r="AQ303" s="53" t="n"/>
      <c r="AR303" s="53" t="n"/>
      <c r="AS303" s="53" t="n"/>
      <c r="AT303" s="53" t="n"/>
      <c r="AU303" s="53" t="n"/>
      <c r="AV303" s="53" t="n"/>
      <c r="AW303" s="53" t="n"/>
      <c r="AX303" s="53" t="n"/>
      <c r="AY303" s="53" t="n"/>
    </row>
    <row r="304" ht="15" customHeight="1">
      <c r="A304" s="40">
        <f>IF($D$304="","",98)</f>
        <v/>
      </c>
      <c r="B304" s="10" t="n"/>
      <c r="C304" s="41" t="inlineStr">
        <is>
          <t>기타</t>
        </is>
      </c>
      <c r="D304" s="42" t="n"/>
      <c r="E304" s="43" t="inlineStr">
        <is>
          <t>기획</t>
        </is>
      </c>
      <c r="F304" s="44" t="n"/>
      <c r="G304" s="45" t="n"/>
      <c r="H304" s="46">
        <f>IF($I$304="","",IF($I$304&lt;0,"🔴지연",IF($I$304&lt;=1,"🟡임박","🟢여유")))</f>
        <v/>
      </c>
      <c r="I304" s="47">
        <f>IF(OR($G$304="",$K$304=""),"",$G$304-$K$304)</f>
        <v/>
      </c>
      <c r="J304" s="48">
        <f>IF(SUM($L$304:$L$306)=0,"",SUM($L$304:$L$306))</f>
        <v/>
      </c>
      <c r="K304" s="49">
        <f>IF($J$304="","",MAX($N$304:$N$306))</f>
        <v/>
      </c>
      <c r="L304" s="50">
        <f>IF(SUM(U304:AY304)=0,"",SUM(U304:AY304))</f>
        <v/>
      </c>
      <c r="M304" s="51">
        <f>IFERROR(INDEX(U$2:AY$2,MATCH(TRUE,INDEX(U304:AY304&lt;&gt;"",0),0)),"")</f>
        <v/>
      </c>
      <c r="N304" s="51">
        <f>IFERROR(LOOKUP(2,1/(U304:AY304&lt;&gt;""),U$2:AY$2),"")</f>
        <v/>
      </c>
      <c r="O304" s="52" t="n"/>
      <c r="P304" s="52" t="n"/>
      <c r="Q304" s="52" t="n"/>
      <c r="R304" s="44" t="n"/>
      <c r="S304" s="14" t="n"/>
      <c r="U304" s="53" t="n"/>
      <c r="V304" s="53" t="n"/>
      <c r="W304" s="53" t="n"/>
      <c r="X304" s="53" t="n"/>
      <c r="Y304" s="53" t="n"/>
      <c r="Z304" s="53" t="n"/>
      <c r="AA304" s="53" t="n"/>
      <c r="AB304" s="53" t="n"/>
      <c r="AC304" s="53" t="n"/>
      <c r="AD304" s="53" t="n"/>
      <c r="AE304" s="53" t="n"/>
      <c r="AF304" s="53" t="n"/>
      <c r="AG304" s="53" t="n"/>
      <c r="AH304" s="53" t="n"/>
      <c r="AI304" s="53" t="n"/>
      <c r="AJ304" s="53" t="n"/>
      <c r="AK304" s="53" t="n"/>
      <c r="AL304" s="53" t="n"/>
      <c r="AM304" s="53" t="n"/>
      <c r="AN304" s="53" t="n"/>
      <c r="AO304" s="53" t="n"/>
      <c r="AP304" s="53" t="n"/>
      <c r="AQ304" s="53" t="n"/>
      <c r="AR304" s="53" t="n"/>
      <c r="AS304" s="53" t="n"/>
      <c r="AT304" s="53" t="n"/>
      <c r="AU304" s="53" t="n"/>
      <c r="AV304" s="53" t="n"/>
      <c r="AW304" s="53" t="n"/>
      <c r="AX304" s="53" t="n"/>
      <c r="AY304" s="53" t="n"/>
    </row>
    <row r="305" ht="15" customHeight="1">
      <c r="A305" s="54" t="n"/>
      <c r="B305" s="55">
        <f>IF($B$304="","",$B$304)</f>
        <v/>
      </c>
      <c r="C305" s="56" t="inlineStr">
        <is>
          <t>기타</t>
        </is>
      </c>
      <c r="D305" s="55">
        <f>IF($D$304="","",$D$304)</f>
        <v/>
      </c>
      <c r="E305" s="57" t="inlineStr">
        <is>
          <t>이미지</t>
        </is>
      </c>
      <c r="F305" s="44" t="n"/>
      <c r="G305" s="58">
        <f>IF($G$304="","",$G$304)</f>
        <v/>
      </c>
      <c r="H305" s="59" t="n"/>
      <c r="I305" s="59" t="n"/>
      <c r="J305" s="59" t="n"/>
      <c r="K305" s="59" t="n"/>
      <c r="L305" s="60">
        <f>IF(SUM(U305:AY305)=0,"",SUM(U305:AY305))</f>
        <v/>
      </c>
      <c r="M305" s="61">
        <f>IFERROR(INDEX(U$2:AY$2,MATCH(TRUE,INDEX(U305:AY305&lt;&gt;"",0),0)),"")</f>
        <v/>
      </c>
      <c r="N305" s="61">
        <f>IFERROR(LOOKUP(2,1/(U305:AY305&lt;&gt;""),U$2:AY$2),"")</f>
        <v/>
      </c>
      <c r="O305" s="59" t="n"/>
      <c r="P305" s="59" t="n"/>
      <c r="Q305" s="59" t="n"/>
      <c r="R305" s="59" t="n"/>
      <c r="S305" s="14" t="n"/>
      <c r="U305" s="53" t="n"/>
      <c r="V305" s="53" t="n"/>
      <c r="W305" s="53" t="n"/>
      <c r="X305" s="53" t="n"/>
      <c r="Y305" s="53" t="n"/>
      <c r="Z305" s="53" t="n"/>
      <c r="AA305" s="53" t="n"/>
      <c r="AB305" s="53" t="n"/>
      <c r="AC305" s="53" t="n"/>
      <c r="AD305" s="53" t="n"/>
      <c r="AE305" s="53" t="n"/>
      <c r="AF305" s="53" t="n"/>
      <c r="AG305" s="53" t="n"/>
      <c r="AH305" s="53" t="n"/>
      <c r="AI305" s="53" t="n"/>
      <c r="AJ305" s="53" t="n"/>
      <c r="AK305" s="53" t="n"/>
      <c r="AL305" s="53" t="n"/>
      <c r="AM305" s="53" t="n"/>
      <c r="AN305" s="53" t="n"/>
      <c r="AO305" s="53" t="n"/>
      <c r="AP305" s="53" t="n"/>
      <c r="AQ305" s="53" t="n"/>
      <c r="AR305" s="53" t="n"/>
      <c r="AS305" s="53" t="n"/>
      <c r="AT305" s="53" t="n"/>
      <c r="AU305" s="53" t="n"/>
      <c r="AV305" s="53" t="n"/>
      <c r="AW305" s="53" t="n"/>
      <c r="AX305" s="53" t="n"/>
      <c r="AY305" s="53" t="n"/>
    </row>
    <row r="306" ht="15" customHeight="1">
      <c r="A306" s="62" t="n"/>
      <c r="B306" s="55">
        <f>IF($B$304="","",$B$304)</f>
        <v/>
      </c>
      <c r="C306" s="63" t="inlineStr">
        <is>
          <t>기타</t>
        </is>
      </c>
      <c r="D306" s="55">
        <f>IF($D$304="","",$D$304)</f>
        <v/>
      </c>
      <c r="E306" s="64" t="inlineStr">
        <is>
          <t>영상</t>
        </is>
      </c>
      <c r="F306" s="44" t="n"/>
      <c r="G306" s="58">
        <f>IF($G$304="","",$G$304)</f>
        <v/>
      </c>
      <c r="H306" s="59" t="n"/>
      <c r="I306" s="59" t="n"/>
      <c r="J306" s="59" t="n"/>
      <c r="K306" s="59" t="n"/>
      <c r="L306" s="65">
        <f>IF(SUM(U306:AY306)=0,"",SUM(U306:AY306))</f>
        <v/>
      </c>
      <c r="M306" s="66">
        <f>IFERROR(INDEX(U$2:AY$2,MATCH(TRUE,INDEX(U306:AY306&lt;&gt;"",0),0)),"")</f>
        <v/>
      </c>
      <c r="N306" s="66">
        <f>IFERROR(LOOKUP(2,1/(U306:AY306&lt;&gt;""),U$2:AY$2),"")</f>
        <v/>
      </c>
      <c r="O306" s="59" t="n"/>
      <c r="P306" s="59" t="n"/>
      <c r="Q306" s="59" t="n"/>
      <c r="R306" s="59" t="n"/>
      <c r="S306" s="14" t="n"/>
      <c r="U306" s="53" t="n"/>
      <c r="V306" s="53" t="n"/>
      <c r="W306" s="53" t="n"/>
      <c r="X306" s="53" t="n"/>
      <c r="Y306" s="53" t="n"/>
      <c r="Z306" s="53" t="n"/>
      <c r="AA306" s="53" t="n"/>
      <c r="AB306" s="53" t="n"/>
      <c r="AC306" s="53" t="n"/>
      <c r="AD306" s="53" t="n"/>
      <c r="AE306" s="53" t="n"/>
      <c r="AF306" s="53" t="n"/>
      <c r="AG306" s="53" t="n"/>
      <c r="AH306" s="53" t="n"/>
      <c r="AI306" s="53" t="n"/>
      <c r="AJ306" s="53" t="n"/>
      <c r="AK306" s="53" t="n"/>
      <c r="AL306" s="53" t="n"/>
      <c r="AM306" s="53" t="n"/>
      <c r="AN306" s="53" t="n"/>
      <c r="AO306" s="53" t="n"/>
      <c r="AP306" s="53" t="n"/>
      <c r="AQ306" s="53" t="n"/>
      <c r="AR306" s="53" t="n"/>
      <c r="AS306" s="53" t="n"/>
      <c r="AT306" s="53" t="n"/>
      <c r="AU306" s="53" t="n"/>
      <c r="AV306" s="53" t="n"/>
      <c r="AW306" s="53" t="n"/>
      <c r="AX306" s="53" t="n"/>
      <c r="AY306" s="53" t="n"/>
    </row>
    <row r="307" ht="15" customHeight="1">
      <c r="A307" s="40">
        <f>IF($D$307="","",99)</f>
        <v/>
      </c>
      <c r="B307" s="10" t="n"/>
      <c r="C307" s="41" t="inlineStr">
        <is>
          <t>기타</t>
        </is>
      </c>
      <c r="D307" s="42" t="n"/>
      <c r="E307" s="43" t="inlineStr">
        <is>
          <t>기획</t>
        </is>
      </c>
      <c r="F307" s="44" t="n"/>
      <c r="G307" s="45" t="n"/>
      <c r="H307" s="46">
        <f>IF($I$307="","",IF($I$307&lt;0,"🔴지연",IF($I$307&lt;=1,"🟡임박","🟢여유")))</f>
        <v/>
      </c>
      <c r="I307" s="47">
        <f>IF(OR($G$307="",$K$307=""),"",$G$307-$K$307)</f>
        <v/>
      </c>
      <c r="J307" s="48">
        <f>IF(SUM($L$307:$L$309)=0,"",SUM($L$307:$L$309))</f>
        <v/>
      </c>
      <c r="K307" s="49">
        <f>IF($J$307="","",MAX($N$307:$N$309))</f>
        <v/>
      </c>
      <c r="L307" s="50">
        <f>IF(SUM(U307:AY307)=0,"",SUM(U307:AY307))</f>
        <v/>
      </c>
      <c r="M307" s="51">
        <f>IFERROR(INDEX(U$2:AY$2,MATCH(TRUE,INDEX(U307:AY307&lt;&gt;"",0),0)),"")</f>
        <v/>
      </c>
      <c r="N307" s="51">
        <f>IFERROR(LOOKUP(2,1/(U307:AY307&lt;&gt;""),U$2:AY$2),"")</f>
        <v/>
      </c>
      <c r="O307" s="52" t="n"/>
      <c r="P307" s="52" t="n"/>
      <c r="Q307" s="52" t="n"/>
      <c r="R307" s="44" t="n"/>
      <c r="S307" s="14" t="n"/>
      <c r="U307" s="53" t="n"/>
      <c r="V307" s="53" t="n"/>
      <c r="W307" s="53" t="n"/>
      <c r="X307" s="53" t="n"/>
      <c r="Y307" s="53" t="n"/>
      <c r="Z307" s="53" t="n"/>
      <c r="AA307" s="53" t="n"/>
      <c r="AB307" s="53" t="n"/>
      <c r="AC307" s="53" t="n"/>
      <c r="AD307" s="53" t="n"/>
      <c r="AE307" s="53" t="n"/>
      <c r="AF307" s="53" t="n"/>
      <c r="AG307" s="53" t="n"/>
      <c r="AH307" s="53" t="n"/>
      <c r="AI307" s="53" t="n"/>
      <c r="AJ307" s="53" t="n"/>
      <c r="AK307" s="53" t="n"/>
      <c r="AL307" s="53" t="n"/>
      <c r="AM307" s="53" t="n"/>
      <c r="AN307" s="53" t="n"/>
      <c r="AO307" s="53" t="n"/>
      <c r="AP307" s="53" t="n"/>
      <c r="AQ307" s="53" t="n"/>
      <c r="AR307" s="53" t="n"/>
      <c r="AS307" s="53" t="n"/>
      <c r="AT307" s="53" t="n"/>
      <c r="AU307" s="53" t="n"/>
      <c r="AV307" s="53" t="n"/>
      <c r="AW307" s="53" t="n"/>
      <c r="AX307" s="53" t="n"/>
      <c r="AY307" s="53" t="n"/>
    </row>
    <row r="308" ht="15" customHeight="1">
      <c r="A308" s="54" t="n"/>
      <c r="B308" s="55">
        <f>IF($B$307="","",$B$307)</f>
        <v/>
      </c>
      <c r="C308" s="56" t="inlineStr">
        <is>
          <t>기타</t>
        </is>
      </c>
      <c r="D308" s="55">
        <f>IF($D$307="","",$D$307)</f>
        <v/>
      </c>
      <c r="E308" s="57" t="inlineStr">
        <is>
          <t>이미지</t>
        </is>
      </c>
      <c r="F308" s="44" t="n"/>
      <c r="G308" s="58">
        <f>IF($G$307="","",$G$307)</f>
        <v/>
      </c>
      <c r="H308" s="59" t="n"/>
      <c r="I308" s="59" t="n"/>
      <c r="J308" s="59" t="n"/>
      <c r="K308" s="59" t="n"/>
      <c r="L308" s="60">
        <f>IF(SUM(U308:AY308)=0,"",SUM(U308:AY308))</f>
        <v/>
      </c>
      <c r="M308" s="61">
        <f>IFERROR(INDEX(U$2:AY$2,MATCH(TRUE,INDEX(U308:AY308&lt;&gt;"",0),0)),"")</f>
        <v/>
      </c>
      <c r="N308" s="61">
        <f>IFERROR(LOOKUP(2,1/(U308:AY308&lt;&gt;""),U$2:AY$2),"")</f>
        <v/>
      </c>
      <c r="O308" s="59" t="n"/>
      <c r="P308" s="59" t="n"/>
      <c r="Q308" s="59" t="n"/>
      <c r="R308" s="59" t="n"/>
      <c r="S308" s="14" t="n"/>
      <c r="U308" s="53" t="n"/>
      <c r="V308" s="53" t="n"/>
      <c r="W308" s="53" t="n"/>
      <c r="X308" s="53" t="n"/>
      <c r="Y308" s="53" t="n"/>
      <c r="Z308" s="53" t="n"/>
      <c r="AA308" s="53" t="n"/>
      <c r="AB308" s="53" t="n"/>
      <c r="AC308" s="53" t="n"/>
      <c r="AD308" s="53" t="n"/>
      <c r="AE308" s="53" t="n"/>
      <c r="AF308" s="53" t="n"/>
      <c r="AG308" s="53" t="n"/>
      <c r="AH308" s="53" t="n"/>
      <c r="AI308" s="53" t="n"/>
      <c r="AJ308" s="53" t="n"/>
      <c r="AK308" s="53" t="n"/>
      <c r="AL308" s="53" t="n"/>
      <c r="AM308" s="53" t="n"/>
      <c r="AN308" s="53" t="n"/>
      <c r="AO308" s="53" t="n"/>
      <c r="AP308" s="53" t="n"/>
      <c r="AQ308" s="53" t="n"/>
      <c r="AR308" s="53" t="n"/>
      <c r="AS308" s="53" t="n"/>
      <c r="AT308" s="53" t="n"/>
      <c r="AU308" s="53" t="n"/>
      <c r="AV308" s="53" t="n"/>
      <c r="AW308" s="53" t="n"/>
      <c r="AX308" s="53" t="n"/>
      <c r="AY308" s="53" t="n"/>
    </row>
    <row r="309" ht="15" customHeight="1">
      <c r="A309" s="62" t="n"/>
      <c r="B309" s="55">
        <f>IF($B$307="","",$B$307)</f>
        <v/>
      </c>
      <c r="C309" s="63" t="inlineStr">
        <is>
          <t>기타</t>
        </is>
      </c>
      <c r="D309" s="55">
        <f>IF($D$307="","",$D$307)</f>
        <v/>
      </c>
      <c r="E309" s="64" t="inlineStr">
        <is>
          <t>영상</t>
        </is>
      </c>
      <c r="F309" s="44" t="n"/>
      <c r="G309" s="58">
        <f>IF($G$307="","",$G$307)</f>
        <v/>
      </c>
      <c r="H309" s="59" t="n"/>
      <c r="I309" s="59" t="n"/>
      <c r="J309" s="59" t="n"/>
      <c r="K309" s="59" t="n"/>
      <c r="L309" s="65">
        <f>IF(SUM(U309:AY309)=0,"",SUM(U309:AY309))</f>
        <v/>
      </c>
      <c r="M309" s="66">
        <f>IFERROR(INDEX(U$2:AY$2,MATCH(TRUE,INDEX(U309:AY309&lt;&gt;"",0),0)),"")</f>
        <v/>
      </c>
      <c r="N309" s="66">
        <f>IFERROR(LOOKUP(2,1/(U309:AY309&lt;&gt;""),U$2:AY$2),"")</f>
        <v/>
      </c>
      <c r="O309" s="59" t="n"/>
      <c r="P309" s="59" t="n"/>
      <c r="Q309" s="59" t="n"/>
      <c r="R309" s="59" t="n"/>
      <c r="S309" s="14" t="n"/>
      <c r="U309" s="53" t="n"/>
      <c r="V309" s="53" t="n"/>
      <c r="W309" s="53" t="n"/>
      <c r="X309" s="53" t="n"/>
      <c r="Y309" s="53" t="n"/>
      <c r="Z309" s="53" t="n"/>
      <c r="AA309" s="53" t="n"/>
      <c r="AB309" s="53" t="n"/>
      <c r="AC309" s="53" t="n"/>
      <c r="AD309" s="53" t="n"/>
      <c r="AE309" s="53" t="n"/>
      <c r="AF309" s="53" t="n"/>
      <c r="AG309" s="53" t="n"/>
      <c r="AH309" s="53" t="n"/>
      <c r="AI309" s="53" t="n"/>
      <c r="AJ309" s="53" t="n"/>
      <c r="AK309" s="53" t="n"/>
      <c r="AL309" s="53" t="n"/>
      <c r="AM309" s="53" t="n"/>
      <c r="AN309" s="53" t="n"/>
      <c r="AO309" s="53" t="n"/>
      <c r="AP309" s="53" t="n"/>
      <c r="AQ309" s="53" t="n"/>
      <c r="AR309" s="53" t="n"/>
      <c r="AS309" s="53" t="n"/>
      <c r="AT309" s="53" t="n"/>
      <c r="AU309" s="53" t="n"/>
      <c r="AV309" s="53" t="n"/>
      <c r="AW309" s="53" t="n"/>
      <c r="AX309" s="53" t="n"/>
      <c r="AY309" s="53" t="n"/>
    </row>
    <row r="310" ht="15" customHeight="1">
      <c r="A310" s="40">
        <f>IF($D$310="","",100)</f>
        <v/>
      </c>
      <c r="B310" s="10" t="n"/>
      <c r="C310" s="41" t="inlineStr">
        <is>
          <t>기타</t>
        </is>
      </c>
      <c r="D310" s="42" t="n"/>
      <c r="E310" s="43" t="inlineStr">
        <is>
          <t>기획</t>
        </is>
      </c>
      <c r="F310" s="44" t="n"/>
      <c r="G310" s="45" t="n"/>
      <c r="H310" s="46">
        <f>IF($I$310="","",IF($I$310&lt;0,"🔴지연",IF($I$310&lt;=1,"🟡임박","🟢여유")))</f>
        <v/>
      </c>
      <c r="I310" s="47">
        <f>IF(OR($G$310="",$K$310=""),"",$G$310-$K$310)</f>
        <v/>
      </c>
      <c r="J310" s="48">
        <f>IF(SUM($L$310:$L$312)=0,"",SUM($L$310:$L$312))</f>
        <v/>
      </c>
      <c r="K310" s="49">
        <f>IF($J$310="","",MAX($N$310:$N$312))</f>
        <v/>
      </c>
      <c r="L310" s="50">
        <f>IF(SUM(U310:AY310)=0,"",SUM(U310:AY310))</f>
        <v/>
      </c>
      <c r="M310" s="51">
        <f>IFERROR(INDEX(U$2:AY$2,MATCH(TRUE,INDEX(U310:AY310&lt;&gt;"",0),0)),"")</f>
        <v/>
      </c>
      <c r="N310" s="51">
        <f>IFERROR(LOOKUP(2,1/(U310:AY310&lt;&gt;""),U$2:AY$2),"")</f>
        <v/>
      </c>
      <c r="O310" s="52" t="n"/>
      <c r="P310" s="52" t="n"/>
      <c r="Q310" s="52" t="n"/>
      <c r="R310" s="44" t="n"/>
      <c r="S310" s="14" t="n"/>
      <c r="U310" s="53" t="n"/>
      <c r="V310" s="53" t="n"/>
      <c r="W310" s="53" t="n"/>
      <c r="X310" s="53" t="n"/>
      <c r="Y310" s="53" t="n"/>
      <c r="Z310" s="53" t="n"/>
      <c r="AA310" s="53" t="n"/>
      <c r="AB310" s="53" t="n"/>
      <c r="AC310" s="53" t="n"/>
      <c r="AD310" s="53" t="n"/>
      <c r="AE310" s="53" t="n"/>
      <c r="AF310" s="53" t="n"/>
      <c r="AG310" s="53" t="n"/>
      <c r="AH310" s="53" t="n"/>
      <c r="AI310" s="53" t="n"/>
      <c r="AJ310" s="53" t="n"/>
      <c r="AK310" s="53" t="n"/>
      <c r="AL310" s="53" t="n"/>
      <c r="AM310" s="53" t="n"/>
      <c r="AN310" s="53" t="n"/>
      <c r="AO310" s="53" t="n"/>
      <c r="AP310" s="53" t="n"/>
      <c r="AQ310" s="53" t="n"/>
      <c r="AR310" s="53" t="n"/>
      <c r="AS310" s="53" t="n"/>
      <c r="AT310" s="53" t="n"/>
      <c r="AU310" s="53" t="n"/>
      <c r="AV310" s="53" t="n"/>
      <c r="AW310" s="53" t="n"/>
      <c r="AX310" s="53" t="n"/>
      <c r="AY310" s="53" t="n"/>
    </row>
    <row r="311" ht="15" customHeight="1">
      <c r="A311" s="54" t="n"/>
      <c r="B311" s="55">
        <f>IF($B$310="","",$B$310)</f>
        <v/>
      </c>
      <c r="C311" s="56" t="inlineStr">
        <is>
          <t>기타</t>
        </is>
      </c>
      <c r="D311" s="55">
        <f>IF($D$310="","",$D$310)</f>
        <v/>
      </c>
      <c r="E311" s="57" t="inlineStr">
        <is>
          <t>이미지</t>
        </is>
      </c>
      <c r="F311" s="44" t="n"/>
      <c r="G311" s="58">
        <f>IF($G$310="","",$G$310)</f>
        <v/>
      </c>
      <c r="H311" s="59" t="n"/>
      <c r="I311" s="59" t="n"/>
      <c r="J311" s="59" t="n"/>
      <c r="K311" s="59" t="n"/>
      <c r="L311" s="60">
        <f>IF(SUM(U311:AY311)=0,"",SUM(U311:AY311))</f>
        <v/>
      </c>
      <c r="M311" s="61">
        <f>IFERROR(INDEX(U$2:AY$2,MATCH(TRUE,INDEX(U311:AY311&lt;&gt;"",0),0)),"")</f>
        <v/>
      </c>
      <c r="N311" s="61">
        <f>IFERROR(LOOKUP(2,1/(U311:AY311&lt;&gt;""),U$2:AY$2),"")</f>
        <v/>
      </c>
      <c r="O311" s="59" t="n"/>
      <c r="P311" s="59" t="n"/>
      <c r="Q311" s="59" t="n"/>
      <c r="R311" s="59" t="n"/>
      <c r="S311" s="14" t="n"/>
      <c r="U311" s="53" t="n"/>
      <c r="V311" s="53" t="n"/>
      <c r="W311" s="53" t="n"/>
      <c r="X311" s="53" t="n"/>
      <c r="Y311" s="53" t="n"/>
      <c r="Z311" s="53" t="n"/>
      <c r="AA311" s="53" t="n"/>
      <c r="AB311" s="53" t="n"/>
      <c r="AC311" s="53" t="n"/>
      <c r="AD311" s="53" t="n"/>
      <c r="AE311" s="53" t="n"/>
      <c r="AF311" s="53" t="n"/>
      <c r="AG311" s="53" t="n"/>
      <c r="AH311" s="53" t="n"/>
      <c r="AI311" s="53" t="n"/>
      <c r="AJ311" s="53" t="n"/>
      <c r="AK311" s="53" t="n"/>
      <c r="AL311" s="53" t="n"/>
      <c r="AM311" s="53" t="n"/>
      <c r="AN311" s="53" t="n"/>
      <c r="AO311" s="53" t="n"/>
      <c r="AP311" s="53" t="n"/>
      <c r="AQ311" s="53" t="n"/>
      <c r="AR311" s="53" t="n"/>
      <c r="AS311" s="53" t="n"/>
      <c r="AT311" s="53" t="n"/>
      <c r="AU311" s="53" t="n"/>
      <c r="AV311" s="53" t="n"/>
      <c r="AW311" s="53" t="n"/>
      <c r="AX311" s="53" t="n"/>
      <c r="AY311" s="53" t="n"/>
    </row>
    <row r="312" ht="15" customHeight="1">
      <c r="A312" s="62" t="n"/>
      <c r="B312" s="55">
        <f>IF($B$310="","",$B$310)</f>
        <v/>
      </c>
      <c r="C312" s="63" t="inlineStr">
        <is>
          <t>기타</t>
        </is>
      </c>
      <c r="D312" s="55">
        <f>IF($D$310="","",$D$310)</f>
        <v/>
      </c>
      <c r="E312" s="64" t="inlineStr">
        <is>
          <t>영상</t>
        </is>
      </c>
      <c r="F312" s="44" t="n"/>
      <c r="G312" s="58">
        <f>IF($G$310="","",$G$310)</f>
        <v/>
      </c>
      <c r="H312" s="59" t="n"/>
      <c r="I312" s="59" t="n"/>
      <c r="J312" s="59" t="n"/>
      <c r="K312" s="59" t="n"/>
      <c r="L312" s="65">
        <f>IF(SUM(U312:AY312)=0,"",SUM(U312:AY312))</f>
        <v/>
      </c>
      <c r="M312" s="66">
        <f>IFERROR(INDEX(U$2:AY$2,MATCH(TRUE,INDEX(U312:AY312&lt;&gt;"",0),0)),"")</f>
        <v/>
      </c>
      <c r="N312" s="66">
        <f>IFERROR(LOOKUP(2,1/(U312:AY312&lt;&gt;""),U$2:AY$2),"")</f>
        <v/>
      </c>
      <c r="O312" s="59" t="n"/>
      <c r="P312" s="59" t="n"/>
      <c r="Q312" s="59" t="n"/>
      <c r="R312" s="59" t="n"/>
      <c r="S312" s="14" t="n"/>
      <c r="U312" s="53" t="n"/>
      <c r="V312" s="53" t="n"/>
      <c r="W312" s="53" t="n"/>
      <c r="X312" s="53" t="n"/>
      <c r="Y312" s="53" t="n"/>
      <c r="Z312" s="53" t="n"/>
      <c r="AA312" s="53" t="n"/>
      <c r="AB312" s="53" t="n"/>
      <c r="AC312" s="53" t="n"/>
      <c r="AD312" s="53" t="n"/>
      <c r="AE312" s="53" t="n"/>
      <c r="AF312" s="53" t="n"/>
      <c r="AG312" s="53" t="n"/>
      <c r="AH312" s="53" t="n"/>
      <c r="AI312" s="53" t="n"/>
      <c r="AJ312" s="53" t="n"/>
      <c r="AK312" s="53" t="n"/>
      <c r="AL312" s="53" t="n"/>
      <c r="AM312" s="53" t="n"/>
      <c r="AN312" s="53" t="n"/>
      <c r="AO312" s="53" t="n"/>
      <c r="AP312" s="53" t="n"/>
      <c r="AQ312" s="53" t="n"/>
      <c r="AR312" s="53" t="n"/>
      <c r="AS312" s="53" t="n"/>
      <c r="AT312" s="53" t="n"/>
      <c r="AU312" s="53" t="n"/>
      <c r="AV312" s="53" t="n"/>
      <c r="AW312" s="53" t="n"/>
      <c r="AX312" s="53" t="n"/>
      <c r="AY312" s="53" t="n"/>
    </row>
    <row r="315">
      <c r="A315" s="67" t="inlineStr">
        <is>
          <t>담당자 1일 캐파(MD)</t>
        </is>
      </c>
      <c r="B315" s="68">
        <f>'마스터'!$J$5</f>
        <v/>
      </c>
    </row>
    <row r="316">
      <c r="A316" s="67" t="inlineStr">
        <is>
          <t>공휴일(자동 연동)</t>
        </is>
      </c>
    </row>
    <row r="317">
      <c r="A317" s="67">
        <f>'마스터'!$I$13</f>
        <v/>
      </c>
      <c r="B317" s="69">
        <f>'마스터'!$J$13</f>
        <v/>
      </c>
    </row>
    <row r="318">
      <c r="A318" s="67">
        <f>'마스터'!$I$14</f>
        <v/>
      </c>
      <c r="B318" s="69">
        <f>'마스터'!$J$14</f>
        <v/>
      </c>
    </row>
    <row r="319">
      <c r="A319" s="67">
        <f>'마스터'!$I$15</f>
        <v/>
      </c>
      <c r="B319" s="69">
        <f>'마스터'!$J$15</f>
        <v/>
      </c>
    </row>
    <row r="320">
      <c r="A320" s="67">
        <f>'마스터'!$I$16</f>
        <v/>
      </c>
      <c r="B320" s="69">
        <f>'마스터'!$J$16</f>
        <v/>
      </c>
    </row>
    <row r="321">
      <c r="A321" s="67">
        <f>'마스터'!$I$17</f>
        <v/>
      </c>
      <c r="B321" s="69">
        <f>'마스터'!$J$17</f>
        <v/>
      </c>
    </row>
    <row r="322">
      <c r="A322" s="67">
        <f>'마스터'!$I$18</f>
        <v/>
      </c>
      <c r="B322" s="69">
        <f>'마스터'!$J$18</f>
        <v/>
      </c>
    </row>
    <row r="323">
      <c r="A323" s="67">
        <f>'마스터'!$I$19</f>
        <v/>
      </c>
      <c r="B323" s="69">
        <f>'마스터'!$J$19</f>
        <v/>
      </c>
    </row>
    <row r="324">
      <c r="A324" s="67">
        <f>'마스터'!$I$20</f>
        <v/>
      </c>
      <c r="B324" s="69">
        <f>'마스터'!$J$20</f>
        <v/>
      </c>
    </row>
    <row r="325">
      <c r="A325" s="67">
        <f>'마스터'!$I$21</f>
        <v/>
      </c>
      <c r="B325" s="69">
        <f>'마스터'!$J$21</f>
        <v/>
      </c>
    </row>
    <row r="326">
      <c r="A326" s="67">
        <f>'마스터'!$I$22</f>
        <v/>
      </c>
      <c r="B326" s="69">
        <f>'마스터'!$J$22</f>
        <v/>
      </c>
    </row>
    <row r="327">
      <c r="A327" s="67">
        <f>'마스터'!$I$23</f>
        <v/>
      </c>
      <c r="B327" s="69">
        <f>'마스터'!$J$23</f>
        <v/>
      </c>
    </row>
    <row r="328">
      <c r="A328" s="67">
        <f>'마스터'!$I$24</f>
        <v/>
      </c>
      <c r="B328" s="69">
        <f>'마스터'!$J$24</f>
        <v/>
      </c>
    </row>
    <row r="329">
      <c r="A329" s="67">
        <f>'마스터'!$I$25</f>
        <v/>
      </c>
      <c r="B329" s="69">
        <f>'마스터'!$J$25</f>
        <v/>
      </c>
    </row>
    <row r="330">
      <c r="A330" s="67">
        <f>'마스터'!$I$26</f>
        <v/>
      </c>
      <c r="B330" s="69">
        <f>'마스터'!$J$26</f>
        <v/>
      </c>
    </row>
    <row r="331">
      <c r="A331" s="67">
        <f>'마스터'!$I$27</f>
        <v/>
      </c>
      <c r="B331" s="69">
        <f>'마스터'!$J$27</f>
        <v/>
      </c>
    </row>
  </sheetData>
  <mergeCells count="16">
    <mergeCell ref="L1:N1"/>
    <mergeCell ref="A252:AY252"/>
    <mergeCell ref="O1:Q1"/>
    <mergeCell ref="A191:AY191"/>
    <mergeCell ref="A1:F1"/>
    <mergeCell ref="A5:F5"/>
    <mergeCell ref="A130:AY130"/>
    <mergeCell ref="G1:K1"/>
    <mergeCell ref="A8:AY8"/>
    <mergeCell ref="U1:AY1"/>
    <mergeCell ref="A6:F6"/>
    <mergeCell ref="A4:F4"/>
    <mergeCell ref="A3:F3"/>
    <mergeCell ref="A7:AY7"/>
    <mergeCell ref="A69:AY69"/>
    <mergeCell ref="R1:S1"/>
  </mergeCells>
  <conditionalFormatting sqref="U3:AY6">
    <cfRule type="expression" priority="1" dxfId="3">
      <formula>AND(U3&lt;&gt;"",U3&gt;$H3)</formula>
    </cfRule>
    <cfRule type="expression" priority="2" dxfId="4">
      <formula>AND(U3&gt;0,U3&gt;=$H3*0.8)</formula>
    </cfRule>
  </conditionalFormatting>
  <conditionalFormatting sqref="U3:AY312">
    <cfRule type="expression" priority="3" dxfId="5">
      <formula>U$2=""</formula>
    </cfRule>
    <cfRule type="expression" priority="4" dxfId="6">
      <formula>AND(U$2&lt;&gt;"",OR(WEEKDAY(U$2,2)&gt;5,COUNTIF($B$317:$B$331,U$2)&gt;0))</formula>
    </cfRule>
  </conditionalFormatting>
  <conditionalFormatting sqref="U9:AY312">
    <cfRule type="expression" priority="5" dxfId="7">
      <formula>AND(U9&lt;&gt;"",$G9&lt;&gt;"",U$2&lt;&gt;"",U$2&gt;$G9)</formula>
    </cfRule>
    <cfRule type="expression" priority="6" dxfId="8">
      <formula>AND($F9&lt;&gt;"",U9&lt;&gt;"",SUMIF($F$9:$F$312,$F9,U$9:U$312)&gt;$B$315)</formula>
    </cfRule>
    <cfRule type="expression" priority="7" dxfId="9">
      <formula>AND($E9="기획",U9&lt;&gt;"")</formula>
    </cfRule>
    <cfRule type="expression" priority="8" dxfId="10">
      <formula>AND($E9="이미지",U9&lt;&gt;"")</formula>
    </cfRule>
    <cfRule type="expression" priority="9" dxfId="11">
      <formula>AND($E9="영상",U9&lt;&gt;"")</formula>
    </cfRule>
  </conditionalFormatting>
  <conditionalFormatting sqref="H9:I312">
    <cfRule type="expression" priority="10" dxfId="12">
      <formula>AND($I9&lt;&gt;"",$I9&lt;0)</formula>
    </cfRule>
    <cfRule type="expression" priority="11" dxfId="13">
      <formula>AND($I9&lt;&gt;"",$I9&lt;=1)</formula>
    </cfRule>
    <cfRule type="expression" priority="12" dxfId="14">
      <formula>$I9&lt;&gt;""</formula>
    </cfRule>
  </conditionalFormatting>
  <dataValidations count="2">
    <dataValidation sqref="B9:B312" showDropDown="0" showInputMessage="0" showErrorMessage="0" allowBlank="1" type="list">
      <formula1>'마스터'!$A$3:$A$12</formula1>
    </dataValidation>
    <dataValidation sqref="R9:R312" showDropDown="0" showInputMessage="0" showErrorMessage="0" allowBlank="1" type="list">
      <formula1>'마스터'!$G$3:$G$6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2A44"/>
    <outlinePr summaryBelow="1" summaryRight="1"/>
    <pageSetUpPr/>
  </sheetPr>
  <dimension ref="A1:AY331"/>
  <sheetViews>
    <sheetView workbookViewId="0">
      <pane xSplit="8" ySplit="8" topLeftCell="I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28" customWidth="1" min="4" max="4"/>
    <col width="8" customWidth="1" min="5" max="5"/>
    <col width="10" customWidth="1" min="6" max="6"/>
    <col width="11" customWidth="1" min="7" max="7"/>
    <col width="9" customWidth="1" min="8" max="8"/>
    <col width="8" customWidth="1" min="9" max="9"/>
    <col width="8" customWidth="1" min="10" max="10"/>
    <col width="11" customWidth="1" min="11" max="11"/>
    <col width="8" customWidth="1" min="12" max="12"/>
    <col width="10" customWidth="1" min="13" max="13"/>
    <col width="10" customWidth="1" min="14" max="14"/>
    <col width="6" customWidth="1" min="15" max="15"/>
    <col width="6" customWidth="1" min="16" max="16"/>
    <col width="6" customWidth="1" min="17" max="17"/>
    <col width="8" customWidth="1" min="18" max="18"/>
    <col width="16" customWidth="1" min="19" max="19"/>
    <col width="2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3.6" customWidth="1" min="33" max="33"/>
    <col width="3.6" customWidth="1" min="34" max="34"/>
    <col width="3.6" customWidth="1" min="35" max="35"/>
    <col width="3.6" customWidth="1" min="36" max="36"/>
    <col width="3.6" customWidth="1" min="37" max="37"/>
    <col width="3.6" customWidth="1" min="38" max="38"/>
    <col width="3.6" customWidth="1" min="39" max="39"/>
    <col width="3.6" customWidth="1" min="40" max="40"/>
    <col width="3.6" customWidth="1" min="41" max="41"/>
    <col width="3.6" customWidth="1" min="42" max="42"/>
    <col width="3.6" customWidth="1" min="43" max="43"/>
    <col width="3.6" customWidth="1" min="44" max="44"/>
    <col width="3.6" customWidth="1" min="45" max="45"/>
    <col width="3.6" customWidth="1" min="46" max="46"/>
    <col width="3.6" customWidth="1" min="47" max="47"/>
    <col width="3.6" customWidth="1" min="48" max="48"/>
    <col width="3.6" customWidth="1" min="49" max="49"/>
    <col width="3.6" customWidth="1" min="50" max="50"/>
    <col width="3.6" customWidth="1" min="51" max="51"/>
  </cols>
  <sheetData>
    <row r="1" ht="22" customHeight="1">
      <c r="A1" s="27" t="inlineStr">
        <is>
          <t>6월 소재 정보  (소재 1개 = 기획/이미지/영상 3줄)</t>
        </is>
      </c>
      <c r="B1" s="8" t="n"/>
      <c r="C1" s="8" t="n"/>
      <c r="D1" s="8" t="n"/>
      <c r="E1" s="8" t="n"/>
      <c r="F1" s="4" t="n"/>
      <c r="G1" s="28" t="inlineStr">
        <is>
          <t>고객사 전달일 기준 (자동)</t>
        </is>
      </c>
      <c r="H1" s="8" t="n"/>
      <c r="I1" s="8" t="n"/>
      <c r="J1" s="8" t="n"/>
      <c r="K1" s="4" t="n"/>
      <c r="L1" s="29" t="inlineStr">
        <is>
          <t>직군별 집계 (자동)</t>
        </is>
      </c>
      <c r="M1" s="8" t="n"/>
      <c r="N1" s="4" t="n"/>
      <c r="O1" s="30" t="inlineStr">
        <is>
          <t>수량 (소재당 1번)</t>
        </is>
      </c>
      <c r="P1" s="8" t="n"/>
      <c r="Q1" s="4" t="n"/>
      <c r="R1" s="31" t="inlineStr">
        <is>
          <t>관리</t>
        </is>
      </c>
      <c r="S1" s="4" t="n"/>
      <c r="U1" s="32" t="inlineStr">
        <is>
          <t>6월 간트 - 날짜 칸에 실제 MD 직접 입력   |   상단 4줄 = 일자별 직군 TO 상태</t>
        </is>
      </c>
      <c r="V1" s="8" t="n"/>
      <c r="W1" s="8" t="n"/>
      <c r="X1" s="8" t="n"/>
      <c r="Y1" s="8" t="n"/>
      <c r="Z1" s="8" t="n"/>
      <c r="AA1" s="8" t="n"/>
      <c r="AB1" s="8" t="n"/>
      <c r="AC1" s="8" t="n"/>
      <c r="AD1" s="8" t="n"/>
      <c r="AE1" s="8" t="n"/>
      <c r="AF1" s="8" t="n"/>
      <c r="AG1" s="8" t="n"/>
      <c r="AH1" s="8" t="n"/>
      <c r="AI1" s="8" t="n"/>
      <c r="AJ1" s="8" t="n"/>
      <c r="AK1" s="8" t="n"/>
      <c r="AL1" s="8" t="n"/>
      <c r="AM1" s="8" t="n"/>
      <c r="AN1" s="8" t="n"/>
      <c r="AO1" s="8" t="n"/>
      <c r="AP1" s="8" t="n"/>
      <c r="AQ1" s="8" t="n"/>
      <c r="AR1" s="8" t="n"/>
      <c r="AS1" s="8" t="n"/>
      <c r="AT1" s="8" t="n"/>
      <c r="AU1" s="8" t="n"/>
      <c r="AV1" s="8" t="n"/>
      <c r="AW1" s="8" t="n"/>
      <c r="AX1" s="8" t="n"/>
      <c r="AY1" s="4" t="n"/>
    </row>
    <row r="2" ht="30" customHeight="1">
      <c r="A2" s="17" t="inlineStr">
        <is>
          <t>No</t>
        </is>
      </c>
      <c r="B2" s="17" t="inlineStr">
        <is>
          <t>게임 타이틀</t>
        </is>
      </c>
      <c r="C2" s="17" t="inlineStr">
        <is>
          <t>고객팀</t>
        </is>
      </c>
      <c r="D2" s="17" t="inlineStr">
        <is>
          <t>소재명(업무명)</t>
        </is>
      </c>
      <c r="E2" s="17" t="inlineStr">
        <is>
          <t>직군</t>
        </is>
      </c>
      <c r="F2" s="17" t="inlineStr">
        <is>
          <t>담당자</t>
        </is>
      </c>
      <c r="G2" s="17" t="inlineStr">
        <is>
          <t>고객사
전달일</t>
        </is>
      </c>
      <c r="H2" s="17" t="inlineStr">
        <is>
          <t>신호</t>
        </is>
      </c>
      <c r="I2" s="17" t="inlineStr">
        <is>
          <t>전달일
여유</t>
        </is>
      </c>
      <c r="J2" s="17" t="inlineStr">
        <is>
          <t>소재
총MD</t>
        </is>
      </c>
      <c r="K2" s="17" t="inlineStr">
        <is>
          <t>소재
최종완료</t>
        </is>
      </c>
      <c r="L2" s="17" t="inlineStr">
        <is>
          <t>직군
MD</t>
        </is>
      </c>
      <c r="M2" s="17" t="inlineStr">
        <is>
          <t>직군
시작일</t>
        </is>
      </c>
      <c r="N2" s="17" t="inlineStr">
        <is>
          <t>직군
완료일</t>
        </is>
      </c>
      <c r="O2" s="17" t="inlineStr">
        <is>
          <t>영상
수</t>
        </is>
      </c>
      <c r="P2" s="17" t="inlineStr">
        <is>
          <t>사이즈
베리</t>
        </is>
      </c>
      <c r="Q2" s="17" t="inlineStr">
        <is>
          <t>다국어
베리</t>
        </is>
      </c>
      <c r="R2" s="17" t="inlineStr">
        <is>
          <t>상태</t>
        </is>
      </c>
      <c r="S2" s="17" t="inlineStr">
        <is>
          <t>비고</t>
        </is>
      </c>
      <c r="U2" s="33">
        <f>IF(MONTH(DATE('마스터'!$J$3,6,1)+0)=6,DATE('마스터'!$J$3,6,1)+0,"")</f>
        <v/>
      </c>
      <c r="V2" s="33">
        <f>IF(MONTH(DATE('마스터'!$J$3,6,1)+1)=6,DATE('마스터'!$J$3,6,1)+1,"")</f>
        <v/>
      </c>
      <c r="W2" s="33">
        <f>IF(MONTH(DATE('마스터'!$J$3,6,1)+2)=6,DATE('마스터'!$J$3,6,1)+2,"")</f>
        <v/>
      </c>
      <c r="X2" s="33">
        <f>IF(MONTH(DATE('마스터'!$J$3,6,1)+3)=6,DATE('마스터'!$J$3,6,1)+3,"")</f>
        <v/>
      </c>
      <c r="Y2" s="33">
        <f>IF(MONTH(DATE('마스터'!$J$3,6,1)+4)=6,DATE('마스터'!$J$3,6,1)+4,"")</f>
        <v/>
      </c>
      <c r="Z2" s="33">
        <f>IF(MONTH(DATE('마스터'!$J$3,6,1)+5)=6,DATE('마스터'!$J$3,6,1)+5,"")</f>
        <v/>
      </c>
      <c r="AA2" s="33">
        <f>IF(MONTH(DATE('마스터'!$J$3,6,1)+6)=6,DATE('마스터'!$J$3,6,1)+6,"")</f>
        <v/>
      </c>
      <c r="AB2" s="33">
        <f>IF(MONTH(DATE('마스터'!$J$3,6,1)+7)=6,DATE('마스터'!$J$3,6,1)+7,"")</f>
        <v/>
      </c>
      <c r="AC2" s="33">
        <f>IF(MONTH(DATE('마스터'!$J$3,6,1)+8)=6,DATE('마스터'!$J$3,6,1)+8,"")</f>
        <v/>
      </c>
      <c r="AD2" s="33">
        <f>IF(MONTH(DATE('마스터'!$J$3,6,1)+9)=6,DATE('마스터'!$J$3,6,1)+9,"")</f>
        <v/>
      </c>
      <c r="AE2" s="33">
        <f>IF(MONTH(DATE('마스터'!$J$3,6,1)+10)=6,DATE('마스터'!$J$3,6,1)+10,"")</f>
        <v/>
      </c>
      <c r="AF2" s="33">
        <f>IF(MONTH(DATE('마스터'!$J$3,6,1)+11)=6,DATE('마스터'!$J$3,6,1)+11,"")</f>
        <v/>
      </c>
      <c r="AG2" s="33">
        <f>IF(MONTH(DATE('마스터'!$J$3,6,1)+12)=6,DATE('마스터'!$J$3,6,1)+12,"")</f>
        <v/>
      </c>
      <c r="AH2" s="33">
        <f>IF(MONTH(DATE('마스터'!$J$3,6,1)+13)=6,DATE('마스터'!$J$3,6,1)+13,"")</f>
        <v/>
      </c>
      <c r="AI2" s="33">
        <f>IF(MONTH(DATE('마스터'!$J$3,6,1)+14)=6,DATE('마스터'!$J$3,6,1)+14,"")</f>
        <v/>
      </c>
      <c r="AJ2" s="33">
        <f>IF(MONTH(DATE('마스터'!$J$3,6,1)+15)=6,DATE('마스터'!$J$3,6,1)+15,"")</f>
        <v/>
      </c>
      <c r="AK2" s="33">
        <f>IF(MONTH(DATE('마스터'!$J$3,6,1)+16)=6,DATE('마스터'!$J$3,6,1)+16,"")</f>
        <v/>
      </c>
      <c r="AL2" s="33">
        <f>IF(MONTH(DATE('마스터'!$J$3,6,1)+17)=6,DATE('마스터'!$J$3,6,1)+17,"")</f>
        <v/>
      </c>
      <c r="AM2" s="33">
        <f>IF(MONTH(DATE('마스터'!$J$3,6,1)+18)=6,DATE('마스터'!$J$3,6,1)+18,"")</f>
        <v/>
      </c>
      <c r="AN2" s="33">
        <f>IF(MONTH(DATE('마스터'!$J$3,6,1)+19)=6,DATE('마스터'!$J$3,6,1)+19,"")</f>
        <v/>
      </c>
      <c r="AO2" s="33">
        <f>IF(MONTH(DATE('마스터'!$J$3,6,1)+20)=6,DATE('마스터'!$J$3,6,1)+20,"")</f>
        <v/>
      </c>
      <c r="AP2" s="33">
        <f>IF(MONTH(DATE('마스터'!$J$3,6,1)+21)=6,DATE('마스터'!$J$3,6,1)+21,"")</f>
        <v/>
      </c>
      <c r="AQ2" s="33">
        <f>IF(MONTH(DATE('마스터'!$J$3,6,1)+22)=6,DATE('마스터'!$J$3,6,1)+22,"")</f>
        <v/>
      </c>
      <c r="AR2" s="33">
        <f>IF(MONTH(DATE('마스터'!$J$3,6,1)+23)=6,DATE('마스터'!$J$3,6,1)+23,"")</f>
        <v/>
      </c>
      <c r="AS2" s="33">
        <f>IF(MONTH(DATE('마스터'!$J$3,6,1)+24)=6,DATE('마스터'!$J$3,6,1)+24,"")</f>
        <v/>
      </c>
      <c r="AT2" s="33">
        <f>IF(MONTH(DATE('마스터'!$J$3,6,1)+25)=6,DATE('마스터'!$J$3,6,1)+25,"")</f>
        <v/>
      </c>
      <c r="AU2" s="33">
        <f>IF(MONTH(DATE('마스터'!$J$3,6,1)+26)=6,DATE('마스터'!$J$3,6,1)+26,"")</f>
        <v/>
      </c>
      <c r="AV2" s="33">
        <f>IF(MONTH(DATE('마스터'!$J$3,6,1)+27)=6,DATE('마스터'!$J$3,6,1)+27,"")</f>
        <v/>
      </c>
      <c r="AW2" s="33">
        <f>IF(MONTH(DATE('마스터'!$J$3,6,1)+28)=6,DATE('마스터'!$J$3,6,1)+28,"")</f>
        <v/>
      </c>
      <c r="AX2" s="33">
        <f>IF(MONTH(DATE('마스터'!$J$3,6,1)+29)=6,DATE('마스터'!$J$3,6,1)+29,"")</f>
        <v/>
      </c>
      <c r="AY2" s="33">
        <f>IF(MONTH(DATE('마스터'!$J$3,6,1)+30)=6,DATE('마스터'!$J$3,6,1)+30,"")</f>
        <v/>
      </c>
    </row>
    <row r="3" ht="15" customHeight="1">
      <c r="A3" s="5" t="inlineStr">
        <is>
          <t>전체 TO (일자별 부하)</t>
        </is>
      </c>
      <c r="B3" s="8" t="n"/>
      <c r="C3" s="8" t="n"/>
      <c r="D3" s="8" t="n"/>
      <c r="E3" s="8" t="n"/>
      <c r="F3" s="4" t="n"/>
      <c r="G3" s="34" t="inlineStr">
        <is>
          <t>정원</t>
        </is>
      </c>
      <c r="H3" s="35">
        <f>SUM('마스터'!$J$8:$J$10)</f>
        <v/>
      </c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U3" s="37">
        <f>SUM(U$9:U$312)</f>
        <v/>
      </c>
      <c r="V3" s="37">
        <f>SUM(V$9:V$312)</f>
        <v/>
      </c>
      <c r="W3" s="37">
        <f>SUM(W$9:W$312)</f>
        <v/>
      </c>
      <c r="X3" s="37">
        <f>SUM(X$9:X$312)</f>
        <v/>
      </c>
      <c r="Y3" s="37">
        <f>SUM(Y$9:Y$312)</f>
        <v/>
      </c>
      <c r="Z3" s="37">
        <f>SUM(Z$9:Z$312)</f>
        <v/>
      </c>
      <c r="AA3" s="37">
        <f>SUM(AA$9:AA$312)</f>
        <v/>
      </c>
      <c r="AB3" s="37">
        <f>SUM(AB$9:AB$312)</f>
        <v/>
      </c>
      <c r="AC3" s="37">
        <f>SUM(AC$9:AC$312)</f>
        <v/>
      </c>
      <c r="AD3" s="37">
        <f>SUM(AD$9:AD$312)</f>
        <v/>
      </c>
      <c r="AE3" s="37">
        <f>SUM(AE$9:AE$312)</f>
        <v/>
      </c>
      <c r="AF3" s="37">
        <f>SUM(AF$9:AF$312)</f>
        <v/>
      </c>
      <c r="AG3" s="37">
        <f>SUM(AG$9:AG$312)</f>
        <v/>
      </c>
      <c r="AH3" s="37">
        <f>SUM(AH$9:AH$312)</f>
        <v/>
      </c>
      <c r="AI3" s="37">
        <f>SUM(AI$9:AI$312)</f>
        <v/>
      </c>
      <c r="AJ3" s="37">
        <f>SUM(AJ$9:AJ$312)</f>
        <v/>
      </c>
      <c r="AK3" s="37">
        <f>SUM(AK$9:AK$312)</f>
        <v/>
      </c>
      <c r="AL3" s="37">
        <f>SUM(AL$9:AL$312)</f>
        <v/>
      </c>
      <c r="AM3" s="37">
        <f>SUM(AM$9:AM$312)</f>
        <v/>
      </c>
      <c r="AN3" s="37">
        <f>SUM(AN$9:AN$312)</f>
        <v/>
      </c>
      <c r="AO3" s="37">
        <f>SUM(AO$9:AO$312)</f>
        <v/>
      </c>
      <c r="AP3" s="37">
        <f>SUM(AP$9:AP$312)</f>
        <v/>
      </c>
      <c r="AQ3" s="37">
        <f>SUM(AQ$9:AQ$312)</f>
        <v/>
      </c>
      <c r="AR3" s="37">
        <f>SUM(AR$9:AR$312)</f>
        <v/>
      </c>
      <c r="AS3" s="37">
        <f>SUM(AS$9:AS$312)</f>
        <v/>
      </c>
      <c r="AT3" s="37">
        <f>SUM(AT$9:AT$312)</f>
        <v/>
      </c>
      <c r="AU3" s="37">
        <f>SUM(AU$9:AU$312)</f>
        <v/>
      </c>
      <c r="AV3" s="37">
        <f>SUM(AV$9:AV$312)</f>
        <v/>
      </c>
      <c r="AW3" s="37">
        <f>SUM(AW$9:AW$312)</f>
        <v/>
      </c>
      <c r="AX3" s="37">
        <f>SUM(AX$9:AX$312)</f>
        <v/>
      </c>
      <c r="AY3" s="37">
        <f>SUM(AY$9:AY$312)</f>
        <v/>
      </c>
    </row>
    <row r="4" ht="15" customHeight="1">
      <c r="A4" s="5" t="inlineStr">
        <is>
          <t>영상 TO</t>
        </is>
      </c>
      <c r="B4" s="8" t="n"/>
      <c r="C4" s="8" t="n"/>
      <c r="D4" s="8" t="n"/>
      <c r="E4" s="8" t="n"/>
      <c r="F4" s="4" t="n"/>
      <c r="G4" s="34" t="inlineStr">
        <is>
          <t>정원</t>
        </is>
      </c>
      <c r="H4" s="35">
        <f>'마스터'!$J$8</f>
        <v/>
      </c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U4" s="37">
        <f>SUMIF($E$9:$E$312,"영상",U$9:U$312)</f>
        <v/>
      </c>
      <c r="V4" s="37">
        <f>SUMIF($E$9:$E$312,"영상",V$9:V$312)</f>
        <v/>
      </c>
      <c r="W4" s="37">
        <f>SUMIF($E$9:$E$312,"영상",W$9:W$312)</f>
        <v/>
      </c>
      <c r="X4" s="37">
        <f>SUMIF($E$9:$E$312,"영상",X$9:X$312)</f>
        <v/>
      </c>
      <c r="Y4" s="37">
        <f>SUMIF($E$9:$E$312,"영상",Y$9:Y$312)</f>
        <v/>
      </c>
      <c r="Z4" s="37">
        <f>SUMIF($E$9:$E$312,"영상",Z$9:Z$312)</f>
        <v/>
      </c>
      <c r="AA4" s="37">
        <f>SUMIF($E$9:$E$312,"영상",AA$9:AA$312)</f>
        <v/>
      </c>
      <c r="AB4" s="37">
        <f>SUMIF($E$9:$E$312,"영상",AB$9:AB$312)</f>
        <v/>
      </c>
      <c r="AC4" s="37">
        <f>SUMIF($E$9:$E$312,"영상",AC$9:AC$312)</f>
        <v/>
      </c>
      <c r="AD4" s="37">
        <f>SUMIF($E$9:$E$312,"영상",AD$9:AD$312)</f>
        <v/>
      </c>
      <c r="AE4" s="37">
        <f>SUMIF($E$9:$E$312,"영상",AE$9:AE$312)</f>
        <v/>
      </c>
      <c r="AF4" s="37">
        <f>SUMIF($E$9:$E$312,"영상",AF$9:AF$312)</f>
        <v/>
      </c>
      <c r="AG4" s="37">
        <f>SUMIF($E$9:$E$312,"영상",AG$9:AG$312)</f>
        <v/>
      </c>
      <c r="AH4" s="37">
        <f>SUMIF($E$9:$E$312,"영상",AH$9:AH$312)</f>
        <v/>
      </c>
      <c r="AI4" s="37">
        <f>SUMIF($E$9:$E$312,"영상",AI$9:AI$312)</f>
        <v/>
      </c>
      <c r="AJ4" s="37">
        <f>SUMIF($E$9:$E$312,"영상",AJ$9:AJ$312)</f>
        <v/>
      </c>
      <c r="AK4" s="37">
        <f>SUMIF($E$9:$E$312,"영상",AK$9:AK$312)</f>
        <v/>
      </c>
      <c r="AL4" s="37">
        <f>SUMIF($E$9:$E$312,"영상",AL$9:AL$312)</f>
        <v/>
      </c>
      <c r="AM4" s="37">
        <f>SUMIF($E$9:$E$312,"영상",AM$9:AM$312)</f>
        <v/>
      </c>
      <c r="AN4" s="37">
        <f>SUMIF($E$9:$E$312,"영상",AN$9:AN$312)</f>
        <v/>
      </c>
      <c r="AO4" s="37">
        <f>SUMIF($E$9:$E$312,"영상",AO$9:AO$312)</f>
        <v/>
      </c>
      <c r="AP4" s="37">
        <f>SUMIF($E$9:$E$312,"영상",AP$9:AP$312)</f>
        <v/>
      </c>
      <c r="AQ4" s="37">
        <f>SUMIF($E$9:$E$312,"영상",AQ$9:AQ$312)</f>
        <v/>
      </c>
      <c r="AR4" s="37">
        <f>SUMIF($E$9:$E$312,"영상",AR$9:AR$312)</f>
        <v/>
      </c>
      <c r="AS4" s="37">
        <f>SUMIF($E$9:$E$312,"영상",AS$9:AS$312)</f>
        <v/>
      </c>
      <c r="AT4" s="37">
        <f>SUMIF($E$9:$E$312,"영상",AT$9:AT$312)</f>
        <v/>
      </c>
      <c r="AU4" s="37">
        <f>SUMIF($E$9:$E$312,"영상",AU$9:AU$312)</f>
        <v/>
      </c>
      <c r="AV4" s="37">
        <f>SUMIF($E$9:$E$312,"영상",AV$9:AV$312)</f>
        <v/>
      </c>
      <c r="AW4" s="37">
        <f>SUMIF($E$9:$E$312,"영상",AW$9:AW$312)</f>
        <v/>
      </c>
      <c r="AX4" s="37">
        <f>SUMIF($E$9:$E$312,"영상",AX$9:AX$312)</f>
        <v/>
      </c>
      <c r="AY4" s="37">
        <f>SUMIF($E$9:$E$312,"영상",AY$9:AY$312)</f>
        <v/>
      </c>
    </row>
    <row r="5" ht="15" customHeight="1">
      <c r="A5" s="5" t="inlineStr">
        <is>
          <t>이미지 TO</t>
        </is>
      </c>
      <c r="B5" s="8" t="n"/>
      <c r="C5" s="8" t="n"/>
      <c r="D5" s="8" t="n"/>
      <c r="E5" s="8" t="n"/>
      <c r="F5" s="4" t="n"/>
      <c r="G5" s="34" t="inlineStr">
        <is>
          <t>정원</t>
        </is>
      </c>
      <c r="H5" s="35">
        <f>'마스터'!$J$9</f>
        <v/>
      </c>
      <c r="I5" s="36" t="n"/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  <c r="S5" s="36" t="n"/>
      <c r="U5" s="37">
        <f>SUMIF($E$9:$E$312,"이미지",U$9:U$312)</f>
        <v/>
      </c>
      <c r="V5" s="37">
        <f>SUMIF($E$9:$E$312,"이미지",V$9:V$312)</f>
        <v/>
      </c>
      <c r="W5" s="37">
        <f>SUMIF($E$9:$E$312,"이미지",W$9:W$312)</f>
        <v/>
      </c>
      <c r="X5" s="37">
        <f>SUMIF($E$9:$E$312,"이미지",X$9:X$312)</f>
        <v/>
      </c>
      <c r="Y5" s="37">
        <f>SUMIF($E$9:$E$312,"이미지",Y$9:Y$312)</f>
        <v/>
      </c>
      <c r="Z5" s="37">
        <f>SUMIF($E$9:$E$312,"이미지",Z$9:Z$312)</f>
        <v/>
      </c>
      <c r="AA5" s="37">
        <f>SUMIF($E$9:$E$312,"이미지",AA$9:AA$312)</f>
        <v/>
      </c>
      <c r="AB5" s="37">
        <f>SUMIF($E$9:$E$312,"이미지",AB$9:AB$312)</f>
        <v/>
      </c>
      <c r="AC5" s="37">
        <f>SUMIF($E$9:$E$312,"이미지",AC$9:AC$312)</f>
        <v/>
      </c>
      <c r="AD5" s="37">
        <f>SUMIF($E$9:$E$312,"이미지",AD$9:AD$312)</f>
        <v/>
      </c>
      <c r="AE5" s="37">
        <f>SUMIF($E$9:$E$312,"이미지",AE$9:AE$312)</f>
        <v/>
      </c>
      <c r="AF5" s="37">
        <f>SUMIF($E$9:$E$312,"이미지",AF$9:AF$312)</f>
        <v/>
      </c>
      <c r="AG5" s="37">
        <f>SUMIF($E$9:$E$312,"이미지",AG$9:AG$312)</f>
        <v/>
      </c>
      <c r="AH5" s="37">
        <f>SUMIF($E$9:$E$312,"이미지",AH$9:AH$312)</f>
        <v/>
      </c>
      <c r="AI5" s="37">
        <f>SUMIF($E$9:$E$312,"이미지",AI$9:AI$312)</f>
        <v/>
      </c>
      <c r="AJ5" s="37">
        <f>SUMIF($E$9:$E$312,"이미지",AJ$9:AJ$312)</f>
        <v/>
      </c>
      <c r="AK5" s="37">
        <f>SUMIF($E$9:$E$312,"이미지",AK$9:AK$312)</f>
        <v/>
      </c>
      <c r="AL5" s="37">
        <f>SUMIF($E$9:$E$312,"이미지",AL$9:AL$312)</f>
        <v/>
      </c>
      <c r="AM5" s="37">
        <f>SUMIF($E$9:$E$312,"이미지",AM$9:AM$312)</f>
        <v/>
      </c>
      <c r="AN5" s="37">
        <f>SUMIF($E$9:$E$312,"이미지",AN$9:AN$312)</f>
        <v/>
      </c>
      <c r="AO5" s="37">
        <f>SUMIF($E$9:$E$312,"이미지",AO$9:AO$312)</f>
        <v/>
      </c>
      <c r="AP5" s="37">
        <f>SUMIF($E$9:$E$312,"이미지",AP$9:AP$312)</f>
        <v/>
      </c>
      <c r="AQ5" s="37">
        <f>SUMIF($E$9:$E$312,"이미지",AQ$9:AQ$312)</f>
        <v/>
      </c>
      <c r="AR5" s="37">
        <f>SUMIF($E$9:$E$312,"이미지",AR$9:AR$312)</f>
        <v/>
      </c>
      <c r="AS5" s="37">
        <f>SUMIF($E$9:$E$312,"이미지",AS$9:AS$312)</f>
        <v/>
      </c>
      <c r="AT5" s="37">
        <f>SUMIF($E$9:$E$312,"이미지",AT$9:AT$312)</f>
        <v/>
      </c>
      <c r="AU5" s="37">
        <f>SUMIF($E$9:$E$312,"이미지",AU$9:AU$312)</f>
        <v/>
      </c>
      <c r="AV5" s="37">
        <f>SUMIF($E$9:$E$312,"이미지",AV$9:AV$312)</f>
        <v/>
      </c>
      <c r="AW5" s="37">
        <f>SUMIF($E$9:$E$312,"이미지",AW$9:AW$312)</f>
        <v/>
      </c>
      <c r="AX5" s="37">
        <f>SUMIF($E$9:$E$312,"이미지",AX$9:AX$312)</f>
        <v/>
      </c>
      <c r="AY5" s="37">
        <f>SUMIF($E$9:$E$312,"이미지",AY$9:AY$312)</f>
        <v/>
      </c>
    </row>
    <row r="6" ht="15" customHeight="1">
      <c r="A6" s="5" t="inlineStr">
        <is>
          <t>기획 TO</t>
        </is>
      </c>
      <c r="B6" s="8" t="n"/>
      <c r="C6" s="8" t="n"/>
      <c r="D6" s="8" t="n"/>
      <c r="E6" s="8" t="n"/>
      <c r="F6" s="4" t="n"/>
      <c r="G6" s="34" t="inlineStr">
        <is>
          <t>정원</t>
        </is>
      </c>
      <c r="H6" s="35">
        <f>'마스터'!$J$10</f>
        <v/>
      </c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6" t="n"/>
      <c r="S6" s="36" t="n"/>
      <c r="U6" s="37">
        <f>SUMIF($E$9:$E$312,"기획",U$9:U$312)</f>
        <v/>
      </c>
      <c r="V6" s="37">
        <f>SUMIF($E$9:$E$312,"기획",V$9:V$312)</f>
        <v/>
      </c>
      <c r="W6" s="37">
        <f>SUMIF($E$9:$E$312,"기획",W$9:W$312)</f>
        <v/>
      </c>
      <c r="X6" s="37">
        <f>SUMIF($E$9:$E$312,"기획",X$9:X$312)</f>
        <v/>
      </c>
      <c r="Y6" s="37">
        <f>SUMIF($E$9:$E$312,"기획",Y$9:Y$312)</f>
        <v/>
      </c>
      <c r="Z6" s="37">
        <f>SUMIF($E$9:$E$312,"기획",Z$9:Z$312)</f>
        <v/>
      </c>
      <c r="AA6" s="37">
        <f>SUMIF($E$9:$E$312,"기획",AA$9:AA$312)</f>
        <v/>
      </c>
      <c r="AB6" s="37">
        <f>SUMIF($E$9:$E$312,"기획",AB$9:AB$312)</f>
        <v/>
      </c>
      <c r="AC6" s="37">
        <f>SUMIF($E$9:$E$312,"기획",AC$9:AC$312)</f>
        <v/>
      </c>
      <c r="AD6" s="37">
        <f>SUMIF($E$9:$E$312,"기획",AD$9:AD$312)</f>
        <v/>
      </c>
      <c r="AE6" s="37">
        <f>SUMIF($E$9:$E$312,"기획",AE$9:AE$312)</f>
        <v/>
      </c>
      <c r="AF6" s="37">
        <f>SUMIF($E$9:$E$312,"기획",AF$9:AF$312)</f>
        <v/>
      </c>
      <c r="AG6" s="37">
        <f>SUMIF($E$9:$E$312,"기획",AG$9:AG$312)</f>
        <v/>
      </c>
      <c r="AH6" s="37">
        <f>SUMIF($E$9:$E$312,"기획",AH$9:AH$312)</f>
        <v/>
      </c>
      <c r="AI6" s="37">
        <f>SUMIF($E$9:$E$312,"기획",AI$9:AI$312)</f>
        <v/>
      </c>
      <c r="AJ6" s="37">
        <f>SUMIF($E$9:$E$312,"기획",AJ$9:AJ$312)</f>
        <v/>
      </c>
      <c r="AK6" s="37">
        <f>SUMIF($E$9:$E$312,"기획",AK$9:AK$312)</f>
        <v/>
      </c>
      <c r="AL6" s="37">
        <f>SUMIF($E$9:$E$312,"기획",AL$9:AL$312)</f>
        <v/>
      </c>
      <c r="AM6" s="37">
        <f>SUMIF($E$9:$E$312,"기획",AM$9:AM$312)</f>
        <v/>
      </c>
      <c r="AN6" s="37">
        <f>SUMIF($E$9:$E$312,"기획",AN$9:AN$312)</f>
        <v/>
      </c>
      <c r="AO6" s="37">
        <f>SUMIF($E$9:$E$312,"기획",AO$9:AO$312)</f>
        <v/>
      </c>
      <c r="AP6" s="37">
        <f>SUMIF($E$9:$E$312,"기획",AP$9:AP$312)</f>
        <v/>
      </c>
      <c r="AQ6" s="37">
        <f>SUMIF($E$9:$E$312,"기획",AQ$9:AQ$312)</f>
        <v/>
      </c>
      <c r="AR6" s="37">
        <f>SUMIF($E$9:$E$312,"기획",AR$9:AR$312)</f>
        <v/>
      </c>
      <c r="AS6" s="37">
        <f>SUMIF($E$9:$E$312,"기획",AS$9:AS$312)</f>
        <v/>
      </c>
      <c r="AT6" s="37">
        <f>SUMIF($E$9:$E$312,"기획",AT$9:AT$312)</f>
        <v/>
      </c>
      <c r="AU6" s="37">
        <f>SUMIF($E$9:$E$312,"기획",AU$9:AU$312)</f>
        <v/>
      </c>
      <c r="AV6" s="37">
        <f>SUMIF($E$9:$E$312,"기획",AV$9:AV$312)</f>
        <v/>
      </c>
      <c r="AW6" s="37">
        <f>SUMIF($E$9:$E$312,"기획",AW$9:AW$312)</f>
        <v/>
      </c>
      <c r="AX6" s="37">
        <f>SUMIF($E$9:$E$312,"기획",AX$9:AX$312)</f>
        <v/>
      </c>
      <c r="AY6" s="37">
        <f>SUMIF($E$9:$E$312,"기획",AY$9:AY$312)</f>
        <v/>
      </c>
    </row>
    <row r="7">
      <c r="A7" s="38" t="inlineStr">
        <is>
          <t>▼ 아래부터 입력. 노란칸=직접 입력 / 회색칸=자동(건드리지 마세요)</t>
        </is>
      </c>
    </row>
    <row r="8" ht="18" customHeight="1">
      <c r="A8" s="39" t="inlineStr">
        <is>
          <t>마케팅1팀   (9~68행 · 소재 20개)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4" t="n"/>
    </row>
    <row r="9" ht="15" customHeight="1">
      <c r="A9" s="40">
        <f>IF($D$9="","",1)</f>
        <v/>
      </c>
      <c r="B9" s="10" t="n"/>
      <c r="C9" s="41" t="inlineStr">
        <is>
          <t>마케팅1팀</t>
        </is>
      </c>
      <c r="D9" s="42" t="n"/>
      <c r="E9" s="43" t="inlineStr">
        <is>
          <t>기획</t>
        </is>
      </c>
      <c r="F9" s="44" t="n"/>
      <c r="G9" s="45" t="n"/>
      <c r="H9" s="46">
        <f>IF($I$9="","",IF($I$9&lt;0,"🔴지연",IF($I$9&lt;=1,"🟡임박","🟢여유")))</f>
        <v/>
      </c>
      <c r="I9" s="47">
        <f>IF(OR($G$9="",$K$9=""),"",$G$9-$K$9)</f>
        <v/>
      </c>
      <c r="J9" s="48">
        <f>IF(SUM($L$9:$L$11)=0,"",SUM($L$9:$L$11))</f>
        <v/>
      </c>
      <c r="K9" s="49">
        <f>IF($J$9="","",MAX($N$9:$N$11))</f>
        <v/>
      </c>
      <c r="L9" s="50">
        <f>IF(SUM(U9:AY9)=0,"",SUM(U9:AY9))</f>
        <v/>
      </c>
      <c r="M9" s="51">
        <f>IFERROR(INDEX(U$2:AY$2,MATCH(TRUE,INDEX(U9:AY9&lt;&gt;"",0),0)),"")</f>
        <v/>
      </c>
      <c r="N9" s="51">
        <f>IFERROR(LOOKUP(2,1/(U9:AY9&lt;&gt;""),U$2:AY$2),"")</f>
        <v/>
      </c>
      <c r="O9" s="52" t="n"/>
      <c r="P9" s="52" t="n"/>
      <c r="Q9" s="52" t="n"/>
      <c r="R9" s="44" t="n"/>
      <c r="S9" s="14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</row>
    <row r="10" ht="15" customHeight="1">
      <c r="A10" s="54" t="n"/>
      <c r="B10" s="55">
        <f>IF($B$9="","",$B$9)</f>
        <v/>
      </c>
      <c r="C10" s="56" t="inlineStr">
        <is>
          <t>마케팅1팀</t>
        </is>
      </c>
      <c r="D10" s="55">
        <f>IF($D$9="","",$D$9)</f>
        <v/>
      </c>
      <c r="E10" s="57" t="inlineStr">
        <is>
          <t>이미지</t>
        </is>
      </c>
      <c r="F10" s="44" t="n"/>
      <c r="G10" s="58">
        <f>IF($G$9="","",$G$9)</f>
        <v/>
      </c>
      <c r="H10" s="59" t="n"/>
      <c r="I10" s="59" t="n"/>
      <c r="J10" s="59" t="n"/>
      <c r="K10" s="59" t="n"/>
      <c r="L10" s="60">
        <f>IF(SUM(U10:AY10)=0,"",SUM(U10:AY10))</f>
        <v/>
      </c>
      <c r="M10" s="61">
        <f>IFERROR(INDEX(U$2:AY$2,MATCH(TRUE,INDEX(U10:AY10&lt;&gt;"",0),0)),"")</f>
        <v/>
      </c>
      <c r="N10" s="61">
        <f>IFERROR(LOOKUP(2,1/(U10:AY10&lt;&gt;""),U$2:AY$2),"")</f>
        <v/>
      </c>
      <c r="O10" s="59" t="n"/>
      <c r="P10" s="59" t="n"/>
      <c r="Q10" s="59" t="n"/>
      <c r="R10" s="59" t="n"/>
      <c r="S10" s="14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</row>
    <row r="11" ht="15" customHeight="1">
      <c r="A11" s="62" t="n"/>
      <c r="B11" s="55">
        <f>IF($B$9="","",$B$9)</f>
        <v/>
      </c>
      <c r="C11" s="63" t="inlineStr">
        <is>
          <t>마케팅1팀</t>
        </is>
      </c>
      <c r="D11" s="55">
        <f>IF($D$9="","",$D$9)</f>
        <v/>
      </c>
      <c r="E11" s="64" t="inlineStr">
        <is>
          <t>영상</t>
        </is>
      </c>
      <c r="F11" s="44" t="n"/>
      <c r="G11" s="58">
        <f>IF($G$9="","",$G$9)</f>
        <v/>
      </c>
      <c r="H11" s="59" t="n"/>
      <c r="I11" s="59" t="n"/>
      <c r="J11" s="59" t="n"/>
      <c r="K11" s="59" t="n"/>
      <c r="L11" s="65">
        <f>IF(SUM(U11:AY11)=0,"",SUM(U11:AY11))</f>
        <v/>
      </c>
      <c r="M11" s="66">
        <f>IFERROR(INDEX(U$2:AY$2,MATCH(TRUE,INDEX(U11:AY11&lt;&gt;"",0),0)),"")</f>
        <v/>
      </c>
      <c r="N11" s="66">
        <f>IFERROR(LOOKUP(2,1/(U11:AY11&lt;&gt;""),U$2:AY$2),"")</f>
        <v/>
      </c>
      <c r="O11" s="59" t="n"/>
      <c r="P11" s="59" t="n"/>
      <c r="Q11" s="59" t="n"/>
      <c r="R11" s="59" t="n"/>
      <c r="S11" s="14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</row>
    <row r="12" ht="15" customHeight="1">
      <c r="A12" s="40">
        <f>IF($D$12="","",2)</f>
        <v/>
      </c>
      <c r="B12" s="10" t="n"/>
      <c r="C12" s="41" t="inlineStr">
        <is>
          <t>마케팅1팀</t>
        </is>
      </c>
      <c r="D12" s="42" t="n"/>
      <c r="E12" s="43" t="inlineStr">
        <is>
          <t>기획</t>
        </is>
      </c>
      <c r="F12" s="44" t="n"/>
      <c r="G12" s="45" t="n"/>
      <c r="H12" s="46">
        <f>IF($I$12="","",IF($I$12&lt;0,"🔴지연",IF($I$12&lt;=1,"🟡임박","🟢여유")))</f>
        <v/>
      </c>
      <c r="I12" s="47">
        <f>IF(OR($G$12="",$K$12=""),"",$G$12-$K$12)</f>
        <v/>
      </c>
      <c r="J12" s="48">
        <f>IF(SUM($L$12:$L$14)=0,"",SUM($L$12:$L$14))</f>
        <v/>
      </c>
      <c r="K12" s="49">
        <f>IF($J$12="","",MAX($N$12:$N$14))</f>
        <v/>
      </c>
      <c r="L12" s="50">
        <f>IF(SUM(U12:AY12)=0,"",SUM(U12:AY12))</f>
        <v/>
      </c>
      <c r="M12" s="51">
        <f>IFERROR(INDEX(U$2:AY$2,MATCH(TRUE,INDEX(U12:AY12&lt;&gt;"",0),0)),"")</f>
        <v/>
      </c>
      <c r="N12" s="51">
        <f>IFERROR(LOOKUP(2,1/(U12:AY12&lt;&gt;""),U$2:AY$2),"")</f>
        <v/>
      </c>
      <c r="O12" s="52" t="n"/>
      <c r="P12" s="52" t="n"/>
      <c r="Q12" s="52" t="n"/>
      <c r="R12" s="44" t="n"/>
      <c r="S12" s="14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</row>
    <row r="13" ht="15" customHeight="1">
      <c r="A13" s="54" t="n"/>
      <c r="B13" s="55">
        <f>IF($B$12="","",$B$12)</f>
        <v/>
      </c>
      <c r="C13" s="56" t="inlineStr">
        <is>
          <t>마케팅1팀</t>
        </is>
      </c>
      <c r="D13" s="55">
        <f>IF($D$12="","",$D$12)</f>
        <v/>
      </c>
      <c r="E13" s="57" t="inlineStr">
        <is>
          <t>이미지</t>
        </is>
      </c>
      <c r="F13" s="44" t="n"/>
      <c r="G13" s="58">
        <f>IF($G$12="","",$G$12)</f>
        <v/>
      </c>
      <c r="H13" s="59" t="n"/>
      <c r="I13" s="59" t="n"/>
      <c r="J13" s="59" t="n"/>
      <c r="K13" s="59" t="n"/>
      <c r="L13" s="60">
        <f>IF(SUM(U13:AY13)=0,"",SUM(U13:AY13))</f>
        <v/>
      </c>
      <c r="M13" s="61">
        <f>IFERROR(INDEX(U$2:AY$2,MATCH(TRUE,INDEX(U13:AY13&lt;&gt;"",0),0)),"")</f>
        <v/>
      </c>
      <c r="N13" s="61">
        <f>IFERROR(LOOKUP(2,1/(U13:AY13&lt;&gt;""),U$2:AY$2),"")</f>
        <v/>
      </c>
      <c r="O13" s="59" t="n"/>
      <c r="P13" s="59" t="n"/>
      <c r="Q13" s="59" t="n"/>
      <c r="R13" s="59" t="n"/>
      <c r="S13" s="14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</row>
    <row r="14" ht="15" customHeight="1">
      <c r="A14" s="62" t="n"/>
      <c r="B14" s="55">
        <f>IF($B$12="","",$B$12)</f>
        <v/>
      </c>
      <c r="C14" s="63" t="inlineStr">
        <is>
          <t>마케팅1팀</t>
        </is>
      </c>
      <c r="D14" s="55">
        <f>IF($D$12="","",$D$12)</f>
        <v/>
      </c>
      <c r="E14" s="64" t="inlineStr">
        <is>
          <t>영상</t>
        </is>
      </c>
      <c r="F14" s="44" t="n"/>
      <c r="G14" s="58">
        <f>IF($G$12="","",$G$12)</f>
        <v/>
      </c>
      <c r="H14" s="59" t="n"/>
      <c r="I14" s="59" t="n"/>
      <c r="J14" s="59" t="n"/>
      <c r="K14" s="59" t="n"/>
      <c r="L14" s="65">
        <f>IF(SUM(U14:AY14)=0,"",SUM(U14:AY14))</f>
        <v/>
      </c>
      <c r="M14" s="66">
        <f>IFERROR(INDEX(U$2:AY$2,MATCH(TRUE,INDEX(U14:AY14&lt;&gt;"",0),0)),"")</f>
        <v/>
      </c>
      <c r="N14" s="66">
        <f>IFERROR(LOOKUP(2,1/(U14:AY14&lt;&gt;""),U$2:AY$2),"")</f>
        <v/>
      </c>
      <c r="O14" s="59" t="n"/>
      <c r="P14" s="59" t="n"/>
      <c r="Q14" s="59" t="n"/>
      <c r="R14" s="59" t="n"/>
      <c r="S14" s="14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</row>
    <row r="15" ht="15" customHeight="1">
      <c r="A15" s="40">
        <f>IF($D$15="","",3)</f>
        <v/>
      </c>
      <c r="B15" s="10" t="n"/>
      <c r="C15" s="41" t="inlineStr">
        <is>
          <t>마케팅1팀</t>
        </is>
      </c>
      <c r="D15" s="42" t="n"/>
      <c r="E15" s="43" t="inlineStr">
        <is>
          <t>기획</t>
        </is>
      </c>
      <c r="F15" s="44" t="n"/>
      <c r="G15" s="45" t="n"/>
      <c r="H15" s="46">
        <f>IF($I$15="","",IF($I$15&lt;0,"🔴지연",IF($I$15&lt;=1,"🟡임박","🟢여유")))</f>
        <v/>
      </c>
      <c r="I15" s="47">
        <f>IF(OR($G$15="",$K$15=""),"",$G$15-$K$15)</f>
        <v/>
      </c>
      <c r="J15" s="48">
        <f>IF(SUM($L$15:$L$17)=0,"",SUM($L$15:$L$17))</f>
        <v/>
      </c>
      <c r="K15" s="49">
        <f>IF($J$15="","",MAX($N$15:$N$17))</f>
        <v/>
      </c>
      <c r="L15" s="50">
        <f>IF(SUM(U15:AY15)=0,"",SUM(U15:AY15))</f>
        <v/>
      </c>
      <c r="M15" s="51">
        <f>IFERROR(INDEX(U$2:AY$2,MATCH(TRUE,INDEX(U15:AY15&lt;&gt;"",0),0)),"")</f>
        <v/>
      </c>
      <c r="N15" s="51">
        <f>IFERROR(LOOKUP(2,1/(U15:AY15&lt;&gt;""),U$2:AY$2),"")</f>
        <v/>
      </c>
      <c r="O15" s="52" t="n"/>
      <c r="P15" s="52" t="n"/>
      <c r="Q15" s="52" t="n"/>
      <c r="R15" s="44" t="n"/>
      <c r="S15" s="14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</row>
    <row r="16" ht="15" customHeight="1">
      <c r="A16" s="54" t="n"/>
      <c r="B16" s="55">
        <f>IF($B$15="","",$B$15)</f>
        <v/>
      </c>
      <c r="C16" s="56" t="inlineStr">
        <is>
          <t>마케팅1팀</t>
        </is>
      </c>
      <c r="D16" s="55">
        <f>IF($D$15="","",$D$15)</f>
        <v/>
      </c>
      <c r="E16" s="57" t="inlineStr">
        <is>
          <t>이미지</t>
        </is>
      </c>
      <c r="F16" s="44" t="n"/>
      <c r="G16" s="58">
        <f>IF($G$15="","",$G$15)</f>
        <v/>
      </c>
      <c r="H16" s="59" t="n"/>
      <c r="I16" s="59" t="n"/>
      <c r="J16" s="59" t="n"/>
      <c r="K16" s="59" t="n"/>
      <c r="L16" s="60">
        <f>IF(SUM(U16:AY16)=0,"",SUM(U16:AY16))</f>
        <v/>
      </c>
      <c r="M16" s="61">
        <f>IFERROR(INDEX(U$2:AY$2,MATCH(TRUE,INDEX(U16:AY16&lt;&gt;"",0),0)),"")</f>
        <v/>
      </c>
      <c r="N16" s="61">
        <f>IFERROR(LOOKUP(2,1/(U16:AY16&lt;&gt;""),U$2:AY$2),"")</f>
        <v/>
      </c>
      <c r="O16" s="59" t="n"/>
      <c r="P16" s="59" t="n"/>
      <c r="Q16" s="59" t="n"/>
      <c r="R16" s="59" t="n"/>
      <c r="S16" s="14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</row>
    <row r="17" ht="15" customHeight="1">
      <c r="A17" s="62" t="n"/>
      <c r="B17" s="55">
        <f>IF($B$15="","",$B$15)</f>
        <v/>
      </c>
      <c r="C17" s="63" t="inlineStr">
        <is>
          <t>마케팅1팀</t>
        </is>
      </c>
      <c r="D17" s="55">
        <f>IF($D$15="","",$D$15)</f>
        <v/>
      </c>
      <c r="E17" s="64" t="inlineStr">
        <is>
          <t>영상</t>
        </is>
      </c>
      <c r="F17" s="44" t="n"/>
      <c r="G17" s="58">
        <f>IF($G$15="","",$G$15)</f>
        <v/>
      </c>
      <c r="H17" s="59" t="n"/>
      <c r="I17" s="59" t="n"/>
      <c r="J17" s="59" t="n"/>
      <c r="K17" s="59" t="n"/>
      <c r="L17" s="65">
        <f>IF(SUM(U17:AY17)=0,"",SUM(U17:AY17))</f>
        <v/>
      </c>
      <c r="M17" s="66">
        <f>IFERROR(INDEX(U$2:AY$2,MATCH(TRUE,INDEX(U17:AY17&lt;&gt;"",0),0)),"")</f>
        <v/>
      </c>
      <c r="N17" s="66">
        <f>IFERROR(LOOKUP(2,1/(U17:AY17&lt;&gt;""),U$2:AY$2),"")</f>
        <v/>
      </c>
      <c r="O17" s="59" t="n"/>
      <c r="P17" s="59" t="n"/>
      <c r="Q17" s="59" t="n"/>
      <c r="R17" s="59" t="n"/>
      <c r="S17" s="14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</row>
    <row r="18" ht="15" customHeight="1">
      <c r="A18" s="40">
        <f>IF($D$18="","",4)</f>
        <v/>
      </c>
      <c r="B18" s="10" t="n"/>
      <c r="C18" s="41" t="inlineStr">
        <is>
          <t>마케팅1팀</t>
        </is>
      </c>
      <c r="D18" s="42" t="n"/>
      <c r="E18" s="43" t="inlineStr">
        <is>
          <t>기획</t>
        </is>
      </c>
      <c r="F18" s="44" t="n"/>
      <c r="G18" s="45" t="n"/>
      <c r="H18" s="46">
        <f>IF($I$18="","",IF($I$18&lt;0,"🔴지연",IF($I$18&lt;=1,"🟡임박","🟢여유")))</f>
        <v/>
      </c>
      <c r="I18" s="47">
        <f>IF(OR($G$18="",$K$18=""),"",$G$18-$K$18)</f>
        <v/>
      </c>
      <c r="J18" s="48">
        <f>IF(SUM($L$18:$L$20)=0,"",SUM($L$18:$L$20))</f>
        <v/>
      </c>
      <c r="K18" s="49">
        <f>IF($J$18="","",MAX($N$18:$N$20))</f>
        <v/>
      </c>
      <c r="L18" s="50">
        <f>IF(SUM(U18:AY18)=0,"",SUM(U18:AY18))</f>
        <v/>
      </c>
      <c r="M18" s="51">
        <f>IFERROR(INDEX(U$2:AY$2,MATCH(TRUE,INDEX(U18:AY18&lt;&gt;"",0),0)),"")</f>
        <v/>
      </c>
      <c r="N18" s="51">
        <f>IFERROR(LOOKUP(2,1/(U18:AY18&lt;&gt;""),U$2:AY$2),"")</f>
        <v/>
      </c>
      <c r="O18" s="52" t="n"/>
      <c r="P18" s="52" t="n"/>
      <c r="Q18" s="52" t="n"/>
      <c r="R18" s="44" t="n"/>
      <c r="S18" s="14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</row>
    <row r="19" ht="15" customHeight="1">
      <c r="A19" s="54" t="n"/>
      <c r="B19" s="55">
        <f>IF($B$18="","",$B$18)</f>
        <v/>
      </c>
      <c r="C19" s="56" t="inlineStr">
        <is>
          <t>마케팅1팀</t>
        </is>
      </c>
      <c r="D19" s="55">
        <f>IF($D$18="","",$D$18)</f>
        <v/>
      </c>
      <c r="E19" s="57" t="inlineStr">
        <is>
          <t>이미지</t>
        </is>
      </c>
      <c r="F19" s="44" t="n"/>
      <c r="G19" s="58">
        <f>IF($G$18="","",$G$18)</f>
        <v/>
      </c>
      <c r="H19" s="59" t="n"/>
      <c r="I19" s="59" t="n"/>
      <c r="J19" s="59" t="n"/>
      <c r="K19" s="59" t="n"/>
      <c r="L19" s="60">
        <f>IF(SUM(U19:AY19)=0,"",SUM(U19:AY19))</f>
        <v/>
      </c>
      <c r="M19" s="61">
        <f>IFERROR(INDEX(U$2:AY$2,MATCH(TRUE,INDEX(U19:AY19&lt;&gt;"",0),0)),"")</f>
        <v/>
      </c>
      <c r="N19" s="61">
        <f>IFERROR(LOOKUP(2,1/(U19:AY19&lt;&gt;""),U$2:AY$2),"")</f>
        <v/>
      </c>
      <c r="O19" s="59" t="n"/>
      <c r="P19" s="59" t="n"/>
      <c r="Q19" s="59" t="n"/>
      <c r="R19" s="59" t="n"/>
      <c r="S19" s="14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</row>
    <row r="20" ht="15" customHeight="1">
      <c r="A20" s="62" t="n"/>
      <c r="B20" s="55">
        <f>IF($B$18="","",$B$18)</f>
        <v/>
      </c>
      <c r="C20" s="63" t="inlineStr">
        <is>
          <t>마케팅1팀</t>
        </is>
      </c>
      <c r="D20" s="55">
        <f>IF($D$18="","",$D$18)</f>
        <v/>
      </c>
      <c r="E20" s="64" t="inlineStr">
        <is>
          <t>영상</t>
        </is>
      </c>
      <c r="F20" s="44" t="n"/>
      <c r="G20" s="58">
        <f>IF($G$18="","",$G$18)</f>
        <v/>
      </c>
      <c r="H20" s="59" t="n"/>
      <c r="I20" s="59" t="n"/>
      <c r="J20" s="59" t="n"/>
      <c r="K20" s="59" t="n"/>
      <c r="L20" s="65">
        <f>IF(SUM(U20:AY20)=0,"",SUM(U20:AY20))</f>
        <v/>
      </c>
      <c r="M20" s="66">
        <f>IFERROR(INDEX(U$2:AY$2,MATCH(TRUE,INDEX(U20:AY20&lt;&gt;"",0),0)),"")</f>
        <v/>
      </c>
      <c r="N20" s="66">
        <f>IFERROR(LOOKUP(2,1/(U20:AY20&lt;&gt;""),U$2:AY$2),"")</f>
        <v/>
      </c>
      <c r="O20" s="59" t="n"/>
      <c r="P20" s="59" t="n"/>
      <c r="Q20" s="59" t="n"/>
      <c r="R20" s="59" t="n"/>
      <c r="S20" s="14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</row>
    <row r="21" ht="15" customHeight="1">
      <c r="A21" s="40">
        <f>IF($D$21="","",5)</f>
        <v/>
      </c>
      <c r="B21" s="10" t="n"/>
      <c r="C21" s="41" t="inlineStr">
        <is>
          <t>마케팅1팀</t>
        </is>
      </c>
      <c r="D21" s="42" t="n"/>
      <c r="E21" s="43" t="inlineStr">
        <is>
          <t>기획</t>
        </is>
      </c>
      <c r="F21" s="44" t="n"/>
      <c r="G21" s="45" t="n"/>
      <c r="H21" s="46">
        <f>IF($I$21="","",IF($I$21&lt;0,"🔴지연",IF($I$21&lt;=1,"🟡임박","🟢여유")))</f>
        <v/>
      </c>
      <c r="I21" s="47">
        <f>IF(OR($G$21="",$K$21=""),"",$G$21-$K$21)</f>
        <v/>
      </c>
      <c r="J21" s="48">
        <f>IF(SUM($L$21:$L$23)=0,"",SUM($L$21:$L$23))</f>
        <v/>
      </c>
      <c r="K21" s="49">
        <f>IF($J$21="","",MAX($N$21:$N$23))</f>
        <v/>
      </c>
      <c r="L21" s="50">
        <f>IF(SUM(U21:AY21)=0,"",SUM(U21:AY21))</f>
        <v/>
      </c>
      <c r="M21" s="51">
        <f>IFERROR(INDEX(U$2:AY$2,MATCH(TRUE,INDEX(U21:AY21&lt;&gt;"",0),0)),"")</f>
        <v/>
      </c>
      <c r="N21" s="51">
        <f>IFERROR(LOOKUP(2,1/(U21:AY21&lt;&gt;""),U$2:AY$2),"")</f>
        <v/>
      </c>
      <c r="O21" s="52" t="n"/>
      <c r="P21" s="52" t="n"/>
      <c r="Q21" s="52" t="n"/>
      <c r="R21" s="44" t="n"/>
      <c r="S21" s="14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</row>
    <row r="22" ht="15" customHeight="1">
      <c r="A22" s="54" t="n"/>
      <c r="B22" s="55">
        <f>IF($B$21="","",$B$21)</f>
        <v/>
      </c>
      <c r="C22" s="56" t="inlineStr">
        <is>
          <t>마케팅1팀</t>
        </is>
      </c>
      <c r="D22" s="55">
        <f>IF($D$21="","",$D$21)</f>
        <v/>
      </c>
      <c r="E22" s="57" t="inlineStr">
        <is>
          <t>이미지</t>
        </is>
      </c>
      <c r="F22" s="44" t="n"/>
      <c r="G22" s="58">
        <f>IF($G$21="","",$G$21)</f>
        <v/>
      </c>
      <c r="H22" s="59" t="n"/>
      <c r="I22" s="59" t="n"/>
      <c r="J22" s="59" t="n"/>
      <c r="K22" s="59" t="n"/>
      <c r="L22" s="60">
        <f>IF(SUM(U22:AY22)=0,"",SUM(U22:AY22))</f>
        <v/>
      </c>
      <c r="M22" s="61">
        <f>IFERROR(INDEX(U$2:AY$2,MATCH(TRUE,INDEX(U22:AY22&lt;&gt;"",0),0)),"")</f>
        <v/>
      </c>
      <c r="N22" s="61">
        <f>IFERROR(LOOKUP(2,1/(U22:AY22&lt;&gt;""),U$2:AY$2),"")</f>
        <v/>
      </c>
      <c r="O22" s="59" t="n"/>
      <c r="P22" s="59" t="n"/>
      <c r="Q22" s="59" t="n"/>
      <c r="R22" s="59" t="n"/>
      <c r="S22" s="14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</row>
    <row r="23" ht="15" customHeight="1">
      <c r="A23" s="62" t="n"/>
      <c r="B23" s="55">
        <f>IF($B$21="","",$B$21)</f>
        <v/>
      </c>
      <c r="C23" s="63" t="inlineStr">
        <is>
          <t>마케팅1팀</t>
        </is>
      </c>
      <c r="D23" s="55">
        <f>IF($D$21="","",$D$21)</f>
        <v/>
      </c>
      <c r="E23" s="64" t="inlineStr">
        <is>
          <t>영상</t>
        </is>
      </c>
      <c r="F23" s="44" t="n"/>
      <c r="G23" s="58">
        <f>IF($G$21="","",$G$21)</f>
        <v/>
      </c>
      <c r="H23" s="59" t="n"/>
      <c r="I23" s="59" t="n"/>
      <c r="J23" s="59" t="n"/>
      <c r="K23" s="59" t="n"/>
      <c r="L23" s="65">
        <f>IF(SUM(U23:AY23)=0,"",SUM(U23:AY23))</f>
        <v/>
      </c>
      <c r="M23" s="66">
        <f>IFERROR(INDEX(U$2:AY$2,MATCH(TRUE,INDEX(U23:AY23&lt;&gt;"",0),0)),"")</f>
        <v/>
      </c>
      <c r="N23" s="66">
        <f>IFERROR(LOOKUP(2,1/(U23:AY23&lt;&gt;""),U$2:AY$2),"")</f>
        <v/>
      </c>
      <c r="O23" s="59" t="n"/>
      <c r="P23" s="59" t="n"/>
      <c r="Q23" s="59" t="n"/>
      <c r="R23" s="59" t="n"/>
      <c r="S23" s="14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</row>
    <row r="24" ht="15" customHeight="1">
      <c r="A24" s="40">
        <f>IF($D$24="","",6)</f>
        <v/>
      </c>
      <c r="B24" s="10" t="n"/>
      <c r="C24" s="41" t="inlineStr">
        <is>
          <t>마케팅1팀</t>
        </is>
      </c>
      <c r="D24" s="42" t="n"/>
      <c r="E24" s="43" t="inlineStr">
        <is>
          <t>기획</t>
        </is>
      </c>
      <c r="F24" s="44" t="n"/>
      <c r="G24" s="45" t="n"/>
      <c r="H24" s="46">
        <f>IF($I$24="","",IF($I$24&lt;0,"🔴지연",IF($I$24&lt;=1,"🟡임박","🟢여유")))</f>
        <v/>
      </c>
      <c r="I24" s="47">
        <f>IF(OR($G$24="",$K$24=""),"",$G$24-$K$24)</f>
        <v/>
      </c>
      <c r="J24" s="48">
        <f>IF(SUM($L$24:$L$26)=0,"",SUM($L$24:$L$26))</f>
        <v/>
      </c>
      <c r="K24" s="49">
        <f>IF($J$24="","",MAX($N$24:$N$26))</f>
        <v/>
      </c>
      <c r="L24" s="50">
        <f>IF(SUM(U24:AY24)=0,"",SUM(U24:AY24))</f>
        <v/>
      </c>
      <c r="M24" s="51">
        <f>IFERROR(INDEX(U$2:AY$2,MATCH(TRUE,INDEX(U24:AY24&lt;&gt;"",0),0)),"")</f>
        <v/>
      </c>
      <c r="N24" s="51">
        <f>IFERROR(LOOKUP(2,1/(U24:AY24&lt;&gt;""),U$2:AY$2),"")</f>
        <v/>
      </c>
      <c r="O24" s="52" t="n"/>
      <c r="P24" s="52" t="n"/>
      <c r="Q24" s="52" t="n"/>
      <c r="R24" s="44" t="n"/>
      <c r="S24" s="14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</row>
    <row r="25" ht="15" customHeight="1">
      <c r="A25" s="54" t="n"/>
      <c r="B25" s="55">
        <f>IF($B$24="","",$B$24)</f>
        <v/>
      </c>
      <c r="C25" s="56" t="inlineStr">
        <is>
          <t>마케팅1팀</t>
        </is>
      </c>
      <c r="D25" s="55">
        <f>IF($D$24="","",$D$24)</f>
        <v/>
      </c>
      <c r="E25" s="57" t="inlineStr">
        <is>
          <t>이미지</t>
        </is>
      </c>
      <c r="F25" s="44" t="n"/>
      <c r="G25" s="58">
        <f>IF($G$24="","",$G$24)</f>
        <v/>
      </c>
      <c r="H25" s="59" t="n"/>
      <c r="I25" s="59" t="n"/>
      <c r="J25" s="59" t="n"/>
      <c r="K25" s="59" t="n"/>
      <c r="L25" s="60">
        <f>IF(SUM(U25:AY25)=0,"",SUM(U25:AY25))</f>
        <v/>
      </c>
      <c r="M25" s="61">
        <f>IFERROR(INDEX(U$2:AY$2,MATCH(TRUE,INDEX(U25:AY25&lt;&gt;"",0),0)),"")</f>
        <v/>
      </c>
      <c r="N25" s="61">
        <f>IFERROR(LOOKUP(2,1/(U25:AY25&lt;&gt;""),U$2:AY$2),"")</f>
        <v/>
      </c>
      <c r="O25" s="59" t="n"/>
      <c r="P25" s="59" t="n"/>
      <c r="Q25" s="59" t="n"/>
      <c r="R25" s="59" t="n"/>
      <c r="S25" s="14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</row>
    <row r="26" ht="15" customHeight="1">
      <c r="A26" s="62" t="n"/>
      <c r="B26" s="55">
        <f>IF($B$24="","",$B$24)</f>
        <v/>
      </c>
      <c r="C26" s="63" t="inlineStr">
        <is>
          <t>마케팅1팀</t>
        </is>
      </c>
      <c r="D26" s="55">
        <f>IF($D$24="","",$D$24)</f>
        <v/>
      </c>
      <c r="E26" s="64" t="inlineStr">
        <is>
          <t>영상</t>
        </is>
      </c>
      <c r="F26" s="44" t="n"/>
      <c r="G26" s="58">
        <f>IF($G$24="","",$G$24)</f>
        <v/>
      </c>
      <c r="H26" s="59" t="n"/>
      <c r="I26" s="59" t="n"/>
      <c r="J26" s="59" t="n"/>
      <c r="K26" s="59" t="n"/>
      <c r="L26" s="65">
        <f>IF(SUM(U26:AY26)=0,"",SUM(U26:AY26))</f>
        <v/>
      </c>
      <c r="M26" s="66">
        <f>IFERROR(INDEX(U$2:AY$2,MATCH(TRUE,INDEX(U26:AY26&lt;&gt;"",0),0)),"")</f>
        <v/>
      </c>
      <c r="N26" s="66">
        <f>IFERROR(LOOKUP(2,1/(U26:AY26&lt;&gt;""),U$2:AY$2),"")</f>
        <v/>
      </c>
      <c r="O26" s="59" t="n"/>
      <c r="P26" s="59" t="n"/>
      <c r="Q26" s="59" t="n"/>
      <c r="R26" s="59" t="n"/>
      <c r="S26" s="14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</row>
    <row r="27" ht="15" customHeight="1">
      <c r="A27" s="40">
        <f>IF($D$27="","",7)</f>
        <v/>
      </c>
      <c r="B27" s="10" t="n"/>
      <c r="C27" s="41" t="inlineStr">
        <is>
          <t>마케팅1팀</t>
        </is>
      </c>
      <c r="D27" s="42" t="n"/>
      <c r="E27" s="43" t="inlineStr">
        <is>
          <t>기획</t>
        </is>
      </c>
      <c r="F27" s="44" t="n"/>
      <c r="G27" s="45" t="n"/>
      <c r="H27" s="46">
        <f>IF($I$27="","",IF($I$27&lt;0,"🔴지연",IF($I$27&lt;=1,"🟡임박","🟢여유")))</f>
        <v/>
      </c>
      <c r="I27" s="47">
        <f>IF(OR($G$27="",$K$27=""),"",$G$27-$K$27)</f>
        <v/>
      </c>
      <c r="J27" s="48">
        <f>IF(SUM($L$27:$L$29)=0,"",SUM($L$27:$L$29))</f>
        <v/>
      </c>
      <c r="K27" s="49">
        <f>IF($J$27="","",MAX($N$27:$N$29))</f>
        <v/>
      </c>
      <c r="L27" s="50">
        <f>IF(SUM(U27:AY27)=0,"",SUM(U27:AY27))</f>
        <v/>
      </c>
      <c r="M27" s="51">
        <f>IFERROR(INDEX(U$2:AY$2,MATCH(TRUE,INDEX(U27:AY27&lt;&gt;"",0),0)),"")</f>
        <v/>
      </c>
      <c r="N27" s="51">
        <f>IFERROR(LOOKUP(2,1/(U27:AY27&lt;&gt;""),U$2:AY$2),"")</f>
        <v/>
      </c>
      <c r="O27" s="52" t="n"/>
      <c r="P27" s="52" t="n"/>
      <c r="Q27" s="52" t="n"/>
      <c r="R27" s="44" t="n"/>
      <c r="S27" s="14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</row>
    <row r="28" ht="15" customHeight="1">
      <c r="A28" s="54" t="n"/>
      <c r="B28" s="55">
        <f>IF($B$27="","",$B$27)</f>
        <v/>
      </c>
      <c r="C28" s="56" t="inlineStr">
        <is>
          <t>마케팅1팀</t>
        </is>
      </c>
      <c r="D28" s="55">
        <f>IF($D$27="","",$D$27)</f>
        <v/>
      </c>
      <c r="E28" s="57" t="inlineStr">
        <is>
          <t>이미지</t>
        </is>
      </c>
      <c r="F28" s="44" t="n"/>
      <c r="G28" s="58">
        <f>IF($G$27="","",$G$27)</f>
        <v/>
      </c>
      <c r="H28" s="59" t="n"/>
      <c r="I28" s="59" t="n"/>
      <c r="J28" s="59" t="n"/>
      <c r="K28" s="59" t="n"/>
      <c r="L28" s="60">
        <f>IF(SUM(U28:AY28)=0,"",SUM(U28:AY28))</f>
        <v/>
      </c>
      <c r="M28" s="61">
        <f>IFERROR(INDEX(U$2:AY$2,MATCH(TRUE,INDEX(U28:AY28&lt;&gt;"",0),0)),"")</f>
        <v/>
      </c>
      <c r="N28" s="61">
        <f>IFERROR(LOOKUP(2,1/(U28:AY28&lt;&gt;""),U$2:AY$2),"")</f>
        <v/>
      </c>
      <c r="O28" s="59" t="n"/>
      <c r="P28" s="59" t="n"/>
      <c r="Q28" s="59" t="n"/>
      <c r="R28" s="59" t="n"/>
      <c r="S28" s="14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3" t="n"/>
      <c r="AQ28" s="53" t="n"/>
      <c r="AR28" s="53" t="n"/>
      <c r="AS28" s="53" t="n"/>
      <c r="AT28" s="53" t="n"/>
      <c r="AU28" s="53" t="n"/>
      <c r="AV28" s="53" t="n"/>
      <c r="AW28" s="53" t="n"/>
      <c r="AX28" s="53" t="n"/>
      <c r="AY28" s="53" t="n"/>
    </row>
    <row r="29" ht="15" customHeight="1">
      <c r="A29" s="62" t="n"/>
      <c r="B29" s="55">
        <f>IF($B$27="","",$B$27)</f>
        <v/>
      </c>
      <c r="C29" s="63" t="inlineStr">
        <is>
          <t>마케팅1팀</t>
        </is>
      </c>
      <c r="D29" s="55">
        <f>IF($D$27="","",$D$27)</f>
        <v/>
      </c>
      <c r="E29" s="64" t="inlineStr">
        <is>
          <t>영상</t>
        </is>
      </c>
      <c r="F29" s="44" t="n"/>
      <c r="G29" s="58">
        <f>IF($G$27="","",$G$27)</f>
        <v/>
      </c>
      <c r="H29" s="59" t="n"/>
      <c r="I29" s="59" t="n"/>
      <c r="J29" s="59" t="n"/>
      <c r="K29" s="59" t="n"/>
      <c r="L29" s="65">
        <f>IF(SUM(U29:AY29)=0,"",SUM(U29:AY29))</f>
        <v/>
      </c>
      <c r="M29" s="66">
        <f>IFERROR(INDEX(U$2:AY$2,MATCH(TRUE,INDEX(U29:AY29&lt;&gt;"",0),0)),"")</f>
        <v/>
      </c>
      <c r="N29" s="66">
        <f>IFERROR(LOOKUP(2,1/(U29:AY29&lt;&gt;""),U$2:AY$2),"")</f>
        <v/>
      </c>
      <c r="O29" s="59" t="n"/>
      <c r="P29" s="59" t="n"/>
      <c r="Q29" s="59" t="n"/>
      <c r="R29" s="59" t="n"/>
      <c r="S29" s="14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</row>
    <row r="30" ht="15" customHeight="1">
      <c r="A30" s="40">
        <f>IF($D$30="","",8)</f>
        <v/>
      </c>
      <c r="B30" s="10" t="n"/>
      <c r="C30" s="41" t="inlineStr">
        <is>
          <t>마케팅1팀</t>
        </is>
      </c>
      <c r="D30" s="42" t="n"/>
      <c r="E30" s="43" t="inlineStr">
        <is>
          <t>기획</t>
        </is>
      </c>
      <c r="F30" s="44" t="n"/>
      <c r="G30" s="45" t="n"/>
      <c r="H30" s="46">
        <f>IF($I$30="","",IF($I$30&lt;0,"🔴지연",IF($I$30&lt;=1,"🟡임박","🟢여유")))</f>
        <v/>
      </c>
      <c r="I30" s="47">
        <f>IF(OR($G$30="",$K$30=""),"",$G$30-$K$30)</f>
        <v/>
      </c>
      <c r="J30" s="48">
        <f>IF(SUM($L$30:$L$32)=0,"",SUM($L$30:$L$32))</f>
        <v/>
      </c>
      <c r="K30" s="49">
        <f>IF($J$30="","",MAX($N$30:$N$32))</f>
        <v/>
      </c>
      <c r="L30" s="50">
        <f>IF(SUM(U30:AY30)=0,"",SUM(U30:AY30))</f>
        <v/>
      </c>
      <c r="M30" s="51">
        <f>IFERROR(INDEX(U$2:AY$2,MATCH(TRUE,INDEX(U30:AY30&lt;&gt;"",0),0)),"")</f>
        <v/>
      </c>
      <c r="N30" s="51">
        <f>IFERROR(LOOKUP(2,1/(U30:AY30&lt;&gt;""),U$2:AY$2),"")</f>
        <v/>
      </c>
      <c r="O30" s="52" t="n"/>
      <c r="P30" s="52" t="n"/>
      <c r="Q30" s="52" t="n"/>
      <c r="R30" s="44" t="n"/>
      <c r="S30" s="14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53" t="n"/>
      <c r="AH30" s="53" t="n"/>
      <c r="AI30" s="53" t="n"/>
      <c r="AJ30" s="53" t="n"/>
      <c r="AK30" s="53" t="n"/>
      <c r="AL30" s="53" t="n"/>
      <c r="AM30" s="53" t="n"/>
      <c r="AN30" s="53" t="n"/>
      <c r="AO30" s="53" t="n"/>
      <c r="AP30" s="53" t="n"/>
      <c r="AQ30" s="53" t="n"/>
      <c r="AR30" s="53" t="n"/>
      <c r="AS30" s="53" t="n"/>
      <c r="AT30" s="53" t="n"/>
      <c r="AU30" s="53" t="n"/>
      <c r="AV30" s="53" t="n"/>
      <c r="AW30" s="53" t="n"/>
      <c r="AX30" s="53" t="n"/>
      <c r="AY30" s="53" t="n"/>
    </row>
    <row r="31" ht="15" customHeight="1">
      <c r="A31" s="54" t="n"/>
      <c r="B31" s="55">
        <f>IF($B$30="","",$B$30)</f>
        <v/>
      </c>
      <c r="C31" s="56" t="inlineStr">
        <is>
          <t>마케팅1팀</t>
        </is>
      </c>
      <c r="D31" s="55">
        <f>IF($D$30="","",$D$30)</f>
        <v/>
      </c>
      <c r="E31" s="57" t="inlineStr">
        <is>
          <t>이미지</t>
        </is>
      </c>
      <c r="F31" s="44" t="n"/>
      <c r="G31" s="58">
        <f>IF($G$30="","",$G$30)</f>
        <v/>
      </c>
      <c r="H31" s="59" t="n"/>
      <c r="I31" s="59" t="n"/>
      <c r="J31" s="59" t="n"/>
      <c r="K31" s="59" t="n"/>
      <c r="L31" s="60">
        <f>IF(SUM(U31:AY31)=0,"",SUM(U31:AY31))</f>
        <v/>
      </c>
      <c r="M31" s="61">
        <f>IFERROR(INDEX(U$2:AY$2,MATCH(TRUE,INDEX(U31:AY31&lt;&gt;"",0),0)),"")</f>
        <v/>
      </c>
      <c r="N31" s="61">
        <f>IFERROR(LOOKUP(2,1/(U31:AY31&lt;&gt;""),U$2:AY$2),"")</f>
        <v/>
      </c>
      <c r="O31" s="59" t="n"/>
      <c r="P31" s="59" t="n"/>
      <c r="Q31" s="59" t="n"/>
      <c r="R31" s="59" t="n"/>
      <c r="S31" s="14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53" t="n"/>
      <c r="AH31" s="53" t="n"/>
      <c r="AI31" s="53" t="n"/>
      <c r="AJ31" s="53" t="n"/>
      <c r="AK31" s="53" t="n"/>
      <c r="AL31" s="53" t="n"/>
      <c r="AM31" s="53" t="n"/>
      <c r="AN31" s="53" t="n"/>
      <c r="AO31" s="53" t="n"/>
      <c r="AP31" s="53" t="n"/>
      <c r="AQ31" s="53" t="n"/>
      <c r="AR31" s="53" t="n"/>
      <c r="AS31" s="53" t="n"/>
      <c r="AT31" s="53" t="n"/>
      <c r="AU31" s="53" t="n"/>
      <c r="AV31" s="53" t="n"/>
      <c r="AW31" s="53" t="n"/>
      <c r="AX31" s="53" t="n"/>
      <c r="AY31" s="53" t="n"/>
    </row>
    <row r="32" ht="15" customHeight="1">
      <c r="A32" s="62" t="n"/>
      <c r="B32" s="55">
        <f>IF($B$30="","",$B$30)</f>
        <v/>
      </c>
      <c r="C32" s="63" t="inlineStr">
        <is>
          <t>마케팅1팀</t>
        </is>
      </c>
      <c r="D32" s="55">
        <f>IF($D$30="","",$D$30)</f>
        <v/>
      </c>
      <c r="E32" s="64" t="inlineStr">
        <is>
          <t>영상</t>
        </is>
      </c>
      <c r="F32" s="44" t="n"/>
      <c r="G32" s="58">
        <f>IF($G$30="","",$G$30)</f>
        <v/>
      </c>
      <c r="H32" s="59" t="n"/>
      <c r="I32" s="59" t="n"/>
      <c r="J32" s="59" t="n"/>
      <c r="K32" s="59" t="n"/>
      <c r="L32" s="65">
        <f>IF(SUM(U32:AY32)=0,"",SUM(U32:AY32))</f>
        <v/>
      </c>
      <c r="M32" s="66">
        <f>IFERROR(INDEX(U$2:AY$2,MATCH(TRUE,INDEX(U32:AY32&lt;&gt;"",0),0)),"")</f>
        <v/>
      </c>
      <c r="N32" s="66">
        <f>IFERROR(LOOKUP(2,1/(U32:AY32&lt;&gt;""),U$2:AY$2),"")</f>
        <v/>
      </c>
      <c r="O32" s="59" t="n"/>
      <c r="P32" s="59" t="n"/>
      <c r="Q32" s="59" t="n"/>
      <c r="R32" s="59" t="n"/>
      <c r="S32" s="14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53" t="n"/>
      <c r="AK32" s="53" t="n"/>
      <c r="AL32" s="53" t="n"/>
      <c r="AM32" s="53" t="n"/>
      <c r="AN32" s="53" t="n"/>
      <c r="AO32" s="53" t="n"/>
      <c r="AP32" s="53" t="n"/>
      <c r="AQ32" s="53" t="n"/>
      <c r="AR32" s="53" t="n"/>
      <c r="AS32" s="53" t="n"/>
      <c r="AT32" s="53" t="n"/>
      <c r="AU32" s="53" t="n"/>
      <c r="AV32" s="53" t="n"/>
      <c r="AW32" s="53" t="n"/>
      <c r="AX32" s="53" t="n"/>
      <c r="AY32" s="53" t="n"/>
    </row>
    <row r="33" ht="15" customHeight="1">
      <c r="A33" s="40">
        <f>IF($D$33="","",9)</f>
        <v/>
      </c>
      <c r="B33" s="10" t="n"/>
      <c r="C33" s="41" t="inlineStr">
        <is>
          <t>마케팅1팀</t>
        </is>
      </c>
      <c r="D33" s="42" t="n"/>
      <c r="E33" s="43" t="inlineStr">
        <is>
          <t>기획</t>
        </is>
      </c>
      <c r="F33" s="44" t="n"/>
      <c r="G33" s="45" t="n"/>
      <c r="H33" s="46">
        <f>IF($I$33="","",IF($I$33&lt;0,"🔴지연",IF($I$33&lt;=1,"🟡임박","🟢여유")))</f>
        <v/>
      </c>
      <c r="I33" s="47">
        <f>IF(OR($G$33="",$K$33=""),"",$G$33-$K$33)</f>
        <v/>
      </c>
      <c r="J33" s="48">
        <f>IF(SUM($L$33:$L$35)=0,"",SUM($L$33:$L$35))</f>
        <v/>
      </c>
      <c r="K33" s="49">
        <f>IF($J$33="","",MAX($N$33:$N$35))</f>
        <v/>
      </c>
      <c r="L33" s="50">
        <f>IF(SUM(U33:AY33)=0,"",SUM(U33:AY33))</f>
        <v/>
      </c>
      <c r="M33" s="51">
        <f>IFERROR(INDEX(U$2:AY$2,MATCH(TRUE,INDEX(U33:AY33&lt;&gt;"",0),0)),"")</f>
        <v/>
      </c>
      <c r="N33" s="51">
        <f>IFERROR(LOOKUP(2,1/(U33:AY33&lt;&gt;""),U$2:AY$2),"")</f>
        <v/>
      </c>
      <c r="O33" s="52" t="n"/>
      <c r="P33" s="52" t="n"/>
      <c r="Q33" s="52" t="n"/>
      <c r="R33" s="44" t="n"/>
      <c r="S33" s="14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53" t="n"/>
    </row>
    <row r="34" ht="15" customHeight="1">
      <c r="A34" s="54" t="n"/>
      <c r="B34" s="55">
        <f>IF($B$33="","",$B$33)</f>
        <v/>
      </c>
      <c r="C34" s="56" t="inlineStr">
        <is>
          <t>마케팅1팀</t>
        </is>
      </c>
      <c r="D34" s="55">
        <f>IF($D$33="","",$D$33)</f>
        <v/>
      </c>
      <c r="E34" s="57" t="inlineStr">
        <is>
          <t>이미지</t>
        </is>
      </c>
      <c r="F34" s="44" t="n"/>
      <c r="G34" s="58">
        <f>IF($G$33="","",$G$33)</f>
        <v/>
      </c>
      <c r="H34" s="59" t="n"/>
      <c r="I34" s="59" t="n"/>
      <c r="J34" s="59" t="n"/>
      <c r="K34" s="59" t="n"/>
      <c r="L34" s="60">
        <f>IF(SUM(U34:AY34)=0,"",SUM(U34:AY34))</f>
        <v/>
      </c>
      <c r="M34" s="61">
        <f>IFERROR(INDEX(U$2:AY$2,MATCH(TRUE,INDEX(U34:AY34&lt;&gt;"",0),0)),"")</f>
        <v/>
      </c>
      <c r="N34" s="61">
        <f>IFERROR(LOOKUP(2,1/(U34:AY34&lt;&gt;""),U$2:AY$2),"")</f>
        <v/>
      </c>
      <c r="O34" s="59" t="n"/>
      <c r="P34" s="59" t="n"/>
      <c r="Q34" s="59" t="n"/>
      <c r="R34" s="59" t="n"/>
      <c r="S34" s="14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  <c r="AD34" s="53" t="n"/>
      <c r="AE34" s="53" t="n"/>
      <c r="AF34" s="53" t="n"/>
      <c r="AG34" s="53" t="n"/>
      <c r="AH34" s="53" t="n"/>
      <c r="AI34" s="53" t="n"/>
      <c r="AJ34" s="53" t="n"/>
      <c r="AK34" s="53" t="n"/>
      <c r="AL34" s="53" t="n"/>
      <c r="AM34" s="53" t="n"/>
      <c r="AN34" s="53" t="n"/>
      <c r="AO34" s="53" t="n"/>
      <c r="AP34" s="53" t="n"/>
      <c r="AQ34" s="53" t="n"/>
      <c r="AR34" s="53" t="n"/>
      <c r="AS34" s="53" t="n"/>
      <c r="AT34" s="53" t="n"/>
      <c r="AU34" s="53" t="n"/>
      <c r="AV34" s="53" t="n"/>
      <c r="AW34" s="53" t="n"/>
      <c r="AX34" s="53" t="n"/>
      <c r="AY34" s="53" t="n"/>
    </row>
    <row r="35" ht="15" customHeight="1">
      <c r="A35" s="62" t="n"/>
      <c r="B35" s="55">
        <f>IF($B$33="","",$B$33)</f>
        <v/>
      </c>
      <c r="C35" s="63" t="inlineStr">
        <is>
          <t>마케팅1팀</t>
        </is>
      </c>
      <c r="D35" s="55">
        <f>IF($D$33="","",$D$33)</f>
        <v/>
      </c>
      <c r="E35" s="64" t="inlineStr">
        <is>
          <t>영상</t>
        </is>
      </c>
      <c r="F35" s="44" t="n"/>
      <c r="G35" s="58">
        <f>IF($G$33="","",$G$33)</f>
        <v/>
      </c>
      <c r="H35" s="59" t="n"/>
      <c r="I35" s="59" t="n"/>
      <c r="J35" s="59" t="n"/>
      <c r="K35" s="59" t="n"/>
      <c r="L35" s="65">
        <f>IF(SUM(U35:AY35)=0,"",SUM(U35:AY35))</f>
        <v/>
      </c>
      <c r="M35" s="66">
        <f>IFERROR(INDEX(U$2:AY$2,MATCH(TRUE,INDEX(U35:AY35&lt;&gt;"",0),0)),"")</f>
        <v/>
      </c>
      <c r="N35" s="66">
        <f>IFERROR(LOOKUP(2,1/(U35:AY35&lt;&gt;""),U$2:AY$2),"")</f>
        <v/>
      </c>
      <c r="O35" s="59" t="n"/>
      <c r="P35" s="59" t="n"/>
      <c r="Q35" s="59" t="n"/>
      <c r="R35" s="59" t="n"/>
      <c r="S35" s="14" t="n"/>
      <c r="U35" s="53" t="n"/>
      <c r="V35" s="53" t="n"/>
      <c r="W35" s="53" t="n"/>
      <c r="X35" s="53" t="n"/>
      <c r="Y35" s="53" t="n"/>
      <c r="Z35" s="53" t="n"/>
      <c r="AA35" s="53" t="n"/>
      <c r="AB35" s="53" t="n"/>
      <c r="AC35" s="53" t="n"/>
      <c r="AD35" s="53" t="n"/>
      <c r="AE35" s="53" t="n"/>
      <c r="AF35" s="53" t="n"/>
      <c r="AG35" s="53" t="n"/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</row>
    <row r="36" ht="15" customHeight="1">
      <c r="A36" s="40">
        <f>IF($D$36="","",10)</f>
        <v/>
      </c>
      <c r="B36" s="10" t="n"/>
      <c r="C36" s="41" t="inlineStr">
        <is>
          <t>마케팅1팀</t>
        </is>
      </c>
      <c r="D36" s="42" t="n"/>
      <c r="E36" s="43" t="inlineStr">
        <is>
          <t>기획</t>
        </is>
      </c>
      <c r="F36" s="44" t="n"/>
      <c r="G36" s="45" t="n"/>
      <c r="H36" s="46">
        <f>IF($I$36="","",IF($I$36&lt;0,"🔴지연",IF($I$36&lt;=1,"🟡임박","🟢여유")))</f>
        <v/>
      </c>
      <c r="I36" s="47">
        <f>IF(OR($G$36="",$K$36=""),"",$G$36-$K$36)</f>
        <v/>
      </c>
      <c r="J36" s="48">
        <f>IF(SUM($L$36:$L$38)=0,"",SUM($L$36:$L$38))</f>
        <v/>
      </c>
      <c r="K36" s="49">
        <f>IF($J$36="","",MAX($N$36:$N$38))</f>
        <v/>
      </c>
      <c r="L36" s="50">
        <f>IF(SUM(U36:AY36)=0,"",SUM(U36:AY36))</f>
        <v/>
      </c>
      <c r="M36" s="51">
        <f>IFERROR(INDEX(U$2:AY$2,MATCH(TRUE,INDEX(U36:AY36&lt;&gt;"",0),0)),"")</f>
        <v/>
      </c>
      <c r="N36" s="51">
        <f>IFERROR(LOOKUP(2,1/(U36:AY36&lt;&gt;""),U$2:AY$2),"")</f>
        <v/>
      </c>
      <c r="O36" s="52" t="n"/>
      <c r="P36" s="52" t="n"/>
      <c r="Q36" s="52" t="n"/>
      <c r="R36" s="44" t="n"/>
      <c r="S36" s="14" t="n"/>
      <c r="U36" s="53" t="n"/>
      <c r="V36" s="53" t="n"/>
      <c r="W36" s="53" t="n"/>
      <c r="X36" s="53" t="n"/>
      <c r="Y36" s="53" t="n"/>
      <c r="Z36" s="53" t="n"/>
      <c r="AA36" s="53" t="n"/>
      <c r="AB36" s="53" t="n"/>
      <c r="AC36" s="53" t="n"/>
      <c r="AD36" s="53" t="n"/>
      <c r="AE36" s="53" t="n"/>
      <c r="AF36" s="53" t="n"/>
      <c r="AG36" s="53" t="n"/>
      <c r="AH36" s="53" t="n"/>
      <c r="AI36" s="53" t="n"/>
      <c r="AJ36" s="53" t="n"/>
      <c r="AK36" s="53" t="n"/>
      <c r="AL36" s="53" t="n"/>
      <c r="AM36" s="53" t="n"/>
      <c r="AN36" s="53" t="n"/>
      <c r="AO36" s="53" t="n"/>
      <c r="AP36" s="53" t="n"/>
      <c r="AQ36" s="53" t="n"/>
      <c r="AR36" s="53" t="n"/>
      <c r="AS36" s="53" t="n"/>
      <c r="AT36" s="53" t="n"/>
      <c r="AU36" s="53" t="n"/>
      <c r="AV36" s="53" t="n"/>
      <c r="AW36" s="53" t="n"/>
      <c r="AX36" s="53" t="n"/>
      <c r="AY36" s="53" t="n"/>
    </row>
    <row r="37" ht="15" customHeight="1">
      <c r="A37" s="54" t="n"/>
      <c r="B37" s="55">
        <f>IF($B$36="","",$B$36)</f>
        <v/>
      </c>
      <c r="C37" s="56" t="inlineStr">
        <is>
          <t>마케팅1팀</t>
        </is>
      </c>
      <c r="D37" s="55">
        <f>IF($D$36="","",$D$36)</f>
        <v/>
      </c>
      <c r="E37" s="57" t="inlineStr">
        <is>
          <t>이미지</t>
        </is>
      </c>
      <c r="F37" s="44" t="n"/>
      <c r="G37" s="58">
        <f>IF($G$36="","",$G$36)</f>
        <v/>
      </c>
      <c r="H37" s="59" t="n"/>
      <c r="I37" s="59" t="n"/>
      <c r="J37" s="59" t="n"/>
      <c r="K37" s="59" t="n"/>
      <c r="L37" s="60">
        <f>IF(SUM(U37:AY37)=0,"",SUM(U37:AY37))</f>
        <v/>
      </c>
      <c r="M37" s="61">
        <f>IFERROR(INDEX(U$2:AY$2,MATCH(TRUE,INDEX(U37:AY37&lt;&gt;"",0),0)),"")</f>
        <v/>
      </c>
      <c r="N37" s="61">
        <f>IFERROR(LOOKUP(2,1/(U37:AY37&lt;&gt;""),U$2:AY$2),"")</f>
        <v/>
      </c>
      <c r="O37" s="59" t="n"/>
      <c r="P37" s="59" t="n"/>
      <c r="Q37" s="59" t="n"/>
      <c r="R37" s="59" t="n"/>
      <c r="S37" s="14" t="n"/>
      <c r="U37" s="53" t="n"/>
      <c r="V37" s="53" t="n"/>
      <c r="W37" s="53" t="n"/>
      <c r="X37" s="53" t="n"/>
      <c r="Y37" s="53" t="n"/>
      <c r="Z37" s="53" t="n"/>
      <c r="AA37" s="53" t="n"/>
      <c r="AB37" s="53" t="n"/>
      <c r="AC37" s="53" t="n"/>
      <c r="AD37" s="53" t="n"/>
      <c r="AE37" s="53" t="n"/>
      <c r="AF37" s="53" t="n"/>
      <c r="AG37" s="53" t="n"/>
      <c r="AH37" s="53" t="n"/>
      <c r="AI37" s="53" t="n"/>
      <c r="AJ37" s="53" t="n"/>
      <c r="AK37" s="53" t="n"/>
      <c r="AL37" s="53" t="n"/>
      <c r="AM37" s="53" t="n"/>
      <c r="AN37" s="53" t="n"/>
      <c r="AO37" s="53" t="n"/>
      <c r="AP37" s="53" t="n"/>
      <c r="AQ37" s="53" t="n"/>
      <c r="AR37" s="53" t="n"/>
      <c r="AS37" s="53" t="n"/>
      <c r="AT37" s="53" t="n"/>
      <c r="AU37" s="53" t="n"/>
      <c r="AV37" s="53" t="n"/>
      <c r="AW37" s="53" t="n"/>
      <c r="AX37" s="53" t="n"/>
      <c r="AY37" s="53" t="n"/>
    </row>
    <row r="38" ht="15" customHeight="1">
      <c r="A38" s="62" t="n"/>
      <c r="B38" s="55">
        <f>IF($B$36="","",$B$36)</f>
        <v/>
      </c>
      <c r="C38" s="63" t="inlineStr">
        <is>
          <t>마케팅1팀</t>
        </is>
      </c>
      <c r="D38" s="55">
        <f>IF($D$36="","",$D$36)</f>
        <v/>
      </c>
      <c r="E38" s="64" t="inlineStr">
        <is>
          <t>영상</t>
        </is>
      </c>
      <c r="F38" s="44" t="n"/>
      <c r="G38" s="58">
        <f>IF($G$36="","",$G$36)</f>
        <v/>
      </c>
      <c r="H38" s="59" t="n"/>
      <c r="I38" s="59" t="n"/>
      <c r="J38" s="59" t="n"/>
      <c r="K38" s="59" t="n"/>
      <c r="L38" s="65">
        <f>IF(SUM(U38:AY38)=0,"",SUM(U38:AY38))</f>
        <v/>
      </c>
      <c r="M38" s="66">
        <f>IFERROR(INDEX(U$2:AY$2,MATCH(TRUE,INDEX(U38:AY38&lt;&gt;"",0),0)),"")</f>
        <v/>
      </c>
      <c r="N38" s="66">
        <f>IFERROR(LOOKUP(2,1/(U38:AY38&lt;&gt;""),U$2:AY$2),"")</f>
        <v/>
      </c>
      <c r="O38" s="59" t="n"/>
      <c r="P38" s="59" t="n"/>
      <c r="Q38" s="59" t="n"/>
      <c r="R38" s="59" t="n"/>
      <c r="S38" s="14" t="n"/>
      <c r="U38" s="53" t="n"/>
      <c r="V38" s="53" t="n"/>
      <c r="W38" s="53" t="n"/>
      <c r="X38" s="53" t="n"/>
      <c r="Y38" s="53" t="n"/>
      <c r="Z38" s="53" t="n"/>
      <c r="AA38" s="53" t="n"/>
      <c r="AB38" s="53" t="n"/>
      <c r="AC38" s="53" t="n"/>
      <c r="AD38" s="53" t="n"/>
      <c r="AE38" s="53" t="n"/>
      <c r="AF38" s="53" t="n"/>
      <c r="AG38" s="53" t="n"/>
      <c r="AH38" s="53" t="n"/>
      <c r="AI38" s="53" t="n"/>
      <c r="AJ38" s="53" t="n"/>
      <c r="AK38" s="53" t="n"/>
      <c r="AL38" s="53" t="n"/>
      <c r="AM38" s="53" t="n"/>
      <c r="AN38" s="53" t="n"/>
      <c r="AO38" s="53" t="n"/>
      <c r="AP38" s="53" t="n"/>
      <c r="AQ38" s="53" t="n"/>
      <c r="AR38" s="53" t="n"/>
      <c r="AS38" s="53" t="n"/>
      <c r="AT38" s="53" t="n"/>
      <c r="AU38" s="53" t="n"/>
      <c r="AV38" s="53" t="n"/>
      <c r="AW38" s="53" t="n"/>
      <c r="AX38" s="53" t="n"/>
      <c r="AY38" s="53" t="n"/>
    </row>
    <row r="39" ht="15" customHeight="1">
      <c r="A39" s="40">
        <f>IF($D$39="","",11)</f>
        <v/>
      </c>
      <c r="B39" s="10" t="n"/>
      <c r="C39" s="41" t="inlineStr">
        <is>
          <t>마케팅1팀</t>
        </is>
      </c>
      <c r="D39" s="42" t="n"/>
      <c r="E39" s="43" t="inlineStr">
        <is>
          <t>기획</t>
        </is>
      </c>
      <c r="F39" s="44" t="n"/>
      <c r="G39" s="45" t="n"/>
      <c r="H39" s="46">
        <f>IF($I$39="","",IF($I$39&lt;0,"🔴지연",IF($I$39&lt;=1,"🟡임박","🟢여유")))</f>
        <v/>
      </c>
      <c r="I39" s="47">
        <f>IF(OR($G$39="",$K$39=""),"",$G$39-$K$39)</f>
        <v/>
      </c>
      <c r="J39" s="48">
        <f>IF(SUM($L$39:$L$41)=0,"",SUM($L$39:$L$41))</f>
        <v/>
      </c>
      <c r="K39" s="49">
        <f>IF($J$39="","",MAX($N$39:$N$41))</f>
        <v/>
      </c>
      <c r="L39" s="50">
        <f>IF(SUM(U39:AY39)=0,"",SUM(U39:AY39))</f>
        <v/>
      </c>
      <c r="M39" s="51">
        <f>IFERROR(INDEX(U$2:AY$2,MATCH(TRUE,INDEX(U39:AY39&lt;&gt;"",0),0)),"")</f>
        <v/>
      </c>
      <c r="N39" s="51">
        <f>IFERROR(LOOKUP(2,1/(U39:AY39&lt;&gt;""),U$2:AY$2),"")</f>
        <v/>
      </c>
      <c r="O39" s="52" t="n"/>
      <c r="P39" s="52" t="n"/>
      <c r="Q39" s="52" t="n"/>
      <c r="R39" s="44" t="n"/>
      <c r="S39" s="14" t="n"/>
      <c r="U39" s="53" t="n"/>
      <c r="V39" s="53" t="n"/>
      <c r="W39" s="53" t="n"/>
      <c r="X39" s="53" t="n"/>
      <c r="Y39" s="53" t="n"/>
      <c r="Z39" s="53" t="n"/>
      <c r="AA39" s="53" t="n"/>
      <c r="AB39" s="53" t="n"/>
      <c r="AC39" s="53" t="n"/>
      <c r="AD39" s="53" t="n"/>
      <c r="AE39" s="53" t="n"/>
      <c r="AF39" s="53" t="n"/>
      <c r="AG39" s="53" t="n"/>
      <c r="AH39" s="53" t="n"/>
      <c r="AI39" s="53" t="n"/>
      <c r="AJ39" s="53" t="n"/>
      <c r="AK39" s="53" t="n"/>
      <c r="AL39" s="53" t="n"/>
      <c r="AM39" s="53" t="n"/>
      <c r="AN39" s="53" t="n"/>
      <c r="AO39" s="53" t="n"/>
      <c r="AP39" s="53" t="n"/>
      <c r="AQ39" s="53" t="n"/>
      <c r="AR39" s="53" t="n"/>
      <c r="AS39" s="53" t="n"/>
      <c r="AT39" s="53" t="n"/>
      <c r="AU39" s="53" t="n"/>
      <c r="AV39" s="53" t="n"/>
      <c r="AW39" s="53" t="n"/>
      <c r="AX39" s="53" t="n"/>
      <c r="AY39" s="53" t="n"/>
    </row>
    <row r="40" ht="15" customHeight="1">
      <c r="A40" s="54" t="n"/>
      <c r="B40" s="55">
        <f>IF($B$39="","",$B$39)</f>
        <v/>
      </c>
      <c r="C40" s="56" t="inlineStr">
        <is>
          <t>마케팅1팀</t>
        </is>
      </c>
      <c r="D40" s="55">
        <f>IF($D$39="","",$D$39)</f>
        <v/>
      </c>
      <c r="E40" s="57" t="inlineStr">
        <is>
          <t>이미지</t>
        </is>
      </c>
      <c r="F40" s="44" t="n"/>
      <c r="G40" s="58">
        <f>IF($G$39="","",$G$39)</f>
        <v/>
      </c>
      <c r="H40" s="59" t="n"/>
      <c r="I40" s="59" t="n"/>
      <c r="J40" s="59" t="n"/>
      <c r="K40" s="59" t="n"/>
      <c r="L40" s="60">
        <f>IF(SUM(U40:AY40)=0,"",SUM(U40:AY40))</f>
        <v/>
      </c>
      <c r="M40" s="61">
        <f>IFERROR(INDEX(U$2:AY$2,MATCH(TRUE,INDEX(U40:AY40&lt;&gt;"",0),0)),"")</f>
        <v/>
      </c>
      <c r="N40" s="61">
        <f>IFERROR(LOOKUP(2,1/(U40:AY40&lt;&gt;""),U$2:AY$2),"")</f>
        <v/>
      </c>
      <c r="O40" s="59" t="n"/>
      <c r="P40" s="59" t="n"/>
      <c r="Q40" s="59" t="n"/>
      <c r="R40" s="59" t="n"/>
      <c r="S40" s="14" t="n"/>
      <c r="U40" s="53" t="n"/>
      <c r="V40" s="53" t="n"/>
      <c r="W40" s="53" t="n"/>
      <c r="X40" s="53" t="n"/>
      <c r="Y40" s="53" t="n"/>
      <c r="Z40" s="53" t="n"/>
      <c r="AA40" s="53" t="n"/>
      <c r="AB40" s="53" t="n"/>
      <c r="AC40" s="53" t="n"/>
      <c r="AD40" s="53" t="n"/>
      <c r="AE40" s="53" t="n"/>
      <c r="AF40" s="53" t="n"/>
      <c r="AG40" s="53" t="n"/>
      <c r="AH40" s="53" t="n"/>
      <c r="AI40" s="53" t="n"/>
      <c r="AJ40" s="53" t="n"/>
      <c r="AK40" s="53" t="n"/>
      <c r="AL40" s="53" t="n"/>
      <c r="AM40" s="53" t="n"/>
      <c r="AN40" s="53" t="n"/>
      <c r="AO40" s="53" t="n"/>
      <c r="AP40" s="53" t="n"/>
      <c r="AQ40" s="53" t="n"/>
      <c r="AR40" s="53" t="n"/>
      <c r="AS40" s="53" t="n"/>
      <c r="AT40" s="53" t="n"/>
      <c r="AU40" s="53" t="n"/>
      <c r="AV40" s="53" t="n"/>
      <c r="AW40" s="53" t="n"/>
      <c r="AX40" s="53" t="n"/>
      <c r="AY40" s="53" t="n"/>
    </row>
    <row r="41" ht="15" customHeight="1">
      <c r="A41" s="62" t="n"/>
      <c r="B41" s="55">
        <f>IF($B$39="","",$B$39)</f>
        <v/>
      </c>
      <c r="C41" s="63" t="inlineStr">
        <is>
          <t>마케팅1팀</t>
        </is>
      </c>
      <c r="D41" s="55">
        <f>IF($D$39="","",$D$39)</f>
        <v/>
      </c>
      <c r="E41" s="64" t="inlineStr">
        <is>
          <t>영상</t>
        </is>
      </c>
      <c r="F41" s="44" t="n"/>
      <c r="G41" s="58">
        <f>IF($G$39="","",$G$39)</f>
        <v/>
      </c>
      <c r="H41" s="59" t="n"/>
      <c r="I41" s="59" t="n"/>
      <c r="J41" s="59" t="n"/>
      <c r="K41" s="59" t="n"/>
      <c r="L41" s="65">
        <f>IF(SUM(U41:AY41)=0,"",SUM(U41:AY41))</f>
        <v/>
      </c>
      <c r="M41" s="66">
        <f>IFERROR(INDEX(U$2:AY$2,MATCH(TRUE,INDEX(U41:AY41&lt;&gt;"",0),0)),"")</f>
        <v/>
      </c>
      <c r="N41" s="66">
        <f>IFERROR(LOOKUP(2,1/(U41:AY41&lt;&gt;""),U$2:AY$2),"")</f>
        <v/>
      </c>
      <c r="O41" s="59" t="n"/>
      <c r="P41" s="59" t="n"/>
      <c r="Q41" s="59" t="n"/>
      <c r="R41" s="59" t="n"/>
      <c r="S41" s="14" t="n"/>
      <c r="U41" s="53" t="n"/>
      <c r="V41" s="53" t="n"/>
      <c r="W41" s="53" t="n"/>
      <c r="X41" s="53" t="n"/>
      <c r="Y41" s="53" t="n"/>
      <c r="Z41" s="53" t="n"/>
      <c r="AA41" s="53" t="n"/>
      <c r="AB41" s="53" t="n"/>
      <c r="AC41" s="53" t="n"/>
      <c r="AD41" s="53" t="n"/>
      <c r="AE41" s="53" t="n"/>
      <c r="AF41" s="53" t="n"/>
      <c r="AG41" s="53" t="n"/>
      <c r="AH41" s="53" t="n"/>
      <c r="AI41" s="53" t="n"/>
      <c r="AJ41" s="53" t="n"/>
      <c r="AK41" s="53" t="n"/>
      <c r="AL41" s="53" t="n"/>
      <c r="AM41" s="53" t="n"/>
      <c r="AN41" s="53" t="n"/>
      <c r="AO41" s="53" t="n"/>
      <c r="AP41" s="53" t="n"/>
      <c r="AQ41" s="53" t="n"/>
      <c r="AR41" s="53" t="n"/>
      <c r="AS41" s="53" t="n"/>
      <c r="AT41" s="53" t="n"/>
      <c r="AU41" s="53" t="n"/>
      <c r="AV41" s="53" t="n"/>
      <c r="AW41" s="53" t="n"/>
      <c r="AX41" s="53" t="n"/>
      <c r="AY41" s="53" t="n"/>
    </row>
    <row r="42" ht="15" customHeight="1">
      <c r="A42" s="40">
        <f>IF($D$42="","",12)</f>
        <v/>
      </c>
      <c r="B42" s="10" t="n"/>
      <c r="C42" s="41" t="inlineStr">
        <is>
          <t>마케팅1팀</t>
        </is>
      </c>
      <c r="D42" s="42" t="n"/>
      <c r="E42" s="43" t="inlineStr">
        <is>
          <t>기획</t>
        </is>
      </c>
      <c r="F42" s="44" t="n"/>
      <c r="G42" s="45" t="n"/>
      <c r="H42" s="46">
        <f>IF($I$42="","",IF($I$42&lt;0,"🔴지연",IF($I$42&lt;=1,"🟡임박","🟢여유")))</f>
        <v/>
      </c>
      <c r="I42" s="47">
        <f>IF(OR($G$42="",$K$42=""),"",$G$42-$K$42)</f>
        <v/>
      </c>
      <c r="J42" s="48">
        <f>IF(SUM($L$42:$L$44)=0,"",SUM($L$42:$L$44))</f>
        <v/>
      </c>
      <c r="K42" s="49">
        <f>IF($J$42="","",MAX($N$42:$N$44))</f>
        <v/>
      </c>
      <c r="L42" s="50">
        <f>IF(SUM(U42:AY42)=0,"",SUM(U42:AY42))</f>
        <v/>
      </c>
      <c r="M42" s="51">
        <f>IFERROR(INDEX(U$2:AY$2,MATCH(TRUE,INDEX(U42:AY42&lt;&gt;"",0),0)),"")</f>
        <v/>
      </c>
      <c r="N42" s="51">
        <f>IFERROR(LOOKUP(2,1/(U42:AY42&lt;&gt;""),U$2:AY$2),"")</f>
        <v/>
      </c>
      <c r="O42" s="52" t="n"/>
      <c r="P42" s="52" t="n"/>
      <c r="Q42" s="52" t="n"/>
      <c r="R42" s="44" t="n"/>
      <c r="S42" s="14" t="n"/>
      <c r="U42" s="53" t="n"/>
      <c r="V42" s="53" t="n"/>
      <c r="W42" s="53" t="n"/>
      <c r="X42" s="53" t="n"/>
      <c r="Y42" s="53" t="n"/>
      <c r="Z42" s="53" t="n"/>
      <c r="AA42" s="53" t="n"/>
      <c r="AB42" s="53" t="n"/>
      <c r="AC42" s="53" t="n"/>
      <c r="AD42" s="53" t="n"/>
      <c r="AE42" s="53" t="n"/>
      <c r="AF42" s="53" t="n"/>
      <c r="AG42" s="53" t="n"/>
      <c r="AH42" s="53" t="n"/>
      <c r="AI42" s="53" t="n"/>
      <c r="AJ42" s="53" t="n"/>
      <c r="AK42" s="53" t="n"/>
      <c r="AL42" s="53" t="n"/>
      <c r="AM42" s="53" t="n"/>
      <c r="AN42" s="53" t="n"/>
      <c r="AO42" s="53" t="n"/>
      <c r="AP42" s="53" t="n"/>
      <c r="AQ42" s="53" t="n"/>
      <c r="AR42" s="53" t="n"/>
      <c r="AS42" s="53" t="n"/>
      <c r="AT42" s="53" t="n"/>
      <c r="AU42" s="53" t="n"/>
      <c r="AV42" s="53" t="n"/>
      <c r="AW42" s="53" t="n"/>
      <c r="AX42" s="53" t="n"/>
      <c r="AY42" s="53" t="n"/>
    </row>
    <row r="43" ht="15" customHeight="1">
      <c r="A43" s="54" t="n"/>
      <c r="B43" s="55">
        <f>IF($B$42="","",$B$42)</f>
        <v/>
      </c>
      <c r="C43" s="56" t="inlineStr">
        <is>
          <t>마케팅1팀</t>
        </is>
      </c>
      <c r="D43" s="55">
        <f>IF($D$42="","",$D$42)</f>
        <v/>
      </c>
      <c r="E43" s="57" t="inlineStr">
        <is>
          <t>이미지</t>
        </is>
      </c>
      <c r="F43" s="44" t="n"/>
      <c r="G43" s="58">
        <f>IF($G$42="","",$G$42)</f>
        <v/>
      </c>
      <c r="H43" s="59" t="n"/>
      <c r="I43" s="59" t="n"/>
      <c r="J43" s="59" t="n"/>
      <c r="K43" s="59" t="n"/>
      <c r="L43" s="60">
        <f>IF(SUM(U43:AY43)=0,"",SUM(U43:AY43))</f>
        <v/>
      </c>
      <c r="M43" s="61">
        <f>IFERROR(INDEX(U$2:AY$2,MATCH(TRUE,INDEX(U43:AY43&lt;&gt;"",0),0)),"")</f>
        <v/>
      </c>
      <c r="N43" s="61">
        <f>IFERROR(LOOKUP(2,1/(U43:AY43&lt;&gt;""),U$2:AY$2),"")</f>
        <v/>
      </c>
      <c r="O43" s="59" t="n"/>
      <c r="P43" s="59" t="n"/>
      <c r="Q43" s="59" t="n"/>
      <c r="R43" s="59" t="n"/>
      <c r="S43" s="14" t="n"/>
      <c r="U43" s="53" t="n"/>
      <c r="V43" s="53" t="n"/>
      <c r="W43" s="53" t="n"/>
      <c r="X43" s="53" t="n"/>
      <c r="Y43" s="53" t="n"/>
      <c r="Z43" s="53" t="n"/>
      <c r="AA43" s="53" t="n"/>
      <c r="AB43" s="53" t="n"/>
      <c r="AC43" s="53" t="n"/>
      <c r="AD43" s="53" t="n"/>
      <c r="AE43" s="53" t="n"/>
      <c r="AF43" s="53" t="n"/>
      <c r="AG43" s="53" t="n"/>
      <c r="AH43" s="53" t="n"/>
      <c r="AI43" s="53" t="n"/>
      <c r="AJ43" s="53" t="n"/>
      <c r="AK43" s="53" t="n"/>
      <c r="AL43" s="53" t="n"/>
      <c r="AM43" s="53" t="n"/>
      <c r="AN43" s="53" t="n"/>
      <c r="AO43" s="53" t="n"/>
      <c r="AP43" s="53" t="n"/>
      <c r="AQ43" s="53" t="n"/>
      <c r="AR43" s="53" t="n"/>
      <c r="AS43" s="53" t="n"/>
      <c r="AT43" s="53" t="n"/>
      <c r="AU43" s="53" t="n"/>
      <c r="AV43" s="53" t="n"/>
      <c r="AW43" s="53" t="n"/>
      <c r="AX43" s="53" t="n"/>
      <c r="AY43" s="53" t="n"/>
    </row>
    <row r="44" ht="15" customHeight="1">
      <c r="A44" s="62" t="n"/>
      <c r="B44" s="55">
        <f>IF($B$42="","",$B$42)</f>
        <v/>
      </c>
      <c r="C44" s="63" t="inlineStr">
        <is>
          <t>마케팅1팀</t>
        </is>
      </c>
      <c r="D44" s="55">
        <f>IF($D$42="","",$D$42)</f>
        <v/>
      </c>
      <c r="E44" s="64" t="inlineStr">
        <is>
          <t>영상</t>
        </is>
      </c>
      <c r="F44" s="44" t="n"/>
      <c r="G44" s="58">
        <f>IF($G$42="","",$G$42)</f>
        <v/>
      </c>
      <c r="H44" s="59" t="n"/>
      <c r="I44" s="59" t="n"/>
      <c r="J44" s="59" t="n"/>
      <c r="K44" s="59" t="n"/>
      <c r="L44" s="65">
        <f>IF(SUM(U44:AY44)=0,"",SUM(U44:AY44))</f>
        <v/>
      </c>
      <c r="M44" s="66">
        <f>IFERROR(INDEX(U$2:AY$2,MATCH(TRUE,INDEX(U44:AY44&lt;&gt;"",0),0)),"")</f>
        <v/>
      </c>
      <c r="N44" s="66">
        <f>IFERROR(LOOKUP(2,1/(U44:AY44&lt;&gt;""),U$2:AY$2),"")</f>
        <v/>
      </c>
      <c r="O44" s="59" t="n"/>
      <c r="P44" s="59" t="n"/>
      <c r="Q44" s="59" t="n"/>
      <c r="R44" s="59" t="n"/>
      <c r="S44" s="14" t="n"/>
      <c r="U44" s="53" t="n"/>
      <c r="V44" s="53" t="n"/>
      <c r="W44" s="53" t="n"/>
      <c r="X44" s="53" t="n"/>
      <c r="Y44" s="53" t="n"/>
      <c r="Z44" s="53" t="n"/>
      <c r="AA44" s="53" t="n"/>
      <c r="AB44" s="53" t="n"/>
      <c r="AC44" s="53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53" t="n"/>
      <c r="AN44" s="53" t="n"/>
      <c r="AO44" s="53" t="n"/>
      <c r="AP44" s="53" t="n"/>
      <c r="AQ44" s="53" t="n"/>
      <c r="AR44" s="53" t="n"/>
      <c r="AS44" s="53" t="n"/>
      <c r="AT44" s="53" t="n"/>
      <c r="AU44" s="53" t="n"/>
      <c r="AV44" s="53" t="n"/>
      <c r="AW44" s="53" t="n"/>
      <c r="AX44" s="53" t="n"/>
      <c r="AY44" s="53" t="n"/>
    </row>
    <row r="45" ht="15" customHeight="1">
      <c r="A45" s="40">
        <f>IF($D$45="","",13)</f>
        <v/>
      </c>
      <c r="B45" s="10" t="n"/>
      <c r="C45" s="41" t="inlineStr">
        <is>
          <t>마케팅1팀</t>
        </is>
      </c>
      <c r="D45" s="42" t="n"/>
      <c r="E45" s="43" t="inlineStr">
        <is>
          <t>기획</t>
        </is>
      </c>
      <c r="F45" s="44" t="n"/>
      <c r="G45" s="45" t="n"/>
      <c r="H45" s="46">
        <f>IF($I$45="","",IF($I$45&lt;0,"🔴지연",IF($I$45&lt;=1,"🟡임박","🟢여유")))</f>
        <v/>
      </c>
      <c r="I45" s="47">
        <f>IF(OR($G$45="",$K$45=""),"",$G$45-$K$45)</f>
        <v/>
      </c>
      <c r="J45" s="48">
        <f>IF(SUM($L$45:$L$47)=0,"",SUM($L$45:$L$47))</f>
        <v/>
      </c>
      <c r="K45" s="49">
        <f>IF($J$45="","",MAX($N$45:$N$47))</f>
        <v/>
      </c>
      <c r="L45" s="50">
        <f>IF(SUM(U45:AY45)=0,"",SUM(U45:AY45))</f>
        <v/>
      </c>
      <c r="M45" s="51">
        <f>IFERROR(INDEX(U$2:AY$2,MATCH(TRUE,INDEX(U45:AY45&lt;&gt;"",0),0)),"")</f>
        <v/>
      </c>
      <c r="N45" s="51">
        <f>IFERROR(LOOKUP(2,1/(U45:AY45&lt;&gt;""),U$2:AY$2),"")</f>
        <v/>
      </c>
      <c r="O45" s="52" t="n"/>
      <c r="P45" s="52" t="n"/>
      <c r="Q45" s="52" t="n"/>
      <c r="R45" s="44" t="n"/>
      <c r="S45" s="14" t="n"/>
      <c r="U45" s="53" t="n"/>
      <c r="V45" s="53" t="n"/>
      <c r="W45" s="53" t="n"/>
      <c r="X45" s="53" t="n"/>
      <c r="Y45" s="53" t="n"/>
      <c r="Z45" s="53" t="n"/>
      <c r="AA45" s="53" t="n"/>
      <c r="AB45" s="53" t="n"/>
      <c r="AC45" s="53" t="n"/>
      <c r="AD45" s="53" t="n"/>
      <c r="AE45" s="53" t="n"/>
      <c r="AF45" s="53" t="n"/>
      <c r="AG45" s="53" t="n"/>
      <c r="AH45" s="53" t="n"/>
      <c r="AI45" s="53" t="n"/>
      <c r="AJ45" s="53" t="n"/>
      <c r="AK45" s="53" t="n"/>
      <c r="AL45" s="53" t="n"/>
      <c r="AM45" s="53" t="n"/>
      <c r="AN45" s="53" t="n"/>
      <c r="AO45" s="53" t="n"/>
      <c r="AP45" s="53" t="n"/>
      <c r="AQ45" s="53" t="n"/>
      <c r="AR45" s="53" t="n"/>
      <c r="AS45" s="53" t="n"/>
      <c r="AT45" s="53" t="n"/>
      <c r="AU45" s="53" t="n"/>
      <c r="AV45" s="53" t="n"/>
      <c r="AW45" s="53" t="n"/>
      <c r="AX45" s="53" t="n"/>
      <c r="AY45" s="53" t="n"/>
    </row>
    <row r="46" ht="15" customHeight="1">
      <c r="A46" s="54" t="n"/>
      <c r="B46" s="55">
        <f>IF($B$45="","",$B$45)</f>
        <v/>
      </c>
      <c r="C46" s="56" t="inlineStr">
        <is>
          <t>마케팅1팀</t>
        </is>
      </c>
      <c r="D46" s="55">
        <f>IF($D$45="","",$D$45)</f>
        <v/>
      </c>
      <c r="E46" s="57" t="inlineStr">
        <is>
          <t>이미지</t>
        </is>
      </c>
      <c r="F46" s="44" t="n"/>
      <c r="G46" s="58">
        <f>IF($G$45="","",$G$45)</f>
        <v/>
      </c>
      <c r="H46" s="59" t="n"/>
      <c r="I46" s="59" t="n"/>
      <c r="J46" s="59" t="n"/>
      <c r="K46" s="59" t="n"/>
      <c r="L46" s="60">
        <f>IF(SUM(U46:AY46)=0,"",SUM(U46:AY46))</f>
        <v/>
      </c>
      <c r="M46" s="61">
        <f>IFERROR(INDEX(U$2:AY$2,MATCH(TRUE,INDEX(U46:AY46&lt;&gt;"",0),0)),"")</f>
        <v/>
      </c>
      <c r="N46" s="61">
        <f>IFERROR(LOOKUP(2,1/(U46:AY46&lt;&gt;""),U$2:AY$2),"")</f>
        <v/>
      </c>
      <c r="O46" s="59" t="n"/>
      <c r="P46" s="59" t="n"/>
      <c r="Q46" s="59" t="n"/>
      <c r="R46" s="59" t="n"/>
      <c r="S46" s="14" t="n"/>
      <c r="U46" s="53" t="n"/>
      <c r="V46" s="53" t="n"/>
      <c r="W46" s="53" t="n"/>
      <c r="X46" s="53" t="n"/>
      <c r="Y46" s="53" t="n"/>
      <c r="Z46" s="53" t="n"/>
      <c r="AA46" s="53" t="n"/>
      <c r="AB46" s="53" t="n"/>
      <c r="AC46" s="53" t="n"/>
      <c r="AD46" s="53" t="n"/>
      <c r="AE46" s="53" t="n"/>
      <c r="AF46" s="53" t="n"/>
      <c r="AG46" s="53" t="n"/>
      <c r="AH46" s="53" t="n"/>
      <c r="AI46" s="53" t="n"/>
      <c r="AJ46" s="53" t="n"/>
      <c r="AK46" s="53" t="n"/>
      <c r="AL46" s="53" t="n"/>
      <c r="AM46" s="53" t="n"/>
      <c r="AN46" s="53" t="n"/>
      <c r="AO46" s="53" t="n"/>
      <c r="AP46" s="53" t="n"/>
      <c r="AQ46" s="53" t="n"/>
      <c r="AR46" s="53" t="n"/>
      <c r="AS46" s="53" t="n"/>
      <c r="AT46" s="53" t="n"/>
      <c r="AU46" s="53" t="n"/>
      <c r="AV46" s="53" t="n"/>
      <c r="AW46" s="53" t="n"/>
      <c r="AX46" s="53" t="n"/>
      <c r="AY46" s="53" t="n"/>
    </row>
    <row r="47" ht="15" customHeight="1">
      <c r="A47" s="62" t="n"/>
      <c r="B47" s="55">
        <f>IF($B$45="","",$B$45)</f>
        <v/>
      </c>
      <c r="C47" s="63" t="inlineStr">
        <is>
          <t>마케팅1팀</t>
        </is>
      </c>
      <c r="D47" s="55">
        <f>IF($D$45="","",$D$45)</f>
        <v/>
      </c>
      <c r="E47" s="64" t="inlineStr">
        <is>
          <t>영상</t>
        </is>
      </c>
      <c r="F47" s="44" t="n"/>
      <c r="G47" s="58">
        <f>IF($G$45="","",$G$45)</f>
        <v/>
      </c>
      <c r="H47" s="59" t="n"/>
      <c r="I47" s="59" t="n"/>
      <c r="J47" s="59" t="n"/>
      <c r="K47" s="59" t="n"/>
      <c r="L47" s="65">
        <f>IF(SUM(U47:AY47)=0,"",SUM(U47:AY47))</f>
        <v/>
      </c>
      <c r="M47" s="66">
        <f>IFERROR(INDEX(U$2:AY$2,MATCH(TRUE,INDEX(U47:AY47&lt;&gt;"",0),0)),"")</f>
        <v/>
      </c>
      <c r="N47" s="66">
        <f>IFERROR(LOOKUP(2,1/(U47:AY47&lt;&gt;""),U$2:AY$2),"")</f>
        <v/>
      </c>
      <c r="O47" s="59" t="n"/>
      <c r="P47" s="59" t="n"/>
      <c r="Q47" s="59" t="n"/>
      <c r="R47" s="59" t="n"/>
      <c r="S47" s="14" t="n"/>
      <c r="U47" s="53" t="n"/>
      <c r="V47" s="53" t="n"/>
      <c r="W47" s="53" t="n"/>
      <c r="X47" s="53" t="n"/>
      <c r="Y47" s="53" t="n"/>
      <c r="Z47" s="53" t="n"/>
      <c r="AA47" s="53" t="n"/>
      <c r="AB47" s="53" t="n"/>
      <c r="AC47" s="53" t="n"/>
      <c r="AD47" s="53" t="n"/>
      <c r="AE47" s="53" t="n"/>
      <c r="AF47" s="53" t="n"/>
      <c r="AG47" s="53" t="n"/>
      <c r="AH47" s="53" t="n"/>
      <c r="AI47" s="53" t="n"/>
      <c r="AJ47" s="53" t="n"/>
      <c r="AK47" s="53" t="n"/>
      <c r="AL47" s="53" t="n"/>
      <c r="AM47" s="53" t="n"/>
      <c r="AN47" s="53" t="n"/>
      <c r="AO47" s="53" t="n"/>
      <c r="AP47" s="53" t="n"/>
      <c r="AQ47" s="53" t="n"/>
      <c r="AR47" s="53" t="n"/>
      <c r="AS47" s="53" t="n"/>
      <c r="AT47" s="53" t="n"/>
      <c r="AU47" s="53" t="n"/>
      <c r="AV47" s="53" t="n"/>
      <c r="AW47" s="53" t="n"/>
      <c r="AX47" s="53" t="n"/>
      <c r="AY47" s="53" t="n"/>
    </row>
    <row r="48" ht="15" customHeight="1">
      <c r="A48" s="40">
        <f>IF($D$48="","",14)</f>
        <v/>
      </c>
      <c r="B48" s="10" t="n"/>
      <c r="C48" s="41" t="inlineStr">
        <is>
          <t>마케팅1팀</t>
        </is>
      </c>
      <c r="D48" s="42" t="n"/>
      <c r="E48" s="43" t="inlineStr">
        <is>
          <t>기획</t>
        </is>
      </c>
      <c r="F48" s="44" t="n"/>
      <c r="G48" s="45" t="n"/>
      <c r="H48" s="46">
        <f>IF($I$48="","",IF($I$48&lt;0,"🔴지연",IF($I$48&lt;=1,"🟡임박","🟢여유")))</f>
        <v/>
      </c>
      <c r="I48" s="47">
        <f>IF(OR($G$48="",$K$48=""),"",$G$48-$K$48)</f>
        <v/>
      </c>
      <c r="J48" s="48">
        <f>IF(SUM($L$48:$L$50)=0,"",SUM($L$48:$L$50))</f>
        <v/>
      </c>
      <c r="K48" s="49">
        <f>IF($J$48="","",MAX($N$48:$N$50))</f>
        <v/>
      </c>
      <c r="L48" s="50">
        <f>IF(SUM(U48:AY48)=0,"",SUM(U48:AY48))</f>
        <v/>
      </c>
      <c r="M48" s="51">
        <f>IFERROR(INDEX(U$2:AY$2,MATCH(TRUE,INDEX(U48:AY48&lt;&gt;"",0),0)),"")</f>
        <v/>
      </c>
      <c r="N48" s="51">
        <f>IFERROR(LOOKUP(2,1/(U48:AY48&lt;&gt;""),U$2:AY$2),"")</f>
        <v/>
      </c>
      <c r="O48" s="52" t="n"/>
      <c r="P48" s="52" t="n"/>
      <c r="Q48" s="52" t="n"/>
      <c r="R48" s="44" t="n"/>
      <c r="S48" s="14" t="n"/>
      <c r="U48" s="53" t="n"/>
      <c r="V48" s="53" t="n"/>
      <c r="W48" s="53" t="n"/>
      <c r="X48" s="53" t="n"/>
      <c r="Y48" s="53" t="n"/>
      <c r="Z48" s="53" t="n"/>
      <c r="AA48" s="53" t="n"/>
      <c r="AB48" s="53" t="n"/>
      <c r="AC48" s="53" t="n"/>
      <c r="AD48" s="53" t="n"/>
      <c r="AE48" s="53" t="n"/>
      <c r="AF48" s="53" t="n"/>
      <c r="AG48" s="53" t="n"/>
      <c r="AH48" s="53" t="n"/>
      <c r="AI48" s="53" t="n"/>
      <c r="AJ48" s="53" t="n"/>
      <c r="AK48" s="53" t="n"/>
      <c r="AL48" s="53" t="n"/>
      <c r="AM48" s="53" t="n"/>
      <c r="AN48" s="53" t="n"/>
      <c r="AO48" s="53" t="n"/>
      <c r="AP48" s="53" t="n"/>
      <c r="AQ48" s="53" t="n"/>
      <c r="AR48" s="53" t="n"/>
      <c r="AS48" s="53" t="n"/>
      <c r="AT48" s="53" t="n"/>
      <c r="AU48" s="53" t="n"/>
      <c r="AV48" s="53" t="n"/>
      <c r="AW48" s="53" t="n"/>
      <c r="AX48" s="53" t="n"/>
      <c r="AY48" s="53" t="n"/>
    </row>
    <row r="49" ht="15" customHeight="1">
      <c r="A49" s="54" t="n"/>
      <c r="B49" s="55">
        <f>IF($B$48="","",$B$48)</f>
        <v/>
      </c>
      <c r="C49" s="56" t="inlineStr">
        <is>
          <t>마케팅1팀</t>
        </is>
      </c>
      <c r="D49" s="55">
        <f>IF($D$48="","",$D$48)</f>
        <v/>
      </c>
      <c r="E49" s="57" t="inlineStr">
        <is>
          <t>이미지</t>
        </is>
      </c>
      <c r="F49" s="44" t="n"/>
      <c r="G49" s="58">
        <f>IF($G$48="","",$G$48)</f>
        <v/>
      </c>
      <c r="H49" s="59" t="n"/>
      <c r="I49" s="59" t="n"/>
      <c r="J49" s="59" t="n"/>
      <c r="K49" s="59" t="n"/>
      <c r="L49" s="60">
        <f>IF(SUM(U49:AY49)=0,"",SUM(U49:AY49))</f>
        <v/>
      </c>
      <c r="M49" s="61">
        <f>IFERROR(INDEX(U$2:AY$2,MATCH(TRUE,INDEX(U49:AY49&lt;&gt;"",0),0)),"")</f>
        <v/>
      </c>
      <c r="N49" s="61">
        <f>IFERROR(LOOKUP(2,1/(U49:AY49&lt;&gt;""),U$2:AY$2),"")</f>
        <v/>
      </c>
      <c r="O49" s="59" t="n"/>
      <c r="P49" s="59" t="n"/>
      <c r="Q49" s="59" t="n"/>
      <c r="R49" s="59" t="n"/>
      <c r="S49" s="14" t="n"/>
      <c r="U49" s="53" t="n"/>
      <c r="V49" s="53" t="n"/>
      <c r="W49" s="53" t="n"/>
      <c r="X49" s="53" t="n"/>
      <c r="Y49" s="53" t="n"/>
      <c r="Z49" s="53" t="n"/>
      <c r="AA49" s="53" t="n"/>
      <c r="AB49" s="53" t="n"/>
      <c r="AC49" s="53" t="n"/>
      <c r="AD49" s="53" t="n"/>
      <c r="AE49" s="53" t="n"/>
      <c r="AF49" s="53" t="n"/>
      <c r="AG49" s="53" t="n"/>
      <c r="AH49" s="53" t="n"/>
      <c r="AI49" s="53" t="n"/>
      <c r="AJ49" s="53" t="n"/>
      <c r="AK49" s="53" t="n"/>
      <c r="AL49" s="53" t="n"/>
      <c r="AM49" s="53" t="n"/>
      <c r="AN49" s="53" t="n"/>
      <c r="AO49" s="53" t="n"/>
      <c r="AP49" s="53" t="n"/>
      <c r="AQ49" s="53" t="n"/>
      <c r="AR49" s="53" t="n"/>
      <c r="AS49" s="53" t="n"/>
      <c r="AT49" s="53" t="n"/>
      <c r="AU49" s="53" t="n"/>
      <c r="AV49" s="53" t="n"/>
      <c r="AW49" s="53" t="n"/>
      <c r="AX49" s="53" t="n"/>
      <c r="AY49" s="53" t="n"/>
    </row>
    <row r="50" ht="15" customHeight="1">
      <c r="A50" s="62" t="n"/>
      <c r="B50" s="55">
        <f>IF($B$48="","",$B$48)</f>
        <v/>
      </c>
      <c r="C50" s="63" t="inlineStr">
        <is>
          <t>마케팅1팀</t>
        </is>
      </c>
      <c r="D50" s="55">
        <f>IF($D$48="","",$D$48)</f>
        <v/>
      </c>
      <c r="E50" s="64" t="inlineStr">
        <is>
          <t>영상</t>
        </is>
      </c>
      <c r="F50" s="44" t="n"/>
      <c r="G50" s="58">
        <f>IF($G$48="","",$G$48)</f>
        <v/>
      </c>
      <c r="H50" s="59" t="n"/>
      <c r="I50" s="59" t="n"/>
      <c r="J50" s="59" t="n"/>
      <c r="K50" s="59" t="n"/>
      <c r="L50" s="65">
        <f>IF(SUM(U50:AY50)=0,"",SUM(U50:AY50))</f>
        <v/>
      </c>
      <c r="M50" s="66">
        <f>IFERROR(INDEX(U$2:AY$2,MATCH(TRUE,INDEX(U50:AY50&lt;&gt;"",0),0)),"")</f>
        <v/>
      </c>
      <c r="N50" s="66">
        <f>IFERROR(LOOKUP(2,1/(U50:AY50&lt;&gt;""),U$2:AY$2),"")</f>
        <v/>
      </c>
      <c r="O50" s="59" t="n"/>
      <c r="P50" s="59" t="n"/>
      <c r="Q50" s="59" t="n"/>
      <c r="R50" s="59" t="n"/>
      <c r="S50" s="14" t="n"/>
      <c r="U50" s="53" t="n"/>
      <c r="V50" s="53" t="n"/>
      <c r="W50" s="53" t="n"/>
      <c r="X50" s="53" t="n"/>
      <c r="Y50" s="53" t="n"/>
      <c r="Z50" s="53" t="n"/>
      <c r="AA50" s="53" t="n"/>
      <c r="AB50" s="53" t="n"/>
      <c r="AC50" s="53" t="n"/>
      <c r="AD50" s="53" t="n"/>
      <c r="AE50" s="53" t="n"/>
      <c r="AF50" s="53" t="n"/>
      <c r="AG50" s="53" t="n"/>
      <c r="AH50" s="53" t="n"/>
      <c r="AI50" s="53" t="n"/>
      <c r="AJ50" s="53" t="n"/>
      <c r="AK50" s="53" t="n"/>
      <c r="AL50" s="53" t="n"/>
      <c r="AM50" s="53" t="n"/>
      <c r="AN50" s="53" t="n"/>
      <c r="AO50" s="53" t="n"/>
      <c r="AP50" s="53" t="n"/>
      <c r="AQ50" s="53" t="n"/>
      <c r="AR50" s="53" t="n"/>
      <c r="AS50" s="53" t="n"/>
      <c r="AT50" s="53" t="n"/>
      <c r="AU50" s="53" t="n"/>
      <c r="AV50" s="53" t="n"/>
      <c r="AW50" s="53" t="n"/>
      <c r="AX50" s="53" t="n"/>
      <c r="AY50" s="53" t="n"/>
    </row>
    <row r="51" ht="15" customHeight="1">
      <c r="A51" s="40">
        <f>IF($D$51="","",15)</f>
        <v/>
      </c>
      <c r="B51" s="10" t="n"/>
      <c r="C51" s="41" t="inlineStr">
        <is>
          <t>마케팅1팀</t>
        </is>
      </c>
      <c r="D51" s="42" t="n"/>
      <c r="E51" s="43" t="inlineStr">
        <is>
          <t>기획</t>
        </is>
      </c>
      <c r="F51" s="44" t="n"/>
      <c r="G51" s="45" t="n"/>
      <c r="H51" s="46">
        <f>IF($I$51="","",IF($I$51&lt;0,"🔴지연",IF($I$51&lt;=1,"🟡임박","🟢여유")))</f>
        <v/>
      </c>
      <c r="I51" s="47">
        <f>IF(OR($G$51="",$K$51=""),"",$G$51-$K$51)</f>
        <v/>
      </c>
      <c r="J51" s="48">
        <f>IF(SUM($L$51:$L$53)=0,"",SUM($L$51:$L$53))</f>
        <v/>
      </c>
      <c r="K51" s="49">
        <f>IF($J$51="","",MAX($N$51:$N$53))</f>
        <v/>
      </c>
      <c r="L51" s="50">
        <f>IF(SUM(U51:AY51)=0,"",SUM(U51:AY51))</f>
        <v/>
      </c>
      <c r="M51" s="51">
        <f>IFERROR(INDEX(U$2:AY$2,MATCH(TRUE,INDEX(U51:AY51&lt;&gt;"",0),0)),"")</f>
        <v/>
      </c>
      <c r="N51" s="51">
        <f>IFERROR(LOOKUP(2,1/(U51:AY51&lt;&gt;""),U$2:AY$2),"")</f>
        <v/>
      </c>
      <c r="O51" s="52" t="n"/>
      <c r="P51" s="52" t="n"/>
      <c r="Q51" s="52" t="n"/>
      <c r="R51" s="44" t="n"/>
      <c r="S51" s="14" t="n"/>
      <c r="U51" s="53" t="n"/>
      <c r="V51" s="53" t="n"/>
      <c r="W51" s="53" t="n"/>
      <c r="X51" s="53" t="n"/>
      <c r="Y51" s="53" t="n"/>
      <c r="Z51" s="53" t="n"/>
      <c r="AA51" s="53" t="n"/>
      <c r="AB51" s="53" t="n"/>
      <c r="AC51" s="53" t="n"/>
      <c r="AD51" s="53" t="n"/>
      <c r="AE51" s="53" t="n"/>
      <c r="AF51" s="53" t="n"/>
      <c r="AG51" s="53" t="n"/>
      <c r="AH51" s="53" t="n"/>
      <c r="AI51" s="53" t="n"/>
      <c r="AJ51" s="53" t="n"/>
      <c r="AK51" s="53" t="n"/>
      <c r="AL51" s="53" t="n"/>
      <c r="AM51" s="53" t="n"/>
      <c r="AN51" s="53" t="n"/>
      <c r="AO51" s="53" t="n"/>
      <c r="AP51" s="53" t="n"/>
      <c r="AQ51" s="53" t="n"/>
      <c r="AR51" s="53" t="n"/>
      <c r="AS51" s="53" t="n"/>
      <c r="AT51" s="53" t="n"/>
      <c r="AU51" s="53" t="n"/>
      <c r="AV51" s="53" t="n"/>
      <c r="AW51" s="53" t="n"/>
      <c r="AX51" s="53" t="n"/>
      <c r="AY51" s="53" t="n"/>
    </row>
    <row r="52" ht="15" customHeight="1">
      <c r="A52" s="54" t="n"/>
      <c r="B52" s="55">
        <f>IF($B$51="","",$B$51)</f>
        <v/>
      </c>
      <c r="C52" s="56" t="inlineStr">
        <is>
          <t>마케팅1팀</t>
        </is>
      </c>
      <c r="D52" s="55">
        <f>IF($D$51="","",$D$51)</f>
        <v/>
      </c>
      <c r="E52" s="57" t="inlineStr">
        <is>
          <t>이미지</t>
        </is>
      </c>
      <c r="F52" s="44" t="n"/>
      <c r="G52" s="58">
        <f>IF($G$51="","",$G$51)</f>
        <v/>
      </c>
      <c r="H52" s="59" t="n"/>
      <c r="I52" s="59" t="n"/>
      <c r="J52" s="59" t="n"/>
      <c r="K52" s="59" t="n"/>
      <c r="L52" s="60">
        <f>IF(SUM(U52:AY52)=0,"",SUM(U52:AY52))</f>
        <v/>
      </c>
      <c r="M52" s="61">
        <f>IFERROR(INDEX(U$2:AY$2,MATCH(TRUE,INDEX(U52:AY52&lt;&gt;"",0),0)),"")</f>
        <v/>
      </c>
      <c r="N52" s="61">
        <f>IFERROR(LOOKUP(2,1/(U52:AY52&lt;&gt;""),U$2:AY$2),"")</f>
        <v/>
      </c>
      <c r="O52" s="59" t="n"/>
      <c r="P52" s="59" t="n"/>
      <c r="Q52" s="59" t="n"/>
      <c r="R52" s="59" t="n"/>
      <c r="S52" s="14" t="n"/>
      <c r="U52" s="53" t="n"/>
      <c r="V52" s="53" t="n"/>
      <c r="W52" s="53" t="n"/>
      <c r="X52" s="53" t="n"/>
      <c r="Y52" s="53" t="n"/>
      <c r="Z52" s="53" t="n"/>
      <c r="AA52" s="53" t="n"/>
      <c r="AB52" s="53" t="n"/>
      <c r="AC52" s="53" t="n"/>
      <c r="AD52" s="53" t="n"/>
      <c r="AE52" s="53" t="n"/>
      <c r="AF52" s="53" t="n"/>
      <c r="AG52" s="53" t="n"/>
      <c r="AH52" s="53" t="n"/>
      <c r="AI52" s="53" t="n"/>
      <c r="AJ52" s="53" t="n"/>
      <c r="AK52" s="53" t="n"/>
      <c r="AL52" s="53" t="n"/>
      <c r="AM52" s="53" t="n"/>
      <c r="AN52" s="53" t="n"/>
      <c r="AO52" s="53" t="n"/>
      <c r="AP52" s="53" t="n"/>
      <c r="AQ52" s="53" t="n"/>
      <c r="AR52" s="53" t="n"/>
      <c r="AS52" s="53" t="n"/>
      <c r="AT52" s="53" t="n"/>
      <c r="AU52" s="53" t="n"/>
      <c r="AV52" s="53" t="n"/>
      <c r="AW52" s="53" t="n"/>
      <c r="AX52" s="53" t="n"/>
      <c r="AY52" s="53" t="n"/>
    </row>
    <row r="53" ht="15" customHeight="1">
      <c r="A53" s="62" t="n"/>
      <c r="B53" s="55">
        <f>IF($B$51="","",$B$51)</f>
        <v/>
      </c>
      <c r="C53" s="63" t="inlineStr">
        <is>
          <t>마케팅1팀</t>
        </is>
      </c>
      <c r="D53" s="55">
        <f>IF($D$51="","",$D$51)</f>
        <v/>
      </c>
      <c r="E53" s="64" t="inlineStr">
        <is>
          <t>영상</t>
        </is>
      </c>
      <c r="F53" s="44" t="n"/>
      <c r="G53" s="58">
        <f>IF($G$51="","",$G$51)</f>
        <v/>
      </c>
      <c r="H53" s="59" t="n"/>
      <c r="I53" s="59" t="n"/>
      <c r="J53" s="59" t="n"/>
      <c r="K53" s="59" t="n"/>
      <c r="L53" s="65">
        <f>IF(SUM(U53:AY53)=0,"",SUM(U53:AY53))</f>
        <v/>
      </c>
      <c r="M53" s="66">
        <f>IFERROR(INDEX(U$2:AY$2,MATCH(TRUE,INDEX(U53:AY53&lt;&gt;"",0),0)),"")</f>
        <v/>
      </c>
      <c r="N53" s="66">
        <f>IFERROR(LOOKUP(2,1/(U53:AY53&lt;&gt;""),U$2:AY$2),"")</f>
        <v/>
      </c>
      <c r="O53" s="59" t="n"/>
      <c r="P53" s="59" t="n"/>
      <c r="Q53" s="59" t="n"/>
      <c r="R53" s="59" t="n"/>
      <c r="S53" s="14" t="n"/>
      <c r="U53" s="53" t="n"/>
      <c r="V53" s="53" t="n"/>
      <c r="W53" s="53" t="n"/>
      <c r="X53" s="53" t="n"/>
      <c r="Y53" s="53" t="n"/>
      <c r="Z53" s="53" t="n"/>
      <c r="AA53" s="53" t="n"/>
      <c r="AB53" s="53" t="n"/>
      <c r="AC53" s="53" t="n"/>
      <c r="AD53" s="53" t="n"/>
      <c r="AE53" s="53" t="n"/>
      <c r="AF53" s="53" t="n"/>
      <c r="AG53" s="53" t="n"/>
      <c r="AH53" s="53" t="n"/>
      <c r="AI53" s="53" t="n"/>
      <c r="AJ53" s="53" t="n"/>
      <c r="AK53" s="53" t="n"/>
      <c r="AL53" s="53" t="n"/>
      <c r="AM53" s="53" t="n"/>
      <c r="AN53" s="53" t="n"/>
      <c r="AO53" s="53" t="n"/>
      <c r="AP53" s="53" t="n"/>
      <c r="AQ53" s="53" t="n"/>
      <c r="AR53" s="53" t="n"/>
      <c r="AS53" s="53" t="n"/>
      <c r="AT53" s="53" t="n"/>
      <c r="AU53" s="53" t="n"/>
      <c r="AV53" s="53" t="n"/>
      <c r="AW53" s="53" t="n"/>
      <c r="AX53" s="53" t="n"/>
      <c r="AY53" s="53" t="n"/>
    </row>
    <row r="54" ht="15" customHeight="1">
      <c r="A54" s="40">
        <f>IF($D$54="","",16)</f>
        <v/>
      </c>
      <c r="B54" s="10" t="n"/>
      <c r="C54" s="41" t="inlineStr">
        <is>
          <t>마케팅1팀</t>
        </is>
      </c>
      <c r="D54" s="42" t="n"/>
      <c r="E54" s="43" t="inlineStr">
        <is>
          <t>기획</t>
        </is>
      </c>
      <c r="F54" s="44" t="n"/>
      <c r="G54" s="45" t="n"/>
      <c r="H54" s="46">
        <f>IF($I$54="","",IF($I$54&lt;0,"🔴지연",IF($I$54&lt;=1,"🟡임박","🟢여유")))</f>
        <v/>
      </c>
      <c r="I54" s="47">
        <f>IF(OR($G$54="",$K$54=""),"",$G$54-$K$54)</f>
        <v/>
      </c>
      <c r="J54" s="48">
        <f>IF(SUM($L$54:$L$56)=0,"",SUM($L$54:$L$56))</f>
        <v/>
      </c>
      <c r="K54" s="49">
        <f>IF($J$54="","",MAX($N$54:$N$56))</f>
        <v/>
      </c>
      <c r="L54" s="50">
        <f>IF(SUM(U54:AY54)=0,"",SUM(U54:AY54))</f>
        <v/>
      </c>
      <c r="M54" s="51">
        <f>IFERROR(INDEX(U$2:AY$2,MATCH(TRUE,INDEX(U54:AY54&lt;&gt;"",0),0)),"")</f>
        <v/>
      </c>
      <c r="N54" s="51">
        <f>IFERROR(LOOKUP(2,1/(U54:AY54&lt;&gt;""),U$2:AY$2),"")</f>
        <v/>
      </c>
      <c r="O54" s="52" t="n"/>
      <c r="P54" s="52" t="n"/>
      <c r="Q54" s="52" t="n"/>
      <c r="R54" s="44" t="n"/>
      <c r="S54" s="14" t="n"/>
      <c r="U54" s="53" t="n"/>
      <c r="V54" s="53" t="n"/>
      <c r="W54" s="53" t="n"/>
      <c r="X54" s="53" t="n"/>
      <c r="Y54" s="53" t="n"/>
      <c r="Z54" s="53" t="n"/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s="53" t="n"/>
      <c r="AJ54" s="53" t="n"/>
      <c r="AK54" s="53" t="n"/>
      <c r="AL54" s="53" t="n"/>
      <c r="AM54" s="53" t="n"/>
      <c r="AN54" s="53" t="n"/>
      <c r="AO54" s="53" t="n"/>
      <c r="AP54" s="53" t="n"/>
      <c r="AQ54" s="53" t="n"/>
      <c r="AR54" s="53" t="n"/>
      <c r="AS54" s="53" t="n"/>
      <c r="AT54" s="53" t="n"/>
      <c r="AU54" s="53" t="n"/>
      <c r="AV54" s="53" t="n"/>
      <c r="AW54" s="53" t="n"/>
      <c r="AX54" s="53" t="n"/>
      <c r="AY54" s="53" t="n"/>
    </row>
    <row r="55" ht="15" customHeight="1">
      <c r="A55" s="54" t="n"/>
      <c r="B55" s="55">
        <f>IF($B$54="","",$B$54)</f>
        <v/>
      </c>
      <c r="C55" s="56" t="inlineStr">
        <is>
          <t>마케팅1팀</t>
        </is>
      </c>
      <c r="D55" s="55">
        <f>IF($D$54="","",$D$54)</f>
        <v/>
      </c>
      <c r="E55" s="57" t="inlineStr">
        <is>
          <t>이미지</t>
        </is>
      </c>
      <c r="F55" s="44" t="n"/>
      <c r="G55" s="58">
        <f>IF($G$54="","",$G$54)</f>
        <v/>
      </c>
      <c r="H55" s="59" t="n"/>
      <c r="I55" s="59" t="n"/>
      <c r="J55" s="59" t="n"/>
      <c r="K55" s="59" t="n"/>
      <c r="L55" s="60">
        <f>IF(SUM(U55:AY55)=0,"",SUM(U55:AY55))</f>
        <v/>
      </c>
      <c r="M55" s="61">
        <f>IFERROR(INDEX(U$2:AY$2,MATCH(TRUE,INDEX(U55:AY55&lt;&gt;"",0),0)),"")</f>
        <v/>
      </c>
      <c r="N55" s="61">
        <f>IFERROR(LOOKUP(2,1/(U55:AY55&lt;&gt;""),U$2:AY$2),"")</f>
        <v/>
      </c>
      <c r="O55" s="59" t="n"/>
      <c r="P55" s="59" t="n"/>
      <c r="Q55" s="59" t="n"/>
      <c r="R55" s="59" t="n"/>
      <c r="S55" s="14" t="n"/>
      <c r="U55" s="53" t="n"/>
      <c r="V55" s="53" t="n"/>
      <c r="W55" s="53" t="n"/>
      <c r="X55" s="53" t="n"/>
      <c r="Y55" s="53" t="n"/>
      <c r="Z55" s="53" t="n"/>
      <c r="AA55" s="53" t="n"/>
      <c r="AB55" s="53" t="n"/>
      <c r="AC55" s="53" t="n"/>
      <c r="AD55" s="53" t="n"/>
      <c r="AE55" s="53" t="n"/>
      <c r="AF55" s="53" t="n"/>
      <c r="AG55" s="53" t="n"/>
      <c r="AH55" s="53" t="n"/>
      <c r="AI55" s="53" t="n"/>
      <c r="AJ55" s="53" t="n"/>
      <c r="AK55" s="53" t="n"/>
      <c r="AL55" s="53" t="n"/>
      <c r="AM55" s="53" t="n"/>
      <c r="AN55" s="53" t="n"/>
      <c r="AO55" s="53" t="n"/>
      <c r="AP55" s="53" t="n"/>
      <c r="AQ55" s="53" t="n"/>
      <c r="AR55" s="53" t="n"/>
      <c r="AS55" s="53" t="n"/>
      <c r="AT55" s="53" t="n"/>
      <c r="AU55" s="53" t="n"/>
      <c r="AV55" s="53" t="n"/>
      <c r="AW55" s="53" t="n"/>
      <c r="AX55" s="53" t="n"/>
      <c r="AY55" s="53" t="n"/>
    </row>
    <row r="56" ht="15" customHeight="1">
      <c r="A56" s="62" t="n"/>
      <c r="B56" s="55">
        <f>IF($B$54="","",$B$54)</f>
        <v/>
      </c>
      <c r="C56" s="63" t="inlineStr">
        <is>
          <t>마케팅1팀</t>
        </is>
      </c>
      <c r="D56" s="55">
        <f>IF($D$54="","",$D$54)</f>
        <v/>
      </c>
      <c r="E56" s="64" t="inlineStr">
        <is>
          <t>영상</t>
        </is>
      </c>
      <c r="F56" s="44" t="n"/>
      <c r="G56" s="58">
        <f>IF($G$54="","",$G$54)</f>
        <v/>
      </c>
      <c r="H56" s="59" t="n"/>
      <c r="I56" s="59" t="n"/>
      <c r="J56" s="59" t="n"/>
      <c r="K56" s="59" t="n"/>
      <c r="L56" s="65">
        <f>IF(SUM(U56:AY56)=0,"",SUM(U56:AY56))</f>
        <v/>
      </c>
      <c r="M56" s="66">
        <f>IFERROR(INDEX(U$2:AY$2,MATCH(TRUE,INDEX(U56:AY56&lt;&gt;"",0),0)),"")</f>
        <v/>
      </c>
      <c r="N56" s="66">
        <f>IFERROR(LOOKUP(2,1/(U56:AY56&lt;&gt;""),U$2:AY$2),"")</f>
        <v/>
      </c>
      <c r="O56" s="59" t="n"/>
      <c r="P56" s="59" t="n"/>
      <c r="Q56" s="59" t="n"/>
      <c r="R56" s="59" t="n"/>
      <c r="S56" s="14" t="n"/>
      <c r="U56" s="53" t="n"/>
      <c r="V56" s="53" t="n"/>
      <c r="W56" s="53" t="n"/>
      <c r="X56" s="5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s="53" t="n"/>
      <c r="AJ56" s="53" t="n"/>
      <c r="AK56" s="53" t="n"/>
      <c r="AL56" s="53" t="n"/>
      <c r="AM56" s="53" t="n"/>
      <c r="AN56" s="53" t="n"/>
      <c r="AO56" s="53" t="n"/>
      <c r="AP56" s="53" t="n"/>
      <c r="AQ56" s="53" t="n"/>
      <c r="AR56" s="53" t="n"/>
      <c r="AS56" s="53" t="n"/>
      <c r="AT56" s="53" t="n"/>
      <c r="AU56" s="53" t="n"/>
      <c r="AV56" s="53" t="n"/>
      <c r="AW56" s="53" t="n"/>
      <c r="AX56" s="53" t="n"/>
      <c r="AY56" s="53" t="n"/>
    </row>
    <row r="57" ht="15" customHeight="1">
      <c r="A57" s="40">
        <f>IF($D$57="","",17)</f>
        <v/>
      </c>
      <c r="B57" s="10" t="n"/>
      <c r="C57" s="41" t="inlineStr">
        <is>
          <t>마케팅1팀</t>
        </is>
      </c>
      <c r="D57" s="42" t="n"/>
      <c r="E57" s="43" t="inlineStr">
        <is>
          <t>기획</t>
        </is>
      </c>
      <c r="F57" s="44" t="n"/>
      <c r="G57" s="45" t="n"/>
      <c r="H57" s="46">
        <f>IF($I$57="","",IF($I$57&lt;0,"🔴지연",IF($I$57&lt;=1,"🟡임박","🟢여유")))</f>
        <v/>
      </c>
      <c r="I57" s="47">
        <f>IF(OR($G$57="",$K$57=""),"",$G$57-$K$57)</f>
        <v/>
      </c>
      <c r="J57" s="48">
        <f>IF(SUM($L$57:$L$59)=0,"",SUM($L$57:$L$59))</f>
        <v/>
      </c>
      <c r="K57" s="49">
        <f>IF($J$57="","",MAX($N$57:$N$59))</f>
        <v/>
      </c>
      <c r="L57" s="50">
        <f>IF(SUM(U57:AY57)=0,"",SUM(U57:AY57))</f>
        <v/>
      </c>
      <c r="M57" s="51">
        <f>IFERROR(INDEX(U$2:AY$2,MATCH(TRUE,INDEX(U57:AY57&lt;&gt;"",0),0)),"")</f>
        <v/>
      </c>
      <c r="N57" s="51">
        <f>IFERROR(LOOKUP(2,1/(U57:AY57&lt;&gt;""),U$2:AY$2),"")</f>
        <v/>
      </c>
      <c r="O57" s="52" t="n"/>
      <c r="P57" s="52" t="n"/>
      <c r="Q57" s="52" t="n"/>
      <c r="R57" s="44" t="n"/>
      <c r="S57" s="14" t="n"/>
      <c r="U57" s="53" t="n"/>
      <c r="V57" s="53" t="n"/>
      <c r="W57" s="53" t="n"/>
      <c r="X57" s="53" t="n"/>
      <c r="Y57" s="53" t="n"/>
      <c r="Z57" s="53" t="n"/>
      <c r="AA57" s="53" t="n"/>
      <c r="AB57" s="53" t="n"/>
      <c r="AC57" s="53" t="n"/>
      <c r="AD57" s="53" t="n"/>
      <c r="AE57" s="53" t="n"/>
      <c r="AF57" s="53" t="n"/>
      <c r="AG57" s="53" t="n"/>
      <c r="AH57" s="53" t="n"/>
      <c r="AI57" s="53" t="n"/>
      <c r="AJ57" s="53" t="n"/>
      <c r="AK57" s="53" t="n"/>
      <c r="AL57" s="53" t="n"/>
      <c r="AM57" s="53" t="n"/>
      <c r="AN57" s="53" t="n"/>
      <c r="AO57" s="53" t="n"/>
      <c r="AP57" s="53" t="n"/>
      <c r="AQ57" s="53" t="n"/>
      <c r="AR57" s="53" t="n"/>
      <c r="AS57" s="53" t="n"/>
      <c r="AT57" s="53" t="n"/>
      <c r="AU57" s="53" t="n"/>
      <c r="AV57" s="53" t="n"/>
      <c r="AW57" s="53" t="n"/>
      <c r="AX57" s="53" t="n"/>
      <c r="AY57" s="53" t="n"/>
    </row>
    <row r="58" ht="15" customHeight="1">
      <c r="A58" s="54" t="n"/>
      <c r="B58" s="55">
        <f>IF($B$57="","",$B$57)</f>
        <v/>
      </c>
      <c r="C58" s="56" t="inlineStr">
        <is>
          <t>마케팅1팀</t>
        </is>
      </c>
      <c r="D58" s="55">
        <f>IF($D$57="","",$D$57)</f>
        <v/>
      </c>
      <c r="E58" s="57" t="inlineStr">
        <is>
          <t>이미지</t>
        </is>
      </c>
      <c r="F58" s="44" t="n"/>
      <c r="G58" s="58">
        <f>IF($G$57="","",$G$57)</f>
        <v/>
      </c>
      <c r="H58" s="59" t="n"/>
      <c r="I58" s="59" t="n"/>
      <c r="J58" s="59" t="n"/>
      <c r="K58" s="59" t="n"/>
      <c r="L58" s="60">
        <f>IF(SUM(U58:AY58)=0,"",SUM(U58:AY58))</f>
        <v/>
      </c>
      <c r="M58" s="61">
        <f>IFERROR(INDEX(U$2:AY$2,MATCH(TRUE,INDEX(U58:AY58&lt;&gt;"",0),0)),"")</f>
        <v/>
      </c>
      <c r="N58" s="61">
        <f>IFERROR(LOOKUP(2,1/(U58:AY58&lt;&gt;""),U$2:AY$2),"")</f>
        <v/>
      </c>
      <c r="O58" s="59" t="n"/>
      <c r="P58" s="59" t="n"/>
      <c r="Q58" s="59" t="n"/>
      <c r="R58" s="59" t="n"/>
      <c r="S58" s="14" t="n"/>
      <c r="U58" s="53" t="n"/>
      <c r="V58" s="53" t="n"/>
      <c r="W58" s="53" t="n"/>
      <c r="X58" s="53" t="n"/>
      <c r="Y58" s="53" t="n"/>
      <c r="Z58" s="53" t="n"/>
      <c r="AA58" s="53" t="n"/>
      <c r="AB58" s="53" t="n"/>
      <c r="AC58" s="53" t="n"/>
      <c r="AD58" s="53" t="n"/>
      <c r="AE58" s="53" t="n"/>
      <c r="AF58" s="53" t="n"/>
      <c r="AG58" s="53" t="n"/>
      <c r="AH58" s="53" t="n"/>
      <c r="AI58" s="53" t="n"/>
      <c r="AJ58" s="53" t="n"/>
      <c r="AK58" s="53" t="n"/>
      <c r="AL58" s="53" t="n"/>
      <c r="AM58" s="53" t="n"/>
      <c r="AN58" s="53" t="n"/>
      <c r="AO58" s="53" t="n"/>
      <c r="AP58" s="53" t="n"/>
      <c r="AQ58" s="53" t="n"/>
      <c r="AR58" s="53" t="n"/>
      <c r="AS58" s="53" t="n"/>
      <c r="AT58" s="53" t="n"/>
      <c r="AU58" s="53" t="n"/>
      <c r="AV58" s="53" t="n"/>
      <c r="AW58" s="53" t="n"/>
      <c r="AX58" s="53" t="n"/>
      <c r="AY58" s="53" t="n"/>
    </row>
    <row r="59" ht="15" customHeight="1">
      <c r="A59" s="62" t="n"/>
      <c r="B59" s="55">
        <f>IF($B$57="","",$B$57)</f>
        <v/>
      </c>
      <c r="C59" s="63" t="inlineStr">
        <is>
          <t>마케팅1팀</t>
        </is>
      </c>
      <c r="D59" s="55">
        <f>IF($D$57="","",$D$57)</f>
        <v/>
      </c>
      <c r="E59" s="64" t="inlineStr">
        <is>
          <t>영상</t>
        </is>
      </c>
      <c r="F59" s="44" t="n"/>
      <c r="G59" s="58">
        <f>IF($G$57="","",$G$57)</f>
        <v/>
      </c>
      <c r="H59" s="59" t="n"/>
      <c r="I59" s="59" t="n"/>
      <c r="J59" s="59" t="n"/>
      <c r="K59" s="59" t="n"/>
      <c r="L59" s="65">
        <f>IF(SUM(U59:AY59)=0,"",SUM(U59:AY59))</f>
        <v/>
      </c>
      <c r="M59" s="66">
        <f>IFERROR(INDEX(U$2:AY$2,MATCH(TRUE,INDEX(U59:AY59&lt;&gt;"",0),0)),"")</f>
        <v/>
      </c>
      <c r="N59" s="66">
        <f>IFERROR(LOOKUP(2,1/(U59:AY59&lt;&gt;""),U$2:AY$2),"")</f>
        <v/>
      </c>
      <c r="O59" s="59" t="n"/>
      <c r="P59" s="59" t="n"/>
      <c r="Q59" s="59" t="n"/>
      <c r="R59" s="59" t="n"/>
      <c r="S59" s="14" t="n"/>
      <c r="U59" s="53" t="n"/>
      <c r="V59" s="53" t="n"/>
      <c r="W59" s="53" t="n"/>
      <c r="X59" s="53" t="n"/>
      <c r="Y59" s="53" t="n"/>
      <c r="Z59" s="53" t="n"/>
      <c r="AA59" s="53" t="n"/>
      <c r="AB59" s="53" t="n"/>
      <c r="AC59" s="53" t="n"/>
      <c r="AD59" s="53" t="n"/>
      <c r="AE59" s="53" t="n"/>
      <c r="AF59" s="53" t="n"/>
      <c r="AG59" s="53" t="n"/>
      <c r="AH59" s="53" t="n"/>
      <c r="AI59" s="53" t="n"/>
      <c r="AJ59" s="53" t="n"/>
      <c r="AK59" s="53" t="n"/>
      <c r="AL59" s="53" t="n"/>
      <c r="AM59" s="53" t="n"/>
      <c r="AN59" s="53" t="n"/>
      <c r="AO59" s="53" t="n"/>
      <c r="AP59" s="53" t="n"/>
      <c r="AQ59" s="53" t="n"/>
      <c r="AR59" s="53" t="n"/>
      <c r="AS59" s="53" t="n"/>
      <c r="AT59" s="53" t="n"/>
      <c r="AU59" s="53" t="n"/>
      <c r="AV59" s="53" t="n"/>
      <c r="AW59" s="53" t="n"/>
      <c r="AX59" s="53" t="n"/>
      <c r="AY59" s="53" t="n"/>
    </row>
    <row r="60" ht="15" customHeight="1">
      <c r="A60" s="40">
        <f>IF($D$60="","",18)</f>
        <v/>
      </c>
      <c r="B60" s="10" t="n"/>
      <c r="C60" s="41" t="inlineStr">
        <is>
          <t>마케팅1팀</t>
        </is>
      </c>
      <c r="D60" s="42" t="n"/>
      <c r="E60" s="43" t="inlineStr">
        <is>
          <t>기획</t>
        </is>
      </c>
      <c r="F60" s="44" t="n"/>
      <c r="G60" s="45" t="n"/>
      <c r="H60" s="46">
        <f>IF($I$60="","",IF($I$60&lt;0,"🔴지연",IF($I$60&lt;=1,"🟡임박","🟢여유")))</f>
        <v/>
      </c>
      <c r="I60" s="47">
        <f>IF(OR($G$60="",$K$60=""),"",$G$60-$K$60)</f>
        <v/>
      </c>
      <c r="J60" s="48">
        <f>IF(SUM($L$60:$L$62)=0,"",SUM($L$60:$L$62))</f>
        <v/>
      </c>
      <c r="K60" s="49">
        <f>IF($J$60="","",MAX($N$60:$N$62))</f>
        <v/>
      </c>
      <c r="L60" s="50">
        <f>IF(SUM(U60:AY60)=0,"",SUM(U60:AY60))</f>
        <v/>
      </c>
      <c r="M60" s="51">
        <f>IFERROR(INDEX(U$2:AY$2,MATCH(TRUE,INDEX(U60:AY60&lt;&gt;"",0),0)),"")</f>
        <v/>
      </c>
      <c r="N60" s="51">
        <f>IFERROR(LOOKUP(2,1/(U60:AY60&lt;&gt;""),U$2:AY$2),"")</f>
        <v/>
      </c>
      <c r="O60" s="52" t="n"/>
      <c r="P60" s="52" t="n"/>
      <c r="Q60" s="52" t="n"/>
      <c r="R60" s="44" t="n"/>
      <c r="S60" s="14" t="n"/>
      <c r="U60" s="53" t="n"/>
      <c r="V60" s="53" t="n"/>
      <c r="W60" s="53" t="n"/>
      <c r="X60" s="53" t="n"/>
      <c r="Y60" s="53" t="n"/>
      <c r="Z60" s="53" t="n"/>
      <c r="AA60" s="53" t="n"/>
      <c r="AB60" s="53" t="n"/>
      <c r="AC60" s="53" t="n"/>
      <c r="AD60" s="53" t="n"/>
      <c r="AE60" s="53" t="n"/>
      <c r="AF60" s="53" t="n"/>
      <c r="AG60" s="53" t="n"/>
      <c r="AH60" s="53" t="n"/>
      <c r="AI60" s="53" t="n"/>
      <c r="AJ60" s="53" t="n"/>
      <c r="AK60" s="53" t="n"/>
      <c r="AL60" s="53" t="n"/>
      <c r="AM60" s="53" t="n"/>
      <c r="AN60" s="53" t="n"/>
      <c r="AO60" s="53" t="n"/>
      <c r="AP60" s="53" t="n"/>
      <c r="AQ60" s="53" t="n"/>
      <c r="AR60" s="53" t="n"/>
      <c r="AS60" s="53" t="n"/>
      <c r="AT60" s="53" t="n"/>
      <c r="AU60" s="53" t="n"/>
      <c r="AV60" s="53" t="n"/>
      <c r="AW60" s="53" t="n"/>
      <c r="AX60" s="53" t="n"/>
      <c r="AY60" s="53" t="n"/>
    </row>
    <row r="61" ht="15" customHeight="1">
      <c r="A61" s="54" t="n"/>
      <c r="B61" s="55">
        <f>IF($B$60="","",$B$60)</f>
        <v/>
      </c>
      <c r="C61" s="56" t="inlineStr">
        <is>
          <t>마케팅1팀</t>
        </is>
      </c>
      <c r="D61" s="55">
        <f>IF($D$60="","",$D$60)</f>
        <v/>
      </c>
      <c r="E61" s="57" t="inlineStr">
        <is>
          <t>이미지</t>
        </is>
      </c>
      <c r="F61" s="44" t="n"/>
      <c r="G61" s="58">
        <f>IF($G$60="","",$G$60)</f>
        <v/>
      </c>
      <c r="H61" s="59" t="n"/>
      <c r="I61" s="59" t="n"/>
      <c r="J61" s="59" t="n"/>
      <c r="K61" s="59" t="n"/>
      <c r="L61" s="60">
        <f>IF(SUM(U61:AY61)=0,"",SUM(U61:AY61))</f>
        <v/>
      </c>
      <c r="M61" s="61">
        <f>IFERROR(INDEX(U$2:AY$2,MATCH(TRUE,INDEX(U61:AY61&lt;&gt;"",0),0)),"")</f>
        <v/>
      </c>
      <c r="N61" s="61">
        <f>IFERROR(LOOKUP(2,1/(U61:AY61&lt;&gt;""),U$2:AY$2),"")</f>
        <v/>
      </c>
      <c r="O61" s="59" t="n"/>
      <c r="P61" s="59" t="n"/>
      <c r="Q61" s="59" t="n"/>
      <c r="R61" s="59" t="n"/>
      <c r="S61" s="14" t="n"/>
      <c r="U61" s="53" t="n"/>
      <c r="V61" s="53" t="n"/>
      <c r="W61" s="53" t="n"/>
      <c r="X61" s="53" t="n"/>
      <c r="Y61" s="53" t="n"/>
      <c r="Z61" s="53" t="n"/>
      <c r="AA61" s="53" t="n"/>
      <c r="AB61" s="53" t="n"/>
      <c r="AC61" s="53" t="n"/>
      <c r="AD61" s="53" t="n"/>
      <c r="AE61" s="53" t="n"/>
      <c r="AF61" s="53" t="n"/>
      <c r="AG61" s="53" t="n"/>
      <c r="AH61" s="53" t="n"/>
      <c r="AI61" s="53" t="n"/>
      <c r="AJ61" s="53" t="n"/>
      <c r="AK61" s="53" t="n"/>
      <c r="AL61" s="53" t="n"/>
      <c r="AM61" s="53" t="n"/>
      <c r="AN61" s="53" t="n"/>
      <c r="AO61" s="53" t="n"/>
      <c r="AP61" s="53" t="n"/>
      <c r="AQ61" s="53" t="n"/>
      <c r="AR61" s="53" t="n"/>
      <c r="AS61" s="53" t="n"/>
      <c r="AT61" s="53" t="n"/>
      <c r="AU61" s="53" t="n"/>
      <c r="AV61" s="53" t="n"/>
      <c r="AW61" s="53" t="n"/>
      <c r="AX61" s="53" t="n"/>
      <c r="AY61" s="53" t="n"/>
    </row>
    <row r="62" ht="15" customHeight="1">
      <c r="A62" s="62" t="n"/>
      <c r="B62" s="55">
        <f>IF($B$60="","",$B$60)</f>
        <v/>
      </c>
      <c r="C62" s="63" t="inlineStr">
        <is>
          <t>마케팅1팀</t>
        </is>
      </c>
      <c r="D62" s="55">
        <f>IF($D$60="","",$D$60)</f>
        <v/>
      </c>
      <c r="E62" s="64" t="inlineStr">
        <is>
          <t>영상</t>
        </is>
      </c>
      <c r="F62" s="44" t="n"/>
      <c r="G62" s="58">
        <f>IF($G$60="","",$G$60)</f>
        <v/>
      </c>
      <c r="H62" s="59" t="n"/>
      <c r="I62" s="59" t="n"/>
      <c r="J62" s="59" t="n"/>
      <c r="K62" s="59" t="n"/>
      <c r="L62" s="65">
        <f>IF(SUM(U62:AY62)=0,"",SUM(U62:AY62))</f>
        <v/>
      </c>
      <c r="M62" s="66">
        <f>IFERROR(INDEX(U$2:AY$2,MATCH(TRUE,INDEX(U62:AY62&lt;&gt;"",0),0)),"")</f>
        <v/>
      </c>
      <c r="N62" s="66">
        <f>IFERROR(LOOKUP(2,1/(U62:AY62&lt;&gt;""),U$2:AY$2),"")</f>
        <v/>
      </c>
      <c r="O62" s="59" t="n"/>
      <c r="P62" s="59" t="n"/>
      <c r="Q62" s="59" t="n"/>
      <c r="R62" s="59" t="n"/>
      <c r="S62" s="14" t="n"/>
      <c r="U62" s="53" t="n"/>
      <c r="V62" s="53" t="n"/>
      <c r="W62" s="53" t="n"/>
      <c r="X62" s="53" t="n"/>
      <c r="Y62" s="53" t="n"/>
      <c r="Z62" s="53" t="n"/>
      <c r="AA62" s="53" t="n"/>
      <c r="AB62" s="53" t="n"/>
      <c r="AC62" s="53" t="n"/>
      <c r="AD62" s="53" t="n"/>
      <c r="AE62" s="53" t="n"/>
      <c r="AF62" s="53" t="n"/>
      <c r="AG62" s="53" t="n"/>
      <c r="AH62" s="53" t="n"/>
      <c r="AI62" s="53" t="n"/>
      <c r="AJ62" s="53" t="n"/>
      <c r="AK62" s="53" t="n"/>
      <c r="AL62" s="53" t="n"/>
      <c r="AM62" s="53" t="n"/>
      <c r="AN62" s="53" t="n"/>
      <c r="AO62" s="53" t="n"/>
      <c r="AP62" s="53" t="n"/>
      <c r="AQ62" s="53" t="n"/>
      <c r="AR62" s="53" t="n"/>
      <c r="AS62" s="53" t="n"/>
      <c r="AT62" s="53" t="n"/>
      <c r="AU62" s="53" t="n"/>
      <c r="AV62" s="53" t="n"/>
      <c r="AW62" s="53" t="n"/>
      <c r="AX62" s="53" t="n"/>
      <c r="AY62" s="53" t="n"/>
    </row>
    <row r="63" ht="15" customHeight="1">
      <c r="A63" s="40">
        <f>IF($D$63="","",19)</f>
        <v/>
      </c>
      <c r="B63" s="10" t="n"/>
      <c r="C63" s="41" t="inlineStr">
        <is>
          <t>마케팅1팀</t>
        </is>
      </c>
      <c r="D63" s="42" t="n"/>
      <c r="E63" s="43" t="inlineStr">
        <is>
          <t>기획</t>
        </is>
      </c>
      <c r="F63" s="44" t="n"/>
      <c r="G63" s="45" t="n"/>
      <c r="H63" s="46">
        <f>IF($I$63="","",IF($I$63&lt;0,"🔴지연",IF($I$63&lt;=1,"🟡임박","🟢여유")))</f>
        <v/>
      </c>
      <c r="I63" s="47">
        <f>IF(OR($G$63="",$K$63=""),"",$G$63-$K$63)</f>
        <v/>
      </c>
      <c r="J63" s="48">
        <f>IF(SUM($L$63:$L$65)=0,"",SUM($L$63:$L$65))</f>
        <v/>
      </c>
      <c r="K63" s="49">
        <f>IF($J$63="","",MAX($N$63:$N$65))</f>
        <v/>
      </c>
      <c r="L63" s="50">
        <f>IF(SUM(U63:AY63)=0,"",SUM(U63:AY63))</f>
        <v/>
      </c>
      <c r="M63" s="51">
        <f>IFERROR(INDEX(U$2:AY$2,MATCH(TRUE,INDEX(U63:AY63&lt;&gt;"",0),0)),"")</f>
        <v/>
      </c>
      <c r="N63" s="51">
        <f>IFERROR(LOOKUP(2,1/(U63:AY63&lt;&gt;""),U$2:AY$2),"")</f>
        <v/>
      </c>
      <c r="O63" s="52" t="n"/>
      <c r="P63" s="52" t="n"/>
      <c r="Q63" s="52" t="n"/>
      <c r="R63" s="44" t="n"/>
      <c r="S63" s="14" t="n"/>
      <c r="U63" s="53" t="n"/>
      <c r="V63" s="53" t="n"/>
      <c r="W63" s="53" t="n"/>
      <c r="X63" s="53" t="n"/>
      <c r="Y63" s="53" t="n"/>
      <c r="Z63" s="53" t="n"/>
      <c r="AA63" s="53" t="n"/>
      <c r="AB63" s="53" t="n"/>
      <c r="AC63" s="53" t="n"/>
      <c r="AD63" s="53" t="n"/>
      <c r="AE63" s="53" t="n"/>
      <c r="AF63" s="53" t="n"/>
      <c r="AG63" s="53" t="n"/>
      <c r="AH63" s="53" t="n"/>
      <c r="AI63" s="53" t="n"/>
      <c r="AJ63" s="53" t="n"/>
      <c r="AK63" s="53" t="n"/>
      <c r="AL63" s="53" t="n"/>
      <c r="AM63" s="53" t="n"/>
      <c r="AN63" s="53" t="n"/>
      <c r="AO63" s="53" t="n"/>
      <c r="AP63" s="53" t="n"/>
      <c r="AQ63" s="53" t="n"/>
      <c r="AR63" s="53" t="n"/>
      <c r="AS63" s="53" t="n"/>
      <c r="AT63" s="53" t="n"/>
      <c r="AU63" s="53" t="n"/>
      <c r="AV63" s="53" t="n"/>
      <c r="AW63" s="53" t="n"/>
      <c r="AX63" s="53" t="n"/>
      <c r="AY63" s="53" t="n"/>
    </row>
    <row r="64" ht="15" customHeight="1">
      <c r="A64" s="54" t="n"/>
      <c r="B64" s="55">
        <f>IF($B$63="","",$B$63)</f>
        <v/>
      </c>
      <c r="C64" s="56" t="inlineStr">
        <is>
          <t>마케팅1팀</t>
        </is>
      </c>
      <c r="D64" s="55">
        <f>IF($D$63="","",$D$63)</f>
        <v/>
      </c>
      <c r="E64" s="57" t="inlineStr">
        <is>
          <t>이미지</t>
        </is>
      </c>
      <c r="F64" s="44" t="n"/>
      <c r="G64" s="58">
        <f>IF($G$63="","",$G$63)</f>
        <v/>
      </c>
      <c r="H64" s="59" t="n"/>
      <c r="I64" s="59" t="n"/>
      <c r="J64" s="59" t="n"/>
      <c r="K64" s="59" t="n"/>
      <c r="L64" s="60">
        <f>IF(SUM(U64:AY64)=0,"",SUM(U64:AY64))</f>
        <v/>
      </c>
      <c r="M64" s="61">
        <f>IFERROR(INDEX(U$2:AY$2,MATCH(TRUE,INDEX(U64:AY64&lt;&gt;"",0),0)),"")</f>
        <v/>
      </c>
      <c r="N64" s="61">
        <f>IFERROR(LOOKUP(2,1/(U64:AY64&lt;&gt;""),U$2:AY$2),"")</f>
        <v/>
      </c>
      <c r="O64" s="59" t="n"/>
      <c r="P64" s="59" t="n"/>
      <c r="Q64" s="59" t="n"/>
      <c r="R64" s="59" t="n"/>
      <c r="S64" s="14" t="n"/>
      <c r="U64" s="53" t="n"/>
      <c r="V64" s="53" t="n"/>
      <c r="W64" s="53" t="n"/>
      <c r="X64" s="53" t="n"/>
      <c r="Y64" s="53" t="n"/>
      <c r="Z64" s="53" t="n"/>
      <c r="AA64" s="53" t="n"/>
      <c r="AB64" s="53" t="n"/>
      <c r="AC64" s="53" t="n"/>
      <c r="AD64" s="53" t="n"/>
      <c r="AE64" s="53" t="n"/>
      <c r="AF64" s="53" t="n"/>
      <c r="AG64" s="53" t="n"/>
      <c r="AH64" s="53" t="n"/>
      <c r="AI64" s="53" t="n"/>
      <c r="AJ64" s="53" t="n"/>
      <c r="AK64" s="53" t="n"/>
      <c r="AL64" s="53" t="n"/>
      <c r="AM64" s="53" t="n"/>
      <c r="AN64" s="53" t="n"/>
      <c r="AO64" s="53" t="n"/>
      <c r="AP64" s="53" t="n"/>
      <c r="AQ64" s="53" t="n"/>
      <c r="AR64" s="53" t="n"/>
      <c r="AS64" s="53" t="n"/>
      <c r="AT64" s="53" t="n"/>
      <c r="AU64" s="53" t="n"/>
      <c r="AV64" s="53" t="n"/>
      <c r="AW64" s="53" t="n"/>
      <c r="AX64" s="53" t="n"/>
      <c r="AY64" s="53" t="n"/>
    </row>
    <row r="65" ht="15" customHeight="1">
      <c r="A65" s="62" t="n"/>
      <c r="B65" s="55">
        <f>IF($B$63="","",$B$63)</f>
        <v/>
      </c>
      <c r="C65" s="63" t="inlineStr">
        <is>
          <t>마케팅1팀</t>
        </is>
      </c>
      <c r="D65" s="55">
        <f>IF($D$63="","",$D$63)</f>
        <v/>
      </c>
      <c r="E65" s="64" t="inlineStr">
        <is>
          <t>영상</t>
        </is>
      </c>
      <c r="F65" s="44" t="n"/>
      <c r="G65" s="58">
        <f>IF($G$63="","",$G$63)</f>
        <v/>
      </c>
      <c r="H65" s="59" t="n"/>
      <c r="I65" s="59" t="n"/>
      <c r="J65" s="59" t="n"/>
      <c r="K65" s="59" t="n"/>
      <c r="L65" s="65">
        <f>IF(SUM(U65:AY65)=0,"",SUM(U65:AY65))</f>
        <v/>
      </c>
      <c r="M65" s="66">
        <f>IFERROR(INDEX(U$2:AY$2,MATCH(TRUE,INDEX(U65:AY65&lt;&gt;"",0),0)),"")</f>
        <v/>
      </c>
      <c r="N65" s="66">
        <f>IFERROR(LOOKUP(2,1/(U65:AY65&lt;&gt;""),U$2:AY$2),"")</f>
        <v/>
      </c>
      <c r="O65" s="59" t="n"/>
      <c r="P65" s="59" t="n"/>
      <c r="Q65" s="59" t="n"/>
      <c r="R65" s="59" t="n"/>
      <c r="S65" s="14" t="n"/>
      <c r="U65" s="53" t="n"/>
      <c r="V65" s="53" t="n"/>
      <c r="W65" s="53" t="n"/>
      <c r="X65" s="53" t="n"/>
      <c r="Y65" s="53" t="n"/>
      <c r="Z65" s="53" t="n"/>
      <c r="AA65" s="53" t="n"/>
      <c r="AB65" s="53" t="n"/>
      <c r="AC65" s="53" t="n"/>
      <c r="AD65" s="53" t="n"/>
      <c r="AE65" s="53" t="n"/>
      <c r="AF65" s="53" t="n"/>
      <c r="AG65" s="53" t="n"/>
      <c r="AH65" s="53" t="n"/>
      <c r="AI65" s="53" t="n"/>
      <c r="AJ65" s="53" t="n"/>
      <c r="AK65" s="53" t="n"/>
      <c r="AL65" s="53" t="n"/>
      <c r="AM65" s="53" t="n"/>
      <c r="AN65" s="53" t="n"/>
      <c r="AO65" s="53" t="n"/>
      <c r="AP65" s="53" t="n"/>
      <c r="AQ65" s="53" t="n"/>
      <c r="AR65" s="53" t="n"/>
      <c r="AS65" s="53" t="n"/>
      <c r="AT65" s="53" t="n"/>
      <c r="AU65" s="53" t="n"/>
      <c r="AV65" s="53" t="n"/>
      <c r="AW65" s="53" t="n"/>
      <c r="AX65" s="53" t="n"/>
      <c r="AY65" s="53" t="n"/>
    </row>
    <row r="66" ht="15" customHeight="1">
      <c r="A66" s="40">
        <f>IF($D$66="","",20)</f>
        <v/>
      </c>
      <c r="B66" s="10" t="n"/>
      <c r="C66" s="41" t="inlineStr">
        <is>
          <t>마케팅1팀</t>
        </is>
      </c>
      <c r="D66" s="42" t="n"/>
      <c r="E66" s="43" t="inlineStr">
        <is>
          <t>기획</t>
        </is>
      </c>
      <c r="F66" s="44" t="n"/>
      <c r="G66" s="45" t="n"/>
      <c r="H66" s="46">
        <f>IF($I$66="","",IF($I$66&lt;0,"🔴지연",IF($I$66&lt;=1,"🟡임박","🟢여유")))</f>
        <v/>
      </c>
      <c r="I66" s="47">
        <f>IF(OR($G$66="",$K$66=""),"",$G$66-$K$66)</f>
        <v/>
      </c>
      <c r="J66" s="48">
        <f>IF(SUM($L$66:$L$68)=0,"",SUM($L$66:$L$68))</f>
        <v/>
      </c>
      <c r="K66" s="49">
        <f>IF($J$66="","",MAX($N$66:$N$68))</f>
        <v/>
      </c>
      <c r="L66" s="50">
        <f>IF(SUM(U66:AY66)=0,"",SUM(U66:AY66))</f>
        <v/>
      </c>
      <c r="M66" s="51">
        <f>IFERROR(INDEX(U$2:AY$2,MATCH(TRUE,INDEX(U66:AY66&lt;&gt;"",0),0)),"")</f>
        <v/>
      </c>
      <c r="N66" s="51">
        <f>IFERROR(LOOKUP(2,1/(U66:AY66&lt;&gt;""),U$2:AY$2),"")</f>
        <v/>
      </c>
      <c r="O66" s="52" t="n"/>
      <c r="P66" s="52" t="n"/>
      <c r="Q66" s="52" t="n"/>
      <c r="R66" s="44" t="n"/>
      <c r="S66" s="14" t="n"/>
      <c r="U66" s="53" t="n"/>
      <c r="V66" s="53" t="n"/>
      <c r="W66" s="53" t="n"/>
      <c r="X66" s="53" t="n"/>
      <c r="Y66" s="53" t="n"/>
      <c r="Z66" s="53" t="n"/>
      <c r="AA66" s="53" t="n"/>
      <c r="AB66" s="53" t="n"/>
      <c r="AC66" s="53" t="n"/>
      <c r="AD66" s="53" t="n"/>
      <c r="AE66" s="53" t="n"/>
      <c r="AF66" s="53" t="n"/>
      <c r="AG66" s="53" t="n"/>
      <c r="AH66" s="53" t="n"/>
      <c r="AI66" s="53" t="n"/>
      <c r="AJ66" s="53" t="n"/>
      <c r="AK66" s="53" t="n"/>
      <c r="AL66" s="53" t="n"/>
      <c r="AM66" s="53" t="n"/>
      <c r="AN66" s="53" t="n"/>
      <c r="AO66" s="53" t="n"/>
      <c r="AP66" s="53" t="n"/>
      <c r="AQ66" s="53" t="n"/>
      <c r="AR66" s="53" t="n"/>
      <c r="AS66" s="53" t="n"/>
      <c r="AT66" s="53" t="n"/>
      <c r="AU66" s="53" t="n"/>
      <c r="AV66" s="53" t="n"/>
      <c r="AW66" s="53" t="n"/>
      <c r="AX66" s="53" t="n"/>
      <c r="AY66" s="53" t="n"/>
    </row>
    <row r="67" ht="15" customHeight="1">
      <c r="A67" s="54" t="n"/>
      <c r="B67" s="55">
        <f>IF($B$66="","",$B$66)</f>
        <v/>
      </c>
      <c r="C67" s="56" t="inlineStr">
        <is>
          <t>마케팅1팀</t>
        </is>
      </c>
      <c r="D67" s="55">
        <f>IF($D$66="","",$D$66)</f>
        <v/>
      </c>
      <c r="E67" s="57" t="inlineStr">
        <is>
          <t>이미지</t>
        </is>
      </c>
      <c r="F67" s="44" t="n"/>
      <c r="G67" s="58">
        <f>IF($G$66="","",$G$66)</f>
        <v/>
      </c>
      <c r="H67" s="59" t="n"/>
      <c r="I67" s="59" t="n"/>
      <c r="J67" s="59" t="n"/>
      <c r="K67" s="59" t="n"/>
      <c r="L67" s="60">
        <f>IF(SUM(U67:AY67)=0,"",SUM(U67:AY67))</f>
        <v/>
      </c>
      <c r="M67" s="61">
        <f>IFERROR(INDEX(U$2:AY$2,MATCH(TRUE,INDEX(U67:AY67&lt;&gt;"",0),0)),"")</f>
        <v/>
      </c>
      <c r="N67" s="61">
        <f>IFERROR(LOOKUP(2,1/(U67:AY67&lt;&gt;""),U$2:AY$2),"")</f>
        <v/>
      </c>
      <c r="O67" s="59" t="n"/>
      <c r="P67" s="59" t="n"/>
      <c r="Q67" s="59" t="n"/>
      <c r="R67" s="59" t="n"/>
      <c r="S67" s="14" t="n"/>
      <c r="U67" s="53" t="n"/>
      <c r="V67" s="53" t="n"/>
      <c r="W67" s="53" t="n"/>
      <c r="X67" s="53" t="n"/>
      <c r="Y67" s="53" t="n"/>
      <c r="Z67" s="53" t="n"/>
      <c r="AA67" s="53" t="n"/>
      <c r="AB67" s="53" t="n"/>
      <c r="AC67" s="53" t="n"/>
      <c r="AD67" s="53" t="n"/>
      <c r="AE67" s="53" t="n"/>
      <c r="AF67" s="53" t="n"/>
      <c r="AG67" s="53" t="n"/>
      <c r="AH67" s="53" t="n"/>
      <c r="AI67" s="53" t="n"/>
      <c r="AJ67" s="53" t="n"/>
      <c r="AK67" s="53" t="n"/>
      <c r="AL67" s="53" t="n"/>
      <c r="AM67" s="53" t="n"/>
      <c r="AN67" s="53" t="n"/>
      <c r="AO67" s="53" t="n"/>
      <c r="AP67" s="53" t="n"/>
      <c r="AQ67" s="53" t="n"/>
      <c r="AR67" s="53" t="n"/>
      <c r="AS67" s="53" t="n"/>
      <c r="AT67" s="53" t="n"/>
      <c r="AU67" s="53" t="n"/>
      <c r="AV67" s="53" t="n"/>
      <c r="AW67" s="53" t="n"/>
      <c r="AX67" s="53" t="n"/>
      <c r="AY67" s="53" t="n"/>
    </row>
    <row r="68" ht="15" customHeight="1">
      <c r="A68" s="62" t="n"/>
      <c r="B68" s="55">
        <f>IF($B$66="","",$B$66)</f>
        <v/>
      </c>
      <c r="C68" s="63" t="inlineStr">
        <is>
          <t>마케팅1팀</t>
        </is>
      </c>
      <c r="D68" s="55">
        <f>IF($D$66="","",$D$66)</f>
        <v/>
      </c>
      <c r="E68" s="64" t="inlineStr">
        <is>
          <t>영상</t>
        </is>
      </c>
      <c r="F68" s="44" t="n"/>
      <c r="G68" s="58">
        <f>IF($G$66="","",$G$66)</f>
        <v/>
      </c>
      <c r="H68" s="59" t="n"/>
      <c r="I68" s="59" t="n"/>
      <c r="J68" s="59" t="n"/>
      <c r="K68" s="59" t="n"/>
      <c r="L68" s="65">
        <f>IF(SUM(U68:AY68)=0,"",SUM(U68:AY68))</f>
        <v/>
      </c>
      <c r="M68" s="66">
        <f>IFERROR(INDEX(U$2:AY$2,MATCH(TRUE,INDEX(U68:AY68&lt;&gt;"",0),0)),"")</f>
        <v/>
      </c>
      <c r="N68" s="66">
        <f>IFERROR(LOOKUP(2,1/(U68:AY68&lt;&gt;""),U$2:AY$2),"")</f>
        <v/>
      </c>
      <c r="O68" s="59" t="n"/>
      <c r="P68" s="59" t="n"/>
      <c r="Q68" s="59" t="n"/>
      <c r="R68" s="59" t="n"/>
      <c r="S68" s="14" t="n"/>
      <c r="U68" s="53" t="n"/>
      <c r="V68" s="53" t="n"/>
      <c r="W68" s="53" t="n"/>
      <c r="X68" s="53" t="n"/>
      <c r="Y68" s="53" t="n"/>
      <c r="Z68" s="53" t="n"/>
      <c r="AA68" s="53" t="n"/>
      <c r="AB68" s="53" t="n"/>
      <c r="AC68" s="53" t="n"/>
      <c r="AD68" s="53" t="n"/>
      <c r="AE68" s="53" t="n"/>
      <c r="AF68" s="53" t="n"/>
      <c r="AG68" s="53" t="n"/>
      <c r="AH68" s="53" t="n"/>
      <c r="AI68" s="53" t="n"/>
      <c r="AJ68" s="53" t="n"/>
      <c r="AK68" s="53" t="n"/>
      <c r="AL68" s="53" t="n"/>
      <c r="AM68" s="53" t="n"/>
      <c r="AN68" s="53" t="n"/>
      <c r="AO68" s="53" t="n"/>
      <c r="AP68" s="53" t="n"/>
      <c r="AQ68" s="53" t="n"/>
      <c r="AR68" s="53" t="n"/>
      <c r="AS68" s="53" t="n"/>
      <c r="AT68" s="53" t="n"/>
      <c r="AU68" s="53" t="n"/>
      <c r="AV68" s="53" t="n"/>
      <c r="AW68" s="53" t="n"/>
      <c r="AX68" s="53" t="n"/>
      <c r="AY68" s="53" t="n"/>
    </row>
    <row r="69" ht="18" customHeight="1">
      <c r="A69" s="39" t="inlineStr">
        <is>
          <t>마케팅2팀   (70~129행 · 소재 20개)</t>
        </is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4" t="n"/>
    </row>
    <row r="70" ht="15" customHeight="1">
      <c r="A70" s="40">
        <f>IF($D$70="","",21)</f>
        <v/>
      </c>
      <c r="B70" s="10" t="n"/>
      <c r="C70" s="41" t="inlineStr">
        <is>
          <t>마케팅2팀</t>
        </is>
      </c>
      <c r="D70" s="42" t="n"/>
      <c r="E70" s="43" t="inlineStr">
        <is>
          <t>기획</t>
        </is>
      </c>
      <c r="F70" s="44" t="n"/>
      <c r="G70" s="45" t="n"/>
      <c r="H70" s="46">
        <f>IF($I$70="","",IF($I$70&lt;0,"🔴지연",IF($I$70&lt;=1,"🟡임박","🟢여유")))</f>
        <v/>
      </c>
      <c r="I70" s="47">
        <f>IF(OR($G$70="",$K$70=""),"",$G$70-$K$70)</f>
        <v/>
      </c>
      <c r="J70" s="48">
        <f>IF(SUM($L$70:$L$72)=0,"",SUM($L$70:$L$72))</f>
        <v/>
      </c>
      <c r="K70" s="49">
        <f>IF($J$70="","",MAX($N$70:$N$72))</f>
        <v/>
      </c>
      <c r="L70" s="50">
        <f>IF(SUM(U70:AY70)=0,"",SUM(U70:AY70))</f>
        <v/>
      </c>
      <c r="M70" s="51">
        <f>IFERROR(INDEX(U$2:AY$2,MATCH(TRUE,INDEX(U70:AY70&lt;&gt;"",0),0)),"")</f>
        <v/>
      </c>
      <c r="N70" s="51">
        <f>IFERROR(LOOKUP(2,1/(U70:AY70&lt;&gt;""),U$2:AY$2),"")</f>
        <v/>
      </c>
      <c r="O70" s="52" t="n"/>
      <c r="P70" s="52" t="n"/>
      <c r="Q70" s="52" t="n"/>
      <c r="R70" s="44" t="n"/>
      <c r="S70" s="14" t="n"/>
      <c r="U70" s="53" t="n"/>
      <c r="V70" s="53" t="n"/>
      <c r="W70" s="53" t="n"/>
      <c r="X70" s="53" t="n"/>
      <c r="Y70" s="53" t="n"/>
      <c r="Z70" s="53" t="n"/>
      <c r="AA70" s="53" t="n"/>
      <c r="AB70" s="53" t="n"/>
      <c r="AC70" s="53" t="n"/>
      <c r="AD70" s="53" t="n"/>
      <c r="AE70" s="53" t="n"/>
      <c r="AF70" s="53" t="n"/>
      <c r="AG70" s="53" t="n"/>
      <c r="AH70" s="53" t="n"/>
      <c r="AI70" s="53" t="n"/>
      <c r="AJ70" s="53" t="n"/>
      <c r="AK70" s="53" t="n"/>
      <c r="AL70" s="53" t="n"/>
      <c r="AM70" s="53" t="n"/>
      <c r="AN70" s="53" t="n"/>
      <c r="AO70" s="53" t="n"/>
      <c r="AP70" s="53" t="n"/>
      <c r="AQ70" s="53" t="n"/>
      <c r="AR70" s="53" t="n"/>
      <c r="AS70" s="53" t="n"/>
      <c r="AT70" s="53" t="n"/>
      <c r="AU70" s="53" t="n"/>
      <c r="AV70" s="53" t="n"/>
      <c r="AW70" s="53" t="n"/>
      <c r="AX70" s="53" t="n"/>
      <c r="AY70" s="53" t="n"/>
    </row>
    <row r="71" ht="15" customHeight="1">
      <c r="A71" s="54" t="n"/>
      <c r="B71" s="55">
        <f>IF($B$70="","",$B$70)</f>
        <v/>
      </c>
      <c r="C71" s="56" t="inlineStr">
        <is>
          <t>마케팅2팀</t>
        </is>
      </c>
      <c r="D71" s="55">
        <f>IF($D$70="","",$D$70)</f>
        <v/>
      </c>
      <c r="E71" s="57" t="inlineStr">
        <is>
          <t>이미지</t>
        </is>
      </c>
      <c r="F71" s="44" t="n"/>
      <c r="G71" s="58">
        <f>IF($G$70="","",$G$70)</f>
        <v/>
      </c>
      <c r="H71" s="59" t="n"/>
      <c r="I71" s="59" t="n"/>
      <c r="J71" s="59" t="n"/>
      <c r="K71" s="59" t="n"/>
      <c r="L71" s="60">
        <f>IF(SUM(U71:AY71)=0,"",SUM(U71:AY71))</f>
        <v/>
      </c>
      <c r="M71" s="61">
        <f>IFERROR(INDEX(U$2:AY$2,MATCH(TRUE,INDEX(U71:AY71&lt;&gt;"",0),0)),"")</f>
        <v/>
      </c>
      <c r="N71" s="61">
        <f>IFERROR(LOOKUP(2,1/(U71:AY71&lt;&gt;""),U$2:AY$2),"")</f>
        <v/>
      </c>
      <c r="O71" s="59" t="n"/>
      <c r="P71" s="59" t="n"/>
      <c r="Q71" s="59" t="n"/>
      <c r="R71" s="59" t="n"/>
      <c r="S71" s="14" t="n"/>
      <c r="U71" s="53" t="n"/>
      <c r="V71" s="53" t="n"/>
      <c r="W71" s="53" t="n"/>
      <c r="X71" s="53" t="n"/>
      <c r="Y71" s="53" t="n"/>
      <c r="Z71" s="53" t="n"/>
      <c r="AA71" s="53" t="n"/>
      <c r="AB71" s="53" t="n"/>
      <c r="AC71" s="53" t="n"/>
      <c r="AD71" s="53" t="n"/>
      <c r="AE71" s="53" t="n"/>
      <c r="AF71" s="53" t="n"/>
      <c r="AG71" s="53" t="n"/>
      <c r="AH71" s="53" t="n"/>
      <c r="AI71" s="53" t="n"/>
      <c r="AJ71" s="53" t="n"/>
      <c r="AK71" s="53" t="n"/>
      <c r="AL71" s="53" t="n"/>
      <c r="AM71" s="53" t="n"/>
      <c r="AN71" s="53" t="n"/>
      <c r="AO71" s="53" t="n"/>
      <c r="AP71" s="53" t="n"/>
      <c r="AQ71" s="53" t="n"/>
      <c r="AR71" s="53" t="n"/>
      <c r="AS71" s="53" t="n"/>
      <c r="AT71" s="53" t="n"/>
      <c r="AU71" s="53" t="n"/>
      <c r="AV71" s="53" t="n"/>
      <c r="AW71" s="53" t="n"/>
      <c r="AX71" s="53" t="n"/>
      <c r="AY71" s="53" t="n"/>
    </row>
    <row r="72" ht="15" customHeight="1">
      <c r="A72" s="62" t="n"/>
      <c r="B72" s="55">
        <f>IF($B$70="","",$B$70)</f>
        <v/>
      </c>
      <c r="C72" s="63" t="inlineStr">
        <is>
          <t>마케팅2팀</t>
        </is>
      </c>
      <c r="D72" s="55">
        <f>IF($D$70="","",$D$70)</f>
        <v/>
      </c>
      <c r="E72" s="64" t="inlineStr">
        <is>
          <t>영상</t>
        </is>
      </c>
      <c r="F72" s="44" t="n"/>
      <c r="G72" s="58">
        <f>IF($G$70="","",$G$70)</f>
        <v/>
      </c>
      <c r="H72" s="59" t="n"/>
      <c r="I72" s="59" t="n"/>
      <c r="J72" s="59" t="n"/>
      <c r="K72" s="59" t="n"/>
      <c r="L72" s="65">
        <f>IF(SUM(U72:AY72)=0,"",SUM(U72:AY72))</f>
        <v/>
      </c>
      <c r="M72" s="66">
        <f>IFERROR(INDEX(U$2:AY$2,MATCH(TRUE,INDEX(U72:AY72&lt;&gt;"",0),0)),"")</f>
        <v/>
      </c>
      <c r="N72" s="66">
        <f>IFERROR(LOOKUP(2,1/(U72:AY72&lt;&gt;""),U$2:AY$2),"")</f>
        <v/>
      </c>
      <c r="O72" s="59" t="n"/>
      <c r="P72" s="59" t="n"/>
      <c r="Q72" s="59" t="n"/>
      <c r="R72" s="59" t="n"/>
      <c r="S72" s="14" t="n"/>
      <c r="U72" s="53" t="n"/>
      <c r="V72" s="53" t="n"/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53" t="n"/>
      <c r="AF72" s="53" t="n"/>
      <c r="AG72" s="53" t="n"/>
      <c r="AH72" s="53" t="n"/>
      <c r="AI72" s="53" t="n"/>
      <c r="AJ72" s="53" t="n"/>
      <c r="AK72" s="53" t="n"/>
      <c r="AL72" s="53" t="n"/>
      <c r="AM72" s="53" t="n"/>
      <c r="AN72" s="53" t="n"/>
      <c r="AO72" s="53" t="n"/>
      <c r="AP72" s="53" t="n"/>
      <c r="AQ72" s="53" t="n"/>
      <c r="AR72" s="53" t="n"/>
      <c r="AS72" s="53" t="n"/>
      <c r="AT72" s="53" t="n"/>
      <c r="AU72" s="53" t="n"/>
      <c r="AV72" s="53" t="n"/>
      <c r="AW72" s="53" t="n"/>
      <c r="AX72" s="53" t="n"/>
      <c r="AY72" s="53" t="n"/>
    </row>
    <row r="73" ht="15" customHeight="1">
      <c r="A73" s="40">
        <f>IF($D$73="","",22)</f>
        <v/>
      </c>
      <c r="B73" s="10" t="n"/>
      <c r="C73" s="41" t="inlineStr">
        <is>
          <t>마케팅2팀</t>
        </is>
      </c>
      <c r="D73" s="42" t="n"/>
      <c r="E73" s="43" t="inlineStr">
        <is>
          <t>기획</t>
        </is>
      </c>
      <c r="F73" s="44" t="n"/>
      <c r="G73" s="45" t="n"/>
      <c r="H73" s="46">
        <f>IF($I$73="","",IF($I$73&lt;0,"🔴지연",IF($I$73&lt;=1,"🟡임박","🟢여유")))</f>
        <v/>
      </c>
      <c r="I73" s="47">
        <f>IF(OR($G$73="",$K$73=""),"",$G$73-$K$73)</f>
        <v/>
      </c>
      <c r="J73" s="48">
        <f>IF(SUM($L$73:$L$75)=0,"",SUM($L$73:$L$75))</f>
        <v/>
      </c>
      <c r="K73" s="49">
        <f>IF($J$73="","",MAX($N$73:$N$75))</f>
        <v/>
      </c>
      <c r="L73" s="50">
        <f>IF(SUM(U73:AY73)=0,"",SUM(U73:AY73))</f>
        <v/>
      </c>
      <c r="M73" s="51">
        <f>IFERROR(INDEX(U$2:AY$2,MATCH(TRUE,INDEX(U73:AY73&lt;&gt;"",0),0)),"")</f>
        <v/>
      </c>
      <c r="N73" s="51">
        <f>IFERROR(LOOKUP(2,1/(U73:AY73&lt;&gt;""),U$2:AY$2),"")</f>
        <v/>
      </c>
      <c r="O73" s="52" t="n"/>
      <c r="P73" s="52" t="n"/>
      <c r="Q73" s="52" t="n"/>
      <c r="R73" s="44" t="n"/>
      <c r="S73" s="14" t="n"/>
      <c r="U73" s="53" t="n"/>
      <c r="V73" s="53" t="n"/>
      <c r="W73" s="53" t="n"/>
      <c r="X73" s="53" t="n"/>
      <c r="Y73" s="53" t="n"/>
      <c r="Z73" s="53" t="n"/>
      <c r="AA73" s="53" t="n"/>
      <c r="AB73" s="53" t="n"/>
      <c r="AC73" s="53" t="n"/>
      <c r="AD73" s="53" t="n"/>
      <c r="AE73" s="53" t="n"/>
      <c r="AF73" s="53" t="n"/>
      <c r="AG73" s="53" t="n"/>
      <c r="AH73" s="53" t="n"/>
      <c r="AI73" s="53" t="n"/>
      <c r="AJ73" s="53" t="n"/>
      <c r="AK73" s="53" t="n"/>
      <c r="AL73" s="53" t="n"/>
      <c r="AM73" s="53" t="n"/>
      <c r="AN73" s="53" t="n"/>
      <c r="AO73" s="53" t="n"/>
      <c r="AP73" s="53" t="n"/>
      <c r="AQ73" s="53" t="n"/>
      <c r="AR73" s="53" t="n"/>
      <c r="AS73" s="53" t="n"/>
      <c r="AT73" s="53" t="n"/>
      <c r="AU73" s="53" t="n"/>
      <c r="AV73" s="53" t="n"/>
      <c r="AW73" s="53" t="n"/>
      <c r="AX73" s="53" t="n"/>
      <c r="AY73" s="53" t="n"/>
    </row>
    <row r="74" ht="15" customHeight="1">
      <c r="A74" s="54" t="n"/>
      <c r="B74" s="55">
        <f>IF($B$73="","",$B$73)</f>
        <v/>
      </c>
      <c r="C74" s="56" t="inlineStr">
        <is>
          <t>마케팅2팀</t>
        </is>
      </c>
      <c r="D74" s="55">
        <f>IF($D$73="","",$D$73)</f>
        <v/>
      </c>
      <c r="E74" s="57" t="inlineStr">
        <is>
          <t>이미지</t>
        </is>
      </c>
      <c r="F74" s="44" t="n"/>
      <c r="G74" s="58">
        <f>IF($G$73="","",$G$73)</f>
        <v/>
      </c>
      <c r="H74" s="59" t="n"/>
      <c r="I74" s="59" t="n"/>
      <c r="J74" s="59" t="n"/>
      <c r="K74" s="59" t="n"/>
      <c r="L74" s="60">
        <f>IF(SUM(U74:AY74)=0,"",SUM(U74:AY74))</f>
        <v/>
      </c>
      <c r="M74" s="61">
        <f>IFERROR(INDEX(U$2:AY$2,MATCH(TRUE,INDEX(U74:AY74&lt;&gt;"",0),0)),"")</f>
        <v/>
      </c>
      <c r="N74" s="61">
        <f>IFERROR(LOOKUP(2,1/(U74:AY74&lt;&gt;""),U$2:AY$2),"")</f>
        <v/>
      </c>
      <c r="O74" s="59" t="n"/>
      <c r="P74" s="59" t="n"/>
      <c r="Q74" s="59" t="n"/>
      <c r="R74" s="59" t="n"/>
      <c r="S74" s="14" t="n"/>
      <c r="U74" s="53" t="n"/>
      <c r="V74" s="53" t="n"/>
      <c r="W74" s="53" t="n"/>
      <c r="X74" s="53" t="n"/>
      <c r="Y74" s="53" t="n"/>
      <c r="Z74" s="53" t="n"/>
      <c r="AA74" s="53" t="n"/>
      <c r="AB74" s="53" t="n"/>
      <c r="AC74" s="53" t="n"/>
      <c r="AD74" s="53" t="n"/>
      <c r="AE74" s="53" t="n"/>
      <c r="AF74" s="53" t="n"/>
      <c r="AG74" s="53" t="n"/>
      <c r="AH74" s="53" t="n"/>
      <c r="AI74" s="53" t="n"/>
      <c r="AJ74" s="53" t="n"/>
      <c r="AK74" s="53" t="n"/>
      <c r="AL74" s="53" t="n"/>
      <c r="AM74" s="53" t="n"/>
      <c r="AN74" s="53" t="n"/>
      <c r="AO74" s="53" t="n"/>
      <c r="AP74" s="53" t="n"/>
      <c r="AQ74" s="53" t="n"/>
      <c r="AR74" s="53" t="n"/>
      <c r="AS74" s="53" t="n"/>
      <c r="AT74" s="53" t="n"/>
      <c r="AU74" s="53" t="n"/>
      <c r="AV74" s="53" t="n"/>
      <c r="AW74" s="53" t="n"/>
      <c r="AX74" s="53" t="n"/>
      <c r="AY74" s="53" t="n"/>
    </row>
    <row r="75" ht="15" customHeight="1">
      <c r="A75" s="62" t="n"/>
      <c r="B75" s="55">
        <f>IF($B$73="","",$B$73)</f>
        <v/>
      </c>
      <c r="C75" s="63" t="inlineStr">
        <is>
          <t>마케팅2팀</t>
        </is>
      </c>
      <c r="D75" s="55">
        <f>IF($D$73="","",$D$73)</f>
        <v/>
      </c>
      <c r="E75" s="64" t="inlineStr">
        <is>
          <t>영상</t>
        </is>
      </c>
      <c r="F75" s="44" t="n"/>
      <c r="G75" s="58">
        <f>IF($G$73="","",$G$73)</f>
        <v/>
      </c>
      <c r="H75" s="59" t="n"/>
      <c r="I75" s="59" t="n"/>
      <c r="J75" s="59" t="n"/>
      <c r="K75" s="59" t="n"/>
      <c r="L75" s="65">
        <f>IF(SUM(U75:AY75)=0,"",SUM(U75:AY75))</f>
        <v/>
      </c>
      <c r="M75" s="66">
        <f>IFERROR(INDEX(U$2:AY$2,MATCH(TRUE,INDEX(U75:AY75&lt;&gt;"",0),0)),"")</f>
        <v/>
      </c>
      <c r="N75" s="66">
        <f>IFERROR(LOOKUP(2,1/(U75:AY75&lt;&gt;""),U$2:AY$2),"")</f>
        <v/>
      </c>
      <c r="O75" s="59" t="n"/>
      <c r="P75" s="59" t="n"/>
      <c r="Q75" s="59" t="n"/>
      <c r="R75" s="59" t="n"/>
      <c r="S75" s="14" t="n"/>
      <c r="U75" s="53" t="n"/>
      <c r="V75" s="53" t="n"/>
      <c r="W75" s="53" t="n"/>
      <c r="X75" s="53" t="n"/>
      <c r="Y75" s="53" t="n"/>
      <c r="Z75" s="53" t="n"/>
      <c r="AA75" s="53" t="n"/>
      <c r="AB75" s="53" t="n"/>
      <c r="AC75" s="53" t="n"/>
      <c r="AD75" s="53" t="n"/>
      <c r="AE75" s="53" t="n"/>
      <c r="AF75" s="53" t="n"/>
      <c r="AG75" s="53" t="n"/>
      <c r="AH75" s="53" t="n"/>
      <c r="AI75" s="53" t="n"/>
      <c r="AJ75" s="53" t="n"/>
      <c r="AK75" s="53" t="n"/>
      <c r="AL75" s="53" t="n"/>
      <c r="AM75" s="53" t="n"/>
      <c r="AN75" s="53" t="n"/>
      <c r="AO75" s="53" t="n"/>
      <c r="AP75" s="53" t="n"/>
      <c r="AQ75" s="53" t="n"/>
      <c r="AR75" s="53" t="n"/>
      <c r="AS75" s="53" t="n"/>
      <c r="AT75" s="53" t="n"/>
      <c r="AU75" s="53" t="n"/>
      <c r="AV75" s="53" t="n"/>
      <c r="AW75" s="53" t="n"/>
      <c r="AX75" s="53" t="n"/>
      <c r="AY75" s="53" t="n"/>
    </row>
    <row r="76" ht="15" customHeight="1">
      <c r="A76" s="40">
        <f>IF($D$76="","",23)</f>
        <v/>
      </c>
      <c r="B76" s="10" t="n"/>
      <c r="C76" s="41" t="inlineStr">
        <is>
          <t>마케팅2팀</t>
        </is>
      </c>
      <c r="D76" s="42" t="n"/>
      <c r="E76" s="43" t="inlineStr">
        <is>
          <t>기획</t>
        </is>
      </c>
      <c r="F76" s="44" t="n"/>
      <c r="G76" s="45" t="n"/>
      <c r="H76" s="46">
        <f>IF($I$76="","",IF($I$76&lt;0,"🔴지연",IF($I$76&lt;=1,"🟡임박","🟢여유")))</f>
        <v/>
      </c>
      <c r="I76" s="47">
        <f>IF(OR($G$76="",$K$76=""),"",$G$76-$K$76)</f>
        <v/>
      </c>
      <c r="J76" s="48">
        <f>IF(SUM($L$76:$L$78)=0,"",SUM($L$76:$L$78))</f>
        <v/>
      </c>
      <c r="K76" s="49">
        <f>IF($J$76="","",MAX($N$76:$N$78))</f>
        <v/>
      </c>
      <c r="L76" s="50">
        <f>IF(SUM(U76:AY76)=0,"",SUM(U76:AY76))</f>
        <v/>
      </c>
      <c r="M76" s="51">
        <f>IFERROR(INDEX(U$2:AY$2,MATCH(TRUE,INDEX(U76:AY76&lt;&gt;"",0),0)),"")</f>
        <v/>
      </c>
      <c r="N76" s="51">
        <f>IFERROR(LOOKUP(2,1/(U76:AY76&lt;&gt;""),U$2:AY$2),"")</f>
        <v/>
      </c>
      <c r="O76" s="52" t="n"/>
      <c r="P76" s="52" t="n"/>
      <c r="Q76" s="52" t="n"/>
      <c r="R76" s="44" t="n"/>
      <c r="S76" s="14" t="n"/>
      <c r="U76" s="53" t="n"/>
      <c r="V76" s="53" t="n"/>
      <c r="W76" s="53" t="n"/>
      <c r="X76" s="53" t="n"/>
      <c r="Y76" s="53" t="n"/>
      <c r="Z76" s="53" t="n"/>
      <c r="AA76" s="53" t="n"/>
      <c r="AB76" s="53" t="n"/>
      <c r="AC76" s="53" t="n"/>
      <c r="AD76" s="53" t="n"/>
      <c r="AE76" s="53" t="n"/>
      <c r="AF76" s="53" t="n"/>
      <c r="AG76" s="53" t="n"/>
      <c r="AH76" s="53" t="n"/>
      <c r="AI76" s="53" t="n"/>
      <c r="AJ76" s="53" t="n"/>
      <c r="AK76" s="53" t="n"/>
      <c r="AL76" s="53" t="n"/>
      <c r="AM76" s="53" t="n"/>
      <c r="AN76" s="53" t="n"/>
      <c r="AO76" s="53" t="n"/>
      <c r="AP76" s="53" t="n"/>
      <c r="AQ76" s="53" t="n"/>
      <c r="AR76" s="53" t="n"/>
      <c r="AS76" s="53" t="n"/>
      <c r="AT76" s="53" t="n"/>
      <c r="AU76" s="53" t="n"/>
      <c r="AV76" s="53" t="n"/>
      <c r="AW76" s="53" t="n"/>
      <c r="AX76" s="53" t="n"/>
      <c r="AY76" s="53" t="n"/>
    </row>
    <row r="77" ht="15" customHeight="1">
      <c r="A77" s="54" t="n"/>
      <c r="B77" s="55">
        <f>IF($B$76="","",$B$76)</f>
        <v/>
      </c>
      <c r="C77" s="56" t="inlineStr">
        <is>
          <t>마케팅2팀</t>
        </is>
      </c>
      <c r="D77" s="55">
        <f>IF($D$76="","",$D$76)</f>
        <v/>
      </c>
      <c r="E77" s="57" t="inlineStr">
        <is>
          <t>이미지</t>
        </is>
      </c>
      <c r="F77" s="44" t="n"/>
      <c r="G77" s="58">
        <f>IF($G$76="","",$G$76)</f>
        <v/>
      </c>
      <c r="H77" s="59" t="n"/>
      <c r="I77" s="59" t="n"/>
      <c r="J77" s="59" t="n"/>
      <c r="K77" s="59" t="n"/>
      <c r="L77" s="60">
        <f>IF(SUM(U77:AY77)=0,"",SUM(U77:AY77))</f>
        <v/>
      </c>
      <c r="M77" s="61">
        <f>IFERROR(INDEX(U$2:AY$2,MATCH(TRUE,INDEX(U77:AY77&lt;&gt;"",0),0)),"")</f>
        <v/>
      </c>
      <c r="N77" s="61">
        <f>IFERROR(LOOKUP(2,1/(U77:AY77&lt;&gt;""),U$2:AY$2),"")</f>
        <v/>
      </c>
      <c r="O77" s="59" t="n"/>
      <c r="P77" s="59" t="n"/>
      <c r="Q77" s="59" t="n"/>
      <c r="R77" s="59" t="n"/>
      <c r="S77" s="14" t="n"/>
      <c r="U77" s="53" t="n"/>
      <c r="V77" s="53" t="n"/>
      <c r="W77" s="53" t="n"/>
      <c r="X77" s="53" t="n"/>
      <c r="Y77" s="53" t="n"/>
      <c r="Z77" s="53" t="n"/>
      <c r="AA77" s="53" t="n"/>
      <c r="AB77" s="53" t="n"/>
      <c r="AC77" s="53" t="n"/>
      <c r="AD77" s="53" t="n"/>
      <c r="AE77" s="53" t="n"/>
      <c r="AF77" s="53" t="n"/>
      <c r="AG77" s="53" t="n"/>
      <c r="AH77" s="53" t="n"/>
      <c r="AI77" s="53" t="n"/>
      <c r="AJ77" s="53" t="n"/>
      <c r="AK77" s="53" t="n"/>
      <c r="AL77" s="53" t="n"/>
      <c r="AM77" s="53" t="n"/>
      <c r="AN77" s="53" t="n"/>
      <c r="AO77" s="53" t="n"/>
      <c r="AP77" s="53" t="n"/>
      <c r="AQ77" s="53" t="n"/>
      <c r="AR77" s="53" t="n"/>
      <c r="AS77" s="53" t="n"/>
      <c r="AT77" s="53" t="n"/>
      <c r="AU77" s="53" t="n"/>
      <c r="AV77" s="53" t="n"/>
      <c r="AW77" s="53" t="n"/>
      <c r="AX77" s="53" t="n"/>
      <c r="AY77" s="53" t="n"/>
    </row>
    <row r="78" ht="15" customHeight="1">
      <c r="A78" s="62" t="n"/>
      <c r="B78" s="55">
        <f>IF($B$76="","",$B$76)</f>
        <v/>
      </c>
      <c r="C78" s="63" t="inlineStr">
        <is>
          <t>마케팅2팀</t>
        </is>
      </c>
      <c r="D78" s="55">
        <f>IF($D$76="","",$D$76)</f>
        <v/>
      </c>
      <c r="E78" s="64" t="inlineStr">
        <is>
          <t>영상</t>
        </is>
      </c>
      <c r="F78" s="44" t="n"/>
      <c r="G78" s="58">
        <f>IF($G$76="","",$G$76)</f>
        <v/>
      </c>
      <c r="H78" s="59" t="n"/>
      <c r="I78" s="59" t="n"/>
      <c r="J78" s="59" t="n"/>
      <c r="K78" s="59" t="n"/>
      <c r="L78" s="65">
        <f>IF(SUM(U78:AY78)=0,"",SUM(U78:AY78))</f>
        <v/>
      </c>
      <c r="M78" s="66">
        <f>IFERROR(INDEX(U$2:AY$2,MATCH(TRUE,INDEX(U78:AY78&lt;&gt;"",0),0)),"")</f>
        <v/>
      </c>
      <c r="N78" s="66">
        <f>IFERROR(LOOKUP(2,1/(U78:AY78&lt;&gt;""),U$2:AY$2),"")</f>
        <v/>
      </c>
      <c r="O78" s="59" t="n"/>
      <c r="P78" s="59" t="n"/>
      <c r="Q78" s="59" t="n"/>
      <c r="R78" s="59" t="n"/>
      <c r="S78" s="14" t="n"/>
      <c r="U78" s="53" t="n"/>
      <c r="V78" s="53" t="n"/>
      <c r="W78" s="53" t="n"/>
      <c r="X78" s="53" t="n"/>
      <c r="Y78" s="53" t="n"/>
      <c r="Z78" s="53" t="n"/>
      <c r="AA78" s="53" t="n"/>
      <c r="AB78" s="53" t="n"/>
      <c r="AC78" s="53" t="n"/>
      <c r="AD78" s="53" t="n"/>
      <c r="AE78" s="53" t="n"/>
      <c r="AF78" s="53" t="n"/>
      <c r="AG78" s="53" t="n"/>
      <c r="AH78" s="53" t="n"/>
      <c r="AI78" s="53" t="n"/>
      <c r="AJ78" s="53" t="n"/>
      <c r="AK78" s="53" t="n"/>
      <c r="AL78" s="53" t="n"/>
      <c r="AM78" s="53" t="n"/>
      <c r="AN78" s="53" t="n"/>
      <c r="AO78" s="53" t="n"/>
      <c r="AP78" s="53" t="n"/>
      <c r="AQ78" s="53" t="n"/>
      <c r="AR78" s="53" t="n"/>
      <c r="AS78" s="53" t="n"/>
      <c r="AT78" s="53" t="n"/>
      <c r="AU78" s="53" t="n"/>
      <c r="AV78" s="53" t="n"/>
      <c r="AW78" s="53" t="n"/>
      <c r="AX78" s="53" t="n"/>
      <c r="AY78" s="53" t="n"/>
    </row>
    <row r="79" ht="15" customHeight="1">
      <c r="A79" s="40">
        <f>IF($D$79="","",24)</f>
        <v/>
      </c>
      <c r="B79" s="10" t="n"/>
      <c r="C79" s="41" t="inlineStr">
        <is>
          <t>마케팅2팀</t>
        </is>
      </c>
      <c r="D79" s="42" t="n"/>
      <c r="E79" s="43" t="inlineStr">
        <is>
          <t>기획</t>
        </is>
      </c>
      <c r="F79" s="44" t="n"/>
      <c r="G79" s="45" t="n"/>
      <c r="H79" s="46">
        <f>IF($I$79="","",IF($I$79&lt;0,"🔴지연",IF($I$79&lt;=1,"🟡임박","🟢여유")))</f>
        <v/>
      </c>
      <c r="I79" s="47">
        <f>IF(OR($G$79="",$K$79=""),"",$G$79-$K$79)</f>
        <v/>
      </c>
      <c r="J79" s="48">
        <f>IF(SUM($L$79:$L$81)=0,"",SUM($L$79:$L$81))</f>
        <v/>
      </c>
      <c r="K79" s="49">
        <f>IF($J$79="","",MAX($N$79:$N$81))</f>
        <v/>
      </c>
      <c r="L79" s="50">
        <f>IF(SUM(U79:AY79)=0,"",SUM(U79:AY79))</f>
        <v/>
      </c>
      <c r="M79" s="51">
        <f>IFERROR(INDEX(U$2:AY$2,MATCH(TRUE,INDEX(U79:AY79&lt;&gt;"",0),0)),"")</f>
        <v/>
      </c>
      <c r="N79" s="51">
        <f>IFERROR(LOOKUP(2,1/(U79:AY79&lt;&gt;""),U$2:AY$2),"")</f>
        <v/>
      </c>
      <c r="O79" s="52" t="n"/>
      <c r="P79" s="52" t="n"/>
      <c r="Q79" s="52" t="n"/>
      <c r="R79" s="44" t="n"/>
      <c r="S79" s="14" t="n"/>
      <c r="U79" s="53" t="n"/>
      <c r="V79" s="53" t="n"/>
      <c r="W79" s="53" t="n"/>
      <c r="X79" s="53" t="n"/>
      <c r="Y79" s="53" t="n"/>
      <c r="Z79" s="53" t="n"/>
      <c r="AA79" s="53" t="n"/>
      <c r="AB79" s="53" t="n"/>
      <c r="AC79" s="53" t="n"/>
      <c r="AD79" s="53" t="n"/>
      <c r="AE79" s="53" t="n"/>
      <c r="AF79" s="53" t="n"/>
      <c r="AG79" s="53" t="n"/>
      <c r="AH79" s="53" t="n"/>
      <c r="AI79" s="53" t="n"/>
      <c r="AJ79" s="53" t="n"/>
      <c r="AK79" s="53" t="n"/>
      <c r="AL79" s="53" t="n"/>
      <c r="AM79" s="53" t="n"/>
      <c r="AN79" s="53" t="n"/>
      <c r="AO79" s="53" t="n"/>
      <c r="AP79" s="53" t="n"/>
      <c r="AQ79" s="53" t="n"/>
      <c r="AR79" s="53" t="n"/>
      <c r="AS79" s="53" t="n"/>
      <c r="AT79" s="53" t="n"/>
      <c r="AU79" s="53" t="n"/>
      <c r="AV79" s="53" t="n"/>
      <c r="AW79" s="53" t="n"/>
      <c r="AX79" s="53" t="n"/>
      <c r="AY79" s="53" t="n"/>
    </row>
    <row r="80" ht="15" customHeight="1">
      <c r="A80" s="54" t="n"/>
      <c r="B80" s="55">
        <f>IF($B$79="","",$B$79)</f>
        <v/>
      </c>
      <c r="C80" s="56" t="inlineStr">
        <is>
          <t>마케팅2팀</t>
        </is>
      </c>
      <c r="D80" s="55">
        <f>IF($D$79="","",$D$79)</f>
        <v/>
      </c>
      <c r="E80" s="57" t="inlineStr">
        <is>
          <t>이미지</t>
        </is>
      </c>
      <c r="F80" s="44" t="n"/>
      <c r="G80" s="58">
        <f>IF($G$79="","",$G$79)</f>
        <v/>
      </c>
      <c r="H80" s="59" t="n"/>
      <c r="I80" s="59" t="n"/>
      <c r="J80" s="59" t="n"/>
      <c r="K80" s="59" t="n"/>
      <c r="L80" s="60">
        <f>IF(SUM(U80:AY80)=0,"",SUM(U80:AY80))</f>
        <v/>
      </c>
      <c r="M80" s="61">
        <f>IFERROR(INDEX(U$2:AY$2,MATCH(TRUE,INDEX(U80:AY80&lt;&gt;"",0),0)),"")</f>
        <v/>
      </c>
      <c r="N80" s="61">
        <f>IFERROR(LOOKUP(2,1/(U80:AY80&lt;&gt;""),U$2:AY$2),"")</f>
        <v/>
      </c>
      <c r="O80" s="59" t="n"/>
      <c r="P80" s="59" t="n"/>
      <c r="Q80" s="59" t="n"/>
      <c r="R80" s="59" t="n"/>
      <c r="S80" s="14" t="n"/>
      <c r="U80" s="53" t="n"/>
      <c r="V80" s="53" t="n"/>
      <c r="W80" s="53" t="n"/>
      <c r="X80" s="53" t="n"/>
      <c r="Y80" s="53" t="n"/>
      <c r="Z80" s="53" t="n"/>
      <c r="AA80" s="53" t="n"/>
      <c r="AB80" s="53" t="n"/>
      <c r="AC80" s="53" t="n"/>
      <c r="AD80" s="53" t="n"/>
      <c r="AE80" s="53" t="n"/>
      <c r="AF80" s="53" t="n"/>
      <c r="AG80" s="53" t="n"/>
      <c r="AH80" s="53" t="n"/>
      <c r="AI80" s="53" t="n"/>
      <c r="AJ80" s="53" t="n"/>
      <c r="AK80" s="53" t="n"/>
      <c r="AL80" s="53" t="n"/>
      <c r="AM80" s="53" t="n"/>
      <c r="AN80" s="53" t="n"/>
      <c r="AO80" s="53" t="n"/>
      <c r="AP80" s="53" t="n"/>
      <c r="AQ80" s="53" t="n"/>
      <c r="AR80" s="53" t="n"/>
      <c r="AS80" s="53" t="n"/>
      <c r="AT80" s="53" t="n"/>
      <c r="AU80" s="53" t="n"/>
      <c r="AV80" s="53" t="n"/>
      <c r="AW80" s="53" t="n"/>
      <c r="AX80" s="53" t="n"/>
      <c r="AY80" s="53" t="n"/>
    </row>
    <row r="81" ht="15" customHeight="1">
      <c r="A81" s="62" t="n"/>
      <c r="B81" s="55">
        <f>IF($B$79="","",$B$79)</f>
        <v/>
      </c>
      <c r="C81" s="63" t="inlineStr">
        <is>
          <t>마케팅2팀</t>
        </is>
      </c>
      <c r="D81" s="55">
        <f>IF($D$79="","",$D$79)</f>
        <v/>
      </c>
      <c r="E81" s="64" t="inlineStr">
        <is>
          <t>영상</t>
        </is>
      </c>
      <c r="F81" s="44" t="n"/>
      <c r="G81" s="58">
        <f>IF($G$79="","",$G$79)</f>
        <v/>
      </c>
      <c r="H81" s="59" t="n"/>
      <c r="I81" s="59" t="n"/>
      <c r="J81" s="59" t="n"/>
      <c r="K81" s="59" t="n"/>
      <c r="L81" s="65">
        <f>IF(SUM(U81:AY81)=0,"",SUM(U81:AY81))</f>
        <v/>
      </c>
      <c r="M81" s="66">
        <f>IFERROR(INDEX(U$2:AY$2,MATCH(TRUE,INDEX(U81:AY81&lt;&gt;"",0),0)),"")</f>
        <v/>
      </c>
      <c r="N81" s="66">
        <f>IFERROR(LOOKUP(2,1/(U81:AY81&lt;&gt;""),U$2:AY$2),"")</f>
        <v/>
      </c>
      <c r="O81" s="59" t="n"/>
      <c r="P81" s="59" t="n"/>
      <c r="Q81" s="59" t="n"/>
      <c r="R81" s="59" t="n"/>
      <c r="S81" s="14" t="n"/>
      <c r="U81" s="53" t="n"/>
      <c r="V81" s="53" t="n"/>
      <c r="W81" s="53" t="n"/>
      <c r="X81" s="53" t="n"/>
      <c r="Y81" s="53" t="n"/>
      <c r="Z81" s="53" t="n"/>
      <c r="AA81" s="53" t="n"/>
      <c r="AB81" s="53" t="n"/>
      <c r="AC81" s="53" t="n"/>
      <c r="AD81" s="53" t="n"/>
      <c r="AE81" s="53" t="n"/>
      <c r="AF81" s="53" t="n"/>
      <c r="AG81" s="53" t="n"/>
      <c r="AH81" s="53" t="n"/>
      <c r="AI81" s="53" t="n"/>
      <c r="AJ81" s="53" t="n"/>
      <c r="AK81" s="53" t="n"/>
      <c r="AL81" s="53" t="n"/>
      <c r="AM81" s="53" t="n"/>
      <c r="AN81" s="53" t="n"/>
      <c r="AO81" s="53" t="n"/>
      <c r="AP81" s="53" t="n"/>
      <c r="AQ81" s="53" t="n"/>
      <c r="AR81" s="53" t="n"/>
      <c r="AS81" s="53" t="n"/>
      <c r="AT81" s="53" t="n"/>
      <c r="AU81" s="53" t="n"/>
      <c r="AV81" s="53" t="n"/>
      <c r="AW81" s="53" t="n"/>
      <c r="AX81" s="53" t="n"/>
      <c r="AY81" s="53" t="n"/>
    </row>
    <row r="82" ht="15" customHeight="1">
      <c r="A82" s="40">
        <f>IF($D$82="","",25)</f>
        <v/>
      </c>
      <c r="B82" s="10" t="n"/>
      <c r="C82" s="41" t="inlineStr">
        <is>
          <t>마케팅2팀</t>
        </is>
      </c>
      <c r="D82" s="42" t="n"/>
      <c r="E82" s="43" t="inlineStr">
        <is>
          <t>기획</t>
        </is>
      </c>
      <c r="F82" s="44" t="n"/>
      <c r="G82" s="45" t="n"/>
      <c r="H82" s="46">
        <f>IF($I$82="","",IF($I$82&lt;0,"🔴지연",IF($I$82&lt;=1,"🟡임박","🟢여유")))</f>
        <v/>
      </c>
      <c r="I82" s="47">
        <f>IF(OR($G$82="",$K$82=""),"",$G$82-$K$82)</f>
        <v/>
      </c>
      <c r="J82" s="48">
        <f>IF(SUM($L$82:$L$84)=0,"",SUM($L$82:$L$84))</f>
        <v/>
      </c>
      <c r="K82" s="49">
        <f>IF($J$82="","",MAX($N$82:$N$84))</f>
        <v/>
      </c>
      <c r="L82" s="50">
        <f>IF(SUM(U82:AY82)=0,"",SUM(U82:AY82))</f>
        <v/>
      </c>
      <c r="M82" s="51">
        <f>IFERROR(INDEX(U$2:AY$2,MATCH(TRUE,INDEX(U82:AY82&lt;&gt;"",0),0)),"")</f>
        <v/>
      </c>
      <c r="N82" s="51">
        <f>IFERROR(LOOKUP(2,1/(U82:AY82&lt;&gt;""),U$2:AY$2),"")</f>
        <v/>
      </c>
      <c r="O82" s="52" t="n"/>
      <c r="P82" s="52" t="n"/>
      <c r="Q82" s="52" t="n"/>
      <c r="R82" s="44" t="n"/>
      <c r="S82" s="14" t="n"/>
      <c r="U82" s="53" t="n"/>
      <c r="V82" s="53" t="n"/>
      <c r="W82" s="53" t="n"/>
      <c r="X82" s="53" t="n"/>
      <c r="Y82" s="53" t="n"/>
      <c r="Z82" s="53" t="n"/>
      <c r="AA82" s="53" t="n"/>
      <c r="AB82" s="53" t="n"/>
      <c r="AC82" s="53" t="n"/>
      <c r="AD82" s="53" t="n"/>
      <c r="AE82" s="53" t="n"/>
      <c r="AF82" s="53" t="n"/>
      <c r="AG82" s="53" t="n"/>
      <c r="AH82" s="53" t="n"/>
      <c r="AI82" s="53" t="n"/>
      <c r="AJ82" s="53" t="n"/>
      <c r="AK82" s="53" t="n"/>
      <c r="AL82" s="53" t="n"/>
      <c r="AM82" s="53" t="n"/>
      <c r="AN82" s="53" t="n"/>
      <c r="AO82" s="53" t="n"/>
      <c r="AP82" s="53" t="n"/>
      <c r="AQ82" s="53" t="n"/>
      <c r="AR82" s="53" t="n"/>
      <c r="AS82" s="53" t="n"/>
      <c r="AT82" s="53" t="n"/>
      <c r="AU82" s="53" t="n"/>
      <c r="AV82" s="53" t="n"/>
      <c r="AW82" s="53" t="n"/>
      <c r="AX82" s="53" t="n"/>
      <c r="AY82" s="53" t="n"/>
    </row>
    <row r="83" ht="15" customHeight="1">
      <c r="A83" s="54" t="n"/>
      <c r="B83" s="55">
        <f>IF($B$82="","",$B$82)</f>
        <v/>
      </c>
      <c r="C83" s="56" t="inlineStr">
        <is>
          <t>마케팅2팀</t>
        </is>
      </c>
      <c r="D83" s="55">
        <f>IF($D$82="","",$D$82)</f>
        <v/>
      </c>
      <c r="E83" s="57" t="inlineStr">
        <is>
          <t>이미지</t>
        </is>
      </c>
      <c r="F83" s="44" t="n"/>
      <c r="G83" s="58">
        <f>IF($G$82="","",$G$82)</f>
        <v/>
      </c>
      <c r="H83" s="59" t="n"/>
      <c r="I83" s="59" t="n"/>
      <c r="J83" s="59" t="n"/>
      <c r="K83" s="59" t="n"/>
      <c r="L83" s="60">
        <f>IF(SUM(U83:AY83)=0,"",SUM(U83:AY83))</f>
        <v/>
      </c>
      <c r="M83" s="61">
        <f>IFERROR(INDEX(U$2:AY$2,MATCH(TRUE,INDEX(U83:AY83&lt;&gt;"",0),0)),"")</f>
        <v/>
      </c>
      <c r="N83" s="61">
        <f>IFERROR(LOOKUP(2,1/(U83:AY83&lt;&gt;""),U$2:AY$2),"")</f>
        <v/>
      </c>
      <c r="O83" s="59" t="n"/>
      <c r="P83" s="59" t="n"/>
      <c r="Q83" s="59" t="n"/>
      <c r="R83" s="59" t="n"/>
      <c r="S83" s="14" t="n"/>
      <c r="U83" s="53" t="n"/>
      <c r="V83" s="53" t="n"/>
      <c r="W83" s="53" t="n"/>
      <c r="X83" s="53" t="n"/>
      <c r="Y83" s="53" t="n"/>
      <c r="Z83" s="53" t="n"/>
      <c r="AA83" s="53" t="n"/>
      <c r="AB83" s="53" t="n"/>
      <c r="AC83" s="53" t="n"/>
      <c r="AD83" s="53" t="n"/>
      <c r="AE83" s="53" t="n"/>
      <c r="AF83" s="53" t="n"/>
      <c r="AG83" s="53" t="n"/>
      <c r="AH83" s="53" t="n"/>
      <c r="AI83" s="53" t="n"/>
      <c r="AJ83" s="53" t="n"/>
      <c r="AK83" s="53" t="n"/>
      <c r="AL83" s="53" t="n"/>
      <c r="AM83" s="53" t="n"/>
      <c r="AN83" s="53" t="n"/>
      <c r="AO83" s="53" t="n"/>
      <c r="AP83" s="53" t="n"/>
      <c r="AQ83" s="53" t="n"/>
      <c r="AR83" s="53" t="n"/>
      <c r="AS83" s="53" t="n"/>
      <c r="AT83" s="53" t="n"/>
      <c r="AU83" s="53" t="n"/>
      <c r="AV83" s="53" t="n"/>
      <c r="AW83" s="53" t="n"/>
      <c r="AX83" s="53" t="n"/>
      <c r="AY83" s="53" t="n"/>
    </row>
    <row r="84" ht="15" customHeight="1">
      <c r="A84" s="62" t="n"/>
      <c r="B84" s="55">
        <f>IF($B$82="","",$B$82)</f>
        <v/>
      </c>
      <c r="C84" s="63" t="inlineStr">
        <is>
          <t>마케팅2팀</t>
        </is>
      </c>
      <c r="D84" s="55">
        <f>IF($D$82="","",$D$82)</f>
        <v/>
      </c>
      <c r="E84" s="64" t="inlineStr">
        <is>
          <t>영상</t>
        </is>
      </c>
      <c r="F84" s="44" t="n"/>
      <c r="G84" s="58">
        <f>IF($G$82="","",$G$82)</f>
        <v/>
      </c>
      <c r="H84" s="59" t="n"/>
      <c r="I84" s="59" t="n"/>
      <c r="J84" s="59" t="n"/>
      <c r="K84" s="59" t="n"/>
      <c r="L84" s="65">
        <f>IF(SUM(U84:AY84)=0,"",SUM(U84:AY84))</f>
        <v/>
      </c>
      <c r="M84" s="66">
        <f>IFERROR(INDEX(U$2:AY$2,MATCH(TRUE,INDEX(U84:AY84&lt;&gt;"",0),0)),"")</f>
        <v/>
      </c>
      <c r="N84" s="66">
        <f>IFERROR(LOOKUP(2,1/(U84:AY84&lt;&gt;""),U$2:AY$2),"")</f>
        <v/>
      </c>
      <c r="O84" s="59" t="n"/>
      <c r="P84" s="59" t="n"/>
      <c r="Q84" s="59" t="n"/>
      <c r="R84" s="59" t="n"/>
      <c r="S84" s="14" t="n"/>
      <c r="U84" s="53" t="n"/>
      <c r="V84" s="53" t="n"/>
      <c r="W84" s="53" t="n"/>
      <c r="X84" s="53" t="n"/>
      <c r="Y84" s="53" t="n"/>
      <c r="Z84" s="53" t="n"/>
      <c r="AA84" s="53" t="n"/>
      <c r="AB84" s="53" t="n"/>
      <c r="AC84" s="53" t="n"/>
      <c r="AD84" s="53" t="n"/>
      <c r="AE84" s="53" t="n"/>
      <c r="AF84" s="53" t="n"/>
      <c r="AG84" s="53" t="n"/>
      <c r="AH84" s="53" t="n"/>
      <c r="AI84" s="53" t="n"/>
      <c r="AJ84" s="53" t="n"/>
      <c r="AK84" s="53" t="n"/>
      <c r="AL84" s="53" t="n"/>
      <c r="AM84" s="53" t="n"/>
      <c r="AN84" s="53" t="n"/>
      <c r="AO84" s="53" t="n"/>
      <c r="AP84" s="53" t="n"/>
      <c r="AQ84" s="53" t="n"/>
      <c r="AR84" s="53" t="n"/>
      <c r="AS84" s="53" t="n"/>
      <c r="AT84" s="53" t="n"/>
      <c r="AU84" s="53" t="n"/>
      <c r="AV84" s="53" t="n"/>
      <c r="AW84" s="53" t="n"/>
      <c r="AX84" s="53" t="n"/>
      <c r="AY84" s="53" t="n"/>
    </row>
    <row r="85" ht="15" customHeight="1">
      <c r="A85" s="40">
        <f>IF($D$85="","",26)</f>
        <v/>
      </c>
      <c r="B85" s="10" t="n"/>
      <c r="C85" s="41" t="inlineStr">
        <is>
          <t>마케팅2팀</t>
        </is>
      </c>
      <c r="D85" s="42" t="n"/>
      <c r="E85" s="43" t="inlineStr">
        <is>
          <t>기획</t>
        </is>
      </c>
      <c r="F85" s="44" t="n"/>
      <c r="G85" s="45" t="n"/>
      <c r="H85" s="46">
        <f>IF($I$85="","",IF($I$85&lt;0,"🔴지연",IF($I$85&lt;=1,"🟡임박","🟢여유")))</f>
        <v/>
      </c>
      <c r="I85" s="47">
        <f>IF(OR($G$85="",$K$85=""),"",$G$85-$K$85)</f>
        <v/>
      </c>
      <c r="J85" s="48">
        <f>IF(SUM($L$85:$L$87)=0,"",SUM($L$85:$L$87))</f>
        <v/>
      </c>
      <c r="K85" s="49">
        <f>IF($J$85="","",MAX($N$85:$N$87))</f>
        <v/>
      </c>
      <c r="L85" s="50">
        <f>IF(SUM(U85:AY85)=0,"",SUM(U85:AY85))</f>
        <v/>
      </c>
      <c r="M85" s="51">
        <f>IFERROR(INDEX(U$2:AY$2,MATCH(TRUE,INDEX(U85:AY85&lt;&gt;"",0),0)),"")</f>
        <v/>
      </c>
      <c r="N85" s="51">
        <f>IFERROR(LOOKUP(2,1/(U85:AY85&lt;&gt;""),U$2:AY$2),"")</f>
        <v/>
      </c>
      <c r="O85" s="52" t="n"/>
      <c r="P85" s="52" t="n"/>
      <c r="Q85" s="52" t="n"/>
      <c r="R85" s="44" t="n"/>
      <c r="S85" s="14" t="n"/>
      <c r="U85" s="53" t="n"/>
      <c r="V85" s="53" t="n"/>
      <c r="W85" s="53" t="n"/>
      <c r="X85" s="53" t="n"/>
      <c r="Y85" s="53" t="n"/>
      <c r="Z85" s="53" t="n"/>
      <c r="AA85" s="53" t="n"/>
      <c r="AB85" s="53" t="n"/>
      <c r="AC85" s="53" t="n"/>
      <c r="AD85" s="53" t="n"/>
      <c r="AE85" s="53" t="n"/>
      <c r="AF85" s="53" t="n"/>
      <c r="AG85" s="53" t="n"/>
      <c r="AH85" s="53" t="n"/>
      <c r="AI85" s="53" t="n"/>
      <c r="AJ85" s="53" t="n"/>
      <c r="AK85" s="53" t="n"/>
      <c r="AL85" s="53" t="n"/>
      <c r="AM85" s="53" t="n"/>
      <c r="AN85" s="53" t="n"/>
      <c r="AO85" s="53" t="n"/>
      <c r="AP85" s="53" t="n"/>
      <c r="AQ85" s="53" t="n"/>
      <c r="AR85" s="53" t="n"/>
      <c r="AS85" s="53" t="n"/>
      <c r="AT85" s="53" t="n"/>
      <c r="AU85" s="53" t="n"/>
      <c r="AV85" s="53" t="n"/>
      <c r="AW85" s="53" t="n"/>
      <c r="AX85" s="53" t="n"/>
      <c r="AY85" s="53" t="n"/>
    </row>
    <row r="86" ht="15" customHeight="1">
      <c r="A86" s="54" t="n"/>
      <c r="B86" s="55">
        <f>IF($B$85="","",$B$85)</f>
        <v/>
      </c>
      <c r="C86" s="56" t="inlineStr">
        <is>
          <t>마케팅2팀</t>
        </is>
      </c>
      <c r="D86" s="55">
        <f>IF($D$85="","",$D$85)</f>
        <v/>
      </c>
      <c r="E86" s="57" t="inlineStr">
        <is>
          <t>이미지</t>
        </is>
      </c>
      <c r="F86" s="44" t="n"/>
      <c r="G86" s="58">
        <f>IF($G$85="","",$G$85)</f>
        <v/>
      </c>
      <c r="H86" s="59" t="n"/>
      <c r="I86" s="59" t="n"/>
      <c r="J86" s="59" t="n"/>
      <c r="K86" s="59" t="n"/>
      <c r="L86" s="60">
        <f>IF(SUM(U86:AY86)=0,"",SUM(U86:AY86))</f>
        <v/>
      </c>
      <c r="M86" s="61">
        <f>IFERROR(INDEX(U$2:AY$2,MATCH(TRUE,INDEX(U86:AY86&lt;&gt;"",0),0)),"")</f>
        <v/>
      </c>
      <c r="N86" s="61">
        <f>IFERROR(LOOKUP(2,1/(U86:AY86&lt;&gt;""),U$2:AY$2),"")</f>
        <v/>
      </c>
      <c r="O86" s="59" t="n"/>
      <c r="P86" s="59" t="n"/>
      <c r="Q86" s="59" t="n"/>
      <c r="R86" s="59" t="n"/>
      <c r="S86" s="14" t="n"/>
      <c r="U86" s="53" t="n"/>
      <c r="V86" s="53" t="n"/>
      <c r="W86" s="53" t="n"/>
      <c r="X86" s="53" t="n"/>
      <c r="Y86" s="53" t="n"/>
      <c r="Z86" s="53" t="n"/>
      <c r="AA86" s="53" t="n"/>
      <c r="AB86" s="53" t="n"/>
      <c r="AC86" s="53" t="n"/>
      <c r="AD86" s="53" t="n"/>
      <c r="AE86" s="53" t="n"/>
      <c r="AF86" s="53" t="n"/>
      <c r="AG86" s="53" t="n"/>
      <c r="AH86" s="53" t="n"/>
      <c r="AI86" s="53" t="n"/>
      <c r="AJ86" s="53" t="n"/>
      <c r="AK86" s="53" t="n"/>
      <c r="AL86" s="53" t="n"/>
      <c r="AM86" s="53" t="n"/>
      <c r="AN86" s="53" t="n"/>
      <c r="AO86" s="53" t="n"/>
      <c r="AP86" s="53" t="n"/>
      <c r="AQ86" s="53" t="n"/>
      <c r="AR86" s="53" t="n"/>
      <c r="AS86" s="53" t="n"/>
      <c r="AT86" s="53" t="n"/>
      <c r="AU86" s="53" t="n"/>
      <c r="AV86" s="53" t="n"/>
      <c r="AW86" s="53" t="n"/>
      <c r="AX86" s="53" t="n"/>
      <c r="AY86" s="53" t="n"/>
    </row>
    <row r="87" ht="15" customHeight="1">
      <c r="A87" s="62" t="n"/>
      <c r="B87" s="55">
        <f>IF($B$85="","",$B$85)</f>
        <v/>
      </c>
      <c r="C87" s="63" t="inlineStr">
        <is>
          <t>마케팅2팀</t>
        </is>
      </c>
      <c r="D87" s="55">
        <f>IF($D$85="","",$D$85)</f>
        <v/>
      </c>
      <c r="E87" s="64" t="inlineStr">
        <is>
          <t>영상</t>
        </is>
      </c>
      <c r="F87" s="44" t="n"/>
      <c r="G87" s="58">
        <f>IF($G$85="","",$G$85)</f>
        <v/>
      </c>
      <c r="H87" s="59" t="n"/>
      <c r="I87" s="59" t="n"/>
      <c r="J87" s="59" t="n"/>
      <c r="K87" s="59" t="n"/>
      <c r="L87" s="65">
        <f>IF(SUM(U87:AY87)=0,"",SUM(U87:AY87))</f>
        <v/>
      </c>
      <c r="M87" s="66">
        <f>IFERROR(INDEX(U$2:AY$2,MATCH(TRUE,INDEX(U87:AY87&lt;&gt;"",0),0)),"")</f>
        <v/>
      </c>
      <c r="N87" s="66">
        <f>IFERROR(LOOKUP(2,1/(U87:AY87&lt;&gt;""),U$2:AY$2),"")</f>
        <v/>
      </c>
      <c r="O87" s="59" t="n"/>
      <c r="P87" s="59" t="n"/>
      <c r="Q87" s="59" t="n"/>
      <c r="R87" s="59" t="n"/>
      <c r="S87" s="14" t="n"/>
      <c r="U87" s="53" t="n"/>
      <c r="V87" s="53" t="n"/>
      <c r="W87" s="53" t="n"/>
      <c r="X87" s="53" t="n"/>
      <c r="Y87" s="53" t="n"/>
      <c r="Z87" s="53" t="n"/>
      <c r="AA87" s="53" t="n"/>
      <c r="AB87" s="53" t="n"/>
      <c r="AC87" s="53" t="n"/>
      <c r="AD87" s="53" t="n"/>
      <c r="AE87" s="53" t="n"/>
      <c r="AF87" s="53" t="n"/>
      <c r="AG87" s="53" t="n"/>
      <c r="AH87" s="53" t="n"/>
      <c r="AI87" s="53" t="n"/>
      <c r="AJ87" s="53" t="n"/>
      <c r="AK87" s="53" t="n"/>
      <c r="AL87" s="53" t="n"/>
      <c r="AM87" s="53" t="n"/>
      <c r="AN87" s="53" t="n"/>
      <c r="AO87" s="53" t="n"/>
      <c r="AP87" s="53" t="n"/>
      <c r="AQ87" s="53" t="n"/>
      <c r="AR87" s="53" t="n"/>
      <c r="AS87" s="53" t="n"/>
      <c r="AT87" s="53" t="n"/>
      <c r="AU87" s="53" t="n"/>
      <c r="AV87" s="53" t="n"/>
      <c r="AW87" s="53" t="n"/>
      <c r="AX87" s="53" t="n"/>
      <c r="AY87" s="53" t="n"/>
    </row>
    <row r="88" ht="15" customHeight="1">
      <c r="A88" s="40">
        <f>IF($D$88="","",27)</f>
        <v/>
      </c>
      <c r="B88" s="10" t="n"/>
      <c r="C88" s="41" t="inlineStr">
        <is>
          <t>마케팅2팀</t>
        </is>
      </c>
      <c r="D88" s="42" t="n"/>
      <c r="E88" s="43" t="inlineStr">
        <is>
          <t>기획</t>
        </is>
      </c>
      <c r="F88" s="44" t="n"/>
      <c r="G88" s="45" t="n"/>
      <c r="H88" s="46">
        <f>IF($I$88="","",IF($I$88&lt;0,"🔴지연",IF($I$88&lt;=1,"🟡임박","🟢여유")))</f>
        <v/>
      </c>
      <c r="I88" s="47">
        <f>IF(OR($G$88="",$K$88=""),"",$G$88-$K$88)</f>
        <v/>
      </c>
      <c r="J88" s="48">
        <f>IF(SUM($L$88:$L$90)=0,"",SUM($L$88:$L$90))</f>
        <v/>
      </c>
      <c r="K88" s="49">
        <f>IF($J$88="","",MAX($N$88:$N$90))</f>
        <v/>
      </c>
      <c r="L88" s="50">
        <f>IF(SUM(U88:AY88)=0,"",SUM(U88:AY88))</f>
        <v/>
      </c>
      <c r="M88" s="51">
        <f>IFERROR(INDEX(U$2:AY$2,MATCH(TRUE,INDEX(U88:AY88&lt;&gt;"",0),0)),"")</f>
        <v/>
      </c>
      <c r="N88" s="51">
        <f>IFERROR(LOOKUP(2,1/(U88:AY88&lt;&gt;""),U$2:AY$2),"")</f>
        <v/>
      </c>
      <c r="O88" s="52" t="n"/>
      <c r="P88" s="52" t="n"/>
      <c r="Q88" s="52" t="n"/>
      <c r="R88" s="44" t="n"/>
      <c r="S88" s="14" t="n"/>
      <c r="U88" s="53" t="n"/>
      <c r="V88" s="53" t="n"/>
      <c r="W88" s="53" t="n"/>
      <c r="X88" s="53" t="n"/>
      <c r="Y88" s="53" t="n"/>
      <c r="Z88" s="53" t="n"/>
      <c r="AA88" s="53" t="n"/>
      <c r="AB88" s="53" t="n"/>
      <c r="AC88" s="53" t="n"/>
      <c r="AD88" s="53" t="n"/>
      <c r="AE88" s="53" t="n"/>
      <c r="AF88" s="53" t="n"/>
      <c r="AG88" s="53" t="n"/>
      <c r="AH88" s="53" t="n"/>
      <c r="AI88" s="53" t="n"/>
      <c r="AJ88" s="53" t="n"/>
      <c r="AK88" s="53" t="n"/>
      <c r="AL88" s="53" t="n"/>
      <c r="AM88" s="53" t="n"/>
      <c r="AN88" s="53" t="n"/>
      <c r="AO88" s="53" t="n"/>
      <c r="AP88" s="53" t="n"/>
      <c r="AQ88" s="53" t="n"/>
      <c r="AR88" s="53" t="n"/>
      <c r="AS88" s="53" t="n"/>
      <c r="AT88" s="53" t="n"/>
      <c r="AU88" s="53" t="n"/>
      <c r="AV88" s="53" t="n"/>
      <c r="AW88" s="53" t="n"/>
      <c r="AX88" s="53" t="n"/>
      <c r="AY88" s="53" t="n"/>
    </row>
    <row r="89" ht="15" customHeight="1">
      <c r="A89" s="54" t="n"/>
      <c r="B89" s="55">
        <f>IF($B$88="","",$B$88)</f>
        <v/>
      </c>
      <c r="C89" s="56" t="inlineStr">
        <is>
          <t>마케팅2팀</t>
        </is>
      </c>
      <c r="D89" s="55">
        <f>IF($D$88="","",$D$88)</f>
        <v/>
      </c>
      <c r="E89" s="57" t="inlineStr">
        <is>
          <t>이미지</t>
        </is>
      </c>
      <c r="F89" s="44" t="n"/>
      <c r="G89" s="58">
        <f>IF($G$88="","",$G$88)</f>
        <v/>
      </c>
      <c r="H89" s="59" t="n"/>
      <c r="I89" s="59" t="n"/>
      <c r="J89" s="59" t="n"/>
      <c r="K89" s="59" t="n"/>
      <c r="L89" s="60">
        <f>IF(SUM(U89:AY89)=0,"",SUM(U89:AY89))</f>
        <v/>
      </c>
      <c r="M89" s="61">
        <f>IFERROR(INDEX(U$2:AY$2,MATCH(TRUE,INDEX(U89:AY89&lt;&gt;"",0),0)),"")</f>
        <v/>
      </c>
      <c r="N89" s="61">
        <f>IFERROR(LOOKUP(2,1/(U89:AY89&lt;&gt;""),U$2:AY$2),"")</f>
        <v/>
      </c>
      <c r="O89" s="59" t="n"/>
      <c r="P89" s="59" t="n"/>
      <c r="Q89" s="59" t="n"/>
      <c r="R89" s="59" t="n"/>
      <c r="S89" s="14" t="n"/>
      <c r="U89" s="53" t="n"/>
      <c r="V89" s="53" t="n"/>
      <c r="W89" s="53" t="n"/>
      <c r="X89" s="53" t="n"/>
      <c r="Y89" s="53" t="n"/>
      <c r="Z89" s="53" t="n"/>
      <c r="AA89" s="53" t="n"/>
      <c r="AB89" s="53" t="n"/>
      <c r="AC89" s="53" t="n"/>
      <c r="AD89" s="53" t="n"/>
      <c r="AE89" s="53" t="n"/>
      <c r="AF89" s="53" t="n"/>
      <c r="AG89" s="53" t="n"/>
      <c r="AH89" s="53" t="n"/>
      <c r="AI89" s="53" t="n"/>
      <c r="AJ89" s="53" t="n"/>
      <c r="AK89" s="53" t="n"/>
      <c r="AL89" s="53" t="n"/>
      <c r="AM89" s="53" t="n"/>
      <c r="AN89" s="53" t="n"/>
      <c r="AO89" s="53" t="n"/>
      <c r="AP89" s="53" t="n"/>
      <c r="AQ89" s="53" t="n"/>
      <c r="AR89" s="53" t="n"/>
      <c r="AS89" s="53" t="n"/>
      <c r="AT89" s="53" t="n"/>
      <c r="AU89" s="53" t="n"/>
      <c r="AV89" s="53" t="n"/>
      <c r="AW89" s="53" t="n"/>
      <c r="AX89" s="53" t="n"/>
      <c r="AY89" s="53" t="n"/>
    </row>
    <row r="90" ht="15" customHeight="1">
      <c r="A90" s="62" t="n"/>
      <c r="B90" s="55">
        <f>IF($B$88="","",$B$88)</f>
        <v/>
      </c>
      <c r="C90" s="63" t="inlineStr">
        <is>
          <t>마케팅2팀</t>
        </is>
      </c>
      <c r="D90" s="55">
        <f>IF($D$88="","",$D$88)</f>
        <v/>
      </c>
      <c r="E90" s="64" t="inlineStr">
        <is>
          <t>영상</t>
        </is>
      </c>
      <c r="F90" s="44" t="n"/>
      <c r="G90" s="58">
        <f>IF($G$88="","",$G$88)</f>
        <v/>
      </c>
      <c r="H90" s="59" t="n"/>
      <c r="I90" s="59" t="n"/>
      <c r="J90" s="59" t="n"/>
      <c r="K90" s="59" t="n"/>
      <c r="L90" s="65">
        <f>IF(SUM(U90:AY90)=0,"",SUM(U90:AY90))</f>
        <v/>
      </c>
      <c r="M90" s="66">
        <f>IFERROR(INDEX(U$2:AY$2,MATCH(TRUE,INDEX(U90:AY90&lt;&gt;"",0),0)),"")</f>
        <v/>
      </c>
      <c r="N90" s="66">
        <f>IFERROR(LOOKUP(2,1/(U90:AY90&lt;&gt;""),U$2:AY$2),"")</f>
        <v/>
      </c>
      <c r="O90" s="59" t="n"/>
      <c r="P90" s="59" t="n"/>
      <c r="Q90" s="59" t="n"/>
      <c r="R90" s="59" t="n"/>
      <c r="S90" s="14" t="n"/>
      <c r="U90" s="53" t="n"/>
      <c r="V90" s="53" t="n"/>
      <c r="W90" s="53" t="n"/>
      <c r="X90" s="53" t="n"/>
      <c r="Y90" s="53" t="n"/>
      <c r="Z90" s="53" t="n"/>
      <c r="AA90" s="53" t="n"/>
      <c r="AB90" s="53" t="n"/>
      <c r="AC90" s="53" t="n"/>
      <c r="AD90" s="53" t="n"/>
      <c r="AE90" s="53" t="n"/>
      <c r="AF90" s="53" t="n"/>
      <c r="AG90" s="53" t="n"/>
      <c r="AH90" s="53" t="n"/>
      <c r="AI90" s="53" t="n"/>
      <c r="AJ90" s="53" t="n"/>
      <c r="AK90" s="53" t="n"/>
      <c r="AL90" s="53" t="n"/>
      <c r="AM90" s="53" t="n"/>
      <c r="AN90" s="53" t="n"/>
      <c r="AO90" s="53" t="n"/>
      <c r="AP90" s="53" t="n"/>
      <c r="AQ90" s="53" t="n"/>
      <c r="AR90" s="53" t="n"/>
      <c r="AS90" s="53" t="n"/>
      <c r="AT90" s="53" t="n"/>
      <c r="AU90" s="53" t="n"/>
      <c r="AV90" s="53" t="n"/>
      <c r="AW90" s="53" t="n"/>
      <c r="AX90" s="53" t="n"/>
      <c r="AY90" s="53" t="n"/>
    </row>
    <row r="91" ht="15" customHeight="1">
      <c r="A91" s="40">
        <f>IF($D$91="","",28)</f>
        <v/>
      </c>
      <c r="B91" s="10" t="n"/>
      <c r="C91" s="41" t="inlineStr">
        <is>
          <t>마케팅2팀</t>
        </is>
      </c>
      <c r="D91" s="42" t="n"/>
      <c r="E91" s="43" t="inlineStr">
        <is>
          <t>기획</t>
        </is>
      </c>
      <c r="F91" s="44" t="n"/>
      <c r="G91" s="45" t="n"/>
      <c r="H91" s="46">
        <f>IF($I$91="","",IF($I$91&lt;0,"🔴지연",IF($I$91&lt;=1,"🟡임박","🟢여유")))</f>
        <v/>
      </c>
      <c r="I91" s="47">
        <f>IF(OR($G$91="",$K$91=""),"",$G$91-$K$91)</f>
        <v/>
      </c>
      <c r="J91" s="48">
        <f>IF(SUM($L$91:$L$93)=0,"",SUM($L$91:$L$93))</f>
        <v/>
      </c>
      <c r="K91" s="49">
        <f>IF($J$91="","",MAX($N$91:$N$93))</f>
        <v/>
      </c>
      <c r="L91" s="50">
        <f>IF(SUM(U91:AY91)=0,"",SUM(U91:AY91))</f>
        <v/>
      </c>
      <c r="M91" s="51">
        <f>IFERROR(INDEX(U$2:AY$2,MATCH(TRUE,INDEX(U91:AY91&lt;&gt;"",0),0)),"")</f>
        <v/>
      </c>
      <c r="N91" s="51">
        <f>IFERROR(LOOKUP(2,1/(U91:AY91&lt;&gt;""),U$2:AY$2),"")</f>
        <v/>
      </c>
      <c r="O91" s="52" t="n"/>
      <c r="P91" s="52" t="n"/>
      <c r="Q91" s="52" t="n"/>
      <c r="R91" s="44" t="n"/>
      <c r="S91" s="14" t="n"/>
      <c r="U91" s="53" t="n"/>
      <c r="V91" s="53" t="n"/>
      <c r="W91" s="53" t="n"/>
      <c r="X91" s="53" t="n"/>
      <c r="Y91" s="53" t="n"/>
      <c r="Z91" s="53" t="n"/>
      <c r="AA91" s="53" t="n"/>
      <c r="AB91" s="53" t="n"/>
      <c r="AC91" s="53" t="n"/>
      <c r="AD91" s="53" t="n"/>
      <c r="AE91" s="53" t="n"/>
      <c r="AF91" s="53" t="n"/>
      <c r="AG91" s="53" t="n"/>
      <c r="AH91" s="53" t="n"/>
      <c r="AI91" s="53" t="n"/>
      <c r="AJ91" s="53" t="n"/>
      <c r="AK91" s="53" t="n"/>
      <c r="AL91" s="53" t="n"/>
      <c r="AM91" s="53" t="n"/>
      <c r="AN91" s="53" t="n"/>
      <c r="AO91" s="53" t="n"/>
      <c r="AP91" s="53" t="n"/>
      <c r="AQ91" s="53" t="n"/>
      <c r="AR91" s="53" t="n"/>
      <c r="AS91" s="53" t="n"/>
      <c r="AT91" s="53" t="n"/>
      <c r="AU91" s="53" t="n"/>
      <c r="AV91" s="53" t="n"/>
      <c r="AW91" s="53" t="n"/>
      <c r="AX91" s="53" t="n"/>
      <c r="AY91" s="53" t="n"/>
    </row>
    <row r="92" ht="15" customHeight="1">
      <c r="A92" s="54" t="n"/>
      <c r="B92" s="55">
        <f>IF($B$91="","",$B$91)</f>
        <v/>
      </c>
      <c r="C92" s="56" t="inlineStr">
        <is>
          <t>마케팅2팀</t>
        </is>
      </c>
      <c r="D92" s="55">
        <f>IF($D$91="","",$D$91)</f>
        <v/>
      </c>
      <c r="E92" s="57" t="inlineStr">
        <is>
          <t>이미지</t>
        </is>
      </c>
      <c r="F92" s="44" t="n"/>
      <c r="G92" s="58">
        <f>IF($G$91="","",$G$91)</f>
        <v/>
      </c>
      <c r="H92" s="59" t="n"/>
      <c r="I92" s="59" t="n"/>
      <c r="J92" s="59" t="n"/>
      <c r="K92" s="59" t="n"/>
      <c r="L92" s="60">
        <f>IF(SUM(U92:AY92)=0,"",SUM(U92:AY92))</f>
        <v/>
      </c>
      <c r="M92" s="61">
        <f>IFERROR(INDEX(U$2:AY$2,MATCH(TRUE,INDEX(U92:AY92&lt;&gt;"",0),0)),"")</f>
        <v/>
      </c>
      <c r="N92" s="61">
        <f>IFERROR(LOOKUP(2,1/(U92:AY92&lt;&gt;""),U$2:AY$2),"")</f>
        <v/>
      </c>
      <c r="O92" s="59" t="n"/>
      <c r="P92" s="59" t="n"/>
      <c r="Q92" s="59" t="n"/>
      <c r="R92" s="59" t="n"/>
      <c r="S92" s="14" t="n"/>
      <c r="U92" s="53" t="n"/>
      <c r="V92" s="53" t="n"/>
      <c r="W92" s="53" t="n"/>
      <c r="X92" s="53" t="n"/>
      <c r="Y92" s="53" t="n"/>
      <c r="Z92" s="53" t="n"/>
      <c r="AA92" s="53" t="n"/>
      <c r="AB92" s="53" t="n"/>
      <c r="AC92" s="53" t="n"/>
      <c r="AD92" s="53" t="n"/>
      <c r="AE92" s="53" t="n"/>
      <c r="AF92" s="53" t="n"/>
      <c r="AG92" s="53" t="n"/>
      <c r="AH92" s="53" t="n"/>
      <c r="AI92" s="53" t="n"/>
      <c r="AJ92" s="53" t="n"/>
      <c r="AK92" s="53" t="n"/>
      <c r="AL92" s="53" t="n"/>
      <c r="AM92" s="53" t="n"/>
      <c r="AN92" s="53" t="n"/>
      <c r="AO92" s="53" t="n"/>
      <c r="AP92" s="53" t="n"/>
      <c r="AQ92" s="53" t="n"/>
      <c r="AR92" s="53" t="n"/>
      <c r="AS92" s="53" t="n"/>
      <c r="AT92" s="53" t="n"/>
      <c r="AU92" s="53" t="n"/>
      <c r="AV92" s="53" t="n"/>
      <c r="AW92" s="53" t="n"/>
      <c r="AX92" s="53" t="n"/>
      <c r="AY92" s="53" t="n"/>
    </row>
    <row r="93" ht="15" customHeight="1">
      <c r="A93" s="62" t="n"/>
      <c r="B93" s="55">
        <f>IF($B$91="","",$B$91)</f>
        <v/>
      </c>
      <c r="C93" s="63" t="inlineStr">
        <is>
          <t>마케팅2팀</t>
        </is>
      </c>
      <c r="D93" s="55">
        <f>IF($D$91="","",$D$91)</f>
        <v/>
      </c>
      <c r="E93" s="64" t="inlineStr">
        <is>
          <t>영상</t>
        </is>
      </c>
      <c r="F93" s="44" t="n"/>
      <c r="G93" s="58">
        <f>IF($G$91="","",$G$91)</f>
        <v/>
      </c>
      <c r="H93" s="59" t="n"/>
      <c r="I93" s="59" t="n"/>
      <c r="J93" s="59" t="n"/>
      <c r="K93" s="59" t="n"/>
      <c r="L93" s="65">
        <f>IF(SUM(U93:AY93)=0,"",SUM(U93:AY93))</f>
        <v/>
      </c>
      <c r="M93" s="66">
        <f>IFERROR(INDEX(U$2:AY$2,MATCH(TRUE,INDEX(U93:AY93&lt;&gt;"",0),0)),"")</f>
        <v/>
      </c>
      <c r="N93" s="66">
        <f>IFERROR(LOOKUP(2,1/(U93:AY93&lt;&gt;""),U$2:AY$2),"")</f>
        <v/>
      </c>
      <c r="O93" s="59" t="n"/>
      <c r="P93" s="59" t="n"/>
      <c r="Q93" s="59" t="n"/>
      <c r="R93" s="59" t="n"/>
      <c r="S93" s="14" t="n"/>
      <c r="U93" s="53" t="n"/>
      <c r="V93" s="53" t="n"/>
      <c r="W93" s="53" t="n"/>
      <c r="X93" s="53" t="n"/>
      <c r="Y93" s="53" t="n"/>
      <c r="Z93" s="53" t="n"/>
      <c r="AA93" s="53" t="n"/>
      <c r="AB93" s="53" t="n"/>
      <c r="AC93" s="53" t="n"/>
      <c r="AD93" s="53" t="n"/>
      <c r="AE93" s="53" t="n"/>
      <c r="AF93" s="53" t="n"/>
      <c r="AG93" s="53" t="n"/>
      <c r="AH93" s="53" t="n"/>
      <c r="AI93" s="53" t="n"/>
      <c r="AJ93" s="53" t="n"/>
      <c r="AK93" s="53" t="n"/>
      <c r="AL93" s="53" t="n"/>
      <c r="AM93" s="53" t="n"/>
      <c r="AN93" s="53" t="n"/>
      <c r="AO93" s="53" t="n"/>
      <c r="AP93" s="53" t="n"/>
      <c r="AQ93" s="53" t="n"/>
      <c r="AR93" s="53" t="n"/>
      <c r="AS93" s="53" t="n"/>
      <c r="AT93" s="53" t="n"/>
      <c r="AU93" s="53" t="n"/>
      <c r="AV93" s="53" t="n"/>
      <c r="AW93" s="53" t="n"/>
      <c r="AX93" s="53" t="n"/>
      <c r="AY93" s="53" t="n"/>
    </row>
    <row r="94" ht="15" customHeight="1">
      <c r="A94" s="40">
        <f>IF($D$94="","",29)</f>
        <v/>
      </c>
      <c r="B94" s="10" t="n"/>
      <c r="C94" s="41" t="inlineStr">
        <is>
          <t>마케팅2팀</t>
        </is>
      </c>
      <c r="D94" s="42" t="n"/>
      <c r="E94" s="43" t="inlineStr">
        <is>
          <t>기획</t>
        </is>
      </c>
      <c r="F94" s="44" t="n"/>
      <c r="G94" s="45" t="n"/>
      <c r="H94" s="46">
        <f>IF($I$94="","",IF($I$94&lt;0,"🔴지연",IF($I$94&lt;=1,"🟡임박","🟢여유")))</f>
        <v/>
      </c>
      <c r="I94" s="47">
        <f>IF(OR($G$94="",$K$94=""),"",$G$94-$K$94)</f>
        <v/>
      </c>
      <c r="J94" s="48">
        <f>IF(SUM($L$94:$L$96)=0,"",SUM($L$94:$L$96))</f>
        <v/>
      </c>
      <c r="K94" s="49">
        <f>IF($J$94="","",MAX($N$94:$N$96))</f>
        <v/>
      </c>
      <c r="L94" s="50">
        <f>IF(SUM(U94:AY94)=0,"",SUM(U94:AY94))</f>
        <v/>
      </c>
      <c r="M94" s="51">
        <f>IFERROR(INDEX(U$2:AY$2,MATCH(TRUE,INDEX(U94:AY94&lt;&gt;"",0),0)),"")</f>
        <v/>
      </c>
      <c r="N94" s="51">
        <f>IFERROR(LOOKUP(2,1/(U94:AY94&lt;&gt;""),U$2:AY$2),"")</f>
        <v/>
      </c>
      <c r="O94" s="52" t="n"/>
      <c r="P94" s="52" t="n"/>
      <c r="Q94" s="52" t="n"/>
      <c r="R94" s="44" t="n"/>
      <c r="S94" s="14" t="n"/>
      <c r="U94" s="53" t="n"/>
      <c r="V94" s="53" t="n"/>
      <c r="W94" s="53" t="n"/>
      <c r="X94" s="53" t="n"/>
      <c r="Y94" s="53" t="n"/>
      <c r="Z94" s="53" t="n"/>
      <c r="AA94" s="53" t="n"/>
      <c r="AB94" s="53" t="n"/>
      <c r="AC94" s="53" t="n"/>
      <c r="AD94" s="53" t="n"/>
      <c r="AE94" s="53" t="n"/>
      <c r="AF94" s="53" t="n"/>
      <c r="AG94" s="53" t="n"/>
      <c r="AH94" s="53" t="n"/>
      <c r="AI94" s="53" t="n"/>
      <c r="AJ94" s="53" t="n"/>
      <c r="AK94" s="53" t="n"/>
      <c r="AL94" s="53" t="n"/>
      <c r="AM94" s="53" t="n"/>
      <c r="AN94" s="53" t="n"/>
      <c r="AO94" s="53" t="n"/>
      <c r="AP94" s="53" t="n"/>
      <c r="AQ94" s="53" t="n"/>
      <c r="AR94" s="53" t="n"/>
      <c r="AS94" s="53" t="n"/>
      <c r="AT94" s="53" t="n"/>
      <c r="AU94" s="53" t="n"/>
      <c r="AV94" s="53" t="n"/>
      <c r="AW94" s="53" t="n"/>
      <c r="AX94" s="53" t="n"/>
      <c r="AY94" s="53" t="n"/>
    </row>
    <row r="95" ht="15" customHeight="1">
      <c r="A95" s="54" t="n"/>
      <c r="B95" s="55">
        <f>IF($B$94="","",$B$94)</f>
        <v/>
      </c>
      <c r="C95" s="56" t="inlineStr">
        <is>
          <t>마케팅2팀</t>
        </is>
      </c>
      <c r="D95" s="55">
        <f>IF($D$94="","",$D$94)</f>
        <v/>
      </c>
      <c r="E95" s="57" t="inlineStr">
        <is>
          <t>이미지</t>
        </is>
      </c>
      <c r="F95" s="44" t="n"/>
      <c r="G95" s="58">
        <f>IF($G$94="","",$G$94)</f>
        <v/>
      </c>
      <c r="H95" s="59" t="n"/>
      <c r="I95" s="59" t="n"/>
      <c r="J95" s="59" t="n"/>
      <c r="K95" s="59" t="n"/>
      <c r="L95" s="60">
        <f>IF(SUM(U95:AY95)=0,"",SUM(U95:AY95))</f>
        <v/>
      </c>
      <c r="M95" s="61">
        <f>IFERROR(INDEX(U$2:AY$2,MATCH(TRUE,INDEX(U95:AY95&lt;&gt;"",0),0)),"")</f>
        <v/>
      </c>
      <c r="N95" s="61">
        <f>IFERROR(LOOKUP(2,1/(U95:AY95&lt;&gt;""),U$2:AY$2),"")</f>
        <v/>
      </c>
      <c r="O95" s="59" t="n"/>
      <c r="P95" s="59" t="n"/>
      <c r="Q95" s="59" t="n"/>
      <c r="R95" s="59" t="n"/>
      <c r="S95" s="14" t="n"/>
      <c r="U95" s="53" t="n"/>
      <c r="V95" s="53" t="n"/>
      <c r="W95" s="53" t="n"/>
      <c r="X95" s="53" t="n"/>
      <c r="Y95" s="53" t="n"/>
      <c r="Z95" s="53" t="n"/>
      <c r="AA95" s="53" t="n"/>
      <c r="AB95" s="53" t="n"/>
      <c r="AC95" s="53" t="n"/>
      <c r="AD95" s="53" t="n"/>
      <c r="AE95" s="53" t="n"/>
      <c r="AF95" s="53" t="n"/>
      <c r="AG95" s="53" t="n"/>
      <c r="AH95" s="53" t="n"/>
      <c r="AI95" s="53" t="n"/>
      <c r="AJ95" s="53" t="n"/>
      <c r="AK95" s="53" t="n"/>
      <c r="AL95" s="53" t="n"/>
      <c r="AM95" s="53" t="n"/>
      <c r="AN95" s="53" t="n"/>
      <c r="AO95" s="53" t="n"/>
      <c r="AP95" s="53" t="n"/>
      <c r="AQ95" s="53" t="n"/>
      <c r="AR95" s="53" t="n"/>
      <c r="AS95" s="53" t="n"/>
      <c r="AT95" s="53" t="n"/>
      <c r="AU95" s="53" t="n"/>
      <c r="AV95" s="53" t="n"/>
      <c r="AW95" s="53" t="n"/>
      <c r="AX95" s="53" t="n"/>
      <c r="AY95" s="53" t="n"/>
    </row>
    <row r="96" ht="15" customHeight="1">
      <c r="A96" s="62" t="n"/>
      <c r="B96" s="55">
        <f>IF($B$94="","",$B$94)</f>
        <v/>
      </c>
      <c r="C96" s="63" t="inlineStr">
        <is>
          <t>마케팅2팀</t>
        </is>
      </c>
      <c r="D96" s="55">
        <f>IF($D$94="","",$D$94)</f>
        <v/>
      </c>
      <c r="E96" s="64" t="inlineStr">
        <is>
          <t>영상</t>
        </is>
      </c>
      <c r="F96" s="44" t="n"/>
      <c r="G96" s="58">
        <f>IF($G$94="","",$G$94)</f>
        <v/>
      </c>
      <c r="H96" s="59" t="n"/>
      <c r="I96" s="59" t="n"/>
      <c r="J96" s="59" t="n"/>
      <c r="K96" s="59" t="n"/>
      <c r="L96" s="65">
        <f>IF(SUM(U96:AY96)=0,"",SUM(U96:AY96))</f>
        <v/>
      </c>
      <c r="M96" s="66">
        <f>IFERROR(INDEX(U$2:AY$2,MATCH(TRUE,INDEX(U96:AY96&lt;&gt;"",0),0)),"")</f>
        <v/>
      </c>
      <c r="N96" s="66">
        <f>IFERROR(LOOKUP(2,1/(U96:AY96&lt;&gt;""),U$2:AY$2),"")</f>
        <v/>
      </c>
      <c r="O96" s="59" t="n"/>
      <c r="P96" s="59" t="n"/>
      <c r="Q96" s="59" t="n"/>
      <c r="R96" s="59" t="n"/>
      <c r="S96" s="14" t="n"/>
      <c r="U96" s="53" t="n"/>
      <c r="V96" s="53" t="n"/>
      <c r="W96" s="53" t="n"/>
      <c r="X96" s="53" t="n"/>
      <c r="Y96" s="53" t="n"/>
      <c r="Z96" s="53" t="n"/>
      <c r="AA96" s="53" t="n"/>
      <c r="AB96" s="53" t="n"/>
      <c r="AC96" s="53" t="n"/>
      <c r="AD96" s="53" t="n"/>
      <c r="AE96" s="53" t="n"/>
      <c r="AF96" s="53" t="n"/>
      <c r="AG96" s="53" t="n"/>
      <c r="AH96" s="53" t="n"/>
      <c r="AI96" s="53" t="n"/>
      <c r="AJ96" s="53" t="n"/>
      <c r="AK96" s="53" t="n"/>
      <c r="AL96" s="53" t="n"/>
      <c r="AM96" s="53" t="n"/>
      <c r="AN96" s="53" t="n"/>
      <c r="AO96" s="53" t="n"/>
      <c r="AP96" s="53" t="n"/>
      <c r="AQ96" s="53" t="n"/>
      <c r="AR96" s="53" t="n"/>
      <c r="AS96" s="53" t="n"/>
      <c r="AT96" s="53" t="n"/>
      <c r="AU96" s="53" t="n"/>
      <c r="AV96" s="53" t="n"/>
      <c r="AW96" s="53" t="n"/>
      <c r="AX96" s="53" t="n"/>
      <c r="AY96" s="53" t="n"/>
    </row>
    <row r="97" ht="15" customHeight="1">
      <c r="A97" s="40">
        <f>IF($D$97="","",30)</f>
        <v/>
      </c>
      <c r="B97" s="10" t="n"/>
      <c r="C97" s="41" t="inlineStr">
        <is>
          <t>마케팅2팀</t>
        </is>
      </c>
      <c r="D97" s="42" t="n"/>
      <c r="E97" s="43" t="inlineStr">
        <is>
          <t>기획</t>
        </is>
      </c>
      <c r="F97" s="44" t="n"/>
      <c r="G97" s="45" t="n"/>
      <c r="H97" s="46">
        <f>IF($I$97="","",IF($I$97&lt;0,"🔴지연",IF($I$97&lt;=1,"🟡임박","🟢여유")))</f>
        <v/>
      </c>
      <c r="I97" s="47">
        <f>IF(OR($G$97="",$K$97=""),"",$G$97-$K$97)</f>
        <v/>
      </c>
      <c r="J97" s="48">
        <f>IF(SUM($L$97:$L$99)=0,"",SUM($L$97:$L$99))</f>
        <v/>
      </c>
      <c r="K97" s="49">
        <f>IF($J$97="","",MAX($N$97:$N$99))</f>
        <v/>
      </c>
      <c r="L97" s="50">
        <f>IF(SUM(U97:AY97)=0,"",SUM(U97:AY97))</f>
        <v/>
      </c>
      <c r="M97" s="51">
        <f>IFERROR(INDEX(U$2:AY$2,MATCH(TRUE,INDEX(U97:AY97&lt;&gt;"",0),0)),"")</f>
        <v/>
      </c>
      <c r="N97" s="51">
        <f>IFERROR(LOOKUP(2,1/(U97:AY97&lt;&gt;""),U$2:AY$2),"")</f>
        <v/>
      </c>
      <c r="O97" s="52" t="n"/>
      <c r="P97" s="52" t="n"/>
      <c r="Q97" s="52" t="n"/>
      <c r="R97" s="44" t="n"/>
      <c r="S97" s="14" t="n"/>
      <c r="U97" s="53" t="n"/>
      <c r="V97" s="53" t="n"/>
      <c r="W97" s="53" t="n"/>
      <c r="X97" s="53" t="n"/>
      <c r="Y97" s="53" t="n"/>
      <c r="Z97" s="53" t="n"/>
      <c r="AA97" s="53" t="n"/>
      <c r="AB97" s="53" t="n"/>
      <c r="AC97" s="53" t="n"/>
      <c r="AD97" s="53" t="n"/>
      <c r="AE97" s="53" t="n"/>
      <c r="AF97" s="53" t="n"/>
      <c r="AG97" s="53" t="n"/>
      <c r="AH97" s="53" t="n"/>
      <c r="AI97" s="53" t="n"/>
      <c r="AJ97" s="53" t="n"/>
      <c r="AK97" s="53" t="n"/>
      <c r="AL97" s="53" t="n"/>
      <c r="AM97" s="53" t="n"/>
      <c r="AN97" s="53" t="n"/>
      <c r="AO97" s="53" t="n"/>
      <c r="AP97" s="53" t="n"/>
      <c r="AQ97" s="53" t="n"/>
      <c r="AR97" s="53" t="n"/>
      <c r="AS97" s="53" t="n"/>
      <c r="AT97" s="53" t="n"/>
      <c r="AU97" s="53" t="n"/>
      <c r="AV97" s="53" t="n"/>
      <c r="AW97" s="53" t="n"/>
      <c r="AX97" s="53" t="n"/>
      <c r="AY97" s="53" t="n"/>
    </row>
    <row r="98" ht="15" customHeight="1">
      <c r="A98" s="54" t="n"/>
      <c r="B98" s="55">
        <f>IF($B$97="","",$B$97)</f>
        <v/>
      </c>
      <c r="C98" s="56" t="inlineStr">
        <is>
          <t>마케팅2팀</t>
        </is>
      </c>
      <c r="D98" s="55">
        <f>IF($D$97="","",$D$97)</f>
        <v/>
      </c>
      <c r="E98" s="57" t="inlineStr">
        <is>
          <t>이미지</t>
        </is>
      </c>
      <c r="F98" s="44" t="n"/>
      <c r="G98" s="58">
        <f>IF($G$97="","",$G$97)</f>
        <v/>
      </c>
      <c r="H98" s="59" t="n"/>
      <c r="I98" s="59" t="n"/>
      <c r="J98" s="59" t="n"/>
      <c r="K98" s="59" t="n"/>
      <c r="L98" s="60">
        <f>IF(SUM(U98:AY98)=0,"",SUM(U98:AY98))</f>
        <v/>
      </c>
      <c r="M98" s="61">
        <f>IFERROR(INDEX(U$2:AY$2,MATCH(TRUE,INDEX(U98:AY98&lt;&gt;"",0),0)),"")</f>
        <v/>
      </c>
      <c r="N98" s="61">
        <f>IFERROR(LOOKUP(2,1/(U98:AY98&lt;&gt;""),U$2:AY$2),"")</f>
        <v/>
      </c>
      <c r="O98" s="59" t="n"/>
      <c r="P98" s="59" t="n"/>
      <c r="Q98" s="59" t="n"/>
      <c r="R98" s="59" t="n"/>
      <c r="S98" s="14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3" t="n"/>
      <c r="AN98" s="53" t="n"/>
      <c r="AO98" s="53" t="n"/>
      <c r="AP98" s="53" t="n"/>
      <c r="AQ98" s="53" t="n"/>
      <c r="AR98" s="53" t="n"/>
      <c r="AS98" s="53" t="n"/>
      <c r="AT98" s="53" t="n"/>
      <c r="AU98" s="53" t="n"/>
      <c r="AV98" s="53" t="n"/>
      <c r="AW98" s="53" t="n"/>
      <c r="AX98" s="53" t="n"/>
      <c r="AY98" s="53" t="n"/>
    </row>
    <row r="99" ht="15" customHeight="1">
      <c r="A99" s="62" t="n"/>
      <c r="B99" s="55">
        <f>IF($B$97="","",$B$97)</f>
        <v/>
      </c>
      <c r="C99" s="63" t="inlineStr">
        <is>
          <t>마케팅2팀</t>
        </is>
      </c>
      <c r="D99" s="55">
        <f>IF($D$97="","",$D$97)</f>
        <v/>
      </c>
      <c r="E99" s="64" t="inlineStr">
        <is>
          <t>영상</t>
        </is>
      </c>
      <c r="F99" s="44" t="n"/>
      <c r="G99" s="58">
        <f>IF($G$97="","",$G$97)</f>
        <v/>
      </c>
      <c r="H99" s="59" t="n"/>
      <c r="I99" s="59" t="n"/>
      <c r="J99" s="59" t="n"/>
      <c r="K99" s="59" t="n"/>
      <c r="L99" s="65">
        <f>IF(SUM(U99:AY99)=0,"",SUM(U99:AY99))</f>
        <v/>
      </c>
      <c r="M99" s="66">
        <f>IFERROR(INDEX(U$2:AY$2,MATCH(TRUE,INDEX(U99:AY99&lt;&gt;"",0),0)),"")</f>
        <v/>
      </c>
      <c r="N99" s="66">
        <f>IFERROR(LOOKUP(2,1/(U99:AY99&lt;&gt;""),U$2:AY$2),"")</f>
        <v/>
      </c>
      <c r="O99" s="59" t="n"/>
      <c r="P99" s="59" t="n"/>
      <c r="Q99" s="59" t="n"/>
      <c r="R99" s="59" t="n"/>
      <c r="S99" s="14" t="n"/>
      <c r="U99" s="53" t="n"/>
      <c r="V99" s="53" t="n"/>
      <c r="W99" s="53" t="n"/>
      <c r="X99" s="53" t="n"/>
      <c r="Y99" s="53" t="n"/>
      <c r="Z99" s="53" t="n"/>
      <c r="AA99" s="53" t="n"/>
      <c r="AB99" s="53" t="n"/>
      <c r="AC99" s="53" t="n"/>
      <c r="AD99" s="53" t="n"/>
      <c r="AE99" s="53" t="n"/>
      <c r="AF99" s="53" t="n"/>
      <c r="AG99" s="53" t="n"/>
      <c r="AH99" s="53" t="n"/>
      <c r="AI99" s="53" t="n"/>
      <c r="AJ99" s="53" t="n"/>
      <c r="AK99" s="53" t="n"/>
      <c r="AL99" s="53" t="n"/>
      <c r="AM99" s="53" t="n"/>
      <c r="AN99" s="53" t="n"/>
      <c r="AO99" s="53" t="n"/>
      <c r="AP99" s="53" t="n"/>
      <c r="AQ99" s="53" t="n"/>
      <c r="AR99" s="53" t="n"/>
      <c r="AS99" s="53" t="n"/>
      <c r="AT99" s="53" t="n"/>
      <c r="AU99" s="53" t="n"/>
      <c r="AV99" s="53" t="n"/>
      <c r="AW99" s="53" t="n"/>
      <c r="AX99" s="53" t="n"/>
      <c r="AY99" s="53" t="n"/>
    </row>
    <row r="100" ht="15" customHeight="1">
      <c r="A100" s="40">
        <f>IF($D$100="","",31)</f>
        <v/>
      </c>
      <c r="B100" s="10" t="n"/>
      <c r="C100" s="41" t="inlineStr">
        <is>
          <t>마케팅2팀</t>
        </is>
      </c>
      <c r="D100" s="42" t="n"/>
      <c r="E100" s="43" t="inlineStr">
        <is>
          <t>기획</t>
        </is>
      </c>
      <c r="F100" s="44" t="n"/>
      <c r="G100" s="45" t="n"/>
      <c r="H100" s="46">
        <f>IF($I$100="","",IF($I$100&lt;0,"🔴지연",IF($I$100&lt;=1,"🟡임박","🟢여유")))</f>
        <v/>
      </c>
      <c r="I100" s="47">
        <f>IF(OR($G$100="",$K$100=""),"",$G$100-$K$100)</f>
        <v/>
      </c>
      <c r="J100" s="48">
        <f>IF(SUM($L$100:$L$102)=0,"",SUM($L$100:$L$102))</f>
        <v/>
      </c>
      <c r="K100" s="49">
        <f>IF($J$100="","",MAX($N$100:$N$102))</f>
        <v/>
      </c>
      <c r="L100" s="50">
        <f>IF(SUM(U100:AY100)=0,"",SUM(U100:AY100))</f>
        <v/>
      </c>
      <c r="M100" s="51">
        <f>IFERROR(INDEX(U$2:AY$2,MATCH(TRUE,INDEX(U100:AY100&lt;&gt;"",0),0)),"")</f>
        <v/>
      </c>
      <c r="N100" s="51">
        <f>IFERROR(LOOKUP(2,1/(U100:AY100&lt;&gt;""),U$2:AY$2),"")</f>
        <v/>
      </c>
      <c r="O100" s="52" t="n"/>
      <c r="P100" s="52" t="n"/>
      <c r="Q100" s="52" t="n"/>
      <c r="R100" s="44" t="n"/>
      <c r="S100" s="14" t="n"/>
      <c r="U100" s="53" t="n"/>
      <c r="V100" s="53" t="n"/>
      <c r="W100" s="53" t="n"/>
      <c r="X100" s="53" t="n"/>
      <c r="Y100" s="53" t="n"/>
      <c r="Z100" s="53" t="n"/>
      <c r="AA100" s="53" t="n"/>
      <c r="AB100" s="53" t="n"/>
      <c r="AC100" s="53" t="n"/>
      <c r="AD100" s="53" t="n"/>
      <c r="AE100" s="53" t="n"/>
      <c r="AF100" s="53" t="n"/>
      <c r="AG100" s="53" t="n"/>
      <c r="AH100" s="53" t="n"/>
      <c r="AI100" s="53" t="n"/>
      <c r="AJ100" s="53" t="n"/>
      <c r="AK100" s="53" t="n"/>
      <c r="AL100" s="53" t="n"/>
      <c r="AM100" s="53" t="n"/>
      <c r="AN100" s="53" t="n"/>
      <c r="AO100" s="53" t="n"/>
      <c r="AP100" s="53" t="n"/>
      <c r="AQ100" s="53" t="n"/>
      <c r="AR100" s="53" t="n"/>
      <c r="AS100" s="53" t="n"/>
      <c r="AT100" s="53" t="n"/>
      <c r="AU100" s="53" t="n"/>
      <c r="AV100" s="53" t="n"/>
      <c r="AW100" s="53" t="n"/>
      <c r="AX100" s="53" t="n"/>
      <c r="AY100" s="53" t="n"/>
    </row>
    <row r="101" ht="15" customHeight="1">
      <c r="A101" s="54" t="n"/>
      <c r="B101" s="55">
        <f>IF($B$100="","",$B$100)</f>
        <v/>
      </c>
      <c r="C101" s="56" t="inlineStr">
        <is>
          <t>마케팅2팀</t>
        </is>
      </c>
      <c r="D101" s="55">
        <f>IF($D$100="","",$D$100)</f>
        <v/>
      </c>
      <c r="E101" s="57" t="inlineStr">
        <is>
          <t>이미지</t>
        </is>
      </c>
      <c r="F101" s="44" t="n"/>
      <c r="G101" s="58">
        <f>IF($G$100="","",$G$100)</f>
        <v/>
      </c>
      <c r="H101" s="59" t="n"/>
      <c r="I101" s="59" t="n"/>
      <c r="J101" s="59" t="n"/>
      <c r="K101" s="59" t="n"/>
      <c r="L101" s="60">
        <f>IF(SUM(U101:AY101)=0,"",SUM(U101:AY101))</f>
        <v/>
      </c>
      <c r="M101" s="61">
        <f>IFERROR(INDEX(U$2:AY$2,MATCH(TRUE,INDEX(U101:AY101&lt;&gt;"",0),0)),"")</f>
        <v/>
      </c>
      <c r="N101" s="61">
        <f>IFERROR(LOOKUP(2,1/(U101:AY101&lt;&gt;""),U$2:AY$2),"")</f>
        <v/>
      </c>
      <c r="O101" s="59" t="n"/>
      <c r="P101" s="59" t="n"/>
      <c r="Q101" s="59" t="n"/>
      <c r="R101" s="59" t="n"/>
      <c r="S101" s="14" t="n"/>
      <c r="U101" s="53" t="n"/>
      <c r="V101" s="53" t="n"/>
      <c r="W101" s="53" t="n"/>
      <c r="X101" s="53" t="n"/>
      <c r="Y101" s="53" t="n"/>
      <c r="Z101" s="53" t="n"/>
      <c r="AA101" s="53" t="n"/>
      <c r="AB101" s="53" t="n"/>
      <c r="AC101" s="53" t="n"/>
      <c r="AD101" s="53" t="n"/>
      <c r="AE101" s="53" t="n"/>
      <c r="AF101" s="53" t="n"/>
      <c r="AG101" s="53" t="n"/>
      <c r="AH101" s="53" t="n"/>
      <c r="AI101" s="53" t="n"/>
      <c r="AJ101" s="53" t="n"/>
      <c r="AK101" s="53" t="n"/>
      <c r="AL101" s="53" t="n"/>
      <c r="AM101" s="53" t="n"/>
      <c r="AN101" s="53" t="n"/>
      <c r="AO101" s="53" t="n"/>
      <c r="AP101" s="53" t="n"/>
      <c r="AQ101" s="53" t="n"/>
      <c r="AR101" s="53" t="n"/>
      <c r="AS101" s="53" t="n"/>
      <c r="AT101" s="53" t="n"/>
      <c r="AU101" s="53" t="n"/>
      <c r="AV101" s="53" t="n"/>
      <c r="AW101" s="53" t="n"/>
      <c r="AX101" s="53" t="n"/>
      <c r="AY101" s="53" t="n"/>
    </row>
    <row r="102" ht="15" customHeight="1">
      <c r="A102" s="62" t="n"/>
      <c r="B102" s="55">
        <f>IF($B$100="","",$B$100)</f>
        <v/>
      </c>
      <c r="C102" s="63" t="inlineStr">
        <is>
          <t>마케팅2팀</t>
        </is>
      </c>
      <c r="D102" s="55">
        <f>IF($D$100="","",$D$100)</f>
        <v/>
      </c>
      <c r="E102" s="64" t="inlineStr">
        <is>
          <t>영상</t>
        </is>
      </c>
      <c r="F102" s="44" t="n"/>
      <c r="G102" s="58">
        <f>IF($G$100="","",$G$100)</f>
        <v/>
      </c>
      <c r="H102" s="59" t="n"/>
      <c r="I102" s="59" t="n"/>
      <c r="J102" s="59" t="n"/>
      <c r="K102" s="59" t="n"/>
      <c r="L102" s="65">
        <f>IF(SUM(U102:AY102)=0,"",SUM(U102:AY102))</f>
        <v/>
      </c>
      <c r="M102" s="66">
        <f>IFERROR(INDEX(U$2:AY$2,MATCH(TRUE,INDEX(U102:AY102&lt;&gt;"",0),0)),"")</f>
        <v/>
      </c>
      <c r="N102" s="66">
        <f>IFERROR(LOOKUP(2,1/(U102:AY102&lt;&gt;""),U$2:AY$2),"")</f>
        <v/>
      </c>
      <c r="O102" s="59" t="n"/>
      <c r="P102" s="59" t="n"/>
      <c r="Q102" s="59" t="n"/>
      <c r="R102" s="59" t="n"/>
      <c r="S102" s="14" t="n"/>
      <c r="U102" s="53" t="n"/>
      <c r="V102" s="53" t="n"/>
      <c r="W102" s="53" t="n"/>
      <c r="X102" s="53" t="n"/>
      <c r="Y102" s="53" t="n"/>
      <c r="Z102" s="53" t="n"/>
      <c r="AA102" s="53" t="n"/>
      <c r="AB102" s="53" t="n"/>
      <c r="AC102" s="53" t="n"/>
      <c r="AD102" s="53" t="n"/>
      <c r="AE102" s="53" t="n"/>
      <c r="AF102" s="53" t="n"/>
      <c r="AG102" s="53" t="n"/>
      <c r="AH102" s="53" t="n"/>
      <c r="AI102" s="53" t="n"/>
      <c r="AJ102" s="53" t="n"/>
      <c r="AK102" s="53" t="n"/>
      <c r="AL102" s="53" t="n"/>
      <c r="AM102" s="53" t="n"/>
      <c r="AN102" s="53" t="n"/>
      <c r="AO102" s="53" t="n"/>
      <c r="AP102" s="53" t="n"/>
      <c r="AQ102" s="53" t="n"/>
      <c r="AR102" s="53" t="n"/>
      <c r="AS102" s="53" t="n"/>
      <c r="AT102" s="53" t="n"/>
      <c r="AU102" s="53" t="n"/>
      <c r="AV102" s="53" t="n"/>
      <c r="AW102" s="53" t="n"/>
      <c r="AX102" s="53" t="n"/>
      <c r="AY102" s="53" t="n"/>
    </row>
    <row r="103" ht="15" customHeight="1">
      <c r="A103" s="40">
        <f>IF($D$103="","",32)</f>
        <v/>
      </c>
      <c r="B103" s="10" t="n"/>
      <c r="C103" s="41" t="inlineStr">
        <is>
          <t>마케팅2팀</t>
        </is>
      </c>
      <c r="D103" s="42" t="n"/>
      <c r="E103" s="43" t="inlineStr">
        <is>
          <t>기획</t>
        </is>
      </c>
      <c r="F103" s="44" t="n"/>
      <c r="G103" s="45" t="n"/>
      <c r="H103" s="46">
        <f>IF($I$103="","",IF($I$103&lt;0,"🔴지연",IF($I$103&lt;=1,"🟡임박","🟢여유")))</f>
        <v/>
      </c>
      <c r="I103" s="47">
        <f>IF(OR($G$103="",$K$103=""),"",$G$103-$K$103)</f>
        <v/>
      </c>
      <c r="J103" s="48">
        <f>IF(SUM($L$103:$L$105)=0,"",SUM($L$103:$L$105))</f>
        <v/>
      </c>
      <c r="K103" s="49">
        <f>IF($J$103="","",MAX($N$103:$N$105))</f>
        <v/>
      </c>
      <c r="L103" s="50">
        <f>IF(SUM(U103:AY103)=0,"",SUM(U103:AY103))</f>
        <v/>
      </c>
      <c r="M103" s="51">
        <f>IFERROR(INDEX(U$2:AY$2,MATCH(TRUE,INDEX(U103:AY103&lt;&gt;"",0),0)),"")</f>
        <v/>
      </c>
      <c r="N103" s="51">
        <f>IFERROR(LOOKUP(2,1/(U103:AY103&lt;&gt;""),U$2:AY$2),"")</f>
        <v/>
      </c>
      <c r="O103" s="52" t="n"/>
      <c r="P103" s="52" t="n"/>
      <c r="Q103" s="52" t="n"/>
      <c r="R103" s="44" t="n"/>
      <c r="S103" s="14" t="n"/>
      <c r="U103" s="53" t="n"/>
      <c r="V103" s="53" t="n"/>
      <c r="W103" s="53" t="n"/>
      <c r="X103" s="53" t="n"/>
      <c r="Y103" s="53" t="n"/>
      <c r="Z103" s="53" t="n"/>
      <c r="AA103" s="53" t="n"/>
      <c r="AB103" s="53" t="n"/>
      <c r="AC103" s="53" t="n"/>
      <c r="AD103" s="53" t="n"/>
      <c r="AE103" s="53" t="n"/>
      <c r="AF103" s="53" t="n"/>
      <c r="AG103" s="53" t="n"/>
      <c r="AH103" s="53" t="n"/>
      <c r="AI103" s="53" t="n"/>
      <c r="AJ103" s="53" t="n"/>
      <c r="AK103" s="53" t="n"/>
      <c r="AL103" s="53" t="n"/>
      <c r="AM103" s="53" t="n"/>
      <c r="AN103" s="53" t="n"/>
      <c r="AO103" s="53" t="n"/>
      <c r="AP103" s="53" t="n"/>
      <c r="AQ103" s="53" t="n"/>
      <c r="AR103" s="53" t="n"/>
      <c r="AS103" s="53" t="n"/>
      <c r="AT103" s="53" t="n"/>
      <c r="AU103" s="53" t="n"/>
      <c r="AV103" s="53" t="n"/>
      <c r="AW103" s="53" t="n"/>
      <c r="AX103" s="53" t="n"/>
      <c r="AY103" s="53" t="n"/>
    </row>
    <row r="104" ht="15" customHeight="1">
      <c r="A104" s="54" t="n"/>
      <c r="B104" s="55">
        <f>IF($B$103="","",$B$103)</f>
        <v/>
      </c>
      <c r="C104" s="56" t="inlineStr">
        <is>
          <t>마케팅2팀</t>
        </is>
      </c>
      <c r="D104" s="55">
        <f>IF($D$103="","",$D$103)</f>
        <v/>
      </c>
      <c r="E104" s="57" t="inlineStr">
        <is>
          <t>이미지</t>
        </is>
      </c>
      <c r="F104" s="44" t="n"/>
      <c r="G104" s="58">
        <f>IF($G$103="","",$G$103)</f>
        <v/>
      </c>
      <c r="H104" s="59" t="n"/>
      <c r="I104" s="59" t="n"/>
      <c r="J104" s="59" t="n"/>
      <c r="K104" s="59" t="n"/>
      <c r="L104" s="60">
        <f>IF(SUM(U104:AY104)=0,"",SUM(U104:AY104))</f>
        <v/>
      </c>
      <c r="M104" s="61">
        <f>IFERROR(INDEX(U$2:AY$2,MATCH(TRUE,INDEX(U104:AY104&lt;&gt;"",0),0)),"")</f>
        <v/>
      </c>
      <c r="N104" s="61">
        <f>IFERROR(LOOKUP(2,1/(U104:AY104&lt;&gt;""),U$2:AY$2),"")</f>
        <v/>
      </c>
      <c r="O104" s="59" t="n"/>
      <c r="P104" s="59" t="n"/>
      <c r="Q104" s="59" t="n"/>
      <c r="R104" s="59" t="n"/>
      <c r="S104" s="14" t="n"/>
      <c r="U104" s="53" t="n"/>
      <c r="V104" s="53" t="n"/>
      <c r="W104" s="53" t="n"/>
      <c r="X104" s="53" t="n"/>
      <c r="Y104" s="53" t="n"/>
      <c r="Z104" s="53" t="n"/>
      <c r="AA104" s="53" t="n"/>
      <c r="AB104" s="53" t="n"/>
      <c r="AC104" s="53" t="n"/>
      <c r="AD104" s="53" t="n"/>
      <c r="AE104" s="53" t="n"/>
      <c r="AF104" s="53" t="n"/>
      <c r="AG104" s="53" t="n"/>
      <c r="AH104" s="53" t="n"/>
      <c r="AI104" s="53" t="n"/>
      <c r="AJ104" s="53" t="n"/>
      <c r="AK104" s="53" t="n"/>
      <c r="AL104" s="53" t="n"/>
      <c r="AM104" s="53" t="n"/>
      <c r="AN104" s="53" t="n"/>
      <c r="AO104" s="53" t="n"/>
      <c r="AP104" s="53" t="n"/>
      <c r="AQ104" s="53" t="n"/>
      <c r="AR104" s="53" t="n"/>
      <c r="AS104" s="53" t="n"/>
      <c r="AT104" s="53" t="n"/>
      <c r="AU104" s="53" t="n"/>
      <c r="AV104" s="53" t="n"/>
      <c r="AW104" s="53" t="n"/>
      <c r="AX104" s="53" t="n"/>
      <c r="AY104" s="53" t="n"/>
    </row>
    <row r="105" ht="15" customHeight="1">
      <c r="A105" s="62" t="n"/>
      <c r="B105" s="55">
        <f>IF($B$103="","",$B$103)</f>
        <v/>
      </c>
      <c r="C105" s="63" t="inlineStr">
        <is>
          <t>마케팅2팀</t>
        </is>
      </c>
      <c r="D105" s="55">
        <f>IF($D$103="","",$D$103)</f>
        <v/>
      </c>
      <c r="E105" s="64" t="inlineStr">
        <is>
          <t>영상</t>
        </is>
      </c>
      <c r="F105" s="44" t="n"/>
      <c r="G105" s="58">
        <f>IF($G$103="","",$G$103)</f>
        <v/>
      </c>
      <c r="H105" s="59" t="n"/>
      <c r="I105" s="59" t="n"/>
      <c r="J105" s="59" t="n"/>
      <c r="K105" s="59" t="n"/>
      <c r="L105" s="65">
        <f>IF(SUM(U105:AY105)=0,"",SUM(U105:AY105))</f>
        <v/>
      </c>
      <c r="M105" s="66">
        <f>IFERROR(INDEX(U$2:AY$2,MATCH(TRUE,INDEX(U105:AY105&lt;&gt;"",0),0)),"")</f>
        <v/>
      </c>
      <c r="N105" s="66">
        <f>IFERROR(LOOKUP(2,1/(U105:AY105&lt;&gt;""),U$2:AY$2),"")</f>
        <v/>
      </c>
      <c r="O105" s="59" t="n"/>
      <c r="P105" s="59" t="n"/>
      <c r="Q105" s="59" t="n"/>
      <c r="R105" s="59" t="n"/>
      <c r="S105" s="14" t="n"/>
      <c r="U105" s="53" t="n"/>
      <c r="V105" s="53" t="n"/>
      <c r="W105" s="53" t="n"/>
      <c r="X105" s="53" t="n"/>
      <c r="Y105" s="53" t="n"/>
      <c r="Z105" s="53" t="n"/>
      <c r="AA105" s="53" t="n"/>
      <c r="AB105" s="53" t="n"/>
      <c r="AC105" s="53" t="n"/>
      <c r="AD105" s="53" t="n"/>
      <c r="AE105" s="53" t="n"/>
      <c r="AF105" s="53" t="n"/>
      <c r="AG105" s="53" t="n"/>
      <c r="AH105" s="53" t="n"/>
      <c r="AI105" s="53" t="n"/>
      <c r="AJ105" s="53" t="n"/>
      <c r="AK105" s="53" t="n"/>
      <c r="AL105" s="53" t="n"/>
      <c r="AM105" s="53" t="n"/>
      <c r="AN105" s="53" t="n"/>
      <c r="AO105" s="53" t="n"/>
      <c r="AP105" s="53" t="n"/>
      <c r="AQ105" s="53" t="n"/>
      <c r="AR105" s="53" t="n"/>
      <c r="AS105" s="53" t="n"/>
      <c r="AT105" s="53" t="n"/>
      <c r="AU105" s="53" t="n"/>
      <c r="AV105" s="53" t="n"/>
      <c r="AW105" s="53" t="n"/>
      <c r="AX105" s="53" t="n"/>
      <c r="AY105" s="53" t="n"/>
    </row>
    <row r="106" ht="15" customHeight="1">
      <c r="A106" s="40">
        <f>IF($D$106="","",33)</f>
        <v/>
      </c>
      <c r="B106" s="10" t="n"/>
      <c r="C106" s="41" t="inlineStr">
        <is>
          <t>마케팅2팀</t>
        </is>
      </c>
      <c r="D106" s="42" t="n"/>
      <c r="E106" s="43" t="inlineStr">
        <is>
          <t>기획</t>
        </is>
      </c>
      <c r="F106" s="44" t="n"/>
      <c r="G106" s="45" t="n"/>
      <c r="H106" s="46">
        <f>IF($I$106="","",IF($I$106&lt;0,"🔴지연",IF($I$106&lt;=1,"🟡임박","🟢여유")))</f>
        <v/>
      </c>
      <c r="I106" s="47">
        <f>IF(OR($G$106="",$K$106=""),"",$G$106-$K$106)</f>
        <v/>
      </c>
      <c r="J106" s="48">
        <f>IF(SUM($L$106:$L$108)=0,"",SUM($L$106:$L$108))</f>
        <v/>
      </c>
      <c r="K106" s="49">
        <f>IF($J$106="","",MAX($N$106:$N$108))</f>
        <v/>
      </c>
      <c r="L106" s="50">
        <f>IF(SUM(U106:AY106)=0,"",SUM(U106:AY106))</f>
        <v/>
      </c>
      <c r="M106" s="51">
        <f>IFERROR(INDEX(U$2:AY$2,MATCH(TRUE,INDEX(U106:AY106&lt;&gt;"",0),0)),"")</f>
        <v/>
      </c>
      <c r="N106" s="51">
        <f>IFERROR(LOOKUP(2,1/(U106:AY106&lt;&gt;""),U$2:AY$2),"")</f>
        <v/>
      </c>
      <c r="O106" s="52" t="n"/>
      <c r="P106" s="52" t="n"/>
      <c r="Q106" s="52" t="n"/>
      <c r="R106" s="44" t="n"/>
      <c r="S106" s="14" t="n"/>
      <c r="U106" s="53" t="n"/>
      <c r="V106" s="53" t="n"/>
      <c r="W106" s="53" t="n"/>
      <c r="X106" s="53" t="n"/>
      <c r="Y106" s="53" t="n"/>
      <c r="Z106" s="53" t="n"/>
      <c r="AA106" s="53" t="n"/>
      <c r="AB106" s="53" t="n"/>
      <c r="AC106" s="53" t="n"/>
      <c r="AD106" s="53" t="n"/>
      <c r="AE106" s="53" t="n"/>
      <c r="AF106" s="53" t="n"/>
      <c r="AG106" s="53" t="n"/>
      <c r="AH106" s="53" t="n"/>
      <c r="AI106" s="53" t="n"/>
      <c r="AJ106" s="53" t="n"/>
      <c r="AK106" s="53" t="n"/>
      <c r="AL106" s="53" t="n"/>
      <c r="AM106" s="53" t="n"/>
      <c r="AN106" s="53" t="n"/>
      <c r="AO106" s="53" t="n"/>
      <c r="AP106" s="53" t="n"/>
      <c r="AQ106" s="53" t="n"/>
      <c r="AR106" s="53" t="n"/>
      <c r="AS106" s="53" t="n"/>
      <c r="AT106" s="53" t="n"/>
      <c r="AU106" s="53" t="n"/>
      <c r="AV106" s="53" t="n"/>
      <c r="AW106" s="53" t="n"/>
      <c r="AX106" s="53" t="n"/>
      <c r="AY106" s="53" t="n"/>
    </row>
    <row r="107" ht="15" customHeight="1">
      <c r="A107" s="54" t="n"/>
      <c r="B107" s="55">
        <f>IF($B$106="","",$B$106)</f>
        <v/>
      </c>
      <c r="C107" s="56" t="inlineStr">
        <is>
          <t>마케팅2팀</t>
        </is>
      </c>
      <c r="D107" s="55">
        <f>IF($D$106="","",$D$106)</f>
        <v/>
      </c>
      <c r="E107" s="57" t="inlineStr">
        <is>
          <t>이미지</t>
        </is>
      </c>
      <c r="F107" s="44" t="n"/>
      <c r="G107" s="58">
        <f>IF($G$106="","",$G$106)</f>
        <v/>
      </c>
      <c r="H107" s="59" t="n"/>
      <c r="I107" s="59" t="n"/>
      <c r="J107" s="59" t="n"/>
      <c r="K107" s="59" t="n"/>
      <c r="L107" s="60">
        <f>IF(SUM(U107:AY107)=0,"",SUM(U107:AY107))</f>
        <v/>
      </c>
      <c r="M107" s="61">
        <f>IFERROR(INDEX(U$2:AY$2,MATCH(TRUE,INDEX(U107:AY107&lt;&gt;"",0),0)),"")</f>
        <v/>
      </c>
      <c r="N107" s="61">
        <f>IFERROR(LOOKUP(2,1/(U107:AY107&lt;&gt;""),U$2:AY$2),"")</f>
        <v/>
      </c>
      <c r="O107" s="59" t="n"/>
      <c r="P107" s="59" t="n"/>
      <c r="Q107" s="59" t="n"/>
      <c r="R107" s="59" t="n"/>
      <c r="S107" s="14" t="n"/>
      <c r="U107" s="53" t="n"/>
      <c r="V107" s="53" t="n"/>
      <c r="W107" s="53" t="n"/>
      <c r="X107" s="53" t="n"/>
      <c r="Y107" s="53" t="n"/>
      <c r="Z107" s="53" t="n"/>
      <c r="AA107" s="53" t="n"/>
      <c r="AB107" s="53" t="n"/>
      <c r="AC107" s="53" t="n"/>
      <c r="AD107" s="53" t="n"/>
      <c r="AE107" s="53" t="n"/>
      <c r="AF107" s="53" t="n"/>
      <c r="AG107" s="53" t="n"/>
      <c r="AH107" s="53" t="n"/>
      <c r="AI107" s="53" t="n"/>
      <c r="AJ107" s="53" t="n"/>
      <c r="AK107" s="53" t="n"/>
      <c r="AL107" s="53" t="n"/>
      <c r="AM107" s="53" t="n"/>
      <c r="AN107" s="53" t="n"/>
      <c r="AO107" s="53" t="n"/>
      <c r="AP107" s="53" t="n"/>
      <c r="AQ107" s="53" t="n"/>
      <c r="AR107" s="53" t="n"/>
      <c r="AS107" s="53" t="n"/>
      <c r="AT107" s="53" t="n"/>
      <c r="AU107" s="53" t="n"/>
      <c r="AV107" s="53" t="n"/>
      <c r="AW107" s="53" t="n"/>
      <c r="AX107" s="53" t="n"/>
      <c r="AY107" s="53" t="n"/>
    </row>
    <row r="108" ht="15" customHeight="1">
      <c r="A108" s="62" t="n"/>
      <c r="B108" s="55">
        <f>IF($B$106="","",$B$106)</f>
        <v/>
      </c>
      <c r="C108" s="63" t="inlineStr">
        <is>
          <t>마케팅2팀</t>
        </is>
      </c>
      <c r="D108" s="55">
        <f>IF($D$106="","",$D$106)</f>
        <v/>
      </c>
      <c r="E108" s="64" t="inlineStr">
        <is>
          <t>영상</t>
        </is>
      </c>
      <c r="F108" s="44" t="n"/>
      <c r="G108" s="58">
        <f>IF($G$106="","",$G$106)</f>
        <v/>
      </c>
      <c r="H108" s="59" t="n"/>
      <c r="I108" s="59" t="n"/>
      <c r="J108" s="59" t="n"/>
      <c r="K108" s="59" t="n"/>
      <c r="L108" s="65">
        <f>IF(SUM(U108:AY108)=0,"",SUM(U108:AY108))</f>
        <v/>
      </c>
      <c r="M108" s="66">
        <f>IFERROR(INDEX(U$2:AY$2,MATCH(TRUE,INDEX(U108:AY108&lt;&gt;"",0),0)),"")</f>
        <v/>
      </c>
      <c r="N108" s="66">
        <f>IFERROR(LOOKUP(2,1/(U108:AY108&lt;&gt;""),U$2:AY$2),"")</f>
        <v/>
      </c>
      <c r="O108" s="59" t="n"/>
      <c r="P108" s="59" t="n"/>
      <c r="Q108" s="59" t="n"/>
      <c r="R108" s="59" t="n"/>
      <c r="S108" s="14" t="n"/>
      <c r="U108" s="53" t="n"/>
      <c r="V108" s="53" t="n"/>
      <c r="W108" s="53" t="n"/>
      <c r="X108" s="53" t="n"/>
      <c r="Y108" s="53" t="n"/>
      <c r="Z108" s="53" t="n"/>
      <c r="AA108" s="53" t="n"/>
      <c r="AB108" s="53" t="n"/>
      <c r="AC108" s="53" t="n"/>
      <c r="AD108" s="53" t="n"/>
      <c r="AE108" s="53" t="n"/>
      <c r="AF108" s="53" t="n"/>
      <c r="AG108" s="53" t="n"/>
      <c r="AH108" s="53" t="n"/>
      <c r="AI108" s="53" t="n"/>
      <c r="AJ108" s="53" t="n"/>
      <c r="AK108" s="53" t="n"/>
      <c r="AL108" s="53" t="n"/>
      <c r="AM108" s="53" t="n"/>
      <c r="AN108" s="53" t="n"/>
      <c r="AO108" s="53" t="n"/>
      <c r="AP108" s="53" t="n"/>
      <c r="AQ108" s="53" t="n"/>
      <c r="AR108" s="53" t="n"/>
      <c r="AS108" s="53" t="n"/>
      <c r="AT108" s="53" t="n"/>
      <c r="AU108" s="53" t="n"/>
      <c r="AV108" s="53" t="n"/>
      <c r="AW108" s="53" t="n"/>
      <c r="AX108" s="53" t="n"/>
      <c r="AY108" s="53" t="n"/>
    </row>
    <row r="109" ht="15" customHeight="1">
      <c r="A109" s="40">
        <f>IF($D$109="","",34)</f>
        <v/>
      </c>
      <c r="B109" s="10" t="n"/>
      <c r="C109" s="41" t="inlineStr">
        <is>
          <t>마케팅2팀</t>
        </is>
      </c>
      <c r="D109" s="42" t="n"/>
      <c r="E109" s="43" t="inlineStr">
        <is>
          <t>기획</t>
        </is>
      </c>
      <c r="F109" s="44" t="n"/>
      <c r="G109" s="45" t="n"/>
      <c r="H109" s="46">
        <f>IF($I$109="","",IF($I$109&lt;0,"🔴지연",IF($I$109&lt;=1,"🟡임박","🟢여유")))</f>
        <v/>
      </c>
      <c r="I109" s="47">
        <f>IF(OR($G$109="",$K$109=""),"",$G$109-$K$109)</f>
        <v/>
      </c>
      <c r="J109" s="48">
        <f>IF(SUM($L$109:$L$111)=0,"",SUM($L$109:$L$111))</f>
        <v/>
      </c>
      <c r="K109" s="49">
        <f>IF($J$109="","",MAX($N$109:$N$111))</f>
        <v/>
      </c>
      <c r="L109" s="50">
        <f>IF(SUM(U109:AY109)=0,"",SUM(U109:AY109))</f>
        <v/>
      </c>
      <c r="M109" s="51">
        <f>IFERROR(INDEX(U$2:AY$2,MATCH(TRUE,INDEX(U109:AY109&lt;&gt;"",0),0)),"")</f>
        <v/>
      </c>
      <c r="N109" s="51">
        <f>IFERROR(LOOKUP(2,1/(U109:AY109&lt;&gt;""),U$2:AY$2),"")</f>
        <v/>
      </c>
      <c r="O109" s="52" t="n"/>
      <c r="P109" s="52" t="n"/>
      <c r="Q109" s="52" t="n"/>
      <c r="R109" s="44" t="n"/>
      <c r="S109" s="14" t="n"/>
      <c r="U109" s="53" t="n"/>
      <c r="V109" s="53" t="n"/>
      <c r="W109" s="53" t="n"/>
      <c r="X109" s="53" t="n"/>
      <c r="Y109" s="53" t="n"/>
      <c r="Z109" s="53" t="n"/>
      <c r="AA109" s="53" t="n"/>
      <c r="AB109" s="53" t="n"/>
      <c r="AC109" s="53" t="n"/>
      <c r="AD109" s="53" t="n"/>
      <c r="AE109" s="53" t="n"/>
      <c r="AF109" s="53" t="n"/>
      <c r="AG109" s="53" t="n"/>
      <c r="AH109" s="53" t="n"/>
      <c r="AI109" s="53" t="n"/>
      <c r="AJ109" s="53" t="n"/>
      <c r="AK109" s="53" t="n"/>
      <c r="AL109" s="53" t="n"/>
      <c r="AM109" s="53" t="n"/>
      <c r="AN109" s="53" t="n"/>
      <c r="AO109" s="53" t="n"/>
      <c r="AP109" s="53" t="n"/>
      <c r="AQ109" s="53" t="n"/>
      <c r="AR109" s="53" t="n"/>
      <c r="AS109" s="53" t="n"/>
      <c r="AT109" s="53" t="n"/>
      <c r="AU109" s="53" t="n"/>
      <c r="AV109" s="53" t="n"/>
      <c r="AW109" s="53" t="n"/>
      <c r="AX109" s="53" t="n"/>
      <c r="AY109" s="53" t="n"/>
    </row>
    <row r="110" ht="15" customHeight="1">
      <c r="A110" s="54" t="n"/>
      <c r="B110" s="55">
        <f>IF($B$109="","",$B$109)</f>
        <v/>
      </c>
      <c r="C110" s="56" t="inlineStr">
        <is>
          <t>마케팅2팀</t>
        </is>
      </c>
      <c r="D110" s="55">
        <f>IF($D$109="","",$D$109)</f>
        <v/>
      </c>
      <c r="E110" s="57" t="inlineStr">
        <is>
          <t>이미지</t>
        </is>
      </c>
      <c r="F110" s="44" t="n"/>
      <c r="G110" s="58">
        <f>IF($G$109="","",$G$109)</f>
        <v/>
      </c>
      <c r="H110" s="59" t="n"/>
      <c r="I110" s="59" t="n"/>
      <c r="J110" s="59" t="n"/>
      <c r="K110" s="59" t="n"/>
      <c r="L110" s="60">
        <f>IF(SUM(U110:AY110)=0,"",SUM(U110:AY110))</f>
        <v/>
      </c>
      <c r="M110" s="61">
        <f>IFERROR(INDEX(U$2:AY$2,MATCH(TRUE,INDEX(U110:AY110&lt;&gt;"",0),0)),"")</f>
        <v/>
      </c>
      <c r="N110" s="61">
        <f>IFERROR(LOOKUP(2,1/(U110:AY110&lt;&gt;""),U$2:AY$2),"")</f>
        <v/>
      </c>
      <c r="O110" s="59" t="n"/>
      <c r="P110" s="59" t="n"/>
      <c r="Q110" s="59" t="n"/>
      <c r="R110" s="59" t="n"/>
      <c r="S110" s="14" t="n"/>
      <c r="U110" s="53" t="n"/>
      <c r="V110" s="53" t="n"/>
      <c r="W110" s="53" t="n"/>
      <c r="X110" s="53" t="n"/>
      <c r="Y110" s="53" t="n"/>
      <c r="Z110" s="53" t="n"/>
      <c r="AA110" s="53" t="n"/>
      <c r="AB110" s="53" t="n"/>
      <c r="AC110" s="53" t="n"/>
      <c r="AD110" s="53" t="n"/>
      <c r="AE110" s="53" t="n"/>
      <c r="AF110" s="53" t="n"/>
      <c r="AG110" s="53" t="n"/>
      <c r="AH110" s="53" t="n"/>
      <c r="AI110" s="53" t="n"/>
      <c r="AJ110" s="53" t="n"/>
      <c r="AK110" s="53" t="n"/>
      <c r="AL110" s="53" t="n"/>
      <c r="AM110" s="53" t="n"/>
      <c r="AN110" s="53" t="n"/>
      <c r="AO110" s="53" t="n"/>
      <c r="AP110" s="53" t="n"/>
      <c r="AQ110" s="53" t="n"/>
      <c r="AR110" s="53" t="n"/>
      <c r="AS110" s="53" t="n"/>
      <c r="AT110" s="53" t="n"/>
      <c r="AU110" s="53" t="n"/>
      <c r="AV110" s="53" t="n"/>
      <c r="AW110" s="53" t="n"/>
      <c r="AX110" s="53" t="n"/>
      <c r="AY110" s="53" t="n"/>
    </row>
    <row r="111" ht="15" customHeight="1">
      <c r="A111" s="62" t="n"/>
      <c r="B111" s="55">
        <f>IF($B$109="","",$B$109)</f>
        <v/>
      </c>
      <c r="C111" s="63" t="inlineStr">
        <is>
          <t>마케팅2팀</t>
        </is>
      </c>
      <c r="D111" s="55">
        <f>IF($D$109="","",$D$109)</f>
        <v/>
      </c>
      <c r="E111" s="64" t="inlineStr">
        <is>
          <t>영상</t>
        </is>
      </c>
      <c r="F111" s="44" t="n"/>
      <c r="G111" s="58">
        <f>IF($G$109="","",$G$109)</f>
        <v/>
      </c>
      <c r="H111" s="59" t="n"/>
      <c r="I111" s="59" t="n"/>
      <c r="J111" s="59" t="n"/>
      <c r="K111" s="59" t="n"/>
      <c r="L111" s="65">
        <f>IF(SUM(U111:AY111)=0,"",SUM(U111:AY111))</f>
        <v/>
      </c>
      <c r="M111" s="66">
        <f>IFERROR(INDEX(U$2:AY$2,MATCH(TRUE,INDEX(U111:AY111&lt;&gt;"",0),0)),"")</f>
        <v/>
      </c>
      <c r="N111" s="66">
        <f>IFERROR(LOOKUP(2,1/(U111:AY111&lt;&gt;""),U$2:AY$2),"")</f>
        <v/>
      </c>
      <c r="O111" s="59" t="n"/>
      <c r="P111" s="59" t="n"/>
      <c r="Q111" s="59" t="n"/>
      <c r="R111" s="59" t="n"/>
      <c r="S111" s="14" t="n"/>
      <c r="U111" s="53" t="n"/>
      <c r="V111" s="53" t="n"/>
      <c r="W111" s="53" t="n"/>
      <c r="X111" s="53" t="n"/>
      <c r="Y111" s="53" t="n"/>
      <c r="Z111" s="53" t="n"/>
      <c r="AA111" s="53" t="n"/>
      <c r="AB111" s="53" t="n"/>
      <c r="AC111" s="53" t="n"/>
      <c r="AD111" s="53" t="n"/>
      <c r="AE111" s="53" t="n"/>
      <c r="AF111" s="53" t="n"/>
      <c r="AG111" s="53" t="n"/>
      <c r="AH111" s="53" t="n"/>
      <c r="AI111" s="53" t="n"/>
      <c r="AJ111" s="53" t="n"/>
      <c r="AK111" s="53" t="n"/>
      <c r="AL111" s="53" t="n"/>
      <c r="AM111" s="53" t="n"/>
      <c r="AN111" s="53" t="n"/>
      <c r="AO111" s="53" t="n"/>
      <c r="AP111" s="53" t="n"/>
      <c r="AQ111" s="53" t="n"/>
      <c r="AR111" s="53" t="n"/>
      <c r="AS111" s="53" t="n"/>
      <c r="AT111" s="53" t="n"/>
      <c r="AU111" s="53" t="n"/>
      <c r="AV111" s="53" t="n"/>
      <c r="AW111" s="53" t="n"/>
      <c r="AX111" s="53" t="n"/>
      <c r="AY111" s="53" t="n"/>
    </row>
    <row r="112" ht="15" customHeight="1">
      <c r="A112" s="40">
        <f>IF($D$112="","",35)</f>
        <v/>
      </c>
      <c r="B112" s="10" t="n"/>
      <c r="C112" s="41" t="inlineStr">
        <is>
          <t>마케팅2팀</t>
        </is>
      </c>
      <c r="D112" s="42" t="n"/>
      <c r="E112" s="43" t="inlineStr">
        <is>
          <t>기획</t>
        </is>
      </c>
      <c r="F112" s="44" t="n"/>
      <c r="G112" s="45" t="n"/>
      <c r="H112" s="46">
        <f>IF($I$112="","",IF($I$112&lt;0,"🔴지연",IF($I$112&lt;=1,"🟡임박","🟢여유")))</f>
        <v/>
      </c>
      <c r="I112" s="47">
        <f>IF(OR($G$112="",$K$112=""),"",$G$112-$K$112)</f>
        <v/>
      </c>
      <c r="J112" s="48">
        <f>IF(SUM($L$112:$L$114)=0,"",SUM($L$112:$L$114))</f>
        <v/>
      </c>
      <c r="K112" s="49">
        <f>IF($J$112="","",MAX($N$112:$N$114))</f>
        <v/>
      </c>
      <c r="L112" s="50">
        <f>IF(SUM(U112:AY112)=0,"",SUM(U112:AY112))</f>
        <v/>
      </c>
      <c r="M112" s="51">
        <f>IFERROR(INDEX(U$2:AY$2,MATCH(TRUE,INDEX(U112:AY112&lt;&gt;"",0),0)),"")</f>
        <v/>
      </c>
      <c r="N112" s="51">
        <f>IFERROR(LOOKUP(2,1/(U112:AY112&lt;&gt;""),U$2:AY$2),"")</f>
        <v/>
      </c>
      <c r="O112" s="52" t="n"/>
      <c r="P112" s="52" t="n"/>
      <c r="Q112" s="52" t="n"/>
      <c r="R112" s="44" t="n"/>
      <c r="S112" s="14" t="n"/>
      <c r="U112" s="53" t="n"/>
      <c r="V112" s="53" t="n"/>
      <c r="W112" s="53" t="n"/>
      <c r="X112" s="53" t="n"/>
      <c r="Y112" s="53" t="n"/>
      <c r="Z112" s="53" t="n"/>
      <c r="AA112" s="53" t="n"/>
      <c r="AB112" s="53" t="n"/>
      <c r="AC112" s="53" t="n"/>
      <c r="AD112" s="53" t="n"/>
      <c r="AE112" s="53" t="n"/>
      <c r="AF112" s="53" t="n"/>
      <c r="AG112" s="53" t="n"/>
      <c r="AH112" s="53" t="n"/>
      <c r="AI112" s="53" t="n"/>
      <c r="AJ112" s="53" t="n"/>
      <c r="AK112" s="53" t="n"/>
      <c r="AL112" s="53" t="n"/>
      <c r="AM112" s="53" t="n"/>
      <c r="AN112" s="53" t="n"/>
      <c r="AO112" s="53" t="n"/>
      <c r="AP112" s="53" t="n"/>
      <c r="AQ112" s="53" t="n"/>
      <c r="AR112" s="53" t="n"/>
      <c r="AS112" s="53" t="n"/>
      <c r="AT112" s="53" t="n"/>
      <c r="AU112" s="53" t="n"/>
      <c r="AV112" s="53" t="n"/>
      <c r="AW112" s="53" t="n"/>
      <c r="AX112" s="53" t="n"/>
      <c r="AY112" s="53" t="n"/>
    </row>
    <row r="113" ht="15" customHeight="1">
      <c r="A113" s="54" t="n"/>
      <c r="B113" s="55">
        <f>IF($B$112="","",$B$112)</f>
        <v/>
      </c>
      <c r="C113" s="56" t="inlineStr">
        <is>
          <t>마케팅2팀</t>
        </is>
      </c>
      <c r="D113" s="55">
        <f>IF($D$112="","",$D$112)</f>
        <v/>
      </c>
      <c r="E113" s="57" t="inlineStr">
        <is>
          <t>이미지</t>
        </is>
      </c>
      <c r="F113" s="44" t="n"/>
      <c r="G113" s="58">
        <f>IF($G$112="","",$G$112)</f>
        <v/>
      </c>
      <c r="H113" s="59" t="n"/>
      <c r="I113" s="59" t="n"/>
      <c r="J113" s="59" t="n"/>
      <c r="K113" s="59" t="n"/>
      <c r="L113" s="60">
        <f>IF(SUM(U113:AY113)=0,"",SUM(U113:AY113))</f>
        <v/>
      </c>
      <c r="M113" s="61">
        <f>IFERROR(INDEX(U$2:AY$2,MATCH(TRUE,INDEX(U113:AY113&lt;&gt;"",0),0)),"")</f>
        <v/>
      </c>
      <c r="N113" s="61">
        <f>IFERROR(LOOKUP(2,1/(U113:AY113&lt;&gt;""),U$2:AY$2),"")</f>
        <v/>
      </c>
      <c r="O113" s="59" t="n"/>
      <c r="P113" s="59" t="n"/>
      <c r="Q113" s="59" t="n"/>
      <c r="R113" s="59" t="n"/>
      <c r="S113" s="14" t="n"/>
      <c r="U113" s="53" t="n"/>
      <c r="V113" s="53" t="n"/>
      <c r="W113" s="53" t="n"/>
      <c r="X113" s="53" t="n"/>
      <c r="Y113" s="53" t="n"/>
      <c r="Z113" s="53" t="n"/>
      <c r="AA113" s="53" t="n"/>
      <c r="AB113" s="53" t="n"/>
      <c r="AC113" s="53" t="n"/>
      <c r="AD113" s="53" t="n"/>
      <c r="AE113" s="53" t="n"/>
      <c r="AF113" s="53" t="n"/>
      <c r="AG113" s="53" t="n"/>
      <c r="AH113" s="53" t="n"/>
      <c r="AI113" s="53" t="n"/>
      <c r="AJ113" s="53" t="n"/>
      <c r="AK113" s="53" t="n"/>
      <c r="AL113" s="53" t="n"/>
      <c r="AM113" s="53" t="n"/>
      <c r="AN113" s="53" t="n"/>
      <c r="AO113" s="53" t="n"/>
      <c r="AP113" s="53" t="n"/>
      <c r="AQ113" s="53" t="n"/>
      <c r="AR113" s="53" t="n"/>
      <c r="AS113" s="53" t="n"/>
      <c r="AT113" s="53" t="n"/>
      <c r="AU113" s="53" t="n"/>
      <c r="AV113" s="53" t="n"/>
      <c r="AW113" s="53" t="n"/>
      <c r="AX113" s="53" t="n"/>
      <c r="AY113" s="53" t="n"/>
    </row>
    <row r="114" ht="15" customHeight="1">
      <c r="A114" s="62" t="n"/>
      <c r="B114" s="55">
        <f>IF($B$112="","",$B$112)</f>
        <v/>
      </c>
      <c r="C114" s="63" t="inlineStr">
        <is>
          <t>마케팅2팀</t>
        </is>
      </c>
      <c r="D114" s="55">
        <f>IF($D$112="","",$D$112)</f>
        <v/>
      </c>
      <c r="E114" s="64" t="inlineStr">
        <is>
          <t>영상</t>
        </is>
      </c>
      <c r="F114" s="44" t="n"/>
      <c r="G114" s="58">
        <f>IF($G$112="","",$G$112)</f>
        <v/>
      </c>
      <c r="H114" s="59" t="n"/>
      <c r="I114" s="59" t="n"/>
      <c r="J114" s="59" t="n"/>
      <c r="K114" s="59" t="n"/>
      <c r="L114" s="65">
        <f>IF(SUM(U114:AY114)=0,"",SUM(U114:AY114))</f>
        <v/>
      </c>
      <c r="M114" s="66">
        <f>IFERROR(INDEX(U$2:AY$2,MATCH(TRUE,INDEX(U114:AY114&lt;&gt;"",0),0)),"")</f>
        <v/>
      </c>
      <c r="N114" s="66">
        <f>IFERROR(LOOKUP(2,1/(U114:AY114&lt;&gt;""),U$2:AY$2),"")</f>
        <v/>
      </c>
      <c r="O114" s="59" t="n"/>
      <c r="P114" s="59" t="n"/>
      <c r="Q114" s="59" t="n"/>
      <c r="R114" s="59" t="n"/>
      <c r="S114" s="14" t="n"/>
      <c r="U114" s="53" t="n"/>
      <c r="V114" s="53" t="n"/>
      <c r="W114" s="53" t="n"/>
      <c r="X114" s="53" t="n"/>
      <c r="Y114" s="53" t="n"/>
      <c r="Z114" s="53" t="n"/>
      <c r="AA114" s="53" t="n"/>
      <c r="AB114" s="53" t="n"/>
      <c r="AC114" s="53" t="n"/>
      <c r="AD114" s="53" t="n"/>
      <c r="AE114" s="53" t="n"/>
      <c r="AF114" s="53" t="n"/>
      <c r="AG114" s="53" t="n"/>
      <c r="AH114" s="53" t="n"/>
      <c r="AI114" s="53" t="n"/>
      <c r="AJ114" s="53" t="n"/>
      <c r="AK114" s="53" t="n"/>
      <c r="AL114" s="53" t="n"/>
      <c r="AM114" s="53" t="n"/>
      <c r="AN114" s="53" t="n"/>
      <c r="AO114" s="53" t="n"/>
      <c r="AP114" s="53" t="n"/>
      <c r="AQ114" s="53" t="n"/>
      <c r="AR114" s="53" t="n"/>
      <c r="AS114" s="53" t="n"/>
      <c r="AT114" s="53" t="n"/>
      <c r="AU114" s="53" t="n"/>
      <c r="AV114" s="53" t="n"/>
      <c r="AW114" s="53" t="n"/>
      <c r="AX114" s="53" t="n"/>
      <c r="AY114" s="53" t="n"/>
    </row>
    <row r="115" ht="15" customHeight="1">
      <c r="A115" s="40">
        <f>IF($D$115="","",36)</f>
        <v/>
      </c>
      <c r="B115" s="10" t="n"/>
      <c r="C115" s="41" t="inlineStr">
        <is>
          <t>마케팅2팀</t>
        </is>
      </c>
      <c r="D115" s="42" t="n"/>
      <c r="E115" s="43" t="inlineStr">
        <is>
          <t>기획</t>
        </is>
      </c>
      <c r="F115" s="44" t="n"/>
      <c r="G115" s="45" t="n"/>
      <c r="H115" s="46">
        <f>IF($I$115="","",IF($I$115&lt;0,"🔴지연",IF($I$115&lt;=1,"🟡임박","🟢여유")))</f>
        <v/>
      </c>
      <c r="I115" s="47">
        <f>IF(OR($G$115="",$K$115=""),"",$G$115-$K$115)</f>
        <v/>
      </c>
      <c r="J115" s="48">
        <f>IF(SUM($L$115:$L$117)=0,"",SUM($L$115:$L$117))</f>
        <v/>
      </c>
      <c r="K115" s="49">
        <f>IF($J$115="","",MAX($N$115:$N$117))</f>
        <v/>
      </c>
      <c r="L115" s="50">
        <f>IF(SUM(U115:AY115)=0,"",SUM(U115:AY115))</f>
        <v/>
      </c>
      <c r="M115" s="51">
        <f>IFERROR(INDEX(U$2:AY$2,MATCH(TRUE,INDEX(U115:AY115&lt;&gt;"",0),0)),"")</f>
        <v/>
      </c>
      <c r="N115" s="51">
        <f>IFERROR(LOOKUP(2,1/(U115:AY115&lt;&gt;""),U$2:AY$2),"")</f>
        <v/>
      </c>
      <c r="O115" s="52" t="n"/>
      <c r="P115" s="52" t="n"/>
      <c r="Q115" s="52" t="n"/>
      <c r="R115" s="44" t="n"/>
      <c r="S115" s="14" t="n"/>
      <c r="U115" s="53" t="n"/>
      <c r="V115" s="53" t="n"/>
      <c r="W115" s="53" t="n"/>
      <c r="X115" s="53" t="n"/>
      <c r="Y115" s="53" t="n"/>
      <c r="Z115" s="53" t="n"/>
      <c r="AA115" s="53" t="n"/>
      <c r="AB115" s="53" t="n"/>
      <c r="AC115" s="53" t="n"/>
      <c r="AD115" s="53" t="n"/>
      <c r="AE115" s="53" t="n"/>
      <c r="AF115" s="53" t="n"/>
      <c r="AG115" s="53" t="n"/>
      <c r="AH115" s="53" t="n"/>
      <c r="AI115" s="53" t="n"/>
      <c r="AJ115" s="53" t="n"/>
      <c r="AK115" s="53" t="n"/>
      <c r="AL115" s="53" t="n"/>
      <c r="AM115" s="53" t="n"/>
      <c r="AN115" s="53" t="n"/>
      <c r="AO115" s="53" t="n"/>
      <c r="AP115" s="53" t="n"/>
      <c r="AQ115" s="53" t="n"/>
      <c r="AR115" s="53" t="n"/>
      <c r="AS115" s="53" t="n"/>
      <c r="AT115" s="53" t="n"/>
      <c r="AU115" s="53" t="n"/>
      <c r="AV115" s="53" t="n"/>
      <c r="AW115" s="53" t="n"/>
      <c r="AX115" s="53" t="n"/>
      <c r="AY115" s="53" t="n"/>
    </row>
    <row r="116" ht="15" customHeight="1">
      <c r="A116" s="54" t="n"/>
      <c r="B116" s="55">
        <f>IF($B$115="","",$B$115)</f>
        <v/>
      </c>
      <c r="C116" s="56" t="inlineStr">
        <is>
          <t>마케팅2팀</t>
        </is>
      </c>
      <c r="D116" s="55">
        <f>IF($D$115="","",$D$115)</f>
        <v/>
      </c>
      <c r="E116" s="57" t="inlineStr">
        <is>
          <t>이미지</t>
        </is>
      </c>
      <c r="F116" s="44" t="n"/>
      <c r="G116" s="58">
        <f>IF($G$115="","",$G$115)</f>
        <v/>
      </c>
      <c r="H116" s="59" t="n"/>
      <c r="I116" s="59" t="n"/>
      <c r="J116" s="59" t="n"/>
      <c r="K116" s="59" t="n"/>
      <c r="L116" s="60">
        <f>IF(SUM(U116:AY116)=0,"",SUM(U116:AY116))</f>
        <v/>
      </c>
      <c r="M116" s="61">
        <f>IFERROR(INDEX(U$2:AY$2,MATCH(TRUE,INDEX(U116:AY116&lt;&gt;"",0),0)),"")</f>
        <v/>
      </c>
      <c r="N116" s="61">
        <f>IFERROR(LOOKUP(2,1/(U116:AY116&lt;&gt;""),U$2:AY$2),"")</f>
        <v/>
      </c>
      <c r="O116" s="59" t="n"/>
      <c r="P116" s="59" t="n"/>
      <c r="Q116" s="59" t="n"/>
      <c r="R116" s="59" t="n"/>
      <c r="S116" s="14" t="n"/>
      <c r="U116" s="53" t="n"/>
      <c r="V116" s="53" t="n"/>
      <c r="W116" s="53" t="n"/>
      <c r="X116" s="53" t="n"/>
      <c r="Y116" s="53" t="n"/>
      <c r="Z116" s="53" t="n"/>
      <c r="AA116" s="53" t="n"/>
      <c r="AB116" s="53" t="n"/>
      <c r="AC116" s="53" t="n"/>
      <c r="AD116" s="53" t="n"/>
      <c r="AE116" s="53" t="n"/>
      <c r="AF116" s="53" t="n"/>
      <c r="AG116" s="53" t="n"/>
      <c r="AH116" s="53" t="n"/>
      <c r="AI116" s="53" t="n"/>
      <c r="AJ116" s="53" t="n"/>
      <c r="AK116" s="53" t="n"/>
      <c r="AL116" s="53" t="n"/>
      <c r="AM116" s="53" t="n"/>
      <c r="AN116" s="53" t="n"/>
      <c r="AO116" s="53" t="n"/>
      <c r="AP116" s="53" t="n"/>
      <c r="AQ116" s="53" t="n"/>
      <c r="AR116" s="53" t="n"/>
      <c r="AS116" s="53" t="n"/>
      <c r="AT116" s="53" t="n"/>
      <c r="AU116" s="53" t="n"/>
      <c r="AV116" s="53" t="n"/>
      <c r="AW116" s="53" t="n"/>
      <c r="AX116" s="53" t="n"/>
      <c r="AY116" s="53" t="n"/>
    </row>
    <row r="117" ht="15" customHeight="1">
      <c r="A117" s="62" t="n"/>
      <c r="B117" s="55">
        <f>IF($B$115="","",$B$115)</f>
        <v/>
      </c>
      <c r="C117" s="63" t="inlineStr">
        <is>
          <t>마케팅2팀</t>
        </is>
      </c>
      <c r="D117" s="55">
        <f>IF($D$115="","",$D$115)</f>
        <v/>
      </c>
      <c r="E117" s="64" t="inlineStr">
        <is>
          <t>영상</t>
        </is>
      </c>
      <c r="F117" s="44" t="n"/>
      <c r="G117" s="58">
        <f>IF($G$115="","",$G$115)</f>
        <v/>
      </c>
      <c r="H117" s="59" t="n"/>
      <c r="I117" s="59" t="n"/>
      <c r="J117" s="59" t="n"/>
      <c r="K117" s="59" t="n"/>
      <c r="L117" s="65">
        <f>IF(SUM(U117:AY117)=0,"",SUM(U117:AY117))</f>
        <v/>
      </c>
      <c r="M117" s="66">
        <f>IFERROR(INDEX(U$2:AY$2,MATCH(TRUE,INDEX(U117:AY117&lt;&gt;"",0),0)),"")</f>
        <v/>
      </c>
      <c r="N117" s="66">
        <f>IFERROR(LOOKUP(2,1/(U117:AY117&lt;&gt;""),U$2:AY$2),"")</f>
        <v/>
      </c>
      <c r="O117" s="59" t="n"/>
      <c r="P117" s="59" t="n"/>
      <c r="Q117" s="59" t="n"/>
      <c r="R117" s="59" t="n"/>
      <c r="S117" s="14" t="n"/>
      <c r="U117" s="53" t="n"/>
      <c r="V117" s="53" t="n"/>
      <c r="W117" s="53" t="n"/>
      <c r="X117" s="53" t="n"/>
      <c r="Y117" s="53" t="n"/>
      <c r="Z117" s="53" t="n"/>
      <c r="AA117" s="53" t="n"/>
      <c r="AB117" s="53" t="n"/>
      <c r="AC117" s="53" t="n"/>
      <c r="AD117" s="53" t="n"/>
      <c r="AE117" s="53" t="n"/>
      <c r="AF117" s="53" t="n"/>
      <c r="AG117" s="53" t="n"/>
      <c r="AH117" s="53" t="n"/>
      <c r="AI117" s="53" t="n"/>
      <c r="AJ117" s="53" t="n"/>
      <c r="AK117" s="53" t="n"/>
      <c r="AL117" s="53" t="n"/>
      <c r="AM117" s="53" t="n"/>
      <c r="AN117" s="53" t="n"/>
      <c r="AO117" s="53" t="n"/>
      <c r="AP117" s="53" t="n"/>
      <c r="AQ117" s="53" t="n"/>
      <c r="AR117" s="53" t="n"/>
      <c r="AS117" s="53" t="n"/>
      <c r="AT117" s="53" t="n"/>
      <c r="AU117" s="53" t="n"/>
      <c r="AV117" s="53" t="n"/>
      <c r="AW117" s="53" t="n"/>
      <c r="AX117" s="53" t="n"/>
      <c r="AY117" s="53" t="n"/>
    </row>
    <row r="118" ht="15" customHeight="1">
      <c r="A118" s="40">
        <f>IF($D$118="","",37)</f>
        <v/>
      </c>
      <c r="B118" s="10" t="n"/>
      <c r="C118" s="41" t="inlineStr">
        <is>
          <t>마케팅2팀</t>
        </is>
      </c>
      <c r="D118" s="42" t="n"/>
      <c r="E118" s="43" t="inlineStr">
        <is>
          <t>기획</t>
        </is>
      </c>
      <c r="F118" s="44" t="n"/>
      <c r="G118" s="45" t="n"/>
      <c r="H118" s="46">
        <f>IF($I$118="","",IF($I$118&lt;0,"🔴지연",IF($I$118&lt;=1,"🟡임박","🟢여유")))</f>
        <v/>
      </c>
      <c r="I118" s="47">
        <f>IF(OR($G$118="",$K$118=""),"",$G$118-$K$118)</f>
        <v/>
      </c>
      <c r="J118" s="48">
        <f>IF(SUM($L$118:$L$120)=0,"",SUM($L$118:$L$120))</f>
        <v/>
      </c>
      <c r="K118" s="49">
        <f>IF($J$118="","",MAX($N$118:$N$120))</f>
        <v/>
      </c>
      <c r="L118" s="50">
        <f>IF(SUM(U118:AY118)=0,"",SUM(U118:AY118))</f>
        <v/>
      </c>
      <c r="M118" s="51">
        <f>IFERROR(INDEX(U$2:AY$2,MATCH(TRUE,INDEX(U118:AY118&lt;&gt;"",0),0)),"")</f>
        <v/>
      </c>
      <c r="N118" s="51">
        <f>IFERROR(LOOKUP(2,1/(U118:AY118&lt;&gt;""),U$2:AY$2),"")</f>
        <v/>
      </c>
      <c r="O118" s="52" t="n"/>
      <c r="P118" s="52" t="n"/>
      <c r="Q118" s="52" t="n"/>
      <c r="R118" s="44" t="n"/>
      <c r="S118" s="14" t="n"/>
      <c r="U118" s="53" t="n"/>
      <c r="V118" s="53" t="n"/>
      <c r="W118" s="53" t="n"/>
      <c r="X118" s="53" t="n"/>
      <c r="Y118" s="53" t="n"/>
      <c r="Z118" s="53" t="n"/>
      <c r="AA118" s="53" t="n"/>
      <c r="AB118" s="53" t="n"/>
      <c r="AC118" s="53" t="n"/>
      <c r="AD118" s="53" t="n"/>
      <c r="AE118" s="53" t="n"/>
      <c r="AF118" s="53" t="n"/>
      <c r="AG118" s="53" t="n"/>
      <c r="AH118" s="53" t="n"/>
      <c r="AI118" s="53" t="n"/>
      <c r="AJ118" s="53" t="n"/>
      <c r="AK118" s="53" t="n"/>
      <c r="AL118" s="53" t="n"/>
      <c r="AM118" s="53" t="n"/>
      <c r="AN118" s="53" t="n"/>
      <c r="AO118" s="53" t="n"/>
      <c r="AP118" s="53" t="n"/>
      <c r="AQ118" s="53" t="n"/>
      <c r="AR118" s="53" t="n"/>
      <c r="AS118" s="53" t="n"/>
      <c r="AT118" s="53" t="n"/>
      <c r="AU118" s="53" t="n"/>
      <c r="AV118" s="53" t="n"/>
      <c r="AW118" s="53" t="n"/>
      <c r="AX118" s="53" t="n"/>
      <c r="AY118" s="53" t="n"/>
    </row>
    <row r="119" ht="15" customHeight="1">
      <c r="A119" s="54" t="n"/>
      <c r="B119" s="55">
        <f>IF($B$118="","",$B$118)</f>
        <v/>
      </c>
      <c r="C119" s="56" t="inlineStr">
        <is>
          <t>마케팅2팀</t>
        </is>
      </c>
      <c r="D119" s="55">
        <f>IF($D$118="","",$D$118)</f>
        <v/>
      </c>
      <c r="E119" s="57" t="inlineStr">
        <is>
          <t>이미지</t>
        </is>
      </c>
      <c r="F119" s="44" t="n"/>
      <c r="G119" s="58">
        <f>IF($G$118="","",$G$118)</f>
        <v/>
      </c>
      <c r="H119" s="59" t="n"/>
      <c r="I119" s="59" t="n"/>
      <c r="J119" s="59" t="n"/>
      <c r="K119" s="59" t="n"/>
      <c r="L119" s="60">
        <f>IF(SUM(U119:AY119)=0,"",SUM(U119:AY119))</f>
        <v/>
      </c>
      <c r="M119" s="61">
        <f>IFERROR(INDEX(U$2:AY$2,MATCH(TRUE,INDEX(U119:AY119&lt;&gt;"",0),0)),"")</f>
        <v/>
      </c>
      <c r="N119" s="61">
        <f>IFERROR(LOOKUP(2,1/(U119:AY119&lt;&gt;""),U$2:AY$2),"")</f>
        <v/>
      </c>
      <c r="O119" s="59" t="n"/>
      <c r="P119" s="59" t="n"/>
      <c r="Q119" s="59" t="n"/>
      <c r="R119" s="59" t="n"/>
      <c r="S119" s="14" t="n"/>
      <c r="U119" s="53" t="n"/>
      <c r="V119" s="53" t="n"/>
      <c r="W119" s="53" t="n"/>
      <c r="X119" s="53" t="n"/>
      <c r="Y119" s="53" t="n"/>
      <c r="Z119" s="53" t="n"/>
      <c r="AA119" s="53" t="n"/>
      <c r="AB119" s="53" t="n"/>
      <c r="AC119" s="53" t="n"/>
      <c r="AD119" s="53" t="n"/>
      <c r="AE119" s="53" t="n"/>
      <c r="AF119" s="53" t="n"/>
      <c r="AG119" s="53" t="n"/>
      <c r="AH119" s="53" t="n"/>
      <c r="AI119" s="53" t="n"/>
      <c r="AJ119" s="53" t="n"/>
      <c r="AK119" s="53" t="n"/>
      <c r="AL119" s="53" t="n"/>
      <c r="AM119" s="53" t="n"/>
      <c r="AN119" s="53" t="n"/>
      <c r="AO119" s="53" t="n"/>
      <c r="AP119" s="53" t="n"/>
      <c r="AQ119" s="53" t="n"/>
      <c r="AR119" s="53" t="n"/>
      <c r="AS119" s="53" t="n"/>
      <c r="AT119" s="53" t="n"/>
      <c r="AU119" s="53" t="n"/>
      <c r="AV119" s="53" t="n"/>
      <c r="AW119" s="53" t="n"/>
      <c r="AX119" s="53" t="n"/>
      <c r="AY119" s="53" t="n"/>
    </row>
    <row r="120" ht="15" customHeight="1">
      <c r="A120" s="62" t="n"/>
      <c r="B120" s="55">
        <f>IF($B$118="","",$B$118)</f>
        <v/>
      </c>
      <c r="C120" s="63" t="inlineStr">
        <is>
          <t>마케팅2팀</t>
        </is>
      </c>
      <c r="D120" s="55">
        <f>IF($D$118="","",$D$118)</f>
        <v/>
      </c>
      <c r="E120" s="64" t="inlineStr">
        <is>
          <t>영상</t>
        </is>
      </c>
      <c r="F120" s="44" t="n"/>
      <c r="G120" s="58">
        <f>IF($G$118="","",$G$118)</f>
        <v/>
      </c>
      <c r="H120" s="59" t="n"/>
      <c r="I120" s="59" t="n"/>
      <c r="J120" s="59" t="n"/>
      <c r="K120" s="59" t="n"/>
      <c r="L120" s="65">
        <f>IF(SUM(U120:AY120)=0,"",SUM(U120:AY120))</f>
        <v/>
      </c>
      <c r="M120" s="66">
        <f>IFERROR(INDEX(U$2:AY$2,MATCH(TRUE,INDEX(U120:AY120&lt;&gt;"",0),0)),"")</f>
        <v/>
      </c>
      <c r="N120" s="66">
        <f>IFERROR(LOOKUP(2,1/(U120:AY120&lt;&gt;""),U$2:AY$2),"")</f>
        <v/>
      </c>
      <c r="O120" s="59" t="n"/>
      <c r="P120" s="59" t="n"/>
      <c r="Q120" s="59" t="n"/>
      <c r="R120" s="59" t="n"/>
      <c r="S120" s="14" t="n"/>
      <c r="U120" s="53" t="n"/>
      <c r="V120" s="53" t="n"/>
      <c r="W120" s="53" t="n"/>
      <c r="X120" s="53" t="n"/>
      <c r="Y120" s="53" t="n"/>
      <c r="Z120" s="53" t="n"/>
      <c r="AA120" s="53" t="n"/>
      <c r="AB120" s="53" t="n"/>
      <c r="AC120" s="53" t="n"/>
      <c r="AD120" s="53" t="n"/>
      <c r="AE120" s="53" t="n"/>
      <c r="AF120" s="53" t="n"/>
      <c r="AG120" s="53" t="n"/>
      <c r="AH120" s="53" t="n"/>
      <c r="AI120" s="53" t="n"/>
      <c r="AJ120" s="53" t="n"/>
      <c r="AK120" s="53" t="n"/>
      <c r="AL120" s="53" t="n"/>
      <c r="AM120" s="53" t="n"/>
      <c r="AN120" s="53" t="n"/>
      <c r="AO120" s="53" t="n"/>
      <c r="AP120" s="53" t="n"/>
      <c r="AQ120" s="53" t="n"/>
      <c r="AR120" s="53" t="n"/>
      <c r="AS120" s="53" t="n"/>
      <c r="AT120" s="53" t="n"/>
      <c r="AU120" s="53" t="n"/>
      <c r="AV120" s="53" t="n"/>
      <c r="AW120" s="53" t="n"/>
      <c r="AX120" s="53" t="n"/>
      <c r="AY120" s="53" t="n"/>
    </row>
    <row r="121" ht="15" customHeight="1">
      <c r="A121" s="40">
        <f>IF($D$121="","",38)</f>
        <v/>
      </c>
      <c r="B121" s="10" t="n"/>
      <c r="C121" s="41" t="inlineStr">
        <is>
          <t>마케팅2팀</t>
        </is>
      </c>
      <c r="D121" s="42" t="n"/>
      <c r="E121" s="43" t="inlineStr">
        <is>
          <t>기획</t>
        </is>
      </c>
      <c r="F121" s="44" t="n"/>
      <c r="G121" s="45" t="n"/>
      <c r="H121" s="46">
        <f>IF($I$121="","",IF($I$121&lt;0,"🔴지연",IF($I$121&lt;=1,"🟡임박","🟢여유")))</f>
        <v/>
      </c>
      <c r="I121" s="47">
        <f>IF(OR($G$121="",$K$121=""),"",$G$121-$K$121)</f>
        <v/>
      </c>
      <c r="J121" s="48">
        <f>IF(SUM($L$121:$L$123)=0,"",SUM($L$121:$L$123))</f>
        <v/>
      </c>
      <c r="K121" s="49">
        <f>IF($J$121="","",MAX($N$121:$N$123))</f>
        <v/>
      </c>
      <c r="L121" s="50">
        <f>IF(SUM(U121:AY121)=0,"",SUM(U121:AY121))</f>
        <v/>
      </c>
      <c r="M121" s="51">
        <f>IFERROR(INDEX(U$2:AY$2,MATCH(TRUE,INDEX(U121:AY121&lt;&gt;"",0),0)),"")</f>
        <v/>
      </c>
      <c r="N121" s="51">
        <f>IFERROR(LOOKUP(2,1/(U121:AY121&lt;&gt;""),U$2:AY$2),"")</f>
        <v/>
      </c>
      <c r="O121" s="52" t="n"/>
      <c r="P121" s="52" t="n"/>
      <c r="Q121" s="52" t="n"/>
      <c r="R121" s="44" t="n"/>
      <c r="S121" s="14" t="n"/>
      <c r="U121" s="53" t="n"/>
      <c r="V121" s="53" t="n"/>
      <c r="W121" s="53" t="n"/>
      <c r="X121" s="53" t="n"/>
      <c r="Y121" s="53" t="n"/>
      <c r="Z121" s="53" t="n"/>
      <c r="AA121" s="53" t="n"/>
      <c r="AB121" s="53" t="n"/>
      <c r="AC121" s="53" t="n"/>
      <c r="AD121" s="53" t="n"/>
      <c r="AE121" s="53" t="n"/>
      <c r="AF121" s="53" t="n"/>
      <c r="AG121" s="53" t="n"/>
      <c r="AH121" s="53" t="n"/>
      <c r="AI121" s="53" t="n"/>
      <c r="AJ121" s="53" t="n"/>
      <c r="AK121" s="53" t="n"/>
      <c r="AL121" s="53" t="n"/>
      <c r="AM121" s="53" t="n"/>
      <c r="AN121" s="53" t="n"/>
      <c r="AO121" s="53" t="n"/>
      <c r="AP121" s="53" t="n"/>
      <c r="AQ121" s="53" t="n"/>
      <c r="AR121" s="53" t="n"/>
      <c r="AS121" s="53" t="n"/>
      <c r="AT121" s="53" t="n"/>
      <c r="AU121" s="53" t="n"/>
      <c r="AV121" s="53" t="n"/>
      <c r="AW121" s="53" t="n"/>
      <c r="AX121" s="53" t="n"/>
      <c r="AY121" s="53" t="n"/>
    </row>
    <row r="122" ht="15" customHeight="1">
      <c r="A122" s="54" t="n"/>
      <c r="B122" s="55">
        <f>IF($B$121="","",$B$121)</f>
        <v/>
      </c>
      <c r="C122" s="56" t="inlineStr">
        <is>
          <t>마케팅2팀</t>
        </is>
      </c>
      <c r="D122" s="55">
        <f>IF($D$121="","",$D$121)</f>
        <v/>
      </c>
      <c r="E122" s="57" t="inlineStr">
        <is>
          <t>이미지</t>
        </is>
      </c>
      <c r="F122" s="44" t="n"/>
      <c r="G122" s="58">
        <f>IF($G$121="","",$G$121)</f>
        <v/>
      </c>
      <c r="H122" s="59" t="n"/>
      <c r="I122" s="59" t="n"/>
      <c r="J122" s="59" t="n"/>
      <c r="K122" s="59" t="n"/>
      <c r="L122" s="60">
        <f>IF(SUM(U122:AY122)=0,"",SUM(U122:AY122))</f>
        <v/>
      </c>
      <c r="M122" s="61">
        <f>IFERROR(INDEX(U$2:AY$2,MATCH(TRUE,INDEX(U122:AY122&lt;&gt;"",0),0)),"")</f>
        <v/>
      </c>
      <c r="N122" s="61">
        <f>IFERROR(LOOKUP(2,1/(U122:AY122&lt;&gt;""),U$2:AY$2),"")</f>
        <v/>
      </c>
      <c r="O122" s="59" t="n"/>
      <c r="P122" s="59" t="n"/>
      <c r="Q122" s="59" t="n"/>
      <c r="R122" s="59" t="n"/>
      <c r="S122" s="14" t="n"/>
      <c r="U122" s="53" t="n"/>
      <c r="V122" s="53" t="n"/>
      <c r="W122" s="53" t="n"/>
      <c r="X122" s="53" t="n"/>
      <c r="Y122" s="53" t="n"/>
      <c r="Z122" s="53" t="n"/>
      <c r="AA122" s="53" t="n"/>
      <c r="AB122" s="53" t="n"/>
      <c r="AC122" s="53" t="n"/>
      <c r="AD122" s="53" t="n"/>
      <c r="AE122" s="53" t="n"/>
      <c r="AF122" s="53" t="n"/>
      <c r="AG122" s="53" t="n"/>
      <c r="AH122" s="53" t="n"/>
      <c r="AI122" s="53" t="n"/>
      <c r="AJ122" s="53" t="n"/>
      <c r="AK122" s="53" t="n"/>
      <c r="AL122" s="53" t="n"/>
      <c r="AM122" s="53" t="n"/>
      <c r="AN122" s="53" t="n"/>
      <c r="AO122" s="53" t="n"/>
      <c r="AP122" s="53" t="n"/>
      <c r="AQ122" s="53" t="n"/>
      <c r="AR122" s="53" t="n"/>
      <c r="AS122" s="53" t="n"/>
      <c r="AT122" s="53" t="n"/>
      <c r="AU122" s="53" t="n"/>
      <c r="AV122" s="53" t="n"/>
      <c r="AW122" s="53" t="n"/>
      <c r="AX122" s="53" t="n"/>
      <c r="AY122" s="53" t="n"/>
    </row>
    <row r="123" ht="15" customHeight="1">
      <c r="A123" s="62" t="n"/>
      <c r="B123" s="55">
        <f>IF($B$121="","",$B$121)</f>
        <v/>
      </c>
      <c r="C123" s="63" t="inlineStr">
        <is>
          <t>마케팅2팀</t>
        </is>
      </c>
      <c r="D123" s="55">
        <f>IF($D$121="","",$D$121)</f>
        <v/>
      </c>
      <c r="E123" s="64" t="inlineStr">
        <is>
          <t>영상</t>
        </is>
      </c>
      <c r="F123" s="44" t="n"/>
      <c r="G123" s="58">
        <f>IF($G$121="","",$G$121)</f>
        <v/>
      </c>
      <c r="H123" s="59" t="n"/>
      <c r="I123" s="59" t="n"/>
      <c r="J123" s="59" t="n"/>
      <c r="K123" s="59" t="n"/>
      <c r="L123" s="65">
        <f>IF(SUM(U123:AY123)=0,"",SUM(U123:AY123))</f>
        <v/>
      </c>
      <c r="M123" s="66">
        <f>IFERROR(INDEX(U$2:AY$2,MATCH(TRUE,INDEX(U123:AY123&lt;&gt;"",0),0)),"")</f>
        <v/>
      </c>
      <c r="N123" s="66">
        <f>IFERROR(LOOKUP(2,1/(U123:AY123&lt;&gt;""),U$2:AY$2),"")</f>
        <v/>
      </c>
      <c r="O123" s="59" t="n"/>
      <c r="P123" s="59" t="n"/>
      <c r="Q123" s="59" t="n"/>
      <c r="R123" s="59" t="n"/>
      <c r="S123" s="14" t="n"/>
      <c r="U123" s="53" t="n"/>
      <c r="V123" s="53" t="n"/>
      <c r="W123" s="53" t="n"/>
      <c r="X123" s="53" t="n"/>
      <c r="Y123" s="53" t="n"/>
      <c r="Z123" s="53" t="n"/>
      <c r="AA123" s="53" t="n"/>
      <c r="AB123" s="53" t="n"/>
      <c r="AC123" s="53" t="n"/>
      <c r="AD123" s="53" t="n"/>
      <c r="AE123" s="53" t="n"/>
      <c r="AF123" s="53" t="n"/>
      <c r="AG123" s="53" t="n"/>
      <c r="AH123" s="53" t="n"/>
      <c r="AI123" s="53" t="n"/>
      <c r="AJ123" s="53" t="n"/>
      <c r="AK123" s="53" t="n"/>
      <c r="AL123" s="53" t="n"/>
      <c r="AM123" s="53" t="n"/>
      <c r="AN123" s="53" t="n"/>
      <c r="AO123" s="53" t="n"/>
      <c r="AP123" s="53" t="n"/>
      <c r="AQ123" s="53" t="n"/>
      <c r="AR123" s="53" t="n"/>
      <c r="AS123" s="53" t="n"/>
      <c r="AT123" s="53" t="n"/>
      <c r="AU123" s="53" t="n"/>
      <c r="AV123" s="53" t="n"/>
      <c r="AW123" s="53" t="n"/>
      <c r="AX123" s="53" t="n"/>
      <c r="AY123" s="53" t="n"/>
    </row>
    <row r="124" ht="15" customHeight="1">
      <c r="A124" s="40">
        <f>IF($D$124="","",39)</f>
        <v/>
      </c>
      <c r="B124" s="10" t="n"/>
      <c r="C124" s="41" t="inlineStr">
        <is>
          <t>마케팅2팀</t>
        </is>
      </c>
      <c r="D124" s="42" t="n"/>
      <c r="E124" s="43" t="inlineStr">
        <is>
          <t>기획</t>
        </is>
      </c>
      <c r="F124" s="44" t="n"/>
      <c r="G124" s="45" t="n"/>
      <c r="H124" s="46">
        <f>IF($I$124="","",IF($I$124&lt;0,"🔴지연",IF($I$124&lt;=1,"🟡임박","🟢여유")))</f>
        <v/>
      </c>
      <c r="I124" s="47">
        <f>IF(OR($G$124="",$K$124=""),"",$G$124-$K$124)</f>
        <v/>
      </c>
      <c r="J124" s="48">
        <f>IF(SUM($L$124:$L$126)=0,"",SUM($L$124:$L$126))</f>
        <v/>
      </c>
      <c r="K124" s="49">
        <f>IF($J$124="","",MAX($N$124:$N$126))</f>
        <v/>
      </c>
      <c r="L124" s="50">
        <f>IF(SUM(U124:AY124)=0,"",SUM(U124:AY124))</f>
        <v/>
      </c>
      <c r="M124" s="51">
        <f>IFERROR(INDEX(U$2:AY$2,MATCH(TRUE,INDEX(U124:AY124&lt;&gt;"",0),0)),"")</f>
        <v/>
      </c>
      <c r="N124" s="51">
        <f>IFERROR(LOOKUP(2,1/(U124:AY124&lt;&gt;""),U$2:AY$2),"")</f>
        <v/>
      </c>
      <c r="O124" s="52" t="n"/>
      <c r="P124" s="52" t="n"/>
      <c r="Q124" s="52" t="n"/>
      <c r="R124" s="44" t="n"/>
      <c r="S124" s="14" t="n"/>
      <c r="U124" s="53" t="n"/>
      <c r="V124" s="53" t="n"/>
      <c r="W124" s="53" t="n"/>
      <c r="X124" s="53" t="n"/>
      <c r="Y124" s="53" t="n"/>
      <c r="Z124" s="53" t="n"/>
      <c r="AA124" s="53" t="n"/>
      <c r="AB124" s="53" t="n"/>
      <c r="AC124" s="53" t="n"/>
      <c r="AD124" s="53" t="n"/>
      <c r="AE124" s="53" t="n"/>
      <c r="AF124" s="53" t="n"/>
      <c r="AG124" s="53" t="n"/>
      <c r="AH124" s="53" t="n"/>
      <c r="AI124" s="53" t="n"/>
      <c r="AJ124" s="53" t="n"/>
      <c r="AK124" s="53" t="n"/>
      <c r="AL124" s="53" t="n"/>
      <c r="AM124" s="53" t="n"/>
      <c r="AN124" s="53" t="n"/>
      <c r="AO124" s="53" t="n"/>
      <c r="AP124" s="53" t="n"/>
      <c r="AQ124" s="53" t="n"/>
      <c r="AR124" s="53" t="n"/>
      <c r="AS124" s="53" t="n"/>
      <c r="AT124" s="53" t="n"/>
      <c r="AU124" s="53" t="n"/>
      <c r="AV124" s="53" t="n"/>
      <c r="AW124" s="53" t="n"/>
      <c r="AX124" s="53" t="n"/>
      <c r="AY124" s="53" t="n"/>
    </row>
    <row r="125" ht="15" customHeight="1">
      <c r="A125" s="54" t="n"/>
      <c r="B125" s="55">
        <f>IF($B$124="","",$B$124)</f>
        <v/>
      </c>
      <c r="C125" s="56" t="inlineStr">
        <is>
          <t>마케팅2팀</t>
        </is>
      </c>
      <c r="D125" s="55">
        <f>IF($D$124="","",$D$124)</f>
        <v/>
      </c>
      <c r="E125" s="57" t="inlineStr">
        <is>
          <t>이미지</t>
        </is>
      </c>
      <c r="F125" s="44" t="n"/>
      <c r="G125" s="58">
        <f>IF($G$124="","",$G$124)</f>
        <v/>
      </c>
      <c r="H125" s="59" t="n"/>
      <c r="I125" s="59" t="n"/>
      <c r="J125" s="59" t="n"/>
      <c r="K125" s="59" t="n"/>
      <c r="L125" s="60">
        <f>IF(SUM(U125:AY125)=0,"",SUM(U125:AY125))</f>
        <v/>
      </c>
      <c r="M125" s="61">
        <f>IFERROR(INDEX(U$2:AY$2,MATCH(TRUE,INDEX(U125:AY125&lt;&gt;"",0),0)),"")</f>
        <v/>
      </c>
      <c r="N125" s="61">
        <f>IFERROR(LOOKUP(2,1/(U125:AY125&lt;&gt;""),U$2:AY$2),"")</f>
        <v/>
      </c>
      <c r="O125" s="59" t="n"/>
      <c r="P125" s="59" t="n"/>
      <c r="Q125" s="59" t="n"/>
      <c r="R125" s="59" t="n"/>
      <c r="S125" s="14" t="n"/>
      <c r="U125" s="53" t="n"/>
      <c r="V125" s="53" t="n"/>
      <c r="W125" s="53" t="n"/>
      <c r="X125" s="53" t="n"/>
      <c r="Y125" s="53" t="n"/>
      <c r="Z125" s="53" t="n"/>
      <c r="AA125" s="53" t="n"/>
      <c r="AB125" s="53" t="n"/>
      <c r="AC125" s="53" t="n"/>
      <c r="AD125" s="53" t="n"/>
      <c r="AE125" s="53" t="n"/>
      <c r="AF125" s="53" t="n"/>
      <c r="AG125" s="53" t="n"/>
      <c r="AH125" s="53" t="n"/>
      <c r="AI125" s="53" t="n"/>
      <c r="AJ125" s="53" t="n"/>
      <c r="AK125" s="53" t="n"/>
      <c r="AL125" s="53" t="n"/>
      <c r="AM125" s="53" t="n"/>
      <c r="AN125" s="53" t="n"/>
      <c r="AO125" s="53" t="n"/>
      <c r="AP125" s="53" t="n"/>
      <c r="AQ125" s="53" t="n"/>
      <c r="AR125" s="53" t="n"/>
      <c r="AS125" s="53" t="n"/>
      <c r="AT125" s="53" t="n"/>
      <c r="AU125" s="53" t="n"/>
      <c r="AV125" s="53" t="n"/>
      <c r="AW125" s="53" t="n"/>
      <c r="AX125" s="53" t="n"/>
      <c r="AY125" s="53" t="n"/>
    </row>
    <row r="126" ht="15" customHeight="1">
      <c r="A126" s="62" t="n"/>
      <c r="B126" s="55">
        <f>IF($B$124="","",$B$124)</f>
        <v/>
      </c>
      <c r="C126" s="63" t="inlineStr">
        <is>
          <t>마케팅2팀</t>
        </is>
      </c>
      <c r="D126" s="55">
        <f>IF($D$124="","",$D$124)</f>
        <v/>
      </c>
      <c r="E126" s="64" t="inlineStr">
        <is>
          <t>영상</t>
        </is>
      </c>
      <c r="F126" s="44" t="n"/>
      <c r="G126" s="58">
        <f>IF($G$124="","",$G$124)</f>
        <v/>
      </c>
      <c r="H126" s="59" t="n"/>
      <c r="I126" s="59" t="n"/>
      <c r="J126" s="59" t="n"/>
      <c r="K126" s="59" t="n"/>
      <c r="L126" s="65">
        <f>IF(SUM(U126:AY126)=0,"",SUM(U126:AY126))</f>
        <v/>
      </c>
      <c r="M126" s="66">
        <f>IFERROR(INDEX(U$2:AY$2,MATCH(TRUE,INDEX(U126:AY126&lt;&gt;"",0),0)),"")</f>
        <v/>
      </c>
      <c r="N126" s="66">
        <f>IFERROR(LOOKUP(2,1/(U126:AY126&lt;&gt;""),U$2:AY$2),"")</f>
        <v/>
      </c>
      <c r="O126" s="59" t="n"/>
      <c r="P126" s="59" t="n"/>
      <c r="Q126" s="59" t="n"/>
      <c r="R126" s="59" t="n"/>
      <c r="S126" s="14" t="n"/>
      <c r="U126" s="53" t="n"/>
      <c r="V126" s="53" t="n"/>
      <c r="W126" s="53" t="n"/>
      <c r="X126" s="53" t="n"/>
      <c r="Y126" s="53" t="n"/>
      <c r="Z126" s="53" t="n"/>
      <c r="AA126" s="53" t="n"/>
      <c r="AB126" s="53" t="n"/>
      <c r="AC126" s="53" t="n"/>
      <c r="AD126" s="53" t="n"/>
      <c r="AE126" s="53" t="n"/>
      <c r="AF126" s="53" t="n"/>
      <c r="AG126" s="53" t="n"/>
      <c r="AH126" s="53" t="n"/>
      <c r="AI126" s="53" t="n"/>
      <c r="AJ126" s="53" t="n"/>
      <c r="AK126" s="53" t="n"/>
      <c r="AL126" s="53" t="n"/>
      <c r="AM126" s="53" t="n"/>
      <c r="AN126" s="53" t="n"/>
      <c r="AO126" s="53" t="n"/>
      <c r="AP126" s="53" t="n"/>
      <c r="AQ126" s="53" t="n"/>
      <c r="AR126" s="53" t="n"/>
      <c r="AS126" s="53" t="n"/>
      <c r="AT126" s="53" t="n"/>
      <c r="AU126" s="53" t="n"/>
      <c r="AV126" s="53" t="n"/>
      <c r="AW126" s="53" t="n"/>
      <c r="AX126" s="53" t="n"/>
      <c r="AY126" s="53" t="n"/>
    </row>
    <row r="127" ht="15" customHeight="1">
      <c r="A127" s="40">
        <f>IF($D$127="","",40)</f>
        <v/>
      </c>
      <c r="B127" s="10" t="n"/>
      <c r="C127" s="41" t="inlineStr">
        <is>
          <t>마케팅2팀</t>
        </is>
      </c>
      <c r="D127" s="42" t="n"/>
      <c r="E127" s="43" t="inlineStr">
        <is>
          <t>기획</t>
        </is>
      </c>
      <c r="F127" s="44" t="n"/>
      <c r="G127" s="45" t="n"/>
      <c r="H127" s="46">
        <f>IF($I$127="","",IF($I$127&lt;0,"🔴지연",IF($I$127&lt;=1,"🟡임박","🟢여유")))</f>
        <v/>
      </c>
      <c r="I127" s="47">
        <f>IF(OR($G$127="",$K$127=""),"",$G$127-$K$127)</f>
        <v/>
      </c>
      <c r="J127" s="48">
        <f>IF(SUM($L$127:$L$129)=0,"",SUM($L$127:$L$129))</f>
        <v/>
      </c>
      <c r="K127" s="49">
        <f>IF($J$127="","",MAX($N$127:$N$129))</f>
        <v/>
      </c>
      <c r="L127" s="50">
        <f>IF(SUM(U127:AY127)=0,"",SUM(U127:AY127))</f>
        <v/>
      </c>
      <c r="M127" s="51">
        <f>IFERROR(INDEX(U$2:AY$2,MATCH(TRUE,INDEX(U127:AY127&lt;&gt;"",0),0)),"")</f>
        <v/>
      </c>
      <c r="N127" s="51">
        <f>IFERROR(LOOKUP(2,1/(U127:AY127&lt;&gt;""),U$2:AY$2),"")</f>
        <v/>
      </c>
      <c r="O127" s="52" t="n"/>
      <c r="P127" s="52" t="n"/>
      <c r="Q127" s="52" t="n"/>
      <c r="R127" s="44" t="n"/>
      <c r="S127" s="14" t="n"/>
      <c r="U127" s="53" t="n"/>
      <c r="V127" s="53" t="n"/>
      <c r="W127" s="53" t="n"/>
      <c r="X127" s="53" t="n"/>
      <c r="Y127" s="53" t="n"/>
      <c r="Z127" s="53" t="n"/>
      <c r="AA127" s="53" t="n"/>
      <c r="AB127" s="53" t="n"/>
      <c r="AC127" s="53" t="n"/>
      <c r="AD127" s="53" t="n"/>
      <c r="AE127" s="53" t="n"/>
      <c r="AF127" s="53" t="n"/>
      <c r="AG127" s="53" t="n"/>
      <c r="AH127" s="53" t="n"/>
      <c r="AI127" s="53" t="n"/>
      <c r="AJ127" s="53" t="n"/>
      <c r="AK127" s="53" t="n"/>
      <c r="AL127" s="53" t="n"/>
      <c r="AM127" s="53" t="n"/>
      <c r="AN127" s="53" t="n"/>
      <c r="AO127" s="53" t="n"/>
      <c r="AP127" s="53" t="n"/>
      <c r="AQ127" s="53" t="n"/>
      <c r="AR127" s="53" t="n"/>
      <c r="AS127" s="53" t="n"/>
      <c r="AT127" s="53" t="n"/>
      <c r="AU127" s="53" t="n"/>
      <c r="AV127" s="53" t="n"/>
      <c r="AW127" s="53" t="n"/>
      <c r="AX127" s="53" t="n"/>
      <c r="AY127" s="53" t="n"/>
    </row>
    <row r="128" ht="15" customHeight="1">
      <c r="A128" s="54" t="n"/>
      <c r="B128" s="55">
        <f>IF($B$127="","",$B$127)</f>
        <v/>
      </c>
      <c r="C128" s="56" t="inlineStr">
        <is>
          <t>마케팅2팀</t>
        </is>
      </c>
      <c r="D128" s="55">
        <f>IF($D$127="","",$D$127)</f>
        <v/>
      </c>
      <c r="E128" s="57" t="inlineStr">
        <is>
          <t>이미지</t>
        </is>
      </c>
      <c r="F128" s="44" t="n"/>
      <c r="G128" s="58">
        <f>IF($G$127="","",$G$127)</f>
        <v/>
      </c>
      <c r="H128" s="59" t="n"/>
      <c r="I128" s="59" t="n"/>
      <c r="J128" s="59" t="n"/>
      <c r="K128" s="59" t="n"/>
      <c r="L128" s="60">
        <f>IF(SUM(U128:AY128)=0,"",SUM(U128:AY128))</f>
        <v/>
      </c>
      <c r="M128" s="61">
        <f>IFERROR(INDEX(U$2:AY$2,MATCH(TRUE,INDEX(U128:AY128&lt;&gt;"",0),0)),"")</f>
        <v/>
      </c>
      <c r="N128" s="61">
        <f>IFERROR(LOOKUP(2,1/(U128:AY128&lt;&gt;""),U$2:AY$2),"")</f>
        <v/>
      </c>
      <c r="O128" s="59" t="n"/>
      <c r="P128" s="59" t="n"/>
      <c r="Q128" s="59" t="n"/>
      <c r="R128" s="59" t="n"/>
      <c r="S128" s="14" t="n"/>
      <c r="U128" s="53" t="n"/>
      <c r="V128" s="53" t="n"/>
      <c r="W128" s="53" t="n"/>
      <c r="X128" s="53" t="n"/>
      <c r="Y128" s="53" t="n"/>
      <c r="Z128" s="53" t="n"/>
      <c r="AA128" s="53" t="n"/>
      <c r="AB128" s="53" t="n"/>
      <c r="AC128" s="53" t="n"/>
      <c r="AD128" s="53" t="n"/>
      <c r="AE128" s="53" t="n"/>
      <c r="AF128" s="53" t="n"/>
      <c r="AG128" s="53" t="n"/>
      <c r="AH128" s="53" t="n"/>
      <c r="AI128" s="53" t="n"/>
      <c r="AJ128" s="53" t="n"/>
      <c r="AK128" s="53" t="n"/>
      <c r="AL128" s="53" t="n"/>
      <c r="AM128" s="53" t="n"/>
      <c r="AN128" s="53" t="n"/>
      <c r="AO128" s="53" t="n"/>
      <c r="AP128" s="53" t="n"/>
      <c r="AQ128" s="53" t="n"/>
      <c r="AR128" s="53" t="n"/>
      <c r="AS128" s="53" t="n"/>
      <c r="AT128" s="53" t="n"/>
      <c r="AU128" s="53" t="n"/>
      <c r="AV128" s="53" t="n"/>
      <c r="AW128" s="53" t="n"/>
      <c r="AX128" s="53" t="n"/>
      <c r="AY128" s="53" t="n"/>
    </row>
    <row r="129" ht="15" customHeight="1">
      <c r="A129" s="62" t="n"/>
      <c r="B129" s="55">
        <f>IF($B$127="","",$B$127)</f>
        <v/>
      </c>
      <c r="C129" s="63" t="inlineStr">
        <is>
          <t>마케팅2팀</t>
        </is>
      </c>
      <c r="D129" s="55">
        <f>IF($D$127="","",$D$127)</f>
        <v/>
      </c>
      <c r="E129" s="64" t="inlineStr">
        <is>
          <t>영상</t>
        </is>
      </c>
      <c r="F129" s="44" t="n"/>
      <c r="G129" s="58">
        <f>IF($G$127="","",$G$127)</f>
        <v/>
      </c>
      <c r="H129" s="59" t="n"/>
      <c r="I129" s="59" t="n"/>
      <c r="J129" s="59" t="n"/>
      <c r="K129" s="59" t="n"/>
      <c r="L129" s="65">
        <f>IF(SUM(U129:AY129)=0,"",SUM(U129:AY129))</f>
        <v/>
      </c>
      <c r="M129" s="66">
        <f>IFERROR(INDEX(U$2:AY$2,MATCH(TRUE,INDEX(U129:AY129&lt;&gt;"",0),0)),"")</f>
        <v/>
      </c>
      <c r="N129" s="66">
        <f>IFERROR(LOOKUP(2,1/(U129:AY129&lt;&gt;""),U$2:AY$2),"")</f>
        <v/>
      </c>
      <c r="O129" s="59" t="n"/>
      <c r="P129" s="59" t="n"/>
      <c r="Q129" s="59" t="n"/>
      <c r="R129" s="59" t="n"/>
      <c r="S129" s="14" t="n"/>
      <c r="U129" s="53" t="n"/>
      <c r="V129" s="53" t="n"/>
      <c r="W129" s="53" t="n"/>
      <c r="X129" s="53" t="n"/>
      <c r="Y129" s="53" t="n"/>
      <c r="Z129" s="53" t="n"/>
      <c r="AA129" s="53" t="n"/>
      <c r="AB129" s="53" t="n"/>
      <c r="AC129" s="53" t="n"/>
      <c r="AD129" s="53" t="n"/>
      <c r="AE129" s="53" t="n"/>
      <c r="AF129" s="53" t="n"/>
      <c r="AG129" s="53" t="n"/>
      <c r="AH129" s="53" t="n"/>
      <c r="AI129" s="53" t="n"/>
      <c r="AJ129" s="53" t="n"/>
      <c r="AK129" s="53" t="n"/>
      <c r="AL129" s="53" t="n"/>
      <c r="AM129" s="53" t="n"/>
      <c r="AN129" s="53" t="n"/>
      <c r="AO129" s="53" t="n"/>
      <c r="AP129" s="53" t="n"/>
      <c r="AQ129" s="53" t="n"/>
      <c r="AR129" s="53" t="n"/>
      <c r="AS129" s="53" t="n"/>
      <c r="AT129" s="53" t="n"/>
      <c r="AU129" s="53" t="n"/>
      <c r="AV129" s="53" t="n"/>
      <c r="AW129" s="53" t="n"/>
      <c r="AX129" s="53" t="n"/>
      <c r="AY129" s="53" t="n"/>
    </row>
    <row r="130" ht="18" customHeight="1">
      <c r="A130" s="39" t="inlineStr">
        <is>
          <t>마케팅3팀   (131~190행 · 소재 20개)</t>
        </is>
      </c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  <c r="AN130" s="8" t="n"/>
      <c r="AO130" s="8" t="n"/>
      <c r="AP130" s="8" t="n"/>
      <c r="AQ130" s="8" t="n"/>
      <c r="AR130" s="8" t="n"/>
      <c r="AS130" s="8" t="n"/>
      <c r="AT130" s="8" t="n"/>
      <c r="AU130" s="8" t="n"/>
      <c r="AV130" s="8" t="n"/>
      <c r="AW130" s="8" t="n"/>
      <c r="AX130" s="8" t="n"/>
      <c r="AY130" s="4" t="n"/>
    </row>
    <row r="131" ht="15" customHeight="1">
      <c r="A131" s="40">
        <f>IF($D$131="","",41)</f>
        <v/>
      </c>
      <c r="B131" s="10" t="n"/>
      <c r="C131" s="41" t="inlineStr">
        <is>
          <t>마케팅3팀</t>
        </is>
      </c>
      <c r="D131" s="42" t="n"/>
      <c r="E131" s="43" t="inlineStr">
        <is>
          <t>기획</t>
        </is>
      </c>
      <c r="F131" s="44" t="n"/>
      <c r="G131" s="45" t="n"/>
      <c r="H131" s="46">
        <f>IF($I$131="","",IF($I$131&lt;0,"🔴지연",IF($I$131&lt;=1,"🟡임박","🟢여유")))</f>
        <v/>
      </c>
      <c r="I131" s="47">
        <f>IF(OR($G$131="",$K$131=""),"",$G$131-$K$131)</f>
        <v/>
      </c>
      <c r="J131" s="48">
        <f>IF(SUM($L$131:$L$133)=0,"",SUM($L$131:$L$133))</f>
        <v/>
      </c>
      <c r="K131" s="49">
        <f>IF($J$131="","",MAX($N$131:$N$133))</f>
        <v/>
      </c>
      <c r="L131" s="50">
        <f>IF(SUM(U131:AY131)=0,"",SUM(U131:AY131))</f>
        <v/>
      </c>
      <c r="M131" s="51">
        <f>IFERROR(INDEX(U$2:AY$2,MATCH(TRUE,INDEX(U131:AY131&lt;&gt;"",0),0)),"")</f>
        <v/>
      </c>
      <c r="N131" s="51">
        <f>IFERROR(LOOKUP(2,1/(U131:AY131&lt;&gt;""),U$2:AY$2),"")</f>
        <v/>
      </c>
      <c r="O131" s="52" t="n"/>
      <c r="P131" s="52" t="n"/>
      <c r="Q131" s="52" t="n"/>
      <c r="R131" s="44" t="n"/>
      <c r="S131" s="14" t="n"/>
      <c r="U131" s="53" t="n"/>
      <c r="V131" s="53" t="n"/>
      <c r="W131" s="53" t="n"/>
      <c r="X131" s="53" t="n"/>
      <c r="Y131" s="53" t="n"/>
      <c r="Z131" s="53" t="n"/>
      <c r="AA131" s="53" t="n"/>
      <c r="AB131" s="53" t="n"/>
      <c r="AC131" s="53" t="n"/>
      <c r="AD131" s="53" t="n"/>
      <c r="AE131" s="53" t="n"/>
      <c r="AF131" s="53" t="n"/>
      <c r="AG131" s="53" t="n"/>
      <c r="AH131" s="53" t="n"/>
      <c r="AI131" s="53" t="n"/>
      <c r="AJ131" s="53" t="n"/>
      <c r="AK131" s="53" t="n"/>
      <c r="AL131" s="53" t="n"/>
      <c r="AM131" s="53" t="n"/>
      <c r="AN131" s="53" t="n"/>
      <c r="AO131" s="53" t="n"/>
      <c r="AP131" s="53" t="n"/>
      <c r="AQ131" s="53" t="n"/>
      <c r="AR131" s="53" t="n"/>
      <c r="AS131" s="53" t="n"/>
      <c r="AT131" s="53" t="n"/>
      <c r="AU131" s="53" t="n"/>
      <c r="AV131" s="53" t="n"/>
      <c r="AW131" s="53" t="n"/>
      <c r="AX131" s="53" t="n"/>
      <c r="AY131" s="53" t="n"/>
    </row>
    <row r="132" ht="15" customHeight="1">
      <c r="A132" s="54" t="n"/>
      <c r="B132" s="55">
        <f>IF($B$131="","",$B$131)</f>
        <v/>
      </c>
      <c r="C132" s="56" t="inlineStr">
        <is>
          <t>마케팅3팀</t>
        </is>
      </c>
      <c r="D132" s="55">
        <f>IF($D$131="","",$D$131)</f>
        <v/>
      </c>
      <c r="E132" s="57" t="inlineStr">
        <is>
          <t>이미지</t>
        </is>
      </c>
      <c r="F132" s="44" t="n"/>
      <c r="G132" s="58">
        <f>IF($G$131="","",$G$131)</f>
        <v/>
      </c>
      <c r="H132" s="59" t="n"/>
      <c r="I132" s="59" t="n"/>
      <c r="J132" s="59" t="n"/>
      <c r="K132" s="59" t="n"/>
      <c r="L132" s="60">
        <f>IF(SUM(U132:AY132)=0,"",SUM(U132:AY132))</f>
        <v/>
      </c>
      <c r="M132" s="61">
        <f>IFERROR(INDEX(U$2:AY$2,MATCH(TRUE,INDEX(U132:AY132&lt;&gt;"",0),0)),"")</f>
        <v/>
      </c>
      <c r="N132" s="61">
        <f>IFERROR(LOOKUP(2,1/(U132:AY132&lt;&gt;""),U$2:AY$2),"")</f>
        <v/>
      </c>
      <c r="O132" s="59" t="n"/>
      <c r="P132" s="59" t="n"/>
      <c r="Q132" s="59" t="n"/>
      <c r="R132" s="59" t="n"/>
      <c r="S132" s="14" t="n"/>
      <c r="U132" s="53" t="n"/>
      <c r="V132" s="53" t="n"/>
      <c r="W132" s="53" t="n"/>
      <c r="X132" s="53" t="n"/>
      <c r="Y132" s="53" t="n"/>
      <c r="Z132" s="53" t="n"/>
      <c r="AA132" s="53" t="n"/>
      <c r="AB132" s="53" t="n"/>
      <c r="AC132" s="53" t="n"/>
      <c r="AD132" s="53" t="n"/>
      <c r="AE132" s="53" t="n"/>
      <c r="AF132" s="53" t="n"/>
      <c r="AG132" s="53" t="n"/>
      <c r="AH132" s="53" t="n"/>
      <c r="AI132" s="53" t="n"/>
      <c r="AJ132" s="53" t="n"/>
      <c r="AK132" s="53" t="n"/>
      <c r="AL132" s="53" t="n"/>
      <c r="AM132" s="53" t="n"/>
      <c r="AN132" s="53" t="n"/>
      <c r="AO132" s="53" t="n"/>
      <c r="AP132" s="53" t="n"/>
      <c r="AQ132" s="53" t="n"/>
      <c r="AR132" s="53" t="n"/>
      <c r="AS132" s="53" t="n"/>
      <c r="AT132" s="53" t="n"/>
      <c r="AU132" s="53" t="n"/>
      <c r="AV132" s="53" t="n"/>
      <c r="AW132" s="53" t="n"/>
      <c r="AX132" s="53" t="n"/>
      <c r="AY132" s="53" t="n"/>
    </row>
    <row r="133" ht="15" customHeight="1">
      <c r="A133" s="62" t="n"/>
      <c r="B133" s="55">
        <f>IF($B$131="","",$B$131)</f>
        <v/>
      </c>
      <c r="C133" s="63" t="inlineStr">
        <is>
          <t>마케팅3팀</t>
        </is>
      </c>
      <c r="D133" s="55">
        <f>IF($D$131="","",$D$131)</f>
        <v/>
      </c>
      <c r="E133" s="64" t="inlineStr">
        <is>
          <t>영상</t>
        </is>
      </c>
      <c r="F133" s="44" t="n"/>
      <c r="G133" s="58">
        <f>IF($G$131="","",$G$131)</f>
        <v/>
      </c>
      <c r="H133" s="59" t="n"/>
      <c r="I133" s="59" t="n"/>
      <c r="J133" s="59" t="n"/>
      <c r="K133" s="59" t="n"/>
      <c r="L133" s="65">
        <f>IF(SUM(U133:AY133)=0,"",SUM(U133:AY133))</f>
        <v/>
      </c>
      <c r="M133" s="66">
        <f>IFERROR(INDEX(U$2:AY$2,MATCH(TRUE,INDEX(U133:AY133&lt;&gt;"",0),0)),"")</f>
        <v/>
      </c>
      <c r="N133" s="66">
        <f>IFERROR(LOOKUP(2,1/(U133:AY133&lt;&gt;""),U$2:AY$2),"")</f>
        <v/>
      </c>
      <c r="O133" s="59" t="n"/>
      <c r="P133" s="59" t="n"/>
      <c r="Q133" s="59" t="n"/>
      <c r="R133" s="59" t="n"/>
      <c r="S133" s="14" t="n"/>
      <c r="U133" s="53" t="n"/>
      <c r="V133" s="53" t="n"/>
      <c r="W133" s="53" t="n"/>
      <c r="X133" s="53" t="n"/>
      <c r="Y133" s="53" t="n"/>
      <c r="Z133" s="53" t="n"/>
      <c r="AA133" s="53" t="n"/>
      <c r="AB133" s="53" t="n"/>
      <c r="AC133" s="53" t="n"/>
      <c r="AD133" s="53" t="n"/>
      <c r="AE133" s="53" t="n"/>
      <c r="AF133" s="53" t="n"/>
      <c r="AG133" s="53" t="n"/>
      <c r="AH133" s="53" t="n"/>
      <c r="AI133" s="53" t="n"/>
      <c r="AJ133" s="53" t="n"/>
      <c r="AK133" s="53" t="n"/>
      <c r="AL133" s="53" t="n"/>
      <c r="AM133" s="53" t="n"/>
      <c r="AN133" s="53" t="n"/>
      <c r="AO133" s="53" t="n"/>
      <c r="AP133" s="53" t="n"/>
      <c r="AQ133" s="53" t="n"/>
      <c r="AR133" s="53" t="n"/>
      <c r="AS133" s="53" t="n"/>
      <c r="AT133" s="53" t="n"/>
      <c r="AU133" s="53" t="n"/>
      <c r="AV133" s="53" t="n"/>
      <c r="AW133" s="53" t="n"/>
      <c r="AX133" s="53" t="n"/>
      <c r="AY133" s="53" t="n"/>
    </row>
    <row r="134" ht="15" customHeight="1">
      <c r="A134" s="40">
        <f>IF($D$134="","",42)</f>
        <v/>
      </c>
      <c r="B134" s="10" t="n"/>
      <c r="C134" s="41" t="inlineStr">
        <is>
          <t>마케팅3팀</t>
        </is>
      </c>
      <c r="D134" s="42" t="n"/>
      <c r="E134" s="43" t="inlineStr">
        <is>
          <t>기획</t>
        </is>
      </c>
      <c r="F134" s="44" t="n"/>
      <c r="G134" s="45" t="n"/>
      <c r="H134" s="46">
        <f>IF($I$134="","",IF($I$134&lt;0,"🔴지연",IF($I$134&lt;=1,"🟡임박","🟢여유")))</f>
        <v/>
      </c>
      <c r="I134" s="47">
        <f>IF(OR($G$134="",$K$134=""),"",$G$134-$K$134)</f>
        <v/>
      </c>
      <c r="J134" s="48">
        <f>IF(SUM($L$134:$L$136)=0,"",SUM($L$134:$L$136))</f>
        <v/>
      </c>
      <c r="K134" s="49">
        <f>IF($J$134="","",MAX($N$134:$N$136))</f>
        <v/>
      </c>
      <c r="L134" s="50">
        <f>IF(SUM(U134:AY134)=0,"",SUM(U134:AY134))</f>
        <v/>
      </c>
      <c r="M134" s="51">
        <f>IFERROR(INDEX(U$2:AY$2,MATCH(TRUE,INDEX(U134:AY134&lt;&gt;"",0),0)),"")</f>
        <v/>
      </c>
      <c r="N134" s="51">
        <f>IFERROR(LOOKUP(2,1/(U134:AY134&lt;&gt;""),U$2:AY$2),"")</f>
        <v/>
      </c>
      <c r="O134" s="52" t="n"/>
      <c r="P134" s="52" t="n"/>
      <c r="Q134" s="52" t="n"/>
      <c r="R134" s="44" t="n"/>
      <c r="S134" s="14" t="n"/>
      <c r="U134" s="53" t="n"/>
      <c r="V134" s="53" t="n"/>
      <c r="W134" s="53" t="n"/>
      <c r="X134" s="53" t="n"/>
      <c r="Y134" s="53" t="n"/>
      <c r="Z134" s="53" t="n"/>
      <c r="AA134" s="53" t="n"/>
      <c r="AB134" s="53" t="n"/>
      <c r="AC134" s="53" t="n"/>
      <c r="AD134" s="53" t="n"/>
      <c r="AE134" s="53" t="n"/>
      <c r="AF134" s="53" t="n"/>
      <c r="AG134" s="53" t="n"/>
      <c r="AH134" s="53" t="n"/>
      <c r="AI134" s="53" t="n"/>
      <c r="AJ134" s="53" t="n"/>
      <c r="AK134" s="53" t="n"/>
      <c r="AL134" s="53" t="n"/>
      <c r="AM134" s="53" t="n"/>
      <c r="AN134" s="53" t="n"/>
      <c r="AO134" s="53" t="n"/>
      <c r="AP134" s="53" t="n"/>
      <c r="AQ134" s="53" t="n"/>
      <c r="AR134" s="53" t="n"/>
      <c r="AS134" s="53" t="n"/>
      <c r="AT134" s="53" t="n"/>
      <c r="AU134" s="53" t="n"/>
      <c r="AV134" s="53" t="n"/>
      <c r="AW134" s="53" t="n"/>
      <c r="AX134" s="53" t="n"/>
      <c r="AY134" s="53" t="n"/>
    </row>
    <row r="135" ht="15" customHeight="1">
      <c r="A135" s="54" t="n"/>
      <c r="B135" s="55">
        <f>IF($B$134="","",$B$134)</f>
        <v/>
      </c>
      <c r="C135" s="56" t="inlineStr">
        <is>
          <t>마케팅3팀</t>
        </is>
      </c>
      <c r="D135" s="55">
        <f>IF($D$134="","",$D$134)</f>
        <v/>
      </c>
      <c r="E135" s="57" t="inlineStr">
        <is>
          <t>이미지</t>
        </is>
      </c>
      <c r="F135" s="44" t="n"/>
      <c r="G135" s="58">
        <f>IF($G$134="","",$G$134)</f>
        <v/>
      </c>
      <c r="H135" s="59" t="n"/>
      <c r="I135" s="59" t="n"/>
      <c r="J135" s="59" t="n"/>
      <c r="K135" s="59" t="n"/>
      <c r="L135" s="60">
        <f>IF(SUM(U135:AY135)=0,"",SUM(U135:AY135))</f>
        <v/>
      </c>
      <c r="M135" s="61">
        <f>IFERROR(INDEX(U$2:AY$2,MATCH(TRUE,INDEX(U135:AY135&lt;&gt;"",0),0)),"")</f>
        <v/>
      </c>
      <c r="N135" s="61">
        <f>IFERROR(LOOKUP(2,1/(U135:AY135&lt;&gt;""),U$2:AY$2),"")</f>
        <v/>
      </c>
      <c r="O135" s="59" t="n"/>
      <c r="P135" s="59" t="n"/>
      <c r="Q135" s="59" t="n"/>
      <c r="R135" s="59" t="n"/>
      <c r="S135" s="14" t="n"/>
      <c r="U135" s="53" t="n"/>
      <c r="V135" s="53" t="n"/>
      <c r="W135" s="53" t="n"/>
      <c r="X135" s="53" t="n"/>
      <c r="Y135" s="53" t="n"/>
      <c r="Z135" s="53" t="n"/>
      <c r="AA135" s="53" t="n"/>
      <c r="AB135" s="53" t="n"/>
      <c r="AC135" s="53" t="n"/>
      <c r="AD135" s="53" t="n"/>
      <c r="AE135" s="53" t="n"/>
      <c r="AF135" s="53" t="n"/>
      <c r="AG135" s="53" t="n"/>
      <c r="AH135" s="53" t="n"/>
      <c r="AI135" s="53" t="n"/>
      <c r="AJ135" s="53" t="n"/>
      <c r="AK135" s="53" t="n"/>
      <c r="AL135" s="53" t="n"/>
      <c r="AM135" s="53" t="n"/>
      <c r="AN135" s="53" t="n"/>
      <c r="AO135" s="53" t="n"/>
      <c r="AP135" s="53" t="n"/>
      <c r="AQ135" s="53" t="n"/>
      <c r="AR135" s="53" t="n"/>
      <c r="AS135" s="53" t="n"/>
      <c r="AT135" s="53" t="n"/>
      <c r="AU135" s="53" t="n"/>
      <c r="AV135" s="53" t="n"/>
      <c r="AW135" s="53" t="n"/>
      <c r="AX135" s="53" t="n"/>
      <c r="AY135" s="53" t="n"/>
    </row>
    <row r="136" ht="15" customHeight="1">
      <c r="A136" s="62" t="n"/>
      <c r="B136" s="55">
        <f>IF($B$134="","",$B$134)</f>
        <v/>
      </c>
      <c r="C136" s="63" t="inlineStr">
        <is>
          <t>마케팅3팀</t>
        </is>
      </c>
      <c r="D136" s="55">
        <f>IF($D$134="","",$D$134)</f>
        <v/>
      </c>
      <c r="E136" s="64" t="inlineStr">
        <is>
          <t>영상</t>
        </is>
      </c>
      <c r="F136" s="44" t="n"/>
      <c r="G136" s="58">
        <f>IF($G$134="","",$G$134)</f>
        <v/>
      </c>
      <c r="H136" s="59" t="n"/>
      <c r="I136" s="59" t="n"/>
      <c r="J136" s="59" t="n"/>
      <c r="K136" s="59" t="n"/>
      <c r="L136" s="65">
        <f>IF(SUM(U136:AY136)=0,"",SUM(U136:AY136))</f>
        <v/>
      </c>
      <c r="M136" s="66">
        <f>IFERROR(INDEX(U$2:AY$2,MATCH(TRUE,INDEX(U136:AY136&lt;&gt;"",0),0)),"")</f>
        <v/>
      </c>
      <c r="N136" s="66">
        <f>IFERROR(LOOKUP(2,1/(U136:AY136&lt;&gt;""),U$2:AY$2),"")</f>
        <v/>
      </c>
      <c r="O136" s="59" t="n"/>
      <c r="P136" s="59" t="n"/>
      <c r="Q136" s="59" t="n"/>
      <c r="R136" s="59" t="n"/>
      <c r="S136" s="14" t="n"/>
      <c r="U136" s="53" t="n"/>
      <c r="V136" s="53" t="n"/>
      <c r="W136" s="53" t="n"/>
      <c r="X136" s="53" t="n"/>
      <c r="Y136" s="53" t="n"/>
      <c r="Z136" s="53" t="n"/>
      <c r="AA136" s="53" t="n"/>
      <c r="AB136" s="53" t="n"/>
      <c r="AC136" s="53" t="n"/>
      <c r="AD136" s="53" t="n"/>
      <c r="AE136" s="53" t="n"/>
      <c r="AF136" s="53" t="n"/>
      <c r="AG136" s="53" t="n"/>
      <c r="AH136" s="53" t="n"/>
      <c r="AI136" s="53" t="n"/>
      <c r="AJ136" s="53" t="n"/>
      <c r="AK136" s="53" t="n"/>
      <c r="AL136" s="53" t="n"/>
      <c r="AM136" s="53" t="n"/>
      <c r="AN136" s="53" t="n"/>
      <c r="AO136" s="53" t="n"/>
      <c r="AP136" s="53" t="n"/>
      <c r="AQ136" s="53" t="n"/>
      <c r="AR136" s="53" t="n"/>
      <c r="AS136" s="53" t="n"/>
      <c r="AT136" s="53" t="n"/>
      <c r="AU136" s="53" t="n"/>
      <c r="AV136" s="53" t="n"/>
      <c r="AW136" s="53" t="n"/>
      <c r="AX136" s="53" t="n"/>
      <c r="AY136" s="53" t="n"/>
    </row>
    <row r="137" ht="15" customHeight="1">
      <c r="A137" s="40">
        <f>IF($D$137="","",43)</f>
        <v/>
      </c>
      <c r="B137" s="10" t="n"/>
      <c r="C137" s="41" t="inlineStr">
        <is>
          <t>마케팅3팀</t>
        </is>
      </c>
      <c r="D137" s="42" t="n"/>
      <c r="E137" s="43" t="inlineStr">
        <is>
          <t>기획</t>
        </is>
      </c>
      <c r="F137" s="44" t="n"/>
      <c r="G137" s="45" t="n"/>
      <c r="H137" s="46">
        <f>IF($I$137="","",IF($I$137&lt;0,"🔴지연",IF($I$137&lt;=1,"🟡임박","🟢여유")))</f>
        <v/>
      </c>
      <c r="I137" s="47">
        <f>IF(OR($G$137="",$K$137=""),"",$G$137-$K$137)</f>
        <v/>
      </c>
      <c r="J137" s="48">
        <f>IF(SUM($L$137:$L$139)=0,"",SUM($L$137:$L$139))</f>
        <v/>
      </c>
      <c r="K137" s="49">
        <f>IF($J$137="","",MAX($N$137:$N$139))</f>
        <v/>
      </c>
      <c r="L137" s="50">
        <f>IF(SUM(U137:AY137)=0,"",SUM(U137:AY137))</f>
        <v/>
      </c>
      <c r="M137" s="51">
        <f>IFERROR(INDEX(U$2:AY$2,MATCH(TRUE,INDEX(U137:AY137&lt;&gt;"",0),0)),"")</f>
        <v/>
      </c>
      <c r="N137" s="51">
        <f>IFERROR(LOOKUP(2,1/(U137:AY137&lt;&gt;""),U$2:AY$2),"")</f>
        <v/>
      </c>
      <c r="O137" s="52" t="n"/>
      <c r="P137" s="52" t="n"/>
      <c r="Q137" s="52" t="n"/>
      <c r="R137" s="44" t="n"/>
      <c r="S137" s="14" t="n"/>
      <c r="U137" s="53" t="n"/>
      <c r="V137" s="53" t="n"/>
      <c r="W137" s="53" t="n"/>
      <c r="X137" s="53" t="n"/>
      <c r="Y137" s="53" t="n"/>
      <c r="Z137" s="53" t="n"/>
      <c r="AA137" s="53" t="n"/>
      <c r="AB137" s="53" t="n"/>
      <c r="AC137" s="53" t="n"/>
      <c r="AD137" s="53" t="n"/>
      <c r="AE137" s="53" t="n"/>
      <c r="AF137" s="53" t="n"/>
      <c r="AG137" s="53" t="n"/>
      <c r="AH137" s="53" t="n"/>
      <c r="AI137" s="53" t="n"/>
      <c r="AJ137" s="53" t="n"/>
      <c r="AK137" s="53" t="n"/>
      <c r="AL137" s="53" t="n"/>
      <c r="AM137" s="53" t="n"/>
      <c r="AN137" s="53" t="n"/>
      <c r="AO137" s="53" t="n"/>
      <c r="AP137" s="53" t="n"/>
      <c r="AQ137" s="53" t="n"/>
      <c r="AR137" s="53" t="n"/>
      <c r="AS137" s="53" t="n"/>
      <c r="AT137" s="53" t="n"/>
      <c r="AU137" s="53" t="n"/>
      <c r="AV137" s="53" t="n"/>
      <c r="AW137" s="53" t="n"/>
      <c r="AX137" s="53" t="n"/>
      <c r="AY137" s="53" t="n"/>
    </row>
    <row r="138" ht="15" customHeight="1">
      <c r="A138" s="54" t="n"/>
      <c r="B138" s="55">
        <f>IF($B$137="","",$B$137)</f>
        <v/>
      </c>
      <c r="C138" s="56" t="inlineStr">
        <is>
          <t>마케팅3팀</t>
        </is>
      </c>
      <c r="D138" s="55">
        <f>IF($D$137="","",$D$137)</f>
        <v/>
      </c>
      <c r="E138" s="57" t="inlineStr">
        <is>
          <t>이미지</t>
        </is>
      </c>
      <c r="F138" s="44" t="n"/>
      <c r="G138" s="58">
        <f>IF($G$137="","",$G$137)</f>
        <v/>
      </c>
      <c r="H138" s="59" t="n"/>
      <c r="I138" s="59" t="n"/>
      <c r="J138" s="59" t="n"/>
      <c r="K138" s="59" t="n"/>
      <c r="L138" s="60">
        <f>IF(SUM(U138:AY138)=0,"",SUM(U138:AY138))</f>
        <v/>
      </c>
      <c r="M138" s="61">
        <f>IFERROR(INDEX(U$2:AY$2,MATCH(TRUE,INDEX(U138:AY138&lt;&gt;"",0),0)),"")</f>
        <v/>
      </c>
      <c r="N138" s="61">
        <f>IFERROR(LOOKUP(2,1/(U138:AY138&lt;&gt;""),U$2:AY$2),"")</f>
        <v/>
      </c>
      <c r="O138" s="59" t="n"/>
      <c r="P138" s="59" t="n"/>
      <c r="Q138" s="59" t="n"/>
      <c r="R138" s="59" t="n"/>
      <c r="S138" s="14" t="n"/>
      <c r="U138" s="53" t="n"/>
      <c r="V138" s="53" t="n"/>
      <c r="W138" s="53" t="n"/>
      <c r="X138" s="53" t="n"/>
      <c r="Y138" s="53" t="n"/>
      <c r="Z138" s="53" t="n"/>
      <c r="AA138" s="53" t="n"/>
      <c r="AB138" s="53" t="n"/>
      <c r="AC138" s="53" t="n"/>
      <c r="AD138" s="53" t="n"/>
      <c r="AE138" s="53" t="n"/>
      <c r="AF138" s="53" t="n"/>
      <c r="AG138" s="53" t="n"/>
      <c r="AH138" s="53" t="n"/>
      <c r="AI138" s="53" t="n"/>
      <c r="AJ138" s="53" t="n"/>
      <c r="AK138" s="53" t="n"/>
      <c r="AL138" s="53" t="n"/>
      <c r="AM138" s="53" t="n"/>
      <c r="AN138" s="53" t="n"/>
      <c r="AO138" s="53" t="n"/>
      <c r="AP138" s="53" t="n"/>
      <c r="AQ138" s="53" t="n"/>
      <c r="AR138" s="53" t="n"/>
      <c r="AS138" s="53" t="n"/>
      <c r="AT138" s="53" t="n"/>
      <c r="AU138" s="53" t="n"/>
      <c r="AV138" s="53" t="n"/>
      <c r="AW138" s="53" t="n"/>
      <c r="AX138" s="53" t="n"/>
      <c r="AY138" s="53" t="n"/>
    </row>
    <row r="139" ht="15" customHeight="1">
      <c r="A139" s="62" t="n"/>
      <c r="B139" s="55">
        <f>IF($B$137="","",$B$137)</f>
        <v/>
      </c>
      <c r="C139" s="63" t="inlineStr">
        <is>
          <t>마케팅3팀</t>
        </is>
      </c>
      <c r="D139" s="55">
        <f>IF($D$137="","",$D$137)</f>
        <v/>
      </c>
      <c r="E139" s="64" t="inlineStr">
        <is>
          <t>영상</t>
        </is>
      </c>
      <c r="F139" s="44" t="n"/>
      <c r="G139" s="58">
        <f>IF($G$137="","",$G$137)</f>
        <v/>
      </c>
      <c r="H139" s="59" t="n"/>
      <c r="I139" s="59" t="n"/>
      <c r="J139" s="59" t="n"/>
      <c r="K139" s="59" t="n"/>
      <c r="L139" s="65">
        <f>IF(SUM(U139:AY139)=0,"",SUM(U139:AY139))</f>
        <v/>
      </c>
      <c r="M139" s="66">
        <f>IFERROR(INDEX(U$2:AY$2,MATCH(TRUE,INDEX(U139:AY139&lt;&gt;"",0),0)),"")</f>
        <v/>
      </c>
      <c r="N139" s="66">
        <f>IFERROR(LOOKUP(2,1/(U139:AY139&lt;&gt;""),U$2:AY$2),"")</f>
        <v/>
      </c>
      <c r="O139" s="59" t="n"/>
      <c r="P139" s="59" t="n"/>
      <c r="Q139" s="59" t="n"/>
      <c r="R139" s="59" t="n"/>
      <c r="S139" s="14" t="n"/>
      <c r="U139" s="53" t="n"/>
      <c r="V139" s="53" t="n"/>
      <c r="W139" s="53" t="n"/>
      <c r="X139" s="53" t="n"/>
      <c r="Y139" s="53" t="n"/>
      <c r="Z139" s="53" t="n"/>
      <c r="AA139" s="53" t="n"/>
      <c r="AB139" s="53" t="n"/>
      <c r="AC139" s="53" t="n"/>
      <c r="AD139" s="53" t="n"/>
      <c r="AE139" s="53" t="n"/>
      <c r="AF139" s="53" t="n"/>
      <c r="AG139" s="53" t="n"/>
      <c r="AH139" s="53" t="n"/>
      <c r="AI139" s="53" t="n"/>
      <c r="AJ139" s="53" t="n"/>
      <c r="AK139" s="53" t="n"/>
      <c r="AL139" s="53" t="n"/>
      <c r="AM139" s="53" t="n"/>
      <c r="AN139" s="53" t="n"/>
      <c r="AO139" s="53" t="n"/>
      <c r="AP139" s="53" t="n"/>
      <c r="AQ139" s="53" t="n"/>
      <c r="AR139" s="53" t="n"/>
      <c r="AS139" s="53" t="n"/>
      <c r="AT139" s="53" t="n"/>
      <c r="AU139" s="53" t="n"/>
      <c r="AV139" s="53" t="n"/>
      <c r="AW139" s="53" t="n"/>
      <c r="AX139" s="53" t="n"/>
      <c r="AY139" s="53" t="n"/>
    </row>
    <row r="140" ht="15" customHeight="1">
      <c r="A140" s="40">
        <f>IF($D$140="","",44)</f>
        <v/>
      </c>
      <c r="B140" s="10" t="n"/>
      <c r="C140" s="41" t="inlineStr">
        <is>
          <t>마케팅3팀</t>
        </is>
      </c>
      <c r="D140" s="42" t="n"/>
      <c r="E140" s="43" t="inlineStr">
        <is>
          <t>기획</t>
        </is>
      </c>
      <c r="F140" s="44" t="n"/>
      <c r="G140" s="45" t="n"/>
      <c r="H140" s="46">
        <f>IF($I$140="","",IF($I$140&lt;0,"🔴지연",IF($I$140&lt;=1,"🟡임박","🟢여유")))</f>
        <v/>
      </c>
      <c r="I140" s="47">
        <f>IF(OR($G$140="",$K$140=""),"",$G$140-$K$140)</f>
        <v/>
      </c>
      <c r="J140" s="48">
        <f>IF(SUM($L$140:$L$142)=0,"",SUM($L$140:$L$142))</f>
        <v/>
      </c>
      <c r="K140" s="49">
        <f>IF($J$140="","",MAX($N$140:$N$142))</f>
        <v/>
      </c>
      <c r="L140" s="50">
        <f>IF(SUM(U140:AY140)=0,"",SUM(U140:AY140))</f>
        <v/>
      </c>
      <c r="M140" s="51">
        <f>IFERROR(INDEX(U$2:AY$2,MATCH(TRUE,INDEX(U140:AY140&lt;&gt;"",0),0)),"")</f>
        <v/>
      </c>
      <c r="N140" s="51">
        <f>IFERROR(LOOKUP(2,1/(U140:AY140&lt;&gt;""),U$2:AY$2),"")</f>
        <v/>
      </c>
      <c r="O140" s="52" t="n"/>
      <c r="P140" s="52" t="n"/>
      <c r="Q140" s="52" t="n"/>
      <c r="R140" s="44" t="n"/>
      <c r="S140" s="14" t="n"/>
      <c r="U140" s="53" t="n"/>
      <c r="V140" s="53" t="n"/>
      <c r="W140" s="53" t="n"/>
      <c r="X140" s="53" t="n"/>
      <c r="Y140" s="53" t="n"/>
      <c r="Z140" s="53" t="n"/>
      <c r="AA140" s="53" t="n"/>
      <c r="AB140" s="53" t="n"/>
      <c r="AC140" s="53" t="n"/>
      <c r="AD140" s="53" t="n"/>
      <c r="AE140" s="53" t="n"/>
      <c r="AF140" s="53" t="n"/>
      <c r="AG140" s="53" t="n"/>
      <c r="AH140" s="53" t="n"/>
      <c r="AI140" s="53" t="n"/>
      <c r="AJ140" s="53" t="n"/>
      <c r="AK140" s="53" t="n"/>
      <c r="AL140" s="53" t="n"/>
      <c r="AM140" s="53" t="n"/>
      <c r="AN140" s="53" t="n"/>
      <c r="AO140" s="53" t="n"/>
      <c r="AP140" s="53" t="n"/>
      <c r="AQ140" s="53" t="n"/>
      <c r="AR140" s="53" t="n"/>
      <c r="AS140" s="53" t="n"/>
      <c r="AT140" s="53" t="n"/>
      <c r="AU140" s="53" t="n"/>
      <c r="AV140" s="53" t="n"/>
      <c r="AW140" s="53" t="n"/>
      <c r="AX140" s="53" t="n"/>
      <c r="AY140" s="53" t="n"/>
    </row>
    <row r="141" ht="15" customHeight="1">
      <c r="A141" s="54" t="n"/>
      <c r="B141" s="55">
        <f>IF($B$140="","",$B$140)</f>
        <v/>
      </c>
      <c r="C141" s="56" t="inlineStr">
        <is>
          <t>마케팅3팀</t>
        </is>
      </c>
      <c r="D141" s="55">
        <f>IF($D$140="","",$D$140)</f>
        <v/>
      </c>
      <c r="E141" s="57" t="inlineStr">
        <is>
          <t>이미지</t>
        </is>
      </c>
      <c r="F141" s="44" t="n"/>
      <c r="G141" s="58">
        <f>IF($G$140="","",$G$140)</f>
        <v/>
      </c>
      <c r="H141" s="59" t="n"/>
      <c r="I141" s="59" t="n"/>
      <c r="J141" s="59" t="n"/>
      <c r="K141" s="59" t="n"/>
      <c r="L141" s="60">
        <f>IF(SUM(U141:AY141)=0,"",SUM(U141:AY141))</f>
        <v/>
      </c>
      <c r="M141" s="61">
        <f>IFERROR(INDEX(U$2:AY$2,MATCH(TRUE,INDEX(U141:AY141&lt;&gt;"",0),0)),"")</f>
        <v/>
      </c>
      <c r="N141" s="61">
        <f>IFERROR(LOOKUP(2,1/(U141:AY141&lt;&gt;""),U$2:AY$2),"")</f>
        <v/>
      </c>
      <c r="O141" s="59" t="n"/>
      <c r="P141" s="59" t="n"/>
      <c r="Q141" s="59" t="n"/>
      <c r="R141" s="59" t="n"/>
      <c r="S141" s="14" t="n"/>
      <c r="U141" s="53" t="n"/>
      <c r="V141" s="53" t="n"/>
      <c r="W141" s="53" t="n"/>
      <c r="X141" s="53" t="n"/>
      <c r="Y141" s="53" t="n"/>
      <c r="Z141" s="53" t="n"/>
      <c r="AA141" s="53" t="n"/>
      <c r="AB141" s="53" t="n"/>
      <c r="AC141" s="53" t="n"/>
      <c r="AD141" s="53" t="n"/>
      <c r="AE141" s="53" t="n"/>
      <c r="AF141" s="53" t="n"/>
      <c r="AG141" s="53" t="n"/>
      <c r="AH141" s="53" t="n"/>
      <c r="AI141" s="53" t="n"/>
      <c r="AJ141" s="53" t="n"/>
      <c r="AK141" s="53" t="n"/>
      <c r="AL141" s="53" t="n"/>
      <c r="AM141" s="53" t="n"/>
      <c r="AN141" s="53" t="n"/>
      <c r="AO141" s="53" t="n"/>
      <c r="AP141" s="53" t="n"/>
      <c r="AQ141" s="53" t="n"/>
      <c r="AR141" s="53" t="n"/>
      <c r="AS141" s="53" t="n"/>
      <c r="AT141" s="53" t="n"/>
      <c r="AU141" s="53" t="n"/>
      <c r="AV141" s="53" t="n"/>
      <c r="AW141" s="53" t="n"/>
      <c r="AX141" s="53" t="n"/>
      <c r="AY141" s="53" t="n"/>
    </row>
    <row r="142" ht="15" customHeight="1">
      <c r="A142" s="62" t="n"/>
      <c r="B142" s="55">
        <f>IF($B$140="","",$B$140)</f>
        <v/>
      </c>
      <c r="C142" s="63" t="inlineStr">
        <is>
          <t>마케팅3팀</t>
        </is>
      </c>
      <c r="D142" s="55">
        <f>IF($D$140="","",$D$140)</f>
        <v/>
      </c>
      <c r="E142" s="64" t="inlineStr">
        <is>
          <t>영상</t>
        </is>
      </c>
      <c r="F142" s="44" t="n"/>
      <c r="G142" s="58">
        <f>IF($G$140="","",$G$140)</f>
        <v/>
      </c>
      <c r="H142" s="59" t="n"/>
      <c r="I142" s="59" t="n"/>
      <c r="J142" s="59" t="n"/>
      <c r="K142" s="59" t="n"/>
      <c r="L142" s="65">
        <f>IF(SUM(U142:AY142)=0,"",SUM(U142:AY142))</f>
        <v/>
      </c>
      <c r="M142" s="66">
        <f>IFERROR(INDEX(U$2:AY$2,MATCH(TRUE,INDEX(U142:AY142&lt;&gt;"",0),0)),"")</f>
        <v/>
      </c>
      <c r="N142" s="66">
        <f>IFERROR(LOOKUP(2,1/(U142:AY142&lt;&gt;""),U$2:AY$2),"")</f>
        <v/>
      </c>
      <c r="O142" s="59" t="n"/>
      <c r="P142" s="59" t="n"/>
      <c r="Q142" s="59" t="n"/>
      <c r="R142" s="59" t="n"/>
      <c r="S142" s="14" t="n"/>
      <c r="U142" s="53" t="n"/>
      <c r="V142" s="53" t="n"/>
      <c r="W142" s="53" t="n"/>
      <c r="X142" s="53" t="n"/>
      <c r="Y142" s="53" t="n"/>
      <c r="Z142" s="53" t="n"/>
      <c r="AA142" s="53" t="n"/>
      <c r="AB142" s="53" t="n"/>
      <c r="AC142" s="53" t="n"/>
      <c r="AD142" s="53" t="n"/>
      <c r="AE142" s="53" t="n"/>
      <c r="AF142" s="53" t="n"/>
      <c r="AG142" s="53" t="n"/>
      <c r="AH142" s="53" t="n"/>
      <c r="AI142" s="53" t="n"/>
      <c r="AJ142" s="53" t="n"/>
      <c r="AK142" s="53" t="n"/>
      <c r="AL142" s="53" t="n"/>
      <c r="AM142" s="53" t="n"/>
      <c r="AN142" s="53" t="n"/>
      <c r="AO142" s="53" t="n"/>
      <c r="AP142" s="53" t="n"/>
      <c r="AQ142" s="53" t="n"/>
      <c r="AR142" s="53" t="n"/>
      <c r="AS142" s="53" t="n"/>
      <c r="AT142" s="53" t="n"/>
      <c r="AU142" s="53" t="n"/>
      <c r="AV142" s="53" t="n"/>
      <c r="AW142" s="53" t="n"/>
      <c r="AX142" s="53" t="n"/>
      <c r="AY142" s="53" t="n"/>
    </row>
    <row r="143" ht="15" customHeight="1">
      <c r="A143" s="40">
        <f>IF($D$143="","",45)</f>
        <v/>
      </c>
      <c r="B143" s="10" t="n"/>
      <c r="C143" s="41" t="inlineStr">
        <is>
          <t>마케팅3팀</t>
        </is>
      </c>
      <c r="D143" s="42" t="n"/>
      <c r="E143" s="43" t="inlineStr">
        <is>
          <t>기획</t>
        </is>
      </c>
      <c r="F143" s="44" t="n"/>
      <c r="G143" s="45" t="n"/>
      <c r="H143" s="46">
        <f>IF($I$143="","",IF($I$143&lt;0,"🔴지연",IF($I$143&lt;=1,"🟡임박","🟢여유")))</f>
        <v/>
      </c>
      <c r="I143" s="47">
        <f>IF(OR($G$143="",$K$143=""),"",$G$143-$K$143)</f>
        <v/>
      </c>
      <c r="J143" s="48">
        <f>IF(SUM($L$143:$L$145)=0,"",SUM($L$143:$L$145))</f>
        <v/>
      </c>
      <c r="K143" s="49">
        <f>IF($J$143="","",MAX($N$143:$N$145))</f>
        <v/>
      </c>
      <c r="L143" s="50">
        <f>IF(SUM(U143:AY143)=0,"",SUM(U143:AY143))</f>
        <v/>
      </c>
      <c r="M143" s="51">
        <f>IFERROR(INDEX(U$2:AY$2,MATCH(TRUE,INDEX(U143:AY143&lt;&gt;"",0),0)),"")</f>
        <v/>
      </c>
      <c r="N143" s="51">
        <f>IFERROR(LOOKUP(2,1/(U143:AY143&lt;&gt;""),U$2:AY$2),"")</f>
        <v/>
      </c>
      <c r="O143" s="52" t="n"/>
      <c r="P143" s="52" t="n"/>
      <c r="Q143" s="52" t="n"/>
      <c r="R143" s="44" t="n"/>
      <c r="S143" s="14" t="n"/>
      <c r="U143" s="53" t="n"/>
      <c r="V143" s="53" t="n"/>
      <c r="W143" s="53" t="n"/>
      <c r="X143" s="53" t="n"/>
      <c r="Y143" s="53" t="n"/>
      <c r="Z143" s="53" t="n"/>
      <c r="AA143" s="53" t="n"/>
      <c r="AB143" s="53" t="n"/>
      <c r="AC143" s="53" t="n"/>
      <c r="AD143" s="53" t="n"/>
      <c r="AE143" s="53" t="n"/>
      <c r="AF143" s="53" t="n"/>
      <c r="AG143" s="53" t="n"/>
      <c r="AH143" s="53" t="n"/>
      <c r="AI143" s="53" t="n"/>
      <c r="AJ143" s="53" t="n"/>
      <c r="AK143" s="53" t="n"/>
      <c r="AL143" s="53" t="n"/>
      <c r="AM143" s="53" t="n"/>
      <c r="AN143" s="53" t="n"/>
      <c r="AO143" s="53" t="n"/>
      <c r="AP143" s="53" t="n"/>
      <c r="AQ143" s="53" t="n"/>
      <c r="AR143" s="53" t="n"/>
      <c r="AS143" s="53" t="n"/>
      <c r="AT143" s="53" t="n"/>
      <c r="AU143" s="53" t="n"/>
      <c r="AV143" s="53" t="n"/>
      <c r="AW143" s="53" t="n"/>
      <c r="AX143" s="53" t="n"/>
      <c r="AY143" s="53" t="n"/>
    </row>
    <row r="144" ht="15" customHeight="1">
      <c r="A144" s="54" t="n"/>
      <c r="B144" s="55">
        <f>IF($B$143="","",$B$143)</f>
        <v/>
      </c>
      <c r="C144" s="56" t="inlineStr">
        <is>
          <t>마케팅3팀</t>
        </is>
      </c>
      <c r="D144" s="55">
        <f>IF($D$143="","",$D$143)</f>
        <v/>
      </c>
      <c r="E144" s="57" t="inlineStr">
        <is>
          <t>이미지</t>
        </is>
      </c>
      <c r="F144" s="44" t="n"/>
      <c r="G144" s="58">
        <f>IF($G$143="","",$G$143)</f>
        <v/>
      </c>
      <c r="H144" s="59" t="n"/>
      <c r="I144" s="59" t="n"/>
      <c r="J144" s="59" t="n"/>
      <c r="K144" s="59" t="n"/>
      <c r="L144" s="60">
        <f>IF(SUM(U144:AY144)=0,"",SUM(U144:AY144))</f>
        <v/>
      </c>
      <c r="M144" s="61">
        <f>IFERROR(INDEX(U$2:AY$2,MATCH(TRUE,INDEX(U144:AY144&lt;&gt;"",0),0)),"")</f>
        <v/>
      </c>
      <c r="N144" s="61">
        <f>IFERROR(LOOKUP(2,1/(U144:AY144&lt;&gt;""),U$2:AY$2),"")</f>
        <v/>
      </c>
      <c r="O144" s="59" t="n"/>
      <c r="P144" s="59" t="n"/>
      <c r="Q144" s="59" t="n"/>
      <c r="R144" s="59" t="n"/>
      <c r="S144" s="14" t="n"/>
      <c r="U144" s="53" t="n"/>
      <c r="V144" s="53" t="n"/>
      <c r="W144" s="53" t="n"/>
      <c r="X144" s="53" t="n"/>
      <c r="Y144" s="53" t="n"/>
      <c r="Z144" s="53" t="n"/>
      <c r="AA144" s="53" t="n"/>
      <c r="AB144" s="53" t="n"/>
      <c r="AC144" s="53" t="n"/>
      <c r="AD144" s="53" t="n"/>
      <c r="AE144" s="53" t="n"/>
      <c r="AF144" s="53" t="n"/>
      <c r="AG144" s="53" t="n"/>
      <c r="AH144" s="53" t="n"/>
      <c r="AI144" s="53" t="n"/>
      <c r="AJ144" s="53" t="n"/>
      <c r="AK144" s="53" t="n"/>
      <c r="AL144" s="53" t="n"/>
      <c r="AM144" s="53" t="n"/>
      <c r="AN144" s="53" t="n"/>
      <c r="AO144" s="53" t="n"/>
      <c r="AP144" s="53" t="n"/>
      <c r="AQ144" s="53" t="n"/>
      <c r="AR144" s="53" t="n"/>
      <c r="AS144" s="53" t="n"/>
      <c r="AT144" s="53" t="n"/>
      <c r="AU144" s="53" t="n"/>
      <c r="AV144" s="53" t="n"/>
      <c r="AW144" s="53" t="n"/>
      <c r="AX144" s="53" t="n"/>
      <c r="AY144" s="53" t="n"/>
    </row>
    <row r="145" ht="15" customHeight="1">
      <c r="A145" s="62" t="n"/>
      <c r="B145" s="55">
        <f>IF($B$143="","",$B$143)</f>
        <v/>
      </c>
      <c r="C145" s="63" t="inlineStr">
        <is>
          <t>마케팅3팀</t>
        </is>
      </c>
      <c r="D145" s="55">
        <f>IF($D$143="","",$D$143)</f>
        <v/>
      </c>
      <c r="E145" s="64" t="inlineStr">
        <is>
          <t>영상</t>
        </is>
      </c>
      <c r="F145" s="44" t="n"/>
      <c r="G145" s="58">
        <f>IF($G$143="","",$G$143)</f>
        <v/>
      </c>
      <c r="H145" s="59" t="n"/>
      <c r="I145" s="59" t="n"/>
      <c r="J145" s="59" t="n"/>
      <c r="K145" s="59" t="n"/>
      <c r="L145" s="65">
        <f>IF(SUM(U145:AY145)=0,"",SUM(U145:AY145))</f>
        <v/>
      </c>
      <c r="M145" s="66">
        <f>IFERROR(INDEX(U$2:AY$2,MATCH(TRUE,INDEX(U145:AY145&lt;&gt;"",0),0)),"")</f>
        <v/>
      </c>
      <c r="N145" s="66">
        <f>IFERROR(LOOKUP(2,1/(U145:AY145&lt;&gt;""),U$2:AY$2),"")</f>
        <v/>
      </c>
      <c r="O145" s="59" t="n"/>
      <c r="P145" s="59" t="n"/>
      <c r="Q145" s="59" t="n"/>
      <c r="R145" s="59" t="n"/>
      <c r="S145" s="14" t="n"/>
      <c r="U145" s="53" t="n"/>
      <c r="V145" s="53" t="n"/>
      <c r="W145" s="53" t="n"/>
      <c r="X145" s="53" t="n"/>
      <c r="Y145" s="53" t="n"/>
      <c r="Z145" s="53" t="n"/>
      <c r="AA145" s="53" t="n"/>
      <c r="AB145" s="53" t="n"/>
      <c r="AC145" s="53" t="n"/>
      <c r="AD145" s="53" t="n"/>
      <c r="AE145" s="53" t="n"/>
      <c r="AF145" s="53" t="n"/>
      <c r="AG145" s="53" t="n"/>
      <c r="AH145" s="53" t="n"/>
      <c r="AI145" s="53" t="n"/>
      <c r="AJ145" s="53" t="n"/>
      <c r="AK145" s="53" t="n"/>
      <c r="AL145" s="53" t="n"/>
      <c r="AM145" s="53" t="n"/>
      <c r="AN145" s="53" t="n"/>
      <c r="AO145" s="53" t="n"/>
      <c r="AP145" s="53" t="n"/>
      <c r="AQ145" s="53" t="n"/>
      <c r="AR145" s="53" t="n"/>
      <c r="AS145" s="53" t="n"/>
      <c r="AT145" s="53" t="n"/>
      <c r="AU145" s="53" t="n"/>
      <c r="AV145" s="53" t="n"/>
      <c r="AW145" s="53" t="n"/>
      <c r="AX145" s="53" t="n"/>
      <c r="AY145" s="53" t="n"/>
    </row>
    <row r="146" ht="15" customHeight="1">
      <c r="A146" s="40">
        <f>IF($D$146="","",46)</f>
        <v/>
      </c>
      <c r="B146" s="10" t="n"/>
      <c r="C146" s="41" t="inlineStr">
        <is>
          <t>마케팅3팀</t>
        </is>
      </c>
      <c r="D146" s="42" t="n"/>
      <c r="E146" s="43" t="inlineStr">
        <is>
          <t>기획</t>
        </is>
      </c>
      <c r="F146" s="44" t="n"/>
      <c r="G146" s="45" t="n"/>
      <c r="H146" s="46">
        <f>IF($I$146="","",IF($I$146&lt;0,"🔴지연",IF($I$146&lt;=1,"🟡임박","🟢여유")))</f>
        <v/>
      </c>
      <c r="I146" s="47">
        <f>IF(OR($G$146="",$K$146=""),"",$G$146-$K$146)</f>
        <v/>
      </c>
      <c r="J146" s="48">
        <f>IF(SUM($L$146:$L$148)=0,"",SUM($L$146:$L$148))</f>
        <v/>
      </c>
      <c r="K146" s="49">
        <f>IF($J$146="","",MAX($N$146:$N$148))</f>
        <v/>
      </c>
      <c r="L146" s="50">
        <f>IF(SUM(U146:AY146)=0,"",SUM(U146:AY146))</f>
        <v/>
      </c>
      <c r="M146" s="51">
        <f>IFERROR(INDEX(U$2:AY$2,MATCH(TRUE,INDEX(U146:AY146&lt;&gt;"",0),0)),"")</f>
        <v/>
      </c>
      <c r="N146" s="51">
        <f>IFERROR(LOOKUP(2,1/(U146:AY146&lt;&gt;""),U$2:AY$2),"")</f>
        <v/>
      </c>
      <c r="O146" s="52" t="n"/>
      <c r="P146" s="52" t="n"/>
      <c r="Q146" s="52" t="n"/>
      <c r="R146" s="44" t="n"/>
      <c r="S146" s="14" t="n"/>
      <c r="U146" s="53" t="n"/>
      <c r="V146" s="53" t="n"/>
      <c r="W146" s="53" t="n"/>
      <c r="X146" s="53" t="n"/>
      <c r="Y146" s="53" t="n"/>
      <c r="Z146" s="53" t="n"/>
      <c r="AA146" s="53" t="n"/>
      <c r="AB146" s="53" t="n"/>
      <c r="AC146" s="53" t="n"/>
      <c r="AD146" s="53" t="n"/>
      <c r="AE146" s="53" t="n"/>
      <c r="AF146" s="53" t="n"/>
      <c r="AG146" s="53" t="n"/>
      <c r="AH146" s="53" t="n"/>
      <c r="AI146" s="53" t="n"/>
      <c r="AJ146" s="53" t="n"/>
      <c r="AK146" s="53" t="n"/>
      <c r="AL146" s="53" t="n"/>
      <c r="AM146" s="53" t="n"/>
      <c r="AN146" s="53" t="n"/>
      <c r="AO146" s="53" t="n"/>
      <c r="AP146" s="53" t="n"/>
      <c r="AQ146" s="53" t="n"/>
      <c r="AR146" s="53" t="n"/>
      <c r="AS146" s="53" t="n"/>
      <c r="AT146" s="53" t="n"/>
      <c r="AU146" s="53" t="n"/>
      <c r="AV146" s="53" t="n"/>
      <c r="AW146" s="53" t="n"/>
      <c r="AX146" s="53" t="n"/>
      <c r="AY146" s="53" t="n"/>
    </row>
    <row r="147" ht="15" customHeight="1">
      <c r="A147" s="54" t="n"/>
      <c r="B147" s="55">
        <f>IF($B$146="","",$B$146)</f>
        <v/>
      </c>
      <c r="C147" s="56" t="inlineStr">
        <is>
          <t>마케팅3팀</t>
        </is>
      </c>
      <c r="D147" s="55">
        <f>IF($D$146="","",$D$146)</f>
        <v/>
      </c>
      <c r="E147" s="57" t="inlineStr">
        <is>
          <t>이미지</t>
        </is>
      </c>
      <c r="F147" s="44" t="n"/>
      <c r="G147" s="58">
        <f>IF($G$146="","",$G$146)</f>
        <v/>
      </c>
      <c r="H147" s="59" t="n"/>
      <c r="I147" s="59" t="n"/>
      <c r="J147" s="59" t="n"/>
      <c r="K147" s="59" t="n"/>
      <c r="L147" s="60">
        <f>IF(SUM(U147:AY147)=0,"",SUM(U147:AY147))</f>
        <v/>
      </c>
      <c r="M147" s="61">
        <f>IFERROR(INDEX(U$2:AY$2,MATCH(TRUE,INDEX(U147:AY147&lt;&gt;"",0),0)),"")</f>
        <v/>
      </c>
      <c r="N147" s="61">
        <f>IFERROR(LOOKUP(2,1/(U147:AY147&lt;&gt;""),U$2:AY$2),"")</f>
        <v/>
      </c>
      <c r="O147" s="59" t="n"/>
      <c r="P147" s="59" t="n"/>
      <c r="Q147" s="59" t="n"/>
      <c r="R147" s="59" t="n"/>
      <c r="S147" s="14" t="n"/>
      <c r="U147" s="53" t="n"/>
      <c r="V147" s="53" t="n"/>
      <c r="W147" s="53" t="n"/>
      <c r="X147" s="53" t="n"/>
      <c r="Y147" s="53" t="n"/>
      <c r="Z147" s="53" t="n"/>
      <c r="AA147" s="53" t="n"/>
      <c r="AB147" s="53" t="n"/>
      <c r="AC147" s="53" t="n"/>
      <c r="AD147" s="53" t="n"/>
      <c r="AE147" s="53" t="n"/>
      <c r="AF147" s="53" t="n"/>
      <c r="AG147" s="53" t="n"/>
      <c r="AH147" s="53" t="n"/>
      <c r="AI147" s="53" t="n"/>
      <c r="AJ147" s="53" t="n"/>
      <c r="AK147" s="53" t="n"/>
      <c r="AL147" s="53" t="n"/>
      <c r="AM147" s="53" t="n"/>
      <c r="AN147" s="53" t="n"/>
      <c r="AO147" s="53" t="n"/>
      <c r="AP147" s="53" t="n"/>
      <c r="AQ147" s="53" t="n"/>
      <c r="AR147" s="53" t="n"/>
      <c r="AS147" s="53" t="n"/>
      <c r="AT147" s="53" t="n"/>
      <c r="AU147" s="53" t="n"/>
      <c r="AV147" s="53" t="n"/>
      <c r="AW147" s="53" t="n"/>
      <c r="AX147" s="53" t="n"/>
      <c r="AY147" s="53" t="n"/>
    </row>
    <row r="148" ht="15" customHeight="1">
      <c r="A148" s="62" t="n"/>
      <c r="B148" s="55">
        <f>IF($B$146="","",$B$146)</f>
        <v/>
      </c>
      <c r="C148" s="63" t="inlineStr">
        <is>
          <t>마케팅3팀</t>
        </is>
      </c>
      <c r="D148" s="55">
        <f>IF($D$146="","",$D$146)</f>
        <v/>
      </c>
      <c r="E148" s="64" t="inlineStr">
        <is>
          <t>영상</t>
        </is>
      </c>
      <c r="F148" s="44" t="n"/>
      <c r="G148" s="58">
        <f>IF($G$146="","",$G$146)</f>
        <v/>
      </c>
      <c r="H148" s="59" t="n"/>
      <c r="I148" s="59" t="n"/>
      <c r="J148" s="59" t="n"/>
      <c r="K148" s="59" t="n"/>
      <c r="L148" s="65">
        <f>IF(SUM(U148:AY148)=0,"",SUM(U148:AY148))</f>
        <v/>
      </c>
      <c r="M148" s="66">
        <f>IFERROR(INDEX(U$2:AY$2,MATCH(TRUE,INDEX(U148:AY148&lt;&gt;"",0),0)),"")</f>
        <v/>
      </c>
      <c r="N148" s="66">
        <f>IFERROR(LOOKUP(2,1/(U148:AY148&lt;&gt;""),U$2:AY$2),"")</f>
        <v/>
      </c>
      <c r="O148" s="59" t="n"/>
      <c r="P148" s="59" t="n"/>
      <c r="Q148" s="59" t="n"/>
      <c r="R148" s="59" t="n"/>
      <c r="S148" s="14" t="n"/>
      <c r="U148" s="53" t="n"/>
      <c r="V148" s="53" t="n"/>
      <c r="W148" s="53" t="n"/>
      <c r="X148" s="53" t="n"/>
      <c r="Y148" s="53" t="n"/>
      <c r="Z148" s="53" t="n"/>
      <c r="AA148" s="53" t="n"/>
      <c r="AB148" s="53" t="n"/>
      <c r="AC148" s="53" t="n"/>
      <c r="AD148" s="53" t="n"/>
      <c r="AE148" s="53" t="n"/>
      <c r="AF148" s="53" t="n"/>
      <c r="AG148" s="53" t="n"/>
      <c r="AH148" s="53" t="n"/>
      <c r="AI148" s="53" t="n"/>
      <c r="AJ148" s="53" t="n"/>
      <c r="AK148" s="53" t="n"/>
      <c r="AL148" s="53" t="n"/>
      <c r="AM148" s="53" t="n"/>
      <c r="AN148" s="53" t="n"/>
      <c r="AO148" s="53" t="n"/>
      <c r="AP148" s="53" t="n"/>
      <c r="AQ148" s="53" t="n"/>
      <c r="AR148" s="53" t="n"/>
      <c r="AS148" s="53" t="n"/>
      <c r="AT148" s="53" t="n"/>
      <c r="AU148" s="53" t="n"/>
      <c r="AV148" s="53" t="n"/>
      <c r="AW148" s="53" t="n"/>
      <c r="AX148" s="53" t="n"/>
      <c r="AY148" s="53" t="n"/>
    </row>
    <row r="149" ht="15" customHeight="1">
      <c r="A149" s="40">
        <f>IF($D$149="","",47)</f>
        <v/>
      </c>
      <c r="B149" s="10" t="n"/>
      <c r="C149" s="41" t="inlineStr">
        <is>
          <t>마케팅3팀</t>
        </is>
      </c>
      <c r="D149" s="42" t="n"/>
      <c r="E149" s="43" t="inlineStr">
        <is>
          <t>기획</t>
        </is>
      </c>
      <c r="F149" s="44" t="n"/>
      <c r="G149" s="45" t="n"/>
      <c r="H149" s="46">
        <f>IF($I$149="","",IF($I$149&lt;0,"🔴지연",IF($I$149&lt;=1,"🟡임박","🟢여유")))</f>
        <v/>
      </c>
      <c r="I149" s="47">
        <f>IF(OR($G$149="",$K$149=""),"",$G$149-$K$149)</f>
        <v/>
      </c>
      <c r="J149" s="48">
        <f>IF(SUM($L$149:$L$151)=0,"",SUM($L$149:$L$151))</f>
        <v/>
      </c>
      <c r="K149" s="49">
        <f>IF($J$149="","",MAX($N$149:$N$151))</f>
        <v/>
      </c>
      <c r="L149" s="50">
        <f>IF(SUM(U149:AY149)=0,"",SUM(U149:AY149))</f>
        <v/>
      </c>
      <c r="M149" s="51">
        <f>IFERROR(INDEX(U$2:AY$2,MATCH(TRUE,INDEX(U149:AY149&lt;&gt;"",0),0)),"")</f>
        <v/>
      </c>
      <c r="N149" s="51">
        <f>IFERROR(LOOKUP(2,1/(U149:AY149&lt;&gt;""),U$2:AY$2),"")</f>
        <v/>
      </c>
      <c r="O149" s="52" t="n"/>
      <c r="P149" s="52" t="n"/>
      <c r="Q149" s="52" t="n"/>
      <c r="R149" s="44" t="n"/>
      <c r="S149" s="14" t="n"/>
      <c r="U149" s="53" t="n"/>
      <c r="V149" s="53" t="n"/>
      <c r="W149" s="53" t="n"/>
      <c r="X149" s="53" t="n"/>
      <c r="Y149" s="53" t="n"/>
      <c r="Z149" s="53" t="n"/>
      <c r="AA149" s="53" t="n"/>
      <c r="AB149" s="53" t="n"/>
      <c r="AC149" s="53" t="n"/>
      <c r="AD149" s="53" t="n"/>
      <c r="AE149" s="53" t="n"/>
      <c r="AF149" s="53" t="n"/>
      <c r="AG149" s="53" t="n"/>
      <c r="AH149" s="53" t="n"/>
      <c r="AI149" s="53" t="n"/>
      <c r="AJ149" s="53" t="n"/>
      <c r="AK149" s="53" t="n"/>
      <c r="AL149" s="53" t="n"/>
      <c r="AM149" s="53" t="n"/>
      <c r="AN149" s="53" t="n"/>
      <c r="AO149" s="53" t="n"/>
      <c r="AP149" s="53" t="n"/>
      <c r="AQ149" s="53" t="n"/>
      <c r="AR149" s="53" t="n"/>
      <c r="AS149" s="53" t="n"/>
      <c r="AT149" s="53" t="n"/>
      <c r="AU149" s="53" t="n"/>
      <c r="AV149" s="53" t="n"/>
      <c r="AW149" s="53" t="n"/>
      <c r="AX149" s="53" t="n"/>
      <c r="AY149" s="53" t="n"/>
    </row>
    <row r="150" ht="15" customHeight="1">
      <c r="A150" s="54" t="n"/>
      <c r="B150" s="55">
        <f>IF($B$149="","",$B$149)</f>
        <v/>
      </c>
      <c r="C150" s="56" t="inlineStr">
        <is>
          <t>마케팅3팀</t>
        </is>
      </c>
      <c r="D150" s="55">
        <f>IF($D$149="","",$D$149)</f>
        <v/>
      </c>
      <c r="E150" s="57" t="inlineStr">
        <is>
          <t>이미지</t>
        </is>
      </c>
      <c r="F150" s="44" t="n"/>
      <c r="G150" s="58">
        <f>IF($G$149="","",$G$149)</f>
        <v/>
      </c>
      <c r="H150" s="59" t="n"/>
      <c r="I150" s="59" t="n"/>
      <c r="J150" s="59" t="n"/>
      <c r="K150" s="59" t="n"/>
      <c r="L150" s="60">
        <f>IF(SUM(U150:AY150)=0,"",SUM(U150:AY150))</f>
        <v/>
      </c>
      <c r="M150" s="61">
        <f>IFERROR(INDEX(U$2:AY$2,MATCH(TRUE,INDEX(U150:AY150&lt;&gt;"",0),0)),"")</f>
        <v/>
      </c>
      <c r="N150" s="61">
        <f>IFERROR(LOOKUP(2,1/(U150:AY150&lt;&gt;""),U$2:AY$2),"")</f>
        <v/>
      </c>
      <c r="O150" s="59" t="n"/>
      <c r="P150" s="59" t="n"/>
      <c r="Q150" s="59" t="n"/>
      <c r="R150" s="59" t="n"/>
      <c r="S150" s="14" t="n"/>
      <c r="U150" s="53" t="n"/>
      <c r="V150" s="53" t="n"/>
      <c r="W150" s="53" t="n"/>
      <c r="X150" s="53" t="n"/>
      <c r="Y150" s="53" t="n"/>
      <c r="Z150" s="53" t="n"/>
      <c r="AA150" s="53" t="n"/>
      <c r="AB150" s="53" t="n"/>
      <c r="AC150" s="53" t="n"/>
      <c r="AD150" s="53" t="n"/>
      <c r="AE150" s="53" t="n"/>
      <c r="AF150" s="53" t="n"/>
      <c r="AG150" s="53" t="n"/>
      <c r="AH150" s="53" t="n"/>
      <c r="AI150" s="53" t="n"/>
      <c r="AJ150" s="53" t="n"/>
      <c r="AK150" s="53" t="n"/>
      <c r="AL150" s="53" t="n"/>
      <c r="AM150" s="53" t="n"/>
      <c r="AN150" s="53" t="n"/>
      <c r="AO150" s="53" t="n"/>
      <c r="AP150" s="53" t="n"/>
      <c r="AQ150" s="53" t="n"/>
      <c r="AR150" s="53" t="n"/>
      <c r="AS150" s="53" t="n"/>
      <c r="AT150" s="53" t="n"/>
      <c r="AU150" s="53" t="n"/>
      <c r="AV150" s="53" t="n"/>
      <c r="AW150" s="53" t="n"/>
      <c r="AX150" s="53" t="n"/>
      <c r="AY150" s="53" t="n"/>
    </row>
    <row r="151" ht="15" customHeight="1">
      <c r="A151" s="62" t="n"/>
      <c r="B151" s="55">
        <f>IF($B$149="","",$B$149)</f>
        <v/>
      </c>
      <c r="C151" s="63" t="inlineStr">
        <is>
          <t>마케팅3팀</t>
        </is>
      </c>
      <c r="D151" s="55">
        <f>IF($D$149="","",$D$149)</f>
        <v/>
      </c>
      <c r="E151" s="64" t="inlineStr">
        <is>
          <t>영상</t>
        </is>
      </c>
      <c r="F151" s="44" t="n"/>
      <c r="G151" s="58">
        <f>IF($G$149="","",$G$149)</f>
        <v/>
      </c>
      <c r="H151" s="59" t="n"/>
      <c r="I151" s="59" t="n"/>
      <c r="J151" s="59" t="n"/>
      <c r="K151" s="59" t="n"/>
      <c r="L151" s="65">
        <f>IF(SUM(U151:AY151)=0,"",SUM(U151:AY151))</f>
        <v/>
      </c>
      <c r="M151" s="66">
        <f>IFERROR(INDEX(U$2:AY$2,MATCH(TRUE,INDEX(U151:AY151&lt;&gt;"",0),0)),"")</f>
        <v/>
      </c>
      <c r="N151" s="66">
        <f>IFERROR(LOOKUP(2,1/(U151:AY151&lt;&gt;""),U$2:AY$2),"")</f>
        <v/>
      </c>
      <c r="O151" s="59" t="n"/>
      <c r="P151" s="59" t="n"/>
      <c r="Q151" s="59" t="n"/>
      <c r="R151" s="59" t="n"/>
      <c r="S151" s="14" t="n"/>
      <c r="U151" s="53" t="n"/>
      <c r="V151" s="53" t="n"/>
      <c r="W151" s="53" t="n"/>
      <c r="X151" s="53" t="n"/>
      <c r="Y151" s="53" t="n"/>
      <c r="Z151" s="53" t="n"/>
      <c r="AA151" s="53" t="n"/>
      <c r="AB151" s="53" t="n"/>
      <c r="AC151" s="53" t="n"/>
      <c r="AD151" s="53" t="n"/>
      <c r="AE151" s="53" t="n"/>
      <c r="AF151" s="53" t="n"/>
      <c r="AG151" s="53" t="n"/>
      <c r="AH151" s="53" t="n"/>
      <c r="AI151" s="53" t="n"/>
      <c r="AJ151" s="53" t="n"/>
      <c r="AK151" s="53" t="n"/>
      <c r="AL151" s="53" t="n"/>
      <c r="AM151" s="53" t="n"/>
      <c r="AN151" s="53" t="n"/>
      <c r="AO151" s="53" t="n"/>
      <c r="AP151" s="53" t="n"/>
      <c r="AQ151" s="53" t="n"/>
      <c r="AR151" s="53" t="n"/>
      <c r="AS151" s="53" t="n"/>
      <c r="AT151" s="53" t="n"/>
      <c r="AU151" s="53" t="n"/>
      <c r="AV151" s="53" t="n"/>
      <c r="AW151" s="53" t="n"/>
      <c r="AX151" s="53" t="n"/>
      <c r="AY151" s="53" t="n"/>
    </row>
    <row r="152" ht="15" customHeight="1">
      <c r="A152" s="40">
        <f>IF($D$152="","",48)</f>
        <v/>
      </c>
      <c r="B152" s="10" t="n"/>
      <c r="C152" s="41" t="inlineStr">
        <is>
          <t>마케팅3팀</t>
        </is>
      </c>
      <c r="D152" s="42" t="n"/>
      <c r="E152" s="43" t="inlineStr">
        <is>
          <t>기획</t>
        </is>
      </c>
      <c r="F152" s="44" t="n"/>
      <c r="G152" s="45" t="n"/>
      <c r="H152" s="46">
        <f>IF($I$152="","",IF($I$152&lt;0,"🔴지연",IF($I$152&lt;=1,"🟡임박","🟢여유")))</f>
        <v/>
      </c>
      <c r="I152" s="47">
        <f>IF(OR($G$152="",$K$152=""),"",$G$152-$K$152)</f>
        <v/>
      </c>
      <c r="J152" s="48">
        <f>IF(SUM($L$152:$L$154)=0,"",SUM($L$152:$L$154))</f>
        <v/>
      </c>
      <c r="K152" s="49">
        <f>IF($J$152="","",MAX($N$152:$N$154))</f>
        <v/>
      </c>
      <c r="L152" s="50">
        <f>IF(SUM(U152:AY152)=0,"",SUM(U152:AY152))</f>
        <v/>
      </c>
      <c r="M152" s="51">
        <f>IFERROR(INDEX(U$2:AY$2,MATCH(TRUE,INDEX(U152:AY152&lt;&gt;"",0),0)),"")</f>
        <v/>
      </c>
      <c r="N152" s="51">
        <f>IFERROR(LOOKUP(2,1/(U152:AY152&lt;&gt;""),U$2:AY$2),"")</f>
        <v/>
      </c>
      <c r="O152" s="52" t="n"/>
      <c r="P152" s="52" t="n"/>
      <c r="Q152" s="52" t="n"/>
      <c r="R152" s="44" t="n"/>
      <c r="S152" s="14" t="n"/>
      <c r="U152" s="53" t="n"/>
      <c r="V152" s="53" t="n"/>
      <c r="W152" s="53" t="n"/>
      <c r="X152" s="53" t="n"/>
      <c r="Y152" s="53" t="n"/>
      <c r="Z152" s="53" t="n"/>
      <c r="AA152" s="53" t="n"/>
      <c r="AB152" s="53" t="n"/>
      <c r="AC152" s="53" t="n"/>
      <c r="AD152" s="53" t="n"/>
      <c r="AE152" s="53" t="n"/>
      <c r="AF152" s="53" t="n"/>
      <c r="AG152" s="53" t="n"/>
      <c r="AH152" s="53" t="n"/>
      <c r="AI152" s="53" t="n"/>
      <c r="AJ152" s="53" t="n"/>
      <c r="AK152" s="53" t="n"/>
      <c r="AL152" s="53" t="n"/>
      <c r="AM152" s="53" t="n"/>
      <c r="AN152" s="53" t="n"/>
      <c r="AO152" s="53" t="n"/>
      <c r="AP152" s="53" t="n"/>
      <c r="AQ152" s="53" t="n"/>
      <c r="AR152" s="53" t="n"/>
      <c r="AS152" s="53" t="n"/>
      <c r="AT152" s="53" t="n"/>
      <c r="AU152" s="53" t="n"/>
      <c r="AV152" s="53" t="n"/>
      <c r="AW152" s="53" t="n"/>
      <c r="AX152" s="53" t="n"/>
      <c r="AY152" s="53" t="n"/>
    </row>
    <row r="153" ht="15" customHeight="1">
      <c r="A153" s="54" t="n"/>
      <c r="B153" s="55">
        <f>IF($B$152="","",$B$152)</f>
        <v/>
      </c>
      <c r="C153" s="56" t="inlineStr">
        <is>
          <t>마케팅3팀</t>
        </is>
      </c>
      <c r="D153" s="55">
        <f>IF($D$152="","",$D$152)</f>
        <v/>
      </c>
      <c r="E153" s="57" t="inlineStr">
        <is>
          <t>이미지</t>
        </is>
      </c>
      <c r="F153" s="44" t="n"/>
      <c r="G153" s="58">
        <f>IF($G$152="","",$G$152)</f>
        <v/>
      </c>
      <c r="H153" s="59" t="n"/>
      <c r="I153" s="59" t="n"/>
      <c r="J153" s="59" t="n"/>
      <c r="K153" s="59" t="n"/>
      <c r="L153" s="60">
        <f>IF(SUM(U153:AY153)=0,"",SUM(U153:AY153))</f>
        <v/>
      </c>
      <c r="M153" s="61">
        <f>IFERROR(INDEX(U$2:AY$2,MATCH(TRUE,INDEX(U153:AY153&lt;&gt;"",0),0)),"")</f>
        <v/>
      </c>
      <c r="N153" s="61">
        <f>IFERROR(LOOKUP(2,1/(U153:AY153&lt;&gt;""),U$2:AY$2),"")</f>
        <v/>
      </c>
      <c r="O153" s="59" t="n"/>
      <c r="P153" s="59" t="n"/>
      <c r="Q153" s="59" t="n"/>
      <c r="R153" s="59" t="n"/>
      <c r="S153" s="14" t="n"/>
      <c r="U153" s="53" t="n"/>
      <c r="V153" s="53" t="n"/>
      <c r="W153" s="53" t="n"/>
      <c r="X153" s="53" t="n"/>
      <c r="Y153" s="53" t="n"/>
      <c r="Z153" s="53" t="n"/>
      <c r="AA153" s="53" t="n"/>
      <c r="AB153" s="53" t="n"/>
      <c r="AC153" s="53" t="n"/>
      <c r="AD153" s="53" t="n"/>
      <c r="AE153" s="53" t="n"/>
      <c r="AF153" s="53" t="n"/>
      <c r="AG153" s="53" t="n"/>
      <c r="AH153" s="53" t="n"/>
      <c r="AI153" s="53" t="n"/>
      <c r="AJ153" s="53" t="n"/>
      <c r="AK153" s="53" t="n"/>
      <c r="AL153" s="53" t="n"/>
      <c r="AM153" s="53" t="n"/>
      <c r="AN153" s="53" t="n"/>
      <c r="AO153" s="53" t="n"/>
      <c r="AP153" s="53" t="n"/>
      <c r="AQ153" s="53" t="n"/>
      <c r="AR153" s="53" t="n"/>
      <c r="AS153" s="53" t="n"/>
      <c r="AT153" s="53" t="n"/>
      <c r="AU153" s="53" t="n"/>
      <c r="AV153" s="53" t="n"/>
      <c r="AW153" s="53" t="n"/>
      <c r="AX153" s="53" t="n"/>
      <c r="AY153" s="53" t="n"/>
    </row>
    <row r="154" ht="15" customHeight="1">
      <c r="A154" s="62" t="n"/>
      <c r="B154" s="55">
        <f>IF($B$152="","",$B$152)</f>
        <v/>
      </c>
      <c r="C154" s="63" t="inlineStr">
        <is>
          <t>마케팅3팀</t>
        </is>
      </c>
      <c r="D154" s="55">
        <f>IF($D$152="","",$D$152)</f>
        <v/>
      </c>
      <c r="E154" s="64" t="inlineStr">
        <is>
          <t>영상</t>
        </is>
      </c>
      <c r="F154" s="44" t="n"/>
      <c r="G154" s="58">
        <f>IF($G$152="","",$G$152)</f>
        <v/>
      </c>
      <c r="H154" s="59" t="n"/>
      <c r="I154" s="59" t="n"/>
      <c r="J154" s="59" t="n"/>
      <c r="K154" s="59" t="n"/>
      <c r="L154" s="65">
        <f>IF(SUM(U154:AY154)=0,"",SUM(U154:AY154))</f>
        <v/>
      </c>
      <c r="M154" s="66">
        <f>IFERROR(INDEX(U$2:AY$2,MATCH(TRUE,INDEX(U154:AY154&lt;&gt;"",0),0)),"")</f>
        <v/>
      </c>
      <c r="N154" s="66">
        <f>IFERROR(LOOKUP(2,1/(U154:AY154&lt;&gt;""),U$2:AY$2),"")</f>
        <v/>
      </c>
      <c r="O154" s="59" t="n"/>
      <c r="P154" s="59" t="n"/>
      <c r="Q154" s="59" t="n"/>
      <c r="R154" s="59" t="n"/>
      <c r="S154" s="14" t="n"/>
      <c r="U154" s="53" t="n"/>
      <c r="V154" s="53" t="n"/>
      <c r="W154" s="53" t="n"/>
      <c r="X154" s="53" t="n"/>
      <c r="Y154" s="53" t="n"/>
      <c r="Z154" s="53" t="n"/>
      <c r="AA154" s="53" t="n"/>
      <c r="AB154" s="53" t="n"/>
      <c r="AC154" s="53" t="n"/>
      <c r="AD154" s="53" t="n"/>
      <c r="AE154" s="53" t="n"/>
      <c r="AF154" s="53" t="n"/>
      <c r="AG154" s="53" t="n"/>
      <c r="AH154" s="53" t="n"/>
      <c r="AI154" s="53" t="n"/>
      <c r="AJ154" s="53" t="n"/>
      <c r="AK154" s="53" t="n"/>
      <c r="AL154" s="53" t="n"/>
      <c r="AM154" s="53" t="n"/>
      <c r="AN154" s="53" t="n"/>
      <c r="AO154" s="53" t="n"/>
      <c r="AP154" s="53" t="n"/>
      <c r="AQ154" s="53" t="n"/>
      <c r="AR154" s="53" t="n"/>
      <c r="AS154" s="53" t="n"/>
      <c r="AT154" s="53" t="n"/>
      <c r="AU154" s="53" t="n"/>
      <c r="AV154" s="53" t="n"/>
      <c r="AW154" s="53" t="n"/>
      <c r="AX154" s="53" t="n"/>
      <c r="AY154" s="53" t="n"/>
    </row>
    <row r="155" ht="15" customHeight="1">
      <c r="A155" s="40">
        <f>IF($D$155="","",49)</f>
        <v/>
      </c>
      <c r="B155" s="10" t="n"/>
      <c r="C155" s="41" t="inlineStr">
        <is>
          <t>마케팅3팀</t>
        </is>
      </c>
      <c r="D155" s="42" t="n"/>
      <c r="E155" s="43" t="inlineStr">
        <is>
          <t>기획</t>
        </is>
      </c>
      <c r="F155" s="44" t="n"/>
      <c r="G155" s="45" t="n"/>
      <c r="H155" s="46">
        <f>IF($I$155="","",IF($I$155&lt;0,"🔴지연",IF($I$155&lt;=1,"🟡임박","🟢여유")))</f>
        <v/>
      </c>
      <c r="I155" s="47">
        <f>IF(OR($G$155="",$K$155=""),"",$G$155-$K$155)</f>
        <v/>
      </c>
      <c r="J155" s="48">
        <f>IF(SUM($L$155:$L$157)=0,"",SUM($L$155:$L$157))</f>
        <v/>
      </c>
      <c r="K155" s="49">
        <f>IF($J$155="","",MAX($N$155:$N$157))</f>
        <v/>
      </c>
      <c r="L155" s="50">
        <f>IF(SUM(U155:AY155)=0,"",SUM(U155:AY155))</f>
        <v/>
      </c>
      <c r="M155" s="51">
        <f>IFERROR(INDEX(U$2:AY$2,MATCH(TRUE,INDEX(U155:AY155&lt;&gt;"",0),0)),"")</f>
        <v/>
      </c>
      <c r="N155" s="51">
        <f>IFERROR(LOOKUP(2,1/(U155:AY155&lt;&gt;""),U$2:AY$2),"")</f>
        <v/>
      </c>
      <c r="O155" s="52" t="n"/>
      <c r="P155" s="52" t="n"/>
      <c r="Q155" s="52" t="n"/>
      <c r="R155" s="44" t="n"/>
      <c r="S155" s="14" t="n"/>
      <c r="U155" s="53" t="n"/>
      <c r="V155" s="53" t="n"/>
      <c r="W155" s="53" t="n"/>
      <c r="X155" s="53" t="n"/>
      <c r="Y155" s="53" t="n"/>
      <c r="Z155" s="53" t="n"/>
      <c r="AA155" s="53" t="n"/>
      <c r="AB155" s="53" t="n"/>
      <c r="AC155" s="53" t="n"/>
      <c r="AD155" s="53" t="n"/>
      <c r="AE155" s="53" t="n"/>
      <c r="AF155" s="53" t="n"/>
      <c r="AG155" s="53" t="n"/>
      <c r="AH155" s="53" t="n"/>
      <c r="AI155" s="53" t="n"/>
      <c r="AJ155" s="53" t="n"/>
      <c r="AK155" s="53" t="n"/>
      <c r="AL155" s="53" t="n"/>
      <c r="AM155" s="53" t="n"/>
      <c r="AN155" s="53" t="n"/>
      <c r="AO155" s="53" t="n"/>
      <c r="AP155" s="53" t="n"/>
      <c r="AQ155" s="53" t="n"/>
      <c r="AR155" s="53" t="n"/>
      <c r="AS155" s="53" t="n"/>
      <c r="AT155" s="53" t="n"/>
      <c r="AU155" s="53" t="n"/>
      <c r="AV155" s="53" t="n"/>
      <c r="AW155" s="53" t="n"/>
      <c r="AX155" s="53" t="n"/>
      <c r="AY155" s="53" t="n"/>
    </row>
    <row r="156" ht="15" customHeight="1">
      <c r="A156" s="54" t="n"/>
      <c r="B156" s="55">
        <f>IF($B$155="","",$B$155)</f>
        <v/>
      </c>
      <c r="C156" s="56" t="inlineStr">
        <is>
          <t>마케팅3팀</t>
        </is>
      </c>
      <c r="D156" s="55">
        <f>IF($D$155="","",$D$155)</f>
        <v/>
      </c>
      <c r="E156" s="57" t="inlineStr">
        <is>
          <t>이미지</t>
        </is>
      </c>
      <c r="F156" s="44" t="n"/>
      <c r="G156" s="58">
        <f>IF($G$155="","",$G$155)</f>
        <v/>
      </c>
      <c r="H156" s="59" t="n"/>
      <c r="I156" s="59" t="n"/>
      <c r="J156" s="59" t="n"/>
      <c r="K156" s="59" t="n"/>
      <c r="L156" s="60">
        <f>IF(SUM(U156:AY156)=0,"",SUM(U156:AY156))</f>
        <v/>
      </c>
      <c r="M156" s="61">
        <f>IFERROR(INDEX(U$2:AY$2,MATCH(TRUE,INDEX(U156:AY156&lt;&gt;"",0),0)),"")</f>
        <v/>
      </c>
      <c r="N156" s="61">
        <f>IFERROR(LOOKUP(2,1/(U156:AY156&lt;&gt;""),U$2:AY$2),"")</f>
        <v/>
      </c>
      <c r="O156" s="59" t="n"/>
      <c r="P156" s="59" t="n"/>
      <c r="Q156" s="59" t="n"/>
      <c r="R156" s="59" t="n"/>
      <c r="S156" s="14" t="n"/>
      <c r="U156" s="53" t="n"/>
      <c r="V156" s="53" t="n"/>
      <c r="W156" s="53" t="n"/>
      <c r="X156" s="53" t="n"/>
      <c r="Y156" s="53" t="n"/>
      <c r="Z156" s="53" t="n"/>
      <c r="AA156" s="53" t="n"/>
      <c r="AB156" s="53" t="n"/>
      <c r="AC156" s="53" t="n"/>
      <c r="AD156" s="53" t="n"/>
      <c r="AE156" s="53" t="n"/>
      <c r="AF156" s="53" t="n"/>
      <c r="AG156" s="53" t="n"/>
      <c r="AH156" s="53" t="n"/>
      <c r="AI156" s="53" t="n"/>
      <c r="AJ156" s="53" t="n"/>
      <c r="AK156" s="53" t="n"/>
      <c r="AL156" s="53" t="n"/>
      <c r="AM156" s="53" t="n"/>
      <c r="AN156" s="53" t="n"/>
      <c r="AO156" s="53" t="n"/>
      <c r="AP156" s="53" t="n"/>
      <c r="AQ156" s="53" t="n"/>
      <c r="AR156" s="53" t="n"/>
      <c r="AS156" s="53" t="n"/>
      <c r="AT156" s="53" t="n"/>
      <c r="AU156" s="53" t="n"/>
      <c r="AV156" s="53" t="n"/>
      <c r="AW156" s="53" t="n"/>
      <c r="AX156" s="53" t="n"/>
      <c r="AY156" s="53" t="n"/>
    </row>
    <row r="157" ht="15" customHeight="1">
      <c r="A157" s="62" t="n"/>
      <c r="B157" s="55">
        <f>IF($B$155="","",$B$155)</f>
        <v/>
      </c>
      <c r="C157" s="63" t="inlineStr">
        <is>
          <t>마케팅3팀</t>
        </is>
      </c>
      <c r="D157" s="55">
        <f>IF($D$155="","",$D$155)</f>
        <v/>
      </c>
      <c r="E157" s="64" t="inlineStr">
        <is>
          <t>영상</t>
        </is>
      </c>
      <c r="F157" s="44" t="n"/>
      <c r="G157" s="58">
        <f>IF($G$155="","",$G$155)</f>
        <v/>
      </c>
      <c r="H157" s="59" t="n"/>
      <c r="I157" s="59" t="n"/>
      <c r="J157" s="59" t="n"/>
      <c r="K157" s="59" t="n"/>
      <c r="L157" s="65">
        <f>IF(SUM(U157:AY157)=0,"",SUM(U157:AY157))</f>
        <v/>
      </c>
      <c r="M157" s="66">
        <f>IFERROR(INDEX(U$2:AY$2,MATCH(TRUE,INDEX(U157:AY157&lt;&gt;"",0),0)),"")</f>
        <v/>
      </c>
      <c r="N157" s="66">
        <f>IFERROR(LOOKUP(2,1/(U157:AY157&lt;&gt;""),U$2:AY$2),"")</f>
        <v/>
      </c>
      <c r="O157" s="59" t="n"/>
      <c r="P157" s="59" t="n"/>
      <c r="Q157" s="59" t="n"/>
      <c r="R157" s="59" t="n"/>
      <c r="S157" s="14" t="n"/>
      <c r="U157" s="53" t="n"/>
      <c r="V157" s="53" t="n"/>
      <c r="W157" s="53" t="n"/>
      <c r="X157" s="53" t="n"/>
      <c r="Y157" s="53" t="n"/>
      <c r="Z157" s="53" t="n"/>
      <c r="AA157" s="53" t="n"/>
      <c r="AB157" s="53" t="n"/>
      <c r="AC157" s="53" t="n"/>
      <c r="AD157" s="53" t="n"/>
      <c r="AE157" s="53" t="n"/>
      <c r="AF157" s="53" t="n"/>
      <c r="AG157" s="53" t="n"/>
      <c r="AH157" s="53" t="n"/>
      <c r="AI157" s="53" t="n"/>
      <c r="AJ157" s="53" t="n"/>
      <c r="AK157" s="53" t="n"/>
      <c r="AL157" s="53" t="n"/>
      <c r="AM157" s="53" t="n"/>
      <c r="AN157" s="53" t="n"/>
      <c r="AO157" s="53" t="n"/>
      <c r="AP157" s="53" t="n"/>
      <c r="AQ157" s="53" t="n"/>
      <c r="AR157" s="53" t="n"/>
      <c r="AS157" s="53" t="n"/>
      <c r="AT157" s="53" t="n"/>
      <c r="AU157" s="53" t="n"/>
      <c r="AV157" s="53" t="n"/>
      <c r="AW157" s="53" t="n"/>
      <c r="AX157" s="53" t="n"/>
      <c r="AY157" s="53" t="n"/>
    </row>
    <row r="158" ht="15" customHeight="1">
      <c r="A158" s="40">
        <f>IF($D$158="","",50)</f>
        <v/>
      </c>
      <c r="B158" s="10" t="n"/>
      <c r="C158" s="41" t="inlineStr">
        <is>
          <t>마케팅3팀</t>
        </is>
      </c>
      <c r="D158" s="42" t="n"/>
      <c r="E158" s="43" t="inlineStr">
        <is>
          <t>기획</t>
        </is>
      </c>
      <c r="F158" s="44" t="n"/>
      <c r="G158" s="45" t="n"/>
      <c r="H158" s="46">
        <f>IF($I$158="","",IF($I$158&lt;0,"🔴지연",IF($I$158&lt;=1,"🟡임박","🟢여유")))</f>
        <v/>
      </c>
      <c r="I158" s="47">
        <f>IF(OR($G$158="",$K$158=""),"",$G$158-$K$158)</f>
        <v/>
      </c>
      <c r="J158" s="48">
        <f>IF(SUM($L$158:$L$160)=0,"",SUM($L$158:$L$160))</f>
        <v/>
      </c>
      <c r="K158" s="49">
        <f>IF($J$158="","",MAX($N$158:$N$160))</f>
        <v/>
      </c>
      <c r="L158" s="50">
        <f>IF(SUM(U158:AY158)=0,"",SUM(U158:AY158))</f>
        <v/>
      </c>
      <c r="M158" s="51">
        <f>IFERROR(INDEX(U$2:AY$2,MATCH(TRUE,INDEX(U158:AY158&lt;&gt;"",0),0)),"")</f>
        <v/>
      </c>
      <c r="N158" s="51">
        <f>IFERROR(LOOKUP(2,1/(U158:AY158&lt;&gt;""),U$2:AY$2),"")</f>
        <v/>
      </c>
      <c r="O158" s="52" t="n"/>
      <c r="P158" s="52" t="n"/>
      <c r="Q158" s="52" t="n"/>
      <c r="R158" s="44" t="n"/>
      <c r="S158" s="14" t="n"/>
      <c r="U158" s="53" t="n"/>
      <c r="V158" s="53" t="n"/>
      <c r="W158" s="53" t="n"/>
      <c r="X158" s="53" t="n"/>
      <c r="Y158" s="53" t="n"/>
      <c r="Z158" s="53" t="n"/>
      <c r="AA158" s="53" t="n"/>
      <c r="AB158" s="53" t="n"/>
      <c r="AC158" s="53" t="n"/>
      <c r="AD158" s="53" t="n"/>
      <c r="AE158" s="53" t="n"/>
      <c r="AF158" s="53" t="n"/>
      <c r="AG158" s="53" t="n"/>
      <c r="AH158" s="53" t="n"/>
      <c r="AI158" s="53" t="n"/>
      <c r="AJ158" s="53" t="n"/>
      <c r="AK158" s="53" t="n"/>
      <c r="AL158" s="53" t="n"/>
      <c r="AM158" s="53" t="n"/>
      <c r="AN158" s="53" t="n"/>
      <c r="AO158" s="53" t="n"/>
      <c r="AP158" s="53" t="n"/>
      <c r="AQ158" s="53" t="n"/>
      <c r="AR158" s="53" t="n"/>
      <c r="AS158" s="53" t="n"/>
      <c r="AT158" s="53" t="n"/>
      <c r="AU158" s="53" t="n"/>
      <c r="AV158" s="53" t="n"/>
      <c r="AW158" s="53" t="n"/>
      <c r="AX158" s="53" t="n"/>
      <c r="AY158" s="53" t="n"/>
    </row>
    <row r="159" ht="15" customHeight="1">
      <c r="A159" s="54" t="n"/>
      <c r="B159" s="55">
        <f>IF($B$158="","",$B$158)</f>
        <v/>
      </c>
      <c r="C159" s="56" t="inlineStr">
        <is>
          <t>마케팅3팀</t>
        </is>
      </c>
      <c r="D159" s="55">
        <f>IF($D$158="","",$D$158)</f>
        <v/>
      </c>
      <c r="E159" s="57" t="inlineStr">
        <is>
          <t>이미지</t>
        </is>
      </c>
      <c r="F159" s="44" t="n"/>
      <c r="G159" s="58">
        <f>IF($G$158="","",$G$158)</f>
        <v/>
      </c>
      <c r="H159" s="59" t="n"/>
      <c r="I159" s="59" t="n"/>
      <c r="J159" s="59" t="n"/>
      <c r="K159" s="59" t="n"/>
      <c r="L159" s="60">
        <f>IF(SUM(U159:AY159)=0,"",SUM(U159:AY159))</f>
        <v/>
      </c>
      <c r="M159" s="61">
        <f>IFERROR(INDEX(U$2:AY$2,MATCH(TRUE,INDEX(U159:AY159&lt;&gt;"",0),0)),"")</f>
        <v/>
      </c>
      <c r="N159" s="61">
        <f>IFERROR(LOOKUP(2,1/(U159:AY159&lt;&gt;""),U$2:AY$2),"")</f>
        <v/>
      </c>
      <c r="O159" s="59" t="n"/>
      <c r="P159" s="59" t="n"/>
      <c r="Q159" s="59" t="n"/>
      <c r="R159" s="59" t="n"/>
      <c r="S159" s="14" t="n"/>
      <c r="U159" s="53" t="n"/>
      <c r="V159" s="53" t="n"/>
      <c r="W159" s="53" t="n"/>
      <c r="X159" s="53" t="n"/>
      <c r="Y159" s="53" t="n"/>
      <c r="Z159" s="53" t="n"/>
      <c r="AA159" s="53" t="n"/>
      <c r="AB159" s="53" t="n"/>
      <c r="AC159" s="53" t="n"/>
      <c r="AD159" s="53" t="n"/>
      <c r="AE159" s="53" t="n"/>
      <c r="AF159" s="53" t="n"/>
      <c r="AG159" s="53" t="n"/>
      <c r="AH159" s="53" t="n"/>
      <c r="AI159" s="53" t="n"/>
      <c r="AJ159" s="53" t="n"/>
      <c r="AK159" s="53" t="n"/>
      <c r="AL159" s="53" t="n"/>
      <c r="AM159" s="53" t="n"/>
      <c r="AN159" s="53" t="n"/>
      <c r="AO159" s="53" t="n"/>
      <c r="AP159" s="53" t="n"/>
      <c r="AQ159" s="53" t="n"/>
      <c r="AR159" s="53" t="n"/>
      <c r="AS159" s="53" t="n"/>
      <c r="AT159" s="53" t="n"/>
      <c r="AU159" s="53" t="n"/>
      <c r="AV159" s="53" t="n"/>
      <c r="AW159" s="53" t="n"/>
      <c r="AX159" s="53" t="n"/>
      <c r="AY159" s="53" t="n"/>
    </row>
    <row r="160" ht="15" customHeight="1">
      <c r="A160" s="62" t="n"/>
      <c r="B160" s="55">
        <f>IF($B$158="","",$B$158)</f>
        <v/>
      </c>
      <c r="C160" s="63" t="inlineStr">
        <is>
          <t>마케팅3팀</t>
        </is>
      </c>
      <c r="D160" s="55">
        <f>IF($D$158="","",$D$158)</f>
        <v/>
      </c>
      <c r="E160" s="64" t="inlineStr">
        <is>
          <t>영상</t>
        </is>
      </c>
      <c r="F160" s="44" t="n"/>
      <c r="G160" s="58">
        <f>IF($G$158="","",$G$158)</f>
        <v/>
      </c>
      <c r="H160" s="59" t="n"/>
      <c r="I160" s="59" t="n"/>
      <c r="J160" s="59" t="n"/>
      <c r="K160" s="59" t="n"/>
      <c r="L160" s="65">
        <f>IF(SUM(U160:AY160)=0,"",SUM(U160:AY160))</f>
        <v/>
      </c>
      <c r="M160" s="66">
        <f>IFERROR(INDEX(U$2:AY$2,MATCH(TRUE,INDEX(U160:AY160&lt;&gt;"",0),0)),"")</f>
        <v/>
      </c>
      <c r="N160" s="66">
        <f>IFERROR(LOOKUP(2,1/(U160:AY160&lt;&gt;""),U$2:AY$2),"")</f>
        <v/>
      </c>
      <c r="O160" s="59" t="n"/>
      <c r="P160" s="59" t="n"/>
      <c r="Q160" s="59" t="n"/>
      <c r="R160" s="59" t="n"/>
      <c r="S160" s="14" t="n"/>
      <c r="U160" s="53" t="n"/>
      <c r="V160" s="53" t="n"/>
      <c r="W160" s="53" t="n"/>
      <c r="X160" s="53" t="n"/>
      <c r="Y160" s="53" t="n"/>
      <c r="Z160" s="53" t="n"/>
      <c r="AA160" s="53" t="n"/>
      <c r="AB160" s="53" t="n"/>
      <c r="AC160" s="53" t="n"/>
      <c r="AD160" s="53" t="n"/>
      <c r="AE160" s="53" t="n"/>
      <c r="AF160" s="53" t="n"/>
      <c r="AG160" s="53" t="n"/>
      <c r="AH160" s="53" t="n"/>
      <c r="AI160" s="53" t="n"/>
      <c r="AJ160" s="53" t="n"/>
      <c r="AK160" s="53" t="n"/>
      <c r="AL160" s="53" t="n"/>
      <c r="AM160" s="53" t="n"/>
      <c r="AN160" s="53" t="n"/>
      <c r="AO160" s="53" t="n"/>
      <c r="AP160" s="53" t="n"/>
      <c r="AQ160" s="53" t="n"/>
      <c r="AR160" s="53" t="n"/>
      <c r="AS160" s="53" t="n"/>
      <c r="AT160" s="53" t="n"/>
      <c r="AU160" s="53" t="n"/>
      <c r="AV160" s="53" t="n"/>
      <c r="AW160" s="53" t="n"/>
      <c r="AX160" s="53" t="n"/>
      <c r="AY160" s="53" t="n"/>
    </row>
    <row r="161" ht="15" customHeight="1">
      <c r="A161" s="40">
        <f>IF($D$161="","",51)</f>
        <v/>
      </c>
      <c r="B161" s="10" t="n"/>
      <c r="C161" s="41" t="inlineStr">
        <is>
          <t>마케팅3팀</t>
        </is>
      </c>
      <c r="D161" s="42" t="n"/>
      <c r="E161" s="43" t="inlineStr">
        <is>
          <t>기획</t>
        </is>
      </c>
      <c r="F161" s="44" t="n"/>
      <c r="G161" s="45" t="n"/>
      <c r="H161" s="46">
        <f>IF($I$161="","",IF($I$161&lt;0,"🔴지연",IF($I$161&lt;=1,"🟡임박","🟢여유")))</f>
        <v/>
      </c>
      <c r="I161" s="47">
        <f>IF(OR($G$161="",$K$161=""),"",$G$161-$K$161)</f>
        <v/>
      </c>
      <c r="J161" s="48">
        <f>IF(SUM($L$161:$L$163)=0,"",SUM($L$161:$L$163))</f>
        <v/>
      </c>
      <c r="K161" s="49">
        <f>IF($J$161="","",MAX($N$161:$N$163))</f>
        <v/>
      </c>
      <c r="L161" s="50">
        <f>IF(SUM(U161:AY161)=0,"",SUM(U161:AY161))</f>
        <v/>
      </c>
      <c r="M161" s="51">
        <f>IFERROR(INDEX(U$2:AY$2,MATCH(TRUE,INDEX(U161:AY161&lt;&gt;"",0),0)),"")</f>
        <v/>
      </c>
      <c r="N161" s="51">
        <f>IFERROR(LOOKUP(2,1/(U161:AY161&lt;&gt;""),U$2:AY$2),"")</f>
        <v/>
      </c>
      <c r="O161" s="52" t="n"/>
      <c r="P161" s="52" t="n"/>
      <c r="Q161" s="52" t="n"/>
      <c r="R161" s="44" t="n"/>
      <c r="S161" s="14" t="n"/>
      <c r="U161" s="53" t="n"/>
      <c r="V161" s="53" t="n"/>
      <c r="W161" s="53" t="n"/>
      <c r="X161" s="53" t="n"/>
      <c r="Y161" s="53" t="n"/>
      <c r="Z161" s="53" t="n"/>
      <c r="AA161" s="53" t="n"/>
      <c r="AB161" s="53" t="n"/>
      <c r="AC161" s="53" t="n"/>
      <c r="AD161" s="53" t="n"/>
      <c r="AE161" s="53" t="n"/>
      <c r="AF161" s="53" t="n"/>
      <c r="AG161" s="53" t="n"/>
      <c r="AH161" s="53" t="n"/>
      <c r="AI161" s="53" t="n"/>
      <c r="AJ161" s="53" t="n"/>
      <c r="AK161" s="53" t="n"/>
      <c r="AL161" s="53" t="n"/>
      <c r="AM161" s="53" t="n"/>
      <c r="AN161" s="53" t="n"/>
      <c r="AO161" s="53" t="n"/>
      <c r="AP161" s="53" t="n"/>
      <c r="AQ161" s="53" t="n"/>
      <c r="AR161" s="53" t="n"/>
      <c r="AS161" s="53" t="n"/>
      <c r="AT161" s="53" t="n"/>
      <c r="AU161" s="53" t="n"/>
      <c r="AV161" s="53" t="n"/>
      <c r="AW161" s="53" t="n"/>
      <c r="AX161" s="53" t="n"/>
      <c r="AY161" s="53" t="n"/>
    </row>
    <row r="162" ht="15" customHeight="1">
      <c r="A162" s="54" t="n"/>
      <c r="B162" s="55">
        <f>IF($B$161="","",$B$161)</f>
        <v/>
      </c>
      <c r="C162" s="56" t="inlineStr">
        <is>
          <t>마케팅3팀</t>
        </is>
      </c>
      <c r="D162" s="55">
        <f>IF($D$161="","",$D$161)</f>
        <v/>
      </c>
      <c r="E162" s="57" t="inlineStr">
        <is>
          <t>이미지</t>
        </is>
      </c>
      <c r="F162" s="44" t="n"/>
      <c r="G162" s="58">
        <f>IF($G$161="","",$G$161)</f>
        <v/>
      </c>
      <c r="H162" s="59" t="n"/>
      <c r="I162" s="59" t="n"/>
      <c r="J162" s="59" t="n"/>
      <c r="K162" s="59" t="n"/>
      <c r="L162" s="60">
        <f>IF(SUM(U162:AY162)=0,"",SUM(U162:AY162))</f>
        <v/>
      </c>
      <c r="M162" s="61">
        <f>IFERROR(INDEX(U$2:AY$2,MATCH(TRUE,INDEX(U162:AY162&lt;&gt;"",0),0)),"")</f>
        <v/>
      </c>
      <c r="N162" s="61">
        <f>IFERROR(LOOKUP(2,1/(U162:AY162&lt;&gt;""),U$2:AY$2),"")</f>
        <v/>
      </c>
      <c r="O162" s="59" t="n"/>
      <c r="P162" s="59" t="n"/>
      <c r="Q162" s="59" t="n"/>
      <c r="R162" s="59" t="n"/>
      <c r="S162" s="14" t="n"/>
      <c r="U162" s="53" t="n"/>
      <c r="V162" s="53" t="n"/>
      <c r="W162" s="53" t="n"/>
      <c r="X162" s="53" t="n"/>
      <c r="Y162" s="53" t="n"/>
      <c r="Z162" s="53" t="n"/>
      <c r="AA162" s="53" t="n"/>
      <c r="AB162" s="53" t="n"/>
      <c r="AC162" s="53" t="n"/>
      <c r="AD162" s="53" t="n"/>
      <c r="AE162" s="53" t="n"/>
      <c r="AF162" s="53" t="n"/>
      <c r="AG162" s="53" t="n"/>
      <c r="AH162" s="53" t="n"/>
      <c r="AI162" s="53" t="n"/>
      <c r="AJ162" s="53" t="n"/>
      <c r="AK162" s="53" t="n"/>
      <c r="AL162" s="53" t="n"/>
      <c r="AM162" s="53" t="n"/>
      <c r="AN162" s="53" t="n"/>
      <c r="AO162" s="53" t="n"/>
      <c r="AP162" s="53" t="n"/>
      <c r="AQ162" s="53" t="n"/>
      <c r="AR162" s="53" t="n"/>
      <c r="AS162" s="53" t="n"/>
      <c r="AT162" s="53" t="n"/>
      <c r="AU162" s="53" t="n"/>
      <c r="AV162" s="53" t="n"/>
      <c r="AW162" s="53" t="n"/>
      <c r="AX162" s="53" t="n"/>
      <c r="AY162" s="53" t="n"/>
    </row>
    <row r="163" ht="15" customHeight="1">
      <c r="A163" s="62" t="n"/>
      <c r="B163" s="55">
        <f>IF($B$161="","",$B$161)</f>
        <v/>
      </c>
      <c r="C163" s="63" t="inlineStr">
        <is>
          <t>마케팅3팀</t>
        </is>
      </c>
      <c r="D163" s="55">
        <f>IF($D$161="","",$D$161)</f>
        <v/>
      </c>
      <c r="E163" s="64" t="inlineStr">
        <is>
          <t>영상</t>
        </is>
      </c>
      <c r="F163" s="44" t="n"/>
      <c r="G163" s="58">
        <f>IF($G$161="","",$G$161)</f>
        <v/>
      </c>
      <c r="H163" s="59" t="n"/>
      <c r="I163" s="59" t="n"/>
      <c r="J163" s="59" t="n"/>
      <c r="K163" s="59" t="n"/>
      <c r="L163" s="65">
        <f>IF(SUM(U163:AY163)=0,"",SUM(U163:AY163))</f>
        <v/>
      </c>
      <c r="M163" s="66">
        <f>IFERROR(INDEX(U$2:AY$2,MATCH(TRUE,INDEX(U163:AY163&lt;&gt;"",0),0)),"")</f>
        <v/>
      </c>
      <c r="N163" s="66">
        <f>IFERROR(LOOKUP(2,1/(U163:AY163&lt;&gt;""),U$2:AY$2),"")</f>
        <v/>
      </c>
      <c r="O163" s="59" t="n"/>
      <c r="P163" s="59" t="n"/>
      <c r="Q163" s="59" t="n"/>
      <c r="R163" s="59" t="n"/>
      <c r="S163" s="14" t="n"/>
      <c r="U163" s="53" t="n"/>
      <c r="V163" s="53" t="n"/>
      <c r="W163" s="53" t="n"/>
      <c r="X163" s="53" t="n"/>
      <c r="Y163" s="53" t="n"/>
      <c r="Z163" s="53" t="n"/>
      <c r="AA163" s="53" t="n"/>
      <c r="AB163" s="53" t="n"/>
      <c r="AC163" s="53" t="n"/>
      <c r="AD163" s="53" t="n"/>
      <c r="AE163" s="53" t="n"/>
      <c r="AF163" s="53" t="n"/>
      <c r="AG163" s="53" t="n"/>
      <c r="AH163" s="53" t="n"/>
      <c r="AI163" s="53" t="n"/>
      <c r="AJ163" s="53" t="n"/>
      <c r="AK163" s="53" t="n"/>
      <c r="AL163" s="53" t="n"/>
      <c r="AM163" s="53" t="n"/>
      <c r="AN163" s="53" t="n"/>
      <c r="AO163" s="53" t="n"/>
      <c r="AP163" s="53" t="n"/>
      <c r="AQ163" s="53" t="n"/>
      <c r="AR163" s="53" t="n"/>
      <c r="AS163" s="53" t="n"/>
      <c r="AT163" s="53" t="n"/>
      <c r="AU163" s="53" t="n"/>
      <c r="AV163" s="53" t="n"/>
      <c r="AW163" s="53" t="n"/>
      <c r="AX163" s="53" t="n"/>
      <c r="AY163" s="53" t="n"/>
    </row>
    <row r="164" ht="15" customHeight="1">
      <c r="A164" s="40">
        <f>IF($D$164="","",52)</f>
        <v/>
      </c>
      <c r="B164" s="10" t="n"/>
      <c r="C164" s="41" t="inlineStr">
        <is>
          <t>마케팅3팀</t>
        </is>
      </c>
      <c r="D164" s="42" t="n"/>
      <c r="E164" s="43" t="inlineStr">
        <is>
          <t>기획</t>
        </is>
      </c>
      <c r="F164" s="44" t="n"/>
      <c r="G164" s="45" t="n"/>
      <c r="H164" s="46">
        <f>IF($I$164="","",IF($I$164&lt;0,"🔴지연",IF($I$164&lt;=1,"🟡임박","🟢여유")))</f>
        <v/>
      </c>
      <c r="I164" s="47">
        <f>IF(OR($G$164="",$K$164=""),"",$G$164-$K$164)</f>
        <v/>
      </c>
      <c r="J164" s="48">
        <f>IF(SUM($L$164:$L$166)=0,"",SUM($L$164:$L$166))</f>
        <v/>
      </c>
      <c r="K164" s="49">
        <f>IF($J$164="","",MAX($N$164:$N$166))</f>
        <v/>
      </c>
      <c r="L164" s="50">
        <f>IF(SUM(U164:AY164)=0,"",SUM(U164:AY164))</f>
        <v/>
      </c>
      <c r="M164" s="51">
        <f>IFERROR(INDEX(U$2:AY$2,MATCH(TRUE,INDEX(U164:AY164&lt;&gt;"",0),0)),"")</f>
        <v/>
      </c>
      <c r="N164" s="51">
        <f>IFERROR(LOOKUP(2,1/(U164:AY164&lt;&gt;""),U$2:AY$2),"")</f>
        <v/>
      </c>
      <c r="O164" s="52" t="n"/>
      <c r="P164" s="52" t="n"/>
      <c r="Q164" s="52" t="n"/>
      <c r="R164" s="44" t="n"/>
      <c r="S164" s="14" t="n"/>
      <c r="U164" s="53" t="n"/>
      <c r="V164" s="53" t="n"/>
      <c r="W164" s="53" t="n"/>
      <c r="X164" s="53" t="n"/>
      <c r="Y164" s="53" t="n"/>
      <c r="Z164" s="53" t="n"/>
      <c r="AA164" s="53" t="n"/>
      <c r="AB164" s="53" t="n"/>
      <c r="AC164" s="53" t="n"/>
      <c r="AD164" s="53" t="n"/>
      <c r="AE164" s="53" t="n"/>
      <c r="AF164" s="53" t="n"/>
      <c r="AG164" s="53" t="n"/>
      <c r="AH164" s="53" t="n"/>
      <c r="AI164" s="53" t="n"/>
      <c r="AJ164" s="53" t="n"/>
      <c r="AK164" s="53" t="n"/>
      <c r="AL164" s="53" t="n"/>
      <c r="AM164" s="53" t="n"/>
      <c r="AN164" s="53" t="n"/>
      <c r="AO164" s="53" t="n"/>
      <c r="AP164" s="53" t="n"/>
      <c r="AQ164" s="53" t="n"/>
      <c r="AR164" s="53" t="n"/>
      <c r="AS164" s="53" t="n"/>
      <c r="AT164" s="53" t="n"/>
      <c r="AU164" s="53" t="n"/>
      <c r="AV164" s="53" t="n"/>
      <c r="AW164" s="53" t="n"/>
      <c r="AX164" s="53" t="n"/>
      <c r="AY164" s="53" t="n"/>
    </row>
    <row r="165" ht="15" customHeight="1">
      <c r="A165" s="54" t="n"/>
      <c r="B165" s="55">
        <f>IF($B$164="","",$B$164)</f>
        <v/>
      </c>
      <c r="C165" s="56" t="inlineStr">
        <is>
          <t>마케팅3팀</t>
        </is>
      </c>
      <c r="D165" s="55">
        <f>IF($D$164="","",$D$164)</f>
        <v/>
      </c>
      <c r="E165" s="57" t="inlineStr">
        <is>
          <t>이미지</t>
        </is>
      </c>
      <c r="F165" s="44" t="n"/>
      <c r="G165" s="58">
        <f>IF($G$164="","",$G$164)</f>
        <v/>
      </c>
      <c r="H165" s="59" t="n"/>
      <c r="I165" s="59" t="n"/>
      <c r="J165" s="59" t="n"/>
      <c r="K165" s="59" t="n"/>
      <c r="L165" s="60">
        <f>IF(SUM(U165:AY165)=0,"",SUM(U165:AY165))</f>
        <v/>
      </c>
      <c r="M165" s="61">
        <f>IFERROR(INDEX(U$2:AY$2,MATCH(TRUE,INDEX(U165:AY165&lt;&gt;"",0),0)),"")</f>
        <v/>
      </c>
      <c r="N165" s="61">
        <f>IFERROR(LOOKUP(2,1/(U165:AY165&lt;&gt;""),U$2:AY$2),"")</f>
        <v/>
      </c>
      <c r="O165" s="59" t="n"/>
      <c r="P165" s="59" t="n"/>
      <c r="Q165" s="59" t="n"/>
      <c r="R165" s="59" t="n"/>
      <c r="S165" s="14" t="n"/>
      <c r="U165" s="53" t="n"/>
      <c r="V165" s="53" t="n"/>
      <c r="W165" s="53" t="n"/>
      <c r="X165" s="53" t="n"/>
      <c r="Y165" s="53" t="n"/>
      <c r="Z165" s="53" t="n"/>
      <c r="AA165" s="53" t="n"/>
      <c r="AB165" s="53" t="n"/>
      <c r="AC165" s="53" t="n"/>
      <c r="AD165" s="53" t="n"/>
      <c r="AE165" s="53" t="n"/>
      <c r="AF165" s="53" t="n"/>
      <c r="AG165" s="53" t="n"/>
      <c r="AH165" s="53" t="n"/>
      <c r="AI165" s="53" t="n"/>
      <c r="AJ165" s="53" t="n"/>
      <c r="AK165" s="53" t="n"/>
      <c r="AL165" s="53" t="n"/>
      <c r="AM165" s="53" t="n"/>
      <c r="AN165" s="53" t="n"/>
      <c r="AO165" s="53" t="n"/>
      <c r="AP165" s="53" t="n"/>
      <c r="AQ165" s="53" t="n"/>
      <c r="AR165" s="53" t="n"/>
      <c r="AS165" s="53" t="n"/>
      <c r="AT165" s="53" t="n"/>
      <c r="AU165" s="53" t="n"/>
      <c r="AV165" s="53" t="n"/>
      <c r="AW165" s="53" t="n"/>
      <c r="AX165" s="53" t="n"/>
      <c r="AY165" s="53" t="n"/>
    </row>
    <row r="166" ht="15" customHeight="1">
      <c r="A166" s="62" t="n"/>
      <c r="B166" s="55">
        <f>IF($B$164="","",$B$164)</f>
        <v/>
      </c>
      <c r="C166" s="63" t="inlineStr">
        <is>
          <t>마케팅3팀</t>
        </is>
      </c>
      <c r="D166" s="55">
        <f>IF($D$164="","",$D$164)</f>
        <v/>
      </c>
      <c r="E166" s="64" t="inlineStr">
        <is>
          <t>영상</t>
        </is>
      </c>
      <c r="F166" s="44" t="n"/>
      <c r="G166" s="58">
        <f>IF($G$164="","",$G$164)</f>
        <v/>
      </c>
      <c r="H166" s="59" t="n"/>
      <c r="I166" s="59" t="n"/>
      <c r="J166" s="59" t="n"/>
      <c r="K166" s="59" t="n"/>
      <c r="L166" s="65">
        <f>IF(SUM(U166:AY166)=0,"",SUM(U166:AY166))</f>
        <v/>
      </c>
      <c r="M166" s="66">
        <f>IFERROR(INDEX(U$2:AY$2,MATCH(TRUE,INDEX(U166:AY166&lt;&gt;"",0),0)),"")</f>
        <v/>
      </c>
      <c r="N166" s="66">
        <f>IFERROR(LOOKUP(2,1/(U166:AY166&lt;&gt;""),U$2:AY$2),"")</f>
        <v/>
      </c>
      <c r="O166" s="59" t="n"/>
      <c r="P166" s="59" t="n"/>
      <c r="Q166" s="59" t="n"/>
      <c r="R166" s="59" t="n"/>
      <c r="S166" s="14" t="n"/>
      <c r="U166" s="53" t="n"/>
      <c r="V166" s="53" t="n"/>
      <c r="W166" s="53" t="n"/>
      <c r="X166" s="53" t="n"/>
      <c r="Y166" s="53" t="n"/>
      <c r="Z166" s="53" t="n"/>
      <c r="AA166" s="53" t="n"/>
      <c r="AB166" s="53" t="n"/>
      <c r="AC166" s="53" t="n"/>
      <c r="AD166" s="53" t="n"/>
      <c r="AE166" s="53" t="n"/>
      <c r="AF166" s="53" t="n"/>
      <c r="AG166" s="53" t="n"/>
      <c r="AH166" s="53" t="n"/>
      <c r="AI166" s="53" t="n"/>
      <c r="AJ166" s="53" t="n"/>
      <c r="AK166" s="53" t="n"/>
      <c r="AL166" s="53" t="n"/>
      <c r="AM166" s="53" t="n"/>
      <c r="AN166" s="53" t="n"/>
      <c r="AO166" s="53" t="n"/>
      <c r="AP166" s="53" t="n"/>
      <c r="AQ166" s="53" t="n"/>
      <c r="AR166" s="53" t="n"/>
      <c r="AS166" s="53" t="n"/>
      <c r="AT166" s="53" t="n"/>
      <c r="AU166" s="53" t="n"/>
      <c r="AV166" s="53" t="n"/>
      <c r="AW166" s="53" t="n"/>
      <c r="AX166" s="53" t="n"/>
      <c r="AY166" s="53" t="n"/>
    </row>
    <row r="167" ht="15" customHeight="1">
      <c r="A167" s="40">
        <f>IF($D$167="","",53)</f>
        <v/>
      </c>
      <c r="B167" s="10" t="n"/>
      <c r="C167" s="41" t="inlineStr">
        <is>
          <t>마케팅3팀</t>
        </is>
      </c>
      <c r="D167" s="42" t="n"/>
      <c r="E167" s="43" t="inlineStr">
        <is>
          <t>기획</t>
        </is>
      </c>
      <c r="F167" s="44" t="n"/>
      <c r="G167" s="45" t="n"/>
      <c r="H167" s="46">
        <f>IF($I$167="","",IF($I$167&lt;0,"🔴지연",IF($I$167&lt;=1,"🟡임박","🟢여유")))</f>
        <v/>
      </c>
      <c r="I167" s="47">
        <f>IF(OR($G$167="",$K$167=""),"",$G$167-$K$167)</f>
        <v/>
      </c>
      <c r="J167" s="48">
        <f>IF(SUM($L$167:$L$169)=0,"",SUM($L$167:$L$169))</f>
        <v/>
      </c>
      <c r="K167" s="49">
        <f>IF($J$167="","",MAX($N$167:$N$169))</f>
        <v/>
      </c>
      <c r="L167" s="50">
        <f>IF(SUM(U167:AY167)=0,"",SUM(U167:AY167))</f>
        <v/>
      </c>
      <c r="M167" s="51">
        <f>IFERROR(INDEX(U$2:AY$2,MATCH(TRUE,INDEX(U167:AY167&lt;&gt;"",0),0)),"")</f>
        <v/>
      </c>
      <c r="N167" s="51">
        <f>IFERROR(LOOKUP(2,1/(U167:AY167&lt;&gt;""),U$2:AY$2),"")</f>
        <v/>
      </c>
      <c r="O167" s="52" t="n"/>
      <c r="P167" s="52" t="n"/>
      <c r="Q167" s="52" t="n"/>
      <c r="R167" s="44" t="n"/>
      <c r="S167" s="14" t="n"/>
      <c r="U167" s="53" t="n"/>
      <c r="V167" s="53" t="n"/>
      <c r="W167" s="53" t="n"/>
      <c r="X167" s="53" t="n"/>
      <c r="Y167" s="53" t="n"/>
      <c r="Z167" s="53" t="n"/>
      <c r="AA167" s="53" t="n"/>
      <c r="AB167" s="53" t="n"/>
      <c r="AC167" s="53" t="n"/>
      <c r="AD167" s="53" t="n"/>
      <c r="AE167" s="53" t="n"/>
      <c r="AF167" s="53" t="n"/>
      <c r="AG167" s="53" t="n"/>
      <c r="AH167" s="53" t="n"/>
      <c r="AI167" s="53" t="n"/>
      <c r="AJ167" s="53" t="n"/>
      <c r="AK167" s="53" t="n"/>
      <c r="AL167" s="53" t="n"/>
      <c r="AM167" s="53" t="n"/>
      <c r="AN167" s="53" t="n"/>
      <c r="AO167" s="53" t="n"/>
      <c r="AP167" s="53" t="n"/>
      <c r="AQ167" s="53" t="n"/>
      <c r="AR167" s="53" t="n"/>
      <c r="AS167" s="53" t="n"/>
      <c r="AT167" s="53" t="n"/>
      <c r="AU167" s="53" t="n"/>
      <c r="AV167" s="53" t="n"/>
      <c r="AW167" s="53" t="n"/>
      <c r="AX167" s="53" t="n"/>
      <c r="AY167" s="53" t="n"/>
    </row>
    <row r="168" ht="15" customHeight="1">
      <c r="A168" s="54" t="n"/>
      <c r="B168" s="55">
        <f>IF($B$167="","",$B$167)</f>
        <v/>
      </c>
      <c r="C168" s="56" t="inlineStr">
        <is>
          <t>마케팅3팀</t>
        </is>
      </c>
      <c r="D168" s="55">
        <f>IF($D$167="","",$D$167)</f>
        <v/>
      </c>
      <c r="E168" s="57" t="inlineStr">
        <is>
          <t>이미지</t>
        </is>
      </c>
      <c r="F168" s="44" t="n"/>
      <c r="G168" s="58">
        <f>IF($G$167="","",$G$167)</f>
        <v/>
      </c>
      <c r="H168" s="59" t="n"/>
      <c r="I168" s="59" t="n"/>
      <c r="J168" s="59" t="n"/>
      <c r="K168" s="59" t="n"/>
      <c r="L168" s="60">
        <f>IF(SUM(U168:AY168)=0,"",SUM(U168:AY168))</f>
        <v/>
      </c>
      <c r="M168" s="61">
        <f>IFERROR(INDEX(U$2:AY$2,MATCH(TRUE,INDEX(U168:AY168&lt;&gt;"",0),0)),"")</f>
        <v/>
      </c>
      <c r="N168" s="61">
        <f>IFERROR(LOOKUP(2,1/(U168:AY168&lt;&gt;""),U$2:AY$2),"")</f>
        <v/>
      </c>
      <c r="O168" s="59" t="n"/>
      <c r="P168" s="59" t="n"/>
      <c r="Q168" s="59" t="n"/>
      <c r="R168" s="59" t="n"/>
      <c r="S168" s="14" t="n"/>
      <c r="U168" s="53" t="n"/>
      <c r="V168" s="53" t="n"/>
      <c r="W168" s="53" t="n"/>
      <c r="X168" s="53" t="n"/>
      <c r="Y168" s="53" t="n"/>
      <c r="Z168" s="53" t="n"/>
      <c r="AA168" s="53" t="n"/>
      <c r="AB168" s="53" t="n"/>
      <c r="AC168" s="53" t="n"/>
      <c r="AD168" s="53" t="n"/>
      <c r="AE168" s="53" t="n"/>
      <c r="AF168" s="53" t="n"/>
      <c r="AG168" s="53" t="n"/>
      <c r="AH168" s="53" t="n"/>
      <c r="AI168" s="53" t="n"/>
      <c r="AJ168" s="53" t="n"/>
      <c r="AK168" s="53" t="n"/>
      <c r="AL168" s="53" t="n"/>
      <c r="AM168" s="53" t="n"/>
      <c r="AN168" s="53" t="n"/>
      <c r="AO168" s="53" t="n"/>
      <c r="AP168" s="53" t="n"/>
      <c r="AQ168" s="53" t="n"/>
      <c r="AR168" s="53" t="n"/>
      <c r="AS168" s="53" t="n"/>
      <c r="AT168" s="53" t="n"/>
      <c r="AU168" s="53" t="n"/>
      <c r="AV168" s="53" t="n"/>
      <c r="AW168" s="53" t="n"/>
      <c r="AX168" s="53" t="n"/>
      <c r="AY168" s="53" t="n"/>
    </row>
    <row r="169" ht="15" customHeight="1">
      <c r="A169" s="62" t="n"/>
      <c r="B169" s="55">
        <f>IF($B$167="","",$B$167)</f>
        <v/>
      </c>
      <c r="C169" s="63" t="inlineStr">
        <is>
          <t>마케팅3팀</t>
        </is>
      </c>
      <c r="D169" s="55">
        <f>IF($D$167="","",$D$167)</f>
        <v/>
      </c>
      <c r="E169" s="64" t="inlineStr">
        <is>
          <t>영상</t>
        </is>
      </c>
      <c r="F169" s="44" t="n"/>
      <c r="G169" s="58">
        <f>IF($G$167="","",$G$167)</f>
        <v/>
      </c>
      <c r="H169" s="59" t="n"/>
      <c r="I169" s="59" t="n"/>
      <c r="J169" s="59" t="n"/>
      <c r="K169" s="59" t="n"/>
      <c r="L169" s="65">
        <f>IF(SUM(U169:AY169)=0,"",SUM(U169:AY169))</f>
        <v/>
      </c>
      <c r="M169" s="66">
        <f>IFERROR(INDEX(U$2:AY$2,MATCH(TRUE,INDEX(U169:AY169&lt;&gt;"",0),0)),"")</f>
        <v/>
      </c>
      <c r="N169" s="66">
        <f>IFERROR(LOOKUP(2,1/(U169:AY169&lt;&gt;""),U$2:AY$2),"")</f>
        <v/>
      </c>
      <c r="O169" s="59" t="n"/>
      <c r="P169" s="59" t="n"/>
      <c r="Q169" s="59" t="n"/>
      <c r="R169" s="59" t="n"/>
      <c r="S169" s="14" t="n"/>
      <c r="U169" s="53" t="n"/>
      <c r="V169" s="53" t="n"/>
      <c r="W169" s="53" t="n"/>
      <c r="X169" s="53" t="n"/>
      <c r="Y169" s="53" t="n"/>
      <c r="Z169" s="53" t="n"/>
      <c r="AA169" s="53" t="n"/>
      <c r="AB169" s="53" t="n"/>
      <c r="AC169" s="53" t="n"/>
      <c r="AD169" s="53" t="n"/>
      <c r="AE169" s="53" t="n"/>
      <c r="AF169" s="53" t="n"/>
      <c r="AG169" s="53" t="n"/>
      <c r="AH169" s="53" t="n"/>
      <c r="AI169" s="53" t="n"/>
      <c r="AJ169" s="53" t="n"/>
      <c r="AK169" s="53" t="n"/>
      <c r="AL169" s="53" t="n"/>
      <c r="AM169" s="53" t="n"/>
      <c r="AN169" s="53" t="n"/>
      <c r="AO169" s="53" t="n"/>
      <c r="AP169" s="53" t="n"/>
      <c r="AQ169" s="53" t="n"/>
      <c r="AR169" s="53" t="n"/>
      <c r="AS169" s="53" t="n"/>
      <c r="AT169" s="53" t="n"/>
      <c r="AU169" s="53" t="n"/>
      <c r="AV169" s="53" t="n"/>
      <c r="AW169" s="53" t="n"/>
      <c r="AX169" s="53" t="n"/>
      <c r="AY169" s="53" t="n"/>
    </row>
    <row r="170" ht="15" customHeight="1">
      <c r="A170" s="40">
        <f>IF($D$170="","",54)</f>
        <v/>
      </c>
      <c r="B170" s="10" t="n"/>
      <c r="C170" s="41" t="inlineStr">
        <is>
          <t>마케팅3팀</t>
        </is>
      </c>
      <c r="D170" s="42" t="n"/>
      <c r="E170" s="43" t="inlineStr">
        <is>
          <t>기획</t>
        </is>
      </c>
      <c r="F170" s="44" t="n"/>
      <c r="G170" s="45" t="n"/>
      <c r="H170" s="46">
        <f>IF($I$170="","",IF($I$170&lt;0,"🔴지연",IF($I$170&lt;=1,"🟡임박","🟢여유")))</f>
        <v/>
      </c>
      <c r="I170" s="47">
        <f>IF(OR($G$170="",$K$170=""),"",$G$170-$K$170)</f>
        <v/>
      </c>
      <c r="J170" s="48">
        <f>IF(SUM($L$170:$L$172)=0,"",SUM($L$170:$L$172))</f>
        <v/>
      </c>
      <c r="K170" s="49">
        <f>IF($J$170="","",MAX($N$170:$N$172))</f>
        <v/>
      </c>
      <c r="L170" s="50">
        <f>IF(SUM(U170:AY170)=0,"",SUM(U170:AY170))</f>
        <v/>
      </c>
      <c r="M170" s="51">
        <f>IFERROR(INDEX(U$2:AY$2,MATCH(TRUE,INDEX(U170:AY170&lt;&gt;"",0),0)),"")</f>
        <v/>
      </c>
      <c r="N170" s="51">
        <f>IFERROR(LOOKUP(2,1/(U170:AY170&lt;&gt;""),U$2:AY$2),"")</f>
        <v/>
      </c>
      <c r="O170" s="52" t="n"/>
      <c r="P170" s="52" t="n"/>
      <c r="Q170" s="52" t="n"/>
      <c r="R170" s="44" t="n"/>
      <c r="S170" s="14" t="n"/>
      <c r="U170" s="53" t="n"/>
      <c r="V170" s="53" t="n"/>
      <c r="W170" s="53" t="n"/>
      <c r="X170" s="53" t="n"/>
      <c r="Y170" s="53" t="n"/>
      <c r="Z170" s="53" t="n"/>
      <c r="AA170" s="53" t="n"/>
      <c r="AB170" s="53" t="n"/>
      <c r="AC170" s="53" t="n"/>
      <c r="AD170" s="53" t="n"/>
      <c r="AE170" s="53" t="n"/>
      <c r="AF170" s="53" t="n"/>
      <c r="AG170" s="53" t="n"/>
      <c r="AH170" s="53" t="n"/>
      <c r="AI170" s="53" t="n"/>
      <c r="AJ170" s="53" t="n"/>
      <c r="AK170" s="53" t="n"/>
      <c r="AL170" s="53" t="n"/>
      <c r="AM170" s="53" t="n"/>
      <c r="AN170" s="53" t="n"/>
      <c r="AO170" s="53" t="n"/>
      <c r="AP170" s="53" t="n"/>
      <c r="AQ170" s="53" t="n"/>
      <c r="AR170" s="53" t="n"/>
      <c r="AS170" s="53" t="n"/>
      <c r="AT170" s="53" t="n"/>
      <c r="AU170" s="53" t="n"/>
      <c r="AV170" s="53" t="n"/>
      <c r="AW170" s="53" t="n"/>
      <c r="AX170" s="53" t="n"/>
      <c r="AY170" s="53" t="n"/>
    </row>
    <row r="171" ht="15" customHeight="1">
      <c r="A171" s="54" t="n"/>
      <c r="B171" s="55">
        <f>IF($B$170="","",$B$170)</f>
        <v/>
      </c>
      <c r="C171" s="56" t="inlineStr">
        <is>
          <t>마케팅3팀</t>
        </is>
      </c>
      <c r="D171" s="55">
        <f>IF($D$170="","",$D$170)</f>
        <v/>
      </c>
      <c r="E171" s="57" t="inlineStr">
        <is>
          <t>이미지</t>
        </is>
      </c>
      <c r="F171" s="44" t="n"/>
      <c r="G171" s="58">
        <f>IF($G$170="","",$G$170)</f>
        <v/>
      </c>
      <c r="H171" s="59" t="n"/>
      <c r="I171" s="59" t="n"/>
      <c r="J171" s="59" t="n"/>
      <c r="K171" s="59" t="n"/>
      <c r="L171" s="60">
        <f>IF(SUM(U171:AY171)=0,"",SUM(U171:AY171))</f>
        <v/>
      </c>
      <c r="M171" s="61">
        <f>IFERROR(INDEX(U$2:AY$2,MATCH(TRUE,INDEX(U171:AY171&lt;&gt;"",0),0)),"")</f>
        <v/>
      </c>
      <c r="N171" s="61">
        <f>IFERROR(LOOKUP(2,1/(U171:AY171&lt;&gt;""),U$2:AY$2),"")</f>
        <v/>
      </c>
      <c r="O171" s="59" t="n"/>
      <c r="P171" s="59" t="n"/>
      <c r="Q171" s="59" t="n"/>
      <c r="R171" s="59" t="n"/>
      <c r="S171" s="14" t="n"/>
      <c r="U171" s="53" t="n"/>
      <c r="V171" s="53" t="n"/>
      <c r="W171" s="53" t="n"/>
      <c r="X171" s="53" t="n"/>
      <c r="Y171" s="53" t="n"/>
      <c r="Z171" s="53" t="n"/>
      <c r="AA171" s="53" t="n"/>
      <c r="AB171" s="53" t="n"/>
      <c r="AC171" s="53" t="n"/>
      <c r="AD171" s="53" t="n"/>
      <c r="AE171" s="53" t="n"/>
      <c r="AF171" s="53" t="n"/>
      <c r="AG171" s="53" t="n"/>
      <c r="AH171" s="53" t="n"/>
      <c r="AI171" s="53" t="n"/>
      <c r="AJ171" s="53" t="n"/>
      <c r="AK171" s="53" t="n"/>
      <c r="AL171" s="53" t="n"/>
      <c r="AM171" s="53" t="n"/>
      <c r="AN171" s="53" t="n"/>
      <c r="AO171" s="53" t="n"/>
      <c r="AP171" s="53" t="n"/>
      <c r="AQ171" s="53" t="n"/>
      <c r="AR171" s="53" t="n"/>
      <c r="AS171" s="53" t="n"/>
      <c r="AT171" s="53" t="n"/>
      <c r="AU171" s="53" t="n"/>
      <c r="AV171" s="53" t="n"/>
      <c r="AW171" s="53" t="n"/>
      <c r="AX171" s="53" t="n"/>
      <c r="AY171" s="53" t="n"/>
    </row>
    <row r="172" ht="15" customHeight="1">
      <c r="A172" s="62" t="n"/>
      <c r="B172" s="55">
        <f>IF($B$170="","",$B$170)</f>
        <v/>
      </c>
      <c r="C172" s="63" t="inlineStr">
        <is>
          <t>마케팅3팀</t>
        </is>
      </c>
      <c r="D172" s="55">
        <f>IF($D$170="","",$D$170)</f>
        <v/>
      </c>
      <c r="E172" s="64" t="inlineStr">
        <is>
          <t>영상</t>
        </is>
      </c>
      <c r="F172" s="44" t="n"/>
      <c r="G172" s="58">
        <f>IF($G$170="","",$G$170)</f>
        <v/>
      </c>
      <c r="H172" s="59" t="n"/>
      <c r="I172" s="59" t="n"/>
      <c r="J172" s="59" t="n"/>
      <c r="K172" s="59" t="n"/>
      <c r="L172" s="65">
        <f>IF(SUM(U172:AY172)=0,"",SUM(U172:AY172))</f>
        <v/>
      </c>
      <c r="M172" s="66">
        <f>IFERROR(INDEX(U$2:AY$2,MATCH(TRUE,INDEX(U172:AY172&lt;&gt;"",0),0)),"")</f>
        <v/>
      </c>
      <c r="N172" s="66">
        <f>IFERROR(LOOKUP(2,1/(U172:AY172&lt;&gt;""),U$2:AY$2),"")</f>
        <v/>
      </c>
      <c r="O172" s="59" t="n"/>
      <c r="P172" s="59" t="n"/>
      <c r="Q172" s="59" t="n"/>
      <c r="R172" s="59" t="n"/>
      <c r="S172" s="14" t="n"/>
      <c r="U172" s="53" t="n"/>
      <c r="V172" s="53" t="n"/>
      <c r="W172" s="53" t="n"/>
      <c r="X172" s="53" t="n"/>
      <c r="Y172" s="53" t="n"/>
      <c r="Z172" s="53" t="n"/>
      <c r="AA172" s="53" t="n"/>
      <c r="AB172" s="53" t="n"/>
      <c r="AC172" s="53" t="n"/>
      <c r="AD172" s="53" t="n"/>
      <c r="AE172" s="53" t="n"/>
      <c r="AF172" s="53" t="n"/>
      <c r="AG172" s="53" t="n"/>
      <c r="AH172" s="53" t="n"/>
      <c r="AI172" s="53" t="n"/>
      <c r="AJ172" s="53" t="n"/>
      <c r="AK172" s="53" t="n"/>
      <c r="AL172" s="53" t="n"/>
      <c r="AM172" s="53" t="n"/>
      <c r="AN172" s="53" t="n"/>
      <c r="AO172" s="53" t="n"/>
      <c r="AP172" s="53" t="n"/>
      <c r="AQ172" s="53" t="n"/>
      <c r="AR172" s="53" t="n"/>
      <c r="AS172" s="53" t="n"/>
      <c r="AT172" s="53" t="n"/>
      <c r="AU172" s="53" t="n"/>
      <c r="AV172" s="53" t="n"/>
      <c r="AW172" s="53" t="n"/>
      <c r="AX172" s="53" t="n"/>
      <c r="AY172" s="53" t="n"/>
    </row>
    <row r="173" ht="15" customHeight="1">
      <c r="A173" s="40">
        <f>IF($D$173="","",55)</f>
        <v/>
      </c>
      <c r="B173" s="10" t="n"/>
      <c r="C173" s="41" t="inlineStr">
        <is>
          <t>마케팅3팀</t>
        </is>
      </c>
      <c r="D173" s="42" t="n"/>
      <c r="E173" s="43" t="inlineStr">
        <is>
          <t>기획</t>
        </is>
      </c>
      <c r="F173" s="44" t="n"/>
      <c r="G173" s="45" t="n"/>
      <c r="H173" s="46">
        <f>IF($I$173="","",IF($I$173&lt;0,"🔴지연",IF($I$173&lt;=1,"🟡임박","🟢여유")))</f>
        <v/>
      </c>
      <c r="I173" s="47">
        <f>IF(OR($G$173="",$K$173=""),"",$G$173-$K$173)</f>
        <v/>
      </c>
      <c r="J173" s="48">
        <f>IF(SUM($L$173:$L$175)=0,"",SUM($L$173:$L$175))</f>
        <v/>
      </c>
      <c r="K173" s="49">
        <f>IF($J$173="","",MAX($N$173:$N$175))</f>
        <v/>
      </c>
      <c r="L173" s="50">
        <f>IF(SUM(U173:AY173)=0,"",SUM(U173:AY173))</f>
        <v/>
      </c>
      <c r="M173" s="51">
        <f>IFERROR(INDEX(U$2:AY$2,MATCH(TRUE,INDEX(U173:AY173&lt;&gt;"",0),0)),"")</f>
        <v/>
      </c>
      <c r="N173" s="51">
        <f>IFERROR(LOOKUP(2,1/(U173:AY173&lt;&gt;""),U$2:AY$2),"")</f>
        <v/>
      </c>
      <c r="O173" s="52" t="n"/>
      <c r="P173" s="52" t="n"/>
      <c r="Q173" s="52" t="n"/>
      <c r="R173" s="44" t="n"/>
      <c r="S173" s="14" t="n"/>
      <c r="U173" s="53" t="n"/>
      <c r="V173" s="53" t="n"/>
      <c r="W173" s="53" t="n"/>
      <c r="X173" s="53" t="n"/>
      <c r="Y173" s="53" t="n"/>
      <c r="Z173" s="53" t="n"/>
      <c r="AA173" s="53" t="n"/>
      <c r="AB173" s="53" t="n"/>
      <c r="AC173" s="53" t="n"/>
      <c r="AD173" s="53" t="n"/>
      <c r="AE173" s="53" t="n"/>
      <c r="AF173" s="53" t="n"/>
      <c r="AG173" s="53" t="n"/>
      <c r="AH173" s="53" t="n"/>
      <c r="AI173" s="53" t="n"/>
      <c r="AJ173" s="53" t="n"/>
      <c r="AK173" s="53" t="n"/>
      <c r="AL173" s="53" t="n"/>
      <c r="AM173" s="53" t="n"/>
      <c r="AN173" s="53" t="n"/>
      <c r="AO173" s="53" t="n"/>
      <c r="AP173" s="53" t="n"/>
      <c r="AQ173" s="53" t="n"/>
      <c r="AR173" s="53" t="n"/>
      <c r="AS173" s="53" t="n"/>
      <c r="AT173" s="53" t="n"/>
      <c r="AU173" s="53" t="n"/>
      <c r="AV173" s="53" t="n"/>
      <c r="AW173" s="53" t="n"/>
      <c r="AX173" s="53" t="n"/>
      <c r="AY173" s="53" t="n"/>
    </row>
    <row r="174" ht="15" customHeight="1">
      <c r="A174" s="54" t="n"/>
      <c r="B174" s="55">
        <f>IF($B$173="","",$B$173)</f>
        <v/>
      </c>
      <c r="C174" s="56" t="inlineStr">
        <is>
          <t>마케팅3팀</t>
        </is>
      </c>
      <c r="D174" s="55">
        <f>IF($D$173="","",$D$173)</f>
        <v/>
      </c>
      <c r="E174" s="57" t="inlineStr">
        <is>
          <t>이미지</t>
        </is>
      </c>
      <c r="F174" s="44" t="n"/>
      <c r="G174" s="58">
        <f>IF($G$173="","",$G$173)</f>
        <v/>
      </c>
      <c r="H174" s="59" t="n"/>
      <c r="I174" s="59" t="n"/>
      <c r="J174" s="59" t="n"/>
      <c r="K174" s="59" t="n"/>
      <c r="L174" s="60">
        <f>IF(SUM(U174:AY174)=0,"",SUM(U174:AY174))</f>
        <v/>
      </c>
      <c r="M174" s="61">
        <f>IFERROR(INDEX(U$2:AY$2,MATCH(TRUE,INDEX(U174:AY174&lt;&gt;"",0),0)),"")</f>
        <v/>
      </c>
      <c r="N174" s="61">
        <f>IFERROR(LOOKUP(2,1/(U174:AY174&lt;&gt;""),U$2:AY$2),"")</f>
        <v/>
      </c>
      <c r="O174" s="59" t="n"/>
      <c r="P174" s="59" t="n"/>
      <c r="Q174" s="59" t="n"/>
      <c r="R174" s="59" t="n"/>
      <c r="S174" s="14" t="n"/>
      <c r="U174" s="53" t="n"/>
      <c r="V174" s="53" t="n"/>
      <c r="W174" s="53" t="n"/>
      <c r="X174" s="53" t="n"/>
      <c r="Y174" s="53" t="n"/>
      <c r="Z174" s="53" t="n"/>
      <c r="AA174" s="53" t="n"/>
      <c r="AB174" s="53" t="n"/>
      <c r="AC174" s="53" t="n"/>
      <c r="AD174" s="53" t="n"/>
      <c r="AE174" s="53" t="n"/>
      <c r="AF174" s="53" t="n"/>
      <c r="AG174" s="53" t="n"/>
      <c r="AH174" s="53" t="n"/>
      <c r="AI174" s="53" t="n"/>
      <c r="AJ174" s="53" t="n"/>
      <c r="AK174" s="53" t="n"/>
      <c r="AL174" s="53" t="n"/>
      <c r="AM174" s="53" t="n"/>
      <c r="AN174" s="53" t="n"/>
      <c r="AO174" s="53" t="n"/>
      <c r="AP174" s="53" t="n"/>
      <c r="AQ174" s="53" t="n"/>
      <c r="AR174" s="53" t="n"/>
      <c r="AS174" s="53" t="n"/>
      <c r="AT174" s="53" t="n"/>
      <c r="AU174" s="53" t="n"/>
      <c r="AV174" s="53" t="n"/>
      <c r="AW174" s="53" t="n"/>
      <c r="AX174" s="53" t="n"/>
      <c r="AY174" s="53" t="n"/>
    </row>
    <row r="175" ht="15" customHeight="1">
      <c r="A175" s="62" t="n"/>
      <c r="B175" s="55">
        <f>IF($B$173="","",$B$173)</f>
        <v/>
      </c>
      <c r="C175" s="63" t="inlineStr">
        <is>
          <t>마케팅3팀</t>
        </is>
      </c>
      <c r="D175" s="55">
        <f>IF($D$173="","",$D$173)</f>
        <v/>
      </c>
      <c r="E175" s="64" t="inlineStr">
        <is>
          <t>영상</t>
        </is>
      </c>
      <c r="F175" s="44" t="n"/>
      <c r="G175" s="58">
        <f>IF($G$173="","",$G$173)</f>
        <v/>
      </c>
      <c r="H175" s="59" t="n"/>
      <c r="I175" s="59" t="n"/>
      <c r="J175" s="59" t="n"/>
      <c r="K175" s="59" t="n"/>
      <c r="L175" s="65">
        <f>IF(SUM(U175:AY175)=0,"",SUM(U175:AY175))</f>
        <v/>
      </c>
      <c r="M175" s="66">
        <f>IFERROR(INDEX(U$2:AY$2,MATCH(TRUE,INDEX(U175:AY175&lt;&gt;"",0),0)),"")</f>
        <v/>
      </c>
      <c r="N175" s="66">
        <f>IFERROR(LOOKUP(2,1/(U175:AY175&lt;&gt;""),U$2:AY$2),"")</f>
        <v/>
      </c>
      <c r="O175" s="59" t="n"/>
      <c r="P175" s="59" t="n"/>
      <c r="Q175" s="59" t="n"/>
      <c r="R175" s="59" t="n"/>
      <c r="S175" s="14" t="n"/>
      <c r="U175" s="53" t="n"/>
      <c r="V175" s="53" t="n"/>
      <c r="W175" s="53" t="n"/>
      <c r="X175" s="53" t="n"/>
      <c r="Y175" s="53" t="n"/>
      <c r="Z175" s="53" t="n"/>
      <c r="AA175" s="53" t="n"/>
      <c r="AB175" s="53" t="n"/>
      <c r="AC175" s="53" t="n"/>
      <c r="AD175" s="53" t="n"/>
      <c r="AE175" s="53" t="n"/>
      <c r="AF175" s="53" t="n"/>
      <c r="AG175" s="53" t="n"/>
      <c r="AH175" s="53" t="n"/>
      <c r="AI175" s="53" t="n"/>
      <c r="AJ175" s="53" t="n"/>
      <c r="AK175" s="53" t="n"/>
      <c r="AL175" s="53" t="n"/>
      <c r="AM175" s="53" t="n"/>
      <c r="AN175" s="53" t="n"/>
      <c r="AO175" s="53" t="n"/>
      <c r="AP175" s="53" t="n"/>
      <c r="AQ175" s="53" t="n"/>
      <c r="AR175" s="53" t="n"/>
      <c r="AS175" s="53" t="n"/>
      <c r="AT175" s="53" t="n"/>
      <c r="AU175" s="53" t="n"/>
      <c r="AV175" s="53" t="n"/>
      <c r="AW175" s="53" t="n"/>
      <c r="AX175" s="53" t="n"/>
      <c r="AY175" s="53" t="n"/>
    </row>
    <row r="176" ht="15" customHeight="1">
      <c r="A176" s="40">
        <f>IF($D$176="","",56)</f>
        <v/>
      </c>
      <c r="B176" s="10" t="n"/>
      <c r="C176" s="41" t="inlineStr">
        <is>
          <t>마케팅3팀</t>
        </is>
      </c>
      <c r="D176" s="42" t="n"/>
      <c r="E176" s="43" t="inlineStr">
        <is>
          <t>기획</t>
        </is>
      </c>
      <c r="F176" s="44" t="n"/>
      <c r="G176" s="45" t="n"/>
      <c r="H176" s="46">
        <f>IF($I$176="","",IF($I$176&lt;0,"🔴지연",IF($I$176&lt;=1,"🟡임박","🟢여유")))</f>
        <v/>
      </c>
      <c r="I176" s="47">
        <f>IF(OR($G$176="",$K$176=""),"",$G$176-$K$176)</f>
        <v/>
      </c>
      <c r="J176" s="48">
        <f>IF(SUM($L$176:$L$178)=0,"",SUM($L$176:$L$178))</f>
        <v/>
      </c>
      <c r="K176" s="49">
        <f>IF($J$176="","",MAX($N$176:$N$178))</f>
        <v/>
      </c>
      <c r="L176" s="50">
        <f>IF(SUM(U176:AY176)=0,"",SUM(U176:AY176))</f>
        <v/>
      </c>
      <c r="M176" s="51">
        <f>IFERROR(INDEX(U$2:AY$2,MATCH(TRUE,INDEX(U176:AY176&lt;&gt;"",0),0)),"")</f>
        <v/>
      </c>
      <c r="N176" s="51">
        <f>IFERROR(LOOKUP(2,1/(U176:AY176&lt;&gt;""),U$2:AY$2),"")</f>
        <v/>
      </c>
      <c r="O176" s="52" t="n"/>
      <c r="P176" s="52" t="n"/>
      <c r="Q176" s="52" t="n"/>
      <c r="R176" s="44" t="n"/>
      <c r="S176" s="14" t="n"/>
      <c r="U176" s="53" t="n"/>
      <c r="V176" s="53" t="n"/>
      <c r="W176" s="53" t="n"/>
      <c r="X176" s="53" t="n"/>
      <c r="Y176" s="53" t="n"/>
      <c r="Z176" s="53" t="n"/>
      <c r="AA176" s="53" t="n"/>
      <c r="AB176" s="53" t="n"/>
      <c r="AC176" s="53" t="n"/>
      <c r="AD176" s="53" t="n"/>
      <c r="AE176" s="53" t="n"/>
      <c r="AF176" s="53" t="n"/>
      <c r="AG176" s="53" t="n"/>
      <c r="AH176" s="53" t="n"/>
      <c r="AI176" s="53" t="n"/>
      <c r="AJ176" s="53" t="n"/>
      <c r="AK176" s="53" t="n"/>
      <c r="AL176" s="53" t="n"/>
      <c r="AM176" s="53" t="n"/>
      <c r="AN176" s="53" t="n"/>
      <c r="AO176" s="53" t="n"/>
      <c r="AP176" s="53" t="n"/>
      <c r="AQ176" s="53" t="n"/>
      <c r="AR176" s="53" t="n"/>
      <c r="AS176" s="53" t="n"/>
      <c r="AT176" s="53" t="n"/>
      <c r="AU176" s="53" t="n"/>
      <c r="AV176" s="53" t="n"/>
      <c r="AW176" s="53" t="n"/>
      <c r="AX176" s="53" t="n"/>
      <c r="AY176" s="53" t="n"/>
    </row>
    <row r="177" ht="15" customHeight="1">
      <c r="A177" s="54" t="n"/>
      <c r="B177" s="55">
        <f>IF($B$176="","",$B$176)</f>
        <v/>
      </c>
      <c r="C177" s="56" t="inlineStr">
        <is>
          <t>마케팅3팀</t>
        </is>
      </c>
      <c r="D177" s="55">
        <f>IF($D$176="","",$D$176)</f>
        <v/>
      </c>
      <c r="E177" s="57" t="inlineStr">
        <is>
          <t>이미지</t>
        </is>
      </c>
      <c r="F177" s="44" t="n"/>
      <c r="G177" s="58">
        <f>IF($G$176="","",$G$176)</f>
        <v/>
      </c>
      <c r="H177" s="59" t="n"/>
      <c r="I177" s="59" t="n"/>
      <c r="J177" s="59" t="n"/>
      <c r="K177" s="59" t="n"/>
      <c r="L177" s="60">
        <f>IF(SUM(U177:AY177)=0,"",SUM(U177:AY177))</f>
        <v/>
      </c>
      <c r="M177" s="61">
        <f>IFERROR(INDEX(U$2:AY$2,MATCH(TRUE,INDEX(U177:AY177&lt;&gt;"",0),0)),"")</f>
        <v/>
      </c>
      <c r="N177" s="61">
        <f>IFERROR(LOOKUP(2,1/(U177:AY177&lt;&gt;""),U$2:AY$2),"")</f>
        <v/>
      </c>
      <c r="O177" s="59" t="n"/>
      <c r="P177" s="59" t="n"/>
      <c r="Q177" s="59" t="n"/>
      <c r="R177" s="59" t="n"/>
      <c r="S177" s="14" t="n"/>
      <c r="U177" s="53" t="n"/>
      <c r="V177" s="53" t="n"/>
      <c r="W177" s="53" t="n"/>
      <c r="X177" s="53" t="n"/>
      <c r="Y177" s="53" t="n"/>
      <c r="Z177" s="53" t="n"/>
      <c r="AA177" s="53" t="n"/>
      <c r="AB177" s="53" t="n"/>
      <c r="AC177" s="53" t="n"/>
      <c r="AD177" s="53" t="n"/>
      <c r="AE177" s="53" t="n"/>
      <c r="AF177" s="53" t="n"/>
      <c r="AG177" s="53" t="n"/>
      <c r="AH177" s="53" t="n"/>
      <c r="AI177" s="53" t="n"/>
      <c r="AJ177" s="53" t="n"/>
      <c r="AK177" s="53" t="n"/>
      <c r="AL177" s="53" t="n"/>
      <c r="AM177" s="53" t="n"/>
      <c r="AN177" s="53" t="n"/>
      <c r="AO177" s="53" t="n"/>
      <c r="AP177" s="53" t="n"/>
      <c r="AQ177" s="53" t="n"/>
      <c r="AR177" s="53" t="n"/>
      <c r="AS177" s="53" t="n"/>
      <c r="AT177" s="53" t="n"/>
      <c r="AU177" s="53" t="n"/>
      <c r="AV177" s="53" t="n"/>
      <c r="AW177" s="53" t="n"/>
      <c r="AX177" s="53" t="n"/>
      <c r="AY177" s="53" t="n"/>
    </row>
    <row r="178" ht="15" customHeight="1">
      <c r="A178" s="62" t="n"/>
      <c r="B178" s="55">
        <f>IF($B$176="","",$B$176)</f>
        <v/>
      </c>
      <c r="C178" s="63" t="inlineStr">
        <is>
          <t>마케팅3팀</t>
        </is>
      </c>
      <c r="D178" s="55">
        <f>IF($D$176="","",$D$176)</f>
        <v/>
      </c>
      <c r="E178" s="64" t="inlineStr">
        <is>
          <t>영상</t>
        </is>
      </c>
      <c r="F178" s="44" t="n"/>
      <c r="G178" s="58">
        <f>IF($G$176="","",$G$176)</f>
        <v/>
      </c>
      <c r="H178" s="59" t="n"/>
      <c r="I178" s="59" t="n"/>
      <c r="J178" s="59" t="n"/>
      <c r="K178" s="59" t="n"/>
      <c r="L178" s="65">
        <f>IF(SUM(U178:AY178)=0,"",SUM(U178:AY178))</f>
        <v/>
      </c>
      <c r="M178" s="66">
        <f>IFERROR(INDEX(U$2:AY$2,MATCH(TRUE,INDEX(U178:AY178&lt;&gt;"",0),0)),"")</f>
        <v/>
      </c>
      <c r="N178" s="66">
        <f>IFERROR(LOOKUP(2,1/(U178:AY178&lt;&gt;""),U$2:AY$2),"")</f>
        <v/>
      </c>
      <c r="O178" s="59" t="n"/>
      <c r="P178" s="59" t="n"/>
      <c r="Q178" s="59" t="n"/>
      <c r="R178" s="59" t="n"/>
      <c r="S178" s="14" t="n"/>
      <c r="U178" s="53" t="n"/>
      <c r="V178" s="53" t="n"/>
      <c r="W178" s="53" t="n"/>
      <c r="X178" s="53" t="n"/>
      <c r="Y178" s="53" t="n"/>
      <c r="Z178" s="53" t="n"/>
      <c r="AA178" s="53" t="n"/>
      <c r="AB178" s="53" t="n"/>
      <c r="AC178" s="53" t="n"/>
      <c r="AD178" s="53" t="n"/>
      <c r="AE178" s="53" t="n"/>
      <c r="AF178" s="53" t="n"/>
      <c r="AG178" s="53" t="n"/>
      <c r="AH178" s="53" t="n"/>
      <c r="AI178" s="53" t="n"/>
      <c r="AJ178" s="53" t="n"/>
      <c r="AK178" s="53" t="n"/>
      <c r="AL178" s="53" t="n"/>
      <c r="AM178" s="53" t="n"/>
      <c r="AN178" s="53" t="n"/>
      <c r="AO178" s="53" t="n"/>
      <c r="AP178" s="53" t="n"/>
      <c r="AQ178" s="53" t="n"/>
      <c r="AR178" s="53" t="n"/>
      <c r="AS178" s="53" t="n"/>
      <c r="AT178" s="53" t="n"/>
      <c r="AU178" s="53" t="n"/>
      <c r="AV178" s="53" t="n"/>
      <c r="AW178" s="53" t="n"/>
      <c r="AX178" s="53" t="n"/>
      <c r="AY178" s="53" t="n"/>
    </row>
    <row r="179" ht="15" customHeight="1">
      <c r="A179" s="40">
        <f>IF($D$179="","",57)</f>
        <v/>
      </c>
      <c r="B179" s="10" t="n"/>
      <c r="C179" s="41" t="inlineStr">
        <is>
          <t>마케팅3팀</t>
        </is>
      </c>
      <c r="D179" s="42" t="n"/>
      <c r="E179" s="43" t="inlineStr">
        <is>
          <t>기획</t>
        </is>
      </c>
      <c r="F179" s="44" t="n"/>
      <c r="G179" s="45" t="n"/>
      <c r="H179" s="46">
        <f>IF($I$179="","",IF($I$179&lt;0,"🔴지연",IF($I$179&lt;=1,"🟡임박","🟢여유")))</f>
        <v/>
      </c>
      <c r="I179" s="47">
        <f>IF(OR($G$179="",$K$179=""),"",$G$179-$K$179)</f>
        <v/>
      </c>
      <c r="J179" s="48">
        <f>IF(SUM($L$179:$L$181)=0,"",SUM($L$179:$L$181))</f>
        <v/>
      </c>
      <c r="K179" s="49">
        <f>IF($J$179="","",MAX($N$179:$N$181))</f>
        <v/>
      </c>
      <c r="L179" s="50">
        <f>IF(SUM(U179:AY179)=0,"",SUM(U179:AY179))</f>
        <v/>
      </c>
      <c r="M179" s="51">
        <f>IFERROR(INDEX(U$2:AY$2,MATCH(TRUE,INDEX(U179:AY179&lt;&gt;"",0),0)),"")</f>
        <v/>
      </c>
      <c r="N179" s="51">
        <f>IFERROR(LOOKUP(2,1/(U179:AY179&lt;&gt;""),U$2:AY$2),"")</f>
        <v/>
      </c>
      <c r="O179" s="52" t="n"/>
      <c r="P179" s="52" t="n"/>
      <c r="Q179" s="52" t="n"/>
      <c r="R179" s="44" t="n"/>
      <c r="S179" s="14" t="n"/>
      <c r="U179" s="53" t="n"/>
      <c r="V179" s="53" t="n"/>
      <c r="W179" s="53" t="n"/>
      <c r="X179" s="53" t="n"/>
      <c r="Y179" s="53" t="n"/>
      <c r="Z179" s="53" t="n"/>
      <c r="AA179" s="53" t="n"/>
      <c r="AB179" s="53" t="n"/>
      <c r="AC179" s="53" t="n"/>
      <c r="AD179" s="53" t="n"/>
      <c r="AE179" s="53" t="n"/>
      <c r="AF179" s="53" t="n"/>
      <c r="AG179" s="53" t="n"/>
      <c r="AH179" s="53" t="n"/>
      <c r="AI179" s="53" t="n"/>
      <c r="AJ179" s="53" t="n"/>
      <c r="AK179" s="53" t="n"/>
      <c r="AL179" s="53" t="n"/>
      <c r="AM179" s="53" t="n"/>
      <c r="AN179" s="53" t="n"/>
      <c r="AO179" s="53" t="n"/>
      <c r="AP179" s="53" t="n"/>
      <c r="AQ179" s="53" t="n"/>
      <c r="AR179" s="53" t="n"/>
      <c r="AS179" s="53" t="n"/>
      <c r="AT179" s="53" t="n"/>
      <c r="AU179" s="53" t="n"/>
      <c r="AV179" s="53" t="n"/>
      <c r="AW179" s="53" t="n"/>
      <c r="AX179" s="53" t="n"/>
      <c r="AY179" s="53" t="n"/>
    </row>
    <row r="180" ht="15" customHeight="1">
      <c r="A180" s="54" t="n"/>
      <c r="B180" s="55">
        <f>IF($B$179="","",$B$179)</f>
        <v/>
      </c>
      <c r="C180" s="56" t="inlineStr">
        <is>
          <t>마케팅3팀</t>
        </is>
      </c>
      <c r="D180" s="55">
        <f>IF($D$179="","",$D$179)</f>
        <v/>
      </c>
      <c r="E180" s="57" t="inlineStr">
        <is>
          <t>이미지</t>
        </is>
      </c>
      <c r="F180" s="44" t="n"/>
      <c r="G180" s="58">
        <f>IF($G$179="","",$G$179)</f>
        <v/>
      </c>
      <c r="H180" s="59" t="n"/>
      <c r="I180" s="59" t="n"/>
      <c r="J180" s="59" t="n"/>
      <c r="K180" s="59" t="n"/>
      <c r="L180" s="60">
        <f>IF(SUM(U180:AY180)=0,"",SUM(U180:AY180))</f>
        <v/>
      </c>
      <c r="M180" s="61">
        <f>IFERROR(INDEX(U$2:AY$2,MATCH(TRUE,INDEX(U180:AY180&lt;&gt;"",0),0)),"")</f>
        <v/>
      </c>
      <c r="N180" s="61">
        <f>IFERROR(LOOKUP(2,1/(U180:AY180&lt;&gt;""),U$2:AY$2),"")</f>
        <v/>
      </c>
      <c r="O180" s="59" t="n"/>
      <c r="P180" s="59" t="n"/>
      <c r="Q180" s="59" t="n"/>
      <c r="R180" s="59" t="n"/>
      <c r="S180" s="14" t="n"/>
      <c r="U180" s="53" t="n"/>
      <c r="V180" s="53" t="n"/>
      <c r="W180" s="53" t="n"/>
      <c r="X180" s="53" t="n"/>
      <c r="Y180" s="53" t="n"/>
      <c r="Z180" s="53" t="n"/>
      <c r="AA180" s="53" t="n"/>
      <c r="AB180" s="53" t="n"/>
      <c r="AC180" s="53" t="n"/>
      <c r="AD180" s="53" t="n"/>
      <c r="AE180" s="53" t="n"/>
      <c r="AF180" s="53" t="n"/>
      <c r="AG180" s="53" t="n"/>
      <c r="AH180" s="53" t="n"/>
      <c r="AI180" s="53" t="n"/>
      <c r="AJ180" s="53" t="n"/>
      <c r="AK180" s="53" t="n"/>
      <c r="AL180" s="53" t="n"/>
      <c r="AM180" s="53" t="n"/>
      <c r="AN180" s="53" t="n"/>
      <c r="AO180" s="53" t="n"/>
      <c r="AP180" s="53" t="n"/>
      <c r="AQ180" s="53" t="n"/>
      <c r="AR180" s="53" t="n"/>
      <c r="AS180" s="53" t="n"/>
      <c r="AT180" s="53" t="n"/>
      <c r="AU180" s="53" t="n"/>
      <c r="AV180" s="53" t="n"/>
      <c r="AW180" s="53" t="n"/>
      <c r="AX180" s="53" t="n"/>
      <c r="AY180" s="53" t="n"/>
    </row>
    <row r="181" ht="15" customHeight="1">
      <c r="A181" s="62" t="n"/>
      <c r="B181" s="55">
        <f>IF($B$179="","",$B$179)</f>
        <v/>
      </c>
      <c r="C181" s="63" t="inlineStr">
        <is>
          <t>마케팅3팀</t>
        </is>
      </c>
      <c r="D181" s="55">
        <f>IF($D$179="","",$D$179)</f>
        <v/>
      </c>
      <c r="E181" s="64" t="inlineStr">
        <is>
          <t>영상</t>
        </is>
      </c>
      <c r="F181" s="44" t="n"/>
      <c r="G181" s="58">
        <f>IF($G$179="","",$G$179)</f>
        <v/>
      </c>
      <c r="H181" s="59" t="n"/>
      <c r="I181" s="59" t="n"/>
      <c r="J181" s="59" t="n"/>
      <c r="K181" s="59" t="n"/>
      <c r="L181" s="65">
        <f>IF(SUM(U181:AY181)=0,"",SUM(U181:AY181))</f>
        <v/>
      </c>
      <c r="M181" s="66">
        <f>IFERROR(INDEX(U$2:AY$2,MATCH(TRUE,INDEX(U181:AY181&lt;&gt;"",0),0)),"")</f>
        <v/>
      </c>
      <c r="N181" s="66">
        <f>IFERROR(LOOKUP(2,1/(U181:AY181&lt;&gt;""),U$2:AY$2),"")</f>
        <v/>
      </c>
      <c r="O181" s="59" t="n"/>
      <c r="P181" s="59" t="n"/>
      <c r="Q181" s="59" t="n"/>
      <c r="R181" s="59" t="n"/>
      <c r="S181" s="14" t="n"/>
      <c r="U181" s="53" t="n"/>
      <c r="V181" s="53" t="n"/>
      <c r="W181" s="53" t="n"/>
      <c r="X181" s="53" t="n"/>
      <c r="Y181" s="53" t="n"/>
      <c r="Z181" s="53" t="n"/>
      <c r="AA181" s="53" t="n"/>
      <c r="AB181" s="53" t="n"/>
      <c r="AC181" s="53" t="n"/>
      <c r="AD181" s="53" t="n"/>
      <c r="AE181" s="53" t="n"/>
      <c r="AF181" s="53" t="n"/>
      <c r="AG181" s="53" t="n"/>
      <c r="AH181" s="53" t="n"/>
      <c r="AI181" s="53" t="n"/>
      <c r="AJ181" s="53" t="n"/>
      <c r="AK181" s="53" t="n"/>
      <c r="AL181" s="53" t="n"/>
      <c r="AM181" s="53" t="n"/>
      <c r="AN181" s="53" t="n"/>
      <c r="AO181" s="53" t="n"/>
      <c r="AP181" s="53" t="n"/>
      <c r="AQ181" s="53" t="n"/>
      <c r="AR181" s="53" t="n"/>
      <c r="AS181" s="53" t="n"/>
      <c r="AT181" s="53" t="n"/>
      <c r="AU181" s="53" t="n"/>
      <c r="AV181" s="53" t="n"/>
      <c r="AW181" s="53" t="n"/>
      <c r="AX181" s="53" t="n"/>
      <c r="AY181" s="53" t="n"/>
    </row>
    <row r="182" ht="15" customHeight="1">
      <c r="A182" s="40">
        <f>IF($D$182="","",58)</f>
        <v/>
      </c>
      <c r="B182" s="10" t="n"/>
      <c r="C182" s="41" t="inlineStr">
        <is>
          <t>마케팅3팀</t>
        </is>
      </c>
      <c r="D182" s="42" t="n"/>
      <c r="E182" s="43" t="inlineStr">
        <is>
          <t>기획</t>
        </is>
      </c>
      <c r="F182" s="44" t="n"/>
      <c r="G182" s="45" t="n"/>
      <c r="H182" s="46">
        <f>IF($I$182="","",IF($I$182&lt;0,"🔴지연",IF($I$182&lt;=1,"🟡임박","🟢여유")))</f>
        <v/>
      </c>
      <c r="I182" s="47">
        <f>IF(OR($G$182="",$K$182=""),"",$G$182-$K$182)</f>
        <v/>
      </c>
      <c r="J182" s="48">
        <f>IF(SUM($L$182:$L$184)=0,"",SUM($L$182:$L$184))</f>
        <v/>
      </c>
      <c r="K182" s="49">
        <f>IF($J$182="","",MAX($N$182:$N$184))</f>
        <v/>
      </c>
      <c r="L182" s="50">
        <f>IF(SUM(U182:AY182)=0,"",SUM(U182:AY182))</f>
        <v/>
      </c>
      <c r="M182" s="51">
        <f>IFERROR(INDEX(U$2:AY$2,MATCH(TRUE,INDEX(U182:AY182&lt;&gt;"",0),0)),"")</f>
        <v/>
      </c>
      <c r="N182" s="51">
        <f>IFERROR(LOOKUP(2,1/(U182:AY182&lt;&gt;""),U$2:AY$2),"")</f>
        <v/>
      </c>
      <c r="O182" s="52" t="n"/>
      <c r="P182" s="52" t="n"/>
      <c r="Q182" s="52" t="n"/>
      <c r="R182" s="44" t="n"/>
      <c r="S182" s="14" t="n"/>
      <c r="U182" s="53" t="n"/>
      <c r="V182" s="53" t="n"/>
      <c r="W182" s="53" t="n"/>
      <c r="X182" s="53" t="n"/>
      <c r="Y182" s="53" t="n"/>
      <c r="Z182" s="53" t="n"/>
      <c r="AA182" s="53" t="n"/>
      <c r="AB182" s="53" t="n"/>
      <c r="AC182" s="53" t="n"/>
      <c r="AD182" s="53" t="n"/>
      <c r="AE182" s="53" t="n"/>
      <c r="AF182" s="53" t="n"/>
      <c r="AG182" s="53" t="n"/>
      <c r="AH182" s="53" t="n"/>
      <c r="AI182" s="53" t="n"/>
      <c r="AJ182" s="53" t="n"/>
      <c r="AK182" s="53" t="n"/>
      <c r="AL182" s="53" t="n"/>
      <c r="AM182" s="53" t="n"/>
      <c r="AN182" s="53" t="n"/>
      <c r="AO182" s="53" t="n"/>
      <c r="AP182" s="53" t="n"/>
      <c r="AQ182" s="53" t="n"/>
      <c r="AR182" s="53" t="n"/>
      <c r="AS182" s="53" t="n"/>
      <c r="AT182" s="53" t="n"/>
      <c r="AU182" s="53" t="n"/>
      <c r="AV182" s="53" t="n"/>
      <c r="AW182" s="53" t="n"/>
      <c r="AX182" s="53" t="n"/>
      <c r="AY182" s="53" t="n"/>
    </row>
    <row r="183" ht="15" customHeight="1">
      <c r="A183" s="54" t="n"/>
      <c r="B183" s="55">
        <f>IF($B$182="","",$B$182)</f>
        <v/>
      </c>
      <c r="C183" s="56" t="inlineStr">
        <is>
          <t>마케팅3팀</t>
        </is>
      </c>
      <c r="D183" s="55">
        <f>IF($D$182="","",$D$182)</f>
        <v/>
      </c>
      <c r="E183" s="57" t="inlineStr">
        <is>
          <t>이미지</t>
        </is>
      </c>
      <c r="F183" s="44" t="n"/>
      <c r="G183" s="58">
        <f>IF($G$182="","",$G$182)</f>
        <v/>
      </c>
      <c r="H183" s="59" t="n"/>
      <c r="I183" s="59" t="n"/>
      <c r="J183" s="59" t="n"/>
      <c r="K183" s="59" t="n"/>
      <c r="L183" s="60">
        <f>IF(SUM(U183:AY183)=0,"",SUM(U183:AY183))</f>
        <v/>
      </c>
      <c r="M183" s="61">
        <f>IFERROR(INDEX(U$2:AY$2,MATCH(TRUE,INDEX(U183:AY183&lt;&gt;"",0),0)),"")</f>
        <v/>
      </c>
      <c r="N183" s="61">
        <f>IFERROR(LOOKUP(2,1/(U183:AY183&lt;&gt;""),U$2:AY$2),"")</f>
        <v/>
      </c>
      <c r="O183" s="59" t="n"/>
      <c r="P183" s="59" t="n"/>
      <c r="Q183" s="59" t="n"/>
      <c r="R183" s="59" t="n"/>
      <c r="S183" s="14" t="n"/>
      <c r="U183" s="53" t="n"/>
      <c r="V183" s="53" t="n"/>
      <c r="W183" s="53" t="n"/>
      <c r="X183" s="53" t="n"/>
      <c r="Y183" s="53" t="n"/>
      <c r="Z183" s="53" t="n"/>
      <c r="AA183" s="53" t="n"/>
      <c r="AB183" s="53" t="n"/>
      <c r="AC183" s="53" t="n"/>
      <c r="AD183" s="53" t="n"/>
      <c r="AE183" s="53" t="n"/>
      <c r="AF183" s="53" t="n"/>
      <c r="AG183" s="53" t="n"/>
      <c r="AH183" s="53" t="n"/>
      <c r="AI183" s="53" t="n"/>
      <c r="AJ183" s="53" t="n"/>
      <c r="AK183" s="53" t="n"/>
      <c r="AL183" s="53" t="n"/>
      <c r="AM183" s="53" t="n"/>
      <c r="AN183" s="53" t="n"/>
      <c r="AO183" s="53" t="n"/>
      <c r="AP183" s="53" t="n"/>
      <c r="AQ183" s="53" t="n"/>
      <c r="AR183" s="53" t="n"/>
      <c r="AS183" s="53" t="n"/>
      <c r="AT183" s="53" t="n"/>
      <c r="AU183" s="53" t="n"/>
      <c r="AV183" s="53" t="n"/>
      <c r="AW183" s="53" t="n"/>
      <c r="AX183" s="53" t="n"/>
      <c r="AY183" s="53" t="n"/>
    </row>
    <row r="184" ht="15" customHeight="1">
      <c r="A184" s="62" t="n"/>
      <c r="B184" s="55">
        <f>IF($B$182="","",$B$182)</f>
        <v/>
      </c>
      <c r="C184" s="63" t="inlineStr">
        <is>
          <t>마케팅3팀</t>
        </is>
      </c>
      <c r="D184" s="55">
        <f>IF($D$182="","",$D$182)</f>
        <v/>
      </c>
      <c r="E184" s="64" t="inlineStr">
        <is>
          <t>영상</t>
        </is>
      </c>
      <c r="F184" s="44" t="n"/>
      <c r="G184" s="58">
        <f>IF($G$182="","",$G$182)</f>
        <v/>
      </c>
      <c r="H184" s="59" t="n"/>
      <c r="I184" s="59" t="n"/>
      <c r="J184" s="59" t="n"/>
      <c r="K184" s="59" t="n"/>
      <c r="L184" s="65">
        <f>IF(SUM(U184:AY184)=0,"",SUM(U184:AY184))</f>
        <v/>
      </c>
      <c r="M184" s="66">
        <f>IFERROR(INDEX(U$2:AY$2,MATCH(TRUE,INDEX(U184:AY184&lt;&gt;"",0),0)),"")</f>
        <v/>
      </c>
      <c r="N184" s="66">
        <f>IFERROR(LOOKUP(2,1/(U184:AY184&lt;&gt;""),U$2:AY$2),"")</f>
        <v/>
      </c>
      <c r="O184" s="59" t="n"/>
      <c r="P184" s="59" t="n"/>
      <c r="Q184" s="59" t="n"/>
      <c r="R184" s="59" t="n"/>
      <c r="S184" s="14" t="n"/>
      <c r="U184" s="53" t="n"/>
      <c r="V184" s="53" t="n"/>
      <c r="W184" s="53" t="n"/>
      <c r="X184" s="53" t="n"/>
      <c r="Y184" s="53" t="n"/>
      <c r="Z184" s="53" t="n"/>
      <c r="AA184" s="53" t="n"/>
      <c r="AB184" s="53" t="n"/>
      <c r="AC184" s="53" t="n"/>
      <c r="AD184" s="53" t="n"/>
      <c r="AE184" s="53" t="n"/>
      <c r="AF184" s="53" t="n"/>
      <c r="AG184" s="53" t="n"/>
      <c r="AH184" s="53" t="n"/>
      <c r="AI184" s="53" t="n"/>
      <c r="AJ184" s="53" t="n"/>
      <c r="AK184" s="53" t="n"/>
      <c r="AL184" s="53" t="n"/>
      <c r="AM184" s="53" t="n"/>
      <c r="AN184" s="53" t="n"/>
      <c r="AO184" s="53" t="n"/>
      <c r="AP184" s="53" t="n"/>
      <c r="AQ184" s="53" t="n"/>
      <c r="AR184" s="53" t="n"/>
      <c r="AS184" s="53" t="n"/>
      <c r="AT184" s="53" t="n"/>
      <c r="AU184" s="53" t="n"/>
      <c r="AV184" s="53" t="n"/>
      <c r="AW184" s="53" t="n"/>
      <c r="AX184" s="53" t="n"/>
      <c r="AY184" s="53" t="n"/>
    </row>
    <row r="185" ht="15" customHeight="1">
      <c r="A185" s="40">
        <f>IF($D$185="","",59)</f>
        <v/>
      </c>
      <c r="B185" s="10" t="n"/>
      <c r="C185" s="41" t="inlineStr">
        <is>
          <t>마케팅3팀</t>
        </is>
      </c>
      <c r="D185" s="42" t="n"/>
      <c r="E185" s="43" t="inlineStr">
        <is>
          <t>기획</t>
        </is>
      </c>
      <c r="F185" s="44" t="n"/>
      <c r="G185" s="45" t="n"/>
      <c r="H185" s="46">
        <f>IF($I$185="","",IF($I$185&lt;0,"🔴지연",IF($I$185&lt;=1,"🟡임박","🟢여유")))</f>
        <v/>
      </c>
      <c r="I185" s="47">
        <f>IF(OR($G$185="",$K$185=""),"",$G$185-$K$185)</f>
        <v/>
      </c>
      <c r="J185" s="48">
        <f>IF(SUM($L$185:$L$187)=0,"",SUM($L$185:$L$187))</f>
        <v/>
      </c>
      <c r="K185" s="49">
        <f>IF($J$185="","",MAX($N$185:$N$187))</f>
        <v/>
      </c>
      <c r="L185" s="50">
        <f>IF(SUM(U185:AY185)=0,"",SUM(U185:AY185))</f>
        <v/>
      </c>
      <c r="M185" s="51">
        <f>IFERROR(INDEX(U$2:AY$2,MATCH(TRUE,INDEX(U185:AY185&lt;&gt;"",0),0)),"")</f>
        <v/>
      </c>
      <c r="N185" s="51">
        <f>IFERROR(LOOKUP(2,1/(U185:AY185&lt;&gt;""),U$2:AY$2),"")</f>
        <v/>
      </c>
      <c r="O185" s="52" t="n"/>
      <c r="P185" s="52" t="n"/>
      <c r="Q185" s="52" t="n"/>
      <c r="R185" s="44" t="n"/>
      <c r="S185" s="14" t="n"/>
      <c r="U185" s="53" t="n"/>
      <c r="V185" s="53" t="n"/>
      <c r="W185" s="53" t="n"/>
      <c r="X185" s="53" t="n"/>
      <c r="Y185" s="53" t="n"/>
      <c r="Z185" s="53" t="n"/>
      <c r="AA185" s="53" t="n"/>
      <c r="AB185" s="53" t="n"/>
      <c r="AC185" s="53" t="n"/>
      <c r="AD185" s="53" t="n"/>
      <c r="AE185" s="53" t="n"/>
      <c r="AF185" s="53" t="n"/>
      <c r="AG185" s="53" t="n"/>
      <c r="AH185" s="53" t="n"/>
      <c r="AI185" s="53" t="n"/>
      <c r="AJ185" s="53" t="n"/>
      <c r="AK185" s="53" t="n"/>
      <c r="AL185" s="53" t="n"/>
      <c r="AM185" s="53" t="n"/>
      <c r="AN185" s="53" t="n"/>
      <c r="AO185" s="53" t="n"/>
      <c r="AP185" s="53" t="n"/>
      <c r="AQ185" s="53" t="n"/>
      <c r="AR185" s="53" t="n"/>
      <c r="AS185" s="53" t="n"/>
      <c r="AT185" s="53" t="n"/>
      <c r="AU185" s="53" t="n"/>
      <c r="AV185" s="53" t="n"/>
      <c r="AW185" s="53" t="n"/>
      <c r="AX185" s="53" t="n"/>
      <c r="AY185" s="53" t="n"/>
    </row>
    <row r="186" ht="15" customHeight="1">
      <c r="A186" s="54" t="n"/>
      <c r="B186" s="55">
        <f>IF($B$185="","",$B$185)</f>
        <v/>
      </c>
      <c r="C186" s="56" t="inlineStr">
        <is>
          <t>마케팅3팀</t>
        </is>
      </c>
      <c r="D186" s="55">
        <f>IF($D$185="","",$D$185)</f>
        <v/>
      </c>
      <c r="E186" s="57" t="inlineStr">
        <is>
          <t>이미지</t>
        </is>
      </c>
      <c r="F186" s="44" t="n"/>
      <c r="G186" s="58">
        <f>IF($G$185="","",$G$185)</f>
        <v/>
      </c>
      <c r="H186" s="59" t="n"/>
      <c r="I186" s="59" t="n"/>
      <c r="J186" s="59" t="n"/>
      <c r="K186" s="59" t="n"/>
      <c r="L186" s="60">
        <f>IF(SUM(U186:AY186)=0,"",SUM(U186:AY186))</f>
        <v/>
      </c>
      <c r="M186" s="61">
        <f>IFERROR(INDEX(U$2:AY$2,MATCH(TRUE,INDEX(U186:AY186&lt;&gt;"",0),0)),"")</f>
        <v/>
      </c>
      <c r="N186" s="61">
        <f>IFERROR(LOOKUP(2,1/(U186:AY186&lt;&gt;""),U$2:AY$2),"")</f>
        <v/>
      </c>
      <c r="O186" s="59" t="n"/>
      <c r="P186" s="59" t="n"/>
      <c r="Q186" s="59" t="n"/>
      <c r="R186" s="59" t="n"/>
      <c r="S186" s="14" t="n"/>
      <c r="U186" s="53" t="n"/>
      <c r="V186" s="53" t="n"/>
      <c r="W186" s="53" t="n"/>
      <c r="X186" s="53" t="n"/>
      <c r="Y186" s="53" t="n"/>
      <c r="Z186" s="53" t="n"/>
      <c r="AA186" s="53" t="n"/>
      <c r="AB186" s="53" t="n"/>
      <c r="AC186" s="53" t="n"/>
      <c r="AD186" s="53" t="n"/>
      <c r="AE186" s="53" t="n"/>
      <c r="AF186" s="53" t="n"/>
      <c r="AG186" s="53" t="n"/>
      <c r="AH186" s="53" t="n"/>
      <c r="AI186" s="53" t="n"/>
      <c r="AJ186" s="53" t="n"/>
      <c r="AK186" s="53" t="n"/>
      <c r="AL186" s="53" t="n"/>
      <c r="AM186" s="53" t="n"/>
      <c r="AN186" s="53" t="n"/>
      <c r="AO186" s="53" t="n"/>
      <c r="AP186" s="53" t="n"/>
      <c r="AQ186" s="53" t="n"/>
      <c r="AR186" s="53" t="n"/>
      <c r="AS186" s="53" t="n"/>
      <c r="AT186" s="53" t="n"/>
      <c r="AU186" s="53" t="n"/>
      <c r="AV186" s="53" t="n"/>
      <c r="AW186" s="53" t="n"/>
      <c r="AX186" s="53" t="n"/>
      <c r="AY186" s="53" t="n"/>
    </row>
    <row r="187" ht="15" customHeight="1">
      <c r="A187" s="62" t="n"/>
      <c r="B187" s="55">
        <f>IF($B$185="","",$B$185)</f>
        <v/>
      </c>
      <c r="C187" s="63" t="inlineStr">
        <is>
          <t>마케팅3팀</t>
        </is>
      </c>
      <c r="D187" s="55">
        <f>IF($D$185="","",$D$185)</f>
        <v/>
      </c>
      <c r="E187" s="64" t="inlineStr">
        <is>
          <t>영상</t>
        </is>
      </c>
      <c r="F187" s="44" t="n"/>
      <c r="G187" s="58">
        <f>IF($G$185="","",$G$185)</f>
        <v/>
      </c>
      <c r="H187" s="59" t="n"/>
      <c r="I187" s="59" t="n"/>
      <c r="J187" s="59" t="n"/>
      <c r="K187" s="59" t="n"/>
      <c r="L187" s="65">
        <f>IF(SUM(U187:AY187)=0,"",SUM(U187:AY187))</f>
        <v/>
      </c>
      <c r="M187" s="66">
        <f>IFERROR(INDEX(U$2:AY$2,MATCH(TRUE,INDEX(U187:AY187&lt;&gt;"",0),0)),"")</f>
        <v/>
      </c>
      <c r="N187" s="66">
        <f>IFERROR(LOOKUP(2,1/(U187:AY187&lt;&gt;""),U$2:AY$2),"")</f>
        <v/>
      </c>
      <c r="O187" s="59" t="n"/>
      <c r="P187" s="59" t="n"/>
      <c r="Q187" s="59" t="n"/>
      <c r="R187" s="59" t="n"/>
      <c r="S187" s="14" t="n"/>
      <c r="U187" s="53" t="n"/>
      <c r="V187" s="53" t="n"/>
      <c r="W187" s="53" t="n"/>
      <c r="X187" s="53" t="n"/>
      <c r="Y187" s="53" t="n"/>
      <c r="Z187" s="53" t="n"/>
      <c r="AA187" s="53" t="n"/>
      <c r="AB187" s="53" t="n"/>
      <c r="AC187" s="53" t="n"/>
      <c r="AD187" s="53" t="n"/>
      <c r="AE187" s="53" t="n"/>
      <c r="AF187" s="53" t="n"/>
      <c r="AG187" s="53" t="n"/>
      <c r="AH187" s="53" t="n"/>
      <c r="AI187" s="53" t="n"/>
      <c r="AJ187" s="53" t="n"/>
      <c r="AK187" s="53" t="n"/>
      <c r="AL187" s="53" t="n"/>
      <c r="AM187" s="53" t="n"/>
      <c r="AN187" s="53" t="n"/>
      <c r="AO187" s="53" t="n"/>
      <c r="AP187" s="53" t="n"/>
      <c r="AQ187" s="53" t="n"/>
      <c r="AR187" s="53" t="n"/>
      <c r="AS187" s="53" t="n"/>
      <c r="AT187" s="53" t="n"/>
      <c r="AU187" s="53" t="n"/>
      <c r="AV187" s="53" t="n"/>
      <c r="AW187" s="53" t="n"/>
      <c r="AX187" s="53" t="n"/>
      <c r="AY187" s="53" t="n"/>
    </row>
    <row r="188" ht="15" customHeight="1">
      <c r="A188" s="40">
        <f>IF($D$188="","",60)</f>
        <v/>
      </c>
      <c r="B188" s="10" t="n"/>
      <c r="C188" s="41" t="inlineStr">
        <is>
          <t>마케팅3팀</t>
        </is>
      </c>
      <c r="D188" s="42" t="n"/>
      <c r="E188" s="43" t="inlineStr">
        <is>
          <t>기획</t>
        </is>
      </c>
      <c r="F188" s="44" t="n"/>
      <c r="G188" s="45" t="n"/>
      <c r="H188" s="46">
        <f>IF($I$188="","",IF($I$188&lt;0,"🔴지연",IF($I$188&lt;=1,"🟡임박","🟢여유")))</f>
        <v/>
      </c>
      <c r="I188" s="47">
        <f>IF(OR($G$188="",$K$188=""),"",$G$188-$K$188)</f>
        <v/>
      </c>
      <c r="J188" s="48">
        <f>IF(SUM($L$188:$L$190)=0,"",SUM($L$188:$L$190))</f>
        <v/>
      </c>
      <c r="K188" s="49">
        <f>IF($J$188="","",MAX($N$188:$N$190))</f>
        <v/>
      </c>
      <c r="L188" s="50">
        <f>IF(SUM(U188:AY188)=0,"",SUM(U188:AY188))</f>
        <v/>
      </c>
      <c r="M188" s="51">
        <f>IFERROR(INDEX(U$2:AY$2,MATCH(TRUE,INDEX(U188:AY188&lt;&gt;"",0),0)),"")</f>
        <v/>
      </c>
      <c r="N188" s="51">
        <f>IFERROR(LOOKUP(2,1/(U188:AY188&lt;&gt;""),U$2:AY$2),"")</f>
        <v/>
      </c>
      <c r="O188" s="52" t="n"/>
      <c r="P188" s="52" t="n"/>
      <c r="Q188" s="52" t="n"/>
      <c r="R188" s="44" t="n"/>
      <c r="S188" s="14" t="n"/>
      <c r="U188" s="53" t="n"/>
      <c r="V188" s="53" t="n"/>
      <c r="W188" s="53" t="n"/>
      <c r="X188" s="53" t="n"/>
      <c r="Y188" s="53" t="n"/>
      <c r="Z188" s="53" t="n"/>
      <c r="AA188" s="53" t="n"/>
      <c r="AB188" s="53" t="n"/>
      <c r="AC188" s="53" t="n"/>
      <c r="AD188" s="53" t="n"/>
      <c r="AE188" s="53" t="n"/>
      <c r="AF188" s="53" t="n"/>
      <c r="AG188" s="53" t="n"/>
      <c r="AH188" s="53" t="n"/>
      <c r="AI188" s="53" t="n"/>
      <c r="AJ188" s="53" t="n"/>
      <c r="AK188" s="53" t="n"/>
      <c r="AL188" s="53" t="n"/>
      <c r="AM188" s="53" t="n"/>
      <c r="AN188" s="53" t="n"/>
      <c r="AO188" s="53" t="n"/>
      <c r="AP188" s="53" t="n"/>
      <c r="AQ188" s="53" t="n"/>
      <c r="AR188" s="53" t="n"/>
      <c r="AS188" s="53" t="n"/>
      <c r="AT188" s="53" t="n"/>
      <c r="AU188" s="53" t="n"/>
      <c r="AV188" s="53" t="n"/>
      <c r="AW188" s="53" t="n"/>
      <c r="AX188" s="53" t="n"/>
      <c r="AY188" s="53" t="n"/>
    </row>
    <row r="189" ht="15" customHeight="1">
      <c r="A189" s="54" t="n"/>
      <c r="B189" s="55">
        <f>IF($B$188="","",$B$188)</f>
        <v/>
      </c>
      <c r="C189" s="56" t="inlineStr">
        <is>
          <t>마케팅3팀</t>
        </is>
      </c>
      <c r="D189" s="55">
        <f>IF($D$188="","",$D$188)</f>
        <v/>
      </c>
      <c r="E189" s="57" t="inlineStr">
        <is>
          <t>이미지</t>
        </is>
      </c>
      <c r="F189" s="44" t="n"/>
      <c r="G189" s="58">
        <f>IF($G$188="","",$G$188)</f>
        <v/>
      </c>
      <c r="H189" s="59" t="n"/>
      <c r="I189" s="59" t="n"/>
      <c r="J189" s="59" t="n"/>
      <c r="K189" s="59" t="n"/>
      <c r="L189" s="60">
        <f>IF(SUM(U189:AY189)=0,"",SUM(U189:AY189))</f>
        <v/>
      </c>
      <c r="M189" s="61">
        <f>IFERROR(INDEX(U$2:AY$2,MATCH(TRUE,INDEX(U189:AY189&lt;&gt;"",0),0)),"")</f>
        <v/>
      </c>
      <c r="N189" s="61">
        <f>IFERROR(LOOKUP(2,1/(U189:AY189&lt;&gt;""),U$2:AY$2),"")</f>
        <v/>
      </c>
      <c r="O189" s="59" t="n"/>
      <c r="P189" s="59" t="n"/>
      <c r="Q189" s="59" t="n"/>
      <c r="R189" s="59" t="n"/>
      <c r="S189" s="14" t="n"/>
      <c r="U189" s="53" t="n"/>
      <c r="V189" s="53" t="n"/>
      <c r="W189" s="53" t="n"/>
      <c r="X189" s="53" t="n"/>
      <c r="Y189" s="53" t="n"/>
      <c r="Z189" s="53" t="n"/>
      <c r="AA189" s="53" t="n"/>
      <c r="AB189" s="53" t="n"/>
      <c r="AC189" s="53" t="n"/>
      <c r="AD189" s="53" t="n"/>
      <c r="AE189" s="53" t="n"/>
      <c r="AF189" s="53" t="n"/>
      <c r="AG189" s="53" t="n"/>
      <c r="AH189" s="53" t="n"/>
      <c r="AI189" s="53" t="n"/>
      <c r="AJ189" s="53" t="n"/>
      <c r="AK189" s="53" t="n"/>
      <c r="AL189" s="53" t="n"/>
      <c r="AM189" s="53" t="n"/>
      <c r="AN189" s="53" t="n"/>
      <c r="AO189" s="53" t="n"/>
      <c r="AP189" s="53" t="n"/>
      <c r="AQ189" s="53" t="n"/>
      <c r="AR189" s="53" t="n"/>
      <c r="AS189" s="53" t="n"/>
      <c r="AT189" s="53" t="n"/>
      <c r="AU189" s="53" t="n"/>
      <c r="AV189" s="53" t="n"/>
      <c r="AW189" s="53" t="n"/>
      <c r="AX189" s="53" t="n"/>
      <c r="AY189" s="53" t="n"/>
    </row>
    <row r="190" ht="15" customHeight="1">
      <c r="A190" s="62" t="n"/>
      <c r="B190" s="55">
        <f>IF($B$188="","",$B$188)</f>
        <v/>
      </c>
      <c r="C190" s="63" t="inlineStr">
        <is>
          <t>마케팅3팀</t>
        </is>
      </c>
      <c r="D190" s="55">
        <f>IF($D$188="","",$D$188)</f>
        <v/>
      </c>
      <c r="E190" s="64" t="inlineStr">
        <is>
          <t>영상</t>
        </is>
      </c>
      <c r="F190" s="44" t="n"/>
      <c r="G190" s="58">
        <f>IF($G$188="","",$G$188)</f>
        <v/>
      </c>
      <c r="H190" s="59" t="n"/>
      <c r="I190" s="59" t="n"/>
      <c r="J190" s="59" t="n"/>
      <c r="K190" s="59" t="n"/>
      <c r="L190" s="65">
        <f>IF(SUM(U190:AY190)=0,"",SUM(U190:AY190))</f>
        <v/>
      </c>
      <c r="M190" s="66">
        <f>IFERROR(INDEX(U$2:AY$2,MATCH(TRUE,INDEX(U190:AY190&lt;&gt;"",0),0)),"")</f>
        <v/>
      </c>
      <c r="N190" s="66">
        <f>IFERROR(LOOKUP(2,1/(U190:AY190&lt;&gt;""),U$2:AY$2),"")</f>
        <v/>
      </c>
      <c r="O190" s="59" t="n"/>
      <c r="P190" s="59" t="n"/>
      <c r="Q190" s="59" t="n"/>
      <c r="R190" s="59" t="n"/>
      <c r="S190" s="14" t="n"/>
      <c r="U190" s="53" t="n"/>
      <c r="V190" s="53" t="n"/>
      <c r="W190" s="53" t="n"/>
      <c r="X190" s="53" t="n"/>
      <c r="Y190" s="53" t="n"/>
      <c r="Z190" s="53" t="n"/>
      <c r="AA190" s="53" t="n"/>
      <c r="AB190" s="53" t="n"/>
      <c r="AC190" s="53" t="n"/>
      <c r="AD190" s="53" t="n"/>
      <c r="AE190" s="53" t="n"/>
      <c r="AF190" s="53" t="n"/>
      <c r="AG190" s="53" t="n"/>
      <c r="AH190" s="53" t="n"/>
      <c r="AI190" s="53" t="n"/>
      <c r="AJ190" s="53" t="n"/>
      <c r="AK190" s="53" t="n"/>
      <c r="AL190" s="53" t="n"/>
      <c r="AM190" s="53" t="n"/>
      <c r="AN190" s="53" t="n"/>
      <c r="AO190" s="53" t="n"/>
      <c r="AP190" s="53" t="n"/>
      <c r="AQ190" s="53" t="n"/>
      <c r="AR190" s="53" t="n"/>
      <c r="AS190" s="53" t="n"/>
      <c r="AT190" s="53" t="n"/>
      <c r="AU190" s="53" t="n"/>
      <c r="AV190" s="53" t="n"/>
      <c r="AW190" s="53" t="n"/>
      <c r="AX190" s="53" t="n"/>
      <c r="AY190" s="53" t="n"/>
    </row>
    <row r="191" ht="18" customHeight="1">
      <c r="A191" s="39" t="inlineStr">
        <is>
          <t>마케팅4팀   (192~251행 · 소재 20개)</t>
        </is>
      </c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I191" s="8" t="n"/>
      <c r="AJ191" s="8" t="n"/>
      <c r="AK191" s="8" t="n"/>
      <c r="AL191" s="8" t="n"/>
      <c r="AM191" s="8" t="n"/>
      <c r="AN191" s="8" t="n"/>
      <c r="AO191" s="8" t="n"/>
      <c r="AP191" s="8" t="n"/>
      <c r="AQ191" s="8" t="n"/>
      <c r="AR191" s="8" t="n"/>
      <c r="AS191" s="8" t="n"/>
      <c r="AT191" s="8" t="n"/>
      <c r="AU191" s="8" t="n"/>
      <c r="AV191" s="8" t="n"/>
      <c r="AW191" s="8" t="n"/>
      <c r="AX191" s="8" t="n"/>
      <c r="AY191" s="4" t="n"/>
    </row>
    <row r="192" ht="15" customHeight="1">
      <c r="A192" s="40">
        <f>IF($D$192="","",61)</f>
        <v/>
      </c>
      <c r="B192" s="10" t="n"/>
      <c r="C192" s="41" t="inlineStr">
        <is>
          <t>마케팅4팀</t>
        </is>
      </c>
      <c r="D192" s="42" t="n"/>
      <c r="E192" s="43" t="inlineStr">
        <is>
          <t>기획</t>
        </is>
      </c>
      <c r="F192" s="44" t="n"/>
      <c r="G192" s="45" t="n"/>
      <c r="H192" s="46">
        <f>IF($I$192="","",IF($I$192&lt;0,"🔴지연",IF($I$192&lt;=1,"🟡임박","🟢여유")))</f>
        <v/>
      </c>
      <c r="I192" s="47">
        <f>IF(OR($G$192="",$K$192=""),"",$G$192-$K$192)</f>
        <v/>
      </c>
      <c r="J192" s="48">
        <f>IF(SUM($L$192:$L$194)=0,"",SUM($L$192:$L$194))</f>
        <v/>
      </c>
      <c r="K192" s="49">
        <f>IF($J$192="","",MAX($N$192:$N$194))</f>
        <v/>
      </c>
      <c r="L192" s="50">
        <f>IF(SUM(U192:AY192)=0,"",SUM(U192:AY192))</f>
        <v/>
      </c>
      <c r="M192" s="51">
        <f>IFERROR(INDEX(U$2:AY$2,MATCH(TRUE,INDEX(U192:AY192&lt;&gt;"",0),0)),"")</f>
        <v/>
      </c>
      <c r="N192" s="51">
        <f>IFERROR(LOOKUP(2,1/(U192:AY192&lt;&gt;""),U$2:AY$2),"")</f>
        <v/>
      </c>
      <c r="O192" s="52" t="n"/>
      <c r="P192" s="52" t="n"/>
      <c r="Q192" s="52" t="n"/>
      <c r="R192" s="44" t="n"/>
      <c r="S192" s="14" t="n"/>
      <c r="U192" s="53" t="n"/>
      <c r="V192" s="53" t="n"/>
      <c r="W192" s="53" t="n"/>
      <c r="X192" s="53" t="n"/>
      <c r="Y192" s="53" t="n"/>
      <c r="Z192" s="53" t="n"/>
      <c r="AA192" s="53" t="n"/>
      <c r="AB192" s="53" t="n"/>
      <c r="AC192" s="53" t="n"/>
      <c r="AD192" s="53" t="n"/>
      <c r="AE192" s="53" t="n"/>
      <c r="AF192" s="53" t="n"/>
      <c r="AG192" s="53" t="n"/>
      <c r="AH192" s="53" t="n"/>
      <c r="AI192" s="53" t="n"/>
      <c r="AJ192" s="53" t="n"/>
      <c r="AK192" s="53" t="n"/>
      <c r="AL192" s="53" t="n"/>
      <c r="AM192" s="53" t="n"/>
      <c r="AN192" s="53" t="n"/>
      <c r="AO192" s="53" t="n"/>
      <c r="AP192" s="53" t="n"/>
      <c r="AQ192" s="53" t="n"/>
      <c r="AR192" s="53" t="n"/>
      <c r="AS192" s="53" t="n"/>
      <c r="AT192" s="53" t="n"/>
      <c r="AU192" s="53" t="n"/>
      <c r="AV192" s="53" t="n"/>
      <c r="AW192" s="53" t="n"/>
      <c r="AX192" s="53" t="n"/>
      <c r="AY192" s="53" t="n"/>
    </row>
    <row r="193" ht="15" customHeight="1">
      <c r="A193" s="54" t="n"/>
      <c r="B193" s="55">
        <f>IF($B$192="","",$B$192)</f>
        <v/>
      </c>
      <c r="C193" s="56" t="inlineStr">
        <is>
          <t>마케팅4팀</t>
        </is>
      </c>
      <c r="D193" s="55">
        <f>IF($D$192="","",$D$192)</f>
        <v/>
      </c>
      <c r="E193" s="57" t="inlineStr">
        <is>
          <t>이미지</t>
        </is>
      </c>
      <c r="F193" s="44" t="n"/>
      <c r="G193" s="58">
        <f>IF($G$192="","",$G$192)</f>
        <v/>
      </c>
      <c r="H193" s="59" t="n"/>
      <c r="I193" s="59" t="n"/>
      <c r="J193" s="59" t="n"/>
      <c r="K193" s="59" t="n"/>
      <c r="L193" s="60">
        <f>IF(SUM(U193:AY193)=0,"",SUM(U193:AY193))</f>
        <v/>
      </c>
      <c r="M193" s="61">
        <f>IFERROR(INDEX(U$2:AY$2,MATCH(TRUE,INDEX(U193:AY193&lt;&gt;"",0),0)),"")</f>
        <v/>
      </c>
      <c r="N193" s="61">
        <f>IFERROR(LOOKUP(2,1/(U193:AY193&lt;&gt;""),U$2:AY$2),"")</f>
        <v/>
      </c>
      <c r="O193" s="59" t="n"/>
      <c r="P193" s="59" t="n"/>
      <c r="Q193" s="59" t="n"/>
      <c r="R193" s="59" t="n"/>
      <c r="S193" s="14" t="n"/>
      <c r="U193" s="53" t="n"/>
      <c r="V193" s="53" t="n"/>
      <c r="W193" s="53" t="n"/>
      <c r="X193" s="53" t="n"/>
      <c r="Y193" s="53" t="n"/>
      <c r="Z193" s="53" t="n"/>
      <c r="AA193" s="53" t="n"/>
      <c r="AB193" s="53" t="n"/>
      <c r="AC193" s="53" t="n"/>
      <c r="AD193" s="53" t="n"/>
      <c r="AE193" s="53" t="n"/>
      <c r="AF193" s="53" t="n"/>
      <c r="AG193" s="53" t="n"/>
      <c r="AH193" s="53" t="n"/>
      <c r="AI193" s="53" t="n"/>
      <c r="AJ193" s="53" t="n"/>
      <c r="AK193" s="53" t="n"/>
      <c r="AL193" s="53" t="n"/>
      <c r="AM193" s="53" t="n"/>
      <c r="AN193" s="53" t="n"/>
      <c r="AO193" s="53" t="n"/>
      <c r="AP193" s="53" t="n"/>
      <c r="AQ193" s="53" t="n"/>
      <c r="AR193" s="53" t="n"/>
      <c r="AS193" s="53" t="n"/>
      <c r="AT193" s="53" t="n"/>
      <c r="AU193" s="53" t="n"/>
      <c r="AV193" s="53" t="n"/>
      <c r="AW193" s="53" t="n"/>
      <c r="AX193" s="53" t="n"/>
      <c r="AY193" s="53" t="n"/>
    </row>
    <row r="194" ht="15" customHeight="1">
      <c r="A194" s="62" t="n"/>
      <c r="B194" s="55">
        <f>IF($B$192="","",$B$192)</f>
        <v/>
      </c>
      <c r="C194" s="63" t="inlineStr">
        <is>
          <t>마케팅4팀</t>
        </is>
      </c>
      <c r="D194" s="55">
        <f>IF($D$192="","",$D$192)</f>
        <v/>
      </c>
      <c r="E194" s="64" t="inlineStr">
        <is>
          <t>영상</t>
        </is>
      </c>
      <c r="F194" s="44" t="n"/>
      <c r="G194" s="58">
        <f>IF($G$192="","",$G$192)</f>
        <v/>
      </c>
      <c r="H194" s="59" t="n"/>
      <c r="I194" s="59" t="n"/>
      <c r="J194" s="59" t="n"/>
      <c r="K194" s="59" t="n"/>
      <c r="L194" s="65">
        <f>IF(SUM(U194:AY194)=0,"",SUM(U194:AY194))</f>
        <v/>
      </c>
      <c r="M194" s="66">
        <f>IFERROR(INDEX(U$2:AY$2,MATCH(TRUE,INDEX(U194:AY194&lt;&gt;"",0),0)),"")</f>
        <v/>
      </c>
      <c r="N194" s="66">
        <f>IFERROR(LOOKUP(2,1/(U194:AY194&lt;&gt;""),U$2:AY$2),"")</f>
        <v/>
      </c>
      <c r="O194" s="59" t="n"/>
      <c r="P194" s="59" t="n"/>
      <c r="Q194" s="59" t="n"/>
      <c r="R194" s="59" t="n"/>
      <c r="S194" s="14" t="n"/>
      <c r="U194" s="53" t="n"/>
      <c r="V194" s="53" t="n"/>
      <c r="W194" s="53" t="n"/>
      <c r="X194" s="53" t="n"/>
      <c r="Y194" s="53" t="n"/>
      <c r="Z194" s="53" t="n"/>
      <c r="AA194" s="53" t="n"/>
      <c r="AB194" s="53" t="n"/>
      <c r="AC194" s="53" t="n"/>
      <c r="AD194" s="53" t="n"/>
      <c r="AE194" s="53" t="n"/>
      <c r="AF194" s="53" t="n"/>
      <c r="AG194" s="53" t="n"/>
      <c r="AH194" s="53" t="n"/>
      <c r="AI194" s="53" t="n"/>
      <c r="AJ194" s="53" t="n"/>
      <c r="AK194" s="53" t="n"/>
      <c r="AL194" s="53" t="n"/>
      <c r="AM194" s="53" t="n"/>
      <c r="AN194" s="53" t="n"/>
      <c r="AO194" s="53" t="n"/>
      <c r="AP194" s="53" t="n"/>
      <c r="AQ194" s="53" t="n"/>
      <c r="AR194" s="53" t="n"/>
      <c r="AS194" s="53" t="n"/>
      <c r="AT194" s="53" t="n"/>
      <c r="AU194" s="53" t="n"/>
      <c r="AV194" s="53" t="n"/>
      <c r="AW194" s="53" t="n"/>
      <c r="AX194" s="53" t="n"/>
      <c r="AY194" s="53" t="n"/>
    </row>
    <row r="195" ht="15" customHeight="1">
      <c r="A195" s="40">
        <f>IF($D$195="","",62)</f>
        <v/>
      </c>
      <c r="B195" s="10" t="n"/>
      <c r="C195" s="41" t="inlineStr">
        <is>
          <t>마케팅4팀</t>
        </is>
      </c>
      <c r="D195" s="42" t="n"/>
      <c r="E195" s="43" t="inlineStr">
        <is>
          <t>기획</t>
        </is>
      </c>
      <c r="F195" s="44" t="n"/>
      <c r="G195" s="45" t="n"/>
      <c r="H195" s="46">
        <f>IF($I$195="","",IF($I$195&lt;0,"🔴지연",IF($I$195&lt;=1,"🟡임박","🟢여유")))</f>
        <v/>
      </c>
      <c r="I195" s="47">
        <f>IF(OR($G$195="",$K$195=""),"",$G$195-$K$195)</f>
        <v/>
      </c>
      <c r="J195" s="48">
        <f>IF(SUM($L$195:$L$197)=0,"",SUM($L$195:$L$197))</f>
        <v/>
      </c>
      <c r="K195" s="49">
        <f>IF($J$195="","",MAX($N$195:$N$197))</f>
        <v/>
      </c>
      <c r="L195" s="50">
        <f>IF(SUM(U195:AY195)=0,"",SUM(U195:AY195))</f>
        <v/>
      </c>
      <c r="M195" s="51">
        <f>IFERROR(INDEX(U$2:AY$2,MATCH(TRUE,INDEX(U195:AY195&lt;&gt;"",0),0)),"")</f>
        <v/>
      </c>
      <c r="N195" s="51">
        <f>IFERROR(LOOKUP(2,1/(U195:AY195&lt;&gt;""),U$2:AY$2),"")</f>
        <v/>
      </c>
      <c r="O195" s="52" t="n"/>
      <c r="P195" s="52" t="n"/>
      <c r="Q195" s="52" t="n"/>
      <c r="R195" s="44" t="n"/>
      <c r="S195" s="14" t="n"/>
      <c r="U195" s="53" t="n"/>
      <c r="V195" s="53" t="n"/>
      <c r="W195" s="53" t="n"/>
      <c r="X195" s="53" t="n"/>
      <c r="Y195" s="53" t="n"/>
      <c r="Z195" s="53" t="n"/>
      <c r="AA195" s="53" t="n"/>
      <c r="AB195" s="53" t="n"/>
      <c r="AC195" s="53" t="n"/>
      <c r="AD195" s="53" t="n"/>
      <c r="AE195" s="53" t="n"/>
      <c r="AF195" s="53" t="n"/>
      <c r="AG195" s="53" t="n"/>
      <c r="AH195" s="53" t="n"/>
      <c r="AI195" s="53" t="n"/>
      <c r="AJ195" s="53" t="n"/>
      <c r="AK195" s="53" t="n"/>
      <c r="AL195" s="53" t="n"/>
      <c r="AM195" s="53" t="n"/>
      <c r="AN195" s="53" t="n"/>
      <c r="AO195" s="53" t="n"/>
      <c r="AP195" s="53" t="n"/>
      <c r="AQ195" s="53" t="n"/>
      <c r="AR195" s="53" t="n"/>
      <c r="AS195" s="53" t="n"/>
      <c r="AT195" s="53" t="n"/>
      <c r="AU195" s="53" t="n"/>
      <c r="AV195" s="53" t="n"/>
      <c r="AW195" s="53" t="n"/>
      <c r="AX195" s="53" t="n"/>
      <c r="AY195" s="53" t="n"/>
    </row>
    <row r="196" ht="15" customHeight="1">
      <c r="A196" s="54" t="n"/>
      <c r="B196" s="55">
        <f>IF($B$195="","",$B$195)</f>
        <v/>
      </c>
      <c r="C196" s="56" t="inlineStr">
        <is>
          <t>마케팅4팀</t>
        </is>
      </c>
      <c r="D196" s="55">
        <f>IF($D$195="","",$D$195)</f>
        <v/>
      </c>
      <c r="E196" s="57" t="inlineStr">
        <is>
          <t>이미지</t>
        </is>
      </c>
      <c r="F196" s="44" t="n"/>
      <c r="G196" s="58">
        <f>IF($G$195="","",$G$195)</f>
        <v/>
      </c>
      <c r="H196" s="59" t="n"/>
      <c r="I196" s="59" t="n"/>
      <c r="J196" s="59" t="n"/>
      <c r="K196" s="59" t="n"/>
      <c r="L196" s="60">
        <f>IF(SUM(U196:AY196)=0,"",SUM(U196:AY196))</f>
        <v/>
      </c>
      <c r="M196" s="61">
        <f>IFERROR(INDEX(U$2:AY$2,MATCH(TRUE,INDEX(U196:AY196&lt;&gt;"",0),0)),"")</f>
        <v/>
      </c>
      <c r="N196" s="61">
        <f>IFERROR(LOOKUP(2,1/(U196:AY196&lt;&gt;""),U$2:AY$2),"")</f>
        <v/>
      </c>
      <c r="O196" s="59" t="n"/>
      <c r="P196" s="59" t="n"/>
      <c r="Q196" s="59" t="n"/>
      <c r="R196" s="59" t="n"/>
      <c r="S196" s="14" t="n"/>
      <c r="U196" s="53" t="n"/>
      <c r="V196" s="53" t="n"/>
      <c r="W196" s="53" t="n"/>
      <c r="X196" s="53" t="n"/>
      <c r="Y196" s="53" t="n"/>
      <c r="Z196" s="53" t="n"/>
      <c r="AA196" s="53" t="n"/>
      <c r="AB196" s="53" t="n"/>
      <c r="AC196" s="53" t="n"/>
      <c r="AD196" s="53" t="n"/>
      <c r="AE196" s="53" t="n"/>
      <c r="AF196" s="53" t="n"/>
      <c r="AG196" s="53" t="n"/>
      <c r="AH196" s="53" t="n"/>
      <c r="AI196" s="53" t="n"/>
      <c r="AJ196" s="53" t="n"/>
      <c r="AK196" s="53" t="n"/>
      <c r="AL196" s="53" t="n"/>
      <c r="AM196" s="53" t="n"/>
      <c r="AN196" s="53" t="n"/>
      <c r="AO196" s="53" t="n"/>
      <c r="AP196" s="53" t="n"/>
      <c r="AQ196" s="53" t="n"/>
      <c r="AR196" s="53" t="n"/>
      <c r="AS196" s="53" t="n"/>
      <c r="AT196" s="53" t="n"/>
      <c r="AU196" s="53" t="n"/>
      <c r="AV196" s="53" t="n"/>
      <c r="AW196" s="53" t="n"/>
      <c r="AX196" s="53" t="n"/>
      <c r="AY196" s="53" t="n"/>
    </row>
    <row r="197" ht="15" customHeight="1">
      <c r="A197" s="62" t="n"/>
      <c r="B197" s="55">
        <f>IF($B$195="","",$B$195)</f>
        <v/>
      </c>
      <c r="C197" s="63" t="inlineStr">
        <is>
          <t>마케팅4팀</t>
        </is>
      </c>
      <c r="D197" s="55">
        <f>IF($D$195="","",$D$195)</f>
        <v/>
      </c>
      <c r="E197" s="64" t="inlineStr">
        <is>
          <t>영상</t>
        </is>
      </c>
      <c r="F197" s="44" t="n"/>
      <c r="G197" s="58">
        <f>IF($G$195="","",$G$195)</f>
        <v/>
      </c>
      <c r="H197" s="59" t="n"/>
      <c r="I197" s="59" t="n"/>
      <c r="J197" s="59" t="n"/>
      <c r="K197" s="59" t="n"/>
      <c r="L197" s="65">
        <f>IF(SUM(U197:AY197)=0,"",SUM(U197:AY197))</f>
        <v/>
      </c>
      <c r="M197" s="66">
        <f>IFERROR(INDEX(U$2:AY$2,MATCH(TRUE,INDEX(U197:AY197&lt;&gt;"",0),0)),"")</f>
        <v/>
      </c>
      <c r="N197" s="66">
        <f>IFERROR(LOOKUP(2,1/(U197:AY197&lt;&gt;""),U$2:AY$2),"")</f>
        <v/>
      </c>
      <c r="O197" s="59" t="n"/>
      <c r="P197" s="59" t="n"/>
      <c r="Q197" s="59" t="n"/>
      <c r="R197" s="59" t="n"/>
      <c r="S197" s="14" t="n"/>
      <c r="U197" s="53" t="n"/>
      <c r="V197" s="53" t="n"/>
      <c r="W197" s="53" t="n"/>
      <c r="X197" s="53" t="n"/>
      <c r="Y197" s="53" t="n"/>
      <c r="Z197" s="53" t="n"/>
      <c r="AA197" s="53" t="n"/>
      <c r="AB197" s="53" t="n"/>
      <c r="AC197" s="53" t="n"/>
      <c r="AD197" s="53" t="n"/>
      <c r="AE197" s="53" t="n"/>
      <c r="AF197" s="53" t="n"/>
      <c r="AG197" s="53" t="n"/>
      <c r="AH197" s="53" t="n"/>
      <c r="AI197" s="53" t="n"/>
      <c r="AJ197" s="53" t="n"/>
      <c r="AK197" s="53" t="n"/>
      <c r="AL197" s="53" t="n"/>
      <c r="AM197" s="53" t="n"/>
      <c r="AN197" s="53" t="n"/>
      <c r="AO197" s="53" t="n"/>
      <c r="AP197" s="53" t="n"/>
      <c r="AQ197" s="53" t="n"/>
      <c r="AR197" s="53" t="n"/>
      <c r="AS197" s="53" t="n"/>
      <c r="AT197" s="53" t="n"/>
      <c r="AU197" s="53" t="n"/>
      <c r="AV197" s="53" t="n"/>
      <c r="AW197" s="53" t="n"/>
      <c r="AX197" s="53" t="n"/>
      <c r="AY197" s="53" t="n"/>
    </row>
    <row r="198" ht="15" customHeight="1">
      <c r="A198" s="40">
        <f>IF($D$198="","",63)</f>
        <v/>
      </c>
      <c r="B198" s="10" t="n"/>
      <c r="C198" s="41" t="inlineStr">
        <is>
          <t>마케팅4팀</t>
        </is>
      </c>
      <c r="D198" s="42" t="n"/>
      <c r="E198" s="43" t="inlineStr">
        <is>
          <t>기획</t>
        </is>
      </c>
      <c r="F198" s="44" t="n"/>
      <c r="G198" s="45" t="n"/>
      <c r="H198" s="46">
        <f>IF($I$198="","",IF($I$198&lt;0,"🔴지연",IF($I$198&lt;=1,"🟡임박","🟢여유")))</f>
        <v/>
      </c>
      <c r="I198" s="47">
        <f>IF(OR($G$198="",$K$198=""),"",$G$198-$K$198)</f>
        <v/>
      </c>
      <c r="J198" s="48">
        <f>IF(SUM($L$198:$L$200)=0,"",SUM($L$198:$L$200))</f>
        <v/>
      </c>
      <c r="K198" s="49">
        <f>IF($J$198="","",MAX($N$198:$N$200))</f>
        <v/>
      </c>
      <c r="L198" s="50">
        <f>IF(SUM(U198:AY198)=0,"",SUM(U198:AY198))</f>
        <v/>
      </c>
      <c r="M198" s="51">
        <f>IFERROR(INDEX(U$2:AY$2,MATCH(TRUE,INDEX(U198:AY198&lt;&gt;"",0),0)),"")</f>
        <v/>
      </c>
      <c r="N198" s="51">
        <f>IFERROR(LOOKUP(2,1/(U198:AY198&lt;&gt;""),U$2:AY$2),"")</f>
        <v/>
      </c>
      <c r="O198" s="52" t="n"/>
      <c r="P198" s="52" t="n"/>
      <c r="Q198" s="52" t="n"/>
      <c r="R198" s="44" t="n"/>
      <c r="S198" s="14" t="n"/>
      <c r="U198" s="53" t="n"/>
      <c r="V198" s="53" t="n"/>
      <c r="W198" s="53" t="n"/>
      <c r="X198" s="53" t="n"/>
      <c r="Y198" s="53" t="n"/>
      <c r="Z198" s="53" t="n"/>
      <c r="AA198" s="53" t="n"/>
      <c r="AB198" s="53" t="n"/>
      <c r="AC198" s="53" t="n"/>
      <c r="AD198" s="53" t="n"/>
      <c r="AE198" s="53" t="n"/>
      <c r="AF198" s="53" t="n"/>
      <c r="AG198" s="53" t="n"/>
      <c r="AH198" s="53" t="n"/>
      <c r="AI198" s="53" t="n"/>
      <c r="AJ198" s="53" t="n"/>
      <c r="AK198" s="53" t="n"/>
      <c r="AL198" s="53" t="n"/>
      <c r="AM198" s="53" t="n"/>
      <c r="AN198" s="53" t="n"/>
      <c r="AO198" s="53" t="n"/>
      <c r="AP198" s="53" t="n"/>
      <c r="AQ198" s="53" t="n"/>
      <c r="AR198" s="53" t="n"/>
      <c r="AS198" s="53" t="n"/>
      <c r="AT198" s="53" t="n"/>
      <c r="AU198" s="53" t="n"/>
      <c r="AV198" s="53" t="n"/>
      <c r="AW198" s="53" t="n"/>
      <c r="AX198" s="53" t="n"/>
      <c r="AY198" s="53" t="n"/>
    </row>
    <row r="199" ht="15" customHeight="1">
      <c r="A199" s="54" t="n"/>
      <c r="B199" s="55">
        <f>IF($B$198="","",$B$198)</f>
        <v/>
      </c>
      <c r="C199" s="56" t="inlineStr">
        <is>
          <t>마케팅4팀</t>
        </is>
      </c>
      <c r="D199" s="55">
        <f>IF($D$198="","",$D$198)</f>
        <v/>
      </c>
      <c r="E199" s="57" t="inlineStr">
        <is>
          <t>이미지</t>
        </is>
      </c>
      <c r="F199" s="44" t="n"/>
      <c r="G199" s="58">
        <f>IF($G$198="","",$G$198)</f>
        <v/>
      </c>
      <c r="H199" s="59" t="n"/>
      <c r="I199" s="59" t="n"/>
      <c r="J199" s="59" t="n"/>
      <c r="K199" s="59" t="n"/>
      <c r="L199" s="60">
        <f>IF(SUM(U199:AY199)=0,"",SUM(U199:AY199))</f>
        <v/>
      </c>
      <c r="M199" s="61">
        <f>IFERROR(INDEX(U$2:AY$2,MATCH(TRUE,INDEX(U199:AY199&lt;&gt;"",0),0)),"")</f>
        <v/>
      </c>
      <c r="N199" s="61">
        <f>IFERROR(LOOKUP(2,1/(U199:AY199&lt;&gt;""),U$2:AY$2),"")</f>
        <v/>
      </c>
      <c r="O199" s="59" t="n"/>
      <c r="P199" s="59" t="n"/>
      <c r="Q199" s="59" t="n"/>
      <c r="R199" s="59" t="n"/>
      <c r="S199" s="14" t="n"/>
      <c r="U199" s="53" t="n"/>
      <c r="V199" s="53" t="n"/>
      <c r="W199" s="53" t="n"/>
      <c r="X199" s="53" t="n"/>
      <c r="Y199" s="53" t="n"/>
      <c r="Z199" s="53" t="n"/>
      <c r="AA199" s="53" t="n"/>
      <c r="AB199" s="53" t="n"/>
      <c r="AC199" s="53" t="n"/>
      <c r="AD199" s="53" t="n"/>
      <c r="AE199" s="53" t="n"/>
      <c r="AF199" s="53" t="n"/>
      <c r="AG199" s="53" t="n"/>
      <c r="AH199" s="53" t="n"/>
      <c r="AI199" s="53" t="n"/>
      <c r="AJ199" s="53" t="n"/>
      <c r="AK199" s="53" t="n"/>
      <c r="AL199" s="53" t="n"/>
      <c r="AM199" s="53" t="n"/>
      <c r="AN199" s="53" t="n"/>
      <c r="AO199" s="53" t="n"/>
      <c r="AP199" s="53" t="n"/>
      <c r="AQ199" s="53" t="n"/>
      <c r="AR199" s="53" t="n"/>
      <c r="AS199" s="53" t="n"/>
      <c r="AT199" s="53" t="n"/>
      <c r="AU199" s="53" t="n"/>
      <c r="AV199" s="53" t="n"/>
      <c r="AW199" s="53" t="n"/>
      <c r="AX199" s="53" t="n"/>
      <c r="AY199" s="53" t="n"/>
    </row>
    <row r="200" ht="15" customHeight="1">
      <c r="A200" s="62" t="n"/>
      <c r="B200" s="55">
        <f>IF($B$198="","",$B$198)</f>
        <v/>
      </c>
      <c r="C200" s="63" t="inlineStr">
        <is>
          <t>마케팅4팀</t>
        </is>
      </c>
      <c r="D200" s="55">
        <f>IF($D$198="","",$D$198)</f>
        <v/>
      </c>
      <c r="E200" s="64" t="inlineStr">
        <is>
          <t>영상</t>
        </is>
      </c>
      <c r="F200" s="44" t="n"/>
      <c r="G200" s="58">
        <f>IF($G$198="","",$G$198)</f>
        <v/>
      </c>
      <c r="H200" s="59" t="n"/>
      <c r="I200" s="59" t="n"/>
      <c r="J200" s="59" t="n"/>
      <c r="K200" s="59" t="n"/>
      <c r="L200" s="65">
        <f>IF(SUM(U200:AY200)=0,"",SUM(U200:AY200))</f>
        <v/>
      </c>
      <c r="M200" s="66">
        <f>IFERROR(INDEX(U$2:AY$2,MATCH(TRUE,INDEX(U200:AY200&lt;&gt;"",0),0)),"")</f>
        <v/>
      </c>
      <c r="N200" s="66">
        <f>IFERROR(LOOKUP(2,1/(U200:AY200&lt;&gt;""),U$2:AY$2),"")</f>
        <v/>
      </c>
      <c r="O200" s="59" t="n"/>
      <c r="P200" s="59" t="n"/>
      <c r="Q200" s="59" t="n"/>
      <c r="R200" s="59" t="n"/>
      <c r="S200" s="14" t="n"/>
      <c r="U200" s="53" t="n"/>
      <c r="V200" s="53" t="n"/>
      <c r="W200" s="53" t="n"/>
      <c r="X200" s="53" t="n"/>
      <c r="Y200" s="53" t="n"/>
      <c r="Z200" s="53" t="n"/>
      <c r="AA200" s="53" t="n"/>
      <c r="AB200" s="53" t="n"/>
      <c r="AC200" s="53" t="n"/>
      <c r="AD200" s="53" t="n"/>
      <c r="AE200" s="53" t="n"/>
      <c r="AF200" s="53" t="n"/>
      <c r="AG200" s="53" t="n"/>
      <c r="AH200" s="53" t="n"/>
      <c r="AI200" s="53" t="n"/>
      <c r="AJ200" s="53" t="n"/>
      <c r="AK200" s="53" t="n"/>
      <c r="AL200" s="53" t="n"/>
      <c r="AM200" s="53" t="n"/>
      <c r="AN200" s="53" t="n"/>
      <c r="AO200" s="53" t="n"/>
      <c r="AP200" s="53" t="n"/>
      <c r="AQ200" s="53" t="n"/>
      <c r="AR200" s="53" t="n"/>
      <c r="AS200" s="53" t="n"/>
      <c r="AT200" s="53" t="n"/>
      <c r="AU200" s="53" t="n"/>
      <c r="AV200" s="53" t="n"/>
      <c r="AW200" s="53" t="n"/>
      <c r="AX200" s="53" t="n"/>
      <c r="AY200" s="53" t="n"/>
    </row>
    <row r="201" ht="15" customHeight="1">
      <c r="A201" s="40">
        <f>IF($D$201="","",64)</f>
        <v/>
      </c>
      <c r="B201" s="10" t="n"/>
      <c r="C201" s="41" t="inlineStr">
        <is>
          <t>마케팅4팀</t>
        </is>
      </c>
      <c r="D201" s="42" t="n"/>
      <c r="E201" s="43" t="inlineStr">
        <is>
          <t>기획</t>
        </is>
      </c>
      <c r="F201" s="44" t="n"/>
      <c r="G201" s="45" t="n"/>
      <c r="H201" s="46">
        <f>IF($I$201="","",IF($I$201&lt;0,"🔴지연",IF($I$201&lt;=1,"🟡임박","🟢여유")))</f>
        <v/>
      </c>
      <c r="I201" s="47">
        <f>IF(OR($G$201="",$K$201=""),"",$G$201-$K$201)</f>
        <v/>
      </c>
      <c r="J201" s="48">
        <f>IF(SUM($L$201:$L$203)=0,"",SUM($L$201:$L$203))</f>
        <v/>
      </c>
      <c r="K201" s="49">
        <f>IF($J$201="","",MAX($N$201:$N$203))</f>
        <v/>
      </c>
      <c r="L201" s="50">
        <f>IF(SUM(U201:AY201)=0,"",SUM(U201:AY201))</f>
        <v/>
      </c>
      <c r="M201" s="51">
        <f>IFERROR(INDEX(U$2:AY$2,MATCH(TRUE,INDEX(U201:AY201&lt;&gt;"",0),0)),"")</f>
        <v/>
      </c>
      <c r="N201" s="51">
        <f>IFERROR(LOOKUP(2,1/(U201:AY201&lt;&gt;""),U$2:AY$2),"")</f>
        <v/>
      </c>
      <c r="O201" s="52" t="n"/>
      <c r="P201" s="52" t="n"/>
      <c r="Q201" s="52" t="n"/>
      <c r="R201" s="44" t="n"/>
      <c r="S201" s="14" t="n"/>
      <c r="U201" s="53" t="n"/>
      <c r="V201" s="53" t="n"/>
      <c r="W201" s="53" t="n"/>
      <c r="X201" s="53" t="n"/>
      <c r="Y201" s="53" t="n"/>
      <c r="Z201" s="53" t="n"/>
      <c r="AA201" s="53" t="n"/>
      <c r="AB201" s="53" t="n"/>
      <c r="AC201" s="53" t="n"/>
      <c r="AD201" s="53" t="n"/>
      <c r="AE201" s="53" t="n"/>
      <c r="AF201" s="53" t="n"/>
      <c r="AG201" s="53" t="n"/>
      <c r="AH201" s="53" t="n"/>
      <c r="AI201" s="53" t="n"/>
      <c r="AJ201" s="53" t="n"/>
      <c r="AK201" s="53" t="n"/>
      <c r="AL201" s="53" t="n"/>
      <c r="AM201" s="53" t="n"/>
      <c r="AN201" s="53" t="n"/>
      <c r="AO201" s="53" t="n"/>
      <c r="AP201" s="53" t="n"/>
      <c r="AQ201" s="53" t="n"/>
      <c r="AR201" s="53" t="n"/>
      <c r="AS201" s="53" t="n"/>
      <c r="AT201" s="53" t="n"/>
      <c r="AU201" s="53" t="n"/>
      <c r="AV201" s="53" t="n"/>
      <c r="AW201" s="53" t="n"/>
      <c r="AX201" s="53" t="n"/>
      <c r="AY201" s="53" t="n"/>
    </row>
    <row r="202" ht="15" customHeight="1">
      <c r="A202" s="54" t="n"/>
      <c r="B202" s="55">
        <f>IF($B$201="","",$B$201)</f>
        <v/>
      </c>
      <c r="C202" s="56" t="inlineStr">
        <is>
          <t>마케팅4팀</t>
        </is>
      </c>
      <c r="D202" s="55">
        <f>IF($D$201="","",$D$201)</f>
        <v/>
      </c>
      <c r="E202" s="57" t="inlineStr">
        <is>
          <t>이미지</t>
        </is>
      </c>
      <c r="F202" s="44" t="n"/>
      <c r="G202" s="58">
        <f>IF($G$201="","",$G$201)</f>
        <v/>
      </c>
      <c r="H202" s="59" t="n"/>
      <c r="I202" s="59" t="n"/>
      <c r="J202" s="59" t="n"/>
      <c r="K202" s="59" t="n"/>
      <c r="L202" s="60">
        <f>IF(SUM(U202:AY202)=0,"",SUM(U202:AY202))</f>
        <v/>
      </c>
      <c r="M202" s="61">
        <f>IFERROR(INDEX(U$2:AY$2,MATCH(TRUE,INDEX(U202:AY202&lt;&gt;"",0),0)),"")</f>
        <v/>
      </c>
      <c r="N202" s="61">
        <f>IFERROR(LOOKUP(2,1/(U202:AY202&lt;&gt;""),U$2:AY$2),"")</f>
        <v/>
      </c>
      <c r="O202" s="59" t="n"/>
      <c r="P202" s="59" t="n"/>
      <c r="Q202" s="59" t="n"/>
      <c r="R202" s="59" t="n"/>
      <c r="S202" s="14" t="n"/>
      <c r="U202" s="53" t="n"/>
      <c r="V202" s="53" t="n"/>
      <c r="W202" s="53" t="n"/>
      <c r="X202" s="53" t="n"/>
      <c r="Y202" s="53" t="n"/>
      <c r="Z202" s="53" t="n"/>
      <c r="AA202" s="53" t="n"/>
      <c r="AB202" s="53" t="n"/>
      <c r="AC202" s="53" t="n"/>
      <c r="AD202" s="53" t="n"/>
      <c r="AE202" s="53" t="n"/>
      <c r="AF202" s="53" t="n"/>
      <c r="AG202" s="53" t="n"/>
      <c r="AH202" s="53" t="n"/>
      <c r="AI202" s="53" t="n"/>
      <c r="AJ202" s="53" t="n"/>
      <c r="AK202" s="53" t="n"/>
      <c r="AL202" s="53" t="n"/>
      <c r="AM202" s="53" t="n"/>
      <c r="AN202" s="53" t="n"/>
      <c r="AO202" s="53" t="n"/>
      <c r="AP202" s="53" t="n"/>
      <c r="AQ202" s="53" t="n"/>
      <c r="AR202" s="53" t="n"/>
      <c r="AS202" s="53" t="n"/>
      <c r="AT202" s="53" t="n"/>
      <c r="AU202" s="53" t="n"/>
      <c r="AV202" s="53" t="n"/>
      <c r="AW202" s="53" t="n"/>
      <c r="AX202" s="53" t="n"/>
      <c r="AY202" s="53" t="n"/>
    </row>
    <row r="203" ht="15" customHeight="1">
      <c r="A203" s="62" t="n"/>
      <c r="B203" s="55">
        <f>IF($B$201="","",$B$201)</f>
        <v/>
      </c>
      <c r="C203" s="63" t="inlineStr">
        <is>
          <t>마케팅4팀</t>
        </is>
      </c>
      <c r="D203" s="55">
        <f>IF($D$201="","",$D$201)</f>
        <v/>
      </c>
      <c r="E203" s="64" t="inlineStr">
        <is>
          <t>영상</t>
        </is>
      </c>
      <c r="F203" s="44" t="n"/>
      <c r="G203" s="58">
        <f>IF($G$201="","",$G$201)</f>
        <v/>
      </c>
      <c r="H203" s="59" t="n"/>
      <c r="I203" s="59" t="n"/>
      <c r="J203" s="59" t="n"/>
      <c r="K203" s="59" t="n"/>
      <c r="L203" s="65">
        <f>IF(SUM(U203:AY203)=0,"",SUM(U203:AY203))</f>
        <v/>
      </c>
      <c r="M203" s="66">
        <f>IFERROR(INDEX(U$2:AY$2,MATCH(TRUE,INDEX(U203:AY203&lt;&gt;"",0),0)),"")</f>
        <v/>
      </c>
      <c r="N203" s="66">
        <f>IFERROR(LOOKUP(2,1/(U203:AY203&lt;&gt;""),U$2:AY$2),"")</f>
        <v/>
      </c>
      <c r="O203" s="59" t="n"/>
      <c r="P203" s="59" t="n"/>
      <c r="Q203" s="59" t="n"/>
      <c r="R203" s="59" t="n"/>
      <c r="S203" s="14" t="n"/>
      <c r="U203" s="53" t="n"/>
      <c r="V203" s="53" t="n"/>
      <c r="W203" s="53" t="n"/>
      <c r="X203" s="53" t="n"/>
      <c r="Y203" s="53" t="n"/>
      <c r="Z203" s="53" t="n"/>
      <c r="AA203" s="53" t="n"/>
      <c r="AB203" s="53" t="n"/>
      <c r="AC203" s="53" t="n"/>
      <c r="AD203" s="53" t="n"/>
      <c r="AE203" s="53" t="n"/>
      <c r="AF203" s="53" t="n"/>
      <c r="AG203" s="53" t="n"/>
      <c r="AH203" s="53" t="n"/>
      <c r="AI203" s="53" t="n"/>
      <c r="AJ203" s="53" t="n"/>
      <c r="AK203" s="53" t="n"/>
      <c r="AL203" s="53" t="n"/>
      <c r="AM203" s="53" t="n"/>
      <c r="AN203" s="53" t="n"/>
      <c r="AO203" s="53" t="n"/>
      <c r="AP203" s="53" t="n"/>
      <c r="AQ203" s="53" t="n"/>
      <c r="AR203" s="53" t="n"/>
      <c r="AS203" s="53" t="n"/>
      <c r="AT203" s="53" t="n"/>
      <c r="AU203" s="53" t="n"/>
      <c r="AV203" s="53" t="n"/>
      <c r="AW203" s="53" t="n"/>
      <c r="AX203" s="53" t="n"/>
      <c r="AY203" s="53" t="n"/>
    </row>
    <row r="204" ht="15" customHeight="1">
      <c r="A204" s="40">
        <f>IF($D$204="","",65)</f>
        <v/>
      </c>
      <c r="B204" s="10" t="n"/>
      <c r="C204" s="41" t="inlineStr">
        <is>
          <t>마케팅4팀</t>
        </is>
      </c>
      <c r="D204" s="42" t="n"/>
      <c r="E204" s="43" t="inlineStr">
        <is>
          <t>기획</t>
        </is>
      </c>
      <c r="F204" s="44" t="n"/>
      <c r="G204" s="45" t="n"/>
      <c r="H204" s="46">
        <f>IF($I$204="","",IF($I$204&lt;0,"🔴지연",IF($I$204&lt;=1,"🟡임박","🟢여유")))</f>
        <v/>
      </c>
      <c r="I204" s="47">
        <f>IF(OR($G$204="",$K$204=""),"",$G$204-$K$204)</f>
        <v/>
      </c>
      <c r="J204" s="48">
        <f>IF(SUM($L$204:$L$206)=0,"",SUM($L$204:$L$206))</f>
        <v/>
      </c>
      <c r="K204" s="49">
        <f>IF($J$204="","",MAX($N$204:$N$206))</f>
        <v/>
      </c>
      <c r="L204" s="50">
        <f>IF(SUM(U204:AY204)=0,"",SUM(U204:AY204))</f>
        <v/>
      </c>
      <c r="M204" s="51">
        <f>IFERROR(INDEX(U$2:AY$2,MATCH(TRUE,INDEX(U204:AY204&lt;&gt;"",0),0)),"")</f>
        <v/>
      </c>
      <c r="N204" s="51">
        <f>IFERROR(LOOKUP(2,1/(U204:AY204&lt;&gt;""),U$2:AY$2),"")</f>
        <v/>
      </c>
      <c r="O204" s="52" t="n"/>
      <c r="P204" s="52" t="n"/>
      <c r="Q204" s="52" t="n"/>
      <c r="R204" s="44" t="n"/>
      <c r="S204" s="14" t="n"/>
      <c r="U204" s="53" t="n"/>
      <c r="V204" s="53" t="n"/>
      <c r="W204" s="53" t="n"/>
      <c r="X204" s="53" t="n"/>
      <c r="Y204" s="53" t="n"/>
      <c r="Z204" s="53" t="n"/>
      <c r="AA204" s="53" t="n"/>
      <c r="AB204" s="53" t="n"/>
      <c r="AC204" s="53" t="n"/>
      <c r="AD204" s="53" t="n"/>
      <c r="AE204" s="53" t="n"/>
      <c r="AF204" s="53" t="n"/>
      <c r="AG204" s="53" t="n"/>
      <c r="AH204" s="53" t="n"/>
      <c r="AI204" s="53" t="n"/>
      <c r="AJ204" s="53" t="n"/>
      <c r="AK204" s="53" t="n"/>
      <c r="AL204" s="53" t="n"/>
      <c r="AM204" s="53" t="n"/>
      <c r="AN204" s="53" t="n"/>
      <c r="AO204" s="53" t="n"/>
      <c r="AP204" s="53" t="n"/>
      <c r="AQ204" s="53" t="n"/>
      <c r="AR204" s="53" t="n"/>
      <c r="AS204" s="53" t="n"/>
      <c r="AT204" s="53" t="n"/>
      <c r="AU204" s="53" t="n"/>
      <c r="AV204" s="53" t="n"/>
      <c r="AW204" s="53" t="n"/>
      <c r="AX204" s="53" t="n"/>
      <c r="AY204" s="53" t="n"/>
    </row>
    <row r="205" ht="15" customHeight="1">
      <c r="A205" s="54" t="n"/>
      <c r="B205" s="55">
        <f>IF($B$204="","",$B$204)</f>
        <v/>
      </c>
      <c r="C205" s="56" t="inlineStr">
        <is>
          <t>마케팅4팀</t>
        </is>
      </c>
      <c r="D205" s="55">
        <f>IF($D$204="","",$D$204)</f>
        <v/>
      </c>
      <c r="E205" s="57" t="inlineStr">
        <is>
          <t>이미지</t>
        </is>
      </c>
      <c r="F205" s="44" t="n"/>
      <c r="G205" s="58">
        <f>IF($G$204="","",$G$204)</f>
        <v/>
      </c>
      <c r="H205" s="59" t="n"/>
      <c r="I205" s="59" t="n"/>
      <c r="J205" s="59" t="n"/>
      <c r="K205" s="59" t="n"/>
      <c r="L205" s="60">
        <f>IF(SUM(U205:AY205)=0,"",SUM(U205:AY205))</f>
        <v/>
      </c>
      <c r="M205" s="61">
        <f>IFERROR(INDEX(U$2:AY$2,MATCH(TRUE,INDEX(U205:AY205&lt;&gt;"",0),0)),"")</f>
        <v/>
      </c>
      <c r="N205" s="61">
        <f>IFERROR(LOOKUP(2,1/(U205:AY205&lt;&gt;""),U$2:AY$2),"")</f>
        <v/>
      </c>
      <c r="O205" s="59" t="n"/>
      <c r="P205" s="59" t="n"/>
      <c r="Q205" s="59" t="n"/>
      <c r="R205" s="59" t="n"/>
      <c r="S205" s="14" t="n"/>
      <c r="U205" s="53" t="n"/>
      <c r="V205" s="53" t="n"/>
      <c r="W205" s="53" t="n"/>
      <c r="X205" s="53" t="n"/>
      <c r="Y205" s="53" t="n"/>
      <c r="Z205" s="53" t="n"/>
      <c r="AA205" s="53" t="n"/>
      <c r="AB205" s="53" t="n"/>
      <c r="AC205" s="53" t="n"/>
      <c r="AD205" s="53" t="n"/>
      <c r="AE205" s="53" t="n"/>
      <c r="AF205" s="53" t="n"/>
      <c r="AG205" s="53" t="n"/>
      <c r="AH205" s="53" t="n"/>
      <c r="AI205" s="53" t="n"/>
      <c r="AJ205" s="53" t="n"/>
      <c r="AK205" s="53" t="n"/>
      <c r="AL205" s="53" t="n"/>
      <c r="AM205" s="53" t="n"/>
      <c r="AN205" s="53" t="n"/>
      <c r="AO205" s="53" t="n"/>
      <c r="AP205" s="53" t="n"/>
      <c r="AQ205" s="53" t="n"/>
      <c r="AR205" s="53" t="n"/>
      <c r="AS205" s="53" t="n"/>
      <c r="AT205" s="53" t="n"/>
      <c r="AU205" s="53" t="n"/>
      <c r="AV205" s="53" t="n"/>
      <c r="AW205" s="53" t="n"/>
      <c r="AX205" s="53" t="n"/>
      <c r="AY205" s="53" t="n"/>
    </row>
    <row r="206" ht="15" customHeight="1">
      <c r="A206" s="62" t="n"/>
      <c r="B206" s="55">
        <f>IF($B$204="","",$B$204)</f>
        <v/>
      </c>
      <c r="C206" s="63" t="inlineStr">
        <is>
          <t>마케팅4팀</t>
        </is>
      </c>
      <c r="D206" s="55">
        <f>IF($D$204="","",$D$204)</f>
        <v/>
      </c>
      <c r="E206" s="64" t="inlineStr">
        <is>
          <t>영상</t>
        </is>
      </c>
      <c r="F206" s="44" t="n"/>
      <c r="G206" s="58">
        <f>IF($G$204="","",$G$204)</f>
        <v/>
      </c>
      <c r="H206" s="59" t="n"/>
      <c r="I206" s="59" t="n"/>
      <c r="J206" s="59" t="n"/>
      <c r="K206" s="59" t="n"/>
      <c r="L206" s="65">
        <f>IF(SUM(U206:AY206)=0,"",SUM(U206:AY206))</f>
        <v/>
      </c>
      <c r="M206" s="66">
        <f>IFERROR(INDEX(U$2:AY$2,MATCH(TRUE,INDEX(U206:AY206&lt;&gt;"",0),0)),"")</f>
        <v/>
      </c>
      <c r="N206" s="66">
        <f>IFERROR(LOOKUP(2,1/(U206:AY206&lt;&gt;""),U$2:AY$2),"")</f>
        <v/>
      </c>
      <c r="O206" s="59" t="n"/>
      <c r="P206" s="59" t="n"/>
      <c r="Q206" s="59" t="n"/>
      <c r="R206" s="59" t="n"/>
      <c r="S206" s="14" t="n"/>
      <c r="U206" s="53" t="n"/>
      <c r="V206" s="53" t="n"/>
      <c r="W206" s="53" t="n"/>
      <c r="X206" s="53" t="n"/>
      <c r="Y206" s="53" t="n"/>
      <c r="Z206" s="53" t="n"/>
      <c r="AA206" s="53" t="n"/>
      <c r="AB206" s="53" t="n"/>
      <c r="AC206" s="53" t="n"/>
      <c r="AD206" s="53" t="n"/>
      <c r="AE206" s="53" t="n"/>
      <c r="AF206" s="53" t="n"/>
      <c r="AG206" s="53" t="n"/>
      <c r="AH206" s="53" t="n"/>
      <c r="AI206" s="53" t="n"/>
      <c r="AJ206" s="53" t="n"/>
      <c r="AK206" s="53" t="n"/>
      <c r="AL206" s="53" t="n"/>
      <c r="AM206" s="53" t="n"/>
      <c r="AN206" s="53" t="n"/>
      <c r="AO206" s="53" t="n"/>
      <c r="AP206" s="53" t="n"/>
      <c r="AQ206" s="53" t="n"/>
      <c r="AR206" s="53" t="n"/>
      <c r="AS206" s="53" t="n"/>
      <c r="AT206" s="53" t="n"/>
      <c r="AU206" s="53" t="n"/>
      <c r="AV206" s="53" t="n"/>
      <c r="AW206" s="53" t="n"/>
      <c r="AX206" s="53" t="n"/>
      <c r="AY206" s="53" t="n"/>
    </row>
    <row r="207" ht="15" customHeight="1">
      <c r="A207" s="40">
        <f>IF($D$207="","",66)</f>
        <v/>
      </c>
      <c r="B207" s="10" t="n"/>
      <c r="C207" s="41" t="inlineStr">
        <is>
          <t>마케팅4팀</t>
        </is>
      </c>
      <c r="D207" s="42" t="n"/>
      <c r="E207" s="43" t="inlineStr">
        <is>
          <t>기획</t>
        </is>
      </c>
      <c r="F207" s="44" t="n"/>
      <c r="G207" s="45" t="n"/>
      <c r="H207" s="46">
        <f>IF($I$207="","",IF($I$207&lt;0,"🔴지연",IF($I$207&lt;=1,"🟡임박","🟢여유")))</f>
        <v/>
      </c>
      <c r="I207" s="47">
        <f>IF(OR($G$207="",$K$207=""),"",$G$207-$K$207)</f>
        <v/>
      </c>
      <c r="J207" s="48">
        <f>IF(SUM($L$207:$L$209)=0,"",SUM($L$207:$L$209))</f>
        <v/>
      </c>
      <c r="K207" s="49">
        <f>IF($J$207="","",MAX($N$207:$N$209))</f>
        <v/>
      </c>
      <c r="L207" s="50">
        <f>IF(SUM(U207:AY207)=0,"",SUM(U207:AY207))</f>
        <v/>
      </c>
      <c r="M207" s="51">
        <f>IFERROR(INDEX(U$2:AY$2,MATCH(TRUE,INDEX(U207:AY207&lt;&gt;"",0),0)),"")</f>
        <v/>
      </c>
      <c r="N207" s="51">
        <f>IFERROR(LOOKUP(2,1/(U207:AY207&lt;&gt;""),U$2:AY$2),"")</f>
        <v/>
      </c>
      <c r="O207" s="52" t="n"/>
      <c r="P207" s="52" t="n"/>
      <c r="Q207" s="52" t="n"/>
      <c r="R207" s="44" t="n"/>
      <c r="S207" s="14" t="n"/>
      <c r="U207" s="53" t="n"/>
      <c r="V207" s="53" t="n"/>
      <c r="W207" s="53" t="n"/>
      <c r="X207" s="53" t="n"/>
      <c r="Y207" s="53" t="n"/>
      <c r="Z207" s="53" t="n"/>
      <c r="AA207" s="53" t="n"/>
      <c r="AB207" s="53" t="n"/>
      <c r="AC207" s="53" t="n"/>
      <c r="AD207" s="53" t="n"/>
      <c r="AE207" s="53" t="n"/>
      <c r="AF207" s="53" t="n"/>
      <c r="AG207" s="53" t="n"/>
      <c r="AH207" s="53" t="n"/>
      <c r="AI207" s="53" t="n"/>
      <c r="AJ207" s="53" t="n"/>
      <c r="AK207" s="53" t="n"/>
      <c r="AL207" s="53" t="n"/>
      <c r="AM207" s="53" t="n"/>
      <c r="AN207" s="53" t="n"/>
      <c r="AO207" s="53" t="n"/>
      <c r="AP207" s="53" t="n"/>
      <c r="AQ207" s="53" t="n"/>
      <c r="AR207" s="53" t="n"/>
      <c r="AS207" s="53" t="n"/>
      <c r="AT207" s="53" t="n"/>
      <c r="AU207" s="53" t="n"/>
      <c r="AV207" s="53" t="n"/>
      <c r="AW207" s="53" t="n"/>
      <c r="AX207" s="53" t="n"/>
      <c r="AY207" s="53" t="n"/>
    </row>
    <row r="208" ht="15" customHeight="1">
      <c r="A208" s="54" t="n"/>
      <c r="B208" s="55">
        <f>IF($B$207="","",$B$207)</f>
        <v/>
      </c>
      <c r="C208" s="56" t="inlineStr">
        <is>
          <t>마케팅4팀</t>
        </is>
      </c>
      <c r="D208" s="55">
        <f>IF($D$207="","",$D$207)</f>
        <v/>
      </c>
      <c r="E208" s="57" t="inlineStr">
        <is>
          <t>이미지</t>
        </is>
      </c>
      <c r="F208" s="44" t="n"/>
      <c r="G208" s="58">
        <f>IF($G$207="","",$G$207)</f>
        <v/>
      </c>
      <c r="H208" s="59" t="n"/>
      <c r="I208" s="59" t="n"/>
      <c r="J208" s="59" t="n"/>
      <c r="K208" s="59" t="n"/>
      <c r="L208" s="60">
        <f>IF(SUM(U208:AY208)=0,"",SUM(U208:AY208))</f>
        <v/>
      </c>
      <c r="M208" s="61">
        <f>IFERROR(INDEX(U$2:AY$2,MATCH(TRUE,INDEX(U208:AY208&lt;&gt;"",0),0)),"")</f>
        <v/>
      </c>
      <c r="N208" s="61">
        <f>IFERROR(LOOKUP(2,1/(U208:AY208&lt;&gt;""),U$2:AY$2),"")</f>
        <v/>
      </c>
      <c r="O208" s="59" t="n"/>
      <c r="P208" s="59" t="n"/>
      <c r="Q208" s="59" t="n"/>
      <c r="R208" s="59" t="n"/>
      <c r="S208" s="14" t="n"/>
      <c r="U208" s="53" t="n"/>
      <c r="V208" s="53" t="n"/>
      <c r="W208" s="53" t="n"/>
      <c r="X208" s="53" t="n"/>
      <c r="Y208" s="53" t="n"/>
      <c r="Z208" s="53" t="n"/>
      <c r="AA208" s="53" t="n"/>
      <c r="AB208" s="53" t="n"/>
      <c r="AC208" s="53" t="n"/>
      <c r="AD208" s="53" t="n"/>
      <c r="AE208" s="53" t="n"/>
      <c r="AF208" s="53" t="n"/>
      <c r="AG208" s="53" t="n"/>
      <c r="AH208" s="53" t="n"/>
      <c r="AI208" s="53" t="n"/>
      <c r="AJ208" s="53" t="n"/>
      <c r="AK208" s="53" t="n"/>
      <c r="AL208" s="53" t="n"/>
      <c r="AM208" s="53" t="n"/>
      <c r="AN208" s="53" t="n"/>
      <c r="AO208" s="53" t="n"/>
      <c r="AP208" s="53" t="n"/>
      <c r="AQ208" s="53" t="n"/>
      <c r="AR208" s="53" t="n"/>
      <c r="AS208" s="53" t="n"/>
      <c r="AT208" s="53" t="n"/>
      <c r="AU208" s="53" t="n"/>
      <c r="AV208" s="53" t="n"/>
      <c r="AW208" s="53" t="n"/>
      <c r="AX208" s="53" t="n"/>
      <c r="AY208" s="53" t="n"/>
    </row>
    <row r="209" ht="15" customHeight="1">
      <c r="A209" s="62" t="n"/>
      <c r="B209" s="55">
        <f>IF($B$207="","",$B$207)</f>
        <v/>
      </c>
      <c r="C209" s="63" t="inlineStr">
        <is>
          <t>마케팅4팀</t>
        </is>
      </c>
      <c r="D209" s="55">
        <f>IF($D$207="","",$D$207)</f>
        <v/>
      </c>
      <c r="E209" s="64" t="inlineStr">
        <is>
          <t>영상</t>
        </is>
      </c>
      <c r="F209" s="44" t="n"/>
      <c r="G209" s="58">
        <f>IF($G$207="","",$G$207)</f>
        <v/>
      </c>
      <c r="H209" s="59" t="n"/>
      <c r="I209" s="59" t="n"/>
      <c r="J209" s="59" t="n"/>
      <c r="K209" s="59" t="n"/>
      <c r="L209" s="65">
        <f>IF(SUM(U209:AY209)=0,"",SUM(U209:AY209))</f>
        <v/>
      </c>
      <c r="M209" s="66">
        <f>IFERROR(INDEX(U$2:AY$2,MATCH(TRUE,INDEX(U209:AY209&lt;&gt;"",0),0)),"")</f>
        <v/>
      </c>
      <c r="N209" s="66">
        <f>IFERROR(LOOKUP(2,1/(U209:AY209&lt;&gt;""),U$2:AY$2),"")</f>
        <v/>
      </c>
      <c r="O209" s="59" t="n"/>
      <c r="P209" s="59" t="n"/>
      <c r="Q209" s="59" t="n"/>
      <c r="R209" s="59" t="n"/>
      <c r="S209" s="14" t="n"/>
      <c r="U209" s="53" t="n"/>
      <c r="V209" s="53" t="n"/>
      <c r="W209" s="53" t="n"/>
      <c r="X209" s="53" t="n"/>
      <c r="Y209" s="53" t="n"/>
      <c r="Z209" s="53" t="n"/>
      <c r="AA209" s="53" t="n"/>
      <c r="AB209" s="53" t="n"/>
      <c r="AC209" s="53" t="n"/>
      <c r="AD209" s="53" t="n"/>
      <c r="AE209" s="53" t="n"/>
      <c r="AF209" s="53" t="n"/>
      <c r="AG209" s="53" t="n"/>
      <c r="AH209" s="53" t="n"/>
      <c r="AI209" s="53" t="n"/>
      <c r="AJ209" s="53" t="n"/>
      <c r="AK209" s="53" t="n"/>
      <c r="AL209" s="53" t="n"/>
      <c r="AM209" s="53" t="n"/>
      <c r="AN209" s="53" t="n"/>
      <c r="AO209" s="53" t="n"/>
      <c r="AP209" s="53" t="n"/>
      <c r="AQ209" s="53" t="n"/>
      <c r="AR209" s="53" t="n"/>
      <c r="AS209" s="53" t="n"/>
      <c r="AT209" s="53" t="n"/>
      <c r="AU209" s="53" t="n"/>
      <c r="AV209" s="53" t="n"/>
      <c r="AW209" s="53" t="n"/>
      <c r="AX209" s="53" t="n"/>
      <c r="AY209" s="53" t="n"/>
    </row>
    <row r="210" ht="15" customHeight="1">
      <c r="A210" s="40">
        <f>IF($D$210="","",67)</f>
        <v/>
      </c>
      <c r="B210" s="10" t="n"/>
      <c r="C210" s="41" t="inlineStr">
        <is>
          <t>마케팅4팀</t>
        </is>
      </c>
      <c r="D210" s="42" t="n"/>
      <c r="E210" s="43" t="inlineStr">
        <is>
          <t>기획</t>
        </is>
      </c>
      <c r="F210" s="44" t="n"/>
      <c r="G210" s="45" t="n"/>
      <c r="H210" s="46">
        <f>IF($I$210="","",IF($I$210&lt;0,"🔴지연",IF($I$210&lt;=1,"🟡임박","🟢여유")))</f>
        <v/>
      </c>
      <c r="I210" s="47">
        <f>IF(OR($G$210="",$K$210=""),"",$G$210-$K$210)</f>
        <v/>
      </c>
      <c r="J210" s="48">
        <f>IF(SUM($L$210:$L$212)=0,"",SUM($L$210:$L$212))</f>
        <v/>
      </c>
      <c r="K210" s="49">
        <f>IF($J$210="","",MAX($N$210:$N$212))</f>
        <v/>
      </c>
      <c r="L210" s="50">
        <f>IF(SUM(U210:AY210)=0,"",SUM(U210:AY210))</f>
        <v/>
      </c>
      <c r="M210" s="51">
        <f>IFERROR(INDEX(U$2:AY$2,MATCH(TRUE,INDEX(U210:AY210&lt;&gt;"",0),0)),"")</f>
        <v/>
      </c>
      <c r="N210" s="51">
        <f>IFERROR(LOOKUP(2,1/(U210:AY210&lt;&gt;""),U$2:AY$2),"")</f>
        <v/>
      </c>
      <c r="O210" s="52" t="n"/>
      <c r="P210" s="52" t="n"/>
      <c r="Q210" s="52" t="n"/>
      <c r="R210" s="44" t="n"/>
      <c r="S210" s="14" t="n"/>
      <c r="U210" s="53" t="n"/>
      <c r="V210" s="53" t="n"/>
      <c r="W210" s="53" t="n"/>
      <c r="X210" s="53" t="n"/>
      <c r="Y210" s="53" t="n"/>
      <c r="Z210" s="53" t="n"/>
      <c r="AA210" s="53" t="n"/>
      <c r="AB210" s="53" t="n"/>
      <c r="AC210" s="53" t="n"/>
      <c r="AD210" s="53" t="n"/>
      <c r="AE210" s="53" t="n"/>
      <c r="AF210" s="53" t="n"/>
      <c r="AG210" s="53" t="n"/>
      <c r="AH210" s="53" t="n"/>
      <c r="AI210" s="53" t="n"/>
      <c r="AJ210" s="53" t="n"/>
      <c r="AK210" s="53" t="n"/>
      <c r="AL210" s="53" t="n"/>
      <c r="AM210" s="53" t="n"/>
      <c r="AN210" s="53" t="n"/>
      <c r="AO210" s="53" t="n"/>
      <c r="AP210" s="53" t="n"/>
      <c r="AQ210" s="53" t="n"/>
      <c r="AR210" s="53" t="n"/>
      <c r="AS210" s="53" t="n"/>
      <c r="AT210" s="53" t="n"/>
      <c r="AU210" s="53" t="n"/>
      <c r="AV210" s="53" t="n"/>
      <c r="AW210" s="53" t="n"/>
      <c r="AX210" s="53" t="n"/>
      <c r="AY210" s="53" t="n"/>
    </row>
    <row r="211" ht="15" customHeight="1">
      <c r="A211" s="54" t="n"/>
      <c r="B211" s="55">
        <f>IF($B$210="","",$B$210)</f>
        <v/>
      </c>
      <c r="C211" s="56" t="inlineStr">
        <is>
          <t>마케팅4팀</t>
        </is>
      </c>
      <c r="D211" s="55">
        <f>IF($D$210="","",$D$210)</f>
        <v/>
      </c>
      <c r="E211" s="57" t="inlineStr">
        <is>
          <t>이미지</t>
        </is>
      </c>
      <c r="F211" s="44" t="n"/>
      <c r="G211" s="58">
        <f>IF($G$210="","",$G$210)</f>
        <v/>
      </c>
      <c r="H211" s="59" t="n"/>
      <c r="I211" s="59" t="n"/>
      <c r="J211" s="59" t="n"/>
      <c r="K211" s="59" t="n"/>
      <c r="L211" s="60">
        <f>IF(SUM(U211:AY211)=0,"",SUM(U211:AY211))</f>
        <v/>
      </c>
      <c r="M211" s="61">
        <f>IFERROR(INDEX(U$2:AY$2,MATCH(TRUE,INDEX(U211:AY211&lt;&gt;"",0),0)),"")</f>
        <v/>
      </c>
      <c r="N211" s="61">
        <f>IFERROR(LOOKUP(2,1/(U211:AY211&lt;&gt;""),U$2:AY$2),"")</f>
        <v/>
      </c>
      <c r="O211" s="59" t="n"/>
      <c r="P211" s="59" t="n"/>
      <c r="Q211" s="59" t="n"/>
      <c r="R211" s="59" t="n"/>
      <c r="S211" s="14" t="n"/>
      <c r="U211" s="53" t="n"/>
      <c r="V211" s="53" t="n"/>
      <c r="W211" s="53" t="n"/>
      <c r="X211" s="53" t="n"/>
      <c r="Y211" s="53" t="n"/>
      <c r="Z211" s="53" t="n"/>
      <c r="AA211" s="53" t="n"/>
      <c r="AB211" s="53" t="n"/>
      <c r="AC211" s="53" t="n"/>
      <c r="AD211" s="53" t="n"/>
      <c r="AE211" s="53" t="n"/>
      <c r="AF211" s="53" t="n"/>
      <c r="AG211" s="53" t="n"/>
      <c r="AH211" s="53" t="n"/>
      <c r="AI211" s="53" t="n"/>
      <c r="AJ211" s="53" t="n"/>
      <c r="AK211" s="53" t="n"/>
      <c r="AL211" s="53" t="n"/>
      <c r="AM211" s="53" t="n"/>
      <c r="AN211" s="53" t="n"/>
      <c r="AO211" s="53" t="n"/>
      <c r="AP211" s="53" t="n"/>
      <c r="AQ211" s="53" t="n"/>
      <c r="AR211" s="53" t="n"/>
      <c r="AS211" s="53" t="n"/>
      <c r="AT211" s="53" t="n"/>
      <c r="AU211" s="53" t="n"/>
      <c r="AV211" s="53" t="n"/>
      <c r="AW211" s="53" t="n"/>
      <c r="AX211" s="53" t="n"/>
      <c r="AY211" s="53" t="n"/>
    </row>
    <row r="212" ht="15" customHeight="1">
      <c r="A212" s="62" t="n"/>
      <c r="B212" s="55">
        <f>IF($B$210="","",$B$210)</f>
        <v/>
      </c>
      <c r="C212" s="63" t="inlineStr">
        <is>
          <t>마케팅4팀</t>
        </is>
      </c>
      <c r="D212" s="55">
        <f>IF($D$210="","",$D$210)</f>
        <v/>
      </c>
      <c r="E212" s="64" t="inlineStr">
        <is>
          <t>영상</t>
        </is>
      </c>
      <c r="F212" s="44" t="n"/>
      <c r="G212" s="58">
        <f>IF($G$210="","",$G$210)</f>
        <v/>
      </c>
      <c r="H212" s="59" t="n"/>
      <c r="I212" s="59" t="n"/>
      <c r="J212" s="59" t="n"/>
      <c r="K212" s="59" t="n"/>
      <c r="L212" s="65">
        <f>IF(SUM(U212:AY212)=0,"",SUM(U212:AY212))</f>
        <v/>
      </c>
      <c r="M212" s="66">
        <f>IFERROR(INDEX(U$2:AY$2,MATCH(TRUE,INDEX(U212:AY212&lt;&gt;"",0),0)),"")</f>
        <v/>
      </c>
      <c r="N212" s="66">
        <f>IFERROR(LOOKUP(2,1/(U212:AY212&lt;&gt;""),U$2:AY$2),"")</f>
        <v/>
      </c>
      <c r="O212" s="59" t="n"/>
      <c r="P212" s="59" t="n"/>
      <c r="Q212" s="59" t="n"/>
      <c r="R212" s="59" t="n"/>
      <c r="S212" s="14" t="n"/>
      <c r="U212" s="53" t="n"/>
      <c r="V212" s="53" t="n"/>
      <c r="W212" s="53" t="n"/>
      <c r="X212" s="53" t="n"/>
      <c r="Y212" s="53" t="n"/>
      <c r="Z212" s="53" t="n"/>
      <c r="AA212" s="53" t="n"/>
      <c r="AB212" s="53" t="n"/>
      <c r="AC212" s="53" t="n"/>
      <c r="AD212" s="53" t="n"/>
      <c r="AE212" s="53" t="n"/>
      <c r="AF212" s="53" t="n"/>
      <c r="AG212" s="53" t="n"/>
      <c r="AH212" s="53" t="n"/>
      <c r="AI212" s="53" t="n"/>
      <c r="AJ212" s="53" t="n"/>
      <c r="AK212" s="53" t="n"/>
      <c r="AL212" s="53" t="n"/>
      <c r="AM212" s="53" t="n"/>
      <c r="AN212" s="53" t="n"/>
      <c r="AO212" s="53" t="n"/>
      <c r="AP212" s="53" t="n"/>
      <c r="AQ212" s="53" t="n"/>
      <c r="AR212" s="53" t="n"/>
      <c r="AS212" s="53" t="n"/>
      <c r="AT212" s="53" t="n"/>
      <c r="AU212" s="53" t="n"/>
      <c r="AV212" s="53" t="n"/>
      <c r="AW212" s="53" t="n"/>
      <c r="AX212" s="53" t="n"/>
      <c r="AY212" s="53" t="n"/>
    </row>
    <row r="213" ht="15" customHeight="1">
      <c r="A213" s="40">
        <f>IF($D$213="","",68)</f>
        <v/>
      </c>
      <c r="B213" s="10" t="n"/>
      <c r="C213" s="41" t="inlineStr">
        <is>
          <t>마케팅4팀</t>
        </is>
      </c>
      <c r="D213" s="42" t="n"/>
      <c r="E213" s="43" t="inlineStr">
        <is>
          <t>기획</t>
        </is>
      </c>
      <c r="F213" s="44" t="n"/>
      <c r="G213" s="45" t="n"/>
      <c r="H213" s="46">
        <f>IF($I$213="","",IF($I$213&lt;0,"🔴지연",IF($I$213&lt;=1,"🟡임박","🟢여유")))</f>
        <v/>
      </c>
      <c r="I213" s="47">
        <f>IF(OR($G$213="",$K$213=""),"",$G$213-$K$213)</f>
        <v/>
      </c>
      <c r="J213" s="48">
        <f>IF(SUM($L$213:$L$215)=0,"",SUM($L$213:$L$215))</f>
        <v/>
      </c>
      <c r="K213" s="49">
        <f>IF($J$213="","",MAX($N$213:$N$215))</f>
        <v/>
      </c>
      <c r="L213" s="50">
        <f>IF(SUM(U213:AY213)=0,"",SUM(U213:AY213))</f>
        <v/>
      </c>
      <c r="M213" s="51">
        <f>IFERROR(INDEX(U$2:AY$2,MATCH(TRUE,INDEX(U213:AY213&lt;&gt;"",0),0)),"")</f>
        <v/>
      </c>
      <c r="N213" s="51">
        <f>IFERROR(LOOKUP(2,1/(U213:AY213&lt;&gt;""),U$2:AY$2),"")</f>
        <v/>
      </c>
      <c r="O213" s="52" t="n"/>
      <c r="P213" s="52" t="n"/>
      <c r="Q213" s="52" t="n"/>
      <c r="R213" s="44" t="n"/>
      <c r="S213" s="14" t="n"/>
      <c r="U213" s="53" t="n"/>
      <c r="V213" s="53" t="n"/>
      <c r="W213" s="53" t="n"/>
      <c r="X213" s="53" t="n"/>
      <c r="Y213" s="53" t="n"/>
      <c r="Z213" s="53" t="n"/>
      <c r="AA213" s="53" t="n"/>
      <c r="AB213" s="53" t="n"/>
      <c r="AC213" s="53" t="n"/>
      <c r="AD213" s="53" t="n"/>
      <c r="AE213" s="53" t="n"/>
      <c r="AF213" s="53" t="n"/>
      <c r="AG213" s="53" t="n"/>
      <c r="AH213" s="53" t="n"/>
      <c r="AI213" s="53" t="n"/>
      <c r="AJ213" s="53" t="n"/>
      <c r="AK213" s="53" t="n"/>
      <c r="AL213" s="53" t="n"/>
      <c r="AM213" s="53" t="n"/>
      <c r="AN213" s="53" t="n"/>
      <c r="AO213" s="53" t="n"/>
      <c r="AP213" s="53" t="n"/>
      <c r="AQ213" s="53" t="n"/>
      <c r="AR213" s="53" t="n"/>
      <c r="AS213" s="53" t="n"/>
      <c r="AT213" s="53" t="n"/>
      <c r="AU213" s="53" t="n"/>
      <c r="AV213" s="53" t="n"/>
      <c r="AW213" s="53" t="n"/>
      <c r="AX213" s="53" t="n"/>
      <c r="AY213" s="53" t="n"/>
    </row>
    <row r="214" ht="15" customHeight="1">
      <c r="A214" s="54" t="n"/>
      <c r="B214" s="55">
        <f>IF($B$213="","",$B$213)</f>
        <v/>
      </c>
      <c r="C214" s="56" t="inlineStr">
        <is>
          <t>마케팅4팀</t>
        </is>
      </c>
      <c r="D214" s="55">
        <f>IF($D$213="","",$D$213)</f>
        <v/>
      </c>
      <c r="E214" s="57" t="inlineStr">
        <is>
          <t>이미지</t>
        </is>
      </c>
      <c r="F214" s="44" t="n"/>
      <c r="G214" s="58">
        <f>IF($G$213="","",$G$213)</f>
        <v/>
      </c>
      <c r="H214" s="59" t="n"/>
      <c r="I214" s="59" t="n"/>
      <c r="J214" s="59" t="n"/>
      <c r="K214" s="59" t="n"/>
      <c r="L214" s="60">
        <f>IF(SUM(U214:AY214)=0,"",SUM(U214:AY214))</f>
        <v/>
      </c>
      <c r="M214" s="61">
        <f>IFERROR(INDEX(U$2:AY$2,MATCH(TRUE,INDEX(U214:AY214&lt;&gt;"",0),0)),"")</f>
        <v/>
      </c>
      <c r="N214" s="61">
        <f>IFERROR(LOOKUP(2,1/(U214:AY214&lt;&gt;""),U$2:AY$2),"")</f>
        <v/>
      </c>
      <c r="O214" s="59" t="n"/>
      <c r="P214" s="59" t="n"/>
      <c r="Q214" s="59" t="n"/>
      <c r="R214" s="59" t="n"/>
      <c r="S214" s="14" t="n"/>
      <c r="U214" s="53" t="n"/>
      <c r="V214" s="53" t="n"/>
      <c r="W214" s="53" t="n"/>
      <c r="X214" s="53" t="n"/>
      <c r="Y214" s="53" t="n"/>
      <c r="Z214" s="53" t="n"/>
      <c r="AA214" s="53" t="n"/>
      <c r="AB214" s="53" t="n"/>
      <c r="AC214" s="53" t="n"/>
      <c r="AD214" s="53" t="n"/>
      <c r="AE214" s="53" t="n"/>
      <c r="AF214" s="53" t="n"/>
      <c r="AG214" s="53" t="n"/>
      <c r="AH214" s="53" t="n"/>
      <c r="AI214" s="53" t="n"/>
      <c r="AJ214" s="53" t="n"/>
      <c r="AK214" s="53" t="n"/>
      <c r="AL214" s="53" t="n"/>
      <c r="AM214" s="53" t="n"/>
      <c r="AN214" s="53" t="n"/>
      <c r="AO214" s="53" t="n"/>
      <c r="AP214" s="53" t="n"/>
      <c r="AQ214" s="53" t="n"/>
      <c r="AR214" s="53" t="n"/>
      <c r="AS214" s="53" t="n"/>
      <c r="AT214" s="53" t="n"/>
      <c r="AU214" s="53" t="n"/>
      <c r="AV214" s="53" t="n"/>
      <c r="AW214" s="53" t="n"/>
      <c r="AX214" s="53" t="n"/>
      <c r="AY214" s="53" t="n"/>
    </row>
    <row r="215" ht="15" customHeight="1">
      <c r="A215" s="62" t="n"/>
      <c r="B215" s="55">
        <f>IF($B$213="","",$B$213)</f>
        <v/>
      </c>
      <c r="C215" s="63" t="inlineStr">
        <is>
          <t>마케팅4팀</t>
        </is>
      </c>
      <c r="D215" s="55">
        <f>IF($D$213="","",$D$213)</f>
        <v/>
      </c>
      <c r="E215" s="64" t="inlineStr">
        <is>
          <t>영상</t>
        </is>
      </c>
      <c r="F215" s="44" t="n"/>
      <c r="G215" s="58">
        <f>IF($G$213="","",$G$213)</f>
        <v/>
      </c>
      <c r="H215" s="59" t="n"/>
      <c r="I215" s="59" t="n"/>
      <c r="J215" s="59" t="n"/>
      <c r="K215" s="59" t="n"/>
      <c r="L215" s="65">
        <f>IF(SUM(U215:AY215)=0,"",SUM(U215:AY215))</f>
        <v/>
      </c>
      <c r="M215" s="66">
        <f>IFERROR(INDEX(U$2:AY$2,MATCH(TRUE,INDEX(U215:AY215&lt;&gt;"",0),0)),"")</f>
        <v/>
      </c>
      <c r="N215" s="66">
        <f>IFERROR(LOOKUP(2,1/(U215:AY215&lt;&gt;""),U$2:AY$2),"")</f>
        <v/>
      </c>
      <c r="O215" s="59" t="n"/>
      <c r="P215" s="59" t="n"/>
      <c r="Q215" s="59" t="n"/>
      <c r="R215" s="59" t="n"/>
      <c r="S215" s="14" t="n"/>
      <c r="U215" s="53" t="n"/>
      <c r="V215" s="53" t="n"/>
      <c r="W215" s="53" t="n"/>
      <c r="X215" s="53" t="n"/>
      <c r="Y215" s="53" t="n"/>
      <c r="Z215" s="53" t="n"/>
      <c r="AA215" s="53" t="n"/>
      <c r="AB215" s="53" t="n"/>
      <c r="AC215" s="53" t="n"/>
      <c r="AD215" s="53" t="n"/>
      <c r="AE215" s="53" t="n"/>
      <c r="AF215" s="53" t="n"/>
      <c r="AG215" s="53" t="n"/>
      <c r="AH215" s="53" t="n"/>
      <c r="AI215" s="53" t="n"/>
      <c r="AJ215" s="53" t="n"/>
      <c r="AK215" s="53" t="n"/>
      <c r="AL215" s="53" t="n"/>
      <c r="AM215" s="53" t="n"/>
      <c r="AN215" s="53" t="n"/>
      <c r="AO215" s="53" t="n"/>
      <c r="AP215" s="53" t="n"/>
      <c r="AQ215" s="53" t="n"/>
      <c r="AR215" s="53" t="n"/>
      <c r="AS215" s="53" t="n"/>
      <c r="AT215" s="53" t="n"/>
      <c r="AU215" s="53" t="n"/>
      <c r="AV215" s="53" t="n"/>
      <c r="AW215" s="53" t="n"/>
      <c r="AX215" s="53" t="n"/>
      <c r="AY215" s="53" t="n"/>
    </row>
    <row r="216" ht="15" customHeight="1">
      <c r="A216" s="40">
        <f>IF($D$216="","",69)</f>
        <v/>
      </c>
      <c r="B216" s="10" t="n"/>
      <c r="C216" s="41" t="inlineStr">
        <is>
          <t>마케팅4팀</t>
        </is>
      </c>
      <c r="D216" s="42" t="n"/>
      <c r="E216" s="43" t="inlineStr">
        <is>
          <t>기획</t>
        </is>
      </c>
      <c r="F216" s="44" t="n"/>
      <c r="G216" s="45" t="n"/>
      <c r="H216" s="46">
        <f>IF($I$216="","",IF($I$216&lt;0,"🔴지연",IF($I$216&lt;=1,"🟡임박","🟢여유")))</f>
        <v/>
      </c>
      <c r="I216" s="47">
        <f>IF(OR($G$216="",$K$216=""),"",$G$216-$K$216)</f>
        <v/>
      </c>
      <c r="J216" s="48">
        <f>IF(SUM($L$216:$L$218)=0,"",SUM($L$216:$L$218))</f>
        <v/>
      </c>
      <c r="K216" s="49">
        <f>IF($J$216="","",MAX($N$216:$N$218))</f>
        <v/>
      </c>
      <c r="L216" s="50">
        <f>IF(SUM(U216:AY216)=0,"",SUM(U216:AY216))</f>
        <v/>
      </c>
      <c r="M216" s="51">
        <f>IFERROR(INDEX(U$2:AY$2,MATCH(TRUE,INDEX(U216:AY216&lt;&gt;"",0),0)),"")</f>
        <v/>
      </c>
      <c r="N216" s="51">
        <f>IFERROR(LOOKUP(2,1/(U216:AY216&lt;&gt;""),U$2:AY$2),"")</f>
        <v/>
      </c>
      <c r="O216" s="52" t="n"/>
      <c r="P216" s="52" t="n"/>
      <c r="Q216" s="52" t="n"/>
      <c r="R216" s="44" t="n"/>
      <c r="S216" s="14" t="n"/>
      <c r="U216" s="53" t="n"/>
      <c r="V216" s="53" t="n"/>
      <c r="W216" s="53" t="n"/>
      <c r="X216" s="53" t="n"/>
      <c r="Y216" s="53" t="n"/>
      <c r="Z216" s="53" t="n"/>
      <c r="AA216" s="53" t="n"/>
      <c r="AB216" s="53" t="n"/>
      <c r="AC216" s="53" t="n"/>
      <c r="AD216" s="53" t="n"/>
      <c r="AE216" s="53" t="n"/>
      <c r="AF216" s="53" t="n"/>
      <c r="AG216" s="53" t="n"/>
      <c r="AH216" s="53" t="n"/>
      <c r="AI216" s="53" t="n"/>
      <c r="AJ216" s="53" t="n"/>
      <c r="AK216" s="53" t="n"/>
      <c r="AL216" s="53" t="n"/>
      <c r="AM216" s="53" t="n"/>
      <c r="AN216" s="53" t="n"/>
      <c r="AO216" s="53" t="n"/>
      <c r="AP216" s="53" t="n"/>
      <c r="AQ216" s="53" t="n"/>
      <c r="AR216" s="53" t="n"/>
      <c r="AS216" s="53" t="n"/>
      <c r="AT216" s="53" t="n"/>
      <c r="AU216" s="53" t="n"/>
      <c r="AV216" s="53" t="n"/>
      <c r="AW216" s="53" t="n"/>
      <c r="AX216" s="53" t="n"/>
      <c r="AY216" s="53" t="n"/>
    </row>
    <row r="217" ht="15" customHeight="1">
      <c r="A217" s="54" t="n"/>
      <c r="B217" s="55">
        <f>IF($B$216="","",$B$216)</f>
        <v/>
      </c>
      <c r="C217" s="56" t="inlineStr">
        <is>
          <t>마케팅4팀</t>
        </is>
      </c>
      <c r="D217" s="55">
        <f>IF($D$216="","",$D$216)</f>
        <v/>
      </c>
      <c r="E217" s="57" t="inlineStr">
        <is>
          <t>이미지</t>
        </is>
      </c>
      <c r="F217" s="44" t="n"/>
      <c r="G217" s="58">
        <f>IF($G$216="","",$G$216)</f>
        <v/>
      </c>
      <c r="H217" s="59" t="n"/>
      <c r="I217" s="59" t="n"/>
      <c r="J217" s="59" t="n"/>
      <c r="K217" s="59" t="n"/>
      <c r="L217" s="60">
        <f>IF(SUM(U217:AY217)=0,"",SUM(U217:AY217))</f>
        <v/>
      </c>
      <c r="M217" s="61">
        <f>IFERROR(INDEX(U$2:AY$2,MATCH(TRUE,INDEX(U217:AY217&lt;&gt;"",0),0)),"")</f>
        <v/>
      </c>
      <c r="N217" s="61">
        <f>IFERROR(LOOKUP(2,1/(U217:AY217&lt;&gt;""),U$2:AY$2),"")</f>
        <v/>
      </c>
      <c r="O217" s="59" t="n"/>
      <c r="P217" s="59" t="n"/>
      <c r="Q217" s="59" t="n"/>
      <c r="R217" s="59" t="n"/>
      <c r="S217" s="14" t="n"/>
      <c r="U217" s="53" t="n"/>
      <c r="V217" s="53" t="n"/>
      <c r="W217" s="53" t="n"/>
      <c r="X217" s="53" t="n"/>
      <c r="Y217" s="53" t="n"/>
      <c r="Z217" s="53" t="n"/>
      <c r="AA217" s="53" t="n"/>
      <c r="AB217" s="53" t="n"/>
      <c r="AC217" s="53" t="n"/>
      <c r="AD217" s="53" t="n"/>
      <c r="AE217" s="53" t="n"/>
      <c r="AF217" s="53" t="n"/>
      <c r="AG217" s="53" t="n"/>
      <c r="AH217" s="53" t="n"/>
      <c r="AI217" s="53" t="n"/>
      <c r="AJ217" s="53" t="n"/>
      <c r="AK217" s="53" t="n"/>
      <c r="AL217" s="53" t="n"/>
      <c r="AM217" s="53" t="n"/>
      <c r="AN217" s="53" t="n"/>
      <c r="AO217" s="53" t="n"/>
      <c r="AP217" s="53" t="n"/>
      <c r="AQ217" s="53" t="n"/>
      <c r="AR217" s="53" t="n"/>
      <c r="AS217" s="53" t="n"/>
      <c r="AT217" s="53" t="n"/>
      <c r="AU217" s="53" t="n"/>
      <c r="AV217" s="53" t="n"/>
      <c r="AW217" s="53" t="n"/>
      <c r="AX217" s="53" t="n"/>
      <c r="AY217" s="53" t="n"/>
    </row>
    <row r="218" ht="15" customHeight="1">
      <c r="A218" s="62" t="n"/>
      <c r="B218" s="55">
        <f>IF($B$216="","",$B$216)</f>
        <v/>
      </c>
      <c r="C218" s="63" t="inlineStr">
        <is>
          <t>마케팅4팀</t>
        </is>
      </c>
      <c r="D218" s="55">
        <f>IF($D$216="","",$D$216)</f>
        <v/>
      </c>
      <c r="E218" s="64" t="inlineStr">
        <is>
          <t>영상</t>
        </is>
      </c>
      <c r="F218" s="44" t="n"/>
      <c r="G218" s="58">
        <f>IF($G$216="","",$G$216)</f>
        <v/>
      </c>
      <c r="H218" s="59" t="n"/>
      <c r="I218" s="59" t="n"/>
      <c r="J218" s="59" t="n"/>
      <c r="K218" s="59" t="n"/>
      <c r="L218" s="65">
        <f>IF(SUM(U218:AY218)=0,"",SUM(U218:AY218))</f>
        <v/>
      </c>
      <c r="M218" s="66">
        <f>IFERROR(INDEX(U$2:AY$2,MATCH(TRUE,INDEX(U218:AY218&lt;&gt;"",0),0)),"")</f>
        <v/>
      </c>
      <c r="N218" s="66">
        <f>IFERROR(LOOKUP(2,1/(U218:AY218&lt;&gt;""),U$2:AY$2),"")</f>
        <v/>
      </c>
      <c r="O218" s="59" t="n"/>
      <c r="P218" s="59" t="n"/>
      <c r="Q218" s="59" t="n"/>
      <c r="R218" s="59" t="n"/>
      <c r="S218" s="14" t="n"/>
      <c r="U218" s="53" t="n"/>
      <c r="V218" s="53" t="n"/>
      <c r="W218" s="53" t="n"/>
      <c r="X218" s="53" t="n"/>
      <c r="Y218" s="53" t="n"/>
      <c r="Z218" s="53" t="n"/>
      <c r="AA218" s="53" t="n"/>
      <c r="AB218" s="53" t="n"/>
      <c r="AC218" s="53" t="n"/>
      <c r="AD218" s="53" t="n"/>
      <c r="AE218" s="53" t="n"/>
      <c r="AF218" s="53" t="n"/>
      <c r="AG218" s="53" t="n"/>
      <c r="AH218" s="53" t="n"/>
      <c r="AI218" s="53" t="n"/>
      <c r="AJ218" s="53" t="n"/>
      <c r="AK218" s="53" t="n"/>
      <c r="AL218" s="53" t="n"/>
      <c r="AM218" s="53" t="n"/>
      <c r="AN218" s="53" t="n"/>
      <c r="AO218" s="53" t="n"/>
      <c r="AP218" s="53" t="n"/>
      <c r="AQ218" s="53" t="n"/>
      <c r="AR218" s="53" t="n"/>
      <c r="AS218" s="53" t="n"/>
      <c r="AT218" s="53" t="n"/>
      <c r="AU218" s="53" t="n"/>
      <c r="AV218" s="53" t="n"/>
      <c r="AW218" s="53" t="n"/>
      <c r="AX218" s="53" t="n"/>
      <c r="AY218" s="53" t="n"/>
    </row>
    <row r="219" ht="15" customHeight="1">
      <c r="A219" s="40">
        <f>IF($D$219="","",70)</f>
        <v/>
      </c>
      <c r="B219" s="10" t="n"/>
      <c r="C219" s="41" t="inlineStr">
        <is>
          <t>마케팅4팀</t>
        </is>
      </c>
      <c r="D219" s="42" t="n"/>
      <c r="E219" s="43" t="inlineStr">
        <is>
          <t>기획</t>
        </is>
      </c>
      <c r="F219" s="44" t="n"/>
      <c r="G219" s="45" t="n"/>
      <c r="H219" s="46">
        <f>IF($I$219="","",IF($I$219&lt;0,"🔴지연",IF($I$219&lt;=1,"🟡임박","🟢여유")))</f>
        <v/>
      </c>
      <c r="I219" s="47">
        <f>IF(OR($G$219="",$K$219=""),"",$G$219-$K$219)</f>
        <v/>
      </c>
      <c r="J219" s="48">
        <f>IF(SUM($L$219:$L$221)=0,"",SUM($L$219:$L$221))</f>
        <v/>
      </c>
      <c r="K219" s="49">
        <f>IF($J$219="","",MAX($N$219:$N$221))</f>
        <v/>
      </c>
      <c r="L219" s="50">
        <f>IF(SUM(U219:AY219)=0,"",SUM(U219:AY219))</f>
        <v/>
      </c>
      <c r="M219" s="51">
        <f>IFERROR(INDEX(U$2:AY$2,MATCH(TRUE,INDEX(U219:AY219&lt;&gt;"",0),0)),"")</f>
        <v/>
      </c>
      <c r="N219" s="51">
        <f>IFERROR(LOOKUP(2,1/(U219:AY219&lt;&gt;""),U$2:AY$2),"")</f>
        <v/>
      </c>
      <c r="O219" s="52" t="n"/>
      <c r="P219" s="52" t="n"/>
      <c r="Q219" s="52" t="n"/>
      <c r="R219" s="44" t="n"/>
      <c r="S219" s="14" t="n"/>
      <c r="U219" s="53" t="n"/>
      <c r="V219" s="53" t="n"/>
      <c r="W219" s="53" t="n"/>
      <c r="X219" s="53" t="n"/>
      <c r="Y219" s="53" t="n"/>
      <c r="Z219" s="53" t="n"/>
      <c r="AA219" s="53" t="n"/>
      <c r="AB219" s="53" t="n"/>
      <c r="AC219" s="53" t="n"/>
      <c r="AD219" s="53" t="n"/>
      <c r="AE219" s="53" t="n"/>
      <c r="AF219" s="53" t="n"/>
      <c r="AG219" s="53" t="n"/>
      <c r="AH219" s="53" t="n"/>
      <c r="AI219" s="53" t="n"/>
      <c r="AJ219" s="53" t="n"/>
      <c r="AK219" s="53" t="n"/>
      <c r="AL219" s="53" t="n"/>
      <c r="AM219" s="53" t="n"/>
      <c r="AN219" s="53" t="n"/>
      <c r="AO219" s="53" t="n"/>
      <c r="AP219" s="53" t="n"/>
      <c r="AQ219" s="53" t="n"/>
      <c r="AR219" s="53" t="n"/>
      <c r="AS219" s="53" t="n"/>
      <c r="AT219" s="53" t="n"/>
      <c r="AU219" s="53" t="n"/>
      <c r="AV219" s="53" t="n"/>
      <c r="AW219" s="53" t="n"/>
      <c r="AX219" s="53" t="n"/>
      <c r="AY219" s="53" t="n"/>
    </row>
    <row r="220" ht="15" customHeight="1">
      <c r="A220" s="54" t="n"/>
      <c r="B220" s="55">
        <f>IF($B$219="","",$B$219)</f>
        <v/>
      </c>
      <c r="C220" s="56" t="inlineStr">
        <is>
          <t>마케팅4팀</t>
        </is>
      </c>
      <c r="D220" s="55">
        <f>IF($D$219="","",$D$219)</f>
        <v/>
      </c>
      <c r="E220" s="57" t="inlineStr">
        <is>
          <t>이미지</t>
        </is>
      </c>
      <c r="F220" s="44" t="n"/>
      <c r="G220" s="58">
        <f>IF($G$219="","",$G$219)</f>
        <v/>
      </c>
      <c r="H220" s="59" t="n"/>
      <c r="I220" s="59" t="n"/>
      <c r="J220" s="59" t="n"/>
      <c r="K220" s="59" t="n"/>
      <c r="L220" s="60">
        <f>IF(SUM(U220:AY220)=0,"",SUM(U220:AY220))</f>
        <v/>
      </c>
      <c r="M220" s="61">
        <f>IFERROR(INDEX(U$2:AY$2,MATCH(TRUE,INDEX(U220:AY220&lt;&gt;"",0),0)),"")</f>
        <v/>
      </c>
      <c r="N220" s="61">
        <f>IFERROR(LOOKUP(2,1/(U220:AY220&lt;&gt;""),U$2:AY$2),"")</f>
        <v/>
      </c>
      <c r="O220" s="59" t="n"/>
      <c r="P220" s="59" t="n"/>
      <c r="Q220" s="59" t="n"/>
      <c r="R220" s="59" t="n"/>
      <c r="S220" s="14" t="n"/>
      <c r="U220" s="53" t="n"/>
      <c r="V220" s="53" t="n"/>
      <c r="W220" s="53" t="n"/>
      <c r="X220" s="53" t="n"/>
      <c r="Y220" s="53" t="n"/>
      <c r="Z220" s="53" t="n"/>
      <c r="AA220" s="53" t="n"/>
      <c r="AB220" s="53" t="n"/>
      <c r="AC220" s="53" t="n"/>
      <c r="AD220" s="53" t="n"/>
      <c r="AE220" s="53" t="n"/>
      <c r="AF220" s="53" t="n"/>
      <c r="AG220" s="53" t="n"/>
      <c r="AH220" s="53" t="n"/>
      <c r="AI220" s="53" t="n"/>
      <c r="AJ220" s="53" t="n"/>
      <c r="AK220" s="53" t="n"/>
      <c r="AL220" s="53" t="n"/>
      <c r="AM220" s="53" t="n"/>
      <c r="AN220" s="53" t="n"/>
      <c r="AO220" s="53" t="n"/>
      <c r="AP220" s="53" t="n"/>
      <c r="AQ220" s="53" t="n"/>
      <c r="AR220" s="53" t="n"/>
      <c r="AS220" s="53" t="n"/>
      <c r="AT220" s="53" t="n"/>
      <c r="AU220" s="53" t="n"/>
      <c r="AV220" s="53" t="n"/>
      <c r="AW220" s="53" t="n"/>
      <c r="AX220" s="53" t="n"/>
      <c r="AY220" s="53" t="n"/>
    </row>
    <row r="221" ht="15" customHeight="1">
      <c r="A221" s="62" t="n"/>
      <c r="B221" s="55">
        <f>IF($B$219="","",$B$219)</f>
        <v/>
      </c>
      <c r="C221" s="63" t="inlineStr">
        <is>
          <t>마케팅4팀</t>
        </is>
      </c>
      <c r="D221" s="55">
        <f>IF($D$219="","",$D$219)</f>
        <v/>
      </c>
      <c r="E221" s="64" t="inlineStr">
        <is>
          <t>영상</t>
        </is>
      </c>
      <c r="F221" s="44" t="n"/>
      <c r="G221" s="58">
        <f>IF($G$219="","",$G$219)</f>
        <v/>
      </c>
      <c r="H221" s="59" t="n"/>
      <c r="I221" s="59" t="n"/>
      <c r="J221" s="59" t="n"/>
      <c r="K221" s="59" t="n"/>
      <c r="L221" s="65">
        <f>IF(SUM(U221:AY221)=0,"",SUM(U221:AY221))</f>
        <v/>
      </c>
      <c r="M221" s="66">
        <f>IFERROR(INDEX(U$2:AY$2,MATCH(TRUE,INDEX(U221:AY221&lt;&gt;"",0),0)),"")</f>
        <v/>
      </c>
      <c r="N221" s="66">
        <f>IFERROR(LOOKUP(2,1/(U221:AY221&lt;&gt;""),U$2:AY$2),"")</f>
        <v/>
      </c>
      <c r="O221" s="59" t="n"/>
      <c r="P221" s="59" t="n"/>
      <c r="Q221" s="59" t="n"/>
      <c r="R221" s="59" t="n"/>
      <c r="S221" s="14" t="n"/>
      <c r="U221" s="53" t="n"/>
      <c r="V221" s="53" t="n"/>
      <c r="W221" s="53" t="n"/>
      <c r="X221" s="53" t="n"/>
      <c r="Y221" s="53" t="n"/>
      <c r="Z221" s="53" t="n"/>
      <c r="AA221" s="53" t="n"/>
      <c r="AB221" s="53" t="n"/>
      <c r="AC221" s="53" t="n"/>
      <c r="AD221" s="53" t="n"/>
      <c r="AE221" s="53" t="n"/>
      <c r="AF221" s="53" t="n"/>
      <c r="AG221" s="53" t="n"/>
      <c r="AH221" s="53" t="n"/>
      <c r="AI221" s="53" t="n"/>
      <c r="AJ221" s="53" t="n"/>
      <c r="AK221" s="53" t="n"/>
      <c r="AL221" s="53" t="n"/>
      <c r="AM221" s="53" t="n"/>
      <c r="AN221" s="53" t="n"/>
      <c r="AO221" s="53" t="n"/>
      <c r="AP221" s="53" t="n"/>
      <c r="AQ221" s="53" t="n"/>
      <c r="AR221" s="53" t="n"/>
      <c r="AS221" s="53" t="n"/>
      <c r="AT221" s="53" t="n"/>
      <c r="AU221" s="53" t="n"/>
      <c r="AV221" s="53" t="n"/>
      <c r="AW221" s="53" t="n"/>
      <c r="AX221" s="53" t="n"/>
      <c r="AY221" s="53" t="n"/>
    </row>
    <row r="222" ht="15" customHeight="1">
      <c r="A222" s="40">
        <f>IF($D$222="","",71)</f>
        <v/>
      </c>
      <c r="B222" s="10" t="n"/>
      <c r="C222" s="41" t="inlineStr">
        <is>
          <t>마케팅4팀</t>
        </is>
      </c>
      <c r="D222" s="42" t="n"/>
      <c r="E222" s="43" t="inlineStr">
        <is>
          <t>기획</t>
        </is>
      </c>
      <c r="F222" s="44" t="n"/>
      <c r="G222" s="45" t="n"/>
      <c r="H222" s="46">
        <f>IF($I$222="","",IF($I$222&lt;0,"🔴지연",IF($I$222&lt;=1,"🟡임박","🟢여유")))</f>
        <v/>
      </c>
      <c r="I222" s="47">
        <f>IF(OR($G$222="",$K$222=""),"",$G$222-$K$222)</f>
        <v/>
      </c>
      <c r="J222" s="48">
        <f>IF(SUM($L$222:$L$224)=0,"",SUM($L$222:$L$224))</f>
        <v/>
      </c>
      <c r="K222" s="49">
        <f>IF($J$222="","",MAX($N$222:$N$224))</f>
        <v/>
      </c>
      <c r="L222" s="50">
        <f>IF(SUM(U222:AY222)=0,"",SUM(U222:AY222))</f>
        <v/>
      </c>
      <c r="M222" s="51">
        <f>IFERROR(INDEX(U$2:AY$2,MATCH(TRUE,INDEX(U222:AY222&lt;&gt;"",0),0)),"")</f>
        <v/>
      </c>
      <c r="N222" s="51">
        <f>IFERROR(LOOKUP(2,1/(U222:AY222&lt;&gt;""),U$2:AY$2),"")</f>
        <v/>
      </c>
      <c r="O222" s="52" t="n"/>
      <c r="P222" s="52" t="n"/>
      <c r="Q222" s="52" t="n"/>
      <c r="R222" s="44" t="n"/>
      <c r="S222" s="14" t="n"/>
      <c r="U222" s="53" t="n"/>
      <c r="V222" s="53" t="n"/>
      <c r="W222" s="53" t="n"/>
      <c r="X222" s="53" t="n"/>
      <c r="Y222" s="53" t="n"/>
      <c r="Z222" s="53" t="n"/>
      <c r="AA222" s="53" t="n"/>
      <c r="AB222" s="53" t="n"/>
      <c r="AC222" s="53" t="n"/>
      <c r="AD222" s="53" t="n"/>
      <c r="AE222" s="53" t="n"/>
      <c r="AF222" s="53" t="n"/>
      <c r="AG222" s="53" t="n"/>
      <c r="AH222" s="53" t="n"/>
      <c r="AI222" s="53" t="n"/>
      <c r="AJ222" s="53" t="n"/>
      <c r="AK222" s="53" t="n"/>
      <c r="AL222" s="53" t="n"/>
      <c r="AM222" s="53" t="n"/>
      <c r="AN222" s="53" t="n"/>
      <c r="AO222" s="53" t="n"/>
      <c r="AP222" s="53" t="n"/>
      <c r="AQ222" s="53" t="n"/>
      <c r="AR222" s="53" t="n"/>
      <c r="AS222" s="53" t="n"/>
      <c r="AT222" s="53" t="n"/>
      <c r="AU222" s="53" t="n"/>
      <c r="AV222" s="53" t="n"/>
      <c r="AW222" s="53" t="n"/>
      <c r="AX222" s="53" t="n"/>
      <c r="AY222" s="53" t="n"/>
    </row>
    <row r="223" ht="15" customHeight="1">
      <c r="A223" s="54" t="n"/>
      <c r="B223" s="55">
        <f>IF($B$222="","",$B$222)</f>
        <v/>
      </c>
      <c r="C223" s="56" t="inlineStr">
        <is>
          <t>마케팅4팀</t>
        </is>
      </c>
      <c r="D223" s="55">
        <f>IF($D$222="","",$D$222)</f>
        <v/>
      </c>
      <c r="E223" s="57" t="inlineStr">
        <is>
          <t>이미지</t>
        </is>
      </c>
      <c r="F223" s="44" t="n"/>
      <c r="G223" s="58">
        <f>IF($G$222="","",$G$222)</f>
        <v/>
      </c>
      <c r="H223" s="59" t="n"/>
      <c r="I223" s="59" t="n"/>
      <c r="J223" s="59" t="n"/>
      <c r="K223" s="59" t="n"/>
      <c r="L223" s="60">
        <f>IF(SUM(U223:AY223)=0,"",SUM(U223:AY223))</f>
        <v/>
      </c>
      <c r="M223" s="61">
        <f>IFERROR(INDEX(U$2:AY$2,MATCH(TRUE,INDEX(U223:AY223&lt;&gt;"",0),0)),"")</f>
        <v/>
      </c>
      <c r="N223" s="61">
        <f>IFERROR(LOOKUP(2,1/(U223:AY223&lt;&gt;""),U$2:AY$2),"")</f>
        <v/>
      </c>
      <c r="O223" s="59" t="n"/>
      <c r="P223" s="59" t="n"/>
      <c r="Q223" s="59" t="n"/>
      <c r="R223" s="59" t="n"/>
      <c r="S223" s="14" t="n"/>
      <c r="U223" s="53" t="n"/>
      <c r="V223" s="53" t="n"/>
      <c r="W223" s="53" t="n"/>
      <c r="X223" s="53" t="n"/>
      <c r="Y223" s="53" t="n"/>
      <c r="Z223" s="53" t="n"/>
      <c r="AA223" s="53" t="n"/>
      <c r="AB223" s="53" t="n"/>
      <c r="AC223" s="53" t="n"/>
      <c r="AD223" s="53" t="n"/>
      <c r="AE223" s="53" t="n"/>
      <c r="AF223" s="53" t="n"/>
      <c r="AG223" s="53" t="n"/>
      <c r="AH223" s="53" t="n"/>
      <c r="AI223" s="53" t="n"/>
      <c r="AJ223" s="53" t="n"/>
      <c r="AK223" s="53" t="n"/>
      <c r="AL223" s="53" t="n"/>
      <c r="AM223" s="53" t="n"/>
      <c r="AN223" s="53" t="n"/>
      <c r="AO223" s="53" t="n"/>
      <c r="AP223" s="53" t="n"/>
      <c r="AQ223" s="53" t="n"/>
      <c r="AR223" s="53" t="n"/>
      <c r="AS223" s="53" t="n"/>
      <c r="AT223" s="53" t="n"/>
      <c r="AU223" s="53" t="n"/>
      <c r="AV223" s="53" t="n"/>
      <c r="AW223" s="53" t="n"/>
      <c r="AX223" s="53" t="n"/>
      <c r="AY223" s="53" t="n"/>
    </row>
    <row r="224" ht="15" customHeight="1">
      <c r="A224" s="62" t="n"/>
      <c r="B224" s="55">
        <f>IF($B$222="","",$B$222)</f>
        <v/>
      </c>
      <c r="C224" s="63" t="inlineStr">
        <is>
          <t>마케팅4팀</t>
        </is>
      </c>
      <c r="D224" s="55">
        <f>IF($D$222="","",$D$222)</f>
        <v/>
      </c>
      <c r="E224" s="64" t="inlineStr">
        <is>
          <t>영상</t>
        </is>
      </c>
      <c r="F224" s="44" t="n"/>
      <c r="G224" s="58">
        <f>IF($G$222="","",$G$222)</f>
        <v/>
      </c>
      <c r="H224" s="59" t="n"/>
      <c r="I224" s="59" t="n"/>
      <c r="J224" s="59" t="n"/>
      <c r="K224" s="59" t="n"/>
      <c r="L224" s="65">
        <f>IF(SUM(U224:AY224)=0,"",SUM(U224:AY224))</f>
        <v/>
      </c>
      <c r="M224" s="66">
        <f>IFERROR(INDEX(U$2:AY$2,MATCH(TRUE,INDEX(U224:AY224&lt;&gt;"",0),0)),"")</f>
        <v/>
      </c>
      <c r="N224" s="66">
        <f>IFERROR(LOOKUP(2,1/(U224:AY224&lt;&gt;""),U$2:AY$2),"")</f>
        <v/>
      </c>
      <c r="O224" s="59" t="n"/>
      <c r="P224" s="59" t="n"/>
      <c r="Q224" s="59" t="n"/>
      <c r="R224" s="59" t="n"/>
      <c r="S224" s="14" t="n"/>
      <c r="U224" s="53" t="n"/>
      <c r="V224" s="53" t="n"/>
      <c r="W224" s="53" t="n"/>
      <c r="X224" s="53" t="n"/>
      <c r="Y224" s="53" t="n"/>
      <c r="Z224" s="53" t="n"/>
      <c r="AA224" s="53" t="n"/>
      <c r="AB224" s="53" t="n"/>
      <c r="AC224" s="53" t="n"/>
      <c r="AD224" s="53" t="n"/>
      <c r="AE224" s="53" t="n"/>
      <c r="AF224" s="53" t="n"/>
      <c r="AG224" s="53" t="n"/>
      <c r="AH224" s="53" t="n"/>
      <c r="AI224" s="53" t="n"/>
      <c r="AJ224" s="53" t="n"/>
      <c r="AK224" s="53" t="n"/>
      <c r="AL224" s="53" t="n"/>
      <c r="AM224" s="53" t="n"/>
      <c r="AN224" s="53" t="n"/>
      <c r="AO224" s="53" t="n"/>
      <c r="AP224" s="53" t="n"/>
      <c r="AQ224" s="53" t="n"/>
      <c r="AR224" s="53" t="n"/>
      <c r="AS224" s="53" t="n"/>
      <c r="AT224" s="53" t="n"/>
      <c r="AU224" s="53" t="n"/>
      <c r="AV224" s="53" t="n"/>
      <c r="AW224" s="53" t="n"/>
      <c r="AX224" s="53" t="n"/>
      <c r="AY224" s="53" t="n"/>
    </row>
    <row r="225" ht="15" customHeight="1">
      <c r="A225" s="40">
        <f>IF($D$225="","",72)</f>
        <v/>
      </c>
      <c r="B225" s="10" t="n"/>
      <c r="C225" s="41" t="inlineStr">
        <is>
          <t>마케팅4팀</t>
        </is>
      </c>
      <c r="D225" s="42" t="n"/>
      <c r="E225" s="43" t="inlineStr">
        <is>
          <t>기획</t>
        </is>
      </c>
      <c r="F225" s="44" t="n"/>
      <c r="G225" s="45" t="n"/>
      <c r="H225" s="46">
        <f>IF($I$225="","",IF($I$225&lt;0,"🔴지연",IF($I$225&lt;=1,"🟡임박","🟢여유")))</f>
        <v/>
      </c>
      <c r="I225" s="47">
        <f>IF(OR($G$225="",$K$225=""),"",$G$225-$K$225)</f>
        <v/>
      </c>
      <c r="J225" s="48">
        <f>IF(SUM($L$225:$L$227)=0,"",SUM($L$225:$L$227))</f>
        <v/>
      </c>
      <c r="K225" s="49">
        <f>IF($J$225="","",MAX($N$225:$N$227))</f>
        <v/>
      </c>
      <c r="L225" s="50">
        <f>IF(SUM(U225:AY225)=0,"",SUM(U225:AY225))</f>
        <v/>
      </c>
      <c r="M225" s="51">
        <f>IFERROR(INDEX(U$2:AY$2,MATCH(TRUE,INDEX(U225:AY225&lt;&gt;"",0),0)),"")</f>
        <v/>
      </c>
      <c r="N225" s="51">
        <f>IFERROR(LOOKUP(2,1/(U225:AY225&lt;&gt;""),U$2:AY$2),"")</f>
        <v/>
      </c>
      <c r="O225" s="52" t="n"/>
      <c r="P225" s="52" t="n"/>
      <c r="Q225" s="52" t="n"/>
      <c r="R225" s="44" t="n"/>
      <c r="S225" s="14" t="n"/>
      <c r="U225" s="53" t="n"/>
      <c r="V225" s="53" t="n"/>
      <c r="W225" s="53" t="n"/>
      <c r="X225" s="53" t="n"/>
      <c r="Y225" s="53" t="n"/>
      <c r="Z225" s="53" t="n"/>
      <c r="AA225" s="53" t="n"/>
      <c r="AB225" s="53" t="n"/>
      <c r="AC225" s="53" t="n"/>
      <c r="AD225" s="53" t="n"/>
      <c r="AE225" s="53" t="n"/>
      <c r="AF225" s="53" t="n"/>
      <c r="AG225" s="53" t="n"/>
      <c r="AH225" s="53" t="n"/>
      <c r="AI225" s="53" t="n"/>
      <c r="AJ225" s="53" t="n"/>
      <c r="AK225" s="53" t="n"/>
      <c r="AL225" s="53" t="n"/>
      <c r="AM225" s="53" t="n"/>
      <c r="AN225" s="53" t="n"/>
      <c r="AO225" s="53" t="n"/>
      <c r="AP225" s="53" t="n"/>
      <c r="AQ225" s="53" t="n"/>
      <c r="AR225" s="53" t="n"/>
      <c r="AS225" s="53" t="n"/>
      <c r="AT225" s="53" t="n"/>
      <c r="AU225" s="53" t="n"/>
      <c r="AV225" s="53" t="n"/>
      <c r="AW225" s="53" t="n"/>
      <c r="AX225" s="53" t="n"/>
      <c r="AY225" s="53" t="n"/>
    </row>
    <row r="226" ht="15" customHeight="1">
      <c r="A226" s="54" t="n"/>
      <c r="B226" s="55">
        <f>IF($B$225="","",$B$225)</f>
        <v/>
      </c>
      <c r="C226" s="56" t="inlineStr">
        <is>
          <t>마케팅4팀</t>
        </is>
      </c>
      <c r="D226" s="55">
        <f>IF($D$225="","",$D$225)</f>
        <v/>
      </c>
      <c r="E226" s="57" t="inlineStr">
        <is>
          <t>이미지</t>
        </is>
      </c>
      <c r="F226" s="44" t="n"/>
      <c r="G226" s="58">
        <f>IF($G$225="","",$G$225)</f>
        <v/>
      </c>
      <c r="H226" s="59" t="n"/>
      <c r="I226" s="59" t="n"/>
      <c r="J226" s="59" t="n"/>
      <c r="K226" s="59" t="n"/>
      <c r="L226" s="60">
        <f>IF(SUM(U226:AY226)=0,"",SUM(U226:AY226))</f>
        <v/>
      </c>
      <c r="M226" s="61">
        <f>IFERROR(INDEX(U$2:AY$2,MATCH(TRUE,INDEX(U226:AY226&lt;&gt;"",0),0)),"")</f>
        <v/>
      </c>
      <c r="N226" s="61">
        <f>IFERROR(LOOKUP(2,1/(U226:AY226&lt;&gt;""),U$2:AY$2),"")</f>
        <v/>
      </c>
      <c r="O226" s="59" t="n"/>
      <c r="P226" s="59" t="n"/>
      <c r="Q226" s="59" t="n"/>
      <c r="R226" s="59" t="n"/>
      <c r="S226" s="14" t="n"/>
      <c r="U226" s="53" t="n"/>
      <c r="V226" s="53" t="n"/>
      <c r="W226" s="53" t="n"/>
      <c r="X226" s="53" t="n"/>
      <c r="Y226" s="53" t="n"/>
      <c r="Z226" s="53" t="n"/>
      <c r="AA226" s="53" t="n"/>
      <c r="AB226" s="53" t="n"/>
      <c r="AC226" s="53" t="n"/>
      <c r="AD226" s="53" t="n"/>
      <c r="AE226" s="53" t="n"/>
      <c r="AF226" s="53" t="n"/>
      <c r="AG226" s="53" t="n"/>
      <c r="AH226" s="53" t="n"/>
      <c r="AI226" s="53" t="n"/>
      <c r="AJ226" s="53" t="n"/>
      <c r="AK226" s="53" t="n"/>
      <c r="AL226" s="53" t="n"/>
      <c r="AM226" s="53" t="n"/>
      <c r="AN226" s="53" t="n"/>
      <c r="AO226" s="53" t="n"/>
      <c r="AP226" s="53" t="n"/>
      <c r="AQ226" s="53" t="n"/>
      <c r="AR226" s="53" t="n"/>
      <c r="AS226" s="53" t="n"/>
      <c r="AT226" s="53" t="n"/>
      <c r="AU226" s="53" t="n"/>
      <c r="AV226" s="53" t="n"/>
      <c r="AW226" s="53" t="n"/>
      <c r="AX226" s="53" t="n"/>
      <c r="AY226" s="53" t="n"/>
    </row>
    <row r="227" ht="15" customHeight="1">
      <c r="A227" s="62" t="n"/>
      <c r="B227" s="55">
        <f>IF($B$225="","",$B$225)</f>
        <v/>
      </c>
      <c r="C227" s="63" t="inlineStr">
        <is>
          <t>마케팅4팀</t>
        </is>
      </c>
      <c r="D227" s="55">
        <f>IF($D$225="","",$D$225)</f>
        <v/>
      </c>
      <c r="E227" s="64" t="inlineStr">
        <is>
          <t>영상</t>
        </is>
      </c>
      <c r="F227" s="44" t="n"/>
      <c r="G227" s="58">
        <f>IF($G$225="","",$G$225)</f>
        <v/>
      </c>
      <c r="H227" s="59" t="n"/>
      <c r="I227" s="59" t="n"/>
      <c r="J227" s="59" t="n"/>
      <c r="K227" s="59" t="n"/>
      <c r="L227" s="65">
        <f>IF(SUM(U227:AY227)=0,"",SUM(U227:AY227))</f>
        <v/>
      </c>
      <c r="M227" s="66">
        <f>IFERROR(INDEX(U$2:AY$2,MATCH(TRUE,INDEX(U227:AY227&lt;&gt;"",0),0)),"")</f>
        <v/>
      </c>
      <c r="N227" s="66">
        <f>IFERROR(LOOKUP(2,1/(U227:AY227&lt;&gt;""),U$2:AY$2),"")</f>
        <v/>
      </c>
      <c r="O227" s="59" t="n"/>
      <c r="P227" s="59" t="n"/>
      <c r="Q227" s="59" t="n"/>
      <c r="R227" s="59" t="n"/>
      <c r="S227" s="14" t="n"/>
      <c r="U227" s="53" t="n"/>
      <c r="V227" s="53" t="n"/>
      <c r="W227" s="53" t="n"/>
      <c r="X227" s="53" t="n"/>
      <c r="Y227" s="53" t="n"/>
      <c r="Z227" s="53" t="n"/>
      <c r="AA227" s="53" t="n"/>
      <c r="AB227" s="53" t="n"/>
      <c r="AC227" s="53" t="n"/>
      <c r="AD227" s="53" t="n"/>
      <c r="AE227" s="53" t="n"/>
      <c r="AF227" s="53" t="n"/>
      <c r="AG227" s="53" t="n"/>
      <c r="AH227" s="53" t="n"/>
      <c r="AI227" s="53" t="n"/>
      <c r="AJ227" s="53" t="n"/>
      <c r="AK227" s="53" t="n"/>
      <c r="AL227" s="53" t="n"/>
      <c r="AM227" s="53" t="n"/>
      <c r="AN227" s="53" t="n"/>
      <c r="AO227" s="53" t="n"/>
      <c r="AP227" s="53" t="n"/>
      <c r="AQ227" s="53" t="n"/>
      <c r="AR227" s="53" t="n"/>
      <c r="AS227" s="53" t="n"/>
      <c r="AT227" s="53" t="n"/>
      <c r="AU227" s="53" t="n"/>
      <c r="AV227" s="53" t="n"/>
      <c r="AW227" s="53" t="n"/>
      <c r="AX227" s="53" t="n"/>
      <c r="AY227" s="53" t="n"/>
    </row>
    <row r="228" ht="15" customHeight="1">
      <c r="A228" s="40">
        <f>IF($D$228="","",73)</f>
        <v/>
      </c>
      <c r="B228" s="10" t="n"/>
      <c r="C228" s="41" t="inlineStr">
        <is>
          <t>마케팅4팀</t>
        </is>
      </c>
      <c r="D228" s="42" t="n"/>
      <c r="E228" s="43" t="inlineStr">
        <is>
          <t>기획</t>
        </is>
      </c>
      <c r="F228" s="44" t="n"/>
      <c r="G228" s="45" t="n"/>
      <c r="H228" s="46">
        <f>IF($I$228="","",IF($I$228&lt;0,"🔴지연",IF($I$228&lt;=1,"🟡임박","🟢여유")))</f>
        <v/>
      </c>
      <c r="I228" s="47">
        <f>IF(OR($G$228="",$K$228=""),"",$G$228-$K$228)</f>
        <v/>
      </c>
      <c r="J228" s="48">
        <f>IF(SUM($L$228:$L$230)=0,"",SUM($L$228:$L$230))</f>
        <v/>
      </c>
      <c r="K228" s="49">
        <f>IF($J$228="","",MAX($N$228:$N$230))</f>
        <v/>
      </c>
      <c r="L228" s="50">
        <f>IF(SUM(U228:AY228)=0,"",SUM(U228:AY228))</f>
        <v/>
      </c>
      <c r="M228" s="51">
        <f>IFERROR(INDEX(U$2:AY$2,MATCH(TRUE,INDEX(U228:AY228&lt;&gt;"",0),0)),"")</f>
        <v/>
      </c>
      <c r="N228" s="51">
        <f>IFERROR(LOOKUP(2,1/(U228:AY228&lt;&gt;""),U$2:AY$2),"")</f>
        <v/>
      </c>
      <c r="O228" s="52" t="n"/>
      <c r="P228" s="52" t="n"/>
      <c r="Q228" s="52" t="n"/>
      <c r="R228" s="44" t="n"/>
      <c r="S228" s="14" t="n"/>
      <c r="U228" s="53" t="n"/>
      <c r="V228" s="53" t="n"/>
      <c r="W228" s="53" t="n"/>
      <c r="X228" s="53" t="n"/>
      <c r="Y228" s="53" t="n"/>
      <c r="Z228" s="53" t="n"/>
      <c r="AA228" s="53" t="n"/>
      <c r="AB228" s="53" t="n"/>
      <c r="AC228" s="53" t="n"/>
      <c r="AD228" s="53" t="n"/>
      <c r="AE228" s="53" t="n"/>
      <c r="AF228" s="53" t="n"/>
      <c r="AG228" s="53" t="n"/>
      <c r="AH228" s="53" t="n"/>
      <c r="AI228" s="53" t="n"/>
      <c r="AJ228" s="53" t="n"/>
      <c r="AK228" s="53" t="n"/>
      <c r="AL228" s="53" t="n"/>
      <c r="AM228" s="53" t="n"/>
      <c r="AN228" s="53" t="n"/>
      <c r="AO228" s="53" t="n"/>
      <c r="AP228" s="53" t="n"/>
      <c r="AQ228" s="53" t="n"/>
      <c r="AR228" s="53" t="n"/>
      <c r="AS228" s="53" t="n"/>
      <c r="AT228" s="53" t="n"/>
      <c r="AU228" s="53" t="n"/>
      <c r="AV228" s="53" t="n"/>
      <c r="AW228" s="53" t="n"/>
      <c r="AX228" s="53" t="n"/>
      <c r="AY228" s="53" t="n"/>
    </row>
    <row r="229" ht="15" customHeight="1">
      <c r="A229" s="54" t="n"/>
      <c r="B229" s="55">
        <f>IF($B$228="","",$B$228)</f>
        <v/>
      </c>
      <c r="C229" s="56" t="inlineStr">
        <is>
          <t>마케팅4팀</t>
        </is>
      </c>
      <c r="D229" s="55">
        <f>IF($D$228="","",$D$228)</f>
        <v/>
      </c>
      <c r="E229" s="57" t="inlineStr">
        <is>
          <t>이미지</t>
        </is>
      </c>
      <c r="F229" s="44" t="n"/>
      <c r="G229" s="58">
        <f>IF($G$228="","",$G$228)</f>
        <v/>
      </c>
      <c r="H229" s="59" t="n"/>
      <c r="I229" s="59" t="n"/>
      <c r="J229" s="59" t="n"/>
      <c r="K229" s="59" t="n"/>
      <c r="L229" s="60">
        <f>IF(SUM(U229:AY229)=0,"",SUM(U229:AY229))</f>
        <v/>
      </c>
      <c r="M229" s="61">
        <f>IFERROR(INDEX(U$2:AY$2,MATCH(TRUE,INDEX(U229:AY229&lt;&gt;"",0),0)),"")</f>
        <v/>
      </c>
      <c r="N229" s="61">
        <f>IFERROR(LOOKUP(2,1/(U229:AY229&lt;&gt;""),U$2:AY$2),"")</f>
        <v/>
      </c>
      <c r="O229" s="59" t="n"/>
      <c r="P229" s="59" t="n"/>
      <c r="Q229" s="59" t="n"/>
      <c r="R229" s="59" t="n"/>
      <c r="S229" s="14" t="n"/>
      <c r="U229" s="53" t="n"/>
      <c r="V229" s="53" t="n"/>
      <c r="W229" s="53" t="n"/>
      <c r="X229" s="53" t="n"/>
      <c r="Y229" s="53" t="n"/>
      <c r="Z229" s="53" t="n"/>
      <c r="AA229" s="53" t="n"/>
      <c r="AB229" s="53" t="n"/>
      <c r="AC229" s="53" t="n"/>
      <c r="AD229" s="53" t="n"/>
      <c r="AE229" s="53" t="n"/>
      <c r="AF229" s="53" t="n"/>
      <c r="AG229" s="53" t="n"/>
      <c r="AH229" s="53" t="n"/>
      <c r="AI229" s="53" t="n"/>
      <c r="AJ229" s="53" t="n"/>
      <c r="AK229" s="53" t="n"/>
      <c r="AL229" s="53" t="n"/>
      <c r="AM229" s="53" t="n"/>
      <c r="AN229" s="53" t="n"/>
      <c r="AO229" s="53" t="n"/>
      <c r="AP229" s="53" t="n"/>
      <c r="AQ229" s="53" t="n"/>
      <c r="AR229" s="53" t="n"/>
      <c r="AS229" s="53" t="n"/>
      <c r="AT229" s="53" t="n"/>
      <c r="AU229" s="53" t="n"/>
      <c r="AV229" s="53" t="n"/>
      <c r="AW229" s="53" t="n"/>
      <c r="AX229" s="53" t="n"/>
      <c r="AY229" s="53" t="n"/>
    </row>
    <row r="230" ht="15" customHeight="1">
      <c r="A230" s="62" t="n"/>
      <c r="B230" s="55">
        <f>IF($B$228="","",$B$228)</f>
        <v/>
      </c>
      <c r="C230" s="63" t="inlineStr">
        <is>
          <t>마케팅4팀</t>
        </is>
      </c>
      <c r="D230" s="55">
        <f>IF($D$228="","",$D$228)</f>
        <v/>
      </c>
      <c r="E230" s="64" t="inlineStr">
        <is>
          <t>영상</t>
        </is>
      </c>
      <c r="F230" s="44" t="n"/>
      <c r="G230" s="58">
        <f>IF($G$228="","",$G$228)</f>
        <v/>
      </c>
      <c r="H230" s="59" t="n"/>
      <c r="I230" s="59" t="n"/>
      <c r="J230" s="59" t="n"/>
      <c r="K230" s="59" t="n"/>
      <c r="L230" s="65">
        <f>IF(SUM(U230:AY230)=0,"",SUM(U230:AY230))</f>
        <v/>
      </c>
      <c r="M230" s="66">
        <f>IFERROR(INDEX(U$2:AY$2,MATCH(TRUE,INDEX(U230:AY230&lt;&gt;"",0),0)),"")</f>
        <v/>
      </c>
      <c r="N230" s="66">
        <f>IFERROR(LOOKUP(2,1/(U230:AY230&lt;&gt;""),U$2:AY$2),"")</f>
        <v/>
      </c>
      <c r="O230" s="59" t="n"/>
      <c r="P230" s="59" t="n"/>
      <c r="Q230" s="59" t="n"/>
      <c r="R230" s="59" t="n"/>
      <c r="S230" s="14" t="n"/>
      <c r="U230" s="53" t="n"/>
      <c r="V230" s="53" t="n"/>
      <c r="W230" s="53" t="n"/>
      <c r="X230" s="53" t="n"/>
      <c r="Y230" s="53" t="n"/>
      <c r="Z230" s="53" t="n"/>
      <c r="AA230" s="53" t="n"/>
      <c r="AB230" s="53" t="n"/>
      <c r="AC230" s="53" t="n"/>
      <c r="AD230" s="53" t="n"/>
      <c r="AE230" s="53" t="n"/>
      <c r="AF230" s="53" t="n"/>
      <c r="AG230" s="53" t="n"/>
      <c r="AH230" s="53" t="n"/>
      <c r="AI230" s="53" t="n"/>
      <c r="AJ230" s="53" t="n"/>
      <c r="AK230" s="53" t="n"/>
      <c r="AL230" s="53" t="n"/>
      <c r="AM230" s="53" t="n"/>
      <c r="AN230" s="53" t="n"/>
      <c r="AO230" s="53" t="n"/>
      <c r="AP230" s="53" t="n"/>
      <c r="AQ230" s="53" t="n"/>
      <c r="AR230" s="53" t="n"/>
      <c r="AS230" s="53" t="n"/>
      <c r="AT230" s="53" t="n"/>
      <c r="AU230" s="53" t="n"/>
      <c r="AV230" s="53" t="n"/>
      <c r="AW230" s="53" t="n"/>
      <c r="AX230" s="53" t="n"/>
      <c r="AY230" s="53" t="n"/>
    </row>
    <row r="231" ht="15" customHeight="1">
      <c r="A231" s="40">
        <f>IF($D$231="","",74)</f>
        <v/>
      </c>
      <c r="B231" s="10" t="n"/>
      <c r="C231" s="41" t="inlineStr">
        <is>
          <t>마케팅4팀</t>
        </is>
      </c>
      <c r="D231" s="42" t="n"/>
      <c r="E231" s="43" t="inlineStr">
        <is>
          <t>기획</t>
        </is>
      </c>
      <c r="F231" s="44" t="n"/>
      <c r="G231" s="45" t="n"/>
      <c r="H231" s="46">
        <f>IF($I$231="","",IF($I$231&lt;0,"🔴지연",IF($I$231&lt;=1,"🟡임박","🟢여유")))</f>
        <v/>
      </c>
      <c r="I231" s="47">
        <f>IF(OR($G$231="",$K$231=""),"",$G$231-$K$231)</f>
        <v/>
      </c>
      <c r="J231" s="48">
        <f>IF(SUM($L$231:$L$233)=0,"",SUM($L$231:$L$233))</f>
        <v/>
      </c>
      <c r="K231" s="49">
        <f>IF($J$231="","",MAX($N$231:$N$233))</f>
        <v/>
      </c>
      <c r="L231" s="50">
        <f>IF(SUM(U231:AY231)=0,"",SUM(U231:AY231))</f>
        <v/>
      </c>
      <c r="M231" s="51">
        <f>IFERROR(INDEX(U$2:AY$2,MATCH(TRUE,INDEX(U231:AY231&lt;&gt;"",0),0)),"")</f>
        <v/>
      </c>
      <c r="N231" s="51">
        <f>IFERROR(LOOKUP(2,1/(U231:AY231&lt;&gt;""),U$2:AY$2),"")</f>
        <v/>
      </c>
      <c r="O231" s="52" t="n"/>
      <c r="P231" s="52" t="n"/>
      <c r="Q231" s="52" t="n"/>
      <c r="R231" s="44" t="n"/>
      <c r="S231" s="14" t="n"/>
      <c r="U231" s="53" t="n"/>
      <c r="V231" s="53" t="n"/>
      <c r="W231" s="53" t="n"/>
      <c r="X231" s="53" t="n"/>
      <c r="Y231" s="53" t="n"/>
      <c r="Z231" s="53" t="n"/>
      <c r="AA231" s="53" t="n"/>
      <c r="AB231" s="53" t="n"/>
      <c r="AC231" s="53" t="n"/>
      <c r="AD231" s="53" t="n"/>
      <c r="AE231" s="53" t="n"/>
      <c r="AF231" s="53" t="n"/>
      <c r="AG231" s="53" t="n"/>
      <c r="AH231" s="53" t="n"/>
      <c r="AI231" s="53" t="n"/>
      <c r="AJ231" s="53" t="n"/>
      <c r="AK231" s="53" t="n"/>
      <c r="AL231" s="53" t="n"/>
      <c r="AM231" s="53" t="n"/>
      <c r="AN231" s="53" t="n"/>
      <c r="AO231" s="53" t="n"/>
      <c r="AP231" s="53" t="n"/>
      <c r="AQ231" s="53" t="n"/>
      <c r="AR231" s="53" t="n"/>
      <c r="AS231" s="53" t="n"/>
      <c r="AT231" s="53" t="n"/>
      <c r="AU231" s="53" t="n"/>
      <c r="AV231" s="53" t="n"/>
      <c r="AW231" s="53" t="n"/>
      <c r="AX231" s="53" t="n"/>
      <c r="AY231" s="53" t="n"/>
    </row>
    <row r="232" ht="15" customHeight="1">
      <c r="A232" s="54" t="n"/>
      <c r="B232" s="55">
        <f>IF($B$231="","",$B$231)</f>
        <v/>
      </c>
      <c r="C232" s="56" t="inlineStr">
        <is>
          <t>마케팅4팀</t>
        </is>
      </c>
      <c r="D232" s="55">
        <f>IF($D$231="","",$D$231)</f>
        <v/>
      </c>
      <c r="E232" s="57" t="inlineStr">
        <is>
          <t>이미지</t>
        </is>
      </c>
      <c r="F232" s="44" t="n"/>
      <c r="G232" s="58">
        <f>IF($G$231="","",$G$231)</f>
        <v/>
      </c>
      <c r="H232" s="59" t="n"/>
      <c r="I232" s="59" t="n"/>
      <c r="J232" s="59" t="n"/>
      <c r="K232" s="59" t="n"/>
      <c r="L232" s="60">
        <f>IF(SUM(U232:AY232)=0,"",SUM(U232:AY232))</f>
        <v/>
      </c>
      <c r="M232" s="61">
        <f>IFERROR(INDEX(U$2:AY$2,MATCH(TRUE,INDEX(U232:AY232&lt;&gt;"",0),0)),"")</f>
        <v/>
      </c>
      <c r="N232" s="61">
        <f>IFERROR(LOOKUP(2,1/(U232:AY232&lt;&gt;""),U$2:AY$2),"")</f>
        <v/>
      </c>
      <c r="O232" s="59" t="n"/>
      <c r="P232" s="59" t="n"/>
      <c r="Q232" s="59" t="n"/>
      <c r="R232" s="59" t="n"/>
      <c r="S232" s="14" t="n"/>
      <c r="U232" s="53" t="n"/>
      <c r="V232" s="53" t="n"/>
      <c r="W232" s="53" t="n"/>
      <c r="X232" s="53" t="n"/>
      <c r="Y232" s="53" t="n"/>
      <c r="Z232" s="53" t="n"/>
      <c r="AA232" s="53" t="n"/>
      <c r="AB232" s="53" t="n"/>
      <c r="AC232" s="53" t="n"/>
      <c r="AD232" s="53" t="n"/>
      <c r="AE232" s="53" t="n"/>
      <c r="AF232" s="53" t="n"/>
      <c r="AG232" s="53" t="n"/>
      <c r="AH232" s="53" t="n"/>
      <c r="AI232" s="53" t="n"/>
      <c r="AJ232" s="53" t="n"/>
      <c r="AK232" s="53" t="n"/>
      <c r="AL232" s="53" t="n"/>
      <c r="AM232" s="53" t="n"/>
      <c r="AN232" s="53" t="n"/>
      <c r="AO232" s="53" t="n"/>
      <c r="AP232" s="53" t="n"/>
      <c r="AQ232" s="53" t="n"/>
      <c r="AR232" s="53" t="n"/>
      <c r="AS232" s="53" t="n"/>
      <c r="AT232" s="53" t="n"/>
      <c r="AU232" s="53" t="n"/>
      <c r="AV232" s="53" t="n"/>
      <c r="AW232" s="53" t="n"/>
      <c r="AX232" s="53" t="n"/>
      <c r="AY232" s="53" t="n"/>
    </row>
    <row r="233" ht="15" customHeight="1">
      <c r="A233" s="62" t="n"/>
      <c r="B233" s="55">
        <f>IF($B$231="","",$B$231)</f>
        <v/>
      </c>
      <c r="C233" s="63" t="inlineStr">
        <is>
          <t>마케팅4팀</t>
        </is>
      </c>
      <c r="D233" s="55">
        <f>IF($D$231="","",$D$231)</f>
        <v/>
      </c>
      <c r="E233" s="64" t="inlineStr">
        <is>
          <t>영상</t>
        </is>
      </c>
      <c r="F233" s="44" t="n"/>
      <c r="G233" s="58">
        <f>IF($G$231="","",$G$231)</f>
        <v/>
      </c>
      <c r="H233" s="59" t="n"/>
      <c r="I233" s="59" t="n"/>
      <c r="J233" s="59" t="n"/>
      <c r="K233" s="59" t="n"/>
      <c r="L233" s="65">
        <f>IF(SUM(U233:AY233)=0,"",SUM(U233:AY233))</f>
        <v/>
      </c>
      <c r="M233" s="66">
        <f>IFERROR(INDEX(U$2:AY$2,MATCH(TRUE,INDEX(U233:AY233&lt;&gt;"",0),0)),"")</f>
        <v/>
      </c>
      <c r="N233" s="66">
        <f>IFERROR(LOOKUP(2,1/(U233:AY233&lt;&gt;""),U$2:AY$2),"")</f>
        <v/>
      </c>
      <c r="O233" s="59" t="n"/>
      <c r="P233" s="59" t="n"/>
      <c r="Q233" s="59" t="n"/>
      <c r="R233" s="59" t="n"/>
      <c r="S233" s="14" t="n"/>
      <c r="U233" s="53" t="n"/>
      <c r="V233" s="53" t="n"/>
      <c r="W233" s="53" t="n"/>
      <c r="X233" s="53" t="n"/>
      <c r="Y233" s="53" t="n"/>
      <c r="Z233" s="53" t="n"/>
      <c r="AA233" s="53" t="n"/>
      <c r="AB233" s="53" t="n"/>
      <c r="AC233" s="53" t="n"/>
      <c r="AD233" s="53" t="n"/>
      <c r="AE233" s="53" t="n"/>
      <c r="AF233" s="53" t="n"/>
      <c r="AG233" s="53" t="n"/>
      <c r="AH233" s="53" t="n"/>
      <c r="AI233" s="53" t="n"/>
      <c r="AJ233" s="53" t="n"/>
      <c r="AK233" s="53" t="n"/>
      <c r="AL233" s="53" t="n"/>
      <c r="AM233" s="53" t="n"/>
      <c r="AN233" s="53" t="n"/>
      <c r="AO233" s="53" t="n"/>
      <c r="AP233" s="53" t="n"/>
      <c r="AQ233" s="53" t="n"/>
      <c r="AR233" s="53" t="n"/>
      <c r="AS233" s="53" t="n"/>
      <c r="AT233" s="53" t="n"/>
      <c r="AU233" s="53" t="n"/>
      <c r="AV233" s="53" t="n"/>
      <c r="AW233" s="53" t="n"/>
      <c r="AX233" s="53" t="n"/>
      <c r="AY233" s="53" t="n"/>
    </row>
    <row r="234" ht="15" customHeight="1">
      <c r="A234" s="40">
        <f>IF($D$234="","",75)</f>
        <v/>
      </c>
      <c r="B234" s="10" t="n"/>
      <c r="C234" s="41" t="inlineStr">
        <is>
          <t>마케팅4팀</t>
        </is>
      </c>
      <c r="D234" s="42" t="n"/>
      <c r="E234" s="43" t="inlineStr">
        <is>
          <t>기획</t>
        </is>
      </c>
      <c r="F234" s="44" t="n"/>
      <c r="G234" s="45" t="n"/>
      <c r="H234" s="46">
        <f>IF($I$234="","",IF($I$234&lt;0,"🔴지연",IF($I$234&lt;=1,"🟡임박","🟢여유")))</f>
        <v/>
      </c>
      <c r="I234" s="47">
        <f>IF(OR($G$234="",$K$234=""),"",$G$234-$K$234)</f>
        <v/>
      </c>
      <c r="J234" s="48">
        <f>IF(SUM($L$234:$L$236)=0,"",SUM($L$234:$L$236))</f>
        <v/>
      </c>
      <c r="K234" s="49">
        <f>IF($J$234="","",MAX($N$234:$N$236))</f>
        <v/>
      </c>
      <c r="L234" s="50">
        <f>IF(SUM(U234:AY234)=0,"",SUM(U234:AY234))</f>
        <v/>
      </c>
      <c r="M234" s="51">
        <f>IFERROR(INDEX(U$2:AY$2,MATCH(TRUE,INDEX(U234:AY234&lt;&gt;"",0),0)),"")</f>
        <v/>
      </c>
      <c r="N234" s="51">
        <f>IFERROR(LOOKUP(2,1/(U234:AY234&lt;&gt;""),U$2:AY$2),"")</f>
        <v/>
      </c>
      <c r="O234" s="52" t="n"/>
      <c r="P234" s="52" t="n"/>
      <c r="Q234" s="52" t="n"/>
      <c r="R234" s="44" t="n"/>
      <c r="S234" s="14" t="n"/>
      <c r="U234" s="53" t="n"/>
      <c r="V234" s="53" t="n"/>
      <c r="W234" s="53" t="n"/>
      <c r="X234" s="53" t="n"/>
      <c r="Y234" s="53" t="n"/>
      <c r="Z234" s="53" t="n"/>
      <c r="AA234" s="53" t="n"/>
      <c r="AB234" s="53" t="n"/>
      <c r="AC234" s="53" t="n"/>
      <c r="AD234" s="53" t="n"/>
      <c r="AE234" s="53" t="n"/>
      <c r="AF234" s="53" t="n"/>
      <c r="AG234" s="53" t="n"/>
      <c r="AH234" s="53" t="n"/>
      <c r="AI234" s="53" t="n"/>
      <c r="AJ234" s="53" t="n"/>
      <c r="AK234" s="53" t="n"/>
      <c r="AL234" s="53" t="n"/>
      <c r="AM234" s="53" t="n"/>
      <c r="AN234" s="53" t="n"/>
      <c r="AO234" s="53" t="n"/>
      <c r="AP234" s="53" t="n"/>
      <c r="AQ234" s="53" t="n"/>
      <c r="AR234" s="53" t="n"/>
      <c r="AS234" s="53" t="n"/>
      <c r="AT234" s="53" t="n"/>
      <c r="AU234" s="53" t="n"/>
      <c r="AV234" s="53" t="n"/>
      <c r="AW234" s="53" t="n"/>
      <c r="AX234" s="53" t="n"/>
      <c r="AY234" s="53" t="n"/>
    </row>
    <row r="235" ht="15" customHeight="1">
      <c r="A235" s="54" t="n"/>
      <c r="B235" s="55">
        <f>IF($B$234="","",$B$234)</f>
        <v/>
      </c>
      <c r="C235" s="56" t="inlineStr">
        <is>
          <t>마케팅4팀</t>
        </is>
      </c>
      <c r="D235" s="55">
        <f>IF($D$234="","",$D$234)</f>
        <v/>
      </c>
      <c r="E235" s="57" t="inlineStr">
        <is>
          <t>이미지</t>
        </is>
      </c>
      <c r="F235" s="44" t="n"/>
      <c r="G235" s="58">
        <f>IF($G$234="","",$G$234)</f>
        <v/>
      </c>
      <c r="H235" s="59" t="n"/>
      <c r="I235" s="59" t="n"/>
      <c r="J235" s="59" t="n"/>
      <c r="K235" s="59" t="n"/>
      <c r="L235" s="60">
        <f>IF(SUM(U235:AY235)=0,"",SUM(U235:AY235))</f>
        <v/>
      </c>
      <c r="M235" s="61">
        <f>IFERROR(INDEX(U$2:AY$2,MATCH(TRUE,INDEX(U235:AY235&lt;&gt;"",0),0)),"")</f>
        <v/>
      </c>
      <c r="N235" s="61">
        <f>IFERROR(LOOKUP(2,1/(U235:AY235&lt;&gt;""),U$2:AY$2),"")</f>
        <v/>
      </c>
      <c r="O235" s="59" t="n"/>
      <c r="P235" s="59" t="n"/>
      <c r="Q235" s="59" t="n"/>
      <c r="R235" s="59" t="n"/>
      <c r="S235" s="14" t="n"/>
      <c r="U235" s="53" t="n"/>
      <c r="V235" s="53" t="n"/>
      <c r="W235" s="53" t="n"/>
      <c r="X235" s="53" t="n"/>
      <c r="Y235" s="53" t="n"/>
      <c r="Z235" s="53" t="n"/>
      <c r="AA235" s="53" t="n"/>
      <c r="AB235" s="53" t="n"/>
      <c r="AC235" s="53" t="n"/>
      <c r="AD235" s="53" t="n"/>
      <c r="AE235" s="53" t="n"/>
      <c r="AF235" s="53" t="n"/>
      <c r="AG235" s="53" t="n"/>
      <c r="AH235" s="53" t="n"/>
      <c r="AI235" s="53" t="n"/>
      <c r="AJ235" s="53" t="n"/>
      <c r="AK235" s="53" t="n"/>
      <c r="AL235" s="53" t="n"/>
      <c r="AM235" s="53" t="n"/>
      <c r="AN235" s="53" t="n"/>
      <c r="AO235" s="53" t="n"/>
      <c r="AP235" s="53" t="n"/>
      <c r="AQ235" s="53" t="n"/>
      <c r="AR235" s="53" t="n"/>
      <c r="AS235" s="53" t="n"/>
      <c r="AT235" s="53" t="n"/>
      <c r="AU235" s="53" t="n"/>
      <c r="AV235" s="53" t="n"/>
      <c r="AW235" s="53" t="n"/>
      <c r="AX235" s="53" t="n"/>
      <c r="AY235" s="53" t="n"/>
    </row>
    <row r="236" ht="15" customHeight="1">
      <c r="A236" s="62" t="n"/>
      <c r="B236" s="55">
        <f>IF($B$234="","",$B$234)</f>
        <v/>
      </c>
      <c r="C236" s="63" t="inlineStr">
        <is>
          <t>마케팅4팀</t>
        </is>
      </c>
      <c r="D236" s="55">
        <f>IF($D$234="","",$D$234)</f>
        <v/>
      </c>
      <c r="E236" s="64" t="inlineStr">
        <is>
          <t>영상</t>
        </is>
      </c>
      <c r="F236" s="44" t="n"/>
      <c r="G236" s="58">
        <f>IF($G$234="","",$G$234)</f>
        <v/>
      </c>
      <c r="H236" s="59" t="n"/>
      <c r="I236" s="59" t="n"/>
      <c r="J236" s="59" t="n"/>
      <c r="K236" s="59" t="n"/>
      <c r="L236" s="65">
        <f>IF(SUM(U236:AY236)=0,"",SUM(U236:AY236))</f>
        <v/>
      </c>
      <c r="M236" s="66">
        <f>IFERROR(INDEX(U$2:AY$2,MATCH(TRUE,INDEX(U236:AY236&lt;&gt;"",0),0)),"")</f>
        <v/>
      </c>
      <c r="N236" s="66">
        <f>IFERROR(LOOKUP(2,1/(U236:AY236&lt;&gt;""),U$2:AY$2),"")</f>
        <v/>
      </c>
      <c r="O236" s="59" t="n"/>
      <c r="P236" s="59" t="n"/>
      <c r="Q236" s="59" t="n"/>
      <c r="R236" s="59" t="n"/>
      <c r="S236" s="14" t="n"/>
      <c r="U236" s="53" t="n"/>
      <c r="V236" s="53" t="n"/>
      <c r="W236" s="53" t="n"/>
      <c r="X236" s="53" t="n"/>
      <c r="Y236" s="53" t="n"/>
      <c r="Z236" s="53" t="n"/>
      <c r="AA236" s="53" t="n"/>
      <c r="AB236" s="53" t="n"/>
      <c r="AC236" s="53" t="n"/>
      <c r="AD236" s="53" t="n"/>
      <c r="AE236" s="53" t="n"/>
      <c r="AF236" s="53" t="n"/>
      <c r="AG236" s="53" t="n"/>
      <c r="AH236" s="53" t="n"/>
      <c r="AI236" s="53" t="n"/>
      <c r="AJ236" s="53" t="n"/>
      <c r="AK236" s="53" t="n"/>
      <c r="AL236" s="53" t="n"/>
      <c r="AM236" s="53" t="n"/>
      <c r="AN236" s="53" t="n"/>
      <c r="AO236" s="53" t="n"/>
      <c r="AP236" s="53" t="n"/>
      <c r="AQ236" s="53" t="n"/>
      <c r="AR236" s="53" t="n"/>
      <c r="AS236" s="53" t="n"/>
      <c r="AT236" s="53" t="n"/>
      <c r="AU236" s="53" t="n"/>
      <c r="AV236" s="53" t="n"/>
      <c r="AW236" s="53" t="n"/>
      <c r="AX236" s="53" t="n"/>
      <c r="AY236" s="53" t="n"/>
    </row>
    <row r="237" ht="15" customHeight="1">
      <c r="A237" s="40">
        <f>IF($D$237="","",76)</f>
        <v/>
      </c>
      <c r="B237" s="10" t="n"/>
      <c r="C237" s="41" t="inlineStr">
        <is>
          <t>마케팅4팀</t>
        </is>
      </c>
      <c r="D237" s="42" t="n"/>
      <c r="E237" s="43" t="inlineStr">
        <is>
          <t>기획</t>
        </is>
      </c>
      <c r="F237" s="44" t="n"/>
      <c r="G237" s="45" t="n"/>
      <c r="H237" s="46">
        <f>IF($I$237="","",IF($I$237&lt;0,"🔴지연",IF($I$237&lt;=1,"🟡임박","🟢여유")))</f>
        <v/>
      </c>
      <c r="I237" s="47">
        <f>IF(OR($G$237="",$K$237=""),"",$G$237-$K$237)</f>
        <v/>
      </c>
      <c r="J237" s="48">
        <f>IF(SUM($L$237:$L$239)=0,"",SUM($L$237:$L$239))</f>
        <v/>
      </c>
      <c r="K237" s="49">
        <f>IF($J$237="","",MAX($N$237:$N$239))</f>
        <v/>
      </c>
      <c r="L237" s="50">
        <f>IF(SUM(U237:AY237)=0,"",SUM(U237:AY237))</f>
        <v/>
      </c>
      <c r="M237" s="51">
        <f>IFERROR(INDEX(U$2:AY$2,MATCH(TRUE,INDEX(U237:AY237&lt;&gt;"",0),0)),"")</f>
        <v/>
      </c>
      <c r="N237" s="51">
        <f>IFERROR(LOOKUP(2,1/(U237:AY237&lt;&gt;""),U$2:AY$2),"")</f>
        <v/>
      </c>
      <c r="O237" s="52" t="n"/>
      <c r="P237" s="52" t="n"/>
      <c r="Q237" s="52" t="n"/>
      <c r="R237" s="44" t="n"/>
      <c r="S237" s="14" t="n"/>
      <c r="U237" s="53" t="n"/>
      <c r="V237" s="53" t="n"/>
      <c r="W237" s="53" t="n"/>
      <c r="X237" s="53" t="n"/>
      <c r="Y237" s="53" t="n"/>
      <c r="Z237" s="53" t="n"/>
      <c r="AA237" s="53" t="n"/>
      <c r="AB237" s="53" t="n"/>
      <c r="AC237" s="53" t="n"/>
      <c r="AD237" s="53" t="n"/>
      <c r="AE237" s="53" t="n"/>
      <c r="AF237" s="53" t="n"/>
      <c r="AG237" s="53" t="n"/>
      <c r="AH237" s="53" t="n"/>
      <c r="AI237" s="53" t="n"/>
      <c r="AJ237" s="53" t="n"/>
      <c r="AK237" s="53" t="n"/>
      <c r="AL237" s="53" t="n"/>
      <c r="AM237" s="53" t="n"/>
      <c r="AN237" s="53" t="n"/>
      <c r="AO237" s="53" t="n"/>
      <c r="AP237" s="53" t="n"/>
      <c r="AQ237" s="53" t="n"/>
      <c r="AR237" s="53" t="n"/>
      <c r="AS237" s="53" t="n"/>
      <c r="AT237" s="53" t="n"/>
      <c r="AU237" s="53" t="n"/>
      <c r="AV237" s="53" t="n"/>
      <c r="AW237" s="53" t="n"/>
      <c r="AX237" s="53" t="n"/>
      <c r="AY237" s="53" t="n"/>
    </row>
    <row r="238" ht="15" customHeight="1">
      <c r="A238" s="54" t="n"/>
      <c r="B238" s="55">
        <f>IF($B$237="","",$B$237)</f>
        <v/>
      </c>
      <c r="C238" s="56" t="inlineStr">
        <is>
          <t>마케팅4팀</t>
        </is>
      </c>
      <c r="D238" s="55">
        <f>IF($D$237="","",$D$237)</f>
        <v/>
      </c>
      <c r="E238" s="57" t="inlineStr">
        <is>
          <t>이미지</t>
        </is>
      </c>
      <c r="F238" s="44" t="n"/>
      <c r="G238" s="58">
        <f>IF($G$237="","",$G$237)</f>
        <v/>
      </c>
      <c r="H238" s="59" t="n"/>
      <c r="I238" s="59" t="n"/>
      <c r="J238" s="59" t="n"/>
      <c r="K238" s="59" t="n"/>
      <c r="L238" s="60">
        <f>IF(SUM(U238:AY238)=0,"",SUM(U238:AY238))</f>
        <v/>
      </c>
      <c r="M238" s="61">
        <f>IFERROR(INDEX(U$2:AY$2,MATCH(TRUE,INDEX(U238:AY238&lt;&gt;"",0),0)),"")</f>
        <v/>
      </c>
      <c r="N238" s="61">
        <f>IFERROR(LOOKUP(2,1/(U238:AY238&lt;&gt;""),U$2:AY$2),"")</f>
        <v/>
      </c>
      <c r="O238" s="59" t="n"/>
      <c r="P238" s="59" t="n"/>
      <c r="Q238" s="59" t="n"/>
      <c r="R238" s="59" t="n"/>
      <c r="S238" s="14" t="n"/>
      <c r="U238" s="53" t="n"/>
      <c r="V238" s="53" t="n"/>
      <c r="W238" s="53" t="n"/>
      <c r="X238" s="53" t="n"/>
      <c r="Y238" s="53" t="n"/>
      <c r="Z238" s="53" t="n"/>
      <c r="AA238" s="53" t="n"/>
      <c r="AB238" s="53" t="n"/>
      <c r="AC238" s="53" t="n"/>
      <c r="AD238" s="53" t="n"/>
      <c r="AE238" s="53" t="n"/>
      <c r="AF238" s="53" t="n"/>
      <c r="AG238" s="53" t="n"/>
      <c r="AH238" s="53" t="n"/>
      <c r="AI238" s="53" t="n"/>
      <c r="AJ238" s="53" t="n"/>
      <c r="AK238" s="53" t="n"/>
      <c r="AL238" s="53" t="n"/>
      <c r="AM238" s="53" t="n"/>
      <c r="AN238" s="53" t="n"/>
      <c r="AO238" s="53" t="n"/>
      <c r="AP238" s="53" t="n"/>
      <c r="AQ238" s="53" t="n"/>
      <c r="AR238" s="53" t="n"/>
      <c r="AS238" s="53" t="n"/>
      <c r="AT238" s="53" t="n"/>
      <c r="AU238" s="53" t="n"/>
      <c r="AV238" s="53" t="n"/>
      <c r="AW238" s="53" t="n"/>
      <c r="AX238" s="53" t="n"/>
      <c r="AY238" s="53" t="n"/>
    </row>
    <row r="239" ht="15" customHeight="1">
      <c r="A239" s="62" t="n"/>
      <c r="B239" s="55">
        <f>IF($B$237="","",$B$237)</f>
        <v/>
      </c>
      <c r="C239" s="63" t="inlineStr">
        <is>
          <t>마케팅4팀</t>
        </is>
      </c>
      <c r="D239" s="55">
        <f>IF($D$237="","",$D$237)</f>
        <v/>
      </c>
      <c r="E239" s="64" t="inlineStr">
        <is>
          <t>영상</t>
        </is>
      </c>
      <c r="F239" s="44" t="n"/>
      <c r="G239" s="58">
        <f>IF($G$237="","",$G$237)</f>
        <v/>
      </c>
      <c r="H239" s="59" t="n"/>
      <c r="I239" s="59" t="n"/>
      <c r="J239" s="59" t="n"/>
      <c r="K239" s="59" t="n"/>
      <c r="L239" s="65">
        <f>IF(SUM(U239:AY239)=0,"",SUM(U239:AY239))</f>
        <v/>
      </c>
      <c r="M239" s="66">
        <f>IFERROR(INDEX(U$2:AY$2,MATCH(TRUE,INDEX(U239:AY239&lt;&gt;"",0),0)),"")</f>
        <v/>
      </c>
      <c r="N239" s="66">
        <f>IFERROR(LOOKUP(2,1/(U239:AY239&lt;&gt;""),U$2:AY$2),"")</f>
        <v/>
      </c>
      <c r="O239" s="59" t="n"/>
      <c r="P239" s="59" t="n"/>
      <c r="Q239" s="59" t="n"/>
      <c r="R239" s="59" t="n"/>
      <c r="S239" s="14" t="n"/>
      <c r="U239" s="53" t="n"/>
      <c r="V239" s="53" t="n"/>
      <c r="W239" s="53" t="n"/>
      <c r="X239" s="53" t="n"/>
      <c r="Y239" s="53" t="n"/>
      <c r="Z239" s="53" t="n"/>
      <c r="AA239" s="53" t="n"/>
      <c r="AB239" s="53" t="n"/>
      <c r="AC239" s="53" t="n"/>
      <c r="AD239" s="53" t="n"/>
      <c r="AE239" s="53" t="n"/>
      <c r="AF239" s="53" t="n"/>
      <c r="AG239" s="53" t="n"/>
      <c r="AH239" s="53" t="n"/>
      <c r="AI239" s="53" t="n"/>
      <c r="AJ239" s="53" t="n"/>
      <c r="AK239" s="53" t="n"/>
      <c r="AL239" s="53" t="n"/>
      <c r="AM239" s="53" t="n"/>
      <c r="AN239" s="53" t="n"/>
      <c r="AO239" s="53" t="n"/>
      <c r="AP239" s="53" t="n"/>
      <c r="AQ239" s="53" t="n"/>
      <c r="AR239" s="53" t="n"/>
      <c r="AS239" s="53" t="n"/>
      <c r="AT239" s="53" t="n"/>
      <c r="AU239" s="53" t="n"/>
      <c r="AV239" s="53" t="n"/>
      <c r="AW239" s="53" t="n"/>
      <c r="AX239" s="53" t="n"/>
      <c r="AY239" s="53" t="n"/>
    </row>
    <row r="240" ht="15" customHeight="1">
      <c r="A240" s="40">
        <f>IF($D$240="","",77)</f>
        <v/>
      </c>
      <c r="B240" s="10" t="n"/>
      <c r="C240" s="41" t="inlineStr">
        <is>
          <t>마케팅4팀</t>
        </is>
      </c>
      <c r="D240" s="42" t="n"/>
      <c r="E240" s="43" t="inlineStr">
        <is>
          <t>기획</t>
        </is>
      </c>
      <c r="F240" s="44" t="n"/>
      <c r="G240" s="45" t="n"/>
      <c r="H240" s="46">
        <f>IF($I$240="","",IF($I$240&lt;0,"🔴지연",IF($I$240&lt;=1,"🟡임박","🟢여유")))</f>
        <v/>
      </c>
      <c r="I240" s="47">
        <f>IF(OR($G$240="",$K$240=""),"",$G$240-$K$240)</f>
        <v/>
      </c>
      <c r="J240" s="48">
        <f>IF(SUM($L$240:$L$242)=0,"",SUM($L$240:$L$242))</f>
        <v/>
      </c>
      <c r="K240" s="49">
        <f>IF($J$240="","",MAX($N$240:$N$242))</f>
        <v/>
      </c>
      <c r="L240" s="50">
        <f>IF(SUM(U240:AY240)=0,"",SUM(U240:AY240))</f>
        <v/>
      </c>
      <c r="M240" s="51">
        <f>IFERROR(INDEX(U$2:AY$2,MATCH(TRUE,INDEX(U240:AY240&lt;&gt;"",0),0)),"")</f>
        <v/>
      </c>
      <c r="N240" s="51">
        <f>IFERROR(LOOKUP(2,1/(U240:AY240&lt;&gt;""),U$2:AY$2),"")</f>
        <v/>
      </c>
      <c r="O240" s="52" t="n"/>
      <c r="P240" s="52" t="n"/>
      <c r="Q240" s="52" t="n"/>
      <c r="R240" s="44" t="n"/>
      <c r="S240" s="14" t="n"/>
      <c r="U240" s="53" t="n"/>
      <c r="V240" s="53" t="n"/>
      <c r="W240" s="53" t="n"/>
      <c r="X240" s="53" t="n"/>
      <c r="Y240" s="53" t="n"/>
      <c r="Z240" s="53" t="n"/>
      <c r="AA240" s="53" t="n"/>
      <c r="AB240" s="53" t="n"/>
      <c r="AC240" s="53" t="n"/>
      <c r="AD240" s="53" t="n"/>
      <c r="AE240" s="53" t="n"/>
      <c r="AF240" s="53" t="n"/>
      <c r="AG240" s="53" t="n"/>
      <c r="AH240" s="53" t="n"/>
      <c r="AI240" s="53" t="n"/>
      <c r="AJ240" s="53" t="n"/>
      <c r="AK240" s="53" t="n"/>
      <c r="AL240" s="53" t="n"/>
      <c r="AM240" s="53" t="n"/>
      <c r="AN240" s="53" t="n"/>
      <c r="AO240" s="53" t="n"/>
      <c r="AP240" s="53" t="n"/>
      <c r="AQ240" s="53" t="n"/>
      <c r="AR240" s="53" t="n"/>
      <c r="AS240" s="53" t="n"/>
      <c r="AT240" s="53" t="n"/>
      <c r="AU240" s="53" t="n"/>
      <c r="AV240" s="53" t="n"/>
      <c r="AW240" s="53" t="n"/>
      <c r="AX240" s="53" t="n"/>
      <c r="AY240" s="53" t="n"/>
    </row>
    <row r="241" ht="15" customHeight="1">
      <c r="A241" s="54" t="n"/>
      <c r="B241" s="55">
        <f>IF($B$240="","",$B$240)</f>
        <v/>
      </c>
      <c r="C241" s="56" t="inlineStr">
        <is>
          <t>마케팅4팀</t>
        </is>
      </c>
      <c r="D241" s="55">
        <f>IF($D$240="","",$D$240)</f>
        <v/>
      </c>
      <c r="E241" s="57" t="inlineStr">
        <is>
          <t>이미지</t>
        </is>
      </c>
      <c r="F241" s="44" t="n"/>
      <c r="G241" s="58">
        <f>IF($G$240="","",$G$240)</f>
        <v/>
      </c>
      <c r="H241" s="59" t="n"/>
      <c r="I241" s="59" t="n"/>
      <c r="J241" s="59" t="n"/>
      <c r="K241" s="59" t="n"/>
      <c r="L241" s="60">
        <f>IF(SUM(U241:AY241)=0,"",SUM(U241:AY241))</f>
        <v/>
      </c>
      <c r="M241" s="61">
        <f>IFERROR(INDEX(U$2:AY$2,MATCH(TRUE,INDEX(U241:AY241&lt;&gt;"",0),0)),"")</f>
        <v/>
      </c>
      <c r="N241" s="61">
        <f>IFERROR(LOOKUP(2,1/(U241:AY241&lt;&gt;""),U$2:AY$2),"")</f>
        <v/>
      </c>
      <c r="O241" s="59" t="n"/>
      <c r="P241" s="59" t="n"/>
      <c r="Q241" s="59" t="n"/>
      <c r="R241" s="59" t="n"/>
      <c r="S241" s="14" t="n"/>
      <c r="U241" s="53" t="n"/>
      <c r="V241" s="53" t="n"/>
      <c r="W241" s="53" t="n"/>
      <c r="X241" s="53" t="n"/>
      <c r="Y241" s="53" t="n"/>
      <c r="Z241" s="53" t="n"/>
      <c r="AA241" s="53" t="n"/>
      <c r="AB241" s="53" t="n"/>
      <c r="AC241" s="53" t="n"/>
      <c r="AD241" s="53" t="n"/>
      <c r="AE241" s="53" t="n"/>
      <c r="AF241" s="53" t="n"/>
      <c r="AG241" s="53" t="n"/>
      <c r="AH241" s="53" t="n"/>
      <c r="AI241" s="53" t="n"/>
      <c r="AJ241" s="53" t="n"/>
      <c r="AK241" s="53" t="n"/>
      <c r="AL241" s="53" t="n"/>
      <c r="AM241" s="53" t="n"/>
      <c r="AN241" s="53" t="n"/>
      <c r="AO241" s="53" t="n"/>
      <c r="AP241" s="53" t="n"/>
      <c r="AQ241" s="53" t="n"/>
      <c r="AR241" s="53" t="n"/>
      <c r="AS241" s="53" t="n"/>
      <c r="AT241" s="53" t="n"/>
      <c r="AU241" s="53" t="n"/>
      <c r="AV241" s="53" t="n"/>
      <c r="AW241" s="53" t="n"/>
      <c r="AX241" s="53" t="n"/>
      <c r="AY241" s="53" t="n"/>
    </row>
    <row r="242" ht="15" customHeight="1">
      <c r="A242" s="62" t="n"/>
      <c r="B242" s="55">
        <f>IF($B$240="","",$B$240)</f>
        <v/>
      </c>
      <c r="C242" s="63" t="inlineStr">
        <is>
          <t>마케팅4팀</t>
        </is>
      </c>
      <c r="D242" s="55">
        <f>IF($D$240="","",$D$240)</f>
        <v/>
      </c>
      <c r="E242" s="64" t="inlineStr">
        <is>
          <t>영상</t>
        </is>
      </c>
      <c r="F242" s="44" t="n"/>
      <c r="G242" s="58">
        <f>IF($G$240="","",$G$240)</f>
        <v/>
      </c>
      <c r="H242" s="59" t="n"/>
      <c r="I242" s="59" t="n"/>
      <c r="J242" s="59" t="n"/>
      <c r="K242" s="59" t="n"/>
      <c r="L242" s="65">
        <f>IF(SUM(U242:AY242)=0,"",SUM(U242:AY242))</f>
        <v/>
      </c>
      <c r="M242" s="66">
        <f>IFERROR(INDEX(U$2:AY$2,MATCH(TRUE,INDEX(U242:AY242&lt;&gt;"",0),0)),"")</f>
        <v/>
      </c>
      <c r="N242" s="66">
        <f>IFERROR(LOOKUP(2,1/(U242:AY242&lt;&gt;""),U$2:AY$2),"")</f>
        <v/>
      </c>
      <c r="O242" s="59" t="n"/>
      <c r="P242" s="59" t="n"/>
      <c r="Q242" s="59" t="n"/>
      <c r="R242" s="59" t="n"/>
      <c r="S242" s="14" t="n"/>
      <c r="U242" s="53" t="n"/>
      <c r="V242" s="53" t="n"/>
      <c r="W242" s="53" t="n"/>
      <c r="X242" s="53" t="n"/>
      <c r="Y242" s="53" t="n"/>
      <c r="Z242" s="53" t="n"/>
      <c r="AA242" s="53" t="n"/>
      <c r="AB242" s="53" t="n"/>
      <c r="AC242" s="53" t="n"/>
      <c r="AD242" s="53" t="n"/>
      <c r="AE242" s="53" t="n"/>
      <c r="AF242" s="53" t="n"/>
      <c r="AG242" s="53" t="n"/>
      <c r="AH242" s="53" t="n"/>
      <c r="AI242" s="53" t="n"/>
      <c r="AJ242" s="53" t="n"/>
      <c r="AK242" s="53" t="n"/>
      <c r="AL242" s="53" t="n"/>
      <c r="AM242" s="53" t="n"/>
      <c r="AN242" s="53" t="n"/>
      <c r="AO242" s="53" t="n"/>
      <c r="AP242" s="53" t="n"/>
      <c r="AQ242" s="53" t="n"/>
      <c r="AR242" s="53" t="n"/>
      <c r="AS242" s="53" t="n"/>
      <c r="AT242" s="53" t="n"/>
      <c r="AU242" s="53" t="n"/>
      <c r="AV242" s="53" t="n"/>
      <c r="AW242" s="53" t="n"/>
      <c r="AX242" s="53" t="n"/>
      <c r="AY242" s="53" t="n"/>
    </row>
    <row r="243" ht="15" customHeight="1">
      <c r="A243" s="40">
        <f>IF($D$243="","",78)</f>
        <v/>
      </c>
      <c r="B243" s="10" t="n"/>
      <c r="C243" s="41" t="inlineStr">
        <is>
          <t>마케팅4팀</t>
        </is>
      </c>
      <c r="D243" s="42" t="n"/>
      <c r="E243" s="43" t="inlineStr">
        <is>
          <t>기획</t>
        </is>
      </c>
      <c r="F243" s="44" t="n"/>
      <c r="G243" s="45" t="n"/>
      <c r="H243" s="46">
        <f>IF($I$243="","",IF($I$243&lt;0,"🔴지연",IF($I$243&lt;=1,"🟡임박","🟢여유")))</f>
        <v/>
      </c>
      <c r="I243" s="47">
        <f>IF(OR($G$243="",$K$243=""),"",$G$243-$K$243)</f>
        <v/>
      </c>
      <c r="J243" s="48">
        <f>IF(SUM($L$243:$L$245)=0,"",SUM($L$243:$L$245))</f>
        <v/>
      </c>
      <c r="K243" s="49">
        <f>IF($J$243="","",MAX($N$243:$N$245))</f>
        <v/>
      </c>
      <c r="L243" s="50">
        <f>IF(SUM(U243:AY243)=0,"",SUM(U243:AY243))</f>
        <v/>
      </c>
      <c r="M243" s="51">
        <f>IFERROR(INDEX(U$2:AY$2,MATCH(TRUE,INDEX(U243:AY243&lt;&gt;"",0),0)),"")</f>
        <v/>
      </c>
      <c r="N243" s="51">
        <f>IFERROR(LOOKUP(2,1/(U243:AY243&lt;&gt;""),U$2:AY$2),"")</f>
        <v/>
      </c>
      <c r="O243" s="52" t="n"/>
      <c r="P243" s="52" t="n"/>
      <c r="Q243" s="52" t="n"/>
      <c r="R243" s="44" t="n"/>
      <c r="S243" s="14" t="n"/>
      <c r="U243" s="53" t="n"/>
      <c r="V243" s="53" t="n"/>
      <c r="W243" s="53" t="n"/>
      <c r="X243" s="53" t="n"/>
      <c r="Y243" s="53" t="n"/>
      <c r="Z243" s="53" t="n"/>
      <c r="AA243" s="53" t="n"/>
      <c r="AB243" s="53" t="n"/>
      <c r="AC243" s="53" t="n"/>
      <c r="AD243" s="53" t="n"/>
      <c r="AE243" s="53" t="n"/>
      <c r="AF243" s="53" t="n"/>
      <c r="AG243" s="53" t="n"/>
      <c r="AH243" s="53" t="n"/>
      <c r="AI243" s="53" t="n"/>
      <c r="AJ243" s="53" t="n"/>
      <c r="AK243" s="53" t="n"/>
      <c r="AL243" s="53" t="n"/>
      <c r="AM243" s="53" t="n"/>
      <c r="AN243" s="53" t="n"/>
      <c r="AO243" s="53" t="n"/>
      <c r="AP243" s="53" t="n"/>
      <c r="AQ243" s="53" t="n"/>
      <c r="AR243" s="53" t="n"/>
      <c r="AS243" s="53" t="n"/>
      <c r="AT243" s="53" t="n"/>
      <c r="AU243" s="53" t="n"/>
      <c r="AV243" s="53" t="n"/>
      <c r="AW243" s="53" t="n"/>
      <c r="AX243" s="53" t="n"/>
      <c r="AY243" s="53" t="n"/>
    </row>
    <row r="244" ht="15" customHeight="1">
      <c r="A244" s="54" t="n"/>
      <c r="B244" s="55">
        <f>IF($B$243="","",$B$243)</f>
        <v/>
      </c>
      <c r="C244" s="56" t="inlineStr">
        <is>
          <t>마케팅4팀</t>
        </is>
      </c>
      <c r="D244" s="55">
        <f>IF($D$243="","",$D$243)</f>
        <v/>
      </c>
      <c r="E244" s="57" t="inlineStr">
        <is>
          <t>이미지</t>
        </is>
      </c>
      <c r="F244" s="44" t="n"/>
      <c r="G244" s="58">
        <f>IF($G$243="","",$G$243)</f>
        <v/>
      </c>
      <c r="H244" s="59" t="n"/>
      <c r="I244" s="59" t="n"/>
      <c r="J244" s="59" t="n"/>
      <c r="K244" s="59" t="n"/>
      <c r="L244" s="60">
        <f>IF(SUM(U244:AY244)=0,"",SUM(U244:AY244))</f>
        <v/>
      </c>
      <c r="M244" s="61">
        <f>IFERROR(INDEX(U$2:AY$2,MATCH(TRUE,INDEX(U244:AY244&lt;&gt;"",0),0)),"")</f>
        <v/>
      </c>
      <c r="N244" s="61">
        <f>IFERROR(LOOKUP(2,1/(U244:AY244&lt;&gt;""),U$2:AY$2),"")</f>
        <v/>
      </c>
      <c r="O244" s="59" t="n"/>
      <c r="P244" s="59" t="n"/>
      <c r="Q244" s="59" t="n"/>
      <c r="R244" s="59" t="n"/>
      <c r="S244" s="14" t="n"/>
      <c r="U244" s="53" t="n"/>
      <c r="V244" s="53" t="n"/>
      <c r="W244" s="53" t="n"/>
      <c r="X244" s="53" t="n"/>
      <c r="Y244" s="53" t="n"/>
      <c r="Z244" s="53" t="n"/>
      <c r="AA244" s="53" t="n"/>
      <c r="AB244" s="53" t="n"/>
      <c r="AC244" s="53" t="n"/>
      <c r="AD244" s="53" t="n"/>
      <c r="AE244" s="53" t="n"/>
      <c r="AF244" s="53" t="n"/>
      <c r="AG244" s="53" t="n"/>
      <c r="AH244" s="53" t="n"/>
      <c r="AI244" s="53" t="n"/>
      <c r="AJ244" s="53" t="n"/>
      <c r="AK244" s="53" t="n"/>
      <c r="AL244" s="53" t="n"/>
      <c r="AM244" s="53" t="n"/>
      <c r="AN244" s="53" t="n"/>
      <c r="AO244" s="53" t="n"/>
      <c r="AP244" s="53" t="n"/>
      <c r="AQ244" s="53" t="n"/>
      <c r="AR244" s="53" t="n"/>
      <c r="AS244" s="53" t="n"/>
      <c r="AT244" s="53" t="n"/>
      <c r="AU244" s="53" t="n"/>
      <c r="AV244" s="53" t="n"/>
      <c r="AW244" s="53" t="n"/>
      <c r="AX244" s="53" t="n"/>
      <c r="AY244" s="53" t="n"/>
    </row>
    <row r="245" ht="15" customHeight="1">
      <c r="A245" s="62" t="n"/>
      <c r="B245" s="55">
        <f>IF($B$243="","",$B$243)</f>
        <v/>
      </c>
      <c r="C245" s="63" t="inlineStr">
        <is>
          <t>마케팅4팀</t>
        </is>
      </c>
      <c r="D245" s="55">
        <f>IF($D$243="","",$D$243)</f>
        <v/>
      </c>
      <c r="E245" s="64" t="inlineStr">
        <is>
          <t>영상</t>
        </is>
      </c>
      <c r="F245" s="44" t="n"/>
      <c r="G245" s="58">
        <f>IF($G$243="","",$G$243)</f>
        <v/>
      </c>
      <c r="H245" s="59" t="n"/>
      <c r="I245" s="59" t="n"/>
      <c r="J245" s="59" t="n"/>
      <c r="K245" s="59" t="n"/>
      <c r="L245" s="65">
        <f>IF(SUM(U245:AY245)=0,"",SUM(U245:AY245))</f>
        <v/>
      </c>
      <c r="M245" s="66">
        <f>IFERROR(INDEX(U$2:AY$2,MATCH(TRUE,INDEX(U245:AY245&lt;&gt;"",0),0)),"")</f>
        <v/>
      </c>
      <c r="N245" s="66">
        <f>IFERROR(LOOKUP(2,1/(U245:AY245&lt;&gt;""),U$2:AY$2),"")</f>
        <v/>
      </c>
      <c r="O245" s="59" t="n"/>
      <c r="P245" s="59" t="n"/>
      <c r="Q245" s="59" t="n"/>
      <c r="R245" s="59" t="n"/>
      <c r="S245" s="14" t="n"/>
      <c r="U245" s="53" t="n"/>
      <c r="V245" s="53" t="n"/>
      <c r="W245" s="53" t="n"/>
      <c r="X245" s="53" t="n"/>
      <c r="Y245" s="53" t="n"/>
      <c r="Z245" s="53" t="n"/>
      <c r="AA245" s="53" t="n"/>
      <c r="AB245" s="53" t="n"/>
      <c r="AC245" s="53" t="n"/>
      <c r="AD245" s="53" t="n"/>
      <c r="AE245" s="53" t="n"/>
      <c r="AF245" s="53" t="n"/>
      <c r="AG245" s="53" t="n"/>
      <c r="AH245" s="53" t="n"/>
      <c r="AI245" s="53" t="n"/>
      <c r="AJ245" s="53" t="n"/>
      <c r="AK245" s="53" t="n"/>
      <c r="AL245" s="53" t="n"/>
      <c r="AM245" s="53" t="n"/>
      <c r="AN245" s="53" t="n"/>
      <c r="AO245" s="53" t="n"/>
      <c r="AP245" s="53" t="n"/>
      <c r="AQ245" s="53" t="n"/>
      <c r="AR245" s="53" t="n"/>
      <c r="AS245" s="53" t="n"/>
      <c r="AT245" s="53" t="n"/>
      <c r="AU245" s="53" t="n"/>
      <c r="AV245" s="53" t="n"/>
      <c r="AW245" s="53" t="n"/>
      <c r="AX245" s="53" t="n"/>
      <c r="AY245" s="53" t="n"/>
    </row>
    <row r="246" ht="15" customHeight="1">
      <c r="A246" s="40">
        <f>IF($D$246="","",79)</f>
        <v/>
      </c>
      <c r="B246" s="10" t="n"/>
      <c r="C246" s="41" t="inlineStr">
        <is>
          <t>마케팅4팀</t>
        </is>
      </c>
      <c r="D246" s="42" t="n"/>
      <c r="E246" s="43" t="inlineStr">
        <is>
          <t>기획</t>
        </is>
      </c>
      <c r="F246" s="44" t="n"/>
      <c r="G246" s="45" t="n"/>
      <c r="H246" s="46">
        <f>IF($I$246="","",IF($I$246&lt;0,"🔴지연",IF($I$246&lt;=1,"🟡임박","🟢여유")))</f>
        <v/>
      </c>
      <c r="I246" s="47">
        <f>IF(OR($G$246="",$K$246=""),"",$G$246-$K$246)</f>
        <v/>
      </c>
      <c r="J246" s="48">
        <f>IF(SUM($L$246:$L$248)=0,"",SUM($L$246:$L$248))</f>
        <v/>
      </c>
      <c r="K246" s="49">
        <f>IF($J$246="","",MAX($N$246:$N$248))</f>
        <v/>
      </c>
      <c r="L246" s="50">
        <f>IF(SUM(U246:AY246)=0,"",SUM(U246:AY246))</f>
        <v/>
      </c>
      <c r="M246" s="51">
        <f>IFERROR(INDEX(U$2:AY$2,MATCH(TRUE,INDEX(U246:AY246&lt;&gt;"",0),0)),"")</f>
        <v/>
      </c>
      <c r="N246" s="51">
        <f>IFERROR(LOOKUP(2,1/(U246:AY246&lt;&gt;""),U$2:AY$2),"")</f>
        <v/>
      </c>
      <c r="O246" s="52" t="n"/>
      <c r="P246" s="52" t="n"/>
      <c r="Q246" s="52" t="n"/>
      <c r="R246" s="44" t="n"/>
      <c r="S246" s="14" t="n"/>
      <c r="U246" s="53" t="n"/>
      <c r="V246" s="53" t="n"/>
      <c r="W246" s="53" t="n"/>
      <c r="X246" s="53" t="n"/>
      <c r="Y246" s="53" t="n"/>
      <c r="Z246" s="53" t="n"/>
      <c r="AA246" s="53" t="n"/>
      <c r="AB246" s="53" t="n"/>
      <c r="AC246" s="53" t="n"/>
      <c r="AD246" s="53" t="n"/>
      <c r="AE246" s="53" t="n"/>
      <c r="AF246" s="53" t="n"/>
      <c r="AG246" s="53" t="n"/>
      <c r="AH246" s="53" t="n"/>
      <c r="AI246" s="53" t="n"/>
      <c r="AJ246" s="53" t="n"/>
      <c r="AK246" s="53" t="n"/>
      <c r="AL246" s="53" t="n"/>
      <c r="AM246" s="53" t="n"/>
      <c r="AN246" s="53" t="n"/>
      <c r="AO246" s="53" t="n"/>
      <c r="AP246" s="53" t="n"/>
      <c r="AQ246" s="53" t="n"/>
      <c r="AR246" s="53" t="n"/>
      <c r="AS246" s="53" t="n"/>
      <c r="AT246" s="53" t="n"/>
      <c r="AU246" s="53" t="n"/>
      <c r="AV246" s="53" t="n"/>
      <c r="AW246" s="53" t="n"/>
      <c r="AX246" s="53" t="n"/>
      <c r="AY246" s="53" t="n"/>
    </row>
    <row r="247" ht="15" customHeight="1">
      <c r="A247" s="54" t="n"/>
      <c r="B247" s="55">
        <f>IF($B$246="","",$B$246)</f>
        <v/>
      </c>
      <c r="C247" s="56" t="inlineStr">
        <is>
          <t>마케팅4팀</t>
        </is>
      </c>
      <c r="D247" s="55">
        <f>IF($D$246="","",$D$246)</f>
        <v/>
      </c>
      <c r="E247" s="57" t="inlineStr">
        <is>
          <t>이미지</t>
        </is>
      </c>
      <c r="F247" s="44" t="n"/>
      <c r="G247" s="58">
        <f>IF($G$246="","",$G$246)</f>
        <v/>
      </c>
      <c r="H247" s="59" t="n"/>
      <c r="I247" s="59" t="n"/>
      <c r="J247" s="59" t="n"/>
      <c r="K247" s="59" t="n"/>
      <c r="L247" s="60">
        <f>IF(SUM(U247:AY247)=0,"",SUM(U247:AY247))</f>
        <v/>
      </c>
      <c r="M247" s="61">
        <f>IFERROR(INDEX(U$2:AY$2,MATCH(TRUE,INDEX(U247:AY247&lt;&gt;"",0),0)),"")</f>
        <v/>
      </c>
      <c r="N247" s="61">
        <f>IFERROR(LOOKUP(2,1/(U247:AY247&lt;&gt;""),U$2:AY$2),"")</f>
        <v/>
      </c>
      <c r="O247" s="59" t="n"/>
      <c r="P247" s="59" t="n"/>
      <c r="Q247" s="59" t="n"/>
      <c r="R247" s="59" t="n"/>
      <c r="S247" s="14" t="n"/>
      <c r="U247" s="53" t="n"/>
      <c r="V247" s="53" t="n"/>
      <c r="W247" s="53" t="n"/>
      <c r="X247" s="53" t="n"/>
      <c r="Y247" s="53" t="n"/>
      <c r="Z247" s="53" t="n"/>
      <c r="AA247" s="53" t="n"/>
      <c r="AB247" s="53" t="n"/>
      <c r="AC247" s="53" t="n"/>
      <c r="AD247" s="53" t="n"/>
      <c r="AE247" s="53" t="n"/>
      <c r="AF247" s="53" t="n"/>
      <c r="AG247" s="53" t="n"/>
      <c r="AH247" s="53" t="n"/>
      <c r="AI247" s="53" t="n"/>
      <c r="AJ247" s="53" t="n"/>
      <c r="AK247" s="53" t="n"/>
      <c r="AL247" s="53" t="n"/>
      <c r="AM247" s="53" t="n"/>
      <c r="AN247" s="53" t="n"/>
      <c r="AO247" s="53" t="n"/>
      <c r="AP247" s="53" t="n"/>
      <c r="AQ247" s="53" t="n"/>
      <c r="AR247" s="53" t="n"/>
      <c r="AS247" s="53" t="n"/>
      <c r="AT247" s="53" t="n"/>
      <c r="AU247" s="53" t="n"/>
      <c r="AV247" s="53" t="n"/>
      <c r="AW247" s="53" t="n"/>
      <c r="AX247" s="53" t="n"/>
      <c r="AY247" s="53" t="n"/>
    </row>
    <row r="248" ht="15" customHeight="1">
      <c r="A248" s="62" t="n"/>
      <c r="B248" s="55">
        <f>IF($B$246="","",$B$246)</f>
        <v/>
      </c>
      <c r="C248" s="63" t="inlineStr">
        <is>
          <t>마케팅4팀</t>
        </is>
      </c>
      <c r="D248" s="55">
        <f>IF($D$246="","",$D$246)</f>
        <v/>
      </c>
      <c r="E248" s="64" t="inlineStr">
        <is>
          <t>영상</t>
        </is>
      </c>
      <c r="F248" s="44" t="n"/>
      <c r="G248" s="58">
        <f>IF($G$246="","",$G$246)</f>
        <v/>
      </c>
      <c r="H248" s="59" t="n"/>
      <c r="I248" s="59" t="n"/>
      <c r="J248" s="59" t="n"/>
      <c r="K248" s="59" t="n"/>
      <c r="L248" s="65">
        <f>IF(SUM(U248:AY248)=0,"",SUM(U248:AY248))</f>
        <v/>
      </c>
      <c r="M248" s="66">
        <f>IFERROR(INDEX(U$2:AY$2,MATCH(TRUE,INDEX(U248:AY248&lt;&gt;"",0),0)),"")</f>
        <v/>
      </c>
      <c r="N248" s="66">
        <f>IFERROR(LOOKUP(2,1/(U248:AY248&lt;&gt;""),U$2:AY$2),"")</f>
        <v/>
      </c>
      <c r="O248" s="59" t="n"/>
      <c r="P248" s="59" t="n"/>
      <c r="Q248" s="59" t="n"/>
      <c r="R248" s="59" t="n"/>
      <c r="S248" s="14" t="n"/>
      <c r="U248" s="53" t="n"/>
      <c r="V248" s="53" t="n"/>
      <c r="W248" s="53" t="n"/>
      <c r="X248" s="53" t="n"/>
      <c r="Y248" s="53" t="n"/>
      <c r="Z248" s="53" t="n"/>
      <c r="AA248" s="53" t="n"/>
      <c r="AB248" s="53" t="n"/>
      <c r="AC248" s="53" t="n"/>
      <c r="AD248" s="53" t="n"/>
      <c r="AE248" s="53" t="n"/>
      <c r="AF248" s="53" t="n"/>
      <c r="AG248" s="53" t="n"/>
      <c r="AH248" s="53" t="n"/>
      <c r="AI248" s="53" t="n"/>
      <c r="AJ248" s="53" t="n"/>
      <c r="AK248" s="53" t="n"/>
      <c r="AL248" s="53" t="n"/>
      <c r="AM248" s="53" t="n"/>
      <c r="AN248" s="53" t="n"/>
      <c r="AO248" s="53" t="n"/>
      <c r="AP248" s="53" t="n"/>
      <c r="AQ248" s="53" t="n"/>
      <c r="AR248" s="53" t="n"/>
      <c r="AS248" s="53" t="n"/>
      <c r="AT248" s="53" t="n"/>
      <c r="AU248" s="53" t="n"/>
      <c r="AV248" s="53" t="n"/>
      <c r="AW248" s="53" t="n"/>
      <c r="AX248" s="53" t="n"/>
      <c r="AY248" s="53" t="n"/>
    </row>
    <row r="249" ht="15" customHeight="1">
      <c r="A249" s="40">
        <f>IF($D$249="","",80)</f>
        <v/>
      </c>
      <c r="B249" s="10" t="n"/>
      <c r="C249" s="41" t="inlineStr">
        <is>
          <t>마케팅4팀</t>
        </is>
      </c>
      <c r="D249" s="42" t="n"/>
      <c r="E249" s="43" t="inlineStr">
        <is>
          <t>기획</t>
        </is>
      </c>
      <c r="F249" s="44" t="n"/>
      <c r="G249" s="45" t="n"/>
      <c r="H249" s="46">
        <f>IF($I$249="","",IF($I$249&lt;0,"🔴지연",IF($I$249&lt;=1,"🟡임박","🟢여유")))</f>
        <v/>
      </c>
      <c r="I249" s="47">
        <f>IF(OR($G$249="",$K$249=""),"",$G$249-$K$249)</f>
        <v/>
      </c>
      <c r="J249" s="48">
        <f>IF(SUM($L$249:$L$251)=0,"",SUM($L$249:$L$251))</f>
        <v/>
      </c>
      <c r="K249" s="49">
        <f>IF($J$249="","",MAX($N$249:$N$251))</f>
        <v/>
      </c>
      <c r="L249" s="50">
        <f>IF(SUM(U249:AY249)=0,"",SUM(U249:AY249))</f>
        <v/>
      </c>
      <c r="M249" s="51">
        <f>IFERROR(INDEX(U$2:AY$2,MATCH(TRUE,INDEX(U249:AY249&lt;&gt;"",0),0)),"")</f>
        <v/>
      </c>
      <c r="N249" s="51">
        <f>IFERROR(LOOKUP(2,1/(U249:AY249&lt;&gt;""),U$2:AY$2),"")</f>
        <v/>
      </c>
      <c r="O249" s="52" t="n"/>
      <c r="P249" s="52" t="n"/>
      <c r="Q249" s="52" t="n"/>
      <c r="R249" s="44" t="n"/>
      <c r="S249" s="14" t="n"/>
      <c r="U249" s="53" t="n"/>
      <c r="V249" s="53" t="n"/>
      <c r="W249" s="53" t="n"/>
      <c r="X249" s="53" t="n"/>
      <c r="Y249" s="53" t="n"/>
      <c r="Z249" s="53" t="n"/>
      <c r="AA249" s="53" t="n"/>
      <c r="AB249" s="53" t="n"/>
      <c r="AC249" s="53" t="n"/>
      <c r="AD249" s="53" t="n"/>
      <c r="AE249" s="53" t="n"/>
      <c r="AF249" s="53" t="n"/>
      <c r="AG249" s="53" t="n"/>
      <c r="AH249" s="53" t="n"/>
      <c r="AI249" s="53" t="n"/>
      <c r="AJ249" s="53" t="n"/>
      <c r="AK249" s="53" t="n"/>
      <c r="AL249" s="53" t="n"/>
      <c r="AM249" s="53" t="n"/>
      <c r="AN249" s="53" t="n"/>
      <c r="AO249" s="53" t="n"/>
      <c r="AP249" s="53" t="n"/>
      <c r="AQ249" s="53" t="n"/>
      <c r="AR249" s="53" t="n"/>
      <c r="AS249" s="53" t="n"/>
      <c r="AT249" s="53" t="n"/>
      <c r="AU249" s="53" t="n"/>
      <c r="AV249" s="53" t="n"/>
      <c r="AW249" s="53" t="n"/>
      <c r="AX249" s="53" t="n"/>
      <c r="AY249" s="53" t="n"/>
    </row>
    <row r="250" ht="15" customHeight="1">
      <c r="A250" s="54" t="n"/>
      <c r="B250" s="55">
        <f>IF($B$249="","",$B$249)</f>
        <v/>
      </c>
      <c r="C250" s="56" t="inlineStr">
        <is>
          <t>마케팅4팀</t>
        </is>
      </c>
      <c r="D250" s="55">
        <f>IF($D$249="","",$D$249)</f>
        <v/>
      </c>
      <c r="E250" s="57" t="inlineStr">
        <is>
          <t>이미지</t>
        </is>
      </c>
      <c r="F250" s="44" t="n"/>
      <c r="G250" s="58">
        <f>IF($G$249="","",$G$249)</f>
        <v/>
      </c>
      <c r="H250" s="59" t="n"/>
      <c r="I250" s="59" t="n"/>
      <c r="J250" s="59" t="n"/>
      <c r="K250" s="59" t="n"/>
      <c r="L250" s="60">
        <f>IF(SUM(U250:AY250)=0,"",SUM(U250:AY250))</f>
        <v/>
      </c>
      <c r="M250" s="61">
        <f>IFERROR(INDEX(U$2:AY$2,MATCH(TRUE,INDEX(U250:AY250&lt;&gt;"",0),0)),"")</f>
        <v/>
      </c>
      <c r="N250" s="61">
        <f>IFERROR(LOOKUP(2,1/(U250:AY250&lt;&gt;""),U$2:AY$2),"")</f>
        <v/>
      </c>
      <c r="O250" s="59" t="n"/>
      <c r="P250" s="59" t="n"/>
      <c r="Q250" s="59" t="n"/>
      <c r="R250" s="59" t="n"/>
      <c r="S250" s="14" t="n"/>
      <c r="U250" s="53" t="n"/>
      <c r="V250" s="53" t="n"/>
      <c r="W250" s="53" t="n"/>
      <c r="X250" s="53" t="n"/>
      <c r="Y250" s="53" t="n"/>
      <c r="Z250" s="53" t="n"/>
      <c r="AA250" s="53" t="n"/>
      <c r="AB250" s="53" t="n"/>
      <c r="AC250" s="53" t="n"/>
      <c r="AD250" s="53" t="n"/>
      <c r="AE250" s="53" t="n"/>
      <c r="AF250" s="53" t="n"/>
      <c r="AG250" s="53" t="n"/>
      <c r="AH250" s="53" t="n"/>
      <c r="AI250" s="53" t="n"/>
      <c r="AJ250" s="53" t="n"/>
      <c r="AK250" s="53" t="n"/>
      <c r="AL250" s="53" t="n"/>
      <c r="AM250" s="53" t="n"/>
      <c r="AN250" s="53" t="n"/>
      <c r="AO250" s="53" t="n"/>
      <c r="AP250" s="53" t="n"/>
      <c r="AQ250" s="53" t="n"/>
      <c r="AR250" s="53" t="n"/>
      <c r="AS250" s="53" t="n"/>
      <c r="AT250" s="53" t="n"/>
      <c r="AU250" s="53" t="n"/>
      <c r="AV250" s="53" t="n"/>
      <c r="AW250" s="53" t="n"/>
      <c r="AX250" s="53" t="n"/>
      <c r="AY250" s="53" t="n"/>
    </row>
    <row r="251" ht="15" customHeight="1">
      <c r="A251" s="62" t="n"/>
      <c r="B251" s="55">
        <f>IF($B$249="","",$B$249)</f>
        <v/>
      </c>
      <c r="C251" s="63" t="inlineStr">
        <is>
          <t>마케팅4팀</t>
        </is>
      </c>
      <c r="D251" s="55">
        <f>IF($D$249="","",$D$249)</f>
        <v/>
      </c>
      <c r="E251" s="64" t="inlineStr">
        <is>
          <t>영상</t>
        </is>
      </c>
      <c r="F251" s="44" t="n"/>
      <c r="G251" s="58">
        <f>IF($G$249="","",$G$249)</f>
        <v/>
      </c>
      <c r="H251" s="59" t="n"/>
      <c r="I251" s="59" t="n"/>
      <c r="J251" s="59" t="n"/>
      <c r="K251" s="59" t="n"/>
      <c r="L251" s="65">
        <f>IF(SUM(U251:AY251)=0,"",SUM(U251:AY251))</f>
        <v/>
      </c>
      <c r="M251" s="66">
        <f>IFERROR(INDEX(U$2:AY$2,MATCH(TRUE,INDEX(U251:AY251&lt;&gt;"",0),0)),"")</f>
        <v/>
      </c>
      <c r="N251" s="66">
        <f>IFERROR(LOOKUP(2,1/(U251:AY251&lt;&gt;""),U$2:AY$2),"")</f>
        <v/>
      </c>
      <c r="O251" s="59" t="n"/>
      <c r="P251" s="59" t="n"/>
      <c r="Q251" s="59" t="n"/>
      <c r="R251" s="59" t="n"/>
      <c r="S251" s="14" t="n"/>
      <c r="U251" s="53" t="n"/>
      <c r="V251" s="53" t="n"/>
      <c r="W251" s="53" t="n"/>
      <c r="X251" s="53" t="n"/>
      <c r="Y251" s="53" t="n"/>
      <c r="Z251" s="53" t="n"/>
      <c r="AA251" s="53" t="n"/>
      <c r="AB251" s="53" t="n"/>
      <c r="AC251" s="53" t="n"/>
      <c r="AD251" s="53" t="n"/>
      <c r="AE251" s="53" t="n"/>
      <c r="AF251" s="53" t="n"/>
      <c r="AG251" s="53" t="n"/>
      <c r="AH251" s="53" t="n"/>
      <c r="AI251" s="53" t="n"/>
      <c r="AJ251" s="53" t="n"/>
      <c r="AK251" s="53" t="n"/>
      <c r="AL251" s="53" t="n"/>
      <c r="AM251" s="53" t="n"/>
      <c r="AN251" s="53" t="n"/>
      <c r="AO251" s="53" t="n"/>
      <c r="AP251" s="53" t="n"/>
      <c r="AQ251" s="53" t="n"/>
      <c r="AR251" s="53" t="n"/>
      <c r="AS251" s="53" t="n"/>
      <c r="AT251" s="53" t="n"/>
      <c r="AU251" s="53" t="n"/>
      <c r="AV251" s="53" t="n"/>
      <c r="AW251" s="53" t="n"/>
      <c r="AX251" s="53" t="n"/>
      <c r="AY251" s="53" t="n"/>
    </row>
    <row r="252" ht="18" customHeight="1">
      <c r="A252" s="39" t="inlineStr">
        <is>
          <t>기타   (253~312행 · 소재 20개)</t>
        </is>
      </c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  <c r="AA252" s="8" t="n"/>
      <c r="AB252" s="8" t="n"/>
      <c r="AC252" s="8" t="n"/>
      <c r="AD252" s="8" t="n"/>
      <c r="AE252" s="8" t="n"/>
      <c r="AF252" s="8" t="n"/>
      <c r="AG252" s="8" t="n"/>
      <c r="AH252" s="8" t="n"/>
      <c r="AI252" s="8" t="n"/>
      <c r="AJ252" s="8" t="n"/>
      <c r="AK252" s="8" t="n"/>
      <c r="AL252" s="8" t="n"/>
      <c r="AM252" s="8" t="n"/>
      <c r="AN252" s="8" t="n"/>
      <c r="AO252" s="8" t="n"/>
      <c r="AP252" s="8" t="n"/>
      <c r="AQ252" s="8" t="n"/>
      <c r="AR252" s="8" t="n"/>
      <c r="AS252" s="8" t="n"/>
      <c r="AT252" s="8" t="n"/>
      <c r="AU252" s="8" t="n"/>
      <c r="AV252" s="8" t="n"/>
      <c r="AW252" s="8" t="n"/>
      <c r="AX252" s="8" t="n"/>
      <c r="AY252" s="4" t="n"/>
    </row>
    <row r="253" ht="15" customHeight="1">
      <c r="A253" s="40">
        <f>IF($D$253="","",81)</f>
        <v/>
      </c>
      <c r="B253" s="10" t="n"/>
      <c r="C253" s="41" t="inlineStr">
        <is>
          <t>기타</t>
        </is>
      </c>
      <c r="D253" s="42" t="n"/>
      <c r="E253" s="43" t="inlineStr">
        <is>
          <t>기획</t>
        </is>
      </c>
      <c r="F253" s="44" t="n"/>
      <c r="G253" s="45" t="n"/>
      <c r="H253" s="46">
        <f>IF($I$253="","",IF($I$253&lt;0,"🔴지연",IF($I$253&lt;=1,"🟡임박","🟢여유")))</f>
        <v/>
      </c>
      <c r="I253" s="47">
        <f>IF(OR($G$253="",$K$253=""),"",$G$253-$K$253)</f>
        <v/>
      </c>
      <c r="J253" s="48">
        <f>IF(SUM($L$253:$L$255)=0,"",SUM($L$253:$L$255))</f>
        <v/>
      </c>
      <c r="K253" s="49">
        <f>IF($J$253="","",MAX($N$253:$N$255))</f>
        <v/>
      </c>
      <c r="L253" s="50">
        <f>IF(SUM(U253:AY253)=0,"",SUM(U253:AY253))</f>
        <v/>
      </c>
      <c r="M253" s="51">
        <f>IFERROR(INDEX(U$2:AY$2,MATCH(TRUE,INDEX(U253:AY253&lt;&gt;"",0),0)),"")</f>
        <v/>
      </c>
      <c r="N253" s="51">
        <f>IFERROR(LOOKUP(2,1/(U253:AY253&lt;&gt;""),U$2:AY$2),"")</f>
        <v/>
      </c>
      <c r="O253" s="52" t="n"/>
      <c r="P253" s="52" t="n"/>
      <c r="Q253" s="52" t="n"/>
      <c r="R253" s="44" t="n"/>
      <c r="S253" s="14" t="n"/>
      <c r="U253" s="53" t="n"/>
      <c r="V253" s="53" t="n"/>
      <c r="W253" s="53" t="n"/>
      <c r="X253" s="53" t="n"/>
      <c r="Y253" s="53" t="n"/>
      <c r="Z253" s="53" t="n"/>
      <c r="AA253" s="53" t="n"/>
      <c r="AB253" s="53" t="n"/>
      <c r="AC253" s="53" t="n"/>
      <c r="AD253" s="53" t="n"/>
      <c r="AE253" s="53" t="n"/>
      <c r="AF253" s="53" t="n"/>
      <c r="AG253" s="53" t="n"/>
      <c r="AH253" s="53" t="n"/>
      <c r="AI253" s="53" t="n"/>
      <c r="AJ253" s="53" t="n"/>
      <c r="AK253" s="53" t="n"/>
      <c r="AL253" s="53" t="n"/>
      <c r="AM253" s="53" t="n"/>
      <c r="AN253" s="53" t="n"/>
      <c r="AO253" s="53" t="n"/>
      <c r="AP253" s="53" t="n"/>
      <c r="AQ253" s="53" t="n"/>
      <c r="AR253" s="53" t="n"/>
      <c r="AS253" s="53" t="n"/>
      <c r="AT253" s="53" t="n"/>
      <c r="AU253" s="53" t="n"/>
      <c r="AV253" s="53" t="n"/>
      <c r="AW253" s="53" t="n"/>
      <c r="AX253" s="53" t="n"/>
      <c r="AY253" s="53" t="n"/>
    </row>
    <row r="254" ht="15" customHeight="1">
      <c r="A254" s="54" t="n"/>
      <c r="B254" s="55">
        <f>IF($B$253="","",$B$253)</f>
        <v/>
      </c>
      <c r="C254" s="56" t="inlineStr">
        <is>
          <t>기타</t>
        </is>
      </c>
      <c r="D254" s="55">
        <f>IF($D$253="","",$D$253)</f>
        <v/>
      </c>
      <c r="E254" s="57" t="inlineStr">
        <is>
          <t>이미지</t>
        </is>
      </c>
      <c r="F254" s="44" t="n"/>
      <c r="G254" s="58">
        <f>IF($G$253="","",$G$253)</f>
        <v/>
      </c>
      <c r="H254" s="59" t="n"/>
      <c r="I254" s="59" t="n"/>
      <c r="J254" s="59" t="n"/>
      <c r="K254" s="59" t="n"/>
      <c r="L254" s="60">
        <f>IF(SUM(U254:AY254)=0,"",SUM(U254:AY254))</f>
        <v/>
      </c>
      <c r="M254" s="61">
        <f>IFERROR(INDEX(U$2:AY$2,MATCH(TRUE,INDEX(U254:AY254&lt;&gt;"",0),0)),"")</f>
        <v/>
      </c>
      <c r="N254" s="61">
        <f>IFERROR(LOOKUP(2,1/(U254:AY254&lt;&gt;""),U$2:AY$2),"")</f>
        <v/>
      </c>
      <c r="O254" s="59" t="n"/>
      <c r="P254" s="59" t="n"/>
      <c r="Q254" s="59" t="n"/>
      <c r="R254" s="59" t="n"/>
      <c r="S254" s="14" t="n"/>
      <c r="U254" s="53" t="n"/>
      <c r="V254" s="53" t="n"/>
      <c r="W254" s="53" t="n"/>
      <c r="X254" s="53" t="n"/>
      <c r="Y254" s="53" t="n"/>
      <c r="Z254" s="53" t="n"/>
      <c r="AA254" s="53" t="n"/>
      <c r="AB254" s="53" t="n"/>
      <c r="AC254" s="53" t="n"/>
      <c r="AD254" s="53" t="n"/>
      <c r="AE254" s="53" t="n"/>
      <c r="AF254" s="53" t="n"/>
      <c r="AG254" s="53" t="n"/>
      <c r="AH254" s="53" t="n"/>
      <c r="AI254" s="53" t="n"/>
      <c r="AJ254" s="53" t="n"/>
      <c r="AK254" s="53" t="n"/>
      <c r="AL254" s="53" t="n"/>
      <c r="AM254" s="53" t="n"/>
      <c r="AN254" s="53" t="n"/>
      <c r="AO254" s="53" t="n"/>
      <c r="AP254" s="53" t="n"/>
      <c r="AQ254" s="53" t="n"/>
      <c r="AR254" s="53" t="n"/>
      <c r="AS254" s="53" t="n"/>
      <c r="AT254" s="53" t="n"/>
      <c r="AU254" s="53" t="n"/>
      <c r="AV254" s="53" t="n"/>
      <c r="AW254" s="53" t="n"/>
      <c r="AX254" s="53" t="n"/>
      <c r="AY254" s="53" t="n"/>
    </row>
    <row r="255" ht="15" customHeight="1">
      <c r="A255" s="62" t="n"/>
      <c r="B255" s="55">
        <f>IF($B$253="","",$B$253)</f>
        <v/>
      </c>
      <c r="C255" s="63" t="inlineStr">
        <is>
          <t>기타</t>
        </is>
      </c>
      <c r="D255" s="55">
        <f>IF($D$253="","",$D$253)</f>
        <v/>
      </c>
      <c r="E255" s="64" t="inlineStr">
        <is>
          <t>영상</t>
        </is>
      </c>
      <c r="F255" s="44" t="n"/>
      <c r="G255" s="58">
        <f>IF($G$253="","",$G$253)</f>
        <v/>
      </c>
      <c r="H255" s="59" t="n"/>
      <c r="I255" s="59" t="n"/>
      <c r="J255" s="59" t="n"/>
      <c r="K255" s="59" t="n"/>
      <c r="L255" s="65">
        <f>IF(SUM(U255:AY255)=0,"",SUM(U255:AY255))</f>
        <v/>
      </c>
      <c r="M255" s="66">
        <f>IFERROR(INDEX(U$2:AY$2,MATCH(TRUE,INDEX(U255:AY255&lt;&gt;"",0),0)),"")</f>
        <v/>
      </c>
      <c r="N255" s="66">
        <f>IFERROR(LOOKUP(2,1/(U255:AY255&lt;&gt;""),U$2:AY$2),"")</f>
        <v/>
      </c>
      <c r="O255" s="59" t="n"/>
      <c r="P255" s="59" t="n"/>
      <c r="Q255" s="59" t="n"/>
      <c r="R255" s="59" t="n"/>
      <c r="S255" s="14" t="n"/>
      <c r="U255" s="53" t="n"/>
      <c r="V255" s="53" t="n"/>
      <c r="W255" s="53" t="n"/>
      <c r="X255" s="53" t="n"/>
      <c r="Y255" s="53" t="n"/>
      <c r="Z255" s="53" t="n"/>
      <c r="AA255" s="53" t="n"/>
      <c r="AB255" s="53" t="n"/>
      <c r="AC255" s="53" t="n"/>
      <c r="AD255" s="53" t="n"/>
      <c r="AE255" s="53" t="n"/>
      <c r="AF255" s="53" t="n"/>
      <c r="AG255" s="53" t="n"/>
      <c r="AH255" s="53" t="n"/>
      <c r="AI255" s="53" t="n"/>
      <c r="AJ255" s="53" t="n"/>
      <c r="AK255" s="53" t="n"/>
      <c r="AL255" s="53" t="n"/>
      <c r="AM255" s="53" t="n"/>
      <c r="AN255" s="53" t="n"/>
      <c r="AO255" s="53" t="n"/>
      <c r="AP255" s="53" t="n"/>
      <c r="AQ255" s="53" t="n"/>
      <c r="AR255" s="53" t="n"/>
      <c r="AS255" s="53" t="n"/>
      <c r="AT255" s="53" t="n"/>
      <c r="AU255" s="53" t="n"/>
      <c r="AV255" s="53" t="n"/>
      <c r="AW255" s="53" t="n"/>
      <c r="AX255" s="53" t="n"/>
      <c r="AY255" s="53" t="n"/>
    </row>
    <row r="256" ht="15" customHeight="1">
      <c r="A256" s="40">
        <f>IF($D$256="","",82)</f>
        <v/>
      </c>
      <c r="B256" s="10" t="n"/>
      <c r="C256" s="41" t="inlineStr">
        <is>
          <t>기타</t>
        </is>
      </c>
      <c r="D256" s="42" t="n"/>
      <c r="E256" s="43" t="inlineStr">
        <is>
          <t>기획</t>
        </is>
      </c>
      <c r="F256" s="44" t="n"/>
      <c r="G256" s="45" t="n"/>
      <c r="H256" s="46">
        <f>IF($I$256="","",IF($I$256&lt;0,"🔴지연",IF($I$256&lt;=1,"🟡임박","🟢여유")))</f>
        <v/>
      </c>
      <c r="I256" s="47">
        <f>IF(OR($G$256="",$K$256=""),"",$G$256-$K$256)</f>
        <v/>
      </c>
      <c r="J256" s="48">
        <f>IF(SUM($L$256:$L$258)=0,"",SUM($L$256:$L$258))</f>
        <v/>
      </c>
      <c r="K256" s="49">
        <f>IF($J$256="","",MAX($N$256:$N$258))</f>
        <v/>
      </c>
      <c r="L256" s="50">
        <f>IF(SUM(U256:AY256)=0,"",SUM(U256:AY256))</f>
        <v/>
      </c>
      <c r="M256" s="51">
        <f>IFERROR(INDEX(U$2:AY$2,MATCH(TRUE,INDEX(U256:AY256&lt;&gt;"",0),0)),"")</f>
        <v/>
      </c>
      <c r="N256" s="51">
        <f>IFERROR(LOOKUP(2,1/(U256:AY256&lt;&gt;""),U$2:AY$2),"")</f>
        <v/>
      </c>
      <c r="O256" s="52" t="n"/>
      <c r="P256" s="52" t="n"/>
      <c r="Q256" s="52" t="n"/>
      <c r="R256" s="44" t="n"/>
      <c r="S256" s="14" t="n"/>
      <c r="U256" s="53" t="n"/>
      <c r="V256" s="53" t="n"/>
      <c r="W256" s="53" t="n"/>
      <c r="X256" s="53" t="n"/>
      <c r="Y256" s="53" t="n"/>
      <c r="Z256" s="53" t="n"/>
      <c r="AA256" s="53" t="n"/>
      <c r="AB256" s="53" t="n"/>
      <c r="AC256" s="53" t="n"/>
      <c r="AD256" s="53" t="n"/>
      <c r="AE256" s="53" t="n"/>
      <c r="AF256" s="53" t="n"/>
      <c r="AG256" s="53" t="n"/>
      <c r="AH256" s="53" t="n"/>
      <c r="AI256" s="53" t="n"/>
      <c r="AJ256" s="53" t="n"/>
      <c r="AK256" s="53" t="n"/>
      <c r="AL256" s="53" t="n"/>
      <c r="AM256" s="53" t="n"/>
      <c r="AN256" s="53" t="n"/>
      <c r="AO256" s="53" t="n"/>
      <c r="AP256" s="53" t="n"/>
      <c r="AQ256" s="53" t="n"/>
      <c r="AR256" s="53" t="n"/>
      <c r="AS256" s="53" t="n"/>
      <c r="AT256" s="53" t="n"/>
      <c r="AU256" s="53" t="n"/>
      <c r="AV256" s="53" t="n"/>
      <c r="AW256" s="53" t="n"/>
      <c r="AX256" s="53" t="n"/>
      <c r="AY256" s="53" t="n"/>
    </row>
    <row r="257" ht="15" customHeight="1">
      <c r="A257" s="54" t="n"/>
      <c r="B257" s="55">
        <f>IF($B$256="","",$B$256)</f>
        <v/>
      </c>
      <c r="C257" s="56" t="inlineStr">
        <is>
          <t>기타</t>
        </is>
      </c>
      <c r="D257" s="55">
        <f>IF($D$256="","",$D$256)</f>
        <v/>
      </c>
      <c r="E257" s="57" t="inlineStr">
        <is>
          <t>이미지</t>
        </is>
      </c>
      <c r="F257" s="44" t="n"/>
      <c r="G257" s="58">
        <f>IF($G$256="","",$G$256)</f>
        <v/>
      </c>
      <c r="H257" s="59" t="n"/>
      <c r="I257" s="59" t="n"/>
      <c r="J257" s="59" t="n"/>
      <c r="K257" s="59" t="n"/>
      <c r="L257" s="60">
        <f>IF(SUM(U257:AY257)=0,"",SUM(U257:AY257))</f>
        <v/>
      </c>
      <c r="M257" s="61">
        <f>IFERROR(INDEX(U$2:AY$2,MATCH(TRUE,INDEX(U257:AY257&lt;&gt;"",0),0)),"")</f>
        <v/>
      </c>
      <c r="N257" s="61">
        <f>IFERROR(LOOKUP(2,1/(U257:AY257&lt;&gt;""),U$2:AY$2),"")</f>
        <v/>
      </c>
      <c r="O257" s="59" t="n"/>
      <c r="P257" s="59" t="n"/>
      <c r="Q257" s="59" t="n"/>
      <c r="R257" s="59" t="n"/>
      <c r="S257" s="14" t="n"/>
      <c r="U257" s="53" t="n"/>
      <c r="V257" s="53" t="n"/>
      <c r="W257" s="53" t="n"/>
      <c r="X257" s="53" t="n"/>
      <c r="Y257" s="53" t="n"/>
      <c r="Z257" s="53" t="n"/>
      <c r="AA257" s="53" t="n"/>
      <c r="AB257" s="53" t="n"/>
      <c r="AC257" s="53" t="n"/>
      <c r="AD257" s="53" t="n"/>
      <c r="AE257" s="53" t="n"/>
      <c r="AF257" s="53" t="n"/>
      <c r="AG257" s="53" t="n"/>
      <c r="AH257" s="53" t="n"/>
      <c r="AI257" s="53" t="n"/>
      <c r="AJ257" s="53" t="n"/>
      <c r="AK257" s="53" t="n"/>
      <c r="AL257" s="53" t="n"/>
      <c r="AM257" s="53" t="n"/>
      <c r="AN257" s="53" t="n"/>
      <c r="AO257" s="53" t="n"/>
      <c r="AP257" s="53" t="n"/>
      <c r="AQ257" s="53" t="n"/>
      <c r="AR257" s="53" t="n"/>
      <c r="AS257" s="53" t="n"/>
      <c r="AT257" s="53" t="n"/>
      <c r="AU257" s="53" t="n"/>
      <c r="AV257" s="53" t="n"/>
      <c r="AW257" s="53" t="n"/>
      <c r="AX257" s="53" t="n"/>
      <c r="AY257" s="53" t="n"/>
    </row>
    <row r="258" ht="15" customHeight="1">
      <c r="A258" s="62" t="n"/>
      <c r="B258" s="55">
        <f>IF($B$256="","",$B$256)</f>
        <v/>
      </c>
      <c r="C258" s="63" t="inlineStr">
        <is>
          <t>기타</t>
        </is>
      </c>
      <c r="D258" s="55">
        <f>IF($D$256="","",$D$256)</f>
        <v/>
      </c>
      <c r="E258" s="64" t="inlineStr">
        <is>
          <t>영상</t>
        </is>
      </c>
      <c r="F258" s="44" t="n"/>
      <c r="G258" s="58">
        <f>IF($G$256="","",$G$256)</f>
        <v/>
      </c>
      <c r="H258" s="59" t="n"/>
      <c r="I258" s="59" t="n"/>
      <c r="J258" s="59" t="n"/>
      <c r="K258" s="59" t="n"/>
      <c r="L258" s="65">
        <f>IF(SUM(U258:AY258)=0,"",SUM(U258:AY258))</f>
        <v/>
      </c>
      <c r="M258" s="66">
        <f>IFERROR(INDEX(U$2:AY$2,MATCH(TRUE,INDEX(U258:AY258&lt;&gt;"",0),0)),"")</f>
        <v/>
      </c>
      <c r="N258" s="66">
        <f>IFERROR(LOOKUP(2,1/(U258:AY258&lt;&gt;""),U$2:AY$2),"")</f>
        <v/>
      </c>
      <c r="O258" s="59" t="n"/>
      <c r="P258" s="59" t="n"/>
      <c r="Q258" s="59" t="n"/>
      <c r="R258" s="59" t="n"/>
      <c r="S258" s="14" t="n"/>
      <c r="U258" s="53" t="n"/>
      <c r="V258" s="53" t="n"/>
      <c r="W258" s="53" t="n"/>
      <c r="X258" s="53" t="n"/>
      <c r="Y258" s="53" t="n"/>
      <c r="Z258" s="53" t="n"/>
      <c r="AA258" s="53" t="n"/>
      <c r="AB258" s="53" t="n"/>
      <c r="AC258" s="53" t="n"/>
      <c r="AD258" s="53" t="n"/>
      <c r="AE258" s="53" t="n"/>
      <c r="AF258" s="53" t="n"/>
      <c r="AG258" s="53" t="n"/>
      <c r="AH258" s="53" t="n"/>
      <c r="AI258" s="53" t="n"/>
      <c r="AJ258" s="53" t="n"/>
      <c r="AK258" s="53" t="n"/>
      <c r="AL258" s="53" t="n"/>
      <c r="AM258" s="53" t="n"/>
      <c r="AN258" s="53" t="n"/>
      <c r="AO258" s="53" t="n"/>
      <c r="AP258" s="53" t="n"/>
      <c r="AQ258" s="53" t="n"/>
      <c r="AR258" s="53" t="n"/>
      <c r="AS258" s="53" t="n"/>
      <c r="AT258" s="53" t="n"/>
      <c r="AU258" s="53" t="n"/>
      <c r="AV258" s="53" t="n"/>
      <c r="AW258" s="53" t="n"/>
      <c r="AX258" s="53" t="n"/>
      <c r="AY258" s="53" t="n"/>
    </row>
    <row r="259" ht="15" customHeight="1">
      <c r="A259" s="40">
        <f>IF($D$259="","",83)</f>
        <v/>
      </c>
      <c r="B259" s="10" t="n"/>
      <c r="C259" s="41" t="inlineStr">
        <is>
          <t>기타</t>
        </is>
      </c>
      <c r="D259" s="42" t="n"/>
      <c r="E259" s="43" t="inlineStr">
        <is>
          <t>기획</t>
        </is>
      </c>
      <c r="F259" s="44" t="n"/>
      <c r="G259" s="45" t="n"/>
      <c r="H259" s="46">
        <f>IF($I$259="","",IF($I$259&lt;0,"🔴지연",IF($I$259&lt;=1,"🟡임박","🟢여유")))</f>
        <v/>
      </c>
      <c r="I259" s="47">
        <f>IF(OR($G$259="",$K$259=""),"",$G$259-$K$259)</f>
        <v/>
      </c>
      <c r="J259" s="48">
        <f>IF(SUM($L$259:$L$261)=0,"",SUM($L$259:$L$261))</f>
        <v/>
      </c>
      <c r="K259" s="49">
        <f>IF($J$259="","",MAX($N$259:$N$261))</f>
        <v/>
      </c>
      <c r="L259" s="50">
        <f>IF(SUM(U259:AY259)=0,"",SUM(U259:AY259))</f>
        <v/>
      </c>
      <c r="M259" s="51">
        <f>IFERROR(INDEX(U$2:AY$2,MATCH(TRUE,INDEX(U259:AY259&lt;&gt;"",0),0)),"")</f>
        <v/>
      </c>
      <c r="N259" s="51">
        <f>IFERROR(LOOKUP(2,1/(U259:AY259&lt;&gt;""),U$2:AY$2),"")</f>
        <v/>
      </c>
      <c r="O259" s="52" t="n"/>
      <c r="P259" s="52" t="n"/>
      <c r="Q259" s="52" t="n"/>
      <c r="R259" s="44" t="n"/>
      <c r="S259" s="14" t="n"/>
      <c r="U259" s="53" t="n"/>
      <c r="V259" s="53" t="n"/>
      <c r="W259" s="53" t="n"/>
      <c r="X259" s="53" t="n"/>
      <c r="Y259" s="53" t="n"/>
      <c r="Z259" s="53" t="n"/>
      <c r="AA259" s="53" t="n"/>
      <c r="AB259" s="53" t="n"/>
      <c r="AC259" s="53" t="n"/>
      <c r="AD259" s="53" t="n"/>
      <c r="AE259" s="53" t="n"/>
      <c r="AF259" s="53" t="n"/>
      <c r="AG259" s="53" t="n"/>
      <c r="AH259" s="53" t="n"/>
      <c r="AI259" s="53" t="n"/>
      <c r="AJ259" s="53" t="n"/>
      <c r="AK259" s="53" t="n"/>
      <c r="AL259" s="53" t="n"/>
      <c r="AM259" s="53" t="n"/>
      <c r="AN259" s="53" t="n"/>
      <c r="AO259" s="53" t="n"/>
      <c r="AP259" s="53" t="n"/>
      <c r="AQ259" s="53" t="n"/>
      <c r="AR259" s="53" t="n"/>
      <c r="AS259" s="53" t="n"/>
      <c r="AT259" s="53" t="n"/>
      <c r="AU259" s="53" t="n"/>
      <c r="AV259" s="53" t="n"/>
      <c r="AW259" s="53" t="n"/>
      <c r="AX259" s="53" t="n"/>
      <c r="AY259" s="53" t="n"/>
    </row>
    <row r="260" ht="15" customHeight="1">
      <c r="A260" s="54" t="n"/>
      <c r="B260" s="55">
        <f>IF($B$259="","",$B$259)</f>
        <v/>
      </c>
      <c r="C260" s="56" t="inlineStr">
        <is>
          <t>기타</t>
        </is>
      </c>
      <c r="D260" s="55">
        <f>IF($D$259="","",$D$259)</f>
        <v/>
      </c>
      <c r="E260" s="57" t="inlineStr">
        <is>
          <t>이미지</t>
        </is>
      </c>
      <c r="F260" s="44" t="n"/>
      <c r="G260" s="58">
        <f>IF($G$259="","",$G$259)</f>
        <v/>
      </c>
      <c r="H260" s="59" t="n"/>
      <c r="I260" s="59" t="n"/>
      <c r="J260" s="59" t="n"/>
      <c r="K260" s="59" t="n"/>
      <c r="L260" s="60">
        <f>IF(SUM(U260:AY260)=0,"",SUM(U260:AY260))</f>
        <v/>
      </c>
      <c r="M260" s="61">
        <f>IFERROR(INDEX(U$2:AY$2,MATCH(TRUE,INDEX(U260:AY260&lt;&gt;"",0),0)),"")</f>
        <v/>
      </c>
      <c r="N260" s="61">
        <f>IFERROR(LOOKUP(2,1/(U260:AY260&lt;&gt;""),U$2:AY$2),"")</f>
        <v/>
      </c>
      <c r="O260" s="59" t="n"/>
      <c r="P260" s="59" t="n"/>
      <c r="Q260" s="59" t="n"/>
      <c r="R260" s="59" t="n"/>
      <c r="S260" s="14" t="n"/>
      <c r="U260" s="53" t="n"/>
      <c r="V260" s="53" t="n"/>
      <c r="W260" s="53" t="n"/>
      <c r="X260" s="53" t="n"/>
      <c r="Y260" s="53" t="n"/>
      <c r="Z260" s="53" t="n"/>
      <c r="AA260" s="53" t="n"/>
      <c r="AB260" s="53" t="n"/>
      <c r="AC260" s="53" t="n"/>
      <c r="AD260" s="53" t="n"/>
      <c r="AE260" s="53" t="n"/>
      <c r="AF260" s="53" t="n"/>
      <c r="AG260" s="53" t="n"/>
      <c r="AH260" s="53" t="n"/>
      <c r="AI260" s="53" t="n"/>
      <c r="AJ260" s="53" t="n"/>
      <c r="AK260" s="53" t="n"/>
      <c r="AL260" s="53" t="n"/>
      <c r="AM260" s="53" t="n"/>
      <c r="AN260" s="53" t="n"/>
      <c r="AO260" s="53" t="n"/>
      <c r="AP260" s="53" t="n"/>
      <c r="AQ260" s="53" t="n"/>
      <c r="AR260" s="53" t="n"/>
      <c r="AS260" s="53" t="n"/>
      <c r="AT260" s="53" t="n"/>
      <c r="AU260" s="53" t="n"/>
      <c r="AV260" s="53" t="n"/>
      <c r="AW260" s="53" t="n"/>
      <c r="AX260" s="53" t="n"/>
      <c r="AY260" s="53" t="n"/>
    </row>
    <row r="261" ht="15" customHeight="1">
      <c r="A261" s="62" t="n"/>
      <c r="B261" s="55">
        <f>IF($B$259="","",$B$259)</f>
        <v/>
      </c>
      <c r="C261" s="63" t="inlineStr">
        <is>
          <t>기타</t>
        </is>
      </c>
      <c r="D261" s="55">
        <f>IF($D$259="","",$D$259)</f>
        <v/>
      </c>
      <c r="E261" s="64" t="inlineStr">
        <is>
          <t>영상</t>
        </is>
      </c>
      <c r="F261" s="44" t="n"/>
      <c r="G261" s="58">
        <f>IF($G$259="","",$G$259)</f>
        <v/>
      </c>
      <c r="H261" s="59" t="n"/>
      <c r="I261" s="59" t="n"/>
      <c r="J261" s="59" t="n"/>
      <c r="K261" s="59" t="n"/>
      <c r="L261" s="65">
        <f>IF(SUM(U261:AY261)=0,"",SUM(U261:AY261))</f>
        <v/>
      </c>
      <c r="M261" s="66">
        <f>IFERROR(INDEX(U$2:AY$2,MATCH(TRUE,INDEX(U261:AY261&lt;&gt;"",0),0)),"")</f>
        <v/>
      </c>
      <c r="N261" s="66">
        <f>IFERROR(LOOKUP(2,1/(U261:AY261&lt;&gt;""),U$2:AY$2),"")</f>
        <v/>
      </c>
      <c r="O261" s="59" t="n"/>
      <c r="P261" s="59" t="n"/>
      <c r="Q261" s="59" t="n"/>
      <c r="R261" s="59" t="n"/>
      <c r="S261" s="14" t="n"/>
      <c r="U261" s="53" t="n"/>
      <c r="V261" s="53" t="n"/>
      <c r="W261" s="53" t="n"/>
      <c r="X261" s="53" t="n"/>
      <c r="Y261" s="53" t="n"/>
      <c r="Z261" s="53" t="n"/>
      <c r="AA261" s="53" t="n"/>
      <c r="AB261" s="53" t="n"/>
      <c r="AC261" s="53" t="n"/>
      <c r="AD261" s="53" t="n"/>
      <c r="AE261" s="53" t="n"/>
      <c r="AF261" s="53" t="n"/>
      <c r="AG261" s="53" t="n"/>
      <c r="AH261" s="53" t="n"/>
      <c r="AI261" s="53" t="n"/>
      <c r="AJ261" s="53" t="n"/>
      <c r="AK261" s="53" t="n"/>
      <c r="AL261" s="53" t="n"/>
      <c r="AM261" s="53" t="n"/>
      <c r="AN261" s="53" t="n"/>
      <c r="AO261" s="53" t="n"/>
      <c r="AP261" s="53" t="n"/>
      <c r="AQ261" s="53" t="n"/>
      <c r="AR261" s="53" t="n"/>
      <c r="AS261" s="53" t="n"/>
      <c r="AT261" s="53" t="n"/>
      <c r="AU261" s="53" t="n"/>
      <c r="AV261" s="53" t="n"/>
      <c r="AW261" s="53" t="n"/>
      <c r="AX261" s="53" t="n"/>
      <c r="AY261" s="53" t="n"/>
    </row>
    <row r="262" ht="15" customHeight="1">
      <c r="A262" s="40">
        <f>IF($D$262="","",84)</f>
        <v/>
      </c>
      <c r="B262" s="10" t="n"/>
      <c r="C262" s="41" t="inlineStr">
        <is>
          <t>기타</t>
        </is>
      </c>
      <c r="D262" s="42" t="n"/>
      <c r="E262" s="43" t="inlineStr">
        <is>
          <t>기획</t>
        </is>
      </c>
      <c r="F262" s="44" t="n"/>
      <c r="G262" s="45" t="n"/>
      <c r="H262" s="46">
        <f>IF($I$262="","",IF($I$262&lt;0,"🔴지연",IF($I$262&lt;=1,"🟡임박","🟢여유")))</f>
        <v/>
      </c>
      <c r="I262" s="47">
        <f>IF(OR($G$262="",$K$262=""),"",$G$262-$K$262)</f>
        <v/>
      </c>
      <c r="J262" s="48">
        <f>IF(SUM($L$262:$L$264)=0,"",SUM($L$262:$L$264))</f>
        <v/>
      </c>
      <c r="K262" s="49">
        <f>IF($J$262="","",MAX($N$262:$N$264))</f>
        <v/>
      </c>
      <c r="L262" s="50">
        <f>IF(SUM(U262:AY262)=0,"",SUM(U262:AY262))</f>
        <v/>
      </c>
      <c r="M262" s="51">
        <f>IFERROR(INDEX(U$2:AY$2,MATCH(TRUE,INDEX(U262:AY262&lt;&gt;"",0),0)),"")</f>
        <v/>
      </c>
      <c r="N262" s="51">
        <f>IFERROR(LOOKUP(2,1/(U262:AY262&lt;&gt;""),U$2:AY$2),"")</f>
        <v/>
      </c>
      <c r="O262" s="52" t="n"/>
      <c r="P262" s="52" t="n"/>
      <c r="Q262" s="52" t="n"/>
      <c r="R262" s="44" t="n"/>
      <c r="S262" s="14" t="n"/>
      <c r="U262" s="53" t="n"/>
      <c r="V262" s="53" t="n"/>
      <c r="W262" s="53" t="n"/>
      <c r="X262" s="53" t="n"/>
      <c r="Y262" s="53" t="n"/>
      <c r="Z262" s="53" t="n"/>
      <c r="AA262" s="53" t="n"/>
      <c r="AB262" s="53" t="n"/>
      <c r="AC262" s="53" t="n"/>
      <c r="AD262" s="53" t="n"/>
      <c r="AE262" s="53" t="n"/>
      <c r="AF262" s="53" t="n"/>
      <c r="AG262" s="53" t="n"/>
      <c r="AH262" s="53" t="n"/>
      <c r="AI262" s="53" t="n"/>
      <c r="AJ262" s="53" t="n"/>
      <c r="AK262" s="53" t="n"/>
      <c r="AL262" s="53" t="n"/>
      <c r="AM262" s="53" t="n"/>
      <c r="AN262" s="53" t="n"/>
      <c r="AO262" s="53" t="n"/>
      <c r="AP262" s="53" t="n"/>
      <c r="AQ262" s="53" t="n"/>
      <c r="AR262" s="53" t="n"/>
      <c r="AS262" s="53" t="n"/>
      <c r="AT262" s="53" t="n"/>
      <c r="AU262" s="53" t="n"/>
      <c r="AV262" s="53" t="n"/>
      <c r="AW262" s="53" t="n"/>
      <c r="AX262" s="53" t="n"/>
      <c r="AY262" s="53" t="n"/>
    </row>
    <row r="263" ht="15" customHeight="1">
      <c r="A263" s="54" t="n"/>
      <c r="B263" s="55">
        <f>IF($B$262="","",$B$262)</f>
        <v/>
      </c>
      <c r="C263" s="56" t="inlineStr">
        <is>
          <t>기타</t>
        </is>
      </c>
      <c r="D263" s="55">
        <f>IF($D$262="","",$D$262)</f>
        <v/>
      </c>
      <c r="E263" s="57" t="inlineStr">
        <is>
          <t>이미지</t>
        </is>
      </c>
      <c r="F263" s="44" t="n"/>
      <c r="G263" s="58">
        <f>IF($G$262="","",$G$262)</f>
        <v/>
      </c>
      <c r="H263" s="59" t="n"/>
      <c r="I263" s="59" t="n"/>
      <c r="J263" s="59" t="n"/>
      <c r="K263" s="59" t="n"/>
      <c r="L263" s="60">
        <f>IF(SUM(U263:AY263)=0,"",SUM(U263:AY263))</f>
        <v/>
      </c>
      <c r="M263" s="61">
        <f>IFERROR(INDEX(U$2:AY$2,MATCH(TRUE,INDEX(U263:AY263&lt;&gt;"",0),0)),"")</f>
        <v/>
      </c>
      <c r="N263" s="61">
        <f>IFERROR(LOOKUP(2,1/(U263:AY263&lt;&gt;""),U$2:AY$2),"")</f>
        <v/>
      </c>
      <c r="O263" s="59" t="n"/>
      <c r="P263" s="59" t="n"/>
      <c r="Q263" s="59" t="n"/>
      <c r="R263" s="59" t="n"/>
      <c r="S263" s="14" t="n"/>
      <c r="U263" s="53" t="n"/>
      <c r="V263" s="53" t="n"/>
      <c r="W263" s="53" t="n"/>
      <c r="X263" s="53" t="n"/>
      <c r="Y263" s="53" t="n"/>
      <c r="Z263" s="53" t="n"/>
      <c r="AA263" s="53" t="n"/>
      <c r="AB263" s="53" t="n"/>
      <c r="AC263" s="53" t="n"/>
      <c r="AD263" s="53" t="n"/>
      <c r="AE263" s="53" t="n"/>
      <c r="AF263" s="53" t="n"/>
      <c r="AG263" s="53" t="n"/>
      <c r="AH263" s="53" t="n"/>
      <c r="AI263" s="53" t="n"/>
      <c r="AJ263" s="53" t="n"/>
      <c r="AK263" s="53" t="n"/>
      <c r="AL263" s="53" t="n"/>
      <c r="AM263" s="53" t="n"/>
      <c r="AN263" s="53" t="n"/>
      <c r="AO263" s="53" t="n"/>
      <c r="AP263" s="53" t="n"/>
      <c r="AQ263" s="53" t="n"/>
      <c r="AR263" s="53" t="n"/>
      <c r="AS263" s="53" t="n"/>
      <c r="AT263" s="53" t="n"/>
      <c r="AU263" s="53" t="n"/>
      <c r="AV263" s="53" t="n"/>
      <c r="AW263" s="53" t="n"/>
      <c r="AX263" s="53" t="n"/>
      <c r="AY263" s="53" t="n"/>
    </row>
    <row r="264" ht="15" customHeight="1">
      <c r="A264" s="62" t="n"/>
      <c r="B264" s="55">
        <f>IF($B$262="","",$B$262)</f>
        <v/>
      </c>
      <c r="C264" s="63" t="inlineStr">
        <is>
          <t>기타</t>
        </is>
      </c>
      <c r="D264" s="55">
        <f>IF($D$262="","",$D$262)</f>
        <v/>
      </c>
      <c r="E264" s="64" t="inlineStr">
        <is>
          <t>영상</t>
        </is>
      </c>
      <c r="F264" s="44" t="n"/>
      <c r="G264" s="58">
        <f>IF($G$262="","",$G$262)</f>
        <v/>
      </c>
      <c r="H264" s="59" t="n"/>
      <c r="I264" s="59" t="n"/>
      <c r="J264" s="59" t="n"/>
      <c r="K264" s="59" t="n"/>
      <c r="L264" s="65">
        <f>IF(SUM(U264:AY264)=0,"",SUM(U264:AY264))</f>
        <v/>
      </c>
      <c r="M264" s="66">
        <f>IFERROR(INDEX(U$2:AY$2,MATCH(TRUE,INDEX(U264:AY264&lt;&gt;"",0),0)),"")</f>
        <v/>
      </c>
      <c r="N264" s="66">
        <f>IFERROR(LOOKUP(2,1/(U264:AY264&lt;&gt;""),U$2:AY$2),"")</f>
        <v/>
      </c>
      <c r="O264" s="59" t="n"/>
      <c r="P264" s="59" t="n"/>
      <c r="Q264" s="59" t="n"/>
      <c r="R264" s="59" t="n"/>
      <c r="S264" s="14" t="n"/>
      <c r="U264" s="53" t="n"/>
      <c r="V264" s="53" t="n"/>
      <c r="W264" s="53" t="n"/>
      <c r="X264" s="53" t="n"/>
      <c r="Y264" s="53" t="n"/>
      <c r="Z264" s="53" t="n"/>
      <c r="AA264" s="53" t="n"/>
      <c r="AB264" s="53" t="n"/>
      <c r="AC264" s="53" t="n"/>
      <c r="AD264" s="53" t="n"/>
      <c r="AE264" s="53" t="n"/>
      <c r="AF264" s="53" t="n"/>
      <c r="AG264" s="53" t="n"/>
      <c r="AH264" s="53" t="n"/>
      <c r="AI264" s="53" t="n"/>
      <c r="AJ264" s="53" t="n"/>
      <c r="AK264" s="53" t="n"/>
      <c r="AL264" s="53" t="n"/>
      <c r="AM264" s="53" t="n"/>
      <c r="AN264" s="53" t="n"/>
      <c r="AO264" s="53" t="n"/>
      <c r="AP264" s="53" t="n"/>
      <c r="AQ264" s="53" t="n"/>
      <c r="AR264" s="53" t="n"/>
      <c r="AS264" s="53" t="n"/>
      <c r="AT264" s="53" t="n"/>
      <c r="AU264" s="53" t="n"/>
      <c r="AV264" s="53" t="n"/>
      <c r="AW264" s="53" t="n"/>
      <c r="AX264" s="53" t="n"/>
      <c r="AY264" s="53" t="n"/>
    </row>
    <row r="265" ht="15" customHeight="1">
      <c r="A265" s="40">
        <f>IF($D$265="","",85)</f>
        <v/>
      </c>
      <c r="B265" s="10" t="n"/>
      <c r="C265" s="41" t="inlineStr">
        <is>
          <t>기타</t>
        </is>
      </c>
      <c r="D265" s="42" t="n"/>
      <c r="E265" s="43" t="inlineStr">
        <is>
          <t>기획</t>
        </is>
      </c>
      <c r="F265" s="44" t="n"/>
      <c r="G265" s="45" t="n"/>
      <c r="H265" s="46">
        <f>IF($I$265="","",IF($I$265&lt;0,"🔴지연",IF($I$265&lt;=1,"🟡임박","🟢여유")))</f>
        <v/>
      </c>
      <c r="I265" s="47">
        <f>IF(OR($G$265="",$K$265=""),"",$G$265-$K$265)</f>
        <v/>
      </c>
      <c r="J265" s="48">
        <f>IF(SUM($L$265:$L$267)=0,"",SUM($L$265:$L$267))</f>
        <v/>
      </c>
      <c r="K265" s="49">
        <f>IF($J$265="","",MAX($N$265:$N$267))</f>
        <v/>
      </c>
      <c r="L265" s="50">
        <f>IF(SUM(U265:AY265)=0,"",SUM(U265:AY265))</f>
        <v/>
      </c>
      <c r="M265" s="51">
        <f>IFERROR(INDEX(U$2:AY$2,MATCH(TRUE,INDEX(U265:AY265&lt;&gt;"",0),0)),"")</f>
        <v/>
      </c>
      <c r="N265" s="51">
        <f>IFERROR(LOOKUP(2,1/(U265:AY265&lt;&gt;""),U$2:AY$2),"")</f>
        <v/>
      </c>
      <c r="O265" s="52" t="n"/>
      <c r="P265" s="52" t="n"/>
      <c r="Q265" s="52" t="n"/>
      <c r="R265" s="44" t="n"/>
      <c r="S265" s="14" t="n"/>
      <c r="U265" s="53" t="n"/>
      <c r="V265" s="53" t="n"/>
      <c r="W265" s="53" t="n"/>
      <c r="X265" s="53" t="n"/>
      <c r="Y265" s="53" t="n"/>
      <c r="Z265" s="53" t="n"/>
      <c r="AA265" s="53" t="n"/>
      <c r="AB265" s="53" t="n"/>
      <c r="AC265" s="53" t="n"/>
      <c r="AD265" s="53" t="n"/>
      <c r="AE265" s="53" t="n"/>
      <c r="AF265" s="53" t="n"/>
      <c r="AG265" s="53" t="n"/>
      <c r="AH265" s="53" t="n"/>
      <c r="AI265" s="53" t="n"/>
      <c r="AJ265" s="53" t="n"/>
      <c r="AK265" s="53" t="n"/>
      <c r="AL265" s="53" t="n"/>
      <c r="AM265" s="53" t="n"/>
      <c r="AN265" s="53" t="n"/>
      <c r="AO265" s="53" t="n"/>
      <c r="AP265" s="53" t="n"/>
      <c r="AQ265" s="53" t="n"/>
      <c r="AR265" s="53" t="n"/>
      <c r="AS265" s="53" t="n"/>
      <c r="AT265" s="53" t="n"/>
      <c r="AU265" s="53" t="n"/>
      <c r="AV265" s="53" t="n"/>
      <c r="AW265" s="53" t="n"/>
      <c r="AX265" s="53" t="n"/>
      <c r="AY265" s="53" t="n"/>
    </row>
    <row r="266" ht="15" customHeight="1">
      <c r="A266" s="54" t="n"/>
      <c r="B266" s="55">
        <f>IF($B$265="","",$B$265)</f>
        <v/>
      </c>
      <c r="C266" s="56" t="inlineStr">
        <is>
          <t>기타</t>
        </is>
      </c>
      <c r="D266" s="55">
        <f>IF($D$265="","",$D$265)</f>
        <v/>
      </c>
      <c r="E266" s="57" t="inlineStr">
        <is>
          <t>이미지</t>
        </is>
      </c>
      <c r="F266" s="44" t="n"/>
      <c r="G266" s="58">
        <f>IF($G$265="","",$G$265)</f>
        <v/>
      </c>
      <c r="H266" s="59" t="n"/>
      <c r="I266" s="59" t="n"/>
      <c r="J266" s="59" t="n"/>
      <c r="K266" s="59" t="n"/>
      <c r="L266" s="60">
        <f>IF(SUM(U266:AY266)=0,"",SUM(U266:AY266))</f>
        <v/>
      </c>
      <c r="M266" s="61">
        <f>IFERROR(INDEX(U$2:AY$2,MATCH(TRUE,INDEX(U266:AY266&lt;&gt;"",0),0)),"")</f>
        <v/>
      </c>
      <c r="N266" s="61">
        <f>IFERROR(LOOKUP(2,1/(U266:AY266&lt;&gt;""),U$2:AY$2),"")</f>
        <v/>
      </c>
      <c r="O266" s="59" t="n"/>
      <c r="P266" s="59" t="n"/>
      <c r="Q266" s="59" t="n"/>
      <c r="R266" s="59" t="n"/>
      <c r="S266" s="14" t="n"/>
      <c r="U266" s="53" t="n"/>
      <c r="V266" s="53" t="n"/>
      <c r="W266" s="53" t="n"/>
      <c r="X266" s="53" t="n"/>
      <c r="Y266" s="53" t="n"/>
      <c r="Z266" s="53" t="n"/>
      <c r="AA266" s="53" t="n"/>
      <c r="AB266" s="53" t="n"/>
      <c r="AC266" s="53" t="n"/>
      <c r="AD266" s="53" t="n"/>
      <c r="AE266" s="53" t="n"/>
      <c r="AF266" s="53" t="n"/>
      <c r="AG266" s="53" t="n"/>
      <c r="AH266" s="53" t="n"/>
      <c r="AI266" s="53" t="n"/>
      <c r="AJ266" s="53" t="n"/>
      <c r="AK266" s="53" t="n"/>
      <c r="AL266" s="53" t="n"/>
      <c r="AM266" s="53" t="n"/>
      <c r="AN266" s="53" t="n"/>
      <c r="AO266" s="53" t="n"/>
      <c r="AP266" s="53" t="n"/>
      <c r="AQ266" s="53" t="n"/>
      <c r="AR266" s="53" t="n"/>
      <c r="AS266" s="53" t="n"/>
      <c r="AT266" s="53" t="n"/>
      <c r="AU266" s="53" t="n"/>
      <c r="AV266" s="53" t="n"/>
      <c r="AW266" s="53" t="n"/>
      <c r="AX266" s="53" t="n"/>
      <c r="AY266" s="53" t="n"/>
    </row>
    <row r="267" ht="15" customHeight="1">
      <c r="A267" s="62" t="n"/>
      <c r="B267" s="55">
        <f>IF($B$265="","",$B$265)</f>
        <v/>
      </c>
      <c r="C267" s="63" t="inlineStr">
        <is>
          <t>기타</t>
        </is>
      </c>
      <c r="D267" s="55">
        <f>IF($D$265="","",$D$265)</f>
        <v/>
      </c>
      <c r="E267" s="64" t="inlineStr">
        <is>
          <t>영상</t>
        </is>
      </c>
      <c r="F267" s="44" t="n"/>
      <c r="G267" s="58">
        <f>IF($G$265="","",$G$265)</f>
        <v/>
      </c>
      <c r="H267" s="59" t="n"/>
      <c r="I267" s="59" t="n"/>
      <c r="J267" s="59" t="n"/>
      <c r="K267" s="59" t="n"/>
      <c r="L267" s="65">
        <f>IF(SUM(U267:AY267)=0,"",SUM(U267:AY267))</f>
        <v/>
      </c>
      <c r="M267" s="66">
        <f>IFERROR(INDEX(U$2:AY$2,MATCH(TRUE,INDEX(U267:AY267&lt;&gt;"",0),0)),"")</f>
        <v/>
      </c>
      <c r="N267" s="66">
        <f>IFERROR(LOOKUP(2,1/(U267:AY267&lt;&gt;""),U$2:AY$2),"")</f>
        <v/>
      </c>
      <c r="O267" s="59" t="n"/>
      <c r="P267" s="59" t="n"/>
      <c r="Q267" s="59" t="n"/>
      <c r="R267" s="59" t="n"/>
      <c r="S267" s="14" t="n"/>
      <c r="U267" s="53" t="n"/>
      <c r="V267" s="53" t="n"/>
      <c r="W267" s="53" t="n"/>
      <c r="X267" s="53" t="n"/>
      <c r="Y267" s="53" t="n"/>
      <c r="Z267" s="53" t="n"/>
      <c r="AA267" s="53" t="n"/>
      <c r="AB267" s="53" t="n"/>
      <c r="AC267" s="53" t="n"/>
      <c r="AD267" s="53" t="n"/>
      <c r="AE267" s="53" t="n"/>
      <c r="AF267" s="53" t="n"/>
      <c r="AG267" s="53" t="n"/>
      <c r="AH267" s="53" t="n"/>
      <c r="AI267" s="53" t="n"/>
      <c r="AJ267" s="53" t="n"/>
      <c r="AK267" s="53" t="n"/>
      <c r="AL267" s="53" t="n"/>
      <c r="AM267" s="53" t="n"/>
      <c r="AN267" s="53" t="n"/>
      <c r="AO267" s="53" t="n"/>
      <c r="AP267" s="53" t="n"/>
      <c r="AQ267" s="53" t="n"/>
      <c r="AR267" s="53" t="n"/>
      <c r="AS267" s="53" t="n"/>
      <c r="AT267" s="53" t="n"/>
      <c r="AU267" s="53" t="n"/>
      <c r="AV267" s="53" t="n"/>
      <c r="AW267" s="53" t="n"/>
      <c r="AX267" s="53" t="n"/>
      <c r="AY267" s="53" t="n"/>
    </row>
    <row r="268" ht="15" customHeight="1">
      <c r="A268" s="40">
        <f>IF($D$268="","",86)</f>
        <v/>
      </c>
      <c r="B268" s="10" t="n"/>
      <c r="C268" s="41" t="inlineStr">
        <is>
          <t>기타</t>
        </is>
      </c>
      <c r="D268" s="42" t="n"/>
      <c r="E268" s="43" t="inlineStr">
        <is>
          <t>기획</t>
        </is>
      </c>
      <c r="F268" s="44" t="n"/>
      <c r="G268" s="45" t="n"/>
      <c r="H268" s="46">
        <f>IF($I$268="","",IF($I$268&lt;0,"🔴지연",IF($I$268&lt;=1,"🟡임박","🟢여유")))</f>
        <v/>
      </c>
      <c r="I268" s="47">
        <f>IF(OR($G$268="",$K$268=""),"",$G$268-$K$268)</f>
        <v/>
      </c>
      <c r="J268" s="48">
        <f>IF(SUM($L$268:$L$270)=0,"",SUM($L$268:$L$270))</f>
        <v/>
      </c>
      <c r="K268" s="49">
        <f>IF($J$268="","",MAX($N$268:$N$270))</f>
        <v/>
      </c>
      <c r="L268" s="50">
        <f>IF(SUM(U268:AY268)=0,"",SUM(U268:AY268))</f>
        <v/>
      </c>
      <c r="M268" s="51">
        <f>IFERROR(INDEX(U$2:AY$2,MATCH(TRUE,INDEX(U268:AY268&lt;&gt;"",0),0)),"")</f>
        <v/>
      </c>
      <c r="N268" s="51">
        <f>IFERROR(LOOKUP(2,1/(U268:AY268&lt;&gt;""),U$2:AY$2),"")</f>
        <v/>
      </c>
      <c r="O268" s="52" t="n"/>
      <c r="P268" s="52" t="n"/>
      <c r="Q268" s="52" t="n"/>
      <c r="R268" s="44" t="n"/>
      <c r="S268" s="14" t="n"/>
      <c r="U268" s="53" t="n"/>
      <c r="V268" s="53" t="n"/>
      <c r="W268" s="53" t="n"/>
      <c r="X268" s="53" t="n"/>
      <c r="Y268" s="53" t="n"/>
      <c r="Z268" s="53" t="n"/>
      <c r="AA268" s="53" t="n"/>
      <c r="AB268" s="53" t="n"/>
      <c r="AC268" s="53" t="n"/>
      <c r="AD268" s="53" t="n"/>
      <c r="AE268" s="53" t="n"/>
      <c r="AF268" s="53" t="n"/>
      <c r="AG268" s="53" t="n"/>
      <c r="AH268" s="53" t="n"/>
      <c r="AI268" s="53" t="n"/>
      <c r="AJ268" s="53" t="n"/>
      <c r="AK268" s="53" t="n"/>
      <c r="AL268" s="53" t="n"/>
      <c r="AM268" s="53" t="n"/>
      <c r="AN268" s="53" t="n"/>
      <c r="AO268" s="53" t="n"/>
      <c r="AP268" s="53" t="n"/>
      <c r="AQ268" s="53" t="n"/>
      <c r="AR268" s="53" t="n"/>
      <c r="AS268" s="53" t="n"/>
      <c r="AT268" s="53" t="n"/>
      <c r="AU268" s="53" t="n"/>
      <c r="AV268" s="53" t="n"/>
      <c r="AW268" s="53" t="n"/>
      <c r="AX268" s="53" t="n"/>
      <c r="AY268" s="53" t="n"/>
    </row>
    <row r="269" ht="15" customHeight="1">
      <c r="A269" s="54" t="n"/>
      <c r="B269" s="55">
        <f>IF($B$268="","",$B$268)</f>
        <v/>
      </c>
      <c r="C269" s="56" t="inlineStr">
        <is>
          <t>기타</t>
        </is>
      </c>
      <c r="D269" s="55">
        <f>IF($D$268="","",$D$268)</f>
        <v/>
      </c>
      <c r="E269" s="57" t="inlineStr">
        <is>
          <t>이미지</t>
        </is>
      </c>
      <c r="F269" s="44" t="n"/>
      <c r="G269" s="58">
        <f>IF($G$268="","",$G$268)</f>
        <v/>
      </c>
      <c r="H269" s="59" t="n"/>
      <c r="I269" s="59" t="n"/>
      <c r="J269" s="59" t="n"/>
      <c r="K269" s="59" t="n"/>
      <c r="L269" s="60">
        <f>IF(SUM(U269:AY269)=0,"",SUM(U269:AY269))</f>
        <v/>
      </c>
      <c r="M269" s="61">
        <f>IFERROR(INDEX(U$2:AY$2,MATCH(TRUE,INDEX(U269:AY269&lt;&gt;"",0),0)),"")</f>
        <v/>
      </c>
      <c r="N269" s="61">
        <f>IFERROR(LOOKUP(2,1/(U269:AY269&lt;&gt;""),U$2:AY$2),"")</f>
        <v/>
      </c>
      <c r="O269" s="59" t="n"/>
      <c r="P269" s="59" t="n"/>
      <c r="Q269" s="59" t="n"/>
      <c r="R269" s="59" t="n"/>
      <c r="S269" s="14" t="n"/>
      <c r="U269" s="53" t="n"/>
      <c r="V269" s="53" t="n"/>
      <c r="W269" s="53" t="n"/>
      <c r="X269" s="53" t="n"/>
      <c r="Y269" s="53" t="n"/>
      <c r="Z269" s="53" t="n"/>
      <c r="AA269" s="53" t="n"/>
      <c r="AB269" s="53" t="n"/>
      <c r="AC269" s="53" t="n"/>
      <c r="AD269" s="53" t="n"/>
      <c r="AE269" s="53" t="n"/>
      <c r="AF269" s="53" t="n"/>
      <c r="AG269" s="53" t="n"/>
      <c r="AH269" s="53" t="n"/>
      <c r="AI269" s="53" t="n"/>
      <c r="AJ269" s="53" t="n"/>
      <c r="AK269" s="53" t="n"/>
      <c r="AL269" s="53" t="n"/>
      <c r="AM269" s="53" t="n"/>
      <c r="AN269" s="53" t="n"/>
      <c r="AO269" s="53" t="n"/>
      <c r="AP269" s="53" t="n"/>
      <c r="AQ269" s="53" t="n"/>
      <c r="AR269" s="53" t="n"/>
      <c r="AS269" s="53" t="n"/>
      <c r="AT269" s="53" t="n"/>
      <c r="AU269" s="53" t="n"/>
      <c r="AV269" s="53" t="n"/>
      <c r="AW269" s="53" t="n"/>
      <c r="AX269" s="53" t="n"/>
      <c r="AY269" s="53" t="n"/>
    </row>
    <row r="270" ht="15" customHeight="1">
      <c r="A270" s="62" t="n"/>
      <c r="B270" s="55">
        <f>IF($B$268="","",$B$268)</f>
        <v/>
      </c>
      <c r="C270" s="63" t="inlineStr">
        <is>
          <t>기타</t>
        </is>
      </c>
      <c r="D270" s="55">
        <f>IF($D$268="","",$D$268)</f>
        <v/>
      </c>
      <c r="E270" s="64" t="inlineStr">
        <is>
          <t>영상</t>
        </is>
      </c>
      <c r="F270" s="44" t="n"/>
      <c r="G270" s="58">
        <f>IF($G$268="","",$G$268)</f>
        <v/>
      </c>
      <c r="H270" s="59" t="n"/>
      <c r="I270" s="59" t="n"/>
      <c r="J270" s="59" t="n"/>
      <c r="K270" s="59" t="n"/>
      <c r="L270" s="65">
        <f>IF(SUM(U270:AY270)=0,"",SUM(U270:AY270))</f>
        <v/>
      </c>
      <c r="M270" s="66">
        <f>IFERROR(INDEX(U$2:AY$2,MATCH(TRUE,INDEX(U270:AY270&lt;&gt;"",0),0)),"")</f>
        <v/>
      </c>
      <c r="N270" s="66">
        <f>IFERROR(LOOKUP(2,1/(U270:AY270&lt;&gt;""),U$2:AY$2),"")</f>
        <v/>
      </c>
      <c r="O270" s="59" t="n"/>
      <c r="P270" s="59" t="n"/>
      <c r="Q270" s="59" t="n"/>
      <c r="R270" s="59" t="n"/>
      <c r="S270" s="14" t="n"/>
      <c r="U270" s="53" t="n"/>
      <c r="V270" s="53" t="n"/>
      <c r="W270" s="53" t="n"/>
      <c r="X270" s="53" t="n"/>
      <c r="Y270" s="53" t="n"/>
      <c r="Z270" s="53" t="n"/>
      <c r="AA270" s="53" t="n"/>
      <c r="AB270" s="53" t="n"/>
      <c r="AC270" s="53" t="n"/>
      <c r="AD270" s="53" t="n"/>
      <c r="AE270" s="53" t="n"/>
      <c r="AF270" s="53" t="n"/>
      <c r="AG270" s="53" t="n"/>
      <c r="AH270" s="53" t="n"/>
      <c r="AI270" s="53" t="n"/>
      <c r="AJ270" s="53" t="n"/>
      <c r="AK270" s="53" t="n"/>
      <c r="AL270" s="53" t="n"/>
      <c r="AM270" s="53" t="n"/>
      <c r="AN270" s="53" t="n"/>
      <c r="AO270" s="53" t="n"/>
      <c r="AP270" s="53" t="n"/>
      <c r="AQ270" s="53" t="n"/>
      <c r="AR270" s="53" t="n"/>
      <c r="AS270" s="53" t="n"/>
      <c r="AT270" s="53" t="n"/>
      <c r="AU270" s="53" t="n"/>
      <c r="AV270" s="53" t="n"/>
      <c r="AW270" s="53" t="n"/>
      <c r="AX270" s="53" t="n"/>
      <c r="AY270" s="53" t="n"/>
    </row>
    <row r="271" ht="15" customHeight="1">
      <c r="A271" s="40">
        <f>IF($D$271="","",87)</f>
        <v/>
      </c>
      <c r="B271" s="10" t="n"/>
      <c r="C271" s="41" t="inlineStr">
        <is>
          <t>기타</t>
        </is>
      </c>
      <c r="D271" s="42" t="n"/>
      <c r="E271" s="43" t="inlineStr">
        <is>
          <t>기획</t>
        </is>
      </c>
      <c r="F271" s="44" t="n"/>
      <c r="G271" s="45" t="n"/>
      <c r="H271" s="46">
        <f>IF($I$271="","",IF($I$271&lt;0,"🔴지연",IF($I$271&lt;=1,"🟡임박","🟢여유")))</f>
        <v/>
      </c>
      <c r="I271" s="47">
        <f>IF(OR($G$271="",$K$271=""),"",$G$271-$K$271)</f>
        <v/>
      </c>
      <c r="J271" s="48">
        <f>IF(SUM($L$271:$L$273)=0,"",SUM($L$271:$L$273))</f>
        <v/>
      </c>
      <c r="K271" s="49">
        <f>IF($J$271="","",MAX($N$271:$N$273))</f>
        <v/>
      </c>
      <c r="L271" s="50">
        <f>IF(SUM(U271:AY271)=0,"",SUM(U271:AY271))</f>
        <v/>
      </c>
      <c r="M271" s="51">
        <f>IFERROR(INDEX(U$2:AY$2,MATCH(TRUE,INDEX(U271:AY271&lt;&gt;"",0),0)),"")</f>
        <v/>
      </c>
      <c r="N271" s="51">
        <f>IFERROR(LOOKUP(2,1/(U271:AY271&lt;&gt;""),U$2:AY$2),"")</f>
        <v/>
      </c>
      <c r="O271" s="52" t="n"/>
      <c r="P271" s="52" t="n"/>
      <c r="Q271" s="52" t="n"/>
      <c r="R271" s="44" t="n"/>
      <c r="S271" s="14" t="n"/>
      <c r="U271" s="53" t="n"/>
      <c r="V271" s="53" t="n"/>
      <c r="W271" s="53" t="n"/>
      <c r="X271" s="53" t="n"/>
      <c r="Y271" s="53" t="n"/>
      <c r="Z271" s="53" t="n"/>
      <c r="AA271" s="53" t="n"/>
      <c r="AB271" s="53" t="n"/>
      <c r="AC271" s="53" t="n"/>
      <c r="AD271" s="53" t="n"/>
      <c r="AE271" s="53" t="n"/>
      <c r="AF271" s="53" t="n"/>
      <c r="AG271" s="53" t="n"/>
      <c r="AH271" s="53" t="n"/>
      <c r="AI271" s="53" t="n"/>
      <c r="AJ271" s="53" t="n"/>
      <c r="AK271" s="53" t="n"/>
      <c r="AL271" s="53" t="n"/>
      <c r="AM271" s="53" t="n"/>
      <c r="AN271" s="53" t="n"/>
      <c r="AO271" s="53" t="n"/>
      <c r="AP271" s="53" t="n"/>
      <c r="AQ271" s="53" t="n"/>
      <c r="AR271" s="53" t="n"/>
      <c r="AS271" s="53" t="n"/>
      <c r="AT271" s="53" t="n"/>
      <c r="AU271" s="53" t="n"/>
      <c r="AV271" s="53" t="n"/>
      <c r="AW271" s="53" t="n"/>
      <c r="AX271" s="53" t="n"/>
      <c r="AY271" s="53" t="n"/>
    </row>
    <row r="272" ht="15" customHeight="1">
      <c r="A272" s="54" t="n"/>
      <c r="B272" s="55">
        <f>IF($B$271="","",$B$271)</f>
        <v/>
      </c>
      <c r="C272" s="56" t="inlineStr">
        <is>
          <t>기타</t>
        </is>
      </c>
      <c r="D272" s="55">
        <f>IF($D$271="","",$D$271)</f>
        <v/>
      </c>
      <c r="E272" s="57" t="inlineStr">
        <is>
          <t>이미지</t>
        </is>
      </c>
      <c r="F272" s="44" t="n"/>
      <c r="G272" s="58">
        <f>IF($G$271="","",$G$271)</f>
        <v/>
      </c>
      <c r="H272" s="59" t="n"/>
      <c r="I272" s="59" t="n"/>
      <c r="J272" s="59" t="n"/>
      <c r="K272" s="59" t="n"/>
      <c r="L272" s="60">
        <f>IF(SUM(U272:AY272)=0,"",SUM(U272:AY272))</f>
        <v/>
      </c>
      <c r="M272" s="61">
        <f>IFERROR(INDEX(U$2:AY$2,MATCH(TRUE,INDEX(U272:AY272&lt;&gt;"",0),0)),"")</f>
        <v/>
      </c>
      <c r="N272" s="61">
        <f>IFERROR(LOOKUP(2,1/(U272:AY272&lt;&gt;""),U$2:AY$2),"")</f>
        <v/>
      </c>
      <c r="O272" s="59" t="n"/>
      <c r="P272" s="59" t="n"/>
      <c r="Q272" s="59" t="n"/>
      <c r="R272" s="59" t="n"/>
      <c r="S272" s="14" t="n"/>
      <c r="U272" s="53" t="n"/>
      <c r="V272" s="53" t="n"/>
      <c r="W272" s="53" t="n"/>
      <c r="X272" s="53" t="n"/>
      <c r="Y272" s="53" t="n"/>
      <c r="Z272" s="53" t="n"/>
      <c r="AA272" s="53" t="n"/>
      <c r="AB272" s="53" t="n"/>
      <c r="AC272" s="53" t="n"/>
      <c r="AD272" s="53" t="n"/>
      <c r="AE272" s="53" t="n"/>
      <c r="AF272" s="53" t="n"/>
      <c r="AG272" s="53" t="n"/>
      <c r="AH272" s="53" t="n"/>
      <c r="AI272" s="53" t="n"/>
      <c r="AJ272" s="53" t="n"/>
      <c r="AK272" s="53" t="n"/>
      <c r="AL272" s="53" t="n"/>
      <c r="AM272" s="53" t="n"/>
      <c r="AN272" s="53" t="n"/>
      <c r="AO272" s="53" t="n"/>
      <c r="AP272" s="53" t="n"/>
      <c r="AQ272" s="53" t="n"/>
      <c r="AR272" s="53" t="n"/>
      <c r="AS272" s="53" t="n"/>
      <c r="AT272" s="53" t="n"/>
      <c r="AU272" s="53" t="n"/>
      <c r="AV272" s="53" t="n"/>
      <c r="AW272" s="53" t="n"/>
      <c r="AX272" s="53" t="n"/>
      <c r="AY272" s="53" t="n"/>
    </row>
    <row r="273" ht="15" customHeight="1">
      <c r="A273" s="62" t="n"/>
      <c r="B273" s="55">
        <f>IF($B$271="","",$B$271)</f>
        <v/>
      </c>
      <c r="C273" s="63" t="inlineStr">
        <is>
          <t>기타</t>
        </is>
      </c>
      <c r="D273" s="55">
        <f>IF($D$271="","",$D$271)</f>
        <v/>
      </c>
      <c r="E273" s="64" t="inlineStr">
        <is>
          <t>영상</t>
        </is>
      </c>
      <c r="F273" s="44" t="n"/>
      <c r="G273" s="58">
        <f>IF($G$271="","",$G$271)</f>
        <v/>
      </c>
      <c r="H273" s="59" t="n"/>
      <c r="I273" s="59" t="n"/>
      <c r="J273" s="59" t="n"/>
      <c r="K273" s="59" t="n"/>
      <c r="L273" s="65">
        <f>IF(SUM(U273:AY273)=0,"",SUM(U273:AY273))</f>
        <v/>
      </c>
      <c r="M273" s="66">
        <f>IFERROR(INDEX(U$2:AY$2,MATCH(TRUE,INDEX(U273:AY273&lt;&gt;"",0),0)),"")</f>
        <v/>
      </c>
      <c r="N273" s="66">
        <f>IFERROR(LOOKUP(2,1/(U273:AY273&lt;&gt;""),U$2:AY$2),"")</f>
        <v/>
      </c>
      <c r="O273" s="59" t="n"/>
      <c r="P273" s="59" t="n"/>
      <c r="Q273" s="59" t="n"/>
      <c r="R273" s="59" t="n"/>
      <c r="S273" s="14" t="n"/>
      <c r="U273" s="53" t="n"/>
      <c r="V273" s="53" t="n"/>
      <c r="W273" s="53" t="n"/>
      <c r="X273" s="53" t="n"/>
      <c r="Y273" s="53" t="n"/>
      <c r="Z273" s="53" t="n"/>
      <c r="AA273" s="53" t="n"/>
      <c r="AB273" s="53" t="n"/>
      <c r="AC273" s="53" t="n"/>
      <c r="AD273" s="53" t="n"/>
      <c r="AE273" s="53" t="n"/>
      <c r="AF273" s="53" t="n"/>
      <c r="AG273" s="53" t="n"/>
      <c r="AH273" s="53" t="n"/>
      <c r="AI273" s="53" t="n"/>
      <c r="AJ273" s="53" t="n"/>
      <c r="AK273" s="53" t="n"/>
      <c r="AL273" s="53" t="n"/>
      <c r="AM273" s="53" t="n"/>
      <c r="AN273" s="53" t="n"/>
      <c r="AO273" s="53" t="n"/>
      <c r="AP273" s="53" t="n"/>
      <c r="AQ273" s="53" t="n"/>
      <c r="AR273" s="53" t="n"/>
      <c r="AS273" s="53" t="n"/>
      <c r="AT273" s="53" t="n"/>
      <c r="AU273" s="53" t="n"/>
      <c r="AV273" s="53" t="n"/>
      <c r="AW273" s="53" t="n"/>
      <c r="AX273" s="53" t="n"/>
      <c r="AY273" s="53" t="n"/>
    </row>
    <row r="274" ht="15" customHeight="1">
      <c r="A274" s="40">
        <f>IF($D$274="","",88)</f>
        <v/>
      </c>
      <c r="B274" s="10" t="n"/>
      <c r="C274" s="41" t="inlineStr">
        <is>
          <t>기타</t>
        </is>
      </c>
      <c r="D274" s="42" t="n"/>
      <c r="E274" s="43" t="inlineStr">
        <is>
          <t>기획</t>
        </is>
      </c>
      <c r="F274" s="44" t="n"/>
      <c r="G274" s="45" t="n"/>
      <c r="H274" s="46">
        <f>IF($I$274="","",IF($I$274&lt;0,"🔴지연",IF($I$274&lt;=1,"🟡임박","🟢여유")))</f>
        <v/>
      </c>
      <c r="I274" s="47">
        <f>IF(OR($G$274="",$K$274=""),"",$G$274-$K$274)</f>
        <v/>
      </c>
      <c r="J274" s="48">
        <f>IF(SUM($L$274:$L$276)=0,"",SUM($L$274:$L$276))</f>
        <v/>
      </c>
      <c r="K274" s="49">
        <f>IF($J$274="","",MAX($N$274:$N$276))</f>
        <v/>
      </c>
      <c r="L274" s="50">
        <f>IF(SUM(U274:AY274)=0,"",SUM(U274:AY274))</f>
        <v/>
      </c>
      <c r="M274" s="51">
        <f>IFERROR(INDEX(U$2:AY$2,MATCH(TRUE,INDEX(U274:AY274&lt;&gt;"",0),0)),"")</f>
        <v/>
      </c>
      <c r="N274" s="51">
        <f>IFERROR(LOOKUP(2,1/(U274:AY274&lt;&gt;""),U$2:AY$2),"")</f>
        <v/>
      </c>
      <c r="O274" s="52" t="n"/>
      <c r="P274" s="52" t="n"/>
      <c r="Q274" s="52" t="n"/>
      <c r="R274" s="44" t="n"/>
      <c r="S274" s="14" t="n"/>
      <c r="U274" s="53" t="n"/>
      <c r="V274" s="53" t="n"/>
      <c r="W274" s="53" t="n"/>
      <c r="X274" s="53" t="n"/>
      <c r="Y274" s="53" t="n"/>
      <c r="Z274" s="53" t="n"/>
      <c r="AA274" s="53" t="n"/>
      <c r="AB274" s="53" t="n"/>
      <c r="AC274" s="53" t="n"/>
      <c r="AD274" s="53" t="n"/>
      <c r="AE274" s="53" t="n"/>
      <c r="AF274" s="53" t="n"/>
      <c r="AG274" s="53" t="n"/>
      <c r="AH274" s="53" t="n"/>
      <c r="AI274" s="53" t="n"/>
      <c r="AJ274" s="53" t="n"/>
      <c r="AK274" s="53" t="n"/>
      <c r="AL274" s="53" t="n"/>
      <c r="AM274" s="53" t="n"/>
      <c r="AN274" s="53" t="n"/>
      <c r="AO274" s="53" t="n"/>
      <c r="AP274" s="53" t="n"/>
      <c r="AQ274" s="53" t="n"/>
      <c r="AR274" s="53" t="n"/>
      <c r="AS274" s="53" t="n"/>
      <c r="AT274" s="53" t="n"/>
      <c r="AU274" s="53" t="n"/>
      <c r="AV274" s="53" t="n"/>
      <c r="AW274" s="53" t="n"/>
      <c r="AX274" s="53" t="n"/>
      <c r="AY274" s="53" t="n"/>
    </row>
    <row r="275" ht="15" customHeight="1">
      <c r="A275" s="54" t="n"/>
      <c r="B275" s="55">
        <f>IF($B$274="","",$B$274)</f>
        <v/>
      </c>
      <c r="C275" s="56" t="inlineStr">
        <is>
          <t>기타</t>
        </is>
      </c>
      <c r="D275" s="55">
        <f>IF($D$274="","",$D$274)</f>
        <v/>
      </c>
      <c r="E275" s="57" t="inlineStr">
        <is>
          <t>이미지</t>
        </is>
      </c>
      <c r="F275" s="44" t="n"/>
      <c r="G275" s="58">
        <f>IF($G$274="","",$G$274)</f>
        <v/>
      </c>
      <c r="H275" s="59" t="n"/>
      <c r="I275" s="59" t="n"/>
      <c r="J275" s="59" t="n"/>
      <c r="K275" s="59" t="n"/>
      <c r="L275" s="60">
        <f>IF(SUM(U275:AY275)=0,"",SUM(U275:AY275))</f>
        <v/>
      </c>
      <c r="M275" s="61">
        <f>IFERROR(INDEX(U$2:AY$2,MATCH(TRUE,INDEX(U275:AY275&lt;&gt;"",0),0)),"")</f>
        <v/>
      </c>
      <c r="N275" s="61">
        <f>IFERROR(LOOKUP(2,1/(U275:AY275&lt;&gt;""),U$2:AY$2),"")</f>
        <v/>
      </c>
      <c r="O275" s="59" t="n"/>
      <c r="P275" s="59" t="n"/>
      <c r="Q275" s="59" t="n"/>
      <c r="R275" s="59" t="n"/>
      <c r="S275" s="14" t="n"/>
      <c r="U275" s="53" t="n"/>
      <c r="V275" s="53" t="n"/>
      <c r="W275" s="53" t="n"/>
      <c r="X275" s="53" t="n"/>
      <c r="Y275" s="53" t="n"/>
      <c r="Z275" s="53" t="n"/>
      <c r="AA275" s="53" t="n"/>
      <c r="AB275" s="53" t="n"/>
      <c r="AC275" s="53" t="n"/>
      <c r="AD275" s="53" t="n"/>
      <c r="AE275" s="53" t="n"/>
      <c r="AF275" s="53" t="n"/>
      <c r="AG275" s="53" t="n"/>
      <c r="AH275" s="53" t="n"/>
      <c r="AI275" s="53" t="n"/>
      <c r="AJ275" s="53" t="n"/>
      <c r="AK275" s="53" t="n"/>
      <c r="AL275" s="53" t="n"/>
      <c r="AM275" s="53" t="n"/>
      <c r="AN275" s="53" t="n"/>
      <c r="AO275" s="53" t="n"/>
      <c r="AP275" s="53" t="n"/>
      <c r="AQ275" s="53" t="n"/>
      <c r="AR275" s="53" t="n"/>
      <c r="AS275" s="53" t="n"/>
      <c r="AT275" s="53" t="n"/>
      <c r="AU275" s="53" t="n"/>
      <c r="AV275" s="53" t="n"/>
      <c r="AW275" s="53" t="n"/>
      <c r="AX275" s="53" t="n"/>
      <c r="AY275" s="53" t="n"/>
    </row>
    <row r="276" ht="15" customHeight="1">
      <c r="A276" s="62" t="n"/>
      <c r="B276" s="55">
        <f>IF($B$274="","",$B$274)</f>
        <v/>
      </c>
      <c r="C276" s="63" t="inlineStr">
        <is>
          <t>기타</t>
        </is>
      </c>
      <c r="D276" s="55">
        <f>IF($D$274="","",$D$274)</f>
        <v/>
      </c>
      <c r="E276" s="64" t="inlineStr">
        <is>
          <t>영상</t>
        </is>
      </c>
      <c r="F276" s="44" t="n"/>
      <c r="G276" s="58">
        <f>IF($G$274="","",$G$274)</f>
        <v/>
      </c>
      <c r="H276" s="59" t="n"/>
      <c r="I276" s="59" t="n"/>
      <c r="J276" s="59" t="n"/>
      <c r="K276" s="59" t="n"/>
      <c r="L276" s="65">
        <f>IF(SUM(U276:AY276)=0,"",SUM(U276:AY276))</f>
        <v/>
      </c>
      <c r="M276" s="66">
        <f>IFERROR(INDEX(U$2:AY$2,MATCH(TRUE,INDEX(U276:AY276&lt;&gt;"",0),0)),"")</f>
        <v/>
      </c>
      <c r="N276" s="66">
        <f>IFERROR(LOOKUP(2,1/(U276:AY276&lt;&gt;""),U$2:AY$2),"")</f>
        <v/>
      </c>
      <c r="O276" s="59" t="n"/>
      <c r="P276" s="59" t="n"/>
      <c r="Q276" s="59" t="n"/>
      <c r="R276" s="59" t="n"/>
      <c r="S276" s="14" t="n"/>
      <c r="U276" s="53" t="n"/>
      <c r="V276" s="53" t="n"/>
      <c r="W276" s="53" t="n"/>
      <c r="X276" s="53" t="n"/>
      <c r="Y276" s="53" t="n"/>
      <c r="Z276" s="53" t="n"/>
      <c r="AA276" s="53" t="n"/>
      <c r="AB276" s="53" t="n"/>
      <c r="AC276" s="53" t="n"/>
      <c r="AD276" s="53" t="n"/>
      <c r="AE276" s="53" t="n"/>
      <c r="AF276" s="53" t="n"/>
      <c r="AG276" s="53" t="n"/>
      <c r="AH276" s="53" t="n"/>
      <c r="AI276" s="53" t="n"/>
      <c r="AJ276" s="53" t="n"/>
      <c r="AK276" s="53" t="n"/>
      <c r="AL276" s="53" t="n"/>
      <c r="AM276" s="53" t="n"/>
      <c r="AN276" s="53" t="n"/>
      <c r="AO276" s="53" t="n"/>
      <c r="AP276" s="53" t="n"/>
      <c r="AQ276" s="53" t="n"/>
      <c r="AR276" s="53" t="n"/>
      <c r="AS276" s="53" t="n"/>
      <c r="AT276" s="53" t="n"/>
      <c r="AU276" s="53" t="n"/>
      <c r="AV276" s="53" t="n"/>
      <c r="AW276" s="53" t="n"/>
      <c r="AX276" s="53" t="n"/>
      <c r="AY276" s="53" t="n"/>
    </row>
    <row r="277" ht="15" customHeight="1">
      <c r="A277" s="40">
        <f>IF($D$277="","",89)</f>
        <v/>
      </c>
      <c r="B277" s="10" t="n"/>
      <c r="C277" s="41" t="inlineStr">
        <is>
          <t>기타</t>
        </is>
      </c>
      <c r="D277" s="42" t="n"/>
      <c r="E277" s="43" t="inlineStr">
        <is>
          <t>기획</t>
        </is>
      </c>
      <c r="F277" s="44" t="n"/>
      <c r="G277" s="45" t="n"/>
      <c r="H277" s="46">
        <f>IF($I$277="","",IF($I$277&lt;0,"🔴지연",IF($I$277&lt;=1,"🟡임박","🟢여유")))</f>
        <v/>
      </c>
      <c r="I277" s="47">
        <f>IF(OR($G$277="",$K$277=""),"",$G$277-$K$277)</f>
        <v/>
      </c>
      <c r="J277" s="48">
        <f>IF(SUM($L$277:$L$279)=0,"",SUM($L$277:$L$279))</f>
        <v/>
      </c>
      <c r="K277" s="49">
        <f>IF($J$277="","",MAX($N$277:$N$279))</f>
        <v/>
      </c>
      <c r="L277" s="50">
        <f>IF(SUM(U277:AY277)=0,"",SUM(U277:AY277))</f>
        <v/>
      </c>
      <c r="M277" s="51">
        <f>IFERROR(INDEX(U$2:AY$2,MATCH(TRUE,INDEX(U277:AY277&lt;&gt;"",0),0)),"")</f>
        <v/>
      </c>
      <c r="N277" s="51">
        <f>IFERROR(LOOKUP(2,1/(U277:AY277&lt;&gt;""),U$2:AY$2),"")</f>
        <v/>
      </c>
      <c r="O277" s="52" t="n"/>
      <c r="P277" s="52" t="n"/>
      <c r="Q277" s="52" t="n"/>
      <c r="R277" s="44" t="n"/>
      <c r="S277" s="14" t="n"/>
      <c r="U277" s="53" t="n"/>
      <c r="V277" s="53" t="n"/>
      <c r="W277" s="53" t="n"/>
      <c r="X277" s="53" t="n"/>
      <c r="Y277" s="53" t="n"/>
      <c r="Z277" s="53" t="n"/>
      <c r="AA277" s="53" t="n"/>
      <c r="AB277" s="53" t="n"/>
      <c r="AC277" s="53" t="n"/>
      <c r="AD277" s="53" t="n"/>
      <c r="AE277" s="53" t="n"/>
      <c r="AF277" s="53" t="n"/>
      <c r="AG277" s="53" t="n"/>
      <c r="AH277" s="53" t="n"/>
      <c r="AI277" s="53" t="n"/>
      <c r="AJ277" s="53" t="n"/>
      <c r="AK277" s="53" t="n"/>
      <c r="AL277" s="53" t="n"/>
      <c r="AM277" s="53" t="n"/>
      <c r="AN277" s="53" t="n"/>
      <c r="AO277" s="53" t="n"/>
      <c r="AP277" s="53" t="n"/>
      <c r="AQ277" s="53" t="n"/>
      <c r="AR277" s="53" t="n"/>
      <c r="AS277" s="53" t="n"/>
      <c r="AT277" s="53" t="n"/>
      <c r="AU277" s="53" t="n"/>
      <c r="AV277" s="53" t="n"/>
      <c r="AW277" s="53" t="n"/>
      <c r="AX277" s="53" t="n"/>
      <c r="AY277" s="53" t="n"/>
    </row>
    <row r="278" ht="15" customHeight="1">
      <c r="A278" s="54" t="n"/>
      <c r="B278" s="55">
        <f>IF($B$277="","",$B$277)</f>
        <v/>
      </c>
      <c r="C278" s="56" t="inlineStr">
        <is>
          <t>기타</t>
        </is>
      </c>
      <c r="D278" s="55">
        <f>IF($D$277="","",$D$277)</f>
        <v/>
      </c>
      <c r="E278" s="57" t="inlineStr">
        <is>
          <t>이미지</t>
        </is>
      </c>
      <c r="F278" s="44" t="n"/>
      <c r="G278" s="58">
        <f>IF($G$277="","",$G$277)</f>
        <v/>
      </c>
      <c r="H278" s="59" t="n"/>
      <c r="I278" s="59" t="n"/>
      <c r="J278" s="59" t="n"/>
      <c r="K278" s="59" t="n"/>
      <c r="L278" s="60">
        <f>IF(SUM(U278:AY278)=0,"",SUM(U278:AY278))</f>
        <v/>
      </c>
      <c r="M278" s="61">
        <f>IFERROR(INDEX(U$2:AY$2,MATCH(TRUE,INDEX(U278:AY278&lt;&gt;"",0),0)),"")</f>
        <v/>
      </c>
      <c r="N278" s="61">
        <f>IFERROR(LOOKUP(2,1/(U278:AY278&lt;&gt;""),U$2:AY$2),"")</f>
        <v/>
      </c>
      <c r="O278" s="59" t="n"/>
      <c r="P278" s="59" t="n"/>
      <c r="Q278" s="59" t="n"/>
      <c r="R278" s="59" t="n"/>
      <c r="S278" s="14" t="n"/>
      <c r="U278" s="53" t="n"/>
      <c r="V278" s="53" t="n"/>
      <c r="W278" s="53" t="n"/>
      <c r="X278" s="53" t="n"/>
      <c r="Y278" s="53" t="n"/>
      <c r="Z278" s="53" t="n"/>
      <c r="AA278" s="53" t="n"/>
      <c r="AB278" s="53" t="n"/>
      <c r="AC278" s="53" t="n"/>
      <c r="AD278" s="53" t="n"/>
      <c r="AE278" s="53" t="n"/>
      <c r="AF278" s="53" t="n"/>
      <c r="AG278" s="53" t="n"/>
      <c r="AH278" s="53" t="n"/>
      <c r="AI278" s="53" t="n"/>
      <c r="AJ278" s="53" t="n"/>
      <c r="AK278" s="53" t="n"/>
      <c r="AL278" s="53" t="n"/>
      <c r="AM278" s="53" t="n"/>
      <c r="AN278" s="53" t="n"/>
      <c r="AO278" s="53" t="n"/>
      <c r="AP278" s="53" t="n"/>
      <c r="AQ278" s="53" t="n"/>
      <c r="AR278" s="53" t="n"/>
      <c r="AS278" s="53" t="n"/>
      <c r="AT278" s="53" t="n"/>
      <c r="AU278" s="53" t="n"/>
      <c r="AV278" s="53" t="n"/>
      <c r="AW278" s="53" t="n"/>
      <c r="AX278" s="53" t="n"/>
      <c r="AY278" s="53" t="n"/>
    </row>
    <row r="279" ht="15" customHeight="1">
      <c r="A279" s="62" t="n"/>
      <c r="B279" s="55">
        <f>IF($B$277="","",$B$277)</f>
        <v/>
      </c>
      <c r="C279" s="63" t="inlineStr">
        <is>
          <t>기타</t>
        </is>
      </c>
      <c r="D279" s="55">
        <f>IF($D$277="","",$D$277)</f>
        <v/>
      </c>
      <c r="E279" s="64" t="inlineStr">
        <is>
          <t>영상</t>
        </is>
      </c>
      <c r="F279" s="44" t="n"/>
      <c r="G279" s="58">
        <f>IF($G$277="","",$G$277)</f>
        <v/>
      </c>
      <c r="H279" s="59" t="n"/>
      <c r="I279" s="59" t="n"/>
      <c r="J279" s="59" t="n"/>
      <c r="K279" s="59" t="n"/>
      <c r="L279" s="65">
        <f>IF(SUM(U279:AY279)=0,"",SUM(U279:AY279))</f>
        <v/>
      </c>
      <c r="M279" s="66">
        <f>IFERROR(INDEX(U$2:AY$2,MATCH(TRUE,INDEX(U279:AY279&lt;&gt;"",0),0)),"")</f>
        <v/>
      </c>
      <c r="N279" s="66">
        <f>IFERROR(LOOKUP(2,1/(U279:AY279&lt;&gt;""),U$2:AY$2),"")</f>
        <v/>
      </c>
      <c r="O279" s="59" t="n"/>
      <c r="P279" s="59" t="n"/>
      <c r="Q279" s="59" t="n"/>
      <c r="R279" s="59" t="n"/>
      <c r="S279" s="14" t="n"/>
      <c r="U279" s="53" t="n"/>
      <c r="V279" s="53" t="n"/>
      <c r="W279" s="53" t="n"/>
      <c r="X279" s="53" t="n"/>
      <c r="Y279" s="53" t="n"/>
      <c r="Z279" s="53" t="n"/>
      <c r="AA279" s="53" t="n"/>
      <c r="AB279" s="53" t="n"/>
      <c r="AC279" s="53" t="n"/>
      <c r="AD279" s="53" t="n"/>
      <c r="AE279" s="53" t="n"/>
      <c r="AF279" s="53" t="n"/>
      <c r="AG279" s="53" t="n"/>
      <c r="AH279" s="53" t="n"/>
      <c r="AI279" s="53" t="n"/>
      <c r="AJ279" s="53" t="n"/>
      <c r="AK279" s="53" t="n"/>
      <c r="AL279" s="53" t="n"/>
      <c r="AM279" s="53" t="n"/>
      <c r="AN279" s="53" t="n"/>
      <c r="AO279" s="53" t="n"/>
      <c r="AP279" s="53" t="n"/>
      <c r="AQ279" s="53" t="n"/>
      <c r="AR279" s="53" t="n"/>
      <c r="AS279" s="53" t="n"/>
      <c r="AT279" s="53" t="n"/>
      <c r="AU279" s="53" t="n"/>
      <c r="AV279" s="53" t="n"/>
      <c r="AW279" s="53" t="n"/>
      <c r="AX279" s="53" t="n"/>
      <c r="AY279" s="53" t="n"/>
    </row>
    <row r="280" ht="15" customHeight="1">
      <c r="A280" s="40">
        <f>IF($D$280="","",90)</f>
        <v/>
      </c>
      <c r="B280" s="10" t="n"/>
      <c r="C280" s="41" t="inlineStr">
        <is>
          <t>기타</t>
        </is>
      </c>
      <c r="D280" s="42" t="n"/>
      <c r="E280" s="43" t="inlineStr">
        <is>
          <t>기획</t>
        </is>
      </c>
      <c r="F280" s="44" t="n"/>
      <c r="G280" s="45" t="n"/>
      <c r="H280" s="46">
        <f>IF($I$280="","",IF($I$280&lt;0,"🔴지연",IF($I$280&lt;=1,"🟡임박","🟢여유")))</f>
        <v/>
      </c>
      <c r="I280" s="47">
        <f>IF(OR($G$280="",$K$280=""),"",$G$280-$K$280)</f>
        <v/>
      </c>
      <c r="J280" s="48">
        <f>IF(SUM($L$280:$L$282)=0,"",SUM($L$280:$L$282))</f>
        <v/>
      </c>
      <c r="K280" s="49">
        <f>IF($J$280="","",MAX($N$280:$N$282))</f>
        <v/>
      </c>
      <c r="L280" s="50">
        <f>IF(SUM(U280:AY280)=0,"",SUM(U280:AY280))</f>
        <v/>
      </c>
      <c r="M280" s="51">
        <f>IFERROR(INDEX(U$2:AY$2,MATCH(TRUE,INDEX(U280:AY280&lt;&gt;"",0),0)),"")</f>
        <v/>
      </c>
      <c r="N280" s="51">
        <f>IFERROR(LOOKUP(2,1/(U280:AY280&lt;&gt;""),U$2:AY$2),"")</f>
        <v/>
      </c>
      <c r="O280" s="52" t="n"/>
      <c r="P280" s="52" t="n"/>
      <c r="Q280" s="52" t="n"/>
      <c r="R280" s="44" t="n"/>
      <c r="S280" s="14" t="n"/>
      <c r="U280" s="53" t="n"/>
      <c r="V280" s="53" t="n"/>
      <c r="W280" s="53" t="n"/>
      <c r="X280" s="53" t="n"/>
      <c r="Y280" s="53" t="n"/>
      <c r="Z280" s="53" t="n"/>
      <c r="AA280" s="53" t="n"/>
      <c r="AB280" s="53" t="n"/>
      <c r="AC280" s="53" t="n"/>
      <c r="AD280" s="53" t="n"/>
      <c r="AE280" s="53" t="n"/>
      <c r="AF280" s="53" t="n"/>
      <c r="AG280" s="53" t="n"/>
      <c r="AH280" s="53" t="n"/>
      <c r="AI280" s="53" t="n"/>
      <c r="AJ280" s="53" t="n"/>
      <c r="AK280" s="53" t="n"/>
      <c r="AL280" s="53" t="n"/>
      <c r="AM280" s="53" t="n"/>
      <c r="AN280" s="53" t="n"/>
      <c r="AO280" s="53" t="n"/>
      <c r="AP280" s="53" t="n"/>
      <c r="AQ280" s="53" t="n"/>
      <c r="AR280" s="53" t="n"/>
      <c r="AS280" s="53" t="n"/>
      <c r="AT280" s="53" t="n"/>
      <c r="AU280" s="53" t="n"/>
      <c r="AV280" s="53" t="n"/>
      <c r="AW280" s="53" t="n"/>
      <c r="AX280" s="53" t="n"/>
      <c r="AY280" s="53" t="n"/>
    </row>
    <row r="281" ht="15" customHeight="1">
      <c r="A281" s="54" t="n"/>
      <c r="B281" s="55">
        <f>IF($B$280="","",$B$280)</f>
        <v/>
      </c>
      <c r="C281" s="56" t="inlineStr">
        <is>
          <t>기타</t>
        </is>
      </c>
      <c r="D281" s="55">
        <f>IF($D$280="","",$D$280)</f>
        <v/>
      </c>
      <c r="E281" s="57" t="inlineStr">
        <is>
          <t>이미지</t>
        </is>
      </c>
      <c r="F281" s="44" t="n"/>
      <c r="G281" s="58">
        <f>IF($G$280="","",$G$280)</f>
        <v/>
      </c>
      <c r="H281" s="59" t="n"/>
      <c r="I281" s="59" t="n"/>
      <c r="J281" s="59" t="n"/>
      <c r="K281" s="59" t="n"/>
      <c r="L281" s="60">
        <f>IF(SUM(U281:AY281)=0,"",SUM(U281:AY281))</f>
        <v/>
      </c>
      <c r="M281" s="61">
        <f>IFERROR(INDEX(U$2:AY$2,MATCH(TRUE,INDEX(U281:AY281&lt;&gt;"",0),0)),"")</f>
        <v/>
      </c>
      <c r="N281" s="61">
        <f>IFERROR(LOOKUP(2,1/(U281:AY281&lt;&gt;""),U$2:AY$2),"")</f>
        <v/>
      </c>
      <c r="O281" s="59" t="n"/>
      <c r="P281" s="59" t="n"/>
      <c r="Q281" s="59" t="n"/>
      <c r="R281" s="59" t="n"/>
      <c r="S281" s="14" t="n"/>
      <c r="U281" s="53" t="n"/>
      <c r="V281" s="53" t="n"/>
      <c r="W281" s="53" t="n"/>
      <c r="X281" s="53" t="n"/>
      <c r="Y281" s="53" t="n"/>
      <c r="Z281" s="53" t="n"/>
      <c r="AA281" s="53" t="n"/>
      <c r="AB281" s="53" t="n"/>
      <c r="AC281" s="53" t="n"/>
      <c r="AD281" s="53" t="n"/>
      <c r="AE281" s="53" t="n"/>
      <c r="AF281" s="53" t="n"/>
      <c r="AG281" s="53" t="n"/>
      <c r="AH281" s="53" t="n"/>
      <c r="AI281" s="53" t="n"/>
      <c r="AJ281" s="53" t="n"/>
      <c r="AK281" s="53" t="n"/>
      <c r="AL281" s="53" t="n"/>
      <c r="AM281" s="53" t="n"/>
      <c r="AN281" s="53" t="n"/>
      <c r="AO281" s="53" t="n"/>
      <c r="AP281" s="53" t="n"/>
      <c r="AQ281" s="53" t="n"/>
      <c r="AR281" s="53" t="n"/>
      <c r="AS281" s="53" t="n"/>
      <c r="AT281" s="53" t="n"/>
      <c r="AU281" s="53" t="n"/>
      <c r="AV281" s="53" t="n"/>
      <c r="AW281" s="53" t="n"/>
      <c r="AX281" s="53" t="n"/>
      <c r="AY281" s="53" t="n"/>
    </row>
    <row r="282" ht="15" customHeight="1">
      <c r="A282" s="62" t="n"/>
      <c r="B282" s="55">
        <f>IF($B$280="","",$B$280)</f>
        <v/>
      </c>
      <c r="C282" s="63" t="inlineStr">
        <is>
          <t>기타</t>
        </is>
      </c>
      <c r="D282" s="55">
        <f>IF($D$280="","",$D$280)</f>
        <v/>
      </c>
      <c r="E282" s="64" t="inlineStr">
        <is>
          <t>영상</t>
        </is>
      </c>
      <c r="F282" s="44" t="n"/>
      <c r="G282" s="58">
        <f>IF($G$280="","",$G$280)</f>
        <v/>
      </c>
      <c r="H282" s="59" t="n"/>
      <c r="I282" s="59" t="n"/>
      <c r="J282" s="59" t="n"/>
      <c r="K282" s="59" t="n"/>
      <c r="L282" s="65">
        <f>IF(SUM(U282:AY282)=0,"",SUM(U282:AY282))</f>
        <v/>
      </c>
      <c r="M282" s="66">
        <f>IFERROR(INDEX(U$2:AY$2,MATCH(TRUE,INDEX(U282:AY282&lt;&gt;"",0),0)),"")</f>
        <v/>
      </c>
      <c r="N282" s="66">
        <f>IFERROR(LOOKUP(2,1/(U282:AY282&lt;&gt;""),U$2:AY$2),"")</f>
        <v/>
      </c>
      <c r="O282" s="59" t="n"/>
      <c r="P282" s="59" t="n"/>
      <c r="Q282" s="59" t="n"/>
      <c r="R282" s="59" t="n"/>
      <c r="S282" s="14" t="n"/>
      <c r="U282" s="53" t="n"/>
      <c r="V282" s="53" t="n"/>
      <c r="W282" s="53" t="n"/>
      <c r="X282" s="53" t="n"/>
      <c r="Y282" s="53" t="n"/>
      <c r="Z282" s="53" t="n"/>
      <c r="AA282" s="53" t="n"/>
      <c r="AB282" s="53" t="n"/>
      <c r="AC282" s="53" t="n"/>
      <c r="AD282" s="53" t="n"/>
      <c r="AE282" s="53" t="n"/>
      <c r="AF282" s="53" t="n"/>
      <c r="AG282" s="53" t="n"/>
      <c r="AH282" s="53" t="n"/>
      <c r="AI282" s="53" t="n"/>
      <c r="AJ282" s="53" t="n"/>
      <c r="AK282" s="53" t="n"/>
      <c r="AL282" s="53" t="n"/>
      <c r="AM282" s="53" t="n"/>
      <c r="AN282" s="53" t="n"/>
      <c r="AO282" s="53" t="n"/>
      <c r="AP282" s="53" t="n"/>
      <c r="AQ282" s="53" t="n"/>
      <c r="AR282" s="53" t="n"/>
      <c r="AS282" s="53" t="n"/>
      <c r="AT282" s="53" t="n"/>
      <c r="AU282" s="53" t="n"/>
      <c r="AV282" s="53" t="n"/>
      <c r="AW282" s="53" t="n"/>
      <c r="AX282" s="53" t="n"/>
      <c r="AY282" s="53" t="n"/>
    </row>
    <row r="283" ht="15" customHeight="1">
      <c r="A283" s="40">
        <f>IF($D$283="","",91)</f>
        <v/>
      </c>
      <c r="B283" s="10" t="n"/>
      <c r="C283" s="41" t="inlineStr">
        <is>
          <t>기타</t>
        </is>
      </c>
      <c r="D283" s="42" t="n"/>
      <c r="E283" s="43" t="inlineStr">
        <is>
          <t>기획</t>
        </is>
      </c>
      <c r="F283" s="44" t="n"/>
      <c r="G283" s="45" t="n"/>
      <c r="H283" s="46">
        <f>IF($I$283="","",IF($I$283&lt;0,"🔴지연",IF($I$283&lt;=1,"🟡임박","🟢여유")))</f>
        <v/>
      </c>
      <c r="I283" s="47">
        <f>IF(OR($G$283="",$K$283=""),"",$G$283-$K$283)</f>
        <v/>
      </c>
      <c r="J283" s="48">
        <f>IF(SUM($L$283:$L$285)=0,"",SUM($L$283:$L$285))</f>
        <v/>
      </c>
      <c r="K283" s="49">
        <f>IF($J$283="","",MAX($N$283:$N$285))</f>
        <v/>
      </c>
      <c r="L283" s="50">
        <f>IF(SUM(U283:AY283)=0,"",SUM(U283:AY283))</f>
        <v/>
      </c>
      <c r="M283" s="51">
        <f>IFERROR(INDEX(U$2:AY$2,MATCH(TRUE,INDEX(U283:AY283&lt;&gt;"",0),0)),"")</f>
        <v/>
      </c>
      <c r="N283" s="51">
        <f>IFERROR(LOOKUP(2,1/(U283:AY283&lt;&gt;""),U$2:AY$2),"")</f>
        <v/>
      </c>
      <c r="O283" s="52" t="n"/>
      <c r="P283" s="52" t="n"/>
      <c r="Q283" s="52" t="n"/>
      <c r="R283" s="44" t="n"/>
      <c r="S283" s="14" t="n"/>
      <c r="U283" s="53" t="n"/>
      <c r="V283" s="53" t="n"/>
      <c r="W283" s="53" t="n"/>
      <c r="X283" s="53" t="n"/>
      <c r="Y283" s="53" t="n"/>
      <c r="Z283" s="53" t="n"/>
      <c r="AA283" s="53" t="n"/>
      <c r="AB283" s="53" t="n"/>
      <c r="AC283" s="53" t="n"/>
      <c r="AD283" s="53" t="n"/>
      <c r="AE283" s="53" t="n"/>
      <c r="AF283" s="53" t="n"/>
      <c r="AG283" s="53" t="n"/>
      <c r="AH283" s="53" t="n"/>
      <c r="AI283" s="53" t="n"/>
      <c r="AJ283" s="53" t="n"/>
      <c r="AK283" s="53" t="n"/>
      <c r="AL283" s="53" t="n"/>
      <c r="AM283" s="53" t="n"/>
      <c r="AN283" s="53" t="n"/>
      <c r="AO283" s="53" t="n"/>
      <c r="AP283" s="53" t="n"/>
      <c r="AQ283" s="53" t="n"/>
      <c r="AR283" s="53" t="n"/>
      <c r="AS283" s="53" t="n"/>
      <c r="AT283" s="53" t="n"/>
      <c r="AU283" s="53" t="n"/>
      <c r="AV283" s="53" t="n"/>
      <c r="AW283" s="53" t="n"/>
      <c r="AX283" s="53" t="n"/>
      <c r="AY283" s="53" t="n"/>
    </row>
    <row r="284" ht="15" customHeight="1">
      <c r="A284" s="54" t="n"/>
      <c r="B284" s="55">
        <f>IF($B$283="","",$B$283)</f>
        <v/>
      </c>
      <c r="C284" s="56" t="inlineStr">
        <is>
          <t>기타</t>
        </is>
      </c>
      <c r="D284" s="55">
        <f>IF($D$283="","",$D$283)</f>
        <v/>
      </c>
      <c r="E284" s="57" t="inlineStr">
        <is>
          <t>이미지</t>
        </is>
      </c>
      <c r="F284" s="44" t="n"/>
      <c r="G284" s="58">
        <f>IF($G$283="","",$G$283)</f>
        <v/>
      </c>
      <c r="H284" s="59" t="n"/>
      <c r="I284" s="59" t="n"/>
      <c r="J284" s="59" t="n"/>
      <c r="K284" s="59" t="n"/>
      <c r="L284" s="60">
        <f>IF(SUM(U284:AY284)=0,"",SUM(U284:AY284))</f>
        <v/>
      </c>
      <c r="M284" s="61">
        <f>IFERROR(INDEX(U$2:AY$2,MATCH(TRUE,INDEX(U284:AY284&lt;&gt;"",0),0)),"")</f>
        <v/>
      </c>
      <c r="N284" s="61">
        <f>IFERROR(LOOKUP(2,1/(U284:AY284&lt;&gt;""),U$2:AY$2),"")</f>
        <v/>
      </c>
      <c r="O284" s="59" t="n"/>
      <c r="P284" s="59" t="n"/>
      <c r="Q284" s="59" t="n"/>
      <c r="R284" s="59" t="n"/>
      <c r="S284" s="14" t="n"/>
      <c r="U284" s="53" t="n"/>
      <c r="V284" s="53" t="n"/>
      <c r="W284" s="53" t="n"/>
      <c r="X284" s="53" t="n"/>
      <c r="Y284" s="53" t="n"/>
      <c r="Z284" s="53" t="n"/>
      <c r="AA284" s="53" t="n"/>
      <c r="AB284" s="53" t="n"/>
      <c r="AC284" s="53" t="n"/>
      <c r="AD284" s="53" t="n"/>
      <c r="AE284" s="53" t="n"/>
      <c r="AF284" s="53" t="n"/>
      <c r="AG284" s="53" t="n"/>
      <c r="AH284" s="53" t="n"/>
      <c r="AI284" s="53" t="n"/>
      <c r="AJ284" s="53" t="n"/>
      <c r="AK284" s="53" t="n"/>
      <c r="AL284" s="53" t="n"/>
      <c r="AM284" s="53" t="n"/>
      <c r="AN284" s="53" t="n"/>
      <c r="AO284" s="53" t="n"/>
      <c r="AP284" s="53" t="n"/>
      <c r="AQ284" s="53" t="n"/>
      <c r="AR284" s="53" t="n"/>
      <c r="AS284" s="53" t="n"/>
      <c r="AT284" s="53" t="n"/>
      <c r="AU284" s="53" t="n"/>
      <c r="AV284" s="53" t="n"/>
      <c r="AW284" s="53" t="n"/>
      <c r="AX284" s="53" t="n"/>
      <c r="AY284" s="53" t="n"/>
    </row>
    <row r="285" ht="15" customHeight="1">
      <c r="A285" s="62" t="n"/>
      <c r="B285" s="55">
        <f>IF($B$283="","",$B$283)</f>
        <v/>
      </c>
      <c r="C285" s="63" t="inlineStr">
        <is>
          <t>기타</t>
        </is>
      </c>
      <c r="D285" s="55">
        <f>IF($D$283="","",$D$283)</f>
        <v/>
      </c>
      <c r="E285" s="64" t="inlineStr">
        <is>
          <t>영상</t>
        </is>
      </c>
      <c r="F285" s="44" t="n"/>
      <c r="G285" s="58">
        <f>IF($G$283="","",$G$283)</f>
        <v/>
      </c>
      <c r="H285" s="59" t="n"/>
      <c r="I285" s="59" t="n"/>
      <c r="J285" s="59" t="n"/>
      <c r="K285" s="59" t="n"/>
      <c r="L285" s="65">
        <f>IF(SUM(U285:AY285)=0,"",SUM(U285:AY285))</f>
        <v/>
      </c>
      <c r="M285" s="66">
        <f>IFERROR(INDEX(U$2:AY$2,MATCH(TRUE,INDEX(U285:AY285&lt;&gt;"",0),0)),"")</f>
        <v/>
      </c>
      <c r="N285" s="66">
        <f>IFERROR(LOOKUP(2,1/(U285:AY285&lt;&gt;""),U$2:AY$2),"")</f>
        <v/>
      </c>
      <c r="O285" s="59" t="n"/>
      <c r="P285" s="59" t="n"/>
      <c r="Q285" s="59" t="n"/>
      <c r="R285" s="59" t="n"/>
      <c r="S285" s="14" t="n"/>
      <c r="U285" s="53" t="n"/>
      <c r="V285" s="53" t="n"/>
      <c r="W285" s="53" t="n"/>
      <c r="X285" s="53" t="n"/>
      <c r="Y285" s="53" t="n"/>
      <c r="Z285" s="53" t="n"/>
      <c r="AA285" s="53" t="n"/>
      <c r="AB285" s="53" t="n"/>
      <c r="AC285" s="53" t="n"/>
      <c r="AD285" s="53" t="n"/>
      <c r="AE285" s="53" t="n"/>
      <c r="AF285" s="53" t="n"/>
      <c r="AG285" s="53" t="n"/>
      <c r="AH285" s="53" t="n"/>
      <c r="AI285" s="53" t="n"/>
      <c r="AJ285" s="53" t="n"/>
      <c r="AK285" s="53" t="n"/>
      <c r="AL285" s="53" t="n"/>
      <c r="AM285" s="53" t="n"/>
      <c r="AN285" s="53" t="n"/>
      <c r="AO285" s="53" t="n"/>
      <c r="AP285" s="53" t="n"/>
      <c r="AQ285" s="53" t="n"/>
      <c r="AR285" s="53" t="n"/>
      <c r="AS285" s="53" t="n"/>
      <c r="AT285" s="53" t="n"/>
      <c r="AU285" s="53" t="n"/>
      <c r="AV285" s="53" t="n"/>
      <c r="AW285" s="53" t="n"/>
      <c r="AX285" s="53" t="n"/>
      <c r="AY285" s="53" t="n"/>
    </row>
    <row r="286" ht="15" customHeight="1">
      <c r="A286" s="40">
        <f>IF($D$286="","",92)</f>
        <v/>
      </c>
      <c r="B286" s="10" t="n"/>
      <c r="C286" s="41" t="inlineStr">
        <is>
          <t>기타</t>
        </is>
      </c>
      <c r="D286" s="42" t="n"/>
      <c r="E286" s="43" t="inlineStr">
        <is>
          <t>기획</t>
        </is>
      </c>
      <c r="F286" s="44" t="n"/>
      <c r="G286" s="45" t="n"/>
      <c r="H286" s="46">
        <f>IF($I$286="","",IF($I$286&lt;0,"🔴지연",IF($I$286&lt;=1,"🟡임박","🟢여유")))</f>
        <v/>
      </c>
      <c r="I286" s="47">
        <f>IF(OR($G$286="",$K$286=""),"",$G$286-$K$286)</f>
        <v/>
      </c>
      <c r="J286" s="48">
        <f>IF(SUM($L$286:$L$288)=0,"",SUM($L$286:$L$288))</f>
        <v/>
      </c>
      <c r="K286" s="49">
        <f>IF($J$286="","",MAX($N$286:$N$288))</f>
        <v/>
      </c>
      <c r="L286" s="50">
        <f>IF(SUM(U286:AY286)=0,"",SUM(U286:AY286))</f>
        <v/>
      </c>
      <c r="M286" s="51">
        <f>IFERROR(INDEX(U$2:AY$2,MATCH(TRUE,INDEX(U286:AY286&lt;&gt;"",0),0)),"")</f>
        <v/>
      </c>
      <c r="N286" s="51">
        <f>IFERROR(LOOKUP(2,1/(U286:AY286&lt;&gt;""),U$2:AY$2),"")</f>
        <v/>
      </c>
      <c r="O286" s="52" t="n"/>
      <c r="P286" s="52" t="n"/>
      <c r="Q286" s="52" t="n"/>
      <c r="R286" s="44" t="n"/>
      <c r="S286" s="14" t="n"/>
      <c r="U286" s="53" t="n"/>
      <c r="V286" s="53" t="n"/>
      <c r="W286" s="53" t="n"/>
      <c r="X286" s="53" t="n"/>
      <c r="Y286" s="53" t="n"/>
      <c r="Z286" s="53" t="n"/>
      <c r="AA286" s="53" t="n"/>
      <c r="AB286" s="53" t="n"/>
      <c r="AC286" s="53" t="n"/>
      <c r="AD286" s="53" t="n"/>
      <c r="AE286" s="53" t="n"/>
      <c r="AF286" s="53" t="n"/>
      <c r="AG286" s="53" t="n"/>
      <c r="AH286" s="53" t="n"/>
      <c r="AI286" s="53" t="n"/>
      <c r="AJ286" s="53" t="n"/>
      <c r="AK286" s="53" t="n"/>
      <c r="AL286" s="53" t="n"/>
      <c r="AM286" s="53" t="n"/>
      <c r="AN286" s="53" t="n"/>
      <c r="AO286" s="53" t="n"/>
      <c r="AP286" s="53" t="n"/>
      <c r="AQ286" s="53" t="n"/>
      <c r="AR286" s="53" t="n"/>
      <c r="AS286" s="53" t="n"/>
      <c r="AT286" s="53" t="n"/>
      <c r="AU286" s="53" t="n"/>
      <c r="AV286" s="53" t="n"/>
      <c r="AW286" s="53" t="n"/>
      <c r="AX286" s="53" t="n"/>
      <c r="AY286" s="53" t="n"/>
    </row>
    <row r="287" ht="15" customHeight="1">
      <c r="A287" s="54" t="n"/>
      <c r="B287" s="55">
        <f>IF($B$286="","",$B$286)</f>
        <v/>
      </c>
      <c r="C287" s="56" t="inlineStr">
        <is>
          <t>기타</t>
        </is>
      </c>
      <c r="D287" s="55">
        <f>IF($D$286="","",$D$286)</f>
        <v/>
      </c>
      <c r="E287" s="57" t="inlineStr">
        <is>
          <t>이미지</t>
        </is>
      </c>
      <c r="F287" s="44" t="n"/>
      <c r="G287" s="58">
        <f>IF($G$286="","",$G$286)</f>
        <v/>
      </c>
      <c r="H287" s="59" t="n"/>
      <c r="I287" s="59" t="n"/>
      <c r="J287" s="59" t="n"/>
      <c r="K287" s="59" t="n"/>
      <c r="L287" s="60">
        <f>IF(SUM(U287:AY287)=0,"",SUM(U287:AY287))</f>
        <v/>
      </c>
      <c r="M287" s="61">
        <f>IFERROR(INDEX(U$2:AY$2,MATCH(TRUE,INDEX(U287:AY287&lt;&gt;"",0),0)),"")</f>
        <v/>
      </c>
      <c r="N287" s="61">
        <f>IFERROR(LOOKUP(2,1/(U287:AY287&lt;&gt;""),U$2:AY$2),"")</f>
        <v/>
      </c>
      <c r="O287" s="59" t="n"/>
      <c r="P287" s="59" t="n"/>
      <c r="Q287" s="59" t="n"/>
      <c r="R287" s="59" t="n"/>
      <c r="S287" s="14" t="n"/>
      <c r="U287" s="53" t="n"/>
      <c r="V287" s="53" t="n"/>
      <c r="W287" s="53" t="n"/>
      <c r="X287" s="53" t="n"/>
      <c r="Y287" s="53" t="n"/>
      <c r="Z287" s="53" t="n"/>
      <c r="AA287" s="53" t="n"/>
      <c r="AB287" s="53" t="n"/>
      <c r="AC287" s="53" t="n"/>
      <c r="AD287" s="53" t="n"/>
      <c r="AE287" s="53" t="n"/>
      <c r="AF287" s="53" t="n"/>
      <c r="AG287" s="53" t="n"/>
      <c r="AH287" s="53" t="n"/>
      <c r="AI287" s="53" t="n"/>
      <c r="AJ287" s="53" t="n"/>
      <c r="AK287" s="53" t="n"/>
      <c r="AL287" s="53" t="n"/>
      <c r="AM287" s="53" t="n"/>
      <c r="AN287" s="53" t="n"/>
      <c r="AO287" s="53" t="n"/>
      <c r="AP287" s="53" t="n"/>
      <c r="AQ287" s="53" t="n"/>
      <c r="AR287" s="53" t="n"/>
      <c r="AS287" s="53" t="n"/>
      <c r="AT287" s="53" t="n"/>
      <c r="AU287" s="53" t="n"/>
      <c r="AV287" s="53" t="n"/>
      <c r="AW287" s="53" t="n"/>
      <c r="AX287" s="53" t="n"/>
      <c r="AY287" s="53" t="n"/>
    </row>
    <row r="288" ht="15" customHeight="1">
      <c r="A288" s="62" t="n"/>
      <c r="B288" s="55">
        <f>IF($B$286="","",$B$286)</f>
        <v/>
      </c>
      <c r="C288" s="63" t="inlineStr">
        <is>
          <t>기타</t>
        </is>
      </c>
      <c r="D288" s="55">
        <f>IF($D$286="","",$D$286)</f>
        <v/>
      </c>
      <c r="E288" s="64" t="inlineStr">
        <is>
          <t>영상</t>
        </is>
      </c>
      <c r="F288" s="44" t="n"/>
      <c r="G288" s="58">
        <f>IF($G$286="","",$G$286)</f>
        <v/>
      </c>
      <c r="H288" s="59" t="n"/>
      <c r="I288" s="59" t="n"/>
      <c r="J288" s="59" t="n"/>
      <c r="K288" s="59" t="n"/>
      <c r="L288" s="65">
        <f>IF(SUM(U288:AY288)=0,"",SUM(U288:AY288))</f>
        <v/>
      </c>
      <c r="M288" s="66">
        <f>IFERROR(INDEX(U$2:AY$2,MATCH(TRUE,INDEX(U288:AY288&lt;&gt;"",0),0)),"")</f>
        <v/>
      </c>
      <c r="N288" s="66">
        <f>IFERROR(LOOKUP(2,1/(U288:AY288&lt;&gt;""),U$2:AY$2),"")</f>
        <v/>
      </c>
      <c r="O288" s="59" t="n"/>
      <c r="P288" s="59" t="n"/>
      <c r="Q288" s="59" t="n"/>
      <c r="R288" s="59" t="n"/>
      <c r="S288" s="14" t="n"/>
      <c r="U288" s="53" t="n"/>
      <c r="V288" s="53" t="n"/>
      <c r="W288" s="53" t="n"/>
      <c r="X288" s="53" t="n"/>
      <c r="Y288" s="53" t="n"/>
      <c r="Z288" s="53" t="n"/>
      <c r="AA288" s="53" t="n"/>
      <c r="AB288" s="53" t="n"/>
      <c r="AC288" s="53" t="n"/>
      <c r="AD288" s="53" t="n"/>
      <c r="AE288" s="53" t="n"/>
      <c r="AF288" s="53" t="n"/>
      <c r="AG288" s="53" t="n"/>
      <c r="AH288" s="53" t="n"/>
      <c r="AI288" s="53" t="n"/>
      <c r="AJ288" s="53" t="n"/>
      <c r="AK288" s="53" t="n"/>
      <c r="AL288" s="53" t="n"/>
      <c r="AM288" s="53" t="n"/>
      <c r="AN288" s="53" t="n"/>
      <c r="AO288" s="53" t="n"/>
      <c r="AP288" s="53" t="n"/>
      <c r="AQ288" s="53" t="n"/>
      <c r="AR288" s="53" t="n"/>
      <c r="AS288" s="53" t="n"/>
      <c r="AT288" s="53" t="n"/>
      <c r="AU288" s="53" t="n"/>
      <c r="AV288" s="53" t="n"/>
      <c r="AW288" s="53" t="n"/>
      <c r="AX288" s="53" t="n"/>
      <c r="AY288" s="53" t="n"/>
    </row>
    <row r="289" ht="15" customHeight="1">
      <c r="A289" s="40">
        <f>IF($D$289="","",93)</f>
        <v/>
      </c>
      <c r="B289" s="10" t="n"/>
      <c r="C289" s="41" t="inlineStr">
        <is>
          <t>기타</t>
        </is>
      </c>
      <c r="D289" s="42" t="n"/>
      <c r="E289" s="43" t="inlineStr">
        <is>
          <t>기획</t>
        </is>
      </c>
      <c r="F289" s="44" t="n"/>
      <c r="G289" s="45" t="n"/>
      <c r="H289" s="46">
        <f>IF($I$289="","",IF($I$289&lt;0,"🔴지연",IF($I$289&lt;=1,"🟡임박","🟢여유")))</f>
        <v/>
      </c>
      <c r="I289" s="47">
        <f>IF(OR($G$289="",$K$289=""),"",$G$289-$K$289)</f>
        <v/>
      </c>
      <c r="J289" s="48">
        <f>IF(SUM($L$289:$L$291)=0,"",SUM($L$289:$L$291))</f>
        <v/>
      </c>
      <c r="K289" s="49">
        <f>IF($J$289="","",MAX($N$289:$N$291))</f>
        <v/>
      </c>
      <c r="L289" s="50">
        <f>IF(SUM(U289:AY289)=0,"",SUM(U289:AY289))</f>
        <v/>
      </c>
      <c r="M289" s="51">
        <f>IFERROR(INDEX(U$2:AY$2,MATCH(TRUE,INDEX(U289:AY289&lt;&gt;"",0),0)),"")</f>
        <v/>
      </c>
      <c r="N289" s="51">
        <f>IFERROR(LOOKUP(2,1/(U289:AY289&lt;&gt;""),U$2:AY$2),"")</f>
        <v/>
      </c>
      <c r="O289" s="52" t="n"/>
      <c r="P289" s="52" t="n"/>
      <c r="Q289" s="52" t="n"/>
      <c r="R289" s="44" t="n"/>
      <c r="S289" s="14" t="n"/>
      <c r="U289" s="53" t="n"/>
      <c r="V289" s="53" t="n"/>
      <c r="W289" s="53" t="n"/>
      <c r="X289" s="53" t="n"/>
      <c r="Y289" s="53" t="n"/>
      <c r="Z289" s="53" t="n"/>
      <c r="AA289" s="53" t="n"/>
      <c r="AB289" s="53" t="n"/>
      <c r="AC289" s="53" t="n"/>
      <c r="AD289" s="53" t="n"/>
      <c r="AE289" s="53" t="n"/>
      <c r="AF289" s="53" t="n"/>
      <c r="AG289" s="53" t="n"/>
      <c r="AH289" s="53" t="n"/>
      <c r="AI289" s="53" t="n"/>
      <c r="AJ289" s="53" t="n"/>
      <c r="AK289" s="53" t="n"/>
      <c r="AL289" s="53" t="n"/>
      <c r="AM289" s="53" t="n"/>
      <c r="AN289" s="53" t="n"/>
      <c r="AO289" s="53" t="n"/>
      <c r="AP289" s="53" t="n"/>
      <c r="AQ289" s="53" t="n"/>
      <c r="AR289" s="53" t="n"/>
      <c r="AS289" s="53" t="n"/>
      <c r="AT289" s="53" t="n"/>
      <c r="AU289" s="53" t="n"/>
      <c r="AV289" s="53" t="n"/>
      <c r="AW289" s="53" t="n"/>
      <c r="AX289" s="53" t="n"/>
      <c r="AY289" s="53" t="n"/>
    </row>
    <row r="290" ht="15" customHeight="1">
      <c r="A290" s="54" t="n"/>
      <c r="B290" s="55">
        <f>IF($B$289="","",$B$289)</f>
        <v/>
      </c>
      <c r="C290" s="56" t="inlineStr">
        <is>
          <t>기타</t>
        </is>
      </c>
      <c r="D290" s="55">
        <f>IF($D$289="","",$D$289)</f>
        <v/>
      </c>
      <c r="E290" s="57" t="inlineStr">
        <is>
          <t>이미지</t>
        </is>
      </c>
      <c r="F290" s="44" t="n"/>
      <c r="G290" s="58">
        <f>IF($G$289="","",$G$289)</f>
        <v/>
      </c>
      <c r="H290" s="59" t="n"/>
      <c r="I290" s="59" t="n"/>
      <c r="J290" s="59" t="n"/>
      <c r="K290" s="59" t="n"/>
      <c r="L290" s="60">
        <f>IF(SUM(U290:AY290)=0,"",SUM(U290:AY290))</f>
        <v/>
      </c>
      <c r="M290" s="61">
        <f>IFERROR(INDEX(U$2:AY$2,MATCH(TRUE,INDEX(U290:AY290&lt;&gt;"",0),0)),"")</f>
        <v/>
      </c>
      <c r="N290" s="61">
        <f>IFERROR(LOOKUP(2,1/(U290:AY290&lt;&gt;""),U$2:AY$2),"")</f>
        <v/>
      </c>
      <c r="O290" s="59" t="n"/>
      <c r="P290" s="59" t="n"/>
      <c r="Q290" s="59" t="n"/>
      <c r="R290" s="59" t="n"/>
      <c r="S290" s="14" t="n"/>
      <c r="U290" s="53" t="n"/>
      <c r="V290" s="53" t="n"/>
      <c r="W290" s="53" t="n"/>
      <c r="X290" s="53" t="n"/>
      <c r="Y290" s="53" t="n"/>
      <c r="Z290" s="53" t="n"/>
      <c r="AA290" s="53" t="n"/>
      <c r="AB290" s="53" t="n"/>
      <c r="AC290" s="53" t="n"/>
      <c r="AD290" s="53" t="n"/>
      <c r="AE290" s="53" t="n"/>
      <c r="AF290" s="53" t="n"/>
      <c r="AG290" s="53" t="n"/>
      <c r="AH290" s="53" t="n"/>
      <c r="AI290" s="53" t="n"/>
      <c r="AJ290" s="53" t="n"/>
      <c r="AK290" s="53" t="n"/>
      <c r="AL290" s="53" t="n"/>
      <c r="AM290" s="53" t="n"/>
      <c r="AN290" s="53" t="n"/>
      <c r="AO290" s="53" t="n"/>
      <c r="AP290" s="53" t="n"/>
      <c r="AQ290" s="53" t="n"/>
      <c r="AR290" s="53" t="n"/>
      <c r="AS290" s="53" t="n"/>
      <c r="AT290" s="53" t="n"/>
      <c r="AU290" s="53" t="n"/>
      <c r="AV290" s="53" t="n"/>
      <c r="AW290" s="53" t="n"/>
      <c r="AX290" s="53" t="n"/>
      <c r="AY290" s="53" t="n"/>
    </row>
    <row r="291" ht="15" customHeight="1">
      <c r="A291" s="62" t="n"/>
      <c r="B291" s="55">
        <f>IF($B$289="","",$B$289)</f>
        <v/>
      </c>
      <c r="C291" s="63" t="inlineStr">
        <is>
          <t>기타</t>
        </is>
      </c>
      <c r="D291" s="55">
        <f>IF($D$289="","",$D$289)</f>
        <v/>
      </c>
      <c r="E291" s="64" t="inlineStr">
        <is>
          <t>영상</t>
        </is>
      </c>
      <c r="F291" s="44" t="n"/>
      <c r="G291" s="58">
        <f>IF($G$289="","",$G$289)</f>
        <v/>
      </c>
      <c r="H291" s="59" t="n"/>
      <c r="I291" s="59" t="n"/>
      <c r="J291" s="59" t="n"/>
      <c r="K291" s="59" t="n"/>
      <c r="L291" s="65">
        <f>IF(SUM(U291:AY291)=0,"",SUM(U291:AY291))</f>
        <v/>
      </c>
      <c r="M291" s="66">
        <f>IFERROR(INDEX(U$2:AY$2,MATCH(TRUE,INDEX(U291:AY291&lt;&gt;"",0),0)),"")</f>
        <v/>
      </c>
      <c r="N291" s="66">
        <f>IFERROR(LOOKUP(2,1/(U291:AY291&lt;&gt;""),U$2:AY$2),"")</f>
        <v/>
      </c>
      <c r="O291" s="59" t="n"/>
      <c r="P291" s="59" t="n"/>
      <c r="Q291" s="59" t="n"/>
      <c r="R291" s="59" t="n"/>
      <c r="S291" s="14" t="n"/>
      <c r="U291" s="53" t="n"/>
      <c r="V291" s="53" t="n"/>
      <c r="W291" s="53" t="n"/>
      <c r="X291" s="53" t="n"/>
      <c r="Y291" s="53" t="n"/>
      <c r="Z291" s="53" t="n"/>
      <c r="AA291" s="53" t="n"/>
      <c r="AB291" s="53" t="n"/>
      <c r="AC291" s="53" t="n"/>
      <c r="AD291" s="53" t="n"/>
      <c r="AE291" s="53" t="n"/>
      <c r="AF291" s="53" t="n"/>
      <c r="AG291" s="53" t="n"/>
      <c r="AH291" s="53" t="n"/>
      <c r="AI291" s="53" t="n"/>
      <c r="AJ291" s="53" t="n"/>
      <c r="AK291" s="53" t="n"/>
      <c r="AL291" s="53" t="n"/>
      <c r="AM291" s="53" t="n"/>
      <c r="AN291" s="53" t="n"/>
      <c r="AO291" s="53" t="n"/>
      <c r="AP291" s="53" t="n"/>
      <c r="AQ291" s="53" t="n"/>
      <c r="AR291" s="53" t="n"/>
      <c r="AS291" s="53" t="n"/>
      <c r="AT291" s="53" t="n"/>
      <c r="AU291" s="53" t="n"/>
      <c r="AV291" s="53" t="n"/>
      <c r="AW291" s="53" t="n"/>
      <c r="AX291" s="53" t="n"/>
      <c r="AY291" s="53" t="n"/>
    </row>
    <row r="292" ht="15" customHeight="1">
      <c r="A292" s="40">
        <f>IF($D$292="","",94)</f>
        <v/>
      </c>
      <c r="B292" s="10" t="n"/>
      <c r="C292" s="41" t="inlineStr">
        <is>
          <t>기타</t>
        </is>
      </c>
      <c r="D292" s="42" t="n"/>
      <c r="E292" s="43" t="inlineStr">
        <is>
          <t>기획</t>
        </is>
      </c>
      <c r="F292" s="44" t="n"/>
      <c r="G292" s="45" t="n"/>
      <c r="H292" s="46">
        <f>IF($I$292="","",IF($I$292&lt;0,"🔴지연",IF($I$292&lt;=1,"🟡임박","🟢여유")))</f>
        <v/>
      </c>
      <c r="I292" s="47">
        <f>IF(OR($G$292="",$K$292=""),"",$G$292-$K$292)</f>
        <v/>
      </c>
      <c r="J292" s="48">
        <f>IF(SUM($L$292:$L$294)=0,"",SUM($L$292:$L$294))</f>
        <v/>
      </c>
      <c r="K292" s="49">
        <f>IF($J$292="","",MAX($N$292:$N$294))</f>
        <v/>
      </c>
      <c r="L292" s="50">
        <f>IF(SUM(U292:AY292)=0,"",SUM(U292:AY292))</f>
        <v/>
      </c>
      <c r="M292" s="51">
        <f>IFERROR(INDEX(U$2:AY$2,MATCH(TRUE,INDEX(U292:AY292&lt;&gt;"",0),0)),"")</f>
        <v/>
      </c>
      <c r="N292" s="51">
        <f>IFERROR(LOOKUP(2,1/(U292:AY292&lt;&gt;""),U$2:AY$2),"")</f>
        <v/>
      </c>
      <c r="O292" s="52" t="n"/>
      <c r="P292" s="52" t="n"/>
      <c r="Q292" s="52" t="n"/>
      <c r="R292" s="44" t="n"/>
      <c r="S292" s="14" t="n"/>
      <c r="U292" s="53" t="n"/>
      <c r="V292" s="53" t="n"/>
      <c r="W292" s="53" t="n"/>
      <c r="X292" s="53" t="n"/>
      <c r="Y292" s="53" t="n"/>
      <c r="Z292" s="53" t="n"/>
      <c r="AA292" s="53" t="n"/>
      <c r="AB292" s="53" t="n"/>
      <c r="AC292" s="53" t="n"/>
      <c r="AD292" s="53" t="n"/>
      <c r="AE292" s="53" t="n"/>
      <c r="AF292" s="53" t="n"/>
      <c r="AG292" s="53" t="n"/>
      <c r="AH292" s="53" t="n"/>
      <c r="AI292" s="53" t="n"/>
      <c r="AJ292" s="53" t="n"/>
      <c r="AK292" s="53" t="n"/>
      <c r="AL292" s="53" t="n"/>
      <c r="AM292" s="53" t="n"/>
      <c r="AN292" s="53" t="n"/>
      <c r="AO292" s="53" t="n"/>
      <c r="AP292" s="53" t="n"/>
      <c r="AQ292" s="53" t="n"/>
      <c r="AR292" s="53" t="n"/>
      <c r="AS292" s="53" t="n"/>
      <c r="AT292" s="53" t="n"/>
      <c r="AU292" s="53" t="n"/>
      <c r="AV292" s="53" t="n"/>
      <c r="AW292" s="53" t="n"/>
      <c r="AX292" s="53" t="n"/>
      <c r="AY292" s="53" t="n"/>
    </row>
    <row r="293" ht="15" customHeight="1">
      <c r="A293" s="54" t="n"/>
      <c r="B293" s="55">
        <f>IF($B$292="","",$B$292)</f>
        <v/>
      </c>
      <c r="C293" s="56" t="inlineStr">
        <is>
          <t>기타</t>
        </is>
      </c>
      <c r="D293" s="55">
        <f>IF($D$292="","",$D$292)</f>
        <v/>
      </c>
      <c r="E293" s="57" t="inlineStr">
        <is>
          <t>이미지</t>
        </is>
      </c>
      <c r="F293" s="44" t="n"/>
      <c r="G293" s="58">
        <f>IF($G$292="","",$G$292)</f>
        <v/>
      </c>
      <c r="H293" s="59" t="n"/>
      <c r="I293" s="59" t="n"/>
      <c r="J293" s="59" t="n"/>
      <c r="K293" s="59" t="n"/>
      <c r="L293" s="60">
        <f>IF(SUM(U293:AY293)=0,"",SUM(U293:AY293))</f>
        <v/>
      </c>
      <c r="M293" s="61">
        <f>IFERROR(INDEX(U$2:AY$2,MATCH(TRUE,INDEX(U293:AY293&lt;&gt;"",0),0)),"")</f>
        <v/>
      </c>
      <c r="N293" s="61">
        <f>IFERROR(LOOKUP(2,1/(U293:AY293&lt;&gt;""),U$2:AY$2),"")</f>
        <v/>
      </c>
      <c r="O293" s="59" t="n"/>
      <c r="P293" s="59" t="n"/>
      <c r="Q293" s="59" t="n"/>
      <c r="R293" s="59" t="n"/>
      <c r="S293" s="14" t="n"/>
      <c r="U293" s="53" t="n"/>
      <c r="V293" s="53" t="n"/>
      <c r="W293" s="53" t="n"/>
      <c r="X293" s="53" t="n"/>
      <c r="Y293" s="53" t="n"/>
      <c r="Z293" s="53" t="n"/>
      <c r="AA293" s="53" t="n"/>
      <c r="AB293" s="53" t="n"/>
      <c r="AC293" s="53" t="n"/>
      <c r="AD293" s="53" t="n"/>
      <c r="AE293" s="53" t="n"/>
      <c r="AF293" s="53" t="n"/>
      <c r="AG293" s="53" t="n"/>
      <c r="AH293" s="53" t="n"/>
      <c r="AI293" s="53" t="n"/>
      <c r="AJ293" s="53" t="n"/>
      <c r="AK293" s="53" t="n"/>
      <c r="AL293" s="53" t="n"/>
      <c r="AM293" s="53" t="n"/>
      <c r="AN293" s="53" t="n"/>
      <c r="AO293" s="53" t="n"/>
      <c r="AP293" s="53" t="n"/>
      <c r="AQ293" s="53" t="n"/>
      <c r="AR293" s="53" t="n"/>
      <c r="AS293" s="53" t="n"/>
      <c r="AT293" s="53" t="n"/>
      <c r="AU293" s="53" t="n"/>
      <c r="AV293" s="53" t="n"/>
      <c r="AW293" s="53" t="n"/>
      <c r="AX293" s="53" t="n"/>
      <c r="AY293" s="53" t="n"/>
    </row>
    <row r="294" ht="15" customHeight="1">
      <c r="A294" s="62" t="n"/>
      <c r="B294" s="55">
        <f>IF($B$292="","",$B$292)</f>
        <v/>
      </c>
      <c r="C294" s="63" t="inlineStr">
        <is>
          <t>기타</t>
        </is>
      </c>
      <c r="D294" s="55">
        <f>IF($D$292="","",$D$292)</f>
        <v/>
      </c>
      <c r="E294" s="64" t="inlineStr">
        <is>
          <t>영상</t>
        </is>
      </c>
      <c r="F294" s="44" t="n"/>
      <c r="G294" s="58">
        <f>IF($G$292="","",$G$292)</f>
        <v/>
      </c>
      <c r="H294" s="59" t="n"/>
      <c r="I294" s="59" t="n"/>
      <c r="J294" s="59" t="n"/>
      <c r="K294" s="59" t="n"/>
      <c r="L294" s="65">
        <f>IF(SUM(U294:AY294)=0,"",SUM(U294:AY294))</f>
        <v/>
      </c>
      <c r="M294" s="66">
        <f>IFERROR(INDEX(U$2:AY$2,MATCH(TRUE,INDEX(U294:AY294&lt;&gt;"",0),0)),"")</f>
        <v/>
      </c>
      <c r="N294" s="66">
        <f>IFERROR(LOOKUP(2,1/(U294:AY294&lt;&gt;""),U$2:AY$2),"")</f>
        <v/>
      </c>
      <c r="O294" s="59" t="n"/>
      <c r="P294" s="59" t="n"/>
      <c r="Q294" s="59" t="n"/>
      <c r="R294" s="59" t="n"/>
      <c r="S294" s="14" t="n"/>
      <c r="U294" s="53" t="n"/>
      <c r="V294" s="53" t="n"/>
      <c r="W294" s="53" t="n"/>
      <c r="X294" s="53" t="n"/>
      <c r="Y294" s="53" t="n"/>
      <c r="Z294" s="53" t="n"/>
      <c r="AA294" s="53" t="n"/>
      <c r="AB294" s="53" t="n"/>
      <c r="AC294" s="53" t="n"/>
      <c r="AD294" s="53" t="n"/>
      <c r="AE294" s="53" t="n"/>
      <c r="AF294" s="53" t="n"/>
      <c r="AG294" s="53" t="n"/>
      <c r="AH294" s="53" t="n"/>
      <c r="AI294" s="53" t="n"/>
      <c r="AJ294" s="53" t="n"/>
      <c r="AK294" s="53" t="n"/>
      <c r="AL294" s="53" t="n"/>
      <c r="AM294" s="53" t="n"/>
      <c r="AN294" s="53" t="n"/>
      <c r="AO294" s="53" t="n"/>
      <c r="AP294" s="53" t="n"/>
      <c r="AQ294" s="53" t="n"/>
      <c r="AR294" s="53" t="n"/>
      <c r="AS294" s="53" t="n"/>
      <c r="AT294" s="53" t="n"/>
      <c r="AU294" s="53" t="n"/>
      <c r="AV294" s="53" t="n"/>
      <c r="AW294" s="53" t="n"/>
      <c r="AX294" s="53" t="n"/>
      <c r="AY294" s="53" t="n"/>
    </row>
    <row r="295" ht="15" customHeight="1">
      <c r="A295" s="40">
        <f>IF($D$295="","",95)</f>
        <v/>
      </c>
      <c r="B295" s="10" t="n"/>
      <c r="C295" s="41" t="inlineStr">
        <is>
          <t>기타</t>
        </is>
      </c>
      <c r="D295" s="42" t="n"/>
      <c r="E295" s="43" t="inlineStr">
        <is>
          <t>기획</t>
        </is>
      </c>
      <c r="F295" s="44" t="n"/>
      <c r="G295" s="45" t="n"/>
      <c r="H295" s="46">
        <f>IF($I$295="","",IF($I$295&lt;0,"🔴지연",IF($I$295&lt;=1,"🟡임박","🟢여유")))</f>
        <v/>
      </c>
      <c r="I295" s="47">
        <f>IF(OR($G$295="",$K$295=""),"",$G$295-$K$295)</f>
        <v/>
      </c>
      <c r="J295" s="48">
        <f>IF(SUM($L$295:$L$297)=0,"",SUM($L$295:$L$297))</f>
        <v/>
      </c>
      <c r="K295" s="49">
        <f>IF($J$295="","",MAX($N$295:$N$297))</f>
        <v/>
      </c>
      <c r="L295" s="50">
        <f>IF(SUM(U295:AY295)=0,"",SUM(U295:AY295))</f>
        <v/>
      </c>
      <c r="M295" s="51">
        <f>IFERROR(INDEX(U$2:AY$2,MATCH(TRUE,INDEX(U295:AY295&lt;&gt;"",0),0)),"")</f>
        <v/>
      </c>
      <c r="N295" s="51">
        <f>IFERROR(LOOKUP(2,1/(U295:AY295&lt;&gt;""),U$2:AY$2),"")</f>
        <v/>
      </c>
      <c r="O295" s="52" t="n"/>
      <c r="P295" s="52" t="n"/>
      <c r="Q295" s="52" t="n"/>
      <c r="R295" s="44" t="n"/>
      <c r="S295" s="14" t="n"/>
      <c r="U295" s="53" t="n"/>
      <c r="V295" s="53" t="n"/>
      <c r="W295" s="53" t="n"/>
      <c r="X295" s="53" t="n"/>
      <c r="Y295" s="53" t="n"/>
      <c r="Z295" s="53" t="n"/>
      <c r="AA295" s="53" t="n"/>
      <c r="AB295" s="53" t="n"/>
      <c r="AC295" s="53" t="n"/>
      <c r="AD295" s="53" t="n"/>
      <c r="AE295" s="53" t="n"/>
      <c r="AF295" s="53" t="n"/>
      <c r="AG295" s="53" t="n"/>
      <c r="AH295" s="53" t="n"/>
      <c r="AI295" s="53" t="n"/>
      <c r="AJ295" s="53" t="n"/>
      <c r="AK295" s="53" t="n"/>
      <c r="AL295" s="53" t="n"/>
      <c r="AM295" s="53" t="n"/>
      <c r="AN295" s="53" t="n"/>
      <c r="AO295" s="53" t="n"/>
      <c r="AP295" s="53" t="n"/>
      <c r="AQ295" s="53" t="n"/>
      <c r="AR295" s="53" t="n"/>
      <c r="AS295" s="53" t="n"/>
      <c r="AT295" s="53" t="n"/>
      <c r="AU295" s="53" t="n"/>
      <c r="AV295" s="53" t="n"/>
      <c r="AW295" s="53" t="n"/>
      <c r="AX295" s="53" t="n"/>
      <c r="AY295" s="53" t="n"/>
    </row>
    <row r="296" ht="15" customHeight="1">
      <c r="A296" s="54" t="n"/>
      <c r="B296" s="55">
        <f>IF($B$295="","",$B$295)</f>
        <v/>
      </c>
      <c r="C296" s="56" t="inlineStr">
        <is>
          <t>기타</t>
        </is>
      </c>
      <c r="D296" s="55">
        <f>IF($D$295="","",$D$295)</f>
        <v/>
      </c>
      <c r="E296" s="57" t="inlineStr">
        <is>
          <t>이미지</t>
        </is>
      </c>
      <c r="F296" s="44" t="n"/>
      <c r="G296" s="58">
        <f>IF($G$295="","",$G$295)</f>
        <v/>
      </c>
      <c r="H296" s="59" t="n"/>
      <c r="I296" s="59" t="n"/>
      <c r="J296" s="59" t="n"/>
      <c r="K296" s="59" t="n"/>
      <c r="L296" s="60">
        <f>IF(SUM(U296:AY296)=0,"",SUM(U296:AY296))</f>
        <v/>
      </c>
      <c r="M296" s="61">
        <f>IFERROR(INDEX(U$2:AY$2,MATCH(TRUE,INDEX(U296:AY296&lt;&gt;"",0),0)),"")</f>
        <v/>
      </c>
      <c r="N296" s="61">
        <f>IFERROR(LOOKUP(2,1/(U296:AY296&lt;&gt;""),U$2:AY$2),"")</f>
        <v/>
      </c>
      <c r="O296" s="59" t="n"/>
      <c r="P296" s="59" t="n"/>
      <c r="Q296" s="59" t="n"/>
      <c r="R296" s="59" t="n"/>
      <c r="S296" s="14" t="n"/>
      <c r="U296" s="53" t="n"/>
      <c r="V296" s="53" t="n"/>
      <c r="W296" s="53" t="n"/>
      <c r="X296" s="53" t="n"/>
      <c r="Y296" s="53" t="n"/>
      <c r="Z296" s="53" t="n"/>
      <c r="AA296" s="53" t="n"/>
      <c r="AB296" s="53" t="n"/>
      <c r="AC296" s="53" t="n"/>
      <c r="AD296" s="53" t="n"/>
      <c r="AE296" s="53" t="n"/>
      <c r="AF296" s="53" t="n"/>
      <c r="AG296" s="53" t="n"/>
      <c r="AH296" s="53" t="n"/>
      <c r="AI296" s="53" t="n"/>
      <c r="AJ296" s="53" t="n"/>
      <c r="AK296" s="53" t="n"/>
      <c r="AL296" s="53" t="n"/>
      <c r="AM296" s="53" t="n"/>
      <c r="AN296" s="53" t="n"/>
      <c r="AO296" s="53" t="n"/>
      <c r="AP296" s="53" t="n"/>
      <c r="AQ296" s="53" t="n"/>
      <c r="AR296" s="53" t="n"/>
      <c r="AS296" s="53" t="n"/>
      <c r="AT296" s="53" t="n"/>
      <c r="AU296" s="53" t="n"/>
      <c r="AV296" s="53" t="n"/>
      <c r="AW296" s="53" t="n"/>
      <c r="AX296" s="53" t="n"/>
      <c r="AY296" s="53" t="n"/>
    </row>
    <row r="297" ht="15" customHeight="1">
      <c r="A297" s="62" t="n"/>
      <c r="B297" s="55">
        <f>IF($B$295="","",$B$295)</f>
        <v/>
      </c>
      <c r="C297" s="63" t="inlineStr">
        <is>
          <t>기타</t>
        </is>
      </c>
      <c r="D297" s="55">
        <f>IF($D$295="","",$D$295)</f>
        <v/>
      </c>
      <c r="E297" s="64" t="inlineStr">
        <is>
          <t>영상</t>
        </is>
      </c>
      <c r="F297" s="44" t="n"/>
      <c r="G297" s="58">
        <f>IF($G$295="","",$G$295)</f>
        <v/>
      </c>
      <c r="H297" s="59" t="n"/>
      <c r="I297" s="59" t="n"/>
      <c r="J297" s="59" t="n"/>
      <c r="K297" s="59" t="n"/>
      <c r="L297" s="65">
        <f>IF(SUM(U297:AY297)=0,"",SUM(U297:AY297))</f>
        <v/>
      </c>
      <c r="M297" s="66">
        <f>IFERROR(INDEX(U$2:AY$2,MATCH(TRUE,INDEX(U297:AY297&lt;&gt;"",0),0)),"")</f>
        <v/>
      </c>
      <c r="N297" s="66">
        <f>IFERROR(LOOKUP(2,1/(U297:AY297&lt;&gt;""),U$2:AY$2),"")</f>
        <v/>
      </c>
      <c r="O297" s="59" t="n"/>
      <c r="P297" s="59" t="n"/>
      <c r="Q297" s="59" t="n"/>
      <c r="R297" s="59" t="n"/>
      <c r="S297" s="14" t="n"/>
      <c r="U297" s="53" t="n"/>
      <c r="V297" s="53" t="n"/>
      <c r="W297" s="53" t="n"/>
      <c r="X297" s="53" t="n"/>
      <c r="Y297" s="53" t="n"/>
      <c r="Z297" s="53" t="n"/>
      <c r="AA297" s="53" t="n"/>
      <c r="AB297" s="53" t="n"/>
      <c r="AC297" s="53" t="n"/>
      <c r="AD297" s="53" t="n"/>
      <c r="AE297" s="53" t="n"/>
      <c r="AF297" s="53" t="n"/>
      <c r="AG297" s="53" t="n"/>
      <c r="AH297" s="53" t="n"/>
      <c r="AI297" s="53" t="n"/>
      <c r="AJ297" s="53" t="n"/>
      <c r="AK297" s="53" t="n"/>
      <c r="AL297" s="53" t="n"/>
      <c r="AM297" s="53" t="n"/>
      <c r="AN297" s="53" t="n"/>
      <c r="AO297" s="53" t="n"/>
      <c r="AP297" s="53" t="n"/>
      <c r="AQ297" s="53" t="n"/>
      <c r="AR297" s="53" t="n"/>
      <c r="AS297" s="53" t="n"/>
      <c r="AT297" s="53" t="n"/>
      <c r="AU297" s="53" t="n"/>
      <c r="AV297" s="53" t="n"/>
      <c r="AW297" s="53" t="n"/>
      <c r="AX297" s="53" t="n"/>
      <c r="AY297" s="53" t="n"/>
    </row>
    <row r="298" ht="15" customHeight="1">
      <c r="A298" s="40">
        <f>IF($D$298="","",96)</f>
        <v/>
      </c>
      <c r="B298" s="10" t="n"/>
      <c r="C298" s="41" t="inlineStr">
        <is>
          <t>기타</t>
        </is>
      </c>
      <c r="D298" s="42" t="n"/>
      <c r="E298" s="43" t="inlineStr">
        <is>
          <t>기획</t>
        </is>
      </c>
      <c r="F298" s="44" t="n"/>
      <c r="G298" s="45" t="n"/>
      <c r="H298" s="46">
        <f>IF($I$298="","",IF($I$298&lt;0,"🔴지연",IF($I$298&lt;=1,"🟡임박","🟢여유")))</f>
        <v/>
      </c>
      <c r="I298" s="47">
        <f>IF(OR($G$298="",$K$298=""),"",$G$298-$K$298)</f>
        <v/>
      </c>
      <c r="J298" s="48">
        <f>IF(SUM($L$298:$L$300)=0,"",SUM($L$298:$L$300))</f>
        <v/>
      </c>
      <c r="K298" s="49">
        <f>IF($J$298="","",MAX($N$298:$N$300))</f>
        <v/>
      </c>
      <c r="L298" s="50">
        <f>IF(SUM(U298:AY298)=0,"",SUM(U298:AY298))</f>
        <v/>
      </c>
      <c r="M298" s="51">
        <f>IFERROR(INDEX(U$2:AY$2,MATCH(TRUE,INDEX(U298:AY298&lt;&gt;"",0),0)),"")</f>
        <v/>
      </c>
      <c r="N298" s="51">
        <f>IFERROR(LOOKUP(2,1/(U298:AY298&lt;&gt;""),U$2:AY$2),"")</f>
        <v/>
      </c>
      <c r="O298" s="52" t="n"/>
      <c r="P298" s="52" t="n"/>
      <c r="Q298" s="52" t="n"/>
      <c r="R298" s="44" t="n"/>
      <c r="S298" s="14" t="n"/>
      <c r="U298" s="53" t="n"/>
      <c r="V298" s="53" t="n"/>
      <c r="W298" s="53" t="n"/>
      <c r="X298" s="53" t="n"/>
      <c r="Y298" s="53" t="n"/>
      <c r="Z298" s="53" t="n"/>
      <c r="AA298" s="53" t="n"/>
      <c r="AB298" s="53" t="n"/>
      <c r="AC298" s="53" t="n"/>
      <c r="AD298" s="53" t="n"/>
      <c r="AE298" s="53" t="n"/>
      <c r="AF298" s="53" t="n"/>
      <c r="AG298" s="53" t="n"/>
      <c r="AH298" s="53" t="n"/>
      <c r="AI298" s="53" t="n"/>
      <c r="AJ298" s="53" t="n"/>
      <c r="AK298" s="53" t="n"/>
      <c r="AL298" s="53" t="n"/>
      <c r="AM298" s="53" t="n"/>
      <c r="AN298" s="53" t="n"/>
      <c r="AO298" s="53" t="n"/>
      <c r="AP298" s="53" t="n"/>
      <c r="AQ298" s="53" t="n"/>
      <c r="AR298" s="53" t="n"/>
      <c r="AS298" s="53" t="n"/>
      <c r="AT298" s="53" t="n"/>
      <c r="AU298" s="53" t="n"/>
      <c r="AV298" s="53" t="n"/>
      <c r="AW298" s="53" t="n"/>
      <c r="AX298" s="53" t="n"/>
      <c r="AY298" s="53" t="n"/>
    </row>
    <row r="299" ht="15" customHeight="1">
      <c r="A299" s="54" t="n"/>
      <c r="B299" s="55">
        <f>IF($B$298="","",$B$298)</f>
        <v/>
      </c>
      <c r="C299" s="56" t="inlineStr">
        <is>
          <t>기타</t>
        </is>
      </c>
      <c r="D299" s="55">
        <f>IF($D$298="","",$D$298)</f>
        <v/>
      </c>
      <c r="E299" s="57" t="inlineStr">
        <is>
          <t>이미지</t>
        </is>
      </c>
      <c r="F299" s="44" t="n"/>
      <c r="G299" s="58">
        <f>IF($G$298="","",$G$298)</f>
        <v/>
      </c>
      <c r="H299" s="59" t="n"/>
      <c r="I299" s="59" t="n"/>
      <c r="J299" s="59" t="n"/>
      <c r="K299" s="59" t="n"/>
      <c r="L299" s="60">
        <f>IF(SUM(U299:AY299)=0,"",SUM(U299:AY299))</f>
        <v/>
      </c>
      <c r="M299" s="61">
        <f>IFERROR(INDEX(U$2:AY$2,MATCH(TRUE,INDEX(U299:AY299&lt;&gt;"",0),0)),"")</f>
        <v/>
      </c>
      <c r="N299" s="61">
        <f>IFERROR(LOOKUP(2,1/(U299:AY299&lt;&gt;""),U$2:AY$2),"")</f>
        <v/>
      </c>
      <c r="O299" s="59" t="n"/>
      <c r="P299" s="59" t="n"/>
      <c r="Q299" s="59" t="n"/>
      <c r="R299" s="59" t="n"/>
      <c r="S299" s="14" t="n"/>
      <c r="U299" s="53" t="n"/>
      <c r="V299" s="53" t="n"/>
      <c r="W299" s="53" t="n"/>
      <c r="X299" s="53" t="n"/>
      <c r="Y299" s="53" t="n"/>
      <c r="Z299" s="53" t="n"/>
      <c r="AA299" s="53" t="n"/>
      <c r="AB299" s="53" t="n"/>
      <c r="AC299" s="53" t="n"/>
      <c r="AD299" s="53" t="n"/>
      <c r="AE299" s="53" t="n"/>
      <c r="AF299" s="53" t="n"/>
      <c r="AG299" s="53" t="n"/>
      <c r="AH299" s="53" t="n"/>
      <c r="AI299" s="53" t="n"/>
      <c r="AJ299" s="53" t="n"/>
      <c r="AK299" s="53" t="n"/>
      <c r="AL299" s="53" t="n"/>
      <c r="AM299" s="53" t="n"/>
      <c r="AN299" s="53" t="n"/>
      <c r="AO299" s="53" t="n"/>
      <c r="AP299" s="53" t="n"/>
      <c r="AQ299" s="53" t="n"/>
      <c r="AR299" s="53" t="n"/>
      <c r="AS299" s="53" t="n"/>
      <c r="AT299" s="53" t="n"/>
      <c r="AU299" s="53" t="n"/>
      <c r="AV299" s="53" t="n"/>
      <c r="AW299" s="53" t="n"/>
      <c r="AX299" s="53" t="n"/>
      <c r="AY299" s="53" t="n"/>
    </row>
    <row r="300" ht="15" customHeight="1">
      <c r="A300" s="62" t="n"/>
      <c r="B300" s="55">
        <f>IF($B$298="","",$B$298)</f>
        <v/>
      </c>
      <c r="C300" s="63" t="inlineStr">
        <is>
          <t>기타</t>
        </is>
      </c>
      <c r="D300" s="55">
        <f>IF($D$298="","",$D$298)</f>
        <v/>
      </c>
      <c r="E300" s="64" t="inlineStr">
        <is>
          <t>영상</t>
        </is>
      </c>
      <c r="F300" s="44" t="n"/>
      <c r="G300" s="58">
        <f>IF($G$298="","",$G$298)</f>
        <v/>
      </c>
      <c r="H300" s="59" t="n"/>
      <c r="I300" s="59" t="n"/>
      <c r="J300" s="59" t="n"/>
      <c r="K300" s="59" t="n"/>
      <c r="L300" s="65">
        <f>IF(SUM(U300:AY300)=0,"",SUM(U300:AY300))</f>
        <v/>
      </c>
      <c r="M300" s="66">
        <f>IFERROR(INDEX(U$2:AY$2,MATCH(TRUE,INDEX(U300:AY300&lt;&gt;"",0),0)),"")</f>
        <v/>
      </c>
      <c r="N300" s="66">
        <f>IFERROR(LOOKUP(2,1/(U300:AY300&lt;&gt;""),U$2:AY$2),"")</f>
        <v/>
      </c>
      <c r="O300" s="59" t="n"/>
      <c r="P300" s="59" t="n"/>
      <c r="Q300" s="59" t="n"/>
      <c r="R300" s="59" t="n"/>
      <c r="S300" s="14" t="n"/>
      <c r="U300" s="53" t="n"/>
      <c r="V300" s="53" t="n"/>
      <c r="W300" s="53" t="n"/>
      <c r="X300" s="53" t="n"/>
      <c r="Y300" s="53" t="n"/>
      <c r="Z300" s="53" t="n"/>
      <c r="AA300" s="53" t="n"/>
      <c r="AB300" s="53" t="n"/>
      <c r="AC300" s="53" t="n"/>
      <c r="AD300" s="53" t="n"/>
      <c r="AE300" s="53" t="n"/>
      <c r="AF300" s="53" t="n"/>
      <c r="AG300" s="53" t="n"/>
      <c r="AH300" s="53" t="n"/>
      <c r="AI300" s="53" t="n"/>
      <c r="AJ300" s="53" t="n"/>
      <c r="AK300" s="53" t="n"/>
      <c r="AL300" s="53" t="n"/>
      <c r="AM300" s="53" t="n"/>
      <c r="AN300" s="53" t="n"/>
      <c r="AO300" s="53" t="n"/>
      <c r="AP300" s="53" t="n"/>
      <c r="AQ300" s="53" t="n"/>
      <c r="AR300" s="53" t="n"/>
      <c r="AS300" s="53" t="n"/>
      <c r="AT300" s="53" t="n"/>
      <c r="AU300" s="53" t="n"/>
      <c r="AV300" s="53" t="n"/>
      <c r="AW300" s="53" t="n"/>
      <c r="AX300" s="53" t="n"/>
      <c r="AY300" s="53" t="n"/>
    </row>
    <row r="301" ht="15" customHeight="1">
      <c r="A301" s="40">
        <f>IF($D$301="","",97)</f>
        <v/>
      </c>
      <c r="B301" s="10" t="n"/>
      <c r="C301" s="41" t="inlineStr">
        <is>
          <t>기타</t>
        </is>
      </c>
      <c r="D301" s="42" t="n"/>
      <c r="E301" s="43" t="inlineStr">
        <is>
          <t>기획</t>
        </is>
      </c>
      <c r="F301" s="44" t="n"/>
      <c r="G301" s="45" t="n"/>
      <c r="H301" s="46">
        <f>IF($I$301="","",IF($I$301&lt;0,"🔴지연",IF($I$301&lt;=1,"🟡임박","🟢여유")))</f>
        <v/>
      </c>
      <c r="I301" s="47">
        <f>IF(OR($G$301="",$K$301=""),"",$G$301-$K$301)</f>
        <v/>
      </c>
      <c r="J301" s="48">
        <f>IF(SUM($L$301:$L$303)=0,"",SUM($L$301:$L$303))</f>
        <v/>
      </c>
      <c r="K301" s="49">
        <f>IF($J$301="","",MAX($N$301:$N$303))</f>
        <v/>
      </c>
      <c r="L301" s="50">
        <f>IF(SUM(U301:AY301)=0,"",SUM(U301:AY301))</f>
        <v/>
      </c>
      <c r="M301" s="51">
        <f>IFERROR(INDEX(U$2:AY$2,MATCH(TRUE,INDEX(U301:AY301&lt;&gt;"",0),0)),"")</f>
        <v/>
      </c>
      <c r="N301" s="51">
        <f>IFERROR(LOOKUP(2,1/(U301:AY301&lt;&gt;""),U$2:AY$2),"")</f>
        <v/>
      </c>
      <c r="O301" s="52" t="n"/>
      <c r="P301" s="52" t="n"/>
      <c r="Q301" s="52" t="n"/>
      <c r="R301" s="44" t="n"/>
      <c r="S301" s="14" t="n"/>
      <c r="U301" s="53" t="n"/>
      <c r="V301" s="53" t="n"/>
      <c r="W301" s="53" t="n"/>
      <c r="X301" s="53" t="n"/>
      <c r="Y301" s="53" t="n"/>
      <c r="Z301" s="53" t="n"/>
      <c r="AA301" s="53" t="n"/>
      <c r="AB301" s="53" t="n"/>
      <c r="AC301" s="53" t="n"/>
      <c r="AD301" s="53" t="n"/>
      <c r="AE301" s="53" t="n"/>
      <c r="AF301" s="53" t="n"/>
      <c r="AG301" s="53" t="n"/>
      <c r="AH301" s="53" t="n"/>
      <c r="AI301" s="53" t="n"/>
      <c r="AJ301" s="53" t="n"/>
      <c r="AK301" s="53" t="n"/>
      <c r="AL301" s="53" t="n"/>
      <c r="AM301" s="53" t="n"/>
      <c r="AN301" s="53" t="n"/>
      <c r="AO301" s="53" t="n"/>
      <c r="AP301" s="53" t="n"/>
      <c r="AQ301" s="53" t="n"/>
      <c r="AR301" s="53" t="n"/>
      <c r="AS301" s="53" t="n"/>
      <c r="AT301" s="53" t="n"/>
      <c r="AU301" s="53" t="n"/>
      <c r="AV301" s="53" t="n"/>
      <c r="AW301" s="53" t="n"/>
      <c r="AX301" s="53" t="n"/>
      <c r="AY301" s="53" t="n"/>
    </row>
    <row r="302" ht="15" customHeight="1">
      <c r="A302" s="54" t="n"/>
      <c r="B302" s="55">
        <f>IF($B$301="","",$B$301)</f>
        <v/>
      </c>
      <c r="C302" s="56" t="inlineStr">
        <is>
          <t>기타</t>
        </is>
      </c>
      <c r="D302" s="55">
        <f>IF($D$301="","",$D$301)</f>
        <v/>
      </c>
      <c r="E302" s="57" t="inlineStr">
        <is>
          <t>이미지</t>
        </is>
      </c>
      <c r="F302" s="44" t="n"/>
      <c r="G302" s="58">
        <f>IF($G$301="","",$G$301)</f>
        <v/>
      </c>
      <c r="H302" s="59" t="n"/>
      <c r="I302" s="59" t="n"/>
      <c r="J302" s="59" t="n"/>
      <c r="K302" s="59" t="n"/>
      <c r="L302" s="60">
        <f>IF(SUM(U302:AY302)=0,"",SUM(U302:AY302))</f>
        <v/>
      </c>
      <c r="M302" s="61">
        <f>IFERROR(INDEX(U$2:AY$2,MATCH(TRUE,INDEX(U302:AY302&lt;&gt;"",0),0)),"")</f>
        <v/>
      </c>
      <c r="N302" s="61">
        <f>IFERROR(LOOKUP(2,1/(U302:AY302&lt;&gt;""),U$2:AY$2),"")</f>
        <v/>
      </c>
      <c r="O302" s="59" t="n"/>
      <c r="P302" s="59" t="n"/>
      <c r="Q302" s="59" t="n"/>
      <c r="R302" s="59" t="n"/>
      <c r="S302" s="14" t="n"/>
      <c r="U302" s="53" t="n"/>
      <c r="V302" s="53" t="n"/>
      <c r="W302" s="53" t="n"/>
      <c r="X302" s="53" t="n"/>
      <c r="Y302" s="53" t="n"/>
      <c r="Z302" s="53" t="n"/>
      <c r="AA302" s="53" t="n"/>
      <c r="AB302" s="53" t="n"/>
      <c r="AC302" s="53" t="n"/>
      <c r="AD302" s="53" t="n"/>
      <c r="AE302" s="53" t="n"/>
      <c r="AF302" s="53" t="n"/>
      <c r="AG302" s="53" t="n"/>
      <c r="AH302" s="53" t="n"/>
      <c r="AI302" s="53" t="n"/>
      <c r="AJ302" s="53" t="n"/>
      <c r="AK302" s="53" t="n"/>
      <c r="AL302" s="53" t="n"/>
      <c r="AM302" s="53" t="n"/>
      <c r="AN302" s="53" t="n"/>
      <c r="AO302" s="53" t="n"/>
      <c r="AP302" s="53" t="n"/>
      <c r="AQ302" s="53" t="n"/>
      <c r="AR302" s="53" t="n"/>
      <c r="AS302" s="53" t="n"/>
      <c r="AT302" s="53" t="n"/>
      <c r="AU302" s="53" t="n"/>
      <c r="AV302" s="53" t="n"/>
      <c r="AW302" s="53" t="n"/>
      <c r="AX302" s="53" t="n"/>
      <c r="AY302" s="53" t="n"/>
    </row>
    <row r="303" ht="15" customHeight="1">
      <c r="A303" s="62" t="n"/>
      <c r="B303" s="55">
        <f>IF($B$301="","",$B$301)</f>
        <v/>
      </c>
      <c r="C303" s="63" t="inlineStr">
        <is>
          <t>기타</t>
        </is>
      </c>
      <c r="D303" s="55">
        <f>IF($D$301="","",$D$301)</f>
        <v/>
      </c>
      <c r="E303" s="64" t="inlineStr">
        <is>
          <t>영상</t>
        </is>
      </c>
      <c r="F303" s="44" t="n"/>
      <c r="G303" s="58">
        <f>IF($G$301="","",$G$301)</f>
        <v/>
      </c>
      <c r="H303" s="59" t="n"/>
      <c r="I303" s="59" t="n"/>
      <c r="J303" s="59" t="n"/>
      <c r="K303" s="59" t="n"/>
      <c r="L303" s="65">
        <f>IF(SUM(U303:AY303)=0,"",SUM(U303:AY303))</f>
        <v/>
      </c>
      <c r="M303" s="66">
        <f>IFERROR(INDEX(U$2:AY$2,MATCH(TRUE,INDEX(U303:AY303&lt;&gt;"",0),0)),"")</f>
        <v/>
      </c>
      <c r="N303" s="66">
        <f>IFERROR(LOOKUP(2,1/(U303:AY303&lt;&gt;""),U$2:AY$2),"")</f>
        <v/>
      </c>
      <c r="O303" s="59" t="n"/>
      <c r="P303" s="59" t="n"/>
      <c r="Q303" s="59" t="n"/>
      <c r="R303" s="59" t="n"/>
      <c r="S303" s="14" t="n"/>
      <c r="U303" s="53" t="n"/>
      <c r="V303" s="53" t="n"/>
      <c r="W303" s="53" t="n"/>
      <c r="X303" s="53" t="n"/>
      <c r="Y303" s="53" t="n"/>
      <c r="Z303" s="53" t="n"/>
      <c r="AA303" s="53" t="n"/>
      <c r="AB303" s="53" t="n"/>
      <c r="AC303" s="53" t="n"/>
      <c r="AD303" s="53" t="n"/>
      <c r="AE303" s="53" t="n"/>
      <c r="AF303" s="53" t="n"/>
      <c r="AG303" s="53" t="n"/>
      <c r="AH303" s="53" t="n"/>
      <c r="AI303" s="53" t="n"/>
      <c r="AJ303" s="53" t="n"/>
      <c r="AK303" s="53" t="n"/>
      <c r="AL303" s="53" t="n"/>
      <c r="AM303" s="53" t="n"/>
      <c r="AN303" s="53" t="n"/>
      <c r="AO303" s="53" t="n"/>
      <c r="AP303" s="53" t="n"/>
      <c r="AQ303" s="53" t="n"/>
      <c r="AR303" s="53" t="n"/>
      <c r="AS303" s="53" t="n"/>
      <c r="AT303" s="53" t="n"/>
      <c r="AU303" s="53" t="n"/>
      <c r="AV303" s="53" t="n"/>
      <c r="AW303" s="53" t="n"/>
      <c r="AX303" s="53" t="n"/>
      <c r="AY303" s="53" t="n"/>
    </row>
    <row r="304" ht="15" customHeight="1">
      <c r="A304" s="40">
        <f>IF($D$304="","",98)</f>
        <v/>
      </c>
      <c r="B304" s="10" t="n"/>
      <c r="C304" s="41" t="inlineStr">
        <is>
          <t>기타</t>
        </is>
      </c>
      <c r="D304" s="42" t="n"/>
      <c r="E304" s="43" t="inlineStr">
        <is>
          <t>기획</t>
        </is>
      </c>
      <c r="F304" s="44" t="n"/>
      <c r="G304" s="45" t="n"/>
      <c r="H304" s="46">
        <f>IF($I$304="","",IF($I$304&lt;0,"🔴지연",IF($I$304&lt;=1,"🟡임박","🟢여유")))</f>
        <v/>
      </c>
      <c r="I304" s="47">
        <f>IF(OR($G$304="",$K$304=""),"",$G$304-$K$304)</f>
        <v/>
      </c>
      <c r="J304" s="48">
        <f>IF(SUM($L$304:$L$306)=0,"",SUM($L$304:$L$306))</f>
        <v/>
      </c>
      <c r="K304" s="49">
        <f>IF($J$304="","",MAX($N$304:$N$306))</f>
        <v/>
      </c>
      <c r="L304" s="50">
        <f>IF(SUM(U304:AY304)=0,"",SUM(U304:AY304))</f>
        <v/>
      </c>
      <c r="M304" s="51">
        <f>IFERROR(INDEX(U$2:AY$2,MATCH(TRUE,INDEX(U304:AY304&lt;&gt;"",0),0)),"")</f>
        <v/>
      </c>
      <c r="N304" s="51">
        <f>IFERROR(LOOKUP(2,1/(U304:AY304&lt;&gt;""),U$2:AY$2),"")</f>
        <v/>
      </c>
      <c r="O304" s="52" t="n"/>
      <c r="P304" s="52" t="n"/>
      <c r="Q304" s="52" t="n"/>
      <c r="R304" s="44" t="n"/>
      <c r="S304" s="14" t="n"/>
      <c r="U304" s="53" t="n"/>
      <c r="V304" s="53" t="n"/>
      <c r="W304" s="53" t="n"/>
      <c r="X304" s="53" t="n"/>
      <c r="Y304" s="53" t="n"/>
      <c r="Z304" s="53" t="n"/>
      <c r="AA304" s="53" t="n"/>
      <c r="AB304" s="53" t="n"/>
      <c r="AC304" s="53" t="n"/>
      <c r="AD304" s="53" t="n"/>
      <c r="AE304" s="53" t="n"/>
      <c r="AF304" s="53" t="n"/>
      <c r="AG304" s="53" t="n"/>
      <c r="AH304" s="53" t="n"/>
      <c r="AI304" s="53" t="n"/>
      <c r="AJ304" s="53" t="n"/>
      <c r="AK304" s="53" t="n"/>
      <c r="AL304" s="53" t="n"/>
      <c r="AM304" s="53" t="n"/>
      <c r="AN304" s="53" t="n"/>
      <c r="AO304" s="53" t="n"/>
      <c r="AP304" s="53" t="n"/>
      <c r="AQ304" s="53" t="n"/>
      <c r="AR304" s="53" t="n"/>
      <c r="AS304" s="53" t="n"/>
      <c r="AT304" s="53" t="n"/>
      <c r="AU304" s="53" t="n"/>
      <c r="AV304" s="53" t="n"/>
      <c r="AW304" s="53" t="n"/>
      <c r="AX304" s="53" t="n"/>
      <c r="AY304" s="53" t="n"/>
    </row>
    <row r="305" ht="15" customHeight="1">
      <c r="A305" s="54" t="n"/>
      <c r="B305" s="55">
        <f>IF($B$304="","",$B$304)</f>
        <v/>
      </c>
      <c r="C305" s="56" t="inlineStr">
        <is>
          <t>기타</t>
        </is>
      </c>
      <c r="D305" s="55">
        <f>IF($D$304="","",$D$304)</f>
        <v/>
      </c>
      <c r="E305" s="57" t="inlineStr">
        <is>
          <t>이미지</t>
        </is>
      </c>
      <c r="F305" s="44" t="n"/>
      <c r="G305" s="58">
        <f>IF($G$304="","",$G$304)</f>
        <v/>
      </c>
      <c r="H305" s="59" t="n"/>
      <c r="I305" s="59" t="n"/>
      <c r="J305" s="59" t="n"/>
      <c r="K305" s="59" t="n"/>
      <c r="L305" s="60">
        <f>IF(SUM(U305:AY305)=0,"",SUM(U305:AY305))</f>
        <v/>
      </c>
      <c r="M305" s="61">
        <f>IFERROR(INDEX(U$2:AY$2,MATCH(TRUE,INDEX(U305:AY305&lt;&gt;"",0),0)),"")</f>
        <v/>
      </c>
      <c r="N305" s="61">
        <f>IFERROR(LOOKUP(2,1/(U305:AY305&lt;&gt;""),U$2:AY$2),"")</f>
        <v/>
      </c>
      <c r="O305" s="59" t="n"/>
      <c r="P305" s="59" t="n"/>
      <c r="Q305" s="59" t="n"/>
      <c r="R305" s="59" t="n"/>
      <c r="S305" s="14" t="n"/>
      <c r="U305" s="53" t="n"/>
      <c r="V305" s="53" t="n"/>
      <c r="W305" s="53" t="n"/>
      <c r="X305" s="53" t="n"/>
      <c r="Y305" s="53" t="n"/>
      <c r="Z305" s="53" t="n"/>
      <c r="AA305" s="53" t="n"/>
      <c r="AB305" s="53" t="n"/>
      <c r="AC305" s="53" t="n"/>
      <c r="AD305" s="53" t="n"/>
      <c r="AE305" s="53" t="n"/>
      <c r="AF305" s="53" t="n"/>
      <c r="AG305" s="53" t="n"/>
      <c r="AH305" s="53" t="n"/>
      <c r="AI305" s="53" t="n"/>
      <c r="AJ305" s="53" t="n"/>
      <c r="AK305" s="53" t="n"/>
      <c r="AL305" s="53" t="n"/>
      <c r="AM305" s="53" t="n"/>
      <c r="AN305" s="53" t="n"/>
      <c r="AO305" s="53" t="n"/>
      <c r="AP305" s="53" t="n"/>
      <c r="AQ305" s="53" t="n"/>
      <c r="AR305" s="53" t="n"/>
      <c r="AS305" s="53" t="n"/>
      <c r="AT305" s="53" t="n"/>
      <c r="AU305" s="53" t="n"/>
      <c r="AV305" s="53" t="n"/>
      <c r="AW305" s="53" t="n"/>
      <c r="AX305" s="53" t="n"/>
      <c r="AY305" s="53" t="n"/>
    </row>
    <row r="306" ht="15" customHeight="1">
      <c r="A306" s="62" t="n"/>
      <c r="B306" s="55">
        <f>IF($B$304="","",$B$304)</f>
        <v/>
      </c>
      <c r="C306" s="63" t="inlineStr">
        <is>
          <t>기타</t>
        </is>
      </c>
      <c r="D306" s="55">
        <f>IF($D$304="","",$D$304)</f>
        <v/>
      </c>
      <c r="E306" s="64" t="inlineStr">
        <is>
          <t>영상</t>
        </is>
      </c>
      <c r="F306" s="44" t="n"/>
      <c r="G306" s="58">
        <f>IF($G$304="","",$G$304)</f>
        <v/>
      </c>
      <c r="H306" s="59" t="n"/>
      <c r="I306" s="59" t="n"/>
      <c r="J306" s="59" t="n"/>
      <c r="K306" s="59" t="n"/>
      <c r="L306" s="65">
        <f>IF(SUM(U306:AY306)=0,"",SUM(U306:AY306))</f>
        <v/>
      </c>
      <c r="M306" s="66">
        <f>IFERROR(INDEX(U$2:AY$2,MATCH(TRUE,INDEX(U306:AY306&lt;&gt;"",0),0)),"")</f>
        <v/>
      </c>
      <c r="N306" s="66">
        <f>IFERROR(LOOKUP(2,1/(U306:AY306&lt;&gt;""),U$2:AY$2),"")</f>
        <v/>
      </c>
      <c r="O306" s="59" t="n"/>
      <c r="P306" s="59" t="n"/>
      <c r="Q306" s="59" t="n"/>
      <c r="R306" s="59" t="n"/>
      <c r="S306" s="14" t="n"/>
      <c r="U306" s="53" t="n"/>
      <c r="V306" s="53" t="n"/>
      <c r="W306" s="53" t="n"/>
      <c r="X306" s="53" t="n"/>
      <c r="Y306" s="53" t="n"/>
      <c r="Z306" s="53" t="n"/>
      <c r="AA306" s="53" t="n"/>
      <c r="AB306" s="53" t="n"/>
      <c r="AC306" s="53" t="n"/>
      <c r="AD306" s="53" t="n"/>
      <c r="AE306" s="53" t="n"/>
      <c r="AF306" s="53" t="n"/>
      <c r="AG306" s="53" t="n"/>
      <c r="AH306" s="53" t="n"/>
      <c r="AI306" s="53" t="n"/>
      <c r="AJ306" s="53" t="n"/>
      <c r="AK306" s="53" t="n"/>
      <c r="AL306" s="53" t="n"/>
      <c r="AM306" s="53" t="n"/>
      <c r="AN306" s="53" t="n"/>
      <c r="AO306" s="53" t="n"/>
      <c r="AP306" s="53" t="n"/>
      <c r="AQ306" s="53" t="n"/>
      <c r="AR306" s="53" t="n"/>
      <c r="AS306" s="53" t="n"/>
      <c r="AT306" s="53" t="n"/>
      <c r="AU306" s="53" t="n"/>
      <c r="AV306" s="53" t="n"/>
      <c r="AW306" s="53" t="n"/>
      <c r="AX306" s="53" t="n"/>
      <c r="AY306" s="53" t="n"/>
    </row>
    <row r="307" ht="15" customHeight="1">
      <c r="A307" s="40">
        <f>IF($D$307="","",99)</f>
        <v/>
      </c>
      <c r="B307" s="10" t="n"/>
      <c r="C307" s="41" t="inlineStr">
        <is>
          <t>기타</t>
        </is>
      </c>
      <c r="D307" s="42" t="n"/>
      <c r="E307" s="43" t="inlineStr">
        <is>
          <t>기획</t>
        </is>
      </c>
      <c r="F307" s="44" t="n"/>
      <c r="G307" s="45" t="n"/>
      <c r="H307" s="46">
        <f>IF($I$307="","",IF($I$307&lt;0,"🔴지연",IF($I$307&lt;=1,"🟡임박","🟢여유")))</f>
        <v/>
      </c>
      <c r="I307" s="47">
        <f>IF(OR($G$307="",$K$307=""),"",$G$307-$K$307)</f>
        <v/>
      </c>
      <c r="J307" s="48">
        <f>IF(SUM($L$307:$L$309)=0,"",SUM($L$307:$L$309))</f>
        <v/>
      </c>
      <c r="K307" s="49">
        <f>IF($J$307="","",MAX($N$307:$N$309))</f>
        <v/>
      </c>
      <c r="L307" s="50">
        <f>IF(SUM(U307:AY307)=0,"",SUM(U307:AY307))</f>
        <v/>
      </c>
      <c r="M307" s="51">
        <f>IFERROR(INDEX(U$2:AY$2,MATCH(TRUE,INDEX(U307:AY307&lt;&gt;"",0),0)),"")</f>
        <v/>
      </c>
      <c r="N307" s="51">
        <f>IFERROR(LOOKUP(2,1/(U307:AY307&lt;&gt;""),U$2:AY$2),"")</f>
        <v/>
      </c>
      <c r="O307" s="52" t="n"/>
      <c r="P307" s="52" t="n"/>
      <c r="Q307" s="52" t="n"/>
      <c r="R307" s="44" t="n"/>
      <c r="S307" s="14" t="n"/>
      <c r="U307" s="53" t="n"/>
      <c r="V307" s="53" t="n"/>
      <c r="W307" s="53" t="n"/>
      <c r="X307" s="53" t="n"/>
      <c r="Y307" s="53" t="n"/>
      <c r="Z307" s="53" t="n"/>
      <c r="AA307" s="53" t="n"/>
      <c r="AB307" s="53" t="n"/>
      <c r="AC307" s="53" t="n"/>
      <c r="AD307" s="53" t="n"/>
      <c r="AE307" s="53" t="n"/>
      <c r="AF307" s="53" t="n"/>
      <c r="AG307" s="53" t="n"/>
      <c r="AH307" s="53" t="n"/>
      <c r="AI307" s="53" t="n"/>
      <c r="AJ307" s="53" t="n"/>
      <c r="AK307" s="53" t="n"/>
      <c r="AL307" s="53" t="n"/>
      <c r="AM307" s="53" t="n"/>
      <c r="AN307" s="53" t="n"/>
      <c r="AO307" s="53" t="n"/>
      <c r="AP307" s="53" t="n"/>
      <c r="AQ307" s="53" t="n"/>
      <c r="AR307" s="53" t="n"/>
      <c r="AS307" s="53" t="n"/>
      <c r="AT307" s="53" t="n"/>
      <c r="AU307" s="53" t="n"/>
      <c r="AV307" s="53" t="n"/>
      <c r="AW307" s="53" t="n"/>
      <c r="AX307" s="53" t="n"/>
      <c r="AY307" s="53" t="n"/>
    </row>
    <row r="308" ht="15" customHeight="1">
      <c r="A308" s="54" t="n"/>
      <c r="B308" s="55">
        <f>IF($B$307="","",$B$307)</f>
        <v/>
      </c>
      <c r="C308" s="56" t="inlineStr">
        <is>
          <t>기타</t>
        </is>
      </c>
      <c r="D308" s="55">
        <f>IF($D$307="","",$D$307)</f>
        <v/>
      </c>
      <c r="E308" s="57" t="inlineStr">
        <is>
          <t>이미지</t>
        </is>
      </c>
      <c r="F308" s="44" t="n"/>
      <c r="G308" s="58">
        <f>IF($G$307="","",$G$307)</f>
        <v/>
      </c>
      <c r="H308" s="59" t="n"/>
      <c r="I308" s="59" t="n"/>
      <c r="J308" s="59" t="n"/>
      <c r="K308" s="59" t="n"/>
      <c r="L308" s="60">
        <f>IF(SUM(U308:AY308)=0,"",SUM(U308:AY308))</f>
        <v/>
      </c>
      <c r="M308" s="61">
        <f>IFERROR(INDEX(U$2:AY$2,MATCH(TRUE,INDEX(U308:AY308&lt;&gt;"",0),0)),"")</f>
        <v/>
      </c>
      <c r="N308" s="61">
        <f>IFERROR(LOOKUP(2,1/(U308:AY308&lt;&gt;""),U$2:AY$2),"")</f>
        <v/>
      </c>
      <c r="O308" s="59" t="n"/>
      <c r="P308" s="59" t="n"/>
      <c r="Q308" s="59" t="n"/>
      <c r="R308" s="59" t="n"/>
      <c r="S308" s="14" t="n"/>
      <c r="U308" s="53" t="n"/>
      <c r="V308" s="53" t="n"/>
      <c r="W308" s="53" t="n"/>
      <c r="X308" s="53" t="n"/>
      <c r="Y308" s="53" t="n"/>
      <c r="Z308" s="53" t="n"/>
      <c r="AA308" s="53" t="n"/>
      <c r="AB308" s="53" t="n"/>
      <c r="AC308" s="53" t="n"/>
      <c r="AD308" s="53" t="n"/>
      <c r="AE308" s="53" t="n"/>
      <c r="AF308" s="53" t="n"/>
      <c r="AG308" s="53" t="n"/>
      <c r="AH308" s="53" t="n"/>
      <c r="AI308" s="53" t="n"/>
      <c r="AJ308" s="53" t="n"/>
      <c r="AK308" s="53" t="n"/>
      <c r="AL308" s="53" t="n"/>
      <c r="AM308" s="53" t="n"/>
      <c r="AN308" s="53" t="n"/>
      <c r="AO308" s="53" t="n"/>
      <c r="AP308" s="53" t="n"/>
      <c r="AQ308" s="53" t="n"/>
      <c r="AR308" s="53" t="n"/>
      <c r="AS308" s="53" t="n"/>
      <c r="AT308" s="53" t="n"/>
      <c r="AU308" s="53" t="n"/>
      <c r="AV308" s="53" t="n"/>
      <c r="AW308" s="53" t="n"/>
      <c r="AX308" s="53" t="n"/>
      <c r="AY308" s="53" t="n"/>
    </row>
    <row r="309" ht="15" customHeight="1">
      <c r="A309" s="62" t="n"/>
      <c r="B309" s="55">
        <f>IF($B$307="","",$B$307)</f>
        <v/>
      </c>
      <c r="C309" s="63" t="inlineStr">
        <is>
          <t>기타</t>
        </is>
      </c>
      <c r="D309" s="55">
        <f>IF($D$307="","",$D$307)</f>
        <v/>
      </c>
      <c r="E309" s="64" t="inlineStr">
        <is>
          <t>영상</t>
        </is>
      </c>
      <c r="F309" s="44" t="n"/>
      <c r="G309" s="58">
        <f>IF($G$307="","",$G$307)</f>
        <v/>
      </c>
      <c r="H309" s="59" t="n"/>
      <c r="I309" s="59" t="n"/>
      <c r="J309" s="59" t="n"/>
      <c r="K309" s="59" t="n"/>
      <c r="L309" s="65">
        <f>IF(SUM(U309:AY309)=0,"",SUM(U309:AY309))</f>
        <v/>
      </c>
      <c r="M309" s="66">
        <f>IFERROR(INDEX(U$2:AY$2,MATCH(TRUE,INDEX(U309:AY309&lt;&gt;"",0),0)),"")</f>
        <v/>
      </c>
      <c r="N309" s="66">
        <f>IFERROR(LOOKUP(2,1/(U309:AY309&lt;&gt;""),U$2:AY$2),"")</f>
        <v/>
      </c>
      <c r="O309" s="59" t="n"/>
      <c r="P309" s="59" t="n"/>
      <c r="Q309" s="59" t="n"/>
      <c r="R309" s="59" t="n"/>
      <c r="S309" s="14" t="n"/>
      <c r="U309" s="53" t="n"/>
      <c r="V309" s="53" t="n"/>
      <c r="W309" s="53" t="n"/>
      <c r="X309" s="53" t="n"/>
      <c r="Y309" s="53" t="n"/>
      <c r="Z309" s="53" t="n"/>
      <c r="AA309" s="53" t="n"/>
      <c r="AB309" s="53" t="n"/>
      <c r="AC309" s="53" t="n"/>
      <c r="AD309" s="53" t="n"/>
      <c r="AE309" s="53" t="n"/>
      <c r="AF309" s="53" t="n"/>
      <c r="AG309" s="53" t="n"/>
      <c r="AH309" s="53" t="n"/>
      <c r="AI309" s="53" t="n"/>
      <c r="AJ309" s="53" t="n"/>
      <c r="AK309" s="53" t="n"/>
      <c r="AL309" s="53" t="n"/>
      <c r="AM309" s="53" t="n"/>
      <c r="AN309" s="53" t="n"/>
      <c r="AO309" s="53" t="n"/>
      <c r="AP309" s="53" t="n"/>
      <c r="AQ309" s="53" t="n"/>
      <c r="AR309" s="53" t="n"/>
      <c r="AS309" s="53" t="n"/>
      <c r="AT309" s="53" t="n"/>
      <c r="AU309" s="53" t="n"/>
      <c r="AV309" s="53" t="n"/>
      <c r="AW309" s="53" t="n"/>
      <c r="AX309" s="53" t="n"/>
      <c r="AY309" s="53" t="n"/>
    </row>
    <row r="310" ht="15" customHeight="1">
      <c r="A310" s="40">
        <f>IF($D$310="","",100)</f>
        <v/>
      </c>
      <c r="B310" s="10" t="n"/>
      <c r="C310" s="41" t="inlineStr">
        <is>
          <t>기타</t>
        </is>
      </c>
      <c r="D310" s="42" t="n"/>
      <c r="E310" s="43" t="inlineStr">
        <is>
          <t>기획</t>
        </is>
      </c>
      <c r="F310" s="44" t="n"/>
      <c r="G310" s="45" t="n"/>
      <c r="H310" s="46">
        <f>IF($I$310="","",IF($I$310&lt;0,"🔴지연",IF($I$310&lt;=1,"🟡임박","🟢여유")))</f>
        <v/>
      </c>
      <c r="I310" s="47">
        <f>IF(OR($G$310="",$K$310=""),"",$G$310-$K$310)</f>
        <v/>
      </c>
      <c r="J310" s="48">
        <f>IF(SUM($L$310:$L$312)=0,"",SUM($L$310:$L$312))</f>
        <v/>
      </c>
      <c r="K310" s="49">
        <f>IF($J$310="","",MAX($N$310:$N$312))</f>
        <v/>
      </c>
      <c r="L310" s="50">
        <f>IF(SUM(U310:AY310)=0,"",SUM(U310:AY310))</f>
        <v/>
      </c>
      <c r="M310" s="51">
        <f>IFERROR(INDEX(U$2:AY$2,MATCH(TRUE,INDEX(U310:AY310&lt;&gt;"",0),0)),"")</f>
        <v/>
      </c>
      <c r="N310" s="51">
        <f>IFERROR(LOOKUP(2,1/(U310:AY310&lt;&gt;""),U$2:AY$2),"")</f>
        <v/>
      </c>
      <c r="O310" s="52" t="n"/>
      <c r="P310" s="52" t="n"/>
      <c r="Q310" s="52" t="n"/>
      <c r="R310" s="44" t="n"/>
      <c r="S310" s="14" t="n"/>
      <c r="U310" s="53" t="n"/>
      <c r="V310" s="53" t="n"/>
      <c r="W310" s="53" t="n"/>
      <c r="X310" s="53" t="n"/>
      <c r="Y310" s="53" t="n"/>
      <c r="Z310" s="53" t="n"/>
      <c r="AA310" s="53" t="n"/>
      <c r="AB310" s="53" t="n"/>
      <c r="AC310" s="53" t="n"/>
      <c r="AD310" s="53" t="n"/>
      <c r="AE310" s="53" t="n"/>
      <c r="AF310" s="53" t="n"/>
      <c r="AG310" s="53" t="n"/>
      <c r="AH310" s="53" t="n"/>
      <c r="AI310" s="53" t="n"/>
      <c r="AJ310" s="53" t="n"/>
      <c r="AK310" s="53" t="n"/>
      <c r="AL310" s="53" t="n"/>
      <c r="AM310" s="53" t="n"/>
      <c r="AN310" s="53" t="n"/>
      <c r="AO310" s="53" t="n"/>
      <c r="AP310" s="53" t="n"/>
      <c r="AQ310" s="53" t="n"/>
      <c r="AR310" s="53" t="n"/>
      <c r="AS310" s="53" t="n"/>
      <c r="AT310" s="53" t="n"/>
      <c r="AU310" s="53" t="n"/>
      <c r="AV310" s="53" t="n"/>
      <c r="AW310" s="53" t="n"/>
      <c r="AX310" s="53" t="n"/>
      <c r="AY310" s="53" t="n"/>
    </row>
    <row r="311" ht="15" customHeight="1">
      <c r="A311" s="54" t="n"/>
      <c r="B311" s="55">
        <f>IF($B$310="","",$B$310)</f>
        <v/>
      </c>
      <c r="C311" s="56" t="inlineStr">
        <is>
          <t>기타</t>
        </is>
      </c>
      <c r="D311" s="55">
        <f>IF($D$310="","",$D$310)</f>
        <v/>
      </c>
      <c r="E311" s="57" t="inlineStr">
        <is>
          <t>이미지</t>
        </is>
      </c>
      <c r="F311" s="44" t="n"/>
      <c r="G311" s="58">
        <f>IF($G$310="","",$G$310)</f>
        <v/>
      </c>
      <c r="H311" s="59" t="n"/>
      <c r="I311" s="59" t="n"/>
      <c r="J311" s="59" t="n"/>
      <c r="K311" s="59" t="n"/>
      <c r="L311" s="60">
        <f>IF(SUM(U311:AY311)=0,"",SUM(U311:AY311))</f>
        <v/>
      </c>
      <c r="M311" s="61">
        <f>IFERROR(INDEX(U$2:AY$2,MATCH(TRUE,INDEX(U311:AY311&lt;&gt;"",0),0)),"")</f>
        <v/>
      </c>
      <c r="N311" s="61">
        <f>IFERROR(LOOKUP(2,1/(U311:AY311&lt;&gt;""),U$2:AY$2),"")</f>
        <v/>
      </c>
      <c r="O311" s="59" t="n"/>
      <c r="P311" s="59" t="n"/>
      <c r="Q311" s="59" t="n"/>
      <c r="R311" s="59" t="n"/>
      <c r="S311" s="14" t="n"/>
      <c r="U311" s="53" t="n"/>
      <c r="V311" s="53" t="n"/>
      <c r="W311" s="53" t="n"/>
      <c r="X311" s="53" t="n"/>
      <c r="Y311" s="53" t="n"/>
      <c r="Z311" s="53" t="n"/>
      <c r="AA311" s="53" t="n"/>
      <c r="AB311" s="53" t="n"/>
      <c r="AC311" s="53" t="n"/>
      <c r="AD311" s="53" t="n"/>
      <c r="AE311" s="53" t="n"/>
      <c r="AF311" s="53" t="n"/>
      <c r="AG311" s="53" t="n"/>
      <c r="AH311" s="53" t="n"/>
      <c r="AI311" s="53" t="n"/>
      <c r="AJ311" s="53" t="n"/>
      <c r="AK311" s="53" t="n"/>
      <c r="AL311" s="53" t="n"/>
      <c r="AM311" s="53" t="n"/>
      <c r="AN311" s="53" t="n"/>
      <c r="AO311" s="53" t="n"/>
      <c r="AP311" s="53" t="n"/>
      <c r="AQ311" s="53" t="n"/>
      <c r="AR311" s="53" t="n"/>
      <c r="AS311" s="53" t="n"/>
      <c r="AT311" s="53" t="n"/>
      <c r="AU311" s="53" t="n"/>
      <c r="AV311" s="53" t="n"/>
      <c r="AW311" s="53" t="n"/>
      <c r="AX311" s="53" t="n"/>
      <c r="AY311" s="53" t="n"/>
    </row>
    <row r="312" ht="15" customHeight="1">
      <c r="A312" s="62" t="n"/>
      <c r="B312" s="55">
        <f>IF($B$310="","",$B$310)</f>
        <v/>
      </c>
      <c r="C312" s="63" t="inlineStr">
        <is>
          <t>기타</t>
        </is>
      </c>
      <c r="D312" s="55">
        <f>IF($D$310="","",$D$310)</f>
        <v/>
      </c>
      <c r="E312" s="64" t="inlineStr">
        <is>
          <t>영상</t>
        </is>
      </c>
      <c r="F312" s="44" t="n"/>
      <c r="G312" s="58">
        <f>IF($G$310="","",$G$310)</f>
        <v/>
      </c>
      <c r="H312" s="59" t="n"/>
      <c r="I312" s="59" t="n"/>
      <c r="J312" s="59" t="n"/>
      <c r="K312" s="59" t="n"/>
      <c r="L312" s="65">
        <f>IF(SUM(U312:AY312)=0,"",SUM(U312:AY312))</f>
        <v/>
      </c>
      <c r="M312" s="66">
        <f>IFERROR(INDEX(U$2:AY$2,MATCH(TRUE,INDEX(U312:AY312&lt;&gt;"",0),0)),"")</f>
        <v/>
      </c>
      <c r="N312" s="66">
        <f>IFERROR(LOOKUP(2,1/(U312:AY312&lt;&gt;""),U$2:AY$2),"")</f>
        <v/>
      </c>
      <c r="O312" s="59" t="n"/>
      <c r="P312" s="59" t="n"/>
      <c r="Q312" s="59" t="n"/>
      <c r="R312" s="59" t="n"/>
      <c r="S312" s="14" t="n"/>
      <c r="U312" s="53" t="n"/>
      <c r="V312" s="53" t="n"/>
      <c r="W312" s="53" t="n"/>
      <c r="X312" s="53" t="n"/>
      <c r="Y312" s="53" t="n"/>
      <c r="Z312" s="53" t="n"/>
      <c r="AA312" s="53" t="n"/>
      <c r="AB312" s="53" t="n"/>
      <c r="AC312" s="53" t="n"/>
      <c r="AD312" s="53" t="n"/>
      <c r="AE312" s="53" t="n"/>
      <c r="AF312" s="53" t="n"/>
      <c r="AG312" s="53" t="n"/>
      <c r="AH312" s="53" t="n"/>
      <c r="AI312" s="53" t="n"/>
      <c r="AJ312" s="53" t="n"/>
      <c r="AK312" s="53" t="n"/>
      <c r="AL312" s="53" t="n"/>
      <c r="AM312" s="53" t="n"/>
      <c r="AN312" s="53" t="n"/>
      <c r="AO312" s="53" t="n"/>
      <c r="AP312" s="53" t="n"/>
      <c r="AQ312" s="53" t="n"/>
      <c r="AR312" s="53" t="n"/>
      <c r="AS312" s="53" t="n"/>
      <c r="AT312" s="53" t="n"/>
      <c r="AU312" s="53" t="n"/>
      <c r="AV312" s="53" t="n"/>
      <c r="AW312" s="53" t="n"/>
      <c r="AX312" s="53" t="n"/>
      <c r="AY312" s="53" t="n"/>
    </row>
    <row r="315">
      <c r="A315" s="67" t="inlineStr">
        <is>
          <t>담당자 1일 캐파(MD)</t>
        </is>
      </c>
      <c r="B315" s="68">
        <f>'마스터'!$J$5</f>
        <v/>
      </c>
    </row>
    <row r="316">
      <c r="A316" s="67" t="inlineStr">
        <is>
          <t>공휴일(자동 연동)</t>
        </is>
      </c>
    </row>
    <row r="317">
      <c r="A317" s="67">
        <f>'마스터'!$I$13</f>
        <v/>
      </c>
      <c r="B317" s="69">
        <f>'마스터'!$J$13</f>
        <v/>
      </c>
    </row>
    <row r="318">
      <c r="A318" s="67">
        <f>'마스터'!$I$14</f>
        <v/>
      </c>
      <c r="B318" s="69">
        <f>'마스터'!$J$14</f>
        <v/>
      </c>
    </row>
    <row r="319">
      <c r="A319" s="67">
        <f>'마스터'!$I$15</f>
        <v/>
      </c>
      <c r="B319" s="69">
        <f>'마스터'!$J$15</f>
        <v/>
      </c>
    </row>
    <row r="320">
      <c r="A320" s="67">
        <f>'마스터'!$I$16</f>
        <v/>
      </c>
      <c r="B320" s="69">
        <f>'마스터'!$J$16</f>
        <v/>
      </c>
    </row>
    <row r="321">
      <c r="A321" s="67">
        <f>'마스터'!$I$17</f>
        <v/>
      </c>
      <c r="B321" s="69">
        <f>'마스터'!$J$17</f>
        <v/>
      </c>
    </row>
    <row r="322">
      <c r="A322" s="67">
        <f>'마스터'!$I$18</f>
        <v/>
      </c>
      <c r="B322" s="69">
        <f>'마스터'!$J$18</f>
        <v/>
      </c>
    </row>
    <row r="323">
      <c r="A323" s="67">
        <f>'마스터'!$I$19</f>
        <v/>
      </c>
      <c r="B323" s="69">
        <f>'마스터'!$J$19</f>
        <v/>
      </c>
    </row>
    <row r="324">
      <c r="A324" s="67">
        <f>'마스터'!$I$20</f>
        <v/>
      </c>
      <c r="B324" s="69">
        <f>'마스터'!$J$20</f>
        <v/>
      </c>
    </row>
    <row r="325">
      <c r="A325" s="67">
        <f>'마스터'!$I$21</f>
        <v/>
      </c>
      <c r="B325" s="69">
        <f>'마스터'!$J$21</f>
        <v/>
      </c>
    </row>
    <row r="326">
      <c r="A326" s="67">
        <f>'마스터'!$I$22</f>
        <v/>
      </c>
      <c r="B326" s="69">
        <f>'마스터'!$J$22</f>
        <v/>
      </c>
    </row>
    <row r="327">
      <c r="A327" s="67">
        <f>'마스터'!$I$23</f>
        <v/>
      </c>
      <c r="B327" s="69">
        <f>'마스터'!$J$23</f>
        <v/>
      </c>
    </row>
    <row r="328">
      <c r="A328" s="67">
        <f>'마스터'!$I$24</f>
        <v/>
      </c>
      <c r="B328" s="69">
        <f>'마스터'!$J$24</f>
        <v/>
      </c>
    </row>
    <row r="329">
      <c r="A329" s="67">
        <f>'마스터'!$I$25</f>
        <v/>
      </c>
      <c r="B329" s="69">
        <f>'마스터'!$J$25</f>
        <v/>
      </c>
    </row>
    <row r="330">
      <c r="A330" s="67">
        <f>'마스터'!$I$26</f>
        <v/>
      </c>
      <c r="B330" s="69">
        <f>'마스터'!$J$26</f>
        <v/>
      </c>
    </row>
    <row r="331">
      <c r="A331" s="67">
        <f>'마스터'!$I$27</f>
        <v/>
      </c>
      <c r="B331" s="69">
        <f>'마스터'!$J$27</f>
        <v/>
      </c>
    </row>
  </sheetData>
  <mergeCells count="16">
    <mergeCell ref="L1:N1"/>
    <mergeCell ref="A252:AY252"/>
    <mergeCell ref="O1:Q1"/>
    <mergeCell ref="A191:AY191"/>
    <mergeCell ref="A1:F1"/>
    <mergeCell ref="A5:F5"/>
    <mergeCell ref="A130:AY130"/>
    <mergeCell ref="G1:K1"/>
    <mergeCell ref="A8:AY8"/>
    <mergeCell ref="U1:AY1"/>
    <mergeCell ref="A6:F6"/>
    <mergeCell ref="A4:F4"/>
    <mergeCell ref="A3:F3"/>
    <mergeCell ref="A7:AY7"/>
    <mergeCell ref="A69:AY69"/>
    <mergeCell ref="R1:S1"/>
  </mergeCells>
  <conditionalFormatting sqref="U3:AY6">
    <cfRule type="expression" priority="1" dxfId="3">
      <formula>AND(U3&lt;&gt;"",U3&gt;$H3)</formula>
    </cfRule>
    <cfRule type="expression" priority="2" dxfId="4">
      <formula>AND(U3&gt;0,U3&gt;=$H3*0.8)</formula>
    </cfRule>
  </conditionalFormatting>
  <conditionalFormatting sqref="U3:AY312">
    <cfRule type="expression" priority="3" dxfId="5">
      <formula>U$2=""</formula>
    </cfRule>
    <cfRule type="expression" priority="4" dxfId="6">
      <formula>AND(U$2&lt;&gt;"",OR(WEEKDAY(U$2,2)&gt;5,COUNTIF($B$317:$B$331,U$2)&gt;0))</formula>
    </cfRule>
  </conditionalFormatting>
  <conditionalFormatting sqref="U9:AY312">
    <cfRule type="expression" priority="5" dxfId="7">
      <formula>AND(U9&lt;&gt;"",$G9&lt;&gt;"",U$2&lt;&gt;"",U$2&gt;$G9)</formula>
    </cfRule>
    <cfRule type="expression" priority="6" dxfId="8">
      <formula>AND($F9&lt;&gt;"",U9&lt;&gt;"",SUMIF($F$9:$F$312,$F9,U$9:U$312)&gt;$B$315)</formula>
    </cfRule>
    <cfRule type="expression" priority="7" dxfId="9">
      <formula>AND($E9="기획",U9&lt;&gt;"")</formula>
    </cfRule>
    <cfRule type="expression" priority="8" dxfId="10">
      <formula>AND($E9="이미지",U9&lt;&gt;"")</formula>
    </cfRule>
    <cfRule type="expression" priority="9" dxfId="11">
      <formula>AND($E9="영상",U9&lt;&gt;"")</formula>
    </cfRule>
  </conditionalFormatting>
  <conditionalFormatting sqref="H9:I312">
    <cfRule type="expression" priority="10" dxfId="12">
      <formula>AND($I9&lt;&gt;"",$I9&lt;0)</formula>
    </cfRule>
    <cfRule type="expression" priority="11" dxfId="13">
      <formula>AND($I9&lt;&gt;"",$I9&lt;=1)</formula>
    </cfRule>
    <cfRule type="expression" priority="12" dxfId="14">
      <formula>$I9&lt;&gt;""</formula>
    </cfRule>
  </conditionalFormatting>
  <dataValidations count="2">
    <dataValidation sqref="B9:B312" showDropDown="0" showInputMessage="0" showErrorMessage="0" allowBlank="1" type="list">
      <formula1>'마스터'!$A$3:$A$12</formula1>
    </dataValidation>
    <dataValidation sqref="R9:R312" showDropDown="0" showInputMessage="0" showErrorMessage="0" allowBlank="1" type="list">
      <formula1>'마스터'!$G$3:$G$6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2A44"/>
    <outlinePr summaryBelow="1" summaryRight="1"/>
    <pageSetUpPr/>
  </sheetPr>
  <dimension ref="A1:AY331"/>
  <sheetViews>
    <sheetView workbookViewId="0">
      <pane xSplit="8" ySplit="8" topLeftCell="I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28" customWidth="1" min="4" max="4"/>
    <col width="8" customWidth="1" min="5" max="5"/>
    <col width="10" customWidth="1" min="6" max="6"/>
    <col width="11" customWidth="1" min="7" max="7"/>
    <col width="9" customWidth="1" min="8" max="8"/>
    <col width="8" customWidth="1" min="9" max="9"/>
    <col width="8" customWidth="1" min="10" max="10"/>
    <col width="11" customWidth="1" min="11" max="11"/>
    <col width="8" customWidth="1" min="12" max="12"/>
    <col width="10" customWidth="1" min="13" max="13"/>
    <col width="10" customWidth="1" min="14" max="14"/>
    <col width="6" customWidth="1" min="15" max="15"/>
    <col width="6" customWidth="1" min="16" max="16"/>
    <col width="6" customWidth="1" min="17" max="17"/>
    <col width="8" customWidth="1" min="18" max="18"/>
    <col width="16" customWidth="1" min="19" max="19"/>
    <col width="2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3.6" customWidth="1" min="33" max="33"/>
    <col width="3.6" customWidth="1" min="34" max="34"/>
    <col width="3.6" customWidth="1" min="35" max="35"/>
    <col width="3.6" customWidth="1" min="36" max="36"/>
    <col width="3.6" customWidth="1" min="37" max="37"/>
    <col width="3.6" customWidth="1" min="38" max="38"/>
    <col width="3.6" customWidth="1" min="39" max="39"/>
    <col width="3.6" customWidth="1" min="40" max="40"/>
    <col width="3.6" customWidth="1" min="41" max="41"/>
    <col width="3.6" customWidth="1" min="42" max="42"/>
    <col width="3.6" customWidth="1" min="43" max="43"/>
    <col width="3.6" customWidth="1" min="44" max="44"/>
    <col width="3.6" customWidth="1" min="45" max="45"/>
    <col width="3.6" customWidth="1" min="46" max="46"/>
    <col width="3.6" customWidth="1" min="47" max="47"/>
    <col width="3.6" customWidth="1" min="48" max="48"/>
    <col width="3.6" customWidth="1" min="49" max="49"/>
    <col width="3.6" customWidth="1" min="50" max="50"/>
    <col width="3.6" customWidth="1" min="51" max="51"/>
  </cols>
  <sheetData>
    <row r="1" ht="22" customHeight="1">
      <c r="A1" s="27" t="inlineStr">
        <is>
          <t>7월 소재 정보  (소재 1개 = 기획/이미지/영상 3줄)</t>
        </is>
      </c>
      <c r="B1" s="8" t="n"/>
      <c r="C1" s="8" t="n"/>
      <c r="D1" s="8" t="n"/>
      <c r="E1" s="8" t="n"/>
      <c r="F1" s="4" t="n"/>
      <c r="G1" s="28" t="inlineStr">
        <is>
          <t>고객사 전달일 기준 (자동)</t>
        </is>
      </c>
      <c r="H1" s="8" t="n"/>
      <c r="I1" s="8" t="n"/>
      <c r="J1" s="8" t="n"/>
      <c r="K1" s="4" t="n"/>
      <c r="L1" s="29" t="inlineStr">
        <is>
          <t>직군별 집계 (자동)</t>
        </is>
      </c>
      <c r="M1" s="8" t="n"/>
      <c r="N1" s="4" t="n"/>
      <c r="O1" s="30" t="inlineStr">
        <is>
          <t>수량 (소재당 1번)</t>
        </is>
      </c>
      <c r="P1" s="8" t="n"/>
      <c r="Q1" s="4" t="n"/>
      <c r="R1" s="31" t="inlineStr">
        <is>
          <t>관리</t>
        </is>
      </c>
      <c r="S1" s="4" t="n"/>
      <c r="U1" s="32" t="inlineStr">
        <is>
          <t>7월 간트 - 날짜 칸에 실제 MD 직접 입력   |   상단 4줄 = 일자별 직군 TO 상태</t>
        </is>
      </c>
      <c r="V1" s="8" t="n"/>
      <c r="W1" s="8" t="n"/>
      <c r="X1" s="8" t="n"/>
      <c r="Y1" s="8" t="n"/>
      <c r="Z1" s="8" t="n"/>
      <c r="AA1" s="8" t="n"/>
      <c r="AB1" s="8" t="n"/>
      <c r="AC1" s="8" t="n"/>
      <c r="AD1" s="8" t="n"/>
      <c r="AE1" s="8" t="n"/>
      <c r="AF1" s="8" t="n"/>
      <c r="AG1" s="8" t="n"/>
      <c r="AH1" s="8" t="n"/>
      <c r="AI1" s="8" t="n"/>
      <c r="AJ1" s="8" t="n"/>
      <c r="AK1" s="8" t="n"/>
      <c r="AL1" s="8" t="n"/>
      <c r="AM1" s="8" t="n"/>
      <c r="AN1" s="8" t="n"/>
      <c r="AO1" s="8" t="n"/>
      <c r="AP1" s="8" t="n"/>
      <c r="AQ1" s="8" t="n"/>
      <c r="AR1" s="8" t="n"/>
      <c r="AS1" s="8" t="n"/>
      <c r="AT1" s="8" t="n"/>
      <c r="AU1" s="8" t="n"/>
      <c r="AV1" s="8" t="n"/>
      <c r="AW1" s="8" t="n"/>
      <c r="AX1" s="8" t="n"/>
      <c r="AY1" s="4" t="n"/>
    </row>
    <row r="2" ht="30" customHeight="1">
      <c r="A2" s="17" t="inlineStr">
        <is>
          <t>No</t>
        </is>
      </c>
      <c r="B2" s="17" t="inlineStr">
        <is>
          <t>게임 타이틀</t>
        </is>
      </c>
      <c r="C2" s="17" t="inlineStr">
        <is>
          <t>고객팀</t>
        </is>
      </c>
      <c r="D2" s="17" t="inlineStr">
        <is>
          <t>소재명(업무명)</t>
        </is>
      </c>
      <c r="E2" s="17" t="inlineStr">
        <is>
          <t>직군</t>
        </is>
      </c>
      <c r="F2" s="17" t="inlineStr">
        <is>
          <t>담당자</t>
        </is>
      </c>
      <c r="G2" s="17" t="inlineStr">
        <is>
          <t>고객사
전달일</t>
        </is>
      </c>
      <c r="H2" s="17" t="inlineStr">
        <is>
          <t>신호</t>
        </is>
      </c>
      <c r="I2" s="17" t="inlineStr">
        <is>
          <t>전달일
여유</t>
        </is>
      </c>
      <c r="J2" s="17" t="inlineStr">
        <is>
          <t>소재
총MD</t>
        </is>
      </c>
      <c r="K2" s="17" t="inlineStr">
        <is>
          <t>소재
최종완료</t>
        </is>
      </c>
      <c r="L2" s="17" t="inlineStr">
        <is>
          <t>직군
MD</t>
        </is>
      </c>
      <c r="M2" s="17" t="inlineStr">
        <is>
          <t>직군
시작일</t>
        </is>
      </c>
      <c r="N2" s="17" t="inlineStr">
        <is>
          <t>직군
완료일</t>
        </is>
      </c>
      <c r="O2" s="17" t="inlineStr">
        <is>
          <t>영상
수</t>
        </is>
      </c>
      <c r="P2" s="17" t="inlineStr">
        <is>
          <t>사이즈
베리</t>
        </is>
      </c>
      <c r="Q2" s="17" t="inlineStr">
        <is>
          <t>다국어
베리</t>
        </is>
      </c>
      <c r="R2" s="17" t="inlineStr">
        <is>
          <t>상태</t>
        </is>
      </c>
      <c r="S2" s="17" t="inlineStr">
        <is>
          <t>비고</t>
        </is>
      </c>
      <c r="U2" s="33">
        <f>IF(MONTH(DATE('마스터'!$J$3,7,1)+0)=7,DATE('마스터'!$J$3,7,1)+0,"")</f>
        <v/>
      </c>
      <c r="V2" s="33">
        <f>IF(MONTH(DATE('마스터'!$J$3,7,1)+1)=7,DATE('마스터'!$J$3,7,1)+1,"")</f>
        <v/>
      </c>
      <c r="W2" s="33">
        <f>IF(MONTH(DATE('마스터'!$J$3,7,1)+2)=7,DATE('마스터'!$J$3,7,1)+2,"")</f>
        <v/>
      </c>
      <c r="X2" s="33">
        <f>IF(MONTH(DATE('마스터'!$J$3,7,1)+3)=7,DATE('마스터'!$J$3,7,1)+3,"")</f>
        <v/>
      </c>
      <c r="Y2" s="33">
        <f>IF(MONTH(DATE('마스터'!$J$3,7,1)+4)=7,DATE('마스터'!$J$3,7,1)+4,"")</f>
        <v/>
      </c>
      <c r="Z2" s="33">
        <f>IF(MONTH(DATE('마스터'!$J$3,7,1)+5)=7,DATE('마스터'!$J$3,7,1)+5,"")</f>
        <v/>
      </c>
      <c r="AA2" s="33">
        <f>IF(MONTH(DATE('마스터'!$J$3,7,1)+6)=7,DATE('마스터'!$J$3,7,1)+6,"")</f>
        <v/>
      </c>
      <c r="AB2" s="33">
        <f>IF(MONTH(DATE('마스터'!$J$3,7,1)+7)=7,DATE('마스터'!$J$3,7,1)+7,"")</f>
        <v/>
      </c>
      <c r="AC2" s="33">
        <f>IF(MONTH(DATE('마스터'!$J$3,7,1)+8)=7,DATE('마스터'!$J$3,7,1)+8,"")</f>
        <v/>
      </c>
      <c r="AD2" s="33">
        <f>IF(MONTH(DATE('마스터'!$J$3,7,1)+9)=7,DATE('마스터'!$J$3,7,1)+9,"")</f>
        <v/>
      </c>
      <c r="AE2" s="33">
        <f>IF(MONTH(DATE('마스터'!$J$3,7,1)+10)=7,DATE('마스터'!$J$3,7,1)+10,"")</f>
        <v/>
      </c>
      <c r="AF2" s="33">
        <f>IF(MONTH(DATE('마스터'!$J$3,7,1)+11)=7,DATE('마스터'!$J$3,7,1)+11,"")</f>
        <v/>
      </c>
      <c r="AG2" s="33">
        <f>IF(MONTH(DATE('마스터'!$J$3,7,1)+12)=7,DATE('마스터'!$J$3,7,1)+12,"")</f>
        <v/>
      </c>
      <c r="AH2" s="33">
        <f>IF(MONTH(DATE('마스터'!$J$3,7,1)+13)=7,DATE('마스터'!$J$3,7,1)+13,"")</f>
        <v/>
      </c>
      <c r="AI2" s="33">
        <f>IF(MONTH(DATE('마스터'!$J$3,7,1)+14)=7,DATE('마스터'!$J$3,7,1)+14,"")</f>
        <v/>
      </c>
      <c r="AJ2" s="33">
        <f>IF(MONTH(DATE('마스터'!$J$3,7,1)+15)=7,DATE('마스터'!$J$3,7,1)+15,"")</f>
        <v/>
      </c>
      <c r="AK2" s="33">
        <f>IF(MONTH(DATE('마스터'!$J$3,7,1)+16)=7,DATE('마스터'!$J$3,7,1)+16,"")</f>
        <v/>
      </c>
      <c r="AL2" s="33">
        <f>IF(MONTH(DATE('마스터'!$J$3,7,1)+17)=7,DATE('마스터'!$J$3,7,1)+17,"")</f>
        <v/>
      </c>
      <c r="AM2" s="33">
        <f>IF(MONTH(DATE('마스터'!$J$3,7,1)+18)=7,DATE('마스터'!$J$3,7,1)+18,"")</f>
        <v/>
      </c>
      <c r="AN2" s="33">
        <f>IF(MONTH(DATE('마스터'!$J$3,7,1)+19)=7,DATE('마스터'!$J$3,7,1)+19,"")</f>
        <v/>
      </c>
      <c r="AO2" s="33">
        <f>IF(MONTH(DATE('마스터'!$J$3,7,1)+20)=7,DATE('마스터'!$J$3,7,1)+20,"")</f>
        <v/>
      </c>
      <c r="AP2" s="33">
        <f>IF(MONTH(DATE('마스터'!$J$3,7,1)+21)=7,DATE('마스터'!$J$3,7,1)+21,"")</f>
        <v/>
      </c>
      <c r="AQ2" s="33">
        <f>IF(MONTH(DATE('마스터'!$J$3,7,1)+22)=7,DATE('마스터'!$J$3,7,1)+22,"")</f>
        <v/>
      </c>
      <c r="AR2" s="33">
        <f>IF(MONTH(DATE('마스터'!$J$3,7,1)+23)=7,DATE('마스터'!$J$3,7,1)+23,"")</f>
        <v/>
      </c>
      <c r="AS2" s="33">
        <f>IF(MONTH(DATE('마스터'!$J$3,7,1)+24)=7,DATE('마스터'!$J$3,7,1)+24,"")</f>
        <v/>
      </c>
      <c r="AT2" s="33">
        <f>IF(MONTH(DATE('마스터'!$J$3,7,1)+25)=7,DATE('마스터'!$J$3,7,1)+25,"")</f>
        <v/>
      </c>
      <c r="AU2" s="33">
        <f>IF(MONTH(DATE('마스터'!$J$3,7,1)+26)=7,DATE('마스터'!$J$3,7,1)+26,"")</f>
        <v/>
      </c>
      <c r="AV2" s="33">
        <f>IF(MONTH(DATE('마스터'!$J$3,7,1)+27)=7,DATE('마스터'!$J$3,7,1)+27,"")</f>
        <v/>
      </c>
      <c r="AW2" s="33">
        <f>IF(MONTH(DATE('마스터'!$J$3,7,1)+28)=7,DATE('마스터'!$J$3,7,1)+28,"")</f>
        <v/>
      </c>
      <c r="AX2" s="33">
        <f>IF(MONTH(DATE('마스터'!$J$3,7,1)+29)=7,DATE('마스터'!$J$3,7,1)+29,"")</f>
        <v/>
      </c>
      <c r="AY2" s="33">
        <f>IF(MONTH(DATE('마스터'!$J$3,7,1)+30)=7,DATE('마스터'!$J$3,7,1)+30,"")</f>
        <v/>
      </c>
    </row>
    <row r="3" ht="15" customHeight="1">
      <c r="A3" s="5" t="inlineStr">
        <is>
          <t>전체 TO (일자별 부하)</t>
        </is>
      </c>
      <c r="B3" s="8" t="n"/>
      <c r="C3" s="8" t="n"/>
      <c r="D3" s="8" t="n"/>
      <c r="E3" s="8" t="n"/>
      <c r="F3" s="4" t="n"/>
      <c r="G3" s="34" t="inlineStr">
        <is>
          <t>정원</t>
        </is>
      </c>
      <c r="H3" s="35">
        <f>SUM('마스터'!$J$8:$J$10)</f>
        <v/>
      </c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U3" s="37">
        <f>SUM(U$9:U$312)</f>
        <v/>
      </c>
      <c r="V3" s="37">
        <f>SUM(V$9:V$312)</f>
        <v/>
      </c>
      <c r="W3" s="37">
        <f>SUM(W$9:W$312)</f>
        <v/>
      </c>
      <c r="X3" s="37">
        <f>SUM(X$9:X$312)</f>
        <v/>
      </c>
      <c r="Y3" s="37">
        <f>SUM(Y$9:Y$312)</f>
        <v/>
      </c>
      <c r="Z3" s="37">
        <f>SUM(Z$9:Z$312)</f>
        <v/>
      </c>
      <c r="AA3" s="37">
        <f>SUM(AA$9:AA$312)</f>
        <v/>
      </c>
      <c r="AB3" s="37">
        <f>SUM(AB$9:AB$312)</f>
        <v/>
      </c>
      <c r="AC3" s="37">
        <f>SUM(AC$9:AC$312)</f>
        <v/>
      </c>
      <c r="AD3" s="37">
        <f>SUM(AD$9:AD$312)</f>
        <v/>
      </c>
      <c r="AE3" s="37">
        <f>SUM(AE$9:AE$312)</f>
        <v/>
      </c>
      <c r="AF3" s="37">
        <f>SUM(AF$9:AF$312)</f>
        <v/>
      </c>
      <c r="AG3" s="37">
        <f>SUM(AG$9:AG$312)</f>
        <v/>
      </c>
      <c r="AH3" s="37">
        <f>SUM(AH$9:AH$312)</f>
        <v/>
      </c>
      <c r="AI3" s="37">
        <f>SUM(AI$9:AI$312)</f>
        <v/>
      </c>
      <c r="AJ3" s="37">
        <f>SUM(AJ$9:AJ$312)</f>
        <v/>
      </c>
      <c r="AK3" s="37">
        <f>SUM(AK$9:AK$312)</f>
        <v/>
      </c>
      <c r="AL3" s="37">
        <f>SUM(AL$9:AL$312)</f>
        <v/>
      </c>
      <c r="AM3" s="37">
        <f>SUM(AM$9:AM$312)</f>
        <v/>
      </c>
      <c r="AN3" s="37">
        <f>SUM(AN$9:AN$312)</f>
        <v/>
      </c>
      <c r="AO3" s="37">
        <f>SUM(AO$9:AO$312)</f>
        <v/>
      </c>
      <c r="AP3" s="37">
        <f>SUM(AP$9:AP$312)</f>
        <v/>
      </c>
      <c r="AQ3" s="37">
        <f>SUM(AQ$9:AQ$312)</f>
        <v/>
      </c>
      <c r="AR3" s="37">
        <f>SUM(AR$9:AR$312)</f>
        <v/>
      </c>
      <c r="AS3" s="37">
        <f>SUM(AS$9:AS$312)</f>
        <v/>
      </c>
      <c r="AT3" s="37">
        <f>SUM(AT$9:AT$312)</f>
        <v/>
      </c>
      <c r="AU3" s="37">
        <f>SUM(AU$9:AU$312)</f>
        <v/>
      </c>
      <c r="AV3" s="37">
        <f>SUM(AV$9:AV$312)</f>
        <v/>
      </c>
      <c r="AW3" s="37">
        <f>SUM(AW$9:AW$312)</f>
        <v/>
      </c>
      <c r="AX3" s="37">
        <f>SUM(AX$9:AX$312)</f>
        <v/>
      </c>
      <c r="AY3" s="37">
        <f>SUM(AY$9:AY$312)</f>
        <v/>
      </c>
    </row>
    <row r="4" ht="15" customHeight="1">
      <c r="A4" s="5" t="inlineStr">
        <is>
          <t>영상 TO</t>
        </is>
      </c>
      <c r="B4" s="8" t="n"/>
      <c r="C4" s="8" t="n"/>
      <c r="D4" s="8" t="n"/>
      <c r="E4" s="8" t="n"/>
      <c r="F4" s="4" t="n"/>
      <c r="G4" s="34" t="inlineStr">
        <is>
          <t>정원</t>
        </is>
      </c>
      <c r="H4" s="35">
        <f>'마스터'!$J$8</f>
        <v/>
      </c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U4" s="37">
        <f>SUMIF($E$9:$E$312,"영상",U$9:U$312)</f>
        <v/>
      </c>
      <c r="V4" s="37">
        <f>SUMIF($E$9:$E$312,"영상",V$9:V$312)</f>
        <v/>
      </c>
      <c r="W4" s="37">
        <f>SUMIF($E$9:$E$312,"영상",W$9:W$312)</f>
        <v/>
      </c>
      <c r="X4" s="37">
        <f>SUMIF($E$9:$E$312,"영상",X$9:X$312)</f>
        <v/>
      </c>
      <c r="Y4" s="37">
        <f>SUMIF($E$9:$E$312,"영상",Y$9:Y$312)</f>
        <v/>
      </c>
      <c r="Z4" s="37">
        <f>SUMIF($E$9:$E$312,"영상",Z$9:Z$312)</f>
        <v/>
      </c>
      <c r="AA4" s="37">
        <f>SUMIF($E$9:$E$312,"영상",AA$9:AA$312)</f>
        <v/>
      </c>
      <c r="AB4" s="37">
        <f>SUMIF($E$9:$E$312,"영상",AB$9:AB$312)</f>
        <v/>
      </c>
      <c r="AC4" s="37">
        <f>SUMIF($E$9:$E$312,"영상",AC$9:AC$312)</f>
        <v/>
      </c>
      <c r="AD4" s="37">
        <f>SUMIF($E$9:$E$312,"영상",AD$9:AD$312)</f>
        <v/>
      </c>
      <c r="AE4" s="37">
        <f>SUMIF($E$9:$E$312,"영상",AE$9:AE$312)</f>
        <v/>
      </c>
      <c r="AF4" s="37">
        <f>SUMIF($E$9:$E$312,"영상",AF$9:AF$312)</f>
        <v/>
      </c>
      <c r="AG4" s="37">
        <f>SUMIF($E$9:$E$312,"영상",AG$9:AG$312)</f>
        <v/>
      </c>
      <c r="AH4" s="37">
        <f>SUMIF($E$9:$E$312,"영상",AH$9:AH$312)</f>
        <v/>
      </c>
      <c r="AI4" s="37">
        <f>SUMIF($E$9:$E$312,"영상",AI$9:AI$312)</f>
        <v/>
      </c>
      <c r="AJ4" s="37">
        <f>SUMIF($E$9:$E$312,"영상",AJ$9:AJ$312)</f>
        <v/>
      </c>
      <c r="AK4" s="37">
        <f>SUMIF($E$9:$E$312,"영상",AK$9:AK$312)</f>
        <v/>
      </c>
      <c r="AL4" s="37">
        <f>SUMIF($E$9:$E$312,"영상",AL$9:AL$312)</f>
        <v/>
      </c>
      <c r="AM4" s="37">
        <f>SUMIF($E$9:$E$312,"영상",AM$9:AM$312)</f>
        <v/>
      </c>
      <c r="AN4" s="37">
        <f>SUMIF($E$9:$E$312,"영상",AN$9:AN$312)</f>
        <v/>
      </c>
      <c r="AO4" s="37">
        <f>SUMIF($E$9:$E$312,"영상",AO$9:AO$312)</f>
        <v/>
      </c>
      <c r="AP4" s="37">
        <f>SUMIF($E$9:$E$312,"영상",AP$9:AP$312)</f>
        <v/>
      </c>
      <c r="AQ4" s="37">
        <f>SUMIF($E$9:$E$312,"영상",AQ$9:AQ$312)</f>
        <v/>
      </c>
      <c r="AR4" s="37">
        <f>SUMIF($E$9:$E$312,"영상",AR$9:AR$312)</f>
        <v/>
      </c>
      <c r="AS4" s="37">
        <f>SUMIF($E$9:$E$312,"영상",AS$9:AS$312)</f>
        <v/>
      </c>
      <c r="AT4" s="37">
        <f>SUMIF($E$9:$E$312,"영상",AT$9:AT$312)</f>
        <v/>
      </c>
      <c r="AU4" s="37">
        <f>SUMIF($E$9:$E$312,"영상",AU$9:AU$312)</f>
        <v/>
      </c>
      <c r="AV4" s="37">
        <f>SUMIF($E$9:$E$312,"영상",AV$9:AV$312)</f>
        <v/>
      </c>
      <c r="AW4" s="37">
        <f>SUMIF($E$9:$E$312,"영상",AW$9:AW$312)</f>
        <v/>
      </c>
      <c r="AX4" s="37">
        <f>SUMIF($E$9:$E$312,"영상",AX$9:AX$312)</f>
        <v/>
      </c>
      <c r="AY4" s="37">
        <f>SUMIF($E$9:$E$312,"영상",AY$9:AY$312)</f>
        <v/>
      </c>
    </row>
    <row r="5" ht="15" customHeight="1">
      <c r="A5" s="5" t="inlineStr">
        <is>
          <t>이미지 TO</t>
        </is>
      </c>
      <c r="B5" s="8" t="n"/>
      <c r="C5" s="8" t="n"/>
      <c r="D5" s="8" t="n"/>
      <c r="E5" s="8" t="n"/>
      <c r="F5" s="4" t="n"/>
      <c r="G5" s="34" t="inlineStr">
        <is>
          <t>정원</t>
        </is>
      </c>
      <c r="H5" s="35">
        <f>'마스터'!$J$9</f>
        <v/>
      </c>
      <c r="I5" s="36" t="n"/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  <c r="S5" s="36" t="n"/>
      <c r="U5" s="37">
        <f>SUMIF($E$9:$E$312,"이미지",U$9:U$312)</f>
        <v/>
      </c>
      <c r="V5" s="37">
        <f>SUMIF($E$9:$E$312,"이미지",V$9:V$312)</f>
        <v/>
      </c>
      <c r="W5" s="37">
        <f>SUMIF($E$9:$E$312,"이미지",W$9:W$312)</f>
        <v/>
      </c>
      <c r="X5" s="37">
        <f>SUMIF($E$9:$E$312,"이미지",X$9:X$312)</f>
        <v/>
      </c>
      <c r="Y5" s="37">
        <f>SUMIF($E$9:$E$312,"이미지",Y$9:Y$312)</f>
        <v/>
      </c>
      <c r="Z5" s="37">
        <f>SUMIF($E$9:$E$312,"이미지",Z$9:Z$312)</f>
        <v/>
      </c>
      <c r="AA5" s="37">
        <f>SUMIF($E$9:$E$312,"이미지",AA$9:AA$312)</f>
        <v/>
      </c>
      <c r="AB5" s="37">
        <f>SUMIF($E$9:$E$312,"이미지",AB$9:AB$312)</f>
        <v/>
      </c>
      <c r="AC5" s="37">
        <f>SUMIF($E$9:$E$312,"이미지",AC$9:AC$312)</f>
        <v/>
      </c>
      <c r="AD5" s="37">
        <f>SUMIF($E$9:$E$312,"이미지",AD$9:AD$312)</f>
        <v/>
      </c>
      <c r="AE5" s="37">
        <f>SUMIF($E$9:$E$312,"이미지",AE$9:AE$312)</f>
        <v/>
      </c>
      <c r="AF5" s="37">
        <f>SUMIF($E$9:$E$312,"이미지",AF$9:AF$312)</f>
        <v/>
      </c>
      <c r="AG5" s="37">
        <f>SUMIF($E$9:$E$312,"이미지",AG$9:AG$312)</f>
        <v/>
      </c>
      <c r="AH5" s="37">
        <f>SUMIF($E$9:$E$312,"이미지",AH$9:AH$312)</f>
        <v/>
      </c>
      <c r="AI5" s="37">
        <f>SUMIF($E$9:$E$312,"이미지",AI$9:AI$312)</f>
        <v/>
      </c>
      <c r="AJ5" s="37">
        <f>SUMIF($E$9:$E$312,"이미지",AJ$9:AJ$312)</f>
        <v/>
      </c>
      <c r="AK5" s="37">
        <f>SUMIF($E$9:$E$312,"이미지",AK$9:AK$312)</f>
        <v/>
      </c>
      <c r="AL5" s="37">
        <f>SUMIF($E$9:$E$312,"이미지",AL$9:AL$312)</f>
        <v/>
      </c>
      <c r="AM5" s="37">
        <f>SUMIF($E$9:$E$312,"이미지",AM$9:AM$312)</f>
        <v/>
      </c>
      <c r="AN5" s="37">
        <f>SUMIF($E$9:$E$312,"이미지",AN$9:AN$312)</f>
        <v/>
      </c>
      <c r="AO5" s="37">
        <f>SUMIF($E$9:$E$312,"이미지",AO$9:AO$312)</f>
        <v/>
      </c>
      <c r="AP5" s="37">
        <f>SUMIF($E$9:$E$312,"이미지",AP$9:AP$312)</f>
        <v/>
      </c>
      <c r="AQ5" s="37">
        <f>SUMIF($E$9:$E$312,"이미지",AQ$9:AQ$312)</f>
        <v/>
      </c>
      <c r="AR5" s="37">
        <f>SUMIF($E$9:$E$312,"이미지",AR$9:AR$312)</f>
        <v/>
      </c>
      <c r="AS5" s="37">
        <f>SUMIF($E$9:$E$312,"이미지",AS$9:AS$312)</f>
        <v/>
      </c>
      <c r="AT5" s="37">
        <f>SUMIF($E$9:$E$312,"이미지",AT$9:AT$312)</f>
        <v/>
      </c>
      <c r="AU5" s="37">
        <f>SUMIF($E$9:$E$312,"이미지",AU$9:AU$312)</f>
        <v/>
      </c>
      <c r="AV5" s="37">
        <f>SUMIF($E$9:$E$312,"이미지",AV$9:AV$312)</f>
        <v/>
      </c>
      <c r="AW5" s="37">
        <f>SUMIF($E$9:$E$312,"이미지",AW$9:AW$312)</f>
        <v/>
      </c>
      <c r="AX5" s="37">
        <f>SUMIF($E$9:$E$312,"이미지",AX$9:AX$312)</f>
        <v/>
      </c>
      <c r="AY5" s="37">
        <f>SUMIF($E$9:$E$312,"이미지",AY$9:AY$312)</f>
        <v/>
      </c>
    </row>
    <row r="6" ht="15" customHeight="1">
      <c r="A6" s="5" t="inlineStr">
        <is>
          <t>기획 TO</t>
        </is>
      </c>
      <c r="B6" s="8" t="n"/>
      <c r="C6" s="8" t="n"/>
      <c r="D6" s="8" t="n"/>
      <c r="E6" s="8" t="n"/>
      <c r="F6" s="4" t="n"/>
      <c r="G6" s="34" t="inlineStr">
        <is>
          <t>정원</t>
        </is>
      </c>
      <c r="H6" s="35">
        <f>'마스터'!$J$10</f>
        <v/>
      </c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6" t="n"/>
      <c r="S6" s="36" t="n"/>
      <c r="U6" s="37">
        <f>SUMIF($E$9:$E$312,"기획",U$9:U$312)</f>
        <v/>
      </c>
      <c r="V6" s="37">
        <f>SUMIF($E$9:$E$312,"기획",V$9:V$312)</f>
        <v/>
      </c>
      <c r="W6" s="37">
        <f>SUMIF($E$9:$E$312,"기획",W$9:W$312)</f>
        <v/>
      </c>
      <c r="X6" s="37">
        <f>SUMIF($E$9:$E$312,"기획",X$9:X$312)</f>
        <v/>
      </c>
      <c r="Y6" s="37">
        <f>SUMIF($E$9:$E$312,"기획",Y$9:Y$312)</f>
        <v/>
      </c>
      <c r="Z6" s="37">
        <f>SUMIF($E$9:$E$312,"기획",Z$9:Z$312)</f>
        <v/>
      </c>
      <c r="AA6" s="37">
        <f>SUMIF($E$9:$E$312,"기획",AA$9:AA$312)</f>
        <v/>
      </c>
      <c r="AB6" s="37">
        <f>SUMIF($E$9:$E$312,"기획",AB$9:AB$312)</f>
        <v/>
      </c>
      <c r="AC6" s="37">
        <f>SUMIF($E$9:$E$312,"기획",AC$9:AC$312)</f>
        <v/>
      </c>
      <c r="AD6" s="37">
        <f>SUMIF($E$9:$E$312,"기획",AD$9:AD$312)</f>
        <v/>
      </c>
      <c r="AE6" s="37">
        <f>SUMIF($E$9:$E$312,"기획",AE$9:AE$312)</f>
        <v/>
      </c>
      <c r="AF6" s="37">
        <f>SUMIF($E$9:$E$312,"기획",AF$9:AF$312)</f>
        <v/>
      </c>
      <c r="AG6" s="37">
        <f>SUMIF($E$9:$E$312,"기획",AG$9:AG$312)</f>
        <v/>
      </c>
      <c r="AH6" s="37">
        <f>SUMIF($E$9:$E$312,"기획",AH$9:AH$312)</f>
        <v/>
      </c>
      <c r="AI6" s="37">
        <f>SUMIF($E$9:$E$312,"기획",AI$9:AI$312)</f>
        <v/>
      </c>
      <c r="AJ6" s="37">
        <f>SUMIF($E$9:$E$312,"기획",AJ$9:AJ$312)</f>
        <v/>
      </c>
      <c r="AK6" s="37">
        <f>SUMIF($E$9:$E$312,"기획",AK$9:AK$312)</f>
        <v/>
      </c>
      <c r="AL6" s="37">
        <f>SUMIF($E$9:$E$312,"기획",AL$9:AL$312)</f>
        <v/>
      </c>
      <c r="AM6" s="37">
        <f>SUMIF($E$9:$E$312,"기획",AM$9:AM$312)</f>
        <v/>
      </c>
      <c r="AN6" s="37">
        <f>SUMIF($E$9:$E$312,"기획",AN$9:AN$312)</f>
        <v/>
      </c>
      <c r="AO6" s="37">
        <f>SUMIF($E$9:$E$312,"기획",AO$9:AO$312)</f>
        <v/>
      </c>
      <c r="AP6" s="37">
        <f>SUMIF($E$9:$E$312,"기획",AP$9:AP$312)</f>
        <v/>
      </c>
      <c r="AQ6" s="37">
        <f>SUMIF($E$9:$E$312,"기획",AQ$9:AQ$312)</f>
        <v/>
      </c>
      <c r="AR6" s="37">
        <f>SUMIF($E$9:$E$312,"기획",AR$9:AR$312)</f>
        <v/>
      </c>
      <c r="AS6" s="37">
        <f>SUMIF($E$9:$E$312,"기획",AS$9:AS$312)</f>
        <v/>
      </c>
      <c r="AT6" s="37">
        <f>SUMIF($E$9:$E$312,"기획",AT$9:AT$312)</f>
        <v/>
      </c>
      <c r="AU6" s="37">
        <f>SUMIF($E$9:$E$312,"기획",AU$9:AU$312)</f>
        <v/>
      </c>
      <c r="AV6" s="37">
        <f>SUMIF($E$9:$E$312,"기획",AV$9:AV$312)</f>
        <v/>
      </c>
      <c r="AW6" s="37">
        <f>SUMIF($E$9:$E$312,"기획",AW$9:AW$312)</f>
        <v/>
      </c>
      <c r="AX6" s="37">
        <f>SUMIF($E$9:$E$312,"기획",AX$9:AX$312)</f>
        <v/>
      </c>
      <c r="AY6" s="37">
        <f>SUMIF($E$9:$E$312,"기획",AY$9:AY$312)</f>
        <v/>
      </c>
    </row>
    <row r="7">
      <c r="A7" s="38" t="inlineStr">
        <is>
          <t>▼ 아래부터 입력. 노란칸=직접 입력 / 회색칸=자동(건드리지 마세요)</t>
        </is>
      </c>
    </row>
    <row r="8" ht="18" customHeight="1">
      <c r="A8" s="39" t="inlineStr">
        <is>
          <t>마케팅1팀   (9~68행 · 소재 20개)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4" t="n"/>
    </row>
    <row r="9" ht="15" customHeight="1">
      <c r="A9" s="40">
        <f>IF($D$9="","",1)</f>
        <v/>
      </c>
      <c r="B9" s="10" t="n"/>
      <c r="C9" s="41" t="inlineStr">
        <is>
          <t>마케팅1팀</t>
        </is>
      </c>
      <c r="D9" s="42" t="n"/>
      <c r="E9" s="43" t="inlineStr">
        <is>
          <t>기획</t>
        </is>
      </c>
      <c r="F9" s="44" t="n"/>
      <c r="G9" s="45" t="n"/>
      <c r="H9" s="46">
        <f>IF($I$9="","",IF($I$9&lt;0,"🔴지연",IF($I$9&lt;=1,"🟡임박","🟢여유")))</f>
        <v/>
      </c>
      <c r="I9" s="47">
        <f>IF(OR($G$9="",$K$9=""),"",$G$9-$K$9)</f>
        <v/>
      </c>
      <c r="J9" s="48">
        <f>IF(SUM($L$9:$L$11)=0,"",SUM($L$9:$L$11))</f>
        <v/>
      </c>
      <c r="K9" s="49">
        <f>IF($J$9="","",MAX($N$9:$N$11))</f>
        <v/>
      </c>
      <c r="L9" s="50">
        <f>IF(SUM(U9:AY9)=0,"",SUM(U9:AY9))</f>
        <v/>
      </c>
      <c r="M9" s="51">
        <f>IFERROR(INDEX(U$2:AY$2,MATCH(TRUE,INDEX(U9:AY9&lt;&gt;"",0),0)),"")</f>
        <v/>
      </c>
      <c r="N9" s="51">
        <f>IFERROR(LOOKUP(2,1/(U9:AY9&lt;&gt;""),U$2:AY$2),"")</f>
        <v/>
      </c>
      <c r="O9" s="52" t="n"/>
      <c r="P9" s="52" t="n"/>
      <c r="Q9" s="52" t="n"/>
      <c r="R9" s="44" t="n"/>
      <c r="S9" s="14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</row>
    <row r="10" ht="15" customHeight="1">
      <c r="A10" s="54" t="n"/>
      <c r="B10" s="55">
        <f>IF($B$9="","",$B$9)</f>
        <v/>
      </c>
      <c r="C10" s="56" t="inlineStr">
        <is>
          <t>마케팅1팀</t>
        </is>
      </c>
      <c r="D10" s="55">
        <f>IF($D$9="","",$D$9)</f>
        <v/>
      </c>
      <c r="E10" s="57" t="inlineStr">
        <is>
          <t>이미지</t>
        </is>
      </c>
      <c r="F10" s="44" t="n"/>
      <c r="G10" s="58">
        <f>IF($G$9="","",$G$9)</f>
        <v/>
      </c>
      <c r="H10" s="59" t="n"/>
      <c r="I10" s="59" t="n"/>
      <c r="J10" s="59" t="n"/>
      <c r="K10" s="59" t="n"/>
      <c r="L10" s="60">
        <f>IF(SUM(U10:AY10)=0,"",SUM(U10:AY10))</f>
        <v/>
      </c>
      <c r="M10" s="61">
        <f>IFERROR(INDEX(U$2:AY$2,MATCH(TRUE,INDEX(U10:AY10&lt;&gt;"",0),0)),"")</f>
        <v/>
      </c>
      <c r="N10" s="61">
        <f>IFERROR(LOOKUP(2,1/(U10:AY10&lt;&gt;""),U$2:AY$2),"")</f>
        <v/>
      </c>
      <c r="O10" s="59" t="n"/>
      <c r="P10" s="59" t="n"/>
      <c r="Q10" s="59" t="n"/>
      <c r="R10" s="59" t="n"/>
      <c r="S10" s="14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</row>
    <row r="11" ht="15" customHeight="1">
      <c r="A11" s="62" t="n"/>
      <c r="B11" s="55">
        <f>IF($B$9="","",$B$9)</f>
        <v/>
      </c>
      <c r="C11" s="63" t="inlineStr">
        <is>
          <t>마케팅1팀</t>
        </is>
      </c>
      <c r="D11" s="55">
        <f>IF($D$9="","",$D$9)</f>
        <v/>
      </c>
      <c r="E11" s="64" t="inlineStr">
        <is>
          <t>영상</t>
        </is>
      </c>
      <c r="F11" s="44" t="n"/>
      <c r="G11" s="58">
        <f>IF($G$9="","",$G$9)</f>
        <v/>
      </c>
      <c r="H11" s="59" t="n"/>
      <c r="I11" s="59" t="n"/>
      <c r="J11" s="59" t="n"/>
      <c r="K11" s="59" t="n"/>
      <c r="L11" s="65">
        <f>IF(SUM(U11:AY11)=0,"",SUM(U11:AY11))</f>
        <v/>
      </c>
      <c r="M11" s="66">
        <f>IFERROR(INDEX(U$2:AY$2,MATCH(TRUE,INDEX(U11:AY11&lt;&gt;"",0),0)),"")</f>
        <v/>
      </c>
      <c r="N11" s="66">
        <f>IFERROR(LOOKUP(2,1/(U11:AY11&lt;&gt;""),U$2:AY$2),"")</f>
        <v/>
      </c>
      <c r="O11" s="59" t="n"/>
      <c r="P11" s="59" t="n"/>
      <c r="Q11" s="59" t="n"/>
      <c r="R11" s="59" t="n"/>
      <c r="S11" s="14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</row>
    <row r="12" ht="15" customHeight="1">
      <c r="A12" s="40">
        <f>IF($D$12="","",2)</f>
        <v/>
      </c>
      <c r="B12" s="10" t="n"/>
      <c r="C12" s="41" t="inlineStr">
        <is>
          <t>마케팅1팀</t>
        </is>
      </c>
      <c r="D12" s="42" t="n"/>
      <c r="E12" s="43" t="inlineStr">
        <is>
          <t>기획</t>
        </is>
      </c>
      <c r="F12" s="44" t="n"/>
      <c r="G12" s="45" t="n"/>
      <c r="H12" s="46">
        <f>IF($I$12="","",IF($I$12&lt;0,"🔴지연",IF($I$12&lt;=1,"🟡임박","🟢여유")))</f>
        <v/>
      </c>
      <c r="I12" s="47">
        <f>IF(OR($G$12="",$K$12=""),"",$G$12-$K$12)</f>
        <v/>
      </c>
      <c r="J12" s="48">
        <f>IF(SUM($L$12:$L$14)=0,"",SUM($L$12:$L$14))</f>
        <v/>
      </c>
      <c r="K12" s="49">
        <f>IF($J$12="","",MAX($N$12:$N$14))</f>
        <v/>
      </c>
      <c r="L12" s="50">
        <f>IF(SUM(U12:AY12)=0,"",SUM(U12:AY12))</f>
        <v/>
      </c>
      <c r="M12" s="51">
        <f>IFERROR(INDEX(U$2:AY$2,MATCH(TRUE,INDEX(U12:AY12&lt;&gt;"",0),0)),"")</f>
        <v/>
      </c>
      <c r="N12" s="51">
        <f>IFERROR(LOOKUP(2,1/(U12:AY12&lt;&gt;""),U$2:AY$2),"")</f>
        <v/>
      </c>
      <c r="O12" s="52" t="n"/>
      <c r="P12" s="52" t="n"/>
      <c r="Q12" s="52" t="n"/>
      <c r="R12" s="44" t="n"/>
      <c r="S12" s="14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</row>
    <row r="13" ht="15" customHeight="1">
      <c r="A13" s="54" t="n"/>
      <c r="B13" s="55">
        <f>IF($B$12="","",$B$12)</f>
        <v/>
      </c>
      <c r="C13" s="56" t="inlineStr">
        <is>
          <t>마케팅1팀</t>
        </is>
      </c>
      <c r="D13" s="55">
        <f>IF($D$12="","",$D$12)</f>
        <v/>
      </c>
      <c r="E13" s="57" t="inlineStr">
        <is>
          <t>이미지</t>
        </is>
      </c>
      <c r="F13" s="44" t="n"/>
      <c r="G13" s="58">
        <f>IF($G$12="","",$G$12)</f>
        <v/>
      </c>
      <c r="H13" s="59" t="n"/>
      <c r="I13" s="59" t="n"/>
      <c r="J13" s="59" t="n"/>
      <c r="K13" s="59" t="n"/>
      <c r="L13" s="60">
        <f>IF(SUM(U13:AY13)=0,"",SUM(U13:AY13))</f>
        <v/>
      </c>
      <c r="M13" s="61">
        <f>IFERROR(INDEX(U$2:AY$2,MATCH(TRUE,INDEX(U13:AY13&lt;&gt;"",0),0)),"")</f>
        <v/>
      </c>
      <c r="N13" s="61">
        <f>IFERROR(LOOKUP(2,1/(U13:AY13&lt;&gt;""),U$2:AY$2),"")</f>
        <v/>
      </c>
      <c r="O13" s="59" t="n"/>
      <c r="P13" s="59" t="n"/>
      <c r="Q13" s="59" t="n"/>
      <c r="R13" s="59" t="n"/>
      <c r="S13" s="14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</row>
    <row r="14" ht="15" customHeight="1">
      <c r="A14" s="62" t="n"/>
      <c r="B14" s="55">
        <f>IF($B$12="","",$B$12)</f>
        <v/>
      </c>
      <c r="C14" s="63" t="inlineStr">
        <is>
          <t>마케팅1팀</t>
        </is>
      </c>
      <c r="D14" s="55">
        <f>IF($D$12="","",$D$12)</f>
        <v/>
      </c>
      <c r="E14" s="64" t="inlineStr">
        <is>
          <t>영상</t>
        </is>
      </c>
      <c r="F14" s="44" t="n"/>
      <c r="G14" s="58">
        <f>IF($G$12="","",$G$12)</f>
        <v/>
      </c>
      <c r="H14" s="59" t="n"/>
      <c r="I14" s="59" t="n"/>
      <c r="J14" s="59" t="n"/>
      <c r="K14" s="59" t="n"/>
      <c r="L14" s="65">
        <f>IF(SUM(U14:AY14)=0,"",SUM(U14:AY14))</f>
        <v/>
      </c>
      <c r="M14" s="66">
        <f>IFERROR(INDEX(U$2:AY$2,MATCH(TRUE,INDEX(U14:AY14&lt;&gt;"",0),0)),"")</f>
        <v/>
      </c>
      <c r="N14" s="66">
        <f>IFERROR(LOOKUP(2,1/(U14:AY14&lt;&gt;""),U$2:AY$2),"")</f>
        <v/>
      </c>
      <c r="O14" s="59" t="n"/>
      <c r="P14" s="59" t="n"/>
      <c r="Q14" s="59" t="n"/>
      <c r="R14" s="59" t="n"/>
      <c r="S14" s="14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</row>
    <row r="15" ht="15" customHeight="1">
      <c r="A15" s="40">
        <f>IF($D$15="","",3)</f>
        <v/>
      </c>
      <c r="B15" s="10" t="n"/>
      <c r="C15" s="41" t="inlineStr">
        <is>
          <t>마케팅1팀</t>
        </is>
      </c>
      <c r="D15" s="42" t="n"/>
      <c r="E15" s="43" t="inlineStr">
        <is>
          <t>기획</t>
        </is>
      </c>
      <c r="F15" s="44" t="n"/>
      <c r="G15" s="45" t="n"/>
      <c r="H15" s="46">
        <f>IF($I$15="","",IF($I$15&lt;0,"🔴지연",IF($I$15&lt;=1,"🟡임박","🟢여유")))</f>
        <v/>
      </c>
      <c r="I15" s="47">
        <f>IF(OR($G$15="",$K$15=""),"",$G$15-$K$15)</f>
        <v/>
      </c>
      <c r="J15" s="48">
        <f>IF(SUM($L$15:$L$17)=0,"",SUM($L$15:$L$17))</f>
        <v/>
      </c>
      <c r="K15" s="49">
        <f>IF($J$15="","",MAX($N$15:$N$17))</f>
        <v/>
      </c>
      <c r="L15" s="50">
        <f>IF(SUM(U15:AY15)=0,"",SUM(U15:AY15))</f>
        <v/>
      </c>
      <c r="M15" s="51">
        <f>IFERROR(INDEX(U$2:AY$2,MATCH(TRUE,INDEX(U15:AY15&lt;&gt;"",0),0)),"")</f>
        <v/>
      </c>
      <c r="N15" s="51">
        <f>IFERROR(LOOKUP(2,1/(U15:AY15&lt;&gt;""),U$2:AY$2),"")</f>
        <v/>
      </c>
      <c r="O15" s="52" t="n"/>
      <c r="P15" s="52" t="n"/>
      <c r="Q15" s="52" t="n"/>
      <c r="R15" s="44" t="n"/>
      <c r="S15" s="14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</row>
    <row r="16" ht="15" customHeight="1">
      <c r="A16" s="54" t="n"/>
      <c r="B16" s="55">
        <f>IF($B$15="","",$B$15)</f>
        <v/>
      </c>
      <c r="C16" s="56" t="inlineStr">
        <is>
          <t>마케팅1팀</t>
        </is>
      </c>
      <c r="D16" s="55">
        <f>IF($D$15="","",$D$15)</f>
        <v/>
      </c>
      <c r="E16" s="57" t="inlineStr">
        <is>
          <t>이미지</t>
        </is>
      </c>
      <c r="F16" s="44" t="n"/>
      <c r="G16" s="58">
        <f>IF($G$15="","",$G$15)</f>
        <v/>
      </c>
      <c r="H16" s="59" t="n"/>
      <c r="I16" s="59" t="n"/>
      <c r="J16" s="59" t="n"/>
      <c r="K16" s="59" t="n"/>
      <c r="L16" s="60">
        <f>IF(SUM(U16:AY16)=0,"",SUM(U16:AY16))</f>
        <v/>
      </c>
      <c r="M16" s="61">
        <f>IFERROR(INDEX(U$2:AY$2,MATCH(TRUE,INDEX(U16:AY16&lt;&gt;"",0),0)),"")</f>
        <v/>
      </c>
      <c r="N16" s="61">
        <f>IFERROR(LOOKUP(2,1/(U16:AY16&lt;&gt;""),U$2:AY$2),"")</f>
        <v/>
      </c>
      <c r="O16" s="59" t="n"/>
      <c r="P16" s="59" t="n"/>
      <c r="Q16" s="59" t="n"/>
      <c r="R16" s="59" t="n"/>
      <c r="S16" s="14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</row>
    <row r="17" ht="15" customHeight="1">
      <c r="A17" s="62" t="n"/>
      <c r="B17" s="55">
        <f>IF($B$15="","",$B$15)</f>
        <v/>
      </c>
      <c r="C17" s="63" t="inlineStr">
        <is>
          <t>마케팅1팀</t>
        </is>
      </c>
      <c r="D17" s="55">
        <f>IF($D$15="","",$D$15)</f>
        <v/>
      </c>
      <c r="E17" s="64" t="inlineStr">
        <is>
          <t>영상</t>
        </is>
      </c>
      <c r="F17" s="44" t="n"/>
      <c r="G17" s="58">
        <f>IF($G$15="","",$G$15)</f>
        <v/>
      </c>
      <c r="H17" s="59" t="n"/>
      <c r="I17" s="59" t="n"/>
      <c r="J17" s="59" t="n"/>
      <c r="K17" s="59" t="n"/>
      <c r="L17" s="65">
        <f>IF(SUM(U17:AY17)=0,"",SUM(U17:AY17))</f>
        <v/>
      </c>
      <c r="M17" s="66">
        <f>IFERROR(INDEX(U$2:AY$2,MATCH(TRUE,INDEX(U17:AY17&lt;&gt;"",0),0)),"")</f>
        <v/>
      </c>
      <c r="N17" s="66">
        <f>IFERROR(LOOKUP(2,1/(U17:AY17&lt;&gt;""),U$2:AY$2),"")</f>
        <v/>
      </c>
      <c r="O17" s="59" t="n"/>
      <c r="P17" s="59" t="n"/>
      <c r="Q17" s="59" t="n"/>
      <c r="R17" s="59" t="n"/>
      <c r="S17" s="14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</row>
    <row r="18" ht="15" customHeight="1">
      <c r="A18" s="40">
        <f>IF($D$18="","",4)</f>
        <v/>
      </c>
      <c r="B18" s="10" t="n"/>
      <c r="C18" s="41" t="inlineStr">
        <is>
          <t>마케팅1팀</t>
        </is>
      </c>
      <c r="D18" s="42" t="n"/>
      <c r="E18" s="43" t="inlineStr">
        <is>
          <t>기획</t>
        </is>
      </c>
      <c r="F18" s="44" t="n"/>
      <c r="G18" s="45" t="n"/>
      <c r="H18" s="46">
        <f>IF($I$18="","",IF($I$18&lt;0,"🔴지연",IF($I$18&lt;=1,"🟡임박","🟢여유")))</f>
        <v/>
      </c>
      <c r="I18" s="47">
        <f>IF(OR($G$18="",$K$18=""),"",$G$18-$K$18)</f>
        <v/>
      </c>
      <c r="J18" s="48">
        <f>IF(SUM($L$18:$L$20)=0,"",SUM($L$18:$L$20))</f>
        <v/>
      </c>
      <c r="K18" s="49">
        <f>IF($J$18="","",MAX($N$18:$N$20))</f>
        <v/>
      </c>
      <c r="L18" s="50">
        <f>IF(SUM(U18:AY18)=0,"",SUM(U18:AY18))</f>
        <v/>
      </c>
      <c r="M18" s="51">
        <f>IFERROR(INDEX(U$2:AY$2,MATCH(TRUE,INDEX(U18:AY18&lt;&gt;"",0),0)),"")</f>
        <v/>
      </c>
      <c r="N18" s="51">
        <f>IFERROR(LOOKUP(2,1/(U18:AY18&lt;&gt;""),U$2:AY$2),"")</f>
        <v/>
      </c>
      <c r="O18" s="52" t="n"/>
      <c r="P18" s="52" t="n"/>
      <c r="Q18" s="52" t="n"/>
      <c r="R18" s="44" t="n"/>
      <c r="S18" s="14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</row>
    <row r="19" ht="15" customHeight="1">
      <c r="A19" s="54" t="n"/>
      <c r="B19" s="55">
        <f>IF($B$18="","",$B$18)</f>
        <v/>
      </c>
      <c r="C19" s="56" t="inlineStr">
        <is>
          <t>마케팅1팀</t>
        </is>
      </c>
      <c r="D19" s="55">
        <f>IF($D$18="","",$D$18)</f>
        <v/>
      </c>
      <c r="E19" s="57" t="inlineStr">
        <is>
          <t>이미지</t>
        </is>
      </c>
      <c r="F19" s="44" t="n"/>
      <c r="G19" s="58">
        <f>IF($G$18="","",$G$18)</f>
        <v/>
      </c>
      <c r="H19" s="59" t="n"/>
      <c r="I19" s="59" t="n"/>
      <c r="J19" s="59" t="n"/>
      <c r="K19" s="59" t="n"/>
      <c r="L19" s="60">
        <f>IF(SUM(U19:AY19)=0,"",SUM(U19:AY19))</f>
        <v/>
      </c>
      <c r="M19" s="61">
        <f>IFERROR(INDEX(U$2:AY$2,MATCH(TRUE,INDEX(U19:AY19&lt;&gt;"",0),0)),"")</f>
        <v/>
      </c>
      <c r="N19" s="61">
        <f>IFERROR(LOOKUP(2,1/(U19:AY19&lt;&gt;""),U$2:AY$2),"")</f>
        <v/>
      </c>
      <c r="O19" s="59" t="n"/>
      <c r="P19" s="59" t="n"/>
      <c r="Q19" s="59" t="n"/>
      <c r="R19" s="59" t="n"/>
      <c r="S19" s="14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</row>
    <row r="20" ht="15" customHeight="1">
      <c r="A20" s="62" t="n"/>
      <c r="B20" s="55">
        <f>IF($B$18="","",$B$18)</f>
        <v/>
      </c>
      <c r="C20" s="63" t="inlineStr">
        <is>
          <t>마케팅1팀</t>
        </is>
      </c>
      <c r="D20" s="55">
        <f>IF($D$18="","",$D$18)</f>
        <v/>
      </c>
      <c r="E20" s="64" t="inlineStr">
        <is>
          <t>영상</t>
        </is>
      </c>
      <c r="F20" s="44" t="n"/>
      <c r="G20" s="58">
        <f>IF($G$18="","",$G$18)</f>
        <v/>
      </c>
      <c r="H20" s="59" t="n"/>
      <c r="I20" s="59" t="n"/>
      <c r="J20" s="59" t="n"/>
      <c r="K20" s="59" t="n"/>
      <c r="L20" s="65">
        <f>IF(SUM(U20:AY20)=0,"",SUM(U20:AY20))</f>
        <v/>
      </c>
      <c r="M20" s="66">
        <f>IFERROR(INDEX(U$2:AY$2,MATCH(TRUE,INDEX(U20:AY20&lt;&gt;"",0),0)),"")</f>
        <v/>
      </c>
      <c r="N20" s="66">
        <f>IFERROR(LOOKUP(2,1/(U20:AY20&lt;&gt;""),U$2:AY$2),"")</f>
        <v/>
      </c>
      <c r="O20" s="59" t="n"/>
      <c r="P20" s="59" t="n"/>
      <c r="Q20" s="59" t="n"/>
      <c r="R20" s="59" t="n"/>
      <c r="S20" s="14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</row>
    <row r="21" ht="15" customHeight="1">
      <c r="A21" s="40">
        <f>IF($D$21="","",5)</f>
        <v/>
      </c>
      <c r="B21" s="10" t="n"/>
      <c r="C21" s="41" t="inlineStr">
        <is>
          <t>마케팅1팀</t>
        </is>
      </c>
      <c r="D21" s="42" t="n"/>
      <c r="E21" s="43" t="inlineStr">
        <is>
          <t>기획</t>
        </is>
      </c>
      <c r="F21" s="44" t="n"/>
      <c r="G21" s="45" t="n"/>
      <c r="H21" s="46">
        <f>IF($I$21="","",IF($I$21&lt;0,"🔴지연",IF($I$21&lt;=1,"🟡임박","🟢여유")))</f>
        <v/>
      </c>
      <c r="I21" s="47">
        <f>IF(OR($G$21="",$K$21=""),"",$G$21-$K$21)</f>
        <v/>
      </c>
      <c r="J21" s="48">
        <f>IF(SUM($L$21:$L$23)=0,"",SUM($L$21:$L$23))</f>
        <v/>
      </c>
      <c r="K21" s="49">
        <f>IF($J$21="","",MAX($N$21:$N$23))</f>
        <v/>
      </c>
      <c r="L21" s="50">
        <f>IF(SUM(U21:AY21)=0,"",SUM(U21:AY21))</f>
        <v/>
      </c>
      <c r="M21" s="51">
        <f>IFERROR(INDEX(U$2:AY$2,MATCH(TRUE,INDEX(U21:AY21&lt;&gt;"",0),0)),"")</f>
        <v/>
      </c>
      <c r="N21" s="51">
        <f>IFERROR(LOOKUP(2,1/(U21:AY21&lt;&gt;""),U$2:AY$2),"")</f>
        <v/>
      </c>
      <c r="O21" s="52" t="n"/>
      <c r="P21" s="52" t="n"/>
      <c r="Q21" s="52" t="n"/>
      <c r="R21" s="44" t="n"/>
      <c r="S21" s="14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</row>
    <row r="22" ht="15" customHeight="1">
      <c r="A22" s="54" t="n"/>
      <c r="B22" s="55">
        <f>IF($B$21="","",$B$21)</f>
        <v/>
      </c>
      <c r="C22" s="56" t="inlineStr">
        <is>
          <t>마케팅1팀</t>
        </is>
      </c>
      <c r="D22" s="55">
        <f>IF($D$21="","",$D$21)</f>
        <v/>
      </c>
      <c r="E22" s="57" t="inlineStr">
        <is>
          <t>이미지</t>
        </is>
      </c>
      <c r="F22" s="44" t="n"/>
      <c r="G22" s="58">
        <f>IF($G$21="","",$G$21)</f>
        <v/>
      </c>
      <c r="H22" s="59" t="n"/>
      <c r="I22" s="59" t="n"/>
      <c r="J22" s="59" t="n"/>
      <c r="K22" s="59" t="n"/>
      <c r="L22" s="60">
        <f>IF(SUM(U22:AY22)=0,"",SUM(U22:AY22))</f>
        <v/>
      </c>
      <c r="M22" s="61">
        <f>IFERROR(INDEX(U$2:AY$2,MATCH(TRUE,INDEX(U22:AY22&lt;&gt;"",0),0)),"")</f>
        <v/>
      </c>
      <c r="N22" s="61">
        <f>IFERROR(LOOKUP(2,1/(U22:AY22&lt;&gt;""),U$2:AY$2),"")</f>
        <v/>
      </c>
      <c r="O22" s="59" t="n"/>
      <c r="P22" s="59" t="n"/>
      <c r="Q22" s="59" t="n"/>
      <c r="R22" s="59" t="n"/>
      <c r="S22" s="14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</row>
    <row r="23" ht="15" customHeight="1">
      <c r="A23" s="62" t="n"/>
      <c r="B23" s="55">
        <f>IF($B$21="","",$B$21)</f>
        <v/>
      </c>
      <c r="C23" s="63" t="inlineStr">
        <is>
          <t>마케팅1팀</t>
        </is>
      </c>
      <c r="D23" s="55">
        <f>IF($D$21="","",$D$21)</f>
        <v/>
      </c>
      <c r="E23" s="64" t="inlineStr">
        <is>
          <t>영상</t>
        </is>
      </c>
      <c r="F23" s="44" t="n"/>
      <c r="G23" s="58">
        <f>IF($G$21="","",$G$21)</f>
        <v/>
      </c>
      <c r="H23" s="59" t="n"/>
      <c r="I23" s="59" t="n"/>
      <c r="J23" s="59" t="n"/>
      <c r="K23" s="59" t="n"/>
      <c r="L23" s="65">
        <f>IF(SUM(U23:AY23)=0,"",SUM(U23:AY23))</f>
        <v/>
      </c>
      <c r="M23" s="66">
        <f>IFERROR(INDEX(U$2:AY$2,MATCH(TRUE,INDEX(U23:AY23&lt;&gt;"",0),0)),"")</f>
        <v/>
      </c>
      <c r="N23" s="66">
        <f>IFERROR(LOOKUP(2,1/(U23:AY23&lt;&gt;""),U$2:AY$2),"")</f>
        <v/>
      </c>
      <c r="O23" s="59" t="n"/>
      <c r="P23" s="59" t="n"/>
      <c r="Q23" s="59" t="n"/>
      <c r="R23" s="59" t="n"/>
      <c r="S23" s="14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</row>
    <row r="24" ht="15" customHeight="1">
      <c r="A24" s="40">
        <f>IF($D$24="","",6)</f>
        <v/>
      </c>
      <c r="B24" s="10" t="n"/>
      <c r="C24" s="41" t="inlineStr">
        <is>
          <t>마케팅1팀</t>
        </is>
      </c>
      <c r="D24" s="42" t="n"/>
      <c r="E24" s="43" t="inlineStr">
        <is>
          <t>기획</t>
        </is>
      </c>
      <c r="F24" s="44" t="n"/>
      <c r="G24" s="45" t="n"/>
      <c r="H24" s="46">
        <f>IF($I$24="","",IF($I$24&lt;0,"🔴지연",IF($I$24&lt;=1,"🟡임박","🟢여유")))</f>
        <v/>
      </c>
      <c r="I24" s="47">
        <f>IF(OR($G$24="",$K$24=""),"",$G$24-$K$24)</f>
        <v/>
      </c>
      <c r="J24" s="48">
        <f>IF(SUM($L$24:$L$26)=0,"",SUM($L$24:$L$26))</f>
        <v/>
      </c>
      <c r="K24" s="49">
        <f>IF($J$24="","",MAX($N$24:$N$26))</f>
        <v/>
      </c>
      <c r="L24" s="50">
        <f>IF(SUM(U24:AY24)=0,"",SUM(U24:AY24))</f>
        <v/>
      </c>
      <c r="M24" s="51">
        <f>IFERROR(INDEX(U$2:AY$2,MATCH(TRUE,INDEX(U24:AY24&lt;&gt;"",0),0)),"")</f>
        <v/>
      </c>
      <c r="N24" s="51">
        <f>IFERROR(LOOKUP(2,1/(U24:AY24&lt;&gt;""),U$2:AY$2),"")</f>
        <v/>
      </c>
      <c r="O24" s="52" t="n"/>
      <c r="P24" s="52" t="n"/>
      <c r="Q24" s="52" t="n"/>
      <c r="R24" s="44" t="n"/>
      <c r="S24" s="14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</row>
    <row r="25" ht="15" customHeight="1">
      <c r="A25" s="54" t="n"/>
      <c r="B25" s="55">
        <f>IF($B$24="","",$B$24)</f>
        <v/>
      </c>
      <c r="C25" s="56" t="inlineStr">
        <is>
          <t>마케팅1팀</t>
        </is>
      </c>
      <c r="D25" s="55">
        <f>IF($D$24="","",$D$24)</f>
        <v/>
      </c>
      <c r="E25" s="57" t="inlineStr">
        <is>
          <t>이미지</t>
        </is>
      </c>
      <c r="F25" s="44" t="n"/>
      <c r="G25" s="58">
        <f>IF($G$24="","",$G$24)</f>
        <v/>
      </c>
      <c r="H25" s="59" t="n"/>
      <c r="I25" s="59" t="n"/>
      <c r="J25" s="59" t="n"/>
      <c r="K25" s="59" t="n"/>
      <c r="L25" s="60">
        <f>IF(SUM(U25:AY25)=0,"",SUM(U25:AY25))</f>
        <v/>
      </c>
      <c r="M25" s="61">
        <f>IFERROR(INDEX(U$2:AY$2,MATCH(TRUE,INDEX(U25:AY25&lt;&gt;"",0),0)),"")</f>
        <v/>
      </c>
      <c r="N25" s="61">
        <f>IFERROR(LOOKUP(2,1/(U25:AY25&lt;&gt;""),U$2:AY$2),"")</f>
        <v/>
      </c>
      <c r="O25" s="59" t="n"/>
      <c r="P25" s="59" t="n"/>
      <c r="Q25" s="59" t="n"/>
      <c r="R25" s="59" t="n"/>
      <c r="S25" s="14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</row>
    <row r="26" ht="15" customHeight="1">
      <c r="A26" s="62" t="n"/>
      <c r="B26" s="55">
        <f>IF($B$24="","",$B$24)</f>
        <v/>
      </c>
      <c r="C26" s="63" t="inlineStr">
        <is>
          <t>마케팅1팀</t>
        </is>
      </c>
      <c r="D26" s="55">
        <f>IF($D$24="","",$D$24)</f>
        <v/>
      </c>
      <c r="E26" s="64" t="inlineStr">
        <is>
          <t>영상</t>
        </is>
      </c>
      <c r="F26" s="44" t="n"/>
      <c r="G26" s="58">
        <f>IF($G$24="","",$G$24)</f>
        <v/>
      </c>
      <c r="H26" s="59" t="n"/>
      <c r="I26" s="59" t="n"/>
      <c r="J26" s="59" t="n"/>
      <c r="K26" s="59" t="n"/>
      <c r="L26" s="65">
        <f>IF(SUM(U26:AY26)=0,"",SUM(U26:AY26))</f>
        <v/>
      </c>
      <c r="M26" s="66">
        <f>IFERROR(INDEX(U$2:AY$2,MATCH(TRUE,INDEX(U26:AY26&lt;&gt;"",0),0)),"")</f>
        <v/>
      </c>
      <c r="N26" s="66">
        <f>IFERROR(LOOKUP(2,1/(U26:AY26&lt;&gt;""),U$2:AY$2),"")</f>
        <v/>
      </c>
      <c r="O26" s="59" t="n"/>
      <c r="P26" s="59" t="n"/>
      <c r="Q26" s="59" t="n"/>
      <c r="R26" s="59" t="n"/>
      <c r="S26" s="14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</row>
    <row r="27" ht="15" customHeight="1">
      <c r="A27" s="40">
        <f>IF($D$27="","",7)</f>
        <v/>
      </c>
      <c r="B27" s="10" t="n"/>
      <c r="C27" s="41" t="inlineStr">
        <is>
          <t>마케팅1팀</t>
        </is>
      </c>
      <c r="D27" s="42" t="n"/>
      <c r="E27" s="43" t="inlineStr">
        <is>
          <t>기획</t>
        </is>
      </c>
      <c r="F27" s="44" t="n"/>
      <c r="G27" s="45" t="n"/>
      <c r="H27" s="46">
        <f>IF($I$27="","",IF($I$27&lt;0,"🔴지연",IF($I$27&lt;=1,"🟡임박","🟢여유")))</f>
        <v/>
      </c>
      <c r="I27" s="47">
        <f>IF(OR($G$27="",$K$27=""),"",$G$27-$K$27)</f>
        <v/>
      </c>
      <c r="J27" s="48">
        <f>IF(SUM($L$27:$L$29)=0,"",SUM($L$27:$L$29))</f>
        <v/>
      </c>
      <c r="K27" s="49">
        <f>IF($J$27="","",MAX($N$27:$N$29))</f>
        <v/>
      </c>
      <c r="L27" s="50">
        <f>IF(SUM(U27:AY27)=0,"",SUM(U27:AY27))</f>
        <v/>
      </c>
      <c r="M27" s="51">
        <f>IFERROR(INDEX(U$2:AY$2,MATCH(TRUE,INDEX(U27:AY27&lt;&gt;"",0),0)),"")</f>
        <v/>
      </c>
      <c r="N27" s="51">
        <f>IFERROR(LOOKUP(2,1/(U27:AY27&lt;&gt;""),U$2:AY$2),"")</f>
        <v/>
      </c>
      <c r="O27" s="52" t="n"/>
      <c r="P27" s="52" t="n"/>
      <c r="Q27" s="52" t="n"/>
      <c r="R27" s="44" t="n"/>
      <c r="S27" s="14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</row>
    <row r="28" ht="15" customHeight="1">
      <c r="A28" s="54" t="n"/>
      <c r="B28" s="55">
        <f>IF($B$27="","",$B$27)</f>
        <v/>
      </c>
      <c r="C28" s="56" t="inlineStr">
        <is>
          <t>마케팅1팀</t>
        </is>
      </c>
      <c r="D28" s="55">
        <f>IF($D$27="","",$D$27)</f>
        <v/>
      </c>
      <c r="E28" s="57" t="inlineStr">
        <is>
          <t>이미지</t>
        </is>
      </c>
      <c r="F28" s="44" t="n"/>
      <c r="G28" s="58">
        <f>IF($G$27="","",$G$27)</f>
        <v/>
      </c>
      <c r="H28" s="59" t="n"/>
      <c r="I28" s="59" t="n"/>
      <c r="J28" s="59" t="n"/>
      <c r="K28" s="59" t="n"/>
      <c r="L28" s="60">
        <f>IF(SUM(U28:AY28)=0,"",SUM(U28:AY28))</f>
        <v/>
      </c>
      <c r="M28" s="61">
        <f>IFERROR(INDEX(U$2:AY$2,MATCH(TRUE,INDEX(U28:AY28&lt;&gt;"",0),0)),"")</f>
        <v/>
      </c>
      <c r="N28" s="61">
        <f>IFERROR(LOOKUP(2,1/(U28:AY28&lt;&gt;""),U$2:AY$2),"")</f>
        <v/>
      </c>
      <c r="O28" s="59" t="n"/>
      <c r="P28" s="59" t="n"/>
      <c r="Q28" s="59" t="n"/>
      <c r="R28" s="59" t="n"/>
      <c r="S28" s="14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3" t="n"/>
      <c r="AQ28" s="53" t="n"/>
      <c r="AR28" s="53" t="n"/>
      <c r="AS28" s="53" t="n"/>
      <c r="AT28" s="53" t="n"/>
      <c r="AU28" s="53" t="n"/>
      <c r="AV28" s="53" t="n"/>
      <c r="AW28" s="53" t="n"/>
      <c r="AX28" s="53" t="n"/>
      <c r="AY28" s="53" t="n"/>
    </row>
    <row r="29" ht="15" customHeight="1">
      <c r="A29" s="62" t="n"/>
      <c r="B29" s="55">
        <f>IF($B$27="","",$B$27)</f>
        <v/>
      </c>
      <c r="C29" s="63" t="inlineStr">
        <is>
          <t>마케팅1팀</t>
        </is>
      </c>
      <c r="D29" s="55">
        <f>IF($D$27="","",$D$27)</f>
        <v/>
      </c>
      <c r="E29" s="64" t="inlineStr">
        <is>
          <t>영상</t>
        </is>
      </c>
      <c r="F29" s="44" t="n"/>
      <c r="G29" s="58">
        <f>IF($G$27="","",$G$27)</f>
        <v/>
      </c>
      <c r="H29" s="59" t="n"/>
      <c r="I29" s="59" t="n"/>
      <c r="J29" s="59" t="n"/>
      <c r="K29" s="59" t="n"/>
      <c r="L29" s="65">
        <f>IF(SUM(U29:AY29)=0,"",SUM(U29:AY29))</f>
        <v/>
      </c>
      <c r="M29" s="66">
        <f>IFERROR(INDEX(U$2:AY$2,MATCH(TRUE,INDEX(U29:AY29&lt;&gt;"",0),0)),"")</f>
        <v/>
      </c>
      <c r="N29" s="66">
        <f>IFERROR(LOOKUP(2,1/(U29:AY29&lt;&gt;""),U$2:AY$2),"")</f>
        <v/>
      </c>
      <c r="O29" s="59" t="n"/>
      <c r="P29" s="59" t="n"/>
      <c r="Q29" s="59" t="n"/>
      <c r="R29" s="59" t="n"/>
      <c r="S29" s="14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</row>
    <row r="30" ht="15" customHeight="1">
      <c r="A30" s="40">
        <f>IF($D$30="","",8)</f>
        <v/>
      </c>
      <c r="B30" s="10" t="n"/>
      <c r="C30" s="41" t="inlineStr">
        <is>
          <t>마케팅1팀</t>
        </is>
      </c>
      <c r="D30" s="42" t="n"/>
      <c r="E30" s="43" t="inlineStr">
        <is>
          <t>기획</t>
        </is>
      </c>
      <c r="F30" s="44" t="n"/>
      <c r="G30" s="45" t="n"/>
      <c r="H30" s="46">
        <f>IF($I$30="","",IF($I$30&lt;0,"🔴지연",IF($I$30&lt;=1,"🟡임박","🟢여유")))</f>
        <v/>
      </c>
      <c r="I30" s="47">
        <f>IF(OR($G$30="",$K$30=""),"",$G$30-$K$30)</f>
        <v/>
      </c>
      <c r="J30" s="48">
        <f>IF(SUM($L$30:$L$32)=0,"",SUM($L$30:$L$32))</f>
        <v/>
      </c>
      <c r="K30" s="49">
        <f>IF($J$30="","",MAX($N$30:$N$32))</f>
        <v/>
      </c>
      <c r="L30" s="50">
        <f>IF(SUM(U30:AY30)=0,"",SUM(U30:AY30))</f>
        <v/>
      </c>
      <c r="M30" s="51">
        <f>IFERROR(INDEX(U$2:AY$2,MATCH(TRUE,INDEX(U30:AY30&lt;&gt;"",0),0)),"")</f>
        <v/>
      </c>
      <c r="N30" s="51">
        <f>IFERROR(LOOKUP(2,1/(U30:AY30&lt;&gt;""),U$2:AY$2),"")</f>
        <v/>
      </c>
      <c r="O30" s="52" t="n"/>
      <c r="P30" s="52" t="n"/>
      <c r="Q30" s="52" t="n"/>
      <c r="R30" s="44" t="n"/>
      <c r="S30" s="14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53" t="n"/>
      <c r="AH30" s="53" t="n"/>
      <c r="AI30" s="53" t="n"/>
      <c r="AJ30" s="53" t="n"/>
      <c r="AK30" s="53" t="n"/>
      <c r="AL30" s="53" t="n"/>
      <c r="AM30" s="53" t="n"/>
      <c r="AN30" s="53" t="n"/>
      <c r="AO30" s="53" t="n"/>
      <c r="AP30" s="53" t="n"/>
      <c r="AQ30" s="53" t="n"/>
      <c r="AR30" s="53" t="n"/>
      <c r="AS30" s="53" t="n"/>
      <c r="AT30" s="53" t="n"/>
      <c r="AU30" s="53" t="n"/>
      <c r="AV30" s="53" t="n"/>
      <c r="AW30" s="53" t="n"/>
      <c r="AX30" s="53" t="n"/>
      <c r="AY30" s="53" t="n"/>
    </row>
    <row r="31" ht="15" customHeight="1">
      <c r="A31" s="54" t="n"/>
      <c r="B31" s="55">
        <f>IF($B$30="","",$B$30)</f>
        <v/>
      </c>
      <c r="C31" s="56" t="inlineStr">
        <is>
          <t>마케팅1팀</t>
        </is>
      </c>
      <c r="D31" s="55">
        <f>IF($D$30="","",$D$30)</f>
        <v/>
      </c>
      <c r="E31" s="57" t="inlineStr">
        <is>
          <t>이미지</t>
        </is>
      </c>
      <c r="F31" s="44" t="n"/>
      <c r="G31" s="58">
        <f>IF($G$30="","",$G$30)</f>
        <v/>
      </c>
      <c r="H31" s="59" t="n"/>
      <c r="I31" s="59" t="n"/>
      <c r="J31" s="59" t="n"/>
      <c r="K31" s="59" t="n"/>
      <c r="L31" s="60">
        <f>IF(SUM(U31:AY31)=0,"",SUM(U31:AY31))</f>
        <v/>
      </c>
      <c r="M31" s="61">
        <f>IFERROR(INDEX(U$2:AY$2,MATCH(TRUE,INDEX(U31:AY31&lt;&gt;"",0),0)),"")</f>
        <v/>
      </c>
      <c r="N31" s="61">
        <f>IFERROR(LOOKUP(2,1/(U31:AY31&lt;&gt;""),U$2:AY$2),"")</f>
        <v/>
      </c>
      <c r="O31" s="59" t="n"/>
      <c r="P31" s="59" t="n"/>
      <c r="Q31" s="59" t="n"/>
      <c r="R31" s="59" t="n"/>
      <c r="S31" s="14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53" t="n"/>
      <c r="AH31" s="53" t="n"/>
      <c r="AI31" s="53" t="n"/>
      <c r="AJ31" s="53" t="n"/>
      <c r="AK31" s="53" t="n"/>
      <c r="AL31" s="53" t="n"/>
      <c r="AM31" s="53" t="n"/>
      <c r="AN31" s="53" t="n"/>
      <c r="AO31" s="53" t="n"/>
      <c r="AP31" s="53" t="n"/>
      <c r="AQ31" s="53" t="n"/>
      <c r="AR31" s="53" t="n"/>
      <c r="AS31" s="53" t="n"/>
      <c r="AT31" s="53" t="n"/>
      <c r="AU31" s="53" t="n"/>
      <c r="AV31" s="53" t="n"/>
      <c r="AW31" s="53" t="n"/>
      <c r="AX31" s="53" t="n"/>
      <c r="AY31" s="53" t="n"/>
    </row>
    <row r="32" ht="15" customHeight="1">
      <c r="A32" s="62" t="n"/>
      <c r="B32" s="55">
        <f>IF($B$30="","",$B$30)</f>
        <v/>
      </c>
      <c r="C32" s="63" t="inlineStr">
        <is>
          <t>마케팅1팀</t>
        </is>
      </c>
      <c r="D32" s="55">
        <f>IF($D$30="","",$D$30)</f>
        <v/>
      </c>
      <c r="E32" s="64" t="inlineStr">
        <is>
          <t>영상</t>
        </is>
      </c>
      <c r="F32" s="44" t="n"/>
      <c r="G32" s="58">
        <f>IF($G$30="","",$G$30)</f>
        <v/>
      </c>
      <c r="H32" s="59" t="n"/>
      <c r="I32" s="59" t="n"/>
      <c r="J32" s="59" t="n"/>
      <c r="K32" s="59" t="n"/>
      <c r="L32" s="65">
        <f>IF(SUM(U32:AY32)=0,"",SUM(U32:AY32))</f>
        <v/>
      </c>
      <c r="M32" s="66">
        <f>IFERROR(INDEX(U$2:AY$2,MATCH(TRUE,INDEX(U32:AY32&lt;&gt;"",0),0)),"")</f>
        <v/>
      </c>
      <c r="N32" s="66">
        <f>IFERROR(LOOKUP(2,1/(U32:AY32&lt;&gt;""),U$2:AY$2),"")</f>
        <v/>
      </c>
      <c r="O32" s="59" t="n"/>
      <c r="P32" s="59" t="n"/>
      <c r="Q32" s="59" t="n"/>
      <c r="R32" s="59" t="n"/>
      <c r="S32" s="14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53" t="n"/>
      <c r="AK32" s="53" t="n"/>
      <c r="AL32" s="53" t="n"/>
      <c r="AM32" s="53" t="n"/>
      <c r="AN32" s="53" t="n"/>
      <c r="AO32" s="53" t="n"/>
      <c r="AP32" s="53" t="n"/>
      <c r="AQ32" s="53" t="n"/>
      <c r="AR32" s="53" t="n"/>
      <c r="AS32" s="53" t="n"/>
      <c r="AT32" s="53" t="n"/>
      <c r="AU32" s="53" t="n"/>
      <c r="AV32" s="53" t="n"/>
      <c r="AW32" s="53" t="n"/>
      <c r="AX32" s="53" t="n"/>
      <c r="AY32" s="53" t="n"/>
    </row>
    <row r="33" ht="15" customHeight="1">
      <c r="A33" s="40">
        <f>IF($D$33="","",9)</f>
        <v/>
      </c>
      <c r="B33" s="10" t="n"/>
      <c r="C33" s="41" t="inlineStr">
        <is>
          <t>마케팅1팀</t>
        </is>
      </c>
      <c r="D33" s="42" t="n"/>
      <c r="E33" s="43" t="inlineStr">
        <is>
          <t>기획</t>
        </is>
      </c>
      <c r="F33" s="44" t="n"/>
      <c r="G33" s="45" t="n"/>
      <c r="H33" s="46">
        <f>IF($I$33="","",IF($I$33&lt;0,"🔴지연",IF($I$33&lt;=1,"🟡임박","🟢여유")))</f>
        <v/>
      </c>
      <c r="I33" s="47">
        <f>IF(OR($G$33="",$K$33=""),"",$G$33-$K$33)</f>
        <v/>
      </c>
      <c r="J33" s="48">
        <f>IF(SUM($L$33:$L$35)=0,"",SUM($L$33:$L$35))</f>
        <v/>
      </c>
      <c r="K33" s="49">
        <f>IF($J$33="","",MAX($N$33:$N$35))</f>
        <v/>
      </c>
      <c r="L33" s="50">
        <f>IF(SUM(U33:AY33)=0,"",SUM(U33:AY33))</f>
        <v/>
      </c>
      <c r="M33" s="51">
        <f>IFERROR(INDEX(U$2:AY$2,MATCH(TRUE,INDEX(U33:AY33&lt;&gt;"",0),0)),"")</f>
        <v/>
      </c>
      <c r="N33" s="51">
        <f>IFERROR(LOOKUP(2,1/(U33:AY33&lt;&gt;""),U$2:AY$2),"")</f>
        <v/>
      </c>
      <c r="O33" s="52" t="n"/>
      <c r="P33" s="52" t="n"/>
      <c r="Q33" s="52" t="n"/>
      <c r="R33" s="44" t="n"/>
      <c r="S33" s="14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53" t="n"/>
    </row>
    <row r="34" ht="15" customHeight="1">
      <c r="A34" s="54" t="n"/>
      <c r="B34" s="55">
        <f>IF($B$33="","",$B$33)</f>
        <v/>
      </c>
      <c r="C34" s="56" t="inlineStr">
        <is>
          <t>마케팅1팀</t>
        </is>
      </c>
      <c r="D34" s="55">
        <f>IF($D$33="","",$D$33)</f>
        <v/>
      </c>
      <c r="E34" s="57" t="inlineStr">
        <is>
          <t>이미지</t>
        </is>
      </c>
      <c r="F34" s="44" t="n"/>
      <c r="G34" s="58">
        <f>IF($G$33="","",$G$33)</f>
        <v/>
      </c>
      <c r="H34" s="59" t="n"/>
      <c r="I34" s="59" t="n"/>
      <c r="J34" s="59" t="n"/>
      <c r="K34" s="59" t="n"/>
      <c r="L34" s="60">
        <f>IF(SUM(U34:AY34)=0,"",SUM(U34:AY34))</f>
        <v/>
      </c>
      <c r="M34" s="61">
        <f>IFERROR(INDEX(U$2:AY$2,MATCH(TRUE,INDEX(U34:AY34&lt;&gt;"",0),0)),"")</f>
        <v/>
      </c>
      <c r="N34" s="61">
        <f>IFERROR(LOOKUP(2,1/(U34:AY34&lt;&gt;""),U$2:AY$2),"")</f>
        <v/>
      </c>
      <c r="O34" s="59" t="n"/>
      <c r="P34" s="59" t="n"/>
      <c r="Q34" s="59" t="n"/>
      <c r="R34" s="59" t="n"/>
      <c r="S34" s="14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  <c r="AD34" s="53" t="n"/>
      <c r="AE34" s="53" t="n"/>
      <c r="AF34" s="53" t="n"/>
      <c r="AG34" s="53" t="n"/>
      <c r="AH34" s="53" t="n"/>
      <c r="AI34" s="53" t="n"/>
      <c r="AJ34" s="53" t="n"/>
      <c r="AK34" s="53" t="n"/>
      <c r="AL34" s="53" t="n"/>
      <c r="AM34" s="53" t="n"/>
      <c r="AN34" s="53" t="n"/>
      <c r="AO34" s="53" t="n"/>
      <c r="AP34" s="53" t="n"/>
      <c r="AQ34" s="53" t="n"/>
      <c r="AR34" s="53" t="n"/>
      <c r="AS34" s="53" t="n"/>
      <c r="AT34" s="53" t="n"/>
      <c r="AU34" s="53" t="n"/>
      <c r="AV34" s="53" t="n"/>
      <c r="AW34" s="53" t="n"/>
      <c r="AX34" s="53" t="n"/>
      <c r="AY34" s="53" t="n"/>
    </row>
    <row r="35" ht="15" customHeight="1">
      <c r="A35" s="62" t="n"/>
      <c r="B35" s="55">
        <f>IF($B$33="","",$B$33)</f>
        <v/>
      </c>
      <c r="C35" s="63" t="inlineStr">
        <is>
          <t>마케팅1팀</t>
        </is>
      </c>
      <c r="D35" s="55">
        <f>IF($D$33="","",$D$33)</f>
        <v/>
      </c>
      <c r="E35" s="64" t="inlineStr">
        <is>
          <t>영상</t>
        </is>
      </c>
      <c r="F35" s="44" t="n"/>
      <c r="G35" s="58">
        <f>IF($G$33="","",$G$33)</f>
        <v/>
      </c>
      <c r="H35" s="59" t="n"/>
      <c r="I35" s="59" t="n"/>
      <c r="J35" s="59" t="n"/>
      <c r="K35" s="59" t="n"/>
      <c r="L35" s="65">
        <f>IF(SUM(U35:AY35)=0,"",SUM(U35:AY35))</f>
        <v/>
      </c>
      <c r="M35" s="66">
        <f>IFERROR(INDEX(U$2:AY$2,MATCH(TRUE,INDEX(U35:AY35&lt;&gt;"",0),0)),"")</f>
        <v/>
      </c>
      <c r="N35" s="66">
        <f>IFERROR(LOOKUP(2,1/(U35:AY35&lt;&gt;""),U$2:AY$2),"")</f>
        <v/>
      </c>
      <c r="O35" s="59" t="n"/>
      <c r="P35" s="59" t="n"/>
      <c r="Q35" s="59" t="n"/>
      <c r="R35" s="59" t="n"/>
      <c r="S35" s="14" t="n"/>
      <c r="U35" s="53" t="n"/>
      <c r="V35" s="53" t="n"/>
      <c r="W35" s="53" t="n"/>
      <c r="X35" s="53" t="n"/>
      <c r="Y35" s="53" t="n"/>
      <c r="Z35" s="53" t="n"/>
      <c r="AA35" s="53" t="n"/>
      <c r="AB35" s="53" t="n"/>
      <c r="AC35" s="53" t="n"/>
      <c r="AD35" s="53" t="n"/>
      <c r="AE35" s="53" t="n"/>
      <c r="AF35" s="53" t="n"/>
      <c r="AG35" s="53" t="n"/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</row>
    <row r="36" ht="15" customHeight="1">
      <c r="A36" s="40">
        <f>IF($D$36="","",10)</f>
        <v/>
      </c>
      <c r="B36" s="10" t="n"/>
      <c r="C36" s="41" t="inlineStr">
        <is>
          <t>마케팅1팀</t>
        </is>
      </c>
      <c r="D36" s="42" t="n"/>
      <c r="E36" s="43" t="inlineStr">
        <is>
          <t>기획</t>
        </is>
      </c>
      <c r="F36" s="44" t="n"/>
      <c r="G36" s="45" t="n"/>
      <c r="H36" s="46">
        <f>IF($I$36="","",IF($I$36&lt;0,"🔴지연",IF($I$36&lt;=1,"🟡임박","🟢여유")))</f>
        <v/>
      </c>
      <c r="I36" s="47">
        <f>IF(OR($G$36="",$K$36=""),"",$G$36-$K$36)</f>
        <v/>
      </c>
      <c r="J36" s="48">
        <f>IF(SUM($L$36:$L$38)=0,"",SUM($L$36:$L$38))</f>
        <v/>
      </c>
      <c r="K36" s="49">
        <f>IF($J$36="","",MAX($N$36:$N$38))</f>
        <v/>
      </c>
      <c r="L36" s="50">
        <f>IF(SUM(U36:AY36)=0,"",SUM(U36:AY36))</f>
        <v/>
      </c>
      <c r="M36" s="51">
        <f>IFERROR(INDEX(U$2:AY$2,MATCH(TRUE,INDEX(U36:AY36&lt;&gt;"",0),0)),"")</f>
        <v/>
      </c>
      <c r="N36" s="51">
        <f>IFERROR(LOOKUP(2,1/(U36:AY36&lt;&gt;""),U$2:AY$2),"")</f>
        <v/>
      </c>
      <c r="O36" s="52" t="n"/>
      <c r="P36" s="52" t="n"/>
      <c r="Q36" s="52" t="n"/>
      <c r="R36" s="44" t="n"/>
      <c r="S36" s="14" t="n"/>
      <c r="U36" s="53" t="n"/>
      <c r="V36" s="53" t="n"/>
      <c r="W36" s="53" t="n"/>
      <c r="X36" s="53" t="n"/>
      <c r="Y36" s="53" t="n"/>
      <c r="Z36" s="53" t="n"/>
      <c r="AA36" s="53" t="n"/>
      <c r="AB36" s="53" t="n"/>
      <c r="AC36" s="53" t="n"/>
      <c r="AD36" s="53" t="n"/>
      <c r="AE36" s="53" t="n"/>
      <c r="AF36" s="53" t="n"/>
      <c r="AG36" s="53" t="n"/>
      <c r="AH36" s="53" t="n"/>
      <c r="AI36" s="53" t="n"/>
      <c r="AJ36" s="53" t="n"/>
      <c r="AK36" s="53" t="n"/>
      <c r="AL36" s="53" t="n"/>
      <c r="AM36" s="53" t="n"/>
      <c r="AN36" s="53" t="n"/>
      <c r="AO36" s="53" t="n"/>
      <c r="AP36" s="53" t="n"/>
      <c r="AQ36" s="53" t="n"/>
      <c r="AR36" s="53" t="n"/>
      <c r="AS36" s="53" t="n"/>
      <c r="AT36" s="53" t="n"/>
      <c r="AU36" s="53" t="n"/>
      <c r="AV36" s="53" t="n"/>
      <c r="AW36" s="53" t="n"/>
      <c r="AX36" s="53" t="n"/>
      <c r="AY36" s="53" t="n"/>
    </row>
    <row r="37" ht="15" customHeight="1">
      <c r="A37" s="54" t="n"/>
      <c r="B37" s="55">
        <f>IF($B$36="","",$B$36)</f>
        <v/>
      </c>
      <c r="C37" s="56" t="inlineStr">
        <is>
          <t>마케팅1팀</t>
        </is>
      </c>
      <c r="D37" s="55">
        <f>IF($D$36="","",$D$36)</f>
        <v/>
      </c>
      <c r="E37" s="57" t="inlineStr">
        <is>
          <t>이미지</t>
        </is>
      </c>
      <c r="F37" s="44" t="n"/>
      <c r="G37" s="58">
        <f>IF($G$36="","",$G$36)</f>
        <v/>
      </c>
      <c r="H37" s="59" t="n"/>
      <c r="I37" s="59" t="n"/>
      <c r="J37" s="59" t="n"/>
      <c r="K37" s="59" t="n"/>
      <c r="L37" s="60">
        <f>IF(SUM(U37:AY37)=0,"",SUM(U37:AY37))</f>
        <v/>
      </c>
      <c r="M37" s="61">
        <f>IFERROR(INDEX(U$2:AY$2,MATCH(TRUE,INDEX(U37:AY37&lt;&gt;"",0),0)),"")</f>
        <v/>
      </c>
      <c r="N37" s="61">
        <f>IFERROR(LOOKUP(2,1/(U37:AY37&lt;&gt;""),U$2:AY$2),"")</f>
        <v/>
      </c>
      <c r="O37" s="59" t="n"/>
      <c r="P37" s="59" t="n"/>
      <c r="Q37" s="59" t="n"/>
      <c r="R37" s="59" t="n"/>
      <c r="S37" s="14" t="n"/>
      <c r="U37" s="53" t="n"/>
      <c r="V37" s="53" t="n"/>
      <c r="W37" s="53" t="n"/>
      <c r="X37" s="53" t="n"/>
      <c r="Y37" s="53" t="n"/>
      <c r="Z37" s="53" t="n"/>
      <c r="AA37" s="53" t="n"/>
      <c r="AB37" s="53" t="n"/>
      <c r="AC37" s="53" t="n"/>
      <c r="AD37" s="53" t="n"/>
      <c r="AE37" s="53" t="n"/>
      <c r="AF37" s="53" t="n"/>
      <c r="AG37" s="53" t="n"/>
      <c r="AH37" s="53" t="n"/>
      <c r="AI37" s="53" t="n"/>
      <c r="AJ37" s="53" t="n"/>
      <c r="AK37" s="53" t="n"/>
      <c r="AL37" s="53" t="n"/>
      <c r="AM37" s="53" t="n"/>
      <c r="AN37" s="53" t="n"/>
      <c r="AO37" s="53" t="n"/>
      <c r="AP37" s="53" t="n"/>
      <c r="AQ37" s="53" t="n"/>
      <c r="AR37" s="53" t="n"/>
      <c r="AS37" s="53" t="n"/>
      <c r="AT37" s="53" t="n"/>
      <c r="AU37" s="53" t="n"/>
      <c r="AV37" s="53" t="n"/>
      <c r="AW37" s="53" t="n"/>
      <c r="AX37" s="53" t="n"/>
      <c r="AY37" s="53" t="n"/>
    </row>
    <row r="38" ht="15" customHeight="1">
      <c r="A38" s="62" t="n"/>
      <c r="B38" s="55">
        <f>IF($B$36="","",$B$36)</f>
        <v/>
      </c>
      <c r="C38" s="63" t="inlineStr">
        <is>
          <t>마케팅1팀</t>
        </is>
      </c>
      <c r="D38" s="55">
        <f>IF($D$36="","",$D$36)</f>
        <v/>
      </c>
      <c r="E38" s="64" t="inlineStr">
        <is>
          <t>영상</t>
        </is>
      </c>
      <c r="F38" s="44" t="n"/>
      <c r="G38" s="58">
        <f>IF($G$36="","",$G$36)</f>
        <v/>
      </c>
      <c r="H38" s="59" t="n"/>
      <c r="I38" s="59" t="n"/>
      <c r="J38" s="59" t="n"/>
      <c r="K38" s="59" t="n"/>
      <c r="L38" s="65">
        <f>IF(SUM(U38:AY38)=0,"",SUM(U38:AY38))</f>
        <v/>
      </c>
      <c r="M38" s="66">
        <f>IFERROR(INDEX(U$2:AY$2,MATCH(TRUE,INDEX(U38:AY38&lt;&gt;"",0),0)),"")</f>
        <v/>
      </c>
      <c r="N38" s="66">
        <f>IFERROR(LOOKUP(2,1/(U38:AY38&lt;&gt;""),U$2:AY$2),"")</f>
        <v/>
      </c>
      <c r="O38" s="59" t="n"/>
      <c r="P38" s="59" t="n"/>
      <c r="Q38" s="59" t="n"/>
      <c r="R38" s="59" t="n"/>
      <c r="S38" s="14" t="n"/>
      <c r="U38" s="53" t="n"/>
      <c r="V38" s="53" t="n"/>
      <c r="W38" s="53" t="n"/>
      <c r="X38" s="53" t="n"/>
      <c r="Y38" s="53" t="n"/>
      <c r="Z38" s="53" t="n"/>
      <c r="AA38" s="53" t="n"/>
      <c r="AB38" s="53" t="n"/>
      <c r="AC38" s="53" t="n"/>
      <c r="AD38" s="53" t="n"/>
      <c r="AE38" s="53" t="n"/>
      <c r="AF38" s="53" t="n"/>
      <c r="AG38" s="53" t="n"/>
      <c r="AH38" s="53" t="n"/>
      <c r="AI38" s="53" t="n"/>
      <c r="AJ38" s="53" t="n"/>
      <c r="AK38" s="53" t="n"/>
      <c r="AL38" s="53" t="n"/>
      <c r="AM38" s="53" t="n"/>
      <c r="AN38" s="53" t="n"/>
      <c r="AO38" s="53" t="n"/>
      <c r="AP38" s="53" t="n"/>
      <c r="AQ38" s="53" t="n"/>
      <c r="AR38" s="53" t="n"/>
      <c r="AS38" s="53" t="n"/>
      <c r="AT38" s="53" t="n"/>
      <c r="AU38" s="53" t="n"/>
      <c r="AV38" s="53" t="n"/>
      <c r="AW38" s="53" t="n"/>
      <c r="AX38" s="53" t="n"/>
      <c r="AY38" s="53" t="n"/>
    </row>
    <row r="39" ht="15" customHeight="1">
      <c r="A39" s="40">
        <f>IF($D$39="","",11)</f>
        <v/>
      </c>
      <c r="B39" s="10" t="n"/>
      <c r="C39" s="41" t="inlineStr">
        <is>
          <t>마케팅1팀</t>
        </is>
      </c>
      <c r="D39" s="42" t="n"/>
      <c r="E39" s="43" t="inlineStr">
        <is>
          <t>기획</t>
        </is>
      </c>
      <c r="F39" s="44" t="n"/>
      <c r="G39" s="45" t="n"/>
      <c r="H39" s="46">
        <f>IF($I$39="","",IF($I$39&lt;0,"🔴지연",IF($I$39&lt;=1,"🟡임박","🟢여유")))</f>
        <v/>
      </c>
      <c r="I39" s="47">
        <f>IF(OR($G$39="",$K$39=""),"",$G$39-$K$39)</f>
        <v/>
      </c>
      <c r="J39" s="48">
        <f>IF(SUM($L$39:$L$41)=0,"",SUM($L$39:$L$41))</f>
        <v/>
      </c>
      <c r="K39" s="49">
        <f>IF($J$39="","",MAX($N$39:$N$41))</f>
        <v/>
      </c>
      <c r="L39" s="50">
        <f>IF(SUM(U39:AY39)=0,"",SUM(U39:AY39))</f>
        <v/>
      </c>
      <c r="M39" s="51">
        <f>IFERROR(INDEX(U$2:AY$2,MATCH(TRUE,INDEX(U39:AY39&lt;&gt;"",0),0)),"")</f>
        <v/>
      </c>
      <c r="N39" s="51">
        <f>IFERROR(LOOKUP(2,1/(U39:AY39&lt;&gt;""),U$2:AY$2),"")</f>
        <v/>
      </c>
      <c r="O39" s="52" t="n"/>
      <c r="P39" s="52" t="n"/>
      <c r="Q39" s="52" t="n"/>
      <c r="R39" s="44" t="n"/>
      <c r="S39" s="14" t="n"/>
      <c r="U39" s="53" t="n"/>
      <c r="V39" s="53" t="n"/>
      <c r="W39" s="53" t="n"/>
      <c r="X39" s="53" t="n"/>
      <c r="Y39" s="53" t="n"/>
      <c r="Z39" s="53" t="n"/>
      <c r="AA39" s="53" t="n"/>
      <c r="AB39" s="53" t="n"/>
      <c r="AC39" s="53" t="n"/>
      <c r="AD39" s="53" t="n"/>
      <c r="AE39" s="53" t="n"/>
      <c r="AF39" s="53" t="n"/>
      <c r="AG39" s="53" t="n"/>
      <c r="AH39" s="53" t="n"/>
      <c r="AI39" s="53" t="n"/>
      <c r="AJ39" s="53" t="n"/>
      <c r="AK39" s="53" t="n"/>
      <c r="AL39" s="53" t="n"/>
      <c r="AM39" s="53" t="n"/>
      <c r="AN39" s="53" t="n"/>
      <c r="AO39" s="53" t="n"/>
      <c r="AP39" s="53" t="n"/>
      <c r="AQ39" s="53" t="n"/>
      <c r="AR39" s="53" t="n"/>
      <c r="AS39" s="53" t="n"/>
      <c r="AT39" s="53" t="n"/>
      <c r="AU39" s="53" t="n"/>
      <c r="AV39" s="53" t="n"/>
      <c r="AW39" s="53" t="n"/>
      <c r="AX39" s="53" t="n"/>
      <c r="AY39" s="53" t="n"/>
    </row>
    <row r="40" ht="15" customHeight="1">
      <c r="A40" s="54" t="n"/>
      <c r="B40" s="55">
        <f>IF($B$39="","",$B$39)</f>
        <v/>
      </c>
      <c r="C40" s="56" t="inlineStr">
        <is>
          <t>마케팅1팀</t>
        </is>
      </c>
      <c r="D40" s="55">
        <f>IF($D$39="","",$D$39)</f>
        <v/>
      </c>
      <c r="E40" s="57" t="inlineStr">
        <is>
          <t>이미지</t>
        </is>
      </c>
      <c r="F40" s="44" t="n"/>
      <c r="G40" s="58">
        <f>IF($G$39="","",$G$39)</f>
        <v/>
      </c>
      <c r="H40" s="59" t="n"/>
      <c r="I40" s="59" t="n"/>
      <c r="J40" s="59" t="n"/>
      <c r="K40" s="59" t="n"/>
      <c r="L40" s="60">
        <f>IF(SUM(U40:AY40)=0,"",SUM(U40:AY40))</f>
        <v/>
      </c>
      <c r="M40" s="61">
        <f>IFERROR(INDEX(U$2:AY$2,MATCH(TRUE,INDEX(U40:AY40&lt;&gt;"",0),0)),"")</f>
        <v/>
      </c>
      <c r="N40" s="61">
        <f>IFERROR(LOOKUP(2,1/(U40:AY40&lt;&gt;""),U$2:AY$2),"")</f>
        <v/>
      </c>
      <c r="O40" s="59" t="n"/>
      <c r="P40" s="59" t="n"/>
      <c r="Q40" s="59" t="n"/>
      <c r="R40" s="59" t="n"/>
      <c r="S40" s="14" t="n"/>
      <c r="U40" s="53" t="n"/>
      <c r="V40" s="53" t="n"/>
      <c r="W40" s="53" t="n"/>
      <c r="X40" s="53" t="n"/>
      <c r="Y40" s="53" t="n"/>
      <c r="Z40" s="53" t="n"/>
      <c r="AA40" s="53" t="n"/>
      <c r="AB40" s="53" t="n"/>
      <c r="AC40" s="53" t="n"/>
      <c r="AD40" s="53" t="n"/>
      <c r="AE40" s="53" t="n"/>
      <c r="AF40" s="53" t="n"/>
      <c r="AG40" s="53" t="n"/>
      <c r="AH40" s="53" t="n"/>
      <c r="AI40" s="53" t="n"/>
      <c r="AJ40" s="53" t="n"/>
      <c r="AK40" s="53" t="n"/>
      <c r="AL40" s="53" t="n"/>
      <c r="AM40" s="53" t="n"/>
      <c r="AN40" s="53" t="n"/>
      <c r="AO40" s="53" t="n"/>
      <c r="AP40" s="53" t="n"/>
      <c r="AQ40" s="53" t="n"/>
      <c r="AR40" s="53" t="n"/>
      <c r="AS40" s="53" t="n"/>
      <c r="AT40" s="53" t="n"/>
      <c r="AU40" s="53" t="n"/>
      <c r="AV40" s="53" t="n"/>
      <c r="AW40" s="53" t="n"/>
      <c r="AX40" s="53" t="n"/>
      <c r="AY40" s="53" t="n"/>
    </row>
    <row r="41" ht="15" customHeight="1">
      <c r="A41" s="62" t="n"/>
      <c r="B41" s="55">
        <f>IF($B$39="","",$B$39)</f>
        <v/>
      </c>
      <c r="C41" s="63" t="inlineStr">
        <is>
          <t>마케팅1팀</t>
        </is>
      </c>
      <c r="D41" s="55">
        <f>IF($D$39="","",$D$39)</f>
        <v/>
      </c>
      <c r="E41" s="64" t="inlineStr">
        <is>
          <t>영상</t>
        </is>
      </c>
      <c r="F41" s="44" t="n"/>
      <c r="G41" s="58">
        <f>IF($G$39="","",$G$39)</f>
        <v/>
      </c>
      <c r="H41" s="59" t="n"/>
      <c r="I41" s="59" t="n"/>
      <c r="J41" s="59" t="n"/>
      <c r="K41" s="59" t="n"/>
      <c r="L41" s="65">
        <f>IF(SUM(U41:AY41)=0,"",SUM(U41:AY41))</f>
        <v/>
      </c>
      <c r="M41" s="66">
        <f>IFERROR(INDEX(U$2:AY$2,MATCH(TRUE,INDEX(U41:AY41&lt;&gt;"",0),0)),"")</f>
        <v/>
      </c>
      <c r="N41" s="66">
        <f>IFERROR(LOOKUP(2,1/(U41:AY41&lt;&gt;""),U$2:AY$2),"")</f>
        <v/>
      </c>
      <c r="O41" s="59" t="n"/>
      <c r="P41" s="59" t="n"/>
      <c r="Q41" s="59" t="n"/>
      <c r="R41" s="59" t="n"/>
      <c r="S41" s="14" t="n"/>
      <c r="U41" s="53" t="n"/>
      <c r="V41" s="53" t="n"/>
      <c r="W41" s="53" t="n"/>
      <c r="X41" s="53" t="n"/>
      <c r="Y41" s="53" t="n"/>
      <c r="Z41" s="53" t="n"/>
      <c r="AA41" s="53" t="n"/>
      <c r="AB41" s="53" t="n"/>
      <c r="AC41" s="53" t="n"/>
      <c r="AD41" s="53" t="n"/>
      <c r="AE41" s="53" t="n"/>
      <c r="AF41" s="53" t="n"/>
      <c r="AG41" s="53" t="n"/>
      <c r="AH41" s="53" t="n"/>
      <c r="AI41" s="53" t="n"/>
      <c r="AJ41" s="53" t="n"/>
      <c r="AK41" s="53" t="n"/>
      <c r="AL41" s="53" t="n"/>
      <c r="AM41" s="53" t="n"/>
      <c r="AN41" s="53" t="n"/>
      <c r="AO41" s="53" t="n"/>
      <c r="AP41" s="53" t="n"/>
      <c r="AQ41" s="53" t="n"/>
      <c r="AR41" s="53" t="n"/>
      <c r="AS41" s="53" t="n"/>
      <c r="AT41" s="53" t="n"/>
      <c r="AU41" s="53" t="n"/>
      <c r="AV41" s="53" t="n"/>
      <c r="AW41" s="53" t="n"/>
      <c r="AX41" s="53" t="n"/>
      <c r="AY41" s="53" t="n"/>
    </row>
    <row r="42" ht="15" customHeight="1">
      <c r="A42" s="40">
        <f>IF($D$42="","",12)</f>
        <v/>
      </c>
      <c r="B42" s="10" t="n"/>
      <c r="C42" s="41" t="inlineStr">
        <is>
          <t>마케팅1팀</t>
        </is>
      </c>
      <c r="D42" s="42" t="n"/>
      <c r="E42" s="43" t="inlineStr">
        <is>
          <t>기획</t>
        </is>
      </c>
      <c r="F42" s="44" t="n"/>
      <c r="G42" s="45" t="n"/>
      <c r="H42" s="46">
        <f>IF($I$42="","",IF($I$42&lt;0,"🔴지연",IF($I$42&lt;=1,"🟡임박","🟢여유")))</f>
        <v/>
      </c>
      <c r="I42" s="47">
        <f>IF(OR($G$42="",$K$42=""),"",$G$42-$K$42)</f>
        <v/>
      </c>
      <c r="J42" s="48">
        <f>IF(SUM($L$42:$L$44)=0,"",SUM($L$42:$L$44))</f>
        <v/>
      </c>
      <c r="K42" s="49">
        <f>IF($J$42="","",MAX($N$42:$N$44))</f>
        <v/>
      </c>
      <c r="L42" s="50">
        <f>IF(SUM(U42:AY42)=0,"",SUM(U42:AY42))</f>
        <v/>
      </c>
      <c r="M42" s="51">
        <f>IFERROR(INDEX(U$2:AY$2,MATCH(TRUE,INDEX(U42:AY42&lt;&gt;"",0),0)),"")</f>
        <v/>
      </c>
      <c r="N42" s="51">
        <f>IFERROR(LOOKUP(2,1/(U42:AY42&lt;&gt;""),U$2:AY$2),"")</f>
        <v/>
      </c>
      <c r="O42" s="52" t="n"/>
      <c r="P42" s="52" t="n"/>
      <c r="Q42" s="52" t="n"/>
      <c r="R42" s="44" t="n"/>
      <c r="S42" s="14" t="n"/>
      <c r="U42" s="53" t="n"/>
      <c r="V42" s="53" t="n"/>
      <c r="W42" s="53" t="n"/>
      <c r="X42" s="53" t="n"/>
      <c r="Y42" s="53" t="n"/>
      <c r="Z42" s="53" t="n"/>
      <c r="AA42" s="53" t="n"/>
      <c r="AB42" s="53" t="n"/>
      <c r="AC42" s="53" t="n"/>
      <c r="AD42" s="53" t="n"/>
      <c r="AE42" s="53" t="n"/>
      <c r="AF42" s="53" t="n"/>
      <c r="AG42" s="53" t="n"/>
      <c r="AH42" s="53" t="n"/>
      <c r="AI42" s="53" t="n"/>
      <c r="AJ42" s="53" t="n"/>
      <c r="AK42" s="53" t="n"/>
      <c r="AL42" s="53" t="n"/>
      <c r="AM42" s="53" t="n"/>
      <c r="AN42" s="53" t="n"/>
      <c r="AO42" s="53" t="n"/>
      <c r="AP42" s="53" t="n"/>
      <c r="AQ42" s="53" t="n"/>
      <c r="AR42" s="53" t="n"/>
      <c r="AS42" s="53" t="n"/>
      <c r="AT42" s="53" t="n"/>
      <c r="AU42" s="53" t="n"/>
      <c r="AV42" s="53" t="n"/>
      <c r="AW42" s="53" t="n"/>
      <c r="AX42" s="53" t="n"/>
      <c r="AY42" s="53" t="n"/>
    </row>
    <row r="43" ht="15" customHeight="1">
      <c r="A43" s="54" t="n"/>
      <c r="B43" s="55">
        <f>IF($B$42="","",$B$42)</f>
        <v/>
      </c>
      <c r="C43" s="56" t="inlineStr">
        <is>
          <t>마케팅1팀</t>
        </is>
      </c>
      <c r="D43" s="55">
        <f>IF($D$42="","",$D$42)</f>
        <v/>
      </c>
      <c r="E43" s="57" t="inlineStr">
        <is>
          <t>이미지</t>
        </is>
      </c>
      <c r="F43" s="44" t="n"/>
      <c r="G43" s="58">
        <f>IF($G$42="","",$G$42)</f>
        <v/>
      </c>
      <c r="H43" s="59" t="n"/>
      <c r="I43" s="59" t="n"/>
      <c r="J43" s="59" t="n"/>
      <c r="K43" s="59" t="n"/>
      <c r="L43" s="60">
        <f>IF(SUM(U43:AY43)=0,"",SUM(U43:AY43))</f>
        <v/>
      </c>
      <c r="M43" s="61">
        <f>IFERROR(INDEX(U$2:AY$2,MATCH(TRUE,INDEX(U43:AY43&lt;&gt;"",0),0)),"")</f>
        <v/>
      </c>
      <c r="N43" s="61">
        <f>IFERROR(LOOKUP(2,1/(U43:AY43&lt;&gt;""),U$2:AY$2),"")</f>
        <v/>
      </c>
      <c r="O43" s="59" t="n"/>
      <c r="P43" s="59" t="n"/>
      <c r="Q43" s="59" t="n"/>
      <c r="R43" s="59" t="n"/>
      <c r="S43" s="14" t="n"/>
      <c r="U43" s="53" t="n"/>
      <c r="V43" s="53" t="n"/>
      <c r="W43" s="53" t="n"/>
      <c r="X43" s="53" t="n"/>
      <c r="Y43" s="53" t="n"/>
      <c r="Z43" s="53" t="n"/>
      <c r="AA43" s="53" t="n"/>
      <c r="AB43" s="53" t="n"/>
      <c r="AC43" s="53" t="n"/>
      <c r="AD43" s="53" t="n"/>
      <c r="AE43" s="53" t="n"/>
      <c r="AF43" s="53" t="n"/>
      <c r="AG43" s="53" t="n"/>
      <c r="AH43" s="53" t="n"/>
      <c r="AI43" s="53" t="n"/>
      <c r="AJ43" s="53" t="n"/>
      <c r="AK43" s="53" t="n"/>
      <c r="AL43" s="53" t="n"/>
      <c r="AM43" s="53" t="n"/>
      <c r="AN43" s="53" t="n"/>
      <c r="AO43" s="53" t="n"/>
      <c r="AP43" s="53" t="n"/>
      <c r="AQ43" s="53" t="n"/>
      <c r="AR43" s="53" t="n"/>
      <c r="AS43" s="53" t="n"/>
      <c r="AT43" s="53" t="n"/>
      <c r="AU43" s="53" t="n"/>
      <c r="AV43" s="53" t="n"/>
      <c r="AW43" s="53" t="n"/>
      <c r="AX43" s="53" t="n"/>
      <c r="AY43" s="53" t="n"/>
    </row>
    <row r="44" ht="15" customHeight="1">
      <c r="A44" s="62" t="n"/>
      <c r="B44" s="55">
        <f>IF($B$42="","",$B$42)</f>
        <v/>
      </c>
      <c r="C44" s="63" t="inlineStr">
        <is>
          <t>마케팅1팀</t>
        </is>
      </c>
      <c r="D44" s="55">
        <f>IF($D$42="","",$D$42)</f>
        <v/>
      </c>
      <c r="E44" s="64" t="inlineStr">
        <is>
          <t>영상</t>
        </is>
      </c>
      <c r="F44" s="44" t="n"/>
      <c r="G44" s="58">
        <f>IF($G$42="","",$G$42)</f>
        <v/>
      </c>
      <c r="H44" s="59" t="n"/>
      <c r="I44" s="59" t="n"/>
      <c r="J44" s="59" t="n"/>
      <c r="K44" s="59" t="n"/>
      <c r="L44" s="65">
        <f>IF(SUM(U44:AY44)=0,"",SUM(U44:AY44))</f>
        <v/>
      </c>
      <c r="M44" s="66">
        <f>IFERROR(INDEX(U$2:AY$2,MATCH(TRUE,INDEX(U44:AY44&lt;&gt;"",0),0)),"")</f>
        <v/>
      </c>
      <c r="N44" s="66">
        <f>IFERROR(LOOKUP(2,1/(U44:AY44&lt;&gt;""),U$2:AY$2),"")</f>
        <v/>
      </c>
      <c r="O44" s="59" t="n"/>
      <c r="P44" s="59" t="n"/>
      <c r="Q44" s="59" t="n"/>
      <c r="R44" s="59" t="n"/>
      <c r="S44" s="14" t="n"/>
      <c r="U44" s="53" t="n"/>
      <c r="V44" s="53" t="n"/>
      <c r="W44" s="53" t="n"/>
      <c r="X44" s="53" t="n"/>
      <c r="Y44" s="53" t="n"/>
      <c r="Z44" s="53" t="n"/>
      <c r="AA44" s="53" t="n"/>
      <c r="AB44" s="53" t="n"/>
      <c r="AC44" s="53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53" t="n"/>
      <c r="AN44" s="53" t="n"/>
      <c r="AO44" s="53" t="n"/>
      <c r="AP44" s="53" t="n"/>
      <c r="AQ44" s="53" t="n"/>
      <c r="AR44" s="53" t="n"/>
      <c r="AS44" s="53" t="n"/>
      <c r="AT44" s="53" t="n"/>
      <c r="AU44" s="53" t="n"/>
      <c r="AV44" s="53" t="n"/>
      <c r="AW44" s="53" t="n"/>
      <c r="AX44" s="53" t="n"/>
      <c r="AY44" s="53" t="n"/>
    </row>
    <row r="45" ht="15" customHeight="1">
      <c r="A45" s="40">
        <f>IF($D$45="","",13)</f>
        <v/>
      </c>
      <c r="B45" s="10" t="n"/>
      <c r="C45" s="41" t="inlineStr">
        <is>
          <t>마케팅1팀</t>
        </is>
      </c>
      <c r="D45" s="42" t="n"/>
      <c r="E45" s="43" t="inlineStr">
        <is>
          <t>기획</t>
        </is>
      </c>
      <c r="F45" s="44" t="n"/>
      <c r="G45" s="45" t="n"/>
      <c r="H45" s="46">
        <f>IF($I$45="","",IF($I$45&lt;0,"🔴지연",IF($I$45&lt;=1,"🟡임박","🟢여유")))</f>
        <v/>
      </c>
      <c r="I45" s="47">
        <f>IF(OR($G$45="",$K$45=""),"",$G$45-$K$45)</f>
        <v/>
      </c>
      <c r="J45" s="48">
        <f>IF(SUM($L$45:$L$47)=0,"",SUM($L$45:$L$47))</f>
        <v/>
      </c>
      <c r="K45" s="49">
        <f>IF($J$45="","",MAX($N$45:$N$47))</f>
        <v/>
      </c>
      <c r="L45" s="50">
        <f>IF(SUM(U45:AY45)=0,"",SUM(U45:AY45))</f>
        <v/>
      </c>
      <c r="M45" s="51">
        <f>IFERROR(INDEX(U$2:AY$2,MATCH(TRUE,INDEX(U45:AY45&lt;&gt;"",0),0)),"")</f>
        <v/>
      </c>
      <c r="N45" s="51">
        <f>IFERROR(LOOKUP(2,1/(U45:AY45&lt;&gt;""),U$2:AY$2),"")</f>
        <v/>
      </c>
      <c r="O45" s="52" t="n"/>
      <c r="P45" s="52" t="n"/>
      <c r="Q45" s="52" t="n"/>
      <c r="R45" s="44" t="n"/>
      <c r="S45" s="14" t="n"/>
      <c r="U45" s="53" t="n"/>
      <c r="V45" s="53" t="n"/>
      <c r="W45" s="53" t="n"/>
      <c r="X45" s="53" t="n"/>
      <c r="Y45" s="53" t="n"/>
      <c r="Z45" s="53" t="n"/>
      <c r="AA45" s="53" t="n"/>
      <c r="AB45" s="53" t="n"/>
      <c r="AC45" s="53" t="n"/>
      <c r="AD45" s="53" t="n"/>
      <c r="AE45" s="53" t="n"/>
      <c r="AF45" s="53" t="n"/>
      <c r="AG45" s="53" t="n"/>
      <c r="AH45" s="53" t="n"/>
      <c r="AI45" s="53" t="n"/>
      <c r="AJ45" s="53" t="n"/>
      <c r="AK45" s="53" t="n"/>
      <c r="AL45" s="53" t="n"/>
      <c r="AM45" s="53" t="n"/>
      <c r="AN45" s="53" t="n"/>
      <c r="AO45" s="53" t="n"/>
      <c r="AP45" s="53" t="n"/>
      <c r="AQ45" s="53" t="n"/>
      <c r="AR45" s="53" t="n"/>
      <c r="AS45" s="53" t="n"/>
      <c r="AT45" s="53" t="n"/>
      <c r="AU45" s="53" t="n"/>
      <c r="AV45" s="53" t="n"/>
      <c r="AW45" s="53" t="n"/>
      <c r="AX45" s="53" t="n"/>
      <c r="AY45" s="53" t="n"/>
    </row>
    <row r="46" ht="15" customHeight="1">
      <c r="A46" s="54" t="n"/>
      <c r="B46" s="55">
        <f>IF($B$45="","",$B$45)</f>
        <v/>
      </c>
      <c r="C46" s="56" t="inlineStr">
        <is>
          <t>마케팅1팀</t>
        </is>
      </c>
      <c r="D46" s="55">
        <f>IF($D$45="","",$D$45)</f>
        <v/>
      </c>
      <c r="E46" s="57" t="inlineStr">
        <is>
          <t>이미지</t>
        </is>
      </c>
      <c r="F46" s="44" t="n"/>
      <c r="G46" s="58">
        <f>IF($G$45="","",$G$45)</f>
        <v/>
      </c>
      <c r="H46" s="59" t="n"/>
      <c r="I46" s="59" t="n"/>
      <c r="J46" s="59" t="n"/>
      <c r="K46" s="59" t="n"/>
      <c r="L46" s="60">
        <f>IF(SUM(U46:AY46)=0,"",SUM(U46:AY46))</f>
        <v/>
      </c>
      <c r="M46" s="61">
        <f>IFERROR(INDEX(U$2:AY$2,MATCH(TRUE,INDEX(U46:AY46&lt;&gt;"",0),0)),"")</f>
        <v/>
      </c>
      <c r="N46" s="61">
        <f>IFERROR(LOOKUP(2,1/(U46:AY46&lt;&gt;""),U$2:AY$2),"")</f>
        <v/>
      </c>
      <c r="O46" s="59" t="n"/>
      <c r="P46" s="59" t="n"/>
      <c r="Q46" s="59" t="n"/>
      <c r="R46" s="59" t="n"/>
      <c r="S46" s="14" t="n"/>
      <c r="U46" s="53" t="n"/>
      <c r="V46" s="53" t="n"/>
      <c r="W46" s="53" t="n"/>
      <c r="X46" s="53" t="n"/>
      <c r="Y46" s="53" t="n"/>
      <c r="Z46" s="53" t="n"/>
      <c r="AA46" s="53" t="n"/>
      <c r="AB46" s="53" t="n"/>
      <c r="AC46" s="53" t="n"/>
      <c r="AD46" s="53" t="n"/>
      <c r="AE46" s="53" t="n"/>
      <c r="AF46" s="53" t="n"/>
      <c r="AG46" s="53" t="n"/>
      <c r="AH46" s="53" t="n"/>
      <c r="AI46" s="53" t="n"/>
      <c r="AJ46" s="53" t="n"/>
      <c r="AK46" s="53" t="n"/>
      <c r="AL46" s="53" t="n"/>
      <c r="AM46" s="53" t="n"/>
      <c r="AN46" s="53" t="n"/>
      <c r="AO46" s="53" t="n"/>
      <c r="AP46" s="53" t="n"/>
      <c r="AQ46" s="53" t="n"/>
      <c r="AR46" s="53" t="n"/>
      <c r="AS46" s="53" t="n"/>
      <c r="AT46" s="53" t="n"/>
      <c r="AU46" s="53" t="n"/>
      <c r="AV46" s="53" t="n"/>
      <c r="AW46" s="53" t="n"/>
      <c r="AX46" s="53" t="n"/>
      <c r="AY46" s="53" t="n"/>
    </row>
    <row r="47" ht="15" customHeight="1">
      <c r="A47" s="62" t="n"/>
      <c r="B47" s="55">
        <f>IF($B$45="","",$B$45)</f>
        <v/>
      </c>
      <c r="C47" s="63" t="inlineStr">
        <is>
          <t>마케팅1팀</t>
        </is>
      </c>
      <c r="D47" s="55">
        <f>IF($D$45="","",$D$45)</f>
        <v/>
      </c>
      <c r="E47" s="64" t="inlineStr">
        <is>
          <t>영상</t>
        </is>
      </c>
      <c r="F47" s="44" t="n"/>
      <c r="G47" s="58">
        <f>IF($G$45="","",$G$45)</f>
        <v/>
      </c>
      <c r="H47" s="59" t="n"/>
      <c r="I47" s="59" t="n"/>
      <c r="J47" s="59" t="n"/>
      <c r="K47" s="59" t="n"/>
      <c r="L47" s="65">
        <f>IF(SUM(U47:AY47)=0,"",SUM(U47:AY47))</f>
        <v/>
      </c>
      <c r="M47" s="66">
        <f>IFERROR(INDEX(U$2:AY$2,MATCH(TRUE,INDEX(U47:AY47&lt;&gt;"",0),0)),"")</f>
        <v/>
      </c>
      <c r="N47" s="66">
        <f>IFERROR(LOOKUP(2,1/(U47:AY47&lt;&gt;""),U$2:AY$2),"")</f>
        <v/>
      </c>
      <c r="O47" s="59" t="n"/>
      <c r="P47" s="59" t="n"/>
      <c r="Q47" s="59" t="n"/>
      <c r="R47" s="59" t="n"/>
      <c r="S47" s="14" t="n"/>
      <c r="U47" s="53" t="n"/>
      <c r="V47" s="53" t="n"/>
      <c r="W47" s="53" t="n"/>
      <c r="X47" s="53" t="n"/>
      <c r="Y47" s="53" t="n"/>
      <c r="Z47" s="53" t="n"/>
      <c r="AA47" s="53" t="n"/>
      <c r="AB47" s="53" t="n"/>
      <c r="AC47" s="53" t="n"/>
      <c r="AD47" s="53" t="n"/>
      <c r="AE47" s="53" t="n"/>
      <c r="AF47" s="53" t="n"/>
      <c r="AG47" s="53" t="n"/>
      <c r="AH47" s="53" t="n"/>
      <c r="AI47" s="53" t="n"/>
      <c r="AJ47" s="53" t="n"/>
      <c r="AK47" s="53" t="n"/>
      <c r="AL47" s="53" t="n"/>
      <c r="AM47" s="53" t="n"/>
      <c r="AN47" s="53" t="n"/>
      <c r="AO47" s="53" t="n"/>
      <c r="AP47" s="53" t="n"/>
      <c r="AQ47" s="53" t="n"/>
      <c r="AR47" s="53" t="n"/>
      <c r="AS47" s="53" t="n"/>
      <c r="AT47" s="53" t="n"/>
      <c r="AU47" s="53" t="n"/>
      <c r="AV47" s="53" t="n"/>
      <c r="AW47" s="53" t="n"/>
      <c r="AX47" s="53" t="n"/>
      <c r="AY47" s="53" t="n"/>
    </row>
    <row r="48" ht="15" customHeight="1">
      <c r="A48" s="40">
        <f>IF($D$48="","",14)</f>
        <v/>
      </c>
      <c r="B48" s="10" t="n"/>
      <c r="C48" s="41" t="inlineStr">
        <is>
          <t>마케팅1팀</t>
        </is>
      </c>
      <c r="D48" s="42" t="n"/>
      <c r="E48" s="43" t="inlineStr">
        <is>
          <t>기획</t>
        </is>
      </c>
      <c r="F48" s="44" t="n"/>
      <c r="G48" s="45" t="n"/>
      <c r="H48" s="46">
        <f>IF($I$48="","",IF($I$48&lt;0,"🔴지연",IF($I$48&lt;=1,"🟡임박","🟢여유")))</f>
        <v/>
      </c>
      <c r="I48" s="47">
        <f>IF(OR($G$48="",$K$48=""),"",$G$48-$K$48)</f>
        <v/>
      </c>
      <c r="J48" s="48">
        <f>IF(SUM($L$48:$L$50)=0,"",SUM($L$48:$L$50))</f>
        <v/>
      </c>
      <c r="K48" s="49">
        <f>IF($J$48="","",MAX($N$48:$N$50))</f>
        <v/>
      </c>
      <c r="L48" s="50">
        <f>IF(SUM(U48:AY48)=0,"",SUM(U48:AY48))</f>
        <v/>
      </c>
      <c r="M48" s="51">
        <f>IFERROR(INDEX(U$2:AY$2,MATCH(TRUE,INDEX(U48:AY48&lt;&gt;"",0),0)),"")</f>
        <v/>
      </c>
      <c r="N48" s="51">
        <f>IFERROR(LOOKUP(2,1/(U48:AY48&lt;&gt;""),U$2:AY$2),"")</f>
        <v/>
      </c>
      <c r="O48" s="52" t="n"/>
      <c r="P48" s="52" t="n"/>
      <c r="Q48" s="52" t="n"/>
      <c r="R48" s="44" t="n"/>
      <c r="S48" s="14" t="n"/>
      <c r="U48" s="53" t="n"/>
      <c r="V48" s="53" t="n"/>
      <c r="W48" s="53" t="n"/>
      <c r="X48" s="53" t="n"/>
      <c r="Y48" s="53" t="n"/>
      <c r="Z48" s="53" t="n"/>
      <c r="AA48" s="53" t="n"/>
      <c r="AB48" s="53" t="n"/>
      <c r="AC48" s="53" t="n"/>
      <c r="AD48" s="53" t="n"/>
      <c r="AE48" s="53" t="n"/>
      <c r="AF48" s="53" t="n"/>
      <c r="AG48" s="53" t="n"/>
      <c r="AH48" s="53" t="n"/>
      <c r="AI48" s="53" t="n"/>
      <c r="AJ48" s="53" t="n"/>
      <c r="AK48" s="53" t="n"/>
      <c r="AL48" s="53" t="n"/>
      <c r="AM48" s="53" t="n"/>
      <c r="AN48" s="53" t="n"/>
      <c r="AO48" s="53" t="n"/>
      <c r="AP48" s="53" t="n"/>
      <c r="AQ48" s="53" t="n"/>
      <c r="AR48" s="53" t="n"/>
      <c r="AS48" s="53" t="n"/>
      <c r="AT48" s="53" t="n"/>
      <c r="AU48" s="53" t="n"/>
      <c r="AV48" s="53" t="n"/>
      <c r="AW48" s="53" t="n"/>
      <c r="AX48" s="53" t="n"/>
      <c r="AY48" s="53" t="n"/>
    </row>
    <row r="49" ht="15" customHeight="1">
      <c r="A49" s="54" t="n"/>
      <c r="B49" s="55">
        <f>IF($B$48="","",$B$48)</f>
        <v/>
      </c>
      <c r="C49" s="56" t="inlineStr">
        <is>
          <t>마케팅1팀</t>
        </is>
      </c>
      <c r="D49" s="55">
        <f>IF($D$48="","",$D$48)</f>
        <v/>
      </c>
      <c r="E49" s="57" t="inlineStr">
        <is>
          <t>이미지</t>
        </is>
      </c>
      <c r="F49" s="44" t="n"/>
      <c r="G49" s="58">
        <f>IF($G$48="","",$G$48)</f>
        <v/>
      </c>
      <c r="H49" s="59" t="n"/>
      <c r="I49" s="59" t="n"/>
      <c r="J49" s="59" t="n"/>
      <c r="K49" s="59" t="n"/>
      <c r="L49" s="60">
        <f>IF(SUM(U49:AY49)=0,"",SUM(U49:AY49))</f>
        <v/>
      </c>
      <c r="M49" s="61">
        <f>IFERROR(INDEX(U$2:AY$2,MATCH(TRUE,INDEX(U49:AY49&lt;&gt;"",0),0)),"")</f>
        <v/>
      </c>
      <c r="N49" s="61">
        <f>IFERROR(LOOKUP(2,1/(U49:AY49&lt;&gt;""),U$2:AY$2),"")</f>
        <v/>
      </c>
      <c r="O49" s="59" t="n"/>
      <c r="P49" s="59" t="n"/>
      <c r="Q49" s="59" t="n"/>
      <c r="R49" s="59" t="n"/>
      <c r="S49" s="14" t="n"/>
      <c r="U49" s="53" t="n"/>
      <c r="V49" s="53" t="n"/>
      <c r="W49" s="53" t="n"/>
      <c r="X49" s="53" t="n"/>
      <c r="Y49" s="53" t="n"/>
      <c r="Z49" s="53" t="n"/>
      <c r="AA49" s="53" t="n"/>
      <c r="AB49" s="53" t="n"/>
      <c r="AC49" s="53" t="n"/>
      <c r="AD49" s="53" t="n"/>
      <c r="AE49" s="53" t="n"/>
      <c r="AF49" s="53" t="n"/>
      <c r="AG49" s="53" t="n"/>
      <c r="AH49" s="53" t="n"/>
      <c r="AI49" s="53" t="n"/>
      <c r="AJ49" s="53" t="n"/>
      <c r="AK49" s="53" t="n"/>
      <c r="AL49" s="53" t="n"/>
      <c r="AM49" s="53" t="n"/>
      <c r="AN49" s="53" t="n"/>
      <c r="AO49" s="53" t="n"/>
      <c r="AP49" s="53" t="n"/>
      <c r="AQ49" s="53" t="n"/>
      <c r="AR49" s="53" t="n"/>
      <c r="AS49" s="53" t="n"/>
      <c r="AT49" s="53" t="n"/>
      <c r="AU49" s="53" t="n"/>
      <c r="AV49" s="53" t="n"/>
      <c r="AW49" s="53" t="n"/>
      <c r="AX49" s="53" t="n"/>
      <c r="AY49" s="53" t="n"/>
    </row>
    <row r="50" ht="15" customHeight="1">
      <c r="A50" s="62" t="n"/>
      <c r="B50" s="55">
        <f>IF($B$48="","",$B$48)</f>
        <v/>
      </c>
      <c r="C50" s="63" t="inlineStr">
        <is>
          <t>마케팅1팀</t>
        </is>
      </c>
      <c r="D50" s="55">
        <f>IF($D$48="","",$D$48)</f>
        <v/>
      </c>
      <c r="E50" s="64" t="inlineStr">
        <is>
          <t>영상</t>
        </is>
      </c>
      <c r="F50" s="44" t="n"/>
      <c r="G50" s="58">
        <f>IF($G$48="","",$G$48)</f>
        <v/>
      </c>
      <c r="H50" s="59" t="n"/>
      <c r="I50" s="59" t="n"/>
      <c r="J50" s="59" t="n"/>
      <c r="K50" s="59" t="n"/>
      <c r="L50" s="65">
        <f>IF(SUM(U50:AY50)=0,"",SUM(U50:AY50))</f>
        <v/>
      </c>
      <c r="M50" s="66">
        <f>IFERROR(INDEX(U$2:AY$2,MATCH(TRUE,INDEX(U50:AY50&lt;&gt;"",0),0)),"")</f>
        <v/>
      </c>
      <c r="N50" s="66">
        <f>IFERROR(LOOKUP(2,1/(U50:AY50&lt;&gt;""),U$2:AY$2),"")</f>
        <v/>
      </c>
      <c r="O50" s="59" t="n"/>
      <c r="P50" s="59" t="n"/>
      <c r="Q50" s="59" t="n"/>
      <c r="R50" s="59" t="n"/>
      <c r="S50" s="14" t="n"/>
      <c r="U50" s="53" t="n"/>
      <c r="V50" s="53" t="n"/>
      <c r="W50" s="53" t="n"/>
      <c r="X50" s="53" t="n"/>
      <c r="Y50" s="53" t="n"/>
      <c r="Z50" s="53" t="n"/>
      <c r="AA50" s="53" t="n"/>
      <c r="AB50" s="53" t="n"/>
      <c r="AC50" s="53" t="n"/>
      <c r="AD50" s="53" t="n"/>
      <c r="AE50" s="53" t="n"/>
      <c r="AF50" s="53" t="n"/>
      <c r="AG50" s="53" t="n"/>
      <c r="AH50" s="53" t="n"/>
      <c r="AI50" s="53" t="n"/>
      <c r="AJ50" s="53" t="n"/>
      <c r="AK50" s="53" t="n"/>
      <c r="AL50" s="53" t="n"/>
      <c r="AM50" s="53" t="n"/>
      <c r="AN50" s="53" t="n"/>
      <c r="AO50" s="53" t="n"/>
      <c r="AP50" s="53" t="n"/>
      <c r="AQ50" s="53" t="n"/>
      <c r="AR50" s="53" t="n"/>
      <c r="AS50" s="53" t="n"/>
      <c r="AT50" s="53" t="n"/>
      <c r="AU50" s="53" t="n"/>
      <c r="AV50" s="53" t="n"/>
      <c r="AW50" s="53" t="n"/>
      <c r="AX50" s="53" t="n"/>
      <c r="AY50" s="53" t="n"/>
    </row>
    <row r="51" ht="15" customHeight="1">
      <c r="A51" s="40">
        <f>IF($D$51="","",15)</f>
        <v/>
      </c>
      <c r="B51" s="10" t="n"/>
      <c r="C51" s="41" t="inlineStr">
        <is>
          <t>마케팅1팀</t>
        </is>
      </c>
      <c r="D51" s="42" t="n"/>
      <c r="E51" s="43" t="inlineStr">
        <is>
          <t>기획</t>
        </is>
      </c>
      <c r="F51" s="44" t="n"/>
      <c r="G51" s="45" t="n"/>
      <c r="H51" s="46">
        <f>IF($I$51="","",IF($I$51&lt;0,"🔴지연",IF($I$51&lt;=1,"🟡임박","🟢여유")))</f>
        <v/>
      </c>
      <c r="I51" s="47">
        <f>IF(OR($G$51="",$K$51=""),"",$G$51-$K$51)</f>
        <v/>
      </c>
      <c r="J51" s="48">
        <f>IF(SUM($L$51:$L$53)=0,"",SUM($L$51:$L$53))</f>
        <v/>
      </c>
      <c r="K51" s="49">
        <f>IF($J$51="","",MAX($N$51:$N$53))</f>
        <v/>
      </c>
      <c r="L51" s="50">
        <f>IF(SUM(U51:AY51)=0,"",SUM(U51:AY51))</f>
        <v/>
      </c>
      <c r="M51" s="51">
        <f>IFERROR(INDEX(U$2:AY$2,MATCH(TRUE,INDEX(U51:AY51&lt;&gt;"",0),0)),"")</f>
        <v/>
      </c>
      <c r="N51" s="51">
        <f>IFERROR(LOOKUP(2,1/(U51:AY51&lt;&gt;""),U$2:AY$2),"")</f>
        <v/>
      </c>
      <c r="O51" s="52" t="n"/>
      <c r="P51" s="52" t="n"/>
      <c r="Q51" s="52" t="n"/>
      <c r="R51" s="44" t="n"/>
      <c r="S51" s="14" t="n"/>
      <c r="U51" s="53" t="n"/>
      <c r="V51" s="53" t="n"/>
      <c r="W51" s="53" t="n"/>
      <c r="X51" s="53" t="n"/>
      <c r="Y51" s="53" t="n"/>
      <c r="Z51" s="53" t="n"/>
      <c r="AA51" s="53" t="n"/>
      <c r="AB51" s="53" t="n"/>
      <c r="AC51" s="53" t="n"/>
      <c r="AD51" s="53" t="n"/>
      <c r="AE51" s="53" t="n"/>
      <c r="AF51" s="53" t="n"/>
      <c r="AG51" s="53" t="n"/>
      <c r="AH51" s="53" t="n"/>
      <c r="AI51" s="53" t="n"/>
      <c r="AJ51" s="53" t="n"/>
      <c r="AK51" s="53" t="n"/>
      <c r="AL51" s="53" t="n"/>
      <c r="AM51" s="53" t="n"/>
      <c r="AN51" s="53" t="n"/>
      <c r="AO51" s="53" t="n"/>
      <c r="AP51" s="53" t="n"/>
      <c r="AQ51" s="53" t="n"/>
      <c r="AR51" s="53" t="n"/>
      <c r="AS51" s="53" t="n"/>
      <c r="AT51" s="53" t="n"/>
      <c r="AU51" s="53" t="n"/>
      <c r="AV51" s="53" t="n"/>
      <c r="AW51" s="53" t="n"/>
      <c r="AX51" s="53" t="n"/>
      <c r="AY51" s="53" t="n"/>
    </row>
    <row r="52" ht="15" customHeight="1">
      <c r="A52" s="54" t="n"/>
      <c r="B52" s="55">
        <f>IF($B$51="","",$B$51)</f>
        <v/>
      </c>
      <c r="C52" s="56" t="inlineStr">
        <is>
          <t>마케팅1팀</t>
        </is>
      </c>
      <c r="D52" s="55">
        <f>IF($D$51="","",$D$51)</f>
        <v/>
      </c>
      <c r="E52" s="57" t="inlineStr">
        <is>
          <t>이미지</t>
        </is>
      </c>
      <c r="F52" s="44" t="n"/>
      <c r="G52" s="58">
        <f>IF($G$51="","",$G$51)</f>
        <v/>
      </c>
      <c r="H52" s="59" t="n"/>
      <c r="I52" s="59" t="n"/>
      <c r="J52" s="59" t="n"/>
      <c r="K52" s="59" t="n"/>
      <c r="L52" s="60">
        <f>IF(SUM(U52:AY52)=0,"",SUM(U52:AY52))</f>
        <v/>
      </c>
      <c r="M52" s="61">
        <f>IFERROR(INDEX(U$2:AY$2,MATCH(TRUE,INDEX(U52:AY52&lt;&gt;"",0),0)),"")</f>
        <v/>
      </c>
      <c r="N52" s="61">
        <f>IFERROR(LOOKUP(2,1/(U52:AY52&lt;&gt;""),U$2:AY$2),"")</f>
        <v/>
      </c>
      <c r="O52" s="59" t="n"/>
      <c r="P52" s="59" t="n"/>
      <c r="Q52" s="59" t="n"/>
      <c r="R52" s="59" t="n"/>
      <c r="S52" s="14" t="n"/>
      <c r="U52" s="53" t="n"/>
      <c r="V52" s="53" t="n"/>
      <c r="W52" s="53" t="n"/>
      <c r="X52" s="53" t="n"/>
      <c r="Y52" s="53" t="n"/>
      <c r="Z52" s="53" t="n"/>
      <c r="AA52" s="53" t="n"/>
      <c r="AB52" s="53" t="n"/>
      <c r="AC52" s="53" t="n"/>
      <c r="AD52" s="53" t="n"/>
      <c r="AE52" s="53" t="n"/>
      <c r="AF52" s="53" t="n"/>
      <c r="AG52" s="53" t="n"/>
      <c r="AH52" s="53" t="n"/>
      <c r="AI52" s="53" t="n"/>
      <c r="AJ52" s="53" t="n"/>
      <c r="AK52" s="53" t="n"/>
      <c r="AL52" s="53" t="n"/>
      <c r="AM52" s="53" t="n"/>
      <c r="AN52" s="53" t="n"/>
      <c r="AO52" s="53" t="n"/>
      <c r="AP52" s="53" t="n"/>
      <c r="AQ52" s="53" t="n"/>
      <c r="AR52" s="53" t="n"/>
      <c r="AS52" s="53" t="n"/>
      <c r="AT52" s="53" t="n"/>
      <c r="AU52" s="53" t="n"/>
      <c r="AV52" s="53" t="n"/>
      <c r="AW52" s="53" t="n"/>
      <c r="AX52" s="53" t="n"/>
      <c r="AY52" s="53" t="n"/>
    </row>
    <row r="53" ht="15" customHeight="1">
      <c r="A53" s="62" t="n"/>
      <c r="B53" s="55">
        <f>IF($B$51="","",$B$51)</f>
        <v/>
      </c>
      <c r="C53" s="63" t="inlineStr">
        <is>
          <t>마케팅1팀</t>
        </is>
      </c>
      <c r="D53" s="55">
        <f>IF($D$51="","",$D$51)</f>
        <v/>
      </c>
      <c r="E53" s="64" t="inlineStr">
        <is>
          <t>영상</t>
        </is>
      </c>
      <c r="F53" s="44" t="n"/>
      <c r="G53" s="58">
        <f>IF($G$51="","",$G$51)</f>
        <v/>
      </c>
      <c r="H53" s="59" t="n"/>
      <c r="I53" s="59" t="n"/>
      <c r="J53" s="59" t="n"/>
      <c r="K53" s="59" t="n"/>
      <c r="L53" s="65">
        <f>IF(SUM(U53:AY53)=0,"",SUM(U53:AY53))</f>
        <v/>
      </c>
      <c r="M53" s="66">
        <f>IFERROR(INDEX(U$2:AY$2,MATCH(TRUE,INDEX(U53:AY53&lt;&gt;"",0),0)),"")</f>
        <v/>
      </c>
      <c r="N53" s="66">
        <f>IFERROR(LOOKUP(2,1/(U53:AY53&lt;&gt;""),U$2:AY$2),"")</f>
        <v/>
      </c>
      <c r="O53" s="59" t="n"/>
      <c r="P53" s="59" t="n"/>
      <c r="Q53" s="59" t="n"/>
      <c r="R53" s="59" t="n"/>
      <c r="S53" s="14" t="n"/>
      <c r="U53" s="53" t="n"/>
      <c r="V53" s="53" t="n"/>
      <c r="W53" s="53" t="n"/>
      <c r="X53" s="53" t="n"/>
      <c r="Y53" s="53" t="n"/>
      <c r="Z53" s="53" t="n"/>
      <c r="AA53" s="53" t="n"/>
      <c r="AB53" s="53" t="n"/>
      <c r="AC53" s="53" t="n"/>
      <c r="AD53" s="53" t="n"/>
      <c r="AE53" s="53" t="n"/>
      <c r="AF53" s="53" t="n"/>
      <c r="AG53" s="53" t="n"/>
      <c r="AH53" s="53" t="n"/>
      <c r="AI53" s="53" t="n"/>
      <c r="AJ53" s="53" t="n"/>
      <c r="AK53" s="53" t="n"/>
      <c r="AL53" s="53" t="n"/>
      <c r="AM53" s="53" t="n"/>
      <c r="AN53" s="53" t="n"/>
      <c r="AO53" s="53" t="n"/>
      <c r="AP53" s="53" t="n"/>
      <c r="AQ53" s="53" t="n"/>
      <c r="AR53" s="53" t="n"/>
      <c r="AS53" s="53" t="n"/>
      <c r="AT53" s="53" t="n"/>
      <c r="AU53" s="53" t="n"/>
      <c r="AV53" s="53" t="n"/>
      <c r="AW53" s="53" t="n"/>
      <c r="AX53" s="53" t="n"/>
      <c r="AY53" s="53" t="n"/>
    </row>
    <row r="54" ht="15" customHeight="1">
      <c r="A54" s="40">
        <f>IF($D$54="","",16)</f>
        <v/>
      </c>
      <c r="B54" s="10" t="n"/>
      <c r="C54" s="41" t="inlineStr">
        <is>
          <t>마케팅1팀</t>
        </is>
      </c>
      <c r="D54" s="42" t="n"/>
      <c r="E54" s="43" t="inlineStr">
        <is>
          <t>기획</t>
        </is>
      </c>
      <c r="F54" s="44" t="n"/>
      <c r="G54" s="45" t="n"/>
      <c r="H54" s="46">
        <f>IF($I$54="","",IF($I$54&lt;0,"🔴지연",IF($I$54&lt;=1,"🟡임박","🟢여유")))</f>
        <v/>
      </c>
      <c r="I54" s="47">
        <f>IF(OR($G$54="",$K$54=""),"",$G$54-$K$54)</f>
        <v/>
      </c>
      <c r="J54" s="48">
        <f>IF(SUM($L$54:$L$56)=0,"",SUM($L$54:$L$56))</f>
        <v/>
      </c>
      <c r="K54" s="49">
        <f>IF($J$54="","",MAX($N$54:$N$56))</f>
        <v/>
      </c>
      <c r="L54" s="50">
        <f>IF(SUM(U54:AY54)=0,"",SUM(U54:AY54))</f>
        <v/>
      </c>
      <c r="M54" s="51">
        <f>IFERROR(INDEX(U$2:AY$2,MATCH(TRUE,INDEX(U54:AY54&lt;&gt;"",0),0)),"")</f>
        <v/>
      </c>
      <c r="N54" s="51">
        <f>IFERROR(LOOKUP(2,1/(U54:AY54&lt;&gt;""),U$2:AY$2),"")</f>
        <v/>
      </c>
      <c r="O54" s="52" t="n"/>
      <c r="P54" s="52" t="n"/>
      <c r="Q54" s="52" t="n"/>
      <c r="R54" s="44" t="n"/>
      <c r="S54" s="14" t="n"/>
      <c r="U54" s="53" t="n"/>
      <c r="V54" s="53" t="n"/>
      <c r="W54" s="53" t="n"/>
      <c r="X54" s="53" t="n"/>
      <c r="Y54" s="53" t="n"/>
      <c r="Z54" s="53" t="n"/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s="53" t="n"/>
      <c r="AJ54" s="53" t="n"/>
      <c r="AK54" s="53" t="n"/>
      <c r="AL54" s="53" t="n"/>
      <c r="AM54" s="53" t="n"/>
      <c r="AN54" s="53" t="n"/>
      <c r="AO54" s="53" t="n"/>
      <c r="AP54" s="53" t="n"/>
      <c r="AQ54" s="53" t="n"/>
      <c r="AR54" s="53" t="n"/>
      <c r="AS54" s="53" t="n"/>
      <c r="AT54" s="53" t="n"/>
      <c r="AU54" s="53" t="n"/>
      <c r="AV54" s="53" t="n"/>
      <c r="AW54" s="53" t="n"/>
      <c r="AX54" s="53" t="n"/>
      <c r="AY54" s="53" t="n"/>
    </row>
    <row r="55" ht="15" customHeight="1">
      <c r="A55" s="54" t="n"/>
      <c r="B55" s="55">
        <f>IF($B$54="","",$B$54)</f>
        <v/>
      </c>
      <c r="C55" s="56" t="inlineStr">
        <is>
          <t>마케팅1팀</t>
        </is>
      </c>
      <c r="D55" s="55">
        <f>IF($D$54="","",$D$54)</f>
        <v/>
      </c>
      <c r="E55" s="57" t="inlineStr">
        <is>
          <t>이미지</t>
        </is>
      </c>
      <c r="F55" s="44" t="n"/>
      <c r="G55" s="58">
        <f>IF($G$54="","",$G$54)</f>
        <v/>
      </c>
      <c r="H55" s="59" t="n"/>
      <c r="I55" s="59" t="n"/>
      <c r="J55" s="59" t="n"/>
      <c r="K55" s="59" t="n"/>
      <c r="L55" s="60">
        <f>IF(SUM(U55:AY55)=0,"",SUM(U55:AY55))</f>
        <v/>
      </c>
      <c r="M55" s="61">
        <f>IFERROR(INDEX(U$2:AY$2,MATCH(TRUE,INDEX(U55:AY55&lt;&gt;"",0),0)),"")</f>
        <v/>
      </c>
      <c r="N55" s="61">
        <f>IFERROR(LOOKUP(2,1/(U55:AY55&lt;&gt;""),U$2:AY$2),"")</f>
        <v/>
      </c>
      <c r="O55" s="59" t="n"/>
      <c r="P55" s="59" t="n"/>
      <c r="Q55" s="59" t="n"/>
      <c r="R55" s="59" t="n"/>
      <c r="S55" s="14" t="n"/>
      <c r="U55" s="53" t="n"/>
      <c r="V55" s="53" t="n"/>
      <c r="W55" s="53" t="n"/>
      <c r="X55" s="53" t="n"/>
      <c r="Y55" s="53" t="n"/>
      <c r="Z55" s="53" t="n"/>
      <c r="AA55" s="53" t="n"/>
      <c r="AB55" s="53" t="n"/>
      <c r="AC55" s="53" t="n"/>
      <c r="AD55" s="53" t="n"/>
      <c r="AE55" s="53" t="n"/>
      <c r="AF55" s="53" t="n"/>
      <c r="AG55" s="53" t="n"/>
      <c r="AH55" s="53" t="n"/>
      <c r="AI55" s="53" t="n"/>
      <c r="AJ55" s="53" t="n"/>
      <c r="AK55" s="53" t="n"/>
      <c r="AL55" s="53" t="n"/>
      <c r="AM55" s="53" t="n"/>
      <c r="AN55" s="53" t="n"/>
      <c r="AO55" s="53" t="n"/>
      <c r="AP55" s="53" t="n"/>
      <c r="AQ55" s="53" t="n"/>
      <c r="AR55" s="53" t="n"/>
      <c r="AS55" s="53" t="n"/>
      <c r="AT55" s="53" t="n"/>
      <c r="AU55" s="53" t="n"/>
      <c r="AV55" s="53" t="n"/>
      <c r="AW55" s="53" t="n"/>
      <c r="AX55" s="53" t="n"/>
      <c r="AY55" s="53" t="n"/>
    </row>
    <row r="56" ht="15" customHeight="1">
      <c r="A56" s="62" t="n"/>
      <c r="B56" s="55">
        <f>IF($B$54="","",$B$54)</f>
        <v/>
      </c>
      <c r="C56" s="63" t="inlineStr">
        <is>
          <t>마케팅1팀</t>
        </is>
      </c>
      <c r="D56" s="55">
        <f>IF($D$54="","",$D$54)</f>
        <v/>
      </c>
      <c r="E56" s="64" t="inlineStr">
        <is>
          <t>영상</t>
        </is>
      </c>
      <c r="F56" s="44" t="n"/>
      <c r="G56" s="58">
        <f>IF($G$54="","",$G$54)</f>
        <v/>
      </c>
      <c r="H56" s="59" t="n"/>
      <c r="I56" s="59" t="n"/>
      <c r="J56" s="59" t="n"/>
      <c r="K56" s="59" t="n"/>
      <c r="L56" s="65">
        <f>IF(SUM(U56:AY56)=0,"",SUM(U56:AY56))</f>
        <v/>
      </c>
      <c r="M56" s="66">
        <f>IFERROR(INDEX(U$2:AY$2,MATCH(TRUE,INDEX(U56:AY56&lt;&gt;"",0),0)),"")</f>
        <v/>
      </c>
      <c r="N56" s="66">
        <f>IFERROR(LOOKUP(2,1/(U56:AY56&lt;&gt;""),U$2:AY$2),"")</f>
        <v/>
      </c>
      <c r="O56" s="59" t="n"/>
      <c r="P56" s="59" t="n"/>
      <c r="Q56" s="59" t="n"/>
      <c r="R56" s="59" t="n"/>
      <c r="S56" s="14" t="n"/>
      <c r="U56" s="53" t="n"/>
      <c r="V56" s="53" t="n"/>
      <c r="W56" s="53" t="n"/>
      <c r="X56" s="5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s="53" t="n"/>
      <c r="AJ56" s="53" t="n"/>
      <c r="AK56" s="53" t="n"/>
      <c r="AL56" s="53" t="n"/>
      <c r="AM56" s="53" t="n"/>
      <c r="AN56" s="53" t="n"/>
      <c r="AO56" s="53" t="n"/>
      <c r="AP56" s="53" t="n"/>
      <c r="AQ56" s="53" t="n"/>
      <c r="AR56" s="53" t="n"/>
      <c r="AS56" s="53" t="n"/>
      <c r="AT56" s="53" t="n"/>
      <c r="AU56" s="53" t="n"/>
      <c r="AV56" s="53" t="n"/>
      <c r="AW56" s="53" t="n"/>
      <c r="AX56" s="53" t="n"/>
      <c r="AY56" s="53" t="n"/>
    </row>
    <row r="57" ht="15" customHeight="1">
      <c r="A57" s="40">
        <f>IF($D$57="","",17)</f>
        <v/>
      </c>
      <c r="B57" s="10" t="n"/>
      <c r="C57" s="41" t="inlineStr">
        <is>
          <t>마케팅1팀</t>
        </is>
      </c>
      <c r="D57" s="42" t="n"/>
      <c r="E57" s="43" t="inlineStr">
        <is>
          <t>기획</t>
        </is>
      </c>
      <c r="F57" s="44" t="n"/>
      <c r="G57" s="45" t="n"/>
      <c r="H57" s="46">
        <f>IF($I$57="","",IF($I$57&lt;0,"🔴지연",IF($I$57&lt;=1,"🟡임박","🟢여유")))</f>
        <v/>
      </c>
      <c r="I57" s="47">
        <f>IF(OR($G$57="",$K$57=""),"",$G$57-$K$57)</f>
        <v/>
      </c>
      <c r="J57" s="48">
        <f>IF(SUM($L$57:$L$59)=0,"",SUM($L$57:$L$59))</f>
        <v/>
      </c>
      <c r="K57" s="49">
        <f>IF($J$57="","",MAX($N$57:$N$59))</f>
        <v/>
      </c>
      <c r="L57" s="50">
        <f>IF(SUM(U57:AY57)=0,"",SUM(U57:AY57))</f>
        <v/>
      </c>
      <c r="M57" s="51">
        <f>IFERROR(INDEX(U$2:AY$2,MATCH(TRUE,INDEX(U57:AY57&lt;&gt;"",0),0)),"")</f>
        <v/>
      </c>
      <c r="N57" s="51">
        <f>IFERROR(LOOKUP(2,1/(U57:AY57&lt;&gt;""),U$2:AY$2),"")</f>
        <v/>
      </c>
      <c r="O57" s="52" t="n"/>
      <c r="P57" s="52" t="n"/>
      <c r="Q57" s="52" t="n"/>
      <c r="R57" s="44" t="n"/>
      <c r="S57" s="14" t="n"/>
      <c r="U57" s="53" t="n"/>
      <c r="V57" s="53" t="n"/>
      <c r="W57" s="53" t="n"/>
      <c r="X57" s="53" t="n"/>
      <c r="Y57" s="53" t="n"/>
      <c r="Z57" s="53" t="n"/>
      <c r="AA57" s="53" t="n"/>
      <c r="AB57" s="53" t="n"/>
      <c r="AC57" s="53" t="n"/>
      <c r="AD57" s="53" t="n"/>
      <c r="AE57" s="53" t="n"/>
      <c r="AF57" s="53" t="n"/>
      <c r="AG57" s="53" t="n"/>
      <c r="AH57" s="53" t="n"/>
      <c r="AI57" s="53" t="n"/>
      <c r="AJ57" s="53" t="n"/>
      <c r="AK57" s="53" t="n"/>
      <c r="AL57" s="53" t="n"/>
      <c r="AM57" s="53" t="n"/>
      <c r="AN57" s="53" t="n"/>
      <c r="AO57" s="53" t="n"/>
      <c r="AP57" s="53" t="n"/>
      <c r="AQ57" s="53" t="n"/>
      <c r="AR57" s="53" t="n"/>
      <c r="AS57" s="53" t="n"/>
      <c r="AT57" s="53" t="n"/>
      <c r="AU57" s="53" t="n"/>
      <c r="AV57" s="53" t="n"/>
      <c r="AW57" s="53" t="n"/>
      <c r="AX57" s="53" t="n"/>
      <c r="AY57" s="53" t="n"/>
    </row>
    <row r="58" ht="15" customHeight="1">
      <c r="A58" s="54" t="n"/>
      <c r="B58" s="55">
        <f>IF($B$57="","",$B$57)</f>
        <v/>
      </c>
      <c r="C58" s="56" t="inlineStr">
        <is>
          <t>마케팅1팀</t>
        </is>
      </c>
      <c r="D58" s="55">
        <f>IF($D$57="","",$D$57)</f>
        <v/>
      </c>
      <c r="E58" s="57" t="inlineStr">
        <is>
          <t>이미지</t>
        </is>
      </c>
      <c r="F58" s="44" t="n"/>
      <c r="G58" s="58">
        <f>IF($G$57="","",$G$57)</f>
        <v/>
      </c>
      <c r="H58" s="59" t="n"/>
      <c r="I58" s="59" t="n"/>
      <c r="J58" s="59" t="n"/>
      <c r="K58" s="59" t="n"/>
      <c r="L58" s="60">
        <f>IF(SUM(U58:AY58)=0,"",SUM(U58:AY58))</f>
        <v/>
      </c>
      <c r="M58" s="61">
        <f>IFERROR(INDEX(U$2:AY$2,MATCH(TRUE,INDEX(U58:AY58&lt;&gt;"",0),0)),"")</f>
        <v/>
      </c>
      <c r="N58" s="61">
        <f>IFERROR(LOOKUP(2,1/(U58:AY58&lt;&gt;""),U$2:AY$2),"")</f>
        <v/>
      </c>
      <c r="O58" s="59" t="n"/>
      <c r="P58" s="59" t="n"/>
      <c r="Q58" s="59" t="n"/>
      <c r="R58" s="59" t="n"/>
      <c r="S58" s="14" t="n"/>
      <c r="U58" s="53" t="n"/>
      <c r="V58" s="53" t="n"/>
      <c r="W58" s="53" t="n"/>
      <c r="X58" s="53" t="n"/>
      <c r="Y58" s="53" t="n"/>
      <c r="Z58" s="53" t="n"/>
      <c r="AA58" s="53" t="n"/>
      <c r="AB58" s="53" t="n"/>
      <c r="AC58" s="53" t="n"/>
      <c r="AD58" s="53" t="n"/>
      <c r="AE58" s="53" t="n"/>
      <c r="AF58" s="53" t="n"/>
      <c r="AG58" s="53" t="n"/>
      <c r="AH58" s="53" t="n"/>
      <c r="AI58" s="53" t="n"/>
      <c r="AJ58" s="53" t="n"/>
      <c r="AK58" s="53" t="n"/>
      <c r="AL58" s="53" t="n"/>
      <c r="AM58" s="53" t="n"/>
      <c r="AN58" s="53" t="n"/>
      <c r="AO58" s="53" t="n"/>
      <c r="AP58" s="53" t="n"/>
      <c r="AQ58" s="53" t="n"/>
      <c r="AR58" s="53" t="n"/>
      <c r="AS58" s="53" t="n"/>
      <c r="AT58" s="53" t="n"/>
      <c r="AU58" s="53" t="n"/>
      <c r="AV58" s="53" t="n"/>
      <c r="AW58" s="53" t="n"/>
      <c r="AX58" s="53" t="n"/>
      <c r="AY58" s="53" t="n"/>
    </row>
    <row r="59" ht="15" customHeight="1">
      <c r="A59" s="62" t="n"/>
      <c r="B59" s="55">
        <f>IF($B$57="","",$B$57)</f>
        <v/>
      </c>
      <c r="C59" s="63" t="inlineStr">
        <is>
          <t>마케팅1팀</t>
        </is>
      </c>
      <c r="D59" s="55">
        <f>IF($D$57="","",$D$57)</f>
        <v/>
      </c>
      <c r="E59" s="64" t="inlineStr">
        <is>
          <t>영상</t>
        </is>
      </c>
      <c r="F59" s="44" t="n"/>
      <c r="G59" s="58">
        <f>IF($G$57="","",$G$57)</f>
        <v/>
      </c>
      <c r="H59" s="59" t="n"/>
      <c r="I59" s="59" t="n"/>
      <c r="J59" s="59" t="n"/>
      <c r="K59" s="59" t="n"/>
      <c r="L59" s="65">
        <f>IF(SUM(U59:AY59)=0,"",SUM(U59:AY59))</f>
        <v/>
      </c>
      <c r="M59" s="66">
        <f>IFERROR(INDEX(U$2:AY$2,MATCH(TRUE,INDEX(U59:AY59&lt;&gt;"",0),0)),"")</f>
        <v/>
      </c>
      <c r="N59" s="66">
        <f>IFERROR(LOOKUP(2,1/(U59:AY59&lt;&gt;""),U$2:AY$2),"")</f>
        <v/>
      </c>
      <c r="O59" s="59" t="n"/>
      <c r="P59" s="59" t="n"/>
      <c r="Q59" s="59" t="n"/>
      <c r="R59" s="59" t="n"/>
      <c r="S59" s="14" t="n"/>
      <c r="U59" s="53" t="n"/>
      <c r="V59" s="53" t="n"/>
      <c r="W59" s="53" t="n"/>
      <c r="X59" s="53" t="n"/>
      <c r="Y59" s="53" t="n"/>
      <c r="Z59" s="53" t="n"/>
      <c r="AA59" s="53" t="n"/>
      <c r="AB59" s="53" t="n"/>
      <c r="AC59" s="53" t="n"/>
      <c r="AD59" s="53" t="n"/>
      <c r="AE59" s="53" t="n"/>
      <c r="AF59" s="53" t="n"/>
      <c r="AG59" s="53" t="n"/>
      <c r="AH59" s="53" t="n"/>
      <c r="AI59" s="53" t="n"/>
      <c r="AJ59" s="53" t="n"/>
      <c r="AK59" s="53" t="n"/>
      <c r="AL59" s="53" t="n"/>
      <c r="AM59" s="53" t="n"/>
      <c r="AN59" s="53" t="n"/>
      <c r="AO59" s="53" t="n"/>
      <c r="AP59" s="53" t="n"/>
      <c r="AQ59" s="53" t="n"/>
      <c r="AR59" s="53" t="n"/>
      <c r="AS59" s="53" t="n"/>
      <c r="AT59" s="53" t="n"/>
      <c r="AU59" s="53" t="n"/>
      <c r="AV59" s="53" t="n"/>
      <c r="AW59" s="53" t="n"/>
      <c r="AX59" s="53" t="n"/>
      <c r="AY59" s="53" t="n"/>
    </row>
    <row r="60" ht="15" customHeight="1">
      <c r="A60" s="40">
        <f>IF($D$60="","",18)</f>
        <v/>
      </c>
      <c r="B60" s="10" t="n"/>
      <c r="C60" s="41" t="inlineStr">
        <is>
          <t>마케팅1팀</t>
        </is>
      </c>
      <c r="D60" s="42" t="n"/>
      <c r="E60" s="43" t="inlineStr">
        <is>
          <t>기획</t>
        </is>
      </c>
      <c r="F60" s="44" t="n"/>
      <c r="G60" s="45" t="n"/>
      <c r="H60" s="46">
        <f>IF($I$60="","",IF($I$60&lt;0,"🔴지연",IF($I$60&lt;=1,"🟡임박","🟢여유")))</f>
        <v/>
      </c>
      <c r="I60" s="47">
        <f>IF(OR($G$60="",$K$60=""),"",$G$60-$K$60)</f>
        <v/>
      </c>
      <c r="J60" s="48">
        <f>IF(SUM($L$60:$L$62)=0,"",SUM($L$60:$L$62))</f>
        <v/>
      </c>
      <c r="K60" s="49">
        <f>IF($J$60="","",MAX($N$60:$N$62))</f>
        <v/>
      </c>
      <c r="L60" s="50">
        <f>IF(SUM(U60:AY60)=0,"",SUM(U60:AY60))</f>
        <v/>
      </c>
      <c r="M60" s="51">
        <f>IFERROR(INDEX(U$2:AY$2,MATCH(TRUE,INDEX(U60:AY60&lt;&gt;"",0),0)),"")</f>
        <v/>
      </c>
      <c r="N60" s="51">
        <f>IFERROR(LOOKUP(2,1/(U60:AY60&lt;&gt;""),U$2:AY$2),"")</f>
        <v/>
      </c>
      <c r="O60" s="52" t="n"/>
      <c r="P60" s="52" t="n"/>
      <c r="Q60" s="52" t="n"/>
      <c r="R60" s="44" t="n"/>
      <c r="S60" s="14" t="n"/>
      <c r="U60" s="53" t="n"/>
      <c r="V60" s="53" t="n"/>
      <c r="W60" s="53" t="n"/>
      <c r="X60" s="53" t="n"/>
      <c r="Y60" s="53" t="n"/>
      <c r="Z60" s="53" t="n"/>
      <c r="AA60" s="53" t="n"/>
      <c r="AB60" s="53" t="n"/>
      <c r="AC60" s="53" t="n"/>
      <c r="AD60" s="53" t="n"/>
      <c r="AE60" s="53" t="n"/>
      <c r="AF60" s="53" t="n"/>
      <c r="AG60" s="53" t="n"/>
      <c r="AH60" s="53" t="n"/>
      <c r="AI60" s="53" t="n"/>
      <c r="AJ60" s="53" t="n"/>
      <c r="AK60" s="53" t="n"/>
      <c r="AL60" s="53" t="n"/>
      <c r="AM60" s="53" t="n"/>
      <c r="AN60" s="53" t="n"/>
      <c r="AO60" s="53" t="n"/>
      <c r="AP60" s="53" t="n"/>
      <c r="AQ60" s="53" t="n"/>
      <c r="AR60" s="53" t="n"/>
      <c r="AS60" s="53" t="n"/>
      <c r="AT60" s="53" t="n"/>
      <c r="AU60" s="53" t="n"/>
      <c r="AV60" s="53" t="n"/>
      <c r="AW60" s="53" t="n"/>
      <c r="AX60" s="53" t="n"/>
      <c r="AY60" s="53" t="n"/>
    </row>
    <row r="61" ht="15" customHeight="1">
      <c r="A61" s="54" t="n"/>
      <c r="B61" s="55">
        <f>IF($B$60="","",$B$60)</f>
        <v/>
      </c>
      <c r="C61" s="56" t="inlineStr">
        <is>
          <t>마케팅1팀</t>
        </is>
      </c>
      <c r="D61" s="55">
        <f>IF($D$60="","",$D$60)</f>
        <v/>
      </c>
      <c r="E61" s="57" t="inlineStr">
        <is>
          <t>이미지</t>
        </is>
      </c>
      <c r="F61" s="44" t="n"/>
      <c r="G61" s="58">
        <f>IF($G$60="","",$G$60)</f>
        <v/>
      </c>
      <c r="H61" s="59" t="n"/>
      <c r="I61" s="59" t="n"/>
      <c r="J61" s="59" t="n"/>
      <c r="K61" s="59" t="n"/>
      <c r="L61" s="60">
        <f>IF(SUM(U61:AY61)=0,"",SUM(U61:AY61))</f>
        <v/>
      </c>
      <c r="M61" s="61">
        <f>IFERROR(INDEX(U$2:AY$2,MATCH(TRUE,INDEX(U61:AY61&lt;&gt;"",0),0)),"")</f>
        <v/>
      </c>
      <c r="N61" s="61">
        <f>IFERROR(LOOKUP(2,1/(U61:AY61&lt;&gt;""),U$2:AY$2),"")</f>
        <v/>
      </c>
      <c r="O61" s="59" t="n"/>
      <c r="P61" s="59" t="n"/>
      <c r="Q61" s="59" t="n"/>
      <c r="R61" s="59" t="n"/>
      <c r="S61" s="14" t="n"/>
      <c r="U61" s="53" t="n"/>
      <c r="V61" s="53" t="n"/>
      <c r="W61" s="53" t="n"/>
      <c r="X61" s="53" t="n"/>
      <c r="Y61" s="53" t="n"/>
      <c r="Z61" s="53" t="n"/>
      <c r="AA61" s="53" t="n"/>
      <c r="AB61" s="53" t="n"/>
      <c r="AC61" s="53" t="n"/>
      <c r="AD61" s="53" t="n"/>
      <c r="AE61" s="53" t="n"/>
      <c r="AF61" s="53" t="n"/>
      <c r="AG61" s="53" t="n"/>
      <c r="AH61" s="53" t="n"/>
      <c r="AI61" s="53" t="n"/>
      <c r="AJ61" s="53" t="n"/>
      <c r="AK61" s="53" t="n"/>
      <c r="AL61" s="53" t="n"/>
      <c r="AM61" s="53" t="n"/>
      <c r="AN61" s="53" t="n"/>
      <c r="AO61" s="53" t="n"/>
      <c r="AP61" s="53" t="n"/>
      <c r="AQ61" s="53" t="n"/>
      <c r="AR61" s="53" t="n"/>
      <c r="AS61" s="53" t="n"/>
      <c r="AT61" s="53" t="n"/>
      <c r="AU61" s="53" t="n"/>
      <c r="AV61" s="53" t="n"/>
      <c r="AW61" s="53" t="n"/>
      <c r="AX61" s="53" t="n"/>
      <c r="AY61" s="53" t="n"/>
    </row>
    <row r="62" ht="15" customHeight="1">
      <c r="A62" s="62" t="n"/>
      <c r="B62" s="55">
        <f>IF($B$60="","",$B$60)</f>
        <v/>
      </c>
      <c r="C62" s="63" t="inlineStr">
        <is>
          <t>마케팅1팀</t>
        </is>
      </c>
      <c r="D62" s="55">
        <f>IF($D$60="","",$D$60)</f>
        <v/>
      </c>
      <c r="E62" s="64" t="inlineStr">
        <is>
          <t>영상</t>
        </is>
      </c>
      <c r="F62" s="44" t="n"/>
      <c r="G62" s="58">
        <f>IF($G$60="","",$G$60)</f>
        <v/>
      </c>
      <c r="H62" s="59" t="n"/>
      <c r="I62" s="59" t="n"/>
      <c r="J62" s="59" t="n"/>
      <c r="K62" s="59" t="n"/>
      <c r="L62" s="65">
        <f>IF(SUM(U62:AY62)=0,"",SUM(U62:AY62))</f>
        <v/>
      </c>
      <c r="M62" s="66">
        <f>IFERROR(INDEX(U$2:AY$2,MATCH(TRUE,INDEX(U62:AY62&lt;&gt;"",0),0)),"")</f>
        <v/>
      </c>
      <c r="N62" s="66">
        <f>IFERROR(LOOKUP(2,1/(U62:AY62&lt;&gt;""),U$2:AY$2),"")</f>
        <v/>
      </c>
      <c r="O62" s="59" t="n"/>
      <c r="P62" s="59" t="n"/>
      <c r="Q62" s="59" t="n"/>
      <c r="R62" s="59" t="n"/>
      <c r="S62" s="14" t="n"/>
      <c r="U62" s="53" t="n"/>
      <c r="V62" s="53" t="n"/>
      <c r="W62" s="53" t="n"/>
      <c r="X62" s="53" t="n"/>
      <c r="Y62" s="53" t="n"/>
      <c r="Z62" s="53" t="n"/>
      <c r="AA62" s="53" t="n"/>
      <c r="AB62" s="53" t="n"/>
      <c r="AC62" s="53" t="n"/>
      <c r="AD62" s="53" t="n"/>
      <c r="AE62" s="53" t="n"/>
      <c r="AF62" s="53" t="n"/>
      <c r="AG62" s="53" t="n"/>
      <c r="AH62" s="53" t="n"/>
      <c r="AI62" s="53" t="n"/>
      <c r="AJ62" s="53" t="n"/>
      <c r="AK62" s="53" t="n"/>
      <c r="AL62" s="53" t="n"/>
      <c r="AM62" s="53" t="n"/>
      <c r="AN62" s="53" t="n"/>
      <c r="AO62" s="53" t="n"/>
      <c r="AP62" s="53" t="n"/>
      <c r="AQ62" s="53" t="n"/>
      <c r="AR62" s="53" t="n"/>
      <c r="AS62" s="53" t="n"/>
      <c r="AT62" s="53" t="n"/>
      <c r="AU62" s="53" t="n"/>
      <c r="AV62" s="53" t="n"/>
      <c r="AW62" s="53" t="n"/>
      <c r="AX62" s="53" t="n"/>
      <c r="AY62" s="53" t="n"/>
    </row>
    <row r="63" ht="15" customHeight="1">
      <c r="A63" s="40">
        <f>IF($D$63="","",19)</f>
        <v/>
      </c>
      <c r="B63" s="10" t="n"/>
      <c r="C63" s="41" t="inlineStr">
        <is>
          <t>마케팅1팀</t>
        </is>
      </c>
      <c r="D63" s="42" t="n"/>
      <c r="E63" s="43" t="inlineStr">
        <is>
          <t>기획</t>
        </is>
      </c>
      <c r="F63" s="44" t="n"/>
      <c r="G63" s="45" t="n"/>
      <c r="H63" s="46">
        <f>IF($I$63="","",IF($I$63&lt;0,"🔴지연",IF($I$63&lt;=1,"🟡임박","🟢여유")))</f>
        <v/>
      </c>
      <c r="I63" s="47">
        <f>IF(OR($G$63="",$K$63=""),"",$G$63-$K$63)</f>
        <v/>
      </c>
      <c r="J63" s="48">
        <f>IF(SUM($L$63:$L$65)=0,"",SUM($L$63:$L$65))</f>
        <v/>
      </c>
      <c r="K63" s="49">
        <f>IF($J$63="","",MAX($N$63:$N$65))</f>
        <v/>
      </c>
      <c r="L63" s="50">
        <f>IF(SUM(U63:AY63)=0,"",SUM(U63:AY63))</f>
        <v/>
      </c>
      <c r="M63" s="51">
        <f>IFERROR(INDEX(U$2:AY$2,MATCH(TRUE,INDEX(U63:AY63&lt;&gt;"",0),0)),"")</f>
        <v/>
      </c>
      <c r="N63" s="51">
        <f>IFERROR(LOOKUP(2,1/(U63:AY63&lt;&gt;""),U$2:AY$2),"")</f>
        <v/>
      </c>
      <c r="O63" s="52" t="n"/>
      <c r="P63" s="52" t="n"/>
      <c r="Q63" s="52" t="n"/>
      <c r="R63" s="44" t="n"/>
      <c r="S63" s="14" t="n"/>
      <c r="U63" s="53" t="n"/>
      <c r="V63" s="53" t="n"/>
      <c r="W63" s="53" t="n"/>
      <c r="X63" s="53" t="n"/>
      <c r="Y63" s="53" t="n"/>
      <c r="Z63" s="53" t="n"/>
      <c r="AA63" s="53" t="n"/>
      <c r="AB63" s="53" t="n"/>
      <c r="AC63" s="53" t="n"/>
      <c r="AD63" s="53" t="n"/>
      <c r="AE63" s="53" t="n"/>
      <c r="AF63" s="53" t="n"/>
      <c r="AG63" s="53" t="n"/>
      <c r="AH63" s="53" t="n"/>
      <c r="AI63" s="53" t="n"/>
      <c r="AJ63" s="53" t="n"/>
      <c r="AK63" s="53" t="n"/>
      <c r="AL63" s="53" t="n"/>
      <c r="AM63" s="53" t="n"/>
      <c r="AN63" s="53" t="n"/>
      <c r="AO63" s="53" t="n"/>
      <c r="AP63" s="53" t="n"/>
      <c r="AQ63" s="53" t="n"/>
      <c r="AR63" s="53" t="n"/>
      <c r="AS63" s="53" t="n"/>
      <c r="AT63" s="53" t="n"/>
      <c r="AU63" s="53" t="n"/>
      <c r="AV63" s="53" t="n"/>
      <c r="AW63" s="53" t="n"/>
      <c r="AX63" s="53" t="n"/>
      <c r="AY63" s="53" t="n"/>
    </row>
    <row r="64" ht="15" customHeight="1">
      <c r="A64" s="54" t="n"/>
      <c r="B64" s="55">
        <f>IF($B$63="","",$B$63)</f>
        <v/>
      </c>
      <c r="C64" s="56" t="inlineStr">
        <is>
          <t>마케팅1팀</t>
        </is>
      </c>
      <c r="D64" s="55">
        <f>IF($D$63="","",$D$63)</f>
        <v/>
      </c>
      <c r="E64" s="57" t="inlineStr">
        <is>
          <t>이미지</t>
        </is>
      </c>
      <c r="F64" s="44" t="n"/>
      <c r="G64" s="58">
        <f>IF($G$63="","",$G$63)</f>
        <v/>
      </c>
      <c r="H64" s="59" t="n"/>
      <c r="I64" s="59" t="n"/>
      <c r="J64" s="59" t="n"/>
      <c r="K64" s="59" t="n"/>
      <c r="L64" s="60">
        <f>IF(SUM(U64:AY64)=0,"",SUM(U64:AY64))</f>
        <v/>
      </c>
      <c r="M64" s="61">
        <f>IFERROR(INDEX(U$2:AY$2,MATCH(TRUE,INDEX(U64:AY64&lt;&gt;"",0),0)),"")</f>
        <v/>
      </c>
      <c r="N64" s="61">
        <f>IFERROR(LOOKUP(2,1/(U64:AY64&lt;&gt;""),U$2:AY$2),"")</f>
        <v/>
      </c>
      <c r="O64" s="59" t="n"/>
      <c r="P64" s="59" t="n"/>
      <c r="Q64" s="59" t="n"/>
      <c r="R64" s="59" t="n"/>
      <c r="S64" s="14" t="n"/>
      <c r="U64" s="53" t="n"/>
      <c r="V64" s="53" t="n"/>
      <c r="W64" s="53" t="n"/>
      <c r="X64" s="53" t="n"/>
      <c r="Y64" s="53" t="n"/>
      <c r="Z64" s="53" t="n"/>
      <c r="AA64" s="53" t="n"/>
      <c r="AB64" s="53" t="n"/>
      <c r="AC64" s="53" t="n"/>
      <c r="AD64" s="53" t="n"/>
      <c r="AE64" s="53" t="n"/>
      <c r="AF64" s="53" t="n"/>
      <c r="AG64" s="53" t="n"/>
      <c r="AH64" s="53" t="n"/>
      <c r="AI64" s="53" t="n"/>
      <c r="AJ64" s="53" t="n"/>
      <c r="AK64" s="53" t="n"/>
      <c r="AL64" s="53" t="n"/>
      <c r="AM64" s="53" t="n"/>
      <c r="AN64" s="53" t="n"/>
      <c r="AO64" s="53" t="n"/>
      <c r="AP64" s="53" t="n"/>
      <c r="AQ64" s="53" t="n"/>
      <c r="AR64" s="53" t="n"/>
      <c r="AS64" s="53" t="n"/>
      <c r="AT64" s="53" t="n"/>
      <c r="AU64" s="53" t="n"/>
      <c r="AV64" s="53" t="n"/>
      <c r="AW64" s="53" t="n"/>
      <c r="AX64" s="53" t="n"/>
      <c r="AY64" s="53" t="n"/>
    </row>
    <row r="65" ht="15" customHeight="1">
      <c r="A65" s="62" t="n"/>
      <c r="B65" s="55">
        <f>IF($B$63="","",$B$63)</f>
        <v/>
      </c>
      <c r="C65" s="63" t="inlineStr">
        <is>
          <t>마케팅1팀</t>
        </is>
      </c>
      <c r="D65" s="55">
        <f>IF($D$63="","",$D$63)</f>
        <v/>
      </c>
      <c r="E65" s="64" t="inlineStr">
        <is>
          <t>영상</t>
        </is>
      </c>
      <c r="F65" s="44" t="n"/>
      <c r="G65" s="58">
        <f>IF($G$63="","",$G$63)</f>
        <v/>
      </c>
      <c r="H65" s="59" t="n"/>
      <c r="I65" s="59" t="n"/>
      <c r="J65" s="59" t="n"/>
      <c r="K65" s="59" t="n"/>
      <c r="L65" s="65">
        <f>IF(SUM(U65:AY65)=0,"",SUM(U65:AY65))</f>
        <v/>
      </c>
      <c r="M65" s="66">
        <f>IFERROR(INDEX(U$2:AY$2,MATCH(TRUE,INDEX(U65:AY65&lt;&gt;"",0),0)),"")</f>
        <v/>
      </c>
      <c r="N65" s="66">
        <f>IFERROR(LOOKUP(2,1/(U65:AY65&lt;&gt;""),U$2:AY$2),"")</f>
        <v/>
      </c>
      <c r="O65" s="59" t="n"/>
      <c r="P65" s="59" t="n"/>
      <c r="Q65" s="59" t="n"/>
      <c r="R65" s="59" t="n"/>
      <c r="S65" s="14" t="n"/>
      <c r="U65" s="53" t="n"/>
      <c r="V65" s="53" t="n"/>
      <c r="W65" s="53" t="n"/>
      <c r="X65" s="53" t="n"/>
      <c r="Y65" s="53" t="n"/>
      <c r="Z65" s="53" t="n"/>
      <c r="AA65" s="53" t="n"/>
      <c r="AB65" s="53" t="n"/>
      <c r="AC65" s="53" t="n"/>
      <c r="AD65" s="53" t="n"/>
      <c r="AE65" s="53" t="n"/>
      <c r="AF65" s="53" t="n"/>
      <c r="AG65" s="53" t="n"/>
      <c r="AH65" s="53" t="n"/>
      <c r="AI65" s="53" t="n"/>
      <c r="AJ65" s="53" t="n"/>
      <c r="AK65" s="53" t="n"/>
      <c r="AL65" s="53" t="n"/>
      <c r="AM65" s="53" t="n"/>
      <c r="AN65" s="53" t="n"/>
      <c r="AO65" s="53" t="n"/>
      <c r="AP65" s="53" t="n"/>
      <c r="AQ65" s="53" t="n"/>
      <c r="AR65" s="53" t="n"/>
      <c r="AS65" s="53" t="n"/>
      <c r="AT65" s="53" t="n"/>
      <c r="AU65" s="53" t="n"/>
      <c r="AV65" s="53" t="n"/>
      <c r="AW65" s="53" t="n"/>
      <c r="AX65" s="53" t="n"/>
      <c r="AY65" s="53" t="n"/>
    </row>
    <row r="66" ht="15" customHeight="1">
      <c r="A66" s="40">
        <f>IF($D$66="","",20)</f>
        <v/>
      </c>
      <c r="B66" s="10" t="n"/>
      <c r="C66" s="41" t="inlineStr">
        <is>
          <t>마케팅1팀</t>
        </is>
      </c>
      <c r="D66" s="42" t="n"/>
      <c r="E66" s="43" t="inlineStr">
        <is>
          <t>기획</t>
        </is>
      </c>
      <c r="F66" s="44" t="n"/>
      <c r="G66" s="45" t="n"/>
      <c r="H66" s="46">
        <f>IF($I$66="","",IF($I$66&lt;0,"🔴지연",IF($I$66&lt;=1,"🟡임박","🟢여유")))</f>
        <v/>
      </c>
      <c r="I66" s="47">
        <f>IF(OR($G$66="",$K$66=""),"",$G$66-$K$66)</f>
        <v/>
      </c>
      <c r="J66" s="48">
        <f>IF(SUM($L$66:$L$68)=0,"",SUM($L$66:$L$68))</f>
        <v/>
      </c>
      <c r="K66" s="49">
        <f>IF($J$66="","",MAX($N$66:$N$68))</f>
        <v/>
      </c>
      <c r="L66" s="50">
        <f>IF(SUM(U66:AY66)=0,"",SUM(U66:AY66))</f>
        <v/>
      </c>
      <c r="M66" s="51">
        <f>IFERROR(INDEX(U$2:AY$2,MATCH(TRUE,INDEX(U66:AY66&lt;&gt;"",0),0)),"")</f>
        <v/>
      </c>
      <c r="N66" s="51">
        <f>IFERROR(LOOKUP(2,1/(U66:AY66&lt;&gt;""),U$2:AY$2),"")</f>
        <v/>
      </c>
      <c r="O66" s="52" t="n"/>
      <c r="P66" s="52" t="n"/>
      <c r="Q66" s="52" t="n"/>
      <c r="R66" s="44" t="n"/>
      <c r="S66" s="14" t="n"/>
      <c r="U66" s="53" t="n"/>
      <c r="V66" s="53" t="n"/>
      <c r="W66" s="53" t="n"/>
      <c r="X66" s="53" t="n"/>
      <c r="Y66" s="53" t="n"/>
      <c r="Z66" s="53" t="n"/>
      <c r="AA66" s="53" t="n"/>
      <c r="AB66" s="53" t="n"/>
      <c r="AC66" s="53" t="n"/>
      <c r="AD66" s="53" t="n"/>
      <c r="AE66" s="53" t="n"/>
      <c r="AF66" s="53" t="n"/>
      <c r="AG66" s="53" t="n"/>
      <c r="AH66" s="53" t="n"/>
      <c r="AI66" s="53" t="n"/>
      <c r="AJ66" s="53" t="n"/>
      <c r="AK66" s="53" t="n"/>
      <c r="AL66" s="53" t="n"/>
      <c r="AM66" s="53" t="n"/>
      <c r="AN66" s="53" t="n"/>
      <c r="AO66" s="53" t="n"/>
      <c r="AP66" s="53" t="n"/>
      <c r="AQ66" s="53" t="n"/>
      <c r="AR66" s="53" t="n"/>
      <c r="AS66" s="53" t="n"/>
      <c r="AT66" s="53" t="n"/>
      <c r="AU66" s="53" t="n"/>
      <c r="AV66" s="53" t="n"/>
      <c r="AW66" s="53" t="n"/>
      <c r="AX66" s="53" t="n"/>
      <c r="AY66" s="53" t="n"/>
    </row>
    <row r="67" ht="15" customHeight="1">
      <c r="A67" s="54" t="n"/>
      <c r="B67" s="55">
        <f>IF($B$66="","",$B$66)</f>
        <v/>
      </c>
      <c r="C67" s="56" t="inlineStr">
        <is>
          <t>마케팅1팀</t>
        </is>
      </c>
      <c r="D67" s="55">
        <f>IF($D$66="","",$D$66)</f>
        <v/>
      </c>
      <c r="E67" s="57" t="inlineStr">
        <is>
          <t>이미지</t>
        </is>
      </c>
      <c r="F67" s="44" t="n"/>
      <c r="G67" s="58">
        <f>IF($G$66="","",$G$66)</f>
        <v/>
      </c>
      <c r="H67" s="59" t="n"/>
      <c r="I67" s="59" t="n"/>
      <c r="J67" s="59" t="n"/>
      <c r="K67" s="59" t="n"/>
      <c r="L67" s="60">
        <f>IF(SUM(U67:AY67)=0,"",SUM(U67:AY67))</f>
        <v/>
      </c>
      <c r="M67" s="61">
        <f>IFERROR(INDEX(U$2:AY$2,MATCH(TRUE,INDEX(U67:AY67&lt;&gt;"",0),0)),"")</f>
        <v/>
      </c>
      <c r="N67" s="61">
        <f>IFERROR(LOOKUP(2,1/(U67:AY67&lt;&gt;""),U$2:AY$2),"")</f>
        <v/>
      </c>
      <c r="O67" s="59" t="n"/>
      <c r="P67" s="59" t="n"/>
      <c r="Q67" s="59" t="n"/>
      <c r="R67" s="59" t="n"/>
      <c r="S67" s="14" t="n"/>
      <c r="U67" s="53" t="n"/>
      <c r="V67" s="53" t="n"/>
      <c r="W67" s="53" t="n"/>
      <c r="X67" s="53" t="n"/>
      <c r="Y67" s="53" t="n"/>
      <c r="Z67" s="53" t="n"/>
      <c r="AA67" s="53" t="n"/>
      <c r="AB67" s="53" t="n"/>
      <c r="AC67" s="53" t="n"/>
      <c r="AD67" s="53" t="n"/>
      <c r="AE67" s="53" t="n"/>
      <c r="AF67" s="53" t="n"/>
      <c r="AG67" s="53" t="n"/>
      <c r="AH67" s="53" t="n"/>
      <c r="AI67" s="53" t="n"/>
      <c r="AJ67" s="53" t="n"/>
      <c r="AK67" s="53" t="n"/>
      <c r="AL67" s="53" t="n"/>
      <c r="AM67" s="53" t="n"/>
      <c r="AN67" s="53" t="n"/>
      <c r="AO67" s="53" t="n"/>
      <c r="AP67" s="53" t="n"/>
      <c r="AQ67" s="53" t="n"/>
      <c r="AR67" s="53" t="n"/>
      <c r="AS67" s="53" t="n"/>
      <c r="AT67" s="53" t="n"/>
      <c r="AU67" s="53" t="n"/>
      <c r="AV67" s="53" t="n"/>
      <c r="AW67" s="53" t="n"/>
      <c r="AX67" s="53" t="n"/>
      <c r="AY67" s="53" t="n"/>
    </row>
    <row r="68" ht="15" customHeight="1">
      <c r="A68" s="62" t="n"/>
      <c r="B68" s="55">
        <f>IF($B$66="","",$B$66)</f>
        <v/>
      </c>
      <c r="C68" s="63" t="inlineStr">
        <is>
          <t>마케팅1팀</t>
        </is>
      </c>
      <c r="D68" s="55">
        <f>IF($D$66="","",$D$66)</f>
        <v/>
      </c>
      <c r="E68" s="64" t="inlineStr">
        <is>
          <t>영상</t>
        </is>
      </c>
      <c r="F68" s="44" t="n"/>
      <c r="G68" s="58">
        <f>IF($G$66="","",$G$66)</f>
        <v/>
      </c>
      <c r="H68" s="59" t="n"/>
      <c r="I68" s="59" t="n"/>
      <c r="J68" s="59" t="n"/>
      <c r="K68" s="59" t="n"/>
      <c r="L68" s="65">
        <f>IF(SUM(U68:AY68)=0,"",SUM(U68:AY68))</f>
        <v/>
      </c>
      <c r="M68" s="66">
        <f>IFERROR(INDEX(U$2:AY$2,MATCH(TRUE,INDEX(U68:AY68&lt;&gt;"",0),0)),"")</f>
        <v/>
      </c>
      <c r="N68" s="66">
        <f>IFERROR(LOOKUP(2,1/(U68:AY68&lt;&gt;""),U$2:AY$2),"")</f>
        <v/>
      </c>
      <c r="O68" s="59" t="n"/>
      <c r="P68" s="59" t="n"/>
      <c r="Q68" s="59" t="n"/>
      <c r="R68" s="59" t="n"/>
      <c r="S68" s="14" t="n"/>
      <c r="U68" s="53" t="n"/>
      <c r="V68" s="53" t="n"/>
      <c r="W68" s="53" t="n"/>
      <c r="X68" s="53" t="n"/>
      <c r="Y68" s="53" t="n"/>
      <c r="Z68" s="53" t="n"/>
      <c r="AA68" s="53" t="n"/>
      <c r="AB68" s="53" t="n"/>
      <c r="AC68" s="53" t="n"/>
      <c r="AD68" s="53" t="n"/>
      <c r="AE68" s="53" t="n"/>
      <c r="AF68" s="53" t="n"/>
      <c r="AG68" s="53" t="n"/>
      <c r="AH68" s="53" t="n"/>
      <c r="AI68" s="53" t="n"/>
      <c r="AJ68" s="53" t="n"/>
      <c r="AK68" s="53" t="n"/>
      <c r="AL68" s="53" t="n"/>
      <c r="AM68" s="53" t="n"/>
      <c r="AN68" s="53" t="n"/>
      <c r="AO68" s="53" t="n"/>
      <c r="AP68" s="53" t="n"/>
      <c r="AQ68" s="53" t="n"/>
      <c r="AR68" s="53" t="n"/>
      <c r="AS68" s="53" t="n"/>
      <c r="AT68" s="53" t="n"/>
      <c r="AU68" s="53" t="n"/>
      <c r="AV68" s="53" t="n"/>
      <c r="AW68" s="53" t="n"/>
      <c r="AX68" s="53" t="n"/>
      <c r="AY68" s="53" t="n"/>
    </row>
    <row r="69" ht="18" customHeight="1">
      <c r="A69" s="39" t="inlineStr">
        <is>
          <t>마케팅2팀   (70~129행 · 소재 20개)</t>
        </is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4" t="n"/>
    </row>
    <row r="70" ht="15" customHeight="1">
      <c r="A70" s="40">
        <f>IF($D$70="","",21)</f>
        <v/>
      </c>
      <c r="B70" s="10" t="n"/>
      <c r="C70" s="41" t="inlineStr">
        <is>
          <t>마케팅2팀</t>
        </is>
      </c>
      <c r="D70" s="42" t="n"/>
      <c r="E70" s="43" t="inlineStr">
        <is>
          <t>기획</t>
        </is>
      </c>
      <c r="F70" s="44" t="n"/>
      <c r="G70" s="45" t="n"/>
      <c r="H70" s="46">
        <f>IF($I$70="","",IF($I$70&lt;0,"🔴지연",IF($I$70&lt;=1,"🟡임박","🟢여유")))</f>
        <v/>
      </c>
      <c r="I70" s="47">
        <f>IF(OR($G$70="",$K$70=""),"",$G$70-$K$70)</f>
        <v/>
      </c>
      <c r="J70" s="48">
        <f>IF(SUM($L$70:$L$72)=0,"",SUM($L$70:$L$72))</f>
        <v/>
      </c>
      <c r="K70" s="49">
        <f>IF($J$70="","",MAX($N$70:$N$72))</f>
        <v/>
      </c>
      <c r="L70" s="50">
        <f>IF(SUM(U70:AY70)=0,"",SUM(U70:AY70))</f>
        <v/>
      </c>
      <c r="M70" s="51">
        <f>IFERROR(INDEX(U$2:AY$2,MATCH(TRUE,INDEX(U70:AY70&lt;&gt;"",0),0)),"")</f>
        <v/>
      </c>
      <c r="N70" s="51">
        <f>IFERROR(LOOKUP(2,1/(U70:AY70&lt;&gt;""),U$2:AY$2),"")</f>
        <v/>
      </c>
      <c r="O70" s="52" t="n"/>
      <c r="P70" s="52" t="n"/>
      <c r="Q70" s="52" t="n"/>
      <c r="R70" s="44" t="n"/>
      <c r="S70" s="14" t="n"/>
      <c r="U70" s="53" t="n"/>
      <c r="V70" s="53" t="n"/>
      <c r="W70" s="53" t="n"/>
      <c r="X70" s="53" t="n"/>
      <c r="Y70" s="53" t="n"/>
      <c r="Z70" s="53" t="n"/>
      <c r="AA70" s="53" t="n"/>
      <c r="AB70" s="53" t="n"/>
      <c r="AC70" s="53" t="n"/>
      <c r="AD70" s="53" t="n"/>
      <c r="AE70" s="53" t="n"/>
      <c r="AF70" s="53" t="n"/>
      <c r="AG70" s="53" t="n"/>
      <c r="AH70" s="53" t="n"/>
      <c r="AI70" s="53" t="n"/>
      <c r="AJ70" s="53" t="n"/>
      <c r="AK70" s="53" t="n"/>
      <c r="AL70" s="53" t="n"/>
      <c r="AM70" s="53" t="n"/>
      <c r="AN70" s="53" t="n"/>
      <c r="AO70" s="53" t="n"/>
      <c r="AP70" s="53" t="n"/>
      <c r="AQ70" s="53" t="n"/>
      <c r="AR70" s="53" t="n"/>
      <c r="AS70" s="53" t="n"/>
      <c r="AT70" s="53" t="n"/>
      <c r="AU70" s="53" t="n"/>
      <c r="AV70" s="53" t="n"/>
      <c r="AW70" s="53" t="n"/>
      <c r="AX70" s="53" t="n"/>
      <c r="AY70" s="53" t="n"/>
    </row>
    <row r="71" ht="15" customHeight="1">
      <c r="A71" s="54" t="n"/>
      <c r="B71" s="55">
        <f>IF($B$70="","",$B$70)</f>
        <v/>
      </c>
      <c r="C71" s="56" t="inlineStr">
        <is>
          <t>마케팅2팀</t>
        </is>
      </c>
      <c r="D71" s="55">
        <f>IF($D$70="","",$D$70)</f>
        <v/>
      </c>
      <c r="E71" s="57" t="inlineStr">
        <is>
          <t>이미지</t>
        </is>
      </c>
      <c r="F71" s="44" t="n"/>
      <c r="G71" s="58">
        <f>IF($G$70="","",$G$70)</f>
        <v/>
      </c>
      <c r="H71" s="59" t="n"/>
      <c r="I71" s="59" t="n"/>
      <c r="J71" s="59" t="n"/>
      <c r="K71" s="59" t="n"/>
      <c r="L71" s="60">
        <f>IF(SUM(U71:AY71)=0,"",SUM(U71:AY71))</f>
        <v/>
      </c>
      <c r="M71" s="61">
        <f>IFERROR(INDEX(U$2:AY$2,MATCH(TRUE,INDEX(U71:AY71&lt;&gt;"",0),0)),"")</f>
        <v/>
      </c>
      <c r="N71" s="61">
        <f>IFERROR(LOOKUP(2,1/(U71:AY71&lt;&gt;""),U$2:AY$2),"")</f>
        <v/>
      </c>
      <c r="O71" s="59" t="n"/>
      <c r="P71" s="59" t="n"/>
      <c r="Q71" s="59" t="n"/>
      <c r="R71" s="59" t="n"/>
      <c r="S71" s="14" t="n"/>
      <c r="U71" s="53" t="n"/>
      <c r="V71" s="53" t="n"/>
      <c r="W71" s="53" t="n"/>
      <c r="X71" s="53" t="n"/>
      <c r="Y71" s="53" t="n"/>
      <c r="Z71" s="53" t="n"/>
      <c r="AA71" s="53" t="n"/>
      <c r="AB71" s="53" t="n"/>
      <c r="AC71" s="53" t="n"/>
      <c r="AD71" s="53" t="n"/>
      <c r="AE71" s="53" t="n"/>
      <c r="AF71" s="53" t="n"/>
      <c r="AG71" s="53" t="n"/>
      <c r="AH71" s="53" t="n"/>
      <c r="AI71" s="53" t="n"/>
      <c r="AJ71" s="53" t="n"/>
      <c r="AK71" s="53" t="n"/>
      <c r="AL71" s="53" t="n"/>
      <c r="AM71" s="53" t="n"/>
      <c r="AN71" s="53" t="n"/>
      <c r="AO71" s="53" t="n"/>
      <c r="AP71" s="53" t="n"/>
      <c r="AQ71" s="53" t="n"/>
      <c r="AR71" s="53" t="n"/>
      <c r="AS71" s="53" t="n"/>
      <c r="AT71" s="53" t="n"/>
      <c r="AU71" s="53" t="n"/>
      <c r="AV71" s="53" t="n"/>
      <c r="AW71" s="53" t="n"/>
      <c r="AX71" s="53" t="n"/>
      <c r="AY71" s="53" t="n"/>
    </row>
    <row r="72" ht="15" customHeight="1">
      <c r="A72" s="62" t="n"/>
      <c r="B72" s="55">
        <f>IF($B$70="","",$B$70)</f>
        <v/>
      </c>
      <c r="C72" s="63" t="inlineStr">
        <is>
          <t>마케팅2팀</t>
        </is>
      </c>
      <c r="D72" s="55">
        <f>IF($D$70="","",$D$70)</f>
        <v/>
      </c>
      <c r="E72" s="64" t="inlineStr">
        <is>
          <t>영상</t>
        </is>
      </c>
      <c r="F72" s="44" t="n"/>
      <c r="G72" s="58">
        <f>IF($G$70="","",$G$70)</f>
        <v/>
      </c>
      <c r="H72" s="59" t="n"/>
      <c r="I72" s="59" t="n"/>
      <c r="J72" s="59" t="n"/>
      <c r="K72" s="59" t="n"/>
      <c r="L72" s="65">
        <f>IF(SUM(U72:AY72)=0,"",SUM(U72:AY72))</f>
        <v/>
      </c>
      <c r="M72" s="66">
        <f>IFERROR(INDEX(U$2:AY$2,MATCH(TRUE,INDEX(U72:AY72&lt;&gt;"",0),0)),"")</f>
        <v/>
      </c>
      <c r="N72" s="66">
        <f>IFERROR(LOOKUP(2,1/(U72:AY72&lt;&gt;""),U$2:AY$2),"")</f>
        <v/>
      </c>
      <c r="O72" s="59" t="n"/>
      <c r="P72" s="59" t="n"/>
      <c r="Q72" s="59" t="n"/>
      <c r="R72" s="59" t="n"/>
      <c r="S72" s="14" t="n"/>
      <c r="U72" s="53" t="n"/>
      <c r="V72" s="53" t="n"/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53" t="n"/>
      <c r="AF72" s="53" t="n"/>
      <c r="AG72" s="53" t="n"/>
      <c r="AH72" s="53" t="n"/>
      <c r="AI72" s="53" t="n"/>
      <c r="AJ72" s="53" t="n"/>
      <c r="AK72" s="53" t="n"/>
      <c r="AL72" s="53" t="n"/>
      <c r="AM72" s="53" t="n"/>
      <c r="AN72" s="53" t="n"/>
      <c r="AO72" s="53" t="n"/>
      <c r="AP72" s="53" t="n"/>
      <c r="AQ72" s="53" t="n"/>
      <c r="AR72" s="53" t="n"/>
      <c r="AS72" s="53" t="n"/>
      <c r="AT72" s="53" t="n"/>
      <c r="AU72" s="53" t="n"/>
      <c r="AV72" s="53" t="n"/>
      <c r="AW72" s="53" t="n"/>
      <c r="AX72" s="53" t="n"/>
      <c r="AY72" s="53" t="n"/>
    </row>
    <row r="73" ht="15" customHeight="1">
      <c r="A73" s="40">
        <f>IF($D$73="","",22)</f>
        <v/>
      </c>
      <c r="B73" s="10" t="n"/>
      <c r="C73" s="41" t="inlineStr">
        <is>
          <t>마케팅2팀</t>
        </is>
      </c>
      <c r="D73" s="42" t="n"/>
      <c r="E73" s="43" t="inlineStr">
        <is>
          <t>기획</t>
        </is>
      </c>
      <c r="F73" s="44" t="n"/>
      <c r="G73" s="45" t="n"/>
      <c r="H73" s="46">
        <f>IF($I$73="","",IF($I$73&lt;0,"🔴지연",IF($I$73&lt;=1,"🟡임박","🟢여유")))</f>
        <v/>
      </c>
      <c r="I73" s="47">
        <f>IF(OR($G$73="",$K$73=""),"",$G$73-$K$73)</f>
        <v/>
      </c>
      <c r="J73" s="48">
        <f>IF(SUM($L$73:$L$75)=0,"",SUM($L$73:$L$75))</f>
        <v/>
      </c>
      <c r="K73" s="49">
        <f>IF($J$73="","",MAX($N$73:$N$75))</f>
        <v/>
      </c>
      <c r="L73" s="50">
        <f>IF(SUM(U73:AY73)=0,"",SUM(U73:AY73))</f>
        <v/>
      </c>
      <c r="M73" s="51">
        <f>IFERROR(INDEX(U$2:AY$2,MATCH(TRUE,INDEX(U73:AY73&lt;&gt;"",0),0)),"")</f>
        <v/>
      </c>
      <c r="N73" s="51">
        <f>IFERROR(LOOKUP(2,1/(U73:AY73&lt;&gt;""),U$2:AY$2),"")</f>
        <v/>
      </c>
      <c r="O73" s="52" t="n"/>
      <c r="P73" s="52" t="n"/>
      <c r="Q73" s="52" t="n"/>
      <c r="R73" s="44" t="n"/>
      <c r="S73" s="14" t="n"/>
      <c r="U73" s="53" t="n"/>
      <c r="V73" s="53" t="n"/>
      <c r="W73" s="53" t="n"/>
      <c r="X73" s="53" t="n"/>
      <c r="Y73" s="53" t="n"/>
      <c r="Z73" s="53" t="n"/>
      <c r="AA73" s="53" t="n"/>
      <c r="AB73" s="53" t="n"/>
      <c r="AC73" s="53" t="n"/>
      <c r="AD73" s="53" t="n"/>
      <c r="AE73" s="53" t="n"/>
      <c r="AF73" s="53" t="n"/>
      <c r="AG73" s="53" t="n"/>
      <c r="AH73" s="53" t="n"/>
      <c r="AI73" s="53" t="n"/>
      <c r="AJ73" s="53" t="n"/>
      <c r="AK73" s="53" t="n"/>
      <c r="AL73" s="53" t="n"/>
      <c r="AM73" s="53" t="n"/>
      <c r="AN73" s="53" t="n"/>
      <c r="AO73" s="53" t="n"/>
      <c r="AP73" s="53" t="n"/>
      <c r="AQ73" s="53" t="n"/>
      <c r="AR73" s="53" t="n"/>
      <c r="AS73" s="53" t="n"/>
      <c r="AT73" s="53" t="n"/>
      <c r="AU73" s="53" t="n"/>
      <c r="AV73" s="53" t="n"/>
      <c r="AW73" s="53" t="n"/>
      <c r="AX73" s="53" t="n"/>
      <c r="AY73" s="53" t="n"/>
    </row>
    <row r="74" ht="15" customHeight="1">
      <c r="A74" s="54" t="n"/>
      <c r="B74" s="55">
        <f>IF($B$73="","",$B$73)</f>
        <v/>
      </c>
      <c r="C74" s="56" t="inlineStr">
        <is>
          <t>마케팅2팀</t>
        </is>
      </c>
      <c r="D74" s="55">
        <f>IF($D$73="","",$D$73)</f>
        <v/>
      </c>
      <c r="E74" s="57" t="inlineStr">
        <is>
          <t>이미지</t>
        </is>
      </c>
      <c r="F74" s="44" t="n"/>
      <c r="G74" s="58">
        <f>IF($G$73="","",$G$73)</f>
        <v/>
      </c>
      <c r="H74" s="59" t="n"/>
      <c r="I74" s="59" t="n"/>
      <c r="J74" s="59" t="n"/>
      <c r="K74" s="59" t="n"/>
      <c r="L74" s="60">
        <f>IF(SUM(U74:AY74)=0,"",SUM(U74:AY74))</f>
        <v/>
      </c>
      <c r="M74" s="61">
        <f>IFERROR(INDEX(U$2:AY$2,MATCH(TRUE,INDEX(U74:AY74&lt;&gt;"",0),0)),"")</f>
        <v/>
      </c>
      <c r="N74" s="61">
        <f>IFERROR(LOOKUP(2,1/(U74:AY74&lt;&gt;""),U$2:AY$2),"")</f>
        <v/>
      </c>
      <c r="O74" s="59" t="n"/>
      <c r="P74" s="59" t="n"/>
      <c r="Q74" s="59" t="n"/>
      <c r="R74" s="59" t="n"/>
      <c r="S74" s="14" t="n"/>
      <c r="U74" s="53" t="n"/>
      <c r="V74" s="53" t="n"/>
      <c r="W74" s="53" t="n"/>
      <c r="X74" s="53" t="n"/>
      <c r="Y74" s="53" t="n"/>
      <c r="Z74" s="53" t="n"/>
      <c r="AA74" s="53" t="n"/>
      <c r="AB74" s="53" t="n"/>
      <c r="AC74" s="53" t="n"/>
      <c r="AD74" s="53" t="n"/>
      <c r="AE74" s="53" t="n"/>
      <c r="AF74" s="53" t="n"/>
      <c r="AG74" s="53" t="n"/>
      <c r="AH74" s="53" t="n"/>
      <c r="AI74" s="53" t="n"/>
      <c r="AJ74" s="53" t="n"/>
      <c r="AK74" s="53" t="n"/>
      <c r="AL74" s="53" t="n"/>
      <c r="AM74" s="53" t="n"/>
      <c r="AN74" s="53" t="n"/>
      <c r="AO74" s="53" t="n"/>
      <c r="AP74" s="53" t="n"/>
      <c r="AQ74" s="53" t="n"/>
      <c r="AR74" s="53" t="n"/>
      <c r="AS74" s="53" t="n"/>
      <c r="AT74" s="53" t="n"/>
      <c r="AU74" s="53" t="n"/>
      <c r="AV74" s="53" t="n"/>
      <c r="AW74" s="53" t="n"/>
      <c r="AX74" s="53" t="n"/>
      <c r="AY74" s="53" t="n"/>
    </row>
    <row r="75" ht="15" customHeight="1">
      <c r="A75" s="62" t="n"/>
      <c r="B75" s="55">
        <f>IF($B$73="","",$B$73)</f>
        <v/>
      </c>
      <c r="C75" s="63" t="inlineStr">
        <is>
          <t>마케팅2팀</t>
        </is>
      </c>
      <c r="D75" s="55">
        <f>IF($D$73="","",$D$73)</f>
        <v/>
      </c>
      <c r="E75" s="64" t="inlineStr">
        <is>
          <t>영상</t>
        </is>
      </c>
      <c r="F75" s="44" t="n"/>
      <c r="G75" s="58">
        <f>IF($G$73="","",$G$73)</f>
        <v/>
      </c>
      <c r="H75" s="59" t="n"/>
      <c r="I75" s="59" t="n"/>
      <c r="J75" s="59" t="n"/>
      <c r="K75" s="59" t="n"/>
      <c r="L75" s="65">
        <f>IF(SUM(U75:AY75)=0,"",SUM(U75:AY75))</f>
        <v/>
      </c>
      <c r="M75" s="66">
        <f>IFERROR(INDEX(U$2:AY$2,MATCH(TRUE,INDEX(U75:AY75&lt;&gt;"",0),0)),"")</f>
        <v/>
      </c>
      <c r="N75" s="66">
        <f>IFERROR(LOOKUP(2,1/(U75:AY75&lt;&gt;""),U$2:AY$2),"")</f>
        <v/>
      </c>
      <c r="O75" s="59" t="n"/>
      <c r="P75" s="59" t="n"/>
      <c r="Q75" s="59" t="n"/>
      <c r="R75" s="59" t="n"/>
      <c r="S75" s="14" t="n"/>
      <c r="U75" s="53" t="n"/>
      <c r="V75" s="53" t="n"/>
      <c r="W75" s="53" t="n"/>
      <c r="X75" s="53" t="n"/>
      <c r="Y75" s="53" t="n"/>
      <c r="Z75" s="53" t="n"/>
      <c r="AA75" s="53" t="n"/>
      <c r="AB75" s="53" t="n"/>
      <c r="AC75" s="53" t="n"/>
      <c r="AD75" s="53" t="n"/>
      <c r="AE75" s="53" t="n"/>
      <c r="AF75" s="53" t="n"/>
      <c r="AG75" s="53" t="n"/>
      <c r="AH75" s="53" t="n"/>
      <c r="AI75" s="53" t="n"/>
      <c r="AJ75" s="53" t="n"/>
      <c r="AK75" s="53" t="n"/>
      <c r="AL75" s="53" t="n"/>
      <c r="AM75" s="53" t="n"/>
      <c r="AN75" s="53" t="n"/>
      <c r="AO75" s="53" t="n"/>
      <c r="AP75" s="53" t="n"/>
      <c r="AQ75" s="53" t="n"/>
      <c r="AR75" s="53" t="n"/>
      <c r="AS75" s="53" t="n"/>
      <c r="AT75" s="53" t="n"/>
      <c r="AU75" s="53" t="n"/>
      <c r="AV75" s="53" t="n"/>
      <c r="AW75" s="53" t="n"/>
      <c r="AX75" s="53" t="n"/>
      <c r="AY75" s="53" t="n"/>
    </row>
    <row r="76" ht="15" customHeight="1">
      <c r="A76" s="40">
        <f>IF($D$76="","",23)</f>
        <v/>
      </c>
      <c r="B76" s="10" t="n"/>
      <c r="C76" s="41" t="inlineStr">
        <is>
          <t>마케팅2팀</t>
        </is>
      </c>
      <c r="D76" s="42" t="n"/>
      <c r="E76" s="43" t="inlineStr">
        <is>
          <t>기획</t>
        </is>
      </c>
      <c r="F76" s="44" t="n"/>
      <c r="G76" s="45" t="n"/>
      <c r="H76" s="46">
        <f>IF($I$76="","",IF($I$76&lt;0,"🔴지연",IF($I$76&lt;=1,"🟡임박","🟢여유")))</f>
        <v/>
      </c>
      <c r="I76" s="47">
        <f>IF(OR($G$76="",$K$76=""),"",$G$76-$K$76)</f>
        <v/>
      </c>
      <c r="J76" s="48">
        <f>IF(SUM($L$76:$L$78)=0,"",SUM($L$76:$L$78))</f>
        <v/>
      </c>
      <c r="K76" s="49">
        <f>IF($J$76="","",MAX($N$76:$N$78))</f>
        <v/>
      </c>
      <c r="L76" s="50">
        <f>IF(SUM(U76:AY76)=0,"",SUM(U76:AY76))</f>
        <v/>
      </c>
      <c r="M76" s="51">
        <f>IFERROR(INDEX(U$2:AY$2,MATCH(TRUE,INDEX(U76:AY76&lt;&gt;"",0),0)),"")</f>
        <v/>
      </c>
      <c r="N76" s="51">
        <f>IFERROR(LOOKUP(2,1/(U76:AY76&lt;&gt;""),U$2:AY$2),"")</f>
        <v/>
      </c>
      <c r="O76" s="52" t="n"/>
      <c r="P76" s="52" t="n"/>
      <c r="Q76" s="52" t="n"/>
      <c r="R76" s="44" t="n"/>
      <c r="S76" s="14" t="n"/>
      <c r="U76" s="53" t="n"/>
      <c r="V76" s="53" t="n"/>
      <c r="W76" s="53" t="n"/>
      <c r="X76" s="53" t="n"/>
      <c r="Y76" s="53" t="n"/>
      <c r="Z76" s="53" t="n"/>
      <c r="AA76" s="53" t="n"/>
      <c r="AB76" s="53" t="n"/>
      <c r="AC76" s="53" t="n"/>
      <c r="AD76" s="53" t="n"/>
      <c r="AE76" s="53" t="n"/>
      <c r="AF76" s="53" t="n"/>
      <c r="AG76" s="53" t="n"/>
      <c r="AH76" s="53" t="n"/>
      <c r="AI76" s="53" t="n"/>
      <c r="AJ76" s="53" t="n"/>
      <c r="AK76" s="53" t="n"/>
      <c r="AL76" s="53" t="n"/>
      <c r="AM76" s="53" t="n"/>
      <c r="AN76" s="53" t="n"/>
      <c r="AO76" s="53" t="n"/>
      <c r="AP76" s="53" t="n"/>
      <c r="AQ76" s="53" t="n"/>
      <c r="AR76" s="53" t="n"/>
      <c r="AS76" s="53" t="n"/>
      <c r="AT76" s="53" t="n"/>
      <c r="AU76" s="53" t="n"/>
      <c r="AV76" s="53" t="n"/>
      <c r="AW76" s="53" t="n"/>
      <c r="AX76" s="53" t="n"/>
      <c r="AY76" s="53" t="n"/>
    </row>
    <row r="77" ht="15" customHeight="1">
      <c r="A77" s="54" t="n"/>
      <c r="B77" s="55">
        <f>IF($B$76="","",$B$76)</f>
        <v/>
      </c>
      <c r="C77" s="56" t="inlineStr">
        <is>
          <t>마케팅2팀</t>
        </is>
      </c>
      <c r="D77" s="55">
        <f>IF($D$76="","",$D$76)</f>
        <v/>
      </c>
      <c r="E77" s="57" t="inlineStr">
        <is>
          <t>이미지</t>
        </is>
      </c>
      <c r="F77" s="44" t="n"/>
      <c r="G77" s="58">
        <f>IF($G$76="","",$G$76)</f>
        <v/>
      </c>
      <c r="H77" s="59" t="n"/>
      <c r="I77" s="59" t="n"/>
      <c r="J77" s="59" t="n"/>
      <c r="K77" s="59" t="n"/>
      <c r="L77" s="60">
        <f>IF(SUM(U77:AY77)=0,"",SUM(U77:AY77))</f>
        <v/>
      </c>
      <c r="M77" s="61">
        <f>IFERROR(INDEX(U$2:AY$2,MATCH(TRUE,INDEX(U77:AY77&lt;&gt;"",0),0)),"")</f>
        <v/>
      </c>
      <c r="N77" s="61">
        <f>IFERROR(LOOKUP(2,1/(U77:AY77&lt;&gt;""),U$2:AY$2),"")</f>
        <v/>
      </c>
      <c r="O77" s="59" t="n"/>
      <c r="P77" s="59" t="n"/>
      <c r="Q77" s="59" t="n"/>
      <c r="R77" s="59" t="n"/>
      <c r="S77" s="14" t="n"/>
      <c r="U77" s="53" t="n"/>
      <c r="V77" s="53" t="n"/>
      <c r="W77" s="53" t="n"/>
      <c r="X77" s="53" t="n"/>
      <c r="Y77" s="53" t="n"/>
      <c r="Z77" s="53" t="n"/>
      <c r="AA77" s="53" t="n"/>
      <c r="AB77" s="53" t="n"/>
      <c r="AC77" s="53" t="n"/>
      <c r="AD77" s="53" t="n"/>
      <c r="AE77" s="53" t="n"/>
      <c r="AF77" s="53" t="n"/>
      <c r="AG77" s="53" t="n"/>
      <c r="AH77" s="53" t="n"/>
      <c r="AI77" s="53" t="n"/>
      <c r="AJ77" s="53" t="n"/>
      <c r="AK77" s="53" t="n"/>
      <c r="AL77" s="53" t="n"/>
      <c r="AM77" s="53" t="n"/>
      <c r="AN77" s="53" t="n"/>
      <c r="AO77" s="53" t="n"/>
      <c r="AP77" s="53" t="n"/>
      <c r="AQ77" s="53" t="n"/>
      <c r="AR77" s="53" t="n"/>
      <c r="AS77" s="53" t="n"/>
      <c r="AT77" s="53" t="n"/>
      <c r="AU77" s="53" t="n"/>
      <c r="AV77" s="53" t="n"/>
      <c r="AW77" s="53" t="n"/>
      <c r="AX77" s="53" t="n"/>
      <c r="AY77" s="53" t="n"/>
    </row>
    <row r="78" ht="15" customHeight="1">
      <c r="A78" s="62" t="n"/>
      <c r="B78" s="55">
        <f>IF($B$76="","",$B$76)</f>
        <v/>
      </c>
      <c r="C78" s="63" t="inlineStr">
        <is>
          <t>마케팅2팀</t>
        </is>
      </c>
      <c r="D78" s="55">
        <f>IF($D$76="","",$D$76)</f>
        <v/>
      </c>
      <c r="E78" s="64" t="inlineStr">
        <is>
          <t>영상</t>
        </is>
      </c>
      <c r="F78" s="44" t="n"/>
      <c r="G78" s="58">
        <f>IF($G$76="","",$G$76)</f>
        <v/>
      </c>
      <c r="H78" s="59" t="n"/>
      <c r="I78" s="59" t="n"/>
      <c r="J78" s="59" t="n"/>
      <c r="K78" s="59" t="n"/>
      <c r="L78" s="65">
        <f>IF(SUM(U78:AY78)=0,"",SUM(U78:AY78))</f>
        <v/>
      </c>
      <c r="M78" s="66">
        <f>IFERROR(INDEX(U$2:AY$2,MATCH(TRUE,INDEX(U78:AY78&lt;&gt;"",0),0)),"")</f>
        <v/>
      </c>
      <c r="N78" s="66">
        <f>IFERROR(LOOKUP(2,1/(U78:AY78&lt;&gt;""),U$2:AY$2),"")</f>
        <v/>
      </c>
      <c r="O78" s="59" t="n"/>
      <c r="P78" s="59" t="n"/>
      <c r="Q78" s="59" t="n"/>
      <c r="R78" s="59" t="n"/>
      <c r="S78" s="14" t="n"/>
      <c r="U78" s="53" t="n"/>
      <c r="V78" s="53" t="n"/>
      <c r="W78" s="53" t="n"/>
      <c r="X78" s="53" t="n"/>
      <c r="Y78" s="53" t="n"/>
      <c r="Z78" s="53" t="n"/>
      <c r="AA78" s="53" t="n"/>
      <c r="AB78" s="53" t="n"/>
      <c r="AC78" s="53" t="n"/>
      <c r="AD78" s="53" t="n"/>
      <c r="AE78" s="53" t="n"/>
      <c r="AF78" s="53" t="n"/>
      <c r="AG78" s="53" t="n"/>
      <c r="AH78" s="53" t="n"/>
      <c r="AI78" s="53" t="n"/>
      <c r="AJ78" s="53" t="n"/>
      <c r="AK78" s="53" t="n"/>
      <c r="AL78" s="53" t="n"/>
      <c r="AM78" s="53" t="n"/>
      <c r="AN78" s="53" t="n"/>
      <c r="AO78" s="53" t="n"/>
      <c r="AP78" s="53" t="n"/>
      <c r="AQ78" s="53" t="n"/>
      <c r="AR78" s="53" t="n"/>
      <c r="AS78" s="53" t="n"/>
      <c r="AT78" s="53" t="n"/>
      <c r="AU78" s="53" t="n"/>
      <c r="AV78" s="53" t="n"/>
      <c r="AW78" s="53" t="n"/>
      <c r="AX78" s="53" t="n"/>
      <c r="AY78" s="53" t="n"/>
    </row>
    <row r="79" ht="15" customHeight="1">
      <c r="A79" s="40">
        <f>IF($D$79="","",24)</f>
        <v/>
      </c>
      <c r="B79" s="10" t="n"/>
      <c r="C79" s="41" t="inlineStr">
        <is>
          <t>마케팅2팀</t>
        </is>
      </c>
      <c r="D79" s="42" t="n"/>
      <c r="E79" s="43" t="inlineStr">
        <is>
          <t>기획</t>
        </is>
      </c>
      <c r="F79" s="44" t="n"/>
      <c r="G79" s="45" t="n"/>
      <c r="H79" s="46">
        <f>IF($I$79="","",IF($I$79&lt;0,"🔴지연",IF($I$79&lt;=1,"🟡임박","🟢여유")))</f>
        <v/>
      </c>
      <c r="I79" s="47">
        <f>IF(OR($G$79="",$K$79=""),"",$G$79-$K$79)</f>
        <v/>
      </c>
      <c r="J79" s="48">
        <f>IF(SUM($L$79:$L$81)=0,"",SUM($L$79:$L$81))</f>
        <v/>
      </c>
      <c r="K79" s="49">
        <f>IF($J$79="","",MAX($N$79:$N$81))</f>
        <v/>
      </c>
      <c r="L79" s="50">
        <f>IF(SUM(U79:AY79)=0,"",SUM(U79:AY79))</f>
        <v/>
      </c>
      <c r="M79" s="51">
        <f>IFERROR(INDEX(U$2:AY$2,MATCH(TRUE,INDEX(U79:AY79&lt;&gt;"",0),0)),"")</f>
        <v/>
      </c>
      <c r="N79" s="51">
        <f>IFERROR(LOOKUP(2,1/(U79:AY79&lt;&gt;""),U$2:AY$2),"")</f>
        <v/>
      </c>
      <c r="O79" s="52" t="n"/>
      <c r="P79" s="52" t="n"/>
      <c r="Q79" s="52" t="n"/>
      <c r="R79" s="44" t="n"/>
      <c r="S79" s="14" t="n"/>
      <c r="U79" s="53" t="n"/>
      <c r="V79" s="53" t="n"/>
      <c r="W79" s="53" t="n"/>
      <c r="X79" s="53" t="n"/>
      <c r="Y79" s="53" t="n"/>
      <c r="Z79" s="53" t="n"/>
      <c r="AA79" s="53" t="n"/>
      <c r="AB79" s="53" t="n"/>
      <c r="AC79" s="53" t="n"/>
      <c r="AD79" s="53" t="n"/>
      <c r="AE79" s="53" t="n"/>
      <c r="AF79" s="53" t="n"/>
      <c r="AG79" s="53" t="n"/>
      <c r="AH79" s="53" t="n"/>
      <c r="AI79" s="53" t="n"/>
      <c r="AJ79" s="53" t="n"/>
      <c r="AK79" s="53" t="n"/>
      <c r="AL79" s="53" t="n"/>
      <c r="AM79" s="53" t="n"/>
      <c r="AN79" s="53" t="n"/>
      <c r="AO79" s="53" t="n"/>
      <c r="AP79" s="53" t="n"/>
      <c r="AQ79" s="53" t="n"/>
      <c r="AR79" s="53" t="n"/>
      <c r="AS79" s="53" t="n"/>
      <c r="AT79" s="53" t="n"/>
      <c r="AU79" s="53" t="n"/>
      <c r="AV79" s="53" t="n"/>
      <c r="AW79" s="53" t="n"/>
      <c r="AX79" s="53" t="n"/>
      <c r="AY79" s="53" t="n"/>
    </row>
    <row r="80" ht="15" customHeight="1">
      <c r="A80" s="54" t="n"/>
      <c r="B80" s="55">
        <f>IF($B$79="","",$B$79)</f>
        <v/>
      </c>
      <c r="C80" s="56" t="inlineStr">
        <is>
          <t>마케팅2팀</t>
        </is>
      </c>
      <c r="D80" s="55">
        <f>IF($D$79="","",$D$79)</f>
        <v/>
      </c>
      <c r="E80" s="57" t="inlineStr">
        <is>
          <t>이미지</t>
        </is>
      </c>
      <c r="F80" s="44" t="n"/>
      <c r="G80" s="58">
        <f>IF($G$79="","",$G$79)</f>
        <v/>
      </c>
      <c r="H80" s="59" t="n"/>
      <c r="I80" s="59" t="n"/>
      <c r="J80" s="59" t="n"/>
      <c r="K80" s="59" t="n"/>
      <c r="L80" s="60">
        <f>IF(SUM(U80:AY80)=0,"",SUM(U80:AY80))</f>
        <v/>
      </c>
      <c r="M80" s="61">
        <f>IFERROR(INDEX(U$2:AY$2,MATCH(TRUE,INDEX(U80:AY80&lt;&gt;"",0),0)),"")</f>
        <v/>
      </c>
      <c r="N80" s="61">
        <f>IFERROR(LOOKUP(2,1/(U80:AY80&lt;&gt;""),U$2:AY$2),"")</f>
        <v/>
      </c>
      <c r="O80" s="59" t="n"/>
      <c r="P80" s="59" t="n"/>
      <c r="Q80" s="59" t="n"/>
      <c r="R80" s="59" t="n"/>
      <c r="S80" s="14" t="n"/>
      <c r="U80" s="53" t="n"/>
      <c r="V80" s="53" t="n"/>
      <c r="W80" s="53" t="n"/>
      <c r="X80" s="53" t="n"/>
      <c r="Y80" s="53" t="n"/>
      <c r="Z80" s="53" t="n"/>
      <c r="AA80" s="53" t="n"/>
      <c r="AB80" s="53" t="n"/>
      <c r="AC80" s="53" t="n"/>
      <c r="AD80" s="53" t="n"/>
      <c r="AE80" s="53" t="n"/>
      <c r="AF80" s="53" t="n"/>
      <c r="AG80" s="53" t="n"/>
      <c r="AH80" s="53" t="n"/>
      <c r="AI80" s="53" t="n"/>
      <c r="AJ80" s="53" t="n"/>
      <c r="AK80" s="53" t="n"/>
      <c r="AL80" s="53" t="n"/>
      <c r="AM80" s="53" t="n"/>
      <c r="AN80" s="53" t="n"/>
      <c r="AO80" s="53" t="n"/>
      <c r="AP80" s="53" t="n"/>
      <c r="AQ80" s="53" t="n"/>
      <c r="AR80" s="53" t="n"/>
      <c r="AS80" s="53" t="n"/>
      <c r="AT80" s="53" t="n"/>
      <c r="AU80" s="53" t="n"/>
      <c r="AV80" s="53" t="n"/>
      <c r="AW80" s="53" t="n"/>
      <c r="AX80" s="53" t="n"/>
      <c r="AY80" s="53" t="n"/>
    </row>
    <row r="81" ht="15" customHeight="1">
      <c r="A81" s="62" t="n"/>
      <c r="B81" s="55">
        <f>IF($B$79="","",$B$79)</f>
        <v/>
      </c>
      <c r="C81" s="63" t="inlineStr">
        <is>
          <t>마케팅2팀</t>
        </is>
      </c>
      <c r="D81" s="55">
        <f>IF($D$79="","",$D$79)</f>
        <v/>
      </c>
      <c r="E81" s="64" t="inlineStr">
        <is>
          <t>영상</t>
        </is>
      </c>
      <c r="F81" s="44" t="n"/>
      <c r="G81" s="58">
        <f>IF($G$79="","",$G$79)</f>
        <v/>
      </c>
      <c r="H81" s="59" t="n"/>
      <c r="I81" s="59" t="n"/>
      <c r="J81" s="59" t="n"/>
      <c r="K81" s="59" t="n"/>
      <c r="L81" s="65">
        <f>IF(SUM(U81:AY81)=0,"",SUM(U81:AY81))</f>
        <v/>
      </c>
      <c r="M81" s="66">
        <f>IFERROR(INDEX(U$2:AY$2,MATCH(TRUE,INDEX(U81:AY81&lt;&gt;"",0),0)),"")</f>
        <v/>
      </c>
      <c r="N81" s="66">
        <f>IFERROR(LOOKUP(2,1/(U81:AY81&lt;&gt;""),U$2:AY$2),"")</f>
        <v/>
      </c>
      <c r="O81" s="59" t="n"/>
      <c r="P81" s="59" t="n"/>
      <c r="Q81" s="59" t="n"/>
      <c r="R81" s="59" t="n"/>
      <c r="S81" s="14" t="n"/>
      <c r="U81" s="53" t="n"/>
      <c r="V81" s="53" t="n"/>
      <c r="W81" s="53" t="n"/>
      <c r="X81" s="53" t="n"/>
      <c r="Y81" s="53" t="n"/>
      <c r="Z81" s="53" t="n"/>
      <c r="AA81" s="53" t="n"/>
      <c r="AB81" s="53" t="n"/>
      <c r="AC81" s="53" t="n"/>
      <c r="AD81" s="53" t="n"/>
      <c r="AE81" s="53" t="n"/>
      <c r="AF81" s="53" t="n"/>
      <c r="AG81" s="53" t="n"/>
      <c r="AH81" s="53" t="n"/>
      <c r="AI81" s="53" t="n"/>
      <c r="AJ81" s="53" t="n"/>
      <c r="AK81" s="53" t="n"/>
      <c r="AL81" s="53" t="n"/>
      <c r="AM81" s="53" t="n"/>
      <c r="AN81" s="53" t="n"/>
      <c r="AO81" s="53" t="n"/>
      <c r="AP81" s="53" t="n"/>
      <c r="AQ81" s="53" t="n"/>
      <c r="AR81" s="53" t="n"/>
      <c r="AS81" s="53" t="n"/>
      <c r="AT81" s="53" t="n"/>
      <c r="AU81" s="53" t="n"/>
      <c r="AV81" s="53" t="n"/>
      <c r="AW81" s="53" t="n"/>
      <c r="AX81" s="53" t="n"/>
      <c r="AY81" s="53" t="n"/>
    </row>
    <row r="82" ht="15" customHeight="1">
      <c r="A82" s="40">
        <f>IF($D$82="","",25)</f>
        <v/>
      </c>
      <c r="B82" s="10" t="n"/>
      <c r="C82" s="41" t="inlineStr">
        <is>
          <t>마케팅2팀</t>
        </is>
      </c>
      <c r="D82" s="42" t="n"/>
      <c r="E82" s="43" t="inlineStr">
        <is>
          <t>기획</t>
        </is>
      </c>
      <c r="F82" s="44" t="n"/>
      <c r="G82" s="45" t="n"/>
      <c r="H82" s="46">
        <f>IF($I$82="","",IF($I$82&lt;0,"🔴지연",IF($I$82&lt;=1,"🟡임박","🟢여유")))</f>
        <v/>
      </c>
      <c r="I82" s="47">
        <f>IF(OR($G$82="",$K$82=""),"",$G$82-$K$82)</f>
        <v/>
      </c>
      <c r="J82" s="48">
        <f>IF(SUM($L$82:$L$84)=0,"",SUM($L$82:$L$84))</f>
        <v/>
      </c>
      <c r="K82" s="49">
        <f>IF($J$82="","",MAX($N$82:$N$84))</f>
        <v/>
      </c>
      <c r="L82" s="50">
        <f>IF(SUM(U82:AY82)=0,"",SUM(U82:AY82))</f>
        <v/>
      </c>
      <c r="M82" s="51">
        <f>IFERROR(INDEX(U$2:AY$2,MATCH(TRUE,INDEX(U82:AY82&lt;&gt;"",0),0)),"")</f>
        <v/>
      </c>
      <c r="N82" s="51">
        <f>IFERROR(LOOKUP(2,1/(U82:AY82&lt;&gt;""),U$2:AY$2),"")</f>
        <v/>
      </c>
      <c r="O82" s="52" t="n"/>
      <c r="P82" s="52" t="n"/>
      <c r="Q82" s="52" t="n"/>
      <c r="R82" s="44" t="n"/>
      <c r="S82" s="14" t="n"/>
      <c r="U82" s="53" t="n"/>
      <c r="V82" s="53" t="n"/>
      <c r="W82" s="53" t="n"/>
      <c r="X82" s="53" t="n"/>
      <c r="Y82" s="53" t="n"/>
      <c r="Z82" s="53" t="n"/>
      <c r="AA82" s="53" t="n"/>
      <c r="AB82" s="53" t="n"/>
      <c r="AC82" s="53" t="n"/>
      <c r="AD82" s="53" t="n"/>
      <c r="AE82" s="53" t="n"/>
      <c r="AF82" s="53" t="n"/>
      <c r="AG82" s="53" t="n"/>
      <c r="AH82" s="53" t="n"/>
      <c r="AI82" s="53" t="n"/>
      <c r="AJ82" s="53" t="n"/>
      <c r="AK82" s="53" t="n"/>
      <c r="AL82" s="53" t="n"/>
      <c r="AM82" s="53" t="n"/>
      <c r="AN82" s="53" t="n"/>
      <c r="AO82" s="53" t="n"/>
      <c r="AP82" s="53" t="n"/>
      <c r="AQ82" s="53" t="n"/>
      <c r="AR82" s="53" t="n"/>
      <c r="AS82" s="53" t="n"/>
      <c r="AT82" s="53" t="n"/>
      <c r="AU82" s="53" t="n"/>
      <c r="AV82" s="53" t="n"/>
      <c r="AW82" s="53" t="n"/>
      <c r="AX82" s="53" t="n"/>
      <c r="AY82" s="53" t="n"/>
    </row>
    <row r="83" ht="15" customHeight="1">
      <c r="A83" s="54" t="n"/>
      <c r="B83" s="55">
        <f>IF($B$82="","",$B$82)</f>
        <v/>
      </c>
      <c r="C83" s="56" t="inlineStr">
        <is>
          <t>마케팅2팀</t>
        </is>
      </c>
      <c r="D83" s="55">
        <f>IF($D$82="","",$D$82)</f>
        <v/>
      </c>
      <c r="E83" s="57" t="inlineStr">
        <is>
          <t>이미지</t>
        </is>
      </c>
      <c r="F83" s="44" t="n"/>
      <c r="G83" s="58">
        <f>IF($G$82="","",$G$82)</f>
        <v/>
      </c>
      <c r="H83" s="59" t="n"/>
      <c r="I83" s="59" t="n"/>
      <c r="J83" s="59" t="n"/>
      <c r="K83" s="59" t="n"/>
      <c r="L83" s="60">
        <f>IF(SUM(U83:AY83)=0,"",SUM(U83:AY83))</f>
        <v/>
      </c>
      <c r="M83" s="61">
        <f>IFERROR(INDEX(U$2:AY$2,MATCH(TRUE,INDEX(U83:AY83&lt;&gt;"",0),0)),"")</f>
        <v/>
      </c>
      <c r="N83" s="61">
        <f>IFERROR(LOOKUP(2,1/(U83:AY83&lt;&gt;""),U$2:AY$2),"")</f>
        <v/>
      </c>
      <c r="O83" s="59" t="n"/>
      <c r="P83" s="59" t="n"/>
      <c r="Q83" s="59" t="n"/>
      <c r="R83" s="59" t="n"/>
      <c r="S83" s="14" t="n"/>
      <c r="U83" s="53" t="n"/>
      <c r="V83" s="53" t="n"/>
      <c r="W83" s="53" t="n"/>
      <c r="X83" s="53" t="n"/>
      <c r="Y83" s="53" t="n"/>
      <c r="Z83" s="53" t="n"/>
      <c r="AA83" s="53" t="n"/>
      <c r="AB83" s="53" t="n"/>
      <c r="AC83" s="53" t="n"/>
      <c r="AD83" s="53" t="n"/>
      <c r="AE83" s="53" t="n"/>
      <c r="AF83" s="53" t="n"/>
      <c r="AG83" s="53" t="n"/>
      <c r="AH83" s="53" t="n"/>
      <c r="AI83" s="53" t="n"/>
      <c r="AJ83" s="53" t="n"/>
      <c r="AK83" s="53" t="n"/>
      <c r="AL83" s="53" t="n"/>
      <c r="AM83" s="53" t="n"/>
      <c r="AN83" s="53" t="n"/>
      <c r="AO83" s="53" t="n"/>
      <c r="AP83" s="53" t="n"/>
      <c r="AQ83" s="53" t="n"/>
      <c r="AR83" s="53" t="n"/>
      <c r="AS83" s="53" t="n"/>
      <c r="AT83" s="53" t="n"/>
      <c r="AU83" s="53" t="n"/>
      <c r="AV83" s="53" t="n"/>
      <c r="AW83" s="53" t="n"/>
      <c r="AX83" s="53" t="n"/>
      <c r="AY83" s="53" t="n"/>
    </row>
    <row r="84" ht="15" customHeight="1">
      <c r="A84" s="62" t="n"/>
      <c r="B84" s="55">
        <f>IF($B$82="","",$B$82)</f>
        <v/>
      </c>
      <c r="C84" s="63" t="inlineStr">
        <is>
          <t>마케팅2팀</t>
        </is>
      </c>
      <c r="D84" s="55">
        <f>IF($D$82="","",$D$82)</f>
        <v/>
      </c>
      <c r="E84" s="64" t="inlineStr">
        <is>
          <t>영상</t>
        </is>
      </c>
      <c r="F84" s="44" t="n"/>
      <c r="G84" s="58">
        <f>IF($G$82="","",$G$82)</f>
        <v/>
      </c>
      <c r="H84" s="59" t="n"/>
      <c r="I84" s="59" t="n"/>
      <c r="J84" s="59" t="n"/>
      <c r="K84" s="59" t="n"/>
      <c r="L84" s="65">
        <f>IF(SUM(U84:AY84)=0,"",SUM(U84:AY84))</f>
        <v/>
      </c>
      <c r="M84" s="66">
        <f>IFERROR(INDEX(U$2:AY$2,MATCH(TRUE,INDEX(U84:AY84&lt;&gt;"",0),0)),"")</f>
        <v/>
      </c>
      <c r="N84" s="66">
        <f>IFERROR(LOOKUP(2,1/(U84:AY84&lt;&gt;""),U$2:AY$2),"")</f>
        <v/>
      </c>
      <c r="O84" s="59" t="n"/>
      <c r="P84" s="59" t="n"/>
      <c r="Q84" s="59" t="n"/>
      <c r="R84" s="59" t="n"/>
      <c r="S84" s="14" t="n"/>
      <c r="U84" s="53" t="n"/>
      <c r="V84" s="53" t="n"/>
      <c r="W84" s="53" t="n"/>
      <c r="X84" s="53" t="n"/>
      <c r="Y84" s="53" t="n"/>
      <c r="Z84" s="53" t="n"/>
      <c r="AA84" s="53" t="n"/>
      <c r="AB84" s="53" t="n"/>
      <c r="AC84" s="53" t="n"/>
      <c r="AD84" s="53" t="n"/>
      <c r="AE84" s="53" t="n"/>
      <c r="AF84" s="53" t="n"/>
      <c r="AG84" s="53" t="n"/>
      <c r="AH84" s="53" t="n"/>
      <c r="AI84" s="53" t="n"/>
      <c r="AJ84" s="53" t="n"/>
      <c r="AK84" s="53" t="n"/>
      <c r="AL84" s="53" t="n"/>
      <c r="AM84" s="53" t="n"/>
      <c r="AN84" s="53" t="n"/>
      <c r="AO84" s="53" t="n"/>
      <c r="AP84" s="53" t="n"/>
      <c r="AQ84" s="53" t="n"/>
      <c r="AR84" s="53" t="n"/>
      <c r="AS84" s="53" t="n"/>
      <c r="AT84" s="53" t="n"/>
      <c r="AU84" s="53" t="n"/>
      <c r="AV84" s="53" t="n"/>
      <c r="AW84" s="53" t="n"/>
      <c r="AX84" s="53" t="n"/>
      <c r="AY84" s="53" t="n"/>
    </row>
    <row r="85" ht="15" customHeight="1">
      <c r="A85" s="40">
        <f>IF($D$85="","",26)</f>
        <v/>
      </c>
      <c r="B85" s="10" t="n"/>
      <c r="C85" s="41" t="inlineStr">
        <is>
          <t>마케팅2팀</t>
        </is>
      </c>
      <c r="D85" s="42" t="n"/>
      <c r="E85" s="43" t="inlineStr">
        <is>
          <t>기획</t>
        </is>
      </c>
      <c r="F85" s="44" t="n"/>
      <c r="G85" s="45" t="n"/>
      <c r="H85" s="46">
        <f>IF($I$85="","",IF($I$85&lt;0,"🔴지연",IF($I$85&lt;=1,"🟡임박","🟢여유")))</f>
        <v/>
      </c>
      <c r="I85" s="47">
        <f>IF(OR($G$85="",$K$85=""),"",$G$85-$K$85)</f>
        <v/>
      </c>
      <c r="J85" s="48">
        <f>IF(SUM($L$85:$L$87)=0,"",SUM($L$85:$L$87))</f>
        <v/>
      </c>
      <c r="K85" s="49">
        <f>IF($J$85="","",MAX($N$85:$N$87))</f>
        <v/>
      </c>
      <c r="L85" s="50">
        <f>IF(SUM(U85:AY85)=0,"",SUM(U85:AY85))</f>
        <v/>
      </c>
      <c r="M85" s="51">
        <f>IFERROR(INDEX(U$2:AY$2,MATCH(TRUE,INDEX(U85:AY85&lt;&gt;"",0),0)),"")</f>
        <v/>
      </c>
      <c r="N85" s="51">
        <f>IFERROR(LOOKUP(2,1/(U85:AY85&lt;&gt;""),U$2:AY$2),"")</f>
        <v/>
      </c>
      <c r="O85" s="52" t="n"/>
      <c r="P85" s="52" t="n"/>
      <c r="Q85" s="52" t="n"/>
      <c r="R85" s="44" t="n"/>
      <c r="S85" s="14" t="n"/>
      <c r="U85" s="53" t="n"/>
      <c r="V85" s="53" t="n"/>
      <c r="W85" s="53" t="n"/>
      <c r="X85" s="53" t="n"/>
      <c r="Y85" s="53" t="n"/>
      <c r="Z85" s="53" t="n"/>
      <c r="AA85" s="53" t="n"/>
      <c r="AB85" s="53" t="n"/>
      <c r="AC85" s="53" t="n"/>
      <c r="AD85" s="53" t="n"/>
      <c r="AE85" s="53" t="n"/>
      <c r="AF85" s="53" t="n"/>
      <c r="AG85" s="53" t="n"/>
      <c r="AH85" s="53" t="n"/>
      <c r="AI85" s="53" t="n"/>
      <c r="AJ85" s="53" t="n"/>
      <c r="AK85" s="53" t="n"/>
      <c r="AL85" s="53" t="n"/>
      <c r="AM85" s="53" t="n"/>
      <c r="AN85" s="53" t="n"/>
      <c r="AO85" s="53" t="n"/>
      <c r="AP85" s="53" t="n"/>
      <c r="AQ85" s="53" t="n"/>
      <c r="AR85" s="53" t="n"/>
      <c r="AS85" s="53" t="n"/>
      <c r="AT85" s="53" t="n"/>
      <c r="AU85" s="53" t="n"/>
      <c r="AV85" s="53" t="n"/>
      <c r="AW85" s="53" t="n"/>
      <c r="AX85" s="53" t="n"/>
      <c r="AY85" s="53" t="n"/>
    </row>
    <row r="86" ht="15" customHeight="1">
      <c r="A86" s="54" t="n"/>
      <c r="B86" s="55">
        <f>IF($B$85="","",$B$85)</f>
        <v/>
      </c>
      <c r="C86" s="56" t="inlineStr">
        <is>
          <t>마케팅2팀</t>
        </is>
      </c>
      <c r="D86" s="55">
        <f>IF($D$85="","",$D$85)</f>
        <v/>
      </c>
      <c r="E86" s="57" t="inlineStr">
        <is>
          <t>이미지</t>
        </is>
      </c>
      <c r="F86" s="44" t="n"/>
      <c r="G86" s="58">
        <f>IF($G$85="","",$G$85)</f>
        <v/>
      </c>
      <c r="H86" s="59" t="n"/>
      <c r="I86" s="59" t="n"/>
      <c r="J86" s="59" t="n"/>
      <c r="K86" s="59" t="n"/>
      <c r="L86" s="60">
        <f>IF(SUM(U86:AY86)=0,"",SUM(U86:AY86))</f>
        <v/>
      </c>
      <c r="M86" s="61">
        <f>IFERROR(INDEX(U$2:AY$2,MATCH(TRUE,INDEX(U86:AY86&lt;&gt;"",0),0)),"")</f>
        <v/>
      </c>
      <c r="N86" s="61">
        <f>IFERROR(LOOKUP(2,1/(U86:AY86&lt;&gt;""),U$2:AY$2),"")</f>
        <v/>
      </c>
      <c r="O86" s="59" t="n"/>
      <c r="P86" s="59" t="n"/>
      <c r="Q86" s="59" t="n"/>
      <c r="R86" s="59" t="n"/>
      <c r="S86" s="14" t="n"/>
      <c r="U86" s="53" t="n"/>
      <c r="V86" s="53" t="n"/>
      <c r="W86" s="53" t="n"/>
      <c r="X86" s="53" t="n"/>
      <c r="Y86" s="53" t="n"/>
      <c r="Z86" s="53" t="n"/>
      <c r="AA86" s="53" t="n"/>
      <c r="AB86" s="53" t="n"/>
      <c r="AC86" s="53" t="n"/>
      <c r="AD86" s="53" t="n"/>
      <c r="AE86" s="53" t="n"/>
      <c r="AF86" s="53" t="n"/>
      <c r="AG86" s="53" t="n"/>
      <c r="AH86" s="53" t="n"/>
      <c r="AI86" s="53" t="n"/>
      <c r="AJ86" s="53" t="n"/>
      <c r="AK86" s="53" t="n"/>
      <c r="AL86" s="53" t="n"/>
      <c r="AM86" s="53" t="n"/>
      <c r="AN86" s="53" t="n"/>
      <c r="AO86" s="53" t="n"/>
      <c r="AP86" s="53" t="n"/>
      <c r="AQ86" s="53" t="n"/>
      <c r="AR86" s="53" t="n"/>
      <c r="AS86" s="53" t="n"/>
      <c r="AT86" s="53" t="n"/>
      <c r="AU86" s="53" t="n"/>
      <c r="AV86" s="53" t="n"/>
      <c r="AW86" s="53" t="n"/>
      <c r="AX86" s="53" t="n"/>
      <c r="AY86" s="53" t="n"/>
    </row>
    <row r="87" ht="15" customHeight="1">
      <c r="A87" s="62" t="n"/>
      <c r="B87" s="55">
        <f>IF($B$85="","",$B$85)</f>
        <v/>
      </c>
      <c r="C87" s="63" t="inlineStr">
        <is>
          <t>마케팅2팀</t>
        </is>
      </c>
      <c r="D87" s="55">
        <f>IF($D$85="","",$D$85)</f>
        <v/>
      </c>
      <c r="E87" s="64" t="inlineStr">
        <is>
          <t>영상</t>
        </is>
      </c>
      <c r="F87" s="44" t="n"/>
      <c r="G87" s="58">
        <f>IF($G$85="","",$G$85)</f>
        <v/>
      </c>
      <c r="H87" s="59" t="n"/>
      <c r="I87" s="59" t="n"/>
      <c r="J87" s="59" t="n"/>
      <c r="K87" s="59" t="n"/>
      <c r="L87" s="65">
        <f>IF(SUM(U87:AY87)=0,"",SUM(U87:AY87))</f>
        <v/>
      </c>
      <c r="M87" s="66">
        <f>IFERROR(INDEX(U$2:AY$2,MATCH(TRUE,INDEX(U87:AY87&lt;&gt;"",0),0)),"")</f>
        <v/>
      </c>
      <c r="N87" s="66">
        <f>IFERROR(LOOKUP(2,1/(U87:AY87&lt;&gt;""),U$2:AY$2),"")</f>
        <v/>
      </c>
      <c r="O87" s="59" t="n"/>
      <c r="P87" s="59" t="n"/>
      <c r="Q87" s="59" t="n"/>
      <c r="R87" s="59" t="n"/>
      <c r="S87" s="14" t="n"/>
      <c r="U87" s="53" t="n"/>
      <c r="V87" s="53" t="n"/>
      <c r="W87" s="53" t="n"/>
      <c r="X87" s="53" t="n"/>
      <c r="Y87" s="53" t="n"/>
      <c r="Z87" s="53" t="n"/>
      <c r="AA87" s="53" t="n"/>
      <c r="AB87" s="53" t="n"/>
      <c r="AC87" s="53" t="n"/>
      <c r="AD87" s="53" t="n"/>
      <c r="AE87" s="53" t="n"/>
      <c r="AF87" s="53" t="n"/>
      <c r="AG87" s="53" t="n"/>
      <c r="AH87" s="53" t="n"/>
      <c r="AI87" s="53" t="n"/>
      <c r="AJ87" s="53" t="n"/>
      <c r="AK87" s="53" t="n"/>
      <c r="AL87" s="53" t="n"/>
      <c r="AM87" s="53" t="n"/>
      <c r="AN87" s="53" t="n"/>
      <c r="AO87" s="53" t="n"/>
      <c r="AP87" s="53" t="n"/>
      <c r="AQ87" s="53" t="n"/>
      <c r="AR87" s="53" t="n"/>
      <c r="AS87" s="53" t="n"/>
      <c r="AT87" s="53" t="n"/>
      <c r="AU87" s="53" t="n"/>
      <c r="AV87" s="53" t="n"/>
      <c r="AW87" s="53" t="n"/>
      <c r="AX87" s="53" t="n"/>
      <c r="AY87" s="53" t="n"/>
    </row>
    <row r="88" ht="15" customHeight="1">
      <c r="A88" s="40">
        <f>IF($D$88="","",27)</f>
        <v/>
      </c>
      <c r="B88" s="10" t="n"/>
      <c r="C88" s="41" t="inlineStr">
        <is>
          <t>마케팅2팀</t>
        </is>
      </c>
      <c r="D88" s="42" t="n"/>
      <c r="E88" s="43" t="inlineStr">
        <is>
          <t>기획</t>
        </is>
      </c>
      <c r="F88" s="44" t="n"/>
      <c r="G88" s="45" t="n"/>
      <c r="H88" s="46">
        <f>IF($I$88="","",IF($I$88&lt;0,"🔴지연",IF($I$88&lt;=1,"🟡임박","🟢여유")))</f>
        <v/>
      </c>
      <c r="I88" s="47">
        <f>IF(OR($G$88="",$K$88=""),"",$G$88-$K$88)</f>
        <v/>
      </c>
      <c r="J88" s="48">
        <f>IF(SUM($L$88:$L$90)=0,"",SUM($L$88:$L$90))</f>
        <v/>
      </c>
      <c r="K88" s="49">
        <f>IF($J$88="","",MAX($N$88:$N$90))</f>
        <v/>
      </c>
      <c r="L88" s="50">
        <f>IF(SUM(U88:AY88)=0,"",SUM(U88:AY88))</f>
        <v/>
      </c>
      <c r="M88" s="51">
        <f>IFERROR(INDEX(U$2:AY$2,MATCH(TRUE,INDEX(U88:AY88&lt;&gt;"",0),0)),"")</f>
        <v/>
      </c>
      <c r="N88" s="51">
        <f>IFERROR(LOOKUP(2,1/(U88:AY88&lt;&gt;""),U$2:AY$2),"")</f>
        <v/>
      </c>
      <c r="O88" s="52" t="n"/>
      <c r="P88" s="52" t="n"/>
      <c r="Q88" s="52" t="n"/>
      <c r="R88" s="44" t="n"/>
      <c r="S88" s="14" t="n"/>
      <c r="U88" s="53" t="n"/>
      <c r="V88" s="53" t="n"/>
      <c r="W88" s="53" t="n"/>
      <c r="X88" s="53" t="n"/>
      <c r="Y88" s="53" t="n"/>
      <c r="Z88" s="53" t="n"/>
      <c r="AA88" s="53" t="n"/>
      <c r="AB88" s="53" t="n"/>
      <c r="AC88" s="53" t="n"/>
      <c r="AD88" s="53" t="n"/>
      <c r="AE88" s="53" t="n"/>
      <c r="AF88" s="53" t="n"/>
      <c r="AG88" s="53" t="n"/>
      <c r="AH88" s="53" t="n"/>
      <c r="AI88" s="53" t="n"/>
      <c r="AJ88" s="53" t="n"/>
      <c r="AK88" s="53" t="n"/>
      <c r="AL88" s="53" t="n"/>
      <c r="AM88" s="53" t="n"/>
      <c r="AN88" s="53" t="n"/>
      <c r="AO88" s="53" t="n"/>
      <c r="AP88" s="53" t="n"/>
      <c r="AQ88" s="53" t="n"/>
      <c r="AR88" s="53" t="n"/>
      <c r="AS88" s="53" t="n"/>
      <c r="AT88" s="53" t="n"/>
      <c r="AU88" s="53" t="n"/>
      <c r="AV88" s="53" t="n"/>
      <c r="AW88" s="53" t="n"/>
      <c r="AX88" s="53" t="n"/>
      <c r="AY88" s="53" t="n"/>
    </row>
    <row r="89" ht="15" customHeight="1">
      <c r="A89" s="54" t="n"/>
      <c r="B89" s="55">
        <f>IF($B$88="","",$B$88)</f>
        <v/>
      </c>
      <c r="C89" s="56" t="inlineStr">
        <is>
          <t>마케팅2팀</t>
        </is>
      </c>
      <c r="D89" s="55">
        <f>IF($D$88="","",$D$88)</f>
        <v/>
      </c>
      <c r="E89" s="57" t="inlineStr">
        <is>
          <t>이미지</t>
        </is>
      </c>
      <c r="F89" s="44" t="n"/>
      <c r="G89" s="58">
        <f>IF($G$88="","",$G$88)</f>
        <v/>
      </c>
      <c r="H89" s="59" t="n"/>
      <c r="I89" s="59" t="n"/>
      <c r="J89" s="59" t="n"/>
      <c r="K89" s="59" t="n"/>
      <c r="L89" s="60">
        <f>IF(SUM(U89:AY89)=0,"",SUM(U89:AY89))</f>
        <v/>
      </c>
      <c r="M89" s="61">
        <f>IFERROR(INDEX(U$2:AY$2,MATCH(TRUE,INDEX(U89:AY89&lt;&gt;"",0),0)),"")</f>
        <v/>
      </c>
      <c r="N89" s="61">
        <f>IFERROR(LOOKUP(2,1/(U89:AY89&lt;&gt;""),U$2:AY$2),"")</f>
        <v/>
      </c>
      <c r="O89" s="59" t="n"/>
      <c r="P89" s="59" t="n"/>
      <c r="Q89" s="59" t="n"/>
      <c r="R89" s="59" t="n"/>
      <c r="S89" s="14" t="n"/>
      <c r="U89" s="53" t="n"/>
      <c r="V89" s="53" t="n"/>
      <c r="W89" s="53" t="n"/>
      <c r="X89" s="53" t="n"/>
      <c r="Y89" s="53" t="n"/>
      <c r="Z89" s="53" t="n"/>
      <c r="AA89" s="53" t="n"/>
      <c r="AB89" s="53" t="n"/>
      <c r="AC89" s="53" t="n"/>
      <c r="AD89" s="53" t="n"/>
      <c r="AE89" s="53" t="n"/>
      <c r="AF89" s="53" t="n"/>
      <c r="AG89" s="53" t="n"/>
      <c r="AH89" s="53" t="n"/>
      <c r="AI89" s="53" t="n"/>
      <c r="AJ89" s="53" t="n"/>
      <c r="AK89" s="53" t="n"/>
      <c r="AL89" s="53" t="n"/>
      <c r="AM89" s="53" t="n"/>
      <c r="AN89" s="53" t="n"/>
      <c r="AO89" s="53" t="n"/>
      <c r="AP89" s="53" t="n"/>
      <c r="AQ89" s="53" t="n"/>
      <c r="AR89" s="53" t="n"/>
      <c r="AS89" s="53" t="n"/>
      <c r="AT89" s="53" t="n"/>
      <c r="AU89" s="53" t="n"/>
      <c r="AV89" s="53" t="n"/>
      <c r="AW89" s="53" t="n"/>
      <c r="AX89" s="53" t="n"/>
      <c r="AY89" s="53" t="n"/>
    </row>
    <row r="90" ht="15" customHeight="1">
      <c r="A90" s="62" t="n"/>
      <c r="B90" s="55">
        <f>IF($B$88="","",$B$88)</f>
        <v/>
      </c>
      <c r="C90" s="63" t="inlineStr">
        <is>
          <t>마케팅2팀</t>
        </is>
      </c>
      <c r="D90" s="55">
        <f>IF($D$88="","",$D$88)</f>
        <v/>
      </c>
      <c r="E90" s="64" t="inlineStr">
        <is>
          <t>영상</t>
        </is>
      </c>
      <c r="F90" s="44" t="n"/>
      <c r="G90" s="58">
        <f>IF($G$88="","",$G$88)</f>
        <v/>
      </c>
      <c r="H90" s="59" t="n"/>
      <c r="I90" s="59" t="n"/>
      <c r="J90" s="59" t="n"/>
      <c r="K90" s="59" t="n"/>
      <c r="L90" s="65">
        <f>IF(SUM(U90:AY90)=0,"",SUM(U90:AY90))</f>
        <v/>
      </c>
      <c r="M90" s="66">
        <f>IFERROR(INDEX(U$2:AY$2,MATCH(TRUE,INDEX(U90:AY90&lt;&gt;"",0),0)),"")</f>
        <v/>
      </c>
      <c r="N90" s="66">
        <f>IFERROR(LOOKUP(2,1/(U90:AY90&lt;&gt;""),U$2:AY$2),"")</f>
        <v/>
      </c>
      <c r="O90" s="59" t="n"/>
      <c r="P90" s="59" t="n"/>
      <c r="Q90" s="59" t="n"/>
      <c r="R90" s="59" t="n"/>
      <c r="S90" s="14" t="n"/>
      <c r="U90" s="53" t="n"/>
      <c r="V90" s="53" t="n"/>
      <c r="W90" s="53" t="n"/>
      <c r="X90" s="53" t="n"/>
      <c r="Y90" s="53" t="n"/>
      <c r="Z90" s="53" t="n"/>
      <c r="AA90" s="53" t="n"/>
      <c r="AB90" s="53" t="n"/>
      <c r="AC90" s="53" t="n"/>
      <c r="AD90" s="53" t="n"/>
      <c r="AE90" s="53" t="n"/>
      <c r="AF90" s="53" t="n"/>
      <c r="AG90" s="53" t="n"/>
      <c r="AH90" s="53" t="n"/>
      <c r="AI90" s="53" t="n"/>
      <c r="AJ90" s="53" t="n"/>
      <c r="AK90" s="53" t="n"/>
      <c r="AL90" s="53" t="n"/>
      <c r="AM90" s="53" t="n"/>
      <c r="AN90" s="53" t="n"/>
      <c r="AO90" s="53" t="n"/>
      <c r="AP90" s="53" t="n"/>
      <c r="AQ90" s="53" t="n"/>
      <c r="AR90" s="53" t="n"/>
      <c r="AS90" s="53" t="n"/>
      <c r="AT90" s="53" t="n"/>
      <c r="AU90" s="53" t="n"/>
      <c r="AV90" s="53" t="n"/>
      <c r="AW90" s="53" t="n"/>
      <c r="AX90" s="53" t="n"/>
      <c r="AY90" s="53" t="n"/>
    </row>
    <row r="91" ht="15" customHeight="1">
      <c r="A91" s="40">
        <f>IF($D$91="","",28)</f>
        <v/>
      </c>
      <c r="B91" s="10" t="n"/>
      <c r="C91" s="41" t="inlineStr">
        <is>
          <t>마케팅2팀</t>
        </is>
      </c>
      <c r="D91" s="42" t="n"/>
      <c r="E91" s="43" t="inlineStr">
        <is>
          <t>기획</t>
        </is>
      </c>
      <c r="F91" s="44" t="n"/>
      <c r="G91" s="45" t="n"/>
      <c r="H91" s="46">
        <f>IF($I$91="","",IF($I$91&lt;0,"🔴지연",IF($I$91&lt;=1,"🟡임박","🟢여유")))</f>
        <v/>
      </c>
      <c r="I91" s="47">
        <f>IF(OR($G$91="",$K$91=""),"",$G$91-$K$91)</f>
        <v/>
      </c>
      <c r="J91" s="48">
        <f>IF(SUM($L$91:$L$93)=0,"",SUM($L$91:$L$93))</f>
        <v/>
      </c>
      <c r="K91" s="49">
        <f>IF($J$91="","",MAX($N$91:$N$93))</f>
        <v/>
      </c>
      <c r="L91" s="50">
        <f>IF(SUM(U91:AY91)=0,"",SUM(U91:AY91))</f>
        <v/>
      </c>
      <c r="M91" s="51">
        <f>IFERROR(INDEX(U$2:AY$2,MATCH(TRUE,INDEX(U91:AY91&lt;&gt;"",0),0)),"")</f>
        <v/>
      </c>
      <c r="N91" s="51">
        <f>IFERROR(LOOKUP(2,1/(U91:AY91&lt;&gt;""),U$2:AY$2),"")</f>
        <v/>
      </c>
      <c r="O91" s="52" t="n"/>
      <c r="P91" s="52" t="n"/>
      <c r="Q91" s="52" t="n"/>
      <c r="R91" s="44" t="n"/>
      <c r="S91" s="14" t="n"/>
      <c r="U91" s="53" t="n"/>
      <c r="V91" s="53" t="n"/>
      <c r="W91" s="53" t="n"/>
      <c r="X91" s="53" t="n"/>
      <c r="Y91" s="53" t="n"/>
      <c r="Z91" s="53" t="n"/>
      <c r="AA91" s="53" t="n"/>
      <c r="AB91" s="53" t="n"/>
      <c r="AC91" s="53" t="n"/>
      <c r="AD91" s="53" t="n"/>
      <c r="AE91" s="53" t="n"/>
      <c r="AF91" s="53" t="n"/>
      <c r="AG91" s="53" t="n"/>
      <c r="AH91" s="53" t="n"/>
      <c r="AI91" s="53" t="n"/>
      <c r="AJ91" s="53" t="n"/>
      <c r="AK91" s="53" t="n"/>
      <c r="AL91" s="53" t="n"/>
      <c r="AM91" s="53" t="n"/>
      <c r="AN91" s="53" t="n"/>
      <c r="AO91" s="53" t="n"/>
      <c r="AP91" s="53" t="n"/>
      <c r="AQ91" s="53" t="n"/>
      <c r="AR91" s="53" t="n"/>
      <c r="AS91" s="53" t="n"/>
      <c r="AT91" s="53" t="n"/>
      <c r="AU91" s="53" t="n"/>
      <c r="AV91" s="53" t="n"/>
      <c r="AW91" s="53" t="n"/>
      <c r="AX91" s="53" t="n"/>
      <c r="AY91" s="53" t="n"/>
    </row>
    <row r="92" ht="15" customHeight="1">
      <c r="A92" s="54" t="n"/>
      <c r="B92" s="55">
        <f>IF($B$91="","",$B$91)</f>
        <v/>
      </c>
      <c r="C92" s="56" t="inlineStr">
        <is>
          <t>마케팅2팀</t>
        </is>
      </c>
      <c r="D92" s="55">
        <f>IF($D$91="","",$D$91)</f>
        <v/>
      </c>
      <c r="E92" s="57" t="inlineStr">
        <is>
          <t>이미지</t>
        </is>
      </c>
      <c r="F92" s="44" t="n"/>
      <c r="G92" s="58">
        <f>IF($G$91="","",$G$91)</f>
        <v/>
      </c>
      <c r="H92" s="59" t="n"/>
      <c r="I92" s="59" t="n"/>
      <c r="J92" s="59" t="n"/>
      <c r="K92" s="59" t="n"/>
      <c r="L92" s="60">
        <f>IF(SUM(U92:AY92)=0,"",SUM(U92:AY92))</f>
        <v/>
      </c>
      <c r="M92" s="61">
        <f>IFERROR(INDEX(U$2:AY$2,MATCH(TRUE,INDEX(U92:AY92&lt;&gt;"",0),0)),"")</f>
        <v/>
      </c>
      <c r="N92" s="61">
        <f>IFERROR(LOOKUP(2,1/(U92:AY92&lt;&gt;""),U$2:AY$2),"")</f>
        <v/>
      </c>
      <c r="O92" s="59" t="n"/>
      <c r="P92" s="59" t="n"/>
      <c r="Q92" s="59" t="n"/>
      <c r="R92" s="59" t="n"/>
      <c r="S92" s="14" t="n"/>
      <c r="U92" s="53" t="n"/>
      <c r="V92" s="53" t="n"/>
      <c r="W92" s="53" t="n"/>
      <c r="X92" s="53" t="n"/>
      <c r="Y92" s="53" t="n"/>
      <c r="Z92" s="53" t="n"/>
      <c r="AA92" s="53" t="n"/>
      <c r="AB92" s="53" t="n"/>
      <c r="AC92" s="53" t="n"/>
      <c r="AD92" s="53" t="n"/>
      <c r="AE92" s="53" t="n"/>
      <c r="AF92" s="53" t="n"/>
      <c r="AG92" s="53" t="n"/>
      <c r="AH92" s="53" t="n"/>
      <c r="AI92" s="53" t="n"/>
      <c r="AJ92" s="53" t="n"/>
      <c r="AK92" s="53" t="n"/>
      <c r="AL92" s="53" t="n"/>
      <c r="AM92" s="53" t="n"/>
      <c r="AN92" s="53" t="n"/>
      <c r="AO92" s="53" t="n"/>
      <c r="AP92" s="53" t="n"/>
      <c r="AQ92" s="53" t="n"/>
      <c r="AR92" s="53" t="n"/>
      <c r="AS92" s="53" t="n"/>
      <c r="AT92" s="53" t="n"/>
      <c r="AU92" s="53" t="n"/>
      <c r="AV92" s="53" t="n"/>
      <c r="AW92" s="53" t="n"/>
      <c r="AX92" s="53" t="n"/>
      <c r="AY92" s="53" t="n"/>
    </row>
    <row r="93" ht="15" customHeight="1">
      <c r="A93" s="62" t="n"/>
      <c r="B93" s="55">
        <f>IF($B$91="","",$B$91)</f>
        <v/>
      </c>
      <c r="C93" s="63" t="inlineStr">
        <is>
          <t>마케팅2팀</t>
        </is>
      </c>
      <c r="D93" s="55">
        <f>IF($D$91="","",$D$91)</f>
        <v/>
      </c>
      <c r="E93" s="64" t="inlineStr">
        <is>
          <t>영상</t>
        </is>
      </c>
      <c r="F93" s="44" t="n"/>
      <c r="G93" s="58">
        <f>IF($G$91="","",$G$91)</f>
        <v/>
      </c>
      <c r="H93" s="59" t="n"/>
      <c r="I93" s="59" t="n"/>
      <c r="J93" s="59" t="n"/>
      <c r="K93" s="59" t="n"/>
      <c r="L93" s="65">
        <f>IF(SUM(U93:AY93)=0,"",SUM(U93:AY93))</f>
        <v/>
      </c>
      <c r="M93" s="66">
        <f>IFERROR(INDEX(U$2:AY$2,MATCH(TRUE,INDEX(U93:AY93&lt;&gt;"",0),0)),"")</f>
        <v/>
      </c>
      <c r="N93" s="66">
        <f>IFERROR(LOOKUP(2,1/(U93:AY93&lt;&gt;""),U$2:AY$2),"")</f>
        <v/>
      </c>
      <c r="O93" s="59" t="n"/>
      <c r="P93" s="59" t="n"/>
      <c r="Q93" s="59" t="n"/>
      <c r="R93" s="59" t="n"/>
      <c r="S93" s="14" t="n"/>
      <c r="U93" s="53" t="n"/>
      <c r="V93" s="53" t="n"/>
      <c r="W93" s="53" t="n"/>
      <c r="X93" s="53" t="n"/>
      <c r="Y93" s="53" t="n"/>
      <c r="Z93" s="53" t="n"/>
      <c r="AA93" s="53" t="n"/>
      <c r="AB93" s="53" t="n"/>
      <c r="AC93" s="53" t="n"/>
      <c r="AD93" s="53" t="n"/>
      <c r="AE93" s="53" t="n"/>
      <c r="AF93" s="53" t="n"/>
      <c r="AG93" s="53" t="n"/>
      <c r="AH93" s="53" t="n"/>
      <c r="AI93" s="53" t="n"/>
      <c r="AJ93" s="53" t="n"/>
      <c r="AK93" s="53" t="n"/>
      <c r="AL93" s="53" t="n"/>
      <c r="AM93" s="53" t="n"/>
      <c r="AN93" s="53" t="n"/>
      <c r="AO93" s="53" t="n"/>
      <c r="AP93" s="53" t="n"/>
      <c r="AQ93" s="53" t="n"/>
      <c r="AR93" s="53" t="n"/>
      <c r="AS93" s="53" t="n"/>
      <c r="AT93" s="53" t="n"/>
      <c r="AU93" s="53" t="n"/>
      <c r="AV93" s="53" t="n"/>
      <c r="AW93" s="53" t="n"/>
      <c r="AX93" s="53" t="n"/>
      <c r="AY93" s="53" t="n"/>
    </row>
    <row r="94" ht="15" customHeight="1">
      <c r="A94" s="40">
        <f>IF($D$94="","",29)</f>
        <v/>
      </c>
      <c r="B94" s="10" t="n"/>
      <c r="C94" s="41" t="inlineStr">
        <is>
          <t>마케팅2팀</t>
        </is>
      </c>
      <c r="D94" s="42" t="n"/>
      <c r="E94" s="43" t="inlineStr">
        <is>
          <t>기획</t>
        </is>
      </c>
      <c r="F94" s="44" t="n"/>
      <c r="G94" s="45" t="n"/>
      <c r="H94" s="46">
        <f>IF($I$94="","",IF($I$94&lt;0,"🔴지연",IF($I$94&lt;=1,"🟡임박","🟢여유")))</f>
        <v/>
      </c>
      <c r="I94" s="47">
        <f>IF(OR($G$94="",$K$94=""),"",$G$94-$K$94)</f>
        <v/>
      </c>
      <c r="J94" s="48">
        <f>IF(SUM($L$94:$L$96)=0,"",SUM($L$94:$L$96))</f>
        <v/>
      </c>
      <c r="K94" s="49">
        <f>IF($J$94="","",MAX($N$94:$N$96))</f>
        <v/>
      </c>
      <c r="L94" s="50">
        <f>IF(SUM(U94:AY94)=0,"",SUM(U94:AY94))</f>
        <v/>
      </c>
      <c r="M94" s="51">
        <f>IFERROR(INDEX(U$2:AY$2,MATCH(TRUE,INDEX(U94:AY94&lt;&gt;"",0),0)),"")</f>
        <v/>
      </c>
      <c r="N94" s="51">
        <f>IFERROR(LOOKUP(2,1/(U94:AY94&lt;&gt;""),U$2:AY$2),"")</f>
        <v/>
      </c>
      <c r="O94" s="52" t="n"/>
      <c r="P94" s="52" t="n"/>
      <c r="Q94" s="52" t="n"/>
      <c r="R94" s="44" t="n"/>
      <c r="S94" s="14" t="n"/>
      <c r="U94" s="53" t="n"/>
      <c r="V94" s="53" t="n"/>
      <c r="W94" s="53" t="n"/>
      <c r="X94" s="53" t="n"/>
      <c r="Y94" s="53" t="n"/>
      <c r="Z94" s="53" t="n"/>
      <c r="AA94" s="53" t="n"/>
      <c r="AB94" s="53" t="n"/>
      <c r="AC94" s="53" t="n"/>
      <c r="AD94" s="53" t="n"/>
      <c r="AE94" s="53" t="n"/>
      <c r="AF94" s="53" t="n"/>
      <c r="AG94" s="53" t="n"/>
      <c r="AH94" s="53" t="n"/>
      <c r="AI94" s="53" t="n"/>
      <c r="AJ94" s="53" t="n"/>
      <c r="AK94" s="53" t="n"/>
      <c r="AL94" s="53" t="n"/>
      <c r="AM94" s="53" t="n"/>
      <c r="AN94" s="53" t="n"/>
      <c r="AO94" s="53" t="n"/>
      <c r="AP94" s="53" t="n"/>
      <c r="AQ94" s="53" t="n"/>
      <c r="AR94" s="53" t="n"/>
      <c r="AS94" s="53" t="n"/>
      <c r="AT94" s="53" t="n"/>
      <c r="AU94" s="53" t="n"/>
      <c r="AV94" s="53" t="n"/>
      <c r="AW94" s="53" t="n"/>
      <c r="AX94" s="53" t="n"/>
      <c r="AY94" s="53" t="n"/>
    </row>
    <row r="95" ht="15" customHeight="1">
      <c r="A95" s="54" t="n"/>
      <c r="B95" s="55">
        <f>IF($B$94="","",$B$94)</f>
        <v/>
      </c>
      <c r="C95" s="56" t="inlineStr">
        <is>
          <t>마케팅2팀</t>
        </is>
      </c>
      <c r="D95" s="55">
        <f>IF($D$94="","",$D$94)</f>
        <v/>
      </c>
      <c r="E95" s="57" t="inlineStr">
        <is>
          <t>이미지</t>
        </is>
      </c>
      <c r="F95" s="44" t="n"/>
      <c r="G95" s="58">
        <f>IF($G$94="","",$G$94)</f>
        <v/>
      </c>
      <c r="H95" s="59" t="n"/>
      <c r="I95" s="59" t="n"/>
      <c r="J95" s="59" t="n"/>
      <c r="K95" s="59" t="n"/>
      <c r="L95" s="60">
        <f>IF(SUM(U95:AY95)=0,"",SUM(U95:AY95))</f>
        <v/>
      </c>
      <c r="M95" s="61">
        <f>IFERROR(INDEX(U$2:AY$2,MATCH(TRUE,INDEX(U95:AY95&lt;&gt;"",0),0)),"")</f>
        <v/>
      </c>
      <c r="N95" s="61">
        <f>IFERROR(LOOKUP(2,1/(U95:AY95&lt;&gt;""),U$2:AY$2),"")</f>
        <v/>
      </c>
      <c r="O95" s="59" t="n"/>
      <c r="P95" s="59" t="n"/>
      <c r="Q95" s="59" t="n"/>
      <c r="R95" s="59" t="n"/>
      <c r="S95" s="14" t="n"/>
      <c r="U95" s="53" t="n"/>
      <c r="V95" s="53" t="n"/>
      <c r="W95" s="53" t="n"/>
      <c r="X95" s="53" t="n"/>
      <c r="Y95" s="53" t="n"/>
      <c r="Z95" s="53" t="n"/>
      <c r="AA95" s="53" t="n"/>
      <c r="AB95" s="53" t="n"/>
      <c r="AC95" s="53" t="n"/>
      <c r="AD95" s="53" t="n"/>
      <c r="AE95" s="53" t="n"/>
      <c r="AF95" s="53" t="n"/>
      <c r="AG95" s="53" t="n"/>
      <c r="AH95" s="53" t="n"/>
      <c r="AI95" s="53" t="n"/>
      <c r="AJ95" s="53" t="n"/>
      <c r="AK95" s="53" t="n"/>
      <c r="AL95" s="53" t="n"/>
      <c r="AM95" s="53" t="n"/>
      <c r="AN95" s="53" t="n"/>
      <c r="AO95" s="53" t="n"/>
      <c r="AP95" s="53" t="n"/>
      <c r="AQ95" s="53" t="n"/>
      <c r="AR95" s="53" t="n"/>
      <c r="AS95" s="53" t="n"/>
      <c r="AT95" s="53" t="n"/>
      <c r="AU95" s="53" t="n"/>
      <c r="AV95" s="53" t="n"/>
      <c r="AW95" s="53" t="n"/>
      <c r="AX95" s="53" t="n"/>
      <c r="AY95" s="53" t="n"/>
    </row>
    <row r="96" ht="15" customHeight="1">
      <c r="A96" s="62" t="n"/>
      <c r="B96" s="55">
        <f>IF($B$94="","",$B$94)</f>
        <v/>
      </c>
      <c r="C96" s="63" t="inlineStr">
        <is>
          <t>마케팅2팀</t>
        </is>
      </c>
      <c r="D96" s="55">
        <f>IF($D$94="","",$D$94)</f>
        <v/>
      </c>
      <c r="E96" s="64" t="inlineStr">
        <is>
          <t>영상</t>
        </is>
      </c>
      <c r="F96" s="44" t="n"/>
      <c r="G96" s="58">
        <f>IF($G$94="","",$G$94)</f>
        <v/>
      </c>
      <c r="H96" s="59" t="n"/>
      <c r="I96" s="59" t="n"/>
      <c r="J96" s="59" t="n"/>
      <c r="K96" s="59" t="n"/>
      <c r="L96" s="65">
        <f>IF(SUM(U96:AY96)=0,"",SUM(U96:AY96))</f>
        <v/>
      </c>
      <c r="M96" s="66">
        <f>IFERROR(INDEX(U$2:AY$2,MATCH(TRUE,INDEX(U96:AY96&lt;&gt;"",0),0)),"")</f>
        <v/>
      </c>
      <c r="N96" s="66">
        <f>IFERROR(LOOKUP(2,1/(U96:AY96&lt;&gt;""),U$2:AY$2),"")</f>
        <v/>
      </c>
      <c r="O96" s="59" t="n"/>
      <c r="P96" s="59" t="n"/>
      <c r="Q96" s="59" t="n"/>
      <c r="R96" s="59" t="n"/>
      <c r="S96" s="14" t="n"/>
      <c r="U96" s="53" t="n"/>
      <c r="V96" s="53" t="n"/>
      <c r="W96" s="53" t="n"/>
      <c r="X96" s="53" t="n"/>
      <c r="Y96" s="53" t="n"/>
      <c r="Z96" s="53" t="n"/>
      <c r="AA96" s="53" t="n"/>
      <c r="AB96" s="53" t="n"/>
      <c r="AC96" s="53" t="n"/>
      <c r="AD96" s="53" t="n"/>
      <c r="AE96" s="53" t="n"/>
      <c r="AF96" s="53" t="n"/>
      <c r="AG96" s="53" t="n"/>
      <c r="AH96" s="53" t="n"/>
      <c r="AI96" s="53" t="n"/>
      <c r="AJ96" s="53" t="n"/>
      <c r="AK96" s="53" t="n"/>
      <c r="AL96" s="53" t="n"/>
      <c r="AM96" s="53" t="n"/>
      <c r="AN96" s="53" t="n"/>
      <c r="AO96" s="53" t="n"/>
      <c r="AP96" s="53" t="n"/>
      <c r="AQ96" s="53" t="n"/>
      <c r="AR96" s="53" t="n"/>
      <c r="AS96" s="53" t="n"/>
      <c r="AT96" s="53" t="n"/>
      <c r="AU96" s="53" t="n"/>
      <c r="AV96" s="53" t="n"/>
      <c r="AW96" s="53" t="n"/>
      <c r="AX96" s="53" t="n"/>
      <c r="AY96" s="53" t="n"/>
    </row>
    <row r="97" ht="15" customHeight="1">
      <c r="A97" s="40">
        <f>IF($D$97="","",30)</f>
        <v/>
      </c>
      <c r="B97" s="10" t="n"/>
      <c r="C97" s="41" t="inlineStr">
        <is>
          <t>마케팅2팀</t>
        </is>
      </c>
      <c r="D97" s="42" t="n"/>
      <c r="E97" s="43" t="inlineStr">
        <is>
          <t>기획</t>
        </is>
      </c>
      <c r="F97" s="44" t="n"/>
      <c r="G97" s="45" t="n"/>
      <c r="H97" s="46">
        <f>IF($I$97="","",IF($I$97&lt;0,"🔴지연",IF($I$97&lt;=1,"🟡임박","🟢여유")))</f>
        <v/>
      </c>
      <c r="I97" s="47">
        <f>IF(OR($G$97="",$K$97=""),"",$G$97-$K$97)</f>
        <v/>
      </c>
      <c r="J97" s="48">
        <f>IF(SUM($L$97:$L$99)=0,"",SUM($L$97:$L$99))</f>
        <v/>
      </c>
      <c r="K97" s="49">
        <f>IF($J$97="","",MAX($N$97:$N$99))</f>
        <v/>
      </c>
      <c r="L97" s="50">
        <f>IF(SUM(U97:AY97)=0,"",SUM(U97:AY97))</f>
        <v/>
      </c>
      <c r="M97" s="51">
        <f>IFERROR(INDEX(U$2:AY$2,MATCH(TRUE,INDEX(U97:AY97&lt;&gt;"",0),0)),"")</f>
        <v/>
      </c>
      <c r="N97" s="51">
        <f>IFERROR(LOOKUP(2,1/(U97:AY97&lt;&gt;""),U$2:AY$2),"")</f>
        <v/>
      </c>
      <c r="O97" s="52" t="n"/>
      <c r="P97" s="52" t="n"/>
      <c r="Q97" s="52" t="n"/>
      <c r="R97" s="44" t="n"/>
      <c r="S97" s="14" t="n"/>
      <c r="U97" s="53" t="n"/>
      <c r="V97" s="53" t="n"/>
      <c r="W97" s="53" t="n"/>
      <c r="X97" s="53" t="n"/>
      <c r="Y97" s="53" t="n"/>
      <c r="Z97" s="53" t="n"/>
      <c r="AA97" s="53" t="n"/>
      <c r="AB97" s="53" t="n"/>
      <c r="AC97" s="53" t="n"/>
      <c r="AD97" s="53" t="n"/>
      <c r="AE97" s="53" t="n"/>
      <c r="AF97" s="53" t="n"/>
      <c r="AG97" s="53" t="n"/>
      <c r="AH97" s="53" t="n"/>
      <c r="AI97" s="53" t="n"/>
      <c r="AJ97" s="53" t="n"/>
      <c r="AK97" s="53" t="n"/>
      <c r="AL97" s="53" t="n"/>
      <c r="AM97" s="53" t="n"/>
      <c r="AN97" s="53" t="n"/>
      <c r="AO97" s="53" t="n"/>
      <c r="AP97" s="53" t="n"/>
      <c r="AQ97" s="53" t="n"/>
      <c r="AR97" s="53" t="n"/>
      <c r="AS97" s="53" t="n"/>
      <c r="AT97" s="53" t="n"/>
      <c r="AU97" s="53" t="n"/>
      <c r="AV97" s="53" t="n"/>
      <c r="AW97" s="53" t="n"/>
      <c r="AX97" s="53" t="n"/>
      <c r="AY97" s="53" t="n"/>
    </row>
    <row r="98" ht="15" customHeight="1">
      <c r="A98" s="54" t="n"/>
      <c r="B98" s="55">
        <f>IF($B$97="","",$B$97)</f>
        <v/>
      </c>
      <c r="C98" s="56" t="inlineStr">
        <is>
          <t>마케팅2팀</t>
        </is>
      </c>
      <c r="D98" s="55">
        <f>IF($D$97="","",$D$97)</f>
        <v/>
      </c>
      <c r="E98" s="57" t="inlineStr">
        <is>
          <t>이미지</t>
        </is>
      </c>
      <c r="F98" s="44" t="n"/>
      <c r="G98" s="58">
        <f>IF($G$97="","",$G$97)</f>
        <v/>
      </c>
      <c r="H98" s="59" t="n"/>
      <c r="I98" s="59" t="n"/>
      <c r="J98" s="59" t="n"/>
      <c r="K98" s="59" t="n"/>
      <c r="L98" s="60">
        <f>IF(SUM(U98:AY98)=0,"",SUM(U98:AY98))</f>
        <v/>
      </c>
      <c r="M98" s="61">
        <f>IFERROR(INDEX(U$2:AY$2,MATCH(TRUE,INDEX(U98:AY98&lt;&gt;"",0),0)),"")</f>
        <v/>
      </c>
      <c r="N98" s="61">
        <f>IFERROR(LOOKUP(2,1/(U98:AY98&lt;&gt;""),U$2:AY$2),"")</f>
        <v/>
      </c>
      <c r="O98" s="59" t="n"/>
      <c r="P98" s="59" t="n"/>
      <c r="Q98" s="59" t="n"/>
      <c r="R98" s="59" t="n"/>
      <c r="S98" s="14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3" t="n"/>
      <c r="AN98" s="53" t="n"/>
      <c r="AO98" s="53" t="n"/>
      <c r="AP98" s="53" t="n"/>
      <c r="AQ98" s="53" t="n"/>
      <c r="AR98" s="53" t="n"/>
      <c r="AS98" s="53" t="n"/>
      <c r="AT98" s="53" t="n"/>
      <c r="AU98" s="53" t="n"/>
      <c r="AV98" s="53" t="n"/>
      <c r="AW98" s="53" t="n"/>
      <c r="AX98" s="53" t="n"/>
      <c r="AY98" s="53" t="n"/>
    </row>
    <row r="99" ht="15" customHeight="1">
      <c r="A99" s="62" t="n"/>
      <c r="B99" s="55">
        <f>IF($B$97="","",$B$97)</f>
        <v/>
      </c>
      <c r="C99" s="63" t="inlineStr">
        <is>
          <t>마케팅2팀</t>
        </is>
      </c>
      <c r="D99" s="55">
        <f>IF($D$97="","",$D$97)</f>
        <v/>
      </c>
      <c r="E99" s="64" t="inlineStr">
        <is>
          <t>영상</t>
        </is>
      </c>
      <c r="F99" s="44" t="n"/>
      <c r="G99" s="58">
        <f>IF($G$97="","",$G$97)</f>
        <v/>
      </c>
      <c r="H99" s="59" t="n"/>
      <c r="I99" s="59" t="n"/>
      <c r="J99" s="59" t="n"/>
      <c r="K99" s="59" t="n"/>
      <c r="L99" s="65">
        <f>IF(SUM(U99:AY99)=0,"",SUM(U99:AY99))</f>
        <v/>
      </c>
      <c r="M99" s="66">
        <f>IFERROR(INDEX(U$2:AY$2,MATCH(TRUE,INDEX(U99:AY99&lt;&gt;"",0),0)),"")</f>
        <v/>
      </c>
      <c r="N99" s="66">
        <f>IFERROR(LOOKUP(2,1/(U99:AY99&lt;&gt;""),U$2:AY$2),"")</f>
        <v/>
      </c>
      <c r="O99" s="59" t="n"/>
      <c r="P99" s="59" t="n"/>
      <c r="Q99" s="59" t="n"/>
      <c r="R99" s="59" t="n"/>
      <c r="S99" s="14" t="n"/>
      <c r="U99" s="53" t="n"/>
      <c r="V99" s="53" t="n"/>
      <c r="W99" s="53" t="n"/>
      <c r="X99" s="53" t="n"/>
      <c r="Y99" s="53" t="n"/>
      <c r="Z99" s="53" t="n"/>
      <c r="AA99" s="53" t="n"/>
      <c r="AB99" s="53" t="n"/>
      <c r="AC99" s="53" t="n"/>
      <c r="AD99" s="53" t="n"/>
      <c r="AE99" s="53" t="n"/>
      <c r="AF99" s="53" t="n"/>
      <c r="AG99" s="53" t="n"/>
      <c r="AH99" s="53" t="n"/>
      <c r="AI99" s="53" t="n"/>
      <c r="AJ99" s="53" t="n"/>
      <c r="AK99" s="53" t="n"/>
      <c r="AL99" s="53" t="n"/>
      <c r="AM99" s="53" t="n"/>
      <c r="AN99" s="53" t="n"/>
      <c r="AO99" s="53" t="n"/>
      <c r="AP99" s="53" t="n"/>
      <c r="AQ99" s="53" t="n"/>
      <c r="AR99" s="53" t="n"/>
      <c r="AS99" s="53" t="n"/>
      <c r="AT99" s="53" t="n"/>
      <c r="AU99" s="53" t="n"/>
      <c r="AV99" s="53" t="n"/>
      <c r="AW99" s="53" t="n"/>
      <c r="AX99" s="53" t="n"/>
      <c r="AY99" s="53" t="n"/>
    </row>
    <row r="100" ht="15" customHeight="1">
      <c r="A100" s="40">
        <f>IF($D$100="","",31)</f>
        <v/>
      </c>
      <c r="B100" s="10" t="n"/>
      <c r="C100" s="41" t="inlineStr">
        <is>
          <t>마케팅2팀</t>
        </is>
      </c>
      <c r="D100" s="42" t="n"/>
      <c r="E100" s="43" t="inlineStr">
        <is>
          <t>기획</t>
        </is>
      </c>
      <c r="F100" s="44" t="n"/>
      <c r="G100" s="45" t="n"/>
      <c r="H100" s="46">
        <f>IF($I$100="","",IF($I$100&lt;0,"🔴지연",IF($I$100&lt;=1,"🟡임박","🟢여유")))</f>
        <v/>
      </c>
      <c r="I100" s="47">
        <f>IF(OR($G$100="",$K$100=""),"",$G$100-$K$100)</f>
        <v/>
      </c>
      <c r="J100" s="48">
        <f>IF(SUM($L$100:$L$102)=0,"",SUM($L$100:$L$102))</f>
        <v/>
      </c>
      <c r="K100" s="49">
        <f>IF($J$100="","",MAX($N$100:$N$102))</f>
        <v/>
      </c>
      <c r="L100" s="50">
        <f>IF(SUM(U100:AY100)=0,"",SUM(U100:AY100))</f>
        <v/>
      </c>
      <c r="M100" s="51">
        <f>IFERROR(INDEX(U$2:AY$2,MATCH(TRUE,INDEX(U100:AY100&lt;&gt;"",0),0)),"")</f>
        <v/>
      </c>
      <c r="N100" s="51">
        <f>IFERROR(LOOKUP(2,1/(U100:AY100&lt;&gt;""),U$2:AY$2),"")</f>
        <v/>
      </c>
      <c r="O100" s="52" t="n"/>
      <c r="P100" s="52" t="n"/>
      <c r="Q100" s="52" t="n"/>
      <c r="R100" s="44" t="n"/>
      <c r="S100" s="14" t="n"/>
      <c r="U100" s="53" t="n"/>
      <c r="V100" s="53" t="n"/>
      <c r="W100" s="53" t="n"/>
      <c r="X100" s="53" t="n"/>
      <c r="Y100" s="53" t="n"/>
      <c r="Z100" s="53" t="n"/>
      <c r="AA100" s="53" t="n"/>
      <c r="AB100" s="53" t="n"/>
      <c r="AC100" s="53" t="n"/>
      <c r="AD100" s="53" t="n"/>
      <c r="AE100" s="53" t="n"/>
      <c r="AF100" s="53" t="n"/>
      <c r="AG100" s="53" t="n"/>
      <c r="AH100" s="53" t="n"/>
      <c r="AI100" s="53" t="n"/>
      <c r="AJ100" s="53" t="n"/>
      <c r="AK100" s="53" t="n"/>
      <c r="AL100" s="53" t="n"/>
      <c r="AM100" s="53" t="n"/>
      <c r="AN100" s="53" t="n"/>
      <c r="AO100" s="53" t="n"/>
      <c r="AP100" s="53" t="n"/>
      <c r="AQ100" s="53" t="n"/>
      <c r="AR100" s="53" t="n"/>
      <c r="AS100" s="53" t="n"/>
      <c r="AT100" s="53" t="n"/>
      <c r="AU100" s="53" t="n"/>
      <c r="AV100" s="53" t="n"/>
      <c r="AW100" s="53" t="n"/>
      <c r="AX100" s="53" t="n"/>
      <c r="AY100" s="53" t="n"/>
    </row>
    <row r="101" ht="15" customHeight="1">
      <c r="A101" s="54" t="n"/>
      <c r="B101" s="55">
        <f>IF($B$100="","",$B$100)</f>
        <v/>
      </c>
      <c r="C101" s="56" t="inlineStr">
        <is>
          <t>마케팅2팀</t>
        </is>
      </c>
      <c r="D101" s="55">
        <f>IF($D$100="","",$D$100)</f>
        <v/>
      </c>
      <c r="E101" s="57" t="inlineStr">
        <is>
          <t>이미지</t>
        </is>
      </c>
      <c r="F101" s="44" t="n"/>
      <c r="G101" s="58">
        <f>IF($G$100="","",$G$100)</f>
        <v/>
      </c>
      <c r="H101" s="59" t="n"/>
      <c r="I101" s="59" t="n"/>
      <c r="J101" s="59" t="n"/>
      <c r="K101" s="59" t="n"/>
      <c r="L101" s="60">
        <f>IF(SUM(U101:AY101)=0,"",SUM(U101:AY101))</f>
        <v/>
      </c>
      <c r="M101" s="61">
        <f>IFERROR(INDEX(U$2:AY$2,MATCH(TRUE,INDEX(U101:AY101&lt;&gt;"",0),0)),"")</f>
        <v/>
      </c>
      <c r="N101" s="61">
        <f>IFERROR(LOOKUP(2,1/(U101:AY101&lt;&gt;""),U$2:AY$2),"")</f>
        <v/>
      </c>
      <c r="O101" s="59" t="n"/>
      <c r="P101" s="59" t="n"/>
      <c r="Q101" s="59" t="n"/>
      <c r="R101" s="59" t="n"/>
      <c r="S101" s="14" t="n"/>
      <c r="U101" s="53" t="n"/>
      <c r="V101" s="53" t="n"/>
      <c r="W101" s="53" t="n"/>
      <c r="X101" s="53" t="n"/>
      <c r="Y101" s="53" t="n"/>
      <c r="Z101" s="53" t="n"/>
      <c r="AA101" s="53" t="n"/>
      <c r="AB101" s="53" t="n"/>
      <c r="AC101" s="53" t="n"/>
      <c r="AD101" s="53" t="n"/>
      <c r="AE101" s="53" t="n"/>
      <c r="AF101" s="53" t="n"/>
      <c r="AG101" s="53" t="n"/>
      <c r="AH101" s="53" t="n"/>
      <c r="AI101" s="53" t="n"/>
      <c r="AJ101" s="53" t="n"/>
      <c r="AK101" s="53" t="n"/>
      <c r="AL101" s="53" t="n"/>
      <c r="AM101" s="53" t="n"/>
      <c r="AN101" s="53" t="n"/>
      <c r="AO101" s="53" t="n"/>
      <c r="AP101" s="53" t="n"/>
      <c r="AQ101" s="53" t="n"/>
      <c r="AR101" s="53" t="n"/>
      <c r="AS101" s="53" t="n"/>
      <c r="AT101" s="53" t="n"/>
      <c r="AU101" s="53" t="n"/>
      <c r="AV101" s="53" t="n"/>
      <c r="AW101" s="53" t="n"/>
      <c r="AX101" s="53" t="n"/>
      <c r="AY101" s="53" t="n"/>
    </row>
    <row r="102" ht="15" customHeight="1">
      <c r="A102" s="62" t="n"/>
      <c r="B102" s="55">
        <f>IF($B$100="","",$B$100)</f>
        <v/>
      </c>
      <c r="C102" s="63" t="inlineStr">
        <is>
          <t>마케팅2팀</t>
        </is>
      </c>
      <c r="D102" s="55">
        <f>IF($D$100="","",$D$100)</f>
        <v/>
      </c>
      <c r="E102" s="64" t="inlineStr">
        <is>
          <t>영상</t>
        </is>
      </c>
      <c r="F102" s="44" t="n"/>
      <c r="G102" s="58">
        <f>IF($G$100="","",$G$100)</f>
        <v/>
      </c>
      <c r="H102" s="59" t="n"/>
      <c r="I102" s="59" t="n"/>
      <c r="J102" s="59" t="n"/>
      <c r="K102" s="59" t="n"/>
      <c r="L102" s="65">
        <f>IF(SUM(U102:AY102)=0,"",SUM(U102:AY102))</f>
        <v/>
      </c>
      <c r="M102" s="66">
        <f>IFERROR(INDEX(U$2:AY$2,MATCH(TRUE,INDEX(U102:AY102&lt;&gt;"",0),0)),"")</f>
        <v/>
      </c>
      <c r="N102" s="66">
        <f>IFERROR(LOOKUP(2,1/(U102:AY102&lt;&gt;""),U$2:AY$2),"")</f>
        <v/>
      </c>
      <c r="O102" s="59" t="n"/>
      <c r="P102" s="59" t="n"/>
      <c r="Q102" s="59" t="n"/>
      <c r="R102" s="59" t="n"/>
      <c r="S102" s="14" t="n"/>
      <c r="U102" s="53" t="n"/>
      <c r="V102" s="53" t="n"/>
      <c r="W102" s="53" t="n"/>
      <c r="X102" s="53" t="n"/>
      <c r="Y102" s="53" t="n"/>
      <c r="Z102" s="53" t="n"/>
      <c r="AA102" s="53" t="n"/>
      <c r="AB102" s="53" t="n"/>
      <c r="AC102" s="53" t="n"/>
      <c r="AD102" s="53" t="n"/>
      <c r="AE102" s="53" t="n"/>
      <c r="AF102" s="53" t="n"/>
      <c r="AG102" s="53" t="n"/>
      <c r="AH102" s="53" t="n"/>
      <c r="AI102" s="53" t="n"/>
      <c r="AJ102" s="53" t="n"/>
      <c r="AK102" s="53" t="n"/>
      <c r="AL102" s="53" t="n"/>
      <c r="AM102" s="53" t="n"/>
      <c r="AN102" s="53" t="n"/>
      <c r="AO102" s="53" t="n"/>
      <c r="AP102" s="53" t="n"/>
      <c r="AQ102" s="53" t="n"/>
      <c r="AR102" s="53" t="n"/>
      <c r="AS102" s="53" t="n"/>
      <c r="AT102" s="53" t="n"/>
      <c r="AU102" s="53" t="n"/>
      <c r="AV102" s="53" t="n"/>
      <c r="AW102" s="53" t="n"/>
      <c r="AX102" s="53" t="n"/>
      <c r="AY102" s="53" t="n"/>
    </row>
    <row r="103" ht="15" customHeight="1">
      <c r="A103" s="40">
        <f>IF($D$103="","",32)</f>
        <v/>
      </c>
      <c r="B103" s="10" t="n"/>
      <c r="C103" s="41" t="inlineStr">
        <is>
          <t>마케팅2팀</t>
        </is>
      </c>
      <c r="D103" s="42" t="n"/>
      <c r="E103" s="43" t="inlineStr">
        <is>
          <t>기획</t>
        </is>
      </c>
      <c r="F103" s="44" t="n"/>
      <c r="G103" s="45" t="n"/>
      <c r="H103" s="46">
        <f>IF($I$103="","",IF($I$103&lt;0,"🔴지연",IF($I$103&lt;=1,"🟡임박","🟢여유")))</f>
        <v/>
      </c>
      <c r="I103" s="47">
        <f>IF(OR($G$103="",$K$103=""),"",$G$103-$K$103)</f>
        <v/>
      </c>
      <c r="J103" s="48">
        <f>IF(SUM($L$103:$L$105)=0,"",SUM($L$103:$L$105))</f>
        <v/>
      </c>
      <c r="K103" s="49">
        <f>IF($J$103="","",MAX($N$103:$N$105))</f>
        <v/>
      </c>
      <c r="L103" s="50">
        <f>IF(SUM(U103:AY103)=0,"",SUM(U103:AY103))</f>
        <v/>
      </c>
      <c r="M103" s="51">
        <f>IFERROR(INDEX(U$2:AY$2,MATCH(TRUE,INDEX(U103:AY103&lt;&gt;"",0),0)),"")</f>
        <v/>
      </c>
      <c r="N103" s="51">
        <f>IFERROR(LOOKUP(2,1/(U103:AY103&lt;&gt;""),U$2:AY$2),"")</f>
        <v/>
      </c>
      <c r="O103" s="52" t="n"/>
      <c r="P103" s="52" t="n"/>
      <c r="Q103" s="52" t="n"/>
      <c r="R103" s="44" t="n"/>
      <c r="S103" s="14" t="n"/>
      <c r="U103" s="53" t="n"/>
      <c r="V103" s="53" t="n"/>
      <c r="W103" s="53" t="n"/>
      <c r="X103" s="53" t="n"/>
      <c r="Y103" s="53" t="n"/>
      <c r="Z103" s="53" t="n"/>
      <c r="AA103" s="53" t="n"/>
      <c r="AB103" s="53" t="n"/>
      <c r="AC103" s="53" t="n"/>
      <c r="AD103" s="53" t="n"/>
      <c r="AE103" s="53" t="n"/>
      <c r="AF103" s="53" t="n"/>
      <c r="AG103" s="53" t="n"/>
      <c r="AH103" s="53" t="n"/>
      <c r="AI103" s="53" t="n"/>
      <c r="AJ103" s="53" t="n"/>
      <c r="AK103" s="53" t="n"/>
      <c r="AL103" s="53" t="n"/>
      <c r="AM103" s="53" t="n"/>
      <c r="AN103" s="53" t="n"/>
      <c r="AO103" s="53" t="n"/>
      <c r="AP103" s="53" t="n"/>
      <c r="AQ103" s="53" t="n"/>
      <c r="AR103" s="53" t="n"/>
      <c r="AS103" s="53" t="n"/>
      <c r="AT103" s="53" t="n"/>
      <c r="AU103" s="53" t="n"/>
      <c r="AV103" s="53" t="n"/>
      <c r="AW103" s="53" t="n"/>
      <c r="AX103" s="53" t="n"/>
      <c r="AY103" s="53" t="n"/>
    </row>
    <row r="104" ht="15" customHeight="1">
      <c r="A104" s="54" t="n"/>
      <c r="B104" s="55">
        <f>IF($B$103="","",$B$103)</f>
        <v/>
      </c>
      <c r="C104" s="56" t="inlineStr">
        <is>
          <t>마케팅2팀</t>
        </is>
      </c>
      <c r="D104" s="55">
        <f>IF($D$103="","",$D$103)</f>
        <v/>
      </c>
      <c r="E104" s="57" t="inlineStr">
        <is>
          <t>이미지</t>
        </is>
      </c>
      <c r="F104" s="44" t="n"/>
      <c r="G104" s="58">
        <f>IF($G$103="","",$G$103)</f>
        <v/>
      </c>
      <c r="H104" s="59" t="n"/>
      <c r="I104" s="59" t="n"/>
      <c r="J104" s="59" t="n"/>
      <c r="K104" s="59" t="n"/>
      <c r="L104" s="60">
        <f>IF(SUM(U104:AY104)=0,"",SUM(U104:AY104))</f>
        <v/>
      </c>
      <c r="M104" s="61">
        <f>IFERROR(INDEX(U$2:AY$2,MATCH(TRUE,INDEX(U104:AY104&lt;&gt;"",0),0)),"")</f>
        <v/>
      </c>
      <c r="N104" s="61">
        <f>IFERROR(LOOKUP(2,1/(U104:AY104&lt;&gt;""),U$2:AY$2),"")</f>
        <v/>
      </c>
      <c r="O104" s="59" t="n"/>
      <c r="P104" s="59" t="n"/>
      <c r="Q104" s="59" t="n"/>
      <c r="R104" s="59" t="n"/>
      <c r="S104" s="14" t="n"/>
      <c r="U104" s="53" t="n"/>
      <c r="V104" s="53" t="n"/>
      <c r="W104" s="53" t="n"/>
      <c r="X104" s="53" t="n"/>
      <c r="Y104" s="53" t="n"/>
      <c r="Z104" s="53" t="n"/>
      <c r="AA104" s="53" t="n"/>
      <c r="AB104" s="53" t="n"/>
      <c r="AC104" s="53" t="n"/>
      <c r="AD104" s="53" t="n"/>
      <c r="AE104" s="53" t="n"/>
      <c r="AF104" s="53" t="n"/>
      <c r="AG104" s="53" t="n"/>
      <c r="AH104" s="53" t="n"/>
      <c r="AI104" s="53" t="n"/>
      <c r="AJ104" s="53" t="n"/>
      <c r="AK104" s="53" t="n"/>
      <c r="AL104" s="53" t="n"/>
      <c r="AM104" s="53" t="n"/>
      <c r="AN104" s="53" t="n"/>
      <c r="AO104" s="53" t="n"/>
      <c r="AP104" s="53" t="n"/>
      <c r="AQ104" s="53" t="n"/>
      <c r="AR104" s="53" t="n"/>
      <c r="AS104" s="53" t="n"/>
      <c r="AT104" s="53" t="n"/>
      <c r="AU104" s="53" t="n"/>
      <c r="AV104" s="53" t="n"/>
      <c r="AW104" s="53" t="n"/>
      <c r="AX104" s="53" t="n"/>
      <c r="AY104" s="53" t="n"/>
    </row>
    <row r="105" ht="15" customHeight="1">
      <c r="A105" s="62" t="n"/>
      <c r="B105" s="55">
        <f>IF($B$103="","",$B$103)</f>
        <v/>
      </c>
      <c r="C105" s="63" t="inlineStr">
        <is>
          <t>마케팅2팀</t>
        </is>
      </c>
      <c r="D105" s="55">
        <f>IF($D$103="","",$D$103)</f>
        <v/>
      </c>
      <c r="E105" s="64" t="inlineStr">
        <is>
          <t>영상</t>
        </is>
      </c>
      <c r="F105" s="44" t="n"/>
      <c r="G105" s="58">
        <f>IF($G$103="","",$G$103)</f>
        <v/>
      </c>
      <c r="H105" s="59" t="n"/>
      <c r="I105" s="59" t="n"/>
      <c r="J105" s="59" t="n"/>
      <c r="K105" s="59" t="n"/>
      <c r="L105" s="65">
        <f>IF(SUM(U105:AY105)=0,"",SUM(U105:AY105))</f>
        <v/>
      </c>
      <c r="M105" s="66">
        <f>IFERROR(INDEX(U$2:AY$2,MATCH(TRUE,INDEX(U105:AY105&lt;&gt;"",0),0)),"")</f>
        <v/>
      </c>
      <c r="N105" s="66">
        <f>IFERROR(LOOKUP(2,1/(U105:AY105&lt;&gt;""),U$2:AY$2),"")</f>
        <v/>
      </c>
      <c r="O105" s="59" t="n"/>
      <c r="P105" s="59" t="n"/>
      <c r="Q105" s="59" t="n"/>
      <c r="R105" s="59" t="n"/>
      <c r="S105" s="14" t="n"/>
      <c r="U105" s="53" t="n"/>
      <c r="V105" s="53" t="n"/>
      <c r="W105" s="53" t="n"/>
      <c r="X105" s="53" t="n"/>
      <c r="Y105" s="53" t="n"/>
      <c r="Z105" s="53" t="n"/>
      <c r="AA105" s="53" t="n"/>
      <c r="AB105" s="53" t="n"/>
      <c r="AC105" s="53" t="n"/>
      <c r="AD105" s="53" t="n"/>
      <c r="AE105" s="53" t="n"/>
      <c r="AF105" s="53" t="n"/>
      <c r="AG105" s="53" t="n"/>
      <c r="AH105" s="53" t="n"/>
      <c r="AI105" s="53" t="n"/>
      <c r="AJ105" s="53" t="n"/>
      <c r="AK105" s="53" t="n"/>
      <c r="AL105" s="53" t="n"/>
      <c r="AM105" s="53" t="n"/>
      <c r="AN105" s="53" t="n"/>
      <c r="AO105" s="53" t="n"/>
      <c r="AP105" s="53" t="n"/>
      <c r="AQ105" s="53" t="n"/>
      <c r="AR105" s="53" t="n"/>
      <c r="AS105" s="53" t="n"/>
      <c r="AT105" s="53" t="n"/>
      <c r="AU105" s="53" t="n"/>
      <c r="AV105" s="53" t="n"/>
      <c r="AW105" s="53" t="n"/>
      <c r="AX105" s="53" t="n"/>
      <c r="AY105" s="53" t="n"/>
    </row>
    <row r="106" ht="15" customHeight="1">
      <c r="A106" s="40">
        <f>IF($D$106="","",33)</f>
        <v/>
      </c>
      <c r="B106" s="10" t="n"/>
      <c r="C106" s="41" t="inlineStr">
        <is>
          <t>마케팅2팀</t>
        </is>
      </c>
      <c r="D106" s="42" t="n"/>
      <c r="E106" s="43" t="inlineStr">
        <is>
          <t>기획</t>
        </is>
      </c>
      <c r="F106" s="44" t="n"/>
      <c r="G106" s="45" t="n"/>
      <c r="H106" s="46">
        <f>IF($I$106="","",IF($I$106&lt;0,"🔴지연",IF($I$106&lt;=1,"🟡임박","🟢여유")))</f>
        <v/>
      </c>
      <c r="I106" s="47">
        <f>IF(OR($G$106="",$K$106=""),"",$G$106-$K$106)</f>
        <v/>
      </c>
      <c r="J106" s="48">
        <f>IF(SUM($L$106:$L$108)=0,"",SUM($L$106:$L$108))</f>
        <v/>
      </c>
      <c r="K106" s="49">
        <f>IF($J$106="","",MAX($N$106:$N$108))</f>
        <v/>
      </c>
      <c r="L106" s="50">
        <f>IF(SUM(U106:AY106)=0,"",SUM(U106:AY106))</f>
        <v/>
      </c>
      <c r="M106" s="51">
        <f>IFERROR(INDEX(U$2:AY$2,MATCH(TRUE,INDEX(U106:AY106&lt;&gt;"",0),0)),"")</f>
        <v/>
      </c>
      <c r="N106" s="51">
        <f>IFERROR(LOOKUP(2,1/(U106:AY106&lt;&gt;""),U$2:AY$2),"")</f>
        <v/>
      </c>
      <c r="O106" s="52" t="n"/>
      <c r="P106" s="52" t="n"/>
      <c r="Q106" s="52" t="n"/>
      <c r="R106" s="44" t="n"/>
      <c r="S106" s="14" t="n"/>
      <c r="U106" s="53" t="n"/>
      <c r="V106" s="53" t="n"/>
      <c r="W106" s="53" t="n"/>
      <c r="X106" s="53" t="n"/>
      <c r="Y106" s="53" t="n"/>
      <c r="Z106" s="53" t="n"/>
      <c r="AA106" s="53" t="n"/>
      <c r="AB106" s="53" t="n"/>
      <c r="AC106" s="53" t="n"/>
      <c r="AD106" s="53" t="n"/>
      <c r="AE106" s="53" t="n"/>
      <c r="AF106" s="53" t="n"/>
      <c r="AG106" s="53" t="n"/>
      <c r="AH106" s="53" t="n"/>
      <c r="AI106" s="53" t="n"/>
      <c r="AJ106" s="53" t="n"/>
      <c r="AK106" s="53" t="n"/>
      <c r="AL106" s="53" t="n"/>
      <c r="AM106" s="53" t="n"/>
      <c r="AN106" s="53" t="n"/>
      <c r="AO106" s="53" t="n"/>
      <c r="AP106" s="53" t="n"/>
      <c r="AQ106" s="53" t="n"/>
      <c r="AR106" s="53" t="n"/>
      <c r="AS106" s="53" t="n"/>
      <c r="AT106" s="53" t="n"/>
      <c r="AU106" s="53" t="n"/>
      <c r="AV106" s="53" t="n"/>
      <c r="AW106" s="53" t="n"/>
      <c r="AX106" s="53" t="n"/>
      <c r="AY106" s="53" t="n"/>
    </row>
    <row r="107" ht="15" customHeight="1">
      <c r="A107" s="54" t="n"/>
      <c r="B107" s="55">
        <f>IF($B$106="","",$B$106)</f>
        <v/>
      </c>
      <c r="C107" s="56" t="inlineStr">
        <is>
          <t>마케팅2팀</t>
        </is>
      </c>
      <c r="D107" s="55">
        <f>IF($D$106="","",$D$106)</f>
        <v/>
      </c>
      <c r="E107" s="57" t="inlineStr">
        <is>
          <t>이미지</t>
        </is>
      </c>
      <c r="F107" s="44" t="n"/>
      <c r="G107" s="58">
        <f>IF($G$106="","",$G$106)</f>
        <v/>
      </c>
      <c r="H107" s="59" t="n"/>
      <c r="I107" s="59" t="n"/>
      <c r="J107" s="59" t="n"/>
      <c r="K107" s="59" t="n"/>
      <c r="L107" s="60">
        <f>IF(SUM(U107:AY107)=0,"",SUM(U107:AY107))</f>
        <v/>
      </c>
      <c r="M107" s="61">
        <f>IFERROR(INDEX(U$2:AY$2,MATCH(TRUE,INDEX(U107:AY107&lt;&gt;"",0),0)),"")</f>
        <v/>
      </c>
      <c r="N107" s="61">
        <f>IFERROR(LOOKUP(2,1/(U107:AY107&lt;&gt;""),U$2:AY$2),"")</f>
        <v/>
      </c>
      <c r="O107" s="59" t="n"/>
      <c r="P107" s="59" t="n"/>
      <c r="Q107" s="59" t="n"/>
      <c r="R107" s="59" t="n"/>
      <c r="S107" s="14" t="n"/>
      <c r="U107" s="53" t="n"/>
      <c r="V107" s="53" t="n"/>
      <c r="W107" s="53" t="n"/>
      <c r="X107" s="53" t="n"/>
      <c r="Y107" s="53" t="n"/>
      <c r="Z107" s="53" t="n"/>
      <c r="AA107" s="53" t="n"/>
      <c r="AB107" s="53" t="n"/>
      <c r="AC107" s="53" t="n"/>
      <c r="AD107" s="53" t="n"/>
      <c r="AE107" s="53" t="n"/>
      <c r="AF107" s="53" t="n"/>
      <c r="AG107" s="53" t="n"/>
      <c r="AH107" s="53" t="n"/>
      <c r="AI107" s="53" t="n"/>
      <c r="AJ107" s="53" t="n"/>
      <c r="AK107" s="53" t="n"/>
      <c r="AL107" s="53" t="n"/>
      <c r="AM107" s="53" t="n"/>
      <c r="AN107" s="53" t="n"/>
      <c r="AO107" s="53" t="n"/>
      <c r="AP107" s="53" t="n"/>
      <c r="AQ107" s="53" t="n"/>
      <c r="AR107" s="53" t="n"/>
      <c r="AS107" s="53" t="n"/>
      <c r="AT107" s="53" t="n"/>
      <c r="AU107" s="53" t="n"/>
      <c r="AV107" s="53" t="n"/>
      <c r="AW107" s="53" t="n"/>
      <c r="AX107" s="53" t="n"/>
      <c r="AY107" s="53" t="n"/>
    </row>
    <row r="108" ht="15" customHeight="1">
      <c r="A108" s="62" t="n"/>
      <c r="B108" s="55">
        <f>IF($B$106="","",$B$106)</f>
        <v/>
      </c>
      <c r="C108" s="63" t="inlineStr">
        <is>
          <t>마케팅2팀</t>
        </is>
      </c>
      <c r="D108" s="55">
        <f>IF($D$106="","",$D$106)</f>
        <v/>
      </c>
      <c r="E108" s="64" t="inlineStr">
        <is>
          <t>영상</t>
        </is>
      </c>
      <c r="F108" s="44" t="n"/>
      <c r="G108" s="58">
        <f>IF($G$106="","",$G$106)</f>
        <v/>
      </c>
      <c r="H108" s="59" t="n"/>
      <c r="I108" s="59" t="n"/>
      <c r="J108" s="59" t="n"/>
      <c r="K108" s="59" t="n"/>
      <c r="L108" s="65">
        <f>IF(SUM(U108:AY108)=0,"",SUM(U108:AY108))</f>
        <v/>
      </c>
      <c r="M108" s="66">
        <f>IFERROR(INDEX(U$2:AY$2,MATCH(TRUE,INDEX(U108:AY108&lt;&gt;"",0),0)),"")</f>
        <v/>
      </c>
      <c r="N108" s="66">
        <f>IFERROR(LOOKUP(2,1/(U108:AY108&lt;&gt;""),U$2:AY$2),"")</f>
        <v/>
      </c>
      <c r="O108" s="59" t="n"/>
      <c r="P108" s="59" t="n"/>
      <c r="Q108" s="59" t="n"/>
      <c r="R108" s="59" t="n"/>
      <c r="S108" s="14" t="n"/>
      <c r="U108" s="53" t="n"/>
      <c r="V108" s="53" t="n"/>
      <c r="W108" s="53" t="n"/>
      <c r="X108" s="53" t="n"/>
      <c r="Y108" s="53" t="n"/>
      <c r="Z108" s="53" t="n"/>
      <c r="AA108" s="53" t="n"/>
      <c r="AB108" s="53" t="n"/>
      <c r="AC108" s="53" t="n"/>
      <c r="AD108" s="53" t="n"/>
      <c r="AE108" s="53" t="n"/>
      <c r="AF108" s="53" t="n"/>
      <c r="AG108" s="53" t="n"/>
      <c r="AH108" s="53" t="n"/>
      <c r="AI108" s="53" t="n"/>
      <c r="AJ108" s="53" t="n"/>
      <c r="AK108" s="53" t="n"/>
      <c r="AL108" s="53" t="n"/>
      <c r="AM108" s="53" t="n"/>
      <c r="AN108" s="53" t="n"/>
      <c r="AO108" s="53" t="n"/>
      <c r="AP108" s="53" t="n"/>
      <c r="AQ108" s="53" t="n"/>
      <c r="AR108" s="53" t="n"/>
      <c r="AS108" s="53" t="n"/>
      <c r="AT108" s="53" t="n"/>
      <c r="AU108" s="53" t="n"/>
      <c r="AV108" s="53" t="n"/>
      <c r="AW108" s="53" t="n"/>
      <c r="AX108" s="53" t="n"/>
      <c r="AY108" s="53" t="n"/>
    </row>
    <row r="109" ht="15" customHeight="1">
      <c r="A109" s="40">
        <f>IF($D$109="","",34)</f>
        <v/>
      </c>
      <c r="B109" s="10" t="n"/>
      <c r="C109" s="41" t="inlineStr">
        <is>
          <t>마케팅2팀</t>
        </is>
      </c>
      <c r="D109" s="42" t="n"/>
      <c r="E109" s="43" t="inlineStr">
        <is>
          <t>기획</t>
        </is>
      </c>
      <c r="F109" s="44" t="n"/>
      <c r="G109" s="45" t="n"/>
      <c r="H109" s="46">
        <f>IF($I$109="","",IF($I$109&lt;0,"🔴지연",IF($I$109&lt;=1,"🟡임박","🟢여유")))</f>
        <v/>
      </c>
      <c r="I109" s="47">
        <f>IF(OR($G$109="",$K$109=""),"",$G$109-$K$109)</f>
        <v/>
      </c>
      <c r="J109" s="48">
        <f>IF(SUM($L$109:$L$111)=0,"",SUM($L$109:$L$111))</f>
        <v/>
      </c>
      <c r="K109" s="49">
        <f>IF($J$109="","",MAX($N$109:$N$111))</f>
        <v/>
      </c>
      <c r="L109" s="50">
        <f>IF(SUM(U109:AY109)=0,"",SUM(U109:AY109))</f>
        <v/>
      </c>
      <c r="M109" s="51">
        <f>IFERROR(INDEX(U$2:AY$2,MATCH(TRUE,INDEX(U109:AY109&lt;&gt;"",0),0)),"")</f>
        <v/>
      </c>
      <c r="N109" s="51">
        <f>IFERROR(LOOKUP(2,1/(U109:AY109&lt;&gt;""),U$2:AY$2),"")</f>
        <v/>
      </c>
      <c r="O109" s="52" t="n"/>
      <c r="P109" s="52" t="n"/>
      <c r="Q109" s="52" t="n"/>
      <c r="R109" s="44" t="n"/>
      <c r="S109" s="14" t="n"/>
      <c r="U109" s="53" t="n"/>
      <c r="V109" s="53" t="n"/>
      <c r="W109" s="53" t="n"/>
      <c r="X109" s="53" t="n"/>
      <c r="Y109" s="53" t="n"/>
      <c r="Z109" s="53" t="n"/>
      <c r="AA109" s="53" t="n"/>
      <c r="AB109" s="53" t="n"/>
      <c r="AC109" s="53" t="n"/>
      <c r="AD109" s="53" t="n"/>
      <c r="AE109" s="53" t="n"/>
      <c r="AF109" s="53" t="n"/>
      <c r="AG109" s="53" t="n"/>
      <c r="AH109" s="53" t="n"/>
      <c r="AI109" s="53" t="n"/>
      <c r="AJ109" s="53" t="n"/>
      <c r="AK109" s="53" t="n"/>
      <c r="AL109" s="53" t="n"/>
      <c r="AM109" s="53" t="n"/>
      <c r="AN109" s="53" t="n"/>
      <c r="AO109" s="53" t="n"/>
      <c r="AP109" s="53" t="n"/>
      <c r="AQ109" s="53" t="n"/>
      <c r="AR109" s="53" t="n"/>
      <c r="AS109" s="53" t="n"/>
      <c r="AT109" s="53" t="n"/>
      <c r="AU109" s="53" t="n"/>
      <c r="AV109" s="53" t="n"/>
      <c r="AW109" s="53" t="n"/>
      <c r="AX109" s="53" t="n"/>
      <c r="AY109" s="53" t="n"/>
    </row>
    <row r="110" ht="15" customHeight="1">
      <c r="A110" s="54" t="n"/>
      <c r="B110" s="55">
        <f>IF($B$109="","",$B$109)</f>
        <v/>
      </c>
      <c r="C110" s="56" t="inlineStr">
        <is>
          <t>마케팅2팀</t>
        </is>
      </c>
      <c r="D110" s="55">
        <f>IF($D$109="","",$D$109)</f>
        <v/>
      </c>
      <c r="E110" s="57" t="inlineStr">
        <is>
          <t>이미지</t>
        </is>
      </c>
      <c r="F110" s="44" t="n"/>
      <c r="G110" s="58">
        <f>IF($G$109="","",$G$109)</f>
        <v/>
      </c>
      <c r="H110" s="59" t="n"/>
      <c r="I110" s="59" t="n"/>
      <c r="J110" s="59" t="n"/>
      <c r="K110" s="59" t="n"/>
      <c r="L110" s="60">
        <f>IF(SUM(U110:AY110)=0,"",SUM(U110:AY110))</f>
        <v/>
      </c>
      <c r="M110" s="61">
        <f>IFERROR(INDEX(U$2:AY$2,MATCH(TRUE,INDEX(U110:AY110&lt;&gt;"",0),0)),"")</f>
        <v/>
      </c>
      <c r="N110" s="61">
        <f>IFERROR(LOOKUP(2,1/(U110:AY110&lt;&gt;""),U$2:AY$2),"")</f>
        <v/>
      </c>
      <c r="O110" s="59" t="n"/>
      <c r="P110" s="59" t="n"/>
      <c r="Q110" s="59" t="n"/>
      <c r="R110" s="59" t="n"/>
      <c r="S110" s="14" t="n"/>
      <c r="U110" s="53" t="n"/>
      <c r="V110" s="53" t="n"/>
      <c r="W110" s="53" t="n"/>
      <c r="X110" s="53" t="n"/>
      <c r="Y110" s="53" t="n"/>
      <c r="Z110" s="53" t="n"/>
      <c r="AA110" s="53" t="n"/>
      <c r="AB110" s="53" t="n"/>
      <c r="AC110" s="53" t="n"/>
      <c r="AD110" s="53" t="n"/>
      <c r="AE110" s="53" t="n"/>
      <c r="AF110" s="53" t="n"/>
      <c r="AG110" s="53" t="n"/>
      <c r="AH110" s="53" t="n"/>
      <c r="AI110" s="53" t="n"/>
      <c r="AJ110" s="53" t="n"/>
      <c r="AK110" s="53" t="n"/>
      <c r="AL110" s="53" t="n"/>
      <c r="AM110" s="53" t="n"/>
      <c r="AN110" s="53" t="n"/>
      <c r="AO110" s="53" t="n"/>
      <c r="AP110" s="53" t="n"/>
      <c r="AQ110" s="53" t="n"/>
      <c r="AR110" s="53" t="n"/>
      <c r="AS110" s="53" t="n"/>
      <c r="AT110" s="53" t="n"/>
      <c r="AU110" s="53" t="n"/>
      <c r="AV110" s="53" t="n"/>
      <c r="AW110" s="53" t="n"/>
      <c r="AX110" s="53" t="n"/>
      <c r="AY110" s="53" t="n"/>
    </row>
    <row r="111" ht="15" customHeight="1">
      <c r="A111" s="62" t="n"/>
      <c r="B111" s="55">
        <f>IF($B$109="","",$B$109)</f>
        <v/>
      </c>
      <c r="C111" s="63" t="inlineStr">
        <is>
          <t>마케팅2팀</t>
        </is>
      </c>
      <c r="D111" s="55">
        <f>IF($D$109="","",$D$109)</f>
        <v/>
      </c>
      <c r="E111" s="64" t="inlineStr">
        <is>
          <t>영상</t>
        </is>
      </c>
      <c r="F111" s="44" t="n"/>
      <c r="G111" s="58">
        <f>IF($G$109="","",$G$109)</f>
        <v/>
      </c>
      <c r="H111" s="59" t="n"/>
      <c r="I111" s="59" t="n"/>
      <c r="J111" s="59" t="n"/>
      <c r="K111" s="59" t="n"/>
      <c r="L111" s="65">
        <f>IF(SUM(U111:AY111)=0,"",SUM(U111:AY111))</f>
        <v/>
      </c>
      <c r="M111" s="66">
        <f>IFERROR(INDEX(U$2:AY$2,MATCH(TRUE,INDEX(U111:AY111&lt;&gt;"",0),0)),"")</f>
        <v/>
      </c>
      <c r="N111" s="66">
        <f>IFERROR(LOOKUP(2,1/(U111:AY111&lt;&gt;""),U$2:AY$2),"")</f>
        <v/>
      </c>
      <c r="O111" s="59" t="n"/>
      <c r="P111" s="59" t="n"/>
      <c r="Q111" s="59" t="n"/>
      <c r="R111" s="59" t="n"/>
      <c r="S111" s="14" t="n"/>
      <c r="U111" s="53" t="n"/>
      <c r="V111" s="53" t="n"/>
      <c r="W111" s="53" t="n"/>
      <c r="X111" s="53" t="n"/>
      <c r="Y111" s="53" t="n"/>
      <c r="Z111" s="53" t="n"/>
      <c r="AA111" s="53" t="n"/>
      <c r="AB111" s="53" t="n"/>
      <c r="AC111" s="53" t="n"/>
      <c r="AD111" s="53" t="n"/>
      <c r="AE111" s="53" t="n"/>
      <c r="AF111" s="53" t="n"/>
      <c r="AG111" s="53" t="n"/>
      <c r="AH111" s="53" t="n"/>
      <c r="AI111" s="53" t="n"/>
      <c r="AJ111" s="53" t="n"/>
      <c r="AK111" s="53" t="n"/>
      <c r="AL111" s="53" t="n"/>
      <c r="AM111" s="53" t="n"/>
      <c r="AN111" s="53" t="n"/>
      <c r="AO111" s="53" t="n"/>
      <c r="AP111" s="53" t="n"/>
      <c r="AQ111" s="53" t="n"/>
      <c r="AR111" s="53" t="n"/>
      <c r="AS111" s="53" t="n"/>
      <c r="AT111" s="53" t="n"/>
      <c r="AU111" s="53" t="n"/>
      <c r="AV111" s="53" t="n"/>
      <c r="AW111" s="53" t="n"/>
      <c r="AX111" s="53" t="n"/>
      <c r="AY111" s="53" t="n"/>
    </row>
    <row r="112" ht="15" customHeight="1">
      <c r="A112" s="40">
        <f>IF($D$112="","",35)</f>
        <v/>
      </c>
      <c r="B112" s="10" t="n"/>
      <c r="C112" s="41" t="inlineStr">
        <is>
          <t>마케팅2팀</t>
        </is>
      </c>
      <c r="D112" s="42" t="n"/>
      <c r="E112" s="43" t="inlineStr">
        <is>
          <t>기획</t>
        </is>
      </c>
      <c r="F112" s="44" t="n"/>
      <c r="G112" s="45" t="n"/>
      <c r="H112" s="46">
        <f>IF($I$112="","",IF($I$112&lt;0,"🔴지연",IF($I$112&lt;=1,"🟡임박","🟢여유")))</f>
        <v/>
      </c>
      <c r="I112" s="47">
        <f>IF(OR($G$112="",$K$112=""),"",$G$112-$K$112)</f>
        <v/>
      </c>
      <c r="J112" s="48">
        <f>IF(SUM($L$112:$L$114)=0,"",SUM($L$112:$L$114))</f>
        <v/>
      </c>
      <c r="K112" s="49">
        <f>IF($J$112="","",MAX($N$112:$N$114))</f>
        <v/>
      </c>
      <c r="L112" s="50">
        <f>IF(SUM(U112:AY112)=0,"",SUM(U112:AY112))</f>
        <v/>
      </c>
      <c r="M112" s="51">
        <f>IFERROR(INDEX(U$2:AY$2,MATCH(TRUE,INDEX(U112:AY112&lt;&gt;"",0),0)),"")</f>
        <v/>
      </c>
      <c r="N112" s="51">
        <f>IFERROR(LOOKUP(2,1/(U112:AY112&lt;&gt;""),U$2:AY$2),"")</f>
        <v/>
      </c>
      <c r="O112" s="52" t="n"/>
      <c r="P112" s="52" t="n"/>
      <c r="Q112" s="52" t="n"/>
      <c r="R112" s="44" t="n"/>
      <c r="S112" s="14" t="n"/>
      <c r="U112" s="53" t="n"/>
      <c r="V112" s="53" t="n"/>
      <c r="W112" s="53" t="n"/>
      <c r="X112" s="53" t="n"/>
      <c r="Y112" s="53" t="n"/>
      <c r="Z112" s="53" t="n"/>
      <c r="AA112" s="53" t="n"/>
      <c r="AB112" s="53" t="n"/>
      <c r="AC112" s="53" t="n"/>
      <c r="AD112" s="53" t="n"/>
      <c r="AE112" s="53" t="n"/>
      <c r="AF112" s="53" t="n"/>
      <c r="AG112" s="53" t="n"/>
      <c r="AH112" s="53" t="n"/>
      <c r="AI112" s="53" t="n"/>
      <c r="AJ112" s="53" t="n"/>
      <c r="AK112" s="53" t="n"/>
      <c r="AL112" s="53" t="n"/>
      <c r="AM112" s="53" t="n"/>
      <c r="AN112" s="53" t="n"/>
      <c r="AO112" s="53" t="n"/>
      <c r="AP112" s="53" t="n"/>
      <c r="AQ112" s="53" t="n"/>
      <c r="AR112" s="53" t="n"/>
      <c r="AS112" s="53" t="n"/>
      <c r="AT112" s="53" t="n"/>
      <c r="AU112" s="53" t="n"/>
      <c r="AV112" s="53" t="n"/>
      <c r="AW112" s="53" t="n"/>
      <c r="AX112" s="53" t="n"/>
      <c r="AY112" s="53" t="n"/>
    </row>
    <row r="113" ht="15" customHeight="1">
      <c r="A113" s="54" t="n"/>
      <c r="B113" s="55">
        <f>IF($B$112="","",$B$112)</f>
        <v/>
      </c>
      <c r="C113" s="56" t="inlineStr">
        <is>
          <t>마케팅2팀</t>
        </is>
      </c>
      <c r="D113" s="55">
        <f>IF($D$112="","",$D$112)</f>
        <v/>
      </c>
      <c r="E113" s="57" t="inlineStr">
        <is>
          <t>이미지</t>
        </is>
      </c>
      <c r="F113" s="44" t="n"/>
      <c r="G113" s="58">
        <f>IF($G$112="","",$G$112)</f>
        <v/>
      </c>
      <c r="H113" s="59" t="n"/>
      <c r="I113" s="59" t="n"/>
      <c r="J113" s="59" t="n"/>
      <c r="K113" s="59" t="n"/>
      <c r="L113" s="60">
        <f>IF(SUM(U113:AY113)=0,"",SUM(U113:AY113))</f>
        <v/>
      </c>
      <c r="M113" s="61">
        <f>IFERROR(INDEX(U$2:AY$2,MATCH(TRUE,INDEX(U113:AY113&lt;&gt;"",0),0)),"")</f>
        <v/>
      </c>
      <c r="N113" s="61">
        <f>IFERROR(LOOKUP(2,1/(U113:AY113&lt;&gt;""),U$2:AY$2),"")</f>
        <v/>
      </c>
      <c r="O113" s="59" t="n"/>
      <c r="P113" s="59" t="n"/>
      <c r="Q113" s="59" t="n"/>
      <c r="R113" s="59" t="n"/>
      <c r="S113" s="14" t="n"/>
      <c r="U113" s="53" t="n"/>
      <c r="V113" s="53" t="n"/>
      <c r="W113" s="53" t="n"/>
      <c r="X113" s="53" t="n"/>
      <c r="Y113" s="53" t="n"/>
      <c r="Z113" s="53" t="n"/>
      <c r="AA113" s="53" t="n"/>
      <c r="AB113" s="53" t="n"/>
      <c r="AC113" s="53" t="n"/>
      <c r="AD113" s="53" t="n"/>
      <c r="AE113" s="53" t="n"/>
      <c r="AF113" s="53" t="n"/>
      <c r="AG113" s="53" t="n"/>
      <c r="AH113" s="53" t="n"/>
      <c r="AI113" s="53" t="n"/>
      <c r="AJ113" s="53" t="n"/>
      <c r="AK113" s="53" t="n"/>
      <c r="AL113" s="53" t="n"/>
      <c r="AM113" s="53" t="n"/>
      <c r="AN113" s="53" t="n"/>
      <c r="AO113" s="53" t="n"/>
      <c r="AP113" s="53" t="n"/>
      <c r="AQ113" s="53" t="n"/>
      <c r="AR113" s="53" t="n"/>
      <c r="AS113" s="53" t="n"/>
      <c r="AT113" s="53" t="n"/>
      <c r="AU113" s="53" t="n"/>
      <c r="AV113" s="53" t="n"/>
      <c r="AW113" s="53" t="n"/>
      <c r="AX113" s="53" t="n"/>
      <c r="AY113" s="53" t="n"/>
    </row>
    <row r="114" ht="15" customHeight="1">
      <c r="A114" s="62" t="n"/>
      <c r="B114" s="55">
        <f>IF($B$112="","",$B$112)</f>
        <v/>
      </c>
      <c r="C114" s="63" t="inlineStr">
        <is>
          <t>마케팅2팀</t>
        </is>
      </c>
      <c r="D114" s="55">
        <f>IF($D$112="","",$D$112)</f>
        <v/>
      </c>
      <c r="E114" s="64" t="inlineStr">
        <is>
          <t>영상</t>
        </is>
      </c>
      <c r="F114" s="44" t="n"/>
      <c r="G114" s="58">
        <f>IF($G$112="","",$G$112)</f>
        <v/>
      </c>
      <c r="H114" s="59" t="n"/>
      <c r="I114" s="59" t="n"/>
      <c r="J114" s="59" t="n"/>
      <c r="K114" s="59" t="n"/>
      <c r="L114" s="65">
        <f>IF(SUM(U114:AY114)=0,"",SUM(U114:AY114))</f>
        <v/>
      </c>
      <c r="M114" s="66">
        <f>IFERROR(INDEX(U$2:AY$2,MATCH(TRUE,INDEX(U114:AY114&lt;&gt;"",0),0)),"")</f>
        <v/>
      </c>
      <c r="N114" s="66">
        <f>IFERROR(LOOKUP(2,1/(U114:AY114&lt;&gt;""),U$2:AY$2),"")</f>
        <v/>
      </c>
      <c r="O114" s="59" t="n"/>
      <c r="P114" s="59" t="n"/>
      <c r="Q114" s="59" t="n"/>
      <c r="R114" s="59" t="n"/>
      <c r="S114" s="14" t="n"/>
      <c r="U114" s="53" t="n"/>
      <c r="V114" s="53" t="n"/>
      <c r="W114" s="53" t="n"/>
      <c r="X114" s="53" t="n"/>
      <c r="Y114" s="53" t="n"/>
      <c r="Z114" s="53" t="n"/>
      <c r="AA114" s="53" t="n"/>
      <c r="AB114" s="53" t="n"/>
      <c r="AC114" s="53" t="n"/>
      <c r="AD114" s="53" t="n"/>
      <c r="AE114" s="53" t="n"/>
      <c r="AF114" s="53" t="n"/>
      <c r="AG114" s="53" t="n"/>
      <c r="AH114" s="53" t="n"/>
      <c r="AI114" s="53" t="n"/>
      <c r="AJ114" s="53" t="n"/>
      <c r="AK114" s="53" t="n"/>
      <c r="AL114" s="53" t="n"/>
      <c r="AM114" s="53" t="n"/>
      <c r="AN114" s="53" t="n"/>
      <c r="AO114" s="53" t="n"/>
      <c r="AP114" s="53" t="n"/>
      <c r="AQ114" s="53" t="n"/>
      <c r="AR114" s="53" t="n"/>
      <c r="AS114" s="53" t="n"/>
      <c r="AT114" s="53" t="n"/>
      <c r="AU114" s="53" t="n"/>
      <c r="AV114" s="53" t="n"/>
      <c r="AW114" s="53" t="n"/>
      <c r="AX114" s="53" t="n"/>
      <c r="AY114" s="53" t="n"/>
    </row>
    <row r="115" ht="15" customHeight="1">
      <c r="A115" s="40">
        <f>IF($D$115="","",36)</f>
        <v/>
      </c>
      <c r="B115" s="10" t="n"/>
      <c r="C115" s="41" t="inlineStr">
        <is>
          <t>마케팅2팀</t>
        </is>
      </c>
      <c r="D115" s="42" t="n"/>
      <c r="E115" s="43" t="inlineStr">
        <is>
          <t>기획</t>
        </is>
      </c>
      <c r="F115" s="44" t="n"/>
      <c r="G115" s="45" t="n"/>
      <c r="H115" s="46">
        <f>IF($I$115="","",IF($I$115&lt;0,"🔴지연",IF($I$115&lt;=1,"🟡임박","🟢여유")))</f>
        <v/>
      </c>
      <c r="I115" s="47">
        <f>IF(OR($G$115="",$K$115=""),"",$G$115-$K$115)</f>
        <v/>
      </c>
      <c r="J115" s="48">
        <f>IF(SUM($L$115:$L$117)=0,"",SUM($L$115:$L$117))</f>
        <v/>
      </c>
      <c r="K115" s="49">
        <f>IF($J$115="","",MAX($N$115:$N$117))</f>
        <v/>
      </c>
      <c r="L115" s="50">
        <f>IF(SUM(U115:AY115)=0,"",SUM(U115:AY115))</f>
        <v/>
      </c>
      <c r="M115" s="51">
        <f>IFERROR(INDEX(U$2:AY$2,MATCH(TRUE,INDEX(U115:AY115&lt;&gt;"",0),0)),"")</f>
        <v/>
      </c>
      <c r="N115" s="51">
        <f>IFERROR(LOOKUP(2,1/(U115:AY115&lt;&gt;""),U$2:AY$2),"")</f>
        <v/>
      </c>
      <c r="O115" s="52" t="n"/>
      <c r="P115" s="52" t="n"/>
      <c r="Q115" s="52" t="n"/>
      <c r="R115" s="44" t="n"/>
      <c r="S115" s="14" t="n"/>
      <c r="U115" s="53" t="n"/>
      <c r="V115" s="53" t="n"/>
      <c r="W115" s="53" t="n"/>
      <c r="X115" s="53" t="n"/>
      <c r="Y115" s="53" t="n"/>
      <c r="Z115" s="53" t="n"/>
      <c r="AA115" s="53" t="n"/>
      <c r="AB115" s="53" t="n"/>
      <c r="AC115" s="53" t="n"/>
      <c r="AD115" s="53" t="n"/>
      <c r="AE115" s="53" t="n"/>
      <c r="AF115" s="53" t="n"/>
      <c r="AG115" s="53" t="n"/>
      <c r="AH115" s="53" t="n"/>
      <c r="AI115" s="53" t="n"/>
      <c r="AJ115" s="53" t="n"/>
      <c r="AK115" s="53" t="n"/>
      <c r="AL115" s="53" t="n"/>
      <c r="AM115" s="53" t="n"/>
      <c r="AN115" s="53" t="n"/>
      <c r="AO115" s="53" t="n"/>
      <c r="AP115" s="53" t="n"/>
      <c r="AQ115" s="53" t="n"/>
      <c r="AR115" s="53" t="n"/>
      <c r="AS115" s="53" t="n"/>
      <c r="AT115" s="53" t="n"/>
      <c r="AU115" s="53" t="n"/>
      <c r="AV115" s="53" t="n"/>
      <c r="AW115" s="53" t="n"/>
      <c r="AX115" s="53" t="n"/>
      <c r="AY115" s="53" t="n"/>
    </row>
    <row r="116" ht="15" customHeight="1">
      <c r="A116" s="54" t="n"/>
      <c r="B116" s="55">
        <f>IF($B$115="","",$B$115)</f>
        <v/>
      </c>
      <c r="C116" s="56" t="inlineStr">
        <is>
          <t>마케팅2팀</t>
        </is>
      </c>
      <c r="D116" s="55">
        <f>IF($D$115="","",$D$115)</f>
        <v/>
      </c>
      <c r="E116" s="57" t="inlineStr">
        <is>
          <t>이미지</t>
        </is>
      </c>
      <c r="F116" s="44" t="n"/>
      <c r="G116" s="58">
        <f>IF($G$115="","",$G$115)</f>
        <v/>
      </c>
      <c r="H116" s="59" t="n"/>
      <c r="I116" s="59" t="n"/>
      <c r="J116" s="59" t="n"/>
      <c r="K116" s="59" t="n"/>
      <c r="L116" s="60">
        <f>IF(SUM(U116:AY116)=0,"",SUM(U116:AY116))</f>
        <v/>
      </c>
      <c r="M116" s="61">
        <f>IFERROR(INDEX(U$2:AY$2,MATCH(TRUE,INDEX(U116:AY116&lt;&gt;"",0),0)),"")</f>
        <v/>
      </c>
      <c r="N116" s="61">
        <f>IFERROR(LOOKUP(2,1/(U116:AY116&lt;&gt;""),U$2:AY$2),"")</f>
        <v/>
      </c>
      <c r="O116" s="59" t="n"/>
      <c r="P116" s="59" t="n"/>
      <c r="Q116" s="59" t="n"/>
      <c r="R116" s="59" t="n"/>
      <c r="S116" s="14" t="n"/>
      <c r="U116" s="53" t="n"/>
      <c r="V116" s="53" t="n"/>
      <c r="W116" s="53" t="n"/>
      <c r="X116" s="53" t="n"/>
      <c r="Y116" s="53" t="n"/>
      <c r="Z116" s="53" t="n"/>
      <c r="AA116" s="53" t="n"/>
      <c r="AB116" s="53" t="n"/>
      <c r="AC116" s="53" t="n"/>
      <c r="AD116" s="53" t="n"/>
      <c r="AE116" s="53" t="n"/>
      <c r="AF116" s="53" t="n"/>
      <c r="AG116" s="53" t="n"/>
      <c r="AH116" s="53" t="n"/>
      <c r="AI116" s="53" t="n"/>
      <c r="AJ116" s="53" t="n"/>
      <c r="AK116" s="53" t="n"/>
      <c r="AL116" s="53" t="n"/>
      <c r="AM116" s="53" t="n"/>
      <c r="AN116" s="53" t="n"/>
      <c r="AO116" s="53" t="n"/>
      <c r="AP116" s="53" t="n"/>
      <c r="AQ116" s="53" t="n"/>
      <c r="AR116" s="53" t="n"/>
      <c r="AS116" s="53" t="n"/>
      <c r="AT116" s="53" t="n"/>
      <c r="AU116" s="53" t="n"/>
      <c r="AV116" s="53" t="n"/>
      <c r="AW116" s="53" t="n"/>
      <c r="AX116" s="53" t="n"/>
      <c r="AY116" s="53" t="n"/>
    </row>
    <row r="117" ht="15" customHeight="1">
      <c r="A117" s="62" t="n"/>
      <c r="B117" s="55">
        <f>IF($B$115="","",$B$115)</f>
        <v/>
      </c>
      <c r="C117" s="63" t="inlineStr">
        <is>
          <t>마케팅2팀</t>
        </is>
      </c>
      <c r="D117" s="55">
        <f>IF($D$115="","",$D$115)</f>
        <v/>
      </c>
      <c r="E117" s="64" t="inlineStr">
        <is>
          <t>영상</t>
        </is>
      </c>
      <c r="F117" s="44" t="n"/>
      <c r="G117" s="58">
        <f>IF($G$115="","",$G$115)</f>
        <v/>
      </c>
      <c r="H117" s="59" t="n"/>
      <c r="I117" s="59" t="n"/>
      <c r="J117" s="59" t="n"/>
      <c r="K117" s="59" t="n"/>
      <c r="L117" s="65">
        <f>IF(SUM(U117:AY117)=0,"",SUM(U117:AY117))</f>
        <v/>
      </c>
      <c r="M117" s="66">
        <f>IFERROR(INDEX(U$2:AY$2,MATCH(TRUE,INDEX(U117:AY117&lt;&gt;"",0),0)),"")</f>
        <v/>
      </c>
      <c r="N117" s="66">
        <f>IFERROR(LOOKUP(2,1/(U117:AY117&lt;&gt;""),U$2:AY$2),"")</f>
        <v/>
      </c>
      <c r="O117" s="59" t="n"/>
      <c r="P117" s="59" t="n"/>
      <c r="Q117" s="59" t="n"/>
      <c r="R117" s="59" t="n"/>
      <c r="S117" s="14" t="n"/>
      <c r="U117" s="53" t="n"/>
      <c r="V117" s="53" t="n"/>
      <c r="W117" s="53" t="n"/>
      <c r="X117" s="53" t="n"/>
      <c r="Y117" s="53" t="n"/>
      <c r="Z117" s="53" t="n"/>
      <c r="AA117" s="53" t="n"/>
      <c r="AB117" s="53" t="n"/>
      <c r="AC117" s="53" t="n"/>
      <c r="AD117" s="53" t="n"/>
      <c r="AE117" s="53" t="n"/>
      <c r="AF117" s="53" t="n"/>
      <c r="AG117" s="53" t="n"/>
      <c r="AH117" s="53" t="n"/>
      <c r="AI117" s="53" t="n"/>
      <c r="AJ117" s="53" t="n"/>
      <c r="AK117" s="53" t="n"/>
      <c r="AL117" s="53" t="n"/>
      <c r="AM117" s="53" t="n"/>
      <c r="AN117" s="53" t="n"/>
      <c r="AO117" s="53" t="n"/>
      <c r="AP117" s="53" t="n"/>
      <c r="AQ117" s="53" t="n"/>
      <c r="AR117" s="53" t="n"/>
      <c r="AS117" s="53" t="n"/>
      <c r="AT117" s="53" t="n"/>
      <c r="AU117" s="53" t="n"/>
      <c r="AV117" s="53" t="n"/>
      <c r="AW117" s="53" t="n"/>
      <c r="AX117" s="53" t="n"/>
      <c r="AY117" s="53" t="n"/>
    </row>
    <row r="118" ht="15" customHeight="1">
      <c r="A118" s="40">
        <f>IF($D$118="","",37)</f>
        <v/>
      </c>
      <c r="B118" s="10" t="n"/>
      <c r="C118" s="41" t="inlineStr">
        <is>
          <t>마케팅2팀</t>
        </is>
      </c>
      <c r="D118" s="42" t="n"/>
      <c r="E118" s="43" t="inlineStr">
        <is>
          <t>기획</t>
        </is>
      </c>
      <c r="F118" s="44" t="n"/>
      <c r="G118" s="45" t="n"/>
      <c r="H118" s="46">
        <f>IF($I$118="","",IF($I$118&lt;0,"🔴지연",IF($I$118&lt;=1,"🟡임박","🟢여유")))</f>
        <v/>
      </c>
      <c r="I118" s="47">
        <f>IF(OR($G$118="",$K$118=""),"",$G$118-$K$118)</f>
        <v/>
      </c>
      <c r="J118" s="48">
        <f>IF(SUM($L$118:$L$120)=0,"",SUM($L$118:$L$120))</f>
        <v/>
      </c>
      <c r="K118" s="49">
        <f>IF($J$118="","",MAX($N$118:$N$120))</f>
        <v/>
      </c>
      <c r="L118" s="50">
        <f>IF(SUM(U118:AY118)=0,"",SUM(U118:AY118))</f>
        <v/>
      </c>
      <c r="M118" s="51">
        <f>IFERROR(INDEX(U$2:AY$2,MATCH(TRUE,INDEX(U118:AY118&lt;&gt;"",0),0)),"")</f>
        <v/>
      </c>
      <c r="N118" s="51">
        <f>IFERROR(LOOKUP(2,1/(U118:AY118&lt;&gt;""),U$2:AY$2),"")</f>
        <v/>
      </c>
      <c r="O118" s="52" t="n"/>
      <c r="P118" s="52" t="n"/>
      <c r="Q118" s="52" t="n"/>
      <c r="R118" s="44" t="n"/>
      <c r="S118" s="14" t="n"/>
      <c r="U118" s="53" t="n"/>
      <c r="V118" s="53" t="n"/>
      <c r="W118" s="53" t="n"/>
      <c r="X118" s="53" t="n"/>
      <c r="Y118" s="53" t="n"/>
      <c r="Z118" s="53" t="n"/>
      <c r="AA118" s="53" t="n"/>
      <c r="AB118" s="53" t="n"/>
      <c r="AC118" s="53" t="n"/>
      <c r="AD118" s="53" t="n"/>
      <c r="AE118" s="53" t="n"/>
      <c r="AF118" s="53" t="n"/>
      <c r="AG118" s="53" t="n"/>
      <c r="AH118" s="53" t="n"/>
      <c r="AI118" s="53" t="n"/>
      <c r="AJ118" s="53" t="n"/>
      <c r="AK118" s="53" t="n"/>
      <c r="AL118" s="53" t="n"/>
      <c r="AM118" s="53" t="n"/>
      <c r="AN118" s="53" t="n"/>
      <c r="AO118" s="53" t="n"/>
      <c r="AP118" s="53" t="n"/>
      <c r="AQ118" s="53" t="n"/>
      <c r="AR118" s="53" t="n"/>
      <c r="AS118" s="53" t="n"/>
      <c r="AT118" s="53" t="n"/>
      <c r="AU118" s="53" t="n"/>
      <c r="AV118" s="53" t="n"/>
      <c r="AW118" s="53" t="n"/>
      <c r="AX118" s="53" t="n"/>
      <c r="AY118" s="53" t="n"/>
    </row>
    <row r="119" ht="15" customHeight="1">
      <c r="A119" s="54" t="n"/>
      <c r="B119" s="55">
        <f>IF($B$118="","",$B$118)</f>
        <v/>
      </c>
      <c r="C119" s="56" t="inlineStr">
        <is>
          <t>마케팅2팀</t>
        </is>
      </c>
      <c r="D119" s="55">
        <f>IF($D$118="","",$D$118)</f>
        <v/>
      </c>
      <c r="E119" s="57" t="inlineStr">
        <is>
          <t>이미지</t>
        </is>
      </c>
      <c r="F119" s="44" t="n"/>
      <c r="G119" s="58">
        <f>IF($G$118="","",$G$118)</f>
        <v/>
      </c>
      <c r="H119" s="59" t="n"/>
      <c r="I119" s="59" t="n"/>
      <c r="J119" s="59" t="n"/>
      <c r="K119" s="59" t="n"/>
      <c r="L119" s="60">
        <f>IF(SUM(U119:AY119)=0,"",SUM(U119:AY119))</f>
        <v/>
      </c>
      <c r="M119" s="61">
        <f>IFERROR(INDEX(U$2:AY$2,MATCH(TRUE,INDEX(U119:AY119&lt;&gt;"",0),0)),"")</f>
        <v/>
      </c>
      <c r="N119" s="61">
        <f>IFERROR(LOOKUP(2,1/(U119:AY119&lt;&gt;""),U$2:AY$2),"")</f>
        <v/>
      </c>
      <c r="O119" s="59" t="n"/>
      <c r="P119" s="59" t="n"/>
      <c r="Q119" s="59" t="n"/>
      <c r="R119" s="59" t="n"/>
      <c r="S119" s="14" t="n"/>
      <c r="U119" s="53" t="n"/>
      <c r="V119" s="53" t="n"/>
      <c r="W119" s="53" t="n"/>
      <c r="X119" s="53" t="n"/>
      <c r="Y119" s="53" t="n"/>
      <c r="Z119" s="53" t="n"/>
      <c r="AA119" s="53" t="n"/>
      <c r="AB119" s="53" t="n"/>
      <c r="AC119" s="53" t="n"/>
      <c r="AD119" s="53" t="n"/>
      <c r="AE119" s="53" t="n"/>
      <c r="AF119" s="53" t="n"/>
      <c r="AG119" s="53" t="n"/>
      <c r="AH119" s="53" t="n"/>
      <c r="AI119" s="53" t="n"/>
      <c r="AJ119" s="53" t="n"/>
      <c r="AK119" s="53" t="n"/>
      <c r="AL119" s="53" t="n"/>
      <c r="AM119" s="53" t="n"/>
      <c r="AN119" s="53" t="n"/>
      <c r="AO119" s="53" t="n"/>
      <c r="AP119" s="53" t="n"/>
      <c r="AQ119" s="53" t="n"/>
      <c r="AR119" s="53" t="n"/>
      <c r="AS119" s="53" t="n"/>
      <c r="AT119" s="53" t="n"/>
      <c r="AU119" s="53" t="n"/>
      <c r="AV119" s="53" t="n"/>
      <c r="AW119" s="53" t="n"/>
      <c r="AX119" s="53" t="n"/>
      <c r="AY119" s="53" t="n"/>
    </row>
    <row r="120" ht="15" customHeight="1">
      <c r="A120" s="62" t="n"/>
      <c r="B120" s="55">
        <f>IF($B$118="","",$B$118)</f>
        <v/>
      </c>
      <c r="C120" s="63" t="inlineStr">
        <is>
          <t>마케팅2팀</t>
        </is>
      </c>
      <c r="D120" s="55">
        <f>IF($D$118="","",$D$118)</f>
        <v/>
      </c>
      <c r="E120" s="64" t="inlineStr">
        <is>
          <t>영상</t>
        </is>
      </c>
      <c r="F120" s="44" t="n"/>
      <c r="G120" s="58">
        <f>IF($G$118="","",$G$118)</f>
        <v/>
      </c>
      <c r="H120" s="59" t="n"/>
      <c r="I120" s="59" t="n"/>
      <c r="J120" s="59" t="n"/>
      <c r="K120" s="59" t="n"/>
      <c r="L120" s="65">
        <f>IF(SUM(U120:AY120)=0,"",SUM(U120:AY120))</f>
        <v/>
      </c>
      <c r="M120" s="66">
        <f>IFERROR(INDEX(U$2:AY$2,MATCH(TRUE,INDEX(U120:AY120&lt;&gt;"",0),0)),"")</f>
        <v/>
      </c>
      <c r="N120" s="66">
        <f>IFERROR(LOOKUP(2,1/(U120:AY120&lt;&gt;""),U$2:AY$2),"")</f>
        <v/>
      </c>
      <c r="O120" s="59" t="n"/>
      <c r="P120" s="59" t="n"/>
      <c r="Q120" s="59" t="n"/>
      <c r="R120" s="59" t="n"/>
      <c r="S120" s="14" t="n"/>
      <c r="U120" s="53" t="n"/>
      <c r="V120" s="53" t="n"/>
      <c r="W120" s="53" t="n"/>
      <c r="X120" s="53" t="n"/>
      <c r="Y120" s="53" t="n"/>
      <c r="Z120" s="53" t="n"/>
      <c r="AA120" s="53" t="n"/>
      <c r="AB120" s="53" t="n"/>
      <c r="AC120" s="53" t="n"/>
      <c r="AD120" s="53" t="n"/>
      <c r="AE120" s="53" t="n"/>
      <c r="AF120" s="53" t="n"/>
      <c r="AG120" s="53" t="n"/>
      <c r="AH120" s="53" t="n"/>
      <c r="AI120" s="53" t="n"/>
      <c r="AJ120" s="53" t="n"/>
      <c r="AK120" s="53" t="n"/>
      <c r="AL120" s="53" t="n"/>
      <c r="AM120" s="53" t="n"/>
      <c r="AN120" s="53" t="n"/>
      <c r="AO120" s="53" t="n"/>
      <c r="AP120" s="53" t="n"/>
      <c r="AQ120" s="53" t="n"/>
      <c r="AR120" s="53" t="n"/>
      <c r="AS120" s="53" t="n"/>
      <c r="AT120" s="53" t="n"/>
      <c r="AU120" s="53" t="n"/>
      <c r="AV120" s="53" t="n"/>
      <c r="AW120" s="53" t="n"/>
      <c r="AX120" s="53" t="n"/>
      <c r="AY120" s="53" t="n"/>
    </row>
    <row r="121" ht="15" customHeight="1">
      <c r="A121" s="40">
        <f>IF($D$121="","",38)</f>
        <v/>
      </c>
      <c r="B121" s="10" t="n"/>
      <c r="C121" s="41" t="inlineStr">
        <is>
          <t>마케팅2팀</t>
        </is>
      </c>
      <c r="D121" s="42" t="n"/>
      <c r="E121" s="43" t="inlineStr">
        <is>
          <t>기획</t>
        </is>
      </c>
      <c r="F121" s="44" t="n"/>
      <c r="G121" s="45" t="n"/>
      <c r="H121" s="46">
        <f>IF($I$121="","",IF($I$121&lt;0,"🔴지연",IF($I$121&lt;=1,"🟡임박","🟢여유")))</f>
        <v/>
      </c>
      <c r="I121" s="47">
        <f>IF(OR($G$121="",$K$121=""),"",$G$121-$K$121)</f>
        <v/>
      </c>
      <c r="J121" s="48">
        <f>IF(SUM($L$121:$L$123)=0,"",SUM($L$121:$L$123))</f>
        <v/>
      </c>
      <c r="K121" s="49">
        <f>IF($J$121="","",MAX($N$121:$N$123))</f>
        <v/>
      </c>
      <c r="L121" s="50">
        <f>IF(SUM(U121:AY121)=0,"",SUM(U121:AY121))</f>
        <v/>
      </c>
      <c r="M121" s="51">
        <f>IFERROR(INDEX(U$2:AY$2,MATCH(TRUE,INDEX(U121:AY121&lt;&gt;"",0),0)),"")</f>
        <v/>
      </c>
      <c r="N121" s="51">
        <f>IFERROR(LOOKUP(2,1/(U121:AY121&lt;&gt;""),U$2:AY$2),"")</f>
        <v/>
      </c>
      <c r="O121" s="52" t="n"/>
      <c r="P121" s="52" t="n"/>
      <c r="Q121" s="52" t="n"/>
      <c r="R121" s="44" t="n"/>
      <c r="S121" s="14" t="n"/>
      <c r="U121" s="53" t="n"/>
      <c r="V121" s="53" t="n"/>
      <c r="W121" s="53" t="n"/>
      <c r="X121" s="53" t="n"/>
      <c r="Y121" s="53" t="n"/>
      <c r="Z121" s="53" t="n"/>
      <c r="AA121" s="53" t="n"/>
      <c r="AB121" s="53" t="n"/>
      <c r="AC121" s="53" t="n"/>
      <c r="AD121" s="53" t="n"/>
      <c r="AE121" s="53" t="n"/>
      <c r="AF121" s="53" t="n"/>
      <c r="AG121" s="53" t="n"/>
      <c r="AH121" s="53" t="n"/>
      <c r="AI121" s="53" t="n"/>
      <c r="AJ121" s="53" t="n"/>
      <c r="AK121" s="53" t="n"/>
      <c r="AL121" s="53" t="n"/>
      <c r="AM121" s="53" t="n"/>
      <c r="AN121" s="53" t="n"/>
      <c r="AO121" s="53" t="n"/>
      <c r="AP121" s="53" t="n"/>
      <c r="AQ121" s="53" t="n"/>
      <c r="AR121" s="53" t="n"/>
      <c r="AS121" s="53" t="n"/>
      <c r="AT121" s="53" t="n"/>
      <c r="AU121" s="53" t="n"/>
      <c r="AV121" s="53" t="n"/>
      <c r="AW121" s="53" t="n"/>
      <c r="AX121" s="53" t="n"/>
      <c r="AY121" s="53" t="n"/>
    </row>
    <row r="122" ht="15" customHeight="1">
      <c r="A122" s="54" t="n"/>
      <c r="B122" s="55">
        <f>IF($B$121="","",$B$121)</f>
        <v/>
      </c>
      <c r="C122" s="56" t="inlineStr">
        <is>
          <t>마케팅2팀</t>
        </is>
      </c>
      <c r="D122" s="55">
        <f>IF($D$121="","",$D$121)</f>
        <v/>
      </c>
      <c r="E122" s="57" t="inlineStr">
        <is>
          <t>이미지</t>
        </is>
      </c>
      <c r="F122" s="44" t="n"/>
      <c r="G122" s="58">
        <f>IF($G$121="","",$G$121)</f>
        <v/>
      </c>
      <c r="H122" s="59" t="n"/>
      <c r="I122" s="59" t="n"/>
      <c r="J122" s="59" t="n"/>
      <c r="K122" s="59" t="n"/>
      <c r="L122" s="60">
        <f>IF(SUM(U122:AY122)=0,"",SUM(U122:AY122))</f>
        <v/>
      </c>
      <c r="M122" s="61">
        <f>IFERROR(INDEX(U$2:AY$2,MATCH(TRUE,INDEX(U122:AY122&lt;&gt;"",0),0)),"")</f>
        <v/>
      </c>
      <c r="N122" s="61">
        <f>IFERROR(LOOKUP(2,1/(U122:AY122&lt;&gt;""),U$2:AY$2),"")</f>
        <v/>
      </c>
      <c r="O122" s="59" t="n"/>
      <c r="P122" s="59" t="n"/>
      <c r="Q122" s="59" t="n"/>
      <c r="R122" s="59" t="n"/>
      <c r="S122" s="14" t="n"/>
      <c r="U122" s="53" t="n"/>
      <c r="V122" s="53" t="n"/>
      <c r="W122" s="53" t="n"/>
      <c r="X122" s="53" t="n"/>
      <c r="Y122" s="53" t="n"/>
      <c r="Z122" s="53" t="n"/>
      <c r="AA122" s="53" t="n"/>
      <c r="AB122" s="53" t="n"/>
      <c r="AC122" s="53" t="n"/>
      <c r="AD122" s="53" t="n"/>
      <c r="AE122" s="53" t="n"/>
      <c r="AF122" s="53" t="n"/>
      <c r="AG122" s="53" t="n"/>
      <c r="AH122" s="53" t="n"/>
      <c r="AI122" s="53" t="n"/>
      <c r="AJ122" s="53" t="n"/>
      <c r="AK122" s="53" t="n"/>
      <c r="AL122" s="53" t="n"/>
      <c r="AM122" s="53" t="n"/>
      <c r="AN122" s="53" t="n"/>
      <c r="AO122" s="53" t="n"/>
      <c r="AP122" s="53" t="n"/>
      <c r="AQ122" s="53" t="n"/>
      <c r="AR122" s="53" t="n"/>
      <c r="AS122" s="53" t="n"/>
      <c r="AT122" s="53" t="n"/>
      <c r="AU122" s="53" t="n"/>
      <c r="AV122" s="53" t="n"/>
      <c r="AW122" s="53" t="n"/>
      <c r="AX122" s="53" t="n"/>
      <c r="AY122" s="53" t="n"/>
    </row>
    <row r="123" ht="15" customHeight="1">
      <c r="A123" s="62" t="n"/>
      <c r="B123" s="55">
        <f>IF($B$121="","",$B$121)</f>
        <v/>
      </c>
      <c r="C123" s="63" t="inlineStr">
        <is>
          <t>마케팅2팀</t>
        </is>
      </c>
      <c r="D123" s="55">
        <f>IF($D$121="","",$D$121)</f>
        <v/>
      </c>
      <c r="E123" s="64" t="inlineStr">
        <is>
          <t>영상</t>
        </is>
      </c>
      <c r="F123" s="44" t="n"/>
      <c r="G123" s="58">
        <f>IF($G$121="","",$G$121)</f>
        <v/>
      </c>
      <c r="H123" s="59" t="n"/>
      <c r="I123" s="59" t="n"/>
      <c r="J123" s="59" t="n"/>
      <c r="K123" s="59" t="n"/>
      <c r="L123" s="65">
        <f>IF(SUM(U123:AY123)=0,"",SUM(U123:AY123))</f>
        <v/>
      </c>
      <c r="M123" s="66">
        <f>IFERROR(INDEX(U$2:AY$2,MATCH(TRUE,INDEX(U123:AY123&lt;&gt;"",0),0)),"")</f>
        <v/>
      </c>
      <c r="N123" s="66">
        <f>IFERROR(LOOKUP(2,1/(U123:AY123&lt;&gt;""),U$2:AY$2),"")</f>
        <v/>
      </c>
      <c r="O123" s="59" t="n"/>
      <c r="P123" s="59" t="n"/>
      <c r="Q123" s="59" t="n"/>
      <c r="R123" s="59" t="n"/>
      <c r="S123" s="14" t="n"/>
      <c r="U123" s="53" t="n"/>
      <c r="V123" s="53" t="n"/>
      <c r="W123" s="53" t="n"/>
      <c r="X123" s="53" t="n"/>
      <c r="Y123" s="53" t="n"/>
      <c r="Z123" s="53" t="n"/>
      <c r="AA123" s="53" t="n"/>
      <c r="AB123" s="53" t="n"/>
      <c r="AC123" s="53" t="n"/>
      <c r="AD123" s="53" t="n"/>
      <c r="AE123" s="53" t="n"/>
      <c r="AF123" s="53" t="n"/>
      <c r="AG123" s="53" t="n"/>
      <c r="AH123" s="53" t="n"/>
      <c r="AI123" s="53" t="n"/>
      <c r="AJ123" s="53" t="n"/>
      <c r="AK123" s="53" t="n"/>
      <c r="AL123" s="53" t="n"/>
      <c r="AM123" s="53" t="n"/>
      <c r="AN123" s="53" t="n"/>
      <c r="AO123" s="53" t="n"/>
      <c r="AP123" s="53" t="n"/>
      <c r="AQ123" s="53" t="n"/>
      <c r="AR123" s="53" t="n"/>
      <c r="AS123" s="53" t="n"/>
      <c r="AT123" s="53" t="n"/>
      <c r="AU123" s="53" t="n"/>
      <c r="AV123" s="53" t="n"/>
      <c r="AW123" s="53" t="n"/>
      <c r="AX123" s="53" t="n"/>
      <c r="AY123" s="53" t="n"/>
    </row>
    <row r="124" ht="15" customHeight="1">
      <c r="A124" s="40">
        <f>IF($D$124="","",39)</f>
        <v/>
      </c>
      <c r="B124" s="10" t="n"/>
      <c r="C124" s="41" t="inlineStr">
        <is>
          <t>마케팅2팀</t>
        </is>
      </c>
      <c r="D124" s="42" t="n"/>
      <c r="E124" s="43" t="inlineStr">
        <is>
          <t>기획</t>
        </is>
      </c>
      <c r="F124" s="44" t="n"/>
      <c r="G124" s="45" t="n"/>
      <c r="H124" s="46">
        <f>IF($I$124="","",IF($I$124&lt;0,"🔴지연",IF($I$124&lt;=1,"🟡임박","🟢여유")))</f>
        <v/>
      </c>
      <c r="I124" s="47">
        <f>IF(OR($G$124="",$K$124=""),"",$G$124-$K$124)</f>
        <v/>
      </c>
      <c r="J124" s="48">
        <f>IF(SUM($L$124:$L$126)=0,"",SUM($L$124:$L$126))</f>
        <v/>
      </c>
      <c r="K124" s="49">
        <f>IF($J$124="","",MAX($N$124:$N$126))</f>
        <v/>
      </c>
      <c r="L124" s="50">
        <f>IF(SUM(U124:AY124)=0,"",SUM(U124:AY124))</f>
        <v/>
      </c>
      <c r="M124" s="51">
        <f>IFERROR(INDEX(U$2:AY$2,MATCH(TRUE,INDEX(U124:AY124&lt;&gt;"",0),0)),"")</f>
        <v/>
      </c>
      <c r="N124" s="51">
        <f>IFERROR(LOOKUP(2,1/(U124:AY124&lt;&gt;""),U$2:AY$2),"")</f>
        <v/>
      </c>
      <c r="O124" s="52" t="n"/>
      <c r="P124" s="52" t="n"/>
      <c r="Q124" s="52" t="n"/>
      <c r="R124" s="44" t="n"/>
      <c r="S124" s="14" t="n"/>
      <c r="U124" s="53" t="n"/>
      <c r="V124" s="53" t="n"/>
      <c r="W124" s="53" t="n"/>
      <c r="X124" s="53" t="n"/>
      <c r="Y124" s="53" t="n"/>
      <c r="Z124" s="53" t="n"/>
      <c r="AA124" s="53" t="n"/>
      <c r="AB124" s="53" t="n"/>
      <c r="AC124" s="53" t="n"/>
      <c r="AD124" s="53" t="n"/>
      <c r="AE124" s="53" t="n"/>
      <c r="AF124" s="53" t="n"/>
      <c r="AG124" s="53" t="n"/>
      <c r="AH124" s="53" t="n"/>
      <c r="AI124" s="53" t="n"/>
      <c r="AJ124" s="53" t="n"/>
      <c r="AK124" s="53" t="n"/>
      <c r="AL124" s="53" t="n"/>
      <c r="AM124" s="53" t="n"/>
      <c r="AN124" s="53" t="n"/>
      <c r="AO124" s="53" t="n"/>
      <c r="AP124" s="53" t="n"/>
      <c r="AQ124" s="53" t="n"/>
      <c r="AR124" s="53" t="n"/>
      <c r="AS124" s="53" t="n"/>
      <c r="AT124" s="53" t="n"/>
      <c r="AU124" s="53" t="n"/>
      <c r="AV124" s="53" t="n"/>
      <c r="AW124" s="53" t="n"/>
      <c r="AX124" s="53" t="n"/>
      <c r="AY124" s="53" t="n"/>
    </row>
    <row r="125" ht="15" customHeight="1">
      <c r="A125" s="54" t="n"/>
      <c r="B125" s="55">
        <f>IF($B$124="","",$B$124)</f>
        <v/>
      </c>
      <c r="C125" s="56" t="inlineStr">
        <is>
          <t>마케팅2팀</t>
        </is>
      </c>
      <c r="D125" s="55">
        <f>IF($D$124="","",$D$124)</f>
        <v/>
      </c>
      <c r="E125" s="57" t="inlineStr">
        <is>
          <t>이미지</t>
        </is>
      </c>
      <c r="F125" s="44" t="n"/>
      <c r="G125" s="58">
        <f>IF($G$124="","",$G$124)</f>
        <v/>
      </c>
      <c r="H125" s="59" t="n"/>
      <c r="I125" s="59" t="n"/>
      <c r="J125" s="59" t="n"/>
      <c r="K125" s="59" t="n"/>
      <c r="L125" s="60">
        <f>IF(SUM(U125:AY125)=0,"",SUM(U125:AY125))</f>
        <v/>
      </c>
      <c r="M125" s="61">
        <f>IFERROR(INDEX(U$2:AY$2,MATCH(TRUE,INDEX(U125:AY125&lt;&gt;"",0),0)),"")</f>
        <v/>
      </c>
      <c r="N125" s="61">
        <f>IFERROR(LOOKUP(2,1/(U125:AY125&lt;&gt;""),U$2:AY$2),"")</f>
        <v/>
      </c>
      <c r="O125" s="59" t="n"/>
      <c r="P125" s="59" t="n"/>
      <c r="Q125" s="59" t="n"/>
      <c r="R125" s="59" t="n"/>
      <c r="S125" s="14" t="n"/>
      <c r="U125" s="53" t="n"/>
      <c r="V125" s="53" t="n"/>
      <c r="W125" s="53" t="n"/>
      <c r="X125" s="53" t="n"/>
      <c r="Y125" s="53" t="n"/>
      <c r="Z125" s="53" t="n"/>
      <c r="AA125" s="53" t="n"/>
      <c r="AB125" s="53" t="n"/>
      <c r="AC125" s="53" t="n"/>
      <c r="AD125" s="53" t="n"/>
      <c r="AE125" s="53" t="n"/>
      <c r="AF125" s="53" t="n"/>
      <c r="AG125" s="53" t="n"/>
      <c r="AH125" s="53" t="n"/>
      <c r="AI125" s="53" t="n"/>
      <c r="AJ125" s="53" t="n"/>
      <c r="AK125" s="53" t="n"/>
      <c r="AL125" s="53" t="n"/>
      <c r="AM125" s="53" t="n"/>
      <c r="AN125" s="53" t="n"/>
      <c r="AO125" s="53" t="n"/>
      <c r="AP125" s="53" t="n"/>
      <c r="AQ125" s="53" t="n"/>
      <c r="AR125" s="53" t="n"/>
      <c r="AS125" s="53" t="n"/>
      <c r="AT125" s="53" t="n"/>
      <c r="AU125" s="53" t="n"/>
      <c r="AV125" s="53" t="n"/>
      <c r="AW125" s="53" t="n"/>
      <c r="AX125" s="53" t="n"/>
      <c r="AY125" s="53" t="n"/>
    </row>
    <row r="126" ht="15" customHeight="1">
      <c r="A126" s="62" t="n"/>
      <c r="B126" s="55">
        <f>IF($B$124="","",$B$124)</f>
        <v/>
      </c>
      <c r="C126" s="63" t="inlineStr">
        <is>
          <t>마케팅2팀</t>
        </is>
      </c>
      <c r="D126" s="55">
        <f>IF($D$124="","",$D$124)</f>
        <v/>
      </c>
      <c r="E126" s="64" t="inlineStr">
        <is>
          <t>영상</t>
        </is>
      </c>
      <c r="F126" s="44" t="n"/>
      <c r="G126" s="58">
        <f>IF($G$124="","",$G$124)</f>
        <v/>
      </c>
      <c r="H126" s="59" t="n"/>
      <c r="I126" s="59" t="n"/>
      <c r="J126" s="59" t="n"/>
      <c r="K126" s="59" t="n"/>
      <c r="L126" s="65">
        <f>IF(SUM(U126:AY126)=0,"",SUM(U126:AY126))</f>
        <v/>
      </c>
      <c r="M126" s="66">
        <f>IFERROR(INDEX(U$2:AY$2,MATCH(TRUE,INDEX(U126:AY126&lt;&gt;"",0),0)),"")</f>
        <v/>
      </c>
      <c r="N126" s="66">
        <f>IFERROR(LOOKUP(2,1/(U126:AY126&lt;&gt;""),U$2:AY$2),"")</f>
        <v/>
      </c>
      <c r="O126" s="59" t="n"/>
      <c r="P126" s="59" t="n"/>
      <c r="Q126" s="59" t="n"/>
      <c r="R126" s="59" t="n"/>
      <c r="S126" s="14" t="n"/>
      <c r="U126" s="53" t="n"/>
      <c r="V126" s="53" t="n"/>
      <c r="W126" s="53" t="n"/>
      <c r="X126" s="53" t="n"/>
      <c r="Y126" s="53" t="n"/>
      <c r="Z126" s="53" t="n"/>
      <c r="AA126" s="53" t="n"/>
      <c r="AB126" s="53" t="n"/>
      <c r="AC126" s="53" t="n"/>
      <c r="AD126" s="53" t="n"/>
      <c r="AE126" s="53" t="n"/>
      <c r="AF126" s="53" t="n"/>
      <c r="AG126" s="53" t="n"/>
      <c r="AH126" s="53" t="n"/>
      <c r="AI126" s="53" t="n"/>
      <c r="AJ126" s="53" t="n"/>
      <c r="AK126" s="53" t="n"/>
      <c r="AL126" s="53" t="n"/>
      <c r="AM126" s="53" t="n"/>
      <c r="AN126" s="53" t="n"/>
      <c r="AO126" s="53" t="n"/>
      <c r="AP126" s="53" t="n"/>
      <c r="AQ126" s="53" t="n"/>
      <c r="AR126" s="53" t="n"/>
      <c r="AS126" s="53" t="n"/>
      <c r="AT126" s="53" t="n"/>
      <c r="AU126" s="53" t="n"/>
      <c r="AV126" s="53" t="n"/>
      <c r="AW126" s="53" t="n"/>
      <c r="AX126" s="53" t="n"/>
      <c r="AY126" s="53" t="n"/>
    </row>
    <row r="127" ht="15" customHeight="1">
      <c r="A127" s="40">
        <f>IF($D$127="","",40)</f>
        <v/>
      </c>
      <c r="B127" s="10" t="n"/>
      <c r="C127" s="41" t="inlineStr">
        <is>
          <t>마케팅2팀</t>
        </is>
      </c>
      <c r="D127" s="42" t="n"/>
      <c r="E127" s="43" t="inlineStr">
        <is>
          <t>기획</t>
        </is>
      </c>
      <c r="F127" s="44" t="n"/>
      <c r="G127" s="45" t="n"/>
      <c r="H127" s="46">
        <f>IF($I$127="","",IF($I$127&lt;0,"🔴지연",IF($I$127&lt;=1,"🟡임박","🟢여유")))</f>
        <v/>
      </c>
      <c r="I127" s="47">
        <f>IF(OR($G$127="",$K$127=""),"",$G$127-$K$127)</f>
        <v/>
      </c>
      <c r="J127" s="48">
        <f>IF(SUM($L$127:$L$129)=0,"",SUM($L$127:$L$129))</f>
        <v/>
      </c>
      <c r="K127" s="49">
        <f>IF($J$127="","",MAX($N$127:$N$129))</f>
        <v/>
      </c>
      <c r="L127" s="50">
        <f>IF(SUM(U127:AY127)=0,"",SUM(U127:AY127))</f>
        <v/>
      </c>
      <c r="M127" s="51">
        <f>IFERROR(INDEX(U$2:AY$2,MATCH(TRUE,INDEX(U127:AY127&lt;&gt;"",0),0)),"")</f>
        <v/>
      </c>
      <c r="N127" s="51">
        <f>IFERROR(LOOKUP(2,1/(U127:AY127&lt;&gt;""),U$2:AY$2),"")</f>
        <v/>
      </c>
      <c r="O127" s="52" t="n"/>
      <c r="P127" s="52" t="n"/>
      <c r="Q127" s="52" t="n"/>
      <c r="R127" s="44" t="n"/>
      <c r="S127" s="14" t="n"/>
      <c r="U127" s="53" t="n"/>
      <c r="V127" s="53" t="n"/>
      <c r="W127" s="53" t="n"/>
      <c r="X127" s="53" t="n"/>
      <c r="Y127" s="53" t="n"/>
      <c r="Z127" s="53" t="n"/>
      <c r="AA127" s="53" t="n"/>
      <c r="AB127" s="53" t="n"/>
      <c r="AC127" s="53" t="n"/>
      <c r="AD127" s="53" t="n"/>
      <c r="AE127" s="53" t="n"/>
      <c r="AF127" s="53" t="n"/>
      <c r="AG127" s="53" t="n"/>
      <c r="AH127" s="53" t="n"/>
      <c r="AI127" s="53" t="n"/>
      <c r="AJ127" s="53" t="n"/>
      <c r="AK127" s="53" t="n"/>
      <c r="AL127" s="53" t="n"/>
      <c r="AM127" s="53" t="n"/>
      <c r="AN127" s="53" t="n"/>
      <c r="AO127" s="53" t="n"/>
      <c r="AP127" s="53" t="n"/>
      <c r="AQ127" s="53" t="n"/>
      <c r="AR127" s="53" t="n"/>
      <c r="AS127" s="53" t="n"/>
      <c r="AT127" s="53" t="n"/>
      <c r="AU127" s="53" t="n"/>
      <c r="AV127" s="53" t="n"/>
      <c r="AW127" s="53" t="n"/>
      <c r="AX127" s="53" t="n"/>
      <c r="AY127" s="53" t="n"/>
    </row>
    <row r="128" ht="15" customHeight="1">
      <c r="A128" s="54" t="n"/>
      <c r="B128" s="55">
        <f>IF($B$127="","",$B$127)</f>
        <v/>
      </c>
      <c r="C128" s="56" t="inlineStr">
        <is>
          <t>마케팅2팀</t>
        </is>
      </c>
      <c r="D128" s="55">
        <f>IF($D$127="","",$D$127)</f>
        <v/>
      </c>
      <c r="E128" s="57" t="inlineStr">
        <is>
          <t>이미지</t>
        </is>
      </c>
      <c r="F128" s="44" t="n"/>
      <c r="G128" s="58">
        <f>IF($G$127="","",$G$127)</f>
        <v/>
      </c>
      <c r="H128" s="59" t="n"/>
      <c r="I128" s="59" t="n"/>
      <c r="J128" s="59" t="n"/>
      <c r="K128" s="59" t="n"/>
      <c r="L128" s="60">
        <f>IF(SUM(U128:AY128)=0,"",SUM(U128:AY128))</f>
        <v/>
      </c>
      <c r="M128" s="61">
        <f>IFERROR(INDEX(U$2:AY$2,MATCH(TRUE,INDEX(U128:AY128&lt;&gt;"",0),0)),"")</f>
        <v/>
      </c>
      <c r="N128" s="61">
        <f>IFERROR(LOOKUP(2,1/(U128:AY128&lt;&gt;""),U$2:AY$2),"")</f>
        <v/>
      </c>
      <c r="O128" s="59" t="n"/>
      <c r="P128" s="59" t="n"/>
      <c r="Q128" s="59" t="n"/>
      <c r="R128" s="59" t="n"/>
      <c r="S128" s="14" t="n"/>
      <c r="U128" s="53" t="n"/>
      <c r="V128" s="53" t="n"/>
      <c r="W128" s="53" t="n"/>
      <c r="X128" s="53" t="n"/>
      <c r="Y128" s="53" t="n"/>
      <c r="Z128" s="53" t="n"/>
      <c r="AA128" s="53" t="n"/>
      <c r="AB128" s="53" t="n"/>
      <c r="AC128" s="53" t="n"/>
      <c r="AD128" s="53" t="n"/>
      <c r="AE128" s="53" t="n"/>
      <c r="AF128" s="53" t="n"/>
      <c r="AG128" s="53" t="n"/>
      <c r="AH128" s="53" t="n"/>
      <c r="AI128" s="53" t="n"/>
      <c r="AJ128" s="53" t="n"/>
      <c r="AK128" s="53" t="n"/>
      <c r="AL128" s="53" t="n"/>
      <c r="AM128" s="53" t="n"/>
      <c r="AN128" s="53" t="n"/>
      <c r="AO128" s="53" t="n"/>
      <c r="AP128" s="53" t="n"/>
      <c r="AQ128" s="53" t="n"/>
      <c r="AR128" s="53" t="n"/>
      <c r="AS128" s="53" t="n"/>
      <c r="AT128" s="53" t="n"/>
      <c r="AU128" s="53" t="n"/>
      <c r="AV128" s="53" t="n"/>
      <c r="AW128" s="53" t="n"/>
      <c r="AX128" s="53" t="n"/>
      <c r="AY128" s="53" t="n"/>
    </row>
    <row r="129" ht="15" customHeight="1">
      <c r="A129" s="62" t="n"/>
      <c r="B129" s="55">
        <f>IF($B$127="","",$B$127)</f>
        <v/>
      </c>
      <c r="C129" s="63" t="inlineStr">
        <is>
          <t>마케팅2팀</t>
        </is>
      </c>
      <c r="D129" s="55">
        <f>IF($D$127="","",$D$127)</f>
        <v/>
      </c>
      <c r="E129" s="64" t="inlineStr">
        <is>
          <t>영상</t>
        </is>
      </c>
      <c r="F129" s="44" t="n"/>
      <c r="G129" s="58">
        <f>IF($G$127="","",$G$127)</f>
        <v/>
      </c>
      <c r="H129" s="59" t="n"/>
      <c r="I129" s="59" t="n"/>
      <c r="J129" s="59" t="n"/>
      <c r="K129" s="59" t="n"/>
      <c r="L129" s="65">
        <f>IF(SUM(U129:AY129)=0,"",SUM(U129:AY129))</f>
        <v/>
      </c>
      <c r="M129" s="66">
        <f>IFERROR(INDEX(U$2:AY$2,MATCH(TRUE,INDEX(U129:AY129&lt;&gt;"",0),0)),"")</f>
        <v/>
      </c>
      <c r="N129" s="66">
        <f>IFERROR(LOOKUP(2,1/(U129:AY129&lt;&gt;""),U$2:AY$2),"")</f>
        <v/>
      </c>
      <c r="O129" s="59" t="n"/>
      <c r="P129" s="59" t="n"/>
      <c r="Q129" s="59" t="n"/>
      <c r="R129" s="59" t="n"/>
      <c r="S129" s="14" t="n"/>
      <c r="U129" s="53" t="n"/>
      <c r="V129" s="53" t="n"/>
      <c r="W129" s="53" t="n"/>
      <c r="X129" s="53" t="n"/>
      <c r="Y129" s="53" t="n"/>
      <c r="Z129" s="53" t="n"/>
      <c r="AA129" s="53" t="n"/>
      <c r="AB129" s="53" t="n"/>
      <c r="AC129" s="53" t="n"/>
      <c r="AD129" s="53" t="n"/>
      <c r="AE129" s="53" t="n"/>
      <c r="AF129" s="53" t="n"/>
      <c r="AG129" s="53" t="n"/>
      <c r="AH129" s="53" t="n"/>
      <c r="AI129" s="53" t="n"/>
      <c r="AJ129" s="53" t="n"/>
      <c r="AK129" s="53" t="n"/>
      <c r="AL129" s="53" t="n"/>
      <c r="AM129" s="53" t="n"/>
      <c r="AN129" s="53" t="n"/>
      <c r="AO129" s="53" t="n"/>
      <c r="AP129" s="53" t="n"/>
      <c r="AQ129" s="53" t="n"/>
      <c r="AR129" s="53" t="n"/>
      <c r="AS129" s="53" t="n"/>
      <c r="AT129" s="53" t="n"/>
      <c r="AU129" s="53" t="n"/>
      <c r="AV129" s="53" t="n"/>
      <c r="AW129" s="53" t="n"/>
      <c r="AX129" s="53" t="n"/>
      <c r="AY129" s="53" t="n"/>
    </row>
    <row r="130" ht="18" customHeight="1">
      <c r="A130" s="39" t="inlineStr">
        <is>
          <t>마케팅3팀   (131~190행 · 소재 20개)</t>
        </is>
      </c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  <c r="AN130" s="8" t="n"/>
      <c r="AO130" s="8" t="n"/>
      <c r="AP130" s="8" t="n"/>
      <c r="AQ130" s="8" t="n"/>
      <c r="AR130" s="8" t="n"/>
      <c r="AS130" s="8" t="n"/>
      <c r="AT130" s="8" t="n"/>
      <c r="AU130" s="8" t="n"/>
      <c r="AV130" s="8" t="n"/>
      <c r="AW130" s="8" t="n"/>
      <c r="AX130" s="8" t="n"/>
      <c r="AY130" s="4" t="n"/>
    </row>
    <row r="131" ht="15" customHeight="1">
      <c r="A131" s="40">
        <f>IF($D$131="","",41)</f>
        <v/>
      </c>
      <c r="B131" s="10" t="n"/>
      <c r="C131" s="41" t="inlineStr">
        <is>
          <t>마케팅3팀</t>
        </is>
      </c>
      <c r="D131" s="42" t="n"/>
      <c r="E131" s="43" t="inlineStr">
        <is>
          <t>기획</t>
        </is>
      </c>
      <c r="F131" s="44" t="n"/>
      <c r="G131" s="45" t="n"/>
      <c r="H131" s="46">
        <f>IF($I$131="","",IF($I$131&lt;0,"🔴지연",IF($I$131&lt;=1,"🟡임박","🟢여유")))</f>
        <v/>
      </c>
      <c r="I131" s="47">
        <f>IF(OR($G$131="",$K$131=""),"",$G$131-$K$131)</f>
        <v/>
      </c>
      <c r="J131" s="48">
        <f>IF(SUM($L$131:$L$133)=0,"",SUM($L$131:$L$133))</f>
        <v/>
      </c>
      <c r="K131" s="49">
        <f>IF($J$131="","",MAX($N$131:$N$133))</f>
        <v/>
      </c>
      <c r="L131" s="50">
        <f>IF(SUM(U131:AY131)=0,"",SUM(U131:AY131))</f>
        <v/>
      </c>
      <c r="M131" s="51">
        <f>IFERROR(INDEX(U$2:AY$2,MATCH(TRUE,INDEX(U131:AY131&lt;&gt;"",0),0)),"")</f>
        <v/>
      </c>
      <c r="N131" s="51">
        <f>IFERROR(LOOKUP(2,1/(U131:AY131&lt;&gt;""),U$2:AY$2),"")</f>
        <v/>
      </c>
      <c r="O131" s="52" t="n"/>
      <c r="P131" s="52" t="n"/>
      <c r="Q131" s="52" t="n"/>
      <c r="R131" s="44" t="n"/>
      <c r="S131" s="14" t="n"/>
      <c r="U131" s="53" t="n"/>
      <c r="V131" s="53" t="n"/>
      <c r="W131" s="53" t="n"/>
      <c r="X131" s="53" t="n"/>
      <c r="Y131" s="53" t="n"/>
      <c r="Z131" s="53" t="n"/>
      <c r="AA131" s="53" t="n"/>
      <c r="AB131" s="53" t="n"/>
      <c r="AC131" s="53" t="n"/>
      <c r="AD131" s="53" t="n"/>
      <c r="AE131" s="53" t="n"/>
      <c r="AF131" s="53" t="n"/>
      <c r="AG131" s="53" t="n"/>
      <c r="AH131" s="53" t="n"/>
      <c r="AI131" s="53" t="n"/>
      <c r="AJ131" s="53" t="n"/>
      <c r="AK131" s="53" t="n"/>
      <c r="AL131" s="53" t="n"/>
      <c r="AM131" s="53" t="n"/>
      <c r="AN131" s="53" t="n"/>
      <c r="AO131" s="53" t="n"/>
      <c r="AP131" s="53" t="n"/>
      <c r="AQ131" s="53" t="n"/>
      <c r="AR131" s="53" t="n"/>
      <c r="AS131" s="53" t="n"/>
      <c r="AT131" s="53" t="n"/>
      <c r="AU131" s="53" t="n"/>
      <c r="AV131" s="53" t="n"/>
      <c r="AW131" s="53" t="n"/>
      <c r="AX131" s="53" t="n"/>
      <c r="AY131" s="53" t="n"/>
    </row>
    <row r="132" ht="15" customHeight="1">
      <c r="A132" s="54" t="n"/>
      <c r="B132" s="55">
        <f>IF($B$131="","",$B$131)</f>
        <v/>
      </c>
      <c r="C132" s="56" t="inlineStr">
        <is>
          <t>마케팅3팀</t>
        </is>
      </c>
      <c r="D132" s="55">
        <f>IF($D$131="","",$D$131)</f>
        <v/>
      </c>
      <c r="E132" s="57" t="inlineStr">
        <is>
          <t>이미지</t>
        </is>
      </c>
      <c r="F132" s="44" t="n"/>
      <c r="G132" s="58">
        <f>IF($G$131="","",$G$131)</f>
        <v/>
      </c>
      <c r="H132" s="59" t="n"/>
      <c r="I132" s="59" t="n"/>
      <c r="J132" s="59" t="n"/>
      <c r="K132" s="59" t="n"/>
      <c r="L132" s="60">
        <f>IF(SUM(U132:AY132)=0,"",SUM(U132:AY132))</f>
        <v/>
      </c>
      <c r="M132" s="61">
        <f>IFERROR(INDEX(U$2:AY$2,MATCH(TRUE,INDEX(U132:AY132&lt;&gt;"",0),0)),"")</f>
        <v/>
      </c>
      <c r="N132" s="61">
        <f>IFERROR(LOOKUP(2,1/(U132:AY132&lt;&gt;""),U$2:AY$2),"")</f>
        <v/>
      </c>
      <c r="O132" s="59" t="n"/>
      <c r="P132" s="59" t="n"/>
      <c r="Q132" s="59" t="n"/>
      <c r="R132" s="59" t="n"/>
      <c r="S132" s="14" t="n"/>
      <c r="U132" s="53" t="n"/>
      <c r="V132" s="53" t="n"/>
      <c r="W132" s="53" t="n"/>
      <c r="X132" s="53" t="n"/>
      <c r="Y132" s="53" t="n"/>
      <c r="Z132" s="53" t="n"/>
      <c r="AA132" s="53" t="n"/>
      <c r="AB132" s="53" t="n"/>
      <c r="AC132" s="53" t="n"/>
      <c r="AD132" s="53" t="n"/>
      <c r="AE132" s="53" t="n"/>
      <c r="AF132" s="53" t="n"/>
      <c r="AG132" s="53" t="n"/>
      <c r="AH132" s="53" t="n"/>
      <c r="AI132" s="53" t="n"/>
      <c r="AJ132" s="53" t="n"/>
      <c r="AK132" s="53" t="n"/>
      <c r="AL132" s="53" t="n"/>
      <c r="AM132" s="53" t="n"/>
      <c r="AN132" s="53" t="n"/>
      <c r="AO132" s="53" t="n"/>
      <c r="AP132" s="53" t="n"/>
      <c r="AQ132" s="53" t="n"/>
      <c r="AR132" s="53" t="n"/>
      <c r="AS132" s="53" t="n"/>
      <c r="AT132" s="53" t="n"/>
      <c r="AU132" s="53" t="n"/>
      <c r="AV132" s="53" t="n"/>
      <c r="AW132" s="53" t="n"/>
      <c r="AX132" s="53" t="n"/>
      <c r="AY132" s="53" t="n"/>
    </row>
    <row r="133" ht="15" customHeight="1">
      <c r="A133" s="62" t="n"/>
      <c r="B133" s="55">
        <f>IF($B$131="","",$B$131)</f>
        <v/>
      </c>
      <c r="C133" s="63" t="inlineStr">
        <is>
          <t>마케팅3팀</t>
        </is>
      </c>
      <c r="D133" s="55">
        <f>IF($D$131="","",$D$131)</f>
        <v/>
      </c>
      <c r="E133" s="64" t="inlineStr">
        <is>
          <t>영상</t>
        </is>
      </c>
      <c r="F133" s="44" t="n"/>
      <c r="G133" s="58">
        <f>IF($G$131="","",$G$131)</f>
        <v/>
      </c>
      <c r="H133" s="59" t="n"/>
      <c r="I133" s="59" t="n"/>
      <c r="J133" s="59" t="n"/>
      <c r="K133" s="59" t="n"/>
      <c r="L133" s="65">
        <f>IF(SUM(U133:AY133)=0,"",SUM(U133:AY133))</f>
        <v/>
      </c>
      <c r="M133" s="66">
        <f>IFERROR(INDEX(U$2:AY$2,MATCH(TRUE,INDEX(U133:AY133&lt;&gt;"",0),0)),"")</f>
        <v/>
      </c>
      <c r="N133" s="66">
        <f>IFERROR(LOOKUP(2,1/(U133:AY133&lt;&gt;""),U$2:AY$2),"")</f>
        <v/>
      </c>
      <c r="O133" s="59" t="n"/>
      <c r="P133" s="59" t="n"/>
      <c r="Q133" s="59" t="n"/>
      <c r="R133" s="59" t="n"/>
      <c r="S133" s="14" t="n"/>
      <c r="U133" s="53" t="n"/>
      <c r="V133" s="53" t="n"/>
      <c r="W133" s="53" t="n"/>
      <c r="X133" s="53" t="n"/>
      <c r="Y133" s="53" t="n"/>
      <c r="Z133" s="53" t="n"/>
      <c r="AA133" s="53" t="n"/>
      <c r="AB133" s="53" t="n"/>
      <c r="AC133" s="53" t="n"/>
      <c r="AD133" s="53" t="n"/>
      <c r="AE133" s="53" t="n"/>
      <c r="AF133" s="53" t="n"/>
      <c r="AG133" s="53" t="n"/>
      <c r="AH133" s="53" t="n"/>
      <c r="AI133" s="53" t="n"/>
      <c r="AJ133" s="53" t="n"/>
      <c r="AK133" s="53" t="n"/>
      <c r="AL133" s="53" t="n"/>
      <c r="AM133" s="53" t="n"/>
      <c r="AN133" s="53" t="n"/>
      <c r="AO133" s="53" t="n"/>
      <c r="AP133" s="53" t="n"/>
      <c r="AQ133" s="53" t="n"/>
      <c r="AR133" s="53" t="n"/>
      <c r="AS133" s="53" t="n"/>
      <c r="AT133" s="53" t="n"/>
      <c r="AU133" s="53" t="n"/>
      <c r="AV133" s="53" t="n"/>
      <c r="AW133" s="53" t="n"/>
      <c r="AX133" s="53" t="n"/>
      <c r="AY133" s="53" t="n"/>
    </row>
    <row r="134" ht="15" customHeight="1">
      <c r="A134" s="40">
        <f>IF($D$134="","",42)</f>
        <v/>
      </c>
      <c r="B134" s="10" t="n"/>
      <c r="C134" s="41" t="inlineStr">
        <is>
          <t>마케팅3팀</t>
        </is>
      </c>
      <c r="D134" s="42" t="n"/>
      <c r="E134" s="43" t="inlineStr">
        <is>
          <t>기획</t>
        </is>
      </c>
      <c r="F134" s="44" t="n"/>
      <c r="G134" s="45" t="n"/>
      <c r="H134" s="46">
        <f>IF($I$134="","",IF($I$134&lt;0,"🔴지연",IF($I$134&lt;=1,"🟡임박","🟢여유")))</f>
        <v/>
      </c>
      <c r="I134" s="47">
        <f>IF(OR($G$134="",$K$134=""),"",$G$134-$K$134)</f>
        <v/>
      </c>
      <c r="J134" s="48">
        <f>IF(SUM($L$134:$L$136)=0,"",SUM($L$134:$L$136))</f>
        <v/>
      </c>
      <c r="K134" s="49">
        <f>IF($J$134="","",MAX($N$134:$N$136))</f>
        <v/>
      </c>
      <c r="L134" s="50">
        <f>IF(SUM(U134:AY134)=0,"",SUM(U134:AY134))</f>
        <v/>
      </c>
      <c r="M134" s="51">
        <f>IFERROR(INDEX(U$2:AY$2,MATCH(TRUE,INDEX(U134:AY134&lt;&gt;"",0),0)),"")</f>
        <v/>
      </c>
      <c r="N134" s="51">
        <f>IFERROR(LOOKUP(2,1/(U134:AY134&lt;&gt;""),U$2:AY$2),"")</f>
        <v/>
      </c>
      <c r="O134" s="52" t="n"/>
      <c r="P134" s="52" t="n"/>
      <c r="Q134" s="52" t="n"/>
      <c r="R134" s="44" t="n"/>
      <c r="S134" s="14" t="n"/>
      <c r="U134" s="53" t="n"/>
      <c r="V134" s="53" t="n"/>
      <c r="W134" s="53" t="n"/>
      <c r="X134" s="53" t="n"/>
      <c r="Y134" s="53" t="n"/>
      <c r="Z134" s="53" t="n"/>
      <c r="AA134" s="53" t="n"/>
      <c r="AB134" s="53" t="n"/>
      <c r="AC134" s="53" t="n"/>
      <c r="AD134" s="53" t="n"/>
      <c r="AE134" s="53" t="n"/>
      <c r="AF134" s="53" t="n"/>
      <c r="AG134" s="53" t="n"/>
      <c r="AH134" s="53" t="n"/>
      <c r="AI134" s="53" t="n"/>
      <c r="AJ134" s="53" t="n"/>
      <c r="AK134" s="53" t="n"/>
      <c r="AL134" s="53" t="n"/>
      <c r="AM134" s="53" t="n"/>
      <c r="AN134" s="53" t="n"/>
      <c r="AO134" s="53" t="n"/>
      <c r="AP134" s="53" t="n"/>
      <c r="AQ134" s="53" t="n"/>
      <c r="AR134" s="53" t="n"/>
      <c r="AS134" s="53" t="n"/>
      <c r="AT134" s="53" t="n"/>
      <c r="AU134" s="53" t="n"/>
      <c r="AV134" s="53" t="n"/>
      <c r="AW134" s="53" t="n"/>
      <c r="AX134" s="53" t="n"/>
      <c r="AY134" s="53" t="n"/>
    </row>
    <row r="135" ht="15" customHeight="1">
      <c r="A135" s="54" t="n"/>
      <c r="B135" s="55">
        <f>IF($B$134="","",$B$134)</f>
        <v/>
      </c>
      <c r="C135" s="56" t="inlineStr">
        <is>
          <t>마케팅3팀</t>
        </is>
      </c>
      <c r="D135" s="55">
        <f>IF($D$134="","",$D$134)</f>
        <v/>
      </c>
      <c r="E135" s="57" t="inlineStr">
        <is>
          <t>이미지</t>
        </is>
      </c>
      <c r="F135" s="44" t="n"/>
      <c r="G135" s="58">
        <f>IF($G$134="","",$G$134)</f>
        <v/>
      </c>
      <c r="H135" s="59" t="n"/>
      <c r="I135" s="59" t="n"/>
      <c r="J135" s="59" t="n"/>
      <c r="K135" s="59" t="n"/>
      <c r="L135" s="60">
        <f>IF(SUM(U135:AY135)=0,"",SUM(U135:AY135))</f>
        <v/>
      </c>
      <c r="M135" s="61">
        <f>IFERROR(INDEX(U$2:AY$2,MATCH(TRUE,INDEX(U135:AY135&lt;&gt;"",0),0)),"")</f>
        <v/>
      </c>
      <c r="N135" s="61">
        <f>IFERROR(LOOKUP(2,1/(U135:AY135&lt;&gt;""),U$2:AY$2),"")</f>
        <v/>
      </c>
      <c r="O135" s="59" t="n"/>
      <c r="P135" s="59" t="n"/>
      <c r="Q135" s="59" t="n"/>
      <c r="R135" s="59" t="n"/>
      <c r="S135" s="14" t="n"/>
      <c r="U135" s="53" t="n"/>
      <c r="V135" s="53" t="n"/>
      <c r="W135" s="53" t="n"/>
      <c r="X135" s="53" t="n"/>
      <c r="Y135" s="53" t="n"/>
      <c r="Z135" s="53" t="n"/>
      <c r="AA135" s="53" t="n"/>
      <c r="AB135" s="53" t="n"/>
      <c r="AC135" s="53" t="n"/>
      <c r="AD135" s="53" t="n"/>
      <c r="AE135" s="53" t="n"/>
      <c r="AF135" s="53" t="n"/>
      <c r="AG135" s="53" t="n"/>
      <c r="AH135" s="53" t="n"/>
      <c r="AI135" s="53" t="n"/>
      <c r="AJ135" s="53" t="n"/>
      <c r="AK135" s="53" t="n"/>
      <c r="AL135" s="53" t="n"/>
      <c r="AM135" s="53" t="n"/>
      <c r="AN135" s="53" t="n"/>
      <c r="AO135" s="53" t="n"/>
      <c r="AP135" s="53" t="n"/>
      <c r="AQ135" s="53" t="n"/>
      <c r="AR135" s="53" t="n"/>
      <c r="AS135" s="53" t="n"/>
      <c r="AT135" s="53" t="n"/>
      <c r="AU135" s="53" t="n"/>
      <c r="AV135" s="53" t="n"/>
      <c r="AW135" s="53" t="n"/>
      <c r="AX135" s="53" t="n"/>
      <c r="AY135" s="53" t="n"/>
    </row>
    <row r="136" ht="15" customHeight="1">
      <c r="A136" s="62" t="n"/>
      <c r="B136" s="55">
        <f>IF($B$134="","",$B$134)</f>
        <v/>
      </c>
      <c r="C136" s="63" t="inlineStr">
        <is>
          <t>마케팅3팀</t>
        </is>
      </c>
      <c r="D136" s="55">
        <f>IF($D$134="","",$D$134)</f>
        <v/>
      </c>
      <c r="E136" s="64" t="inlineStr">
        <is>
          <t>영상</t>
        </is>
      </c>
      <c r="F136" s="44" t="n"/>
      <c r="G136" s="58">
        <f>IF($G$134="","",$G$134)</f>
        <v/>
      </c>
      <c r="H136" s="59" t="n"/>
      <c r="I136" s="59" t="n"/>
      <c r="J136" s="59" t="n"/>
      <c r="K136" s="59" t="n"/>
      <c r="L136" s="65">
        <f>IF(SUM(U136:AY136)=0,"",SUM(U136:AY136))</f>
        <v/>
      </c>
      <c r="M136" s="66">
        <f>IFERROR(INDEX(U$2:AY$2,MATCH(TRUE,INDEX(U136:AY136&lt;&gt;"",0),0)),"")</f>
        <v/>
      </c>
      <c r="N136" s="66">
        <f>IFERROR(LOOKUP(2,1/(U136:AY136&lt;&gt;""),U$2:AY$2),"")</f>
        <v/>
      </c>
      <c r="O136" s="59" t="n"/>
      <c r="P136" s="59" t="n"/>
      <c r="Q136" s="59" t="n"/>
      <c r="R136" s="59" t="n"/>
      <c r="S136" s="14" t="n"/>
      <c r="U136" s="53" t="n"/>
      <c r="V136" s="53" t="n"/>
      <c r="W136" s="53" t="n"/>
      <c r="X136" s="53" t="n"/>
      <c r="Y136" s="53" t="n"/>
      <c r="Z136" s="53" t="n"/>
      <c r="AA136" s="53" t="n"/>
      <c r="AB136" s="53" t="n"/>
      <c r="AC136" s="53" t="n"/>
      <c r="AD136" s="53" t="n"/>
      <c r="AE136" s="53" t="n"/>
      <c r="AF136" s="53" t="n"/>
      <c r="AG136" s="53" t="n"/>
      <c r="AH136" s="53" t="n"/>
      <c r="AI136" s="53" t="n"/>
      <c r="AJ136" s="53" t="n"/>
      <c r="AK136" s="53" t="n"/>
      <c r="AL136" s="53" t="n"/>
      <c r="AM136" s="53" t="n"/>
      <c r="AN136" s="53" t="n"/>
      <c r="AO136" s="53" t="n"/>
      <c r="AP136" s="53" t="n"/>
      <c r="AQ136" s="53" t="n"/>
      <c r="AR136" s="53" t="n"/>
      <c r="AS136" s="53" t="n"/>
      <c r="AT136" s="53" t="n"/>
      <c r="AU136" s="53" t="n"/>
      <c r="AV136" s="53" t="n"/>
      <c r="AW136" s="53" t="n"/>
      <c r="AX136" s="53" t="n"/>
      <c r="AY136" s="53" t="n"/>
    </row>
    <row r="137" ht="15" customHeight="1">
      <c r="A137" s="40">
        <f>IF($D$137="","",43)</f>
        <v/>
      </c>
      <c r="B137" s="10" t="n"/>
      <c r="C137" s="41" t="inlineStr">
        <is>
          <t>마케팅3팀</t>
        </is>
      </c>
      <c r="D137" s="42" t="n"/>
      <c r="E137" s="43" t="inlineStr">
        <is>
          <t>기획</t>
        </is>
      </c>
      <c r="F137" s="44" t="n"/>
      <c r="G137" s="45" t="n"/>
      <c r="H137" s="46">
        <f>IF($I$137="","",IF($I$137&lt;0,"🔴지연",IF($I$137&lt;=1,"🟡임박","🟢여유")))</f>
        <v/>
      </c>
      <c r="I137" s="47">
        <f>IF(OR($G$137="",$K$137=""),"",$G$137-$K$137)</f>
        <v/>
      </c>
      <c r="J137" s="48">
        <f>IF(SUM($L$137:$L$139)=0,"",SUM($L$137:$L$139))</f>
        <v/>
      </c>
      <c r="K137" s="49">
        <f>IF($J$137="","",MAX($N$137:$N$139))</f>
        <v/>
      </c>
      <c r="L137" s="50">
        <f>IF(SUM(U137:AY137)=0,"",SUM(U137:AY137))</f>
        <v/>
      </c>
      <c r="M137" s="51">
        <f>IFERROR(INDEX(U$2:AY$2,MATCH(TRUE,INDEX(U137:AY137&lt;&gt;"",0),0)),"")</f>
        <v/>
      </c>
      <c r="N137" s="51">
        <f>IFERROR(LOOKUP(2,1/(U137:AY137&lt;&gt;""),U$2:AY$2),"")</f>
        <v/>
      </c>
      <c r="O137" s="52" t="n"/>
      <c r="P137" s="52" t="n"/>
      <c r="Q137" s="52" t="n"/>
      <c r="R137" s="44" t="n"/>
      <c r="S137" s="14" t="n"/>
      <c r="U137" s="53" t="n"/>
      <c r="V137" s="53" t="n"/>
      <c r="W137" s="53" t="n"/>
      <c r="X137" s="53" t="n"/>
      <c r="Y137" s="53" t="n"/>
      <c r="Z137" s="53" t="n"/>
      <c r="AA137" s="53" t="n"/>
      <c r="AB137" s="53" t="n"/>
      <c r="AC137" s="53" t="n"/>
      <c r="AD137" s="53" t="n"/>
      <c r="AE137" s="53" t="n"/>
      <c r="AF137" s="53" t="n"/>
      <c r="AG137" s="53" t="n"/>
      <c r="AH137" s="53" t="n"/>
      <c r="AI137" s="53" t="n"/>
      <c r="AJ137" s="53" t="n"/>
      <c r="AK137" s="53" t="n"/>
      <c r="AL137" s="53" t="n"/>
      <c r="AM137" s="53" t="n"/>
      <c r="AN137" s="53" t="n"/>
      <c r="AO137" s="53" t="n"/>
      <c r="AP137" s="53" t="n"/>
      <c r="AQ137" s="53" t="n"/>
      <c r="AR137" s="53" t="n"/>
      <c r="AS137" s="53" t="n"/>
      <c r="AT137" s="53" t="n"/>
      <c r="AU137" s="53" t="n"/>
      <c r="AV137" s="53" t="n"/>
      <c r="AW137" s="53" t="n"/>
      <c r="AX137" s="53" t="n"/>
      <c r="AY137" s="53" t="n"/>
    </row>
    <row r="138" ht="15" customHeight="1">
      <c r="A138" s="54" t="n"/>
      <c r="B138" s="55">
        <f>IF($B$137="","",$B$137)</f>
        <v/>
      </c>
      <c r="C138" s="56" t="inlineStr">
        <is>
          <t>마케팅3팀</t>
        </is>
      </c>
      <c r="D138" s="55">
        <f>IF($D$137="","",$D$137)</f>
        <v/>
      </c>
      <c r="E138" s="57" t="inlineStr">
        <is>
          <t>이미지</t>
        </is>
      </c>
      <c r="F138" s="44" t="n"/>
      <c r="G138" s="58">
        <f>IF($G$137="","",$G$137)</f>
        <v/>
      </c>
      <c r="H138" s="59" t="n"/>
      <c r="I138" s="59" t="n"/>
      <c r="J138" s="59" t="n"/>
      <c r="K138" s="59" t="n"/>
      <c r="L138" s="60">
        <f>IF(SUM(U138:AY138)=0,"",SUM(U138:AY138))</f>
        <v/>
      </c>
      <c r="M138" s="61">
        <f>IFERROR(INDEX(U$2:AY$2,MATCH(TRUE,INDEX(U138:AY138&lt;&gt;"",0),0)),"")</f>
        <v/>
      </c>
      <c r="N138" s="61">
        <f>IFERROR(LOOKUP(2,1/(U138:AY138&lt;&gt;""),U$2:AY$2),"")</f>
        <v/>
      </c>
      <c r="O138" s="59" t="n"/>
      <c r="P138" s="59" t="n"/>
      <c r="Q138" s="59" t="n"/>
      <c r="R138" s="59" t="n"/>
      <c r="S138" s="14" t="n"/>
      <c r="U138" s="53" t="n"/>
      <c r="V138" s="53" t="n"/>
      <c r="W138" s="53" t="n"/>
      <c r="X138" s="53" t="n"/>
      <c r="Y138" s="53" t="n"/>
      <c r="Z138" s="53" t="n"/>
      <c r="AA138" s="53" t="n"/>
      <c r="AB138" s="53" t="n"/>
      <c r="AC138" s="53" t="n"/>
      <c r="AD138" s="53" t="n"/>
      <c r="AE138" s="53" t="n"/>
      <c r="AF138" s="53" t="n"/>
      <c r="AG138" s="53" t="n"/>
      <c r="AH138" s="53" t="n"/>
      <c r="AI138" s="53" t="n"/>
      <c r="AJ138" s="53" t="n"/>
      <c r="AK138" s="53" t="n"/>
      <c r="AL138" s="53" t="n"/>
      <c r="AM138" s="53" t="n"/>
      <c r="AN138" s="53" t="n"/>
      <c r="AO138" s="53" t="n"/>
      <c r="AP138" s="53" t="n"/>
      <c r="AQ138" s="53" t="n"/>
      <c r="AR138" s="53" t="n"/>
      <c r="AS138" s="53" t="n"/>
      <c r="AT138" s="53" t="n"/>
      <c r="AU138" s="53" t="n"/>
      <c r="AV138" s="53" t="n"/>
      <c r="AW138" s="53" t="n"/>
      <c r="AX138" s="53" t="n"/>
      <c r="AY138" s="53" t="n"/>
    </row>
    <row r="139" ht="15" customHeight="1">
      <c r="A139" s="62" t="n"/>
      <c r="B139" s="55">
        <f>IF($B$137="","",$B$137)</f>
        <v/>
      </c>
      <c r="C139" s="63" t="inlineStr">
        <is>
          <t>마케팅3팀</t>
        </is>
      </c>
      <c r="D139" s="55">
        <f>IF($D$137="","",$D$137)</f>
        <v/>
      </c>
      <c r="E139" s="64" t="inlineStr">
        <is>
          <t>영상</t>
        </is>
      </c>
      <c r="F139" s="44" t="n"/>
      <c r="G139" s="58">
        <f>IF($G$137="","",$G$137)</f>
        <v/>
      </c>
      <c r="H139" s="59" t="n"/>
      <c r="I139" s="59" t="n"/>
      <c r="J139" s="59" t="n"/>
      <c r="K139" s="59" t="n"/>
      <c r="L139" s="65">
        <f>IF(SUM(U139:AY139)=0,"",SUM(U139:AY139))</f>
        <v/>
      </c>
      <c r="M139" s="66">
        <f>IFERROR(INDEX(U$2:AY$2,MATCH(TRUE,INDEX(U139:AY139&lt;&gt;"",0),0)),"")</f>
        <v/>
      </c>
      <c r="N139" s="66">
        <f>IFERROR(LOOKUP(2,1/(U139:AY139&lt;&gt;""),U$2:AY$2),"")</f>
        <v/>
      </c>
      <c r="O139" s="59" t="n"/>
      <c r="P139" s="59" t="n"/>
      <c r="Q139" s="59" t="n"/>
      <c r="R139" s="59" t="n"/>
      <c r="S139" s="14" t="n"/>
      <c r="U139" s="53" t="n"/>
      <c r="V139" s="53" t="n"/>
      <c r="W139" s="53" t="n"/>
      <c r="X139" s="53" t="n"/>
      <c r="Y139" s="53" t="n"/>
      <c r="Z139" s="53" t="n"/>
      <c r="AA139" s="53" t="n"/>
      <c r="AB139" s="53" t="n"/>
      <c r="AC139" s="53" t="n"/>
      <c r="AD139" s="53" t="n"/>
      <c r="AE139" s="53" t="n"/>
      <c r="AF139" s="53" t="n"/>
      <c r="AG139" s="53" t="n"/>
      <c r="AH139" s="53" t="n"/>
      <c r="AI139" s="53" t="n"/>
      <c r="AJ139" s="53" t="n"/>
      <c r="AK139" s="53" t="n"/>
      <c r="AL139" s="53" t="n"/>
      <c r="AM139" s="53" t="n"/>
      <c r="AN139" s="53" t="n"/>
      <c r="AO139" s="53" t="n"/>
      <c r="AP139" s="53" t="n"/>
      <c r="AQ139" s="53" t="n"/>
      <c r="AR139" s="53" t="n"/>
      <c r="AS139" s="53" t="n"/>
      <c r="AT139" s="53" t="n"/>
      <c r="AU139" s="53" t="n"/>
      <c r="AV139" s="53" t="n"/>
      <c r="AW139" s="53" t="n"/>
      <c r="AX139" s="53" t="n"/>
      <c r="AY139" s="53" t="n"/>
    </row>
    <row r="140" ht="15" customHeight="1">
      <c r="A140" s="40">
        <f>IF($D$140="","",44)</f>
        <v/>
      </c>
      <c r="B140" s="10" t="n"/>
      <c r="C140" s="41" t="inlineStr">
        <is>
          <t>마케팅3팀</t>
        </is>
      </c>
      <c r="D140" s="42" t="n"/>
      <c r="E140" s="43" t="inlineStr">
        <is>
          <t>기획</t>
        </is>
      </c>
      <c r="F140" s="44" t="n"/>
      <c r="G140" s="45" t="n"/>
      <c r="H140" s="46">
        <f>IF($I$140="","",IF($I$140&lt;0,"🔴지연",IF($I$140&lt;=1,"🟡임박","🟢여유")))</f>
        <v/>
      </c>
      <c r="I140" s="47">
        <f>IF(OR($G$140="",$K$140=""),"",$G$140-$K$140)</f>
        <v/>
      </c>
      <c r="J140" s="48">
        <f>IF(SUM($L$140:$L$142)=0,"",SUM($L$140:$L$142))</f>
        <v/>
      </c>
      <c r="K140" s="49">
        <f>IF($J$140="","",MAX($N$140:$N$142))</f>
        <v/>
      </c>
      <c r="L140" s="50">
        <f>IF(SUM(U140:AY140)=0,"",SUM(U140:AY140))</f>
        <v/>
      </c>
      <c r="M140" s="51">
        <f>IFERROR(INDEX(U$2:AY$2,MATCH(TRUE,INDEX(U140:AY140&lt;&gt;"",0),0)),"")</f>
        <v/>
      </c>
      <c r="N140" s="51">
        <f>IFERROR(LOOKUP(2,1/(U140:AY140&lt;&gt;""),U$2:AY$2),"")</f>
        <v/>
      </c>
      <c r="O140" s="52" t="n"/>
      <c r="P140" s="52" t="n"/>
      <c r="Q140" s="52" t="n"/>
      <c r="R140" s="44" t="n"/>
      <c r="S140" s="14" t="n"/>
      <c r="U140" s="53" t="n"/>
      <c r="V140" s="53" t="n"/>
      <c r="W140" s="53" t="n"/>
      <c r="X140" s="53" t="n"/>
      <c r="Y140" s="53" t="n"/>
      <c r="Z140" s="53" t="n"/>
      <c r="AA140" s="53" t="n"/>
      <c r="AB140" s="53" t="n"/>
      <c r="AC140" s="53" t="n"/>
      <c r="AD140" s="53" t="n"/>
      <c r="AE140" s="53" t="n"/>
      <c r="AF140" s="53" t="n"/>
      <c r="AG140" s="53" t="n"/>
      <c r="AH140" s="53" t="n"/>
      <c r="AI140" s="53" t="n"/>
      <c r="AJ140" s="53" t="n"/>
      <c r="AK140" s="53" t="n"/>
      <c r="AL140" s="53" t="n"/>
      <c r="AM140" s="53" t="n"/>
      <c r="AN140" s="53" t="n"/>
      <c r="AO140" s="53" t="n"/>
      <c r="AP140" s="53" t="n"/>
      <c r="AQ140" s="53" t="n"/>
      <c r="AR140" s="53" t="n"/>
      <c r="AS140" s="53" t="n"/>
      <c r="AT140" s="53" t="n"/>
      <c r="AU140" s="53" t="n"/>
      <c r="AV140" s="53" t="n"/>
      <c r="AW140" s="53" t="n"/>
      <c r="AX140" s="53" t="n"/>
      <c r="AY140" s="53" t="n"/>
    </row>
    <row r="141" ht="15" customHeight="1">
      <c r="A141" s="54" t="n"/>
      <c r="B141" s="55">
        <f>IF($B$140="","",$B$140)</f>
        <v/>
      </c>
      <c r="C141" s="56" t="inlineStr">
        <is>
          <t>마케팅3팀</t>
        </is>
      </c>
      <c r="D141" s="55">
        <f>IF($D$140="","",$D$140)</f>
        <v/>
      </c>
      <c r="E141" s="57" t="inlineStr">
        <is>
          <t>이미지</t>
        </is>
      </c>
      <c r="F141" s="44" t="n"/>
      <c r="G141" s="58">
        <f>IF($G$140="","",$G$140)</f>
        <v/>
      </c>
      <c r="H141" s="59" t="n"/>
      <c r="I141" s="59" t="n"/>
      <c r="J141" s="59" t="n"/>
      <c r="K141" s="59" t="n"/>
      <c r="L141" s="60">
        <f>IF(SUM(U141:AY141)=0,"",SUM(U141:AY141))</f>
        <v/>
      </c>
      <c r="M141" s="61">
        <f>IFERROR(INDEX(U$2:AY$2,MATCH(TRUE,INDEX(U141:AY141&lt;&gt;"",0),0)),"")</f>
        <v/>
      </c>
      <c r="N141" s="61">
        <f>IFERROR(LOOKUP(2,1/(U141:AY141&lt;&gt;""),U$2:AY$2),"")</f>
        <v/>
      </c>
      <c r="O141" s="59" t="n"/>
      <c r="P141" s="59" t="n"/>
      <c r="Q141" s="59" t="n"/>
      <c r="R141" s="59" t="n"/>
      <c r="S141" s="14" t="n"/>
      <c r="U141" s="53" t="n"/>
      <c r="V141" s="53" t="n"/>
      <c r="W141" s="53" t="n"/>
      <c r="X141" s="53" t="n"/>
      <c r="Y141" s="53" t="n"/>
      <c r="Z141" s="53" t="n"/>
      <c r="AA141" s="53" t="n"/>
      <c r="AB141" s="53" t="n"/>
      <c r="AC141" s="53" t="n"/>
      <c r="AD141" s="53" t="n"/>
      <c r="AE141" s="53" t="n"/>
      <c r="AF141" s="53" t="n"/>
      <c r="AG141" s="53" t="n"/>
      <c r="AH141" s="53" t="n"/>
      <c r="AI141" s="53" t="n"/>
      <c r="AJ141" s="53" t="n"/>
      <c r="AK141" s="53" t="n"/>
      <c r="AL141" s="53" t="n"/>
      <c r="AM141" s="53" t="n"/>
      <c r="AN141" s="53" t="n"/>
      <c r="AO141" s="53" t="n"/>
      <c r="AP141" s="53" t="n"/>
      <c r="AQ141" s="53" t="n"/>
      <c r="AR141" s="53" t="n"/>
      <c r="AS141" s="53" t="n"/>
      <c r="AT141" s="53" t="n"/>
      <c r="AU141" s="53" t="n"/>
      <c r="AV141" s="53" t="n"/>
      <c r="AW141" s="53" t="n"/>
      <c r="AX141" s="53" t="n"/>
      <c r="AY141" s="53" t="n"/>
    </row>
    <row r="142" ht="15" customHeight="1">
      <c r="A142" s="62" t="n"/>
      <c r="B142" s="55">
        <f>IF($B$140="","",$B$140)</f>
        <v/>
      </c>
      <c r="C142" s="63" t="inlineStr">
        <is>
          <t>마케팅3팀</t>
        </is>
      </c>
      <c r="D142" s="55">
        <f>IF($D$140="","",$D$140)</f>
        <v/>
      </c>
      <c r="E142" s="64" t="inlineStr">
        <is>
          <t>영상</t>
        </is>
      </c>
      <c r="F142" s="44" t="n"/>
      <c r="G142" s="58">
        <f>IF($G$140="","",$G$140)</f>
        <v/>
      </c>
      <c r="H142" s="59" t="n"/>
      <c r="I142" s="59" t="n"/>
      <c r="J142" s="59" t="n"/>
      <c r="K142" s="59" t="n"/>
      <c r="L142" s="65">
        <f>IF(SUM(U142:AY142)=0,"",SUM(U142:AY142))</f>
        <v/>
      </c>
      <c r="M142" s="66">
        <f>IFERROR(INDEX(U$2:AY$2,MATCH(TRUE,INDEX(U142:AY142&lt;&gt;"",0),0)),"")</f>
        <v/>
      </c>
      <c r="N142" s="66">
        <f>IFERROR(LOOKUP(2,1/(U142:AY142&lt;&gt;""),U$2:AY$2),"")</f>
        <v/>
      </c>
      <c r="O142" s="59" t="n"/>
      <c r="P142" s="59" t="n"/>
      <c r="Q142" s="59" t="n"/>
      <c r="R142" s="59" t="n"/>
      <c r="S142" s="14" t="n"/>
      <c r="U142" s="53" t="n"/>
      <c r="V142" s="53" t="n"/>
      <c r="W142" s="53" t="n"/>
      <c r="X142" s="53" t="n"/>
      <c r="Y142" s="53" t="n"/>
      <c r="Z142" s="53" t="n"/>
      <c r="AA142" s="53" t="n"/>
      <c r="AB142" s="53" t="n"/>
      <c r="AC142" s="53" t="n"/>
      <c r="AD142" s="53" t="n"/>
      <c r="AE142" s="53" t="n"/>
      <c r="AF142" s="53" t="n"/>
      <c r="AG142" s="53" t="n"/>
      <c r="AH142" s="53" t="n"/>
      <c r="AI142" s="53" t="n"/>
      <c r="AJ142" s="53" t="n"/>
      <c r="AK142" s="53" t="n"/>
      <c r="AL142" s="53" t="n"/>
      <c r="AM142" s="53" t="n"/>
      <c r="AN142" s="53" t="n"/>
      <c r="AO142" s="53" t="n"/>
      <c r="AP142" s="53" t="n"/>
      <c r="AQ142" s="53" t="n"/>
      <c r="AR142" s="53" t="n"/>
      <c r="AS142" s="53" t="n"/>
      <c r="AT142" s="53" t="n"/>
      <c r="AU142" s="53" t="n"/>
      <c r="AV142" s="53" t="n"/>
      <c r="AW142" s="53" t="n"/>
      <c r="AX142" s="53" t="n"/>
      <c r="AY142" s="53" t="n"/>
    </row>
    <row r="143" ht="15" customHeight="1">
      <c r="A143" s="40">
        <f>IF($D$143="","",45)</f>
        <v/>
      </c>
      <c r="B143" s="10" t="n"/>
      <c r="C143" s="41" t="inlineStr">
        <is>
          <t>마케팅3팀</t>
        </is>
      </c>
      <c r="D143" s="42" t="n"/>
      <c r="E143" s="43" t="inlineStr">
        <is>
          <t>기획</t>
        </is>
      </c>
      <c r="F143" s="44" t="n"/>
      <c r="G143" s="45" t="n"/>
      <c r="H143" s="46">
        <f>IF($I$143="","",IF($I$143&lt;0,"🔴지연",IF($I$143&lt;=1,"🟡임박","🟢여유")))</f>
        <v/>
      </c>
      <c r="I143" s="47">
        <f>IF(OR($G$143="",$K$143=""),"",$G$143-$K$143)</f>
        <v/>
      </c>
      <c r="J143" s="48">
        <f>IF(SUM($L$143:$L$145)=0,"",SUM($L$143:$L$145))</f>
        <v/>
      </c>
      <c r="K143" s="49">
        <f>IF($J$143="","",MAX($N$143:$N$145))</f>
        <v/>
      </c>
      <c r="L143" s="50">
        <f>IF(SUM(U143:AY143)=0,"",SUM(U143:AY143))</f>
        <v/>
      </c>
      <c r="M143" s="51">
        <f>IFERROR(INDEX(U$2:AY$2,MATCH(TRUE,INDEX(U143:AY143&lt;&gt;"",0),0)),"")</f>
        <v/>
      </c>
      <c r="N143" s="51">
        <f>IFERROR(LOOKUP(2,1/(U143:AY143&lt;&gt;""),U$2:AY$2),"")</f>
        <v/>
      </c>
      <c r="O143" s="52" t="n"/>
      <c r="P143" s="52" t="n"/>
      <c r="Q143" s="52" t="n"/>
      <c r="R143" s="44" t="n"/>
      <c r="S143" s="14" t="n"/>
      <c r="U143" s="53" t="n"/>
      <c r="V143" s="53" t="n"/>
      <c r="W143" s="53" t="n"/>
      <c r="X143" s="53" t="n"/>
      <c r="Y143" s="53" t="n"/>
      <c r="Z143" s="53" t="n"/>
      <c r="AA143" s="53" t="n"/>
      <c r="AB143" s="53" t="n"/>
      <c r="AC143" s="53" t="n"/>
      <c r="AD143" s="53" t="n"/>
      <c r="AE143" s="53" t="n"/>
      <c r="AF143" s="53" t="n"/>
      <c r="AG143" s="53" t="n"/>
      <c r="AH143" s="53" t="n"/>
      <c r="AI143" s="53" t="n"/>
      <c r="AJ143" s="53" t="n"/>
      <c r="AK143" s="53" t="n"/>
      <c r="AL143" s="53" t="n"/>
      <c r="AM143" s="53" t="n"/>
      <c r="AN143" s="53" t="n"/>
      <c r="AO143" s="53" t="n"/>
      <c r="AP143" s="53" t="n"/>
      <c r="AQ143" s="53" t="n"/>
      <c r="AR143" s="53" t="n"/>
      <c r="AS143" s="53" t="n"/>
      <c r="AT143" s="53" t="n"/>
      <c r="AU143" s="53" t="n"/>
      <c r="AV143" s="53" t="n"/>
      <c r="AW143" s="53" t="n"/>
      <c r="AX143" s="53" t="n"/>
      <c r="AY143" s="53" t="n"/>
    </row>
    <row r="144" ht="15" customHeight="1">
      <c r="A144" s="54" t="n"/>
      <c r="B144" s="55">
        <f>IF($B$143="","",$B$143)</f>
        <v/>
      </c>
      <c r="C144" s="56" t="inlineStr">
        <is>
          <t>마케팅3팀</t>
        </is>
      </c>
      <c r="D144" s="55">
        <f>IF($D$143="","",$D$143)</f>
        <v/>
      </c>
      <c r="E144" s="57" t="inlineStr">
        <is>
          <t>이미지</t>
        </is>
      </c>
      <c r="F144" s="44" t="n"/>
      <c r="G144" s="58">
        <f>IF($G$143="","",$G$143)</f>
        <v/>
      </c>
      <c r="H144" s="59" t="n"/>
      <c r="I144" s="59" t="n"/>
      <c r="J144" s="59" t="n"/>
      <c r="K144" s="59" t="n"/>
      <c r="L144" s="60">
        <f>IF(SUM(U144:AY144)=0,"",SUM(U144:AY144))</f>
        <v/>
      </c>
      <c r="M144" s="61">
        <f>IFERROR(INDEX(U$2:AY$2,MATCH(TRUE,INDEX(U144:AY144&lt;&gt;"",0),0)),"")</f>
        <v/>
      </c>
      <c r="N144" s="61">
        <f>IFERROR(LOOKUP(2,1/(U144:AY144&lt;&gt;""),U$2:AY$2),"")</f>
        <v/>
      </c>
      <c r="O144" s="59" t="n"/>
      <c r="P144" s="59" t="n"/>
      <c r="Q144" s="59" t="n"/>
      <c r="R144" s="59" t="n"/>
      <c r="S144" s="14" t="n"/>
      <c r="U144" s="53" t="n"/>
      <c r="V144" s="53" t="n"/>
      <c r="W144" s="53" t="n"/>
      <c r="X144" s="53" t="n"/>
      <c r="Y144" s="53" t="n"/>
      <c r="Z144" s="53" t="n"/>
      <c r="AA144" s="53" t="n"/>
      <c r="AB144" s="53" t="n"/>
      <c r="AC144" s="53" t="n"/>
      <c r="AD144" s="53" t="n"/>
      <c r="AE144" s="53" t="n"/>
      <c r="AF144" s="53" t="n"/>
      <c r="AG144" s="53" t="n"/>
      <c r="AH144" s="53" t="n"/>
      <c r="AI144" s="53" t="n"/>
      <c r="AJ144" s="53" t="n"/>
      <c r="AK144" s="53" t="n"/>
      <c r="AL144" s="53" t="n"/>
      <c r="AM144" s="53" t="n"/>
      <c r="AN144" s="53" t="n"/>
      <c r="AO144" s="53" t="n"/>
      <c r="AP144" s="53" t="n"/>
      <c r="AQ144" s="53" t="n"/>
      <c r="AR144" s="53" t="n"/>
      <c r="AS144" s="53" t="n"/>
      <c r="AT144" s="53" t="n"/>
      <c r="AU144" s="53" t="n"/>
      <c r="AV144" s="53" t="n"/>
      <c r="AW144" s="53" t="n"/>
      <c r="AX144" s="53" t="n"/>
      <c r="AY144" s="53" t="n"/>
    </row>
    <row r="145" ht="15" customHeight="1">
      <c r="A145" s="62" t="n"/>
      <c r="B145" s="55">
        <f>IF($B$143="","",$B$143)</f>
        <v/>
      </c>
      <c r="C145" s="63" t="inlineStr">
        <is>
          <t>마케팅3팀</t>
        </is>
      </c>
      <c r="D145" s="55">
        <f>IF($D$143="","",$D$143)</f>
        <v/>
      </c>
      <c r="E145" s="64" t="inlineStr">
        <is>
          <t>영상</t>
        </is>
      </c>
      <c r="F145" s="44" t="n"/>
      <c r="G145" s="58">
        <f>IF($G$143="","",$G$143)</f>
        <v/>
      </c>
      <c r="H145" s="59" t="n"/>
      <c r="I145" s="59" t="n"/>
      <c r="J145" s="59" t="n"/>
      <c r="K145" s="59" t="n"/>
      <c r="L145" s="65">
        <f>IF(SUM(U145:AY145)=0,"",SUM(U145:AY145))</f>
        <v/>
      </c>
      <c r="M145" s="66">
        <f>IFERROR(INDEX(U$2:AY$2,MATCH(TRUE,INDEX(U145:AY145&lt;&gt;"",0),0)),"")</f>
        <v/>
      </c>
      <c r="N145" s="66">
        <f>IFERROR(LOOKUP(2,1/(U145:AY145&lt;&gt;""),U$2:AY$2),"")</f>
        <v/>
      </c>
      <c r="O145" s="59" t="n"/>
      <c r="P145" s="59" t="n"/>
      <c r="Q145" s="59" t="n"/>
      <c r="R145" s="59" t="n"/>
      <c r="S145" s="14" t="n"/>
      <c r="U145" s="53" t="n"/>
      <c r="V145" s="53" t="n"/>
      <c r="W145" s="53" t="n"/>
      <c r="X145" s="53" t="n"/>
      <c r="Y145" s="53" t="n"/>
      <c r="Z145" s="53" t="n"/>
      <c r="AA145" s="53" t="n"/>
      <c r="AB145" s="53" t="n"/>
      <c r="AC145" s="53" t="n"/>
      <c r="AD145" s="53" t="n"/>
      <c r="AE145" s="53" t="n"/>
      <c r="AF145" s="53" t="n"/>
      <c r="AG145" s="53" t="n"/>
      <c r="AH145" s="53" t="n"/>
      <c r="AI145" s="53" t="n"/>
      <c r="AJ145" s="53" t="n"/>
      <c r="AK145" s="53" t="n"/>
      <c r="AL145" s="53" t="n"/>
      <c r="AM145" s="53" t="n"/>
      <c r="AN145" s="53" t="n"/>
      <c r="AO145" s="53" t="n"/>
      <c r="AP145" s="53" t="n"/>
      <c r="AQ145" s="53" t="n"/>
      <c r="AR145" s="53" t="n"/>
      <c r="AS145" s="53" t="n"/>
      <c r="AT145" s="53" t="n"/>
      <c r="AU145" s="53" t="n"/>
      <c r="AV145" s="53" t="n"/>
      <c r="AW145" s="53" t="n"/>
      <c r="AX145" s="53" t="n"/>
      <c r="AY145" s="53" t="n"/>
    </row>
    <row r="146" ht="15" customHeight="1">
      <c r="A146" s="40">
        <f>IF($D$146="","",46)</f>
        <v/>
      </c>
      <c r="B146" s="10" t="n"/>
      <c r="C146" s="41" t="inlineStr">
        <is>
          <t>마케팅3팀</t>
        </is>
      </c>
      <c r="D146" s="42" t="n"/>
      <c r="E146" s="43" t="inlineStr">
        <is>
          <t>기획</t>
        </is>
      </c>
      <c r="F146" s="44" t="n"/>
      <c r="G146" s="45" t="n"/>
      <c r="H146" s="46">
        <f>IF($I$146="","",IF($I$146&lt;0,"🔴지연",IF($I$146&lt;=1,"🟡임박","🟢여유")))</f>
        <v/>
      </c>
      <c r="I146" s="47">
        <f>IF(OR($G$146="",$K$146=""),"",$G$146-$K$146)</f>
        <v/>
      </c>
      <c r="J146" s="48">
        <f>IF(SUM($L$146:$L$148)=0,"",SUM($L$146:$L$148))</f>
        <v/>
      </c>
      <c r="K146" s="49">
        <f>IF($J$146="","",MAX($N$146:$N$148))</f>
        <v/>
      </c>
      <c r="L146" s="50">
        <f>IF(SUM(U146:AY146)=0,"",SUM(U146:AY146))</f>
        <v/>
      </c>
      <c r="M146" s="51">
        <f>IFERROR(INDEX(U$2:AY$2,MATCH(TRUE,INDEX(U146:AY146&lt;&gt;"",0),0)),"")</f>
        <v/>
      </c>
      <c r="N146" s="51">
        <f>IFERROR(LOOKUP(2,1/(U146:AY146&lt;&gt;""),U$2:AY$2),"")</f>
        <v/>
      </c>
      <c r="O146" s="52" t="n"/>
      <c r="P146" s="52" t="n"/>
      <c r="Q146" s="52" t="n"/>
      <c r="R146" s="44" t="n"/>
      <c r="S146" s="14" t="n"/>
      <c r="U146" s="53" t="n"/>
      <c r="V146" s="53" t="n"/>
      <c r="W146" s="53" t="n"/>
      <c r="X146" s="53" t="n"/>
      <c r="Y146" s="53" t="n"/>
      <c r="Z146" s="53" t="n"/>
      <c r="AA146" s="53" t="n"/>
      <c r="AB146" s="53" t="n"/>
      <c r="AC146" s="53" t="n"/>
      <c r="AD146" s="53" t="n"/>
      <c r="AE146" s="53" t="n"/>
      <c r="AF146" s="53" t="n"/>
      <c r="AG146" s="53" t="n"/>
      <c r="AH146" s="53" t="n"/>
      <c r="AI146" s="53" t="n"/>
      <c r="AJ146" s="53" t="n"/>
      <c r="AK146" s="53" t="n"/>
      <c r="AL146" s="53" t="n"/>
      <c r="AM146" s="53" t="n"/>
      <c r="AN146" s="53" t="n"/>
      <c r="AO146" s="53" t="n"/>
      <c r="AP146" s="53" t="n"/>
      <c r="AQ146" s="53" t="n"/>
      <c r="AR146" s="53" t="n"/>
      <c r="AS146" s="53" t="n"/>
      <c r="AT146" s="53" t="n"/>
      <c r="AU146" s="53" t="n"/>
      <c r="AV146" s="53" t="n"/>
      <c r="AW146" s="53" t="n"/>
      <c r="AX146" s="53" t="n"/>
      <c r="AY146" s="53" t="n"/>
    </row>
    <row r="147" ht="15" customHeight="1">
      <c r="A147" s="54" t="n"/>
      <c r="B147" s="55">
        <f>IF($B$146="","",$B$146)</f>
        <v/>
      </c>
      <c r="C147" s="56" t="inlineStr">
        <is>
          <t>마케팅3팀</t>
        </is>
      </c>
      <c r="D147" s="55">
        <f>IF($D$146="","",$D$146)</f>
        <v/>
      </c>
      <c r="E147" s="57" t="inlineStr">
        <is>
          <t>이미지</t>
        </is>
      </c>
      <c r="F147" s="44" t="n"/>
      <c r="G147" s="58">
        <f>IF($G$146="","",$G$146)</f>
        <v/>
      </c>
      <c r="H147" s="59" t="n"/>
      <c r="I147" s="59" t="n"/>
      <c r="J147" s="59" t="n"/>
      <c r="K147" s="59" t="n"/>
      <c r="L147" s="60">
        <f>IF(SUM(U147:AY147)=0,"",SUM(U147:AY147))</f>
        <v/>
      </c>
      <c r="M147" s="61">
        <f>IFERROR(INDEX(U$2:AY$2,MATCH(TRUE,INDEX(U147:AY147&lt;&gt;"",0),0)),"")</f>
        <v/>
      </c>
      <c r="N147" s="61">
        <f>IFERROR(LOOKUP(2,1/(U147:AY147&lt;&gt;""),U$2:AY$2),"")</f>
        <v/>
      </c>
      <c r="O147" s="59" t="n"/>
      <c r="P147" s="59" t="n"/>
      <c r="Q147" s="59" t="n"/>
      <c r="R147" s="59" t="n"/>
      <c r="S147" s="14" t="n"/>
      <c r="U147" s="53" t="n"/>
      <c r="V147" s="53" t="n"/>
      <c r="W147" s="53" t="n"/>
      <c r="X147" s="53" t="n"/>
      <c r="Y147" s="53" t="n"/>
      <c r="Z147" s="53" t="n"/>
      <c r="AA147" s="53" t="n"/>
      <c r="AB147" s="53" t="n"/>
      <c r="AC147" s="53" t="n"/>
      <c r="AD147" s="53" t="n"/>
      <c r="AE147" s="53" t="n"/>
      <c r="AF147" s="53" t="n"/>
      <c r="AG147" s="53" t="n"/>
      <c r="AH147" s="53" t="n"/>
      <c r="AI147" s="53" t="n"/>
      <c r="AJ147" s="53" t="n"/>
      <c r="AK147" s="53" t="n"/>
      <c r="AL147" s="53" t="n"/>
      <c r="AM147" s="53" t="n"/>
      <c r="AN147" s="53" t="n"/>
      <c r="AO147" s="53" t="n"/>
      <c r="AP147" s="53" t="n"/>
      <c r="AQ147" s="53" t="n"/>
      <c r="AR147" s="53" t="n"/>
      <c r="AS147" s="53" t="n"/>
      <c r="AT147" s="53" t="n"/>
      <c r="AU147" s="53" t="n"/>
      <c r="AV147" s="53" t="n"/>
      <c r="AW147" s="53" t="n"/>
      <c r="AX147" s="53" t="n"/>
      <c r="AY147" s="53" t="n"/>
    </row>
    <row r="148" ht="15" customHeight="1">
      <c r="A148" s="62" t="n"/>
      <c r="B148" s="55">
        <f>IF($B$146="","",$B$146)</f>
        <v/>
      </c>
      <c r="C148" s="63" t="inlineStr">
        <is>
          <t>마케팅3팀</t>
        </is>
      </c>
      <c r="D148" s="55">
        <f>IF($D$146="","",$D$146)</f>
        <v/>
      </c>
      <c r="E148" s="64" t="inlineStr">
        <is>
          <t>영상</t>
        </is>
      </c>
      <c r="F148" s="44" t="n"/>
      <c r="G148" s="58">
        <f>IF($G$146="","",$G$146)</f>
        <v/>
      </c>
      <c r="H148" s="59" t="n"/>
      <c r="I148" s="59" t="n"/>
      <c r="J148" s="59" t="n"/>
      <c r="K148" s="59" t="n"/>
      <c r="L148" s="65">
        <f>IF(SUM(U148:AY148)=0,"",SUM(U148:AY148))</f>
        <v/>
      </c>
      <c r="M148" s="66">
        <f>IFERROR(INDEX(U$2:AY$2,MATCH(TRUE,INDEX(U148:AY148&lt;&gt;"",0),0)),"")</f>
        <v/>
      </c>
      <c r="N148" s="66">
        <f>IFERROR(LOOKUP(2,1/(U148:AY148&lt;&gt;""),U$2:AY$2),"")</f>
        <v/>
      </c>
      <c r="O148" s="59" t="n"/>
      <c r="P148" s="59" t="n"/>
      <c r="Q148" s="59" t="n"/>
      <c r="R148" s="59" t="n"/>
      <c r="S148" s="14" t="n"/>
      <c r="U148" s="53" t="n"/>
      <c r="V148" s="53" t="n"/>
      <c r="W148" s="53" t="n"/>
      <c r="X148" s="53" t="n"/>
      <c r="Y148" s="53" t="n"/>
      <c r="Z148" s="53" t="n"/>
      <c r="AA148" s="53" t="n"/>
      <c r="AB148" s="53" t="n"/>
      <c r="AC148" s="53" t="n"/>
      <c r="AD148" s="53" t="n"/>
      <c r="AE148" s="53" t="n"/>
      <c r="AF148" s="53" t="n"/>
      <c r="AG148" s="53" t="n"/>
      <c r="AH148" s="53" t="n"/>
      <c r="AI148" s="53" t="n"/>
      <c r="AJ148" s="53" t="n"/>
      <c r="AK148" s="53" t="n"/>
      <c r="AL148" s="53" t="n"/>
      <c r="AM148" s="53" t="n"/>
      <c r="AN148" s="53" t="n"/>
      <c r="AO148" s="53" t="n"/>
      <c r="AP148" s="53" t="n"/>
      <c r="AQ148" s="53" t="n"/>
      <c r="AR148" s="53" t="n"/>
      <c r="AS148" s="53" t="n"/>
      <c r="AT148" s="53" t="n"/>
      <c r="AU148" s="53" t="n"/>
      <c r="AV148" s="53" t="n"/>
      <c r="AW148" s="53" t="n"/>
      <c r="AX148" s="53" t="n"/>
      <c r="AY148" s="53" t="n"/>
    </row>
    <row r="149" ht="15" customHeight="1">
      <c r="A149" s="40">
        <f>IF($D$149="","",47)</f>
        <v/>
      </c>
      <c r="B149" s="10" t="n"/>
      <c r="C149" s="41" t="inlineStr">
        <is>
          <t>마케팅3팀</t>
        </is>
      </c>
      <c r="D149" s="42" t="n"/>
      <c r="E149" s="43" t="inlineStr">
        <is>
          <t>기획</t>
        </is>
      </c>
      <c r="F149" s="44" t="n"/>
      <c r="G149" s="45" t="n"/>
      <c r="H149" s="46">
        <f>IF($I$149="","",IF($I$149&lt;0,"🔴지연",IF($I$149&lt;=1,"🟡임박","🟢여유")))</f>
        <v/>
      </c>
      <c r="I149" s="47">
        <f>IF(OR($G$149="",$K$149=""),"",$G$149-$K$149)</f>
        <v/>
      </c>
      <c r="J149" s="48">
        <f>IF(SUM($L$149:$L$151)=0,"",SUM($L$149:$L$151))</f>
        <v/>
      </c>
      <c r="K149" s="49">
        <f>IF($J$149="","",MAX($N$149:$N$151))</f>
        <v/>
      </c>
      <c r="L149" s="50">
        <f>IF(SUM(U149:AY149)=0,"",SUM(U149:AY149))</f>
        <v/>
      </c>
      <c r="M149" s="51">
        <f>IFERROR(INDEX(U$2:AY$2,MATCH(TRUE,INDEX(U149:AY149&lt;&gt;"",0),0)),"")</f>
        <v/>
      </c>
      <c r="N149" s="51">
        <f>IFERROR(LOOKUP(2,1/(U149:AY149&lt;&gt;""),U$2:AY$2),"")</f>
        <v/>
      </c>
      <c r="O149" s="52" t="n"/>
      <c r="P149" s="52" t="n"/>
      <c r="Q149" s="52" t="n"/>
      <c r="R149" s="44" t="n"/>
      <c r="S149" s="14" t="n"/>
      <c r="U149" s="53" t="n"/>
      <c r="V149" s="53" t="n"/>
      <c r="W149" s="53" t="n"/>
      <c r="X149" s="53" t="n"/>
      <c r="Y149" s="53" t="n"/>
      <c r="Z149" s="53" t="n"/>
      <c r="AA149" s="53" t="n"/>
      <c r="AB149" s="53" t="n"/>
      <c r="AC149" s="53" t="n"/>
      <c r="AD149" s="53" t="n"/>
      <c r="AE149" s="53" t="n"/>
      <c r="AF149" s="53" t="n"/>
      <c r="AG149" s="53" t="n"/>
      <c r="AH149" s="53" t="n"/>
      <c r="AI149" s="53" t="n"/>
      <c r="AJ149" s="53" t="n"/>
      <c r="AK149" s="53" t="n"/>
      <c r="AL149" s="53" t="n"/>
      <c r="AM149" s="53" t="n"/>
      <c r="AN149" s="53" t="n"/>
      <c r="AO149" s="53" t="n"/>
      <c r="AP149" s="53" t="n"/>
      <c r="AQ149" s="53" t="n"/>
      <c r="AR149" s="53" t="n"/>
      <c r="AS149" s="53" t="n"/>
      <c r="AT149" s="53" t="n"/>
      <c r="AU149" s="53" t="n"/>
      <c r="AV149" s="53" t="n"/>
      <c r="AW149" s="53" t="n"/>
      <c r="AX149" s="53" t="n"/>
      <c r="AY149" s="53" t="n"/>
    </row>
    <row r="150" ht="15" customHeight="1">
      <c r="A150" s="54" t="n"/>
      <c r="B150" s="55">
        <f>IF($B$149="","",$B$149)</f>
        <v/>
      </c>
      <c r="C150" s="56" t="inlineStr">
        <is>
          <t>마케팅3팀</t>
        </is>
      </c>
      <c r="D150" s="55">
        <f>IF($D$149="","",$D$149)</f>
        <v/>
      </c>
      <c r="E150" s="57" t="inlineStr">
        <is>
          <t>이미지</t>
        </is>
      </c>
      <c r="F150" s="44" t="n"/>
      <c r="G150" s="58">
        <f>IF($G$149="","",$G$149)</f>
        <v/>
      </c>
      <c r="H150" s="59" t="n"/>
      <c r="I150" s="59" t="n"/>
      <c r="J150" s="59" t="n"/>
      <c r="K150" s="59" t="n"/>
      <c r="L150" s="60">
        <f>IF(SUM(U150:AY150)=0,"",SUM(U150:AY150))</f>
        <v/>
      </c>
      <c r="M150" s="61">
        <f>IFERROR(INDEX(U$2:AY$2,MATCH(TRUE,INDEX(U150:AY150&lt;&gt;"",0),0)),"")</f>
        <v/>
      </c>
      <c r="N150" s="61">
        <f>IFERROR(LOOKUP(2,1/(U150:AY150&lt;&gt;""),U$2:AY$2),"")</f>
        <v/>
      </c>
      <c r="O150" s="59" t="n"/>
      <c r="P150" s="59" t="n"/>
      <c r="Q150" s="59" t="n"/>
      <c r="R150" s="59" t="n"/>
      <c r="S150" s="14" t="n"/>
      <c r="U150" s="53" t="n"/>
      <c r="V150" s="53" t="n"/>
      <c r="W150" s="53" t="n"/>
      <c r="X150" s="53" t="n"/>
      <c r="Y150" s="53" t="n"/>
      <c r="Z150" s="53" t="n"/>
      <c r="AA150" s="53" t="n"/>
      <c r="AB150" s="53" t="n"/>
      <c r="AC150" s="53" t="n"/>
      <c r="AD150" s="53" t="n"/>
      <c r="AE150" s="53" t="n"/>
      <c r="AF150" s="53" t="n"/>
      <c r="AG150" s="53" t="n"/>
      <c r="AH150" s="53" t="n"/>
      <c r="AI150" s="53" t="n"/>
      <c r="AJ150" s="53" t="n"/>
      <c r="AK150" s="53" t="n"/>
      <c r="AL150" s="53" t="n"/>
      <c r="AM150" s="53" t="n"/>
      <c r="AN150" s="53" t="n"/>
      <c r="AO150" s="53" t="n"/>
      <c r="AP150" s="53" t="n"/>
      <c r="AQ150" s="53" t="n"/>
      <c r="AR150" s="53" t="n"/>
      <c r="AS150" s="53" t="n"/>
      <c r="AT150" s="53" t="n"/>
      <c r="AU150" s="53" t="n"/>
      <c r="AV150" s="53" t="n"/>
      <c r="AW150" s="53" t="n"/>
      <c r="AX150" s="53" t="n"/>
      <c r="AY150" s="53" t="n"/>
    </row>
    <row r="151" ht="15" customHeight="1">
      <c r="A151" s="62" t="n"/>
      <c r="B151" s="55">
        <f>IF($B$149="","",$B$149)</f>
        <v/>
      </c>
      <c r="C151" s="63" t="inlineStr">
        <is>
          <t>마케팅3팀</t>
        </is>
      </c>
      <c r="D151" s="55">
        <f>IF($D$149="","",$D$149)</f>
        <v/>
      </c>
      <c r="E151" s="64" t="inlineStr">
        <is>
          <t>영상</t>
        </is>
      </c>
      <c r="F151" s="44" t="n"/>
      <c r="G151" s="58">
        <f>IF($G$149="","",$G$149)</f>
        <v/>
      </c>
      <c r="H151" s="59" t="n"/>
      <c r="I151" s="59" t="n"/>
      <c r="J151" s="59" t="n"/>
      <c r="K151" s="59" t="n"/>
      <c r="L151" s="65">
        <f>IF(SUM(U151:AY151)=0,"",SUM(U151:AY151))</f>
        <v/>
      </c>
      <c r="M151" s="66">
        <f>IFERROR(INDEX(U$2:AY$2,MATCH(TRUE,INDEX(U151:AY151&lt;&gt;"",0),0)),"")</f>
        <v/>
      </c>
      <c r="N151" s="66">
        <f>IFERROR(LOOKUP(2,1/(U151:AY151&lt;&gt;""),U$2:AY$2),"")</f>
        <v/>
      </c>
      <c r="O151" s="59" t="n"/>
      <c r="P151" s="59" t="n"/>
      <c r="Q151" s="59" t="n"/>
      <c r="R151" s="59" t="n"/>
      <c r="S151" s="14" t="n"/>
      <c r="U151" s="53" t="n"/>
      <c r="V151" s="53" t="n"/>
      <c r="W151" s="53" t="n"/>
      <c r="X151" s="53" t="n"/>
      <c r="Y151" s="53" t="n"/>
      <c r="Z151" s="53" t="n"/>
      <c r="AA151" s="53" t="n"/>
      <c r="AB151" s="53" t="n"/>
      <c r="AC151" s="53" t="n"/>
      <c r="AD151" s="53" t="n"/>
      <c r="AE151" s="53" t="n"/>
      <c r="AF151" s="53" t="n"/>
      <c r="AG151" s="53" t="n"/>
      <c r="AH151" s="53" t="n"/>
      <c r="AI151" s="53" t="n"/>
      <c r="AJ151" s="53" t="n"/>
      <c r="AK151" s="53" t="n"/>
      <c r="AL151" s="53" t="n"/>
      <c r="AM151" s="53" t="n"/>
      <c r="AN151" s="53" t="n"/>
      <c r="AO151" s="53" t="n"/>
      <c r="AP151" s="53" t="n"/>
      <c r="AQ151" s="53" t="n"/>
      <c r="AR151" s="53" t="n"/>
      <c r="AS151" s="53" t="n"/>
      <c r="AT151" s="53" t="n"/>
      <c r="AU151" s="53" t="n"/>
      <c r="AV151" s="53" t="n"/>
      <c r="AW151" s="53" t="n"/>
      <c r="AX151" s="53" t="n"/>
      <c r="AY151" s="53" t="n"/>
    </row>
    <row r="152" ht="15" customHeight="1">
      <c r="A152" s="40">
        <f>IF($D$152="","",48)</f>
        <v/>
      </c>
      <c r="B152" s="10" t="n"/>
      <c r="C152" s="41" t="inlineStr">
        <is>
          <t>마케팅3팀</t>
        </is>
      </c>
      <c r="D152" s="42" t="n"/>
      <c r="E152" s="43" t="inlineStr">
        <is>
          <t>기획</t>
        </is>
      </c>
      <c r="F152" s="44" t="n"/>
      <c r="G152" s="45" t="n"/>
      <c r="H152" s="46">
        <f>IF($I$152="","",IF($I$152&lt;0,"🔴지연",IF($I$152&lt;=1,"🟡임박","🟢여유")))</f>
        <v/>
      </c>
      <c r="I152" s="47">
        <f>IF(OR($G$152="",$K$152=""),"",$G$152-$K$152)</f>
        <v/>
      </c>
      <c r="J152" s="48">
        <f>IF(SUM($L$152:$L$154)=0,"",SUM($L$152:$L$154))</f>
        <v/>
      </c>
      <c r="K152" s="49">
        <f>IF($J$152="","",MAX($N$152:$N$154))</f>
        <v/>
      </c>
      <c r="L152" s="50">
        <f>IF(SUM(U152:AY152)=0,"",SUM(U152:AY152))</f>
        <v/>
      </c>
      <c r="M152" s="51">
        <f>IFERROR(INDEX(U$2:AY$2,MATCH(TRUE,INDEX(U152:AY152&lt;&gt;"",0),0)),"")</f>
        <v/>
      </c>
      <c r="N152" s="51">
        <f>IFERROR(LOOKUP(2,1/(U152:AY152&lt;&gt;""),U$2:AY$2),"")</f>
        <v/>
      </c>
      <c r="O152" s="52" t="n"/>
      <c r="P152" s="52" t="n"/>
      <c r="Q152" s="52" t="n"/>
      <c r="R152" s="44" t="n"/>
      <c r="S152" s="14" t="n"/>
      <c r="U152" s="53" t="n"/>
      <c r="V152" s="53" t="n"/>
      <c r="W152" s="53" t="n"/>
      <c r="X152" s="53" t="n"/>
      <c r="Y152" s="53" t="n"/>
      <c r="Z152" s="53" t="n"/>
      <c r="AA152" s="53" t="n"/>
      <c r="AB152" s="53" t="n"/>
      <c r="AC152" s="53" t="n"/>
      <c r="AD152" s="53" t="n"/>
      <c r="AE152" s="53" t="n"/>
      <c r="AF152" s="53" t="n"/>
      <c r="AG152" s="53" t="n"/>
      <c r="AH152" s="53" t="n"/>
      <c r="AI152" s="53" t="n"/>
      <c r="AJ152" s="53" t="n"/>
      <c r="AK152" s="53" t="n"/>
      <c r="AL152" s="53" t="n"/>
      <c r="AM152" s="53" t="n"/>
      <c r="AN152" s="53" t="n"/>
      <c r="AO152" s="53" t="n"/>
      <c r="AP152" s="53" t="n"/>
      <c r="AQ152" s="53" t="n"/>
      <c r="AR152" s="53" t="n"/>
      <c r="AS152" s="53" t="n"/>
      <c r="AT152" s="53" t="n"/>
      <c r="AU152" s="53" t="n"/>
      <c r="AV152" s="53" t="n"/>
      <c r="AW152" s="53" t="n"/>
      <c r="AX152" s="53" t="n"/>
      <c r="AY152" s="53" t="n"/>
    </row>
    <row r="153" ht="15" customHeight="1">
      <c r="A153" s="54" t="n"/>
      <c r="B153" s="55">
        <f>IF($B$152="","",$B$152)</f>
        <v/>
      </c>
      <c r="C153" s="56" t="inlineStr">
        <is>
          <t>마케팅3팀</t>
        </is>
      </c>
      <c r="D153" s="55">
        <f>IF($D$152="","",$D$152)</f>
        <v/>
      </c>
      <c r="E153" s="57" t="inlineStr">
        <is>
          <t>이미지</t>
        </is>
      </c>
      <c r="F153" s="44" t="n"/>
      <c r="G153" s="58">
        <f>IF($G$152="","",$G$152)</f>
        <v/>
      </c>
      <c r="H153" s="59" t="n"/>
      <c r="I153" s="59" t="n"/>
      <c r="J153" s="59" t="n"/>
      <c r="K153" s="59" t="n"/>
      <c r="L153" s="60">
        <f>IF(SUM(U153:AY153)=0,"",SUM(U153:AY153))</f>
        <v/>
      </c>
      <c r="M153" s="61">
        <f>IFERROR(INDEX(U$2:AY$2,MATCH(TRUE,INDEX(U153:AY153&lt;&gt;"",0),0)),"")</f>
        <v/>
      </c>
      <c r="N153" s="61">
        <f>IFERROR(LOOKUP(2,1/(U153:AY153&lt;&gt;""),U$2:AY$2),"")</f>
        <v/>
      </c>
      <c r="O153" s="59" t="n"/>
      <c r="P153" s="59" t="n"/>
      <c r="Q153" s="59" t="n"/>
      <c r="R153" s="59" t="n"/>
      <c r="S153" s="14" t="n"/>
      <c r="U153" s="53" t="n"/>
      <c r="V153" s="53" t="n"/>
      <c r="W153" s="53" t="n"/>
      <c r="X153" s="53" t="n"/>
      <c r="Y153" s="53" t="n"/>
      <c r="Z153" s="53" t="n"/>
      <c r="AA153" s="53" t="n"/>
      <c r="AB153" s="53" t="n"/>
      <c r="AC153" s="53" t="n"/>
      <c r="AD153" s="53" t="n"/>
      <c r="AE153" s="53" t="n"/>
      <c r="AF153" s="53" t="n"/>
      <c r="AG153" s="53" t="n"/>
      <c r="AH153" s="53" t="n"/>
      <c r="AI153" s="53" t="n"/>
      <c r="AJ153" s="53" t="n"/>
      <c r="AK153" s="53" t="n"/>
      <c r="AL153" s="53" t="n"/>
      <c r="AM153" s="53" t="n"/>
      <c r="AN153" s="53" t="n"/>
      <c r="AO153" s="53" t="n"/>
      <c r="AP153" s="53" t="n"/>
      <c r="AQ153" s="53" t="n"/>
      <c r="AR153" s="53" t="n"/>
      <c r="AS153" s="53" t="n"/>
      <c r="AT153" s="53" t="n"/>
      <c r="AU153" s="53" t="n"/>
      <c r="AV153" s="53" t="n"/>
      <c r="AW153" s="53" t="n"/>
      <c r="AX153" s="53" t="n"/>
      <c r="AY153" s="53" t="n"/>
    </row>
    <row r="154" ht="15" customHeight="1">
      <c r="A154" s="62" t="n"/>
      <c r="B154" s="55">
        <f>IF($B$152="","",$B$152)</f>
        <v/>
      </c>
      <c r="C154" s="63" t="inlineStr">
        <is>
          <t>마케팅3팀</t>
        </is>
      </c>
      <c r="D154" s="55">
        <f>IF($D$152="","",$D$152)</f>
        <v/>
      </c>
      <c r="E154" s="64" t="inlineStr">
        <is>
          <t>영상</t>
        </is>
      </c>
      <c r="F154" s="44" t="n"/>
      <c r="G154" s="58">
        <f>IF($G$152="","",$G$152)</f>
        <v/>
      </c>
      <c r="H154" s="59" t="n"/>
      <c r="I154" s="59" t="n"/>
      <c r="J154" s="59" t="n"/>
      <c r="K154" s="59" t="n"/>
      <c r="L154" s="65">
        <f>IF(SUM(U154:AY154)=0,"",SUM(U154:AY154))</f>
        <v/>
      </c>
      <c r="M154" s="66">
        <f>IFERROR(INDEX(U$2:AY$2,MATCH(TRUE,INDEX(U154:AY154&lt;&gt;"",0),0)),"")</f>
        <v/>
      </c>
      <c r="N154" s="66">
        <f>IFERROR(LOOKUP(2,1/(U154:AY154&lt;&gt;""),U$2:AY$2),"")</f>
        <v/>
      </c>
      <c r="O154" s="59" t="n"/>
      <c r="P154" s="59" t="n"/>
      <c r="Q154" s="59" t="n"/>
      <c r="R154" s="59" t="n"/>
      <c r="S154" s="14" t="n"/>
      <c r="U154" s="53" t="n"/>
      <c r="V154" s="53" t="n"/>
      <c r="W154" s="53" t="n"/>
      <c r="X154" s="53" t="n"/>
      <c r="Y154" s="53" t="n"/>
      <c r="Z154" s="53" t="n"/>
      <c r="AA154" s="53" t="n"/>
      <c r="AB154" s="53" t="n"/>
      <c r="AC154" s="53" t="n"/>
      <c r="AD154" s="53" t="n"/>
      <c r="AE154" s="53" t="n"/>
      <c r="AF154" s="53" t="n"/>
      <c r="AG154" s="53" t="n"/>
      <c r="AH154" s="53" t="n"/>
      <c r="AI154" s="53" t="n"/>
      <c r="AJ154" s="53" t="n"/>
      <c r="AK154" s="53" t="n"/>
      <c r="AL154" s="53" t="n"/>
      <c r="AM154" s="53" t="n"/>
      <c r="AN154" s="53" t="n"/>
      <c r="AO154" s="53" t="n"/>
      <c r="AP154" s="53" t="n"/>
      <c r="AQ154" s="53" t="n"/>
      <c r="AR154" s="53" t="n"/>
      <c r="AS154" s="53" t="n"/>
      <c r="AT154" s="53" t="n"/>
      <c r="AU154" s="53" t="n"/>
      <c r="AV154" s="53" t="n"/>
      <c r="AW154" s="53" t="n"/>
      <c r="AX154" s="53" t="n"/>
      <c r="AY154" s="53" t="n"/>
    </row>
    <row r="155" ht="15" customHeight="1">
      <c r="A155" s="40">
        <f>IF($D$155="","",49)</f>
        <v/>
      </c>
      <c r="B155" s="10" t="n"/>
      <c r="C155" s="41" t="inlineStr">
        <is>
          <t>마케팅3팀</t>
        </is>
      </c>
      <c r="D155" s="42" t="n"/>
      <c r="E155" s="43" t="inlineStr">
        <is>
          <t>기획</t>
        </is>
      </c>
      <c r="F155" s="44" t="n"/>
      <c r="G155" s="45" t="n"/>
      <c r="H155" s="46">
        <f>IF($I$155="","",IF($I$155&lt;0,"🔴지연",IF($I$155&lt;=1,"🟡임박","🟢여유")))</f>
        <v/>
      </c>
      <c r="I155" s="47">
        <f>IF(OR($G$155="",$K$155=""),"",$G$155-$K$155)</f>
        <v/>
      </c>
      <c r="J155" s="48">
        <f>IF(SUM($L$155:$L$157)=0,"",SUM($L$155:$L$157))</f>
        <v/>
      </c>
      <c r="K155" s="49">
        <f>IF($J$155="","",MAX($N$155:$N$157))</f>
        <v/>
      </c>
      <c r="L155" s="50">
        <f>IF(SUM(U155:AY155)=0,"",SUM(U155:AY155))</f>
        <v/>
      </c>
      <c r="M155" s="51">
        <f>IFERROR(INDEX(U$2:AY$2,MATCH(TRUE,INDEX(U155:AY155&lt;&gt;"",0),0)),"")</f>
        <v/>
      </c>
      <c r="N155" s="51">
        <f>IFERROR(LOOKUP(2,1/(U155:AY155&lt;&gt;""),U$2:AY$2),"")</f>
        <v/>
      </c>
      <c r="O155" s="52" t="n"/>
      <c r="P155" s="52" t="n"/>
      <c r="Q155" s="52" t="n"/>
      <c r="R155" s="44" t="n"/>
      <c r="S155" s="14" t="n"/>
      <c r="U155" s="53" t="n"/>
      <c r="V155" s="53" t="n"/>
      <c r="W155" s="53" t="n"/>
      <c r="X155" s="53" t="n"/>
      <c r="Y155" s="53" t="n"/>
      <c r="Z155" s="53" t="n"/>
      <c r="AA155" s="53" t="n"/>
      <c r="AB155" s="53" t="n"/>
      <c r="AC155" s="53" t="n"/>
      <c r="AD155" s="53" t="n"/>
      <c r="AE155" s="53" t="n"/>
      <c r="AF155" s="53" t="n"/>
      <c r="AG155" s="53" t="n"/>
      <c r="AH155" s="53" t="n"/>
      <c r="AI155" s="53" t="n"/>
      <c r="AJ155" s="53" t="n"/>
      <c r="AK155" s="53" t="n"/>
      <c r="AL155" s="53" t="n"/>
      <c r="AM155" s="53" t="n"/>
      <c r="AN155" s="53" t="n"/>
      <c r="AO155" s="53" t="n"/>
      <c r="AP155" s="53" t="n"/>
      <c r="AQ155" s="53" t="n"/>
      <c r="AR155" s="53" t="n"/>
      <c r="AS155" s="53" t="n"/>
      <c r="AT155" s="53" t="n"/>
      <c r="AU155" s="53" t="n"/>
      <c r="AV155" s="53" t="n"/>
      <c r="AW155" s="53" t="n"/>
      <c r="AX155" s="53" t="n"/>
      <c r="AY155" s="53" t="n"/>
    </row>
    <row r="156" ht="15" customHeight="1">
      <c r="A156" s="54" t="n"/>
      <c r="B156" s="55">
        <f>IF($B$155="","",$B$155)</f>
        <v/>
      </c>
      <c r="C156" s="56" t="inlineStr">
        <is>
          <t>마케팅3팀</t>
        </is>
      </c>
      <c r="D156" s="55">
        <f>IF($D$155="","",$D$155)</f>
        <v/>
      </c>
      <c r="E156" s="57" t="inlineStr">
        <is>
          <t>이미지</t>
        </is>
      </c>
      <c r="F156" s="44" t="n"/>
      <c r="G156" s="58">
        <f>IF($G$155="","",$G$155)</f>
        <v/>
      </c>
      <c r="H156" s="59" t="n"/>
      <c r="I156" s="59" t="n"/>
      <c r="J156" s="59" t="n"/>
      <c r="K156" s="59" t="n"/>
      <c r="L156" s="60">
        <f>IF(SUM(U156:AY156)=0,"",SUM(U156:AY156))</f>
        <v/>
      </c>
      <c r="M156" s="61">
        <f>IFERROR(INDEX(U$2:AY$2,MATCH(TRUE,INDEX(U156:AY156&lt;&gt;"",0),0)),"")</f>
        <v/>
      </c>
      <c r="N156" s="61">
        <f>IFERROR(LOOKUP(2,1/(U156:AY156&lt;&gt;""),U$2:AY$2),"")</f>
        <v/>
      </c>
      <c r="O156" s="59" t="n"/>
      <c r="P156" s="59" t="n"/>
      <c r="Q156" s="59" t="n"/>
      <c r="R156" s="59" t="n"/>
      <c r="S156" s="14" t="n"/>
      <c r="U156" s="53" t="n"/>
      <c r="V156" s="53" t="n"/>
      <c r="W156" s="53" t="n"/>
      <c r="X156" s="53" t="n"/>
      <c r="Y156" s="53" t="n"/>
      <c r="Z156" s="53" t="n"/>
      <c r="AA156" s="53" t="n"/>
      <c r="AB156" s="53" t="n"/>
      <c r="AC156" s="53" t="n"/>
      <c r="AD156" s="53" t="n"/>
      <c r="AE156" s="53" t="n"/>
      <c r="AF156" s="53" t="n"/>
      <c r="AG156" s="53" t="n"/>
      <c r="AH156" s="53" t="n"/>
      <c r="AI156" s="53" t="n"/>
      <c r="AJ156" s="53" t="n"/>
      <c r="AK156" s="53" t="n"/>
      <c r="AL156" s="53" t="n"/>
      <c r="AM156" s="53" t="n"/>
      <c r="AN156" s="53" t="n"/>
      <c r="AO156" s="53" t="n"/>
      <c r="AP156" s="53" t="n"/>
      <c r="AQ156" s="53" t="n"/>
      <c r="AR156" s="53" t="n"/>
      <c r="AS156" s="53" t="n"/>
      <c r="AT156" s="53" t="n"/>
      <c r="AU156" s="53" t="n"/>
      <c r="AV156" s="53" t="n"/>
      <c r="AW156" s="53" t="n"/>
      <c r="AX156" s="53" t="n"/>
      <c r="AY156" s="53" t="n"/>
    </row>
    <row r="157" ht="15" customHeight="1">
      <c r="A157" s="62" t="n"/>
      <c r="B157" s="55">
        <f>IF($B$155="","",$B$155)</f>
        <v/>
      </c>
      <c r="C157" s="63" t="inlineStr">
        <is>
          <t>마케팅3팀</t>
        </is>
      </c>
      <c r="D157" s="55">
        <f>IF($D$155="","",$D$155)</f>
        <v/>
      </c>
      <c r="E157" s="64" t="inlineStr">
        <is>
          <t>영상</t>
        </is>
      </c>
      <c r="F157" s="44" t="n"/>
      <c r="G157" s="58">
        <f>IF($G$155="","",$G$155)</f>
        <v/>
      </c>
      <c r="H157" s="59" t="n"/>
      <c r="I157" s="59" t="n"/>
      <c r="J157" s="59" t="n"/>
      <c r="K157" s="59" t="n"/>
      <c r="L157" s="65">
        <f>IF(SUM(U157:AY157)=0,"",SUM(U157:AY157))</f>
        <v/>
      </c>
      <c r="M157" s="66">
        <f>IFERROR(INDEX(U$2:AY$2,MATCH(TRUE,INDEX(U157:AY157&lt;&gt;"",0),0)),"")</f>
        <v/>
      </c>
      <c r="N157" s="66">
        <f>IFERROR(LOOKUP(2,1/(U157:AY157&lt;&gt;""),U$2:AY$2),"")</f>
        <v/>
      </c>
      <c r="O157" s="59" t="n"/>
      <c r="P157" s="59" t="n"/>
      <c r="Q157" s="59" t="n"/>
      <c r="R157" s="59" t="n"/>
      <c r="S157" s="14" t="n"/>
      <c r="U157" s="53" t="n"/>
      <c r="V157" s="53" t="n"/>
      <c r="W157" s="53" t="n"/>
      <c r="X157" s="53" t="n"/>
      <c r="Y157" s="53" t="n"/>
      <c r="Z157" s="53" t="n"/>
      <c r="AA157" s="53" t="n"/>
      <c r="AB157" s="53" t="n"/>
      <c r="AC157" s="53" t="n"/>
      <c r="AD157" s="53" t="n"/>
      <c r="AE157" s="53" t="n"/>
      <c r="AF157" s="53" t="n"/>
      <c r="AG157" s="53" t="n"/>
      <c r="AH157" s="53" t="n"/>
      <c r="AI157" s="53" t="n"/>
      <c r="AJ157" s="53" t="n"/>
      <c r="AK157" s="53" t="n"/>
      <c r="AL157" s="53" t="n"/>
      <c r="AM157" s="53" t="n"/>
      <c r="AN157" s="53" t="n"/>
      <c r="AO157" s="53" t="n"/>
      <c r="AP157" s="53" t="n"/>
      <c r="AQ157" s="53" t="n"/>
      <c r="AR157" s="53" t="n"/>
      <c r="AS157" s="53" t="n"/>
      <c r="AT157" s="53" t="n"/>
      <c r="AU157" s="53" t="n"/>
      <c r="AV157" s="53" t="n"/>
      <c r="AW157" s="53" t="n"/>
      <c r="AX157" s="53" t="n"/>
      <c r="AY157" s="53" t="n"/>
    </row>
    <row r="158" ht="15" customHeight="1">
      <c r="A158" s="40">
        <f>IF($D$158="","",50)</f>
        <v/>
      </c>
      <c r="B158" s="10" t="n"/>
      <c r="C158" s="41" t="inlineStr">
        <is>
          <t>마케팅3팀</t>
        </is>
      </c>
      <c r="D158" s="42" t="n"/>
      <c r="E158" s="43" t="inlineStr">
        <is>
          <t>기획</t>
        </is>
      </c>
      <c r="F158" s="44" t="n"/>
      <c r="G158" s="45" t="n"/>
      <c r="H158" s="46">
        <f>IF($I$158="","",IF($I$158&lt;0,"🔴지연",IF($I$158&lt;=1,"🟡임박","🟢여유")))</f>
        <v/>
      </c>
      <c r="I158" s="47">
        <f>IF(OR($G$158="",$K$158=""),"",$G$158-$K$158)</f>
        <v/>
      </c>
      <c r="J158" s="48">
        <f>IF(SUM($L$158:$L$160)=0,"",SUM($L$158:$L$160))</f>
        <v/>
      </c>
      <c r="K158" s="49">
        <f>IF($J$158="","",MAX($N$158:$N$160))</f>
        <v/>
      </c>
      <c r="L158" s="50">
        <f>IF(SUM(U158:AY158)=0,"",SUM(U158:AY158))</f>
        <v/>
      </c>
      <c r="M158" s="51">
        <f>IFERROR(INDEX(U$2:AY$2,MATCH(TRUE,INDEX(U158:AY158&lt;&gt;"",0),0)),"")</f>
        <v/>
      </c>
      <c r="N158" s="51">
        <f>IFERROR(LOOKUP(2,1/(U158:AY158&lt;&gt;""),U$2:AY$2),"")</f>
        <v/>
      </c>
      <c r="O158" s="52" t="n"/>
      <c r="P158" s="52" t="n"/>
      <c r="Q158" s="52" t="n"/>
      <c r="R158" s="44" t="n"/>
      <c r="S158" s="14" t="n"/>
      <c r="U158" s="53" t="n"/>
      <c r="V158" s="53" t="n"/>
      <c r="W158" s="53" t="n"/>
      <c r="X158" s="53" t="n"/>
      <c r="Y158" s="53" t="n"/>
      <c r="Z158" s="53" t="n"/>
      <c r="AA158" s="53" t="n"/>
      <c r="AB158" s="53" t="n"/>
      <c r="AC158" s="53" t="n"/>
      <c r="AD158" s="53" t="n"/>
      <c r="AE158" s="53" t="n"/>
      <c r="AF158" s="53" t="n"/>
      <c r="AG158" s="53" t="n"/>
      <c r="AH158" s="53" t="n"/>
      <c r="AI158" s="53" t="n"/>
      <c r="AJ158" s="53" t="n"/>
      <c r="AK158" s="53" t="n"/>
      <c r="AL158" s="53" t="n"/>
      <c r="AM158" s="53" t="n"/>
      <c r="AN158" s="53" t="n"/>
      <c r="AO158" s="53" t="n"/>
      <c r="AP158" s="53" t="n"/>
      <c r="AQ158" s="53" t="n"/>
      <c r="AR158" s="53" t="n"/>
      <c r="AS158" s="53" t="n"/>
      <c r="AT158" s="53" t="n"/>
      <c r="AU158" s="53" t="n"/>
      <c r="AV158" s="53" t="n"/>
      <c r="AW158" s="53" t="n"/>
      <c r="AX158" s="53" t="n"/>
      <c r="AY158" s="53" t="n"/>
    </row>
    <row r="159" ht="15" customHeight="1">
      <c r="A159" s="54" t="n"/>
      <c r="B159" s="55">
        <f>IF($B$158="","",$B$158)</f>
        <v/>
      </c>
      <c r="C159" s="56" t="inlineStr">
        <is>
          <t>마케팅3팀</t>
        </is>
      </c>
      <c r="D159" s="55">
        <f>IF($D$158="","",$D$158)</f>
        <v/>
      </c>
      <c r="E159" s="57" t="inlineStr">
        <is>
          <t>이미지</t>
        </is>
      </c>
      <c r="F159" s="44" t="n"/>
      <c r="G159" s="58">
        <f>IF($G$158="","",$G$158)</f>
        <v/>
      </c>
      <c r="H159" s="59" t="n"/>
      <c r="I159" s="59" t="n"/>
      <c r="J159" s="59" t="n"/>
      <c r="K159" s="59" t="n"/>
      <c r="L159" s="60">
        <f>IF(SUM(U159:AY159)=0,"",SUM(U159:AY159))</f>
        <v/>
      </c>
      <c r="M159" s="61">
        <f>IFERROR(INDEX(U$2:AY$2,MATCH(TRUE,INDEX(U159:AY159&lt;&gt;"",0),0)),"")</f>
        <v/>
      </c>
      <c r="N159" s="61">
        <f>IFERROR(LOOKUP(2,1/(U159:AY159&lt;&gt;""),U$2:AY$2),"")</f>
        <v/>
      </c>
      <c r="O159" s="59" t="n"/>
      <c r="P159" s="59" t="n"/>
      <c r="Q159" s="59" t="n"/>
      <c r="R159" s="59" t="n"/>
      <c r="S159" s="14" t="n"/>
      <c r="U159" s="53" t="n"/>
      <c r="V159" s="53" t="n"/>
      <c r="W159" s="53" t="n"/>
      <c r="X159" s="53" t="n"/>
      <c r="Y159" s="53" t="n"/>
      <c r="Z159" s="53" t="n"/>
      <c r="AA159" s="53" t="n"/>
      <c r="AB159" s="53" t="n"/>
      <c r="AC159" s="53" t="n"/>
      <c r="AD159" s="53" t="n"/>
      <c r="AE159" s="53" t="n"/>
      <c r="AF159" s="53" t="n"/>
      <c r="AG159" s="53" t="n"/>
      <c r="AH159" s="53" t="n"/>
      <c r="AI159" s="53" t="n"/>
      <c r="AJ159" s="53" t="n"/>
      <c r="AK159" s="53" t="n"/>
      <c r="AL159" s="53" t="n"/>
      <c r="AM159" s="53" t="n"/>
      <c r="AN159" s="53" t="n"/>
      <c r="AO159" s="53" t="n"/>
      <c r="AP159" s="53" t="n"/>
      <c r="AQ159" s="53" t="n"/>
      <c r="AR159" s="53" t="n"/>
      <c r="AS159" s="53" t="n"/>
      <c r="AT159" s="53" t="n"/>
      <c r="AU159" s="53" t="n"/>
      <c r="AV159" s="53" t="n"/>
      <c r="AW159" s="53" t="n"/>
      <c r="AX159" s="53" t="n"/>
      <c r="AY159" s="53" t="n"/>
    </row>
    <row r="160" ht="15" customHeight="1">
      <c r="A160" s="62" t="n"/>
      <c r="B160" s="55">
        <f>IF($B$158="","",$B$158)</f>
        <v/>
      </c>
      <c r="C160" s="63" t="inlineStr">
        <is>
          <t>마케팅3팀</t>
        </is>
      </c>
      <c r="D160" s="55">
        <f>IF($D$158="","",$D$158)</f>
        <v/>
      </c>
      <c r="E160" s="64" t="inlineStr">
        <is>
          <t>영상</t>
        </is>
      </c>
      <c r="F160" s="44" t="n"/>
      <c r="G160" s="58">
        <f>IF($G$158="","",$G$158)</f>
        <v/>
      </c>
      <c r="H160" s="59" t="n"/>
      <c r="I160" s="59" t="n"/>
      <c r="J160" s="59" t="n"/>
      <c r="K160" s="59" t="n"/>
      <c r="L160" s="65">
        <f>IF(SUM(U160:AY160)=0,"",SUM(U160:AY160))</f>
        <v/>
      </c>
      <c r="M160" s="66">
        <f>IFERROR(INDEX(U$2:AY$2,MATCH(TRUE,INDEX(U160:AY160&lt;&gt;"",0),0)),"")</f>
        <v/>
      </c>
      <c r="N160" s="66">
        <f>IFERROR(LOOKUP(2,1/(U160:AY160&lt;&gt;""),U$2:AY$2),"")</f>
        <v/>
      </c>
      <c r="O160" s="59" t="n"/>
      <c r="P160" s="59" t="n"/>
      <c r="Q160" s="59" t="n"/>
      <c r="R160" s="59" t="n"/>
      <c r="S160" s="14" t="n"/>
      <c r="U160" s="53" t="n"/>
      <c r="V160" s="53" t="n"/>
      <c r="W160" s="53" t="n"/>
      <c r="X160" s="53" t="n"/>
      <c r="Y160" s="53" t="n"/>
      <c r="Z160" s="53" t="n"/>
      <c r="AA160" s="53" t="n"/>
      <c r="AB160" s="53" t="n"/>
      <c r="AC160" s="53" t="n"/>
      <c r="AD160" s="53" t="n"/>
      <c r="AE160" s="53" t="n"/>
      <c r="AF160" s="53" t="n"/>
      <c r="AG160" s="53" t="n"/>
      <c r="AH160" s="53" t="n"/>
      <c r="AI160" s="53" t="n"/>
      <c r="AJ160" s="53" t="n"/>
      <c r="AK160" s="53" t="n"/>
      <c r="AL160" s="53" t="n"/>
      <c r="AM160" s="53" t="n"/>
      <c r="AN160" s="53" t="n"/>
      <c r="AO160" s="53" t="n"/>
      <c r="AP160" s="53" t="n"/>
      <c r="AQ160" s="53" t="n"/>
      <c r="AR160" s="53" t="n"/>
      <c r="AS160" s="53" t="n"/>
      <c r="AT160" s="53" t="n"/>
      <c r="AU160" s="53" t="n"/>
      <c r="AV160" s="53" t="n"/>
      <c r="AW160" s="53" t="n"/>
      <c r="AX160" s="53" t="n"/>
      <c r="AY160" s="53" t="n"/>
    </row>
    <row r="161" ht="15" customHeight="1">
      <c r="A161" s="40">
        <f>IF($D$161="","",51)</f>
        <v/>
      </c>
      <c r="B161" s="10" t="n"/>
      <c r="C161" s="41" t="inlineStr">
        <is>
          <t>마케팅3팀</t>
        </is>
      </c>
      <c r="D161" s="42" t="n"/>
      <c r="E161" s="43" t="inlineStr">
        <is>
          <t>기획</t>
        </is>
      </c>
      <c r="F161" s="44" t="n"/>
      <c r="G161" s="45" t="n"/>
      <c r="H161" s="46">
        <f>IF($I$161="","",IF($I$161&lt;0,"🔴지연",IF($I$161&lt;=1,"🟡임박","🟢여유")))</f>
        <v/>
      </c>
      <c r="I161" s="47">
        <f>IF(OR($G$161="",$K$161=""),"",$G$161-$K$161)</f>
        <v/>
      </c>
      <c r="J161" s="48">
        <f>IF(SUM($L$161:$L$163)=0,"",SUM($L$161:$L$163))</f>
        <v/>
      </c>
      <c r="K161" s="49">
        <f>IF($J$161="","",MAX($N$161:$N$163))</f>
        <v/>
      </c>
      <c r="L161" s="50">
        <f>IF(SUM(U161:AY161)=0,"",SUM(U161:AY161))</f>
        <v/>
      </c>
      <c r="M161" s="51">
        <f>IFERROR(INDEX(U$2:AY$2,MATCH(TRUE,INDEX(U161:AY161&lt;&gt;"",0),0)),"")</f>
        <v/>
      </c>
      <c r="N161" s="51">
        <f>IFERROR(LOOKUP(2,1/(U161:AY161&lt;&gt;""),U$2:AY$2),"")</f>
        <v/>
      </c>
      <c r="O161" s="52" t="n"/>
      <c r="P161" s="52" t="n"/>
      <c r="Q161" s="52" t="n"/>
      <c r="R161" s="44" t="n"/>
      <c r="S161" s="14" t="n"/>
      <c r="U161" s="53" t="n"/>
      <c r="V161" s="53" t="n"/>
      <c r="W161" s="53" t="n"/>
      <c r="X161" s="53" t="n"/>
      <c r="Y161" s="53" t="n"/>
      <c r="Z161" s="53" t="n"/>
      <c r="AA161" s="53" t="n"/>
      <c r="AB161" s="53" t="n"/>
      <c r="AC161" s="53" t="n"/>
      <c r="AD161" s="53" t="n"/>
      <c r="AE161" s="53" t="n"/>
      <c r="AF161" s="53" t="n"/>
      <c r="AG161" s="53" t="n"/>
      <c r="AH161" s="53" t="n"/>
      <c r="AI161" s="53" t="n"/>
      <c r="AJ161" s="53" t="n"/>
      <c r="AK161" s="53" t="n"/>
      <c r="AL161" s="53" t="n"/>
      <c r="AM161" s="53" t="n"/>
      <c r="AN161" s="53" t="n"/>
      <c r="AO161" s="53" t="n"/>
      <c r="AP161" s="53" t="n"/>
      <c r="AQ161" s="53" t="n"/>
      <c r="AR161" s="53" t="n"/>
      <c r="AS161" s="53" t="n"/>
      <c r="AT161" s="53" t="n"/>
      <c r="AU161" s="53" t="n"/>
      <c r="AV161" s="53" t="n"/>
      <c r="AW161" s="53" t="n"/>
      <c r="AX161" s="53" t="n"/>
      <c r="AY161" s="53" t="n"/>
    </row>
    <row r="162" ht="15" customHeight="1">
      <c r="A162" s="54" t="n"/>
      <c r="B162" s="55">
        <f>IF($B$161="","",$B$161)</f>
        <v/>
      </c>
      <c r="C162" s="56" t="inlineStr">
        <is>
          <t>마케팅3팀</t>
        </is>
      </c>
      <c r="D162" s="55">
        <f>IF($D$161="","",$D$161)</f>
        <v/>
      </c>
      <c r="E162" s="57" t="inlineStr">
        <is>
          <t>이미지</t>
        </is>
      </c>
      <c r="F162" s="44" t="n"/>
      <c r="G162" s="58">
        <f>IF($G$161="","",$G$161)</f>
        <v/>
      </c>
      <c r="H162" s="59" t="n"/>
      <c r="I162" s="59" t="n"/>
      <c r="J162" s="59" t="n"/>
      <c r="K162" s="59" t="n"/>
      <c r="L162" s="60">
        <f>IF(SUM(U162:AY162)=0,"",SUM(U162:AY162))</f>
        <v/>
      </c>
      <c r="M162" s="61">
        <f>IFERROR(INDEX(U$2:AY$2,MATCH(TRUE,INDEX(U162:AY162&lt;&gt;"",0),0)),"")</f>
        <v/>
      </c>
      <c r="N162" s="61">
        <f>IFERROR(LOOKUP(2,1/(U162:AY162&lt;&gt;""),U$2:AY$2),"")</f>
        <v/>
      </c>
      <c r="O162" s="59" t="n"/>
      <c r="P162" s="59" t="n"/>
      <c r="Q162" s="59" t="n"/>
      <c r="R162" s="59" t="n"/>
      <c r="S162" s="14" t="n"/>
      <c r="U162" s="53" t="n"/>
      <c r="V162" s="53" t="n"/>
      <c r="W162" s="53" t="n"/>
      <c r="X162" s="53" t="n"/>
      <c r="Y162" s="53" t="n"/>
      <c r="Z162" s="53" t="n"/>
      <c r="AA162" s="53" t="n"/>
      <c r="AB162" s="53" t="n"/>
      <c r="AC162" s="53" t="n"/>
      <c r="AD162" s="53" t="n"/>
      <c r="AE162" s="53" t="n"/>
      <c r="AF162" s="53" t="n"/>
      <c r="AG162" s="53" t="n"/>
      <c r="AH162" s="53" t="n"/>
      <c r="AI162" s="53" t="n"/>
      <c r="AJ162" s="53" t="n"/>
      <c r="AK162" s="53" t="n"/>
      <c r="AL162" s="53" t="n"/>
      <c r="AM162" s="53" t="n"/>
      <c r="AN162" s="53" t="n"/>
      <c r="AO162" s="53" t="n"/>
      <c r="AP162" s="53" t="n"/>
      <c r="AQ162" s="53" t="n"/>
      <c r="AR162" s="53" t="n"/>
      <c r="AS162" s="53" t="n"/>
      <c r="AT162" s="53" t="n"/>
      <c r="AU162" s="53" t="n"/>
      <c r="AV162" s="53" t="n"/>
      <c r="AW162" s="53" t="n"/>
      <c r="AX162" s="53" t="n"/>
      <c r="AY162" s="53" t="n"/>
    </row>
    <row r="163" ht="15" customHeight="1">
      <c r="A163" s="62" t="n"/>
      <c r="B163" s="55">
        <f>IF($B$161="","",$B$161)</f>
        <v/>
      </c>
      <c r="C163" s="63" t="inlineStr">
        <is>
          <t>마케팅3팀</t>
        </is>
      </c>
      <c r="D163" s="55">
        <f>IF($D$161="","",$D$161)</f>
        <v/>
      </c>
      <c r="E163" s="64" t="inlineStr">
        <is>
          <t>영상</t>
        </is>
      </c>
      <c r="F163" s="44" t="n"/>
      <c r="G163" s="58">
        <f>IF($G$161="","",$G$161)</f>
        <v/>
      </c>
      <c r="H163" s="59" t="n"/>
      <c r="I163" s="59" t="n"/>
      <c r="J163" s="59" t="n"/>
      <c r="K163" s="59" t="n"/>
      <c r="L163" s="65">
        <f>IF(SUM(U163:AY163)=0,"",SUM(U163:AY163))</f>
        <v/>
      </c>
      <c r="M163" s="66">
        <f>IFERROR(INDEX(U$2:AY$2,MATCH(TRUE,INDEX(U163:AY163&lt;&gt;"",0),0)),"")</f>
        <v/>
      </c>
      <c r="N163" s="66">
        <f>IFERROR(LOOKUP(2,1/(U163:AY163&lt;&gt;""),U$2:AY$2),"")</f>
        <v/>
      </c>
      <c r="O163" s="59" t="n"/>
      <c r="P163" s="59" t="n"/>
      <c r="Q163" s="59" t="n"/>
      <c r="R163" s="59" t="n"/>
      <c r="S163" s="14" t="n"/>
      <c r="U163" s="53" t="n"/>
      <c r="V163" s="53" t="n"/>
      <c r="W163" s="53" t="n"/>
      <c r="X163" s="53" t="n"/>
      <c r="Y163" s="53" t="n"/>
      <c r="Z163" s="53" t="n"/>
      <c r="AA163" s="53" t="n"/>
      <c r="AB163" s="53" t="n"/>
      <c r="AC163" s="53" t="n"/>
      <c r="AD163" s="53" t="n"/>
      <c r="AE163" s="53" t="n"/>
      <c r="AF163" s="53" t="n"/>
      <c r="AG163" s="53" t="n"/>
      <c r="AH163" s="53" t="n"/>
      <c r="AI163" s="53" t="n"/>
      <c r="AJ163" s="53" t="n"/>
      <c r="AK163" s="53" t="n"/>
      <c r="AL163" s="53" t="n"/>
      <c r="AM163" s="53" t="n"/>
      <c r="AN163" s="53" t="n"/>
      <c r="AO163" s="53" t="n"/>
      <c r="AP163" s="53" t="n"/>
      <c r="AQ163" s="53" t="n"/>
      <c r="AR163" s="53" t="n"/>
      <c r="AS163" s="53" t="n"/>
      <c r="AT163" s="53" t="n"/>
      <c r="AU163" s="53" t="n"/>
      <c r="AV163" s="53" t="n"/>
      <c r="AW163" s="53" t="n"/>
      <c r="AX163" s="53" t="n"/>
      <c r="AY163" s="53" t="n"/>
    </row>
    <row r="164" ht="15" customHeight="1">
      <c r="A164" s="40">
        <f>IF($D$164="","",52)</f>
        <v/>
      </c>
      <c r="B164" s="10" t="n"/>
      <c r="C164" s="41" t="inlineStr">
        <is>
          <t>마케팅3팀</t>
        </is>
      </c>
      <c r="D164" s="42" t="n"/>
      <c r="E164" s="43" t="inlineStr">
        <is>
          <t>기획</t>
        </is>
      </c>
      <c r="F164" s="44" t="n"/>
      <c r="G164" s="45" t="n"/>
      <c r="H164" s="46">
        <f>IF($I$164="","",IF($I$164&lt;0,"🔴지연",IF($I$164&lt;=1,"🟡임박","🟢여유")))</f>
        <v/>
      </c>
      <c r="I164" s="47">
        <f>IF(OR($G$164="",$K$164=""),"",$G$164-$K$164)</f>
        <v/>
      </c>
      <c r="J164" s="48">
        <f>IF(SUM($L$164:$L$166)=0,"",SUM($L$164:$L$166))</f>
        <v/>
      </c>
      <c r="K164" s="49">
        <f>IF($J$164="","",MAX($N$164:$N$166))</f>
        <v/>
      </c>
      <c r="L164" s="50">
        <f>IF(SUM(U164:AY164)=0,"",SUM(U164:AY164))</f>
        <v/>
      </c>
      <c r="M164" s="51">
        <f>IFERROR(INDEX(U$2:AY$2,MATCH(TRUE,INDEX(U164:AY164&lt;&gt;"",0),0)),"")</f>
        <v/>
      </c>
      <c r="N164" s="51">
        <f>IFERROR(LOOKUP(2,1/(U164:AY164&lt;&gt;""),U$2:AY$2),"")</f>
        <v/>
      </c>
      <c r="O164" s="52" t="n"/>
      <c r="P164" s="52" t="n"/>
      <c r="Q164" s="52" t="n"/>
      <c r="R164" s="44" t="n"/>
      <c r="S164" s="14" t="n"/>
      <c r="U164" s="53" t="n"/>
      <c r="V164" s="53" t="n"/>
      <c r="W164" s="53" t="n"/>
      <c r="X164" s="53" t="n"/>
      <c r="Y164" s="53" t="n"/>
      <c r="Z164" s="53" t="n"/>
      <c r="AA164" s="53" t="n"/>
      <c r="AB164" s="53" t="n"/>
      <c r="AC164" s="53" t="n"/>
      <c r="AD164" s="53" t="n"/>
      <c r="AE164" s="53" t="n"/>
      <c r="AF164" s="53" t="n"/>
      <c r="AG164" s="53" t="n"/>
      <c r="AH164" s="53" t="n"/>
      <c r="AI164" s="53" t="n"/>
      <c r="AJ164" s="53" t="n"/>
      <c r="AK164" s="53" t="n"/>
      <c r="AL164" s="53" t="n"/>
      <c r="AM164" s="53" t="n"/>
      <c r="AN164" s="53" t="n"/>
      <c r="AO164" s="53" t="n"/>
      <c r="AP164" s="53" t="n"/>
      <c r="AQ164" s="53" t="n"/>
      <c r="AR164" s="53" t="n"/>
      <c r="AS164" s="53" t="n"/>
      <c r="AT164" s="53" t="n"/>
      <c r="AU164" s="53" t="n"/>
      <c r="AV164" s="53" t="n"/>
      <c r="AW164" s="53" t="n"/>
      <c r="AX164" s="53" t="n"/>
      <c r="AY164" s="53" t="n"/>
    </row>
    <row r="165" ht="15" customHeight="1">
      <c r="A165" s="54" t="n"/>
      <c r="B165" s="55">
        <f>IF($B$164="","",$B$164)</f>
        <v/>
      </c>
      <c r="C165" s="56" t="inlineStr">
        <is>
          <t>마케팅3팀</t>
        </is>
      </c>
      <c r="D165" s="55">
        <f>IF($D$164="","",$D$164)</f>
        <v/>
      </c>
      <c r="E165" s="57" t="inlineStr">
        <is>
          <t>이미지</t>
        </is>
      </c>
      <c r="F165" s="44" t="n"/>
      <c r="G165" s="58">
        <f>IF($G$164="","",$G$164)</f>
        <v/>
      </c>
      <c r="H165" s="59" t="n"/>
      <c r="I165" s="59" t="n"/>
      <c r="J165" s="59" t="n"/>
      <c r="K165" s="59" t="n"/>
      <c r="L165" s="60">
        <f>IF(SUM(U165:AY165)=0,"",SUM(U165:AY165))</f>
        <v/>
      </c>
      <c r="M165" s="61">
        <f>IFERROR(INDEX(U$2:AY$2,MATCH(TRUE,INDEX(U165:AY165&lt;&gt;"",0),0)),"")</f>
        <v/>
      </c>
      <c r="N165" s="61">
        <f>IFERROR(LOOKUP(2,1/(U165:AY165&lt;&gt;""),U$2:AY$2),"")</f>
        <v/>
      </c>
      <c r="O165" s="59" t="n"/>
      <c r="P165" s="59" t="n"/>
      <c r="Q165" s="59" t="n"/>
      <c r="R165" s="59" t="n"/>
      <c r="S165" s="14" t="n"/>
      <c r="U165" s="53" t="n"/>
      <c r="V165" s="53" t="n"/>
      <c r="W165" s="53" t="n"/>
      <c r="X165" s="53" t="n"/>
      <c r="Y165" s="53" t="n"/>
      <c r="Z165" s="53" t="n"/>
      <c r="AA165" s="53" t="n"/>
      <c r="AB165" s="53" t="n"/>
      <c r="AC165" s="53" t="n"/>
      <c r="AD165" s="53" t="n"/>
      <c r="AE165" s="53" t="n"/>
      <c r="AF165" s="53" t="n"/>
      <c r="AG165" s="53" t="n"/>
      <c r="AH165" s="53" t="n"/>
      <c r="AI165" s="53" t="n"/>
      <c r="AJ165" s="53" t="n"/>
      <c r="AK165" s="53" t="n"/>
      <c r="AL165" s="53" t="n"/>
      <c r="AM165" s="53" t="n"/>
      <c r="AN165" s="53" t="n"/>
      <c r="AO165" s="53" t="n"/>
      <c r="AP165" s="53" t="n"/>
      <c r="AQ165" s="53" t="n"/>
      <c r="AR165" s="53" t="n"/>
      <c r="AS165" s="53" t="n"/>
      <c r="AT165" s="53" t="n"/>
      <c r="AU165" s="53" t="n"/>
      <c r="AV165" s="53" t="n"/>
      <c r="AW165" s="53" t="n"/>
      <c r="AX165" s="53" t="n"/>
      <c r="AY165" s="53" t="n"/>
    </row>
    <row r="166" ht="15" customHeight="1">
      <c r="A166" s="62" t="n"/>
      <c r="B166" s="55">
        <f>IF($B$164="","",$B$164)</f>
        <v/>
      </c>
      <c r="C166" s="63" t="inlineStr">
        <is>
          <t>마케팅3팀</t>
        </is>
      </c>
      <c r="D166" s="55">
        <f>IF($D$164="","",$D$164)</f>
        <v/>
      </c>
      <c r="E166" s="64" t="inlineStr">
        <is>
          <t>영상</t>
        </is>
      </c>
      <c r="F166" s="44" t="n"/>
      <c r="G166" s="58">
        <f>IF($G$164="","",$G$164)</f>
        <v/>
      </c>
      <c r="H166" s="59" t="n"/>
      <c r="I166" s="59" t="n"/>
      <c r="J166" s="59" t="n"/>
      <c r="K166" s="59" t="n"/>
      <c r="L166" s="65">
        <f>IF(SUM(U166:AY166)=0,"",SUM(U166:AY166))</f>
        <v/>
      </c>
      <c r="M166" s="66">
        <f>IFERROR(INDEX(U$2:AY$2,MATCH(TRUE,INDEX(U166:AY166&lt;&gt;"",0),0)),"")</f>
        <v/>
      </c>
      <c r="N166" s="66">
        <f>IFERROR(LOOKUP(2,1/(U166:AY166&lt;&gt;""),U$2:AY$2),"")</f>
        <v/>
      </c>
      <c r="O166" s="59" t="n"/>
      <c r="P166" s="59" t="n"/>
      <c r="Q166" s="59" t="n"/>
      <c r="R166" s="59" t="n"/>
      <c r="S166" s="14" t="n"/>
      <c r="U166" s="53" t="n"/>
      <c r="V166" s="53" t="n"/>
      <c r="W166" s="53" t="n"/>
      <c r="X166" s="53" t="n"/>
      <c r="Y166" s="53" t="n"/>
      <c r="Z166" s="53" t="n"/>
      <c r="AA166" s="53" t="n"/>
      <c r="AB166" s="53" t="n"/>
      <c r="AC166" s="53" t="n"/>
      <c r="AD166" s="53" t="n"/>
      <c r="AE166" s="53" t="n"/>
      <c r="AF166" s="53" t="n"/>
      <c r="AG166" s="53" t="n"/>
      <c r="AH166" s="53" t="n"/>
      <c r="AI166" s="53" t="n"/>
      <c r="AJ166" s="53" t="n"/>
      <c r="AK166" s="53" t="n"/>
      <c r="AL166" s="53" t="n"/>
      <c r="AM166" s="53" t="n"/>
      <c r="AN166" s="53" t="n"/>
      <c r="AO166" s="53" t="n"/>
      <c r="AP166" s="53" t="n"/>
      <c r="AQ166" s="53" t="n"/>
      <c r="AR166" s="53" t="n"/>
      <c r="AS166" s="53" t="n"/>
      <c r="AT166" s="53" t="n"/>
      <c r="AU166" s="53" t="n"/>
      <c r="AV166" s="53" t="n"/>
      <c r="AW166" s="53" t="n"/>
      <c r="AX166" s="53" t="n"/>
      <c r="AY166" s="53" t="n"/>
    </row>
    <row r="167" ht="15" customHeight="1">
      <c r="A167" s="40">
        <f>IF($D$167="","",53)</f>
        <v/>
      </c>
      <c r="B167" s="10" t="n"/>
      <c r="C167" s="41" t="inlineStr">
        <is>
          <t>마케팅3팀</t>
        </is>
      </c>
      <c r="D167" s="42" t="n"/>
      <c r="E167" s="43" t="inlineStr">
        <is>
          <t>기획</t>
        </is>
      </c>
      <c r="F167" s="44" t="n"/>
      <c r="G167" s="45" t="n"/>
      <c r="H167" s="46">
        <f>IF($I$167="","",IF($I$167&lt;0,"🔴지연",IF($I$167&lt;=1,"🟡임박","🟢여유")))</f>
        <v/>
      </c>
      <c r="I167" s="47">
        <f>IF(OR($G$167="",$K$167=""),"",$G$167-$K$167)</f>
        <v/>
      </c>
      <c r="J167" s="48">
        <f>IF(SUM($L$167:$L$169)=0,"",SUM($L$167:$L$169))</f>
        <v/>
      </c>
      <c r="K167" s="49">
        <f>IF($J$167="","",MAX($N$167:$N$169))</f>
        <v/>
      </c>
      <c r="L167" s="50">
        <f>IF(SUM(U167:AY167)=0,"",SUM(U167:AY167))</f>
        <v/>
      </c>
      <c r="M167" s="51">
        <f>IFERROR(INDEX(U$2:AY$2,MATCH(TRUE,INDEX(U167:AY167&lt;&gt;"",0),0)),"")</f>
        <v/>
      </c>
      <c r="N167" s="51">
        <f>IFERROR(LOOKUP(2,1/(U167:AY167&lt;&gt;""),U$2:AY$2),"")</f>
        <v/>
      </c>
      <c r="O167" s="52" t="n"/>
      <c r="P167" s="52" t="n"/>
      <c r="Q167" s="52" t="n"/>
      <c r="R167" s="44" t="n"/>
      <c r="S167" s="14" t="n"/>
      <c r="U167" s="53" t="n"/>
      <c r="V167" s="53" t="n"/>
      <c r="W167" s="53" t="n"/>
      <c r="X167" s="53" t="n"/>
      <c r="Y167" s="53" t="n"/>
      <c r="Z167" s="53" t="n"/>
      <c r="AA167" s="53" t="n"/>
      <c r="AB167" s="53" t="n"/>
      <c r="AC167" s="53" t="n"/>
      <c r="AD167" s="53" t="n"/>
      <c r="AE167" s="53" t="n"/>
      <c r="AF167" s="53" t="n"/>
      <c r="AG167" s="53" t="n"/>
      <c r="AH167" s="53" t="n"/>
      <c r="AI167" s="53" t="n"/>
      <c r="AJ167" s="53" t="n"/>
      <c r="AK167" s="53" t="n"/>
      <c r="AL167" s="53" t="n"/>
      <c r="AM167" s="53" t="n"/>
      <c r="AN167" s="53" t="n"/>
      <c r="AO167" s="53" t="n"/>
      <c r="AP167" s="53" t="n"/>
      <c r="AQ167" s="53" t="n"/>
      <c r="AR167" s="53" t="n"/>
      <c r="AS167" s="53" t="n"/>
      <c r="AT167" s="53" t="n"/>
      <c r="AU167" s="53" t="n"/>
      <c r="AV167" s="53" t="n"/>
      <c r="AW167" s="53" t="n"/>
      <c r="AX167" s="53" t="n"/>
      <c r="AY167" s="53" t="n"/>
    </row>
    <row r="168" ht="15" customHeight="1">
      <c r="A168" s="54" t="n"/>
      <c r="B168" s="55">
        <f>IF($B$167="","",$B$167)</f>
        <v/>
      </c>
      <c r="C168" s="56" t="inlineStr">
        <is>
          <t>마케팅3팀</t>
        </is>
      </c>
      <c r="D168" s="55">
        <f>IF($D$167="","",$D$167)</f>
        <v/>
      </c>
      <c r="E168" s="57" t="inlineStr">
        <is>
          <t>이미지</t>
        </is>
      </c>
      <c r="F168" s="44" t="n"/>
      <c r="G168" s="58">
        <f>IF($G$167="","",$G$167)</f>
        <v/>
      </c>
      <c r="H168" s="59" t="n"/>
      <c r="I168" s="59" t="n"/>
      <c r="J168" s="59" t="n"/>
      <c r="K168" s="59" t="n"/>
      <c r="L168" s="60">
        <f>IF(SUM(U168:AY168)=0,"",SUM(U168:AY168))</f>
        <v/>
      </c>
      <c r="M168" s="61">
        <f>IFERROR(INDEX(U$2:AY$2,MATCH(TRUE,INDEX(U168:AY168&lt;&gt;"",0),0)),"")</f>
        <v/>
      </c>
      <c r="N168" s="61">
        <f>IFERROR(LOOKUP(2,1/(U168:AY168&lt;&gt;""),U$2:AY$2),"")</f>
        <v/>
      </c>
      <c r="O168" s="59" t="n"/>
      <c r="P168" s="59" t="n"/>
      <c r="Q168" s="59" t="n"/>
      <c r="R168" s="59" t="n"/>
      <c r="S168" s="14" t="n"/>
      <c r="U168" s="53" t="n"/>
      <c r="V168" s="53" t="n"/>
      <c r="W168" s="53" t="n"/>
      <c r="X168" s="53" t="n"/>
      <c r="Y168" s="53" t="n"/>
      <c r="Z168" s="53" t="n"/>
      <c r="AA168" s="53" t="n"/>
      <c r="AB168" s="53" t="n"/>
      <c r="AC168" s="53" t="n"/>
      <c r="AD168" s="53" t="n"/>
      <c r="AE168" s="53" t="n"/>
      <c r="AF168" s="53" t="n"/>
      <c r="AG168" s="53" t="n"/>
      <c r="AH168" s="53" t="n"/>
      <c r="AI168" s="53" t="n"/>
      <c r="AJ168" s="53" t="n"/>
      <c r="AK168" s="53" t="n"/>
      <c r="AL168" s="53" t="n"/>
      <c r="AM168" s="53" t="n"/>
      <c r="AN168" s="53" t="n"/>
      <c r="AO168" s="53" t="n"/>
      <c r="AP168" s="53" t="n"/>
      <c r="AQ168" s="53" t="n"/>
      <c r="AR168" s="53" t="n"/>
      <c r="AS168" s="53" t="n"/>
      <c r="AT168" s="53" t="n"/>
      <c r="AU168" s="53" t="n"/>
      <c r="AV168" s="53" t="n"/>
      <c r="AW168" s="53" t="n"/>
      <c r="AX168" s="53" t="n"/>
      <c r="AY168" s="53" t="n"/>
    </row>
    <row r="169" ht="15" customHeight="1">
      <c r="A169" s="62" t="n"/>
      <c r="B169" s="55">
        <f>IF($B$167="","",$B$167)</f>
        <v/>
      </c>
      <c r="C169" s="63" t="inlineStr">
        <is>
          <t>마케팅3팀</t>
        </is>
      </c>
      <c r="D169" s="55">
        <f>IF($D$167="","",$D$167)</f>
        <v/>
      </c>
      <c r="E169" s="64" t="inlineStr">
        <is>
          <t>영상</t>
        </is>
      </c>
      <c r="F169" s="44" t="n"/>
      <c r="G169" s="58">
        <f>IF($G$167="","",$G$167)</f>
        <v/>
      </c>
      <c r="H169" s="59" t="n"/>
      <c r="I169" s="59" t="n"/>
      <c r="J169" s="59" t="n"/>
      <c r="K169" s="59" t="n"/>
      <c r="L169" s="65">
        <f>IF(SUM(U169:AY169)=0,"",SUM(U169:AY169))</f>
        <v/>
      </c>
      <c r="M169" s="66">
        <f>IFERROR(INDEX(U$2:AY$2,MATCH(TRUE,INDEX(U169:AY169&lt;&gt;"",0),0)),"")</f>
        <v/>
      </c>
      <c r="N169" s="66">
        <f>IFERROR(LOOKUP(2,1/(U169:AY169&lt;&gt;""),U$2:AY$2),"")</f>
        <v/>
      </c>
      <c r="O169" s="59" t="n"/>
      <c r="P169" s="59" t="n"/>
      <c r="Q169" s="59" t="n"/>
      <c r="R169" s="59" t="n"/>
      <c r="S169" s="14" t="n"/>
      <c r="U169" s="53" t="n"/>
      <c r="V169" s="53" t="n"/>
      <c r="W169" s="53" t="n"/>
      <c r="X169" s="53" t="n"/>
      <c r="Y169" s="53" t="n"/>
      <c r="Z169" s="53" t="n"/>
      <c r="AA169" s="53" t="n"/>
      <c r="AB169" s="53" t="n"/>
      <c r="AC169" s="53" t="n"/>
      <c r="AD169" s="53" t="n"/>
      <c r="AE169" s="53" t="n"/>
      <c r="AF169" s="53" t="n"/>
      <c r="AG169" s="53" t="n"/>
      <c r="AH169" s="53" t="n"/>
      <c r="AI169" s="53" t="n"/>
      <c r="AJ169" s="53" t="n"/>
      <c r="AK169" s="53" t="n"/>
      <c r="AL169" s="53" t="n"/>
      <c r="AM169" s="53" t="n"/>
      <c r="AN169" s="53" t="n"/>
      <c r="AO169" s="53" t="n"/>
      <c r="AP169" s="53" t="n"/>
      <c r="AQ169" s="53" t="n"/>
      <c r="AR169" s="53" t="n"/>
      <c r="AS169" s="53" t="n"/>
      <c r="AT169" s="53" t="n"/>
      <c r="AU169" s="53" t="n"/>
      <c r="AV169" s="53" t="n"/>
      <c r="AW169" s="53" t="n"/>
      <c r="AX169" s="53" t="n"/>
      <c r="AY169" s="53" t="n"/>
    </row>
    <row r="170" ht="15" customHeight="1">
      <c r="A170" s="40">
        <f>IF($D$170="","",54)</f>
        <v/>
      </c>
      <c r="B170" s="10" t="n"/>
      <c r="C170" s="41" t="inlineStr">
        <is>
          <t>마케팅3팀</t>
        </is>
      </c>
      <c r="D170" s="42" t="n"/>
      <c r="E170" s="43" t="inlineStr">
        <is>
          <t>기획</t>
        </is>
      </c>
      <c r="F170" s="44" t="n"/>
      <c r="G170" s="45" t="n"/>
      <c r="H170" s="46">
        <f>IF($I$170="","",IF($I$170&lt;0,"🔴지연",IF($I$170&lt;=1,"🟡임박","🟢여유")))</f>
        <v/>
      </c>
      <c r="I170" s="47">
        <f>IF(OR($G$170="",$K$170=""),"",$G$170-$K$170)</f>
        <v/>
      </c>
      <c r="J170" s="48">
        <f>IF(SUM($L$170:$L$172)=0,"",SUM($L$170:$L$172))</f>
        <v/>
      </c>
      <c r="K170" s="49">
        <f>IF($J$170="","",MAX($N$170:$N$172))</f>
        <v/>
      </c>
      <c r="L170" s="50">
        <f>IF(SUM(U170:AY170)=0,"",SUM(U170:AY170))</f>
        <v/>
      </c>
      <c r="M170" s="51">
        <f>IFERROR(INDEX(U$2:AY$2,MATCH(TRUE,INDEX(U170:AY170&lt;&gt;"",0),0)),"")</f>
        <v/>
      </c>
      <c r="N170" s="51">
        <f>IFERROR(LOOKUP(2,1/(U170:AY170&lt;&gt;""),U$2:AY$2),"")</f>
        <v/>
      </c>
      <c r="O170" s="52" t="n"/>
      <c r="P170" s="52" t="n"/>
      <c r="Q170" s="52" t="n"/>
      <c r="R170" s="44" t="n"/>
      <c r="S170" s="14" t="n"/>
      <c r="U170" s="53" t="n"/>
      <c r="V170" s="53" t="n"/>
      <c r="W170" s="53" t="n"/>
      <c r="X170" s="53" t="n"/>
      <c r="Y170" s="53" t="n"/>
      <c r="Z170" s="53" t="n"/>
      <c r="AA170" s="53" t="n"/>
      <c r="AB170" s="53" t="n"/>
      <c r="AC170" s="53" t="n"/>
      <c r="AD170" s="53" t="n"/>
      <c r="AE170" s="53" t="n"/>
      <c r="AF170" s="53" t="n"/>
      <c r="AG170" s="53" t="n"/>
      <c r="AH170" s="53" t="n"/>
      <c r="AI170" s="53" t="n"/>
      <c r="AJ170" s="53" t="n"/>
      <c r="AK170" s="53" t="n"/>
      <c r="AL170" s="53" t="n"/>
      <c r="AM170" s="53" t="n"/>
      <c r="AN170" s="53" t="n"/>
      <c r="AO170" s="53" t="n"/>
      <c r="AP170" s="53" t="n"/>
      <c r="AQ170" s="53" t="n"/>
      <c r="AR170" s="53" t="n"/>
      <c r="AS170" s="53" t="n"/>
      <c r="AT170" s="53" t="n"/>
      <c r="AU170" s="53" t="n"/>
      <c r="AV170" s="53" t="n"/>
      <c r="AW170" s="53" t="n"/>
      <c r="AX170" s="53" t="n"/>
      <c r="AY170" s="53" t="n"/>
    </row>
    <row r="171" ht="15" customHeight="1">
      <c r="A171" s="54" t="n"/>
      <c r="B171" s="55">
        <f>IF($B$170="","",$B$170)</f>
        <v/>
      </c>
      <c r="C171" s="56" t="inlineStr">
        <is>
          <t>마케팅3팀</t>
        </is>
      </c>
      <c r="D171" s="55">
        <f>IF($D$170="","",$D$170)</f>
        <v/>
      </c>
      <c r="E171" s="57" t="inlineStr">
        <is>
          <t>이미지</t>
        </is>
      </c>
      <c r="F171" s="44" t="n"/>
      <c r="G171" s="58">
        <f>IF($G$170="","",$G$170)</f>
        <v/>
      </c>
      <c r="H171" s="59" t="n"/>
      <c r="I171" s="59" t="n"/>
      <c r="J171" s="59" t="n"/>
      <c r="K171" s="59" t="n"/>
      <c r="L171" s="60">
        <f>IF(SUM(U171:AY171)=0,"",SUM(U171:AY171))</f>
        <v/>
      </c>
      <c r="M171" s="61">
        <f>IFERROR(INDEX(U$2:AY$2,MATCH(TRUE,INDEX(U171:AY171&lt;&gt;"",0),0)),"")</f>
        <v/>
      </c>
      <c r="N171" s="61">
        <f>IFERROR(LOOKUP(2,1/(U171:AY171&lt;&gt;""),U$2:AY$2),"")</f>
        <v/>
      </c>
      <c r="O171" s="59" t="n"/>
      <c r="P171" s="59" t="n"/>
      <c r="Q171" s="59" t="n"/>
      <c r="R171" s="59" t="n"/>
      <c r="S171" s="14" t="n"/>
      <c r="U171" s="53" t="n"/>
      <c r="V171" s="53" t="n"/>
      <c r="W171" s="53" t="n"/>
      <c r="X171" s="53" t="n"/>
      <c r="Y171" s="53" t="n"/>
      <c r="Z171" s="53" t="n"/>
      <c r="AA171" s="53" t="n"/>
      <c r="AB171" s="53" t="n"/>
      <c r="AC171" s="53" t="n"/>
      <c r="AD171" s="53" t="n"/>
      <c r="AE171" s="53" t="n"/>
      <c r="AF171" s="53" t="n"/>
      <c r="AG171" s="53" t="n"/>
      <c r="AH171" s="53" t="n"/>
      <c r="AI171" s="53" t="n"/>
      <c r="AJ171" s="53" t="n"/>
      <c r="AK171" s="53" t="n"/>
      <c r="AL171" s="53" t="n"/>
      <c r="AM171" s="53" t="n"/>
      <c r="AN171" s="53" t="n"/>
      <c r="AO171" s="53" t="n"/>
      <c r="AP171" s="53" t="n"/>
      <c r="AQ171" s="53" t="n"/>
      <c r="AR171" s="53" t="n"/>
      <c r="AS171" s="53" t="n"/>
      <c r="AT171" s="53" t="n"/>
      <c r="AU171" s="53" t="n"/>
      <c r="AV171" s="53" t="n"/>
      <c r="AW171" s="53" t="n"/>
      <c r="AX171" s="53" t="n"/>
      <c r="AY171" s="53" t="n"/>
    </row>
    <row r="172" ht="15" customHeight="1">
      <c r="A172" s="62" t="n"/>
      <c r="B172" s="55">
        <f>IF($B$170="","",$B$170)</f>
        <v/>
      </c>
      <c r="C172" s="63" t="inlineStr">
        <is>
          <t>마케팅3팀</t>
        </is>
      </c>
      <c r="D172" s="55">
        <f>IF($D$170="","",$D$170)</f>
        <v/>
      </c>
      <c r="E172" s="64" t="inlineStr">
        <is>
          <t>영상</t>
        </is>
      </c>
      <c r="F172" s="44" t="n"/>
      <c r="G172" s="58">
        <f>IF($G$170="","",$G$170)</f>
        <v/>
      </c>
      <c r="H172" s="59" t="n"/>
      <c r="I172" s="59" t="n"/>
      <c r="J172" s="59" t="n"/>
      <c r="K172" s="59" t="n"/>
      <c r="L172" s="65">
        <f>IF(SUM(U172:AY172)=0,"",SUM(U172:AY172))</f>
        <v/>
      </c>
      <c r="M172" s="66">
        <f>IFERROR(INDEX(U$2:AY$2,MATCH(TRUE,INDEX(U172:AY172&lt;&gt;"",0),0)),"")</f>
        <v/>
      </c>
      <c r="N172" s="66">
        <f>IFERROR(LOOKUP(2,1/(U172:AY172&lt;&gt;""),U$2:AY$2),"")</f>
        <v/>
      </c>
      <c r="O172" s="59" t="n"/>
      <c r="P172" s="59" t="n"/>
      <c r="Q172" s="59" t="n"/>
      <c r="R172" s="59" t="n"/>
      <c r="S172" s="14" t="n"/>
      <c r="U172" s="53" t="n"/>
      <c r="V172" s="53" t="n"/>
      <c r="W172" s="53" t="n"/>
      <c r="X172" s="53" t="n"/>
      <c r="Y172" s="53" t="n"/>
      <c r="Z172" s="53" t="n"/>
      <c r="AA172" s="53" t="n"/>
      <c r="AB172" s="53" t="n"/>
      <c r="AC172" s="53" t="n"/>
      <c r="AD172" s="53" t="n"/>
      <c r="AE172" s="53" t="n"/>
      <c r="AF172" s="53" t="n"/>
      <c r="AG172" s="53" t="n"/>
      <c r="AH172" s="53" t="n"/>
      <c r="AI172" s="53" t="n"/>
      <c r="AJ172" s="53" t="n"/>
      <c r="AK172" s="53" t="n"/>
      <c r="AL172" s="53" t="n"/>
      <c r="AM172" s="53" t="n"/>
      <c r="AN172" s="53" t="n"/>
      <c r="AO172" s="53" t="n"/>
      <c r="AP172" s="53" t="n"/>
      <c r="AQ172" s="53" t="n"/>
      <c r="AR172" s="53" t="n"/>
      <c r="AS172" s="53" t="n"/>
      <c r="AT172" s="53" t="n"/>
      <c r="AU172" s="53" t="n"/>
      <c r="AV172" s="53" t="n"/>
      <c r="AW172" s="53" t="n"/>
      <c r="AX172" s="53" t="n"/>
      <c r="AY172" s="53" t="n"/>
    </row>
    <row r="173" ht="15" customHeight="1">
      <c r="A173" s="40">
        <f>IF($D$173="","",55)</f>
        <v/>
      </c>
      <c r="B173" s="10" t="n"/>
      <c r="C173" s="41" t="inlineStr">
        <is>
          <t>마케팅3팀</t>
        </is>
      </c>
      <c r="D173" s="42" t="n"/>
      <c r="E173" s="43" t="inlineStr">
        <is>
          <t>기획</t>
        </is>
      </c>
      <c r="F173" s="44" t="n"/>
      <c r="G173" s="45" t="n"/>
      <c r="H173" s="46">
        <f>IF($I$173="","",IF($I$173&lt;0,"🔴지연",IF($I$173&lt;=1,"🟡임박","🟢여유")))</f>
        <v/>
      </c>
      <c r="I173" s="47">
        <f>IF(OR($G$173="",$K$173=""),"",$G$173-$K$173)</f>
        <v/>
      </c>
      <c r="J173" s="48">
        <f>IF(SUM($L$173:$L$175)=0,"",SUM($L$173:$L$175))</f>
        <v/>
      </c>
      <c r="K173" s="49">
        <f>IF($J$173="","",MAX($N$173:$N$175))</f>
        <v/>
      </c>
      <c r="L173" s="50">
        <f>IF(SUM(U173:AY173)=0,"",SUM(U173:AY173))</f>
        <v/>
      </c>
      <c r="M173" s="51">
        <f>IFERROR(INDEX(U$2:AY$2,MATCH(TRUE,INDEX(U173:AY173&lt;&gt;"",0),0)),"")</f>
        <v/>
      </c>
      <c r="N173" s="51">
        <f>IFERROR(LOOKUP(2,1/(U173:AY173&lt;&gt;""),U$2:AY$2),"")</f>
        <v/>
      </c>
      <c r="O173" s="52" t="n"/>
      <c r="P173" s="52" t="n"/>
      <c r="Q173" s="52" t="n"/>
      <c r="R173" s="44" t="n"/>
      <c r="S173" s="14" t="n"/>
      <c r="U173" s="53" t="n"/>
      <c r="V173" s="53" t="n"/>
      <c r="W173" s="53" t="n"/>
      <c r="X173" s="53" t="n"/>
      <c r="Y173" s="53" t="n"/>
      <c r="Z173" s="53" t="n"/>
      <c r="AA173" s="53" t="n"/>
      <c r="AB173" s="53" t="n"/>
      <c r="AC173" s="53" t="n"/>
      <c r="AD173" s="53" t="n"/>
      <c r="AE173" s="53" t="n"/>
      <c r="AF173" s="53" t="n"/>
      <c r="AG173" s="53" t="n"/>
      <c r="AH173" s="53" t="n"/>
      <c r="AI173" s="53" t="n"/>
      <c r="AJ173" s="53" t="n"/>
      <c r="AK173" s="53" t="n"/>
      <c r="AL173" s="53" t="n"/>
      <c r="AM173" s="53" t="n"/>
      <c r="AN173" s="53" t="n"/>
      <c r="AO173" s="53" t="n"/>
      <c r="AP173" s="53" t="n"/>
      <c r="AQ173" s="53" t="n"/>
      <c r="AR173" s="53" t="n"/>
      <c r="AS173" s="53" t="n"/>
      <c r="AT173" s="53" t="n"/>
      <c r="AU173" s="53" t="n"/>
      <c r="AV173" s="53" t="n"/>
      <c r="AW173" s="53" t="n"/>
      <c r="AX173" s="53" t="n"/>
      <c r="AY173" s="53" t="n"/>
    </row>
    <row r="174" ht="15" customHeight="1">
      <c r="A174" s="54" t="n"/>
      <c r="B174" s="55">
        <f>IF($B$173="","",$B$173)</f>
        <v/>
      </c>
      <c r="C174" s="56" t="inlineStr">
        <is>
          <t>마케팅3팀</t>
        </is>
      </c>
      <c r="D174" s="55">
        <f>IF($D$173="","",$D$173)</f>
        <v/>
      </c>
      <c r="E174" s="57" t="inlineStr">
        <is>
          <t>이미지</t>
        </is>
      </c>
      <c r="F174" s="44" t="n"/>
      <c r="G174" s="58">
        <f>IF($G$173="","",$G$173)</f>
        <v/>
      </c>
      <c r="H174" s="59" t="n"/>
      <c r="I174" s="59" t="n"/>
      <c r="J174" s="59" t="n"/>
      <c r="K174" s="59" t="n"/>
      <c r="L174" s="60">
        <f>IF(SUM(U174:AY174)=0,"",SUM(U174:AY174))</f>
        <v/>
      </c>
      <c r="M174" s="61">
        <f>IFERROR(INDEX(U$2:AY$2,MATCH(TRUE,INDEX(U174:AY174&lt;&gt;"",0),0)),"")</f>
        <v/>
      </c>
      <c r="N174" s="61">
        <f>IFERROR(LOOKUP(2,1/(U174:AY174&lt;&gt;""),U$2:AY$2),"")</f>
        <v/>
      </c>
      <c r="O174" s="59" t="n"/>
      <c r="P174" s="59" t="n"/>
      <c r="Q174" s="59" t="n"/>
      <c r="R174" s="59" t="n"/>
      <c r="S174" s="14" t="n"/>
      <c r="U174" s="53" t="n"/>
      <c r="V174" s="53" t="n"/>
      <c r="W174" s="53" t="n"/>
      <c r="X174" s="53" t="n"/>
      <c r="Y174" s="53" t="n"/>
      <c r="Z174" s="53" t="n"/>
      <c r="AA174" s="53" t="n"/>
      <c r="AB174" s="53" t="n"/>
      <c r="AC174" s="53" t="n"/>
      <c r="AD174" s="53" t="n"/>
      <c r="AE174" s="53" t="n"/>
      <c r="AF174" s="53" t="n"/>
      <c r="AG174" s="53" t="n"/>
      <c r="AH174" s="53" t="n"/>
      <c r="AI174" s="53" t="n"/>
      <c r="AJ174" s="53" t="n"/>
      <c r="AK174" s="53" t="n"/>
      <c r="AL174" s="53" t="n"/>
      <c r="AM174" s="53" t="n"/>
      <c r="AN174" s="53" t="n"/>
      <c r="AO174" s="53" t="n"/>
      <c r="AP174" s="53" t="n"/>
      <c r="AQ174" s="53" t="n"/>
      <c r="AR174" s="53" t="n"/>
      <c r="AS174" s="53" t="n"/>
      <c r="AT174" s="53" t="n"/>
      <c r="AU174" s="53" t="n"/>
      <c r="AV174" s="53" t="n"/>
      <c r="AW174" s="53" t="n"/>
      <c r="AX174" s="53" t="n"/>
      <c r="AY174" s="53" t="n"/>
    </row>
    <row r="175" ht="15" customHeight="1">
      <c r="A175" s="62" t="n"/>
      <c r="B175" s="55">
        <f>IF($B$173="","",$B$173)</f>
        <v/>
      </c>
      <c r="C175" s="63" t="inlineStr">
        <is>
          <t>마케팅3팀</t>
        </is>
      </c>
      <c r="D175" s="55">
        <f>IF($D$173="","",$D$173)</f>
        <v/>
      </c>
      <c r="E175" s="64" t="inlineStr">
        <is>
          <t>영상</t>
        </is>
      </c>
      <c r="F175" s="44" t="n"/>
      <c r="G175" s="58">
        <f>IF($G$173="","",$G$173)</f>
        <v/>
      </c>
      <c r="H175" s="59" t="n"/>
      <c r="I175" s="59" t="n"/>
      <c r="J175" s="59" t="n"/>
      <c r="K175" s="59" t="n"/>
      <c r="L175" s="65">
        <f>IF(SUM(U175:AY175)=0,"",SUM(U175:AY175))</f>
        <v/>
      </c>
      <c r="M175" s="66">
        <f>IFERROR(INDEX(U$2:AY$2,MATCH(TRUE,INDEX(U175:AY175&lt;&gt;"",0),0)),"")</f>
        <v/>
      </c>
      <c r="N175" s="66">
        <f>IFERROR(LOOKUP(2,1/(U175:AY175&lt;&gt;""),U$2:AY$2),"")</f>
        <v/>
      </c>
      <c r="O175" s="59" t="n"/>
      <c r="P175" s="59" t="n"/>
      <c r="Q175" s="59" t="n"/>
      <c r="R175" s="59" t="n"/>
      <c r="S175" s="14" t="n"/>
      <c r="U175" s="53" t="n"/>
      <c r="V175" s="53" t="n"/>
      <c r="W175" s="53" t="n"/>
      <c r="X175" s="53" t="n"/>
      <c r="Y175" s="53" t="n"/>
      <c r="Z175" s="53" t="n"/>
      <c r="AA175" s="53" t="n"/>
      <c r="AB175" s="53" t="n"/>
      <c r="AC175" s="53" t="n"/>
      <c r="AD175" s="53" t="n"/>
      <c r="AE175" s="53" t="n"/>
      <c r="AF175" s="53" t="n"/>
      <c r="AG175" s="53" t="n"/>
      <c r="AH175" s="53" t="n"/>
      <c r="AI175" s="53" t="n"/>
      <c r="AJ175" s="53" t="n"/>
      <c r="AK175" s="53" t="n"/>
      <c r="AL175" s="53" t="n"/>
      <c r="AM175" s="53" t="n"/>
      <c r="AN175" s="53" t="n"/>
      <c r="AO175" s="53" t="n"/>
      <c r="AP175" s="53" t="n"/>
      <c r="AQ175" s="53" t="n"/>
      <c r="AR175" s="53" t="n"/>
      <c r="AS175" s="53" t="n"/>
      <c r="AT175" s="53" t="n"/>
      <c r="AU175" s="53" t="n"/>
      <c r="AV175" s="53" t="n"/>
      <c r="AW175" s="53" t="n"/>
      <c r="AX175" s="53" t="n"/>
      <c r="AY175" s="53" t="n"/>
    </row>
    <row r="176" ht="15" customHeight="1">
      <c r="A176" s="40">
        <f>IF($D$176="","",56)</f>
        <v/>
      </c>
      <c r="B176" s="10" t="n"/>
      <c r="C176" s="41" t="inlineStr">
        <is>
          <t>마케팅3팀</t>
        </is>
      </c>
      <c r="D176" s="42" t="n"/>
      <c r="E176" s="43" t="inlineStr">
        <is>
          <t>기획</t>
        </is>
      </c>
      <c r="F176" s="44" t="n"/>
      <c r="G176" s="45" t="n"/>
      <c r="H176" s="46">
        <f>IF($I$176="","",IF($I$176&lt;0,"🔴지연",IF($I$176&lt;=1,"🟡임박","🟢여유")))</f>
        <v/>
      </c>
      <c r="I176" s="47">
        <f>IF(OR($G$176="",$K$176=""),"",$G$176-$K$176)</f>
        <v/>
      </c>
      <c r="J176" s="48">
        <f>IF(SUM($L$176:$L$178)=0,"",SUM($L$176:$L$178))</f>
        <v/>
      </c>
      <c r="K176" s="49">
        <f>IF($J$176="","",MAX($N$176:$N$178))</f>
        <v/>
      </c>
      <c r="L176" s="50">
        <f>IF(SUM(U176:AY176)=0,"",SUM(U176:AY176))</f>
        <v/>
      </c>
      <c r="M176" s="51">
        <f>IFERROR(INDEX(U$2:AY$2,MATCH(TRUE,INDEX(U176:AY176&lt;&gt;"",0),0)),"")</f>
        <v/>
      </c>
      <c r="N176" s="51">
        <f>IFERROR(LOOKUP(2,1/(U176:AY176&lt;&gt;""),U$2:AY$2),"")</f>
        <v/>
      </c>
      <c r="O176" s="52" t="n"/>
      <c r="P176" s="52" t="n"/>
      <c r="Q176" s="52" t="n"/>
      <c r="R176" s="44" t="n"/>
      <c r="S176" s="14" t="n"/>
      <c r="U176" s="53" t="n"/>
      <c r="V176" s="53" t="n"/>
      <c r="W176" s="53" t="n"/>
      <c r="X176" s="53" t="n"/>
      <c r="Y176" s="53" t="n"/>
      <c r="Z176" s="53" t="n"/>
      <c r="AA176" s="53" t="n"/>
      <c r="AB176" s="53" t="n"/>
      <c r="AC176" s="53" t="n"/>
      <c r="AD176" s="53" t="n"/>
      <c r="AE176" s="53" t="n"/>
      <c r="AF176" s="53" t="n"/>
      <c r="AG176" s="53" t="n"/>
      <c r="AH176" s="53" t="n"/>
      <c r="AI176" s="53" t="n"/>
      <c r="AJ176" s="53" t="n"/>
      <c r="AK176" s="53" t="n"/>
      <c r="AL176" s="53" t="n"/>
      <c r="AM176" s="53" t="n"/>
      <c r="AN176" s="53" t="n"/>
      <c r="AO176" s="53" t="n"/>
      <c r="AP176" s="53" t="n"/>
      <c r="AQ176" s="53" t="n"/>
      <c r="AR176" s="53" t="n"/>
      <c r="AS176" s="53" t="n"/>
      <c r="AT176" s="53" t="n"/>
      <c r="AU176" s="53" t="n"/>
      <c r="AV176" s="53" t="n"/>
      <c r="AW176" s="53" t="n"/>
      <c r="AX176" s="53" t="n"/>
      <c r="AY176" s="53" t="n"/>
    </row>
    <row r="177" ht="15" customHeight="1">
      <c r="A177" s="54" t="n"/>
      <c r="B177" s="55">
        <f>IF($B$176="","",$B$176)</f>
        <v/>
      </c>
      <c r="C177" s="56" t="inlineStr">
        <is>
          <t>마케팅3팀</t>
        </is>
      </c>
      <c r="D177" s="55">
        <f>IF($D$176="","",$D$176)</f>
        <v/>
      </c>
      <c r="E177" s="57" t="inlineStr">
        <is>
          <t>이미지</t>
        </is>
      </c>
      <c r="F177" s="44" t="n"/>
      <c r="G177" s="58">
        <f>IF($G$176="","",$G$176)</f>
        <v/>
      </c>
      <c r="H177" s="59" t="n"/>
      <c r="I177" s="59" t="n"/>
      <c r="J177" s="59" t="n"/>
      <c r="K177" s="59" t="n"/>
      <c r="L177" s="60">
        <f>IF(SUM(U177:AY177)=0,"",SUM(U177:AY177))</f>
        <v/>
      </c>
      <c r="M177" s="61">
        <f>IFERROR(INDEX(U$2:AY$2,MATCH(TRUE,INDEX(U177:AY177&lt;&gt;"",0),0)),"")</f>
        <v/>
      </c>
      <c r="N177" s="61">
        <f>IFERROR(LOOKUP(2,1/(U177:AY177&lt;&gt;""),U$2:AY$2),"")</f>
        <v/>
      </c>
      <c r="O177" s="59" t="n"/>
      <c r="P177" s="59" t="n"/>
      <c r="Q177" s="59" t="n"/>
      <c r="R177" s="59" t="n"/>
      <c r="S177" s="14" t="n"/>
      <c r="U177" s="53" t="n"/>
      <c r="V177" s="53" t="n"/>
      <c r="W177" s="53" t="n"/>
      <c r="X177" s="53" t="n"/>
      <c r="Y177" s="53" t="n"/>
      <c r="Z177" s="53" t="n"/>
      <c r="AA177" s="53" t="n"/>
      <c r="AB177" s="53" t="n"/>
      <c r="AC177" s="53" t="n"/>
      <c r="AD177" s="53" t="n"/>
      <c r="AE177" s="53" t="n"/>
      <c r="AF177" s="53" t="n"/>
      <c r="AG177" s="53" t="n"/>
      <c r="AH177" s="53" t="n"/>
      <c r="AI177" s="53" t="n"/>
      <c r="AJ177" s="53" t="n"/>
      <c r="AK177" s="53" t="n"/>
      <c r="AL177" s="53" t="n"/>
      <c r="AM177" s="53" t="n"/>
      <c r="AN177" s="53" t="n"/>
      <c r="AO177" s="53" t="n"/>
      <c r="AP177" s="53" t="n"/>
      <c r="AQ177" s="53" t="n"/>
      <c r="AR177" s="53" t="n"/>
      <c r="AS177" s="53" t="n"/>
      <c r="AT177" s="53" t="n"/>
      <c r="AU177" s="53" t="n"/>
      <c r="AV177" s="53" t="n"/>
      <c r="AW177" s="53" t="n"/>
      <c r="AX177" s="53" t="n"/>
      <c r="AY177" s="53" t="n"/>
    </row>
    <row r="178" ht="15" customHeight="1">
      <c r="A178" s="62" t="n"/>
      <c r="B178" s="55">
        <f>IF($B$176="","",$B$176)</f>
        <v/>
      </c>
      <c r="C178" s="63" t="inlineStr">
        <is>
          <t>마케팅3팀</t>
        </is>
      </c>
      <c r="D178" s="55">
        <f>IF($D$176="","",$D$176)</f>
        <v/>
      </c>
      <c r="E178" s="64" t="inlineStr">
        <is>
          <t>영상</t>
        </is>
      </c>
      <c r="F178" s="44" t="n"/>
      <c r="G178" s="58">
        <f>IF($G$176="","",$G$176)</f>
        <v/>
      </c>
      <c r="H178" s="59" t="n"/>
      <c r="I178" s="59" t="n"/>
      <c r="J178" s="59" t="n"/>
      <c r="K178" s="59" t="n"/>
      <c r="L178" s="65">
        <f>IF(SUM(U178:AY178)=0,"",SUM(U178:AY178))</f>
        <v/>
      </c>
      <c r="M178" s="66">
        <f>IFERROR(INDEX(U$2:AY$2,MATCH(TRUE,INDEX(U178:AY178&lt;&gt;"",0),0)),"")</f>
        <v/>
      </c>
      <c r="N178" s="66">
        <f>IFERROR(LOOKUP(2,1/(U178:AY178&lt;&gt;""),U$2:AY$2),"")</f>
        <v/>
      </c>
      <c r="O178" s="59" t="n"/>
      <c r="P178" s="59" t="n"/>
      <c r="Q178" s="59" t="n"/>
      <c r="R178" s="59" t="n"/>
      <c r="S178" s="14" t="n"/>
      <c r="U178" s="53" t="n"/>
      <c r="V178" s="53" t="n"/>
      <c r="W178" s="53" t="n"/>
      <c r="X178" s="53" t="n"/>
      <c r="Y178" s="53" t="n"/>
      <c r="Z178" s="53" t="n"/>
      <c r="AA178" s="53" t="n"/>
      <c r="AB178" s="53" t="n"/>
      <c r="AC178" s="53" t="n"/>
      <c r="AD178" s="53" t="n"/>
      <c r="AE178" s="53" t="n"/>
      <c r="AF178" s="53" t="n"/>
      <c r="AG178" s="53" t="n"/>
      <c r="AH178" s="53" t="n"/>
      <c r="AI178" s="53" t="n"/>
      <c r="AJ178" s="53" t="n"/>
      <c r="AK178" s="53" t="n"/>
      <c r="AL178" s="53" t="n"/>
      <c r="AM178" s="53" t="n"/>
      <c r="AN178" s="53" t="n"/>
      <c r="AO178" s="53" t="n"/>
      <c r="AP178" s="53" t="n"/>
      <c r="AQ178" s="53" t="n"/>
      <c r="AR178" s="53" t="n"/>
      <c r="AS178" s="53" t="n"/>
      <c r="AT178" s="53" t="n"/>
      <c r="AU178" s="53" t="n"/>
      <c r="AV178" s="53" t="n"/>
      <c r="AW178" s="53" t="n"/>
      <c r="AX178" s="53" t="n"/>
      <c r="AY178" s="53" t="n"/>
    </row>
    <row r="179" ht="15" customHeight="1">
      <c r="A179" s="40">
        <f>IF($D$179="","",57)</f>
        <v/>
      </c>
      <c r="B179" s="10" t="n"/>
      <c r="C179" s="41" t="inlineStr">
        <is>
          <t>마케팅3팀</t>
        </is>
      </c>
      <c r="D179" s="42" t="n"/>
      <c r="E179" s="43" t="inlineStr">
        <is>
          <t>기획</t>
        </is>
      </c>
      <c r="F179" s="44" t="n"/>
      <c r="G179" s="45" t="n"/>
      <c r="H179" s="46">
        <f>IF($I$179="","",IF($I$179&lt;0,"🔴지연",IF($I$179&lt;=1,"🟡임박","🟢여유")))</f>
        <v/>
      </c>
      <c r="I179" s="47">
        <f>IF(OR($G$179="",$K$179=""),"",$G$179-$K$179)</f>
        <v/>
      </c>
      <c r="J179" s="48">
        <f>IF(SUM($L$179:$L$181)=0,"",SUM($L$179:$L$181))</f>
        <v/>
      </c>
      <c r="K179" s="49">
        <f>IF($J$179="","",MAX($N$179:$N$181))</f>
        <v/>
      </c>
      <c r="L179" s="50">
        <f>IF(SUM(U179:AY179)=0,"",SUM(U179:AY179))</f>
        <v/>
      </c>
      <c r="M179" s="51">
        <f>IFERROR(INDEX(U$2:AY$2,MATCH(TRUE,INDEX(U179:AY179&lt;&gt;"",0),0)),"")</f>
        <v/>
      </c>
      <c r="N179" s="51">
        <f>IFERROR(LOOKUP(2,1/(U179:AY179&lt;&gt;""),U$2:AY$2),"")</f>
        <v/>
      </c>
      <c r="O179" s="52" t="n"/>
      <c r="P179" s="52" t="n"/>
      <c r="Q179" s="52" t="n"/>
      <c r="R179" s="44" t="n"/>
      <c r="S179" s="14" t="n"/>
      <c r="U179" s="53" t="n"/>
      <c r="V179" s="53" t="n"/>
      <c r="W179" s="53" t="n"/>
      <c r="X179" s="53" t="n"/>
      <c r="Y179" s="53" t="n"/>
      <c r="Z179" s="53" t="n"/>
      <c r="AA179" s="53" t="n"/>
      <c r="AB179" s="53" t="n"/>
      <c r="AC179" s="53" t="n"/>
      <c r="AD179" s="53" t="n"/>
      <c r="AE179" s="53" t="n"/>
      <c r="AF179" s="53" t="n"/>
      <c r="AG179" s="53" t="n"/>
      <c r="AH179" s="53" t="n"/>
      <c r="AI179" s="53" t="n"/>
      <c r="AJ179" s="53" t="n"/>
      <c r="AK179" s="53" t="n"/>
      <c r="AL179" s="53" t="n"/>
      <c r="AM179" s="53" t="n"/>
      <c r="AN179" s="53" t="n"/>
      <c r="AO179" s="53" t="n"/>
      <c r="AP179" s="53" t="n"/>
      <c r="AQ179" s="53" t="n"/>
      <c r="AR179" s="53" t="n"/>
      <c r="AS179" s="53" t="n"/>
      <c r="AT179" s="53" t="n"/>
      <c r="AU179" s="53" t="n"/>
      <c r="AV179" s="53" t="n"/>
      <c r="AW179" s="53" t="n"/>
      <c r="AX179" s="53" t="n"/>
      <c r="AY179" s="53" t="n"/>
    </row>
    <row r="180" ht="15" customHeight="1">
      <c r="A180" s="54" t="n"/>
      <c r="B180" s="55">
        <f>IF($B$179="","",$B$179)</f>
        <v/>
      </c>
      <c r="C180" s="56" t="inlineStr">
        <is>
          <t>마케팅3팀</t>
        </is>
      </c>
      <c r="D180" s="55">
        <f>IF($D$179="","",$D$179)</f>
        <v/>
      </c>
      <c r="E180" s="57" t="inlineStr">
        <is>
          <t>이미지</t>
        </is>
      </c>
      <c r="F180" s="44" t="n"/>
      <c r="G180" s="58">
        <f>IF($G$179="","",$G$179)</f>
        <v/>
      </c>
      <c r="H180" s="59" t="n"/>
      <c r="I180" s="59" t="n"/>
      <c r="J180" s="59" t="n"/>
      <c r="K180" s="59" t="n"/>
      <c r="L180" s="60">
        <f>IF(SUM(U180:AY180)=0,"",SUM(U180:AY180))</f>
        <v/>
      </c>
      <c r="M180" s="61">
        <f>IFERROR(INDEX(U$2:AY$2,MATCH(TRUE,INDEX(U180:AY180&lt;&gt;"",0),0)),"")</f>
        <v/>
      </c>
      <c r="N180" s="61">
        <f>IFERROR(LOOKUP(2,1/(U180:AY180&lt;&gt;""),U$2:AY$2),"")</f>
        <v/>
      </c>
      <c r="O180" s="59" t="n"/>
      <c r="P180" s="59" t="n"/>
      <c r="Q180" s="59" t="n"/>
      <c r="R180" s="59" t="n"/>
      <c r="S180" s="14" t="n"/>
      <c r="U180" s="53" t="n"/>
      <c r="V180" s="53" t="n"/>
      <c r="W180" s="53" t="n"/>
      <c r="X180" s="53" t="n"/>
      <c r="Y180" s="53" t="n"/>
      <c r="Z180" s="53" t="n"/>
      <c r="AA180" s="53" t="n"/>
      <c r="AB180" s="53" t="n"/>
      <c r="AC180" s="53" t="n"/>
      <c r="AD180" s="53" t="n"/>
      <c r="AE180" s="53" t="n"/>
      <c r="AF180" s="53" t="n"/>
      <c r="AG180" s="53" t="n"/>
      <c r="AH180" s="53" t="n"/>
      <c r="AI180" s="53" t="n"/>
      <c r="AJ180" s="53" t="n"/>
      <c r="AK180" s="53" t="n"/>
      <c r="AL180" s="53" t="n"/>
      <c r="AM180" s="53" t="n"/>
      <c r="AN180" s="53" t="n"/>
      <c r="AO180" s="53" t="n"/>
      <c r="AP180" s="53" t="n"/>
      <c r="AQ180" s="53" t="n"/>
      <c r="AR180" s="53" t="n"/>
      <c r="AS180" s="53" t="n"/>
      <c r="AT180" s="53" t="n"/>
      <c r="AU180" s="53" t="n"/>
      <c r="AV180" s="53" t="n"/>
      <c r="AW180" s="53" t="n"/>
      <c r="AX180" s="53" t="n"/>
      <c r="AY180" s="53" t="n"/>
    </row>
    <row r="181" ht="15" customHeight="1">
      <c r="A181" s="62" t="n"/>
      <c r="B181" s="55">
        <f>IF($B$179="","",$B$179)</f>
        <v/>
      </c>
      <c r="C181" s="63" t="inlineStr">
        <is>
          <t>마케팅3팀</t>
        </is>
      </c>
      <c r="D181" s="55">
        <f>IF($D$179="","",$D$179)</f>
        <v/>
      </c>
      <c r="E181" s="64" t="inlineStr">
        <is>
          <t>영상</t>
        </is>
      </c>
      <c r="F181" s="44" t="n"/>
      <c r="G181" s="58">
        <f>IF($G$179="","",$G$179)</f>
        <v/>
      </c>
      <c r="H181" s="59" t="n"/>
      <c r="I181" s="59" t="n"/>
      <c r="J181" s="59" t="n"/>
      <c r="K181" s="59" t="n"/>
      <c r="L181" s="65">
        <f>IF(SUM(U181:AY181)=0,"",SUM(U181:AY181))</f>
        <v/>
      </c>
      <c r="M181" s="66">
        <f>IFERROR(INDEX(U$2:AY$2,MATCH(TRUE,INDEX(U181:AY181&lt;&gt;"",0),0)),"")</f>
        <v/>
      </c>
      <c r="N181" s="66">
        <f>IFERROR(LOOKUP(2,1/(U181:AY181&lt;&gt;""),U$2:AY$2),"")</f>
        <v/>
      </c>
      <c r="O181" s="59" t="n"/>
      <c r="P181" s="59" t="n"/>
      <c r="Q181" s="59" t="n"/>
      <c r="R181" s="59" t="n"/>
      <c r="S181" s="14" t="n"/>
      <c r="U181" s="53" t="n"/>
      <c r="V181" s="53" t="n"/>
      <c r="W181" s="53" t="n"/>
      <c r="X181" s="53" t="n"/>
      <c r="Y181" s="53" t="n"/>
      <c r="Z181" s="53" t="n"/>
      <c r="AA181" s="53" t="n"/>
      <c r="AB181" s="53" t="n"/>
      <c r="AC181" s="53" t="n"/>
      <c r="AD181" s="53" t="n"/>
      <c r="AE181" s="53" t="n"/>
      <c r="AF181" s="53" t="n"/>
      <c r="AG181" s="53" t="n"/>
      <c r="AH181" s="53" t="n"/>
      <c r="AI181" s="53" t="n"/>
      <c r="AJ181" s="53" t="n"/>
      <c r="AK181" s="53" t="n"/>
      <c r="AL181" s="53" t="n"/>
      <c r="AM181" s="53" t="n"/>
      <c r="AN181" s="53" t="n"/>
      <c r="AO181" s="53" t="n"/>
      <c r="AP181" s="53" t="n"/>
      <c r="AQ181" s="53" t="n"/>
      <c r="AR181" s="53" t="n"/>
      <c r="AS181" s="53" t="n"/>
      <c r="AT181" s="53" t="n"/>
      <c r="AU181" s="53" t="n"/>
      <c r="AV181" s="53" t="n"/>
      <c r="AW181" s="53" t="n"/>
      <c r="AX181" s="53" t="n"/>
      <c r="AY181" s="53" t="n"/>
    </row>
    <row r="182" ht="15" customHeight="1">
      <c r="A182" s="40">
        <f>IF($D$182="","",58)</f>
        <v/>
      </c>
      <c r="B182" s="10" t="n"/>
      <c r="C182" s="41" t="inlineStr">
        <is>
          <t>마케팅3팀</t>
        </is>
      </c>
      <c r="D182" s="42" t="n"/>
      <c r="E182" s="43" t="inlineStr">
        <is>
          <t>기획</t>
        </is>
      </c>
      <c r="F182" s="44" t="n"/>
      <c r="G182" s="45" t="n"/>
      <c r="H182" s="46">
        <f>IF($I$182="","",IF($I$182&lt;0,"🔴지연",IF($I$182&lt;=1,"🟡임박","🟢여유")))</f>
        <v/>
      </c>
      <c r="I182" s="47">
        <f>IF(OR($G$182="",$K$182=""),"",$G$182-$K$182)</f>
        <v/>
      </c>
      <c r="J182" s="48">
        <f>IF(SUM($L$182:$L$184)=0,"",SUM($L$182:$L$184))</f>
        <v/>
      </c>
      <c r="K182" s="49">
        <f>IF($J$182="","",MAX($N$182:$N$184))</f>
        <v/>
      </c>
      <c r="L182" s="50">
        <f>IF(SUM(U182:AY182)=0,"",SUM(U182:AY182))</f>
        <v/>
      </c>
      <c r="M182" s="51">
        <f>IFERROR(INDEX(U$2:AY$2,MATCH(TRUE,INDEX(U182:AY182&lt;&gt;"",0),0)),"")</f>
        <v/>
      </c>
      <c r="N182" s="51">
        <f>IFERROR(LOOKUP(2,1/(U182:AY182&lt;&gt;""),U$2:AY$2),"")</f>
        <v/>
      </c>
      <c r="O182" s="52" t="n"/>
      <c r="P182" s="52" t="n"/>
      <c r="Q182" s="52" t="n"/>
      <c r="R182" s="44" t="n"/>
      <c r="S182" s="14" t="n"/>
      <c r="U182" s="53" t="n"/>
      <c r="V182" s="53" t="n"/>
      <c r="W182" s="53" t="n"/>
      <c r="X182" s="53" t="n"/>
      <c r="Y182" s="53" t="n"/>
      <c r="Z182" s="53" t="n"/>
      <c r="AA182" s="53" t="n"/>
      <c r="AB182" s="53" t="n"/>
      <c r="AC182" s="53" t="n"/>
      <c r="AD182" s="53" t="n"/>
      <c r="AE182" s="53" t="n"/>
      <c r="AF182" s="53" t="n"/>
      <c r="AG182" s="53" t="n"/>
      <c r="AH182" s="53" t="n"/>
      <c r="AI182" s="53" t="n"/>
      <c r="AJ182" s="53" t="n"/>
      <c r="AK182" s="53" t="n"/>
      <c r="AL182" s="53" t="n"/>
      <c r="AM182" s="53" t="n"/>
      <c r="AN182" s="53" t="n"/>
      <c r="AO182" s="53" t="n"/>
      <c r="AP182" s="53" t="n"/>
      <c r="AQ182" s="53" t="n"/>
      <c r="AR182" s="53" t="n"/>
      <c r="AS182" s="53" t="n"/>
      <c r="AT182" s="53" t="n"/>
      <c r="AU182" s="53" t="n"/>
      <c r="AV182" s="53" t="n"/>
      <c r="AW182" s="53" t="n"/>
      <c r="AX182" s="53" t="n"/>
      <c r="AY182" s="53" t="n"/>
    </row>
    <row r="183" ht="15" customHeight="1">
      <c r="A183" s="54" t="n"/>
      <c r="B183" s="55">
        <f>IF($B$182="","",$B$182)</f>
        <v/>
      </c>
      <c r="C183" s="56" t="inlineStr">
        <is>
          <t>마케팅3팀</t>
        </is>
      </c>
      <c r="D183" s="55">
        <f>IF($D$182="","",$D$182)</f>
        <v/>
      </c>
      <c r="E183" s="57" t="inlineStr">
        <is>
          <t>이미지</t>
        </is>
      </c>
      <c r="F183" s="44" t="n"/>
      <c r="G183" s="58">
        <f>IF($G$182="","",$G$182)</f>
        <v/>
      </c>
      <c r="H183" s="59" t="n"/>
      <c r="I183" s="59" t="n"/>
      <c r="J183" s="59" t="n"/>
      <c r="K183" s="59" t="n"/>
      <c r="L183" s="60">
        <f>IF(SUM(U183:AY183)=0,"",SUM(U183:AY183))</f>
        <v/>
      </c>
      <c r="M183" s="61">
        <f>IFERROR(INDEX(U$2:AY$2,MATCH(TRUE,INDEX(U183:AY183&lt;&gt;"",0),0)),"")</f>
        <v/>
      </c>
      <c r="N183" s="61">
        <f>IFERROR(LOOKUP(2,1/(U183:AY183&lt;&gt;""),U$2:AY$2),"")</f>
        <v/>
      </c>
      <c r="O183" s="59" t="n"/>
      <c r="P183" s="59" t="n"/>
      <c r="Q183" s="59" t="n"/>
      <c r="R183" s="59" t="n"/>
      <c r="S183" s="14" t="n"/>
      <c r="U183" s="53" t="n"/>
      <c r="V183" s="53" t="n"/>
      <c r="W183" s="53" t="n"/>
      <c r="X183" s="53" t="n"/>
      <c r="Y183" s="53" t="n"/>
      <c r="Z183" s="53" t="n"/>
      <c r="AA183" s="53" t="n"/>
      <c r="AB183" s="53" t="n"/>
      <c r="AC183" s="53" t="n"/>
      <c r="AD183" s="53" t="n"/>
      <c r="AE183" s="53" t="n"/>
      <c r="AF183" s="53" t="n"/>
      <c r="AG183" s="53" t="n"/>
      <c r="AH183" s="53" t="n"/>
      <c r="AI183" s="53" t="n"/>
      <c r="AJ183" s="53" t="n"/>
      <c r="AK183" s="53" t="n"/>
      <c r="AL183" s="53" t="n"/>
      <c r="AM183" s="53" t="n"/>
      <c r="AN183" s="53" t="n"/>
      <c r="AO183" s="53" t="n"/>
      <c r="AP183" s="53" t="n"/>
      <c r="AQ183" s="53" t="n"/>
      <c r="AR183" s="53" t="n"/>
      <c r="AS183" s="53" t="n"/>
      <c r="AT183" s="53" t="n"/>
      <c r="AU183" s="53" t="n"/>
      <c r="AV183" s="53" t="n"/>
      <c r="AW183" s="53" t="n"/>
      <c r="AX183" s="53" t="n"/>
      <c r="AY183" s="53" t="n"/>
    </row>
    <row r="184" ht="15" customHeight="1">
      <c r="A184" s="62" t="n"/>
      <c r="B184" s="55">
        <f>IF($B$182="","",$B$182)</f>
        <v/>
      </c>
      <c r="C184" s="63" t="inlineStr">
        <is>
          <t>마케팅3팀</t>
        </is>
      </c>
      <c r="D184" s="55">
        <f>IF($D$182="","",$D$182)</f>
        <v/>
      </c>
      <c r="E184" s="64" t="inlineStr">
        <is>
          <t>영상</t>
        </is>
      </c>
      <c r="F184" s="44" t="n"/>
      <c r="G184" s="58">
        <f>IF($G$182="","",$G$182)</f>
        <v/>
      </c>
      <c r="H184" s="59" t="n"/>
      <c r="I184" s="59" t="n"/>
      <c r="J184" s="59" t="n"/>
      <c r="K184" s="59" t="n"/>
      <c r="L184" s="65">
        <f>IF(SUM(U184:AY184)=0,"",SUM(U184:AY184))</f>
        <v/>
      </c>
      <c r="M184" s="66">
        <f>IFERROR(INDEX(U$2:AY$2,MATCH(TRUE,INDEX(U184:AY184&lt;&gt;"",0),0)),"")</f>
        <v/>
      </c>
      <c r="N184" s="66">
        <f>IFERROR(LOOKUP(2,1/(U184:AY184&lt;&gt;""),U$2:AY$2),"")</f>
        <v/>
      </c>
      <c r="O184" s="59" t="n"/>
      <c r="P184" s="59" t="n"/>
      <c r="Q184" s="59" t="n"/>
      <c r="R184" s="59" t="n"/>
      <c r="S184" s="14" t="n"/>
      <c r="U184" s="53" t="n"/>
      <c r="V184" s="53" t="n"/>
      <c r="W184" s="53" t="n"/>
      <c r="X184" s="53" t="n"/>
      <c r="Y184" s="53" t="n"/>
      <c r="Z184" s="53" t="n"/>
      <c r="AA184" s="53" t="n"/>
      <c r="AB184" s="53" t="n"/>
      <c r="AC184" s="53" t="n"/>
      <c r="AD184" s="53" t="n"/>
      <c r="AE184" s="53" t="n"/>
      <c r="AF184" s="53" t="n"/>
      <c r="AG184" s="53" t="n"/>
      <c r="AH184" s="53" t="n"/>
      <c r="AI184" s="53" t="n"/>
      <c r="AJ184" s="53" t="n"/>
      <c r="AK184" s="53" t="n"/>
      <c r="AL184" s="53" t="n"/>
      <c r="AM184" s="53" t="n"/>
      <c r="AN184" s="53" t="n"/>
      <c r="AO184" s="53" t="n"/>
      <c r="AP184" s="53" t="n"/>
      <c r="AQ184" s="53" t="n"/>
      <c r="AR184" s="53" t="n"/>
      <c r="AS184" s="53" t="n"/>
      <c r="AT184" s="53" t="n"/>
      <c r="AU184" s="53" t="n"/>
      <c r="AV184" s="53" t="n"/>
      <c r="AW184" s="53" t="n"/>
      <c r="AX184" s="53" t="n"/>
      <c r="AY184" s="53" t="n"/>
    </row>
    <row r="185" ht="15" customHeight="1">
      <c r="A185" s="40">
        <f>IF($D$185="","",59)</f>
        <v/>
      </c>
      <c r="B185" s="10" t="n"/>
      <c r="C185" s="41" t="inlineStr">
        <is>
          <t>마케팅3팀</t>
        </is>
      </c>
      <c r="D185" s="42" t="n"/>
      <c r="E185" s="43" t="inlineStr">
        <is>
          <t>기획</t>
        </is>
      </c>
      <c r="F185" s="44" t="n"/>
      <c r="G185" s="45" t="n"/>
      <c r="H185" s="46">
        <f>IF($I$185="","",IF($I$185&lt;0,"🔴지연",IF($I$185&lt;=1,"🟡임박","🟢여유")))</f>
        <v/>
      </c>
      <c r="I185" s="47">
        <f>IF(OR($G$185="",$K$185=""),"",$G$185-$K$185)</f>
        <v/>
      </c>
      <c r="J185" s="48">
        <f>IF(SUM($L$185:$L$187)=0,"",SUM($L$185:$L$187))</f>
        <v/>
      </c>
      <c r="K185" s="49">
        <f>IF($J$185="","",MAX($N$185:$N$187))</f>
        <v/>
      </c>
      <c r="L185" s="50">
        <f>IF(SUM(U185:AY185)=0,"",SUM(U185:AY185))</f>
        <v/>
      </c>
      <c r="M185" s="51">
        <f>IFERROR(INDEX(U$2:AY$2,MATCH(TRUE,INDEX(U185:AY185&lt;&gt;"",0),0)),"")</f>
        <v/>
      </c>
      <c r="N185" s="51">
        <f>IFERROR(LOOKUP(2,1/(U185:AY185&lt;&gt;""),U$2:AY$2),"")</f>
        <v/>
      </c>
      <c r="O185" s="52" t="n"/>
      <c r="P185" s="52" t="n"/>
      <c r="Q185" s="52" t="n"/>
      <c r="R185" s="44" t="n"/>
      <c r="S185" s="14" t="n"/>
      <c r="U185" s="53" t="n"/>
      <c r="V185" s="53" t="n"/>
      <c r="W185" s="53" t="n"/>
      <c r="X185" s="53" t="n"/>
      <c r="Y185" s="53" t="n"/>
      <c r="Z185" s="53" t="n"/>
      <c r="AA185" s="53" t="n"/>
      <c r="AB185" s="53" t="n"/>
      <c r="AC185" s="53" t="n"/>
      <c r="AD185" s="53" t="n"/>
      <c r="AE185" s="53" t="n"/>
      <c r="AF185" s="53" t="n"/>
      <c r="AG185" s="53" t="n"/>
      <c r="AH185" s="53" t="n"/>
      <c r="AI185" s="53" t="n"/>
      <c r="AJ185" s="53" t="n"/>
      <c r="AK185" s="53" t="n"/>
      <c r="AL185" s="53" t="n"/>
      <c r="AM185" s="53" t="n"/>
      <c r="AN185" s="53" t="n"/>
      <c r="AO185" s="53" t="n"/>
      <c r="AP185" s="53" t="n"/>
      <c r="AQ185" s="53" t="n"/>
      <c r="AR185" s="53" t="n"/>
      <c r="AS185" s="53" t="n"/>
      <c r="AT185" s="53" t="n"/>
      <c r="AU185" s="53" t="n"/>
      <c r="AV185" s="53" t="n"/>
      <c r="AW185" s="53" t="n"/>
      <c r="AX185" s="53" t="n"/>
      <c r="AY185" s="53" t="n"/>
    </row>
    <row r="186" ht="15" customHeight="1">
      <c r="A186" s="54" t="n"/>
      <c r="B186" s="55">
        <f>IF($B$185="","",$B$185)</f>
        <v/>
      </c>
      <c r="C186" s="56" t="inlineStr">
        <is>
          <t>마케팅3팀</t>
        </is>
      </c>
      <c r="D186" s="55">
        <f>IF($D$185="","",$D$185)</f>
        <v/>
      </c>
      <c r="E186" s="57" t="inlineStr">
        <is>
          <t>이미지</t>
        </is>
      </c>
      <c r="F186" s="44" t="n"/>
      <c r="G186" s="58">
        <f>IF($G$185="","",$G$185)</f>
        <v/>
      </c>
      <c r="H186" s="59" t="n"/>
      <c r="I186" s="59" t="n"/>
      <c r="J186" s="59" t="n"/>
      <c r="K186" s="59" t="n"/>
      <c r="L186" s="60">
        <f>IF(SUM(U186:AY186)=0,"",SUM(U186:AY186))</f>
        <v/>
      </c>
      <c r="M186" s="61">
        <f>IFERROR(INDEX(U$2:AY$2,MATCH(TRUE,INDEX(U186:AY186&lt;&gt;"",0),0)),"")</f>
        <v/>
      </c>
      <c r="N186" s="61">
        <f>IFERROR(LOOKUP(2,1/(U186:AY186&lt;&gt;""),U$2:AY$2),"")</f>
        <v/>
      </c>
      <c r="O186" s="59" t="n"/>
      <c r="P186" s="59" t="n"/>
      <c r="Q186" s="59" t="n"/>
      <c r="R186" s="59" t="n"/>
      <c r="S186" s="14" t="n"/>
      <c r="U186" s="53" t="n"/>
      <c r="V186" s="53" t="n"/>
      <c r="W186" s="53" t="n"/>
      <c r="X186" s="53" t="n"/>
      <c r="Y186" s="53" t="n"/>
      <c r="Z186" s="53" t="n"/>
      <c r="AA186" s="53" t="n"/>
      <c r="AB186" s="53" t="n"/>
      <c r="AC186" s="53" t="n"/>
      <c r="AD186" s="53" t="n"/>
      <c r="AE186" s="53" t="n"/>
      <c r="AF186" s="53" t="n"/>
      <c r="AG186" s="53" t="n"/>
      <c r="AH186" s="53" t="n"/>
      <c r="AI186" s="53" t="n"/>
      <c r="AJ186" s="53" t="n"/>
      <c r="AK186" s="53" t="n"/>
      <c r="AL186" s="53" t="n"/>
      <c r="AM186" s="53" t="n"/>
      <c r="AN186" s="53" t="n"/>
      <c r="AO186" s="53" t="n"/>
      <c r="AP186" s="53" t="n"/>
      <c r="AQ186" s="53" t="n"/>
      <c r="AR186" s="53" t="n"/>
      <c r="AS186" s="53" t="n"/>
      <c r="AT186" s="53" t="n"/>
      <c r="AU186" s="53" t="n"/>
      <c r="AV186" s="53" t="n"/>
      <c r="AW186" s="53" t="n"/>
      <c r="AX186" s="53" t="n"/>
      <c r="AY186" s="53" t="n"/>
    </row>
    <row r="187" ht="15" customHeight="1">
      <c r="A187" s="62" t="n"/>
      <c r="B187" s="55">
        <f>IF($B$185="","",$B$185)</f>
        <v/>
      </c>
      <c r="C187" s="63" t="inlineStr">
        <is>
          <t>마케팅3팀</t>
        </is>
      </c>
      <c r="D187" s="55">
        <f>IF($D$185="","",$D$185)</f>
        <v/>
      </c>
      <c r="E187" s="64" t="inlineStr">
        <is>
          <t>영상</t>
        </is>
      </c>
      <c r="F187" s="44" t="n"/>
      <c r="G187" s="58">
        <f>IF($G$185="","",$G$185)</f>
        <v/>
      </c>
      <c r="H187" s="59" t="n"/>
      <c r="I187" s="59" t="n"/>
      <c r="J187" s="59" t="n"/>
      <c r="K187" s="59" t="n"/>
      <c r="L187" s="65">
        <f>IF(SUM(U187:AY187)=0,"",SUM(U187:AY187))</f>
        <v/>
      </c>
      <c r="M187" s="66">
        <f>IFERROR(INDEX(U$2:AY$2,MATCH(TRUE,INDEX(U187:AY187&lt;&gt;"",0),0)),"")</f>
        <v/>
      </c>
      <c r="N187" s="66">
        <f>IFERROR(LOOKUP(2,1/(U187:AY187&lt;&gt;""),U$2:AY$2),"")</f>
        <v/>
      </c>
      <c r="O187" s="59" t="n"/>
      <c r="P187" s="59" t="n"/>
      <c r="Q187" s="59" t="n"/>
      <c r="R187" s="59" t="n"/>
      <c r="S187" s="14" t="n"/>
      <c r="U187" s="53" t="n"/>
      <c r="V187" s="53" t="n"/>
      <c r="W187" s="53" t="n"/>
      <c r="X187" s="53" t="n"/>
      <c r="Y187" s="53" t="n"/>
      <c r="Z187" s="53" t="n"/>
      <c r="AA187" s="53" t="n"/>
      <c r="AB187" s="53" t="n"/>
      <c r="AC187" s="53" t="n"/>
      <c r="AD187" s="53" t="n"/>
      <c r="AE187" s="53" t="n"/>
      <c r="AF187" s="53" t="n"/>
      <c r="AG187" s="53" t="n"/>
      <c r="AH187" s="53" t="n"/>
      <c r="AI187" s="53" t="n"/>
      <c r="AJ187" s="53" t="n"/>
      <c r="AK187" s="53" t="n"/>
      <c r="AL187" s="53" t="n"/>
      <c r="AM187" s="53" t="n"/>
      <c r="AN187" s="53" t="n"/>
      <c r="AO187" s="53" t="n"/>
      <c r="AP187" s="53" t="n"/>
      <c r="AQ187" s="53" t="n"/>
      <c r="AR187" s="53" t="n"/>
      <c r="AS187" s="53" t="n"/>
      <c r="AT187" s="53" t="n"/>
      <c r="AU187" s="53" t="n"/>
      <c r="AV187" s="53" t="n"/>
      <c r="AW187" s="53" t="n"/>
      <c r="AX187" s="53" t="n"/>
      <c r="AY187" s="53" t="n"/>
    </row>
    <row r="188" ht="15" customHeight="1">
      <c r="A188" s="40">
        <f>IF($D$188="","",60)</f>
        <v/>
      </c>
      <c r="B188" s="10" t="n"/>
      <c r="C188" s="41" t="inlineStr">
        <is>
          <t>마케팅3팀</t>
        </is>
      </c>
      <c r="D188" s="42" t="n"/>
      <c r="E188" s="43" t="inlineStr">
        <is>
          <t>기획</t>
        </is>
      </c>
      <c r="F188" s="44" t="n"/>
      <c r="G188" s="45" t="n"/>
      <c r="H188" s="46">
        <f>IF($I$188="","",IF($I$188&lt;0,"🔴지연",IF($I$188&lt;=1,"🟡임박","🟢여유")))</f>
        <v/>
      </c>
      <c r="I188" s="47">
        <f>IF(OR($G$188="",$K$188=""),"",$G$188-$K$188)</f>
        <v/>
      </c>
      <c r="J188" s="48">
        <f>IF(SUM($L$188:$L$190)=0,"",SUM($L$188:$L$190))</f>
        <v/>
      </c>
      <c r="K188" s="49">
        <f>IF($J$188="","",MAX($N$188:$N$190))</f>
        <v/>
      </c>
      <c r="L188" s="50">
        <f>IF(SUM(U188:AY188)=0,"",SUM(U188:AY188))</f>
        <v/>
      </c>
      <c r="M188" s="51">
        <f>IFERROR(INDEX(U$2:AY$2,MATCH(TRUE,INDEX(U188:AY188&lt;&gt;"",0),0)),"")</f>
        <v/>
      </c>
      <c r="N188" s="51">
        <f>IFERROR(LOOKUP(2,1/(U188:AY188&lt;&gt;""),U$2:AY$2),"")</f>
        <v/>
      </c>
      <c r="O188" s="52" t="n"/>
      <c r="P188" s="52" t="n"/>
      <c r="Q188" s="52" t="n"/>
      <c r="R188" s="44" t="n"/>
      <c r="S188" s="14" t="n"/>
      <c r="U188" s="53" t="n"/>
      <c r="V188" s="53" t="n"/>
      <c r="W188" s="53" t="n"/>
      <c r="X188" s="53" t="n"/>
      <c r="Y188" s="53" t="n"/>
      <c r="Z188" s="53" t="n"/>
      <c r="AA188" s="53" t="n"/>
      <c r="AB188" s="53" t="n"/>
      <c r="AC188" s="53" t="n"/>
      <c r="AD188" s="53" t="n"/>
      <c r="AE188" s="53" t="n"/>
      <c r="AF188" s="53" t="n"/>
      <c r="AG188" s="53" t="n"/>
      <c r="AH188" s="53" t="n"/>
      <c r="AI188" s="53" t="n"/>
      <c r="AJ188" s="53" t="n"/>
      <c r="AK188" s="53" t="n"/>
      <c r="AL188" s="53" t="n"/>
      <c r="AM188" s="53" t="n"/>
      <c r="AN188" s="53" t="n"/>
      <c r="AO188" s="53" t="n"/>
      <c r="AP188" s="53" t="n"/>
      <c r="AQ188" s="53" t="n"/>
      <c r="AR188" s="53" t="n"/>
      <c r="AS188" s="53" t="n"/>
      <c r="AT188" s="53" t="n"/>
      <c r="AU188" s="53" t="n"/>
      <c r="AV188" s="53" t="n"/>
      <c r="AW188" s="53" t="n"/>
      <c r="AX188" s="53" t="n"/>
      <c r="AY188" s="53" t="n"/>
    </row>
    <row r="189" ht="15" customHeight="1">
      <c r="A189" s="54" t="n"/>
      <c r="B189" s="55">
        <f>IF($B$188="","",$B$188)</f>
        <v/>
      </c>
      <c r="C189" s="56" t="inlineStr">
        <is>
          <t>마케팅3팀</t>
        </is>
      </c>
      <c r="D189" s="55">
        <f>IF($D$188="","",$D$188)</f>
        <v/>
      </c>
      <c r="E189" s="57" t="inlineStr">
        <is>
          <t>이미지</t>
        </is>
      </c>
      <c r="F189" s="44" t="n"/>
      <c r="G189" s="58">
        <f>IF($G$188="","",$G$188)</f>
        <v/>
      </c>
      <c r="H189" s="59" t="n"/>
      <c r="I189" s="59" t="n"/>
      <c r="J189" s="59" t="n"/>
      <c r="K189" s="59" t="n"/>
      <c r="L189" s="60">
        <f>IF(SUM(U189:AY189)=0,"",SUM(U189:AY189))</f>
        <v/>
      </c>
      <c r="M189" s="61">
        <f>IFERROR(INDEX(U$2:AY$2,MATCH(TRUE,INDEX(U189:AY189&lt;&gt;"",0),0)),"")</f>
        <v/>
      </c>
      <c r="N189" s="61">
        <f>IFERROR(LOOKUP(2,1/(U189:AY189&lt;&gt;""),U$2:AY$2),"")</f>
        <v/>
      </c>
      <c r="O189" s="59" t="n"/>
      <c r="P189" s="59" t="n"/>
      <c r="Q189" s="59" t="n"/>
      <c r="R189" s="59" t="n"/>
      <c r="S189" s="14" t="n"/>
      <c r="U189" s="53" t="n"/>
      <c r="V189" s="53" t="n"/>
      <c r="W189" s="53" t="n"/>
      <c r="X189" s="53" t="n"/>
      <c r="Y189" s="53" t="n"/>
      <c r="Z189" s="53" t="n"/>
      <c r="AA189" s="53" t="n"/>
      <c r="AB189" s="53" t="n"/>
      <c r="AC189" s="53" t="n"/>
      <c r="AD189" s="53" t="n"/>
      <c r="AE189" s="53" t="n"/>
      <c r="AF189" s="53" t="n"/>
      <c r="AG189" s="53" t="n"/>
      <c r="AH189" s="53" t="n"/>
      <c r="AI189" s="53" t="n"/>
      <c r="AJ189" s="53" t="n"/>
      <c r="AK189" s="53" t="n"/>
      <c r="AL189" s="53" t="n"/>
      <c r="AM189" s="53" t="n"/>
      <c r="AN189" s="53" t="n"/>
      <c r="AO189" s="53" t="n"/>
      <c r="AP189" s="53" t="n"/>
      <c r="AQ189" s="53" t="n"/>
      <c r="AR189" s="53" t="n"/>
      <c r="AS189" s="53" t="n"/>
      <c r="AT189" s="53" t="n"/>
      <c r="AU189" s="53" t="n"/>
      <c r="AV189" s="53" t="n"/>
      <c r="AW189" s="53" t="n"/>
      <c r="AX189" s="53" t="n"/>
      <c r="AY189" s="53" t="n"/>
    </row>
    <row r="190" ht="15" customHeight="1">
      <c r="A190" s="62" t="n"/>
      <c r="B190" s="55">
        <f>IF($B$188="","",$B$188)</f>
        <v/>
      </c>
      <c r="C190" s="63" t="inlineStr">
        <is>
          <t>마케팅3팀</t>
        </is>
      </c>
      <c r="D190" s="55">
        <f>IF($D$188="","",$D$188)</f>
        <v/>
      </c>
      <c r="E190" s="64" t="inlineStr">
        <is>
          <t>영상</t>
        </is>
      </c>
      <c r="F190" s="44" t="n"/>
      <c r="G190" s="58">
        <f>IF($G$188="","",$G$188)</f>
        <v/>
      </c>
      <c r="H190" s="59" t="n"/>
      <c r="I190" s="59" t="n"/>
      <c r="J190" s="59" t="n"/>
      <c r="K190" s="59" t="n"/>
      <c r="L190" s="65">
        <f>IF(SUM(U190:AY190)=0,"",SUM(U190:AY190))</f>
        <v/>
      </c>
      <c r="M190" s="66">
        <f>IFERROR(INDEX(U$2:AY$2,MATCH(TRUE,INDEX(U190:AY190&lt;&gt;"",0),0)),"")</f>
        <v/>
      </c>
      <c r="N190" s="66">
        <f>IFERROR(LOOKUP(2,1/(U190:AY190&lt;&gt;""),U$2:AY$2),"")</f>
        <v/>
      </c>
      <c r="O190" s="59" t="n"/>
      <c r="P190" s="59" t="n"/>
      <c r="Q190" s="59" t="n"/>
      <c r="R190" s="59" t="n"/>
      <c r="S190" s="14" t="n"/>
      <c r="U190" s="53" t="n"/>
      <c r="V190" s="53" t="n"/>
      <c r="W190" s="53" t="n"/>
      <c r="X190" s="53" t="n"/>
      <c r="Y190" s="53" t="n"/>
      <c r="Z190" s="53" t="n"/>
      <c r="AA190" s="53" t="n"/>
      <c r="AB190" s="53" t="n"/>
      <c r="AC190" s="53" t="n"/>
      <c r="AD190" s="53" t="n"/>
      <c r="AE190" s="53" t="n"/>
      <c r="AF190" s="53" t="n"/>
      <c r="AG190" s="53" t="n"/>
      <c r="AH190" s="53" t="n"/>
      <c r="AI190" s="53" t="n"/>
      <c r="AJ190" s="53" t="n"/>
      <c r="AK190" s="53" t="n"/>
      <c r="AL190" s="53" t="n"/>
      <c r="AM190" s="53" t="n"/>
      <c r="AN190" s="53" t="n"/>
      <c r="AO190" s="53" t="n"/>
      <c r="AP190" s="53" t="n"/>
      <c r="AQ190" s="53" t="n"/>
      <c r="AR190" s="53" t="n"/>
      <c r="AS190" s="53" t="n"/>
      <c r="AT190" s="53" t="n"/>
      <c r="AU190" s="53" t="n"/>
      <c r="AV190" s="53" t="n"/>
      <c r="AW190" s="53" t="n"/>
      <c r="AX190" s="53" t="n"/>
      <c r="AY190" s="53" t="n"/>
    </row>
    <row r="191" ht="18" customHeight="1">
      <c r="A191" s="39" t="inlineStr">
        <is>
          <t>마케팅4팀   (192~251행 · 소재 20개)</t>
        </is>
      </c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I191" s="8" t="n"/>
      <c r="AJ191" s="8" t="n"/>
      <c r="AK191" s="8" t="n"/>
      <c r="AL191" s="8" t="n"/>
      <c r="AM191" s="8" t="n"/>
      <c r="AN191" s="8" t="n"/>
      <c r="AO191" s="8" t="n"/>
      <c r="AP191" s="8" t="n"/>
      <c r="AQ191" s="8" t="n"/>
      <c r="AR191" s="8" t="n"/>
      <c r="AS191" s="8" t="n"/>
      <c r="AT191" s="8" t="n"/>
      <c r="AU191" s="8" t="n"/>
      <c r="AV191" s="8" t="n"/>
      <c r="AW191" s="8" t="n"/>
      <c r="AX191" s="8" t="n"/>
      <c r="AY191" s="4" t="n"/>
    </row>
    <row r="192" ht="15" customHeight="1">
      <c r="A192" s="40">
        <f>IF($D$192="","",61)</f>
        <v/>
      </c>
      <c r="B192" s="10" t="n"/>
      <c r="C192" s="41" t="inlineStr">
        <is>
          <t>마케팅4팀</t>
        </is>
      </c>
      <c r="D192" s="42" t="n"/>
      <c r="E192" s="43" t="inlineStr">
        <is>
          <t>기획</t>
        </is>
      </c>
      <c r="F192" s="44" t="n"/>
      <c r="G192" s="45" t="n"/>
      <c r="H192" s="46">
        <f>IF($I$192="","",IF($I$192&lt;0,"🔴지연",IF($I$192&lt;=1,"🟡임박","🟢여유")))</f>
        <v/>
      </c>
      <c r="I192" s="47">
        <f>IF(OR($G$192="",$K$192=""),"",$G$192-$K$192)</f>
        <v/>
      </c>
      <c r="J192" s="48">
        <f>IF(SUM($L$192:$L$194)=0,"",SUM($L$192:$L$194))</f>
        <v/>
      </c>
      <c r="K192" s="49">
        <f>IF($J$192="","",MAX($N$192:$N$194))</f>
        <v/>
      </c>
      <c r="L192" s="50">
        <f>IF(SUM(U192:AY192)=0,"",SUM(U192:AY192))</f>
        <v/>
      </c>
      <c r="M192" s="51">
        <f>IFERROR(INDEX(U$2:AY$2,MATCH(TRUE,INDEX(U192:AY192&lt;&gt;"",0),0)),"")</f>
        <v/>
      </c>
      <c r="N192" s="51">
        <f>IFERROR(LOOKUP(2,1/(U192:AY192&lt;&gt;""),U$2:AY$2),"")</f>
        <v/>
      </c>
      <c r="O192" s="52" t="n"/>
      <c r="P192" s="52" t="n"/>
      <c r="Q192" s="52" t="n"/>
      <c r="R192" s="44" t="n"/>
      <c r="S192" s="14" t="n"/>
      <c r="U192" s="53" t="n"/>
      <c r="V192" s="53" t="n"/>
      <c r="W192" s="53" t="n"/>
      <c r="X192" s="53" t="n"/>
      <c r="Y192" s="53" t="n"/>
      <c r="Z192" s="53" t="n"/>
      <c r="AA192" s="53" t="n"/>
      <c r="AB192" s="53" t="n"/>
      <c r="AC192" s="53" t="n"/>
      <c r="AD192" s="53" t="n"/>
      <c r="AE192" s="53" t="n"/>
      <c r="AF192" s="53" t="n"/>
      <c r="AG192" s="53" t="n"/>
      <c r="AH192" s="53" t="n"/>
      <c r="AI192" s="53" t="n"/>
      <c r="AJ192" s="53" t="n"/>
      <c r="AK192" s="53" t="n"/>
      <c r="AL192" s="53" t="n"/>
      <c r="AM192" s="53" t="n"/>
      <c r="AN192" s="53" t="n"/>
      <c r="AO192" s="53" t="n"/>
      <c r="AP192" s="53" t="n"/>
      <c r="AQ192" s="53" t="n"/>
      <c r="AR192" s="53" t="n"/>
      <c r="AS192" s="53" t="n"/>
      <c r="AT192" s="53" t="n"/>
      <c r="AU192" s="53" t="n"/>
      <c r="AV192" s="53" t="n"/>
      <c r="AW192" s="53" t="n"/>
      <c r="AX192" s="53" t="n"/>
      <c r="AY192" s="53" t="n"/>
    </row>
    <row r="193" ht="15" customHeight="1">
      <c r="A193" s="54" t="n"/>
      <c r="B193" s="55">
        <f>IF($B$192="","",$B$192)</f>
        <v/>
      </c>
      <c r="C193" s="56" t="inlineStr">
        <is>
          <t>마케팅4팀</t>
        </is>
      </c>
      <c r="D193" s="55">
        <f>IF($D$192="","",$D$192)</f>
        <v/>
      </c>
      <c r="E193" s="57" t="inlineStr">
        <is>
          <t>이미지</t>
        </is>
      </c>
      <c r="F193" s="44" t="n"/>
      <c r="G193" s="58">
        <f>IF($G$192="","",$G$192)</f>
        <v/>
      </c>
      <c r="H193" s="59" t="n"/>
      <c r="I193" s="59" t="n"/>
      <c r="J193" s="59" t="n"/>
      <c r="K193" s="59" t="n"/>
      <c r="L193" s="60">
        <f>IF(SUM(U193:AY193)=0,"",SUM(U193:AY193))</f>
        <v/>
      </c>
      <c r="M193" s="61">
        <f>IFERROR(INDEX(U$2:AY$2,MATCH(TRUE,INDEX(U193:AY193&lt;&gt;"",0),0)),"")</f>
        <v/>
      </c>
      <c r="N193" s="61">
        <f>IFERROR(LOOKUP(2,1/(U193:AY193&lt;&gt;""),U$2:AY$2),"")</f>
        <v/>
      </c>
      <c r="O193" s="59" t="n"/>
      <c r="P193" s="59" t="n"/>
      <c r="Q193" s="59" t="n"/>
      <c r="R193" s="59" t="n"/>
      <c r="S193" s="14" t="n"/>
      <c r="U193" s="53" t="n"/>
      <c r="V193" s="53" t="n"/>
      <c r="W193" s="53" t="n"/>
      <c r="X193" s="53" t="n"/>
      <c r="Y193" s="53" t="n"/>
      <c r="Z193" s="53" t="n"/>
      <c r="AA193" s="53" t="n"/>
      <c r="AB193" s="53" t="n"/>
      <c r="AC193" s="53" t="n"/>
      <c r="AD193" s="53" t="n"/>
      <c r="AE193" s="53" t="n"/>
      <c r="AF193" s="53" t="n"/>
      <c r="AG193" s="53" t="n"/>
      <c r="AH193" s="53" t="n"/>
      <c r="AI193" s="53" t="n"/>
      <c r="AJ193" s="53" t="n"/>
      <c r="AK193" s="53" t="n"/>
      <c r="AL193" s="53" t="n"/>
      <c r="AM193" s="53" t="n"/>
      <c r="AN193" s="53" t="n"/>
      <c r="AO193" s="53" t="n"/>
      <c r="AP193" s="53" t="n"/>
      <c r="AQ193" s="53" t="n"/>
      <c r="AR193" s="53" t="n"/>
      <c r="AS193" s="53" t="n"/>
      <c r="AT193" s="53" t="n"/>
      <c r="AU193" s="53" t="n"/>
      <c r="AV193" s="53" t="n"/>
      <c r="AW193" s="53" t="n"/>
      <c r="AX193" s="53" t="n"/>
      <c r="AY193" s="53" t="n"/>
    </row>
    <row r="194" ht="15" customHeight="1">
      <c r="A194" s="62" t="n"/>
      <c r="B194" s="55">
        <f>IF($B$192="","",$B$192)</f>
        <v/>
      </c>
      <c r="C194" s="63" t="inlineStr">
        <is>
          <t>마케팅4팀</t>
        </is>
      </c>
      <c r="D194" s="55">
        <f>IF($D$192="","",$D$192)</f>
        <v/>
      </c>
      <c r="E194" s="64" t="inlineStr">
        <is>
          <t>영상</t>
        </is>
      </c>
      <c r="F194" s="44" t="n"/>
      <c r="G194" s="58">
        <f>IF($G$192="","",$G$192)</f>
        <v/>
      </c>
      <c r="H194" s="59" t="n"/>
      <c r="I194" s="59" t="n"/>
      <c r="J194" s="59" t="n"/>
      <c r="K194" s="59" t="n"/>
      <c r="L194" s="65">
        <f>IF(SUM(U194:AY194)=0,"",SUM(U194:AY194))</f>
        <v/>
      </c>
      <c r="M194" s="66">
        <f>IFERROR(INDEX(U$2:AY$2,MATCH(TRUE,INDEX(U194:AY194&lt;&gt;"",0),0)),"")</f>
        <v/>
      </c>
      <c r="N194" s="66">
        <f>IFERROR(LOOKUP(2,1/(U194:AY194&lt;&gt;""),U$2:AY$2),"")</f>
        <v/>
      </c>
      <c r="O194" s="59" t="n"/>
      <c r="P194" s="59" t="n"/>
      <c r="Q194" s="59" t="n"/>
      <c r="R194" s="59" t="n"/>
      <c r="S194" s="14" t="n"/>
      <c r="U194" s="53" t="n"/>
      <c r="V194" s="53" t="n"/>
      <c r="W194" s="53" t="n"/>
      <c r="X194" s="53" t="n"/>
      <c r="Y194" s="53" t="n"/>
      <c r="Z194" s="53" t="n"/>
      <c r="AA194" s="53" t="n"/>
      <c r="AB194" s="53" t="n"/>
      <c r="AC194" s="53" t="n"/>
      <c r="AD194" s="53" t="n"/>
      <c r="AE194" s="53" t="n"/>
      <c r="AF194" s="53" t="n"/>
      <c r="AG194" s="53" t="n"/>
      <c r="AH194" s="53" t="n"/>
      <c r="AI194" s="53" t="n"/>
      <c r="AJ194" s="53" t="n"/>
      <c r="AK194" s="53" t="n"/>
      <c r="AL194" s="53" t="n"/>
      <c r="AM194" s="53" t="n"/>
      <c r="AN194" s="53" t="n"/>
      <c r="AO194" s="53" t="n"/>
      <c r="AP194" s="53" t="n"/>
      <c r="AQ194" s="53" t="n"/>
      <c r="AR194" s="53" t="n"/>
      <c r="AS194" s="53" t="n"/>
      <c r="AT194" s="53" t="n"/>
      <c r="AU194" s="53" t="n"/>
      <c r="AV194" s="53" t="n"/>
      <c r="AW194" s="53" t="n"/>
      <c r="AX194" s="53" t="n"/>
      <c r="AY194" s="53" t="n"/>
    </row>
    <row r="195" ht="15" customHeight="1">
      <c r="A195" s="40">
        <f>IF($D$195="","",62)</f>
        <v/>
      </c>
      <c r="B195" s="10" t="n"/>
      <c r="C195" s="41" t="inlineStr">
        <is>
          <t>마케팅4팀</t>
        </is>
      </c>
      <c r="D195" s="42" t="n"/>
      <c r="E195" s="43" t="inlineStr">
        <is>
          <t>기획</t>
        </is>
      </c>
      <c r="F195" s="44" t="n"/>
      <c r="G195" s="45" t="n"/>
      <c r="H195" s="46">
        <f>IF($I$195="","",IF($I$195&lt;0,"🔴지연",IF($I$195&lt;=1,"🟡임박","🟢여유")))</f>
        <v/>
      </c>
      <c r="I195" s="47">
        <f>IF(OR($G$195="",$K$195=""),"",$G$195-$K$195)</f>
        <v/>
      </c>
      <c r="J195" s="48">
        <f>IF(SUM($L$195:$L$197)=0,"",SUM($L$195:$L$197))</f>
        <v/>
      </c>
      <c r="K195" s="49">
        <f>IF($J$195="","",MAX($N$195:$N$197))</f>
        <v/>
      </c>
      <c r="L195" s="50">
        <f>IF(SUM(U195:AY195)=0,"",SUM(U195:AY195))</f>
        <v/>
      </c>
      <c r="M195" s="51">
        <f>IFERROR(INDEX(U$2:AY$2,MATCH(TRUE,INDEX(U195:AY195&lt;&gt;"",0),0)),"")</f>
        <v/>
      </c>
      <c r="N195" s="51">
        <f>IFERROR(LOOKUP(2,1/(U195:AY195&lt;&gt;""),U$2:AY$2),"")</f>
        <v/>
      </c>
      <c r="O195" s="52" t="n"/>
      <c r="P195" s="52" t="n"/>
      <c r="Q195" s="52" t="n"/>
      <c r="R195" s="44" t="n"/>
      <c r="S195" s="14" t="n"/>
      <c r="U195" s="53" t="n"/>
      <c r="V195" s="53" t="n"/>
      <c r="W195" s="53" t="n"/>
      <c r="X195" s="53" t="n"/>
      <c r="Y195" s="53" t="n"/>
      <c r="Z195" s="53" t="n"/>
      <c r="AA195" s="53" t="n"/>
      <c r="AB195" s="53" t="n"/>
      <c r="AC195" s="53" t="n"/>
      <c r="AD195" s="53" t="n"/>
      <c r="AE195" s="53" t="n"/>
      <c r="AF195" s="53" t="n"/>
      <c r="AG195" s="53" t="n"/>
      <c r="AH195" s="53" t="n"/>
      <c r="AI195" s="53" t="n"/>
      <c r="AJ195" s="53" t="n"/>
      <c r="AK195" s="53" t="n"/>
      <c r="AL195" s="53" t="n"/>
      <c r="AM195" s="53" t="n"/>
      <c r="AN195" s="53" t="n"/>
      <c r="AO195" s="53" t="n"/>
      <c r="AP195" s="53" t="n"/>
      <c r="AQ195" s="53" t="n"/>
      <c r="AR195" s="53" t="n"/>
      <c r="AS195" s="53" t="n"/>
      <c r="AT195" s="53" t="n"/>
      <c r="AU195" s="53" t="n"/>
      <c r="AV195" s="53" t="n"/>
      <c r="AW195" s="53" t="n"/>
      <c r="AX195" s="53" t="n"/>
      <c r="AY195" s="53" t="n"/>
    </row>
    <row r="196" ht="15" customHeight="1">
      <c r="A196" s="54" t="n"/>
      <c r="B196" s="55">
        <f>IF($B$195="","",$B$195)</f>
        <v/>
      </c>
      <c r="C196" s="56" t="inlineStr">
        <is>
          <t>마케팅4팀</t>
        </is>
      </c>
      <c r="D196" s="55">
        <f>IF($D$195="","",$D$195)</f>
        <v/>
      </c>
      <c r="E196" s="57" t="inlineStr">
        <is>
          <t>이미지</t>
        </is>
      </c>
      <c r="F196" s="44" t="n"/>
      <c r="G196" s="58">
        <f>IF($G$195="","",$G$195)</f>
        <v/>
      </c>
      <c r="H196" s="59" t="n"/>
      <c r="I196" s="59" t="n"/>
      <c r="J196" s="59" t="n"/>
      <c r="K196" s="59" t="n"/>
      <c r="L196" s="60">
        <f>IF(SUM(U196:AY196)=0,"",SUM(U196:AY196))</f>
        <v/>
      </c>
      <c r="M196" s="61">
        <f>IFERROR(INDEX(U$2:AY$2,MATCH(TRUE,INDEX(U196:AY196&lt;&gt;"",0),0)),"")</f>
        <v/>
      </c>
      <c r="N196" s="61">
        <f>IFERROR(LOOKUP(2,1/(U196:AY196&lt;&gt;""),U$2:AY$2),"")</f>
        <v/>
      </c>
      <c r="O196" s="59" t="n"/>
      <c r="P196" s="59" t="n"/>
      <c r="Q196" s="59" t="n"/>
      <c r="R196" s="59" t="n"/>
      <c r="S196" s="14" t="n"/>
      <c r="U196" s="53" t="n"/>
      <c r="V196" s="53" t="n"/>
      <c r="W196" s="53" t="n"/>
      <c r="X196" s="53" t="n"/>
      <c r="Y196" s="53" t="n"/>
      <c r="Z196" s="53" t="n"/>
      <c r="AA196" s="53" t="n"/>
      <c r="AB196" s="53" t="n"/>
      <c r="AC196" s="53" t="n"/>
      <c r="AD196" s="53" t="n"/>
      <c r="AE196" s="53" t="n"/>
      <c r="AF196" s="53" t="n"/>
      <c r="AG196" s="53" t="n"/>
      <c r="AH196" s="53" t="n"/>
      <c r="AI196" s="53" t="n"/>
      <c r="AJ196" s="53" t="n"/>
      <c r="AK196" s="53" t="n"/>
      <c r="AL196" s="53" t="n"/>
      <c r="AM196" s="53" t="n"/>
      <c r="AN196" s="53" t="n"/>
      <c r="AO196" s="53" t="n"/>
      <c r="AP196" s="53" t="n"/>
      <c r="AQ196" s="53" t="n"/>
      <c r="AR196" s="53" t="n"/>
      <c r="AS196" s="53" t="n"/>
      <c r="AT196" s="53" t="n"/>
      <c r="AU196" s="53" t="n"/>
      <c r="AV196" s="53" t="n"/>
      <c r="AW196" s="53" t="n"/>
      <c r="AX196" s="53" t="n"/>
      <c r="AY196" s="53" t="n"/>
    </row>
    <row r="197" ht="15" customHeight="1">
      <c r="A197" s="62" t="n"/>
      <c r="B197" s="55">
        <f>IF($B$195="","",$B$195)</f>
        <v/>
      </c>
      <c r="C197" s="63" t="inlineStr">
        <is>
          <t>마케팅4팀</t>
        </is>
      </c>
      <c r="D197" s="55">
        <f>IF($D$195="","",$D$195)</f>
        <v/>
      </c>
      <c r="E197" s="64" t="inlineStr">
        <is>
          <t>영상</t>
        </is>
      </c>
      <c r="F197" s="44" t="n"/>
      <c r="G197" s="58">
        <f>IF($G$195="","",$G$195)</f>
        <v/>
      </c>
      <c r="H197" s="59" t="n"/>
      <c r="I197" s="59" t="n"/>
      <c r="J197" s="59" t="n"/>
      <c r="K197" s="59" t="n"/>
      <c r="L197" s="65">
        <f>IF(SUM(U197:AY197)=0,"",SUM(U197:AY197))</f>
        <v/>
      </c>
      <c r="M197" s="66">
        <f>IFERROR(INDEX(U$2:AY$2,MATCH(TRUE,INDEX(U197:AY197&lt;&gt;"",0),0)),"")</f>
        <v/>
      </c>
      <c r="N197" s="66">
        <f>IFERROR(LOOKUP(2,1/(U197:AY197&lt;&gt;""),U$2:AY$2),"")</f>
        <v/>
      </c>
      <c r="O197" s="59" t="n"/>
      <c r="P197" s="59" t="n"/>
      <c r="Q197" s="59" t="n"/>
      <c r="R197" s="59" t="n"/>
      <c r="S197" s="14" t="n"/>
      <c r="U197" s="53" t="n"/>
      <c r="V197" s="53" t="n"/>
      <c r="W197" s="53" t="n"/>
      <c r="X197" s="53" t="n"/>
      <c r="Y197" s="53" t="n"/>
      <c r="Z197" s="53" t="n"/>
      <c r="AA197" s="53" t="n"/>
      <c r="AB197" s="53" t="n"/>
      <c r="AC197" s="53" t="n"/>
      <c r="AD197" s="53" t="n"/>
      <c r="AE197" s="53" t="n"/>
      <c r="AF197" s="53" t="n"/>
      <c r="AG197" s="53" t="n"/>
      <c r="AH197" s="53" t="n"/>
      <c r="AI197" s="53" t="n"/>
      <c r="AJ197" s="53" t="n"/>
      <c r="AK197" s="53" t="n"/>
      <c r="AL197" s="53" t="n"/>
      <c r="AM197" s="53" t="n"/>
      <c r="AN197" s="53" t="n"/>
      <c r="AO197" s="53" t="n"/>
      <c r="AP197" s="53" t="n"/>
      <c r="AQ197" s="53" t="n"/>
      <c r="AR197" s="53" t="n"/>
      <c r="AS197" s="53" t="n"/>
      <c r="AT197" s="53" t="n"/>
      <c r="AU197" s="53" t="n"/>
      <c r="AV197" s="53" t="n"/>
      <c r="AW197" s="53" t="n"/>
      <c r="AX197" s="53" t="n"/>
      <c r="AY197" s="53" t="n"/>
    </row>
    <row r="198" ht="15" customHeight="1">
      <c r="A198" s="40">
        <f>IF($D$198="","",63)</f>
        <v/>
      </c>
      <c r="B198" s="10" t="n"/>
      <c r="C198" s="41" t="inlineStr">
        <is>
          <t>마케팅4팀</t>
        </is>
      </c>
      <c r="D198" s="42" t="n"/>
      <c r="E198" s="43" t="inlineStr">
        <is>
          <t>기획</t>
        </is>
      </c>
      <c r="F198" s="44" t="n"/>
      <c r="G198" s="45" t="n"/>
      <c r="H198" s="46">
        <f>IF($I$198="","",IF($I$198&lt;0,"🔴지연",IF($I$198&lt;=1,"🟡임박","🟢여유")))</f>
        <v/>
      </c>
      <c r="I198" s="47">
        <f>IF(OR($G$198="",$K$198=""),"",$G$198-$K$198)</f>
        <v/>
      </c>
      <c r="J198" s="48">
        <f>IF(SUM($L$198:$L$200)=0,"",SUM($L$198:$L$200))</f>
        <v/>
      </c>
      <c r="K198" s="49">
        <f>IF($J$198="","",MAX($N$198:$N$200))</f>
        <v/>
      </c>
      <c r="L198" s="50">
        <f>IF(SUM(U198:AY198)=0,"",SUM(U198:AY198))</f>
        <v/>
      </c>
      <c r="M198" s="51">
        <f>IFERROR(INDEX(U$2:AY$2,MATCH(TRUE,INDEX(U198:AY198&lt;&gt;"",0),0)),"")</f>
        <v/>
      </c>
      <c r="N198" s="51">
        <f>IFERROR(LOOKUP(2,1/(U198:AY198&lt;&gt;""),U$2:AY$2),"")</f>
        <v/>
      </c>
      <c r="O198" s="52" t="n"/>
      <c r="P198" s="52" t="n"/>
      <c r="Q198" s="52" t="n"/>
      <c r="R198" s="44" t="n"/>
      <c r="S198" s="14" t="n"/>
      <c r="U198" s="53" t="n"/>
      <c r="V198" s="53" t="n"/>
      <c r="W198" s="53" t="n"/>
      <c r="X198" s="53" t="n"/>
      <c r="Y198" s="53" t="n"/>
      <c r="Z198" s="53" t="n"/>
      <c r="AA198" s="53" t="n"/>
      <c r="AB198" s="53" t="n"/>
      <c r="AC198" s="53" t="n"/>
      <c r="AD198" s="53" t="n"/>
      <c r="AE198" s="53" t="n"/>
      <c r="AF198" s="53" t="n"/>
      <c r="AG198" s="53" t="n"/>
      <c r="AH198" s="53" t="n"/>
      <c r="AI198" s="53" t="n"/>
      <c r="AJ198" s="53" t="n"/>
      <c r="AK198" s="53" t="n"/>
      <c r="AL198" s="53" t="n"/>
      <c r="AM198" s="53" t="n"/>
      <c r="AN198" s="53" t="n"/>
      <c r="AO198" s="53" t="n"/>
      <c r="AP198" s="53" t="n"/>
      <c r="AQ198" s="53" t="n"/>
      <c r="AR198" s="53" t="n"/>
      <c r="AS198" s="53" t="n"/>
      <c r="AT198" s="53" t="n"/>
      <c r="AU198" s="53" t="n"/>
      <c r="AV198" s="53" t="n"/>
      <c r="AW198" s="53" t="n"/>
      <c r="AX198" s="53" t="n"/>
      <c r="AY198" s="53" t="n"/>
    </row>
    <row r="199" ht="15" customHeight="1">
      <c r="A199" s="54" t="n"/>
      <c r="B199" s="55">
        <f>IF($B$198="","",$B$198)</f>
        <v/>
      </c>
      <c r="C199" s="56" t="inlineStr">
        <is>
          <t>마케팅4팀</t>
        </is>
      </c>
      <c r="D199" s="55">
        <f>IF($D$198="","",$D$198)</f>
        <v/>
      </c>
      <c r="E199" s="57" t="inlineStr">
        <is>
          <t>이미지</t>
        </is>
      </c>
      <c r="F199" s="44" t="n"/>
      <c r="G199" s="58">
        <f>IF($G$198="","",$G$198)</f>
        <v/>
      </c>
      <c r="H199" s="59" t="n"/>
      <c r="I199" s="59" t="n"/>
      <c r="J199" s="59" t="n"/>
      <c r="K199" s="59" t="n"/>
      <c r="L199" s="60">
        <f>IF(SUM(U199:AY199)=0,"",SUM(U199:AY199))</f>
        <v/>
      </c>
      <c r="M199" s="61">
        <f>IFERROR(INDEX(U$2:AY$2,MATCH(TRUE,INDEX(U199:AY199&lt;&gt;"",0),0)),"")</f>
        <v/>
      </c>
      <c r="N199" s="61">
        <f>IFERROR(LOOKUP(2,1/(U199:AY199&lt;&gt;""),U$2:AY$2),"")</f>
        <v/>
      </c>
      <c r="O199" s="59" t="n"/>
      <c r="P199" s="59" t="n"/>
      <c r="Q199" s="59" t="n"/>
      <c r="R199" s="59" t="n"/>
      <c r="S199" s="14" t="n"/>
      <c r="U199" s="53" t="n"/>
      <c r="V199" s="53" t="n"/>
      <c r="W199" s="53" t="n"/>
      <c r="X199" s="53" t="n"/>
      <c r="Y199" s="53" t="n"/>
      <c r="Z199" s="53" t="n"/>
      <c r="AA199" s="53" t="n"/>
      <c r="AB199" s="53" t="n"/>
      <c r="AC199" s="53" t="n"/>
      <c r="AD199" s="53" t="n"/>
      <c r="AE199" s="53" t="n"/>
      <c r="AF199" s="53" t="n"/>
      <c r="AG199" s="53" t="n"/>
      <c r="AH199" s="53" t="n"/>
      <c r="AI199" s="53" t="n"/>
      <c r="AJ199" s="53" t="n"/>
      <c r="AK199" s="53" t="n"/>
      <c r="AL199" s="53" t="n"/>
      <c r="AM199" s="53" t="n"/>
      <c r="AN199" s="53" t="n"/>
      <c r="AO199" s="53" t="n"/>
      <c r="AP199" s="53" t="n"/>
      <c r="AQ199" s="53" t="n"/>
      <c r="AR199" s="53" t="n"/>
      <c r="AS199" s="53" t="n"/>
      <c r="AT199" s="53" t="n"/>
      <c r="AU199" s="53" t="n"/>
      <c r="AV199" s="53" t="n"/>
      <c r="AW199" s="53" t="n"/>
      <c r="AX199" s="53" t="n"/>
      <c r="AY199" s="53" t="n"/>
    </row>
    <row r="200" ht="15" customHeight="1">
      <c r="A200" s="62" t="n"/>
      <c r="B200" s="55">
        <f>IF($B$198="","",$B$198)</f>
        <v/>
      </c>
      <c r="C200" s="63" t="inlineStr">
        <is>
          <t>마케팅4팀</t>
        </is>
      </c>
      <c r="D200" s="55">
        <f>IF($D$198="","",$D$198)</f>
        <v/>
      </c>
      <c r="E200" s="64" t="inlineStr">
        <is>
          <t>영상</t>
        </is>
      </c>
      <c r="F200" s="44" t="n"/>
      <c r="G200" s="58">
        <f>IF($G$198="","",$G$198)</f>
        <v/>
      </c>
      <c r="H200" s="59" t="n"/>
      <c r="I200" s="59" t="n"/>
      <c r="J200" s="59" t="n"/>
      <c r="K200" s="59" t="n"/>
      <c r="L200" s="65">
        <f>IF(SUM(U200:AY200)=0,"",SUM(U200:AY200))</f>
        <v/>
      </c>
      <c r="M200" s="66">
        <f>IFERROR(INDEX(U$2:AY$2,MATCH(TRUE,INDEX(U200:AY200&lt;&gt;"",0),0)),"")</f>
        <v/>
      </c>
      <c r="N200" s="66">
        <f>IFERROR(LOOKUP(2,1/(U200:AY200&lt;&gt;""),U$2:AY$2),"")</f>
        <v/>
      </c>
      <c r="O200" s="59" t="n"/>
      <c r="P200" s="59" t="n"/>
      <c r="Q200" s="59" t="n"/>
      <c r="R200" s="59" t="n"/>
      <c r="S200" s="14" t="n"/>
      <c r="U200" s="53" t="n"/>
      <c r="V200" s="53" t="n"/>
      <c r="W200" s="53" t="n"/>
      <c r="X200" s="53" t="n"/>
      <c r="Y200" s="53" t="n"/>
      <c r="Z200" s="53" t="n"/>
      <c r="AA200" s="53" t="n"/>
      <c r="AB200" s="53" t="n"/>
      <c r="AC200" s="53" t="n"/>
      <c r="AD200" s="53" t="n"/>
      <c r="AE200" s="53" t="n"/>
      <c r="AF200" s="53" t="n"/>
      <c r="AG200" s="53" t="n"/>
      <c r="AH200" s="53" t="n"/>
      <c r="AI200" s="53" t="n"/>
      <c r="AJ200" s="53" t="n"/>
      <c r="AK200" s="53" t="n"/>
      <c r="AL200" s="53" t="n"/>
      <c r="AM200" s="53" t="n"/>
      <c r="AN200" s="53" t="n"/>
      <c r="AO200" s="53" t="n"/>
      <c r="AP200" s="53" t="n"/>
      <c r="AQ200" s="53" t="n"/>
      <c r="AR200" s="53" t="n"/>
      <c r="AS200" s="53" t="n"/>
      <c r="AT200" s="53" t="n"/>
      <c r="AU200" s="53" t="n"/>
      <c r="AV200" s="53" t="n"/>
      <c r="AW200" s="53" t="n"/>
      <c r="AX200" s="53" t="n"/>
      <c r="AY200" s="53" t="n"/>
    </row>
    <row r="201" ht="15" customHeight="1">
      <c r="A201" s="40">
        <f>IF($D$201="","",64)</f>
        <v/>
      </c>
      <c r="B201" s="10" t="n"/>
      <c r="C201" s="41" t="inlineStr">
        <is>
          <t>마케팅4팀</t>
        </is>
      </c>
      <c r="D201" s="42" t="n"/>
      <c r="E201" s="43" t="inlineStr">
        <is>
          <t>기획</t>
        </is>
      </c>
      <c r="F201" s="44" t="n"/>
      <c r="G201" s="45" t="n"/>
      <c r="H201" s="46">
        <f>IF($I$201="","",IF($I$201&lt;0,"🔴지연",IF($I$201&lt;=1,"🟡임박","🟢여유")))</f>
        <v/>
      </c>
      <c r="I201" s="47">
        <f>IF(OR($G$201="",$K$201=""),"",$G$201-$K$201)</f>
        <v/>
      </c>
      <c r="J201" s="48">
        <f>IF(SUM($L$201:$L$203)=0,"",SUM($L$201:$L$203))</f>
        <v/>
      </c>
      <c r="K201" s="49">
        <f>IF($J$201="","",MAX($N$201:$N$203))</f>
        <v/>
      </c>
      <c r="L201" s="50">
        <f>IF(SUM(U201:AY201)=0,"",SUM(U201:AY201))</f>
        <v/>
      </c>
      <c r="M201" s="51">
        <f>IFERROR(INDEX(U$2:AY$2,MATCH(TRUE,INDEX(U201:AY201&lt;&gt;"",0),0)),"")</f>
        <v/>
      </c>
      <c r="N201" s="51">
        <f>IFERROR(LOOKUP(2,1/(U201:AY201&lt;&gt;""),U$2:AY$2),"")</f>
        <v/>
      </c>
      <c r="O201" s="52" t="n"/>
      <c r="P201" s="52" t="n"/>
      <c r="Q201" s="52" t="n"/>
      <c r="R201" s="44" t="n"/>
      <c r="S201" s="14" t="n"/>
      <c r="U201" s="53" t="n"/>
      <c r="V201" s="53" t="n"/>
      <c r="W201" s="53" t="n"/>
      <c r="X201" s="53" t="n"/>
      <c r="Y201" s="53" t="n"/>
      <c r="Z201" s="53" t="n"/>
      <c r="AA201" s="53" t="n"/>
      <c r="AB201" s="53" t="n"/>
      <c r="AC201" s="53" t="n"/>
      <c r="AD201" s="53" t="n"/>
      <c r="AE201" s="53" t="n"/>
      <c r="AF201" s="53" t="n"/>
      <c r="AG201" s="53" t="n"/>
      <c r="AH201" s="53" t="n"/>
      <c r="AI201" s="53" t="n"/>
      <c r="AJ201" s="53" t="n"/>
      <c r="AK201" s="53" t="n"/>
      <c r="AL201" s="53" t="n"/>
      <c r="AM201" s="53" t="n"/>
      <c r="AN201" s="53" t="n"/>
      <c r="AO201" s="53" t="n"/>
      <c r="AP201" s="53" t="n"/>
      <c r="AQ201" s="53" t="n"/>
      <c r="AR201" s="53" t="n"/>
      <c r="AS201" s="53" t="n"/>
      <c r="AT201" s="53" t="n"/>
      <c r="AU201" s="53" t="n"/>
      <c r="AV201" s="53" t="n"/>
      <c r="AW201" s="53" t="n"/>
      <c r="AX201" s="53" t="n"/>
      <c r="AY201" s="53" t="n"/>
    </row>
    <row r="202" ht="15" customHeight="1">
      <c r="A202" s="54" t="n"/>
      <c r="B202" s="55">
        <f>IF($B$201="","",$B$201)</f>
        <v/>
      </c>
      <c r="C202" s="56" t="inlineStr">
        <is>
          <t>마케팅4팀</t>
        </is>
      </c>
      <c r="D202" s="55">
        <f>IF($D$201="","",$D$201)</f>
        <v/>
      </c>
      <c r="E202" s="57" t="inlineStr">
        <is>
          <t>이미지</t>
        </is>
      </c>
      <c r="F202" s="44" t="n"/>
      <c r="G202" s="58">
        <f>IF($G$201="","",$G$201)</f>
        <v/>
      </c>
      <c r="H202" s="59" t="n"/>
      <c r="I202" s="59" t="n"/>
      <c r="J202" s="59" t="n"/>
      <c r="K202" s="59" t="n"/>
      <c r="L202" s="60">
        <f>IF(SUM(U202:AY202)=0,"",SUM(U202:AY202))</f>
        <v/>
      </c>
      <c r="M202" s="61">
        <f>IFERROR(INDEX(U$2:AY$2,MATCH(TRUE,INDEX(U202:AY202&lt;&gt;"",0),0)),"")</f>
        <v/>
      </c>
      <c r="N202" s="61">
        <f>IFERROR(LOOKUP(2,1/(U202:AY202&lt;&gt;""),U$2:AY$2),"")</f>
        <v/>
      </c>
      <c r="O202" s="59" t="n"/>
      <c r="P202" s="59" t="n"/>
      <c r="Q202" s="59" t="n"/>
      <c r="R202" s="59" t="n"/>
      <c r="S202" s="14" t="n"/>
      <c r="U202" s="53" t="n"/>
      <c r="V202" s="53" t="n"/>
      <c r="W202" s="53" t="n"/>
      <c r="X202" s="53" t="n"/>
      <c r="Y202" s="53" t="n"/>
      <c r="Z202" s="53" t="n"/>
      <c r="AA202" s="53" t="n"/>
      <c r="AB202" s="53" t="n"/>
      <c r="AC202" s="53" t="n"/>
      <c r="AD202" s="53" t="n"/>
      <c r="AE202" s="53" t="n"/>
      <c r="AF202" s="53" t="n"/>
      <c r="AG202" s="53" t="n"/>
      <c r="AH202" s="53" t="n"/>
      <c r="AI202" s="53" t="n"/>
      <c r="AJ202" s="53" t="n"/>
      <c r="AK202" s="53" t="n"/>
      <c r="AL202" s="53" t="n"/>
      <c r="AM202" s="53" t="n"/>
      <c r="AN202" s="53" t="n"/>
      <c r="AO202" s="53" t="n"/>
      <c r="AP202" s="53" t="n"/>
      <c r="AQ202" s="53" t="n"/>
      <c r="AR202" s="53" t="n"/>
      <c r="AS202" s="53" t="n"/>
      <c r="AT202" s="53" t="n"/>
      <c r="AU202" s="53" t="n"/>
      <c r="AV202" s="53" t="n"/>
      <c r="AW202" s="53" t="n"/>
      <c r="AX202" s="53" t="n"/>
      <c r="AY202" s="53" t="n"/>
    </row>
    <row r="203" ht="15" customHeight="1">
      <c r="A203" s="62" t="n"/>
      <c r="B203" s="55">
        <f>IF($B$201="","",$B$201)</f>
        <v/>
      </c>
      <c r="C203" s="63" t="inlineStr">
        <is>
          <t>마케팅4팀</t>
        </is>
      </c>
      <c r="D203" s="55">
        <f>IF($D$201="","",$D$201)</f>
        <v/>
      </c>
      <c r="E203" s="64" t="inlineStr">
        <is>
          <t>영상</t>
        </is>
      </c>
      <c r="F203" s="44" t="n"/>
      <c r="G203" s="58">
        <f>IF($G$201="","",$G$201)</f>
        <v/>
      </c>
      <c r="H203" s="59" t="n"/>
      <c r="I203" s="59" t="n"/>
      <c r="J203" s="59" t="n"/>
      <c r="K203" s="59" t="n"/>
      <c r="L203" s="65">
        <f>IF(SUM(U203:AY203)=0,"",SUM(U203:AY203))</f>
        <v/>
      </c>
      <c r="M203" s="66">
        <f>IFERROR(INDEX(U$2:AY$2,MATCH(TRUE,INDEX(U203:AY203&lt;&gt;"",0),0)),"")</f>
        <v/>
      </c>
      <c r="N203" s="66">
        <f>IFERROR(LOOKUP(2,1/(U203:AY203&lt;&gt;""),U$2:AY$2),"")</f>
        <v/>
      </c>
      <c r="O203" s="59" t="n"/>
      <c r="P203" s="59" t="n"/>
      <c r="Q203" s="59" t="n"/>
      <c r="R203" s="59" t="n"/>
      <c r="S203" s="14" t="n"/>
      <c r="U203" s="53" t="n"/>
      <c r="V203" s="53" t="n"/>
      <c r="W203" s="53" t="n"/>
      <c r="X203" s="53" t="n"/>
      <c r="Y203" s="53" t="n"/>
      <c r="Z203" s="53" t="n"/>
      <c r="AA203" s="53" t="n"/>
      <c r="AB203" s="53" t="n"/>
      <c r="AC203" s="53" t="n"/>
      <c r="AD203" s="53" t="n"/>
      <c r="AE203" s="53" t="n"/>
      <c r="AF203" s="53" t="n"/>
      <c r="AG203" s="53" t="n"/>
      <c r="AH203" s="53" t="n"/>
      <c r="AI203" s="53" t="n"/>
      <c r="AJ203" s="53" t="n"/>
      <c r="AK203" s="53" t="n"/>
      <c r="AL203" s="53" t="n"/>
      <c r="AM203" s="53" t="n"/>
      <c r="AN203" s="53" t="n"/>
      <c r="AO203" s="53" t="n"/>
      <c r="AP203" s="53" t="n"/>
      <c r="AQ203" s="53" t="n"/>
      <c r="AR203" s="53" t="n"/>
      <c r="AS203" s="53" t="n"/>
      <c r="AT203" s="53" t="n"/>
      <c r="AU203" s="53" t="n"/>
      <c r="AV203" s="53" t="n"/>
      <c r="AW203" s="53" t="n"/>
      <c r="AX203" s="53" t="n"/>
      <c r="AY203" s="53" t="n"/>
    </row>
    <row r="204" ht="15" customHeight="1">
      <c r="A204" s="40">
        <f>IF($D$204="","",65)</f>
        <v/>
      </c>
      <c r="B204" s="10" t="n"/>
      <c r="C204" s="41" t="inlineStr">
        <is>
          <t>마케팅4팀</t>
        </is>
      </c>
      <c r="D204" s="42" t="n"/>
      <c r="E204" s="43" t="inlineStr">
        <is>
          <t>기획</t>
        </is>
      </c>
      <c r="F204" s="44" t="n"/>
      <c r="G204" s="45" t="n"/>
      <c r="H204" s="46">
        <f>IF($I$204="","",IF($I$204&lt;0,"🔴지연",IF($I$204&lt;=1,"🟡임박","🟢여유")))</f>
        <v/>
      </c>
      <c r="I204" s="47">
        <f>IF(OR($G$204="",$K$204=""),"",$G$204-$K$204)</f>
        <v/>
      </c>
      <c r="J204" s="48">
        <f>IF(SUM($L$204:$L$206)=0,"",SUM($L$204:$L$206))</f>
        <v/>
      </c>
      <c r="K204" s="49">
        <f>IF($J$204="","",MAX($N$204:$N$206))</f>
        <v/>
      </c>
      <c r="L204" s="50">
        <f>IF(SUM(U204:AY204)=0,"",SUM(U204:AY204))</f>
        <v/>
      </c>
      <c r="M204" s="51">
        <f>IFERROR(INDEX(U$2:AY$2,MATCH(TRUE,INDEX(U204:AY204&lt;&gt;"",0),0)),"")</f>
        <v/>
      </c>
      <c r="N204" s="51">
        <f>IFERROR(LOOKUP(2,1/(U204:AY204&lt;&gt;""),U$2:AY$2),"")</f>
        <v/>
      </c>
      <c r="O204" s="52" t="n"/>
      <c r="P204" s="52" t="n"/>
      <c r="Q204" s="52" t="n"/>
      <c r="R204" s="44" t="n"/>
      <c r="S204" s="14" t="n"/>
      <c r="U204" s="53" t="n"/>
      <c r="V204" s="53" t="n"/>
      <c r="W204" s="53" t="n"/>
      <c r="X204" s="53" t="n"/>
      <c r="Y204" s="53" t="n"/>
      <c r="Z204" s="53" t="n"/>
      <c r="AA204" s="53" t="n"/>
      <c r="AB204" s="53" t="n"/>
      <c r="AC204" s="53" t="n"/>
      <c r="AD204" s="53" t="n"/>
      <c r="AE204" s="53" t="n"/>
      <c r="AF204" s="53" t="n"/>
      <c r="AG204" s="53" t="n"/>
      <c r="AH204" s="53" t="n"/>
      <c r="AI204" s="53" t="n"/>
      <c r="AJ204" s="53" t="n"/>
      <c r="AK204" s="53" t="n"/>
      <c r="AL204" s="53" t="n"/>
      <c r="AM204" s="53" t="n"/>
      <c r="AN204" s="53" t="n"/>
      <c r="AO204" s="53" t="n"/>
      <c r="AP204" s="53" t="n"/>
      <c r="AQ204" s="53" t="n"/>
      <c r="AR204" s="53" t="n"/>
      <c r="AS204" s="53" t="n"/>
      <c r="AT204" s="53" t="n"/>
      <c r="AU204" s="53" t="n"/>
      <c r="AV204" s="53" t="n"/>
      <c r="AW204" s="53" t="n"/>
      <c r="AX204" s="53" t="n"/>
      <c r="AY204" s="53" t="n"/>
    </row>
    <row r="205" ht="15" customHeight="1">
      <c r="A205" s="54" t="n"/>
      <c r="B205" s="55">
        <f>IF($B$204="","",$B$204)</f>
        <v/>
      </c>
      <c r="C205" s="56" t="inlineStr">
        <is>
          <t>마케팅4팀</t>
        </is>
      </c>
      <c r="D205" s="55">
        <f>IF($D$204="","",$D$204)</f>
        <v/>
      </c>
      <c r="E205" s="57" t="inlineStr">
        <is>
          <t>이미지</t>
        </is>
      </c>
      <c r="F205" s="44" t="n"/>
      <c r="G205" s="58">
        <f>IF($G$204="","",$G$204)</f>
        <v/>
      </c>
      <c r="H205" s="59" t="n"/>
      <c r="I205" s="59" t="n"/>
      <c r="J205" s="59" t="n"/>
      <c r="K205" s="59" t="n"/>
      <c r="L205" s="60">
        <f>IF(SUM(U205:AY205)=0,"",SUM(U205:AY205))</f>
        <v/>
      </c>
      <c r="M205" s="61">
        <f>IFERROR(INDEX(U$2:AY$2,MATCH(TRUE,INDEX(U205:AY205&lt;&gt;"",0),0)),"")</f>
        <v/>
      </c>
      <c r="N205" s="61">
        <f>IFERROR(LOOKUP(2,1/(U205:AY205&lt;&gt;""),U$2:AY$2),"")</f>
        <v/>
      </c>
      <c r="O205" s="59" t="n"/>
      <c r="P205" s="59" t="n"/>
      <c r="Q205" s="59" t="n"/>
      <c r="R205" s="59" t="n"/>
      <c r="S205" s="14" t="n"/>
      <c r="U205" s="53" t="n"/>
      <c r="V205" s="53" t="n"/>
      <c r="W205" s="53" t="n"/>
      <c r="X205" s="53" t="n"/>
      <c r="Y205" s="53" t="n"/>
      <c r="Z205" s="53" t="n"/>
      <c r="AA205" s="53" t="n"/>
      <c r="AB205" s="53" t="n"/>
      <c r="AC205" s="53" t="n"/>
      <c r="AD205" s="53" t="n"/>
      <c r="AE205" s="53" t="n"/>
      <c r="AF205" s="53" t="n"/>
      <c r="AG205" s="53" t="n"/>
      <c r="AH205" s="53" t="n"/>
      <c r="AI205" s="53" t="n"/>
      <c r="AJ205" s="53" t="n"/>
      <c r="AK205" s="53" t="n"/>
      <c r="AL205" s="53" t="n"/>
      <c r="AM205" s="53" t="n"/>
      <c r="AN205" s="53" t="n"/>
      <c r="AO205" s="53" t="n"/>
      <c r="AP205" s="53" t="n"/>
      <c r="AQ205" s="53" t="n"/>
      <c r="AR205" s="53" t="n"/>
      <c r="AS205" s="53" t="n"/>
      <c r="AT205" s="53" t="n"/>
      <c r="AU205" s="53" t="n"/>
      <c r="AV205" s="53" t="n"/>
      <c r="AW205" s="53" t="n"/>
      <c r="AX205" s="53" t="n"/>
      <c r="AY205" s="53" t="n"/>
    </row>
    <row r="206" ht="15" customHeight="1">
      <c r="A206" s="62" t="n"/>
      <c r="B206" s="55">
        <f>IF($B$204="","",$B$204)</f>
        <v/>
      </c>
      <c r="C206" s="63" t="inlineStr">
        <is>
          <t>마케팅4팀</t>
        </is>
      </c>
      <c r="D206" s="55">
        <f>IF($D$204="","",$D$204)</f>
        <v/>
      </c>
      <c r="E206" s="64" t="inlineStr">
        <is>
          <t>영상</t>
        </is>
      </c>
      <c r="F206" s="44" t="n"/>
      <c r="G206" s="58">
        <f>IF($G$204="","",$G$204)</f>
        <v/>
      </c>
      <c r="H206" s="59" t="n"/>
      <c r="I206" s="59" t="n"/>
      <c r="J206" s="59" t="n"/>
      <c r="K206" s="59" t="n"/>
      <c r="L206" s="65">
        <f>IF(SUM(U206:AY206)=0,"",SUM(U206:AY206))</f>
        <v/>
      </c>
      <c r="M206" s="66">
        <f>IFERROR(INDEX(U$2:AY$2,MATCH(TRUE,INDEX(U206:AY206&lt;&gt;"",0),0)),"")</f>
        <v/>
      </c>
      <c r="N206" s="66">
        <f>IFERROR(LOOKUP(2,1/(U206:AY206&lt;&gt;""),U$2:AY$2),"")</f>
        <v/>
      </c>
      <c r="O206" s="59" t="n"/>
      <c r="P206" s="59" t="n"/>
      <c r="Q206" s="59" t="n"/>
      <c r="R206" s="59" t="n"/>
      <c r="S206" s="14" t="n"/>
      <c r="U206" s="53" t="n"/>
      <c r="V206" s="53" t="n"/>
      <c r="W206" s="53" t="n"/>
      <c r="X206" s="53" t="n"/>
      <c r="Y206" s="53" t="n"/>
      <c r="Z206" s="53" t="n"/>
      <c r="AA206" s="53" t="n"/>
      <c r="AB206" s="53" t="n"/>
      <c r="AC206" s="53" t="n"/>
      <c r="AD206" s="53" t="n"/>
      <c r="AE206" s="53" t="n"/>
      <c r="AF206" s="53" t="n"/>
      <c r="AG206" s="53" t="n"/>
      <c r="AH206" s="53" t="n"/>
      <c r="AI206" s="53" t="n"/>
      <c r="AJ206" s="53" t="n"/>
      <c r="AK206" s="53" t="n"/>
      <c r="AL206" s="53" t="n"/>
      <c r="AM206" s="53" t="n"/>
      <c r="AN206" s="53" t="n"/>
      <c r="AO206" s="53" t="n"/>
      <c r="AP206" s="53" t="n"/>
      <c r="AQ206" s="53" t="n"/>
      <c r="AR206" s="53" t="n"/>
      <c r="AS206" s="53" t="n"/>
      <c r="AT206" s="53" t="n"/>
      <c r="AU206" s="53" t="n"/>
      <c r="AV206" s="53" t="n"/>
      <c r="AW206" s="53" t="n"/>
      <c r="AX206" s="53" t="n"/>
      <c r="AY206" s="53" t="n"/>
    </row>
    <row r="207" ht="15" customHeight="1">
      <c r="A207" s="40">
        <f>IF($D$207="","",66)</f>
        <v/>
      </c>
      <c r="B207" s="10" t="n"/>
      <c r="C207" s="41" t="inlineStr">
        <is>
          <t>마케팅4팀</t>
        </is>
      </c>
      <c r="D207" s="42" t="n"/>
      <c r="E207" s="43" t="inlineStr">
        <is>
          <t>기획</t>
        </is>
      </c>
      <c r="F207" s="44" t="n"/>
      <c r="G207" s="45" t="n"/>
      <c r="H207" s="46">
        <f>IF($I$207="","",IF($I$207&lt;0,"🔴지연",IF($I$207&lt;=1,"🟡임박","🟢여유")))</f>
        <v/>
      </c>
      <c r="I207" s="47">
        <f>IF(OR($G$207="",$K$207=""),"",$G$207-$K$207)</f>
        <v/>
      </c>
      <c r="J207" s="48">
        <f>IF(SUM($L$207:$L$209)=0,"",SUM($L$207:$L$209))</f>
        <v/>
      </c>
      <c r="K207" s="49">
        <f>IF($J$207="","",MAX($N$207:$N$209))</f>
        <v/>
      </c>
      <c r="L207" s="50">
        <f>IF(SUM(U207:AY207)=0,"",SUM(U207:AY207))</f>
        <v/>
      </c>
      <c r="M207" s="51">
        <f>IFERROR(INDEX(U$2:AY$2,MATCH(TRUE,INDEX(U207:AY207&lt;&gt;"",0),0)),"")</f>
        <v/>
      </c>
      <c r="N207" s="51">
        <f>IFERROR(LOOKUP(2,1/(U207:AY207&lt;&gt;""),U$2:AY$2),"")</f>
        <v/>
      </c>
      <c r="O207" s="52" t="n"/>
      <c r="P207" s="52" t="n"/>
      <c r="Q207" s="52" t="n"/>
      <c r="R207" s="44" t="n"/>
      <c r="S207" s="14" t="n"/>
      <c r="U207" s="53" t="n"/>
      <c r="V207" s="53" t="n"/>
      <c r="W207" s="53" t="n"/>
      <c r="X207" s="53" t="n"/>
      <c r="Y207" s="53" t="n"/>
      <c r="Z207" s="53" t="n"/>
      <c r="AA207" s="53" t="n"/>
      <c r="AB207" s="53" t="n"/>
      <c r="AC207" s="53" t="n"/>
      <c r="AD207" s="53" t="n"/>
      <c r="AE207" s="53" t="n"/>
      <c r="AF207" s="53" t="n"/>
      <c r="AG207" s="53" t="n"/>
      <c r="AH207" s="53" t="n"/>
      <c r="AI207" s="53" t="n"/>
      <c r="AJ207" s="53" t="n"/>
      <c r="AK207" s="53" t="n"/>
      <c r="AL207" s="53" t="n"/>
      <c r="AM207" s="53" t="n"/>
      <c r="AN207" s="53" t="n"/>
      <c r="AO207" s="53" t="n"/>
      <c r="AP207" s="53" t="n"/>
      <c r="AQ207" s="53" t="n"/>
      <c r="AR207" s="53" t="n"/>
      <c r="AS207" s="53" t="n"/>
      <c r="AT207" s="53" t="n"/>
      <c r="AU207" s="53" t="n"/>
      <c r="AV207" s="53" t="n"/>
      <c r="AW207" s="53" t="n"/>
      <c r="AX207" s="53" t="n"/>
      <c r="AY207" s="53" t="n"/>
    </row>
    <row r="208" ht="15" customHeight="1">
      <c r="A208" s="54" t="n"/>
      <c r="B208" s="55">
        <f>IF($B$207="","",$B$207)</f>
        <v/>
      </c>
      <c r="C208" s="56" t="inlineStr">
        <is>
          <t>마케팅4팀</t>
        </is>
      </c>
      <c r="D208" s="55">
        <f>IF($D$207="","",$D$207)</f>
        <v/>
      </c>
      <c r="E208" s="57" t="inlineStr">
        <is>
          <t>이미지</t>
        </is>
      </c>
      <c r="F208" s="44" t="n"/>
      <c r="G208" s="58">
        <f>IF($G$207="","",$G$207)</f>
        <v/>
      </c>
      <c r="H208" s="59" t="n"/>
      <c r="I208" s="59" t="n"/>
      <c r="J208" s="59" t="n"/>
      <c r="K208" s="59" t="n"/>
      <c r="L208" s="60">
        <f>IF(SUM(U208:AY208)=0,"",SUM(U208:AY208))</f>
        <v/>
      </c>
      <c r="M208" s="61">
        <f>IFERROR(INDEX(U$2:AY$2,MATCH(TRUE,INDEX(U208:AY208&lt;&gt;"",0),0)),"")</f>
        <v/>
      </c>
      <c r="N208" s="61">
        <f>IFERROR(LOOKUP(2,1/(U208:AY208&lt;&gt;""),U$2:AY$2),"")</f>
        <v/>
      </c>
      <c r="O208" s="59" t="n"/>
      <c r="P208" s="59" t="n"/>
      <c r="Q208" s="59" t="n"/>
      <c r="R208" s="59" t="n"/>
      <c r="S208" s="14" t="n"/>
      <c r="U208" s="53" t="n"/>
      <c r="V208" s="53" t="n"/>
      <c r="W208" s="53" t="n"/>
      <c r="X208" s="53" t="n"/>
      <c r="Y208" s="53" t="n"/>
      <c r="Z208" s="53" t="n"/>
      <c r="AA208" s="53" t="n"/>
      <c r="AB208" s="53" t="n"/>
      <c r="AC208" s="53" t="n"/>
      <c r="AD208" s="53" t="n"/>
      <c r="AE208" s="53" t="n"/>
      <c r="AF208" s="53" t="n"/>
      <c r="AG208" s="53" t="n"/>
      <c r="AH208" s="53" t="n"/>
      <c r="AI208" s="53" t="n"/>
      <c r="AJ208" s="53" t="n"/>
      <c r="AK208" s="53" t="n"/>
      <c r="AL208" s="53" t="n"/>
      <c r="AM208" s="53" t="n"/>
      <c r="AN208" s="53" t="n"/>
      <c r="AO208" s="53" t="n"/>
      <c r="AP208" s="53" t="n"/>
      <c r="AQ208" s="53" t="n"/>
      <c r="AR208" s="53" t="n"/>
      <c r="AS208" s="53" t="n"/>
      <c r="AT208" s="53" t="n"/>
      <c r="AU208" s="53" t="n"/>
      <c r="AV208" s="53" t="n"/>
      <c r="AW208" s="53" t="n"/>
      <c r="AX208" s="53" t="n"/>
      <c r="AY208" s="53" t="n"/>
    </row>
    <row r="209" ht="15" customHeight="1">
      <c r="A209" s="62" t="n"/>
      <c r="B209" s="55">
        <f>IF($B$207="","",$B$207)</f>
        <v/>
      </c>
      <c r="C209" s="63" t="inlineStr">
        <is>
          <t>마케팅4팀</t>
        </is>
      </c>
      <c r="D209" s="55">
        <f>IF($D$207="","",$D$207)</f>
        <v/>
      </c>
      <c r="E209" s="64" t="inlineStr">
        <is>
          <t>영상</t>
        </is>
      </c>
      <c r="F209" s="44" t="n"/>
      <c r="G209" s="58">
        <f>IF($G$207="","",$G$207)</f>
        <v/>
      </c>
      <c r="H209" s="59" t="n"/>
      <c r="I209" s="59" t="n"/>
      <c r="J209" s="59" t="n"/>
      <c r="K209" s="59" t="n"/>
      <c r="L209" s="65">
        <f>IF(SUM(U209:AY209)=0,"",SUM(U209:AY209))</f>
        <v/>
      </c>
      <c r="M209" s="66">
        <f>IFERROR(INDEX(U$2:AY$2,MATCH(TRUE,INDEX(U209:AY209&lt;&gt;"",0),0)),"")</f>
        <v/>
      </c>
      <c r="N209" s="66">
        <f>IFERROR(LOOKUP(2,1/(U209:AY209&lt;&gt;""),U$2:AY$2),"")</f>
        <v/>
      </c>
      <c r="O209" s="59" t="n"/>
      <c r="P209" s="59" t="n"/>
      <c r="Q209" s="59" t="n"/>
      <c r="R209" s="59" t="n"/>
      <c r="S209" s="14" t="n"/>
      <c r="U209" s="53" t="n"/>
      <c r="V209" s="53" t="n"/>
      <c r="W209" s="53" t="n"/>
      <c r="X209" s="53" t="n"/>
      <c r="Y209" s="53" t="n"/>
      <c r="Z209" s="53" t="n"/>
      <c r="AA209" s="53" t="n"/>
      <c r="AB209" s="53" t="n"/>
      <c r="AC209" s="53" t="n"/>
      <c r="AD209" s="53" t="n"/>
      <c r="AE209" s="53" t="n"/>
      <c r="AF209" s="53" t="n"/>
      <c r="AG209" s="53" t="n"/>
      <c r="AH209" s="53" t="n"/>
      <c r="AI209" s="53" t="n"/>
      <c r="AJ209" s="53" t="n"/>
      <c r="AK209" s="53" t="n"/>
      <c r="AL209" s="53" t="n"/>
      <c r="AM209" s="53" t="n"/>
      <c r="AN209" s="53" t="n"/>
      <c r="AO209" s="53" t="n"/>
      <c r="AP209" s="53" t="n"/>
      <c r="AQ209" s="53" t="n"/>
      <c r="AR209" s="53" t="n"/>
      <c r="AS209" s="53" t="n"/>
      <c r="AT209" s="53" t="n"/>
      <c r="AU209" s="53" t="n"/>
      <c r="AV209" s="53" t="n"/>
      <c r="AW209" s="53" t="n"/>
      <c r="AX209" s="53" t="n"/>
      <c r="AY209" s="53" t="n"/>
    </row>
    <row r="210" ht="15" customHeight="1">
      <c r="A210" s="40">
        <f>IF($D$210="","",67)</f>
        <v/>
      </c>
      <c r="B210" s="10" t="n"/>
      <c r="C210" s="41" t="inlineStr">
        <is>
          <t>마케팅4팀</t>
        </is>
      </c>
      <c r="D210" s="42" t="n"/>
      <c r="E210" s="43" t="inlineStr">
        <is>
          <t>기획</t>
        </is>
      </c>
      <c r="F210" s="44" t="n"/>
      <c r="G210" s="45" t="n"/>
      <c r="H210" s="46">
        <f>IF($I$210="","",IF($I$210&lt;0,"🔴지연",IF($I$210&lt;=1,"🟡임박","🟢여유")))</f>
        <v/>
      </c>
      <c r="I210" s="47">
        <f>IF(OR($G$210="",$K$210=""),"",$G$210-$K$210)</f>
        <v/>
      </c>
      <c r="J210" s="48">
        <f>IF(SUM($L$210:$L$212)=0,"",SUM($L$210:$L$212))</f>
        <v/>
      </c>
      <c r="K210" s="49">
        <f>IF($J$210="","",MAX($N$210:$N$212))</f>
        <v/>
      </c>
      <c r="L210" s="50">
        <f>IF(SUM(U210:AY210)=0,"",SUM(U210:AY210))</f>
        <v/>
      </c>
      <c r="M210" s="51">
        <f>IFERROR(INDEX(U$2:AY$2,MATCH(TRUE,INDEX(U210:AY210&lt;&gt;"",0),0)),"")</f>
        <v/>
      </c>
      <c r="N210" s="51">
        <f>IFERROR(LOOKUP(2,1/(U210:AY210&lt;&gt;""),U$2:AY$2),"")</f>
        <v/>
      </c>
      <c r="O210" s="52" t="n"/>
      <c r="P210" s="52" t="n"/>
      <c r="Q210" s="52" t="n"/>
      <c r="R210" s="44" t="n"/>
      <c r="S210" s="14" t="n"/>
      <c r="U210" s="53" t="n"/>
      <c r="V210" s="53" t="n"/>
      <c r="W210" s="53" t="n"/>
      <c r="X210" s="53" t="n"/>
      <c r="Y210" s="53" t="n"/>
      <c r="Z210" s="53" t="n"/>
      <c r="AA210" s="53" t="n"/>
      <c r="AB210" s="53" t="n"/>
      <c r="AC210" s="53" t="n"/>
      <c r="AD210" s="53" t="n"/>
      <c r="AE210" s="53" t="n"/>
      <c r="AF210" s="53" t="n"/>
      <c r="AG210" s="53" t="n"/>
      <c r="AH210" s="53" t="n"/>
      <c r="AI210" s="53" t="n"/>
      <c r="AJ210" s="53" t="n"/>
      <c r="AK210" s="53" t="n"/>
      <c r="AL210" s="53" t="n"/>
      <c r="AM210" s="53" t="n"/>
      <c r="AN210" s="53" t="n"/>
      <c r="AO210" s="53" t="n"/>
      <c r="AP210" s="53" t="n"/>
      <c r="AQ210" s="53" t="n"/>
      <c r="AR210" s="53" t="n"/>
      <c r="AS210" s="53" t="n"/>
      <c r="AT210" s="53" t="n"/>
      <c r="AU210" s="53" t="n"/>
      <c r="AV210" s="53" t="n"/>
      <c r="AW210" s="53" t="n"/>
      <c r="AX210" s="53" t="n"/>
      <c r="AY210" s="53" t="n"/>
    </row>
    <row r="211" ht="15" customHeight="1">
      <c r="A211" s="54" t="n"/>
      <c r="B211" s="55">
        <f>IF($B$210="","",$B$210)</f>
        <v/>
      </c>
      <c r="C211" s="56" t="inlineStr">
        <is>
          <t>마케팅4팀</t>
        </is>
      </c>
      <c r="D211" s="55">
        <f>IF($D$210="","",$D$210)</f>
        <v/>
      </c>
      <c r="E211" s="57" t="inlineStr">
        <is>
          <t>이미지</t>
        </is>
      </c>
      <c r="F211" s="44" t="n"/>
      <c r="G211" s="58">
        <f>IF($G$210="","",$G$210)</f>
        <v/>
      </c>
      <c r="H211" s="59" t="n"/>
      <c r="I211" s="59" t="n"/>
      <c r="J211" s="59" t="n"/>
      <c r="K211" s="59" t="n"/>
      <c r="L211" s="60">
        <f>IF(SUM(U211:AY211)=0,"",SUM(U211:AY211))</f>
        <v/>
      </c>
      <c r="M211" s="61">
        <f>IFERROR(INDEX(U$2:AY$2,MATCH(TRUE,INDEX(U211:AY211&lt;&gt;"",0),0)),"")</f>
        <v/>
      </c>
      <c r="N211" s="61">
        <f>IFERROR(LOOKUP(2,1/(U211:AY211&lt;&gt;""),U$2:AY$2),"")</f>
        <v/>
      </c>
      <c r="O211" s="59" t="n"/>
      <c r="P211" s="59" t="n"/>
      <c r="Q211" s="59" t="n"/>
      <c r="R211" s="59" t="n"/>
      <c r="S211" s="14" t="n"/>
      <c r="U211" s="53" t="n"/>
      <c r="V211" s="53" t="n"/>
      <c r="W211" s="53" t="n"/>
      <c r="X211" s="53" t="n"/>
      <c r="Y211" s="53" t="n"/>
      <c r="Z211" s="53" t="n"/>
      <c r="AA211" s="53" t="n"/>
      <c r="AB211" s="53" t="n"/>
      <c r="AC211" s="53" t="n"/>
      <c r="AD211" s="53" t="n"/>
      <c r="AE211" s="53" t="n"/>
      <c r="AF211" s="53" t="n"/>
      <c r="AG211" s="53" t="n"/>
      <c r="AH211" s="53" t="n"/>
      <c r="AI211" s="53" t="n"/>
      <c r="AJ211" s="53" t="n"/>
      <c r="AK211" s="53" t="n"/>
      <c r="AL211" s="53" t="n"/>
      <c r="AM211" s="53" t="n"/>
      <c r="AN211" s="53" t="n"/>
      <c r="AO211" s="53" t="n"/>
      <c r="AP211" s="53" t="n"/>
      <c r="AQ211" s="53" t="n"/>
      <c r="AR211" s="53" t="n"/>
      <c r="AS211" s="53" t="n"/>
      <c r="AT211" s="53" t="n"/>
      <c r="AU211" s="53" t="n"/>
      <c r="AV211" s="53" t="n"/>
      <c r="AW211" s="53" t="n"/>
      <c r="AX211" s="53" t="n"/>
      <c r="AY211" s="53" t="n"/>
    </row>
    <row r="212" ht="15" customHeight="1">
      <c r="A212" s="62" t="n"/>
      <c r="B212" s="55">
        <f>IF($B$210="","",$B$210)</f>
        <v/>
      </c>
      <c r="C212" s="63" t="inlineStr">
        <is>
          <t>마케팅4팀</t>
        </is>
      </c>
      <c r="D212" s="55">
        <f>IF($D$210="","",$D$210)</f>
        <v/>
      </c>
      <c r="E212" s="64" t="inlineStr">
        <is>
          <t>영상</t>
        </is>
      </c>
      <c r="F212" s="44" t="n"/>
      <c r="G212" s="58">
        <f>IF($G$210="","",$G$210)</f>
        <v/>
      </c>
      <c r="H212" s="59" t="n"/>
      <c r="I212" s="59" t="n"/>
      <c r="J212" s="59" t="n"/>
      <c r="K212" s="59" t="n"/>
      <c r="L212" s="65">
        <f>IF(SUM(U212:AY212)=0,"",SUM(U212:AY212))</f>
        <v/>
      </c>
      <c r="M212" s="66">
        <f>IFERROR(INDEX(U$2:AY$2,MATCH(TRUE,INDEX(U212:AY212&lt;&gt;"",0),0)),"")</f>
        <v/>
      </c>
      <c r="N212" s="66">
        <f>IFERROR(LOOKUP(2,1/(U212:AY212&lt;&gt;""),U$2:AY$2),"")</f>
        <v/>
      </c>
      <c r="O212" s="59" t="n"/>
      <c r="P212" s="59" t="n"/>
      <c r="Q212" s="59" t="n"/>
      <c r="R212" s="59" t="n"/>
      <c r="S212" s="14" t="n"/>
      <c r="U212" s="53" t="n"/>
      <c r="V212" s="53" t="n"/>
      <c r="W212" s="53" t="n"/>
      <c r="X212" s="53" t="n"/>
      <c r="Y212" s="53" t="n"/>
      <c r="Z212" s="53" t="n"/>
      <c r="AA212" s="53" t="n"/>
      <c r="AB212" s="53" t="n"/>
      <c r="AC212" s="53" t="n"/>
      <c r="AD212" s="53" t="n"/>
      <c r="AE212" s="53" t="n"/>
      <c r="AF212" s="53" t="n"/>
      <c r="AG212" s="53" t="n"/>
      <c r="AH212" s="53" t="n"/>
      <c r="AI212" s="53" t="n"/>
      <c r="AJ212" s="53" t="n"/>
      <c r="AK212" s="53" t="n"/>
      <c r="AL212" s="53" t="n"/>
      <c r="AM212" s="53" t="n"/>
      <c r="AN212" s="53" t="n"/>
      <c r="AO212" s="53" t="n"/>
      <c r="AP212" s="53" t="n"/>
      <c r="AQ212" s="53" t="n"/>
      <c r="AR212" s="53" t="n"/>
      <c r="AS212" s="53" t="n"/>
      <c r="AT212" s="53" t="n"/>
      <c r="AU212" s="53" t="n"/>
      <c r="AV212" s="53" t="n"/>
      <c r="AW212" s="53" t="n"/>
      <c r="AX212" s="53" t="n"/>
      <c r="AY212" s="53" t="n"/>
    </row>
    <row r="213" ht="15" customHeight="1">
      <c r="A213" s="40">
        <f>IF($D$213="","",68)</f>
        <v/>
      </c>
      <c r="B213" s="10" t="n"/>
      <c r="C213" s="41" t="inlineStr">
        <is>
          <t>마케팅4팀</t>
        </is>
      </c>
      <c r="D213" s="42" t="n"/>
      <c r="E213" s="43" t="inlineStr">
        <is>
          <t>기획</t>
        </is>
      </c>
      <c r="F213" s="44" t="n"/>
      <c r="G213" s="45" t="n"/>
      <c r="H213" s="46">
        <f>IF($I$213="","",IF($I$213&lt;0,"🔴지연",IF($I$213&lt;=1,"🟡임박","🟢여유")))</f>
        <v/>
      </c>
      <c r="I213" s="47">
        <f>IF(OR($G$213="",$K$213=""),"",$G$213-$K$213)</f>
        <v/>
      </c>
      <c r="J213" s="48">
        <f>IF(SUM($L$213:$L$215)=0,"",SUM($L$213:$L$215))</f>
        <v/>
      </c>
      <c r="K213" s="49">
        <f>IF($J$213="","",MAX($N$213:$N$215))</f>
        <v/>
      </c>
      <c r="L213" s="50">
        <f>IF(SUM(U213:AY213)=0,"",SUM(U213:AY213))</f>
        <v/>
      </c>
      <c r="M213" s="51">
        <f>IFERROR(INDEX(U$2:AY$2,MATCH(TRUE,INDEX(U213:AY213&lt;&gt;"",0),0)),"")</f>
        <v/>
      </c>
      <c r="N213" s="51">
        <f>IFERROR(LOOKUP(2,1/(U213:AY213&lt;&gt;""),U$2:AY$2),"")</f>
        <v/>
      </c>
      <c r="O213" s="52" t="n"/>
      <c r="P213" s="52" t="n"/>
      <c r="Q213" s="52" t="n"/>
      <c r="R213" s="44" t="n"/>
      <c r="S213" s="14" t="n"/>
      <c r="U213" s="53" t="n"/>
      <c r="V213" s="53" t="n"/>
      <c r="W213" s="53" t="n"/>
      <c r="X213" s="53" t="n"/>
      <c r="Y213" s="53" t="n"/>
      <c r="Z213" s="53" t="n"/>
      <c r="AA213" s="53" t="n"/>
      <c r="AB213" s="53" t="n"/>
      <c r="AC213" s="53" t="n"/>
      <c r="AD213" s="53" t="n"/>
      <c r="AE213" s="53" t="n"/>
      <c r="AF213" s="53" t="n"/>
      <c r="AG213" s="53" t="n"/>
      <c r="AH213" s="53" t="n"/>
      <c r="AI213" s="53" t="n"/>
      <c r="AJ213" s="53" t="n"/>
      <c r="AK213" s="53" t="n"/>
      <c r="AL213" s="53" t="n"/>
      <c r="AM213" s="53" t="n"/>
      <c r="AN213" s="53" t="n"/>
      <c r="AO213" s="53" t="n"/>
      <c r="AP213" s="53" t="n"/>
      <c r="AQ213" s="53" t="n"/>
      <c r="AR213" s="53" t="n"/>
      <c r="AS213" s="53" t="n"/>
      <c r="AT213" s="53" t="n"/>
      <c r="AU213" s="53" t="n"/>
      <c r="AV213" s="53" t="n"/>
      <c r="AW213" s="53" t="n"/>
      <c r="AX213" s="53" t="n"/>
      <c r="AY213" s="53" t="n"/>
    </row>
    <row r="214" ht="15" customHeight="1">
      <c r="A214" s="54" t="n"/>
      <c r="B214" s="55">
        <f>IF($B$213="","",$B$213)</f>
        <v/>
      </c>
      <c r="C214" s="56" t="inlineStr">
        <is>
          <t>마케팅4팀</t>
        </is>
      </c>
      <c r="D214" s="55">
        <f>IF($D$213="","",$D$213)</f>
        <v/>
      </c>
      <c r="E214" s="57" t="inlineStr">
        <is>
          <t>이미지</t>
        </is>
      </c>
      <c r="F214" s="44" t="n"/>
      <c r="G214" s="58">
        <f>IF($G$213="","",$G$213)</f>
        <v/>
      </c>
      <c r="H214" s="59" t="n"/>
      <c r="I214" s="59" t="n"/>
      <c r="J214" s="59" t="n"/>
      <c r="K214" s="59" t="n"/>
      <c r="L214" s="60">
        <f>IF(SUM(U214:AY214)=0,"",SUM(U214:AY214))</f>
        <v/>
      </c>
      <c r="M214" s="61">
        <f>IFERROR(INDEX(U$2:AY$2,MATCH(TRUE,INDEX(U214:AY214&lt;&gt;"",0),0)),"")</f>
        <v/>
      </c>
      <c r="N214" s="61">
        <f>IFERROR(LOOKUP(2,1/(U214:AY214&lt;&gt;""),U$2:AY$2),"")</f>
        <v/>
      </c>
      <c r="O214" s="59" t="n"/>
      <c r="P214" s="59" t="n"/>
      <c r="Q214" s="59" t="n"/>
      <c r="R214" s="59" t="n"/>
      <c r="S214" s="14" t="n"/>
      <c r="U214" s="53" t="n"/>
      <c r="V214" s="53" t="n"/>
      <c r="W214" s="53" t="n"/>
      <c r="X214" s="53" t="n"/>
      <c r="Y214" s="53" t="n"/>
      <c r="Z214" s="53" t="n"/>
      <c r="AA214" s="53" t="n"/>
      <c r="AB214" s="53" t="n"/>
      <c r="AC214" s="53" t="n"/>
      <c r="AD214" s="53" t="n"/>
      <c r="AE214" s="53" t="n"/>
      <c r="AF214" s="53" t="n"/>
      <c r="AG214" s="53" t="n"/>
      <c r="AH214" s="53" t="n"/>
      <c r="AI214" s="53" t="n"/>
      <c r="AJ214" s="53" t="n"/>
      <c r="AK214" s="53" t="n"/>
      <c r="AL214" s="53" t="n"/>
      <c r="AM214" s="53" t="n"/>
      <c r="AN214" s="53" t="n"/>
      <c r="AO214" s="53" t="n"/>
      <c r="AP214" s="53" t="n"/>
      <c r="AQ214" s="53" t="n"/>
      <c r="AR214" s="53" t="n"/>
      <c r="AS214" s="53" t="n"/>
      <c r="AT214" s="53" t="n"/>
      <c r="AU214" s="53" t="n"/>
      <c r="AV214" s="53" t="n"/>
      <c r="AW214" s="53" t="n"/>
      <c r="AX214" s="53" t="n"/>
      <c r="AY214" s="53" t="n"/>
    </row>
    <row r="215" ht="15" customHeight="1">
      <c r="A215" s="62" t="n"/>
      <c r="B215" s="55">
        <f>IF($B$213="","",$B$213)</f>
        <v/>
      </c>
      <c r="C215" s="63" t="inlineStr">
        <is>
          <t>마케팅4팀</t>
        </is>
      </c>
      <c r="D215" s="55">
        <f>IF($D$213="","",$D$213)</f>
        <v/>
      </c>
      <c r="E215" s="64" t="inlineStr">
        <is>
          <t>영상</t>
        </is>
      </c>
      <c r="F215" s="44" t="n"/>
      <c r="G215" s="58">
        <f>IF($G$213="","",$G$213)</f>
        <v/>
      </c>
      <c r="H215" s="59" t="n"/>
      <c r="I215" s="59" t="n"/>
      <c r="J215" s="59" t="n"/>
      <c r="K215" s="59" t="n"/>
      <c r="L215" s="65">
        <f>IF(SUM(U215:AY215)=0,"",SUM(U215:AY215))</f>
        <v/>
      </c>
      <c r="M215" s="66">
        <f>IFERROR(INDEX(U$2:AY$2,MATCH(TRUE,INDEX(U215:AY215&lt;&gt;"",0),0)),"")</f>
        <v/>
      </c>
      <c r="N215" s="66">
        <f>IFERROR(LOOKUP(2,1/(U215:AY215&lt;&gt;""),U$2:AY$2),"")</f>
        <v/>
      </c>
      <c r="O215" s="59" t="n"/>
      <c r="P215" s="59" t="n"/>
      <c r="Q215" s="59" t="n"/>
      <c r="R215" s="59" t="n"/>
      <c r="S215" s="14" t="n"/>
      <c r="U215" s="53" t="n"/>
      <c r="V215" s="53" t="n"/>
      <c r="W215" s="53" t="n"/>
      <c r="X215" s="53" t="n"/>
      <c r="Y215" s="53" t="n"/>
      <c r="Z215" s="53" t="n"/>
      <c r="AA215" s="53" t="n"/>
      <c r="AB215" s="53" t="n"/>
      <c r="AC215" s="53" t="n"/>
      <c r="AD215" s="53" t="n"/>
      <c r="AE215" s="53" t="n"/>
      <c r="AF215" s="53" t="n"/>
      <c r="AG215" s="53" t="n"/>
      <c r="AH215" s="53" t="n"/>
      <c r="AI215" s="53" t="n"/>
      <c r="AJ215" s="53" t="n"/>
      <c r="AK215" s="53" t="n"/>
      <c r="AL215" s="53" t="n"/>
      <c r="AM215" s="53" t="n"/>
      <c r="AN215" s="53" t="n"/>
      <c r="AO215" s="53" t="n"/>
      <c r="AP215" s="53" t="n"/>
      <c r="AQ215" s="53" t="n"/>
      <c r="AR215" s="53" t="n"/>
      <c r="AS215" s="53" t="n"/>
      <c r="AT215" s="53" t="n"/>
      <c r="AU215" s="53" t="n"/>
      <c r="AV215" s="53" t="n"/>
      <c r="AW215" s="53" t="n"/>
      <c r="AX215" s="53" t="n"/>
      <c r="AY215" s="53" t="n"/>
    </row>
    <row r="216" ht="15" customHeight="1">
      <c r="A216" s="40">
        <f>IF($D$216="","",69)</f>
        <v/>
      </c>
      <c r="B216" s="10" t="n"/>
      <c r="C216" s="41" t="inlineStr">
        <is>
          <t>마케팅4팀</t>
        </is>
      </c>
      <c r="D216" s="42" t="n"/>
      <c r="E216" s="43" t="inlineStr">
        <is>
          <t>기획</t>
        </is>
      </c>
      <c r="F216" s="44" t="n"/>
      <c r="G216" s="45" t="n"/>
      <c r="H216" s="46">
        <f>IF($I$216="","",IF($I$216&lt;0,"🔴지연",IF($I$216&lt;=1,"🟡임박","🟢여유")))</f>
        <v/>
      </c>
      <c r="I216" s="47">
        <f>IF(OR($G$216="",$K$216=""),"",$G$216-$K$216)</f>
        <v/>
      </c>
      <c r="J216" s="48">
        <f>IF(SUM($L$216:$L$218)=0,"",SUM($L$216:$L$218))</f>
        <v/>
      </c>
      <c r="K216" s="49">
        <f>IF($J$216="","",MAX($N$216:$N$218))</f>
        <v/>
      </c>
      <c r="L216" s="50">
        <f>IF(SUM(U216:AY216)=0,"",SUM(U216:AY216))</f>
        <v/>
      </c>
      <c r="M216" s="51">
        <f>IFERROR(INDEX(U$2:AY$2,MATCH(TRUE,INDEX(U216:AY216&lt;&gt;"",0),0)),"")</f>
        <v/>
      </c>
      <c r="N216" s="51">
        <f>IFERROR(LOOKUP(2,1/(U216:AY216&lt;&gt;""),U$2:AY$2),"")</f>
        <v/>
      </c>
      <c r="O216" s="52" t="n"/>
      <c r="P216" s="52" t="n"/>
      <c r="Q216" s="52" t="n"/>
      <c r="R216" s="44" t="n"/>
      <c r="S216" s="14" t="n"/>
      <c r="U216" s="53" t="n"/>
      <c r="V216" s="53" t="n"/>
      <c r="W216" s="53" t="n"/>
      <c r="X216" s="53" t="n"/>
      <c r="Y216" s="53" t="n"/>
      <c r="Z216" s="53" t="n"/>
      <c r="AA216" s="53" t="n"/>
      <c r="AB216" s="53" t="n"/>
      <c r="AC216" s="53" t="n"/>
      <c r="AD216" s="53" t="n"/>
      <c r="AE216" s="53" t="n"/>
      <c r="AF216" s="53" t="n"/>
      <c r="AG216" s="53" t="n"/>
      <c r="AH216" s="53" t="n"/>
      <c r="AI216" s="53" t="n"/>
      <c r="AJ216" s="53" t="n"/>
      <c r="AK216" s="53" t="n"/>
      <c r="AL216" s="53" t="n"/>
      <c r="AM216" s="53" t="n"/>
      <c r="AN216" s="53" t="n"/>
      <c r="AO216" s="53" t="n"/>
      <c r="AP216" s="53" t="n"/>
      <c r="AQ216" s="53" t="n"/>
      <c r="AR216" s="53" t="n"/>
      <c r="AS216" s="53" t="n"/>
      <c r="AT216" s="53" t="n"/>
      <c r="AU216" s="53" t="n"/>
      <c r="AV216" s="53" t="n"/>
      <c r="AW216" s="53" t="n"/>
      <c r="AX216" s="53" t="n"/>
      <c r="AY216" s="53" t="n"/>
    </row>
    <row r="217" ht="15" customHeight="1">
      <c r="A217" s="54" t="n"/>
      <c r="B217" s="55">
        <f>IF($B$216="","",$B$216)</f>
        <v/>
      </c>
      <c r="C217" s="56" t="inlineStr">
        <is>
          <t>마케팅4팀</t>
        </is>
      </c>
      <c r="D217" s="55">
        <f>IF($D$216="","",$D$216)</f>
        <v/>
      </c>
      <c r="E217" s="57" t="inlineStr">
        <is>
          <t>이미지</t>
        </is>
      </c>
      <c r="F217" s="44" t="n"/>
      <c r="G217" s="58">
        <f>IF($G$216="","",$G$216)</f>
        <v/>
      </c>
      <c r="H217" s="59" t="n"/>
      <c r="I217" s="59" t="n"/>
      <c r="J217" s="59" t="n"/>
      <c r="K217" s="59" t="n"/>
      <c r="L217" s="60">
        <f>IF(SUM(U217:AY217)=0,"",SUM(U217:AY217))</f>
        <v/>
      </c>
      <c r="M217" s="61">
        <f>IFERROR(INDEX(U$2:AY$2,MATCH(TRUE,INDEX(U217:AY217&lt;&gt;"",0),0)),"")</f>
        <v/>
      </c>
      <c r="N217" s="61">
        <f>IFERROR(LOOKUP(2,1/(U217:AY217&lt;&gt;""),U$2:AY$2),"")</f>
        <v/>
      </c>
      <c r="O217" s="59" t="n"/>
      <c r="P217" s="59" t="n"/>
      <c r="Q217" s="59" t="n"/>
      <c r="R217" s="59" t="n"/>
      <c r="S217" s="14" t="n"/>
      <c r="U217" s="53" t="n"/>
      <c r="V217" s="53" t="n"/>
      <c r="W217" s="53" t="n"/>
      <c r="X217" s="53" t="n"/>
      <c r="Y217" s="53" t="n"/>
      <c r="Z217" s="53" t="n"/>
      <c r="AA217" s="53" t="n"/>
      <c r="AB217" s="53" t="n"/>
      <c r="AC217" s="53" t="n"/>
      <c r="AD217" s="53" t="n"/>
      <c r="AE217" s="53" t="n"/>
      <c r="AF217" s="53" t="n"/>
      <c r="AG217" s="53" t="n"/>
      <c r="AH217" s="53" t="n"/>
      <c r="AI217" s="53" t="n"/>
      <c r="AJ217" s="53" t="n"/>
      <c r="AK217" s="53" t="n"/>
      <c r="AL217" s="53" t="n"/>
      <c r="AM217" s="53" t="n"/>
      <c r="AN217" s="53" t="n"/>
      <c r="AO217" s="53" t="n"/>
      <c r="AP217" s="53" t="n"/>
      <c r="AQ217" s="53" t="n"/>
      <c r="AR217" s="53" t="n"/>
      <c r="AS217" s="53" t="n"/>
      <c r="AT217" s="53" t="n"/>
      <c r="AU217" s="53" t="n"/>
      <c r="AV217" s="53" t="n"/>
      <c r="AW217" s="53" t="n"/>
      <c r="AX217" s="53" t="n"/>
      <c r="AY217" s="53" t="n"/>
    </row>
    <row r="218" ht="15" customHeight="1">
      <c r="A218" s="62" t="n"/>
      <c r="B218" s="55">
        <f>IF($B$216="","",$B$216)</f>
        <v/>
      </c>
      <c r="C218" s="63" t="inlineStr">
        <is>
          <t>마케팅4팀</t>
        </is>
      </c>
      <c r="D218" s="55">
        <f>IF($D$216="","",$D$216)</f>
        <v/>
      </c>
      <c r="E218" s="64" t="inlineStr">
        <is>
          <t>영상</t>
        </is>
      </c>
      <c r="F218" s="44" t="n"/>
      <c r="G218" s="58">
        <f>IF($G$216="","",$G$216)</f>
        <v/>
      </c>
      <c r="H218" s="59" t="n"/>
      <c r="I218" s="59" t="n"/>
      <c r="J218" s="59" t="n"/>
      <c r="K218" s="59" t="n"/>
      <c r="L218" s="65">
        <f>IF(SUM(U218:AY218)=0,"",SUM(U218:AY218))</f>
        <v/>
      </c>
      <c r="M218" s="66">
        <f>IFERROR(INDEX(U$2:AY$2,MATCH(TRUE,INDEX(U218:AY218&lt;&gt;"",0),0)),"")</f>
        <v/>
      </c>
      <c r="N218" s="66">
        <f>IFERROR(LOOKUP(2,1/(U218:AY218&lt;&gt;""),U$2:AY$2),"")</f>
        <v/>
      </c>
      <c r="O218" s="59" t="n"/>
      <c r="P218" s="59" t="n"/>
      <c r="Q218" s="59" t="n"/>
      <c r="R218" s="59" t="n"/>
      <c r="S218" s="14" t="n"/>
      <c r="U218" s="53" t="n"/>
      <c r="V218" s="53" t="n"/>
      <c r="W218" s="53" t="n"/>
      <c r="X218" s="53" t="n"/>
      <c r="Y218" s="53" t="n"/>
      <c r="Z218" s="53" t="n"/>
      <c r="AA218" s="53" t="n"/>
      <c r="AB218" s="53" t="n"/>
      <c r="AC218" s="53" t="n"/>
      <c r="AD218" s="53" t="n"/>
      <c r="AE218" s="53" t="n"/>
      <c r="AF218" s="53" t="n"/>
      <c r="AG218" s="53" t="n"/>
      <c r="AH218" s="53" t="n"/>
      <c r="AI218" s="53" t="n"/>
      <c r="AJ218" s="53" t="n"/>
      <c r="AK218" s="53" t="n"/>
      <c r="AL218" s="53" t="n"/>
      <c r="AM218" s="53" t="n"/>
      <c r="AN218" s="53" t="n"/>
      <c r="AO218" s="53" t="n"/>
      <c r="AP218" s="53" t="n"/>
      <c r="AQ218" s="53" t="n"/>
      <c r="AR218" s="53" t="n"/>
      <c r="AS218" s="53" t="n"/>
      <c r="AT218" s="53" t="n"/>
      <c r="AU218" s="53" t="n"/>
      <c r="AV218" s="53" t="n"/>
      <c r="AW218" s="53" t="n"/>
      <c r="AX218" s="53" t="n"/>
      <c r="AY218" s="53" t="n"/>
    </row>
    <row r="219" ht="15" customHeight="1">
      <c r="A219" s="40">
        <f>IF($D$219="","",70)</f>
        <v/>
      </c>
      <c r="B219" s="10" t="n"/>
      <c r="C219" s="41" t="inlineStr">
        <is>
          <t>마케팅4팀</t>
        </is>
      </c>
      <c r="D219" s="42" t="n"/>
      <c r="E219" s="43" t="inlineStr">
        <is>
          <t>기획</t>
        </is>
      </c>
      <c r="F219" s="44" t="n"/>
      <c r="G219" s="45" t="n"/>
      <c r="H219" s="46">
        <f>IF($I$219="","",IF($I$219&lt;0,"🔴지연",IF($I$219&lt;=1,"🟡임박","🟢여유")))</f>
        <v/>
      </c>
      <c r="I219" s="47">
        <f>IF(OR($G$219="",$K$219=""),"",$G$219-$K$219)</f>
        <v/>
      </c>
      <c r="J219" s="48">
        <f>IF(SUM($L$219:$L$221)=0,"",SUM($L$219:$L$221))</f>
        <v/>
      </c>
      <c r="K219" s="49">
        <f>IF($J$219="","",MAX($N$219:$N$221))</f>
        <v/>
      </c>
      <c r="L219" s="50">
        <f>IF(SUM(U219:AY219)=0,"",SUM(U219:AY219))</f>
        <v/>
      </c>
      <c r="M219" s="51">
        <f>IFERROR(INDEX(U$2:AY$2,MATCH(TRUE,INDEX(U219:AY219&lt;&gt;"",0),0)),"")</f>
        <v/>
      </c>
      <c r="N219" s="51">
        <f>IFERROR(LOOKUP(2,1/(U219:AY219&lt;&gt;""),U$2:AY$2),"")</f>
        <v/>
      </c>
      <c r="O219" s="52" t="n"/>
      <c r="P219" s="52" t="n"/>
      <c r="Q219" s="52" t="n"/>
      <c r="R219" s="44" t="n"/>
      <c r="S219" s="14" t="n"/>
      <c r="U219" s="53" t="n"/>
      <c r="V219" s="53" t="n"/>
      <c r="W219" s="53" t="n"/>
      <c r="X219" s="53" t="n"/>
      <c r="Y219" s="53" t="n"/>
      <c r="Z219" s="53" t="n"/>
      <c r="AA219" s="53" t="n"/>
      <c r="AB219" s="53" t="n"/>
      <c r="AC219" s="53" t="n"/>
      <c r="AD219" s="53" t="n"/>
      <c r="AE219" s="53" t="n"/>
      <c r="AF219" s="53" t="n"/>
      <c r="AG219" s="53" t="n"/>
      <c r="AH219" s="53" t="n"/>
      <c r="AI219" s="53" t="n"/>
      <c r="AJ219" s="53" t="n"/>
      <c r="AK219" s="53" t="n"/>
      <c r="AL219" s="53" t="n"/>
      <c r="AM219" s="53" t="n"/>
      <c r="AN219" s="53" t="n"/>
      <c r="AO219" s="53" t="n"/>
      <c r="AP219" s="53" t="n"/>
      <c r="AQ219" s="53" t="n"/>
      <c r="AR219" s="53" t="n"/>
      <c r="AS219" s="53" t="n"/>
      <c r="AT219" s="53" t="n"/>
      <c r="AU219" s="53" t="n"/>
      <c r="AV219" s="53" t="n"/>
      <c r="AW219" s="53" t="n"/>
      <c r="AX219" s="53" t="n"/>
      <c r="AY219" s="53" t="n"/>
    </row>
    <row r="220" ht="15" customHeight="1">
      <c r="A220" s="54" t="n"/>
      <c r="B220" s="55">
        <f>IF($B$219="","",$B$219)</f>
        <v/>
      </c>
      <c r="C220" s="56" t="inlineStr">
        <is>
          <t>마케팅4팀</t>
        </is>
      </c>
      <c r="D220" s="55">
        <f>IF($D$219="","",$D$219)</f>
        <v/>
      </c>
      <c r="E220" s="57" t="inlineStr">
        <is>
          <t>이미지</t>
        </is>
      </c>
      <c r="F220" s="44" t="n"/>
      <c r="G220" s="58">
        <f>IF($G$219="","",$G$219)</f>
        <v/>
      </c>
      <c r="H220" s="59" t="n"/>
      <c r="I220" s="59" t="n"/>
      <c r="J220" s="59" t="n"/>
      <c r="K220" s="59" t="n"/>
      <c r="L220" s="60">
        <f>IF(SUM(U220:AY220)=0,"",SUM(U220:AY220))</f>
        <v/>
      </c>
      <c r="M220" s="61">
        <f>IFERROR(INDEX(U$2:AY$2,MATCH(TRUE,INDEX(U220:AY220&lt;&gt;"",0),0)),"")</f>
        <v/>
      </c>
      <c r="N220" s="61">
        <f>IFERROR(LOOKUP(2,1/(U220:AY220&lt;&gt;""),U$2:AY$2),"")</f>
        <v/>
      </c>
      <c r="O220" s="59" t="n"/>
      <c r="P220" s="59" t="n"/>
      <c r="Q220" s="59" t="n"/>
      <c r="R220" s="59" t="n"/>
      <c r="S220" s="14" t="n"/>
      <c r="U220" s="53" t="n"/>
      <c r="V220" s="53" t="n"/>
      <c r="W220" s="53" t="n"/>
      <c r="X220" s="53" t="n"/>
      <c r="Y220" s="53" t="n"/>
      <c r="Z220" s="53" t="n"/>
      <c r="AA220" s="53" t="n"/>
      <c r="AB220" s="53" t="n"/>
      <c r="AC220" s="53" t="n"/>
      <c r="AD220" s="53" t="n"/>
      <c r="AE220" s="53" t="n"/>
      <c r="AF220" s="53" t="n"/>
      <c r="AG220" s="53" t="n"/>
      <c r="AH220" s="53" t="n"/>
      <c r="AI220" s="53" t="n"/>
      <c r="AJ220" s="53" t="n"/>
      <c r="AK220" s="53" t="n"/>
      <c r="AL220" s="53" t="n"/>
      <c r="AM220" s="53" t="n"/>
      <c r="AN220" s="53" t="n"/>
      <c r="AO220" s="53" t="n"/>
      <c r="AP220" s="53" t="n"/>
      <c r="AQ220" s="53" t="n"/>
      <c r="AR220" s="53" t="n"/>
      <c r="AS220" s="53" t="n"/>
      <c r="AT220" s="53" t="n"/>
      <c r="AU220" s="53" t="n"/>
      <c r="AV220" s="53" t="n"/>
      <c r="AW220" s="53" t="n"/>
      <c r="AX220" s="53" t="n"/>
      <c r="AY220" s="53" t="n"/>
    </row>
    <row r="221" ht="15" customHeight="1">
      <c r="A221" s="62" t="n"/>
      <c r="B221" s="55">
        <f>IF($B$219="","",$B$219)</f>
        <v/>
      </c>
      <c r="C221" s="63" t="inlineStr">
        <is>
          <t>마케팅4팀</t>
        </is>
      </c>
      <c r="D221" s="55">
        <f>IF($D$219="","",$D$219)</f>
        <v/>
      </c>
      <c r="E221" s="64" t="inlineStr">
        <is>
          <t>영상</t>
        </is>
      </c>
      <c r="F221" s="44" t="n"/>
      <c r="G221" s="58">
        <f>IF($G$219="","",$G$219)</f>
        <v/>
      </c>
      <c r="H221" s="59" t="n"/>
      <c r="I221" s="59" t="n"/>
      <c r="J221" s="59" t="n"/>
      <c r="K221" s="59" t="n"/>
      <c r="L221" s="65">
        <f>IF(SUM(U221:AY221)=0,"",SUM(U221:AY221))</f>
        <v/>
      </c>
      <c r="M221" s="66">
        <f>IFERROR(INDEX(U$2:AY$2,MATCH(TRUE,INDEX(U221:AY221&lt;&gt;"",0),0)),"")</f>
        <v/>
      </c>
      <c r="N221" s="66">
        <f>IFERROR(LOOKUP(2,1/(U221:AY221&lt;&gt;""),U$2:AY$2),"")</f>
        <v/>
      </c>
      <c r="O221" s="59" t="n"/>
      <c r="P221" s="59" t="n"/>
      <c r="Q221" s="59" t="n"/>
      <c r="R221" s="59" t="n"/>
      <c r="S221" s="14" t="n"/>
      <c r="U221" s="53" t="n"/>
      <c r="V221" s="53" t="n"/>
      <c r="W221" s="53" t="n"/>
      <c r="X221" s="53" t="n"/>
      <c r="Y221" s="53" t="n"/>
      <c r="Z221" s="53" t="n"/>
      <c r="AA221" s="53" t="n"/>
      <c r="AB221" s="53" t="n"/>
      <c r="AC221" s="53" t="n"/>
      <c r="AD221" s="53" t="n"/>
      <c r="AE221" s="53" t="n"/>
      <c r="AF221" s="53" t="n"/>
      <c r="AG221" s="53" t="n"/>
      <c r="AH221" s="53" t="n"/>
      <c r="AI221" s="53" t="n"/>
      <c r="AJ221" s="53" t="n"/>
      <c r="AK221" s="53" t="n"/>
      <c r="AL221" s="53" t="n"/>
      <c r="AM221" s="53" t="n"/>
      <c r="AN221" s="53" t="n"/>
      <c r="AO221" s="53" t="n"/>
      <c r="AP221" s="53" t="n"/>
      <c r="AQ221" s="53" t="n"/>
      <c r="AR221" s="53" t="n"/>
      <c r="AS221" s="53" t="n"/>
      <c r="AT221" s="53" t="n"/>
      <c r="AU221" s="53" t="n"/>
      <c r="AV221" s="53" t="n"/>
      <c r="AW221" s="53" t="n"/>
      <c r="AX221" s="53" t="n"/>
      <c r="AY221" s="53" t="n"/>
    </row>
    <row r="222" ht="15" customHeight="1">
      <c r="A222" s="40">
        <f>IF($D$222="","",71)</f>
        <v/>
      </c>
      <c r="B222" s="10" t="n"/>
      <c r="C222" s="41" t="inlineStr">
        <is>
          <t>마케팅4팀</t>
        </is>
      </c>
      <c r="D222" s="42" t="n"/>
      <c r="E222" s="43" t="inlineStr">
        <is>
          <t>기획</t>
        </is>
      </c>
      <c r="F222" s="44" t="n"/>
      <c r="G222" s="45" t="n"/>
      <c r="H222" s="46">
        <f>IF($I$222="","",IF($I$222&lt;0,"🔴지연",IF($I$222&lt;=1,"🟡임박","🟢여유")))</f>
        <v/>
      </c>
      <c r="I222" s="47">
        <f>IF(OR($G$222="",$K$222=""),"",$G$222-$K$222)</f>
        <v/>
      </c>
      <c r="J222" s="48">
        <f>IF(SUM($L$222:$L$224)=0,"",SUM($L$222:$L$224))</f>
        <v/>
      </c>
      <c r="K222" s="49">
        <f>IF($J$222="","",MAX($N$222:$N$224))</f>
        <v/>
      </c>
      <c r="L222" s="50">
        <f>IF(SUM(U222:AY222)=0,"",SUM(U222:AY222))</f>
        <v/>
      </c>
      <c r="M222" s="51">
        <f>IFERROR(INDEX(U$2:AY$2,MATCH(TRUE,INDEX(U222:AY222&lt;&gt;"",0),0)),"")</f>
        <v/>
      </c>
      <c r="N222" s="51">
        <f>IFERROR(LOOKUP(2,1/(U222:AY222&lt;&gt;""),U$2:AY$2),"")</f>
        <v/>
      </c>
      <c r="O222" s="52" t="n"/>
      <c r="P222" s="52" t="n"/>
      <c r="Q222" s="52" t="n"/>
      <c r="R222" s="44" t="n"/>
      <c r="S222" s="14" t="n"/>
      <c r="U222" s="53" t="n"/>
      <c r="V222" s="53" t="n"/>
      <c r="W222" s="53" t="n"/>
      <c r="X222" s="53" t="n"/>
      <c r="Y222" s="53" t="n"/>
      <c r="Z222" s="53" t="n"/>
      <c r="AA222" s="53" t="n"/>
      <c r="AB222" s="53" t="n"/>
      <c r="AC222" s="53" t="n"/>
      <c r="AD222" s="53" t="n"/>
      <c r="AE222" s="53" t="n"/>
      <c r="AF222" s="53" t="n"/>
      <c r="AG222" s="53" t="n"/>
      <c r="AH222" s="53" t="n"/>
      <c r="AI222" s="53" t="n"/>
      <c r="AJ222" s="53" t="n"/>
      <c r="AK222" s="53" t="n"/>
      <c r="AL222" s="53" t="n"/>
      <c r="AM222" s="53" t="n"/>
      <c r="AN222" s="53" t="n"/>
      <c r="AO222" s="53" t="n"/>
      <c r="AP222" s="53" t="n"/>
      <c r="AQ222" s="53" t="n"/>
      <c r="AR222" s="53" t="n"/>
      <c r="AS222" s="53" t="n"/>
      <c r="AT222" s="53" t="n"/>
      <c r="AU222" s="53" t="n"/>
      <c r="AV222" s="53" t="n"/>
      <c r="AW222" s="53" t="n"/>
      <c r="AX222" s="53" t="n"/>
      <c r="AY222" s="53" t="n"/>
    </row>
    <row r="223" ht="15" customHeight="1">
      <c r="A223" s="54" t="n"/>
      <c r="B223" s="55">
        <f>IF($B$222="","",$B$222)</f>
        <v/>
      </c>
      <c r="C223" s="56" t="inlineStr">
        <is>
          <t>마케팅4팀</t>
        </is>
      </c>
      <c r="D223" s="55">
        <f>IF($D$222="","",$D$222)</f>
        <v/>
      </c>
      <c r="E223" s="57" t="inlineStr">
        <is>
          <t>이미지</t>
        </is>
      </c>
      <c r="F223" s="44" t="n"/>
      <c r="G223" s="58">
        <f>IF($G$222="","",$G$222)</f>
        <v/>
      </c>
      <c r="H223" s="59" t="n"/>
      <c r="I223" s="59" t="n"/>
      <c r="J223" s="59" t="n"/>
      <c r="K223" s="59" t="n"/>
      <c r="L223" s="60">
        <f>IF(SUM(U223:AY223)=0,"",SUM(U223:AY223))</f>
        <v/>
      </c>
      <c r="M223" s="61">
        <f>IFERROR(INDEX(U$2:AY$2,MATCH(TRUE,INDEX(U223:AY223&lt;&gt;"",0),0)),"")</f>
        <v/>
      </c>
      <c r="N223" s="61">
        <f>IFERROR(LOOKUP(2,1/(U223:AY223&lt;&gt;""),U$2:AY$2),"")</f>
        <v/>
      </c>
      <c r="O223" s="59" t="n"/>
      <c r="P223" s="59" t="n"/>
      <c r="Q223" s="59" t="n"/>
      <c r="R223" s="59" t="n"/>
      <c r="S223" s="14" t="n"/>
      <c r="U223" s="53" t="n"/>
      <c r="V223" s="53" t="n"/>
      <c r="W223" s="53" t="n"/>
      <c r="X223" s="53" t="n"/>
      <c r="Y223" s="53" t="n"/>
      <c r="Z223" s="53" t="n"/>
      <c r="AA223" s="53" t="n"/>
      <c r="AB223" s="53" t="n"/>
      <c r="AC223" s="53" t="n"/>
      <c r="AD223" s="53" t="n"/>
      <c r="AE223" s="53" t="n"/>
      <c r="AF223" s="53" t="n"/>
      <c r="AG223" s="53" t="n"/>
      <c r="AH223" s="53" t="n"/>
      <c r="AI223" s="53" t="n"/>
      <c r="AJ223" s="53" t="n"/>
      <c r="AK223" s="53" t="n"/>
      <c r="AL223" s="53" t="n"/>
      <c r="AM223" s="53" t="n"/>
      <c r="AN223" s="53" t="n"/>
      <c r="AO223" s="53" t="n"/>
      <c r="AP223" s="53" t="n"/>
      <c r="AQ223" s="53" t="n"/>
      <c r="AR223" s="53" t="n"/>
      <c r="AS223" s="53" t="n"/>
      <c r="AT223" s="53" t="n"/>
      <c r="AU223" s="53" t="n"/>
      <c r="AV223" s="53" t="n"/>
      <c r="AW223" s="53" t="n"/>
      <c r="AX223" s="53" t="n"/>
      <c r="AY223" s="53" t="n"/>
    </row>
    <row r="224" ht="15" customHeight="1">
      <c r="A224" s="62" t="n"/>
      <c r="B224" s="55">
        <f>IF($B$222="","",$B$222)</f>
        <v/>
      </c>
      <c r="C224" s="63" t="inlineStr">
        <is>
          <t>마케팅4팀</t>
        </is>
      </c>
      <c r="D224" s="55">
        <f>IF($D$222="","",$D$222)</f>
        <v/>
      </c>
      <c r="E224" s="64" t="inlineStr">
        <is>
          <t>영상</t>
        </is>
      </c>
      <c r="F224" s="44" t="n"/>
      <c r="G224" s="58">
        <f>IF($G$222="","",$G$222)</f>
        <v/>
      </c>
      <c r="H224" s="59" t="n"/>
      <c r="I224" s="59" t="n"/>
      <c r="J224" s="59" t="n"/>
      <c r="K224" s="59" t="n"/>
      <c r="L224" s="65">
        <f>IF(SUM(U224:AY224)=0,"",SUM(U224:AY224))</f>
        <v/>
      </c>
      <c r="M224" s="66">
        <f>IFERROR(INDEX(U$2:AY$2,MATCH(TRUE,INDEX(U224:AY224&lt;&gt;"",0),0)),"")</f>
        <v/>
      </c>
      <c r="N224" s="66">
        <f>IFERROR(LOOKUP(2,1/(U224:AY224&lt;&gt;""),U$2:AY$2),"")</f>
        <v/>
      </c>
      <c r="O224" s="59" t="n"/>
      <c r="P224" s="59" t="n"/>
      <c r="Q224" s="59" t="n"/>
      <c r="R224" s="59" t="n"/>
      <c r="S224" s="14" t="n"/>
      <c r="U224" s="53" t="n"/>
      <c r="V224" s="53" t="n"/>
      <c r="W224" s="53" t="n"/>
      <c r="X224" s="53" t="n"/>
      <c r="Y224" s="53" t="n"/>
      <c r="Z224" s="53" t="n"/>
      <c r="AA224" s="53" t="n"/>
      <c r="AB224" s="53" t="n"/>
      <c r="AC224" s="53" t="n"/>
      <c r="AD224" s="53" t="n"/>
      <c r="AE224" s="53" t="n"/>
      <c r="AF224" s="53" t="n"/>
      <c r="AG224" s="53" t="n"/>
      <c r="AH224" s="53" t="n"/>
      <c r="AI224" s="53" t="n"/>
      <c r="AJ224" s="53" t="n"/>
      <c r="AK224" s="53" t="n"/>
      <c r="AL224" s="53" t="n"/>
      <c r="AM224" s="53" t="n"/>
      <c r="AN224" s="53" t="n"/>
      <c r="AO224" s="53" t="n"/>
      <c r="AP224" s="53" t="n"/>
      <c r="AQ224" s="53" t="n"/>
      <c r="AR224" s="53" t="n"/>
      <c r="AS224" s="53" t="n"/>
      <c r="AT224" s="53" t="n"/>
      <c r="AU224" s="53" t="n"/>
      <c r="AV224" s="53" t="n"/>
      <c r="AW224" s="53" t="n"/>
      <c r="AX224" s="53" t="n"/>
      <c r="AY224" s="53" t="n"/>
    </row>
    <row r="225" ht="15" customHeight="1">
      <c r="A225" s="40">
        <f>IF($D$225="","",72)</f>
        <v/>
      </c>
      <c r="B225" s="10" t="n"/>
      <c r="C225" s="41" t="inlineStr">
        <is>
          <t>마케팅4팀</t>
        </is>
      </c>
      <c r="D225" s="42" t="n"/>
      <c r="E225" s="43" t="inlineStr">
        <is>
          <t>기획</t>
        </is>
      </c>
      <c r="F225" s="44" t="n"/>
      <c r="G225" s="45" t="n"/>
      <c r="H225" s="46">
        <f>IF($I$225="","",IF($I$225&lt;0,"🔴지연",IF($I$225&lt;=1,"🟡임박","🟢여유")))</f>
        <v/>
      </c>
      <c r="I225" s="47">
        <f>IF(OR($G$225="",$K$225=""),"",$G$225-$K$225)</f>
        <v/>
      </c>
      <c r="J225" s="48">
        <f>IF(SUM($L$225:$L$227)=0,"",SUM($L$225:$L$227))</f>
        <v/>
      </c>
      <c r="K225" s="49">
        <f>IF($J$225="","",MAX($N$225:$N$227))</f>
        <v/>
      </c>
      <c r="L225" s="50">
        <f>IF(SUM(U225:AY225)=0,"",SUM(U225:AY225))</f>
        <v/>
      </c>
      <c r="M225" s="51">
        <f>IFERROR(INDEX(U$2:AY$2,MATCH(TRUE,INDEX(U225:AY225&lt;&gt;"",0),0)),"")</f>
        <v/>
      </c>
      <c r="N225" s="51">
        <f>IFERROR(LOOKUP(2,1/(U225:AY225&lt;&gt;""),U$2:AY$2),"")</f>
        <v/>
      </c>
      <c r="O225" s="52" t="n"/>
      <c r="P225" s="52" t="n"/>
      <c r="Q225" s="52" t="n"/>
      <c r="R225" s="44" t="n"/>
      <c r="S225" s="14" t="n"/>
      <c r="U225" s="53" t="n"/>
      <c r="V225" s="53" t="n"/>
      <c r="W225" s="53" t="n"/>
      <c r="X225" s="53" t="n"/>
      <c r="Y225" s="53" t="n"/>
      <c r="Z225" s="53" t="n"/>
      <c r="AA225" s="53" t="n"/>
      <c r="AB225" s="53" t="n"/>
      <c r="AC225" s="53" t="n"/>
      <c r="AD225" s="53" t="n"/>
      <c r="AE225" s="53" t="n"/>
      <c r="AF225" s="53" t="n"/>
      <c r="AG225" s="53" t="n"/>
      <c r="AH225" s="53" t="n"/>
      <c r="AI225" s="53" t="n"/>
      <c r="AJ225" s="53" t="n"/>
      <c r="AK225" s="53" t="n"/>
      <c r="AL225" s="53" t="n"/>
      <c r="AM225" s="53" t="n"/>
      <c r="AN225" s="53" t="n"/>
      <c r="AO225" s="53" t="n"/>
      <c r="AP225" s="53" t="n"/>
      <c r="AQ225" s="53" t="n"/>
      <c r="AR225" s="53" t="n"/>
      <c r="AS225" s="53" t="n"/>
      <c r="AT225" s="53" t="n"/>
      <c r="AU225" s="53" t="n"/>
      <c r="AV225" s="53" t="n"/>
      <c r="AW225" s="53" t="n"/>
      <c r="AX225" s="53" t="n"/>
      <c r="AY225" s="53" t="n"/>
    </row>
    <row r="226" ht="15" customHeight="1">
      <c r="A226" s="54" t="n"/>
      <c r="B226" s="55">
        <f>IF($B$225="","",$B$225)</f>
        <v/>
      </c>
      <c r="C226" s="56" t="inlineStr">
        <is>
          <t>마케팅4팀</t>
        </is>
      </c>
      <c r="D226" s="55">
        <f>IF($D$225="","",$D$225)</f>
        <v/>
      </c>
      <c r="E226" s="57" t="inlineStr">
        <is>
          <t>이미지</t>
        </is>
      </c>
      <c r="F226" s="44" t="n"/>
      <c r="G226" s="58">
        <f>IF($G$225="","",$G$225)</f>
        <v/>
      </c>
      <c r="H226" s="59" t="n"/>
      <c r="I226" s="59" t="n"/>
      <c r="J226" s="59" t="n"/>
      <c r="K226" s="59" t="n"/>
      <c r="L226" s="60">
        <f>IF(SUM(U226:AY226)=0,"",SUM(U226:AY226))</f>
        <v/>
      </c>
      <c r="M226" s="61">
        <f>IFERROR(INDEX(U$2:AY$2,MATCH(TRUE,INDEX(U226:AY226&lt;&gt;"",0),0)),"")</f>
        <v/>
      </c>
      <c r="N226" s="61">
        <f>IFERROR(LOOKUP(2,1/(U226:AY226&lt;&gt;""),U$2:AY$2),"")</f>
        <v/>
      </c>
      <c r="O226" s="59" t="n"/>
      <c r="P226" s="59" t="n"/>
      <c r="Q226" s="59" t="n"/>
      <c r="R226" s="59" t="n"/>
      <c r="S226" s="14" t="n"/>
      <c r="U226" s="53" t="n"/>
      <c r="V226" s="53" t="n"/>
      <c r="W226" s="53" t="n"/>
      <c r="X226" s="53" t="n"/>
      <c r="Y226" s="53" t="n"/>
      <c r="Z226" s="53" t="n"/>
      <c r="AA226" s="53" t="n"/>
      <c r="AB226" s="53" t="n"/>
      <c r="AC226" s="53" t="n"/>
      <c r="AD226" s="53" t="n"/>
      <c r="AE226" s="53" t="n"/>
      <c r="AF226" s="53" t="n"/>
      <c r="AG226" s="53" t="n"/>
      <c r="AH226" s="53" t="n"/>
      <c r="AI226" s="53" t="n"/>
      <c r="AJ226" s="53" t="n"/>
      <c r="AK226" s="53" t="n"/>
      <c r="AL226" s="53" t="n"/>
      <c r="AM226" s="53" t="n"/>
      <c r="AN226" s="53" t="n"/>
      <c r="AO226" s="53" t="n"/>
      <c r="AP226" s="53" t="n"/>
      <c r="AQ226" s="53" t="n"/>
      <c r="AR226" s="53" t="n"/>
      <c r="AS226" s="53" t="n"/>
      <c r="AT226" s="53" t="n"/>
      <c r="AU226" s="53" t="n"/>
      <c r="AV226" s="53" t="n"/>
      <c r="AW226" s="53" t="n"/>
      <c r="AX226" s="53" t="n"/>
      <c r="AY226" s="53" t="n"/>
    </row>
    <row r="227" ht="15" customHeight="1">
      <c r="A227" s="62" t="n"/>
      <c r="B227" s="55">
        <f>IF($B$225="","",$B$225)</f>
        <v/>
      </c>
      <c r="C227" s="63" t="inlineStr">
        <is>
          <t>마케팅4팀</t>
        </is>
      </c>
      <c r="D227" s="55">
        <f>IF($D$225="","",$D$225)</f>
        <v/>
      </c>
      <c r="E227" s="64" t="inlineStr">
        <is>
          <t>영상</t>
        </is>
      </c>
      <c r="F227" s="44" t="n"/>
      <c r="G227" s="58">
        <f>IF($G$225="","",$G$225)</f>
        <v/>
      </c>
      <c r="H227" s="59" t="n"/>
      <c r="I227" s="59" t="n"/>
      <c r="J227" s="59" t="n"/>
      <c r="K227" s="59" t="n"/>
      <c r="L227" s="65">
        <f>IF(SUM(U227:AY227)=0,"",SUM(U227:AY227))</f>
        <v/>
      </c>
      <c r="M227" s="66">
        <f>IFERROR(INDEX(U$2:AY$2,MATCH(TRUE,INDEX(U227:AY227&lt;&gt;"",0),0)),"")</f>
        <v/>
      </c>
      <c r="N227" s="66">
        <f>IFERROR(LOOKUP(2,1/(U227:AY227&lt;&gt;""),U$2:AY$2),"")</f>
        <v/>
      </c>
      <c r="O227" s="59" t="n"/>
      <c r="P227" s="59" t="n"/>
      <c r="Q227" s="59" t="n"/>
      <c r="R227" s="59" t="n"/>
      <c r="S227" s="14" t="n"/>
      <c r="U227" s="53" t="n"/>
      <c r="V227" s="53" t="n"/>
      <c r="W227" s="53" t="n"/>
      <c r="X227" s="53" t="n"/>
      <c r="Y227" s="53" t="n"/>
      <c r="Z227" s="53" t="n"/>
      <c r="AA227" s="53" t="n"/>
      <c r="AB227" s="53" t="n"/>
      <c r="AC227" s="53" t="n"/>
      <c r="AD227" s="53" t="n"/>
      <c r="AE227" s="53" t="n"/>
      <c r="AF227" s="53" t="n"/>
      <c r="AG227" s="53" t="n"/>
      <c r="AH227" s="53" t="n"/>
      <c r="AI227" s="53" t="n"/>
      <c r="AJ227" s="53" t="n"/>
      <c r="AK227" s="53" t="n"/>
      <c r="AL227" s="53" t="n"/>
      <c r="AM227" s="53" t="n"/>
      <c r="AN227" s="53" t="n"/>
      <c r="AO227" s="53" t="n"/>
      <c r="AP227" s="53" t="n"/>
      <c r="AQ227" s="53" t="n"/>
      <c r="AR227" s="53" t="n"/>
      <c r="AS227" s="53" t="n"/>
      <c r="AT227" s="53" t="n"/>
      <c r="AU227" s="53" t="n"/>
      <c r="AV227" s="53" t="n"/>
      <c r="AW227" s="53" t="n"/>
      <c r="AX227" s="53" t="n"/>
      <c r="AY227" s="53" t="n"/>
    </row>
    <row r="228" ht="15" customHeight="1">
      <c r="A228" s="40">
        <f>IF($D$228="","",73)</f>
        <v/>
      </c>
      <c r="B228" s="10" t="n"/>
      <c r="C228" s="41" t="inlineStr">
        <is>
          <t>마케팅4팀</t>
        </is>
      </c>
      <c r="D228" s="42" t="n"/>
      <c r="E228" s="43" t="inlineStr">
        <is>
          <t>기획</t>
        </is>
      </c>
      <c r="F228" s="44" t="n"/>
      <c r="G228" s="45" t="n"/>
      <c r="H228" s="46">
        <f>IF($I$228="","",IF($I$228&lt;0,"🔴지연",IF($I$228&lt;=1,"🟡임박","🟢여유")))</f>
        <v/>
      </c>
      <c r="I228" s="47">
        <f>IF(OR($G$228="",$K$228=""),"",$G$228-$K$228)</f>
        <v/>
      </c>
      <c r="J228" s="48">
        <f>IF(SUM($L$228:$L$230)=0,"",SUM($L$228:$L$230))</f>
        <v/>
      </c>
      <c r="K228" s="49">
        <f>IF($J$228="","",MAX($N$228:$N$230))</f>
        <v/>
      </c>
      <c r="L228" s="50">
        <f>IF(SUM(U228:AY228)=0,"",SUM(U228:AY228))</f>
        <v/>
      </c>
      <c r="M228" s="51">
        <f>IFERROR(INDEX(U$2:AY$2,MATCH(TRUE,INDEX(U228:AY228&lt;&gt;"",0),0)),"")</f>
        <v/>
      </c>
      <c r="N228" s="51">
        <f>IFERROR(LOOKUP(2,1/(U228:AY228&lt;&gt;""),U$2:AY$2),"")</f>
        <v/>
      </c>
      <c r="O228" s="52" t="n"/>
      <c r="P228" s="52" t="n"/>
      <c r="Q228" s="52" t="n"/>
      <c r="R228" s="44" t="n"/>
      <c r="S228" s="14" t="n"/>
      <c r="U228" s="53" t="n"/>
      <c r="V228" s="53" t="n"/>
      <c r="W228" s="53" t="n"/>
      <c r="X228" s="53" t="n"/>
      <c r="Y228" s="53" t="n"/>
      <c r="Z228" s="53" t="n"/>
      <c r="AA228" s="53" t="n"/>
      <c r="AB228" s="53" t="n"/>
      <c r="AC228" s="53" t="n"/>
      <c r="AD228" s="53" t="n"/>
      <c r="AE228" s="53" t="n"/>
      <c r="AF228" s="53" t="n"/>
      <c r="AG228" s="53" t="n"/>
      <c r="AH228" s="53" t="n"/>
      <c r="AI228" s="53" t="n"/>
      <c r="AJ228" s="53" t="n"/>
      <c r="AK228" s="53" t="n"/>
      <c r="AL228" s="53" t="n"/>
      <c r="AM228" s="53" t="n"/>
      <c r="AN228" s="53" t="n"/>
      <c r="AO228" s="53" t="n"/>
      <c r="AP228" s="53" t="n"/>
      <c r="AQ228" s="53" t="n"/>
      <c r="AR228" s="53" t="n"/>
      <c r="AS228" s="53" t="n"/>
      <c r="AT228" s="53" t="n"/>
      <c r="AU228" s="53" t="n"/>
      <c r="AV228" s="53" t="n"/>
      <c r="AW228" s="53" t="n"/>
      <c r="AX228" s="53" t="n"/>
      <c r="AY228" s="53" t="n"/>
    </row>
    <row r="229" ht="15" customHeight="1">
      <c r="A229" s="54" t="n"/>
      <c r="B229" s="55">
        <f>IF($B$228="","",$B$228)</f>
        <v/>
      </c>
      <c r="C229" s="56" t="inlineStr">
        <is>
          <t>마케팅4팀</t>
        </is>
      </c>
      <c r="D229" s="55">
        <f>IF($D$228="","",$D$228)</f>
        <v/>
      </c>
      <c r="E229" s="57" t="inlineStr">
        <is>
          <t>이미지</t>
        </is>
      </c>
      <c r="F229" s="44" t="n"/>
      <c r="G229" s="58">
        <f>IF($G$228="","",$G$228)</f>
        <v/>
      </c>
      <c r="H229" s="59" t="n"/>
      <c r="I229" s="59" t="n"/>
      <c r="J229" s="59" t="n"/>
      <c r="K229" s="59" t="n"/>
      <c r="L229" s="60">
        <f>IF(SUM(U229:AY229)=0,"",SUM(U229:AY229))</f>
        <v/>
      </c>
      <c r="M229" s="61">
        <f>IFERROR(INDEX(U$2:AY$2,MATCH(TRUE,INDEX(U229:AY229&lt;&gt;"",0),0)),"")</f>
        <v/>
      </c>
      <c r="N229" s="61">
        <f>IFERROR(LOOKUP(2,1/(U229:AY229&lt;&gt;""),U$2:AY$2),"")</f>
        <v/>
      </c>
      <c r="O229" s="59" t="n"/>
      <c r="P229" s="59" t="n"/>
      <c r="Q229" s="59" t="n"/>
      <c r="R229" s="59" t="n"/>
      <c r="S229" s="14" t="n"/>
      <c r="U229" s="53" t="n"/>
      <c r="V229" s="53" t="n"/>
      <c r="W229" s="53" t="n"/>
      <c r="X229" s="53" t="n"/>
      <c r="Y229" s="53" t="n"/>
      <c r="Z229" s="53" t="n"/>
      <c r="AA229" s="53" t="n"/>
      <c r="AB229" s="53" t="n"/>
      <c r="AC229" s="53" t="n"/>
      <c r="AD229" s="53" t="n"/>
      <c r="AE229" s="53" t="n"/>
      <c r="AF229" s="53" t="n"/>
      <c r="AG229" s="53" t="n"/>
      <c r="AH229" s="53" t="n"/>
      <c r="AI229" s="53" t="n"/>
      <c r="AJ229" s="53" t="n"/>
      <c r="AK229" s="53" t="n"/>
      <c r="AL229" s="53" t="n"/>
      <c r="AM229" s="53" t="n"/>
      <c r="AN229" s="53" t="n"/>
      <c r="AO229" s="53" t="n"/>
      <c r="AP229" s="53" t="n"/>
      <c r="AQ229" s="53" t="n"/>
      <c r="AR229" s="53" t="n"/>
      <c r="AS229" s="53" t="n"/>
      <c r="AT229" s="53" t="n"/>
      <c r="AU229" s="53" t="n"/>
      <c r="AV229" s="53" t="n"/>
      <c r="AW229" s="53" t="n"/>
      <c r="AX229" s="53" t="n"/>
      <c r="AY229" s="53" t="n"/>
    </row>
    <row r="230" ht="15" customHeight="1">
      <c r="A230" s="62" t="n"/>
      <c r="B230" s="55">
        <f>IF($B$228="","",$B$228)</f>
        <v/>
      </c>
      <c r="C230" s="63" t="inlineStr">
        <is>
          <t>마케팅4팀</t>
        </is>
      </c>
      <c r="D230" s="55">
        <f>IF($D$228="","",$D$228)</f>
        <v/>
      </c>
      <c r="E230" s="64" t="inlineStr">
        <is>
          <t>영상</t>
        </is>
      </c>
      <c r="F230" s="44" t="n"/>
      <c r="G230" s="58">
        <f>IF($G$228="","",$G$228)</f>
        <v/>
      </c>
      <c r="H230" s="59" t="n"/>
      <c r="I230" s="59" t="n"/>
      <c r="J230" s="59" t="n"/>
      <c r="K230" s="59" t="n"/>
      <c r="L230" s="65">
        <f>IF(SUM(U230:AY230)=0,"",SUM(U230:AY230))</f>
        <v/>
      </c>
      <c r="M230" s="66">
        <f>IFERROR(INDEX(U$2:AY$2,MATCH(TRUE,INDEX(U230:AY230&lt;&gt;"",0),0)),"")</f>
        <v/>
      </c>
      <c r="N230" s="66">
        <f>IFERROR(LOOKUP(2,1/(U230:AY230&lt;&gt;""),U$2:AY$2),"")</f>
        <v/>
      </c>
      <c r="O230" s="59" t="n"/>
      <c r="P230" s="59" t="n"/>
      <c r="Q230" s="59" t="n"/>
      <c r="R230" s="59" t="n"/>
      <c r="S230" s="14" t="n"/>
      <c r="U230" s="53" t="n"/>
      <c r="V230" s="53" t="n"/>
      <c r="W230" s="53" t="n"/>
      <c r="X230" s="53" t="n"/>
      <c r="Y230" s="53" t="n"/>
      <c r="Z230" s="53" t="n"/>
      <c r="AA230" s="53" t="n"/>
      <c r="AB230" s="53" t="n"/>
      <c r="AC230" s="53" t="n"/>
      <c r="AD230" s="53" t="n"/>
      <c r="AE230" s="53" t="n"/>
      <c r="AF230" s="53" t="n"/>
      <c r="AG230" s="53" t="n"/>
      <c r="AH230" s="53" t="n"/>
      <c r="AI230" s="53" t="n"/>
      <c r="AJ230" s="53" t="n"/>
      <c r="AK230" s="53" t="n"/>
      <c r="AL230" s="53" t="n"/>
      <c r="AM230" s="53" t="n"/>
      <c r="AN230" s="53" t="n"/>
      <c r="AO230" s="53" t="n"/>
      <c r="AP230" s="53" t="n"/>
      <c r="AQ230" s="53" t="n"/>
      <c r="AR230" s="53" t="n"/>
      <c r="AS230" s="53" t="n"/>
      <c r="AT230" s="53" t="n"/>
      <c r="AU230" s="53" t="n"/>
      <c r="AV230" s="53" t="n"/>
      <c r="AW230" s="53" t="n"/>
      <c r="AX230" s="53" t="n"/>
      <c r="AY230" s="53" t="n"/>
    </row>
    <row r="231" ht="15" customHeight="1">
      <c r="A231" s="40">
        <f>IF($D$231="","",74)</f>
        <v/>
      </c>
      <c r="B231" s="10" t="n"/>
      <c r="C231" s="41" t="inlineStr">
        <is>
          <t>마케팅4팀</t>
        </is>
      </c>
      <c r="D231" s="42" t="n"/>
      <c r="E231" s="43" t="inlineStr">
        <is>
          <t>기획</t>
        </is>
      </c>
      <c r="F231" s="44" t="n"/>
      <c r="G231" s="45" t="n"/>
      <c r="H231" s="46">
        <f>IF($I$231="","",IF($I$231&lt;0,"🔴지연",IF($I$231&lt;=1,"🟡임박","🟢여유")))</f>
        <v/>
      </c>
      <c r="I231" s="47">
        <f>IF(OR($G$231="",$K$231=""),"",$G$231-$K$231)</f>
        <v/>
      </c>
      <c r="J231" s="48">
        <f>IF(SUM($L$231:$L$233)=0,"",SUM($L$231:$L$233))</f>
        <v/>
      </c>
      <c r="K231" s="49">
        <f>IF($J$231="","",MAX($N$231:$N$233))</f>
        <v/>
      </c>
      <c r="L231" s="50">
        <f>IF(SUM(U231:AY231)=0,"",SUM(U231:AY231))</f>
        <v/>
      </c>
      <c r="M231" s="51">
        <f>IFERROR(INDEX(U$2:AY$2,MATCH(TRUE,INDEX(U231:AY231&lt;&gt;"",0),0)),"")</f>
        <v/>
      </c>
      <c r="N231" s="51">
        <f>IFERROR(LOOKUP(2,1/(U231:AY231&lt;&gt;""),U$2:AY$2),"")</f>
        <v/>
      </c>
      <c r="O231" s="52" t="n"/>
      <c r="P231" s="52" t="n"/>
      <c r="Q231" s="52" t="n"/>
      <c r="R231" s="44" t="n"/>
      <c r="S231" s="14" t="n"/>
      <c r="U231" s="53" t="n"/>
      <c r="V231" s="53" t="n"/>
      <c r="W231" s="53" t="n"/>
      <c r="X231" s="53" t="n"/>
      <c r="Y231" s="53" t="n"/>
      <c r="Z231" s="53" t="n"/>
      <c r="AA231" s="53" t="n"/>
      <c r="AB231" s="53" t="n"/>
      <c r="AC231" s="53" t="n"/>
      <c r="AD231" s="53" t="n"/>
      <c r="AE231" s="53" t="n"/>
      <c r="AF231" s="53" t="n"/>
      <c r="AG231" s="53" t="n"/>
      <c r="AH231" s="53" t="n"/>
      <c r="AI231" s="53" t="n"/>
      <c r="AJ231" s="53" t="n"/>
      <c r="AK231" s="53" t="n"/>
      <c r="AL231" s="53" t="n"/>
      <c r="AM231" s="53" t="n"/>
      <c r="AN231" s="53" t="n"/>
      <c r="AO231" s="53" t="n"/>
      <c r="AP231" s="53" t="n"/>
      <c r="AQ231" s="53" t="n"/>
      <c r="AR231" s="53" t="n"/>
      <c r="AS231" s="53" t="n"/>
      <c r="AT231" s="53" t="n"/>
      <c r="AU231" s="53" t="n"/>
      <c r="AV231" s="53" t="n"/>
      <c r="AW231" s="53" t="n"/>
      <c r="AX231" s="53" t="n"/>
      <c r="AY231" s="53" t="n"/>
    </row>
    <row r="232" ht="15" customHeight="1">
      <c r="A232" s="54" t="n"/>
      <c r="B232" s="55">
        <f>IF($B$231="","",$B$231)</f>
        <v/>
      </c>
      <c r="C232" s="56" t="inlineStr">
        <is>
          <t>마케팅4팀</t>
        </is>
      </c>
      <c r="D232" s="55">
        <f>IF($D$231="","",$D$231)</f>
        <v/>
      </c>
      <c r="E232" s="57" t="inlineStr">
        <is>
          <t>이미지</t>
        </is>
      </c>
      <c r="F232" s="44" t="n"/>
      <c r="G232" s="58">
        <f>IF($G$231="","",$G$231)</f>
        <v/>
      </c>
      <c r="H232" s="59" t="n"/>
      <c r="I232" s="59" t="n"/>
      <c r="J232" s="59" t="n"/>
      <c r="K232" s="59" t="n"/>
      <c r="L232" s="60">
        <f>IF(SUM(U232:AY232)=0,"",SUM(U232:AY232))</f>
        <v/>
      </c>
      <c r="M232" s="61">
        <f>IFERROR(INDEX(U$2:AY$2,MATCH(TRUE,INDEX(U232:AY232&lt;&gt;"",0),0)),"")</f>
        <v/>
      </c>
      <c r="N232" s="61">
        <f>IFERROR(LOOKUP(2,1/(U232:AY232&lt;&gt;""),U$2:AY$2),"")</f>
        <v/>
      </c>
      <c r="O232" s="59" t="n"/>
      <c r="P232" s="59" t="n"/>
      <c r="Q232" s="59" t="n"/>
      <c r="R232" s="59" t="n"/>
      <c r="S232" s="14" t="n"/>
      <c r="U232" s="53" t="n"/>
      <c r="V232" s="53" t="n"/>
      <c r="W232" s="53" t="n"/>
      <c r="X232" s="53" t="n"/>
      <c r="Y232" s="53" t="n"/>
      <c r="Z232" s="53" t="n"/>
      <c r="AA232" s="53" t="n"/>
      <c r="AB232" s="53" t="n"/>
      <c r="AC232" s="53" t="n"/>
      <c r="AD232" s="53" t="n"/>
      <c r="AE232" s="53" t="n"/>
      <c r="AF232" s="53" t="n"/>
      <c r="AG232" s="53" t="n"/>
      <c r="AH232" s="53" t="n"/>
      <c r="AI232" s="53" t="n"/>
      <c r="AJ232" s="53" t="n"/>
      <c r="AK232" s="53" t="n"/>
      <c r="AL232" s="53" t="n"/>
      <c r="AM232" s="53" t="n"/>
      <c r="AN232" s="53" t="n"/>
      <c r="AO232" s="53" t="n"/>
      <c r="AP232" s="53" t="n"/>
      <c r="AQ232" s="53" t="n"/>
      <c r="AR232" s="53" t="n"/>
      <c r="AS232" s="53" t="n"/>
      <c r="AT232" s="53" t="n"/>
      <c r="AU232" s="53" t="n"/>
      <c r="AV232" s="53" t="n"/>
      <c r="AW232" s="53" t="n"/>
      <c r="AX232" s="53" t="n"/>
      <c r="AY232" s="53" t="n"/>
    </row>
    <row r="233" ht="15" customHeight="1">
      <c r="A233" s="62" t="n"/>
      <c r="B233" s="55">
        <f>IF($B$231="","",$B$231)</f>
        <v/>
      </c>
      <c r="C233" s="63" t="inlineStr">
        <is>
          <t>마케팅4팀</t>
        </is>
      </c>
      <c r="D233" s="55">
        <f>IF($D$231="","",$D$231)</f>
        <v/>
      </c>
      <c r="E233" s="64" t="inlineStr">
        <is>
          <t>영상</t>
        </is>
      </c>
      <c r="F233" s="44" t="n"/>
      <c r="G233" s="58">
        <f>IF($G$231="","",$G$231)</f>
        <v/>
      </c>
      <c r="H233" s="59" t="n"/>
      <c r="I233" s="59" t="n"/>
      <c r="J233" s="59" t="n"/>
      <c r="K233" s="59" t="n"/>
      <c r="L233" s="65">
        <f>IF(SUM(U233:AY233)=0,"",SUM(U233:AY233))</f>
        <v/>
      </c>
      <c r="M233" s="66">
        <f>IFERROR(INDEX(U$2:AY$2,MATCH(TRUE,INDEX(U233:AY233&lt;&gt;"",0),0)),"")</f>
        <v/>
      </c>
      <c r="N233" s="66">
        <f>IFERROR(LOOKUP(2,1/(U233:AY233&lt;&gt;""),U$2:AY$2),"")</f>
        <v/>
      </c>
      <c r="O233" s="59" t="n"/>
      <c r="P233" s="59" t="n"/>
      <c r="Q233" s="59" t="n"/>
      <c r="R233" s="59" t="n"/>
      <c r="S233" s="14" t="n"/>
      <c r="U233" s="53" t="n"/>
      <c r="V233" s="53" t="n"/>
      <c r="W233" s="53" t="n"/>
      <c r="X233" s="53" t="n"/>
      <c r="Y233" s="53" t="n"/>
      <c r="Z233" s="53" t="n"/>
      <c r="AA233" s="53" t="n"/>
      <c r="AB233" s="53" t="n"/>
      <c r="AC233" s="53" t="n"/>
      <c r="AD233" s="53" t="n"/>
      <c r="AE233" s="53" t="n"/>
      <c r="AF233" s="53" t="n"/>
      <c r="AG233" s="53" t="n"/>
      <c r="AH233" s="53" t="n"/>
      <c r="AI233" s="53" t="n"/>
      <c r="AJ233" s="53" t="n"/>
      <c r="AK233" s="53" t="n"/>
      <c r="AL233" s="53" t="n"/>
      <c r="AM233" s="53" t="n"/>
      <c r="AN233" s="53" t="n"/>
      <c r="AO233" s="53" t="n"/>
      <c r="AP233" s="53" t="n"/>
      <c r="AQ233" s="53" t="n"/>
      <c r="AR233" s="53" t="n"/>
      <c r="AS233" s="53" t="n"/>
      <c r="AT233" s="53" t="n"/>
      <c r="AU233" s="53" t="n"/>
      <c r="AV233" s="53" t="n"/>
      <c r="AW233" s="53" t="n"/>
      <c r="AX233" s="53" t="n"/>
      <c r="AY233" s="53" t="n"/>
    </row>
    <row r="234" ht="15" customHeight="1">
      <c r="A234" s="40">
        <f>IF($D$234="","",75)</f>
        <v/>
      </c>
      <c r="B234" s="10" t="n"/>
      <c r="C234" s="41" t="inlineStr">
        <is>
          <t>마케팅4팀</t>
        </is>
      </c>
      <c r="D234" s="42" t="n"/>
      <c r="E234" s="43" t="inlineStr">
        <is>
          <t>기획</t>
        </is>
      </c>
      <c r="F234" s="44" t="n"/>
      <c r="G234" s="45" t="n"/>
      <c r="H234" s="46">
        <f>IF($I$234="","",IF($I$234&lt;0,"🔴지연",IF($I$234&lt;=1,"🟡임박","🟢여유")))</f>
        <v/>
      </c>
      <c r="I234" s="47">
        <f>IF(OR($G$234="",$K$234=""),"",$G$234-$K$234)</f>
        <v/>
      </c>
      <c r="J234" s="48">
        <f>IF(SUM($L$234:$L$236)=0,"",SUM($L$234:$L$236))</f>
        <v/>
      </c>
      <c r="K234" s="49">
        <f>IF($J$234="","",MAX($N$234:$N$236))</f>
        <v/>
      </c>
      <c r="L234" s="50">
        <f>IF(SUM(U234:AY234)=0,"",SUM(U234:AY234))</f>
        <v/>
      </c>
      <c r="M234" s="51">
        <f>IFERROR(INDEX(U$2:AY$2,MATCH(TRUE,INDEX(U234:AY234&lt;&gt;"",0),0)),"")</f>
        <v/>
      </c>
      <c r="N234" s="51">
        <f>IFERROR(LOOKUP(2,1/(U234:AY234&lt;&gt;""),U$2:AY$2),"")</f>
        <v/>
      </c>
      <c r="O234" s="52" t="n"/>
      <c r="P234" s="52" t="n"/>
      <c r="Q234" s="52" t="n"/>
      <c r="R234" s="44" t="n"/>
      <c r="S234" s="14" t="n"/>
      <c r="U234" s="53" t="n"/>
      <c r="V234" s="53" t="n"/>
      <c r="W234" s="53" t="n"/>
      <c r="X234" s="53" t="n"/>
      <c r="Y234" s="53" t="n"/>
      <c r="Z234" s="53" t="n"/>
      <c r="AA234" s="53" t="n"/>
      <c r="AB234" s="53" t="n"/>
      <c r="AC234" s="53" t="n"/>
      <c r="AD234" s="53" t="n"/>
      <c r="AE234" s="53" t="n"/>
      <c r="AF234" s="53" t="n"/>
      <c r="AG234" s="53" t="n"/>
      <c r="AH234" s="53" t="n"/>
      <c r="AI234" s="53" t="n"/>
      <c r="AJ234" s="53" t="n"/>
      <c r="AK234" s="53" t="n"/>
      <c r="AL234" s="53" t="n"/>
      <c r="AM234" s="53" t="n"/>
      <c r="AN234" s="53" t="n"/>
      <c r="AO234" s="53" t="n"/>
      <c r="AP234" s="53" t="n"/>
      <c r="AQ234" s="53" t="n"/>
      <c r="AR234" s="53" t="n"/>
      <c r="AS234" s="53" t="n"/>
      <c r="AT234" s="53" t="n"/>
      <c r="AU234" s="53" t="n"/>
      <c r="AV234" s="53" t="n"/>
      <c r="AW234" s="53" t="n"/>
      <c r="AX234" s="53" t="n"/>
      <c r="AY234" s="53" t="n"/>
    </row>
    <row r="235" ht="15" customHeight="1">
      <c r="A235" s="54" t="n"/>
      <c r="B235" s="55">
        <f>IF($B$234="","",$B$234)</f>
        <v/>
      </c>
      <c r="C235" s="56" t="inlineStr">
        <is>
          <t>마케팅4팀</t>
        </is>
      </c>
      <c r="D235" s="55">
        <f>IF($D$234="","",$D$234)</f>
        <v/>
      </c>
      <c r="E235" s="57" t="inlineStr">
        <is>
          <t>이미지</t>
        </is>
      </c>
      <c r="F235" s="44" t="n"/>
      <c r="G235" s="58">
        <f>IF($G$234="","",$G$234)</f>
        <v/>
      </c>
      <c r="H235" s="59" t="n"/>
      <c r="I235" s="59" t="n"/>
      <c r="J235" s="59" t="n"/>
      <c r="K235" s="59" t="n"/>
      <c r="L235" s="60">
        <f>IF(SUM(U235:AY235)=0,"",SUM(U235:AY235))</f>
        <v/>
      </c>
      <c r="M235" s="61">
        <f>IFERROR(INDEX(U$2:AY$2,MATCH(TRUE,INDEX(U235:AY235&lt;&gt;"",0),0)),"")</f>
        <v/>
      </c>
      <c r="N235" s="61">
        <f>IFERROR(LOOKUP(2,1/(U235:AY235&lt;&gt;""),U$2:AY$2),"")</f>
        <v/>
      </c>
      <c r="O235" s="59" t="n"/>
      <c r="P235" s="59" t="n"/>
      <c r="Q235" s="59" t="n"/>
      <c r="R235" s="59" t="n"/>
      <c r="S235" s="14" t="n"/>
      <c r="U235" s="53" t="n"/>
      <c r="V235" s="53" t="n"/>
      <c r="W235" s="53" t="n"/>
      <c r="X235" s="53" t="n"/>
      <c r="Y235" s="53" t="n"/>
      <c r="Z235" s="53" t="n"/>
      <c r="AA235" s="53" t="n"/>
      <c r="AB235" s="53" t="n"/>
      <c r="AC235" s="53" t="n"/>
      <c r="AD235" s="53" t="n"/>
      <c r="AE235" s="53" t="n"/>
      <c r="AF235" s="53" t="n"/>
      <c r="AG235" s="53" t="n"/>
      <c r="AH235" s="53" t="n"/>
      <c r="AI235" s="53" t="n"/>
      <c r="AJ235" s="53" t="n"/>
      <c r="AK235" s="53" t="n"/>
      <c r="AL235" s="53" t="n"/>
      <c r="AM235" s="53" t="n"/>
      <c r="AN235" s="53" t="n"/>
      <c r="AO235" s="53" t="n"/>
      <c r="AP235" s="53" t="n"/>
      <c r="AQ235" s="53" t="n"/>
      <c r="AR235" s="53" t="n"/>
      <c r="AS235" s="53" t="n"/>
      <c r="AT235" s="53" t="n"/>
      <c r="AU235" s="53" t="n"/>
      <c r="AV235" s="53" t="n"/>
      <c r="AW235" s="53" t="n"/>
      <c r="AX235" s="53" t="n"/>
      <c r="AY235" s="53" t="n"/>
    </row>
    <row r="236" ht="15" customHeight="1">
      <c r="A236" s="62" t="n"/>
      <c r="B236" s="55">
        <f>IF($B$234="","",$B$234)</f>
        <v/>
      </c>
      <c r="C236" s="63" t="inlineStr">
        <is>
          <t>마케팅4팀</t>
        </is>
      </c>
      <c r="D236" s="55">
        <f>IF($D$234="","",$D$234)</f>
        <v/>
      </c>
      <c r="E236" s="64" t="inlineStr">
        <is>
          <t>영상</t>
        </is>
      </c>
      <c r="F236" s="44" t="n"/>
      <c r="G236" s="58">
        <f>IF($G$234="","",$G$234)</f>
        <v/>
      </c>
      <c r="H236" s="59" t="n"/>
      <c r="I236" s="59" t="n"/>
      <c r="J236" s="59" t="n"/>
      <c r="K236" s="59" t="n"/>
      <c r="L236" s="65">
        <f>IF(SUM(U236:AY236)=0,"",SUM(U236:AY236))</f>
        <v/>
      </c>
      <c r="M236" s="66">
        <f>IFERROR(INDEX(U$2:AY$2,MATCH(TRUE,INDEX(U236:AY236&lt;&gt;"",0),0)),"")</f>
        <v/>
      </c>
      <c r="N236" s="66">
        <f>IFERROR(LOOKUP(2,1/(U236:AY236&lt;&gt;""),U$2:AY$2),"")</f>
        <v/>
      </c>
      <c r="O236" s="59" t="n"/>
      <c r="P236" s="59" t="n"/>
      <c r="Q236" s="59" t="n"/>
      <c r="R236" s="59" t="n"/>
      <c r="S236" s="14" t="n"/>
      <c r="U236" s="53" t="n"/>
      <c r="V236" s="53" t="n"/>
      <c r="W236" s="53" t="n"/>
      <c r="X236" s="53" t="n"/>
      <c r="Y236" s="53" t="n"/>
      <c r="Z236" s="53" t="n"/>
      <c r="AA236" s="53" t="n"/>
      <c r="AB236" s="53" t="n"/>
      <c r="AC236" s="53" t="n"/>
      <c r="AD236" s="53" t="n"/>
      <c r="AE236" s="53" t="n"/>
      <c r="AF236" s="53" t="n"/>
      <c r="AG236" s="53" t="n"/>
      <c r="AH236" s="53" t="n"/>
      <c r="AI236" s="53" t="n"/>
      <c r="AJ236" s="53" t="n"/>
      <c r="AK236" s="53" t="n"/>
      <c r="AL236" s="53" t="n"/>
      <c r="AM236" s="53" t="n"/>
      <c r="AN236" s="53" t="n"/>
      <c r="AO236" s="53" t="n"/>
      <c r="AP236" s="53" t="n"/>
      <c r="AQ236" s="53" t="n"/>
      <c r="AR236" s="53" t="n"/>
      <c r="AS236" s="53" t="n"/>
      <c r="AT236" s="53" t="n"/>
      <c r="AU236" s="53" t="n"/>
      <c r="AV236" s="53" t="n"/>
      <c r="AW236" s="53" t="n"/>
      <c r="AX236" s="53" t="n"/>
      <c r="AY236" s="53" t="n"/>
    </row>
    <row r="237" ht="15" customHeight="1">
      <c r="A237" s="40">
        <f>IF($D$237="","",76)</f>
        <v/>
      </c>
      <c r="B237" s="10" t="n"/>
      <c r="C237" s="41" t="inlineStr">
        <is>
          <t>마케팅4팀</t>
        </is>
      </c>
      <c r="D237" s="42" t="n"/>
      <c r="E237" s="43" t="inlineStr">
        <is>
          <t>기획</t>
        </is>
      </c>
      <c r="F237" s="44" t="n"/>
      <c r="G237" s="45" t="n"/>
      <c r="H237" s="46">
        <f>IF($I$237="","",IF($I$237&lt;0,"🔴지연",IF($I$237&lt;=1,"🟡임박","🟢여유")))</f>
        <v/>
      </c>
      <c r="I237" s="47">
        <f>IF(OR($G$237="",$K$237=""),"",$G$237-$K$237)</f>
        <v/>
      </c>
      <c r="J237" s="48">
        <f>IF(SUM($L$237:$L$239)=0,"",SUM($L$237:$L$239))</f>
        <v/>
      </c>
      <c r="K237" s="49">
        <f>IF($J$237="","",MAX($N$237:$N$239))</f>
        <v/>
      </c>
      <c r="L237" s="50">
        <f>IF(SUM(U237:AY237)=0,"",SUM(U237:AY237))</f>
        <v/>
      </c>
      <c r="M237" s="51">
        <f>IFERROR(INDEX(U$2:AY$2,MATCH(TRUE,INDEX(U237:AY237&lt;&gt;"",0),0)),"")</f>
        <v/>
      </c>
      <c r="N237" s="51">
        <f>IFERROR(LOOKUP(2,1/(U237:AY237&lt;&gt;""),U$2:AY$2),"")</f>
        <v/>
      </c>
      <c r="O237" s="52" t="n"/>
      <c r="P237" s="52" t="n"/>
      <c r="Q237" s="52" t="n"/>
      <c r="R237" s="44" t="n"/>
      <c r="S237" s="14" t="n"/>
      <c r="U237" s="53" t="n"/>
      <c r="V237" s="53" t="n"/>
      <c r="W237" s="53" t="n"/>
      <c r="X237" s="53" t="n"/>
      <c r="Y237" s="53" t="n"/>
      <c r="Z237" s="53" t="n"/>
      <c r="AA237" s="53" t="n"/>
      <c r="AB237" s="53" t="n"/>
      <c r="AC237" s="53" t="n"/>
      <c r="AD237" s="53" t="n"/>
      <c r="AE237" s="53" t="n"/>
      <c r="AF237" s="53" t="n"/>
      <c r="AG237" s="53" t="n"/>
      <c r="AH237" s="53" t="n"/>
      <c r="AI237" s="53" t="n"/>
      <c r="AJ237" s="53" t="n"/>
      <c r="AK237" s="53" t="n"/>
      <c r="AL237" s="53" t="n"/>
      <c r="AM237" s="53" t="n"/>
      <c r="AN237" s="53" t="n"/>
      <c r="AO237" s="53" t="n"/>
      <c r="AP237" s="53" t="n"/>
      <c r="AQ237" s="53" t="n"/>
      <c r="AR237" s="53" t="n"/>
      <c r="AS237" s="53" t="n"/>
      <c r="AT237" s="53" t="n"/>
      <c r="AU237" s="53" t="n"/>
      <c r="AV237" s="53" t="n"/>
      <c r="AW237" s="53" t="n"/>
      <c r="AX237" s="53" t="n"/>
      <c r="AY237" s="53" t="n"/>
    </row>
    <row r="238" ht="15" customHeight="1">
      <c r="A238" s="54" t="n"/>
      <c r="B238" s="55">
        <f>IF($B$237="","",$B$237)</f>
        <v/>
      </c>
      <c r="C238" s="56" t="inlineStr">
        <is>
          <t>마케팅4팀</t>
        </is>
      </c>
      <c r="D238" s="55">
        <f>IF($D$237="","",$D$237)</f>
        <v/>
      </c>
      <c r="E238" s="57" t="inlineStr">
        <is>
          <t>이미지</t>
        </is>
      </c>
      <c r="F238" s="44" t="n"/>
      <c r="G238" s="58">
        <f>IF($G$237="","",$G$237)</f>
        <v/>
      </c>
      <c r="H238" s="59" t="n"/>
      <c r="I238" s="59" t="n"/>
      <c r="J238" s="59" t="n"/>
      <c r="K238" s="59" t="n"/>
      <c r="L238" s="60">
        <f>IF(SUM(U238:AY238)=0,"",SUM(U238:AY238))</f>
        <v/>
      </c>
      <c r="M238" s="61">
        <f>IFERROR(INDEX(U$2:AY$2,MATCH(TRUE,INDEX(U238:AY238&lt;&gt;"",0),0)),"")</f>
        <v/>
      </c>
      <c r="N238" s="61">
        <f>IFERROR(LOOKUP(2,1/(U238:AY238&lt;&gt;""),U$2:AY$2),"")</f>
        <v/>
      </c>
      <c r="O238" s="59" t="n"/>
      <c r="P238" s="59" t="n"/>
      <c r="Q238" s="59" t="n"/>
      <c r="R238" s="59" t="n"/>
      <c r="S238" s="14" t="n"/>
      <c r="U238" s="53" t="n"/>
      <c r="V238" s="53" t="n"/>
      <c r="W238" s="53" t="n"/>
      <c r="X238" s="53" t="n"/>
      <c r="Y238" s="53" t="n"/>
      <c r="Z238" s="53" t="n"/>
      <c r="AA238" s="53" t="n"/>
      <c r="AB238" s="53" t="n"/>
      <c r="AC238" s="53" t="n"/>
      <c r="AD238" s="53" t="n"/>
      <c r="AE238" s="53" t="n"/>
      <c r="AF238" s="53" t="n"/>
      <c r="AG238" s="53" t="n"/>
      <c r="AH238" s="53" t="n"/>
      <c r="AI238" s="53" t="n"/>
      <c r="AJ238" s="53" t="n"/>
      <c r="AK238" s="53" t="n"/>
      <c r="AL238" s="53" t="n"/>
      <c r="AM238" s="53" t="n"/>
      <c r="AN238" s="53" t="n"/>
      <c r="AO238" s="53" t="n"/>
      <c r="AP238" s="53" t="n"/>
      <c r="AQ238" s="53" t="n"/>
      <c r="AR238" s="53" t="n"/>
      <c r="AS238" s="53" t="n"/>
      <c r="AT238" s="53" t="n"/>
      <c r="AU238" s="53" t="n"/>
      <c r="AV238" s="53" t="n"/>
      <c r="AW238" s="53" t="n"/>
      <c r="AX238" s="53" t="n"/>
      <c r="AY238" s="53" t="n"/>
    </row>
    <row r="239" ht="15" customHeight="1">
      <c r="A239" s="62" t="n"/>
      <c r="B239" s="55">
        <f>IF($B$237="","",$B$237)</f>
        <v/>
      </c>
      <c r="C239" s="63" t="inlineStr">
        <is>
          <t>마케팅4팀</t>
        </is>
      </c>
      <c r="D239" s="55">
        <f>IF($D$237="","",$D$237)</f>
        <v/>
      </c>
      <c r="E239" s="64" t="inlineStr">
        <is>
          <t>영상</t>
        </is>
      </c>
      <c r="F239" s="44" t="n"/>
      <c r="G239" s="58">
        <f>IF($G$237="","",$G$237)</f>
        <v/>
      </c>
      <c r="H239" s="59" t="n"/>
      <c r="I239" s="59" t="n"/>
      <c r="J239" s="59" t="n"/>
      <c r="K239" s="59" t="n"/>
      <c r="L239" s="65">
        <f>IF(SUM(U239:AY239)=0,"",SUM(U239:AY239))</f>
        <v/>
      </c>
      <c r="M239" s="66">
        <f>IFERROR(INDEX(U$2:AY$2,MATCH(TRUE,INDEX(U239:AY239&lt;&gt;"",0),0)),"")</f>
        <v/>
      </c>
      <c r="N239" s="66">
        <f>IFERROR(LOOKUP(2,1/(U239:AY239&lt;&gt;""),U$2:AY$2),"")</f>
        <v/>
      </c>
      <c r="O239" s="59" t="n"/>
      <c r="P239" s="59" t="n"/>
      <c r="Q239" s="59" t="n"/>
      <c r="R239" s="59" t="n"/>
      <c r="S239" s="14" t="n"/>
      <c r="U239" s="53" t="n"/>
      <c r="V239" s="53" t="n"/>
      <c r="W239" s="53" t="n"/>
      <c r="X239" s="53" t="n"/>
      <c r="Y239" s="53" t="n"/>
      <c r="Z239" s="53" t="n"/>
      <c r="AA239" s="53" t="n"/>
      <c r="AB239" s="53" t="n"/>
      <c r="AC239" s="53" t="n"/>
      <c r="AD239" s="53" t="n"/>
      <c r="AE239" s="53" t="n"/>
      <c r="AF239" s="53" t="n"/>
      <c r="AG239" s="53" t="n"/>
      <c r="AH239" s="53" t="n"/>
      <c r="AI239" s="53" t="n"/>
      <c r="AJ239" s="53" t="n"/>
      <c r="AK239" s="53" t="n"/>
      <c r="AL239" s="53" t="n"/>
      <c r="AM239" s="53" t="n"/>
      <c r="AN239" s="53" t="n"/>
      <c r="AO239" s="53" t="n"/>
      <c r="AP239" s="53" t="n"/>
      <c r="AQ239" s="53" t="n"/>
      <c r="AR239" s="53" t="n"/>
      <c r="AS239" s="53" t="n"/>
      <c r="AT239" s="53" t="n"/>
      <c r="AU239" s="53" t="n"/>
      <c r="AV239" s="53" t="n"/>
      <c r="AW239" s="53" t="n"/>
      <c r="AX239" s="53" t="n"/>
      <c r="AY239" s="53" t="n"/>
    </row>
    <row r="240" ht="15" customHeight="1">
      <c r="A240" s="40">
        <f>IF($D$240="","",77)</f>
        <v/>
      </c>
      <c r="B240" s="10" t="n"/>
      <c r="C240" s="41" t="inlineStr">
        <is>
          <t>마케팅4팀</t>
        </is>
      </c>
      <c r="D240" s="42" t="n"/>
      <c r="E240" s="43" t="inlineStr">
        <is>
          <t>기획</t>
        </is>
      </c>
      <c r="F240" s="44" t="n"/>
      <c r="G240" s="45" t="n"/>
      <c r="H240" s="46">
        <f>IF($I$240="","",IF($I$240&lt;0,"🔴지연",IF($I$240&lt;=1,"🟡임박","🟢여유")))</f>
        <v/>
      </c>
      <c r="I240" s="47">
        <f>IF(OR($G$240="",$K$240=""),"",$G$240-$K$240)</f>
        <v/>
      </c>
      <c r="J240" s="48">
        <f>IF(SUM($L$240:$L$242)=0,"",SUM($L$240:$L$242))</f>
        <v/>
      </c>
      <c r="K240" s="49">
        <f>IF($J$240="","",MAX($N$240:$N$242))</f>
        <v/>
      </c>
      <c r="L240" s="50">
        <f>IF(SUM(U240:AY240)=0,"",SUM(U240:AY240))</f>
        <v/>
      </c>
      <c r="M240" s="51">
        <f>IFERROR(INDEX(U$2:AY$2,MATCH(TRUE,INDEX(U240:AY240&lt;&gt;"",0),0)),"")</f>
        <v/>
      </c>
      <c r="N240" s="51">
        <f>IFERROR(LOOKUP(2,1/(U240:AY240&lt;&gt;""),U$2:AY$2),"")</f>
        <v/>
      </c>
      <c r="O240" s="52" t="n"/>
      <c r="P240" s="52" t="n"/>
      <c r="Q240" s="52" t="n"/>
      <c r="R240" s="44" t="n"/>
      <c r="S240" s="14" t="n"/>
      <c r="U240" s="53" t="n"/>
      <c r="V240" s="53" t="n"/>
      <c r="W240" s="53" t="n"/>
      <c r="X240" s="53" t="n"/>
      <c r="Y240" s="53" t="n"/>
      <c r="Z240" s="53" t="n"/>
      <c r="AA240" s="53" t="n"/>
      <c r="AB240" s="53" t="n"/>
      <c r="AC240" s="53" t="n"/>
      <c r="AD240" s="53" t="n"/>
      <c r="AE240" s="53" t="n"/>
      <c r="AF240" s="53" t="n"/>
      <c r="AG240" s="53" t="n"/>
      <c r="AH240" s="53" t="n"/>
      <c r="AI240" s="53" t="n"/>
      <c r="AJ240" s="53" t="n"/>
      <c r="AK240" s="53" t="n"/>
      <c r="AL240" s="53" t="n"/>
      <c r="AM240" s="53" t="n"/>
      <c r="AN240" s="53" t="n"/>
      <c r="AO240" s="53" t="n"/>
      <c r="AP240" s="53" t="n"/>
      <c r="AQ240" s="53" t="n"/>
      <c r="AR240" s="53" t="n"/>
      <c r="AS240" s="53" t="n"/>
      <c r="AT240" s="53" t="n"/>
      <c r="AU240" s="53" t="n"/>
      <c r="AV240" s="53" t="n"/>
      <c r="AW240" s="53" t="n"/>
      <c r="AX240" s="53" t="n"/>
      <c r="AY240" s="53" t="n"/>
    </row>
    <row r="241" ht="15" customHeight="1">
      <c r="A241" s="54" t="n"/>
      <c r="B241" s="55">
        <f>IF($B$240="","",$B$240)</f>
        <v/>
      </c>
      <c r="C241" s="56" t="inlineStr">
        <is>
          <t>마케팅4팀</t>
        </is>
      </c>
      <c r="D241" s="55">
        <f>IF($D$240="","",$D$240)</f>
        <v/>
      </c>
      <c r="E241" s="57" t="inlineStr">
        <is>
          <t>이미지</t>
        </is>
      </c>
      <c r="F241" s="44" t="n"/>
      <c r="G241" s="58">
        <f>IF($G$240="","",$G$240)</f>
        <v/>
      </c>
      <c r="H241" s="59" t="n"/>
      <c r="I241" s="59" t="n"/>
      <c r="J241" s="59" t="n"/>
      <c r="K241" s="59" t="n"/>
      <c r="L241" s="60">
        <f>IF(SUM(U241:AY241)=0,"",SUM(U241:AY241))</f>
        <v/>
      </c>
      <c r="M241" s="61">
        <f>IFERROR(INDEX(U$2:AY$2,MATCH(TRUE,INDEX(U241:AY241&lt;&gt;"",0),0)),"")</f>
        <v/>
      </c>
      <c r="N241" s="61">
        <f>IFERROR(LOOKUP(2,1/(U241:AY241&lt;&gt;""),U$2:AY$2),"")</f>
        <v/>
      </c>
      <c r="O241" s="59" t="n"/>
      <c r="P241" s="59" t="n"/>
      <c r="Q241" s="59" t="n"/>
      <c r="R241" s="59" t="n"/>
      <c r="S241" s="14" t="n"/>
      <c r="U241" s="53" t="n"/>
      <c r="V241" s="53" t="n"/>
      <c r="W241" s="53" t="n"/>
      <c r="X241" s="53" t="n"/>
      <c r="Y241" s="53" t="n"/>
      <c r="Z241" s="53" t="n"/>
      <c r="AA241" s="53" t="n"/>
      <c r="AB241" s="53" t="n"/>
      <c r="AC241" s="53" t="n"/>
      <c r="AD241" s="53" t="n"/>
      <c r="AE241" s="53" t="n"/>
      <c r="AF241" s="53" t="n"/>
      <c r="AG241" s="53" t="n"/>
      <c r="AH241" s="53" t="n"/>
      <c r="AI241" s="53" t="n"/>
      <c r="AJ241" s="53" t="n"/>
      <c r="AK241" s="53" t="n"/>
      <c r="AL241" s="53" t="n"/>
      <c r="AM241" s="53" t="n"/>
      <c r="AN241" s="53" t="n"/>
      <c r="AO241" s="53" t="n"/>
      <c r="AP241" s="53" t="n"/>
      <c r="AQ241" s="53" t="n"/>
      <c r="AR241" s="53" t="n"/>
      <c r="AS241" s="53" t="n"/>
      <c r="AT241" s="53" t="n"/>
      <c r="AU241" s="53" t="n"/>
      <c r="AV241" s="53" t="n"/>
      <c r="AW241" s="53" t="n"/>
      <c r="AX241" s="53" t="n"/>
      <c r="AY241" s="53" t="n"/>
    </row>
    <row r="242" ht="15" customHeight="1">
      <c r="A242" s="62" t="n"/>
      <c r="B242" s="55">
        <f>IF($B$240="","",$B$240)</f>
        <v/>
      </c>
      <c r="C242" s="63" t="inlineStr">
        <is>
          <t>마케팅4팀</t>
        </is>
      </c>
      <c r="D242" s="55">
        <f>IF($D$240="","",$D$240)</f>
        <v/>
      </c>
      <c r="E242" s="64" t="inlineStr">
        <is>
          <t>영상</t>
        </is>
      </c>
      <c r="F242" s="44" t="n"/>
      <c r="G242" s="58">
        <f>IF($G$240="","",$G$240)</f>
        <v/>
      </c>
      <c r="H242" s="59" t="n"/>
      <c r="I242" s="59" t="n"/>
      <c r="J242" s="59" t="n"/>
      <c r="K242" s="59" t="n"/>
      <c r="L242" s="65">
        <f>IF(SUM(U242:AY242)=0,"",SUM(U242:AY242))</f>
        <v/>
      </c>
      <c r="M242" s="66">
        <f>IFERROR(INDEX(U$2:AY$2,MATCH(TRUE,INDEX(U242:AY242&lt;&gt;"",0),0)),"")</f>
        <v/>
      </c>
      <c r="N242" s="66">
        <f>IFERROR(LOOKUP(2,1/(U242:AY242&lt;&gt;""),U$2:AY$2),"")</f>
        <v/>
      </c>
      <c r="O242" s="59" t="n"/>
      <c r="P242" s="59" t="n"/>
      <c r="Q242" s="59" t="n"/>
      <c r="R242" s="59" t="n"/>
      <c r="S242" s="14" t="n"/>
      <c r="U242" s="53" t="n"/>
      <c r="V242" s="53" t="n"/>
      <c r="W242" s="53" t="n"/>
      <c r="X242" s="53" t="n"/>
      <c r="Y242" s="53" t="n"/>
      <c r="Z242" s="53" t="n"/>
      <c r="AA242" s="53" t="n"/>
      <c r="AB242" s="53" t="n"/>
      <c r="AC242" s="53" t="n"/>
      <c r="AD242" s="53" t="n"/>
      <c r="AE242" s="53" t="n"/>
      <c r="AF242" s="53" t="n"/>
      <c r="AG242" s="53" t="n"/>
      <c r="AH242" s="53" t="n"/>
      <c r="AI242" s="53" t="n"/>
      <c r="AJ242" s="53" t="n"/>
      <c r="AK242" s="53" t="n"/>
      <c r="AL242" s="53" t="n"/>
      <c r="AM242" s="53" t="n"/>
      <c r="AN242" s="53" t="n"/>
      <c r="AO242" s="53" t="n"/>
      <c r="AP242" s="53" t="n"/>
      <c r="AQ242" s="53" t="n"/>
      <c r="AR242" s="53" t="n"/>
      <c r="AS242" s="53" t="n"/>
      <c r="AT242" s="53" t="n"/>
      <c r="AU242" s="53" t="n"/>
      <c r="AV242" s="53" t="n"/>
      <c r="AW242" s="53" t="n"/>
      <c r="AX242" s="53" t="n"/>
      <c r="AY242" s="53" t="n"/>
    </row>
    <row r="243" ht="15" customHeight="1">
      <c r="A243" s="40">
        <f>IF($D$243="","",78)</f>
        <v/>
      </c>
      <c r="B243" s="10" t="n"/>
      <c r="C243" s="41" t="inlineStr">
        <is>
          <t>마케팅4팀</t>
        </is>
      </c>
      <c r="D243" s="42" t="n"/>
      <c r="E243" s="43" t="inlineStr">
        <is>
          <t>기획</t>
        </is>
      </c>
      <c r="F243" s="44" t="n"/>
      <c r="G243" s="45" t="n"/>
      <c r="H243" s="46">
        <f>IF($I$243="","",IF($I$243&lt;0,"🔴지연",IF($I$243&lt;=1,"🟡임박","🟢여유")))</f>
        <v/>
      </c>
      <c r="I243" s="47">
        <f>IF(OR($G$243="",$K$243=""),"",$G$243-$K$243)</f>
        <v/>
      </c>
      <c r="J243" s="48">
        <f>IF(SUM($L$243:$L$245)=0,"",SUM($L$243:$L$245))</f>
        <v/>
      </c>
      <c r="K243" s="49">
        <f>IF($J$243="","",MAX($N$243:$N$245))</f>
        <v/>
      </c>
      <c r="L243" s="50">
        <f>IF(SUM(U243:AY243)=0,"",SUM(U243:AY243))</f>
        <v/>
      </c>
      <c r="M243" s="51">
        <f>IFERROR(INDEX(U$2:AY$2,MATCH(TRUE,INDEX(U243:AY243&lt;&gt;"",0),0)),"")</f>
        <v/>
      </c>
      <c r="N243" s="51">
        <f>IFERROR(LOOKUP(2,1/(U243:AY243&lt;&gt;""),U$2:AY$2),"")</f>
        <v/>
      </c>
      <c r="O243" s="52" t="n"/>
      <c r="P243" s="52" t="n"/>
      <c r="Q243" s="52" t="n"/>
      <c r="R243" s="44" t="n"/>
      <c r="S243" s="14" t="n"/>
      <c r="U243" s="53" t="n"/>
      <c r="V243" s="53" t="n"/>
      <c r="W243" s="53" t="n"/>
      <c r="X243" s="53" t="n"/>
      <c r="Y243" s="53" t="n"/>
      <c r="Z243" s="53" t="n"/>
      <c r="AA243" s="53" t="n"/>
      <c r="AB243" s="53" t="n"/>
      <c r="AC243" s="53" t="n"/>
      <c r="AD243" s="53" t="n"/>
      <c r="AE243" s="53" t="n"/>
      <c r="AF243" s="53" t="n"/>
      <c r="AG243" s="53" t="n"/>
      <c r="AH243" s="53" t="n"/>
      <c r="AI243" s="53" t="n"/>
      <c r="AJ243" s="53" t="n"/>
      <c r="AK243" s="53" t="n"/>
      <c r="AL243" s="53" t="n"/>
      <c r="AM243" s="53" t="n"/>
      <c r="AN243" s="53" t="n"/>
      <c r="AO243" s="53" t="n"/>
      <c r="AP243" s="53" t="n"/>
      <c r="AQ243" s="53" t="n"/>
      <c r="AR243" s="53" t="n"/>
      <c r="AS243" s="53" t="n"/>
      <c r="AT243" s="53" t="n"/>
      <c r="AU243" s="53" t="n"/>
      <c r="AV243" s="53" t="n"/>
      <c r="AW243" s="53" t="n"/>
      <c r="AX243" s="53" t="n"/>
      <c r="AY243" s="53" t="n"/>
    </row>
    <row r="244" ht="15" customHeight="1">
      <c r="A244" s="54" t="n"/>
      <c r="B244" s="55">
        <f>IF($B$243="","",$B$243)</f>
        <v/>
      </c>
      <c r="C244" s="56" t="inlineStr">
        <is>
          <t>마케팅4팀</t>
        </is>
      </c>
      <c r="D244" s="55">
        <f>IF($D$243="","",$D$243)</f>
        <v/>
      </c>
      <c r="E244" s="57" t="inlineStr">
        <is>
          <t>이미지</t>
        </is>
      </c>
      <c r="F244" s="44" t="n"/>
      <c r="G244" s="58">
        <f>IF($G$243="","",$G$243)</f>
        <v/>
      </c>
      <c r="H244" s="59" t="n"/>
      <c r="I244" s="59" t="n"/>
      <c r="J244" s="59" t="n"/>
      <c r="K244" s="59" t="n"/>
      <c r="L244" s="60">
        <f>IF(SUM(U244:AY244)=0,"",SUM(U244:AY244))</f>
        <v/>
      </c>
      <c r="M244" s="61">
        <f>IFERROR(INDEX(U$2:AY$2,MATCH(TRUE,INDEX(U244:AY244&lt;&gt;"",0),0)),"")</f>
        <v/>
      </c>
      <c r="N244" s="61">
        <f>IFERROR(LOOKUP(2,1/(U244:AY244&lt;&gt;""),U$2:AY$2),"")</f>
        <v/>
      </c>
      <c r="O244" s="59" t="n"/>
      <c r="P244" s="59" t="n"/>
      <c r="Q244" s="59" t="n"/>
      <c r="R244" s="59" t="n"/>
      <c r="S244" s="14" t="n"/>
      <c r="U244" s="53" t="n"/>
      <c r="V244" s="53" t="n"/>
      <c r="W244" s="53" t="n"/>
      <c r="X244" s="53" t="n"/>
      <c r="Y244" s="53" t="n"/>
      <c r="Z244" s="53" t="n"/>
      <c r="AA244" s="53" t="n"/>
      <c r="AB244" s="53" t="n"/>
      <c r="AC244" s="53" t="n"/>
      <c r="AD244" s="53" t="n"/>
      <c r="AE244" s="53" t="n"/>
      <c r="AF244" s="53" t="n"/>
      <c r="AG244" s="53" t="n"/>
      <c r="AH244" s="53" t="n"/>
      <c r="AI244" s="53" t="n"/>
      <c r="AJ244" s="53" t="n"/>
      <c r="AK244" s="53" t="n"/>
      <c r="AL244" s="53" t="n"/>
      <c r="AM244" s="53" t="n"/>
      <c r="AN244" s="53" t="n"/>
      <c r="AO244" s="53" t="n"/>
      <c r="AP244" s="53" t="n"/>
      <c r="AQ244" s="53" t="n"/>
      <c r="AR244" s="53" t="n"/>
      <c r="AS244" s="53" t="n"/>
      <c r="AT244" s="53" t="n"/>
      <c r="AU244" s="53" t="n"/>
      <c r="AV244" s="53" t="n"/>
      <c r="AW244" s="53" t="n"/>
      <c r="AX244" s="53" t="n"/>
      <c r="AY244" s="53" t="n"/>
    </row>
    <row r="245" ht="15" customHeight="1">
      <c r="A245" s="62" t="n"/>
      <c r="B245" s="55">
        <f>IF($B$243="","",$B$243)</f>
        <v/>
      </c>
      <c r="C245" s="63" t="inlineStr">
        <is>
          <t>마케팅4팀</t>
        </is>
      </c>
      <c r="D245" s="55">
        <f>IF($D$243="","",$D$243)</f>
        <v/>
      </c>
      <c r="E245" s="64" t="inlineStr">
        <is>
          <t>영상</t>
        </is>
      </c>
      <c r="F245" s="44" t="n"/>
      <c r="G245" s="58">
        <f>IF($G$243="","",$G$243)</f>
        <v/>
      </c>
      <c r="H245" s="59" t="n"/>
      <c r="I245" s="59" t="n"/>
      <c r="J245" s="59" t="n"/>
      <c r="K245" s="59" t="n"/>
      <c r="L245" s="65">
        <f>IF(SUM(U245:AY245)=0,"",SUM(U245:AY245))</f>
        <v/>
      </c>
      <c r="M245" s="66">
        <f>IFERROR(INDEX(U$2:AY$2,MATCH(TRUE,INDEX(U245:AY245&lt;&gt;"",0),0)),"")</f>
        <v/>
      </c>
      <c r="N245" s="66">
        <f>IFERROR(LOOKUP(2,1/(U245:AY245&lt;&gt;""),U$2:AY$2),"")</f>
        <v/>
      </c>
      <c r="O245" s="59" t="n"/>
      <c r="P245" s="59" t="n"/>
      <c r="Q245" s="59" t="n"/>
      <c r="R245" s="59" t="n"/>
      <c r="S245" s="14" t="n"/>
      <c r="U245" s="53" t="n"/>
      <c r="V245" s="53" t="n"/>
      <c r="W245" s="53" t="n"/>
      <c r="X245" s="53" t="n"/>
      <c r="Y245" s="53" t="n"/>
      <c r="Z245" s="53" t="n"/>
      <c r="AA245" s="53" t="n"/>
      <c r="AB245" s="53" t="n"/>
      <c r="AC245" s="53" t="n"/>
      <c r="AD245" s="53" t="n"/>
      <c r="AE245" s="53" t="n"/>
      <c r="AF245" s="53" t="n"/>
      <c r="AG245" s="53" t="n"/>
      <c r="AH245" s="53" t="n"/>
      <c r="AI245" s="53" t="n"/>
      <c r="AJ245" s="53" t="n"/>
      <c r="AK245" s="53" t="n"/>
      <c r="AL245" s="53" t="n"/>
      <c r="AM245" s="53" t="n"/>
      <c r="AN245" s="53" t="n"/>
      <c r="AO245" s="53" t="n"/>
      <c r="AP245" s="53" t="n"/>
      <c r="AQ245" s="53" t="n"/>
      <c r="AR245" s="53" t="n"/>
      <c r="AS245" s="53" t="n"/>
      <c r="AT245" s="53" t="n"/>
      <c r="AU245" s="53" t="n"/>
      <c r="AV245" s="53" t="n"/>
      <c r="AW245" s="53" t="n"/>
      <c r="AX245" s="53" t="n"/>
      <c r="AY245" s="53" t="n"/>
    </row>
    <row r="246" ht="15" customHeight="1">
      <c r="A246" s="40">
        <f>IF($D$246="","",79)</f>
        <v/>
      </c>
      <c r="B246" s="10" t="n"/>
      <c r="C246" s="41" t="inlineStr">
        <is>
          <t>마케팅4팀</t>
        </is>
      </c>
      <c r="D246" s="42" t="n"/>
      <c r="E246" s="43" t="inlineStr">
        <is>
          <t>기획</t>
        </is>
      </c>
      <c r="F246" s="44" t="n"/>
      <c r="G246" s="45" t="n"/>
      <c r="H246" s="46">
        <f>IF($I$246="","",IF($I$246&lt;0,"🔴지연",IF($I$246&lt;=1,"🟡임박","🟢여유")))</f>
        <v/>
      </c>
      <c r="I246" s="47">
        <f>IF(OR($G$246="",$K$246=""),"",$G$246-$K$246)</f>
        <v/>
      </c>
      <c r="J246" s="48">
        <f>IF(SUM($L$246:$L$248)=0,"",SUM($L$246:$L$248))</f>
        <v/>
      </c>
      <c r="K246" s="49">
        <f>IF($J$246="","",MAX($N$246:$N$248))</f>
        <v/>
      </c>
      <c r="L246" s="50">
        <f>IF(SUM(U246:AY246)=0,"",SUM(U246:AY246))</f>
        <v/>
      </c>
      <c r="M246" s="51">
        <f>IFERROR(INDEX(U$2:AY$2,MATCH(TRUE,INDEX(U246:AY246&lt;&gt;"",0),0)),"")</f>
        <v/>
      </c>
      <c r="N246" s="51">
        <f>IFERROR(LOOKUP(2,1/(U246:AY246&lt;&gt;""),U$2:AY$2),"")</f>
        <v/>
      </c>
      <c r="O246" s="52" t="n"/>
      <c r="P246" s="52" t="n"/>
      <c r="Q246" s="52" t="n"/>
      <c r="R246" s="44" t="n"/>
      <c r="S246" s="14" t="n"/>
      <c r="U246" s="53" t="n"/>
      <c r="V246" s="53" t="n"/>
      <c r="W246" s="53" t="n"/>
      <c r="X246" s="53" t="n"/>
      <c r="Y246" s="53" t="n"/>
      <c r="Z246" s="53" t="n"/>
      <c r="AA246" s="53" t="n"/>
      <c r="AB246" s="53" t="n"/>
      <c r="AC246" s="53" t="n"/>
      <c r="AD246" s="53" t="n"/>
      <c r="AE246" s="53" t="n"/>
      <c r="AF246" s="53" t="n"/>
      <c r="AG246" s="53" t="n"/>
      <c r="AH246" s="53" t="n"/>
      <c r="AI246" s="53" t="n"/>
      <c r="AJ246" s="53" t="n"/>
      <c r="AK246" s="53" t="n"/>
      <c r="AL246" s="53" t="n"/>
      <c r="AM246" s="53" t="n"/>
      <c r="AN246" s="53" t="n"/>
      <c r="AO246" s="53" t="n"/>
      <c r="AP246" s="53" t="n"/>
      <c r="AQ246" s="53" t="n"/>
      <c r="AR246" s="53" t="n"/>
      <c r="AS246" s="53" t="n"/>
      <c r="AT246" s="53" t="n"/>
      <c r="AU246" s="53" t="n"/>
      <c r="AV246" s="53" t="n"/>
      <c r="AW246" s="53" t="n"/>
      <c r="AX246" s="53" t="n"/>
      <c r="AY246" s="53" t="n"/>
    </row>
    <row r="247" ht="15" customHeight="1">
      <c r="A247" s="54" t="n"/>
      <c r="B247" s="55">
        <f>IF($B$246="","",$B$246)</f>
        <v/>
      </c>
      <c r="C247" s="56" t="inlineStr">
        <is>
          <t>마케팅4팀</t>
        </is>
      </c>
      <c r="D247" s="55">
        <f>IF($D$246="","",$D$246)</f>
        <v/>
      </c>
      <c r="E247" s="57" t="inlineStr">
        <is>
          <t>이미지</t>
        </is>
      </c>
      <c r="F247" s="44" t="n"/>
      <c r="G247" s="58">
        <f>IF($G$246="","",$G$246)</f>
        <v/>
      </c>
      <c r="H247" s="59" t="n"/>
      <c r="I247" s="59" t="n"/>
      <c r="J247" s="59" t="n"/>
      <c r="K247" s="59" t="n"/>
      <c r="L247" s="60">
        <f>IF(SUM(U247:AY247)=0,"",SUM(U247:AY247))</f>
        <v/>
      </c>
      <c r="M247" s="61">
        <f>IFERROR(INDEX(U$2:AY$2,MATCH(TRUE,INDEX(U247:AY247&lt;&gt;"",0),0)),"")</f>
        <v/>
      </c>
      <c r="N247" s="61">
        <f>IFERROR(LOOKUP(2,1/(U247:AY247&lt;&gt;""),U$2:AY$2),"")</f>
        <v/>
      </c>
      <c r="O247" s="59" t="n"/>
      <c r="P247" s="59" t="n"/>
      <c r="Q247" s="59" t="n"/>
      <c r="R247" s="59" t="n"/>
      <c r="S247" s="14" t="n"/>
      <c r="U247" s="53" t="n"/>
      <c r="V247" s="53" t="n"/>
      <c r="W247" s="53" t="n"/>
      <c r="X247" s="53" t="n"/>
      <c r="Y247" s="53" t="n"/>
      <c r="Z247" s="53" t="n"/>
      <c r="AA247" s="53" t="n"/>
      <c r="AB247" s="53" t="n"/>
      <c r="AC247" s="53" t="n"/>
      <c r="AD247" s="53" t="n"/>
      <c r="AE247" s="53" t="n"/>
      <c r="AF247" s="53" t="n"/>
      <c r="AG247" s="53" t="n"/>
      <c r="AH247" s="53" t="n"/>
      <c r="AI247" s="53" t="n"/>
      <c r="AJ247" s="53" t="n"/>
      <c r="AK247" s="53" t="n"/>
      <c r="AL247" s="53" t="n"/>
      <c r="AM247" s="53" t="n"/>
      <c r="AN247" s="53" t="n"/>
      <c r="AO247" s="53" t="n"/>
      <c r="AP247" s="53" t="n"/>
      <c r="AQ247" s="53" t="n"/>
      <c r="AR247" s="53" t="n"/>
      <c r="AS247" s="53" t="n"/>
      <c r="AT247" s="53" t="n"/>
      <c r="AU247" s="53" t="n"/>
      <c r="AV247" s="53" t="n"/>
      <c r="AW247" s="53" t="n"/>
      <c r="AX247" s="53" t="n"/>
      <c r="AY247" s="53" t="n"/>
    </row>
    <row r="248" ht="15" customHeight="1">
      <c r="A248" s="62" t="n"/>
      <c r="B248" s="55">
        <f>IF($B$246="","",$B$246)</f>
        <v/>
      </c>
      <c r="C248" s="63" t="inlineStr">
        <is>
          <t>마케팅4팀</t>
        </is>
      </c>
      <c r="D248" s="55">
        <f>IF($D$246="","",$D$246)</f>
        <v/>
      </c>
      <c r="E248" s="64" t="inlineStr">
        <is>
          <t>영상</t>
        </is>
      </c>
      <c r="F248" s="44" t="n"/>
      <c r="G248" s="58">
        <f>IF($G$246="","",$G$246)</f>
        <v/>
      </c>
      <c r="H248" s="59" t="n"/>
      <c r="I248" s="59" t="n"/>
      <c r="J248" s="59" t="n"/>
      <c r="K248" s="59" t="n"/>
      <c r="L248" s="65">
        <f>IF(SUM(U248:AY248)=0,"",SUM(U248:AY248))</f>
        <v/>
      </c>
      <c r="M248" s="66">
        <f>IFERROR(INDEX(U$2:AY$2,MATCH(TRUE,INDEX(U248:AY248&lt;&gt;"",0),0)),"")</f>
        <v/>
      </c>
      <c r="N248" s="66">
        <f>IFERROR(LOOKUP(2,1/(U248:AY248&lt;&gt;""),U$2:AY$2),"")</f>
        <v/>
      </c>
      <c r="O248" s="59" t="n"/>
      <c r="P248" s="59" t="n"/>
      <c r="Q248" s="59" t="n"/>
      <c r="R248" s="59" t="n"/>
      <c r="S248" s="14" t="n"/>
      <c r="U248" s="53" t="n"/>
      <c r="V248" s="53" t="n"/>
      <c r="W248" s="53" t="n"/>
      <c r="X248" s="53" t="n"/>
      <c r="Y248" s="53" t="n"/>
      <c r="Z248" s="53" t="n"/>
      <c r="AA248" s="53" t="n"/>
      <c r="AB248" s="53" t="n"/>
      <c r="AC248" s="53" t="n"/>
      <c r="AD248" s="53" t="n"/>
      <c r="AE248" s="53" t="n"/>
      <c r="AF248" s="53" t="n"/>
      <c r="AG248" s="53" t="n"/>
      <c r="AH248" s="53" t="n"/>
      <c r="AI248" s="53" t="n"/>
      <c r="AJ248" s="53" t="n"/>
      <c r="AK248" s="53" t="n"/>
      <c r="AL248" s="53" t="n"/>
      <c r="AM248" s="53" t="n"/>
      <c r="AN248" s="53" t="n"/>
      <c r="AO248" s="53" t="n"/>
      <c r="AP248" s="53" t="n"/>
      <c r="AQ248" s="53" t="n"/>
      <c r="AR248" s="53" t="n"/>
      <c r="AS248" s="53" t="n"/>
      <c r="AT248" s="53" t="n"/>
      <c r="AU248" s="53" t="n"/>
      <c r="AV248" s="53" t="n"/>
      <c r="AW248" s="53" t="n"/>
      <c r="AX248" s="53" t="n"/>
      <c r="AY248" s="53" t="n"/>
    </row>
    <row r="249" ht="15" customHeight="1">
      <c r="A249" s="40">
        <f>IF($D$249="","",80)</f>
        <v/>
      </c>
      <c r="B249" s="10" t="n"/>
      <c r="C249" s="41" t="inlineStr">
        <is>
          <t>마케팅4팀</t>
        </is>
      </c>
      <c r="D249" s="42" t="n"/>
      <c r="E249" s="43" t="inlineStr">
        <is>
          <t>기획</t>
        </is>
      </c>
      <c r="F249" s="44" t="n"/>
      <c r="G249" s="45" t="n"/>
      <c r="H249" s="46">
        <f>IF($I$249="","",IF($I$249&lt;0,"🔴지연",IF($I$249&lt;=1,"🟡임박","🟢여유")))</f>
        <v/>
      </c>
      <c r="I249" s="47">
        <f>IF(OR($G$249="",$K$249=""),"",$G$249-$K$249)</f>
        <v/>
      </c>
      <c r="J249" s="48">
        <f>IF(SUM($L$249:$L$251)=0,"",SUM($L$249:$L$251))</f>
        <v/>
      </c>
      <c r="K249" s="49">
        <f>IF($J$249="","",MAX($N$249:$N$251))</f>
        <v/>
      </c>
      <c r="L249" s="50">
        <f>IF(SUM(U249:AY249)=0,"",SUM(U249:AY249))</f>
        <v/>
      </c>
      <c r="M249" s="51">
        <f>IFERROR(INDEX(U$2:AY$2,MATCH(TRUE,INDEX(U249:AY249&lt;&gt;"",0),0)),"")</f>
        <v/>
      </c>
      <c r="N249" s="51">
        <f>IFERROR(LOOKUP(2,1/(U249:AY249&lt;&gt;""),U$2:AY$2),"")</f>
        <v/>
      </c>
      <c r="O249" s="52" t="n"/>
      <c r="P249" s="52" t="n"/>
      <c r="Q249" s="52" t="n"/>
      <c r="R249" s="44" t="n"/>
      <c r="S249" s="14" t="n"/>
      <c r="U249" s="53" t="n"/>
      <c r="V249" s="53" t="n"/>
      <c r="W249" s="53" t="n"/>
      <c r="X249" s="53" t="n"/>
      <c r="Y249" s="53" t="n"/>
      <c r="Z249" s="53" t="n"/>
      <c r="AA249" s="53" t="n"/>
      <c r="AB249" s="53" t="n"/>
      <c r="AC249" s="53" t="n"/>
      <c r="AD249" s="53" t="n"/>
      <c r="AE249" s="53" t="n"/>
      <c r="AF249" s="53" t="n"/>
      <c r="AG249" s="53" t="n"/>
      <c r="AH249" s="53" t="n"/>
      <c r="AI249" s="53" t="n"/>
      <c r="AJ249" s="53" t="n"/>
      <c r="AK249" s="53" t="n"/>
      <c r="AL249" s="53" t="n"/>
      <c r="AM249" s="53" t="n"/>
      <c r="AN249" s="53" t="n"/>
      <c r="AO249" s="53" t="n"/>
      <c r="AP249" s="53" t="n"/>
      <c r="AQ249" s="53" t="n"/>
      <c r="AR249" s="53" t="n"/>
      <c r="AS249" s="53" t="n"/>
      <c r="AT249" s="53" t="n"/>
      <c r="AU249" s="53" t="n"/>
      <c r="AV249" s="53" t="n"/>
      <c r="AW249" s="53" t="n"/>
      <c r="AX249" s="53" t="n"/>
      <c r="AY249" s="53" t="n"/>
    </row>
    <row r="250" ht="15" customHeight="1">
      <c r="A250" s="54" t="n"/>
      <c r="B250" s="55">
        <f>IF($B$249="","",$B$249)</f>
        <v/>
      </c>
      <c r="C250" s="56" t="inlineStr">
        <is>
          <t>마케팅4팀</t>
        </is>
      </c>
      <c r="D250" s="55">
        <f>IF($D$249="","",$D$249)</f>
        <v/>
      </c>
      <c r="E250" s="57" t="inlineStr">
        <is>
          <t>이미지</t>
        </is>
      </c>
      <c r="F250" s="44" t="n"/>
      <c r="G250" s="58">
        <f>IF($G$249="","",$G$249)</f>
        <v/>
      </c>
      <c r="H250" s="59" t="n"/>
      <c r="I250" s="59" t="n"/>
      <c r="J250" s="59" t="n"/>
      <c r="K250" s="59" t="n"/>
      <c r="L250" s="60">
        <f>IF(SUM(U250:AY250)=0,"",SUM(U250:AY250))</f>
        <v/>
      </c>
      <c r="M250" s="61">
        <f>IFERROR(INDEX(U$2:AY$2,MATCH(TRUE,INDEX(U250:AY250&lt;&gt;"",0),0)),"")</f>
        <v/>
      </c>
      <c r="N250" s="61">
        <f>IFERROR(LOOKUP(2,1/(U250:AY250&lt;&gt;""),U$2:AY$2),"")</f>
        <v/>
      </c>
      <c r="O250" s="59" t="n"/>
      <c r="P250" s="59" t="n"/>
      <c r="Q250" s="59" t="n"/>
      <c r="R250" s="59" t="n"/>
      <c r="S250" s="14" t="n"/>
      <c r="U250" s="53" t="n"/>
      <c r="V250" s="53" t="n"/>
      <c r="W250" s="53" t="n"/>
      <c r="X250" s="53" t="n"/>
      <c r="Y250" s="53" t="n"/>
      <c r="Z250" s="53" t="n"/>
      <c r="AA250" s="53" t="n"/>
      <c r="AB250" s="53" t="n"/>
      <c r="AC250" s="53" t="n"/>
      <c r="AD250" s="53" t="n"/>
      <c r="AE250" s="53" t="n"/>
      <c r="AF250" s="53" t="n"/>
      <c r="AG250" s="53" t="n"/>
      <c r="AH250" s="53" t="n"/>
      <c r="AI250" s="53" t="n"/>
      <c r="AJ250" s="53" t="n"/>
      <c r="AK250" s="53" t="n"/>
      <c r="AL250" s="53" t="n"/>
      <c r="AM250" s="53" t="n"/>
      <c r="AN250" s="53" t="n"/>
      <c r="AO250" s="53" t="n"/>
      <c r="AP250" s="53" t="n"/>
      <c r="AQ250" s="53" t="n"/>
      <c r="AR250" s="53" t="n"/>
      <c r="AS250" s="53" t="n"/>
      <c r="AT250" s="53" t="n"/>
      <c r="AU250" s="53" t="n"/>
      <c r="AV250" s="53" t="n"/>
      <c r="AW250" s="53" t="n"/>
      <c r="AX250" s="53" t="n"/>
      <c r="AY250" s="53" t="n"/>
    </row>
    <row r="251" ht="15" customHeight="1">
      <c r="A251" s="62" t="n"/>
      <c r="B251" s="55">
        <f>IF($B$249="","",$B$249)</f>
        <v/>
      </c>
      <c r="C251" s="63" t="inlineStr">
        <is>
          <t>마케팅4팀</t>
        </is>
      </c>
      <c r="D251" s="55">
        <f>IF($D$249="","",$D$249)</f>
        <v/>
      </c>
      <c r="E251" s="64" t="inlineStr">
        <is>
          <t>영상</t>
        </is>
      </c>
      <c r="F251" s="44" t="n"/>
      <c r="G251" s="58">
        <f>IF($G$249="","",$G$249)</f>
        <v/>
      </c>
      <c r="H251" s="59" t="n"/>
      <c r="I251" s="59" t="n"/>
      <c r="J251" s="59" t="n"/>
      <c r="K251" s="59" t="n"/>
      <c r="L251" s="65">
        <f>IF(SUM(U251:AY251)=0,"",SUM(U251:AY251))</f>
        <v/>
      </c>
      <c r="M251" s="66">
        <f>IFERROR(INDEX(U$2:AY$2,MATCH(TRUE,INDEX(U251:AY251&lt;&gt;"",0),0)),"")</f>
        <v/>
      </c>
      <c r="N251" s="66">
        <f>IFERROR(LOOKUP(2,1/(U251:AY251&lt;&gt;""),U$2:AY$2),"")</f>
        <v/>
      </c>
      <c r="O251" s="59" t="n"/>
      <c r="P251" s="59" t="n"/>
      <c r="Q251" s="59" t="n"/>
      <c r="R251" s="59" t="n"/>
      <c r="S251" s="14" t="n"/>
      <c r="U251" s="53" t="n"/>
      <c r="V251" s="53" t="n"/>
      <c r="W251" s="53" t="n"/>
      <c r="X251" s="53" t="n"/>
      <c r="Y251" s="53" t="n"/>
      <c r="Z251" s="53" t="n"/>
      <c r="AA251" s="53" t="n"/>
      <c r="AB251" s="53" t="n"/>
      <c r="AC251" s="53" t="n"/>
      <c r="AD251" s="53" t="n"/>
      <c r="AE251" s="53" t="n"/>
      <c r="AF251" s="53" t="n"/>
      <c r="AG251" s="53" t="n"/>
      <c r="AH251" s="53" t="n"/>
      <c r="AI251" s="53" t="n"/>
      <c r="AJ251" s="53" t="n"/>
      <c r="AK251" s="53" t="n"/>
      <c r="AL251" s="53" t="n"/>
      <c r="AM251" s="53" t="n"/>
      <c r="AN251" s="53" t="n"/>
      <c r="AO251" s="53" t="n"/>
      <c r="AP251" s="53" t="n"/>
      <c r="AQ251" s="53" t="n"/>
      <c r="AR251" s="53" t="n"/>
      <c r="AS251" s="53" t="n"/>
      <c r="AT251" s="53" t="n"/>
      <c r="AU251" s="53" t="n"/>
      <c r="AV251" s="53" t="n"/>
      <c r="AW251" s="53" t="n"/>
      <c r="AX251" s="53" t="n"/>
      <c r="AY251" s="53" t="n"/>
    </row>
    <row r="252" ht="18" customHeight="1">
      <c r="A252" s="39" t="inlineStr">
        <is>
          <t>기타   (253~312행 · 소재 20개)</t>
        </is>
      </c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  <c r="AA252" s="8" t="n"/>
      <c r="AB252" s="8" t="n"/>
      <c r="AC252" s="8" t="n"/>
      <c r="AD252" s="8" t="n"/>
      <c r="AE252" s="8" t="n"/>
      <c r="AF252" s="8" t="n"/>
      <c r="AG252" s="8" t="n"/>
      <c r="AH252" s="8" t="n"/>
      <c r="AI252" s="8" t="n"/>
      <c r="AJ252" s="8" t="n"/>
      <c r="AK252" s="8" t="n"/>
      <c r="AL252" s="8" t="n"/>
      <c r="AM252" s="8" t="n"/>
      <c r="AN252" s="8" t="n"/>
      <c r="AO252" s="8" t="n"/>
      <c r="AP252" s="8" t="n"/>
      <c r="AQ252" s="8" t="n"/>
      <c r="AR252" s="8" t="n"/>
      <c r="AS252" s="8" t="n"/>
      <c r="AT252" s="8" t="n"/>
      <c r="AU252" s="8" t="n"/>
      <c r="AV252" s="8" t="n"/>
      <c r="AW252" s="8" t="n"/>
      <c r="AX252" s="8" t="n"/>
      <c r="AY252" s="4" t="n"/>
    </row>
    <row r="253" ht="15" customHeight="1">
      <c r="A253" s="40">
        <f>IF($D$253="","",81)</f>
        <v/>
      </c>
      <c r="B253" s="10" t="n"/>
      <c r="C253" s="41" t="inlineStr">
        <is>
          <t>기타</t>
        </is>
      </c>
      <c r="D253" s="42" t="n"/>
      <c r="E253" s="43" t="inlineStr">
        <is>
          <t>기획</t>
        </is>
      </c>
      <c r="F253" s="44" t="n"/>
      <c r="G253" s="45" t="n"/>
      <c r="H253" s="46">
        <f>IF($I$253="","",IF($I$253&lt;0,"🔴지연",IF($I$253&lt;=1,"🟡임박","🟢여유")))</f>
        <v/>
      </c>
      <c r="I253" s="47">
        <f>IF(OR($G$253="",$K$253=""),"",$G$253-$K$253)</f>
        <v/>
      </c>
      <c r="J253" s="48">
        <f>IF(SUM($L$253:$L$255)=0,"",SUM($L$253:$L$255))</f>
        <v/>
      </c>
      <c r="K253" s="49">
        <f>IF($J$253="","",MAX($N$253:$N$255))</f>
        <v/>
      </c>
      <c r="L253" s="50">
        <f>IF(SUM(U253:AY253)=0,"",SUM(U253:AY253))</f>
        <v/>
      </c>
      <c r="M253" s="51">
        <f>IFERROR(INDEX(U$2:AY$2,MATCH(TRUE,INDEX(U253:AY253&lt;&gt;"",0),0)),"")</f>
        <v/>
      </c>
      <c r="N253" s="51">
        <f>IFERROR(LOOKUP(2,1/(U253:AY253&lt;&gt;""),U$2:AY$2),"")</f>
        <v/>
      </c>
      <c r="O253" s="52" t="n"/>
      <c r="P253" s="52" t="n"/>
      <c r="Q253" s="52" t="n"/>
      <c r="R253" s="44" t="n"/>
      <c r="S253" s="14" t="n"/>
      <c r="U253" s="53" t="n"/>
      <c r="V253" s="53" t="n"/>
      <c r="W253" s="53" t="n"/>
      <c r="X253" s="53" t="n"/>
      <c r="Y253" s="53" t="n"/>
      <c r="Z253" s="53" t="n"/>
      <c r="AA253" s="53" t="n"/>
      <c r="AB253" s="53" t="n"/>
      <c r="AC253" s="53" t="n"/>
      <c r="AD253" s="53" t="n"/>
      <c r="AE253" s="53" t="n"/>
      <c r="AF253" s="53" t="n"/>
      <c r="AG253" s="53" t="n"/>
      <c r="AH253" s="53" t="n"/>
      <c r="AI253" s="53" t="n"/>
      <c r="AJ253" s="53" t="n"/>
      <c r="AK253" s="53" t="n"/>
      <c r="AL253" s="53" t="n"/>
      <c r="AM253" s="53" t="n"/>
      <c r="AN253" s="53" t="n"/>
      <c r="AO253" s="53" t="n"/>
      <c r="AP253" s="53" t="n"/>
      <c r="AQ253" s="53" t="n"/>
      <c r="AR253" s="53" t="n"/>
      <c r="AS253" s="53" t="n"/>
      <c r="AT253" s="53" t="n"/>
      <c r="AU253" s="53" t="n"/>
      <c r="AV253" s="53" t="n"/>
      <c r="AW253" s="53" t="n"/>
      <c r="AX253" s="53" t="n"/>
      <c r="AY253" s="53" t="n"/>
    </row>
    <row r="254" ht="15" customHeight="1">
      <c r="A254" s="54" t="n"/>
      <c r="B254" s="55">
        <f>IF($B$253="","",$B$253)</f>
        <v/>
      </c>
      <c r="C254" s="56" t="inlineStr">
        <is>
          <t>기타</t>
        </is>
      </c>
      <c r="D254" s="55">
        <f>IF($D$253="","",$D$253)</f>
        <v/>
      </c>
      <c r="E254" s="57" t="inlineStr">
        <is>
          <t>이미지</t>
        </is>
      </c>
      <c r="F254" s="44" t="n"/>
      <c r="G254" s="58">
        <f>IF($G$253="","",$G$253)</f>
        <v/>
      </c>
      <c r="H254" s="59" t="n"/>
      <c r="I254" s="59" t="n"/>
      <c r="J254" s="59" t="n"/>
      <c r="K254" s="59" t="n"/>
      <c r="L254" s="60">
        <f>IF(SUM(U254:AY254)=0,"",SUM(U254:AY254))</f>
        <v/>
      </c>
      <c r="M254" s="61">
        <f>IFERROR(INDEX(U$2:AY$2,MATCH(TRUE,INDEX(U254:AY254&lt;&gt;"",0),0)),"")</f>
        <v/>
      </c>
      <c r="N254" s="61">
        <f>IFERROR(LOOKUP(2,1/(U254:AY254&lt;&gt;""),U$2:AY$2),"")</f>
        <v/>
      </c>
      <c r="O254" s="59" t="n"/>
      <c r="P254" s="59" t="n"/>
      <c r="Q254" s="59" t="n"/>
      <c r="R254" s="59" t="n"/>
      <c r="S254" s="14" t="n"/>
      <c r="U254" s="53" t="n"/>
      <c r="V254" s="53" t="n"/>
      <c r="W254" s="53" t="n"/>
      <c r="X254" s="53" t="n"/>
      <c r="Y254" s="53" t="n"/>
      <c r="Z254" s="53" t="n"/>
      <c r="AA254" s="53" t="n"/>
      <c r="AB254" s="53" t="n"/>
      <c r="AC254" s="53" t="n"/>
      <c r="AD254" s="53" t="n"/>
      <c r="AE254" s="53" t="n"/>
      <c r="AF254" s="53" t="n"/>
      <c r="AG254" s="53" t="n"/>
      <c r="AH254" s="53" t="n"/>
      <c r="AI254" s="53" t="n"/>
      <c r="AJ254" s="53" t="n"/>
      <c r="AK254" s="53" t="n"/>
      <c r="AL254" s="53" t="n"/>
      <c r="AM254" s="53" t="n"/>
      <c r="AN254" s="53" t="n"/>
      <c r="AO254" s="53" t="n"/>
      <c r="AP254" s="53" t="n"/>
      <c r="AQ254" s="53" t="n"/>
      <c r="AR254" s="53" t="n"/>
      <c r="AS254" s="53" t="n"/>
      <c r="AT254" s="53" t="n"/>
      <c r="AU254" s="53" t="n"/>
      <c r="AV254" s="53" t="n"/>
      <c r="AW254" s="53" t="n"/>
      <c r="AX254" s="53" t="n"/>
      <c r="AY254" s="53" t="n"/>
    </row>
    <row r="255" ht="15" customHeight="1">
      <c r="A255" s="62" t="n"/>
      <c r="B255" s="55">
        <f>IF($B$253="","",$B$253)</f>
        <v/>
      </c>
      <c r="C255" s="63" t="inlineStr">
        <is>
          <t>기타</t>
        </is>
      </c>
      <c r="D255" s="55">
        <f>IF($D$253="","",$D$253)</f>
        <v/>
      </c>
      <c r="E255" s="64" t="inlineStr">
        <is>
          <t>영상</t>
        </is>
      </c>
      <c r="F255" s="44" t="n"/>
      <c r="G255" s="58">
        <f>IF($G$253="","",$G$253)</f>
        <v/>
      </c>
      <c r="H255" s="59" t="n"/>
      <c r="I255" s="59" t="n"/>
      <c r="J255" s="59" t="n"/>
      <c r="K255" s="59" t="n"/>
      <c r="L255" s="65">
        <f>IF(SUM(U255:AY255)=0,"",SUM(U255:AY255))</f>
        <v/>
      </c>
      <c r="M255" s="66">
        <f>IFERROR(INDEX(U$2:AY$2,MATCH(TRUE,INDEX(U255:AY255&lt;&gt;"",0),0)),"")</f>
        <v/>
      </c>
      <c r="N255" s="66">
        <f>IFERROR(LOOKUP(2,1/(U255:AY255&lt;&gt;""),U$2:AY$2),"")</f>
        <v/>
      </c>
      <c r="O255" s="59" t="n"/>
      <c r="P255" s="59" t="n"/>
      <c r="Q255" s="59" t="n"/>
      <c r="R255" s="59" t="n"/>
      <c r="S255" s="14" t="n"/>
      <c r="U255" s="53" t="n"/>
      <c r="V255" s="53" t="n"/>
      <c r="W255" s="53" t="n"/>
      <c r="X255" s="53" t="n"/>
      <c r="Y255" s="53" t="n"/>
      <c r="Z255" s="53" t="n"/>
      <c r="AA255" s="53" t="n"/>
      <c r="AB255" s="53" t="n"/>
      <c r="AC255" s="53" t="n"/>
      <c r="AD255" s="53" t="n"/>
      <c r="AE255" s="53" t="n"/>
      <c r="AF255" s="53" t="n"/>
      <c r="AG255" s="53" t="n"/>
      <c r="AH255" s="53" t="n"/>
      <c r="AI255" s="53" t="n"/>
      <c r="AJ255" s="53" t="n"/>
      <c r="AK255" s="53" t="n"/>
      <c r="AL255" s="53" t="n"/>
      <c r="AM255" s="53" t="n"/>
      <c r="AN255" s="53" t="n"/>
      <c r="AO255" s="53" t="n"/>
      <c r="AP255" s="53" t="n"/>
      <c r="AQ255" s="53" t="n"/>
      <c r="AR255" s="53" t="n"/>
      <c r="AS255" s="53" t="n"/>
      <c r="AT255" s="53" t="n"/>
      <c r="AU255" s="53" t="n"/>
      <c r="AV255" s="53" t="n"/>
      <c r="AW255" s="53" t="n"/>
      <c r="AX255" s="53" t="n"/>
      <c r="AY255" s="53" t="n"/>
    </row>
    <row r="256" ht="15" customHeight="1">
      <c r="A256" s="40">
        <f>IF($D$256="","",82)</f>
        <v/>
      </c>
      <c r="B256" s="10" t="n"/>
      <c r="C256" s="41" t="inlineStr">
        <is>
          <t>기타</t>
        </is>
      </c>
      <c r="D256" s="42" t="n"/>
      <c r="E256" s="43" t="inlineStr">
        <is>
          <t>기획</t>
        </is>
      </c>
      <c r="F256" s="44" t="n"/>
      <c r="G256" s="45" t="n"/>
      <c r="H256" s="46">
        <f>IF($I$256="","",IF($I$256&lt;0,"🔴지연",IF($I$256&lt;=1,"🟡임박","🟢여유")))</f>
        <v/>
      </c>
      <c r="I256" s="47">
        <f>IF(OR($G$256="",$K$256=""),"",$G$256-$K$256)</f>
        <v/>
      </c>
      <c r="J256" s="48">
        <f>IF(SUM($L$256:$L$258)=0,"",SUM($L$256:$L$258))</f>
        <v/>
      </c>
      <c r="K256" s="49">
        <f>IF($J$256="","",MAX($N$256:$N$258))</f>
        <v/>
      </c>
      <c r="L256" s="50">
        <f>IF(SUM(U256:AY256)=0,"",SUM(U256:AY256))</f>
        <v/>
      </c>
      <c r="M256" s="51">
        <f>IFERROR(INDEX(U$2:AY$2,MATCH(TRUE,INDEX(U256:AY256&lt;&gt;"",0),0)),"")</f>
        <v/>
      </c>
      <c r="N256" s="51">
        <f>IFERROR(LOOKUP(2,1/(U256:AY256&lt;&gt;""),U$2:AY$2),"")</f>
        <v/>
      </c>
      <c r="O256" s="52" t="n"/>
      <c r="P256" s="52" t="n"/>
      <c r="Q256" s="52" t="n"/>
      <c r="R256" s="44" t="n"/>
      <c r="S256" s="14" t="n"/>
      <c r="U256" s="53" t="n"/>
      <c r="V256" s="53" t="n"/>
      <c r="W256" s="53" t="n"/>
      <c r="X256" s="53" t="n"/>
      <c r="Y256" s="53" t="n"/>
      <c r="Z256" s="53" t="n"/>
      <c r="AA256" s="53" t="n"/>
      <c r="AB256" s="53" t="n"/>
      <c r="AC256" s="53" t="n"/>
      <c r="AD256" s="53" t="n"/>
      <c r="AE256" s="53" t="n"/>
      <c r="AF256" s="53" t="n"/>
      <c r="AG256" s="53" t="n"/>
      <c r="AH256" s="53" t="n"/>
      <c r="AI256" s="53" t="n"/>
      <c r="AJ256" s="53" t="n"/>
      <c r="AK256" s="53" t="n"/>
      <c r="AL256" s="53" t="n"/>
      <c r="AM256" s="53" t="n"/>
      <c r="AN256" s="53" t="n"/>
      <c r="AO256" s="53" t="n"/>
      <c r="AP256" s="53" t="n"/>
      <c r="AQ256" s="53" t="n"/>
      <c r="AR256" s="53" t="n"/>
      <c r="AS256" s="53" t="n"/>
      <c r="AT256" s="53" t="n"/>
      <c r="AU256" s="53" t="n"/>
      <c r="AV256" s="53" t="n"/>
      <c r="AW256" s="53" t="n"/>
      <c r="AX256" s="53" t="n"/>
      <c r="AY256" s="53" t="n"/>
    </row>
    <row r="257" ht="15" customHeight="1">
      <c r="A257" s="54" t="n"/>
      <c r="B257" s="55">
        <f>IF($B$256="","",$B$256)</f>
        <v/>
      </c>
      <c r="C257" s="56" t="inlineStr">
        <is>
          <t>기타</t>
        </is>
      </c>
      <c r="D257" s="55">
        <f>IF($D$256="","",$D$256)</f>
        <v/>
      </c>
      <c r="E257" s="57" t="inlineStr">
        <is>
          <t>이미지</t>
        </is>
      </c>
      <c r="F257" s="44" t="n"/>
      <c r="G257" s="58">
        <f>IF($G$256="","",$G$256)</f>
        <v/>
      </c>
      <c r="H257" s="59" t="n"/>
      <c r="I257" s="59" t="n"/>
      <c r="J257" s="59" t="n"/>
      <c r="K257" s="59" t="n"/>
      <c r="L257" s="60">
        <f>IF(SUM(U257:AY257)=0,"",SUM(U257:AY257))</f>
        <v/>
      </c>
      <c r="M257" s="61">
        <f>IFERROR(INDEX(U$2:AY$2,MATCH(TRUE,INDEX(U257:AY257&lt;&gt;"",0),0)),"")</f>
        <v/>
      </c>
      <c r="N257" s="61">
        <f>IFERROR(LOOKUP(2,1/(U257:AY257&lt;&gt;""),U$2:AY$2),"")</f>
        <v/>
      </c>
      <c r="O257" s="59" t="n"/>
      <c r="P257" s="59" t="n"/>
      <c r="Q257" s="59" t="n"/>
      <c r="R257" s="59" t="n"/>
      <c r="S257" s="14" t="n"/>
      <c r="U257" s="53" t="n"/>
      <c r="V257" s="53" t="n"/>
      <c r="W257" s="53" t="n"/>
      <c r="X257" s="53" t="n"/>
      <c r="Y257" s="53" t="n"/>
      <c r="Z257" s="53" t="n"/>
      <c r="AA257" s="53" t="n"/>
      <c r="AB257" s="53" t="n"/>
      <c r="AC257" s="53" t="n"/>
      <c r="AD257" s="53" t="n"/>
      <c r="AE257" s="53" t="n"/>
      <c r="AF257" s="53" t="n"/>
      <c r="AG257" s="53" t="n"/>
      <c r="AH257" s="53" t="n"/>
      <c r="AI257" s="53" t="n"/>
      <c r="AJ257" s="53" t="n"/>
      <c r="AK257" s="53" t="n"/>
      <c r="AL257" s="53" t="n"/>
      <c r="AM257" s="53" t="n"/>
      <c r="AN257" s="53" t="n"/>
      <c r="AO257" s="53" t="n"/>
      <c r="AP257" s="53" t="n"/>
      <c r="AQ257" s="53" t="n"/>
      <c r="AR257" s="53" t="n"/>
      <c r="AS257" s="53" t="n"/>
      <c r="AT257" s="53" t="n"/>
      <c r="AU257" s="53" t="n"/>
      <c r="AV257" s="53" t="n"/>
      <c r="AW257" s="53" t="n"/>
      <c r="AX257" s="53" t="n"/>
      <c r="AY257" s="53" t="n"/>
    </row>
    <row r="258" ht="15" customHeight="1">
      <c r="A258" s="62" t="n"/>
      <c r="B258" s="55">
        <f>IF($B$256="","",$B$256)</f>
        <v/>
      </c>
      <c r="C258" s="63" t="inlineStr">
        <is>
          <t>기타</t>
        </is>
      </c>
      <c r="D258" s="55">
        <f>IF($D$256="","",$D$256)</f>
        <v/>
      </c>
      <c r="E258" s="64" t="inlineStr">
        <is>
          <t>영상</t>
        </is>
      </c>
      <c r="F258" s="44" t="n"/>
      <c r="G258" s="58">
        <f>IF($G$256="","",$G$256)</f>
        <v/>
      </c>
      <c r="H258" s="59" t="n"/>
      <c r="I258" s="59" t="n"/>
      <c r="J258" s="59" t="n"/>
      <c r="K258" s="59" t="n"/>
      <c r="L258" s="65">
        <f>IF(SUM(U258:AY258)=0,"",SUM(U258:AY258))</f>
        <v/>
      </c>
      <c r="M258" s="66">
        <f>IFERROR(INDEX(U$2:AY$2,MATCH(TRUE,INDEX(U258:AY258&lt;&gt;"",0),0)),"")</f>
        <v/>
      </c>
      <c r="N258" s="66">
        <f>IFERROR(LOOKUP(2,1/(U258:AY258&lt;&gt;""),U$2:AY$2),"")</f>
        <v/>
      </c>
      <c r="O258" s="59" t="n"/>
      <c r="P258" s="59" t="n"/>
      <c r="Q258" s="59" t="n"/>
      <c r="R258" s="59" t="n"/>
      <c r="S258" s="14" t="n"/>
      <c r="U258" s="53" t="n"/>
      <c r="V258" s="53" t="n"/>
      <c r="W258" s="53" t="n"/>
      <c r="X258" s="53" t="n"/>
      <c r="Y258" s="53" t="n"/>
      <c r="Z258" s="53" t="n"/>
      <c r="AA258" s="53" t="n"/>
      <c r="AB258" s="53" t="n"/>
      <c r="AC258" s="53" t="n"/>
      <c r="AD258" s="53" t="n"/>
      <c r="AE258" s="53" t="n"/>
      <c r="AF258" s="53" t="n"/>
      <c r="AG258" s="53" t="n"/>
      <c r="AH258" s="53" t="n"/>
      <c r="AI258" s="53" t="n"/>
      <c r="AJ258" s="53" t="n"/>
      <c r="AK258" s="53" t="n"/>
      <c r="AL258" s="53" t="n"/>
      <c r="AM258" s="53" t="n"/>
      <c r="AN258" s="53" t="n"/>
      <c r="AO258" s="53" t="n"/>
      <c r="AP258" s="53" t="n"/>
      <c r="AQ258" s="53" t="n"/>
      <c r="AR258" s="53" t="n"/>
      <c r="AS258" s="53" t="n"/>
      <c r="AT258" s="53" t="n"/>
      <c r="AU258" s="53" t="n"/>
      <c r="AV258" s="53" t="n"/>
      <c r="AW258" s="53" t="n"/>
      <c r="AX258" s="53" t="n"/>
      <c r="AY258" s="53" t="n"/>
    </row>
    <row r="259" ht="15" customHeight="1">
      <c r="A259" s="40">
        <f>IF($D$259="","",83)</f>
        <v/>
      </c>
      <c r="B259" s="10" t="n"/>
      <c r="C259" s="41" t="inlineStr">
        <is>
          <t>기타</t>
        </is>
      </c>
      <c r="D259" s="42" t="n"/>
      <c r="E259" s="43" t="inlineStr">
        <is>
          <t>기획</t>
        </is>
      </c>
      <c r="F259" s="44" t="n"/>
      <c r="G259" s="45" t="n"/>
      <c r="H259" s="46">
        <f>IF($I$259="","",IF($I$259&lt;0,"🔴지연",IF($I$259&lt;=1,"🟡임박","🟢여유")))</f>
        <v/>
      </c>
      <c r="I259" s="47">
        <f>IF(OR($G$259="",$K$259=""),"",$G$259-$K$259)</f>
        <v/>
      </c>
      <c r="J259" s="48">
        <f>IF(SUM($L$259:$L$261)=0,"",SUM($L$259:$L$261))</f>
        <v/>
      </c>
      <c r="K259" s="49">
        <f>IF($J$259="","",MAX($N$259:$N$261))</f>
        <v/>
      </c>
      <c r="L259" s="50">
        <f>IF(SUM(U259:AY259)=0,"",SUM(U259:AY259))</f>
        <v/>
      </c>
      <c r="M259" s="51">
        <f>IFERROR(INDEX(U$2:AY$2,MATCH(TRUE,INDEX(U259:AY259&lt;&gt;"",0),0)),"")</f>
        <v/>
      </c>
      <c r="N259" s="51">
        <f>IFERROR(LOOKUP(2,1/(U259:AY259&lt;&gt;""),U$2:AY$2),"")</f>
        <v/>
      </c>
      <c r="O259" s="52" t="n"/>
      <c r="P259" s="52" t="n"/>
      <c r="Q259" s="52" t="n"/>
      <c r="R259" s="44" t="n"/>
      <c r="S259" s="14" t="n"/>
      <c r="U259" s="53" t="n"/>
      <c r="V259" s="53" t="n"/>
      <c r="W259" s="53" t="n"/>
      <c r="X259" s="53" t="n"/>
      <c r="Y259" s="53" t="n"/>
      <c r="Z259" s="53" t="n"/>
      <c r="AA259" s="53" t="n"/>
      <c r="AB259" s="53" t="n"/>
      <c r="AC259" s="53" t="n"/>
      <c r="AD259" s="53" t="n"/>
      <c r="AE259" s="53" t="n"/>
      <c r="AF259" s="53" t="n"/>
      <c r="AG259" s="53" t="n"/>
      <c r="AH259" s="53" t="n"/>
      <c r="AI259" s="53" t="n"/>
      <c r="AJ259" s="53" t="n"/>
      <c r="AK259" s="53" t="n"/>
      <c r="AL259" s="53" t="n"/>
      <c r="AM259" s="53" t="n"/>
      <c r="AN259" s="53" t="n"/>
      <c r="AO259" s="53" t="n"/>
      <c r="AP259" s="53" t="n"/>
      <c r="AQ259" s="53" t="n"/>
      <c r="AR259" s="53" t="n"/>
      <c r="AS259" s="53" t="n"/>
      <c r="AT259" s="53" t="n"/>
      <c r="AU259" s="53" t="n"/>
      <c r="AV259" s="53" t="n"/>
      <c r="AW259" s="53" t="n"/>
      <c r="AX259" s="53" t="n"/>
      <c r="AY259" s="53" t="n"/>
    </row>
    <row r="260" ht="15" customHeight="1">
      <c r="A260" s="54" t="n"/>
      <c r="B260" s="55">
        <f>IF($B$259="","",$B$259)</f>
        <v/>
      </c>
      <c r="C260" s="56" t="inlineStr">
        <is>
          <t>기타</t>
        </is>
      </c>
      <c r="D260" s="55">
        <f>IF($D$259="","",$D$259)</f>
        <v/>
      </c>
      <c r="E260" s="57" t="inlineStr">
        <is>
          <t>이미지</t>
        </is>
      </c>
      <c r="F260" s="44" t="n"/>
      <c r="G260" s="58">
        <f>IF($G$259="","",$G$259)</f>
        <v/>
      </c>
      <c r="H260" s="59" t="n"/>
      <c r="I260" s="59" t="n"/>
      <c r="J260" s="59" t="n"/>
      <c r="K260" s="59" t="n"/>
      <c r="L260" s="60">
        <f>IF(SUM(U260:AY260)=0,"",SUM(U260:AY260))</f>
        <v/>
      </c>
      <c r="M260" s="61">
        <f>IFERROR(INDEX(U$2:AY$2,MATCH(TRUE,INDEX(U260:AY260&lt;&gt;"",0),0)),"")</f>
        <v/>
      </c>
      <c r="N260" s="61">
        <f>IFERROR(LOOKUP(2,1/(U260:AY260&lt;&gt;""),U$2:AY$2),"")</f>
        <v/>
      </c>
      <c r="O260" s="59" t="n"/>
      <c r="P260" s="59" t="n"/>
      <c r="Q260" s="59" t="n"/>
      <c r="R260" s="59" t="n"/>
      <c r="S260" s="14" t="n"/>
      <c r="U260" s="53" t="n"/>
      <c r="V260" s="53" t="n"/>
      <c r="W260" s="53" t="n"/>
      <c r="X260" s="53" t="n"/>
      <c r="Y260" s="53" t="n"/>
      <c r="Z260" s="53" t="n"/>
      <c r="AA260" s="53" t="n"/>
      <c r="AB260" s="53" t="n"/>
      <c r="AC260" s="53" t="n"/>
      <c r="AD260" s="53" t="n"/>
      <c r="AE260" s="53" t="n"/>
      <c r="AF260" s="53" t="n"/>
      <c r="AG260" s="53" t="n"/>
      <c r="AH260" s="53" t="n"/>
      <c r="AI260" s="53" t="n"/>
      <c r="AJ260" s="53" t="n"/>
      <c r="AK260" s="53" t="n"/>
      <c r="AL260" s="53" t="n"/>
      <c r="AM260" s="53" t="n"/>
      <c r="AN260" s="53" t="n"/>
      <c r="AO260" s="53" t="n"/>
      <c r="AP260" s="53" t="n"/>
      <c r="AQ260" s="53" t="n"/>
      <c r="AR260" s="53" t="n"/>
      <c r="AS260" s="53" t="n"/>
      <c r="AT260" s="53" t="n"/>
      <c r="AU260" s="53" t="n"/>
      <c r="AV260" s="53" t="n"/>
      <c r="AW260" s="53" t="n"/>
      <c r="AX260" s="53" t="n"/>
      <c r="AY260" s="53" t="n"/>
    </row>
    <row r="261" ht="15" customHeight="1">
      <c r="A261" s="62" t="n"/>
      <c r="B261" s="55">
        <f>IF($B$259="","",$B$259)</f>
        <v/>
      </c>
      <c r="C261" s="63" t="inlineStr">
        <is>
          <t>기타</t>
        </is>
      </c>
      <c r="D261" s="55">
        <f>IF($D$259="","",$D$259)</f>
        <v/>
      </c>
      <c r="E261" s="64" t="inlineStr">
        <is>
          <t>영상</t>
        </is>
      </c>
      <c r="F261" s="44" t="n"/>
      <c r="G261" s="58">
        <f>IF($G$259="","",$G$259)</f>
        <v/>
      </c>
      <c r="H261" s="59" t="n"/>
      <c r="I261" s="59" t="n"/>
      <c r="J261" s="59" t="n"/>
      <c r="K261" s="59" t="n"/>
      <c r="L261" s="65">
        <f>IF(SUM(U261:AY261)=0,"",SUM(U261:AY261))</f>
        <v/>
      </c>
      <c r="M261" s="66">
        <f>IFERROR(INDEX(U$2:AY$2,MATCH(TRUE,INDEX(U261:AY261&lt;&gt;"",0),0)),"")</f>
        <v/>
      </c>
      <c r="N261" s="66">
        <f>IFERROR(LOOKUP(2,1/(U261:AY261&lt;&gt;""),U$2:AY$2),"")</f>
        <v/>
      </c>
      <c r="O261" s="59" t="n"/>
      <c r="P261" s="59" t="n"/>
      <c r="Q261" s="59" t="n"/>
      <c r="R261" s="59" t="n"/>
      <c r="S261" s="14" t="n"/>
      <c r="U261" s="53" t="n"/>
      <c r="V261" s="53" t="n"/>
      <c r="W261" s="53" t="n"/>
      <c r="X261" s="53" t="n"/>
      <c r="Y261" s="53" t="n"/>
      <c r="Z261" s="53" t="n"/>
      <c r="AA261" s="53" t="n"/>
      <c r="AB261" s="53" t="n"/>
      <c r="AC261" s="53" t="n"/>
      <c r="AD261" s="53" t="n"/>
      <c r="AE261" s="53" t="n"/>
      <c r="AF261" s="53" t="n"/>
      <c r="AG261" s="53" t="n"/>
      <c r="AH261" s="53" t="n"/>
      <c r="AI261" s="53" t="n"/>
      <c r="AJ261" s="53" t="n"/>
      <c r="AK261" s="53" t="n"/>
      <c r="AL261" s="53" t="n"/>
      <c r="AM261" s="53" t="n"/>
      <c r="AN261" s="53" t="n"/>
      <c r="AO261" s="53" t="n"/>
      <c r="AP261" s="53" t="n"/>
      <c r="AQ261" s="53" t="n"/>
      <c r="AR261" s="53" t="n"/>
      <c r="AS261" s="53" t="n"/>
      <c r="AT261" s="53" t="n"/>
      <c r="AU261" s="53" t="n"/>
      <c r="AV261" s="53" t="n"/>
      <c r="AW261" s="53" t="n"/>
      <c r="AX261" s="53" t="n"/>
      <c r="AY261" s="53" t="n"/>
    </row>
    <row r="262" ht="15" customHeight="1">
      <c r="A262" s="40">
        <f>IF($D$262="","",84)</f>
        <v/>
      </c>
      <c r="B262" s="10" t="n"/>
      <c r="C262" s="41" t="inlineStr">
        <is>
          <t>기타</t>
        </is>
      </c>
      <c r="D262" s="42" t="n"/>
      <c r="E262" s="43" t="inlineStr">
        <is>
          <t>기획</t>
        </is>
      </c>
      <c r="F262" s="44" t="n"/>
      <c r="G262" s="45" t="n"/>
      <c r="H262" s="46">
        <f>IF($I$262="","",IF($I$262&lt;0,"🔴지연",IF($I$262&lt;=1,"🟡임박","🟢여유")))</f>
        <v/>
      </c>
      <c r="I262" s="47">
        <f>IF(OR($G$262="",$K$262=""),"",$G$262-$K$262)</f>
        <v/>
      </c>
      <c r="J262" s="48">
        <f>IF(SUM($L$262:$L$264)=0,"",SUM($L$262:$L$264))</f>
        <v/>
      </c>
      <c r="K262" s="49">
        <f>IF($J$262="","",MAX($N$262:$N$264))</f>
        <v/>
      </c>
      <c r="L262" s="50">
        <f>IF(SUM(U262:AY262)=0,"",SUM(U262:AY262))</f>
        <v/>
      </c>
      <c r="M262" s="51">
        <f>IFERROR(INDEX(U$2:AY$2,MATCH(TRUE,INDEX(U262:AY262&lt;&gt;"",0),0)),"")</f>
        <v/>
      </c>
      <c r="N262" s="51">
        <f>IFERROR(LOOKUP(2,1/(U262:AY262&lt;&gt;""),U$2:AY$2),"")</f>
        <v/>
      </c>
      <c r="O262" s="52" t="n"/>
      <c r="P262" s="52" t="n"/>
      <c r="Q262" s="52" t="n"/>
      <c r="R262" s="44" t="n"/>
      <c r="S262" s="14" t="n"/>
      <c r="U262" s="53" t="n"/>
      <c r="V262" s="53" t="n"/>
      <c r="W262" s="53" t="n"/>
      <c r="X262" s="53" t="n"/>
      <c r="Y262" s="53" t="n"/>
      <c r="Z262" s="53" t="n"/>
      <c r="AA262" s="53" t="n"/>
      <c r="AB262" s="53" t="n"/>
      <c r="AC262" s="53" t="n"/>
      <c r="AD262" s="53" t="n"/>
      <c r="AE262" s="53" t="n"/>
      <c r="AF262" s="53" t="n"/>
      <c r="AG262" s="53" t="n"/>
      <c r="AH262" s="53" t="n"/>
      <c r="AI262" s="53" t="n"/>
      <c r="AJ262" s="53" t="n"/>
      <c r="AK262" s="53" t="n"/>
      <c r="AL262" s="53" t="n"/>
      <c r="AM262" s="53" t="n"/>
      <c r="AN262" s="53" t="n"/>
      <c r="AO262" s="53" t="n"/>
      <c r="AP262" s="53" t="n"/>
      <c r="AQ262" s="53" t="n"/>
      <c r="AR262" s="53" t="n"/>
      <c r="AS262" s="53" t="n"/>
      <c r="AT262" s="53" t="n"/>
      <c r="AU262" s="53" t="n"/>
      <c r="AV262" s="53" t="n"/>
      <c r="AW262" s="53" t="n"/>
      <c r="AX262" s="53" t="n"/>
      <c r="AY262" s="53" t="n"/>
    </row>
    <row r="263" ht="15" customHeight="1">
      <c r="A263" s="54" t="n"/>
      <c r="B263" s="55">
        <f>IF($B$262="","",$B$262)</f>
        <v/>
      </c>
      <c r="C263" s="56" t="inlineStr">
        <is>
          <t>기타</t>
        </is>
      </c>
      <c r="D263" s="55">
        <f>IF($D$262="","",$D$262)</f>
        <v/>
      </c>
      <c r="E263" s="57" t="inlineStr">
        <is>
          <t>이미지</t>
        </is>
      </c>
      <c r="F263" s="44" t="n"/>
      <c r="G263" s="58">
        <f>IF($G$262="","",$G$262)</f>
        <v/>
      </c>
      <c r="H263" s="59" t="n"/>
      <c r="I263" s="59" t="n"/>
      <c r="J263" s="59" t="n"/>
      <c r="K263" s="59" t="n"/>
      <c r="L263" s="60">
        <f>IF(SUM(U263:AY263)=0,"",SUM(U263:AY263))</f>
        <v/>
      </c>
      <c r="M263" s="61">
        <f>IFERROR(INDEX(U$2:AY$2,MATCH(TRUE,INDEX(U263:AY263&lt;&gt;"",0),0)),"")</f>
        <v/>
      </c>
      <c r="N263" s="61">
        <f>IFERROR(LOOKUP(2,1/(U263:AY263&lt;&gt;""),U$2:AY$2),"")</f>
        <v/>
      </c>
      <c r="O263" s="59" t="n"/>
      <c r="P263" s="59" t="n"/>
      <c r="Q263" s="59" t="n"/>
      <c r="R263" s="59" t="n"/>
      <c r="S263" s="14" t="n"/>
      <c r="U263" s="53" t="n"/>
      <c r="V263" s="53" t="n"/>
      <c r="W263" s="53" t="n"/>
      <c r="X263" s="53" t="n"/>
      <c r="Y263" s="53" t="n"/>
      <c r="Z263" s="53" t="n"/>
      <c r="AA263" s="53" t="n"/>
      <c r="AB263" s="53" t="n"/>
      <c r="AC263" s="53" t="n"/>
      <c r="AD263" s="53" t="n"/>
      <c r="AE263" s="53" t="n"/>
      <c r="AF263" s="53" t="n"/>
      <c r="AG263" s="53" t="n"/>
      <c r="AH263" s="53" t="n"/>
      <c r="AI263" s="53" t="n"/>
      <c r="AJ263" s="53" t="n"/>
      <c r="AK263" s="53" t="n"/>
      <c r="AL263" s="53" t="n"/>
      <c r="AM263" s="53" t="n"/>
      <c r="AN263" s="53" t="n"/>
      <c r="AO263" s="53" t="n"/>
      <c r="AP263" s="53" t="n"/>
      <c r="AQ263" s="53" t="n"/>
      <c r="AR263" s="53" t="n"/>
      <c r="AS263" s="53" t="n"/>
      <c r="AT263" s="53" t="n"/>
      <c r="AU263" s="53" t="n"/>
      <c r="AV263" s="53" t="n"/>
      <c r="AW263" s="53" t="n"/>
      <c r="AX263" s="53" t="n"/>
      <c r="AY263" s="53" t="n"/>
    </row>
    <row r="264" ht="15" customHeight="1">
      <c r="A264" s="62" t="n"/>
      <c r="B264" s="55">
        <f>IF($B$262="","",$B$262)</f>
        <v/>
      </c>
      <c r="C264" s="63" t="inlineStr">
        <is>
          <t>기타</t>
        </is>
      </c>
      <c r="D264" s="55">
        <f>IF($D$262="","",$D$262)</f>
        <v/>
      </c>
      <c r="E264" s="64" t="inlineStr">
        <is>
          <t>영상</t>
        </is>
      </c>
      <c r="F264" s="44" t="n"/>
      <c r="G264" s="58">
        <f>IF($G$262="","",$G$262)</f>
        <v/>
      </c>
      <c r="H264" s="59" t="n"/>
      <c r="I264" s="59" t="n"/>
      <c r="J264" s="59" t="n"/>
      <c r="K264" s="59" t="n"/>
      <c r="L264" s="65">
        <f>IF(SUM(U264:AY264)=0,"",SUM(U264:AY264))</f>
        <v/>
      </c>
      <c r="M264" s="66">
        <f>IFERROR(INDEX(U$2:AY$2,MATCH(TRUE,INDEX(U264:AY264&lt;&gt;"",0),0)),"")</f>
        <v/>
      </c>
      <c r="N264" s="66">
        <f>IFERROR(LOOKUP(2,1/(U264:AY264&lt;&gt;""),U$2:AY$2),"")</f>
        <v/>
      </c>
      <c r="O264" s="59" t="n"/>
      <c r="P264" s="59" t="n"/>
      <c r="Q264" s="59" t="n"/>
      <c r="R264" s="59" t="n"/>
      <c r="S264" s="14" t="n"/>
      <c r="U264" s="53" t="n"/>
      <c r="V264" s="53" t="n"/>
      <c r="W264" s="53" t="n"/>
      <c r="X264" s="53" t="n"/>
      <c r="Y264" s="53" t="n"/>
      <c r="Z264" s="53" t="n"/>
      <c r="AA264" s="53" t="n"/>
      <c r="AB264" s="53" t="n"/>
      <c r="AC264" s="53" t="n"/>
      <c r="AD264" s="53" t="n"/>
      <c r="AE264" s="53" t="n"/>
      <c r="AF264" s="53" t="n"/>
      <c r="AG264" s="53" t="n"/>
      <c r="AH264" s="53" t="n"/>
      <c r="AI264" s="53" t="n"/>
      <c r="AJ264" s="53" t="n"/>
      <c r="AK264" s="53" t="n"/>
      <c r="AL264" s="53" t="n"/>
      <c r="AM264" s="53" t="n"/>
      <c r="AN264" s="53" t="n"/>
      <c r="AO264" s="53" t="n"/>
      <c r="AP264" s="53" t="n"/>
      <c r="AQ264" s="53" t="n"/>
      <c r="AR264" s="53" t="n"/>
      <c r="AS264" s="53" t="n"/>
      <c r="AT264" s="53" t="n"/>
      <c r="AU264" s="53" t="n"/>
      <c r="AV264" s="53" t="n"/>
      <c r="AW264" s="53" t="n"/>
      <c r="AX264" s="53" t="n"/>
      <c r="AY264" s="53" t="n"/>
    </row>
    <row r="265" ht="15" customHeight="1">
      <c r="A265" s="40">
        <f>IF($D$265="","",85)</f>
        <v/>
      </c>
      <c r="B265" s="10" t="n"/>
      <c r="C265" s="41" t="inlineStr">
        <is>
          <t>기타</t>
        </is>
      </c>
      <c r="D265" s="42" t="n"/>
      <c r="E265" s="43" t="inlineStr">
        <is>
          <t>기획</t>
        </is>
      </c>
      <c r="F265" s="44" t="n"/>
      <c r="G265" s="45" t="n"/>
      <c r="H265" s="46">
        <f>IF($I$265="","",IF($I$265&lt;0,"🔴지연",IF($I$265&lt;=1,"🟡임박","🟢여유")))</f>
        <v/>
      </c>
      <c r="I265" s="47">
        <f>IF(OR($G$265="",$K$265=""),"",$G$265-$K$265)</f>
        <v/>
      </c>
      <c r="J265" s="48">
        <f>IF(SUM($L$265:$L$267)=0,"",SUM($L$265:$L$267))</f>
        <v/>
      </c>
      <c r="K265" s="49">
        <f>IF($J$265="","",MAX($N$265:$N$267))</f>
        <v/>
      </c>
      <c r="L265" s="50">
        <f>IF(SUM(U265:AY265)=0,"",SUM(U265:AY265))</f>
        <v/>
      </c>
      <c r="M265" s="51">
        <f>IFERROR(INDEX(U$2:AY$2,MATCH(TRUE,INDEX(U265:AY265&lt;&gt;"",0),0)),"")</f>
        <v/>
      </c>
      <c r="N265" s="51">
        <f>IFERROR(LOOKUP(2,1/(U265:AY265&lt;&gt;""),U$2:AY$2),"")</f>
        <v/>
      </c>
      <c r="O265" s="52" t="n"/>
      <c r="P265" s="52" t="n"/>
      <c r="Q265" s="52" t="n"/>
      <c r="R265" s="44" t="n"/>
      <c r="S265" s="14" t="n"/>
      <c r="U265" s="53" t="n"/>
      <c r="V265" s="53" t="n"/>
      <c r="W265" s="53" t="n"/>
      <c r="X265" s="53" t="n"/>
      <c r="Y265" s="53" t="n"/>
      <c r="Z265" s="53" t="n"/>
      <c r="AA265" s="53" t="n"/>
      <c r="AB265" s="53" t="n"/>
      <c r="AC265" s="53" t="n"/>
      <c r="AD265" s="53" t="n"/>
      <c r="AE265" s="53" t="n"/>
      <c r="AF265" s="53" t="n"/>
      <c r="AG265" s="53" t="n"/>
      <c r="AH265" s="53" t="n"/>
      <c r="AI265" s="53" t="n"/>
      <c r="AJ265" s="53" t="n"/>
      <c r="AK265" s="53" t="n"/>
      <c r="AL265" s="53" t="n"/>
      <c r="AM265" s="53" t="n"/>
      <c r="AN265" s="53" t="n"/>
      <c r="AO265" s="53" t="n"/>
      <c r="AP265" s="53" t="n"/>
      <c r="AQ265" s="53" t="n"/>
      <c r="AR265" s="53" t="n"/>
      <c r="AS265" s="53" t="n"/>
      <c r="AT265" s="53" t="n"/>
      <c r="AU265" s="53" t="n"/>
      <c r="AV265" s="53" t="n"/>
      <c r="AW265" s="53" t="n"/>
      <c r="AX265" s="53" t="n"/>
      <c r="AY265" s="53" t="n"/>
    </row>
    <row r="266" ht="15" customHeight="1">
      <c r="A266" s="54" t="n"/>
      <c r="B266" s="55">
        <f>IF($B$265="","",$B$265)</f>
        <v/>
      </c>
      <c r="C266" s="56" t="inlineStr">
        <is>
          <t>기타</t>
        </is>
      </c>
      <c r="D266" s="55">
        <f>IF($D$265="","",$D$265)</f>
        <v/>
      </c>
      <c r="E266" s="57" t="inlineStr">
        <is>
          <t>이미지</t>
        </is>
      </c>
      <c r="F266" s="44" t="n"/>
      <c r="G266" s="58">
        <f>IF($G$265="","",$G$265)</f>
        <v/>
      </c>
      <c r="H266" s="59" t="n"/>
      <c r="I266" s="59" t="n"/>
      <c r="J266" s="59" t="n"/>
      <c r="K266" s="59" t="n"/>
      <c r="L266" s="60">
        <f>IF(SUM(U266:AY266)=0,"",SUM(U266:AY266))</f>
        <v/>
      </c>
      <c r="M266" s="61">
        <f>IFERROR(INDEX(U$2:AY$2,MATCH(TRUE,INDEX(U266:AY266&lt;&gt;"",0),0)),"")</f>
        <v/>
      </c>
      <c r="N266" s="61">
        <f>IFERROR(LOOKUP(2,1/(U266:AY266&lt;&gt;""),U$2:AY$2),"")</f>
        <v/>
      </c>
      <c r="O266" s="59" t="n"/>
      <c r="P266" s="59" t="n"/>
      <c r="Q266" s="59" t="n"/>
      <c r="R266" s="59" t="n"/>
      <c r="S266" s="14" t="n"/>
      <c r="U266" s="53" t="n"/>
      <c r="V266" s="53" t="n"/>
      <c r="W266" s="53" t="n"/>
      <c r="X266" s="53" t="n"/>
      <c r="Y266" s="53" t="n"/>
      <c r="Z266" s="53" t="n"/>
      <c r="AA266" s="53" t="n"/>
      <c r="AB266" s="53" t="n"/>
      <c r="AC266" s="53" t="n"/>
      <c r="AD266" s="53" t="n"/>
      <c r="AE266" s="53" t="n"/>
      <c r="AF266" s="53" t="n"/>
      <c r="AG266" s="53" t="n"/>
      <c r="AH266" s="53" t="n"/>
      <c r="AI266" s="53" t="n"/>
      <c r="AJ266" s="53" t="n"/>
      <c r="AK266" s="53" t="n"/>
      <c r="AL266" s="53" t="n"/>
      <c r="AM266" s="53" t="n"/>
      <c r="AN266" s="53" t="n"/>
      <c r="AO266" s="53" t="n"/>
      <c r="AP266" s="53" t="n"/>
      <c r="AQ266" s="53" t="n"/>
      <c r="AR266" s="53" t="n"/>
      <c r="AS266" s="53" t="n"/>
      <c r="AT266" s="53" t="n"/>
      <c r="AU266" s="53" t="n"/>
      <c r="AV266" s="53" t="n"/>
      <c r="AW266" s="53" t="n"/>
      <c r="AX266" s="53" t="n"/>
      <c r="AY266" s="53" t="n"/>
    </row>
    <row r="267" ht="15" customHeight="1">
      <c r="A267" s="62" t="n"/>
      <c r="B267" s="55">
        <f>IF($B$265="","",$B$265)</f>
        <v/>
      </c>
      <c r="C267" s="63" t="inlineStr">
        <is>
          <t>기타</t>
        </is>
      </c>
      <c r="D267" s="55">
        <f>IF($D$265="","",$D$265)</f>
        <v/>
      </c>
      <c r="E267" s="64" t="inlineStr">
        <is>
          <t>영상</t>
        </is>
      </c>
      <c r="F267" s="44" t="n"/>
      <c r="G267" s="58">
        <f>IF($G$265="","",$G$265)</f>
        <v/>
      </c>
      <c r="H267" s="59" t="n"/>
      <c r="I267" s="59" t="n"/>
      <c r="J267" s="59" t="n"/>
      <c r="K267" s="59" t="n"/>
      <c r="L267" s="65">
        <f>IF(SUM(U267:AY267)=0,"",SUM(U267:AY267))</f>
        <v/>
      </c>
      <c r="M267" s="66">
        <f>IFERROR(INDEX(U$2:AY$2,MATCH(TRUE,INDEX(U267:AY267&lt;&gt;"",0),0)),"")</f>
        <v/>
      </c>
      <c r="N267" s="66">
        <f>IFERROR(LOOKUP(2,1/(U267:AY267&lt;&gt;""),U$2:AY$2),"")</f>
        <v/>
      </c>
      <c r="O267" s="59" t="n"/>
      <c r="P267" s="59" t="n"/>
      <c r="Q267" s="59" t="n"/>
      <c r="R267" s="59" t="n"/>
      <c r="S267" s="14" t="n"/>
      <c r="U267" s="53" t="n"/>
      <c r="V267" s="53" t="n"/>
      <c r="W267" s="53" t="n"/>
      <c r="X267" s="53" t="n"/>
      <c r="Y267" s="53" t="n"/>
      <c r="Z267" s="53" t="n"/>
      <c r="AA267" s="53" t="n"/>
      <c r="AB267" s="53" t="n"/>
      <c r="AC267" s="53" t="n"/>
      <c r="AD267" s="53" t="n"/>
      <c r="AE267" s="53" t="n"/>
      <c r="AF267" s="53" t="n"/>
      <c r="AG267" s="53" t="n"/>
      <c r="AH267" s="53" t="n"/>
      <c r="AI267" s="53" t="n"/>
      <c r="AJ267" s="53" t="n"/>
      <c r="AK267" s="53" t="n"/>
      <c r="AL267" s="53" t="n"/>
      <c r="AM267" s="53" t="n"/>
      <c r="AN267" s="53" t="n"/>
      <c r="AO267" s="53" t="n"/>
      <c r="AP267" s="53" t="n"/>
      <c r="AQ267" s="53" t="n"/>
      <c r="AR267" s="53" t="n"/>
      <c r="AS267" s="53" t="n"/>
      <c r="AT267" s="53" t="n"/>
      <c r="AU267" s="53" t="n"/>
      <c r="AV267" s="53" t="n"/>
      <c r="AW267" s="53" t="n"/>
      <c r="AX267" s="53" t="n"/>
      <c r="AY267" s="53" t="n"/>
    </row>
    <row r="268" ht="15" customHeight="1">
      <c r="A268" s="40">
        <f>IF($D$268="","",86)</f>
        <v/>
      </c>
      <c r="B268" s="10" t="n"/>
      <c r="C268" s="41" t="inlineStr">
        <is>
          <t>기타</t>
        </is>
      </c>
      <c r="D268" s="42" t="n"/>
      <c r="E268" s="43" t="inlineStr">
        <is>
          <t>기획</t>
        </is>
      </c>
      <c r="F268" s="44" t="n"/>
      <c r="G268" s="45" t="n"/>
      <c r="H268" s="46">
        <f>IF($I$268="","",IF($I$268&lt;0,"🔴지연",IF($I$268&lt;=1,"🟡임박","🟢여유")))</f>
        <v/>
      </c>
      <c r="I268" s="47">
        <f>IF(OR($G$268="",$K$268=""),"",$G$268-$K$268)</f>
        <v/>
      </c>
      <c r="J268" s="48">
        <f>IF(SUM($L$268:$L$270)=0,"",SUM($L$268:$L$270))</f>
        <v/>
      </c>
      <c r="K268" s="49">
        <f>IF($J$268="","",MAX($N$268:$N$270))</f>
        <v/>
      </c>
      <c r="L268" s="50">
        <f>IF(SUM(U268:AY268)=0,"",SUM(U268:AY268))</f>
        <v/>
      </c>
      <c r="M268" s="51">
        <f>IFERROR(INDEX(U$2:AY$2,MATCH(TRUE,INDEX(U268:AY268&lt;&gt;"",0),0)),"")</f>
        <v/>
      </c>
      <c r="N268" s="51">
        <f>IFERROR(LOOKUP(2,1/(U268:AY268&lt;&gt;""),U$2:AY$2),"")</f>
        <v/>
      </c>
      <c r="O268" s="52" t="n"/>
      <c r="P268" s="52" t="n"/>
      <c r="Q268" s="52" t="n"/>
      <c r="R268" s="44" t="n"/>
      <c r="S268" s="14" t="n"/>
      <c r="U268" s="53" t="n"/>
      <c r="V268" s="53" t="n"/>
      <c r="W268" s="53" t="n"/>
      <c r="X268" s="53" t="n"/>
      <c r="Y268" s="53" t="n"/>
      <c r="Z268" s="53" t="n"/>
      <c r="AA268" s="53" t="n"/>
      <c r="AB268" s="53" t="n"/>
      <c r="AC268" s="53" t="n"/>
      <c r="AD268" s="53" t="n"/>
      <c r="AE268" s="53" t="n"/>
      <c r="AF268" s="53" t="n"/>
      <c r="AG268" s="53" t="n"/>
      <c r="AH268" s="53" t="n"/>
      <c r="AI268" s="53" t="n"/>
      <c r="AJ268" s="53" t="n"/>
      <c r="AK268" s="53" t="n"/>
      <c r="AL268" s="53" t="n"/>
      <c r="AM268" s="53" t="n"/>
      <c r="AN268" s="53" t="n"/>
      <c r="AO268" s="53" t="n"/>
      <c r="AP268" s="53" t="n"/>
      <c r="AQ268" s="53" t="n"/>
      <c r="AR268" s="53" t="n"/>
      <c r="AS268" s="53" t="n"/>
      <c r="AT268" s="53" t="n"/>
      <c r="AU268" s="53" t="n"/>
      <c r="AV268" s="53" t="n"/>
      <c r="AW268" s="53" t="n"/>
      <c r="AX268" s="53" t="n"/>
      <c r="AY268" s="53" t="n"/>
    </row>
    <row r="269" ht="15" customHeight="1">
      <c r="A269" s="54" t="n"/>
      <c r="B269" s="55">
        <f>IF($B$268="","",$B$268)</f>
        <v/>
      </c>
      <c r="C269" s="56" t="inlineStr">
        <is>
          <t>기타</t>
        </is>
      </c>
      <c r="D269" s="55">
        <f>IF($D$268="","",$D$268)</f>
        <v/>
      </c>
      <c r="E269" s="57" t="inlineStr">
        <is>
          <t>이미지</t>
        </is>
      </c>
      <c r="F269" s="44" t="n"/>
      <c r="G269" s="58">
        <f>IF($G$268="","",$G$268)</f>
        <v/>
      </c>
      <c r="H269" s="59" t="n"/>
      <c r="I269" s="59" t="n"/>
      <c r="J269" s="59" t="n"/>
      <c r="K269" s="59" t="n"/>
      <c r="L269" s="60">
        <f>IF(SUM(U269:AY269)=0,"",SUM(U269:AY269))</f>
        <v/>
      </c>
      <c r="M269" s="61">
        <f>IFERROR(INDEX(U$2:AY$2,MATCH(TRUE,INDEX(U269:AY269&lt;&gt;"",0),0)),"")</f>
        <v/>
      </c>
      <c r="N269" s="61">
        <f>IFERROR(LOOKUP(2,1/(U269:AY269&lt;&gt;""),U$2:AY$2),"")</f>
        <v/>
      </c>
      <c r="O269" s="59" t="n"/>
      <c r="P269" s="59" t="n"/>
      <c r="Q269" s="59" t="n"/>
      <c r="R269" s="59" t="n"/>
      <c r="S269" s="14" t="n"/>
      <c r="U269" s="53" t="n"/>
      <c r="V269" s="53" t="n"/>
      <c r="W269" s="53" t="n"/>
      <c r="X269" s="53" t="n"/>
      <c r="Y269" s="53" t="n"/>
      <c r="Z269" s="53" t="n"/>
      <c r="AA269" s="53" t="n"/>
      <c r="AB269" s="53" t="n"/>
      <c r="AC269" s="53" t="n"/>
      <c r="AD269" s="53" t="n"/>
      <c r="AE269" s="53" t="n"/>
      <c r="AF269" s="53" t="n"/>
      <c r="AG269" s="53" t="n"/>
      <c r="AH269" s="53" t="n"/>
      <c r="AI269" s="53" t="n"/>
      <c r="AJ269" s="53" t="n"/>
      <c r="AK269" s="53" t="n"/>
      <c r="AL269" s="53" t="n"/>
      <c r="AM269" s="53" t="n"/>
      <c r="AN269" s="53" t="n"/>
      <c r="AO269" s="53" t="n"/>
      <c r="AP269" s="53" t="n"/>
      <c r="AQ269" s="53" t="n"/>
      <c r="AR269" s="53" t="n"/>
      <c r="AS269" s="53" t="n"/>
      <c r="AT269" s="53" t="n"/>
      <c r="AU269" s="53" t="n"/>
      <c r="AV269" s="53" t="n"/>
      <c r="AW269" s="53" t="n"/>
      <c r="AX269" s="53" t="n"/>
      <c r="AY269" s="53" t="n"/>
    </row>
    <row r="270" ht="15" customHeight="1">
      <c r="A270" s="62" t="n"/>
      <c r="B270" s="55">
        <f>IF($B$268="","",$B$268)</f>
        <v/>
      </c>
      <c r="C270" s="63" t="inlineStr">
        <is>
          <t>기타</t>
        </is>
      </c>
      <c r="D270" s="55">
        <f>IF($D$268="","",$D$268)</f>
        <v/>
      </c>
      <c r="E270" s="64" t="inlineStr">
        <is>
          <t>영상</t>
        </is>
      </c>
      <c r="F270" s="44" t="n"/>
      <c r="G270" s="58">
        <f>IF($G$268="","",$G$268)</f>
        <v/>
      </c>
      <c r="H270" s="59" t="n"/>
      <c r="I270" s="59" t="n"/>
      <c r="J270" s="59" t="n"/>
      <c r="K270" s="59" t="n"/>
      <c r="L270" s="65">
        <f>IF(SUM(U270:AY270)=0,"",SUM(U270:AY270))</f>
        <v/>
      </c>
      <c r="M270" s="66">
        <f>IFERROR(INDEX(U$2:AY$2,MATCH(TRUE,INDEX(U270:AY270&lt;&gt;"",0),0)),"")</f>
        <v/>
      </c>
      <c r="N270" s="66">
        <f>IFERROR(LOOKUP(2,1/(U270:AY270&lt;&gt;""),U$2:AY$2),"")</f>
        <v/>
      </c>
      <c r="O270" s="59" t="n"/>
      <c r="P270" s="59" t="n"/>
      <c r="Q270" s="59" t="n"/>
      <c r="R270" s="59" t="n"/>
      <c r="S270" s="14" t="n"/>
      <c r="U270" s="53" t="n"/>
      <c r="V270" s="53" t="n"/>
      <c r="W270" s="53" t="n"/>
      <c r="X270" s="53" t="n"/>
      <c r="Y270" s="53" t="n"/>
      <c r="Z270" s="53" t="n"/>
      <c r="AA270" s="53" t="n"/>
      <c r="AB270" s="53" t="n"/>
      <c r="AC270" s="53" t="n"/>
      <c r="AD270" s="53" t="n"/>
      <c r="AE270" s="53" t="n"/>
      <c r="AF270" s="53" t="n"/>
      <c r="AG270" s="53" t="n"/>
      <c r="AH270" s="53" t="n"/>
      <c r="AI270" s="53" t="n"/>
      <c r="AJ270" s="53" t="n"/>
      <c r="AK270" s="53" t="n"/>
      <c r="AL270" s="53" t="n"/>
      <c r="AM270" s="53" t="n"/>
      <c r="AN270" s="53" t="n"/>
      <c r="AO270" s="53" t="n"/>
      <c r="AP270" s="53" t="n"/>
      <c r="AQ270" s="53" t="n"/>
      <c r="AR270" s="53" t="n"/>
      <c r="AS270" s="53" t="n"/>
      <c r="AT270" s="53" t="n"/>
      <c r="AU270" s="53" t="n"/>
      <c r="AV270" s="53" t="n"/>
      <c r="AW270" s="53" t="n"/>
      <c r="AX270" s="53" t="n"/>
      <c r="AY270" s="53" t="n"/>
    </row>
    <row r="271" ht="15" customHeight="1">
      <c r="A271" s="40">
        <f>IF($D$271="","",87)</f>
        <v/>
      </c>
      <c r="B271" s="10" t="n"/>
      <c r="C271" s="41" t="inlineStr">
        <is>
          <t>기타</t>
        </is>
      </c>
      <c r="D271" s="42" t="n"/>
      <c r="E271" s="43" t="inlineStr">
        <is>
          <t>기획</t>
        </is>
      </c>
      <c r="F271" s="44" t="n"/>
      <c r="G271" s="45" t="n"/>
      <c r="H271" s="46">
        <f>IF($I$271="","",IF($I$271&lt;0,"🔴지연",IF($I$271&lt;=1,"🟡임박","🟢여유")))</f>
        <v/>
      </c>
      <c r="I271" s="47">
        <f>IF(OR($G$271="",$K$271=""),"",$G$271-$K$271)</f>
        <v/>
      </c>
      <c r="J271" s="48">
        <f>IF(SUM($L$271:$L$273)=0,"",SUM($L$271:$L$273))</f>
        <v/>
      </c>
      <c r="K271" s="49">
        <f>IF($J$271="","",MAX($N$271:$N$273))</f>
        <v/>
      </c>
      <c r="L271" s="50">
        <f>IF(SUM(U271:AY271)=0,"",SUM(U271:AY271))</f>
        <v/>
      </c>
      <c r="M271" s="51">
        <f>IFERROR(INDEX(U$2:AY$2,MATCH(TRUE,INDEX(U271:AY271&lt;&gt;"",0),0)),"")</f>
        <v/>
      </c>
      <c r="N271" s="51">
        <f>IFERROR(LOOKUP(2,1/(U271:AY271&lt;&gt;""),U$2:AY$2),"")</f>
        <v/>
      </c>
      <c r="O271" s="52" t="n"/>
      <c r="P271" s="52" t="n"/>
      <c r="Q271" s="52" t="n"/>
      <c r="R271" s="44" t="n"/>
      <c r="S271" s="14" t="n"/>
      <c r="U271" s="53" t="n"/>
      <c r="V271" s="53" t="n"/>
      <c r="W271" s="53" t="n"/>
      <c r="X271" s="53" t="n"/>
      <c r="Y271" s="53" t="n"/>
      <c r="Z271" s="53" t="n"/>
      <c r="AA271" s="53" t="n"/>
      <c r="AB271" s="53" t="n"/>
      <c r="AC271" s="53" t="n"/>
      <c r="AD271" s="53" t="n"/>
      <c r="AE271" s="53" t="n"/>
      <c r="AF271" s="53" t="n"/>
      <c r="AG271" s="53" t="n"/>
      <c r="AH271" s="53" t="n"/>
      <c r="AI271" s="53" t="n"/>
      <c r="AJ271" s="53" t="n"/>
      <c r="AK271" s="53" t="n"/>
      <c r="AL271" s="53" t="n"/>
      <c r="AM271" s="53" t="n"/>
      <c r="AN271" s="53" t="n"/>
      <c r="AO271" s="53" t="n"/>
      <c r="AP271" s="53" t="n"/>
      <c r="AQ271" s="53" t="n"/>
      <c r="AR271" s="53" t="n"/>
      <c r="AS271" s="53" t="n"/>
      <c r="AT271" s="53" t="n"/>
      <c r="AU271" s="53" t="n"/>
      <c r="AV271" s="53" t="n"/>
      <c r="AW271" s="53" t="n"/>
      <c r="AX271" s="53" t="n"/>
      <c r="AY271" s="53" t="n"/>
    </row>
    <row r="272" ht="15" customHeight="1">
      <c r="A272" s="54" t="n"/>
      <c r="B272" s="55">
        <f>IF($B$271="","",$B$271)</f>
        <v/>
      </c>
      <c r="C272" s="56" t="inlineStr">
        <is>
          <t>기타</t>
        </is>
      </c>
      <c r="D272" s="55">
        <f>IF($D$271="","",$D$271)</f>
        <v/>
      </c>
      <c r="E272" s="57" t="inlineStr">
        <is>
          <t>이미지</t>
        </is>
      </c>
      <c r="F272" s="44" t="n"/>
      <c r="G272" s="58">
        <f>IF($G$271="","",$G$271)</f>
        <v/>
      </c>
      <c r="H272" s="59" t="n"/>
      <c r="I272" s="59" t="n"/>
      <c r="J272" s="59" t="n"/>
      <c r="K272" s="59" t="n"/>
      <c r="L272" s="60">
        <f>IF(SUM(U272:AY272)=0,"",SUM(U272:AY272))</f>
        <v/>
      </c>
      <c r="M272" s="61">
        <f>IFERROR(INDEX(U$2:AY$2,MATCH(TRUE,INDEX(U272:AY272&lt;&gt;"",0),0)),"")</f>
        <v/>
      </c>
      <c r="N272" s="61">
        <f>IFERROR(LOOKUP(2,1/(U272:AY272&lt;&gt;""),U$2:AY$2),"")</f>
        <v/>
      </c>
      <c r="O272" s="59" t="n"/>
      <c r="P272" s="59" t="n"/>
      <c r="Q272" s="59" t="n"/>
      <c r="R272" s="59" t="n"/>
      <c r="S272" s="14" t="n"/>
      <c r="U272" s="53" t="n"/>
      <c r="V272" s="53" t="n"/>
      <c r="W272" s="53" t="n"/>
      <c r="X272" s="53" t="n"/>
      <c r="Y272" s="53" t="n"/>
      <c r="Z272" s="53" t="n"/>
      <c r="AA272" s="53" t="n"/>
      <c r="AB272" s="53" t="n"/>
      <c r="AC272" s="53" t="n"/>
      <c r="AD272" s="53" t="n"/>
      <c r="AE272" s="53" t="n"/>
      <c r="AF272" s="53" t="n"/>
      <c r="AG272" s="53" t="n"/>
      <c r="AH272" s="53" t="n"/>
      <c r="AI272" s="53" t="n"/>
      <c r="AJ272" s="53" t="n"/>
      <c r="AK272" s="53" t="n"/>
      <c r="AL272" s="53" t="n"/>
      <c r="AM272" s="53" t="n"/>
      <c r="AN272" s="53" t="n"/>
      <c r="AO272" s="53" t="n"/>
      <c r="AP272" s="53" t="n"/>
      <c r="AQ272" s="53" t="n"/>
      <c r="AR272" s="53" t="n"/>
      <c r="AS272" s="53" t="n"/>
      <c r="AT272" s="53" t="n"/>
      <c r="AU272" s="53" t="n"/>
      <c r="AV272" s="53" t="n"/>
      <c r="AW272" s="53" t="n"/>
      <c r="AX272" s="53" t="n"/>
      <c r="AY272" s="53" t="n"/>
    </row>
    <row r="273" ht="15" customHeight="1">
      <c r="A273" s="62" t="n"/>
      <c r="B273" s="55">
        <f>IF($B$271="","",$B$271)</f>
        <v/>
      </c>
      <c r="C273" s="63" t="inlineStr">
        <is>
          <t>기타</t>
        </is>
      </c>
      <c r="D273" s="55">
        <f>IF($D$271="","",$D$271)</f>
        <v/>
      </c>
      <c r="E273" s="64" t="inlineStr">
        <is>
          <t>영상</t>
        </is>
      </c>
      <c r="F273" s="44" t="n"/>
      <c r="G273" s="58">
        <f>IF($G$271="","",$G$271)</f>
        <v/>
      </c>
      <c r="H273" s="59" t="n"/>
      <c r="I273" s="59" t="n"/>
      <c r="J273" s="59" t="n"/>
      <c r="K273" s="59" t="n"/>
      <c r="L273" s="65">
        <f>IF(SUM(U273:AY273)=0,"",SUM(U273:AY273))</f>
        <v/>
      </c>
      <c r="M273" s="66">
        <f>IFERROR(INDEX(U$2:AY$2,MATCH(TRUE,INDEX(U273:AY273&lt;&gt;"",0),0)),"")</f>
        <v/>
      </c>
      <c r="N273" s="66">
        <f>IFERROR(LOOKUP(2,1/(U273:AY273&lt;&gt;""),U$2:AY$2),"")</f>
        <v/>
      </c>
      <c r="O273" s="59" t="n"/>
      <c r="P273" s="59" t="n"/>
      <c r="Q273" s="59" t="n"/>
      <c r="R273" s="59" t="n"/>
      <c r="S273" s="14" t="n"/>
      <c r="U273" s="53" t="n"/>
      <c r="V273" s="53" t="n"/>
      <c r="W273" s="53" t="n"/>
      <c r="X273" s="53" t="n"/>
      <c r="Y273" s="53" t="n"/>
      <c r="Z273" s="53" t="n"/>
      <c r="AA273" s="53" t="n"/>
      <c r="AB273" s="53" t="n"/>
      <c r="AC273" s="53" t="n"/>
      <c r="AD273" s="53" t="n"/>
      <c r="AE273" s="53" t="n"/>
      <c r="AF273" s="53" t="n"/>
      <c r="AG273" s="53" t="n"/>
      <c r="AH273" s="53" t="n"/>
      <c r="AI273" s="53" t="n"/>
      <c r="AJ273" s="53" t="n"/>
      <c r="AK273" s="53" t="n"/>
      <c r="AL273" s="53" t="n"/>
      <c r="AM273" s="53" t="n"/>
      <c r="AN273" s="53" t="n"/>
      <c r="AO273" s="53" t="n"/>
      <c r="AP273" s="53" t="n"/>
      <c r="AQ273" s="53" t="n"/>
      <c r="AR273" s="53" t="n"/>
      <c r="AS273" s="53" t="n"/>
      <c r="AT273" s="53" t="n"/>
      <c r="AU273" s="53" t="n"/>
      <c r="AV273" s="53" t="n"/>
      <c r="AW273" s="53" t="n"/>
      <c r="AX273" s="53" t="n"/>
      <c r="AY273" s="53" t="n"/>
    </row>
    <row r="274" ht="15" customHeight="1">
      <c r="A274" s="40">
        <f>IF($D$274="","",88)</f>
        <v/>
      </c>
      <c r="B274" s="10" t="n"/>
      <c r="C274" s="41" t="inlineStr">
        <is>
          <t>기타</t>
        </is>
      </c>
      <c r="D274" s="42" t="n"/>
      <c r="E274" s="43" t="inlineStr">
        <is>
          <t>기획</t>
        </is>
      </c>
      <c r="F274" s="44" t="n"/>
      <c r="G274" s="45" t="n"/>
      <c r="H274" s="46">
        <f>IF($I$274="","",IF($I$274&lt;0,"🔴지연",IF($I$274&lt;=1,"🟡임박","🟢여유")))</f>
        <v/>
      </c>
      <c r="I274" s="47">
        <f>IF(OR($G$274="",$K$274=""),"",$G$274-$K$274)</f>
        <v/>
      </c>
      <c r="J274" s="48">
        <f>IF(SUM($L$274:$L$276)=0,"",SUM($L$274:$L$276))</f>
        <v/>
      </c>
      <c r="K274" s="49">
        <f>IF($J$274="","",MAX($N$274:$N$276))</f>
        <v/>
      </c>
      <c r="L274" s="50">
        <f>IF(SUM(U274:AY274)=0,"",SUM(U274:AY274))</f>
        <v/>
      </c>
      <c r="M274" s="51">
        <f>IFERROR(INDEX(U$2:AY$2,MATCH(TRUE,INDEX(U274:AY274&lt;&gt;"",0),0)),"")</f>
        <v/>
      </c>
      <c r="N274" s="51">
        <f>IFERROR(LOOKUP(2,1/(U274:AY274&lt;&gt;""),U$2:AY$2),"")</f>
        <v/>
      </c>
      <c r="O274" s="52" t="n"/>
      <c r="P274" s="52" t="n"/>
      <c r="Q274" s="52" t="n"/>
      <c r="R274" s="44" t="n"/>
      <c r="S274" s="14" t="n"/>
      <c r="U274" s="53" t="n"/>
      <c r="V274" s="53" t="n"/>
      <c r="W274" s="53" t="n"/>
      <c r="X274" s="53" t="n"/>
      <c r="Y274" s="53" t="n"/>
      <c r="Z274" s="53" t="n"/>
      <c r="AA274" s="53" t="n"/>
      <c r="AB274" s="53" t="n"/>
      <c r="AC274" s="53" t="n"/>
      <c r="AD274" s="53" t="n"/>
      <c r="AE274" s="53" t="n"/>
      <c r="AF274" s="53" t="n"/>
      <c r="AG274" s="53" t="n"/>
      <c r="AH274" s="53" t="n"/>
      <c r="AI274" s="53" t="n"/>
      <c r="AJ274" s="53" t="n"/>
      <c r="AK274" s="53" t="n"/>
      <c r="AL274" s="53" t="n"/>
      <c r="AM274" s="53" t="n"/>
      <c r="AN274" s="53" t="n"/>
      <c r="AO274" s="53" t="n"/>
      <c r="AP274" s="53" t="n"/>
      <c r="AQ274" s="53" t="n"/>
      <c r="AR274" s="53" t="n"/>
      <c r="AS274" s="53" t="n"/>
      <c r="AT274" s="53" t="n"/>
      <c r="AU274" s="53" t="n"/>
      <c r="AV274" s="53" t="n"/>
      <c r="AW274" s="53" t="n"/>
      <c r="AX274" s="53" t="n"/>
      <c r="AY274" s="53" t="n"/>
    </row>
    <row r="275" ht="15" customHeight="1">
      <c r="A275" s="54" t="n"/>
      <c r="B275" s="55">
        <f>IF($B$274="","",$B$274)</f>
        <v/>
      </c>
      <c r="C275" s="56" t="inlineStr">
        <is>
          <t>기타</t>
        </is>
      </c>
      <c r="D275" s="55">
        <f>IF($D$274="","",$D$274)</f>
        <v/>
      </c>
      <c r="E275" s="57" t="inlineStr">
        <is>
          <t>이미지</t>
        </is>
      </c>
      <c r="F275" s="44" t="n"/>
      <c r="G275" s="58">
        <f>IF($G$274="","",$G$274)</f>
        <v/>
      </c>
      <c r="H275" s="59" t="n"/>
      <c r="I275" s="59" t="n"/>
      <c r="J275" s="59" t="n"/>
      <c r="K275" s="59" t="n"/>
      <c r="L275" s="60">
        <f>IF(SUM(U275:AY275)=0,"",SUM(U275:AY275))</f>
        <v/>
      </c>
      <c r="M275" s="61">
        <f>IFERROR(INDEX(U$2:AY$2,MATCH(TRUE,INDEX(U275:AY275&lt;&gt;"",0),0)),"")</f>
        <v/>
      </c>
      <c r="N275" s="61">
        <f>IFERROR(LOOKUP(2,1/(U275:AY275&lt;&gt;""),U$2:AY$2),"")</f>
        <v/>
      </c>
      <c r="O275" s="59" t="n"/>
      <c r="P275" s="59" t="n"/>
      <c r="Q275" s="59" t="n"/>
      <c r="R275" s="59" t="n"/>
      <c r="S275" s="14" t="n"/>
      <c r="U275" s="53" t="n"/>
      <c r="V275" s="53" t="n"/>
      <c r="W275" s="53" t="n"/>
      <c r="X275" s="53" t="n"/>
      <c r="Y275" s="53" t="n"/>
      <c r="Z275" s="53" t="n"/>
      <c r="AA275" s="53" t="n"/>
      <c r="AB275" s="53" t="n"/>
      <c r="AC275" s="53" t="n"/>
      <c r="AD275" s="53" t="n"/>
      <c r="AE275" s="53" t="n"/>
      <c r="AF275" s="53" t="n"/>
      <c r="AG275" s="53" t="n"/>
      <c r="AH275" s="53" t="n"/>
      <c r="AI275" s="53" t="n"/>
      <c r="AJ275" s="53" t="n"/>
      <c r="AK275" s="53" t="n"/>
      <c r="AL275" s="53" t="n"/>
      <c r="AM275" s="53" t="n"/>
      <c r="AN275" s="53" t="n"/>
      <c r="AO275" s="53" t="n"/>
      <c r="AP275" s="53" t="n"/>
      <c r="AQ275" s="53" t="n"/>
      <c r="AR275" s="53" t="n"/>
      <c r="AS275" s="53" t="n"/>
      <c r="AT275" s="53" t="n"/>
      <c r="AU275" s="53" t="n"/>
      <c r="AV275" s="53" t="n"/>
      <c r="AW275" s="53" t="n"/>
      <c r="AX275" s="53" t="n"/>
      <c r="AY275" s="53" t="n"/>
    </row>
    <row r="276" ht="15" customHeight="1">
      <c r="A276" s="62" t="n"/>
      <c r="B276" s="55">
        <f>IF($B$274="","",$B$274)</f>
        <v/>
      </c>
      <c r="C276" s="63" t="inlineStr">
        <is>
          <t>기타</t>
        </is>
      </c>
      <c r="D276" s="55">
        <f>IF($D$274="","",$D$274)</f>
        <v/>
      </c>
      <c r="E276" s="64" t="inlineStr">
        <is>
          <t>영상</t>
        </is>
      </c>
      <c r="F276" s="44" t="n"/>
      <c r="G276" s="58">
        <f>IF($G$274="","",$G$274)</f>
        <v/>
      </c>
      <c r="H276" s="59" t="n"/>
      <c r="I276" s="59" t="n"/>
      <c r="J276" s="59" t="n"/>
      <c r="K276" s="59" t="n"/>
      <c r="L276" s="65">
        <f>IF(SUM(U276:AY276)=0,"",SUM(U276:AY276))</f>
        <v/>
      </c>
      <c r="M276" s="66">
        <f>IFERROR(INDEX(U$2:AY$2,MATCH(TRUE,INDEX(U276:AY276&lt;&gt;"",0),0)),"")</f>
        <v/>
      </c>
      <c r="N276" s="66">
        <f>IFERROR(LOOKUP(2,1/(U276:AY276&lt;&gt;""),U$2:AY$2),"")</f>
        <v/>
      </c>
      <c r="O276" s="59" t="n"/>
      <c r="P276" s="59" t="n"/>
      <c r="Q276" s="59" t="n"/>
      <c r="R276" s="59" t="n"/>
      <c r="S276" s="14" t="n"/>
      <c r="U276" s="53" t="n"/>
      <c r="V276" s="53" t="n"/>
      <c r="W276" s="53" t="n"/>
      <c r="X276" s="53" t="n"/>
      <c r="Y276" s="53" t="n"/>
      <c r="Z276" s="53" t="n"/>
      <c r="AA276" s="53" t="n"/>
      <c r="AB276" s="53" t="n"/>
      <c r="AC276" s="53" t="n"/>
      <c r="AD276" s="53" t="n"/>
      <c r="AE276" s="53" t="n"/>
      <c r="AF276" s="53" t="n"/>
      <c r="AG276" s="53" t="n"/>
      <c r="AH276" s="53" t="n"/>
      <c r="AI276" s="53" t="n"/>
      <c r="AJ276" s="53" t="n"/>
      <c r="AK276" s="53" t="n"/>
      <c r="AL276" s="53" t="n"/>
      <c r="AM276" s="53" t="n"/>
      <c r="AN276" s="53" t="n"/>
      <c r="AO276" s="53" t="n"/>
      <c r="AP276" s="53" t="n"/>
      <c r="AQ276" s="53" t="n"/>
      <c r="AR276" s="53" t="n"/>
      <c r="AS276" s="53" t="n"/>
      <c r="AT276" s="53" t="n"/>
      <c r="AU276" s="53" t="n"/>
      <c r="AV276" s="53" t="n"/>
      <c r="AW276" s="53" t="n"/>
      <c r="AX276" s="53" t="n"/>
      <c r="AY276" s="53" t="n"/>
    </row>
    <row r="277" ht="15" customHeight="1">
      <c r="A277" s="40">
        <f>IF($D$277="","",89)</f>
        <v/>
      </c>
      <c r="B277" s="10" t="n"/>
      <c r="C277" s="41" t="inlineStr">
        <is>
          <t>기타</t>
        </is>
      </c>
      <c r="D277" s="42" t="n"/>
      <c r="E277" s="43" t="inlineStr">
        <is>
          <t>기획</t>
        </is>
      </c>
      <c r="F277" s="44" t="n"/>
      <c r="G277" s="45" t="n"/>
      <c r="H277" s="46">
        <f>IF($I$277="","",IF($I$277&lt;0,"🔴지연",IF($I$277&lt;=1,"🟡임박","🟢여유")))</f>
        <v/>
      </c>
      <c r="I277" s="47">
        <f>IF(OR($G$277="",$K$277=""),"",$G$277-$K$277)</f>
        <v/>
      </c>
      <c r="J277" s="48">
        <f>IF(SUM($L$277:$L$279)=0,"",SUM($L$277:$L$279))</f>
        <v/>
      </c>
      <c r="K277" s="49">
        <f>IF($J$277="","",MAX($N$277:$N$279))</f>
        <v/>
      </c>
      <c r="L277" s="50">
        <f>IF(SUM(U277:AY277)=0,"",SUM(U277:AY277))</f>
        <v/>
      </c>
      <c r="M277" s="51">
        <f>IFERROR(INDEX(U$2:AY$2,MATCH(TRUE,INDEX(U277:AY277&lt;&gt;"",0),0)),"")</f>
        <v/>
      </c>
      <c r="N277" s="51">
        <f>IFERROR(LOOKUP(2,1/(U277:AY277&lt;&gt;""),U$2:AY$2),"")</f>
        <v/>
      </c>
      <c r="O277" s="52" t="n"/>
      <c r="P277" s="52" t="n"/>
      <c r="Q277" s="52" t="n"/>
      <c r="R277" s="44" t="n"/>
      <c r="S277" s="14" t="n"/>
      <c r="U277" s="53" t="n"/>
      <c r="V277" s="53" t="n"/>
      <c r="W277" s="53" t="n"/>
      <c r="X277" s="53" t="n"/>
      <c r="Y277" s="53" t="n"/>
      <c r="Z277" s="53" t="n"/>
      <c r="AA277" s="53" t="n"/>
      <c r="AB277" s="53" t="n"/>
      <c r="AC277" s="53" t="n"/>
      <c r="AD277" s="53" t="n"/>
      <c r="AE277" s="53" t="n"/>
      <c r="AF277" s="53" t="n"/>
      <c r="AG277" s="53" t="n"/>
      <c r="AH277" s="53" t="n"/>
      <c r="AI277" s="53" t="n"/>
      <c r="AJ277" s="53" t="n"/>
      <c r="AK277" s="53" t="n"/>
      <c r="AL277" s="53" t="n"/>
      <c r="AM277" s="53" t="n"/>
      <c r="AN277" s="53" t="n"/>
      <c r="AO277" s="53" t="n"/>
      <c r="AP277" s="53" t="n"/>
      <c r="AQ277" s="53" t="n"/>
      <c r="AR277" s="53" t="n"/>
      <c r="AS277" s="53" t="n"/>
      <c r="AT277" s="53" t="n"/>
      <c r="AU277" s="53" t="n"/>
      <c r="AV277" s="53" t="n"/>
      <c r="AW277" s="53" t="n"/>
      <c r="AX277" s="53" t="n"/>
      <c r="AY277" s="53" t="n"/>
    </row>
    <row r="278" ht="15" customHeight="1">
      <c r="A278" s="54" t="n"/>
      <c r="B278" s="55">
        <f>IF($B$277="","",$B$277)</f>
        <v/>
      </c>
      <c r="C278" s="56" t="inlineStr">
        <is>
          <t>기타</t>
        </is>
      </c>
      <c r="D278" s="55">
        <f>IF($D$277="","",$D$277)</f>
        <v/>
      </c>
      <c r="E278" s="57" t="inlineStr">
        <is>
          <t>이미지</t>
        </is>
      </c>
      <c r="F278" s="44" t="n"/>
      <c r="G278" s="58">
        <f>IF($G$277="","",$G$277)</f>
        <v/>
      </c>
      <c r="H278" s="59" t="n"/>
      <c r="I278" s="59" t="n"/>
      <c r="J278" s="59" t="n"/>
      <c r="K278" s="59" t="n"/>
      <c r="L278" s="60">
        <f>IF(SUM(U278:AY278)=0,"",SUM(U278:AY278))</f>
        <v/>
      </c>
      <c r="M278" s="61">
        <f>IFERROR(INDEX(U$2:AY$2,MATCH(TRUE,INDEX(U278:AY278&lt;&gt;"",0),0)),"")</f>
        <v/>
      </c>
      <c r="N278" s="61">
        <f>IFERROR(LOOKUP(2,1/(U278:AY278&lt;&gt;""),U$2:AY$2),"")</f>
        <v/>
      </c>
      <c r="O278" s="59" t="n"/>
      <c r="P278" s="59" t="n"/>
      <c r="Q278" s="59" t="n"/>
      <c r="R278" s="59" t="n"/>
      <c r="S278" s="14" t="n"/>
      <c r="U278" s="53" t="n"/>
      <c r="V278" s="53" t="n"/>
      <c r="W278" s="53" t="n"/>
      <c r="X278" s="53" t="n"/>
      <c r="Y278" s="53" t="n"/>
      <c r="Z278" s="53" t="n"/>
      <c r="AA278" s="53" t="n"/>
      <c r="AB278" s="53" t="n"/>
      <c r="AC278" s="53" t="n"/>
      <c r="AD278" s="53" t="n"/>
      <c r="AE278" s="53" t="n"/>
      <c r="AF278" s="53" t="n"/>
      <c r="AG278" s="53" t="n"/>
      <c r="AH278" s="53" t="n"/>
      <c r="AI278" s="53" t="n"/>
      <c r="AJ278" s="53" t="n"/>
      <c r="AK278" s="53" t="n"/>
      <c r="AL278" s="53" t="n"/>
      <c r="AM278" s="53" t="n"/>
      <c r="AN278" s="53" t="n"/>
      <c r="AO278" s="53" t="n"/>
      <c r="AP278" s="53" t="n"/>
      <c r="AQ278" s="53" t="n"/>
      <c r="AR278" s="53" t="n"/>
      <c r="AS278" s="53" t="n"/>
      <c r="AT278" s="53" t="n"/>
      <c r="AU278" s="53" t="n"/>
      <c r="AV278" s="53" t="n"/>
      <c r="AW278" s="53" t="n"/>
      <c r="AX278" s="53" t="n"/>
      <c r="AY278" s="53" t="n"/>
    </row>
    <row r="279" ht="15" customHeight="1">
      <c r="A279" s="62" t="n"/>
      <c r="B279" s="55">
        <f>IF($B$277="","",$B$277)</f>
        <v/>
      </c>
      <c r="C279" s="63" t="inlineStr">
        <is>
          <t>기타</t>
        </is>
      </c>
      <c r="D279" s="55">
        <f>IF($D$277="","",$D$277)</f>
        <v/>
      </c>
      <c r="E279" s="64" t="inlineStr">
        <is>
          <t>영상</t>
        </is>
      </c>
      <c r="F279" s="44" t="n"/>
      <c r="G279" s="58">
        <f>IF($G$277="","",$G$277)</f>
        <v/>
      </c>
      <c r="H279" s="59" t="n"/>
      <c r="I279" s="59" t="n"/>
      <c r="J279" s="59" t="n"/>
      <c r="K279" s="59" t="n"/>
      <c r="L279" s="65">
        <f>IF(SUM(U279:AY279)=0,"",SUM(U279:AY279))</f>
        <v/>
      </c>
      <c r="M279" s="66">
        <f>IFERROR(INDEX(U$2:AY$2,MATCH(TRUE,INDEX(U279:AY279&lt;&gt;"",0),0)),"")</f>
        <v/>
      </c>
      <c r="N279" s="66">
        <f>IFERROR(LOOKUP(2,1/(U279:AY279&lt;&gt;""),U$2:AY$2),"")</f>
        <v/>
      </c>
      <c r="O279" s="59" t="n"/>
      <c r="P279" s="59" t="n"/>
      <c r="Q279" s="59" t="n"/>
      <c r="R279" s="59" t="n"/>
      <c r="S279" s="14" t="n"/>
      <c r="U279" s="53" t="n"/>
      <c r="V279" s="53" t="n"/>
      <c r="W279" s="53" t="n"/>
      <c r="X279" s="53" t="n"/>
      <c r="Y279" s="53" t="n"/>
      <c r="Z279" s="53" t="n"/>
      <c r="AA279" s="53" t="n"/>
      <c r="AB279" s="53" t="n"/>
      <c r="AC279" s="53" t="n"/>
      <c r="AD279" s="53" t="n"/>
      <c r="AE279" s="53" t="n"/>
      <c r="AF279" s="53" t="n"/>
      <c r="AG279" s="53" t="n"/>
      <c r="AH279" s="53" t="n"/>
      <c r="AI279" s="53" t="n"/>
      <c r="AJ279" s="53" t="n"/>
      <c r="AK279" s="53" t="n"/>
      <c r="AL279" s="53" t="n"/>
      <c r="AM279" s="53" t="n"/>
      <c r="AN279" s="53" t="n"/>
      <c r="AO279" s="53" t="n"/>
      <c r="AP279" s="53" t="n"/>
      <c r="AQ279" s="53" t="n"/>
      <c r="AR279" s="53" t="n"/>
      <c r="AS279" s="53" t="n"/>
      <c r="AT279" s="53" t="n"/>
      <c r="AU279" s="53" t="n"/>
      <c r="AV279" s="53" t="n"/>
      <c r="AW279" s="53" t="n"/>
      <c r="AX279" s="53" t="n"/>
      <c r="AY279" s="53" t="n"/>
    </row>
    <row r="280" ht="15" customHeight="1">
      <c r="A280" s="40">
        <f>IF($D$280="","",90)</f>
        <v/>
      </c>
      <c r="B280" s="10" t="n"/>
      <c r="C280" s="41" t="inlineStr">
        <is>
          <t>기타</t>
        </is>
      </c>
      <c r="D280" s="42" t="n"/>
      <c r="E280" s="43" t="inlineStr">
        <is>
          <t>기획</t>
        </is>
      </c>
      <c r="F280" s="44" t="n"/>
      <c r="G280" s="45" t="n"/>
      <c r="H280" s="46">
        <f>IF($I$280="","",IF($I$280&lt;0,"🔴지연",IF($I$280&lt;=1,"🟡임박","🟢여유")))</f>
        <v/>
      </c>
      <c r="I280" s="47">
        <f>IF(OR($G$280="",$K$280=""),"",$G$280-$K$280)</f>
        <v/>
      </c>
      <c r="J280" s="48">
        <f>IF(SUM($L$280:$L$282)=0,"",SUM($L$280:$L$282))</f>
        <v/>
      </c>
      <c r="K280" s="49">
        <f>IF($J$280="","",MAX($N$280:$N$282))</f>
        <v/>
      </c>
      <c r="L280" s="50">
        <f>IF(SUM(U280:AY280)=0,"",SUM(U280:AY280))</f>
        <v/>
      </c>
      <c r="M280" s="51">
        <f>IFERROR(INDEX(U$2:AY$2,MATCH(TRUE,INDEX(U280:AY280&lt;&gt;"",0),0)),"")</f>
        <v/>
      </c>
      <c r="N280" s="51">
        <f>IFERROR(LOOKUP(2,1/(U280:AY280&lt;&gt;""),U$2:AY$2),"")</f>
        <v/>
      </c>
      <c r="O280" s="52" t="n"/>
      <c r="P280" s="52" t="n"/>
      <c r="Q280" s="52" t="n"/>
      <c r="R280" s="44" t="n"/>
      <c r="S280" s="14" t="n"/>
      <c r="U280" s="53" t="n"/>
      <c r="V280" s="53" t="n"/>
      <c r="W280" s="53" t="n"/>
      <c r="X280" s="53" t="n"/>
      <c r="Y280" s="53" t="n"/>
      <c r="Z280" s="53" t="n"/>
      <c r="AA280" s="53" t="n"/>
      <c r="AB280" s="53" t="n"/>
      <c r="AC280" s="53" t="n"/>
      <c r="AD280" s="53" t="n"/>
      <c r="AE280" s="53" t="n"/>
      <c r="AF280" s="53" t="n"/>
      <c r="AG280" s="53" t="n"/>
      <c r="AH280" s="53" t="n"/>
      <c r="AI280" s="53" t="n"/>
      <c r="AJ280" s="53" t="n"/>
      <c r="AK280" s="53" t="n"/>
      <c r="AL280" s="53" t="n"/>
      <c r="AM280" s="53" t="n"/>
      <c r="AN280" s="53" t="n"/>
      <c r="AO280" s="53" t="n"/>
      <c r="AP280" s="53" t="n"/>
      <c r="AQ280" s="53" t="n"/>
      <c r="AR280" s="53" t="n"/>
      <c r="AS280" s="53" t="n"/>
      <c r="AT280" s="53" t="n"/>
      <c r="AU280" s="53" t="n"/>
      <c r="AV280" s="53" t="n"/>
      <c r="AW280" s="53" t="n"/>
      <c r="AX280" s="53" t="n"/>
      <c r="AY280" s="53" t="n"/>
    </row>
    <row r="281" ht="15" customHeight="1">
      <c r="A281" s="54" t="n"/>
      <c r="B281" s="55">
        <f>IF($B$280="","",$B$280)</f>
        <v/>
      </c>
      <c r="C281" s="56" t="inlineStr">
        <is>
          <t>기타</t>
        </is>
      </c>
      <c r="D281" s="55">
        <f>IF($D$280="","",$D$280)</f>
        <v/>
      </c>
      <c r="E281" s="57" t="inlineStr">
        <is>
          <t>이미지</t>
        </is>
      </c>
      <c r="F281" s="44" t="n"/>
      <c r="G281" s="58">
        <f>IF($G$280="","",$G$280)</f>
        <v/>
      </c>
      <c r="H281" s="59" t="n"/>
      <c r="I281" s="59" t="n"/>
      <c r="J281" s="59" t="n"/>
      <c r="K281" s="59" t="n"/>
      <c r="L281" s="60">
        <f>IF(SUM(U281:AY281)=0,"",SUM(U281:AY281))</f>
        <v/>
      </c>
      <c r="M281" s="61">
        <f>IFERROR(INDEX(U$2:AY$2,MATCH(TRUE,INDEX(U281:AY281&lt;&gt;"",0),0)),"")</f>
        <v/>
      </c>
      <c r="N281" s="61">
        <f>IFERROR(LOOKUP(2,1/(U281:AY281&lt;&gt;""),U$2:AY$2),"")</f>
        <v/>
      </c>
      <c r="O281" s="59" t="n"/>
      <c r="P281" s="59" t="n"/>
      <c r="Q281" s="59" t="n"/>
      <c r="R281" s="59" t="n"/>
      <c r="S281" s="14" t="n"/>
      <c r="U281" s="53" t="n"/>
      <c r="V281" s="53" t="n"/>
      <c r="W281" s="53" t="n"/>
      <c r="X281" s="53" t="n"/>
      <c r="Y281" s="53" t="n"/>
      <c r="Z281" s="53" t="n"/>
      <c r="AA281" s="53" t="n"/>
      <c r="AB281" s="53" t="n"/>
      <c r="AC281" s="53" t="n"/>
      <c r="AD281" s="53" t="n"/>
      <c r="AE281" s="53" t="n"/>
      <c r="AF281" s="53" t="n"/>
      <c r="AG281" s="53" t="n"/>
      <c r="AH281" s="53" t="n"/>
      <c r="AI281" s="53" t="n"/>
      <c r="AJ281" s="53" t="n"/>
      <c r="AK281" s="53" t="n"/>
      <c r="AL281" s="53" t="n"/>
      <c r="AM281" s="53" t="n"/>
      <c r="AN281" s="53" t="n"/>
      <c r="AO281" s="53" t="n"/>
      <c r="AP281" s="53" t="n"/>
      <c r="AQ281" s="53" t="n"/>
      <c r="AR281" s="53" t="n"/>
      <c r="AS281" s="53" t="n"/>
      <c r="AT281" s="53" t="n"/>
      <c r="AU281" s="53" t="n"/>
      <c r="AV281" s="53" t="n"/>
      <c r="AW281" s="53" t="n"/>
      <c r="AX281" s="53" t="n"/>
      <c r="AY281" s="53" t="n"/>
    </row>
    <row r="282" ht="15" customHeight="1">
      <c r="A282" s="62" t="n"/>
      <c r="B282" s="55">
        <f>IF($B$280="","",$B$280)</f>
        <v/>
      </c>
      <c r="C282" s="63" t="inlineStr">
        <is>
          <t>기타</t>
        </is>
      </c>
      <c r="D282" s="55">
        <f>IF($D$280="","",$D$280)</f>
        <v/>
      </c>
      <c r="E282" s="64" t="inlineStr">
        <is>
          <t>영상</t>
        </is>
      </c>
      <c r="F282" s="44" t="n"/>
      <c r="G282" s="58">
        <f>IF($G$280="","",$G$280)</f>
        <v/>
      </c>
      <c r="H282" s="59" t="n"/>
      <c r="I282" s="59" t="n"/>
      <c r="J282" s="59" t="n"/>
      <c r="K282" s="59" t="n"/>
      <c r="L282" s="65">
        <f>IF(SUM(U282:AY282)=0,"",SUM(U282:AY282))</f>
        <v/>
      </c>
      <c r="M282" s="66">
        <f>IFERROR(INDEX(U$2:AY$2,MATCH(TRUE,INDEX(U282:AY282&lt;&gt;"",0),0)),"")</f>
        <v/>
      </c>
      <c r="N282" s="66">
        <f>IFERROR(LOOKUP(2,1/(U282:AY282&lt;&gt;""),U$2:AY$2),"")</f>
        <v/>
      </c>
      <c r="O282" s="59" t="n"/>
      <c r="P282" s="59" t="n"/>
      <c r="Q282" s="59" t="n"/>
      <c r="R282" s="59" t="n"/>
      <c r="S282" s="14" t="n"/>
      <c r="U282" s="53" t="n"/>
      <c r="V282" s="53" t="n"/>
      <c r="W282" s="53" t="n"/>
      <c r="X282" s="53" t="n"/>
      <c r="Y282" s="53" t="n"/>
      <c r="Z282" s="53" t="n"/>
      <c r="AA282" s="53" t="n"/>
      <c r="AB282" s="53" t="n"/>
      <c r="AC282" s="53" t="n"/>
      <c r="AD282" s="53" t="n"/>
      <c r="AE282" s="53" t="n"/>
      <c r="AF282" s="53" t="n"/>
      <c r="AG282" s="53" t="n"/>
      <c r="AH282" s="53" t="n"/>
      <c r="AI282" s="53" t="n"/>
      <c r="AJ282" s="53" t="n"/>
      <c r="AK282" s="53" t="n"/>
      <c r="AL282" s="53" t="n"/>
      <c r="AM282" s="53" t="n"/>
      <c r="AN282" s="53" t="n"/>
      <c r="AO282" s="53" t="n"/>
      <c r="AP282" s="53" t="n"/>
      <c r="AQ282" s="53" t="n"/>
      <c r="AR282" s="53" t="n"/>
      <c r="AS282" s="53" t="n"/>
      <c r="AT282" s="53" t="n"/>
      <c r="AU282" s="53" t="n"/>
      <c r="AV282" s="53" t="n"/>
      <c r="AW282" s="53" t="n"/>
      <c r="AX282" s="53" t="n"/>
      <c r="AY282" s="53" t="n"/>
    </row>
    <row r="283" ht="15" customHeight="1">
      <c r="A283" s="40">
        <f>IF($D$283="","",91)</f>
        <v/>
      </c>
      <c r="B283" s="10" t="n"/>
      <c r="C283" s="41" t="inlineStr">
        <is>
          <t>기타</t>
        </is>
      </c>
      <c r="D283" s="42" t="n"/>
      <c r="E283" s="43" t="inlineStr">
        <is>
          <t>기획</t>
        </is>
      </c>
      <c r="F283" s="44" t="n"/>
      <c r="G283" s="45" t="n"/>
      <c r="H283" s="46">
        <f>IF($I$283="","",IF($I$283&lt;0,"🔴지연",IF($I$283&lt;=1,"🟡임박","🟢여유")))</f>
        <v/>
      </c>
      <c r="I283" s="47">
        <f>IF(OR($G$283="",$K$283=""),"",$G$283-$K$283)</f>
        <v/>
      </c>
      <c r="J283" s="48">
        <f>IF(SUM($L$283:$L$285)=0,"",SUM($L$283:$L$285))</f>
        <v/>
      </c>
      <c r="K283" s="49">
        <f>IF($J$283="","",MAX($N$283:$N$285))</f>
        <v/>
      </c>
      <c r="L283" s="50">
        <f>IF(SUM(U283:AY283)=0,"",SUM(U283:AY283))</f>
        <v/>
      </c>
      <c r="M283" s="51">
        <f>IFERROR(INDEX(U$2:AY$2,MATCH(TRUE,INDEX(U283:AY283&lt;&gt;"",0),0)),"")</f>
        <v/>
      </c>
      <c r="N283" s="51">
        <f>IFERROR(LOOKUP(2,1/(U283:AY283&lt;&gt;""),U$2:AY$2),"")</f>
        <v/>
      </c>
      <c r="O283" s="52" t="n"/>
      <c r="P283" s="52" t="n"/>
      <c r="Q283" s="52" t="n"/>
      <c r="R283" s="44" t="n"/>
      <c r="S283" s="14" t="n"/>
      <c r="U283" s="53" t="n"/>
      <c r="V283" s="53" t="n"/>
      <c r="W283" s="53" t="n"/>
      <c r="X283" s="53" t="n"/>
      <c r="Y283" s="53" t="n"/>
      <c r="Z283" s="53" t="n"/>
      <c r="AA283" s="53" t="n"/>
      <c r="AB283" s="53" t="n"/>
      <c r="AC283" s="53" t="n"/>
      <c r="AD283" s="53" t="n"/>
      <c r="AE283" s="53" t="n"/>
      <c r="AF283" s="53" t="n"/>
      <c r="AG283" s="53" t="n"/>
      <c r="AH283" s="53" t="n"/>
      <c r="AI283" s="53" t="n"/>
      <c r="AJ283" s="53" t="n"/>
      <c r="AK283" s="53" t="n"/>
      <c r="AL283" s="53" t="n"/>
      <c r="AM283" s="53" t="n"/>
      <c r="AN283" s="53" t="n"/>
      <c r="AO283" s="53" t="n"/>
      <c r="AP283" s="53" t="n"/>
      <c r="AQ283" s="53" t="n"/>
      <c r="AR283" s="53" t="n"/>
      <c r="AS283" s="53" t="n"/>
      <c r="AT283" s="53" t="n"/>
      <c r="AU283" s="53" t="n"/>
      <c r="AV283" s="53" t="n"/>
      <c r="AW283" s="53" t="n"/>
      <c r="AX283" s="53" t="n"/>
      <c r="AY283" s="53" t="n"/>
    </row>
    <row r="284" ht="15" customHeight="1">
      <c r="A284" s="54" t="n"/>
      <c r="B284" s="55">
        <f>IF($B$283="","",$B$283)</f>
        <v/>
      </c>
      <c r="C284" s="56" t="inlineStr">
        <is>
          <t>기타</t>
        </is>
      </c>
      <c r="D284" s="55">
        <f>IF($D$283="","",$D$283)</f>
        <v/>
      </c>
      <c r="E284" s="57" t="inlineStr">
        <is>
          <t>이미지</t>
        </is>
      </c>
      <c r="F284" s="44" t="n"/>
      <c r="G284" s="58">
        <f>IF($G$283="","",$G$283)</f>
        <v/>
      </c>
      <c r="H284" s="59" t="n"/>
      <c r="I284" s="59" t="n"/>
      <c r="J284" s="59" t="n"/>
      <c r="K284" s="59" t="n"/>
      <c r="L284" s="60">
        <f>IF(SUM(U284:AY284)=0,"",SUM(U284:AY284))</f>
        <v/>
      </c>
      <c r="M284" s="61">
        <f>IFERROR(INDEX(U$2:AY$2,MATCH(TRUE,INDEX(U284:AY284&lt;&gt;"",0),0)),"")</f>
        <v/>
      </c>
      <c r="N284" s="61">
        <f>IFERROR(LOOKUP(2,1/(U284:AY284&lt;&gt;""),U$2:AY$2),"")</f>
        <v/>
      </c>
      <c r="O284" s="59" t="n"/>
      <c r="P284" s="59" t="n"/>
      <c r="Q284" s="59" t="n"/>
      <c r="R284" s="59" t="n"/>
      <c r="S284" s="14" t="n"/>
      <c r="U284" s="53" t="n"/>
      <c r="V284" s="53" t="n"/>
      <c r="W284" s="53" t="n"/>
      <c r="X284" s="53" t="n"/>
      <c r="Y284" s="53" t="n"/>
      <c r="Z284" s="53" t="n"/>
      <c r="AA284" s="53" t="n"/>
      <c r="AB284" s="53" t="n"/>
      <c r="AC284" s="53" t="n"/>
      <c r="AD284" s="53" t="n"/>
      <c r="AE284" s="53" t="n"/>
      <c r="AF284" s="53" t="n"/>
      <c r="AG284" s="53" t="n"/>
      <c r="AH284" s="53" t="n"/>
      <c r="AI284" s="53" t="n"/>
      <c r="AJ284" s="53" t="n"/>
      <c r="AK284" s="53" t="n"/>
      <c r="AL284" s="53" t="n"/>
      <c r="AM284" s="53" t="n"/>
      <c r="AN284" s="53" t="n"/>
      <c r="AO284" s="53" t="n"/>
      <c r="AP284" s="53" t="n"/>
      <c r="AQ284" s="53" t="n"/>
      <c r="AR284" s="53" t="n"/>
      <c r="AS284" s="53" t="n"/>
      <c r="AT284" s="53" t="n"/>
      <c r="AU284" s="53" t="n"/>
      <c r="AV284" s="53" t="n"/>
      <c r="AW284" s="53" t="n"/>
      <c r="AX284" s="53" t="n"/>
      <c r="AY284" s="53" t="n"/>
    </row>
    <row r="285" ht="15" customHeight="1">
      <c r="A285" s="62" t="n"/>
      <c r="B285" s="55">
        <f>IF($B$283="","",$B$283)</f>
        <v/>
      </c>
      <c r="C285" s="63" t="inlineStr">
        <is>
          <t>기타</t>
        </is>
      </c>
      <c r="D285" s="55">
        <f>IF($D$283="","",$D$283)</f>
        <v/>
      </c>
      <c r="E285" s="64" t="inlineStr">
        <is>
          <t>영상</t>
        </is>
      </c>
      <c r="F285" s="44" t="n"/>
      <c r="G285" s="58">
        <f>IF($G$283="","",$G$283)</f>
        <v/>
      </c>
      <c r="H285" s="59" t="n"/>
      <c r="I285" s="59" t="n"/>
      <c r="J285" s="59" t="n"/>
      <c r="K285" s="59" t="n"/>
      <c r="L285" s="65">
        <f>IF(SUM(U285:AY285)=0,"",SUM(U285:AY285))</f>
        <v/>
      </c>
      <c r="M285" s="66">
        <f>IFERROR(INDEX(U$2:AY$2,MATCH(TRUE,INDEX(U285:AY285&lt;&gt;"",0),0)),"")</f>
        <v/>
      </c>
      <c r="N285" s="66">
        <f>IFERROR(LOOKUP(2,1/(U285:AY285&lt;&gt;""),U$2:AY$2),"")</f>
        <v/>
      </c>
      <c r="O285" s="59" t="n"/>
      <c r="P285" s="59" t="n"/>
      <c r="Q285" s="59" t="n"/>
      <c r="R285" s="59" t="n"/>
      <c r="S285" s="14" t="n"/>
      <c r="U285" s="53" t="n"/>
      <c r="V285" s="53" t="n"/>
      <c r="W285" s="53" t="n"/>
      <c r="X285" s="53" t="n"/>
      <c r="Y285" s="53" t="n"/>
      <c r="Z285" s="53" t="n"/>
      <c r="AA285" s="53" t="n"/>
      <c r="AB285" s="53" t="n"/>
      <c r="AC285" s="53" t="n"/>
      <c r="AD285" s="53" t="n"/>
      <c r="AE285" s="53" t="n"/>
      <c r="AF285" s="53" t="n"/>
      <c r="AG285" s="53" t="n"/>
      <c r="AH285" s="53" t="n"/>
      <c r="AI285" s="53" t="n"/>
      <c r="AJ285" s="53" t="n"/>
      <c r="AK285" s="53" t="n"/>
      <c r="AL285" s="53" t="n"/>
      <c r="AM285" s="53" t="n"/>
      <c r="AN285" s="53" t="n"/>
      <c r="AO285" s="53" t="n"/>
      <c r="AP285" s="53" t="n"/>
      <c r="AQ285" s="53" t="n"/>
      <c r="AR285" s="53" t="n"/>
      <c r="AS285" s="53" t="n"/>
      <c r="AT285" s="53" t="n"/>
      <c r="AU285" s="53" t="n"/>
      <c r="AV285" s="53" t="n"/>
      <c r="AW285" s="53" t="n"/>
      <c r="AX285" s="53" t="n"/>
      <c r="AY285" s="53" t="n"/>
    </row>
    <row r="286" ht="15" customHeight="1">
      <c r="A286" s="40">
        <f>IF($D$286="","",92)</f>
        <v/>
      </c>
      <c r="B286" s="10" t="n"/>
      <c r="C286" s="41" t="inlineStr">
        <is>
          <t>기타</t>
        </is>
      </c>
      <c r="D286" s="42" t="n"/>
      <c r="E286" s="43" t="inlineStr">
        <is>
          <t>기획</t>
        </is>
      </c>
      <c r="F286" s="44" t="n"/>
      <c r="G286" s="45" t="n"/>
      <c r="H286" s="46">
        <f>IF($I$286="","",IF($I$286&lt;0,"🔴지연",IF($I$286&lt;=1,"🟡임박","🟢여유")))</f>
        <v/>
      </c>
      <c r="I286" s="47">
        <f>IF(OR($G$286="",$K$286=""),"",$G$286-$K$286)</f>
        <v/>
      </c>
      <c r="J286" s="48">
        <f>IF(SUM($L$286:$L$288)=0,"",SUM($L$286:$L$288))</f>
        <v/>
      </c>
      <c r="K286" s="49">
        <f>IF($J$286="","",MAX($N$286:$N$288))</f>
        <v/>
      </c>
      <c r="L286" s="50">
        <f>IF(SUM(U286:AY286)=0,"",SUM(U286:AY286))</f>
        <v/>
      </c>
      <c r="M286" s="51">
        <f>IFERROR(INDEX(U$2:AY$2,MATCH(TRUE,INDEX(U286:AY286&lt;&gt;"",0),0)),"")</f>
        <v/>
      </c>
      <c r="N286" s="51">
        <f>IFERROR(LOOKUP(2,1/(U286:AY286&lt;&gt;""),U$2:AY$2),"")</f>
        <v/>
      </c>
      <c r="O286" s="52" t="n"/>
      <c r="P286" s="52" t="n"/>
      <c r="Q286" s="52" t="n"/>
      <c r="R286" s="44" t="n"/>
      <c r="S286" s="14" t="n"/>
      <c r="U286" s="53" t="n"/>
      <c r="V286" s="53" t="n"/>
      <c r="W286" s="53" t="n"/>
      <c r="X286" s="53" t="n"/>
      <c r="Y286" s="53" t="n"/>
      <c r="Z286" s="53" t="n"/>
      <c r="AA286" s="53" t="n"/>
      <c r="AB286" s="53" t="n"/>
      <c r="AC286" s="53" t="n"/>
      <c r="AD286" s="53" t="n"/>
      <c r="AE286" s="53" t="n"/>
      <c r="AF286" s="53" t="n"/>
      <c r="AG286" s="53" t="n"/>
      <c r="AH286" s="53" t="n"/>
      <c r="AI286" s="53" t="n"/>
      <c r="AJ286" s="53" t="n"/>
      <c r="AK286" s="53" t="n"/>
      <c r="AL286" s="53" t="n"/>
      <c r="AM286" s="53" t="n"/>
      <c r="AN286" s="53" t="n"/>
      <c r="AO286" s="53" t="n"/>
      <c r="AP286" s="53" t="n"/>
      <c r="AQ286" s="53" t="n"/>
      <c r="AR286" s="53" t="n"/>
      <c r="AS286" s="53" t="n"/>
      <c r="AT286" s="53" t="n"/>
      <c r="AU286" s="53" t="n"/>
      <c r="AV286" s="53" t="n"/>
      <c r="AW286" s="53" t="n"/>
      <c r="AX286" s="53" t="n"/>
      <c r="AY286" s="53" t="n"/>
    </row>
    <row r="287" ht="15" customHeight="1">
      <c r="A287" s="54" t="n"/>
      <c r="B287" s="55">
        <f>IF($B$286="","",$B$286)</f>
        <v/>
      </c>
      <c r="C287" s="56" t="inlineStr">
        <is>
          <t>기타</t>
        </is>
      </c>
      <c r="D287" s="55">
        <f>IF($D$286="","",$D$286)</f>
        <v/>
      </c>
      <c r="E287" s="57" t="inlineStr">
        <is>
          <t>이미지</t>
        </is>
      </c>
      <c r="F287" s="44" t="n"/>
      <c r="G287" s="58">
        <f>IF($G$286="","",$G$286)</f>
        <v/>
      </c>
      <c r="H287" s="59" t="n"/>
      <c r="I287" s="59" t="n"/>
      <c r="J287" s="59" t="n"/>
      <c r="K287" s="59" t="n"/>
      <c r="L287" s="60">
        <f>IF(SUM(U287:AY287)=0,"",SUM(U287:AY287))</f>
        <v/>
      </c>
      <c r="M287" s="61">
        <f>IFERROR(INDEX(U$2:AY$2,MATCH(TRUE,INDEX(U287:AY287&lt;&gt;"",0),0)),"")</f>
        <v/>
      </c>
      <c r="N287" s="61">
        <f>IFERROR(LOOKUP(2,1/(U287:AY287&lt;&gt;""),U$2:AY$2),"")</f>
        <v/>
      </c>
      <c r="O287" s="59" t="n"/>
      <c r="P287" s="59" t="n"/>
      <c r="Q287" s="59" t="n"/>
      <c r="R287" s="59" t="n"/>
      <c r="S287" s="14" t="n"/>
      <c r="U287" s="53" t="n"/>
      <c r="V287" s="53" t="n"/>
      <c r="W287" s="53" t="n"/>
      <c r="X287" s="53" t="n"/>
      <c r="Y287" s="53" t="n"/>
      <c r="Z287" s="53" t="n"/>
      <c r="AA287" s="53" t="n"/>
      <c r="AB287" s="53" t="n"/>
      <c r="AC287" s="53" t="n"/>
      <c r="AD287" s="53" t="n"/>
      <c r="AE287" s="53" t="n"/>
      <c r="AF287" s="53" t="n"/>
      <c r="AG287" s="53" t="n"/>
      <c r="AH287" s="53" t="n"/>
      <c r="AI287" s="53" t="n"/>
      <c r="AJ287" s="53" t="n"/>
      <c r="AK287" s="53" t="n"/>
      <c r="AL287" s="53" t="n"/>
      <c r="AM287" s="53" t="n"/>
      <c r="AN287" s="53" t="n"/>
      <c r="AO287" s="53" t="n"/>
      <c r="AP287" s="53" t="n"/>
      <c r="AQ287" s="53" t="n"/>
      <c r="AR287" s="53" t="n"/>
      <c r="AS287" s="53" t="n"/>
      <c r="AT287" s="53" t="n"/>
      <c r="AU287" s="53" t="n"/>
      <c r="AV287" s="53" t="n"/>
      <c r="AW287" s="53" t="n"/>
      <c r="AX287" s="53" t="n"/>
      <c r="AY287" s="53" t="n"/>
    </row>
    <row r="288" ht="15" customHeight="1">
      <c r="A288" s="62" t="n"/>
      <c r="B288" s="55">
        <f>IF($B$286="","",$B$286)</f>
        <v/>
      </c>
      <c r="C288" s="63" t="inlineStr">
        <is>
          <t>기타</t>
        </is>
      </c>
      <c r="D288" s="55">
        <f>IF($D$286="","",$D$286)</f>
        <v/>
      </c>
      <c r="E288" s="64" t="inlineStr">
        <is>
          <t>영상</t>
        </is>
      </c>
      <c r="F288" s="44" t="n"/>
      <c r="G288" s="58">
        <f>IF($G$286="","",$G$286)</f>
        <v/>
      </c>
      <c r="H288" s="59" t="n"/>
      <c r="I288" s="59" t="n"/>
      <c r="J288" s="59" t="n"/>
      <c r="K288" s="59" t="n"/>
      <c r="L288" s="65">
        <f>IF(SUM(U288:AY288)=0,"",SUM(U288:AY288))</f>
        <v/>
      </c>
      <c r="M288" s="66">
        <f>IFERROR(INDEX(U$2:AY$2,MATCH(TRUE,INDEX(U288:AY288&lt;&gt;"",0),0)),"")</f>
        <v/>
      </c>
      <c r="N288" s="66">
        <f>IFERROR(LOOKUP(2,1/(U288:AY288&lt;&gt;""),U$2:AY$2),"")</f>
        <v/>
      </c>
      <c r="O288" s="59" t="n"/>
      <c r="P288" s="59" t="n"/>
      <c r="Q288" s="59" t="n"/>
      <c r="R288" s="59" t="n"/>
      <c r="S288" s="14" t="n"/>
      <c r="U288" s="53" t="n"/>
      <c r="V288" s="53" t="n"/>
      <c r="W288" s="53" t="n"/>
      <c r="X288" s="53" t="n"/>
      <c r="Y288" s="53" t="n"/>
      <c r="Z288" s="53" t="n"/>
      <c r="AA288" s="53" t="n"/>
      <c r="AB288" s="53" t="n"/>
      <c r="AC288" s="53" t="n"/>
      <c r="AD288" s="53" t="n"/>
      <c r="AE288" s="53" t="n"/>
      <c r="AF288" s="53" t="n"/>
      <c r="AG288" s="53" t="n"/>
      <c r="AH288" s="53" t="n"/>
      <c r="AI288" s="53" t="n"/>
      <c r="AJ288" s="53" t="n"/>
      <c r="AK288" s="53" t="n"/>
      <c r="AL288" s="53" t="n"/>
      <c r="AM288" s="53" t="n"/>
      <c r="AN288" s="53" t="n"/>
      <c r="AO288" s="53" t="n"/>
      <c r="AP288" s="53" t="n"/>
      <c r="AQ288" s="53" t="n"/>
      <c r="AR288" s="53" t="n"/>
      <c r="AS288" s="53" t="n"/>
      <c r="AT288" s="53" t="n"/>
      <c r="AU288" s="53" t="n"/>
      <c r="AV288" s="53" t="n"/>
      <c r="AW288" s="53" t="n"/>
      <c r="AX288" s="53" t="n"/>
      <c r="AY288" s="53" t="n"/>
    </row>
    <row r="289" ht="15" customHeight="1">
      <c r="A289" s="40">
        <f>IF($D$289="","",93)</f>
        <v/>
      </c>
      <c r="B289" s="10" t="n"/>
      <c r="C289" s="41" t="inlineStr">
        <is>
          <t>기타</t>
        </is>
      </c>
      <c r="D289" s="42" t="n"/>
      <c r="E289" s="43" t="inlineStr">
        <is>
          <t>기획</t>
        </is>
      </c>
      <c r="F289" s="44" t="n"/>
      <c r="G289" s="45" t="n"/>
      <c r="H289" s="46">
        <f>IF($I$289="","",IF($I$289&lt;0,"🔴지연",IF($I$289&lt;=1,"🟡임박","🟢여유")))</f>
        <v/>
      </c>
      <c r="I289" s="47">
        <f>IF(OR($G$289="",$K$289=""),"",$G$289-$K$289)</f>
        <v/>
      </c>
      <c r="J289" s="48">
        <f>IF(SUM($L$289:$L$291)=0,"",SUM($L$289:$L$291))</f>
        <v/>
      </c>
      <c r="K289" s="49">
        <f>IF($J$289="","",MAX($N$289:$N$291))</f>
        <v/>
      </c>
      <c r="L289" s="50">
        <f>IF(SUM(U289:AY289)=0,"",SUM(U289:AY289))</f>
        <v/>
      </c>
      <c r="M289" s="51">
        <f>IFERROR(INDEX(U$2:AY$2,MATCH(TRUE,INDEX(U289:AY289&lt;&gt;"",0),0)),"")</f>
        <v/>
      </c>
      <c r="N289" s="51">
        <f>IFERROR(LOOKUP(2,1/(U289:AY289&lt;&gt;""),U$2:AY$2),"")</f>
        <v/>
      </c>
      <c r="O289" s="52" t="n"/>
      <c r="P289" s="52" t="n"/>
      <c r="Q289" s="52" t="n"/>
      <c r="R289" s="44" t="n"/>
      <c r="S289" s="14" t="n"/>
      <c r="U289" s="53" t="n"/>
      <c r="V289" s="53" t="n"/>
      <c r="W289" s="53" t="n"/>
      <c r="X289" s="53" t="n"/>
      <c r="Y289" s="53" t="n"/>
      <c r="Z289" s="53" t="n"/>
      <c r="AA289" s="53" t="n"/>
      <c r="AB289" s="53" t="n"/>
      <c r="AC289" s="53" t="n"/>
      <c r="AD289" s="53" t="n"/>
      <c r="AE289" s="53" t="n"/>
      <c r="AF289" s="53" t="n"/>
      <c r="AG289" s="53" t="n"/>
      <c r="AH289" s="53" t="n"/>
      <c r="AI289" s="53" t="n"/>
      <c r="AJ289" s="53" t="n"/>
      <c r="AK289" s="53" t="n"/>
      <c r="AL289" s="53" t="n"/>
      <c r="AM289" s="53" t="n"/>
      <c r="AN289" s="53" t="n"/>
      <c r="AO289" s="53" t="n"/>
      <c r="AP289" s="53" t="n"/>
      <c r="AQ289" s="53" t="n"/>
      <c r="AR289" s="53" t="n"/>
      <c r="AS289" s="53" t="n"/>
      <c r="AT289" s="53" t="n"/>
      <c r="AU289" s="53" t="n"/>
      <c r="AV289" s="53" t="n"/>
      <c r="AW289" s="53" t="n"/>
      <c r="AX289" s="53" t="n"/>
      <c r="AY289" s="53" t="n"/>
    </row>
    <row r="290" ht="15" customHeight="1">
      <c r="A290" s="54" t="n"/>
      <c r="B290" s="55">
        <f>IF($B$289="","",$B$289)</f>
        <v/>
      </c>
      <c r="C290" s="56" t="inlineStr">
        <is>
          <t>기타</t>
        </is>
      </c>
      <c r="D290" s="55">
        <f>IF($D$289="","",$D$289)</f>
        <v/>
      </c>
      <c r="E290" s="57" t="inlineStr">
        <is>
          <t>이미지</t>
        </is>
      </c>
      <c r="F290" s="44" t="n"/>
      <c r="G290" s="58">
        <f>IF($G$289="","",$G$289)</f>
        <v/>
      </c>
      <c r="H290" s="59" t="n"/>
      <c r="I290" s="59" t="n"/>
      <c r="J290" s="59" t="n"/>
      <c r="K290" s="59" t="n"/>
      <c r="L290" s="60">
        <f>IF(SUM(U290:AY290)=0,"",SUM(U290:AY290))</f>
        <v/>
      </c>
      <c r="M290" s="61">
        <f>IFERROR(INDEX(U$2:AY$2,MATCH(TRUE,INDEX(U290:AY290&lt;&gt;"",0),0)),"")</f>
        <v/>
      </c>
      <c r="N290" s="61">
        <f>IFERROR(LOOKUP(2,1/(U290:AY290&lt;&gt;""),U$2:AY$2),"")</f>
        <v/>
      </c>
      <c r="O290" s="59" t="n"/>
      <c r="P290" s="59" t="n"/>
      <c r="Q290" s="59" t="n"/>
      <c r="R290" s="59" t="n"/>
      <c r="S290" s="14" t="n"/>
      <c r="U290" s="53" t="n"/>
      <c r="V290" s="53" t="n"/>
      <c r="W290" s="53" t="n"/>
      <c r="X290" s="53" t="n"/>
      <c r="Y290" s="53" t="n"/>
      <c r="Z290" s="53" t="n"/>
      <c r="AA290" s="53" t="n"/>
      <c r="AB290" s="53" t="n"/>
      <c r="AC290" s="53" t="n"/>
      <c r="AD290" s="53" t="n"/>
      <c r="AE290" s="53" t="n"/>
      <c r="AF290" s="53" t="n"/>
      <c r="AG290" s="53" t="n"/>
      <c r="AH290" s="53" t="n"/>
      <c r="AI290" s="53" t="n"/>
      <c r="AJ290" s="53" t="n"/>
      <c r="AK290" s="53" t="n"/>
      <c r="AL290" s="53" t="n"/>
      <c r="AM290" s="53" t="n"/>
      <c r="AN290" s="53" t="n"/>
      <c r="AO290" s="53" t="n"/>
      <c r="AP290" s="53" t="n"/>
      <c r="AQ290" s="53" t="n"/>
      <c r="AR290" s="53" t="n"/>
      <c r="AS290" s="53" t="n"/>
      <c r="AT290" s="53" t="n"/>
      <c r="AU290" s="53" t="n"/>
      <c r="AV290" s="53" t="n"/>
      <c r="AW290" s="53" t="n"/>
      <c r="AX290" s="53" t="n"/>
      <c r="AY290" s="53" t="n"/>
    </row>
    <row r="291" ht="15" customHeight="1">
      <c r="A291" s="62" t="n"/>
      <c r="B291" s="55">
        <f>IF($B$289="","",$B$289)</f>
        <v/>
      </c>
      <c r="C291" s="63" t="inlineStr">
        <is>
          <t>기타</t>
        </is>
      </c>
      <c r="D291" s="55">
        <f>IF($D$289="","",$D$289)</f>
        <v/>
      </c>
      <c r="E291" s="64" t="inlineStr">
        <is>
          <t>영상</t>
        </is>
      </c>
      <c r="F291" s="44" t="n"/>
      <c r="G291" s="58">
        <f>IF($G$289="","",$G$289)</f>
        <v/>
      </c>
      <c r="H291" s="59" t="n"/>
      <c r="I291" s="59" t="n"/>
      <c r="J291" s="59" t="n"/>
      <c r="K291" s="59" t="n"/>
      <c r="L291" s="65">
        <f>IF(SUM(U291:AY291)=0,"",SUM(U291:AY291))</f>
        <v/>
      </c>
      <c r="M291" s="66">
        <f>IFERROR(INDEX(U$2:AY$2,MATCH(TRUE,INDEX(U291:AY291&lt;&gt;"",0),0)),"")</f>
        <v/>
      </c>
      <c r="N291" s="66">
        <f>IFERROR(LOOKUP(2,1/(U291:AY291&lt;&gt;""),U$2:AY$2),"")</f>
        <v/>
      </c>
      <c r="O291" s="59" t="n"/>
      <c r="P291" s="59" t="n"/>
      <c r="Q291" s="59" t="n"/>
      <c r="R291" s="59" t="n"/>
      <c r="S291" s="14" t="n"/>
      <c r="U291" s="53" t="n"/>
      <c r="V291" s="53" t="n"/>
      <c r="W291" s="53" t="n"/>
      <c r="X291" s="53" t="n"/>
      <c r="Y291" s="53" t="n"/>
      <c r="Z291" s="53" t="n"/>
      <c r="AA291" s="53" t="n"/>
      <c r="AB291" s="53" t="n"/>
      <c r="AC291" s="53" t="n"/>
      <c r="AD291" s="53" t="n"/>
      <c r="AE291" s="53" t="n"/>
      <c r="AF291" s="53" t="n"/>
      <c r="AG291" s="53" t="n"/>
      <c r="AH291" s="53" t="n"/>
      <c r="AI291" s="53" t="n"/>
      <c r="AJ291" s="53" t="n"/>
      <c r="AK291" s="53" t="n"/>
      <c r="AL291" s="53" t="n"/>
      <c r="AM291" s="53" t="n"/>
      <c r="AN291" s="53" t="n"/>
      <c r="AO291" s="53" t="n"/>
      <c r="AP291" s="53" t="n"/>
      <c r="AQ291" s="53" t="n"/>
      <c r="AR291" s="53" t="n"/>
      <c r="AS291" s="53" t="n"/>
      <c r="AT291" s="53" t="n"/>
      <c r="AU291" s="53" t="n"/>
      <c r="AV291" s="53" t="n"/>
      <c r="AW291" s="53" t="n"/>
      <c r="AX291" s="53" t="n"/>
      <c r="AY291" s="53" t="n"/>
    </row>
    <row r="292" ht="15" customHeight="1">
      <c r="A292" s="40">
        <f>IF($D$292="","",94)</f>
        <v/>
      </c>
      <c r="B292" s="10" t="n"/>
      <c r="C292" s="41" t="inlineStr">
        <is>
          <t>기타</t>
        </is>
      </c>
      <c r="D292" s="42" t="n"/>
      <c r="E292" s="43" t="inlineStr">
        <is>
          <t>기획</t>
        </is>
      </c>
      <c r="F292" s="44" t="n"/>
      <c r="G292" s="45" t="n"/>
      <c r="H292" s="46">
        <f>IF($I$292="","",IF($I$292&lt;0,"🔴지연",IF($I$292&lt;=1,"🟡임박","🟢여유")))</f>
        <v/>
      </c>
      <c r="I292" s="47">
        <f>IF(OR($G$292="",$K$292=""),"",$G$292-$K$292)</f>
        <v/>
      </c>
      <c r="J292" s="48">
        <f>IF(SUM($L$292:$L$294)=0,"",SUM($L$292:$L$294))</f>
        <v/>
      </c>
      <c r="K292" s="49">
        <f>IF($J$292="","",MAX($N$292:$N$294))</f>
        <v/>
      </c>
      <c r="L292" s="50">
        <f>IF(SUM(U292:AY292)=0,"",SUM(U292:AY292))</f>
        <v/>
      </c>
      <c r="M292" s="51">
        <f>IFERROR(INDEX(U$2:AY$2,MATCH(TRUE,INDEX(U292:AY292&lt;&gt;"",0),0)),"")</f>
        <v/>
      </c>
      <c r="N292" s="51">
        <f>IFERROR(LOOKUP(2,1/(U292:AY292&lt;&gt;""),U$2:AY$2),"")</f>
        <v/>
      </c>
      <c r="O292" s="52" t="n"/>
      <c r="P292" s="52" t="n"/>
      <c r="Q292" s="52" t="n"/>
      <c r="R292" s="44" t="n"/>
      <c r="S292" s="14" t="n"/>
      <c r="U292" s="53" t="n"/>
      <c r="V292" s="53" t="n"/>
      <c r="W292" s="53" t="n"/>
      <c r="X292" s="53" t="n"/>
      <c r="Y292" s="53" t="n"/>
      <c r="Z292" s="53" t="n"/>
      <c r="AA292" s="53" t="n"/>
      <c r="AB292" s="53" t="n"/>
      <c r="AC292" s="53" t="n"/>
      <c r="AD292" s="53" t="n"/>
      <c r="AE292" s="53" t="n"/>
      <c r="AF292" s="53" t="n"/>
      <c r="AG292" s="53" t="n"/>
      <c r="AH292" s="53" t="n"/>
      <c r="AI292" s="53" t="n"/>
      <c r="AJ292" s="53" t="n"/>
      <c r="AK292" s="53" t="n"/>
      <c r="AL292" s="53" t="n"/>
      <c r="AM292" s="53" t="n"/>
      <c r="AN292" s="53" t="n"/>
      <c r="AO292" s="53" t="n"/>
      <c r="AP292" s="53" t="n"/>
      <c r="AQ292" s="53" t="n"/>
      <c r="AR292" s="53" t="n"/>
      <c r="AS292" s="53" t="n"/>
      <c r="AT292" s="53" t="n"/>
      <c r="AU292" s="53" t="n"/>
      <c r="AV292" s="53" t="n"/>
      <c r="AW292" s="53" t="n"/>
      <c r="AX292" s="53" t="n"/>
      <c r="AY292" s="53" t="n"/>
    </row>
    <row r="293" ht="15" customHeight="1">
      <c r="A293" s="54" t="n"/>
      <c r="B293" s="55">
        <f>IF($B$292="","",$B$292)</f>
        <v/>
      </c>
      <c r="C293" s="56" t="inlineStr">
        <is>
          <t>기타</t>
        </is>
      </c>
      <c r="D293" s="55">
        <f>IF($D$292="","",$D$292)</f>
        <v/>
      </c>
      <c r="E293" s="57" t="inlineStr">
        <is>
          <t>이미지</t>
        </is>
      </c>
      <c r="F293" s="44" t="n"/>
      <c r="G293" s="58">
        <f>IF($G$292="","",$G$292)</f>
        <v/>
      </c>
      <c r="H293" s="59" t="n"/>
      <c r="I293" s="59" t="n"/>
      <c r="J293" s="59" t="n"/>
      <c r="K293" s="59" t="n"/>
      <c r="L293" s="60">
        <f>IF(SUM(U293:AY293)=0,"",SUM(U293:AY293))</f>
        <v/>
      </c>
      <c r="M293" s="61">
        <f>IFERROR(INDEX(U$2:AY$2,MATCH(TRUE,INDEX(U293:AY293&lt;&gt;"",0),0)),"")</f>
        <v/>
      </c>
      <c r="N293" s="61">
        <f>IFERROR(LOOKUP(2,1/(U293:AY293&lt;&gt;""),U$2:AY$2),"")</f>
        <v/>
      </c>
      <c r="O293" s="59" t="n"/>
      <c r="P293" s="59" t="n"/>
      <c r="Q293" s="59" t="n"/>
      <c r="R293" s="59" t="n"/>
      <c r="S293" s="14" t="n"/>
      <c r="U293" s="53" t="n"/>
      <c r="V293" s="53" t="n"/>
      <c r="W293" s="53" t="n"/>
      <c r="X293" s="53" t="n"/>
      <c r="Y293" s="53" t="n"/>
      <c r="Z293" s="53" t="n"/>
      <c r="AA293" s="53" t="n"/>
      <c r="AB293" s="53" t="n"/>
      <c r="AC293" s="53" t="n"/>
      <c r="AD293" s="53" t="n"/>
      <c r="AE293" s="53" t="n"/>
      <c r="AF293" s="53" t="n"/>
      <c r="AG293" s="53" t="n"/>
      <c r="AH293" s="53" t="n"/>
      <c r="AI293" s="53" t="n"/>
      <c r="AJ293" s="53" t="n"/>
      <c r="AK293" s="53" t="n"/>
      <c r="AL293" s="53" t="n"/>
      <c r="AM293" s="53" t="n"/>
      <c r="AN293" s="53" t="n"/>
      <c r="AO293" s="53" t="n"/>
      <c r="AP293" s="53" t="n"/>
      <c r="AQ293" s="53" t="n"/>
      <c r="AR293" s="53" t="n"/>
      <c r="AS293" s="53" t="n"/>
      <c r="AT293" s="53" t="n"/>
      <c r="AU293" s="53" t="n"/>
      <c r="AV293" s="53" t="n"/>
      <c r="AW293" s="53" t="n"/>
      <c r="AX293" s="53" t="n"/>
      <c r="AY293" s="53" t="n"/>
    </row>
    <row r="294" ht="15" customHeight="1">
      <c r="A294" s="62" t="n"/>
      <c r="B294" s="55">
        <f>IF($B$292="","",$B$292)</f>
        <v/>
      </c>
      <c r="C294" s="63" t="inlineStr">
        <is>
          <t>기타</t>
        </is>
      </c>
      <c r="D294" s="55">
        <f>IF($D$292="","",$D$292)</f>
        <v/>
      </c>
      <c r="E294" s="64" t="inlineStr">
        <is>
          <t>영상</t>
        </is>
      </c>
      <c r="F294" s="44" t="n"/>
      <c r="G294" s="58">
        <f>IF($G$292="","",$G$292)</f>
        <v/>
      </c>
      <c r="H294" s="59" t="n"/>
      <c r="I294" s="59" t="n"/>
      <c r="J294" s="59" t="n"/>
      <c r="K294" s="59" t="n"/>
      <c r="L294" s="65">
        <f>IF(SUM(U294:AY294)=0,"",SUM(U294:AY294))</f>
        <v/>
      </c>
      <c r="M294" s="66">
        <f>IFERROR(INDEX(U$2:AY$2,MATCH(TRUE,INDEX(U294:AY294&lt;&gt;"",0),0)),"")</f>
        <v/>
      </c>
      <c r="N294" s="66">
        <f>IFERROR(LOOKUP(2,1/(U294:AY294&lt;&gt;""),U$2:AY$2),"")</f>
        <v/>
      </c>
      <c r="O294" s="59" t="n"/>
      <c r="P294" s="59" t="n"/>
      <c r="Q294" s="59" t="n"/>
      <c r="R294" s="59" t="n"/>
      <c r="S294" s="14" t="n"/>
      <c r="U294" s="53" t="n"/>
      <c r="V294" s="53" t="n"/>
      <c r="W294" s="53" t="n"/>
      <c r="X294" s="53" t="n"/>
      <c r="Y294" s="53" t="n"/>
      <c r="Z294" s="53" t="n"/>
      <c r="AA294" s="53" t="n"/>
      <c r="AB294" s="53" t="n"/>
      <c r="AC294" s="53" t="n"/>
      <c r="AD294" s="53" t="n"/>
      <c r="AE294" s="53" t="n"/>
      <c r="AF294" s="53" t="n"/>
      <c r="AG294" s="53" t="n"/>
      <c r="AH294" s="53" t="n"/>
      <c r="AI294" s="53" t="n"/>
      <c r="AJ294" s="53" t="n"/>
      <c r="AK294" s="53" t="n"/>
      <c r="AL294" s="53" t="n"/>
      <c r="AM294" s="53" t="n"/>
      <c r="AN294" s="53" t="n"/>
      <c r="AO294" s="53" t="n"/>
      <c r="AP294" s="53" t="n"/>
      <c r="AQ294" s="53" t="n"/>
      <c r="AR294" s="53" t="n"/>
      <c r="AS294" s="53" t="n"/>
      <c r="AT294" s="53" t="n"/>
      <c r="AU294" s="53" t="n"/>
      <c r="AV294" s="53" t="n"/>
      <c r="AW294" s="53" t="n"/>
      <c r="AX294" s="53" t="n"/>
      <c r="AY294" s="53" t="n"/>
    </row>
    <row r="295" ht="15" customHeight="1">
      <c r="A295" s="40">
        <f>IF($D$295="","",95)</f>
        <v/>
      </c>
      <c r="B295" s="10" t="n"/>
      <c r="C295" s="41" t="inlineStr">
        <is>
          <t>기타</t>
        </is>
      </c>
      <c r="D295" s="42" t="n"/>
      <c r="E295" s="43" t="inlineStr">
        <is>
          <t>기획</t>
        </is>
      </c>
      <c r="F295" s="44" t="n"/>
      <c r="G295" s="45" t="n"/>
      <c r="H295" s="46">
        <f>IF($I$295="","",IF($I$295&lt;0,"🔴지연",IF($I$295&lt;=1,"🟡임박","🟢여유")))</f>
        <v/>
      </c>
      <c r="I295" s="47">
        <f>IF(OR($G$295="",$K$295=""),"",$G$295-$K$295)</f>
        <v/>
      </c>
      <c r="J295" s="48">
        <f>IF(SUM($L$295:$L$297)=0,"",SUM($L$295:$L$297))</f>
        <v/>
      </c>
      <c r="K295" s="49">
        <f>IF($J$295="","",MAX($N$295:$N$297))</f>
        <v/>
      </c>
      <c r="L295" s="50">
        <f>IF(SUM(U295:AY295)=0,"",SUM(U295:AY295))</f>
        <v/>
      </c>
      <c r="M295" s="51">
        <f>IFERROR(INDEX(U$2:AY$2,MATCH(TRUE,INDEX(U295:AY295&lt;&gt;"",0),0)),"")</f>
        <v/>
      </c>
      <c r="N295" s="51">
        <f>IFERROR(LOOKUP(2,1/(U295:AY295&lt;&gt;""),U$2:AY$2),"")</f>
        <v/>
      </c>
      <c r="O295" s="52" t="n"/>
      <c r="P295" s="52" t="n"/>
      <c r="Q295" s="52" t="n"/>
      <c r="R295" s="44" t="n"/>
      <c r="S295" s="14" t="n"/>
      <c r="U295" s="53" t="n"/>
      <c r="V295" s="53" t="n"/>
      <c r="W295" s="53" t="n"/>
      <c r="X295" s="53" t="n"/>
      <c r="Y295" s="53" t="n"/>
      <c r="Z295" s="53" t="n"/>
      <c r="AA295" s="53" t="n"/>
      <c r="AB295" s="53" t="n"/>
      <c r="AC295" s="53" t="n"/>
      <c r="AD295" s="53" t="n"/>
      <c r="AE295" s="53" t="n"/>
      <c r="AF295" s="53" t="n"/>
      <c r="AG295" s="53" t="n"/>
      <c r="AH295" s="53" t="n"/>
      <c r="AI295" s="53" t="n"/>
      <c r="AJ295" s="53" t="n"/>
      <c r="AK295" s="53" t="n"/>
      <c r="AL295" s="53" t="n"/>
      <c r="AM295" s="53" t="n"/>
      <c r="AN295" s="53" t="n"/>
      <c r="AO295" s="53" t="n"/>
      <c r="AP295" s="53" t="n"/>
      <c r="AQ295" s="53" t="n"/>
      <c r="AR295" s="53" t="n"/>
      <c r="AS295" s="53" t="n"/>
      <c r="AT295" s="53" t="n"/>
      <c r="AU295" s="53" t="n"/>
      <c r="AV295" s="53" t="n"/>
      <c r="AW295" s="53" t="n"/>
      <c r="AX295" s="53" t="n"/>
      <c r="AY295" s="53" t="n"/>
    </row>
    <row r="296" ht="15" customHeight="1">
      <c r="A296" s="54" t="n"/>
      <c r="B296" s="55">
        <f>IF($B$295="","",$B$295)</f>
        <v/>
      </c>
      <c r="C296" s="56" t="inlineStr">
        <is>
          <t>기타</t>
        </is>
      </c>
      <c r="D296" s="55">
        <f>IF($D$295="","",$D$295)</f>
        <v/>
      </c>
      <c r="E296" s="57" t="inlineStr">
        <is>
          <t>이미지</t>
        </is>
      </c>
      <c r="F296" s="44" t="n"/>
      <c r="G296" s="58">
        <f>IF($G$295="","",$G$295)</f>
        <v/>
      </c>
      <c r="H296" s="59" t="n"/>
      <c r="I296" s="59" t="n"/>
      <c r="J296" s="59" t="n"/>
      <c r="K296" s="59" t="n"/>
      <c r="L296" s="60">
        <f>IF(SUM(U296:AY296)=0,"",SUM(U296:AY296))</f>
        <v/>
      </c>
      <c r="M296" s="61">
        <f>IFERROR(INDEX(U$2:AY$2,MATCH(TRUE,INDEX(U296:AY296&lt;&gt;"",0),0)),"")</f>
        <v/>
      </c>
      <c r="N296" s="61">
        <f>IFERROR(LOOKUP(2,1/(U296:AY296&lt;&gt;""),U$2:AY$2),"")</f>
        <v/>
      </c>
      <c r="O296" s="59" t="n"/>
      <c r="P296" s="59" t="n"/>
      <c r="Q296" s="59" t="n"/>
      <c r="R296" s="59" t="n"/>
      <c r="S296" s="14" t="n"/>
      <c r="U296" s="53" t="n"/>
      <c r="V296" s="53" t="n"/>
      <c r="W296" s="53" t="n"/>
      <c r="X296" s="53" t="n"/>
      <c r="Y296" s="53" t="n"/>
      <c r="Z296" s="53" t="n"/>
      <c r="AA296" s="53" t="n"/>
      <c r="AB296" s="53" t="n"/>
      <c r="AC296" s="53" t="n"/>
      <c r="AD296" s="53" t="n"/>
      <c r="AE296" s="53" t="n"/>
      <c r="AF296" s="53" t="n"/>
      <c r="AG296" s="53" t="n"/>
      <c r="AH296" s="53" t="n"/>
      <c r="AI296" s="53" t="n"/>
      <c r="AJ296" s="53" t="n"/>
      <c r="AK296" s="53" t="n"/>
      <c r="AL296" s="53" t="n"/>
      <c r="AM296" s="53" t="n"/>
      <c r="AN296" s="53" t="n"/>
      <c r="AO296" s="53" t="n"/>
      <c r="AP296" s="53" t="n"/>
      <c r="AQ296" s="53" t="n"/>
      <c r="AR296" s="53" t="n"/>
      <c r="AS296" s="53" t="n"/>
      <c r="AT296" s="53" t="n"/>
      <c r="AU296" s="53" t="n"/>
      <c r="AV296" s="53" t="n"/>
      <c r="AW296" s="53" t="n"/>
      <c r="AX296" s="53" t="n"/>
      <c r="AY296" s="53" t="n"/>
    </row>
    <row r="297" ht="15" customHeight="1">
      <c r="A297" s="62" t="n"/>
      <c r="B297" s="55">
        <f>IF($B$295="","",$B$295)</f>
        <v/>
      </c>
      <c r="C297" s="63" t="inlineStr">
        <is>
          <t>기타</t>
        </is>
      </c>
      <c r="D297" s="55">
        <f>IF($D$295="","",$D$295)</f>
        <v/>
      </c>
      <c r="E297" s="64" t="inlineStr">
        <is>
          <t>영상</t>
        </is>
      </c>
      <c r="F297" s="44" t="n"/>
      <c r="G297" s="58">
        <f>IF($G$295="","",$G$295)</f>
        <v/>
      </c>
      <c r="H297" s="59" t="n"/>
      <c r="I297" s="59" t="n"/>
      <c r="J297" s="59" t="n"/>
      <c r="K297" s="59" t="n"/>
      <c r="L297" s="65">
        <f>IF(SUM(U297:AY297)=0,"",SUM(U297:AY297))</f>
        <v/>
      </c>
      <c r="M297" s="66">
        <f>IFERROR(INDEX(U$2:AY$2,MATCH(TRUE,INDEX(U297:AY297&lt;&gt;"",0),0)),"")</f>
        <v/>
      </c>
      <c r="N297" s="66">
        <f>IFERROR(LOOKUP(2,1/(U297:AY297&lt;&gt;""),U$2:AY$2),"")</f>
        <v/>
      </c>
      <c r="O297" s="59" t="n"/>
      <c r="P297" s="59" t="n"/>
      <c r="Q297" s="59" t="n"/>
      <c r="R297" s="59" t="n"/>
      <c r="S297" s="14" t="n"/>
      <c r="U297" s="53" t="n"/>
      <c r="V297" s="53" t="n"/>
      <c r="W297" s="53" t="n"/>
      <c r="X297" s="53" t="n"/>
      <c r="Y297" s="53" t="n"/>
      <c r="Z297" s="53" t="n"/>
      <c r="AA297" s="53" t="n"/>
      <c r="AB297" s="53" t="n"/>
      <c r="AC297" s="53" t="n"/>
      <c r="AD297" s="53" t="n"/>
      <c r="AE297" s="53" t="n"/>
      <c r="AF297" s="53" t="n"/>
      <c r="AG297" s="53" t="n"/>
      <c r="AH297" s="53" t="n"/>
      <c r="AI297" s="53" t="n"/>
      <c r="AJ297" s="53" t="n"/>
      <c r="AK297" s="53" t="n"/>
      <c r="AL297" s="53" t="n"/>
      <c r="AM297" s="53" t="n"/>
      <c r="AN297" s="53" t="n"/>
      <c r="AO297" s="53" t="n"/>
      <c r="AP297" s="53" t="n"/>
      <c r="AQ297" s="53" t="n"/>
      <c r="AR297" s="53" t="n"/>
      <c r="AS297" s="53" t="n"/>
      <c r="AT297" s="53" t="n"/>
      <c r="AU297" s="53" t="n"/>
      <c r="AV297" s="53" t="n"/>
      <c r="AW297" s="53" t="n"/>
      <c r="AX297" s="53" t="n"/>
      <c r="AY297" s="53" t="n"/>
    </row>
    <row r="298" ht="15" customHeight="1">
      <c r="A298" s="40">
        <f>IF($D$298="","",96)</f>
        <v/>
      </c>
      <c r="B298" s="10" t="n"/>
      <c r="C298" s="41" t="inlineStr">
        <is>
          <t>기타</t>
        </is>
      </c>
      <c r="D298" s="42" t="n"/>
      <c r="E298" s="43" t="inlineStr">
        <is>
          <t>기획</t>
        </is>
      </c>
      <c r="F298" s="44" t="n"/>
      <c r="G298" s="45" t="n"/>
      <c r="H298" s="46">
        <f>IF($I$298="","",IF($I$298&lt;0,"🔴지연",IF($I$298&lt;=1,"🟡임박","🟢여유")))</f>
        <v/>
      </c>
      <c r="I298" s="47">
        <f>IF(OR($G$298="",$K$298=""),"",$G$298-$K$298)</f>
        <v/>
      </c>
      <c r="J298" s="48">
        <f>IF(SUM($L$298:$L$300)=0,"",SUM($L$298:$L$300))</f>
        <v/>
      </c>
      <c r="K298" s="49">
        <f>IF($J$298="","",MAX($N$298:$N$300))</f>
        <v/>
      </c>
      <c r="L298" s="50">
        <f>IF(SUM(U298:AY298)=0,"",SUM(U298:AY298))</f>
        <v/>
      </c>
      <c r="M298" s="51">
        <f>IFERROR(INDEX(U$2:AY$2,MATCH(TRUE,INDEX(U298:AY298&lt;&gt;"",0),0)),"")</f>
        <v/>
      </c>
      <c r="N298" s="51">
        <f>IFERROR(LOOKUP(2,1/(U298:AY298&lt;&gt;""),U$2:AY$2),"")</f>
        <v/>
      </c>
      <c r="O298" s="52" t="n"/>
      <c r="P298" s="52" t="n"/>
      <c r="Q298" s="52" t="n"/>
      <c r="R298" s="44" t="n"/>
      <c r="S298" s="14" t="n"/>
      <c r="U298" s="53" t="n"/>
      <c r="V298" s="53" t="n"/>
      <c r="W298" s="53" t="n"/>
      <c r="X298" s="53" t="n"/>
      <c r="Y298" s="53" t="n"/>
      <c r="Z298" s="53" t="n"/>
      <c r="AA298" s="53" t="n"/>
      <c r="AB298" s="53" t="n"/>
      <c r="AC298" s="53" t="n"/>
      <c r="AD298" s="53" t="n"/>
      <c r="AE298" s="53" t="n"/>
      <c r="AF298" s="53" t="n"/>
      <c r="AG298" s="53" t="n"/>
      <c r="AH298" s="53" t="n"/>
      <c r="AI298" s="53" t="n"/>
      <c r="AJ298" s="53" t="n"/>
      <c r="AK298" s="53" t="n"/>
      <c r="AL298" s="53" t="n"/>
      <c r="AM298" s="53" t="n"/>
      <c r="AN298" s="53" t="n"/>
      <c r="AO298" s="53" t="n"/>
      <c r="AP298" s="53" t="n"/>
      <c r="AQ298" s="53" t="n"/>
      <c r="AR298" s="53" t="n"/>
      <c r="AS298" s="53" t="n"/>
      <c r="AT298" s="53" t="n"/>
      <c r="AU298" s="53" t="n"/>
      <c r="AV298" s="53" t="n"/>
      <c r="AW298" s="53" t="n"/>
      <c r="AX298" s="53" t="n"/>
      <c r="AY298" s="53" t="n"/>
    </row>
    <row r="299" ht="15" customHeight="1">
      <c r="A299" s="54" t="n"/>
      <c r="B299" s="55">
        <f>IF($B$298="","",$B$298)</f>
        <v/>
      </c>
      <c r="C299" s="56" t="inlineStr">
        <is>
          <t>기타</t>
        </is>
      </c>
      <c r="D299" s="55">
        <f>IF($D$298="","",$D$298)</f>
        <v/>
      </c>
      <c r="E299" s="57" t="inlineStr">
        <is>
          <t>이미지</t>
        </is>
      </c>
      <c r="F299" s="44" t="n"/>
      <c r="G299" s="58">
        <f>IF($G$298="","",$G$298)</f>
        <v/>
      </c>
      <c r="H299" s="59" t="n"/>
      <c r="I299" s="59" t="n"/>
      <c r="J299" s="59" t="n"/>
      <c r="K299" s="59" t="n"/>
      <c r="L299" s="60">
        <f>IF(SUM(U299:AY299)=0,"",SUM(U299:AY299))</f>
        <v/>
      </c>
      <c r="M299" s="61">
        <f>IFERROR(INDEX(U$2:AY$2,MATCH(TRUE,INDEX(U299:AY299&lt;&gt;"",0),0)),"")</f>
        <v/>
      </c>
      <c r="N299" s="61">
        <f>IFERROR(LOOKUP(2,1/(U299:AY299&lt;&gt;""),U$2:AY$2),"")</f>
        <v/>
      </c>
      <c r="O299" s="59" t="n"/>
      <c r="P299" s="59" t="n"/>
      <c r="Q299" s="59" t="n"/>
      <c r="R299" s="59" t="n"/>
      <c r="S299" s="14" t="n"/>
      <c r="U299" s="53" t="n"/>
      <c r="V299" s="53" t="n"/>
      <c r="W299" s="53" t="n"/>
      <c r="X299" s="53" t="n"/>
      <c r="Y299" s="53" t="n"/>
      <c r="Z299" s="53" t="n"/>
      <c r="AA299" s="53" t="n"/>
      <c r="AB299" s="53" t="n"/>
      <c r="AC299" s="53" t="n"/>
      <c r="AD299" s="53" t="n"/>
      <c r="AE299" s="53" t="n"/>
      <c r="AF299" s="53" t="n"/>
      <c r="AG299" s="53" t="n"/>
      <c r="AH299" s="53" t="n"/>
      <c r="AI299" s="53" t="n"/>
      <c r="AJ299" s="53" t="n"/>
      <c r="AK299" s="53" t="n"/>
      <c r="AL299" s="53" t="n"/>
      <c r="AM299" s="53" t="n"/>
      <c r="AN299" s="53" t="n"/>
      <c r="AO299" s="53" t="n"/>
      <c r="AP299" s="53" t="n"/>
      <c r="AQ299" s="53" t="n"/>
      <c r="AR299" s="53" t="n"/>
      <c r="AS299" s="53" t="n"/>
      <c r="AT299" s="53" t="n"/>
      <c r="AU299" s="53" t="n"/>
      <c r="AV299" s="53" t="n"/>
      <c r="AW299" s="53" t="n"/>
      <c r="AX299" s="53" t="n"/>
      <c r="AY299" s="53" t="n"/>
    </row>
    <row r="300" ht="15" customHeight="1">
      <c r="A300" s="62" t="n"/>
      <c r="B300" s="55">
        <f>IF($B$298="","",$B$298)</f>
        <v/>
      </c>
      <c r="C300" s="63" t="inlineStr">
        <is>
          <t>기타</t>
        </is>
      </c>
      <c r="D300" s="55">
        <f>IF($D$298="","",$D$298)</f>
        <v/>
      </c>
      <c r="E300" s="64" t="inlineStr">
        <is>
          <t>영상</t>
        </is>
      </c>
      <c r="F300" s="44" t="n"/>
      <c r="G300" s="58">
        <f>IF($G$298="","",$G$298)</f>
        <v/>
      </c>
      <c r="H300" s="59" t="n"/>
      <c r="I300" s="59" t="n"/>
      <c r="J300" s="59" t="n"/>
      <c r="K300" s="59" t="n"/>
      <c r="L300" s="65">
        <f>IF(SUM(U300:AY300)=0,"",SUM(U300:AY300))</f>
        <v/>
      </c>
      <c r="M300" s="66">
        <f>IFERROR(INDEX(U$2:AY$2,MATCH(TRUE,INDEX(U300:AY300&lt;&gt;"",0),0)),"")</f>
        <v/>
      </c>
      <c r="N300" s="66">
        <f>IFERROR(LOOKUP(2,1/(U300:AY300&lt;&gt;""),U$2:AY$2),"")</f>
        <v/>
      </c>
      <c r="O300" s="59" t="n"/>
      <c r="P300" s="59" t="n"/>
      <c r="Q300" s="59" t="n"/>
      <c r="R300" s="59" t="n"/>
      <c r="S300" s="14" t="n"/>
      <c r="U300" s="53" t="n"/>
      <c r="V300" s="53" t="n"/>
      <c r="W300" s="53" t="n"/>
      <c r="X300" s="53" t="n"/>
      <c r="Y300" s="53" t="n"/>
      <c r="Z300" s="53" t="n"/>
      <c r="AA300" s="53" t="n"/>
      <c r="AB300" s="53" t="n"/>
      <c r="AC300" s="53" t="n"/>
      <c r="AD300" s="53" t="n"/>
      <c r="AE300" s="53" t="n"/>
      <c r="AF300" s="53" t="n"/>
      <c r="AG300" s="53" t="n"/>
      <c r="AH300" s="53" t="n"/>
      <c r="AI300" s="53" t="n"/>
      <c r="AJ300" s="53" t="n"/>
      <c r="AK300" s="53" t="n"/>
      <c r="AL300" s="53" t="n"/>
      <c r="AM300" s="53" t="n"/>
      <c r="AN300" s="53" t="n"/>
      <c r="AO300" s="53" t="n"/>
      <c r="AP300" s="53" t="n"/>
      <c r="AQ300" s="53" t="n"/>
      <c r="AR300" s="53" t="n"/>
      <c r="AS300" s="53" t="n"/>
      <c r="AT300" s="53" t="n"/>
      <c r="AU300" s="53" t="n"/>
      <c r="AV300" s="53" t="n"/>
      <c r="AW300" s="53" t="n"/>
      <c r="AX300" s="53" t="n"/>
      <c r="AY300" s="53" t="n"/>
    </row>
    <row r="301" ht="15" customHeight="1">
      <c r="A301" s="40">
        <f>IF($D$301="","",97)</f>
        <v/>
      </c>
      <c r="B301" s="10" t="n"/>
      <c r="C301" s="41" t="inlineStr">
        <is>
          <t>기타</t>
        </is>
      </c>
      <c r="D301" s="42" t="n"/>
      <c r="E301" s="43" t="inlineStr">
        <is>
          <t>기획</t>
        </is>
      </c>
      <c r="F301" s="44" t="n"/>
      <c r="G301" s="45" t="n"/>
      <c r="H301" s="46">
        <f>IF($I$301="","",IF($I$301&lt;0,"🔴지연",IF($I$301&lt;=1,"🟡임박","🟢여유")))</f>
        <v/>
      </c>
      <c r="I301" s="47">
        <f>IF(OR($G$301="",$K$301=""),"",$G$301-$K$301)</f>
        <v/>
      </c>
      <c r="J301" s="48">
        <f>IF(SUM($L$301:$L$303)=0,"",SUM($L$301:$L$303))</f>
        <v/>
      </c>
      <c r="K301" s="49">
        <f>IF($J$301="","",MAX($N$301:$N$303))</f>
        <v/>
      </c>
      <c r="L301" s="50">
        <f>IF(SUM(U301:AY301)=0,"",SUM(U301:AY301))</f>
        <v/>
      </c>
      <c r="M301" s="51">
        <f>IFERROR(INDEX(U$2:AY$2,MATCH(TRUE,INDEX(U301:AY301&lt;&gt;"",0),0)),"")</f>
        <v/>
      </c>
      <c r="N301" s="51">
        <f>IFERROR(LOOKUP(2,1/(U301:AY301&lt;&gt;""),U$2:AY$2),"")</f>
        <v/>
      </c>
      <c r="O301" s="52" t="n"/>
      <c r="P301" s="52" t="n"/>
      <c r="Q301" s="52" t="n"/>
      <c r="R301" s="44" t="n"/>
      <c r="S301" s="14" t="n"/>
      <c r="U301" s="53" t="n"/>
      <c r="V301" s="53" t="n"/>
      <c r="W301" s="53" t="n"/>
      <c r="X301" s="53" t="n"/>
      <c r="Y301" s="53" t="n"/>
      <c r="Z301" s="53" t="n"/>
      <c r="AA301" s="53" t="n"/>
      <c r="AB301" s="53" t="n"/>
      <c r="AC301" s="53" t="n"/>
      <c r="AD301" s="53" t="n"/>
      <c r="AE301" s="53" t="n"/>
      <c r="AF301" s="53" t="n"/>
      <c r="AG301" s="53" t="n"/>
      <c r="AH301" s="53" t="n"/>
      <c r="AI301" s="53" t="n"/>
      <c r="AJ301" s="53" t="n"/>
      <c r="AK301" s="53" t="n"/>
      <c r="AL301" s="53" t="n"/>
      <c r="AM301" s="53" t="n"/>
      <c r="AN301" s="53" t="n"/>
      <c r="AO301" s="53" t="n"/>
      <c r="AP301" s="53" t="n"/>
      <c r="AQ301" s="53" t="n"/>
      <c r="AR301" s="53" t="n"/>
      <c r="AS301" s="53" t="n"/>
      <c r="AT301" s="53" t="n"/>
      <c r="AU301" s="53" t="n"/>
      <c r="AV301" s="53" t="n"/>
      <c r="AW301" s="53" t="n"/>
      <c r="AX301" s="53" t="n"/>
      <c r="AY301" s="53" t="n"/>
    </row>
    <row r="302" ht="15" customHeight="1">
      <c r="A302" s="54" t="n"/>
      <c r="B302" s="55">
        <f>IF($B$301="","",$B$301)</f>
        <v/>
      </c>
      <c r="C302" s="56" t="inlineStr">
        <is>
          <t>기타</t>
        </is>
      </c>
      <c r="D302" s="55">
        <f>IF($D$301="","",$D$301)</f>
        <v/>
      </c>
      <c r="E302" s="57" t="inlineStr">
        <is>
          <t>이미지</t>
        </is>
      </c>
      <c r="F302" s="44" t="n"/>
      <c r="G302" s="58">
        <f>IF($G$301="","",$G$301)</f>
        <v/>
      </c>
      <c r="H302" s="59" t="n"/>
      <c r="I302" s="59" t="n"/>
      <c r="J302" s="59" t="n"/>
      <c r="K302" s="59" t="n"/>
      <c r="L302" s="60">
        <f>IF(SUM(U302:AY302)=0,"",SUM(U302:AY302))</f>
        <v/>
      </c>
      <c r="M302" s="61">
        <f>IFERROR(INDEX(U$2:AY$2,MATCH(TRUE,INDEX(U302:AY302&lt;&gt;"",0),0)),"")</f>
        <v/>
      </c>
      <c r="N302" s="61">
        <f>IFERROR(LOOKUP(2,1/(U302:AY302&lt;&gt;""),U$2:AY$2),"")</f>
        <v/>
      </c>
      <c r="O302" s="59" t="n"/>
      <c r="P302" s="59" t="n"/>
      <c r="Q302" s="59" t="n"/>
      <c r="R302" s="59" t="n"/>
      <c r="S302" s="14" t="n"/>
      <c r="U302" s="53" t="n"/>
      <c r="V302" s="53" t="n"/>
      <c r="W302" s="53" t="n"/>
      <c r="X302" s="53" t="n"/>
      <c r="Y302" s="53" t="n"/>
      <c r="Z302" s="53" t="n"/>
      <c r="AA302" s="53" t="n"/>
      <c r="AB302" s="53" t="n"/>
      <c r="AC302" s="53" t="n"/>
      <c r="AD302" s="53" t="n"/>
      <c r="AE302" s="53" t="n"/>
      <c r="AF302" s="53" t="n"/>
      <c r="AG302" s="53" t="n"/>
      <c r="AH302" s="53" t="n"/>
      <c r="AI302" s="53" t="n"/>
      <c r="AJ302" s="53" t="n"/>
      <c r="AK302" s="53" t="n"/>
      <c r="AL302" s="53" t="n"/>
      <c r="AM302" s="53" t="n"/>
      <c r="AN302" s="53" t="n"/>
      <c r="AO302" s="53" t="n"/>
      <c r="AP302" s="53" t="n"/>
      <c r="AQ302" s="53" t="n"/>
      <c r="AR302" s="53" t="n"/>
      <c r="AS302" s="53" t="n"/>
      <c r="AT302" s="53" t="n"/>
      <c r="AU302" s="53" t="n"/>
      <c r="AV302" s="53" t="n"/>
      <c r="AW302" s="53" t="n"/>
      <c r="AX302" s="53" t="n"/>
      <c r="AY302" s="53" t="n"/>
    </row>
    <row r="303" ht="15" customHeight="1">
      <c r="A303" s="62" t="n"/>
      <c r="B303" s="55">
        <f>IF($B$301="","",$B$301)</f>
        <v/>
      </c>
      <c r="C303" s="63" t="inlineStr">
        <is>
          <t>기타</t>
        </is>
      </c>
      <c r="D303" s="55">
        <f>IF($D$301="","",$D$301)</f>
        <v/>
      </c>
      <c r="E303" s="64" t="inlineStr">
        <is>
          <t>영상</t>
        </is>
      </c>
      <c r="F303" s="44" t="n"/>
      <c r="G303" s="58">
        <f>IF($G$301="","",$G$301)</f>
        <v/>
      </c>
      <c r="H303" s="59" t="n"/>
      <c r="I303" s="59" t="n"/>
      <c r="J303" s="59" t="n"/>
      <c r="K303" s="59" t="n"/>
      <c r="L303" s="65">
        <f>IF(SUM(U303:AY303)=0,"",SUM(U303:AY303))</f>
        <v/>
      </c>
      <c r="M303" s="66">
        <f>IFERROR(INDEX(U$2:AY$2,MATCH(TRUE,INDEX(U303:AY303&lt;&gt;"",0),0)),"")</f>
        <v/>
      </c>
      <c r="N303" s="66">
        <f>IFERROR(LOOKUP(2,1/(U303:AY303&lt;&gt;""),U$2:AY$2),"")</f>
        <v/>
      </c>
      <c r="O303" s="59" t="n"/>
      <c r="P303" s="59" t="n"/>
      <c r="Q303" s="59" t="n"/>
      <c r="R303" s="59" t="n"/>
      <c r="S303" s="14" t="n"/>
      <c r="U303" s="53" t="n"/>
      <c r="V303" s="53" t="n"/>
      <c r="W303" s="53" t="n"/>
      <c r="X303" s="53" t="n"/>
      <c r="Y303" s="53" t="n"/>
      <c r="Z303" s="53" t="n"/>
      <c r="AA303" s="53" t="n"/>
      <c r="AB303" s="53" t="n"/>
      <c r="AC303" s="53" t="n"/>
      <c r="AD303" s="53" t="n"/>
      <c r="AE303" s="53" t="n"/>
      <c r="AF303" s="53" t="n"/>
      <c r="AG303" s="53" t="n"/>
      <c r="AH303" s="53" t="n"/>
      <c r="AI303" s="53" t="n"/>
      <c r="AJ303" s="53" t="n"/>
      <c r="AK303" s="53" t="n"/>
      <c r="AL303" s="53" t="n"/>
      <c r="AM303" s="53" t="n"/>
      <c r="AN303" s="53" t="n"/>
      <c r="AO303" s="53" t="n"/>
      <c r="AP303" s="53" t="n"/>
      <c r="AQ303" s="53" t="n"/>
      <c r="AR303" s="53" t="n"/>
      <c r="AS303" s="53" t="n"/>
      <c r="AT303" s="53" t="n"/>
      <c r="AU303" s="53" t="n"/>
      <c r="AV303" s="53" t="n"/>
      <c r="AW303" s="53" t="n"/>
      <c r="AX303" s="53" t="n"/>
      <c r="AY303" s="53" t="n"/>
    </row>
    <row r="304" ht="15" customHeight="1">
      <c r="A304" s="40">
        <f>IF($D$304="","",98)</f>
        <v/>
      </c>
      <c r="B304" s="10" t="n"/>
      <c r="C304" s="41" t="inlineStr">
        <is>
          <t>기타</t>
        </is>
      </c>
      <c r="D304" s="42" t="n"/>
      <c r="E304" s="43" t="inlineStr">
        <is>
          <t>기획</t>
        </is>
      </c>
      <c r="F304" s="44" t="n"/>
      <c r="G304" s="45" t="n"/>
      <c r="H304" s="46">
        <f>IF($I$304="","",IF($I$304&lt;0,"🔴지연",IF($I$304&lt;=1,"🟡임박","🟢여유")))</f>
        <v/>
      </c>
      <c r="I304" s="47">
        <f>IF(OR($G$304="",$K$304=""),"",$G$304-$K$304)</f>
        <v/>
      </c>
      <c r="J304" s="48">
        <f>IF(SUM($L$304:$L$306)=0,"",SUM($L$304:$L$306))</f>
        <v/>
      </c>
      <c r="K304" s="49">
        <f>IF($J$304="","",MAX($N$304:$N$306))</f>
        <v/>
      </c>
      <c r="L304" s="50">
        <f>IF(SUM(U304:AY304)=0,"",SUM(U304:AY304))</f>
        <v/>
      </c>
      <c r="M304" s="51">
        <f>IFERROR(INDEX(U$2:AY$2,MATCH(TRUE,INDEX(U304:AY304&lt;&gt;"",0),0)),"")</f>
        <v/>
      </c>
      <c r="N304" s="51">
        <f>IFERROR(LOOKUP(2,1/(U304:AY304&lt;&gt;""),U$2:AY$2),"")</f>
        <v/>
      </c>
      <c r="O304" s="52" t="n"/>
      <c r="P304" s="52" t="n"/>
      <c r="Q304" s="52" t="n"/>
      <c r="R304" s="44" t="n"/>
      <c r="S304" s="14" t="n"/>
      <c r="U304" s="53" t="n"/>
      <c r="V304" s="53" t="n"/>
      <c r="W304" s="53" t="n"/>
      <c r="X304" s="53" t="n"/>
      <c r="Y304" s="53" t="n"/>
      <c r="Z304" s="53" t="n"/>
      <c r="AA304" s="53" t="n"/>
      <c r="AB304" s="53" t="n"/>
      <c r="AC304" s="53" t="n"/>
      <c r="AD304" s="53" t="n"/>
      <c r="AE304" s="53" t="n"/>
      <c r="AF304" s="53" t="n"/>
      <c r="AG304" s="53" t="n"/>
      <c r="AH304" s="53" t="n"/>
      <c r="AI304" s="53" t="n"/>
      <c r="AJ304" s="53" t="n"/>
      <c r="AK304" s="53" t="n"/>
      <c r="AL304" s="53" t="n"/>
      <c r="AM304" s="53" t="n"/>
      <c r="AN304" s="53" t="n"/>
      <c r="AO304" s="53" t="n"/>
      <c r="AP304" s="53" t="n"/>
      <c r="AQ304" s="53" t="n"/>
      <c r="AR304" s="53" t="n"/>
      <c r="AS304" s="53" t="n"/>
      <c r="AT304" s="53" t="n"/>
      <c r="AU304" s="53" t="n"/>
      <c r="AV304" s="53" t="n"/>
      <c r="AW304" s="53" t="n"/>
      <c r="AX304" s="53" t="n"/>
      <c r="AY304" s="53" t="n"/>
    </row>
    <row r="305" ht="15" customHeight="1">
      <c r="A305" s="54" t="n"/>
      <c r="B305" s="55">
        <f>IF($B$304="","",$B$304)</f>
        <v/>
      </c>
      <c r="C305" s="56" t="inlineStr">
        <is>
          <t>기타</t>
        </is>
      </c>
      <c r="D305" s="55">
        <f>IF($D$304="","",$D$304)</f>
        <v/>
      </c>
      <c r="E305" s="57" t="inlineStr">
        <is>
          <t>이미지</t>
        </is>
      </c>
      <c r="F305" s="44" t="n"/>
      <c r="G305" s="58">
        <f>IF($G$304="","",$G$304)</f>
        <v/>
      </c>
      <c r="H305" s="59" t="n"/>
      <c r="I305" s="59" t="n"/>
      <c r="J305" s="59" t="n"/>
      <c r="K305" s="59" t="n"/>
      <c r="L305" s="60">
        <f>IF(SUM(U305:AY305)=0,"",SUM(U305:AY305))</f>
        <v/>
      </c>
      <c r="M305" s="61">
        <f>IFERROR(INDEX(U$2:AY$2,MATCH(TRUE,INDEX(U305:AY305&lt;&gt;"",0),0)),"")</f>
        <v/>
      </c>
      <c r="N305" s="61">
        <f>IFERROR(LOOKUP(2,1/(U305:AY305&lt;&gt;""),U$2:AY$2),"")</f>
        <v/>
      </c>
      <c r="O305" s="59" t="n"/>
      <c r="P305" s="59" t="n"/>
      <c r="Q305" s="59" t="n"/>
      <c r="R305" s="59" t="n"/>
      <c r="S305" s="14" t="n"/>
      <c r="U305" s="53" t="n"/>
      <c r="V305" s="53" t="n"/>
      <c r="W305" s="53" t="n"/>
      <c r="X305" s="53" t="n"/>
      <c r="Y305" s="53" t="n"/>
      <c r="Z305" s="53" t="n"/>
      <c r="AA305" s="53" t="n"/>
      <c r="AB305" s="53" t="n"/>
      <c r="AC305" s="53" t="n"/>
      <c r="AD305" s="53" t="n"/>
      <c r="AE305" s="53" t="n"/>
      <c r="AF305" s="53" t="n"/>
      <c r="AG305" s="53" t="n"/>
      <c r="AH305" s="53" t="n"/>
      <c r="AI305" s="53" t="n"/>
      <c r="AJ305" s="53" t="n"/>
      <c r="AK305" s="53" t="n"/>
      <c r="AL305" s="53" t="n"/>
      <c r="AM305" s="53" t="n"/>
      <c r="AN305" s="53" t="n"/>
      <c r="AO305" s="53" t="n"/>
      <c r="AP305" s="53" t="n"/>
      <c r="AQ305" s="53" t="n"/>
      <c r="AR305" s="53" t="n"/>
      <c r="AS305" s="53" t="n"/>
      <c r="AT305" s="53" t="n"/>
      <c r="AU305" s="53" t="n"/>
      <c r="AV305" s="53" t="n"/>
      <c r="AW305" s="53" t="n"/>
      <c r="AX305" s="53" t="n"/>
      <c r="AY305" s="53" t="n"/>
    </row>
    <row r="306" ht="15" customHeight="1">
      <c r="A306" s="62" t="n"/>
      <c r="B306" s="55">
        <f>IF($B$304="","",$B$304)</f>
        <v/>
      </c>
      <c r="C306" s="63" t="inlineStr">
        <is>
          <t>기타</t>
        </is>
      </c>
      <c r="D306" s="55">
        <f>IF($D$304="","",$D$304)</f>
        <v/>
      </c>
      <c r="E306" s="64" t="inlineStr">
        <is>
          <t>영상</t>
        </is>
      </c>
      <c r="F306" s="44" t="n"/>
      <c r="G306" s="58">
        <f>IF($G$304="","",$G$304)</f>
        <v/>
      </c>
      <c r="H306" s="59" t="n"/>
      <c r="I306" s="59" t="n"/>
      <c r="J306" s="59" t="n"/>
      <c r="K306" s="59" t="n"/>
      <c r="L306" s="65">
        <f>IF(SUM(U306:AY306)=0,"",SUM(U306:AY306))</f>
        <v/>
      </c>
      <c r="M306" s="66">
        <f>IFERROR(INDEX(U$2:AY$2,MATCH(TRUE,INDEX(U306:AY306&lt;&gt;"",0),0)),"")</f>
        <v/>
      </c>
      <c r="N306" s="66">
        <f>IFERROR(LOOKUP(2,1/(U306:AY306&lt;&gt;""),U$2:AY$2),"")</f>
        <v/>
      </c>
      <c r="O306" s="59" t="n"/>
      <c r="P306" s="59" t="n"/>
      <c r="Q306" s="59" t="n"/>
      <c r="R306" s="59" t="n"/>
      <c r="S306" s="14" t="n"/>
      <c r="U306" s="53" t="n"/>
      <c r="V306" s="53" t="n"/>
      <c r="W306" s="53" t="n"/>
      <c r="X306" s="53" t="n"/>
      <c r="Y306" s="53" t="n"/>
      <c r="Z306" s="53" t="n"/>
      <c r="AA306" s="53" t="n"/>
      <c r="AB306" s="53" t="n"/>
      <c r="AC306" s="53" t="n"/>
      <c r="AD306" s="53" t="n"/>
      <c r="AE306" s="53" t="n"/>
      <c r="AF306" s="53" t="n"/>
      <c r="AG306" s="53" t="n"/>
      <c r="AH306" s="53" t="n"/>
      <c r="AI306" s="53" t="n"/>
      <c r="AJ306" s="53" t="n"/>
      <c r="AK306" s="53" t="n"/>
      <c r="AL306" s="53" t="n"/>
      <c r="AM306" s="53" t="n"/>
      <c r="AN306" s="53" t="n"/>
      <c r="AO306" s="53" t="n"/>
      <c r="AP306" s="53" t="n"/>
      <c r="AQ306" s="53" t="n"/>
      <c r="AR306" s="53" t="n"/>
      <c r="AS306" s="53" t="n"/>
      <c r="AT306" s="53" t="n"/>
      <c r="AU306" s="53" t="n"/>
      <c r="AV306" s="53" t="n"/>
      <c r="AW306" s="53" t="n"/>
      <c r="AX306" s="53" t="n"/>
      <c r="AY306" s="53" t="n"/>
    </row>
    <row r="307" ht="15" customHeight="1">
      <c r="A307" s="40">
        <f>IF($D$307="","",99)</f>
        <v/>
      </c>
      <c r="B307" s="10" t="n"/>
      <c r="C307" s="41" t="inlineStr">
        <is>
          <t>기타</t>
        </is>
      </c>
      <c r="D307" s="42" t="n"/>
      <c r="E307" s="43" t="inlineStr">
        <is>
          <t>기획</t>
        </is>
      </c>
      <c r="F307" s="44" t="n"/>
      <c r="G307" s="45" t="n"/>
      <c r="H307" s="46">
        <f>IF($I$307="","",IF($I$307&lt;0,"🔴지연",IF($I$307&lt;=1,"🟡임박","🟢여유")))</f>
        <v/>
      </c>
      <c r="I307" s="47">
        <f>IF(OR($G$307="",$K$307=""),"",$G$307-$K$307)</f>
        <v/>
      </c>
      <c r="J307" s="48">
        <f>IF(SUM($L$307:$L$309)=0,"",SUM($L$307:$L$309))</f>
        <v/>
      </c>
      <c r="K307" s="49">
        <f>IF($J$307="","",MAX($N$307:$N$309))</f>
        <v/>
      </c>
      <c r="L307" s="50">
        <f>IF(SUM(U307:AY307)=0,"",SUM(U307:AY307))</f>
        <v/>
      </c>
      <c r="M307" s="51">
        <f>IFERROR(INDEX(U$2:AY$2,MATCH(TRUE,INDEX(U307:AY307&lt;&gt;"",0),0)),"")</f>
        <v/>
      </c>
      <c r="N307" s="51">
        <f>IFERROR(LOOKUP(2,1/(U307:AY307&lt;&gt;""),U$2:AY$2),"")</f>
        <v/>
      </c>
      <c r="O307" s="52" t="n"/>
      <c r="P307" s="52" t="n"/>
      <c r="Q307" s="52" t="n"/>
      <c r="R307" s="44" t="n"/>
      <c r="S307" s="14" t="n"/>
      <c r="U307" s="53" t="n"/>
      <c r="V307" s="53" t="n"/>
      <c r="W307" s="53" t="n"/>
      <c r="X307" s="53" t="n"/>
      <c r="Y307" s="53" t="n"/>
      <c r="Z307" s="53" t="n"/>
      <c r="AA307" s="53" t="n"/>
      <c r="AB307" s="53" t="n"/>
      <c r="AC307" s="53" t="n"/>
      <c r="AD307" s="53" t="n"/>
      <c r="AE307" s="53" t="n"/>
      <c r="AF307" s="53" t="n"/>
      <c r="AG307" s="53" t="n"/>
      <c r="AH307" s="53" t="n"/>
      <c r="AI307" s="53" t="n"/>
      <c r="AJ307" s="53" t="n"/>
      <c r="AK307" s="53" t="n"/>
      <c r="AL307" s="53" t="n"/>
      <c r="AM307" s="53" t="n"/>
      <c r="AN307" s="53" t="n"/>
      <c r="AO307" s="53" t="n"/>
      <c r="AP307" s="53" t="n"/>
      <c r="AQ307" s="53" t="n"/>
      <c r="AR307" s="53" t="n"/>
      <c r="AS307" s="53" t="n"/>
      <c r="AT307" s="53" t="n"/>
      <c r="AU307" s="53" t="n"/>
      <c r="AV307" s="53" t="n"/>
      <c r="AW307" s="53" t="n"/>
      <c r="AX307" s="53" t="n"/>
      <c r="AY307" s="53" t="n"/>
    </row>
    <row r="308" ht="15" customHeight="1">
      <c r="A308" s="54" t="n"/>
      <c r="B308" s="55">
        <f>IF($B$307="","",$B$307)</f>
        <v/>
      </c>
      <c r="C308" s="56" t="inlineStr">
        <is>
          <t>기타</t>
        </is>
      </c>
      <c r="D308" s="55">
        <f>IF($D$307="","",$D$307)</f>
        <v/>
      </c>
      <c r="E308" s="57" t="inlineStr">
        <is>
          <t>이미지</t>
        </is>
      </c>
      <c r="F308" s="44" t="n"/>
      <c r="G308" s="58">
        <f>IF($G$307="","",$G$307)</f>
        <v/>
      </c>
      <c r="H308" s="59" t="n"/>
      <c r="I308" s="59" t="n"/>
      <c r="J308" s="59" t="n"/>
      <c r="K308" s="59" t="n"/>
      <c r="L308" s="60">
        <f>IF(SUM(U308:AY308)=0,"",SUM(U308:AY308))</f>
        <v/>
      </c>
      <c r="M308" s="61">
        <f>IFERROR(INDEX(U$2:AY$2,MATCH(TRUE,INDEX(U308:AY308&lt;&gt;"",0),0)),"")</f>
        <v/>
      </c>
      <c r="N308" s="61">
        <f>IFERROR(LOOKUP(2,1/(U308:AY308&lt;&gt;""),U$2:AY$2),"")</f>
        <v/>
      </c>
      <c r="O308" s="59" t="n"/>
      <c r="P308" s="59" t="n"/>
      <c r="Q308" s="59" t="n"/>
      <c r="R308" s="59" t="n"/>
      <c r="S308" s="14" t="n"/>
      <c r="U308" s="53" t="n"/>
      <c r="V308" s="53" t="n"/>
      <c r="W308" s="53" t="n"/>
      <c r="X308" s="53" t="n"/>
      <c r="Y308" s="53" t="n"/>
      <c r="Z308" s="53" t="n"/>
      <c r="AA308" s="53" t="n"/>
      <c r="AB308" s="53" t="n"/>
      <c r="AC308" s="53" t="n"/>
      <c r="AD308" s="53" t="n"/>
      <c r="AE308" s="53" t="n"/>
      <c r="AF308" s="53" t="n"/>
      <c r="AG308" s="53" t="n"/>
      <c r="AH308" s="53" t="n"/>
      <c r="AI308" s="53" t="n"/>
      <c r="AJ308" s="53" t="n"/>
      <c r="AK308" s="53" t="n"/>
      <c r="AL308" s="53" t="n"/>
      <c r="AM308" s="53" t="n"/>
      <c r="AN308" s="53" t="n"/>
      <c r="AO308" s="53" t="n"/>
      <c r="AP308" s="53" t="n"/>
      <c r="AQ308" s="53" t="n"/>
      <c r="AR308" s="53" t="n"/>
      <c r="AS308" s="53" t="n"/>
      <c r="AT308" s="53" t="n"/>
      <c r="AU308" s="53" t="n"/>
      <c r="AV308" s="53" t="n"/>
      <c r="AW308" s="53" t="n"/>
      <c r="AX308" s="53" t="n"/>
      <c r="AY308" s="53" t="n"/>
    </row>
    <row r="309" ht="15" customHeight="1">
      <c r="A309" s="62" t="n"/>
      <c r="B309" s="55">
        <f>IF($B$307="","",$B$307)</f>
        <v/>
      </c>
      <c r="C309" s="63" t="inlineStr">
        <is>
          <t>기타</t>
        </is>
      </c>
      <c r="D309" s="55">
        <f>IF($D$307="","",$D$307)</f>
        <v/>
      </c>
      <c r="E309" s="64" t="inlineStr">
        <is>
          <t>영상</t>
        </is>
      </c>
      <c r="F309" s="44" t="n"/>
      <c r="G309" s="58">
        <f>IF($G$307="","",$G$307)</f>
        <v/>
      </c>
      <c r="H309" s="59" t="n"/>
      <c r="I309" s="59" t="n"/>
      <c r="J309" s="59" t="n"/>
      <c r="K309" s="59" t="n"/>
      <c r="L309" s="65">
        <f>IF(SUM(U309:AY309)=0,"",SUM(U309:AY309))</f>
        <v/>
      </c>
      <c r="M309" s="66">
        <f>IFERROR(INDEX(U$2:AY$2,MATCH(TRUE,INDEX(U309:AY309&lt;&gt;"",0),0)),"")</f>
        <v/>
      </c>
      <c r="N309" s="66">
        <f>IFERROR(LOOKUP(2,1/(U309:AY309&lt;&gt;""),U$2:AY$2),"")</f>
        <v/>
      </c>
      <c r="O309" s="59" t="n"/>
      <c r="P309" s="59" t="n"/>
      <c r="Q309" s="59" t="n"/>
      <c r="R309" s="59" t="n"/>
      <c r="S309" s="14" t="n"/>
      <c r="U309" s="53" t="n"/>
      <c r="V309" s="53" t="n"/>
      <c r="W309" s="53" t="n"/>
      <c r="X309" s="53" t="n"/>
      <c r="Y309" s="53" t="n"/>
      <c r="Z309" s="53" t="n"/>
      <c r="AA309" s="53" t="n"/>
      <c r="AB309" s="53" t="n"/>
      <c r="AC309" s="53" t="n"/>
      <c r="AD309" s="53" t="n"/>
      <c r="AE309" s="53" t="n"/>
      <c r="AF309" s="53" t="n"/>
      <c r="AG309" s="53" t="n"/>
      <c r="AH309" s="53" t="n"/>
      <c r="AI309" s="53" t="n"/>
      <c r="AJ309" s="53" t="n"/>
      <c r="AK309" s="53" t="n"/>
      <c r="AL309" s="53" t="n"/>
      <c r="AM309" s="53" t="n"/>
      <c r="AN309" s="53" t="n"/>
      <c r="AO309" s="53" t="n"/>
      <c r="AP309" s="53" t="n"/>
      <c r="AQ309" s="53" t="n"/>
      <c r="AR309" s="53" t="n"/>
      <c r="AS309" s="53" t="n"/>
      <c r="AT309" s="53" t="n"/>
      <c r="AU309" s="53" t="n"/>
      <c r="AV309" s="53" t="n"/>
      <c r="AW309" s="53" t="n"/>
      <c r="AX309" s="53" t="n"/>
      <c r="AY309" s="53" t="n"/>
    </row>
    <row r="310" ht="15" customHeight="1">
      <c r="A310" s="40">
        <f>IF($D$310="","",100)</f>
        <v/>
      </c>
      <c r="B310" s="10" t="n"/>
      <c r="C310" s="41" t="inlineStr">
        <is>
          <t>기타</t>
        </is>
      </c>
      <c r="D310" s="42" t="n"/>
      <c r="E310" s="43" t="inlineStr">
        <is>
          <t>기획</t>
        </is>
      </c>
      <c r="F310" s="44" t="n"/>
      <c r="G310" s="45" t="n"/>
      <c r="H310" s="46">
        <f>IF($I$310="","",IF($I$310&lt;0,"🔴지연",IF($I$310&lt;=1,"🟡임박","🟢여유")))</f>
        <v/>
      </c>
      <c r="I310" s="47">
        <f>IF(OR($G$310="",$K$310=""),"",$G$310-$K$310)</f>
        <v/>
      </c>
      <c r="J310" s="48">
        <f>IF(SUM($L$310:$L$312)=0,"",SUM($L$310:$L$312))</f>
        <v/>
      </c>
      <c r="K310" s="49">
        <f>IF($J$310="","",MAX($N$310:$N$312))</f>
        <v/>
      </c>
      <c r="L310" s="50">
        <f>IF(SUM(U310:AY310)=0,"",SUM(U310:AY310))</f>
        <v/>
      </c>
      <c r="M310" s="51">
        <f>IFERROR(INDEX(U$2:AY$2,MATCH(TRUE,INDEX(U310:AY310&lt;&gt;"",0),0)),"")</f>
        <v/>
      </c>
      <c r="N310" s="51">
        <f>IFERROR(LOOKUP(2,1/(U310:AY310&lt;&gt;""),U$2:AY$2),"")</f>
        <v/>
      </c>
      <c r="O310" s="52" t="n"/>
      <c r="P310" s="52" t="n"/>
      <c r="Q310" s="52" t="n"/>
      <c r="R310" s="44" t="n"/>
      <c r="S310" s="14" t="n"/>
      <c r="U310" s="53" t="n"/>
      <c r="V310" s="53" t="n"/>
      <c r="W310" s="53" t="n"/>
      <c r="X310" s="53" t="n"/>
      <c r="Y310" s="53" t="n"/>
      <c r="Z310" s="53" t="n"/>
      <c r="AA310" s="53" t="n"/>
      <c r="AB310" s="53" t="n"/>
      <c r="AC310" s="53" t="n"/>
      <c r="AD310" s="53" t="n"/>
      <c r="AE310" s="53" t="n"/>
      <c r="AF310" s="53" t="n"/>
      <c r="AG310" s="53" t="n"/>
      <c r="AH310" s="53" t="n"/>
      <c r="AI310" s="53" t="n"/>
      <c r="AJ310" s="53" t="n"/>
      <c r="AK310" s="53" t="n"/>
      <c r="AL310" s="53" t="n"/>
      <c r="AM310" s="53" t="n"/>
      <c r="AN310" s="53" t="n"/>
      <c r="AO310" s="53" t="n"/>
      <c r="AP310" s="53" t="n"/>
      <c r="AQ310" s="53" t="n"/>
      <c r="AR310" s="53" t="n"/>
      <c r="AS310" s="53" t="n"/>
      <c r="AT310" s="53" t="n"/>
      <c r="AU310" s="53" t="n"/>
      <c r="AV310" s="53" t="n"/>
      <c r="AW310" s="53" t="n"/>
      <c r="AX310" s="53" t="n"/>
      <c r="AY310" s="53" t="n"/>
    </row>
    <row r="311" ht="15" customHeight="1">
      <c r="A311" s="54" t="n"/>
      <c r="B311" s="55">
        <f>IF($B$310="","",$B$310)</f>
        <v/>
      </c>
      <c r="C311" s="56" t="inlineStr">
        <is>
          <t>기타</t>
        </is>
      </c>
      <c r="D311" s="55">
        <f>IF($D$310="","",$D$310)</f>
        <v/>
      </c>
      <c r="E311" s="57" t="inlineStr">
        <is>
          <t>이미지</t>
        </is>
      </c>
      <c r="F311" s="44" t="n"/>
      <c r="G311" s="58">
        <f>IF($G$310="","",$G$310)</f>
        <v/>
      </c>
      <c r="H311" s="59" t="n"/>
      <c r="I311" s="59" t="n"/>
      <c r="J311" s="59" t="n"/>
      <c r="K311" s="59" t="n"/>
      <c r="L311" s="60">
        <f>IF(SUM(U311:AY311)=0,"",SUM(U311:AY311))</f>
        <v/>
      </c>
      <c r="M311" s="61">
        <f>IFERROR(INDEX(U$2:AY$2,MATCH(TRUE,INDEX(U311:AY311&lt;&gt;"",0),0)),"")</f>
        <v/>
      </c>
      <c r="N311" s="61">
        <f>IFERROR(LOOKUP(2,1/(U311:AY311&lt;&gt;""),U$2:AY$2),"")</f>
        <v/>
      </c>
      <c r="O311" s="59" t="n"/>
      <c r="P311" s="59" t="n"/>
      <c r="Q311" s="59" t="n"/>
      <c r="R311" s="59" t="n"/>
      <c r="S311" s="14" t="n"/>
      <c r="U311" s="53" t="n"/>
      <c r="V311" s="53" t="n"/>
      <c r="W311" s="53" t="n"/>
      <c r="X311" s="53" t="n"/>
      <c r="Y311" s="53" t="n"/>
      <c r="Z311" s="53" t="n"/>
      <c r="AA311" s="53" t="n"/>
      <c r="AB311" s="53" t="n"/>
      <c r="AC311" s="53" t="n"/>
      <c r="AD311" s="53" t="n"/>
      <c r="AE311" s="53" t="n"/>
      <c r="AF311" s="53" t="n"/>
      <c r="AG311" s="53" t="n"/>
      <c r="AH311" s="53" t="n"/>
      <c r="AI311" s="53" t="n"/>
      <c r="AJ311" s="53" t="n"/>
      <c r="AK311" s="53" t="n"/>
      <c r="AL311" s="53" t="n"/>
      <c r="AM311" s="53" t="n"/>
      <c r="AN311" s="53" t="n"/>
      <c r="AO311" s="53" t="n"/>
      <c r="AP311" s="53" t="n"/>
      <c r="AQ311" s="53" t="n"/>
      <c r="AR311" s="53" t="n"/>
      <c r="AS311" s="53" t="n"/>
      <c r="AT311" s="53" t="n"/>
      <c r="AU311" s="53" t="n"/>
      <c r="AV311" s="53" t="n"/>
      <c r="AW311" s="53" t="n"/>
      <c r="AX311" s="53" t="n"/>
      <c r="AY311" s="53" t="n"/>
    </row>
    <row r="312" ht="15" customHeight="1">
      <c r="A312" s="62" t="n"/>
      <c r="B312" s="55">
        <f>IF($B$310="","",$B$310)</f>
        <v/>
      </c>
      <c r="C312" s="63" t="inlineStr">
        <is>
          <t>기타</t>
        </is>
      </c>
      <c r="D312" s="55">
        <f>IF($D$310="","",$D$310)</f>
        <v/>
      </c>
      <c r="E312" s="64" t="inlineStr">
        <is>
          <t>영상</t>
        </is>
      </c>
      <c r="F312" s="44" t="n"/>
      <c r="G312" s="58">
        <f>IF($G$310="","",$G$310)</f>
        <v/>
      </c>
      <c r="H312" s="59" t="n"/>
      <c r="I312" s="59" t="n"/>
      <c r="J312" s="59" t="n"/>
      <c r="K312" s="59" t="n"/>
      <c r="L312" s="65">
        <f>IF(SUM(U312:AY312)=0,"",SUM(U312:AY312))</f>
        <v/>
      </c>
      <c r="M312" s="66">
        <f>IFERROR(INDEX(U$2:AY$2,MATCH(TRUE,INDEX(U312:AY312&lt;&gt;"",0),0)),"")</f>
        <v/>
      </c>
      <c r="N312" s="66">
        <f>IFERROR(LOOKUP(2,1/(U312:AY312&lt;&gt;""),U$2:AY$2),"")</f>
        <v/>
      </c>
      <c r="O312" s="59" t="n"/>
      <c r="P312" s="59" t="n"/>
      <c r="Q312" s="59" t="n"/>
      <c r="R312" s="59" t="n"/>
      <c r="S312" s="14" t="n"/>
      <c r="U312" s="53" t="n"/>
      <c r="V312" s="53" t="n"/>
      <c r="W312" s="53" t="n"/>
      <c r="X312" s="53" t="n"/>
      <c r="Y312" s="53" t="n"/>
      <c r="Z312" s="53" t="n"/>
      <c r="AA312" s="53" t="n"/>
      <c r="AB312" s="53" t="n"/>
      <c r="AC312" s="53" t="n"/>
      <c r="AD312" s="53" t="n"/>
      <c r="AE312" s="53" t="n"/>
      <c r="AF312" s="53" t="n"/>
      <c r="AG312" s="53" t="n"/>
      <c r="AH312" s="53" t="n"/>
      <c r="AI312" s="53" t="n"/>
      <c r="AJ312" s="53" t="n"/>
      <c r="AK312" s="53" t="n"/>
      <c r="AL312" s="53" t="n"/>
      <c r="AM312" s="53" t="n"/>
      <c r="AN312" s="53" t="n"/>
      <c r="AO312" s="53" t="n"/>
      <c r="AP312" s="53" t="n"/>
      <c r="AQ312" s="53" t="n"/>
      <c r="AR312" s="53" t="n"/>
      <c r="AS312" s="53" t="n"/>
      <c r="AT312" s="53" t="n"/>
      <c r="AU312" s="53" t="n"/>
      <c r="AV312" s="53" t="n"/>
      <c r="AW312" s="53" t="n"/>
      <c r="AX312" s="53" t="n"/>
      <c r="AY312" s="53" t="n"/>
    </row>
    <row r="315">
      <c r="A315" s="67" t="inlineStr">
        <is>
          <t>담당자 1일 캐파(MD)</t>
        </is>
      </c>
      <c r="B315" s="68">
        <f>'마스터'!$J$5</f>
        <v/>
      </c>
    </row>
    <row r="316">
      <c r="A316" s="67" t="inlineStr">
        <is>
          <t>공휴일(자동 연동)</t>
        </is>
      </c>
    </row>
    <row r="317">
      <c r="A317" s="67">
        <f>'마스터'!$I$13</f>
        <v/>
      </c>
      <c r="B317" s="69">
        <f>'마스터'!$J$13</f>
        <v/>
      </c>
    </row>
    <row r="318">
      <c r="A318" s="67">
        <f>'마스터'!$I$14</f>
        <v/>
      </c>
      <c r="B318" s="69">
        <f>'마스터'!$J$14</f>
        <v/>
      </c>
    </row>
    <row r="319">
      <c r="A319" s="67">
        <f>'마스터'!$I$15</f>
        <v/>
      </c>
      <c r="B319" s="69">
        <f>'마스터'!$J$15</f>
        <v/>
      </c>
    </row>
    <row r="320">
      <c r="A320" s="67">
        <f>'마스터'!$I$16</f>
        <v/>
      </c>
      <c r="B320" s="69">
        <f>'마스터'!$J$16</f>
        <v/>
      </c>
    </row>
    <row r="321">
      <c r="A321" s="67">
        <f>'마스터'!$I$17</f>
        <v/>
      </c>
      <c r="B321" s="69">
        <f>'마스터'!$J$17</f>
        <v/>
      </c>
    </row>
    <row r="322">
      <c r="A322" s="67">
        <f>'마스터'!$I$18</f>
        <v/>
      </c>
      <c r="B322" s="69">
        <f>'마스터'!$J$18</f>
        <v/>
      </c>
    </row>
    <row r="323">
      <c r="A323" s="67">
        <f>'마스터'!$I$19</f>
        <v/>
      </c>
      <c r="B323" s="69">
        <f>'마스터'!$J$19</f>
        <v/>
      </c>
    </row>
    <row r="324">
      <c r="A324" s="67">
        <f>'마스터'!$I$20</f>
        <v/>
      </c>
      <c r="B324" s="69">
        <f>'마스터'!$J$20</f>
        <v/>
      </c>
    </row>
    <row r="325">
      <c r="A325" s="67">
        <f>'마스터'!$I$21</f>
        <v/>
      </c>
      <c r="B325" s="69">
        <f>'마스터'!$J$21</f>
        <v/>
      </c>
    </row>
    <row r="326">
      <c r="A326" s="67">
        <f>'마스터'!$I$22</f>
        <v/>
      </c>
      <c r="B326" s="69">
        <f>'마스터'!$J$22</f>
        <v/>
      </c>
    </row>
    <row r="327">
      <c r="A327" s="67">
        <f>'마스터'!$I$23</f>
        <v/>
      </c>
      <c r="B327" s="69">
        <f>'마스터'!$J$23</f>
        <v/>
      </c>
    </row>
    <row r="328">
      <c r="A328" s="67">
        <f>'마스터'!$I$24</f>
        <v/>
      </c>
      <c r="B328" s="69">
        <f>'마스터'!$J$24</f>
        <v/>
      </c>
    </row>
    <row r="329">
      <c r="A329" s="67">
        <f>'마스터'!$I$25</f>
        <v/>
      </c>
      <c r="B329" s="69">
        <f>'마스터'!$J$25</f>
        <v/>
      </c>
    </row>
    <row r="330">
      <c r="A330" s="67">
        <f>'마스터'!$I$26</f>
        <v/>
      </c>
      <c r="B330" s="69">
        <f>'마스터'!$J$26</f>
        <v/>
      </c>
    </row>
    <row r="331">
      <c r="A331" s="67">
        <f>'마스터'!$I$27</f>
        <v/>
      </c>
      <c r="B331" s="69">
        <f>'마스터'!$J$27</f>
        <v/>
      </c>
    </row>
  </sheetData>
  <mergeCells count="16">
    <mergeCell ref="L1:N1"/>
    <mergeCell ref="A252:AY252"/>
    <mergeCell ref="O1:Q1"/>
    <mergeCell ref="A191:AY191"/>
    <mergeCell ref="A1:F1"/>
    <mergeCell ref="A5:F5"/>
    <mergeCell ref="A130:AY130"/>
    <mergeCell ref="G1:K1"/>
    <mergeCell ref="A8:AY8"/>
    <mergeCell ref="U1:AY1"/>
    <mergeCell ref="A6:F6"/>
    <mergeCell ref="A4:F4"/>
    <mergeCell ref="A3:F3"/>
    <mergeCell ref="A7:AY7"/>
    <mergeCell ref="A69:AY69"/>
    <mergeCell ref="R1:S1"/>
  </mergeCells>
  <conditionalFormatting sqref="U3:AY6">
    <cfRule type="expression" priority="1" dxfId="3">
      <formula>AND(U3&lt;&gt;"",U3&gt;$H3)</formula>
    </cfRule>
    <cfRule type="expression" priority="2" dxfId="4">
      <formula>AND(U3&gt;0,U3&gt;=$H3*0.8)</formula>
    </cfRule>
  </conditionalFormatting>
  <conditionalFormatting sqref="U3:AY312">
    <cfRule type="expression" priority="3" dxfId="5">
      <formula>U$2=""</formula>
    </cfRule>
    <cfRule type="expression" priority="4" dxfId="6">
      <formula>AND(U$2&lt;&gt;"",OR(WEEKDAY(U$2,2)&gt;5,COUNTIF($B$317:$B$331,U$2)&gt;0))</formula>
    </cfRule>
  </conditionalFormatting>
  <conditionalFormatting sqref="U9:AY312">
    <cfRule type="expression" priority="5" dxfId="7">
      <formula>AND(U9&lt;&gt;"",$G9&lt;&gt;"",U$2&lt;&gt;"",U$2&gt;$G9)</formula>
    </cfRule>
    <cfRule type="expression" priority="6" dxfId="8">
      <formula>AND($F9&lt;&gt;"",U9&lt;&gt;"",SUMIF($F$9:$F$312,$F9,U$9:U$312)&gt;$B$315)</formula>
    </cfRule>
    <cfRule type="expression" priority="7" dxfId="9">
      <formula>AND($E9="기획",U9&lt;&gt;"")</formula>
    </cfRule>
    <cfRule type="expression" priority="8" dxfId="10">
      <formula>AND($E9="이미지",U9&lt;&gt;"")</formula>
    </cfRule>
    <cfRule type="expression" priority="9" dxfId="11">
      <formula>AND($E9="영상",U9&lt;&gt;"")</formula>
    </cfRule>
  </conditionalFormatting>
  <conditionalFormatting sqref="H9:I312">
    <cfRule type="expression" priority="10" dxfId="12">
      <formula>AND($I9&lt;&gt;"",$I9&lt;0)</formula>
    </cfRule>
    <cfRule type="expression" priority="11" dxfId="13">
      <formula>AND($I9&lt;&gt;"",$I9&lt;=1)</formula>
    </cfRule>
    <cfRule type="expression" priority="12" dxfId="14">
      <formula>$I9&lt;&gt;""</formula>
    </cfRule>
  </conditionalFormatting>
  <dataValidations count="2">
    <dataValidation sqref="B9:B312" showDropDown="0" showInputMessage="0" showErrorMessage="0" allowBlank="1" type="list">
      <formula1>'마스터'!$A$3:$A$12</formula1>
    </dataValidation>
    <dataValidation sqref="R9:R312" showDropDown="0" showInputMessage="0" showErrorMessage="0" allowBlank="1" type="list">
      <formula1>'마스터'!$G$3:$G$6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2A44"/>
    <outlinePr summaryBelow="1" summaryRight="1"/>
    <pageSetUpPr/>
  </sheetPr>
  <dimension ref="A1:AY331"/>
  <sheetViews>
    <sheetView workbookViewId="0">
      <pane xSplit="8" ySplit="8" topLeftCell="I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28" customWidth="1" min="4" max="4"/>
    <col width="8" customWidth="1" min="5" max="5"/>
    <col width="10" customWidth="1" min="6" max="6"/>
    <col width="11" customWidth="1" min="7" max="7"/>
    <col width="9" customWidth="1" min="8" max="8"/>
    <col width="8" customWidth="1" min="9" max="9"/>
    <col width="8" customWidth="1" min="10" max="10"/>
    <col width="11" customWidth="1" min="11" max="11"/>
    <col width="8" customWidth="1" min="12" max="12"/>
    <col width="10" customWidth="1" min="13" max="13"/>
    <col width="10" customWidth="1" min="14" max="14"/>
    <col width="6" customWidth="1" min="15" max="15"/>
    <col width="6" customWidth="1" min="16" max="16"/>
    <col width="6" customWidth="1" min="17" max="17"/>
    <col width="8" customWidth="1" min="18" max="18"/>
    <col width="16" customWidth="1" min="19" max="19"/>
    <col width="2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3.6" customWidth="1" min="33" max="33"/>
    <col width="3.6" customWidth="1" min="34" max="34"/>
    <col width="3.6" customWidth="1" min="35" max="35"/>
    <col width="3.6" customWidth="1" min="36" max="36"/>
    <col width="3.6" customWidth="1" min="37" max="37"/>
    <col width="3.6" customWidth="1" min="38" max="38"/>
    <col width="3.6" customWidth="1" min="39" max="39"/>
    <col width="3.6" customWidth="1" min="40" max="40"/>
    <col width="3.6" customWidth="1" min="41" max="41"/>
    <col width="3.6" customWidth="1" min="42" max="42"/>
    <col width="3.6" customWidth="1" min="43" max="43"/>
    <col width="3.6" customWidth="1" min="44" max="44"/>
    <col width="3.6" customWidth="1" min="45" max="45"/>
    <col width="3.6" customWidth="1" min="46" max="46"/>
    <col width="3.6" customWidth="1" min="47" max="47"/>
    <col width="3.6" customWidth="1" min="48" max="48"/>
    <col width="3.6" customWidth="1" min="49" max="49"/>
    <col width="3.6" customWidth="1" min="50" max="50"/>
    <col width="3.6" customWidth="1" min="51" max="51"/>
  </cols>
  <sheetData>
    <row r="1" ht="22" customHeight="1">
      <c r="A1" s="27" t="inlineStr">
        <is>
          <t>8월 소재 정보  (소재 1개 = 기획/이미지/영상 3줄)</t>
        </is>
      </c>
      <c r="B1" s="8" t="n"/>
      <c r="C1" s="8" t="n"/>
      <c r="D1" s="8" t="n"/>
      <c r="E1" s="8" t="n"/>
      <c r="F1" s="4" t="n"/>
      <c r="G1" s="28" t="inlineStr">
        <is>
          <t>고객사 전달일 기준 (자동)</t>
        </is>
      </c>
      <c r="H1" s="8" t="n"/>
      <c r="I1" s="8" t="n"/>
      <c r="J1" s="8" t="n"/>
      <c r="K1" s="4" t="n"/>
      <c r="L1" s="29" t="inlineStr">
        <is>
          <t>직군별 집계 (자동)</t>
        </is>
      </c>
      <c r="M1" s="8" t="n"/>
      <c r="N1" s="4" t="n"/>
      <c r="O1" s="30" t="inlineStr">
        <is>
          <t>수량 (소재당 1번)</t>
        </is>
      </c>
      <c r="P1" s="8" t="n"/>
      <c r="Q1" s="4" t="n"/>
      <c r="R1" s="31" t="inlineStr">
        <is>
          <t>관리</t>
        </is>
      </c>
      <c r="S1" s="4" t="n"/>
      <c r="U1" s="32" t="inlineStr">
        <is>
          <t>8월 간트 - 날짜 칸에 실제 MD 직접 입력   |   상단 4줄 = 일자별 직군 TO 상태</t>
        </is>
      </c>
      <c r="V1" s="8" t="n"/>
      <c r="W1" s="8" t="n"/>
      <c r="X1" s="8" t="n"/>
      <c r="Y1" s="8" t="n"/>
      <c r="Z1" s="8" t="n"/>
      <c r="AA1" s="8" t="n"/>
      <c r="AB1" s="8" t="n"/>
      <c r="AC1" s="8" t="n"/>
      <c r="AD1" s="8" t="n"/>
      <c r="AE1" s="8" t="n"/>
      <c r="AF1" s="8" t="n"/>
      <c r="AG1" s="8" t="n"/>
      <c r="AH1" s="8" t="n"/>
      <c r="AI1" s="8" t="n"/>
      <c r="AJ1" s="8" t="n"/>
      <c r="AK1" s="8" t="n"/>
      <c r="AL1" s="8" t="n"/>
      <c r="AM1" s="8" t="n"/>
      <c r="AN1" s="8" t="n"/>
      <c r="AO1" s="8" t="n"/>
      <c r="AP1" s="8" t="n"/>
      <c r="AQ1" s="8" t="n"/>
      <c r="AR1" s="8" t="n"/>
      <c r="AS1" s="8" t="n"/>
      <c r="AT1" s="8" t="n"/>
      <c r="AU1" s="8" t="n"/>
      <c r="AV1" s="8" t="n"/>
      <c r="AW1" s="8" t="n"/>
      <c r="AX1" s="8" t="n"/>
      <c r="AY1" s="4" t="n"/>
    </row>
    <row r="2" ht="30" customHeight="1">
      <c r="A2" s="17" t="inlineStr">
        <is>
          <t>No</t>
        </is>
      </c>
      <c r="B2" s="17" t="inlineStr">
        <is>
          <t>게임 타이틀</t>
        </is>
      </c>
      <c r="C2" s="17" t="inlineStr">
        <is>
          <t>고객팀</t>
        </is>
      </c>
      <c r="D2" s="17" t="inlineStr">
        <is>
          <t>소재명(업무명)</t>
        </is>
      </c>
      <c r="E2" s="17" t="inlineStr">
        <is>
          <t>직군</t>
        </is>
      </c>
      <c r="F2" s="17" t="inlineStr">
        <is>
          <t>담당자</t>
        </is>
      </c>
      <c r="G2" s="17" t="inlineStr">
        <is>
          <t>고객사
전달일</t>
        </is>
      </c>
      <c r="H2" s="17" t="inlineStr">
        <is>
          <t>신호</t>
        </is>
      </c>
      <c r="I2" s="17" t="inlineStr">
        <is>
          <t>전달일
여유</t>
        </is>
      </c>
      <c r="J2" s="17" t="inlineStr">
        <is>
          <t>소재
총MD</t>
        </is>
      </c>
      <c r="K2" s="17" t="inlineStr">
        <is>
          <t>소재
최종완료</t>
        </is>
      </c>
      <c r="L2" s="17" t="inlineStr">
        <is>
          <t>직군
MD</t>
        </is>
      </c>
      <c r="M2" s="17" t="inlineStr">
        <is>
          <t>직군
시작일</t>
        </is>
      </c>
      <c r="N2" s="17" t="inlineStr">
        <is>
          <t>직군
완료일</t>
        </is>
      </c>
      <c r="O2" s="17" t="inlineStr">
        <is>
          <t>영상
수</t>
        </is>
      </c>
      <c r="P2" s="17" t="inlineStr">
        <is>
          <t>사이즈
베리</t>
        </is>
      </c>
      <c r="Q2" s="17" t="inlineStr">
        <is>
          <t>다국어
베리</t>
        </is>
      </c>
      <c r="R2" s="17" t="inlineStr">
        <is>
          <t>상태</t>
        </is>
      </c>
      <c r="S2" s="17" t="inlineStr">
        <is>
          <t>비고</t>
        </is>
      </c>
      <c r="U2" s="33">
        <f>IF(MONTH(DATE('마스터'!$J$3,8,1)+0)=8,DATE('마스터'!$J$3,8,1)+0,"")</f>
        <v/>
      </c>
      <c r="V2" s="33">
        <f>IF(MONTH(DATE('마스터'!$J$3,8,1)+1)=8,DATE('마스터'!$J$3,8,1)+1,"")</f>
        <v/>
      </c>
      <c r="W2" s="33">
        <f>IF(MONTH(DATE('마스터'!$J$3,8,1)+2)=8,DATE('마스터'!$J$3,8,1)+2,"")</f>
        <v/>
      </c>
      <c r="X2" s="33">
        <f>IF(MONTH(DATE('마스터'!$J$3,8,1)+3)=8,DATE('마스터'!$J$3,8,1)+3,"")</f>
        <v/>
      </c>
      <c r="Y2" s="33">
        <f>IF(MONTH(DATE('마스터'!$J$3,8,1)+4)=8,DATE('마스터'!$J$3,8,1)+4,"")</f>
        <v/>
      </c>
      <c r="Z2" s="33">
        <f>IF(MONTH(DATE('마스터'!$J$3,8,1)+5)=8,DATE('마스터'!$J$3,8,1)+5,"")</f>
        <v/>
      </c>
      <c r="AA2" s="33">
        <f>IF(MONTH(DATE('마스터'!$J$3,8,1)+6)=8,DATE('마스터'!$J$3,8,1)+6,"")</f>
        <v/>
      </c>
      <c r="AB2" s="33">
        <f>IF(MONTH(DATE('마스터'!$J$3,8,1)+7)=8,DATE('마스터'!$J$3,8,1)+7,"")</f>
        <v/>
      </c>
      <c r="AC2" s="33">
        <f>IF(MONTH(DATE('마스터'!$J$3,8,1)+8)=8,DATE('마스터'!$J$3,8,1)+8,"")</f>
        <v/>
      </c>
      <c r="AD2" s="33">
        <f>IF(MONTH(DATE('마스터'!$J$3,8,1)+9)=8,DATE('마스터'!$J$3,8,1)+9,"")</f>
        <v/>
      </c>
      <c r="AE2" s="33">
        <f>IF(MONTH(DATE('마스터'!$J$3,8,1)+10)=8,DATE('마스터'!$J$3,8,1)+10,"")</f>
        <v/>
      </c>
      <c r="AF2" s="33">
        <f>IF(MONTH(DATE('마스터'!$J$3,8,1)+11)=8,DATE('마스터'!$J$3,8,1)+11,"")</f>
        <v/>
      </c>
      <c r="AG2" s="33">
        <f>IF(MONTH(DATE('마스터'!$J$3,8,1)+12)=8,DATE('마스터'!$J$3,8,1)+12,"")</f>
        <v/>
      </c>
      <c r="AH2" s="33">
        <f>IF(MONTH(DATE('마스터'!$J$3,8,1)+13)=8,DATE('마스터'!$J$3,8,1)+13,"")</f>
        <v/>
      </c>
      <c r="AI2" s="33">
        <f>IF(MONTH(DATE('마스터'!$J$3,8,1)+14)=8,DATE('마스터'!$J$3,8,1)+14,"")</f>
        <v/>
      </c>
      <c r="AJ2" s="33">
        <f>IF(MONTH(DATE('마스터'!$J$3,8,1)+15)=8,DATE('마스터'!$J$3,8,1)+15,"")</f>
        <v/>
      </c>
      <c r="AK2" s="33">
        <f>IF(MONTH(DATE('마스터'!$J$3,8,1)+16)=8,DATE('마스터'!$J$3,8,1)+16,"")</f>
        <v/>
      </c>
      <c r="AL2" s="33">
        <f>IF(MONTH(DATE('마스터'!$J$3,8,1)+17)=8,DATE('마스터'!$J$3,8,1)+17,"")</f>
        <v/>
      </c>
      <c r="AM2" s="33">
        <f>IF(MONTH(DATE('마스터'!$J$3,8,1)+18)=8,DATE('마스터'!$J$3,8,1)+18,"")</f>
        <v/>
      </c>
      <c r="AN2" s="33">
        <f>IF(MONTH(DATE('마스터'!$J$3,8,1)+19)=8,DATE('마스터'!$J$3,8,1)+19,"")</f>
        <v/>
      </c>
      <c r="AO2" s="33">
        <f>IF(MONTH(DATE('마스터'!$J$3,8,1)+20)=8,DATE('마스터'!$J$3,8,1)+20,"")</f>
        <v/>
      </c>
      <c r="AP2" s="33">
        <f>IF(MONTH(DATE('마스터'!$J$3,8,1)+21)=8,DATE('마스터'!$J$3,8,1)+21,"")</f>
        <v/>
      </c>
      <c r="AQ2" s="33">
        <f>IF(MONTH(DATE('마스터'!$J$3,8,1)+22)=8,DATE('마스터'!$J$3,8,1)+22,"")</f>
        <v/>
      </c>
      <c r="AR2" s="33">
        <f>IF(MONTH(DATE('마스터'!$J$3,8,1)+23)=8,DATE('마스터'!$J$3,8,1)+23,"")</f>
        <v/>
      </c>
      <c r="AS2" s="33">
        <f>IF(MONTH(DATE('마스터'!$J$3,8,1)+24)=8,DATE('마스터'!$J$3,8,1)+24,"")</f>
        <v/>
      </c>
      <c r="AT2" s="33">
        <f>IF(MONTH(DATE('마스터'!$J$3,8,1)+25)=8,DATE('마스터'!$J$3,8,1)+25,"")</f>
        <v/>
      </c>
      <c r="AU2" s="33">
        <f>IF(MONTH(DATE('마스터'!$J$3,8,1)+26)=8,DATE('마스터'!$J$3,8,1)+26,"")</f>
        <v/>
      </c>
      <c r="AV2" s="33">
        <f>IF(MONTH(DATE('마스터'!$J$3,8,1)+27)=8,DATE('마스터'!$J$3,8,1)+27,"")</f>
        <v/>
      </c>
      <c r="AW2" s="33">
        <f>IF(MONTH(DATE('마스터'!$J$3,8,1)+28)=8,DATE('마스터'!$J$3,8,1)+28,"")</f>
        <v/>
      </c>
      <c r="AX2" s="33">
        <f>IF(MONTH(DATE('마스터'!$J$3,8,1)+29)=8,DATE('마스터'!$J$3,8,1)+29,"")</f>
        <v/>
      </c>
      <c r="AY2" s="33">
        <f>IF(MONTH(DATE('마스터'!$J$3,8,1)+30)=8,DATE('마스터'!$J$3,8,1)+30,"")</f>
        <v/>
      </c>
    </row>
    <row r="3" ht="15" customHeight="1">
      <c r="A3" s="5" t="inlineStr">
        <is>
          <t>전체 TO (일자별 부하)</t>
        </is>
      </c>
      <c r="B3" s="8" t="n"/>
      <c r="C3" s="8" t="n"/>
      <c r="D3" s="8" t="n"/>
      <c r="E3" s="8" t="n"/>
      <c r="F3" s="4" t="n"/>
      <c r="G3" s="34" t="inlineStr">
        <is>
          <t>정원</t>
        </is>
      </c>
      <c r="H3" s="35">
        <f>SUM('마스터'!$J$8:$J$10)</f>
        <v/>
      </c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U3" s="37">
        <f>SUM(U$9:U$312)</f>
        <v/>
      </c>
      <c r="V3" s="37">
        <f>SUM(V$9:V$312)</f>
        <v/>
      </c>
      <c r="W3" s="37">
        <f>SUM(W$9:W$312)</f>
        <v/>
      </c>
      <c r="X3" s="37">
        <f>SUM(X$9:X$312)</f>
        <v/>
      </c>
      <c r="Y3" s="37">
        <f>SUM(Y$9:Y$312)</f>
        <v/>
      </c>
      <c r="Z3" s="37">
        <f>SUM(Z$9:Z$312)</f>
        <v/>
      </c>
      <c r="AA3" s="37">
        <f>SUM(AA$9:AA$312)</f>
        <v/>
      </c>
      <c r="AB3" s="37">
        <f>SUM(AB$9:AB$312)</f>
        <v/>
      </c>
      <c r="AC3" s="37">
        <f>SUM(AC$9:AC$312)</f>
        <v/>
      </c>
      <c r="AD3" s="37">
        <f>SUM(AD$9:AD$312)</f>
        <v/>
      </c>
      <c r="AE3" s="37">
        <f>SUM(AE$9:AE$312)</f>
        <v/>
      </c>
      <c r="AF3" s="37">
        <f>SUM(AF$9:AF$312)</f>
        <v/>
      </c>
      <c r="AG3" s="37">
        <f>SUM(AG$9:AG$312)</f>
        <v/>
      </c>
      <c r="AH3" s="37">
        <f>SUM(AH$9:AH$312)</f>
        <v/>
      </c>
      <c r="AI3" s="37">
        <f>SUM(AI$9:AI$312)</f>
        <v/>
      </c>
      <c r="AJ3" s="37">
        <f>SUM(AJ$9:AJ$312)</f>
        <v/>
      </c>
      <c r="AK3" s="37">
        <f>SUM(AK$9:AK$312)</f>
        <v/>
      </c>
      <c r="AL3" s="37">
        <f>SUM(AL$9:AL$312)</f>
        <v/>
      </c>
      <c r="AM3" s="37">
        <f>SUM(AM$9:AM$312)</f>
        <v/>
      </c>
      <c r="AN3" s="37">
        <f>SUM(AN$9:AN$312)</f>
        <v/>
      </c>
      <c r="AO3" s="37">
        <f>SUM(AO$9:AO$312)</f>
        <v/>
      </c>
      <c r="AP3" s="37">
        <f>SUM(AP$9:AP$312)</f>
        <v/>
      </c>
      <c r="AQ3" s="37">
        <f>SUM(AQ$9:AQ$312)</f>
        <v/>
      </c>
      <c r="AR3" s="37">
        <f>SUM(AR$9:AR$312)</f>
        <v/>
      </c>
      <c r="AS3" s="37">
        <f>SUM(AS$9:AS$312)</f>
        <v/>
      </c>
      <c r="AT3" s="37">
        <f>SUM(AT$9:AT$312)</f>
        <v/>
      </c>
      <c r="AU3" s="37">
        <f>SUM(AU$9:AU$312)</f>
        <v/>
      </c>
      <c r="AV3" s="37">
        <f>SUM(AV$9:AV$312)</f>
        <v/>
      </c>
      <c r="AW3" s="37">
        <f>SUM(AW$9:AW$312)</f>
        <v/>
      </c>
      <c r="AX3" s="37">
        <f>SUM(AX$9:AX$312)</f>
        <v/>
      </c>
      <c r="AY3" s="37">
        <f>SUM(AY$9:AY$312)</f>
        <v/>
      </c>
    </row>
    <row r="4" ht="15" customHeight="1">
      <c r="A4" s="5" t="inlineStr">
        <is>
          <t>영상 TO</t>
        </is>
      </c>
      <c r="B4" s="8" t="n"/>
      <c r="C4" s="8" t="n"/>
      <c r="D4" s="8" t="n"/>
      <c r="E4" s="8" t="n"/>
      <c r="F4" s="4" t="n"/>
      <c r="G4" s="34" t="inlineStr">
        <is>
          <t>정원</t>
        </is>
      </c>
      <c r="H4" s="35">
        <f>'마스터'!$J$8</f>
        <v/>
      </c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U4" s="37">
        <f>SUMIF($E$9:$E$312,"영상",U$9:U$312)</f>
        <v/>
      </c>
      <c r="V4" s="37">
        <f>SUMIF($E$9:$E$312,"영상",V$9:V$312)</f>
        <v/>
      </c>
      <c r="W4" s="37">
        <f>SUMIF($E$9:$E$312,"영상",W$9:W$312)</f>
        <v/>
      </c>
      <c r="X4" s="37">
        <f>SUMIF($E$9:$E$312,"영상",X$9:X$312)</f>
        <v/>
      </c>
      <c r="Y4" s="37">
        <f>SUMIF($E$9:$E$312,"영상",Y$9:Y$312)</f>
        <v/>
      </c>
      <c r="Z4" s="37">
        <f>SUMIF($E$9:$E$312,"영상",Z$9:Z$312)</f>
        <v/>
      </c>
      <c r="AA4" s="37">
        <f>SUMIF($E$9:$E$312,"영상",AA$9:AA$312)</f>
        <v/>
      </c>
      <c r="AB4" s="37">
        <f>SUMIF($E$9:$E$312,"영상",AB$9:AB$312)</f>
        <v/>
      </c>
      <c r="AC4" s="37">
        <f>SUMIF($E$9:$E$312,"영상",AC$9:AC$312)</f>
        <v/>
      </c>
      <c r="AD4" s="37">
        <f>SUMIF($E$9:$E$312,"영상",AD$9:AD$312)</f>
        <v/>
      </c>
      <c r="AE4" s="37">
        <f>SUMIF($E$9:$E$312,"영상",AE$9:AE$312)</f>
        <v/>
      </c>
      <c r="AF4" s="37">
        <f>SUMIF($E$9:$E$312,"영상",AF$9:AF$312)</f>
        <v/>
      </c>
      <c r="AG4" s="37">
        <f>SUMIF($E$9:$E$312,"영상",AG$9:AG$312)</f>
        <v/>
      </c>
      <c r="AH4" s="37">
        <f>SUMIF($E$9:$E$312,"영상",AH$9:AH$312)</f>
        <v/>
      </c>
      <c r="AI4" s="37">
        <f>SUMIF($E$9:$E$312,"영상",AI$9:AI$312)</f>
        <v/>
      </c>
      <c r="AJ4" s="37">
        <f>SUMIF($E$9:$E$312,"영상",AJ$9:AJ$312)</f>
        <v/>
      </c>
      <c r="AK4" s="37">
        <f>SUMIF($E$9:$E$312,"영상",AK$9:AK$312)</f>
        <v/>
      </c>
      <c r="AL4" s="37">
        <f>SUMIF($E$9:$E$312,"영상",AL$9:AL$312)</f>
        <v/>
      </c>
      <c r="AM4" s="37">
        <f>SUMIF($E$9:$E$312,"영상",AM$9:AM$312)</f>
        <v/>
      </c>
      <c r="AN4" s="37">
        <f>SUMIF($E$9:$E$312,"영상",AN$9:AN$312)</f>
        <v/>
      </c>
      <c r="AO4" s="37">
        <f>SUMIF($E$9:$E$312,"영상",AO$9:AO$312)</f>
        <v/>
      </c>
      <c r="AP4" s="37">
        <f>SUMIF($E$9:$E$312,"영상",AP$9:AP$312)</f>
        <v/>
      </c>
      <c r="AQ4" s="37">
        <f>SUMIF($E$9:$E$312,"영상",AQ$9:AQ$312)</f>
        <v/>
      </c>
      <c r="AR4" s="37">
        <f>SUMIF($E$9:$E$312,"영상",AR$9:AR$312)</f>
        <v/>
      </c>
      <c r="AS4" s="37">
        <f>SUMIF($E$9:$E$312,"영상",AS$9:AS$312)</f>
        <v/>
      </c>
      <c r="AT4" s="37">
        <f>SUMIF($E$9:$E$312,"영상",AT$9:AT$312)</f>
        <v/>
      </c>
      <c r="AU4" s="37">
        <f>SUMIF($E$9:$E$312,"영상",AU$9:AU$312)</f>
        <v/>
      </c>
      <c r="AV4" s="37">
        <f>SUMIF($E$9:$E$312,"영상",AV$9:AV$312)</f>
        <v/>
      </c>
      <c r="AW4" s="37">
        <f>SUMIF($E$9:$E$312,"영상",AW$9:AW$312)</f>
        <v/>
      </c>
      <c r="AX4" s="37">
        <f>SUMIF($E$9:$E$312,"영상",AX$9:AX$312)</f>
        <v/>
      </c>
      <c r="AY4" s="37">
        <f>SUMIF($E$9:$E$312,"영상",AY$9:AY$312)</f>
        <v/>
      </c>
    </row>
    <row r="5" ht="15" customHeight="1">
      <c r="A5" s="5" t="inlineStr">
        <is>
          <t>이미지 TO</t>
        </is>
      </c>
      <c r="B5" s="8" t="n"/>
      <c r="C5" s="8" t="n"/>
      <c r="D5" s="8" t="n"/>
      <c r="E5" s="8" t="n"/>
      <c r="F5" s="4" t="n"/>
      <c r="G5" s="34" t="inlineStr">
        <is>
          <t>정원</t>
        </is>
      </c>
      <c r="H5" s="35">
        <f>'마스터'!$J$9</f>
        <v/>
      </c>
      <c r="I5" s="36" t="n"/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  <c r="S5" s="36" t="n"/>
      <c r="U5" s="37">
        <f>SUMIF($E$9:$E$312,"이미지",U$9:U$312)</f>
        <v/>
      </c>
      <c r="V5" s="37">
        <f>SUMIF($E$9:$E$312,"이미지",V$9:V$312)</f>
        <v/>
      </c>
      <c r="W5" s="37">
        <f>SUMIF($E$9:$E$312,"이미지",W$9:W$312)</f>
        <v/>
      </c>
      <c r="X5" s="37">
        <f>SUMIF($E$9:$E$312,"이미지",X$9:X$312)</f>
        <v/>
      </c>
      <c r="Y5" s="37">
        <f>SUMIF($E$9:$E$312,"이미지",Y$9:Y$312)</f>
        <v/>
      </c>
      <c r="Z5" s="37">
        <f>SUMIF($E$9:$E$312,"이미지",Z$9:Z$312)</f>
        <v/>
      </c>
      <c r="AA5" s="37">
        <f>SUMIF($E$9:$E$312,"이미지",AA$9:AA$312)</f>
        <v/>
      </c>
      <c r="AB5" s="37">
        <f>SUMIF($E$9:$E$312,"이미지",AB$9:AB$312)</f>
        <v/>
      </c>
      <c r="AC5" s="37">
        <f>SUMIF($E$9:$E$312,"이미지",AC$9:AC$312)</f>
        <v/>
      </c>
      <c r="AD5" s="37">
        <f>SUMIF($E$9:$E$312,"이미지",AD$9:AD$312)</f>
        <v/>
      </c>
      <c r="AE5" s="37">
        <f>SUMIF($E$9:$E$312,"이미지",AE$9:AE$312)</f>
        <v/>
      </c>
      <c r="AF5" s="37">
        <f>SUMIF($E$9:$E$312,"이미지",AF$9:AF$312)</f>
        <v/>
      </c>
      <c r="AG5" s="37">
        <f>SUMIF($E$9:$E$312,"이미지",AG$9:AG$312)</f>
        <v/>
      </c>
      <c r="AH5" s="37">
        <f>SUMIF($E$9:$E$312,"이미지",AH$9:AH$312)</f>
        <v/>
      </c>
      <c r="AI5" s="37">
        <f>SUMIF($E$9:$E$312,"이미지",AI$9:AI$312)</f>
        <v/>
      </c>
      <c r="AJ5" s="37">
        <f>SUMIF($E$9:$E$312,"이미지",AJ$9:AJ$312)</f>
        <v/>
      </c>
      <c r="AK5" s="37">
        <f>SUMIF($E$9:$E$312,"이미지",AK$9:AK$312)</f>
        <v/>
      </c>
      <c r="AL5" s="37">
        <f>SUMIF($E$9:$E$312,"이미지",AL$9:AL$312)</f>
        <v/>
      </c>
      <c r="AM5" s="37">
        <f>SUMIF($E$9:$E$312,"이미지",AM$9:AM$312)</f>
        <v/>
      </c>
      <c r="AN5" s="37">
        <f>SUMIF($E$9:$E$312,"이미지",AN$9:AN$312)</f>
        <v/>
      </c>
      <c r="AO5" s="37">
        <f>SUMIF($E$9:$E$312,"이미지",AO$9:AO$312)</f>
        <v/>
      </c>
      <c r="AP5" s="37">
        <f>SUMIF($E$9:$E$312,"이미지",AP$9:AP$312)</f>
        <v/>
      </c>
      <c r="AQ5" s="37">
        <f>SUMIF($E$9:$E$312,"이미지",AQ$9:AQ$312)</f>
        <v/>
      </c>
      <c r="AR5" s="37">
        <f>SUMIF($E$9:$E$312,"이미지",AR$9:AR$312)</f>
        <v/>
      </c>
      <c r="AS5" s="37">
        <f>SUMIF($E$9:$E$312,"이미지",AS$9:AS$312)</f>
        <v/>
      </c>
      <c r="AT5" s="37">
        <f>SUMIF($E$9:$E$312,"이미지",AT$9:AT$312)</f>
        <v/>
      </c>
      <c r="AU5" s="37">
        <f>SUMIF($E$9:$E$312,"이미지",AU$9:AU$312)</f>
        <v/>
      </c>
      <c r="AV5" s="37">
        <f>SUMIF($E$9:$E$312,"이미지",AV$9:AV$312)</f>
        <v/>
      </c>
      <c r="AW5" s="37">
        <f>SUMIF($E$9:$E$312,"이미지",AW$9:AW$312)</f>
        <v/>
      </c>
      <c r="AX5" s="37">
        <f>SUMIF($E$9:$E$312,"이미지",AX$9:AX$312)</f>
        <v/>
      </c>
      <c r="AY5" s="37">
        <f>SUMIF($E$9:$E$312,"이미지",AY$9:AY$312)</f>
        <v/>
      </c>
    </row>
    <row r="6" ht="15" customHeight="1">
      <c r="A6" s="5" t="inlineStr">
        <is>
          <t>기획 TO</t>
        </is>
      </c>
      <c r="B6" s="8" t="n"/>
      <c r="C6" s="8" t="n"/>
      <c r="D6" s="8" t="n"/>
      <c r="E6" s="8" t="n"/>
      <c r="F6" s="4" t="n"/>
      <c r="G6" s="34" t="inlineStr">
        <is>
          <t>정원</t>
        </is>
      </c>
      <c r="H6" s="35">
        <f>'마스터'!$J$10</f>
        <v/>
      </c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6" t="n"/>
      <c r="S6" s="36" t="n"/>
      <c r="U6" s="37">
        <f>SUMIF($E$9:$E$312,"기획",U$9:U$312)</f>
        <v/>
      </c>
      <c r="V6" s="37">
        <f>SUMIF($E$9:$E$312,"기획",V$9:V$312)</f>
        <v/>
      </c>
      <c r="W6" s="37">
        <f>SUMIF($E$9:$E$312,"기획",W$9:W$312)</f>
        <v/>
      </c>
      <c r="X6" s="37">
        <f>SUMIF($E$9:$E$312,"기획",X$9:X$312)</f>
        <v/>
      </c>
      <c r="Y6" s="37">
        <f>SUMIF($E$9:$E$312,"기획",Y$9:Y$312)</f>
        <v/>
      </c>
      <c r="Z6" s="37">
        <f>SUMIF($E$9:$E$312,"기획",Z$9:Z$312)</f>
        <v/>
      </c>
      <c r="AA6" s="37">
        <f>SUMIF($E$9:$E$312,"기획",AA$9:AA$312)</f>
        <v/>
      </c>
      <c r="AB6" s="37">
        <f>SUMIF($E$9:$E$312,"기획",AB$9:AB$312)</f>
        <v/>
      </c>
      <c r="AC6" s="37">
        <f>SUMIF($E$9:$E$312,"기획",AC$9:AC$312)</f>
        <v/>
      </c>
      <c r="AD6" s="37">
        <f>SUMIF($E$9:$E$312,"기획",AD$9:AD$312)</f>
        <v/>
      </c>
      <c r="AE6" s="37">
        <f>SUMIF($E$9:$E$312,"기획",AE$9:AE$312)</f>
        <v/>
      </c>
      <c r="AF6" s="37">
        <f>SUMIF($E$9:$E$312,"기획",AF$9:AF$312)</f>
        <v/>
      </c>
      <c r="AG6" s="37">
        <f>SUMIF($E$9:$E$312,"기획",AG$9:AG$312)</f>
        <v/>
      </c>
      <c r="AH6" s="37">
        <f>SUMIF($E$9:$E$312,"기획",AH$9:AH$312)</f>
        <v/>
      </c>
      <c r="AI6" s="37">
        <f>SUMIF($E$9:$E$312,"기획",AI$9:AI$312)</f>
        <v/>
      </c>
      <c r="AJ6" s="37">
        <f>SUMIF($E$9:$E$312,"기획",AJ$9:AJ$312)</f>
        <v/>
      </c>
      <c r="AK6" s="37">
        <f>SUMIF($E$9:$E$312,"기획",AK$9:AK$312)</f>
        <v/>
      </c>
      <c r="AL6" s="37">
        <f>SUMIF($E$9:$E$312,"기획",AL$9:AL$312)</f>
        <v/>
      </c>
      <c r="AM6" s="37">
        <f>SUMIF($E$9:$E$312,"기획",AM$9:AM$312)</f>
        <v/>
      </c>
      <c r="AN6" s="37">
        <f>SUMIF($E$9:$E$312,"기획",AN$9:AN$312)</f>
        <v/>
      </c>
      <c r="AO6" s="37">
        <f>SUMIF($E$9:$E$312,"기획",AO$9:AO$312)</f>
        <v/>
      </c>
      <c r="AP6" s="37">
        <f>SUMIF($E$9:$E$312,"기획",AP$9:AP$312)</f>
        <v/>
      </c>
      <c r="AQ6" s="37">
        <f>SUMIF($E$9:$E$312,"기획",AQ$9:AQ$312)</f>
        <v/>
      </c>
      <c r="AR6" s="37">
        <f>SUMIF($E$9:$E$312,"기획",AR$9:AR$312)</f>
        <v/>
      </c>
      <c r="AS6" s="37">
        <f>SUMIF($E$9:$E$312,"기획",AS$9:AS$312)</f>
        <v/>
      </c>
      <c r="AT6" s="37">
        <f>SUMIF($E$9:$E$312,"기획",AT$9:AT$312)</f>
        <v/>
      </c>
      <c r="AU6" s="37">
        <f>SUMIF($E$9:$E$312,"기획",AU$9:AU$312)</f>
        <v/>
      </c>
      <c r="AV6" s="37">
        <f>SUMIF($E$9:$E$312,"기획",AV$9:AV$312)</f>
        <v/>
      </c>
      <c r="AW6" s="37">
        <f>SUMIF($E$9:$E$312,"기획",AW$9:AW$312)</f>
        <v/>
      </c>
      <c r="AX6" s="37">
        <f>SUMIF($E$9:$E$312,"기획",AX$9:AX$312)</f>
        <v/>
      </c>
      <c r="AY6" s="37">
        <f>SUMIF($E$9:$E$312,"기획",AY$9:AY$312)</f>
        <v/>
      </c>
    </row>
    <row r="7">
      <c r="A7" s="38" t="inlineStr">
        <is>
          <t>▼ 아래부터 입력. 노란칸=직접 입력 / 회색칸=자동(건드리지 마세요)</t>
        </is>
      </c>
    </row>
    <row r="8" ht="18" customHeight="1">
      <c r="A8" s="39" t="inlineStr">
        <is>
          <t>마케팅1팀   (9~68행 · 소재 20개)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4" t="n"/>
    </row>
    <row r="9" ht="15" customHeight="1">
      <c r="A9" s="40">
        <f>IF($D$9="","",1)</f>
        <v/>
      </c>
      <c r="B9" s="10" t="inlineStr">
        <is>
          <t>SOL 인챈트</t>
        </is>
      </c>
      <c r="C9" s="41" t="inlineStr">
        <is>
          <t>마케팅1팀</t>
        </is>
      </c>
      <c r="D9" s="42" t="inlineStr">
        <is>
          <t>SOL_000120_카운트다운</t>
        </is>
      </c>
      <c r="E9" s="43" t="inlineStr">
        <is>
          <t>기획</t>
        </is>
      </c>
      <c r="F9" s="44" t="inlineStr">
        <is>
          <t>최한은</t>
        </is>
      </c>
      <c r="G9" s="45" t="n">
        <v>46241</v>
      </c>
      <c r="H9" s="46">
        <f>IF($I$9="","",IF($I$9&lt;0,"🔴지연",IF($I$9&lt;=1,"🟡임박","🟢여유")))</f>
        <v/>
      </c>
      <c r="I9" s="47">
        <f>IF(OR($G$9="",$K$9=""),"",$G$9-$K$9)</f>
        <v/>
      </c>
      <c r="J9" s="48">
        <f>IF(SUM($L$9:$L$11)=0,"",SUM($L$9:$L$11))</f>
        <v/>
      </c>
      <c r="K9" s="49">
        <f>IF($J$9="","",MAX($N$9:$N$11))</f>
        <v/>
      </c>
      <c r="L9" s="50">
        <f>IF(SUM(U9:AY9)=0,"",SUM(U9:AY9))</f>
        <v/>
      </c>
      <c r="M9" s="51">
        <f>IFERROR(INDEX(U$2:AY$2,MATCH(TRUE,INDEX(U9:AY9&lt;&gt;"",0),0)),"")</f>
        <v/>
      </c>
      <c r="N9" s="51">
        <f>IFERROR(LOOKUP(2,1/(U9:AY9&lt;&gt;""),U$2:AY$2),"")</f>
        <v/>
      </c>
      <c r="O9" s="52" t="n">
        <v>1</v>
      </c>
      <c r="P9" s="52" t="n">
        <v>0</v>
      </c>
      <c r="Q9" s="52" t="n">
        <v>0</v>
      </c>
      <c r="R9" s="44" t="inlineStr">
        <is>
          <t>진행</t>
        </is>
      </c>
      <c r="S9" s="14" t="n"/>
      <c r="U9" s="53" t="n"/>
      <c r="V9" s="53" t="n"/>
      <c r="W9" s="53" t="n"/>
      <c r="X9" s="53" t="n"/>
      <c r="Y9" s="53" t="n">
        <v>0.5</v>
      </c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</row>
    <row r="10" ht="15" customHeight="1">
      <c r="A10" s="54" t="n"/>
      <c r="B10" s="55">
        <f>IF($B$9="","",$B$9)</f>
        <v/>
      </c>
      <c r="C10" s="56" t="inlineStr">
        <is>
          <t>마케팅1팀</t>
        </is>
      </c>
      <c r="D10" s="55">
        <f>IF($D$9="","",$D$9)</f>
        <v/>
      </c>
      <c r="E10" s="57" t="inlineStr">
        <is>
          <t>이미지</t>
        </is>
      </c>
      <c r="F10" s="44" t="inlineStr">
        <is>
          <t>김민성</t>
        </is>
      </c>
      <c r="G10" s="58">
        <f>IF($G$9="","",$G$9)</f>
        <v/>
      </c>
      <c r="H10" s="59" t="n"/>
      <c r="I10" s="59" t="n"/>
      <c r="J10" s="59" t="n"/>
      <c r="K10" s="59" t="n"/>
      <c r="L10" s="60">
        <f>IF(SUM(U10:AY10)=0,"",SUM(U10:AY10))</f>
        <v/>
      </c>
      <c r="M10" s="61">
        <f>IFERROR(INDEX(U$2:AY$2,MATCH(TRUE,INDEX(U10:AY10&lt;&gt;"",0),0)),"")</f>
        <v/>
      </c>
      <c r="N10" s="61">
        <f>IFERROR(LOOKUP(2,1/(U10:AY10&lt;&gt;""),U$2:AY$2),"")</f>
        <v/>
      </c>
      <c r="O10" s="59" t="n"/>
      <c r="P10" s="59" t="n"/>
      <c r="Q10" s="59" t="n"/>
      <c r="R10" s="59" t="n"/>
      <c r="S10" s="14" t="n"/>
      <c r="U10" s="53" t="n"/>
      <c r="V10" s="53" t="n"/>
      <c r="W10" s="53" t="n"/>
      <c r="X10" s="53" t="n"/>
      <c r="Y10" s="53" t="n">
        <v>0.4</v>
      </c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</row>
    <row r="11" ht="15" customHeight="1">
      <c r="A11" s="62" t="n"/>
      <c r="B11" s="55">
        <f>IF($B$9="","",$B$9)</f>
        <v/>
      </c>
      <c r="C11" s="63" t="inlineStr">
        <is>
          <t>마케팅1팀</t>
        </is>
      </c>
      <c r="D11" s="55">
        <f>IF($D$9="","",$D$9)</f>
        <v/>
      </c>
      <c r="E11" s="64" t="inlineStr">
        <is>
          <t>영상</t>
        </is>
      </c>
      <c r="F11" s="44" t="inlineStr">
        <is>
          <t>강승일</t>
        </is>
      </c>
      <c r="G11" s="58">
        <f>IF($G$9="","",$G$9)</f>
        <v/>
      </c>
      <c r="H11" s="59" t="n"/>
      <c r="I11" s="59" t="n"/>
      <c r="J11" s="59" t="n"/>
      <c r="K11" s="59" t="n"/>
      <c r="L11" s="65">
        <f>IF(SUM(U11:AY11)=0,"",SUM(U11:AY11))</f>
        <v/>
      </c>
      <c r="M11" s="66">
        <f>IFERROR(INDEX(U$2:AY$2,MATCH(TRUE,INDEX(U11:AY11&lt;&gt;"",0),0)),"")</f>
        <v/>
      </c>
      <c r="N11" s="66">
        <f>IFERROR(LOOKUP(2,1/(U11:AY11&lt;&gt;""),U$2:AY$2),"")</f>
        <v/>
      </c>
      <c r="O11" s="59" t="n"/>
      <c r="P11" s="59" t="n"/>
      <c r="Q11" s="59" t="n"/>
      <c r="R11" s="59" t="n"/>
      <c r="S11" s="14" t="n"/>
      <c r="U11" s="53" t="n"/>
      <c r="V11" s="53" t="n"/>
      <c r="W11" s="53" t="n"/>
      <c r="X11" s="53" t="n"/>
      <c r="Y11" s="53" t="n"/>
      <c r="Z11" s="53" t="n">
        <v>1</v>
      </c>
      <c r="AA11" s="53" t="n">
        <v>1</v>
      </c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</row>
    <row r="12" ht="15" customHeight="1">
      <c r="A12" s="40">
        <f>IF($D$12="","",2)</f>
        <v/>
      </c>
      <c r="B12" s="10" t="inlineStr">
        <is>
          <t>칠대죄오리진</t>
        </is>
      </c>
      <c r="C12" s="41" t="inlineStr">
        <is>
          <t>마케팅1팀</t>
        </is>
      </c>
      <c r="D12" s="42" t="inlineStr">
        <is>
          <t>7DSOR_스토리트레일러</t>
        </is>
      </c>
      <c r="E12" s="43" t="inlineStr">
        <is>
          <t>기획</t>
        </is>
      </c>
      <c r="F12" s="44" t="inlineStr">
        <is>
          <t>박태원</t>
        </is>
      </c>
      <c r="G12" s="45" t="n">
        <v>46241</v>
      </c>
      <c r="H12" s="46">
        <f>IF($I$12="","",IF($I$12&lt;0,"🔴지연",IF($I$12&lt;=1,"🟡임박","🟢여유")))</f>
        <v/>
      </c>
      <c r="I12" s="47">
        <f>IF(OR($G$12="",$K$12=""),"",$G$12-$K$12)</f>
        <v/>
      </c>
      <c r="J12" s="48">
        <f>IF(SUM($L$12:$L$14)=0,"",SUM($L$12:$L$14))</f>
        <v/>
      </c>
      <c r="K12" s="49">
        <f>IF($J$12="","",MAX($N$12:$N$14))</f>
        <v/>
      </c>
      <c r="L12" s="50">
        <f>IF(SUM(U12:AY12)=0,"",SUM(U12:AY12))</f>
        <v/>
      </c>
      <c r="M12" s="51">
        <f>IFERROR(INDEX(U$2:AY$2,MATCH(TRUE,INDEX(U12:AY12&lt;&gt;"",0),0)),"")</f>
        <v/>
      </c>
      <c r="N12" s="51">
        <f>IFERROR(LOOKUP(2,1/(U12:AY12&lt;&gt;""),U$2:AY$2),"")</f>
        <v/>
      </c>
      <c r="O12" s="52" t="n">
        <v>1</v>
      </c>
      <c r="P12" s="52" t="n">
        <v>2</v>
      </c>
      <c r="Q12" s="52" t="n">
        <v>1</v>
      </c>
      <c r="R12" s="44" t="inlineStr">
        <is>
          <t>진행</t>
        </is>
      </c>
      <c r="S12" s="14" t="n"/>
      <c r="U12" s="53" t="n"/>
      <c r="V12" s="53" t="n"/>
      <c r="W12" s="53" t="n"/>
      <c r="X12" s="53" t="n"/>
      <c r="Y12" s="53" t="n">
        <v>0.5</v>
      </c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</row>
    <row r="13" ht="15" customHeight="1">
      <c r="A13" s="54" t="n"/>
      <c r="B13" s="55">
        <f>IF($B$12="","",$B$12)</f>
        <v/>
      </c>
      <c r="C13" s="56" t="inlineStr">
        <is>
          <t>마케팅1팀</t>
        </is>
      </c>
      <c r="D13" s="55">
        <f>IF($D$12="","",$D$12)</f>
        <v/>
      </c>
      <c r="E13" s="57" t="inlineStr">
        <is>
          <t>이미지</t>
        </is>
      </c>
      <c r="F13" s="44" t="inlineStr">
        <is>
          <t>양재혁</t>
        </is>
      </c>
      <c r="G13" s="58">
        <f>IF($G$12="","",$G$12)</f>
        <v/>
      </c>
      <c r="H13" s="59" t="n"/>
      <c r="I13" s="59" t="n"/>
      <c r="J13" s="59" t="n"/>
      <c r="K13" s="59" t="n"/>
      <c r="L13" s="60">
        <f>IF(SUM(U13:AY13)=0,"",SUM(U13:AY13))</f>
        <v/>
      </c>
      <c r="M13" s="61">
        <f>IFERROR(INDEX(U$2:AY$2,MATCH(TRUE,INDEX(U13:AY13&lt;&gt;"",0),0)),"")</f>
        <v/>
      </c>
      <c r="N13" s="61">
        <f>IFERROR(LOOKUP(2,1/(U13:AY13&lt;&gt;""),U$2:AY$2),"")</f>
        <v/>
      </c>
      <c r="O13" s="59" t="n"/>
      <c r="P13" s="59" t="n"/>
      <c r="Q13" s="59" t="n"/>
      <c r="R13" s="59" t="n"/>
      <c r="S13" s="14" t="n"/>
      <c r="U13" s="53" t="n"/>
      <c r="V13" s="53" t="n"/>
      <c r="W13" s="53" t="n"/>
      <c r="X13" s="53" t="n"/>
      <c r="Y13" s="53" t="n">
        <v>1</v>
      </c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</row>
    <row r="14" ht="15" customHeight="1">
      <c r="A14" s="62" t="n"/>
      <c r="B14" s="55">
        <f>IF($B$12="","",$B$12)</f>
        <v/>
      </c>
      <c r="C14" s="63" t="inlineStr">
        <is>
          <t>마케팅1팀</t>
        </is>
      </c>
      <c r="D14" s="55">
        <f>IF($D$12="","",$D$12)</f>
        <v/>
      </c>
      <c r="E14" s="64" t="inlineStr">
        <is>
          <t>영상</t>
        </is>
      </c>
      <c r="F14" s="44" t="inlineStr">
        <is>
          <t>이지현</t>
        </is>
      </c>
      <c r="G14" s="58">
        <f>IF($G$12="","",$G$12)</f>
        <v/>
      </c>
      <c r="H14" s="59" t="n"/>
      <c r="I14" s="59" t="n"/>
      <c r="J14" s="59" t="n"/>
      <c r="K14" s="59" t="n"/>
      <c r="L14" s="65">
        <f>IF(SUM(U14:AY14)=0,"",SUM(U14:AY14))</f>
        <v/>
      </c>
      <c r="M14" s="66">
        <f>IFERROR(INDEX(U$2:AY$2,MATCH(TRUE,INDEX(U14:AY14&lt;&gt;"",0),0)),"")</f>
        <v/>
      </c>
      <c r="N14" s="66">
        <f>IFERROR(LOOKUP(2,1/(U14:AY14&lt;&gt;""),U$2:AY$2),"")</f>
        <v/>
      </c>
      <c r="O14" s="59" t="n"/>
      <c r="P14" s="59" t="n"/>
      <c r="Q14" s="59" t="n"/>
      <c r="R14" s="59" t="n"/>
      <c r="S14" s="14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>
        <v>1.5</v>
      </c>
      <c r="AF14" s="53" t="n">
        <v>1</v>
      </c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</row>
    <row r="15" ht="15" customHeight="1">
      <c r="A15" s="40">
        <f>IF($D$15="","",3)</f>
        <v/>
      </c>
      <c r="B15" s="10" t="inlineStr">
        <is>
          <t>세나리버스</t>
        </is>
      </c>
      <c r="C15" s="41" t="inlineStr">
        <is>
          <t>마케팅1팀</t>
        </is>
      </c>
      <c r="D15" s="42" t="inlineStr">
        <is>
          <t>TSKGB_엔드카드</t>
        </is>
      </c>
      <c r="E15" s="43" t="inlineStr">
        <is>
          <t>기획</t>
        </is>
      </c>
      <c r="F15" s="44" t="n"/>
      <c r="G15" s="45" t="n">
        <v>46240</v>
      </c>
      <c r="H15" s="46">
        <f>IF($I$15="","",IF($I$15&lt;0,"🔴지연",IF($I$15&lt;=1,"🟡임박","🟢여유")))</f>
        <v/>
      </c>
      <c r="I15" s="47">
        <f>IF(OR($G$15="",$K$15=""),"",$G$15-$K$15)</f>
        <v/>
      </c>
      <c r="J15" s="48">
        <f>IF(SUM($L$15:$L$17)=0,"",SUM($L$15:$L$17))</f>
        <v/>
      </c>
      <c r="K15" s="49">
        <f>IF($J$15="","",MAX($N$15:$N$17))</f>
        <v/>
      </c>
      <c r="L15" s="50">
        <f>IF(SUM(U15:AY15)=0,"",SUM(U15:AY15))</f>
        <v/>
      </c>
      <c r="M15" s="51">
        <f>IFERROR(INDEX(U$2:AY$2,MATCH(TRUE,INDEX(U15:AY15&lt;&gt;"",0),0)),"")</f>
        <v/>
      </c>
      <c r="N15" s="51">
        <f>IFERROR(LOOKUP(2,1/(U15:AY15&lt;&gt;""),U$2:AY$2),"")</f>
        <v/>
      </c>
      <c r="O15" s="52" t="n">
        <v>1</v>
      </c>
      <c r="P15" s="52" t="n">
        <v>1</v>
      </c>
      <c r="Q15" s="52" t="n">
        <v>0</v>
      </c>
      <c r="R15" s="44" t="inlineStr">
        <is>
          <t>진행</t>
        </is>
      </c>
      <c r="S15" s="14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</row>
    <row r="16" ht="15" customHeight="1">
      <c r="A16" s="54" t="n"/>
      <c r="B16" s="55">
        <f>IF($B$15="","",$B$15)</f>
        <v/>
      </c>
      <c r="C16" s="56" t="inlineStr">
        <is>
          <t>마케팅1팀</t>
        </is>
      </c>
      <c r="D16" s="55">
        <f>IF($D$15="","",$D$15)</f>
        <v/>
      </c>
      <c r="E16" s="57" t="inlineStr">
        <is>
          <t>이미지</t>
        </is>
      </c>
      <c r="F16" s="44" t="n"/>
      <c r="G16" s="58">
        <f>IF($G$15="","",$G$15)</f>
        <v/>
      </c>
      <c r="H16" s="59" t="n"/>
      <c r="I16" s="59" t="n"/>
      <c r="J16" s="59" t="n"/>
      <c r="K16" s="59" t="n"/>
      <c r="L16" s="60">
        <f>IF(SUM(U16:AY16)=0,"",SUM(U16:AY16))</f>
        <v/>
      </c>
      <c r="M16" s="61">
        <f>IFERROR(INDEX(U$2:AY$2,MATCH(TRUE,INDEX(U16:AY16&lt;&gt;"",0),0)),"")</f>
        <v/>
      </c>
      <c r="N16" s="61">
        <f>IFERROR(LOOKUP(2,1/(U16:AY16&lt;&gt;""),U$2:AY$2),"")</f>
        <v/>
      </c>
      <c r="O16" s="59" t="n"/>
      <c r="P16" s="59" t="n"/>
      <c r="Q16" s="59" t="n"/>
      <c r="R16" s="59" t="n"/>
      <c r="S16" s="14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</row>
    <row r="17" ht="15" customHeight="1">
      <c r="A17" s="62" t="n"/>
      <c r="B17" s="55">
        <f>IF($B$15="","",$B$15)</f>
        <v/>
      </c>
      <c r="C17" s="63" t="inlineStr">
        <is>
          <t>마케팅1팀</t>
        </is>
      </c>
      <c r="D17" s="55">
        <f>IF($D$15="","",$D$15)</f>
        <v/>
      </c>
      <c r="E17" s="64" t="inlineStr">
        <is>
          <t>영상</t>
        </is>
      </c>
      <c r="F17" s="44" t="inlineStr">
        <is>
          <t>강민우</t>
        </is>
      </c>
      <c r="G17" s="58">
        <f>IF($G$15="","",$G$15)</f>
        <v/>
      </c>
      <c r="H17" s="59" t="n"/>
      <c r="I17" s="59" t="n"/>
      <c r="J17" s="59" t="n"/>
      <c r="K17" s="59" t="n"/>
      <c r="L17" s="65">
        <f>IF(SUM(U17:AY17)=0,"",SUM(U17:AY17))</f>
        <v/>
      </c>
      <c r="M17" s="66">
        <f>IFERROR(INDEX(U$2:AY$2,MATCH(TRUE,INDEX(U17:AY17&lt;&gt;"",0),0)),"")</f>
        <v/>
      </c>
      <c r="N17" s="66">
        <f>IFERROR(LOOKUP(2,1/(U17:AY17&lt;&gt;""),U$2:AY$2),"")</f>
        <v/>
      </c>
      <c r="O17" s="59" t="n"/>
      <c r="P17" s="59" t="n"/>
      <c r="Q17" s="59" t="n"/>
      <c r="R17" s="59" t="n"/>
      <c r="S17" s="14" t="n"/>
      <c r="U17" s="53" t="n"/>
      <c r="V17" s="53" t="n"/>
      <c r="W17" s="53" t="n"/>
      <c r="X17" s="53" t="n">
        <v>1</v>
      </c>
      <c r="Y17" s="53" t="n">
        <v>1</v>
      </c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</row>
    <row r="18" ht="15" customHeight="1">
      <c r="A18" s="40">
        <f>IF($D$18="","",4)</f>
        <v/>
      </c>
      <c r="B18" s="10" t="n"/>
      <c r="C18" s="41" t="inlineStr">
        <is>
          <t>마케팅1팀</t>
        </is>
      </c>
      <c r="D18" s="42" t="n"/>
      <c r="E18" s="43" t="inlineStr">
        <is>
          <t>기획</t>
        </is>
      </c>
      <c r="F18" s="44" t="n"/>
      <c r="G18" s="45" t="n"/>
      <c r="H18" s="46">
        <f>IF($I$18="","",IF($I$18&lt;0,"🔴지연",IF($I$18&lt;=1,"🟡임박","🟢여유")))</f>
        <v/>
      </c>
      <c r="I18" s="47">
        <f>IF(OR($G$18="",$K$18=""),"",$G$18-$K$18)</f>
        <v/>
      </c>
      <c r="J18" s="48">
        <f>IF(SUM($L$18:$L$20)=0,"",SUM($L$18:$L$20))</f>
        <v/>
      </c>
      <c r="K18" s="49">
        <f>IF($J$18="","",MAX($N$18:$N$20))</f>
        <v/>
      </c>
      <c r="L18" s="50">
        <f>IF(SUM(U18:AY18)=0,"",SUM(U18:AY18))</f>
        <v/>
      </c>
      <c r="M18" s="51">
        <f>IFERROR(INDEX(U$2:AY$2,MATCH(TRUE,INDEX(U18:AY18&lt;&gt;"",0),0)),"")</f>
        <v/>
      </c>
      <c r="N18" s="51">
        <f>IFERROR(LOOKUP(2,1/(U18:AY18&lt;&gt;""),U$2:AY$2),"")</f>
        <v/>
      </c>
      <c r="O18" s="52" t="n"/>
      <c r="P18" s="52" t="n"/>
      <c r="Q18" s="52" t="n"/>
      <c r="R18" s="44" t="n"/>
      <c r="S18" s="14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</row>
    <row r="19" ht="15" customHeight="1">
      <c r="A19" s="54" t="n"/>
      <c r="B19" s="55">
        <f>IF($B$18="","",$B$18)</f>
        <v/>
      </c>
      <c r="C19" s="56" t="inlineStr">
        <is>
          <t>마케팅1팀</t>
        </is>
      </c>
      <c r="D19" s="55">
        <f>IF($D$18="","",$D$18)</f>
        <v/>
      </c>
      <c r="E19" s="57" t="inlineStr">
        <is>
          <t>이미지</t>
        </is>
      </c>
      <c r="F19" s="44" t="n"/>
      <c r="G19" s="58">
        <f>IF($G$18="","",$G$18)</f>
        <v/>
      </c>
      <c r="H19" s="59" t="n"/>
      <c r="I19" s="59" t="n"/>
      <c r="J19" s="59" t="n"/>
      <c r="K19" s="59" t="n"/>
      <c r="L19" s="60">
        <f>IF(SUM(U19:AY19)=0,"",SUM(U19:AY19))</f>
        <v/>
      </c>
      <c r="M19" s="61">
        <f>IFERROR(INDEX(U$2:AY$2,MATCH(TRUE,INDEX(U19:AY19&lt;&gt;"",0),0)),"")</f>
        <v/>
      </c>
      <c r="N19" s="61">
        <f>IFERROR(LOOKUP(2,1/(U19:AY19&lt;&gt;""),U$2:AY$2),"")</f>
        <v/>
      </c>
      <c r="O19" s="59" t="n"/>
      <c r="P19" s="59" t="n"/>
      <c r="Q19" s="59" t="n"/>
      <c r="R19" s="59" t="n"/>
      <c r="S19" s="14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</row>
    <row r="20" ht="15" customHeight="1">
      <c r="A20" s="62" t="n"/>
      <c r="B20" s="55">
        <f>IF($B$18="","",$B$18)</f>
        <v/>
      </c>
      <c r="C20" s="63" t="inlineStr">
        <is>
          <t>마케팅1팀</t>
        </is>
      </c>
      <c r="D20" s="55">
        <f>IF($D$18="","",$D$18)</f>
        <v/>
      </c>
      <c r="E20" s="64" t="inlineStr">
        <is>
          <t>영상</t>
        </is>
      </c>
      <c r="F20" s="44" t="n"/>
      <c r="G20" s="58">
        <f>IF($G$18="","",$G$18)</f>
        <v/>
      </c>
      <c r="H20" s="59" t="n"/>
      <c r="I20" s="59" t="n"/>
      <c r="J20" s="59" t="n"/>
      <c r="K20" s="59" t="n"/>
      <c r="L20" s="65">
        <f>IF(SUM(U20:AY20)=0,"",SUM(U20:AY20))</f>
        <v/>
      </c>
      <c r="M20" s="66">
        <f>IFERROR(INDEX(U$2:AY$2,MATCH(TRUE,INDEX(U20:AY20&lt;&gt;"",0),0)),"")</f>
        <v/>
      </c>
      <c r="N20" s="66">
        <f>IFERROR(LOOKUP(2,1/(U20:AY20&lt;&gt;""),U$2:AY$2),"")</f>
        <v/>
      </c>
      <c r="O20" s="59" t="n"/>
      <c r="P20" s="59" t="n"/>
      <c r="Q20" s="59" t="n"/>
      <c r="R20" s="59" t="n"/>
      <c r="S20" s="14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</row>
    <row r="21" ht="15" customHeight="1">
      <c r="A21" s="40">
        <f>IF($D$21="","",5)</f>
        <v/>
      </c>
      <c r="B21" s="10" t="n"/>
      <c r="C21" s="41" t="inlineStr">
        <is>
          <t>마케팅1팀</t>
        </is>
      </c>
      <c r="D21" s="42" t="n"/>
      <c r="E21" s="43" t="inlineStr">
        <is>
          <t>기획</t>
        </is>
      </c>
      <c r="F21" s="44" t="n"/>
      <c r="G21" s="45" t="n"/>
      <c r="H21" s="46">
        <f>IF($I$21="","",IF($I$21&lt;0,"🔴지연",IF($I$21&lt;=1,"🟡임박","🟢여유")))</f>
        <v/>
      </c>
      <c r="I21" s="47">
        <f>IF(OR($G$21="",$K$21=""),"",$G$21-$K$21)</f>
        <v/>
      </c>
      <c r="J21" s="48">
        <f>IF(SUM($L$21:$L$23)=0,"",SUM($L$21:$L$23))</f>
        <v/>
      </c>
      <c r="K21" s="49">
        <f>IF($J$21="","",MAX($N$21:$N$23))</f>
        <v/>
      </c>
      <c r="L21" s="50">
        <f>IF(SUM(U21:AY21)=0,"",SUM(U21:AY21))</f>
        <v/>
      </c>
      <c r="M21" s="51">
        <f>IFERROR(INDEX(U$2:AY$2,MATCH(TRUE,INDEX(U21:AY21&lt;&gt;"",0),0)),"")</f>
        <v/>
      </c>
      <c r="N21" s="51">
        <f>IFERROR(LOOKUP(2,1/(U21:AY21&lt;&gt;""),U$2:AY$2),"")</f>
        <v/>
      </c>
      <c r="O21" s="52" t="n"/>
      <c r="P21" s="52" t="n"/>
      <c r="Q21" s="52" t="n"/>
      <c r="R21" s="44" t="n"/>
      <c r="S21" s="14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</row>
    <row r="22" ht="15" customHeight="1">
      <c r="A22" s="54" t="n"/>
      <c r="B22" s="55">
        <f>IF($B$21="","",$B$21)</f>
        <v/>
      </c>
      <c r="C22" s="56" t="inlineStr">
        <is>
          <t>마케팅1팀</t>
        </is>
      </c>
      <c r="D22" s="55">
        <f>IF($D$21="","",$D$21)</f>
        <v/>
      </c>
      <c r="E22" s="57" t="inlineStr">
        <is>
          <t>이미지</t>
        </is>
      </c>
      <c r="F22" s="44" t="n"/>
      <c r="G22" s="58">
        <f>IF($G$21="","",$G$21)</f>
        <v/>
      </c>
      <c r="H22" s="59" t="n"/>
      <c r="I22" s="59" t="n"/>
      <c r="J22" s="59" t="n"/>
      <c r="K22" s="59" t="n"/>
      <c r="L22" s="60">
        <f>IF(SUM(U22:AY22)=0,"",SUM(U22:AY22))</f>
        <v/>
      </c>
      <c r="M22" s="61">
        <f>IFERROR(INDEX(U$2:AY$2,MATCH(TRUE,INDEX(U22:AY22&lt;&gt;"",0),0)),"")</f>
        <v/>
      </c>
      <c r="N22" s="61">
        <f>IFERROR(LOOKUP(2,1/(U22:AY22&lt;&gt;""),U$2:AY$2),"")</f>
        <v/>
      </c>
      <c r="O22" s="59" t="n"/>
      <c r="P22" s="59" t="n"/>
      <c r="Q22" s="59" t="n"/>
      <c r="R22" s="59" t="n"/>
      <c r="S22" s="14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</row>
    <row r="23" ht="15" customHeight="1">
      <c r="A23" s="62" t="n"/>
      <c r="B23" s="55">
        <f>IF($B$21="","",$B$21)</f>
        <v/>
      </c>
      <c r="C23" s="63" t="inlineStr">
        <is>
          <t>마케팅1팀</t>
        </is>
      </c>
      <c r="D23" s="55">
        <f>IF($D$21="","",$D$21)</f>
        <v/>
      </c>
      <c r="E23" s="64" t="inlineStr">
        <is>
          <t>영상</t>
        </is>
      </c>
      <c r="F23" s="44" t="n"/>
      <c r="G23" s="58">
        <f>IF($G$21="","",$G$21)</f>
        <v/>
      </c>
      <c r="H23" s="59" t="n"/>
      <c r="I23" s="59" t="n"/>
      <c r="J23" s="59" t="n"/>
      <c r="K23" s="59" t="n"/>
      <c r="L23" s="65">
        <f>IF(SUM(U23:AY23)=0,"",SUM(U23:AY23))</f>
        <v/>
      </c>
      <c r="M23" s="66">
        <f>IFERROR(INDEX(U$2:AY$2,MATCH(TRUE,INDEX(U23:AY23&lt;&gt;"",0),0)),"")</f>
        <v/>
      </c>
      <c r="N23" s="66">
        <f>IFERROR(LOOKUP(2,1/(U23:AY23&lt;&gt;""),U$2:AY$2),"")</f>
        <v/>
      </c>
      <c r="O23" s="59" t="n"/>
      <c r="P23" s="59" t="n"/>
      <c r="Q23" s="59" t="n"/>
      <c r="R23" s="59" t="n"/>
      <c r="S23" s="14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</row>
    <row r="24" ht="15" customHeight="1">
      <c r="A24" s="40">
        <f>IF($D$24="","",6)</f>
        <v/>
      </c>
      <c r="B24" s="10" t="n"/>
      <c r="C24" s="41" t="inlineStr">
        <is>
          <t>마케팅1팀</t>
        </is>
      </c>
      <c r="D24" s="42" t="n"/>
      <c r="E24" s="43" t="inlineStr">
        <is>
          <t>기획</t>
        </is>
      </c>
      <c r="F24" s="44" t="n"/>
      <c r="G24" s="45" t="n"/>
      <c r="H24" s="46">
        <f>IF($I$24="","",IF($I$24&lt;0,"🔴지연",IF($I$24&lt;=1,"🟡임박","🟢여유")))</f>
        <v/>
      </c>
      <c r="I24" s="47">
        <f>IF(OR($G$24="",$K$24=""),"",$G$24-$K$24)</f>
        <v/>
      </c>
      <c r="J24" s="48">
        <f>IF(SUM($L$24:$L$26)=0,"",SUM($L$24:$L$26))</f>
        <v/>
      </c>
      <c r="K24" s="49">
        <f>IF($J$24="","",MAX($N$24:$N$26))</f>
        <v/>
      </c>
      <c r="L24" s="50">
        <f>IF(SUM(U24:AY24)=0,"",SUM(U24:AY24))</f>
        <v/>
      </c>
      <c r="M24" s="51">
        <f>IFERROR(INDEX(U$2:AY$2,MATCH(TRUE,INDEX(U24:AY24&lt;&gt;"",0),0)),"")</f>
        <v/>
      </c>
      <c r="N24" s="51">
        <f>IFERROR(LOOKUP(2,1/(U24:AY24&lt;&gt;""),U$2:AY$2),"")</f>
        <v/>
      </c>
      <c r="O24" s="52" t="n"/>
      <c r="P24" s="52" t="n"/>
      <c r="Q24" s="52" t="n"/>
      <c r="R24" s="44" t="n"/>
      <c r="S24" s="14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</row>
    <row r="25" ht="15" customHeight="1">
      <c r="A25" s="54" t="n"/>
      <c r="B25" s="55">
        <f>IF($B$24="","",$B$24)</f>
        <v/>
      </c>
      <c r="C25" s="56" t="inlineStr">
        <is>
          <t>마케팅1팀</t>
        </is>
      </c>
      <c r="D25" s="55">
        <f>IF($D$24="","",$D$24)</f>
        <v/>
      </c>
      <c r="E25" s="57" t="inlineStr">
        <is>
          <t>이미지</t>
        </is>
      </c>
      <c r="F25" s="44" t="n"/>
      <c r="G25" s="58">
        <f>IF($G$24="","",$G$24)</f>
        <v/>
      </c>
      <c r="H25" s="59" t="n"/>
      <c r="I25" s="59" t="n"/>
      <c r="J25" s="59" t="n"/>
      <c r="K25" s="59" t="n"/>
      <c r="L25" s="60">
        <f>IF(SUM(U25:AY25)=0,"",SUM(U25:AY25))</f>
        <v/>
      </c>
      <c r="M25" s="61">
        <f>IFERROR(INDEX(U$2:AY$2,MATCH(TRUE,INDEX(U25:AY25&lt;&gt;"",0),0)),"")</f>
        <v/>
      </c>
      <c r="N25" s="61">
        <f>IFERROR(LOOKUP(2,1/(U25:AY25&lt;&gt;""),U$2:AY$2),"")</f>
        <v/>
      </c>
      <c r="O25" s="59" t="n"/>
      <c r="P25" s="59" t="n"/>
      <c r="Q25" s="59" t="n"/>
      <c r="R25" s="59" t="n"/>
      <c r="S25" s="14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</row>
    <row r="26" ht="15" customHeight="1">
      <c r="A26" s="62" t="n"/>
      <c r="B26" s="55">
        <f>IF($B$24="","",$B$24)</f>
        <v/>
      </c>
      <c r="C26" s="63" t="inlineStr">
        <is>
          <t>마케팅1팀</t>
        </is>
      </c>
      <c r="D26" s="55">
        <f>IF($D$24="","",$D$24)</f>
        <v/>
      </c>
      <c r="E26" s="64" t="inlineStr">
        <is>
          <t>영상</t>
        </is>
      </c>
      <c r="F26" s="44" t="n"/>
      <c r="G26" s="58">
        <f>IF($G$24="","",$G$24)</f>
        <v/>
      </c>
      <c r="H26" s="59" t="n"/>
      <c r="I26" s="59" t="n"/>
      <c r="J26" s="59" t="n"/>
      <c r="K26" s="59" t="n"/>
      <c r="L26" s="65">
        <f>IF(SUM(U26:AY26)=0,"",SUM(U26:AY26))</f>
        <v/>
      </c>
      <c r="M26" s="66">
        <f>IFERROR(INDEX(U$2:AY$2,MATCH(TRUE,INDEX(U26:AY26&lt;&gt;"",0),0)),"")</f>
        <v/>
      </c>
      <c r="N26" s="66">
        <f>IFERROR(LOOKUP(2,1/(U26:AY26&lt;&gt;""),U$2:AY$2),"")</f>
        <v/>
      </c>
      <c r="O26" s="59" t="n"/>
      <c r="P26" s="59" t="n"/>
      <c r="Q26" s="59" t="n"/>
      <c r="R26" s="59" t="n"/>
      <c r="S26" s="14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</row>
    <row r="27" ht="15" customHeight="1">
      <c r="A27" s="40">
        <f>IF($D$27="","",7)</f>
        <v/>
      </c>
      <c r="B27" s="10" t="n"/>
      <c r="C27" s="41" t="inlineStr">
        <is>
          <t>마케팅1팀</t>
        </is>
      </c>
      <c r="D27" s="42" t="n"/>
      <c r="E27" s="43" t="inlineStr">
        <is>
          <t>기획</t>
        </is>
      </c>
      <c r="F27" s="44" t="n"/>
      <c r="G27" s="45" t="n"/>
      <c r="H27" s="46">
        <f>IF($I$27="","",IF($I$27&lt;0,"🔴지연",IF($I$27&lt;=1,"🟡임박","🟢여유")))</f>
        <v/>
      </c>
      <c r="I27" s="47">
        <f>IF(OR($G$27="",$K$27=""),"",$G$27-$K$27)</f>
        <v/>
      </c>
      <c r="J27" s="48">
        <f>IF(SUM($L$27:$L$29)=0,"",SUM($L$27:$L$29))</f>
        <v/>
      </c>
      <c r="K27" s="49">
        <f>IF($J$27="","",MAX($N$27:$N$29))</f>
        <v/>
      </c>
      <c r="L27" s="50">
        <f>IF(SUM(U27:AY27)=0,"",SUM(U27:AY27))</f>
        <v/>
      </c>
      <c r="M27" s="51">
        <f>IFERROR(INDEX(U$2:AY$2,MATCH(TRUE,INDEX(U27:AY27&lt;&gt;"",0),0)),"")</f>
        <v/>
      </c>
      <c r="N27" s="51">
        <f>IFERROR(LOOKUP(2,1/(U27:AY27&lt;&gt;""),U$2:AY$2),"")</f>
        <v/>
      </c>
      <c r="O27" s="52" t="n"/>
      <c r="P27" s="52" t="n"/>
      <c r="Q27" s="52" t="n"/>
      <c r="R27" s="44" t="n"/>
      <c r="S27" s="14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</row>
    <row r="28" ht="15" customHeight="1">
      <c r="A28" s="54" t="n"/>
      <c r="B28" s="55">
        <f>IF($B$27="","",$B$27)</f>
        <v/>
      </c>
      <c r="C28" s="56" t="inlineStr">
        <is>
          <t>마케팅1팀</t>
        </is>
      </c>
      <c r="D28" s="55">
        <f>IF($D$27="","",$D$27)</f>
        <v/>
      </c>
      <c r="E28" s="57" t="inlineStr">
        <is>
          <t>이미지</t>
        </is>
      </c>
      <c r="F28" s="44" t="n"/>
      <c r="G28" s="58">
        <f>IF($G$27="","",$G$27)</f>
        <v/>
      </c>
      <c r="H28" s="59" t="n"/>
      <c r="I28" s="59" t="n"/>
      <c r="J28" s="59" t="n"/>
      <c r="K28" s="59" t="n"/>
      <c r="L28" s="60">
        <f>IF(SUM(U28:AY28)=0,"",SUM(U28:AY28))</f>
        <v/>
      </c>
      <c r="M28" s="61">
        <f>IFERROR(INDEX(U$2:AY$2,MATCH(TRUE,INDEX(U28:AY28&lt;&gt;"",0),0)),"")</f>
        <v/>
      </c>
      <c r="N28" s="61">
        <f>IFERROR(LOOKUP(2,1/(U28:AY28&lt;&gt;""),U$2:AY$2),"")</f>
        <v/>
      </c>
      <c r="O28" s="59" t="n"/>
      <c r="P28" s="59" t="n"/>
      <c r="Q28" s="59" t="n"/>
      <c r="R28" s="59" t="n"/>
      <c r="S28" s="14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3" t="n"/>
      <c r="AQ28" s="53" t="n"/>
      <c r="AR28" s="53" t="n"/>
      <c r="AS28" s="53" t="n"/>
      <c r="AT28" s="53" t="n"/>
      <c r="AU28" s="53" t="n"/>
      <c r="AV28" s="53" t="n"/>
      <c r="AW28" s="53" t="n"/>
      <c r="AX28" s="53" t="n"/>
      <c r="AY28" s="53" t="n"/>
    </row>
    <row r="29" ht="15" customHeight="1">
      <c r="A29" s="62" t="n"/>
      <c r="B29" s="55">
        <f>IF($B$27="","",$B$27)</f>
        <v/>
      </c>
      <c r="C29" s="63" t="inlineStr">
        <is>
          <t>마케팅1팀</t>
        </is>
      </c>
      <c r="D29" s="55">
        <f>IF($D$27="","",$D$27)</f>
        <v/>
      </c>
      <c r="E29" s="64" t="inlineStr">
        <is>
          <t>영상</t>
        </is>
      </c>
      <c r="F29" s="44" t="n"/>
      <c r="G29" s="58">
        <f>IF($G$27="","",$G$27)</f>
        <v/>
      </c>
      <c r="H29" s="59" t="n"/>
      <c r="I29" s="59" t="n"/>
      <c r="J29" s="59" t="n"/>
      <c r="K29" s="59" t="n"/>
      <c r="L29" s="65">
        <f>IF(SUM(U29:AY29)=0,"",SUM(U29:AY29))</f>
        <v/>
      </c>
      <c r="M29" s="66">
        <f>IFERROR(INDEX(U$2:AY$2,MATCH(TRUE,INDEX(U29:AY29&lt;&gt;"",0),0)),"")</f>
        <v/>
      </c>
      <c r="N29" s="66">
        <f>IFERROR(LOOKUP(2,1/(U29:AY29&lt;&gt;""),U$2:AY$2),"")</f>
        <v/>
      </c>
      <c r="O29" s="59" t="n"/>
      <c r="P29" s="59" t="n"/>
      <c r="Q29" s="59" t="n"/>
      <c r="R29" s="59" t="n"/>
      <c r="S29" s="14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</row>
    <row r="30" ht="15" customHeight="1">
      <c r="A30" s="40">
        <f>IF($D$30="","",8)</f>
        <v/>
      </c>
      <c r="B30" s="10" t="n"/>
      <c r="C30" s="41" t="inlineStr">
        <is>
          <t>마케팅1팀</t>
        </is>
      </c>
      <c r="D30" s="42" t="n"/>
      <c r="E30" s="43" t="inlineStr">
        <is>
          <t>기획</t>
        </is>
      </c>
      <c r="F30" s="44" t="n"/>
      <c r="G30" s="45" t="n"/>
      <c r="H30" s="46">
        <f>IF($I$30="","",IF($I$30&lt;0,"🔴지연",IF($I$30&lt;=1,"🟡임박","🟢여유")))</f>
        <v/>
      </c>
      <c r="I30" s="47">
        <f>IF(OR($G$30="",$K$30=""),"",$G$30-$K$30)</f>
        <v/>
      </c>
      <c r="J30" s="48">
        <f>IF(SUM($L$30:$L$32)=0,"",SUM($L$30:$L$32))</f>
        <v/>
      </c>
      <c r="K30" s="49">
        <f>IF($J$30="","",MAX($N$30:$N$32))</f>
        <v/>
      </c>
      <c r="L30" s="50">
        <f>IF(SUM(U30:AY30)=0,"",SUM(U30:AY30))</f>
        <v/>
      </c>
      <c r="M30" s="51">
        <f>IFERROR(INDEX(U$2:AY$2,MATCH(TRUE,INDEX(U30:AY30&lt;&gt;"",0),0)),"")</f>
        <v/>
      </c>
      <c r="N30" s="51">
        <f>IFERROR(LOOKUP(2,1/(U30:AY30&lt;&gt;""),U$2:AY$2),"")</f>
        <v/>
      </c>
      <c r="O30" s="52" t="n"/>
      <c r="P30" s="52" t="n"/>
      <c r="Q30" s="52" t="n"/>
      <c r="R30" s="44" t="n"/>
      <c r="S30" s="14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53" t="n"/>
      <c r="AH30" s="53" t="n"/>
      <c r="AI30" s="53" t="n"/>
      <c r="AJ30" s="53" t="n"/>
      <c r="AK30" s="53" t="n"/>
      <c r="AL30" s="53" t="n"/>
      <c r="AM30" s="53" t="n"/>
      <c r="AN30" s="53" t="n"/>
      <c r="AO30" s="53" t="n"/>
      <c r="AP30" s="53" t="n"/>
      <c r="AQ30" s="53" t="n"/>
      <c r="AR30" s="53" t="n"/>
      <c r="AS30" s="53" t="n"/>
      <c r="AT30" s="53" t="n"/>
      <c r="AU30" s="53" t="n"/>
      <c r="AV30" s="53" t="n"/>
      <c r="AW30" s="53" t="n"/>
      <c r="AX30" s="53" t="n"/>
      <c r="AY30" s="53" t="n"/>
    </row>
    <row r="31" ht="15" customHeight="1">
      <c r="A31" s="54" t="n"/>
      <c r="B31" s="55">
        <f>IF($B$30="","",$B$30)</f>
        <v/>
      </c>
      <c r="C31" s="56" t="inlineStr">
        <is>
          <t>마케팅1팀</t>
        </is>
      </c>
      <c r="D31" s="55">
        <f>IF($D$30="","",$D$30)</f>
        <v/>
      </c>
      <c r="E31" s="57" t="inlineStr">
        <is>
          <t>이미지</t>
        </is>
      </c>
      <c r="F31" s="44" t="n"/>
      <c r="G31" s="58">
        <f>IF($G$30="","",$G$30)</f>
        <v/>
      </c>
      <c r="H31" s="59" t="n"/>
      <c r="I31" s="59" t="n"/>
      <c r="J31" s="59" t="n"/>
      <c r="K31" s="59" t="n"/>
      <c r="L31" s="60">
        <f>IF(SUM(U31:AY31)=0,"",SUM(U31:AY31))</f>
        <v/>
      </c>
      <c r="M31" s="61">
        <f>IFERROR(INDEX(U$2:AY$2,MATCH(TRUE,INDEX(U31:AY31&lt;&gt;"",0),0)),"")</f>
        <v/>
      </c>
      <c r="N31" s="61">
        <f>IFERROR(LOOKUP(2,1/(U31:AY31&lt;&gt;""),U$2:AY$2),"")</f>
        <v/>
      </c>
      <c r="O31" s="59" t="n"/>
      <c r="P31" s="59" t="n"/>
      <c r="Q31" s="59" t="n"/>
      <c r="R31" s="59" t="n"/>
      <c r="S31" s="14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53" t="n"/>
      <c r="AH31" s="53" t="n"/>
      <c r="AI31" s="53" t="n"/>
      <c r="AJ31" s="53" t="n"/>
      <c r="AK31" s="53" t="n"/>
      <c r="AL31" s="53" t="n"/>
      <c r="AM31" s="53" t="n"/>
      <c r="AN31" s="53" t="n"/>
      <c r="AO31" s="53" t="n"/>
      <c r="AP31" s="53" t="n"/>
      <c r="AQ31" s="53" t="n"/>
      <c r="AR31" s="53" t="n"/>
      <c r="AS31" s="53" t="n"/>
      <c r="AT31" s="53" t="n"/>
      <c r="AU31" s="53" t="n"/>
      <c r="AV31" s="53" t="n"/>
      <c r="AW31" s="53" t="n"/>
      <c r="AX31" s="53" t="n"/>
      <c r="AY31" s="53" t="n"/>
    </row>
    <row r="32" ht="15" customHeight="1">
      <c r="A32" s="62" t="n"/>
      <c r="B32" s="55">
        <f>IF($B$30="","",$B$30)</f>
        <v/>
      </c>
      <c r="C32" s="63" t="inlineStr">
        <is>
          <t>마케팅1팀</t>
        </is>
      </c>
      <c r="D32" s="55">
        <f>IF($D$30="","",$D$30)</f>
        <v/>
      </c>
      <c r="E32" s="64" t="inlineStr">
        <is>
          <t>영상</t>
        </is>
      </c>
      <c r="F32" s="44" t="n"/>
      <c r="G32" s="58">
        <f>IF($G$30="","",$G$30)</f>
        <v/>
      </c>
      <c r="H32" s="59" t="n"/>
      <c r="I32" s="59" t="n"/>
      <c r="J32" s="59" t="n"/>
      <c r="K32" s="59" t="n"/>
      <c r="L32" s="65">
        <f>IF(SUM(U32:AY32)=0,"",SUM(U32:AY32))</f>
        <v/>
      </c>
      <c r="M32" s="66">
        <f>IFERROR(INDEX(U$2:AY$2,MATCH(TRUE,INDEX(U32:AY32&lt;&gt;"",0),0)),"")</f>
        <v/>
      </c>
      <c r="N32" s="66">
        <f>IFERROR(LOOKUP(2,1/(U32:AY32&lt;&gt;""),U$2:AY$2),"")</f>
        <v/>
      </c>
      <c r="O32" s="59" t="n"/>
      <c r="P32" s="59" t="n"/>
      <c r="Q32" s="59" t="n"/>
      <c r="R32" s="59" t="n"/>
      <c r="S32" s="14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53" t="n"/>
      <c r="AK32" s="53" t="n"/>
      <c r="AL32" s="53" t="n"/>
      <c r="AM32" s="53" t="n"/>
      <c r="AN32" s="53" t="n"/>
      <c r="AO32" s="53" t="n"/>
      <c r="AP32" s="53" t="n"/>
      <c r="AQ32" s="53" t="n"/>
      <c r="AR32" s="53" t="n"/>
      <c r="AS32" s="53" t="n"/>
      <c r="AT32" s="53" t="n"/>
      <c r="AU32" s="53" t="n"/>
      <c r="AV32" s="53" t="n"/>
      <c r="AW32" s="53" t="n"/>
      <c r="AX32" s="53" t="n"/>
      <c r="AY32" s="53" t="n"/>
    </row>
    <row r="33" ht="15" customHeight="1">
      <c r="A33" s="40">
        <f>IF($D$33="","",9)</f>
        <v/>
      </c>
      <c r="B33" s="10" t="n"/>
      <c r="C33" s="41" t="inlineStr">
        <is>
          <t>마케팅1팀</t>
        </is>
      </c>
      <c r="D33" s="42" t="n"/>
      <c r="E33" s="43" t="inlineStr">
        <is>
          <t>기획</t>
        </is>
      </c>
      <c r="F33" s="44" t="n"/>
      <c r="G33" s="45" t="n"/>
      <c r="H33" s="46">
        <f>IF($I$33="","",IF($I$33&lt;0,"🔴지연",IF($I$33&lt;=1,"🟡임박","🟢여유")))</f>
        <v/>
      </c>
      <c r="I33" s="47">
        <f>IF(OR($G$33="",$K$33=""),"",$G$33-$K$33)</f>
        <v/>
      </c>
      <c r="J33" s="48">
        <f>IF(SUM($L$33:$L$35)=0,"",SUM($L$33:$L$35))</f>
        <v/>
      </c>
      <c r="K33" s="49">
        <f>IF($J$33="","",MAX($N$33:$N$35))</f>
        <v/>
      </c>
      <c r="L33" s="50">
        <f>IF(SUM(U33:AY33)=0,"",SUM(U33:AY33))</f>
        <v/>
      </c>
      <c r="M33" s="51">
        <f>IFERROR(INDEX(U$2:AY$2,MATCH(TRUE,INDEX(U33:AY33&lt;&gt;"",0),0)),"")</f>
        <v/>
      </c>
      <c r="N33" s="51">
        <f>IFERROR(LOOKUP(2,1/(U33:AY33&lt;&gt;""),U$2:AY$2),"")</f>
        <v/>
      </c>
      <c r="O33" s="52" t="n"/>
      <c r="P33" s="52" t="n"/>
      <c r="Q33" s="52" t="n"/>
      <c r="R33" s="44" t="n"/>
      <c r="S33" s="14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53" t="n"/>
    </row>
    <row r="34" ht="15" customHeight="1">
      <c r="A34" s="54" t="n"/>
      <c r="B34" s="55">
        <f>IF($B$33="","",$B$33)</f>
        <v/>
      </c>
      <c r="C34" s="56" t="inlineStr">
        <is>
          <t>마케팅1팀</t>
        </is>
      </c>
      <c r="D34" s="55">
        <f>IF($D$33="","",$D$33)</f>
        <v/>
      </c>
      <c r="E34" s="57" t="inlineStr">
        <is>
          <t>이미지</t>
        </is>
      </c>
      <c r="F34" s="44" t="n"/>
      <c r="G34" s="58">
        <f>IF($G$33="","",$G$33)</f>
        <v/>
      </c>
      <c r="H34" s="59" t="n"/>
      <c r="I34" s="59" t="n"/>
      <c r="J34" s="59" t="n"/>
      <c r="K34" s="59" t="n"/>
      <c r="L34" s="60">
        <f>IF(SUM(U34:AY34)=0,"",SUM(U34:AY34))</f>
        <v/>
      </c>
      <c r="M34" s="61">
        <f>IFERROR(INDEX(U$2:AY$2,MATCH(TRUE,INDEX(U34:AY34&lt;&gt;"",0),0)),"")</f>
        <v/>
      </c>
      <c r="N34" s="61">
        <f>IFERROR(LOOKUP(2,1/(U34:AY34&lt;&gt;""),U$2:AY$2),"")</f>
        <v/>
      </c>
      <c r="O34" s="59" t="n"/>
      <c r="P34" s="59" t="n"/>
      <c r="Q34" s="59" t="n"/>
      <c r="R34" s="59" t="n"/>
      <c r="S34" s="14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  <c r="AD34" s="53" t="n"/>
      <c r="AE34" s="53" t="n"/>
      <c r="AF34" s="53" t="n"/>
      <c r="AG34" s="53" t="n"/>
      <c r="AH34" s="53" t="n"/>
      <c r="AI34" s="53" t="n"/>
      <c r="AJ34" s="53" t="n"/>
      <c r="AK34" s="53" t="n"/>
      <c r="AL34" s="53" t="n"/>
      <c r="AM34" s="53" t="n"/>
      <c r="AN34" s="53" t="n"/>
      <c r="AO34" s="53" t="n"/>
      <c r="AP34" s="53" t="n"/>
      <c r="AQ34" s="53" t="n"/>
      <c r="AR34" s="53" t="n"/>
      <c r="AS34" s="53" t="n"/>
      <c r="AT34" s="53" t="n"/>
      <c r="AU34" s="53" t="n"/>
      <c r="AV34" s="53" t="n"/>
      <c r="AW34" s="53" t="n"/>
      <c r="AX34" s="53" t="n"/>
      <c r="AY34" s="53" t="n"/>
    </row>
    <row r="35" ht="15" customHeight="1">
      <c r="A35" s="62" t="n"/>
      <c r="B35" s="55">
        <f>IF($B$33="","",$B$33)</f>
        <v/>
      </c>
      <c r="C35" s="63" t="inlineStr">
        <is>
          <t>마케팅1팀</t>
        </is>
      </c>
      <c r="D35" s="55">
        <f>IF($D$33="","",$D$33)</f>
        <v/>
      </c>
      <c r="E35" s="64" t="inlineStr">
        <is>
          <t>영상</t>
        </is>
      </c>
      <c r="F35" s="44" t="n"/>
      <c r="G35" s="58">
        <f>IF($G$33="","",$G$33)</f>
        <v/>
      </c>
      <c r="H35" s="59" t="n"/>
      <c r="I35" s="59" t="n"/>
      <c r="J35" s="59" t="n"/>
      <c r="K35" s="59" t="n"/>
      <c r="L35" s="65">
        <f>IF(SUM(U35:AY35)=0,"",SUM(U35:AY35))</f>
        <v/>
      </c>
      <c r="M35" s="66">
        <f>IFERROR(INDEX(U$2:AY$2,MATCH(TRUE,INDEX(U35:AY35&lt;&gt;"",0),0)),"")</f>
        <v/>
      </c>
      <c r="N35" s="66">
        <f>IFERROR(LOOKUP(2,1/(U35:AY35&lt;&gt;""),U$2:AY$2),"")</f>
        <v/>
      </c>
      <c r="O35" s="59" t="n"/>
      <c r="P35" s="59" t="n"/>
      <c r="Q35" s="59" t="n"/>
      <c r="R35" s="59" t="n"/>
      <c r="S35" s="14" t="n"/>
      <c r="U35" s="53" t="n"/>
      <c r="V35" s="53" t="n"/>
      <c r="W35" s="53" t="n"/>
      <c r="X35" s="53" t="n"/>
      <c r="Y35" s="53" t="n"/>
      <c r="Z35" s="53" t="n"/>
      <c r="AA35" s="53" t="n"/>
      <c r="AB35" s="53" t="n"/>
      <c r="AC35" s="53" t="n"/>
      <c r="AD35" s="53" t="n"/>
      <c r="AE35" s="53" t="n"/>
      <c r="AF35" s="53" t="n"/>
      <c r="AG35" s="53" t="n"/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</row>
    <row r="36" ht="15" customHeight="1">
      <c r="A36" s="40">
        <f>IF($D$36="","",10)</f>
        <v/>
      </c>
      <c r="B36" s="10" t="n"/>
      <c r="C36" s="41" t="inlineStr">
        <is>
          <t>마케팅1팀</t>
        </is>
      </c>
      <c r="D36" s="42" t="n"/>
      <c r="E36" s="43" t="inlineStr">
        <is>
          <t>기획</t>
        </is>
      </c>
      <c r="F36" s="44" t="n"/>
      <c r="G36" s="45" t="n"/>
      <c r="H36" s="46">
        <f>IF($I$36="","",IF($I$36&lt;0,"🔴지연",IF($I$36&lt;=1,"🟡임박","🟢여유")))</f>
        <v/>
      </c>
      <c r="I36" s="47">
        <f>IF(OR($G$36="",$K$36=""),"",$G$36-$K$36)</f>
        <v/>
      </c>
      <c r="J36" s="48">
        <f>IF(SUM($L$36:$L$38)=0,"",SUM($L$36:$L$38))</f>
        <v/>
      </c>
      <c r="K36" s="49">
        <f>IF($J$36="","",MAX($N$36:$N$38))</f>
        <v/>
      </c>
      <c r="L36" s="50">
        <f>IF(SUM(U36:AY36)=0,"",SUM(U36:AY36))</f>
        <v/>
      </c>
      <c r="M36" s="51">
        <f>IFERROR(INDEX(U$2:AY$2,MATCH(TRUE,INDEX(U36:AY36&lt;&gt;"",0),0)),"")</f>
        <v/>
      </c>
      <c r="N36" s="51">
        <f>IFERROR(LOOKUP(2,1/(U36:AY36&lt;&gt;""),U$2:AY$2),"")</f>
        <v/>
      </c>
      <c r="O36" s="52" t="n"/>
      <c r="P36" s="52" t="n"/>
      <c r="Q36" s="52" t="n"/>
      <c r="R36" s="44" t="n"/>
      <c r="S36" s="14" t="n"/>
      <c r="U36" s="53" t="n"/>
      <c r="V36" s="53" t="n"/>
      <c r="W36" s="53" t="n"/>
      <c r="X36" s="53" t="n"/>
      <c r="Y36" s="53" t="n"/>
      <c r="Z36" s="53" t="n"/>
      <c r="AA36" s="53" t="n"/>
      <c r="AB36" s="53" t="n"/>
      <c r="AC36" s="53" t="n"/>
      <c r="AD36" s="53" t="n"/>
      <c r="AE36" s="53" t="n"/>
      <c r="AF36" s="53" t="n"/>
      <c r="AG36" s="53" t="n"/>
      <c r="AH36" s="53" t="n"/>
      <c r="AI36" s="53" t="n"/>
      <c r="AJ36" s="53" t="n"/>
      <c r="AK36" s="53" t="n"/>
      <c r="AL36" s="53" t="n"/>
      <c r="AM36" s="53" t="n"/>
      <c r="AN36" s="53" t="n"/>
      <c r="AO36" s="53" t="n"/>
      <c r="AP36" s="53" t="n"/>
      <c r="AQ36" s="53" t="n"/>
      <c r="AR36" s="53" t="n"/>
      <c r="AS36" s="53" t="n"/>
      <c r="AT36" s="53" t="n"/>
      <c r="AU36" s="53" t="n"/>
      <c r="AV36" s="53" t="n"/>
      <c r="AW36" s="53" t="n"/>
      <c r="AX36" s="53" t="n"/>
      <c r="AY36" s="53" t="n"/>
    </row>
    <row r="37" ht="15" customHeight="1">
      <c r="A37" s="54" t="n"/>
      <c r="B37" s="55">
        <f>IF($B$36="","",$B$36)</f>
        <v/>
      </c>
      <c r="C37" s="56" t="inlineStr">
        <is>
          <t>마케팅1팀</t>
        </is>
      </c>
      <c r="D37" s="55">
        <f>IF($D$36="","",$D$36)</f>
        <v/>
      </c>
      <c r="E37" s="57" t="inlineStr">
        <is>
          <t>이미지</t>
        </is>
      </c>
      <c r="F37" s="44" t="n"/>
      <c r="G37" s="58">
        <f>IF($G$36="","",$G$36)</f>
        <v/>
      </c>
      <c r="H37" s="59" t="n"/>
      <c r="I37" s="59" t="n"/>
      <c r="J37" s="59" t="n"/>
      <c r="K37" s="59" t="n"/>
      <c r="L37" s="60">
        <f>IF(SUM(U37:AY37)=0,"",SUM(U37:AY37))</f>
        <v/>
      </c>
      <c r="M37" s="61">
        <f>IFERROR(INDEX(U$2:AY$2,MATCH(TRUE,INDEX(U37:AY37&lt;&gt;"",0),0)),"")</f>
        <v/>
      </c>
      <c r="N37" s="61">
        <f>IFERROR(LOOKUP(2,1/(U37:AY37&lt;&gt;""),U$2:AY$2),"")</f>
        <v/>
      </c>
      <c r="O37" s="59" t="n"/>
      <c r="P37" s="59" t="n"/>
      <c r="Q37" s="59" t="n"/>
      <c r="R37" s="59" t="n"/>
      <c r="S37" s="14" t="n"/>
      <c r="U37" s="53" t="n"/>
      <c r="V37" s="53" t="n"/>
      <c r="W37" s="53" t="n"/>
      <c r="X37" s="53" t="n"/>
      <c r="Y37" s="53" t="n"/>
      <c r="Z37" s="53" t="n"/>
      <c r="AA37" s="53" t="n"/>
      <c r="AB37" s="53" t="n"/>
      <c r="AC37" s="53" t="n"/>
      <c r="AD37" s="53" t="n"/>
      <c r="AE37" s="53" t="n"/>
      <c r="AF37" s="53" t="n"/>
      <c r="AG37" s="53" t="n"/>
      <c r="AH37" s="53" t="n"/>
      <c r="AI37" s="53" t="n"/>
      <c r="AJ37" s="53" t="n"/>
      <c r="AK37" s="53" t="n"/>
      <c r="AL37" s="53" t="n"/>
      <c r="AM37" s="53" t="n"/>
      <c r="AN37" s="53" t="n"/>
      <c r="AO37" s="53" t="n"/>
      <c r="AP37" s="53" t="n"/>
      <c r="AQ37" s="53" t="n"/>
      <c r="AR37" s="53" t="n"/>
      <c r="AS37" s="53" t="n"/>
      <c r="AT37" s="53" t="n"/>
      <c r="AU37" s="53" t="n"/>
      <c r="AV37" s="53" t="n"/>
      <c r="AW37" s="53" t="n"/>
      <c r="AX37" s="53" t="n"/>
      <c r="AY37" s="53" t="n"/>
    </row>
    <row r="38" ht="15" customHeight="1">
      <c r="A38" s="62" t="n"/>
      <c r="B38" s="55">
        <f>IF($B$36="","",$B$36)</f>
        <v/>
      </c>
      <c r="C38" s="63" t="inlineStr">
        <is>
          <t>마케팅1팀</t>
        </is>
      </c>
      <c r="D38" s="55">
        <f>IF($D$36="","",$D$36)</f>
        <v/>
      </c>
      <c r="E38" s="64" t="inlineStr">
        <is>
          <t>영상</t>
        </is>
      </c>
      <c r="F38" s="44" t="n"/>
      <c r="G38" s="58">
        <f>IF($G$36="","",$G$36)</f>
        <v/>
      </c>
      <c r="H38" s="59" t="n"/>
      <c r="I38" s="59" t="n"/>
      <c r="J38" s="59" t="n"/>
      <c r="K38" s="59" t="n"/>
      <c r="L38" s="65">
        <f>IF(SUM(U38:AY38)=0,"",SUM(U38:AY38))</f>
        <v/>
      </c>
      <c r="M38" s="66">
        <f>IFERROR(INDEX(U$2:AY$2,MATCH(TRUE,INDEX(U38:AY38&lt;&gt;"",0),0)),"")</f>
        <v/>
      </c>
      <c r="N38" s="66">
        <f>IFERROR(LOOKUP(2,1/(U38:AY38&lt;&gt;""),U$2:AY$2),"")</f>
        <v/>
      </c>
      <c r="O38" s="59" t="n"/>
      <c r="P38" s="59" t="n"/>
      <c r="Q38" s="59" t="n"/>
      <c r="R38" s="59" t="n"/>
      <c r="S38" s="14" t="n"/>
      <c r="U38" s="53" t="n"/>
      <c r="V38" s="53" t="n"/>
      <c r="W38" s="53" t="n"/>
      <c r="X38" s="53" t="n"/>
      <c r="Y38" s="53" t="n"/>
      <c r="Z38" s="53" t="n"/>
      <c r="AA38" s="53" t="n"/>
      <c r="AB38" s="53" t="n"/>
      <c r="AC38" s="53" t="n"/>
      <c r="AD38" s="53" t="n"/>
      <c r="AE38" s="53" t="n"/>
      <c r="AF38" s="53" t="n"/>
      <c r="AG38" s="53" t="n"/>
      <c r="AH38" s="53" t="n"/>
      <c r="AI38" s="53" t="n"/>
      <c r="AJ38" s="53" t="n"/>
      <c r="AK38" s="53" t="n"/>
      <c r="AL38" s="53" t="n"/>
      <c r="AM38" s="53" t="n"/>
      <c r="AN38" s="53" t="n"/>
      <c r="AO38" s="53" t="n"/>
      <c r="AP38" s="53" t="n"/>
      <c r="AQ38" s="53" t="n"/>
      <c r="AR38" s="53" t="n"/>
      <c r="AS38" s="53" t="n"/>
      <c r="AT38" s="53" t="n"/>
      <c r="AU38" s="53" t="n"/>
      <c r="AV38" s="53" t="n"/>
      <c r="AW38" s="53" t="n"/>
      <c r="AX38" s="53" t="n"/>
      <c r="AY38" s="53" t="n"/>
    </row>
    <row r="39" ht="15" customHeight="1">
      <c r="A39" s="40">
        <f>IF($D$39="","",11)</f>
        <v/>
      </c>
      <c r="B39" s="10" t="n"/>
      <c r="C39" s="41" t="inlineStr">
        <is>
          <t>마케팅1팀</t>
        </is>
      </c>
      <c r="D39" s="42" t="n"/>
      <c r="E39" s="43" t="inlineStr">
        <is>
          <t>기획</t>
        </is>
      </c>
      <c r="F39" s="44" t="n"/>
      <c r="G39" s="45" t="n"/>
      <c r="H39" s="46">
        <f>IF($I$39="","",IF($I$39&lt;0,"🔴지연",IF($I$39&lt;=1,"🟡임박","🟢여유")))</f>
        <v/>
      </c>
      <c r="I39" s="47">
        <f>IF(OR($G$39="",$K$39=""),"",$G$39-$K$39)</f>
        <v/>
      </c>
      <c r="J39" s="48">
        <f>IF(SUM($L$39:$L$41)=0,"",SUM($L$39:$L$41))</f>
        <v/>
      </c>
      <c r="K39" s="49">
        <f>IF($J$39="","",MAX($N$39:$N$41))</f>
        <v/>
      </c>
      <c r="L39" s="50">
        <f>IF(SUM(U39:AY39)=0,"",SUM(U39:AY39))</f>
        <v/>
      </c>
      <c r="M39" s="51">
        <f>IFERROR(INDEX(U$2:AY$2,MATCH(TRUE,INDEX(U39:AY39&lt;&gt;"",0),0)),"")</f>
        <v/>
      </c>
      <c r="N39" s="51">
        <f>IFERROR(LOOKUP(2,1/(U39:AY39&lt;&gt;""),U$2:AY$2),"")</f>
        <v/>
      </c>
      <c r="O39" s="52" t="n"/>
      <c r="P39" s="52" t="n"/>
      <c r="Q39" s="52" t="n"/>
      <c r="R39" s="44" t="n"/>
      <c r="S39" s="14" t="n"/>
      <c r="U39" s="53" t="n"/>
      <c r="V39" s="53" t="n"/>
      <c r="W39" s="53" t="n"/>
      <c r="X39" s="53" t="n"/>
      <c r="Y39" s="53" t="n"/>
      <c r="Z39" s="53" t="n"/>
      <c r="AA39" s="53" t="n"/>
      <c r="AB39" s="53" t="n"/>
      <c r="AC39" s="53" t="n"/>
      <c r="AD39" s="53" t="n"/>
      <c r="AE39" s="53" t="n"/>
      <c r="AF39" s="53" t="n"/>
      <c r="AG39" s="53" t="n"/>
      <c r="AH39" s="53" t="n"/>
      <c r="AI39" s="53" t="n"/>
      <c r="AJ39" s="53" t="n"/>
      <c r="AK39" s="53" t="n"/>
      <c r="AL39" s="53" t="n"/>
      <c r="AM39" s="53" t="n"/>
      <c r="AN39" s="53" t="n"/>
      <c r="AO39" s="53" t="n"/>
      <c r="AP39" s="53" t="n"/>
      <c r="AQ39" s="53" t="n"/>
      <c r="AR39" s="53" t="n"/>
      <c r="AS39" s="53" t="n"/>
      <c r="AT39" s="53" t="n"/>
      <c r="AU39" s="53" t="n"/>
      <c r="AV39" s="53" t="n"/>
      <c r="AW39" s="53" t="n"/>
      <c r="AX39" s="53" t="n"/>
      <c r="AY39" s="53" t="n"/>
    </row>
    <row r="40" ht="15" customHeight="1">
      <c r="A40" s="54" t="n"/>
      <c r="B40" s="55">
        <f>IF($B$39="","",$B$39)</f>
        <v/>
      </c>
      <c r="C40" s="56" t="inlineStr">
        <is>
          <t>마케팅1팀</t>
        </is>
      </c>
      <c r="D40" s="55">
        <f>IF($D$39="","",$D$39)</f>
        <v/>
      </c>
      <c r="E40" s="57" t="inlineStr">
        <is>
          <t>이미지</t>
        </is>
      </c>
      <c r="F40" s="44" t="n"/>
      <c r="G40" s="58">
        <f>IF($G$39="","",$G$39)</f>
        <v/>
      </c>
      <c r="H40" s="59" t="n"/>
      <c r="I40" s="59" t="n"/>
      <c r="J40" s="59" t="n"/>
      <c r="K40" s="59" t="n"/>
      <c r="L40" s="60">
        <f>IF(SUM(U40:AY40)=0,"",SUM(U40:AY40))</f>
        <v/>
      </c>
      <c r="M40" s="61">
        <f>IFERROR(INDEX(U$2:AY$2,MATCH(TRUE,INDEX(U40:AY40&lt;&gt;"",0),0)),"")</f>
        <v/>
      </c>
      <c r="N40" s="61">
        <f>IFERROR(LOOKUP(2,1/(U40:AY40&lt;&gt;""),U$2:AY$2),"")</f>
        <v/>
      </c>
      <c r="O40" s="59" t="n"/>
      <c r="P40" s="59" t="n"/>
      <c r="Q40" s="59" t="n"/>
      <c r="R40" s="59" t="n"/>
      <c r="S40" s="14" t="n"/>
      <c r="U40" s="53" t="n"/>
      <c r="V40" s="53" t="n"/>
      <c r="W40" s="53" t="n"/>
      <c r="X40" s="53" t="n"/>
      <c r="Y40" s="53" t="n"/>
      <c r="Z40" s="53" t="n"/>
      <c r="AA40" s="53" t="n"/>
      <c r="AB40" s="53" t="n"/>
      <c r="AC40" s="53" t="n"/>
      <c r="AD40" s="53" t="n"/>
      <c r="AE40" s="53" t="n"/>
      <c r="AF40" s="53" t="n"/>
      <c r="AG40" s="53" t="n"/>
      <c r="AH40" s="53" t="n"/>
      <c r="AI40" s="53" t="n"/>
      <c r="AJ40" s="53" t="n"/>
      <c r="AK40" s="53" t="n"/>
      <c r="AL40" s="53" t="n"/>
      <c r="AM40" s="53" t="n"/>
      <c r="AN40" s="53" t="n"/>
      <c r="AO40" s="53" t="n"/>
      <c r="AP40" s="53" t="n"/>
      <c r="AQ40" s="53" t="n"/>
      <c r="AR40" s="53" t="n"/>
      <c r="AS40" s="53" t="n"/>
      <c r="AT40" s="53" t="n"/>
      <c r="AU40" s="53" t="n"/>
      <c r="AV40" s="53" t="n"/>
      <c r="AW40" s="53" t="n"/>
      <c r="AX40" s="53" t="n"/>
      <c r="AY40" s="53" t="n"/>
    </row>
    <row r="41" ht="15" customHeight="1">
      <c r="A41" s="62" t="n"/>
      <c r="B41" s="55">
        <f>IF($B$39="","",$B$39)</f>
        <v/>
      </c>
      <c r="C41" s="63" t="inlineStr">
        <is>
          <t>마케팅1팀</t>
        </is>
      </c>
      <c r="D41" s="55">
        <f>IF($D$39="","",$D$39)</f>
        <v/>
      </c>
      <c r="E41" s="64" t="inlineStr">
        <is>
          <t>영상</t>
        </is>
      </c>
      <c r="F41" s="44" t="n"/>
      <c r="G41" s="58">
        <f>IF($G$39="","",$G$39)</f>
        <v/>
      </c>
      <c r="H41" s="59" t="n"/>
      <c r="I41" s="59" t="n"/>
      <c r="J41" s="59" t="n"/>
      <c r="K41" s="59" t="n"/>
      <c r="L41" s="65">
        <f>IF(SUM(U41:AY41)=0,"",SUM(U41:AY41))</f>
        <v/>
      </c>
      <c r="M41" s="66">
        <f>IFERROR(INDEX(U$2:AY$2,MATCH(TRUE,INDEX(U41:AY41&lt;&gt;"",0),0)),"")</f>
        <v/>
      </c>
      <c r="N41" s="66">
        <f>IFERROR(LOOKUP(2,1/(U41:AY41&lt;&gt;""),U$2:AY$2),"")</f>
        <v/>
      </c>
      <c r="O41" s="59" t="n"/>
      <c r="P41" s="59" t="n"/>
      <c r="Q41" s="59" t="n"/>
      <c r="R41" s="59" t="n"/>
      <c r="S41" s="14" t="n"/>
      <c r="U41" s="53" t="n"/>
      <c r="V41" s="53" t="n"/>
      <c r="W41" s="53" t="n"/>
      <c r="X41" s="53" t="n"/>
      <c r="Y41" s="53" t="n"/>
      <c r="Z41" s="53" t="n"/>
      <c r="AA41" s="53" t="n"/>
      <c r="AB41" s="53" t="n"/>
      <c r="AC41" s="53" t="n"/>
      <c r="AD41" s="53" t="n"/>
      <c r="AE41" s="53" t="n"/>
      <c r="AF41" s="53" t="n"/>
      <c r="AG41" s="53" t="n"/>
      <c r="AH41" s="53" t="n"/>
      <c r="AI41" s="53" t="n"/>
      <c r="AJ41" s="53" t="n"/>
      <c r="AK41" s="53" t="n"/>
      <c r="AL41" s="53" t="n"/>
      <c r="AM41" s="53" t="n"/>
      <c r="AN41" s="53" t="n"/>
      <c r="AO41" s="53" t="n"/>
      <c r="AP41" s="53" t="n"/>
      <c r="AQ41" s="53" t="n"/>
      <c r="AR41" s="53" t="n"/>
      <c r="AS41" s="53" t="n"/>
      <c r="AT41" s="53" t="n"/>
      <c r="AU41" s="53" t="n"/>
      <c r="AV41" s="53" t="n"/>
      <c r="AW41" s="53" t="n"/>
      <c r="AX41" s="53" t="n"/>
      <c r="AY41" s="53" t="n"/>
    </row>
    <row r="42" ht="15" customHeight="1">
      <c r="A42" s="40">
        <f>IF($D$42="","",12)</f>
        <v/>
      </c>
      <c r="B42" s="10" t="n"/>
      <c r="C42" s="41" t="inlineStr">
        <is>
          <t>마케팅1팀</t>
        </is>
      </c>
      <c r="D42" s="42" t="n"/>
      <c r="E42" s="43" t="inlineStr">
        <is>
          <t>기획</t>
        </is>
      </c>
      <c r="F42" s="44" t="n"/>
      <c r="G42" s="45" t="n"/>
      <c r="H42" s="46">
        <f>IF($I$42="","",IF($I$42&lt;0,"🔴지연",IF($I$42&lt;=1,"🟡임박","🟢여유")))</f>
        <v/>
      </c>
      <c r="I42" s="47">
        <f>IF(OR($G$42="",$K$42=""),"",$G$42-$K$42)</f>
        <v/>
      </c>
      <c r="J42" s="48">
        <f>IF(SUM($L$42:$L$44)=0,"",SUM($L$42:$L$44))</f>
        <v/>
      </c>
      <c r="K42" s="49">
        <f>IF($J$42="","",MAX($N$42:$N$44))</f>
        <v/>
      </c>
      <c r="L42" s="50">
        <f>IF(SUM(U42:AY42)=0,"",SUM(U42:AY42))</f>
        <v/>
      </c>
      <c r="M42" s="51">
        <f>IFERROR(INDEX(U$2:AY$2,MATCH(TRUE,INDEX(U42:AY42&lt;&gt;"",0),0)),"")</f>
        <v/>
      </c>
      <c r="N42" s="51">
        <f>IFERROR(LOOKUP(2,1/(U42:AY42&lt;&gt;""),U$2:AY$2),"")</f>
        <v/>
      </c>
      <c r="O42" s="52" t="n"/>
      <c r="P42" s="52" t="n"/>
      <c r="Q42" s="52" t="n"/>
      <c r="R42" s="44" t="n"/>
      <c r="S42" s="14" t="n"/>
      <c r="U42" s="53" t="n"/>
      <c r="V42" s="53" t="n"/>
      <c r="W42" s="53" t="n"/>
      <c r="X42" s="53" t="n"/>
      <c r="Y42" s="53" t="n"/>
      <c r="Z42" s="53" t="n"/>
      <c r="AA42" s="53" t="n"/>
      <c r="AB42" s="53" t="n"/>
      <c r="AC42" s="53" t="n"/>
      <c r="AD42" s="53" t="n"/>
      <c r="AE42" s="53" t="n"/>
      <c r="AF42" s="53" t="n"/>
      <c r="AG42" s="53" t="n"/>
      <c r="AH42" s="53" t="n"/>
      <c r="AI42" s="53" t="n"/>
      <c r="AJ42" s="53" t="n"/>
      <c r="AK42" s="53" t="n"/>
      <c r="AL42" s="53" t="n"/>
      <c r="AM42" s="53" t="n"/>
      <c r="AN42" s="53" t="n"/>
      <c r="AO42" s="53" t="n"/>
      <c r="AP42" s="53" t="n"/>
      <c r="AQ42" s="53" t="n"/>
      <c r="AR42" s="53" t="n"/>
      <c r="AS42" s="53" t="n"/>
      <c r="AT42" s="53" t="n"/>
      <c r="AU42" s="53" t="n"/>
      <c r="AV42" s="53" t="n"/>
      <c r="AW42" s="53" t="n"/>
      <c r="AX42" s="53" t="n"/>
      <c r="AY42" s="53" t="n"/>
    </row>
    <row r="43" ht="15" customHeight="1">
      <c r="A43" s="54" t="n"/>
      <c r="B43" s="55">
        <f>IF($B$42="","",$B$42)</f>
        <v/>
      </c>
      <c r="C43" s="56" t="inlineStr">
        <is>
          <t>마케팅1팀</t>
        </is>
      </c>
      <c r="D43" s="55">
        <f>IF($D$42="","",$D$42)</f>
        <v/>
      </c>
      <c r="E43" s="57" t="inlineStr">
        <is>
          <t>이미지</t>
        </is>
      </c>
      <c r="F43" s="44" t="n"/>
      <c r="G43" s="58">
        <f>IF($G$42="","",$G$42)</f>
        <v/>
      </c>
      <c r="H43" s="59" t="n"/>
      <c r="I43" s="59" t="n"/>
      <c r="J43" s="59" t="n"/>
      <c r="K43" s="59" t="n"/>
      <c r="L43" s="60">
        <f>IF(SUM(U43:AY43)=0,"",SUM(U43:AY43))</f>
        <v/>
      </c>
      <c r="M43" s="61">
        <f>IFERROR(INDEX(U$2:AY$2,MATCH(TRUE,INDEX(U43:AY43&lt;&gt;"",0),0)),"")</f>
        <v/>
      </c>
      <c r="N43" s="61">
        <f>IFERROR(LOOKUP(2,1/(U43:AY43&lt;&gt;""),U$2:AY$2),"")</f>
        <v/>
      </c>
      <c r="O43" s="59" t="n"/>
      <c r="P43" s="59" t="n"/>
      <c r="Q43" s="59" t="n"/>
      <c r="R43" s="59" t="n"/>
      <c r="S43" s="14" t="n"/>
      <c r="U43" s="53" t="n"/>
      <c r="V43" s="53" t="n"/>
      <c r="W43" s="53" t="n"/>
      <c r="X43" s="53" t="n"/>
      <c r="Y43" s="53" t="n"/>
      <c r="Z43" s="53" t="n"/>
      <c r="AA43" s="53" t="n"/>
      <c r="AB43" s="53" t="n"/>
      <c r="AC43" s="53" t="n"/>
      <c r="AD43" s="53" t="n"/>
      <c r="AE43" s="53" t="n"/>
      <c r="AF43" s="53" t="n"/>
      <c r="AG43" s="53" t="n"/>
      <c r="AH43" s="53" t="n"/>
      <c r="AI43" s="53" t="n"/>
      <c r="AJ43" s="53" t="n"/>
      <c r="AK43" s="53" t="n"/>
      <c r="AL43" s="53" t="n"/>
      <c r="AM43" s="53" t="n"/>
      <c r="AN43" s="53" t="n"/>
      <c r="AO43" s="53" t="n"/>
      <c r="AP43" s="53" t="n"/>
      <c r="AQ43" s="53" t="n"/>
      <c r="AR43" s="53" t="n"/>
      <c r="AS43" s="53" t="n"/>
      <c r="AT43" s="53" t="n"/>
      <c r="AU43" s="53" t="n"/>
      <c r="AV43" s="53" t="n"/>
      <c r="AW43" s="53" t="n"/>
      <c r="AX43" s="53" t="n"/>
      <c r="AY43" s="53" t="n"/>
    </row>
    <row r="44" ht="15" customHeight="1">
      <c r="A44" s="62" t="n"/>
      <c r="B44" s="55">
        <f>IF($B$42="","",$B$42)</f>
        <v/>
      </c>
      <c r="C44" s="63" t="inlineStr">
        <is>
          <t>마케팅1팀</t>
        </is>
      </c>
      <c r="D44" s="55">
        <f>IF($D$42="","",$D$42)</f>
        <v/>
      </c>
      <c r="E44" s="64" t="inlineStr">
        <is>
          <t>영상</t>
        </is>
      </c>
      <c r="F44" s="44" t="n"/>
      <c r="G44" s="58">
        <f>IF($G$42="","",$G$42)</f>
        <v/>
      </c>
      <c r="H44" s="59" t="n"/>
      <c r="I44" s="59" t="n"/>
      <c r="J44" s="59" t="n"/>
      <c r="K44" s="59" t="n"/>
      <c r="L44" s="65">
        <f>IF(SUM(U44:AY44)=0,"",SUM(U44:AY44))</f>
        <v/>
      </c>
      <c r="M44" s="66">
        <f>IFERROR(INDEX(U$2:AY$2,MATCH(TRUE,INDEX(U44:AY44&lt;&gt;"",0),0)),"")</f>
        <v/>
      </c>
      <c r="N44" s="66">
        <f>IFERROR(LOOKUP(2,1/(U44:AY44&lt;&gt;""),U$2:AY$2),"")</f>
        <v/>
      </c>
      <c r="O44" s="59" t="n"/>
      <c r="P44" s="59" t="n"/>
      <c r="Q44" s="59" t="n"/>
      <c r="R44" s="59" t="n"/>
      <c r="S44" s="14" t="n"/>
      <c r="U44" s="53" t="n"/>
      <c r="V44" s="53" t="n"/>
      <c r="W44" s="53" t="n"/>
      <c r="X44" s="53" t="n"/>
      <c r="Y44" s="53" t="n"/>
      <c r="Z44" s="53" t="n"/>
      <c r="AA44" s="53" t="n"/>
      <c r="AB44" s="53" t="n"/>
      <c r="AC44" s="53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53" t="n"/>
      <c r="AN44" s="53" t="n"/>
      <c r="AO44" s="53" t="n"/>
      <c r="AP44" s="53" t="n"/>
      <c r="AQ44" s="53" t="n"/>
      <c r="AR44" s="53" t="n"/>
      <c r="AS44" s="53" t="n"/>
      <c r="AT44" s="53" t="n"/>
      <c r="AU44" s="53" t="n"/>
      <c r="AV44" s="53" t="n"/>
      <c r="AW44" s="53" t="n"/>
      <c r="AX44" s="53" t="n"/>
      <c r="AY44" s="53" t="n"/>
    </row>
    <row r="45" ht="15" customHeight="1">
      <c r="A45" s="40">
        <f>IF($D$45="","",13)</f>
        <v/>
      </c>
      <c r="B45" s="10" t="n"/>
      <c r="C45" s="41" t="inlineStr">
        <is>
          <t>마케팅1팀</t>
        </is>
      </c>
      <c r="D45" s="42" t="n"/>
      <c r="E45" s="43" t="inlineStr">
        <is>
          <t>기획</t>
        </is>
      </c>
      <c r="F45" s="44" t="n"/>
      <c r="G45" s="45" t="n"/>
      <c r="H45" s="46">
        <f>IF($I$45="","",IF($I$45&lt;0,"🔴지연",IF($I$45&lt;=1,"🟡임박","🟢여유")))</f>
        <v/>
      </c>
      <c r="I45" s="47">
        <f>IF(OR($G$45="",$K$45=""),"",$G$45-$K$45)</f>
        <v/>
      </c>
      <c r="J45" s="48">
        <f>IF(SUM($L$45:$L$47)=0,"",SUM($L$45:$L$47))</f>
        <v/>
      </c>
      <c r="K45" s="49">
        <f>IF($J$45="","",MAX($N$45:$N$47))</f>
        <v/>
      </c>
      <c r="L45" s="50">
        <f>IF(SUM(U45:AY45)=0,"",SUM(U45:AY45))</f>
        <v/>
      </c>
      <c r="M45" s="51">
        <f>IFERROR(INDEX(U$2:AY$2,MATCH(TRUE,INDEX(U45:AY45&lt;&gt;"",0),0)),"")</f>
        <v/>
      </c>
      <c r="N45" s="51">
        <f>IFERROR(LOOKUP(2,1/(U45:AY45&lt;&gt;""),U$2:AY$2),"")</f>
        <v/>
      </c>
      <c r="O45" s="52" t="n"/>
      <c r="P45" s="52" t="n"/>
      <c r="Q45" s="52" t="n"/>
      <c r="R45" s="44" t="n"/>
      <c r="S45" s="14" t="n"/>
      <c r="U45" s="53" t="n"/>
      <c r="V45" s="53" t="n"/>
      <c r="W45" s="53" t="n"/>
      <c r="X45" s="53" t="n"/>
      <c r="Y45" s="53" t="n"/>
      <c r="Z45" s="53" t="n"/>
      <c r="AA45" s="53" t="n"/>
      <c r="AB45" s="53" t="n"/>
      <c r="AC45" s="53" t="n"/>
      <c r="AD45" s="53" t="n"/>
      <c r="AE45" s="53" t="n"/>
      <c r="AF45" s="53" t="n"/>
      <c r="AG45" s="53" t="n"/>
      <c r="AH45" s="53" t="n"/>
      <c r="AI45" s="53" t="n"/>
      <c r="AJ45" s="53" t="n"/>
      <c r="AK45" s="53" t="n"/>
      <c r="AL45" s="53" t="n"/>
      <c r="AM45" s="53" t="n"/>
      <c r="AN45" s="53" t="n"/>
      <c r="AO45" s="53" t="n"/>
      <c r="AP45" s="53" t="n"/>
      <c r="AQ45" s="53" t="n"/>
      <c r="AR45" s="53" t="n"/>
      <c r="AS45" s="53" t="n"/>
      <c r="AT45" s="53" t="n"/>
      <c r="AU45" s="53" t="n"/>
      <c r="AV45" s="53" t="n"/>
      <c r="AW45" s="53" t="n"/>
      <c r="AX45" s="53" t="n"/>
      <c r="AY45" s="53" t="n"/>
    </row>
    <row r="46" ht="15" customHeight="1">
      <c r="A46" s="54" t="n"/>
      <c r="B46" s="55">
        <f>IF($B$45="","",$B$45)</f>
        <v/>
      </c>
      <c r="C46" s="56" t="inlineStr">
        <is>
          <t>마케팅1팀</t>
        </is>
      </c>
      <c r="D46" s="55">
        <f>IF($D$45="","",$D$45)</f>
        <v/>
      </c>
      <c r="E46" s="57" t="inlineStr">
        <is>
          <t>이미지</t>
        </is>
      </c>
      <c r="F46" s="44" t="n"/>
      <c r="G46" s="58">
        <f>IF($G$45="","",$G$45)</f>
        <v/>
      </c>
      <c r="H46" s="59" t="n"/>
      <c r="I46" s="59" t="n"/>
      <c r="J46" s="59" t="n"/>
      <c r="K46" s="59" t="n"/>
      <c r="L46" s="60">
        <f>IF(SUM(U46:AY46)=0,"",SUM(U46:AY46))</f>
        <v/>
      </c>
      <c r="M46" s="61">
        <f>IFERROR(INDEX(U$2:AY$2,MATCH(TRUE,INDEX(U46:AY46&lt;&gt;"",0),0)),"")</f>
        <v/>
      </c>
      <c r="N46" s="61">
        <f>IFERROR(LOOKUP(2,1/(U46:AY46&lt;&gt;""),U$2:AY$2),"")</f>
        <v/>
      </c>
      <c r="O46" s="59" t="n"/>
      <c r="P46" s="59" t="n"/>
      <c r="Q46" s="59" t="n"/>
      <c r="R46" s="59" t="n"/>
      <c r="S46" s="14" t="n"/>
      <c r="U46" s="53" t="n"/>
      <c r="V46" s="53" t="n"/>
      <c r="W46" s="53" t="n"/>
      <c r="X46" s="53" t="n"/>
      <c r="Y46" s="53" t="n"/>
      <c r="Z46" s="53" t="n"/>
      <c r="AA46" s="53" t="n"/>
      <c r="AB46" s="53" t="n"/>
      <c r="AC46" s="53" t="n"/>
      <c r="AD46" s="53" t="n"/>
      <c r="AE46" s="53" t="n"/>
      <c r="AF46" s="53" t="n"/>
      <c r="AG46" s="53" t="n"/>
      <c r="AH46" s="53" t="n"/>
      <c r="AI46" s="53" t="n"/>
      <c r="AJ46" s="53" t="n"/>
      <c r="AK46" s="53" t="n"/>
      <c r="AL46" s="53" t="n"/>
      <c r="AM46" s="53" t="n"/>
      <c r="AN46" s="53" t="n"/>
      <c r="AO46" s="53" t="n"/>
      <c r="AP46" s="53" t="n"/>
      <c r="AQ46" s="53" t="n"/>
      <c r="AR46" s="53" t="n"/>
      <c r="AS46" s="53" t="n"/>
      <c r="AT46" s="53" t="n"/>
      <c r="AU46" s="53" t="n"/>
      <c r="AV46" s="53" t="n"/>
      <c r="AW46" s="53" t="n"/>
      <c r="AX46" s="53" t="n"/>
      <c r="AY46" s="53" t="n"/>
    </row>
    <row r="47" ht="15" customHeight="1">
      <c r="A47" s="62" t="n"/>
      <c r="B47" s="55">
        <f>IF($B$45="","",$B$45)</f>
        <v/>
      </c>
      <c r="C47" s="63" t="inlineStr">
        <is>
          <t>마케팅1팀</t>
        </is>
      </c>
      <c r="D47" s="55">
        <f>IF($D$45="","",$D$45)</f>
        <v/>
      </c>
      <c r="E47" s="64" t="inlineStr">
        <is>
          <t>영상</t>
        </is>
      </c>
      <c r="F47" s="44" t="n"/>
      <c r="G47" s="58">
        <f>IF($G$45="","",$G$45)</f>
        <v/>
      </c>
      <c r="H47" s="59" t="n"/>
      <c r="I47" s="59" t="n"/>
      <c r="J47" s="59" t="n"/>
      <c r="K47" s="59" t="n"/>
      <c r="L47" s="65">
        <f>IF(SUM(U47:AY47)=0,"",SUM(U47:AY47))</f>
        <v/>
      </c>
      <c r="M47" s="66">
        <f>IFERROR(INDEX(U$2:AY$2,MATCH(TRUE,INDEX(U47:AY47&lt;&gt;"",0),0)),"")</f>
        <v/>
      </c>
      <c r="N47" s="66">
        <f>IFERROR(LOOKUP(2,1/(U47:AY47&lt;&gt;""),U$2:AY$2),"")</f>
        <v/>
      </c>
      <c r="O47" s="59" t="n"/>
      <c r="P47" s="59" t="n"/>
      <c r="Q47" s="59" t="n"/>
      <c r="R47" s="59" t="n"/>
      <c r="S47" s="14" t="n"/>
      <c r="U47" s="53" t="n"/>
      <c r="V47" s="53" t="n"/>
      <c r="W47" s="53" t="n"/>
      <c r="X47" s="53" t="n"/>
      <c r="Y47" s="53" t="n"/>
      <c r="Z47" s="53" t="n"/>
      <c r="AA47" s="53" t="n"/>
      <c r="AB47" s="53" t="n"/>
      <c r="AC47" s="53" t="n"/>
      <c r="AD47" s="53" t="n"/>
      <c r="AE47" s="53" t="n"/>
      <c r="AF47" s="53" t="n"/>
      <c r="AG47" s="53" t="n"/>
      <c r="AH47" s="53" t="n"/>
      <c r="AI47" s="53" t="n"/>
      <c r="AJ47" s="53" t="n"/>
      <c r="AK47" s="53" t="n"/>
      <c r="AL47" s="53" t="n"/>
      <c r="AM47" s="53" t="n"/>
      <c r="AN47" s="53" t="n"/>
      <c r="AO47" s="53" t="n"/>
      <c r="AP47" s="53" t="n"/>
      <c r="AQ47" s="53" t="n"/>
      <c r="AR47" s="53" t="n"/>
      <c r="AS47" s="53" t="n"/>
      <c r="AT47" s="53" t="n"/>
      <c r="AU47" s="53" t="n"/>
      <c r="AV47" s="53" t="n"/>
      <c r="AW47" s="53" t="n"/>
      <c r="AX47" s="53" t="n"/>
      <c r="AY47" s="53" t="n"/>
    </row>
    <row r="48" ht="15" customHeight="1">
      <c r="A48" s="40">
        <f>IF($D$48="","",14)</f>
        <v/>
      </c>
      <c r="B48" s="10" t="n"/>
      <c r="C48" s="41" t="inlineStr">
        <is>
          <t>마케팅1팀</t>
        </is>
      </c>
      <c r="D48" s="42" t="n"/>
      <c r="E48" s="43" t="inlineStr">
        <is>
          <t>기획</t>
        </is>
      </c>
      <c r="F48" s="44" t="n"/>
      <c r="G48" s="45" t="n"/>
      <c r="H48" s="46">
        <f>IF($I$48="","",IF($I$48&lt;0,"🔴지연",IF($I$48&lt;=1,"🟡임박","🟢여유")))</f>
        <v/>
      </c>
      <c r="I48" s="47">
        <f>IF(OR($G$48="",$K$48=""),"",$G$48-$K$48)</f>
        <v/>
      </c>
      <c r="J48" s="48">
        <f>IF(SUM($L$48:$L$50)=0,"",SUM($L$48:$L$50))</f>
        <v/>
      </c>
      <c r="K48" s="49">
        <f>IF($J$48="","",MAX($N$48:$N$50))</f>
        <v/>
      </c>
      <c r="L48" s="50">
        <f>IF(SUM(U48:AY48)=0,"",SUM(U48:AY48))</f>
        <v/>
      </c>
      <c r="M48" s="51">
        <f>IFERROR(INDEX(U$2:AY$2,MATCH(TRUE,INDEX(U48:AY48&lt;&gt;"",0),0)),"")</f>
        <v/>
      </c>
      <c r="N48" s="51">
        <f>IFERROR(LOOKUP(2,1/(U48:AY48&lt;&gt;""),U$2:AY$2),"")</f>
        <v/>
      </c>
      <c r="O48" s="52" t="n"/>
      <c r="P48" s="52" t="n"/>
      <c r="Q48" s="52" t="n"/>
      <c r="R48" s="44" t="n"/>
      <c r="S48" s="14" t="n"/>
      <c r="U48" s="53" t="n"/>
      <c r="V48" s="53" t="n"/>
      <c r="W48" s="53" t="n"/>
      <c r="X48" s="53" t="n"/>
      <c r="Y48" s="53" t="n"/>
      <c r="Z48" s="53" t="n"/>
      <c r="AA48" s="53" t="n"/>
      <c r="AB48" s="53" t="n"/>
      <c r="AC48" s="53" t="n"/>
      <c r="AD48" s="53" t="n"/>
      <c r="AE48" s="53" t="n"/>
      <c r="AF48" s="53" t="n"/>
      <c r="AG48" s="53" t="n"/>
      <c r="AH48" s="53" t="n"/>
      <c r="AI48" s="53" t="n"/>
      <c r="AJ48" s="53" t="n"/>
      <c r="AK48" s="53" t="n"/>
      <c r="AL48" s="53" t="n"/>
      <c r="AM48" s="53" t="n"/>
      <c r="AN48" s="53" t="n"/>
      <c r="AO48" s="53" t="n"/>
      <c r="AP48" s="53" t="n"/>
      <c r="AQ48" s="53" t="n"/>
      <c r="AR48" s="53" t="n"/>
      <c r="AS48" s="53" t="n"/>
      <c r="AT48" s="53" t="n"/>
      <c r="AU48" s="53" t="n"/>
      <c r="AV48" s="53" t="n"/>
      <c r="AW48" s="53" t="n"/>
      <c r="AX48" s="53" t="n"/>
      <c r="AY48" s="53" t="n"/>
    </row>
    <row r="49" ht="15" customHeight="1">
      <c r="A49" s="54" t="n"/>
      <c r="B49" s="55">
        <f>IF($B$48="","",$B$48)</f>
        <v/>
      </c>
      <c r="C49" s="56" t="inlineStr">
        <is>
          <t>마케팅1팀</t>
        </is>
      </c>
      <c r="D49" s="55">
        <f>IF($D$48="","",$D$48)</f>
        <v/>
      </c>
      <c r="E49" s="57" t="inlineStr">
        <is>
          <t>이미지</t>
        </is>
      </c>
      <c r="F49" s="44" t="n"/>
      <c r="G49" s="58">
        <f>IF($G$48="","",$G$48)</f>
        <v/>
      </c>
      <c r="H49" s="59" t="n"/>
      <c r="I49" s="59" t="n"/>
      <c r="J49" s="59" t="n"/>
      <c r="K49" s="59" t="n"/>
      <c r="L49" s="60">
        <f>IF(SUM(U49:AY49)=0,"",SUM(U49:AY49))</f>
        <v/>
      </c>
      <c r="M49" s="61">
        <f>IFERROR(INDEX(U$2:AY$2,MATCH(TRUE,INDEX(U49:AY49&lt;&gt;"",0),0)),"")</f>
        <v/>
      </c>
      <c r="N49" s="61">
        <f>IFERROR(LOOKUP(2,1/(U49:AY49&lt;&gt;""),U$2:AY$2),"")</f>
        <v/>
      </c>
      <c r="O49" s="59" t="n"/>
      <c r="P49" s="59" t="n"/>
      <c r="Q49" s="59" t="n"/>
      <c r="R49" s="59" t="n"/>
      <c r="S49" s="14" t="n"/>
      <c r="U49" s="53" t="n"/>
      <c r="V49" s="53" t="n"/>
      <c r="W49" s="53" t="n"/>
      <c r="X49" s="53" t="n"/>
      <c r="Y49" s="53" t="n"/>
      <c r="Z49" s="53" t="n"/>
      <c r="AA49" s="53" t="n"/>
      <c r="AB49" s="53" t="n"/>
      <c r="AC49" s="53" t="n"/>
      <c r="AD49" s="53" t="n"/>
      <c r="AE49" s="53" t="n"/>
      <c r="AF49" s="53" t="n"/>
      <c r="AG49" s="53" t="n"/>
      <c r="AH49" s="53" t="n"/>
      <c r="AI49" s="53" t="n"/>
      <c r="AJ49" s="53" t="n"/>
      <c r="AK49" s="53" t="n"/>
      <c r="AL49" s="53" t="n"/>
      <c r="AM49" s="53" t="n"/>
      <c r="AN49" s="53" t="n"/>
      <c r="AO49" s="53" t="n"/>
      <c r="AP49" s="53" t="n"/>
      <c r="AQ49" s="53" t="n"/>
      <c r="AR49" s="53" t="n"/>
      <c r="AS49" s="53" t="n"/>
      <c r="AT49" s="53" t="n"/>
      <c r="AU49" s="53" t="n"/>
      <c r="AV49" s="53" t="n"/>
      <c r="AW49" s="53" t="n"/>
      <c r="AX49" s="53" t="n"/>
      <c r="AY49" s="53" t="n"/>
    </row>
    <row r="50" ht="15" customHeight="1">
      <c r="A50" s="62" t="n"/>
      <c r="B50" s="55">
        <f>IF($B$48="","",$B$48)</f>
        <v/>
      </c>
      <c r="C50" s="63" t="inlineStr">
        <is>
          <t>마케팅1팀</t>
        </is>
      </c>
      <c r="D50" s="55">
        <f>IF($D$48="","",$D$48)</f>
        <v/>
      </c>
      <c r="E50" s="64" t="inlineStr">
        <is>
          <t>영상</t>
        </is>
      </c>
      <c r="F50" s="44" t="n"/>
      <c r="G50" s="58">
        <f>IF($G$48="","",$G$48)</f>
        <v/>
      </c>
      <c r="H50" s="59" t="n"/>
      <c r="I50" s="59" t="n"/>
      <c r="J50" s="59" t="n"/>
      <c r="K50" s="59" t="n"/>
      <c r="L50" s="65">
        <f>IF(SUM(U50:AY50)=0,"",SUM(U50:AY50))</f>
        <v/>
      </c>
      <c r="M50" s="66">
        <f>IFERROR(INDEX(U$2:AY$2,MATCH(TRUE,INDEX(U50:AY50&lt;&gt;"",0),0)),"")</f>
        <v/>
      </c>
      <c r="N50" s="66">
        <f>IFERROR(LOOKUP(2,1/(U50:AY50&lt;&gt;""),U$2:AY$2),"")</f>
        <v/>
      </c>
      <c r="O50" s="59" t="n"/>
      <c r="P50" s="59" t="n"/>
      <c r="Q50" s="59" t="n"/>
      <c r="R50" s="59" t="n"/>
      <c r="S50" s="14" t="n"/>
      <c r="U50" s="53" t="n"/>
      <c r="V50" s="53" t="n"/>
      <c r="W50" s="53" t="n"/>
      <c r="X50" s="53" t="n"/>
      <c r="Y50" s="53" t="n"/>
      <c r="Z50" s="53" t="n"/>
      <c r="AA50" s="53" t="n"/>
      <c r="AB50" s="53" t="n"/>
      <c r="AC50" s="53" t="n"/>
      <c r="AD50" s="53" t="n"/>
      <c r="AE50" s="53" t="n"/>
      <c r="AF50" s="53" t="n"/>
      <c r="AG50" s="53" t="n"/>
      <c r="AH50" s="53" t="n"/>
      <c r="AI50" s="53" t="n"/>
      <c r="AJ50" s="53" t="n"/>
      <c r="AK50" s="53" t="n"/>
      <c r="AL50" s="53" t="n"/>
      <c r="AM50" s="53" t="n"/>
      <c r="AN50" s="53" t="n"/>
      <c r="AO50" s="53" t="n"/>
      <c r="AP50" s="53" t="n"/>
      <c r="AQ50" s="53" t="n"/>
      <c r="AR50" s="53" t="n"/>
      <c r="AS50" s="53" t="n"/>
      <c r="AT50" s="53" t="n"/>
      <c r="AU50" s="53" t="n"/>
      <c r="AV50" s="53" t="n"/>
      <c r="AW50" s="53" t="n"/>
      <c r="AX50" s="53" t="n"/>
      <c r="AY50" s="53" t="n"/>
    </row>
    <row r="51" ht="15" customHeight="1">
      <c r="A51" s="40">
        <f>IF($D$51="","",15)</f>
        <v/>
      </c>
      <c r="B51" s="10" t="n"/>
      <c r="C51" s="41" t="inlineStr">
        <is>
          <t>마케팅1팀</t>
        </is>
      </c>
      <c r="D51" s="42" t="n"/>
      <c r="E51" s="43" t="inlineStr">
        <is>
          <t>기획</t>
        </is>
      </c>
      <c r="F51" s="44" t="n"/>
      <c r="G51" s="45" t="n"/>
      <c r="H51" s="46">
        <f>IF($I$51="","",IF($I$51&lt;0,"🔴지연",IF($I$51&lt;=1,"🟡임박","🟢여유")))</f>
        <v/>
      </c>
      <c r="I51" s="47">
        <f>IF(OR($G$51="",$K$51=""),"",$G$51-$K$51)</f>
        <v/>
      </c>
      <c r="J51" s="48">
        <f>IF(SUM($L$51:$L$53)=0,"",SUM($L$51:$L$53))</f>
        <v/>
      </c>
      <c r="K51" s="49">
        <f>IF($J$51="","",MAX($N$51:$N$53))</f>
        <v/>
      </c>
      <c r="L51" s="50">
        <f>IF(SUM(U51:AY51)=0,"",SUM(U51:AY51))</f>
        <v/>
      </c>
      <c r="M51" s="51">
        <f>IFERROR(INDEX(U$2:AY$2,MATCH(TRUE,INDEX(U51:AY51&lt;&gt;"",0),0)),"")</f>
        <v/>
      </c>
      <c r="N51" s="51">
        <f>IFERROR(LOOKUP(2,1/(U51:AY51&lt;&gt;""),U$2:AY$2),"")</f>
        <v/>
      </c>
      <c r="O51" s="52" t="n"/>
      <c r="P51" s="52" t="n"/>
      <c r="Q51" s="52" t="n"/>
      <c r="R51" s="44" t="n"/>
      <c r="S51" s="14" t="n"/>
      <c r="U51" s="53" t="n"/>
      <c r="V51" s="53" t="n"/>
      <c r="W51" s="53" t="n"/>
      <c r="X51" s="53" t="n"/>
      <c r="Y51" s="53" t="n"/>
      <c r="Z51" s="53" t="n"/>
      <c r="AA51" s="53" t="n"/>
      <c r="AB51" s="53" t="n"/>
      <c r="AC51" s="53" t="n"/>
      <c r="AD51" s="53" t="n"/>
      <c r="AE51" s="53" t="n"/>
      <c r="AF51" s="53" t="n"/>
      <c r="AG51" s="53" t="n"/>
      <c r="AH51" s="53" t="n"/>
      <c r="AI51" s="53" t="n"/>
      <c r="AJ51" s="53" t="n"/>
      <c r="AK51" s="53" t="n"/>
      <c r="AL51" s="53" t="n"/>
      <c r="AM51" s="53" t="n"/>
      <c r="AN51" s="53" t="n"/>
      <c r="AO51" s="53" t="n"/>
      <c r="AP51" s="53" t="n"/>
      <c r="AQ51" s="53" t="n"/>
      <c r="AR51" s="53" t="n"/>
      <c r="AS51" s="53" t="n"/>
      <c r="AT51" s="53" t="n"/>
      <c r="AU51" s="53" t="n"/>
      <c r="AV51" s="53" t="n"/>
      <c r="AW51" s="53" t="n"/>
      <c r="AX51" s="53" t="n"/>
      <c r="AY51" s="53" t="n"/>
    </row>
    <row r="52" ht="15" customHeight="1">
      <c r="A52" s="54" t="n"/>
      <c r="B52" s="55">
        <f>IF($B$51="","",$B$51)</f>
        <v/>
      </c>
      <c r="C52" s="56" t="inlineStr">
        <is>
          <t>마케팅1팀</t>
        </is>
      </c>
      <c r="D52" s="55">
        <f>IF($D$51="","",$D$51)</f>
        <v/>
      </c>
      <c r="E52" s="57" t="inlineStr">
        <is>
          <t>이미지</t>
        </is>
      </c>
      <c r="F52" s="44" t="n"/>
      <c r="G52" s="58">
        <f>IF($G$51="","",$G$51)</f>
        <v/>
      </c>
      <c r="H52" s="59" t="n"/>
      <c r="I52" s="59" t="n"/>
      <c r="J52" s="59" t="n"/>
      <c r="K52" s="59" t="n"/>
      <c r="L52" s="60">
        <f>IF(SUM(U52:AY52)=0,"",SUM(U52:AY52))</f>
        <v/>
      </c>
      <c r="M52" s="61">
        <f>IFERROR(INDEX(U$2:AY$2,MATCH(TRUE,INDEX(U52:AY52&lt;&gt;"",0),0)),"")</f>
        <v/>
      </c>
      <c r="N52" s="61">
        <f>IFERROR(LOOKUP(2,1/(U52:AY52&lt;&gt;""),U$2:AY$2),"")</f>
        <v/>
      </c>
      <c r="O52" s="59" t="n"/>
      <c r="P52" s="59" t="n"/>
      <c r="Q52" s="59" t="n"/>
      <c r="R52" s="59" t="n"/>
      <c r="S52" s="14" t="n"/>
      <c r="U52" s="53" t="n"/>
      <c r="V52" s="53" t="n"/>
      <c r="W52" s="53" t="n"/>
      <c r="X52" s="53" t="n"/>
      <c r="Y52" s="53" t="n"/>
      <c r="Z52" s="53" t="n"/>
      <c r="AA52" s="53" t="n"/>
      <c r="AB52" s="53" t="n"/>
      <c r="AC52" s="53" t="n"/>
      <c r="AD52" s="53" t="n"/>
      <c r="AE52" s="53" t="n"/>
      <c r="AF52" s="53" t="n"/>
      <c r="AG52" s="53" t="n"/>
      <c r="AH52" s="53" t="n"/>
      <c r="AI52" s="53" t="n"/>
      <c r="AJ52" s="53" t="n"/>
      <c r="AK52" s="53" t="n"/>
      <c r="AL52" s="53" t="n"/>
      <c r="AM52" s="53" t="n"/>
      <c r="AN52" s="53" t="n"/>
      <c r="AO52" s="53" t="n"/>
      <c r="AP52" s="53" t="n"/>
      <c r="AQ52" s="53" t="n"/>
      <c r="AR52" s="53" t="n"/>
      <c r="AS52" s="53" t="n"/>
      <c r="AT52" s="53" t="n"/>
      <c r="AU52" s="53" t="n"/>
      <c r="AV52" s="53" t="n"/>
      <c r="AW52" s="53" t="n"/>
      <c r="AX52" s="53" t="n"/>
      <c r="AY52" s="53" t="n"/>
    </row>
    <row r="53" ht="15" customHeight="1">
      <c r="A53" s="62" t="n"/>
      <c r="B53" s="55">
        <f>IF($B$51="","",$B$51)</f>
        <v/>
      </c>
      <c r="C53" s="63" t="inlineStr">
        <is>
          <t>마케팅1팀</t>
        </is>
      </c>
      <c r="D53" s="55">
        <f>IF($D$51="","",$D$51)</f>
        <v/>
      </c>
      <c r="E53" s="64" t="inlineStr">
        <is>
          <t>영상</t>
        </is>
      </c>
      <c r="F53" s="44" t="n"/>
      <c r="G53" s="58">
        <f>IF($G$51="","",$G$51)</f>
        <v/>
      </c>
      <c r="H53" s="59" t="n"/>
      <c r="I53" s="59" t="n"/>
      <c r="J53" s="59" t="n"/>
      <c r="K53" s="59" t="n"/>
      <c r="L53" s="65">
        <f>IF(SUM(U53:AY53)=0,"",SUM(U53:AY53))</f>
        <v/>
      </c>
      <c r="M53" s="66">
        <f>IFERROR(INDEX(U$2:AY$2,MATCH(TRUE,INDEX(U53:AY53&lt;&gt;"",0),0)),"")</f>
        <v/>
      </c>
      <c r="N53" s="66">
        <f>IFERROR(LOOKUP(2,1/(U53:AY53&lt;&gt;""),U$2:AY$2),"")</f>
        <v/>
      </c>
      <c r="O53" s="59" t="n"/>
      <c r="P53" s="59" t="n"/>
      <c r="Q53" s="59" t="n"/>
      <c r="R53" s="59" t="n"/>
      <c r="S53" s="14" t="n"/>
      <c r="U53" s="53" t="n"/>
      <c r="V53" s="53" t="n"/>
      <c r="W53" s="53" t="n"/>
      <c r="X53" s="53" t="n"/>
      <c r="Y53" s="53" t="n"/>
      <c r="Z53" s="53" t="n"/>
      <c r="AA53" s="53" t="n"/>
      <c r="AB53" s="53" t="n"/>
      <c r="AC53" s="53" t="n"/>
      <c r="AD53" s="53" t="n"/>
      <c r="AE53" s="53" t="n"/>
      <c r="AF53" s="53" t="n"/>
      <c r="AG53" s="53" t="n"/>
      <c r="AH53" s="53" t="n"/>
      <c r="AI53" s="53" t="n"/>
      <c r="AJ53" s="53" t="n"/>
      <c r="AK53" s="53" t="n"/>
      <c r="AL53" s="53" t="n"/>
      <c r="AM53" s="53" t="n"/>
      <c r="AN53" s="53" t="n"/>
      <c r="AO53" s="53" t="n"/>
      <c r="AP53" s="53" t="n"/>
      <c r="AQ53" s="53" t="n"/>
      <c r="AR53" s="53" t="n"/>
      <c r="AS53" s="53" t="n"/>
      <c r="AT53" s="53" t="n"/>
      <c r="AU53" s="53" t="n"/>
      <c r="AV53" s="53" t="n"/>
      <c r="AW53" s="53" t="n"/>
      <c r="AX53" s="53" t="n"/>
      <c r="AY53" s="53" t="n"/>
    </row>
    <row r="54" ht="15" customHeight="1">
      <c r="A54" s="40">
        <f>IF($D$54="","",16)</f>
        <v/>
      </c>
      <c r="B54" s="10" t="n"/>
      <c r="C54" s="41" t="inlineStr">
        <is>
          <t>마케팅1팀</t>
        </is>
      </c>
      <c r="D54" s="42" t="n"/>
      <c r="E54" s="43" t="inlineStr">
        <is>
          <t>기획</t>
        </is>
      </c>
      <c r="F54" s="44" t="n"/>
      <c r="G54" s="45" t="n"/>
      <c r="H54" s="46">
        <f>IF($I$54="","",IF($I$54&lt;0,"🔴지연",IF($I$54&lt;=1,"🟡임박","🟢여유")))</f>
        <v/>
      </c>
      <c r="I54" s="47">
        <f>IF(OR($G$54="",$K$54=""),"",$G$54-$K$54)</f>
        <v/>
      </c>
      <c r="J54" s="48">
        <f>IF(SUM($L$54:$L$56)=0,"",SUM($L$54:$L$56))</f>
        <v/>
      </c>
      <c r="K54" s="49">
        <f>IF($J$54="","",MAX($N$54:$N$56))</f>
        <v/>
      </c>
      <c r="L54" s="50">
        <f>IF(SUM(U54:AY54)=0,"",SUM(U54:AY54))</f>
        <v/>
      </c>
      <c r="M54" s="51">
        <f>IFERROR(INDEX(U$2:AY$2,MATCH(TRUE,INDEX(U54:AY54&lt;&gt;"",0),0)),"")</f>
        <v/>
      </c>
      <c r="N54" s="51">
        <f>IFERROR(LOOKUP(2,1/(U54:AY54&lt;&gt;""),U$2:AY$2),"")</f>
        <v/>
      </c>
      <c r="O54" s="52" t="n"/>
      <c r="P54" s="52" t="n"/>
      <c r="Q54" s="52" t="n"/>
      <c r="R54" s="44" t="n"/>
      <c r="S54" s="14" t="n"/>
      <c r="U54" s="53" t="n"/>
      <c r="V54" s="53" t="n"/>
      <c r="W54" s="53" t="n"/>
      <c r="X54" s="53" t="n"/>
      <c r="Y54" s="53" t="n"/>
      <c r="Z54" s="53" t="n"/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s="53" t="n"/>
      <c r="AJ54" s="53" t="n"/>
      <c r="AK54" s="53" t="n"/>
      <c r="AL54" s="53" t="n"/>
      <c r="AM54" s="53" t="n"/>
      <c r="AN54" s="53" t="n"/>
      <c r="AO54" s="53" t="n"/>
      <c r="AP54" s="53" t="n"/>
      <c r="AQ54" s="53" t="n"/>
      <c r="AR54" s="53" t="n"/>
      <c r="AS54" s="53" t="n"/>
      <c r="AT54" s="53" t="n"/>
      <c r="AU54" s="53" t="n"/>
      <c r="AV54" s="53" t="n"/>
      <c r="AW54" s="53" t="n"/>
      <c r="AX54" s="53" t="n"/>
      <c r="AY54" s="53" t="n"/>
    </row>
    <row r="55" ht="15" customHeight="1">
      <c r="A55" s="54" t="n"/>
      <c r="B55" s="55">
        <f>IF($B$54="","",$B$54)</f>
        <v/>
      </c>
      <c r="C55" s="56" t="inlineStr">
        <is>
          <t>마케팅1팀</t>
        </is>
      </c>
      <c r="D55" s="55">
        <f>IF($D$54="","",$D$54)</f>
        <v/>
      </c>
      <c r="E55" s="57" t="inlineStr">
        <is>
          <t>이미지</t>
        </is>
      </c>
      <c r="F55" s="44" t="n"/>
      <c r="G55" s="58">
        <f>IF($G$54="","",$G$54)</f>
        <v/>
      </c>
      <c r="H55" s="59" t="n"/>
      <c r="I55" s="59" t="n"/>
      <c r="J55" s="59" t="n"/>
      <c r="K55" s="59" t="n"/>
      <c r="L55" s="60">
        <f>IF(SUM(U55:AY55)=0,"",SUM(U55:AY55))</f>
        <v/>
      </c>
      <c r="M55" s="61">
        <f>IFERROR(INDEX(U$2:AY$2,MATCH(TRUE,INDEX(U55:AY55&lt;&gt;"",0),0)),"")</f>
        <v/>
      </c>
      <c r="N55" s="61">
        <f>IFERROR(LOOKUP(2,1/(U55:AY55&lt;&gt;""),U$2:AY$2),"")</f>
        <v/>
      </c>
      <c r="O55" s="59" t="n"/>
      <c r="P55" s="59" t="n"/>
      <c r="Q55" s="59" t="n"/>
      <c r="R55" s="59" t="n"/>
      <c r="S55" s="14" t="n"/>
      <c r="U55" s="53" t="n"/>
      <c r="V55" s="53" t="n"/>
      <c r="W55" s="53" t="n"/>
      <c r="X55" s="53" t="n"/>
      <c r="Y55" s="53" t="n"/>
      <c r="Z55" s="53" t="n"/>
      <c r="AA55" s="53" t="n"/>
      <c r="AB55" s="53" t="n"/>
      <c r="AC55" s="53" t="n"/>
      <c r="AD55" s="53" t="n"/>
      <c r="AE55" s="53" t="n"/>
      <c r="AF55" s="53" t="n"/>
      <c r="AG55" s="53" t="n"/>
      <c r="AH55" s="53" t="n"/>
      <c r="AI55" s="53" t="n"/>
      <c r="AJ55" s="53" t="n"/>
      <c r="AK55" s="53" t="n"/>
      <c r="AL55" s="53" t="n"/>
      <c r="AM55" s="53" t="n"/>
      <c r="AN55" s="53" t="n"/>
      <c r="AO55" s="53" t="n"/>
      <c r="AP55" s="53" t="n"/>
      <c r="AQ55" s="53" t="n"/>
      <c r="AR55" s="53" t="n"/>
      <c r="AS55" s="53" t="n"/>
      <c r="AT55" s="53" t="n"/>
      <c r="AU55" s="53" t="n"/>
      <c r="AV55" s="53" t="n"/>
      <c r="AW55" s="53" t="n"/>
      <c r="AX55" s="53" t="n"/>
      <c r="AY55" s="53" t="n"/>
    </row>
    <row r="56" ht="15" customHeight="1">
      <c r="A56" s="62" t="n"/>
      <c r="B56" s="55">
        <f>IF($B$54="","",$B$54)</f>
        <v/>
      </c>
      <c r="C56" s="63" t="inlineStr">
        <is>
          <t>마케팅1팀</t>
        </is>
      </c>
      <c r="D56" s="55">
        <f>IF($D$54="","",$D$54)</f>
        <v/>
      </c>
      <c r="E56" s="64" t="inlineStr">
        <is>
          <t>영상</t>
        </is>
      </c>
      <c r="F56" s="44" t="n"/>
      <c r="G56" s="58">
        <f>IF($G$54="","",$G$54)</f>
        <v/>
      </c>
      <c r="H56" s="59" t="n"/>
      <c r="I56" s="59" t="n"/>
      <c r="J56" s="59" t="n"/>
      <c r="K56" s="59" t="n"/>
      <c r="L56" s="65">
        <f>IF(SUM(U56:AY56)=0,"",SUM(U56:AY56))</f>
        <v/>
      </c>
      <c r="M56" s="66">
        <f>IFERROR(INDEX(U$2:AY$2,MATCH(TRUE,INDEX(U56:AY56&lt;&gt;"",0),0)),"")</f>
        <v/>
      </c>
      <c r="N56" s="66">
        <f>IFERROR(LOOKUP(2,1/(U56:AY56&lt;&gt;""),U$2:AY$2),"")</f>
        <v/>
      </c>
      <c r="O56" s="59" t="n"/>
      <c r="P56" s="59" t="n"/>
      <c r="Q56" s="59" t="n"/>
      <c r="R56" s="59" t="n"/>
      <c r="S56" s="14" t="n"/>
      <c r="U56" s="53" t="n"/>
      <c r="V56" s="53" t="n"/>
      <c r="W56" s="53" t="n"/>
      <c r="X56" s="5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s="53" t="n"/>
      <c r="AJ56" s="53" t="n"/>
      <c r="AK56" s="53" t="n"/>
      <c r="AL56" s="53" t="n"/>
      <c r="AM56" s="53" t="n"/>
      <c r="AN56" s="53" t="n"/>
      <c r="AO56" s="53" t="n"/>
      <c r="AP56" s="53" t="n"/>
      <c r="AQ56" s="53" t="n"/>
      <c r="AR56" s="53" t="n"/>
      <c r="AS56" s="53" t="n"/>
      <c r="AT56" s="53" t="n"/>
      <c r="AU56" s="53" t="n"/>
      <c r="AV56" s="53" t="n"/>
      <c r="AW56" s="53" t="n"/>
      <c r="AX56" s="53" t="n"/>
      <c r="AY56" s="53" t="n"/>
    </row>
    <row r="57" ht="15" customHeight="1">
      <c r="A57" s="40">
        <f>IF($D$57="","",17)</f>
        <v/>
      </c>
      <c r="B57" s="10" t="n"/>
      <c r="C57" s="41" t="inlineStr">
        <is>
          <t>마케팅1팀</t>
        </is>
      </c>
      <c r="D57" s="42" t="n"/>
      <c r="E57" s="43" t="inlineStr">
        <is>
          <t>기획</t>
        </is>
      </c>
      <c r="F57" s="44" t="n"/>
      <c r="G57" s="45" t="n"/>
      <c r="H57" s="46">
        <f>IF($I$57="","",IF($I$57&lt;0,"🔴지연",IF($I$57&lt;=1,"🟡임박","🟢여유")))</f>
        <v/>
      </c>
      <c r="I57" s="47">
        <f>IF(OR($G$57="",$K$57=""),"",$G$57-$K$57)</f>
        <v/>
      </c>
      <c r="J57" s="48">
        <f>IF(SUM($L$57:$L$59)=0,"",SUM($L$57:$L$59))</f>
        <v/>
      </c>
      <c r="K57" s="49">
        <f>IF($J$57="","",MAX($N$57:$N$59))</f>
        <v/>
      </c>
      <c r="L57" s="50">
        <f>IF(SUM(U57:AY57)=0,"",SUM(U57:AY57))</f>
        <v/>
      </c>
      <c r="M57" s="51">
        <f>IFERROR(INDEX(U$2:AY$2,MATCH(TRUE,INDEX(U57:AY57&lt;&gt;"",0),0)),"")</f>
        <v/>
      </c>
      <c r="N57" s="51">
        <f>IFERROR(LOOKUP(2,1/(U57:AY57&lt;&gt;""),U$2:AY$2),"")</f>
        <v/>
      </c>
      <c r="O57" s="52" t="n"/>
      <c r="P57" s="52" t="n"/>
      <c r="Q57" s="52" t="n"/>
      <c r="R57" s="44" t="n"/>
      <c r="S57" s="14" t="n"/>
      <c r="U57" s="53" t="n"/>
      <c r="V57" s="53" t="n"/>
      <c r="W57" s="53" t="n"/>
      <c r="X57" s="53" t="n"/>
      <c r="Y57" s="53" t="n"/>
      <c r="Z57" s="53" t="n"/>
      <c r="AA57" s="53" t="n"/>
      <c r="AB57" s="53" t="n"/>
      <c r="AC57" s="53" t="n"/>
      <c r="AD57" s="53" t="n"/>
      <c r="AE57" s="53" t="n"/>
      <c r="AF57" s="53" t="n"/>
      <c r="AG57" s="53" t="n"/>
      <c r="AH57" s="53" t="n"/>
      <c r="AI57" s="53" t="n"/>
      <c r="AJ57" s="53" t="n"/>
      <c r="AK57" s="53" t="n"/>
      <c r="AL57" s="53" t="n"/>
      <c r="AM57" s="53" t="n"/>
      <c r="AN57" s="53" t="n"/>
      <c r="AO57" s="53" t="n"/>
      <c r="AP57" s="53" t="n"/>
      <c r="AQ57" s="53" t="n"/>
      <c r="AR57" s="53" t="n"/>
      <c r="AS57" s="53" t="n"/>
      <c r="AT57" s="53" t="n"/>
      <c r="AU57" s="53" t="n"/>
      <c r="AV57" s="53" t="n"/>
      <c r="AW57" s="53" t="n"/>
      <c r="AX57" s="53" t="n"/>
      <c r="AY57" s="53" t="n"/>
    </row>
    <row r="58" ht="15" customHeight="1">
      <c r="A58" s="54" t="n"/>
      <c r="B58" s="55">
        <f>IF($B$57="","",$B$57)</f>
        <v/>
      </c>
      <c r="C58" s="56" t="inlineStr">
        <is>
          <t>마케팅1팀</t>
        </is>
      </c>
      <c r="D58" s="55">
        <f>IF($D$57="","",$D$57)</f>
        <v/>
      </c>
      <c r="E58" s="57" t="inlineStr">
        <is>
          <t>이미지</t>
        </is>
      </c>
      <c r="F58" s="44" t="n"/>
      <c r="G58" s="58">
        <f>IF($G$57="","",$G$57)</f>
        <v/>
      </c>
      <c r="H58" s="59" t="n"/>
      <c r="I58" s="59" t="n"/>
      <c r="J58" s="59" t="n"/>
      <c r="K58" s="59" t="n"/>
      <c r="L58" s="60">
        <f>IF(SUM(U58:AY58)=0,"",SUM(U58:AY58))</f>
        <v/>
      </c>
      <c r="M58" s="61">
        <f>IFERROR(INDEX(U$2:AY$2,MATCH(TRUE,INDEX(U58:AY58&lt;&gt;"",0),0)),"")</f>
        <v/>
      </c>
      <c r="N58" s="61">
        <f>IFERROR(LOOKUP(2,1/(U58:AY58&lt;&gt;""),U$2:AY$2),"")</f>
        <v/>
      </c>
      <c r="O58" s="59" t="n"/>
      <c r="P58" s="59" t="n"/>
      <c r="Q58" s="59" t="n"/>
      <c r="R58" s="59" t="n"/>
      <c r="S58" s="14" t="n"/>
      <c r="U58" s="53" t="n"/>
      <c r="V58" s="53" t="n"/>
      <c r="W58" s="53" t="n"/>
      <c r="X58" s="53" t="n"/>
      <c r="Y58" s="53" t="n"/>
      <c r="Z58" s="53" t="n"/>
      <c r="AA58" s="53" t="n"/>
      <c r="AB58" s="53" t="n"/>
      <c r="AC58" s="53" t="n"/>
      <c r="AD58" s="53" t="n"/>
      <c r="AE58" s="53" t="n"/>
      <c r="AF58" s="53" t="n"/>
      <c r="AG58" s="53" t="n"/>
      <c r="AH58" s="53" t="n"/>
      <c r="AI58" s="53" t="n"/>
      <c r="AJ58" s="53" t="n"/>
      <c r="AK58" s="53" t="n"/>
      <c r="AL58" s="53" t="n"/>
      <c r="AM58" s="53" t="n"/>
      <c r="AN58" s="53" t="n"/>
      <c r="AO58" s="53" t="n"/>
      <c r="AP58" s="53" t="n"/>
      <c r="AQ58" s="53" t="n"/>
      <c r="AR58" s="53" t="n"/>
      <c r="AS58" s="53" t="n"/>
      <c r="AT58" s="53" t="n"/>
      <c r="AU58" s="53" t="n"/>
      <c r="AV58" s="53" t="n"/>
      <c r="AW58" s="53" t="n"/>
      <c r="AX58" s="53" t="n"/>
      <c r="AY58" s="53" t="n"/>
    </row>
    <row r="59" ht="15" customHeight="1">
      <c r="A59" s="62" t="n"/>
      <c r="B59" s="55">
        <f>IF($B$57="","",$B$57)</f>
        <v/>
      </c>
      <c r="C59" s="63" t="inlineStr">
        <is>
          <t>마케팅1팀</t>
        </is>
      </c>
      <c r="D59" s="55">
        <f>IF($D$57="","",$D$57)</f>
        <v/>
      </c>
      <c r="E59" s="64" t="inlineStr">
        <is>
          <t>영상</t>
        </is>
      </c>
      <c r="F59" s="44" t="n"/>
      <c r="G59" s="58">
        <f>IF($G$57="","",$G$57)</f>
        <v/>
      </c>
      <c r="H59" s="59" t="n"/>
      <c r="I59" s="59" t="n"/>
      <c r="J59" s="59" t="n"/>
      <c r="K59" s="59" t="n"/>
      <c r="L59" s="65">
        <f>IF(SUM(U59:AY59)=0,"",SUM(U59:AY59))</f>
        <v/>
      </c>
      <c r="M59" s="66">
        <f>IFERROR(INDEX(U$2:AY$2,MATCH(TRUE,INDEX(U59:AY59&lt;&gt;"",0),0)),"")</f>
        <v/>
      </c>
      <c r="N59" s="66">
        <f>IFERROR(LOOKUP(2,1/(U59:AY59&lt;&gt;""),U$2:AY$2),"")</f>
        <v/>
      </c>
      <c r="O59" s="59" t="n"/>
      <c r="P59" s="59" t="n"/>
      <c r="Q59" s="59" t="n"/>
      <c r="R59" s="59" t="n"/>
      <c r="S59" s="14" t="n"/>
      <c r="U59" s="53" t="n"/>
      <c r="V59" s="53" t="n"/>
      <c r="W59" s="53" t="n"/>
      <c r="X59" s="53" t="n"/>
      <c r="Y59" s="53" t="n"/>
      <c r="Z59" s="53" t="n"/>
      <c r="AA59" s="53" t="n"/>
      <c r="AB59" s="53" t="n"/>
      <c r="AC59" s="53" t="n"/>
      <c r="AD59" s="53" t="n"/>
      <c r="AE59" s="53" t="n"/>
      <c r="AF59" s="53" t="n"/>
      <c r="AG59" s="53" t="n"/>
      <c r="AH59" s="53" t="n"/>
      <c r="AI59" s="53" t="n"/>
      <c r="AJ59" s="53" t="n"/>
      <c r="AK59" s="53" t="n"/>
      <c r="AL59" s="53" t="n"/>
      <c r="AM59" s="53" t="n"/>
      <c r="AN59" s="53" t="n"/>
      <c r="AO59" s="53" t="n"/>
      <c r="AP59" s="53" t="n"/>
      <c r="AQ59" s="53" t="n"/>
      <c r="AR59" s="53" t="n"/>
      <c r="AS59" s="53" t="n"/>
      <c r="AT59" s="53" t="n"/>
      <c r="AU59" s="53" t="n"/>
      <c r="AV59" s="53" t="n"/>
      <c r="AW59" s="53" t="n"/>
      <c r="AX59" s="53" t="n"/>
      <c r="AY59" s="53" t="n"/>
    </row>
    <row r="60" ht="15" customHeight="1">
      <c r="A60" s="40">
        <f>IF($D$60="","",18)</f>
        <v/>
      </c>
      <c r="B60" s="10" t="n"/>
      <c r="C60" s="41" t="inlineStr">
        <is>
          <t>마케팅1팀</t>
        </is>
      </c>
      <c r="D60" s="42" t="n"/>
      <c r="E60" s="43" t="inlineStr">
        <is>
          <t>기획</t>
        </is>
      </c>
      <c r="F60" s="44" t="n"/>
      <c r="G60" s="45" t="n"/>
      <c r="H60" s="46">
        <f>IF($I$60="","",IF($I$60&lt;0,"🔴지연",IF($I$60&lt;=1,"🟡임박","🟢여유")))</f>
        <v/>
      </c>
      <c r="I60" s="47">
        <f>IF(OR($G$60="",$K$60=""),"",$G$60-$K$60)</f>
        <v/>
      </c>
      <c r="J60" s="48">
        <f>IF(SUM($L$60:$L$62)=0,"",SUM($L$60:$L$62))</f>
        <v/>
      </c>
      <c r="K60" s="49">
        <f>IF($J$60="","",MAX($N$60:$N$62))</f>
        <v/>
      </c>
      <c r="L60" s="50">
        <f>IF(SUM(U60:AY60)=0,"",SUM(U60:AY60))</f>
        <v/>
      </c>
      <c r="M60" s="51">
        <f>IFERROR(INDEX(U$2:AY$2,MATCH(TRUE,INDEX(U60:AY60&lt;&gt;"",0),0)),"")</f>
        <v/>
      </c>
      <c r="N60" s="51">
        <f>IFERROR(LOOKUP(2,1/(U60:AY60&lt;&gt;""),U$2:AY$2),"")</f>
        <v/>
      </c>
      <c r="O60" s="52" t="n"/>
      <c r="P60" s="52" t="n"/>
      <c r="Q60" s="52" t="n"/>
      <c r="R60" s="44" t="n"/>
      <c r="S60" s="14" t="n"/>
      <c r="U60" s="53" t="n"/>
      <c r="V60" s="53" t="n"/>
      <c r="W60" s="53" t="n"/>
      <c r="X60" s="53" t="n"/>
      <c r="Y60" s="53" t="n"/>
      <c r="Z60" s="53" t="n"/>
      <c r="AA60" s="53" t="n"/>
      <c r="AB60" s="53" t="n"/>
      <c r="AC60" s="53" t="n"/>
      <c r="AD60" s="53" t="n"/>
      <c r="AE60" s="53" t="n"/>
      <c r="AF60" s="53" t="n"/>
      <c r="AG60" s="53" t="n"/>
      <c r="AH60" s="53" t="n"/>
      <c r="AI60" s="53" t="n"/>
      <c r="AJ60" s="53" t="n"/>
      <c r="AK60" s="53" t="n"/>
      <c r="AL60" s="53" t="n"/>
      <c r="AM60" s="53" t="n"/>
      <c r="AN60" s="53" t="n"/>
      <c r="AO60" s="53" t="n"/>
      <c r="AP60" s="53" t="n"/>
      <c r="AQ60" s="53" t="n"/>
      <c r="AR60" s="53" t="n"/>
      <c r="AS60" s="53" t="n"/>
      <c r="AT60" s="53" t="n"/>
      <c r="AU60" s="53" t="n"/>
      <c r="AV60" s="53" t="n"/>
      <c r="AW60" s="53" t="n"/>
      <c r="AX60" s="53" t="n"/>
      <c r="AY60" s="53" t="n"/>
    </row>
    <row r="61" ht="15" customHeight="1">
      <c r="A61" s="54" t="n"/>
      <c r="B61" s="55">
        <f>IF($B$60="","",$B$60)</f>
        <v/>
      </c>
      <c r="C61" s="56" t="inlineStr">
        <is>
          <t>마케팅1팀</t>
        </is>
      </c>
      <c r="D61" s="55">
        <f>IF($D$60="","",$D$60)</f>
        <v/>
      </c>
      <c r="E61" s="57" t="inlineStr">
        <is>
          <t>이미지</t>
        </is>
      </c>
      <c r="F61" s="44" t="n"/>
      <c r="G61" s="58">
        <f>IF($G$60="","",$G$60)</f>
        <v/>
      </c>
      <c r="H61" s="59" t="n"/>
      <c r="I61" s="59" t="n"/>
      <c r="J61" s="59" t="n"/>
      <c r="K61" s="59" t="n"/>
      <c r="L61" s="60">
        <f>IF(SUM(U61:AY61)=0,"",SUM(U61:AY61))</f>
        <v/>
      </c>
      <c r="M61" s="61">
        <f>IFERROR(INDEX(U$2:AY$2,MATCH(TRUE,INDEX(U61:AY61&lt;&gt;"",0),0)),"")</f>
        <v/>
      </c>
      <c r="N61" s="61">
        <f>IFERROR(LOOKUP(2,1/(U61:AY61&lt;&gt;""),U$2:AY$2),"")</f>
        <v/>
      </c>
      <c r="O61" s="59" t="n"/>
      <c r="P61" s="59" t="n"/>
      <c r="Q61" s="59" t="n"/>
      <c r="R61" s="59" t="n"/>
      <c r="S61" s="14" t="n"/>
      <c r="U61" s="53" t="n"/>
      <c r="V61" s="53" t="n"/>
      <c r="W61" s="53" t="n"/>
      <c r="X61" s="53" t="n"/>
      <c r="Y61" s="53" t="n"/>
      <c r="Z61" s="53" t="n"/>
      <c r="AA61" s="53" t="n"/>
      <c r="AB61" s="53" t="n"/>
      <c r="AC61" s="53" t="n"/>
      <c r="AD61" s="53" t="n"/>
      <c r="AE61" s="53" t="n"/>
      <c r="AF61" s="53" t="n"/>
      <c r="AG61" s="53" t="n"/>
      <c r="AH61" s="53" t="n"/>
      <c r="AI61" s="53" t="n"/>
      <c r="AJ61" s="53" t="n"/>
      <c r="AK61" s="53" t="n"/>
      <c r="AL61" s="53" t="n"/>
      <c r="AM61" s="53" t="n"/>
      <c r="AN61" s="53" t="n"/>
      <c r="AO61" s="53" t="n"/>
      <c r="AP61" s="53" t="n"/>
      <c r="AQ61" s="53" t="n"/>
      <c r="AR61" s="53" t="n"/>
      <c r="AS61" s="53" t="n"/>
      <c r="AT61" s="53" t="n"/>
      <c r="AU61" s="53" t="n"/>
      <c r="AV61" s="53" t="n"/>
      <c r="AW61" s="53" t="n"/>
      <c r="AX61" s="53" t="n"/>
      <c r="AY61" s="53" t="n"/>
    </row>
    <row r="62" ht="15" customHeight="1">
      <c r="A62" s="62" t="n"/>
      <c r="B62" s="55">
        <f>IF($B$60="","",$B$60)</f>
        <v/>
      </c>
      <c r="C62" s="63" t="inlineStr">
        <is>
          <t>마케팅1팀</t>
        </is>
      </c>
      <c r="D62" s="55">
        <f>IF($D$60="","",$D$60)</f>
        <v/>
      </c>
      <c r="E62" s="64" t="inlineStr">
        <is>
          <t>영상</t>
        </is>
      </c>
      <c r="F62" s="44" t="n"/>
      <c r="G62" s="58">
        <f>IF($G$60="","",$G$60)</f>
        <v/>
      </c>
      <c r="H62" s="59" t="n"/>
      <c r="I62" s="59" t="n"/>
      <c r="J62" s="59" t="n"/>
      <c r="K62" s="59" t="n"/>
      <c r="L62" s="65">
        <f>IF(SUM(U62:AY62)=0,"",SUM(U62:AY62))</f>
        <v/>
      </c>
      <c r="M62" s="66">
        <f>IFERROR(INDEX(U$2:AY$2,MATCH(TRUE,INDEX(U62:AY62&lt;&gt;"",0),0)),"")</f>
        <v/>
      </c>
      <c r="N62" s="66">
        <f>IFERROR(LOOKUP(2,1/(U62:AY62&lt;&gt;""),U$2:AY$2),"")</f>
        <v/>
      </c>
      <c r="O62" s="59" t="n"/>
      <c r="P62" s="59" t="n"/>
      <c r="Q62" s="59" t="n"/>
      <c r="R62" s="59" t="n"/>
      <c r="S62" s="14" t="n"/>
      <c r="U62" s="53" t="n"/>
      <c r="V62" s="53" t="n"/>
      <c r="W62" s="53" t="n"/>
      <c r="X62" s="53" t="n"/>
      <c r="Y62" s="53" t="n"/>
      <c r="Z62" s="53" t="n"/>
      <c r="AA62" s="53" t="n"/>
      <c r="AB62" s="53" t="n"/>
      <c r="AC62" s="53" t="n"/>
      <c r="AD62" s="53" t="n"/>
      <c r="AE62" s="53" t="n"/>
      <c r="AF62" s="53" t="n"/>
      <c r="AG62" s="53" t="n"/>
      <c r="AH62" s="53" t="n"/>
      <c r="AI62" s="53" t="n"/>
      <c r="AJ62" s="53" t="n"/>
      <c r="AK62" s="53" t="n"/>
      <c r="AL62" s="53" t="n"/>
      <c r="AM62" s="53" t="n"/>
      <c r="AN62" s="53" t="n"/>
      <c r="AO62" s="53" t="n"/>
      <c r="AP62" s="53" t="n"/>
      <c r="AQ62" s="53" t="n"/>
      <c r="AR62" s="53" t="n"/>
      <c r="AS62" s="53" t="n"/>
      <c r="AT62" s="53" t="n"/>
      <c r="AU62" s="53" t="n"/>
      <c r="AV62" s="53" t="n"/>
      <c r="AW62" s="53" t="n"/>
      <c r="AX62" s="53" t="n"/>
      <c r="AY62" s="53" t="n"/>
    </row>
    <row r="63" ht="15" customHeight="1">
      <c r="A63" s="40">
        <f>IF($D$63="","",19)</f>
        <v/>
      </c>
      <c r="B63" s="10" t="n"/>
      <c r="C63" s="41" t="inlineStr">
        <is>
          <t>마케팅1팀</t>
        </is>
      </c>
      <c r="D63" s="42" t="n"/>
      <c r="E63" s="43" t="inlineStr">
        <is>
          <t>기획</t>
        </is>
      </c>
      <c r="F63" s="44" t="n"/>
      <c r="G63" s="45" t="n"/>
      <c r="H63" s="46">
        <f>IF($I$63="","",IF($I$63&lt;0,"🔴지연",IF($I$63&lt;=1,"🟡임박","🟢여유")))</f>
        <v/>
      </c>
      <c r="I63" s="47">
        <f>IF(OR($G$63="",$K$63=""),"",$G$63-$K$63)</f>
        <v/>
      </c>
      <c r="J63" s="48">
        <f>IF(SUM($L$63:$L$65)=0,"",SUM($L$63:$L$65))</f>
        <v/>
      </c>
      <c r="K63" s="49">
        <f>IF($J$63="","",MAX($N$63:$N$65))</f>
        <v/>
      </c>
      <c r="L63" s="50">
        <f>IF(SUM(U63:AY63)=0,"",SUM(U63:AY63))</f>
        <v/>
      </c>
      <c r="M63" s="51">
        <f>IFERROR(INDEX(U$2:AY$2,MATCH(TRUE,INDEX(U63:AY63&lt;&gt;"",0),0)),"")</f>
        <v/>
      </c>
      <c r="N63" s="51">
        <f>IFERROR(LOOKUP(2,1/(U63:AY63&lt;&gt;""),U$2:AY$2),"")</f>
        <v/>
      </c>
      <c r="O63" s="52" t="n"/>
      <c r="P63" s="52" t="n"/>
      <c r="Q63" s="52" t="n"/>
      <c r="R63" s="44" t="n"/>
      <c r="S63" s="14" t="n"/>
      <c r="U63" s="53" t="n"/>
      <c r="V63" s="53" t="n"/>
      <c r="W63" s="53" t="n"/>
      <c r="X63" s="53" t="n"/>
      <c r="Y63" s="53" t="n"/>
      <c r="Z63" s="53" t="n"/>
      <c r="AA63" s="53" t="n"/>
      <c r="AB63" s="53" t="n"/>
      <c r="AC63" s="53" t="n"/>
      <c r="AD63" s="53" t="n"/>
      <c r="AE63" s="53" t="n"/>
      <c r="AF63" s="53" t="n"/>
      <c r="AG63" s="53" t="n"/>
      <c r="AH63" s="53" t="n"/>
      <c r="AI63" s="53" t="n"/>
      <c r="AJ63" s="53" t="n"/>
      <c r="AK63" s="53" t="n"/>
      <c r="AL63" s="53" t="n"/>
      <c r="AM63" s="53" t="n"/>
      <c r="AN63" s="53" t="n"/>
      <c r="AO63" s="53" t="n"/>
      <c r="AP63" s="53" t="n"/>
      <c r="AQ63" s="53" t="n"/>
      <c r="AR63" s="53" t="n"/>
      <c r="AS63" s="53" t="n"/>
      <c r="AT63" s="53" t="n"/>
      <c r="AU63" s="53" t="n"/>
      <c r="AV63" s="53" t="n"/>
      <c r="AW63" s="53" t="n"/>
      <c r="AX63" s="53" t="n"/>
      <c r="AY63" s="53" t="n"/>
    </row>
    <row r="64" ht="15" customHeight="1">
      <c r="A64" s="54" t="n"/>
      <c r="B64" s="55">
        <f>IF($B$63="","",$B$63)</f>
        <v/>
      </c>
      <c r="C64" s="56" t="inlineStr">
        <is>
          <t>마케팅1팀</t>
        </is>
      </c>
      <c r="D64" s="55">
        <f>IF($D$63="","",$D$63)</f>
        <v/>
      </c>
      <c r="E64" s="57" t="inlineStr">
        <is>
          <t>이미지</t>
        </is>
      </c>
      <c r="F64" s="44" t="n"/>
      <c r="G64" s="58">
        <f>IF($G$63="","",$G$63)</f>
        <v/>
      </c>
      <c r="H64" s="59" t="n"/>
      <c r="I64" s="59" t="n"/>
      <c r="J64" s="59" t="n"/>
      <c r="K64" s="59" t="n"/>
      <c r="L64" s="60">
        <f>IF(SUM(U64:AY64)=0,"",SUM(U64:AY64))</f>
        <v/>
      </c>
      <c r="M64" s="61">
        <f>IFERROR(INDEX(U$2:AY$2,MATCH(TRUE,INDEX(U64:AY64&lt;&gt;"",0),0)),"")</f>
        <v/>
      </c>
      <c r="N64" s="61">
        <f>IFERROR(LOOKUP(2,1/(U64:AY64&lt;&gt;""),U$2:AY$2),"")</f>
        <v/>
      </c>
      <c r="O64" s="59" t="n"/>
      <c r="P64" s="59" t="n"/>
      <c r="Q64" s="59" t="n"/>
      <c r="R64" s="59" t="n"/>
      <c r="S64" s="14" t="n"/>
      <c r="U64" s="53" t="n"/>
      <c r="V64" s="53" t="n"/>
      <c r="W64" s="53" t="n"/>
      <c r="X64" s="53" t="n"/>
      <c r="Y64" s="53" t="n"/>
      <c r="Z64" s="53" t="n"/>
      <c r="AA64" s="53" t="n"/>
      <c r="AB64" s="53" t="n"/>
      <c r="AC64" s="53" t="n"/>
      <c r="AD64" s="53" t="n"/>
      <c r="AE64" s="53" t="n"/>
      <c r="AF64" s="53" t="n"/>
      <c r="AG64" s="53" t="n"/>
      <c r="AH64" s="53" t="n"/>
      <c r="AI64" s="53" t="n"/>
      <c r="AJ64" s="53" t="n"/>
      <c r="AK64" s="53" t="n"/>
      <c r="AL64" s="53" t="n"/>
      <c r="AM64" s="53" t="n"/>
      <c r="AN64" s="53" t="n"/>
      <c r="AO64" s="53" t="n"/>
      <c r="AP64" s="53" t="n"/>
      <c r="AQ64" s="53" t="n"/>
      <c r="AR64" s="53" t="n"/>
      <c r="AS64" s="53" t="n"/>
      <c r="AT64" s="53" t="n"/>
      <c r="AU64" s="53" t="n"/>
      <c r="AV64" s="53" t="n"/>
      <c r="AW64" s="53" t="n"/>
      <c r="AX64" s="53" t="n"/>
      <c r="AY64" s="53" t="n"/>
    </row>
    <row r="65" ht="15" customHeight="1">
      <c r="A65" s="62" t="n"/>
      <c r="B65" s="55">
        <f>IF($B$63="","",$B$63)</f>
        <v/>
      </c>
      <c r="C65" s="63" t="inlineStr">
        <is>
          <t>마케팅1팀</t>
        </is>
      </c>
      <c r="D65" s="55">
        <f>IF($D$63="","",$D$63)</f>
        <v/>
      </c>
      <c r="E65" s="64" t="inlineStr">
        <is>
          <t>영상</t>
        </is>
      </c>
      <c r="F65" s="44" t="n"/>
      <c r="G65" s="58">
        <f>IF($G$63="","",$G$63)</f>
        <v/>
      </c>
      <c r="H65" s="59" t="n"/>
      <c r="I65" s="59" t="n"/>
      <c r="J65" s="59" t="n"/>
      <c r="K65" s="59" t="n"/>
      <c r="L65" s="65">
        <f>IF(SUM(U65:AY65)=0,"",SUM(U65:AY65))</f>
        <v/>
      </c>
      <c r="M65" s="66">
        <f>IFERROR(INDEX(U$2:AY$2,MATCH(TRUE,INDEX(U65:AY65&lt;&gt;"",0),0)),"")</f>
        <v/>
      </c>
      <c r="N65" s="66">
        <f>IFERROR(LOOKUP(2,1/(U65:AY65&lt;&gt;""),U$2:AY$2),"")</f>
        <v/>
      </c>
      <c r="O65" s="59" t="n"/>
      <c r="P65" s="59" t="n"/>
      <c r="Q65" s="59" t="n"/>
      <c r="R65" s="59" t="n"/>
      <c r="S65" s="14" t="n"/>
      <c r="U65" s="53" t="n"/>
      <c r="V65" s="53" t="n"/>
      <c r="W65" s="53" t="n"/>
      <c r="X65" s="53" t="n"/>
      <c r="Y65" s="53" t="n"/>
      <c r="Z65" s="53" t="n"/>
      <c r="AA65" s="53" t="n"/>
      <c r="AB65" s="53" t="n"/>
      <c r="AC65" s="53" t="n"/>
      <c r="AD65" s="53" t="n"/>
      <c r="AE65" s="53" t="n"/>
      <c r="AF65" s="53" t="n"/>
      <c r="AG65" s="53" t="n"/>
      <c r="AH65" s="53" t="n"/>
      <c r="AI65" s="53" t="n"/>
      <c r="AJ65" s="53" t="n"/>
      <c r="AK65" s="53" t="n"/>
      <c r="AL65" s="53" t="n"/>
      <c r="AM65" s="53" t="n"/>
      <c r="AN65" s="53" t="n"/>
      <c r="AO65" s="53" t="n"/>
      <c r="AP65" s="53" t="n"/>
      <c r="AQ65" s="53" t="n"/>
      <c r="AR65" s="53" t="n"/>
      <c r="AS65" s="53" t="n"/>
      <c r="AT65" s="53" t="n"/>
      <c r="AU65" s="53" t="n"/>
      <c r="AV65" s="53" t="n"/>
      <c r="AW65" s="53" t="n"/>
      <c r="AX65" s="53" t="n"/>
      <c r="AY65" s="53" t="n"/>
    </row>
    <row r="66" ht="15" customHeight="1">
      <c r="A66" s="40">
        <f>IF($D$66="","",20)</f>
        <v/>
      </c>
      <c r="B66" s="10" t="n"/>
      <c r="C66" s="41" t="inlineStr">
        <is>
          <t>마케팅1팀</t>
        </is>
      </c>
      <c r="D66" s="42" t="n"/>
      <c r="E66" s="43" t="inlineStr">
        <is>
          <t>기획</t>
        </is>
      </c>
      <c r="F66" s="44" t="n"/>
      <c r="G66" s="45" t="n"/>
      <c r="H66" s="46">
        <f>IF($I$66="","",IF($I$66&lt;0,"🔴지연",IF($I$66&lt;=1,"🟡임박","🟢여유")))</f>
        <v/>
      </c>
      <c r="I66" s="47">
        <f>IF(OR($G$66="",$K$66=""),"",$G$66-$K$66)</f>
        <v/>
      </c>
      <c r="J66" s="48">
        <f>IF(SUM($L$66:$L$68)=0,"",SUM($L$66:$L$68))</f>
        <v/>
      </c>
      <c r="K66" s="49">
        <f>IF($J$66="","",MAX($N$66:$N$68))</f>
        <v/>
      </c>
      <c r="L66" s="50">
        <f>IF(SUM(U66:AY66)=0,"",SUM(U66:AY66))</f>
        <v/>
      </c>
      <c r="M66" s="51">
        <f>IFERROR(INDEX(U$2:AY$2,MATCH(TRUE,INDEX(U66:AY66&lt;&gt;"",0),0)),"")</f>
        <v/>
      </c>
      <c r="N66" s="51">
        <f>IFERROR(LOOKUP(2,1/(U66:AY66&lt;&gt;""),U$2:AY$2),"")</f>
        <v/>
      </c>
      <c r="O66" s="52" t="n"/>
      <c r="P66" s="52" t="n"/>
      <c r="Q66" s="52" t="n"/>
      <c r="R66" s="44" t="n"/>
      <c r="S66" s="14" t="n"/>
      <c r="U66" s="53" t="n"/>
      <c r="V66" s="53" t="n"/>
      <c r="W66" s="53" t="n"/>
      <c r="X66" s="53" t="n"/>
      <c r="Y66" s="53" t="n"/>
      <c r="Z66" s="53" t="n"/>
      <c r="AA66" s="53" t="n"/>
      <c r="AB66" s="53" t="n"/>
      <c r="AC66" s="53" t="n"/>
      <c r="AD66" s="53" t="n"/>
      <c r="AE66" s="53" t="n"/>
      <c r="AF66" s="53" t="n"/>
      <c r="AG66" s="53" t="n"/>
      <c r="AH66" s="53" t="n"/>
      <c r="AI66" s="53" t="n"/>
      <c r="AJ66" s="53" t="n"/>
      <c r="AK66" s="53" t="n"/>
      <c r="AL66" s="53" t="n"/>
      <c r="AM66" s="53" t="n"/>
      <c r="AN66" s="53" t="n"/>
      <c r="AO66" s="53" t="n"/>
      <c r="AP66" s="53" t="n"/>
      <c r="AQ66" s="53" t="n"/>
      <c r="AR66" s="53" t="n"/>
      <c r="AS66" s="53" t="n"/>
      <c r="AT66" s="53" t="n"/>
      <c r="AU66" s="53" t="n"/>
      <c r="AV66" s="53" t="n"/>
      <c r="AW66" s="53" t="n"/>
      <c r="AX66" s="53" t="n"/>
      <c r="AY66" s="53" t="n"/>
    </row>
    <row r="67" ht="15" customHeight="1">
      <c r="A67" s="54" t="n"/>
      <c r="B67" s="55">
        <f>IF($B$66="","",$B$66)</f>
        <v/>
      </c>
      <c r="C67" s="56" t="inlineStr">
        <is>
          <t>마케팅1팀</t>
        </is>
      </c>
      <c r="D67" s="55">
        <f>IF($D$66="","",$D$66)</f>
        <v/>
      </c>
      <c r="E67" s="57" t="inlineStr">
        <is>
          <t>이미지</t>
        </is>
      </c>
      <c r="F67" s="44" t="n"/>
      <c r="G67" s="58">
        <f>IF($G$66="","",$G$66)</f>
        <v/>
      </c>
      <c r="H67" s="59" t="n"/>
      <c r="I67" s="59" t="n"/>
      <c r="J67" s="59" t="n"/>
      <c r="K67" s="59" t="n"/>
      <c r="L67" s="60">
        <f>IF(SUM(U67:AY67)=0,"",SUM(U67:AY67))</f>
        <v/>
      </c>
      <c r="M67" s="61">
        <f>IFERROR(INDEX(U$2:AY$2,MATCH(TRUE,INDEX(U67:AY67&lt;&gt;"",0),0)),"")</f>
        <v/>
      </c>
      <c r="N67" s="61">
        <f>IFERROR(LOOKUP(2,1/(U67:AY67&lt;&gt;""),U$2:AY$2),"")</f>
        <v/>
      </c>
      <c r="O67" s="59" t="n"/>
      <c r="P67" s="59" t="n"/>
      <c r="Q67" s="59" t="n"/>
      <c r="R67" s="59" t="n"/>
      <c r="S67" s="14" t="n"/>
      <c r="U67" s="53" t="n"/>
      <c r="V67" s="53" t="n"/>
      <c r="W67" s="53" t="n"/>
      <c r="X67" s="53" t="n"/>
      <c r="Y67" s="53" t="n"/>
      <c r="Z67" s="53" t="n"/>
      <c r="AA67" s="53" t="n"/>
      <c r="AB67" s="53" t="n"/>
      <c r="AC67" s="53" t="n"/>
      <c r="AD67" s="53" t="n"/>
      <c r="AE67" s="53" t="n"/>
      <c r="AF67" s="53" t="n"/>
      <c r="AG67" s="53" t="n"/>
      <c r="AH67" s="53" t="n"/>
      <c r="AI67" s="53" t="n"/>
      <c r="AJ67" s="53" t="n"/>
      <c r="AK67" s="53" t="n"/>
      <c r="AL67" s="53" t="n"/>
      <c r="AM67" s="53" t="n"/>
      <c r="AN67" s="53" t="n"/>
      <c r="AO67" s="53" t="n"/>
      <c r="AP67" s="53" t="n"/>
      <c r="AQ67" s="53" t="n"/>
      <c r="AR67" s="53" t="n"/>
      <c r="AS67" s="53" t="n"/>
      <c r="AT67" s="53" t="n"/>
      <c r="AU67" s="53" t="n"/>
      <c r="AV67" s="53" t="n"/>
      <c r="AW67" s="53" t="n"/>
      <c r="AX67" s="53" t="n"/>
      <c r="AY67" s="53" t="n"/>
    </row>
    <row r="68" ht="15" customHeight="1">
      <c r="A68" s="62" t="n"/>
      <c r="B68" s="55">
        <f>IF($B$66="","",$B$66)</f>
        <v/>
      </c>
      <c r="C68" s="63" t="inlineStr">
        <is>
          <t>마케팅1팀</t>
        </is>
      </c>
      <c r="D68" s="55">
        <f>IF($D$66="","",$D$66)</f>
        <v/>
      </c>
      <c r="E68" s="64" t="inlineStr">
        <is>
          <t>영상</t>
        </is>
      </c>
      <c r="F68" s="44" t="n"/>
      <c r="G68" s="58">
        <f>IF($G$66="","",$G$66)</f>
        <v/>
      </c>
      <c r="H68" s="59" t="n"/>
      <c r="I68" s="59" t="n"/>
      <c r="J68" s="59" t="n"/>
      <c r="K68" s="59" t="n"/>
      <c r="L68" s="65">
        <f>IF(SUM(U68:AY68)=0,"",SUM(U68:AY68))</f>
        <v/>
      </c>
      <c r="M68" s="66">
        <f>IFERROR(INDEX(U$2:AY$2,MATCH(TRUE,INDEX(U68:AY68&lt;&gt;"",0),0)),"")</f>
        <v/>
      </c>
      <c r="N68" s="66">
        <f>IFERROR(LOOKUP(2,1/(U68:AY68&lt;&gt;""),U$2:AY$2),"")</f>
        <v/>
      </c>
      <c r="O68" s="59" t="n"/>
      <c r="P68" s="59" t="n"/>
      <c r="Q68" s="59" t="n"/>
      <c r="R68" s="59" t="n"/>
      <c r="S68" s="14" t="n"/>
      <c r="U68" s="53" t="n"/>
      <c r="V68" s="53" t="n"/>
      <c r="W68" s="53" t="n"/>
      <c r="X68" s="53" t="n"/>
      <c r="Y68" s="53" t="n"/>
      <c r="Z68" s="53" t="n"/>
      <c r="AA68" s="53" t="n"/>
      <c r="AB68" s="53" t="n"/>
      <c r="AC68" s="53" t="n"/>
      <c r="AD68" s="53" t="n"/>
      <c r="AE68" s="53" t="n"/>
      <c r="AF68" s="53" t="n"/>
      <c r="AG68" s="53" t="n"/>
      <c r="AH68" s="53" t="n"/>
      <c r="AI68" s="53" t="n"/>
      <c r="AJ68" s="53" t="n"/>
      <c r="AK68" s="53" t="n"/>
      <c r="AL68" s="53" t="n"/>
      <c r="AM68" s="53" t="n"/>
      <c r="AN68" s="53" t="n"/>
      <c r="AO68" s="53" t="n"/>
      <c r="AP68" s="53" t="n"/>
      <c r="AQ68" s="53" t="n"/>
      <c r="AR68" s="53" t="n"/>
      <c r="AS68" s="53" t="n"/>
      <c r="AT68" s="53" t="n"/>
      <c r="AU68" s="53" t="n"/>
      <c r="AV68" s="53" t="n"/>
      <c r="AW68" s="53" t="n"/>
      <c r="AX68" s="53" t="n"/>
      <c r="AY68" s="53" t="n"/>
    </row>
    <row r="69" ht="18" customHeight="1">
      <c r="A69" s="39" t="inlineStr">
        <is>
          <t>마케팅2팀   (70~129행 · 소재 20개)</t>
        </is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4" t="n"/>
    </row>
    <row r="70" ht="15" customHeight="1">
      <c r="A70" s="40">
        <f>IF($D$70="","",21)</f>
        <v/>
      </c>
      <c r="B70" s="10" t="n"/>
      <c r="C70" s="41" t="inlineStr">
        <is>
          <t>마케팅2팀</t>
        </is>
      </c>
      <c r="D70" s="42" t="n"/>
      <c r="E70" s="43" t="inlineStr">
        <is>
          <t>기획</t>
        </is>
      </c>
      <c r="F70" s="44" t="n"/>
      <c r="G70" s="45" t="n"/>
      <c r="H70" s="46">
        <f>IF($I$70="","",IF($I$70&lt;0,"🔴지연",IF($I$70&lt;=1,"🟡임박","🟢여유")))</f>
        <v/>
      </c>
      <c r="I70" s="47">
        <f>IF(OR($G$70="",$K$70=""),"",$G$70-$K$70)</f>
        <v/>
      </c>
      <c r="J70" s="48">
        <f>IF(SUM($L$70:$L$72)=0,"",SUM($L$70:$L$72))</f>
        <v/>
      </c>
      <c r="K70" s="49">
        <f>IF($J$70="","",MAX($N$70:$N$72))</f>
        <v/>
      </c>
      <c r="L70" s="50">
        <f>IF(SUM(U70:AY70)=0,"",SUM(U70:AY70))</f>
        <v/>
      </c>
      <c r="M70" s="51">
        <f>IFERROR(INDEX(U$2:AY$2,MATCH(TRUE,INDEX(U70:AY70&lt;&gt;"",0),0)),"")</f>
        <v/>
      </c>
      <c r="N70" s="51">
        <f>IFERROR(LOOKUP(2,1/(U70:AY70&lt;&gt;""),U$2:AY$2),"")</f>
        <v/>
      </c>
      <c r="O70" s="52" t="n"/>
      <c r="P70" s="52" t="n"/>
      <c r="Q70" s="52" t="n"/>
      <c r="R70" s="44" t="n"/>
      <c r="S70" s="14" t="n"/>
      <c r="U70" s="53" t="n"/>
      <c r="V70" s="53" t="n"/>
      <c r="W70" s="53" t="n"/>
      <c r="X70" s="53" t="n"/>
      <c r="Y70" s="53" t="n"/>
      <c r="Z70" s="53" t="n"/>
      <c r="AA70" s="53" t="n"/>
      <c r="AB70" s="53" t="n"/>
      <c r="AC70" s="53" t="n"/>
      <c r="AD70" s="53" t="n"/>
      <c r="AE70" s="53" t="n"/>
      <c r="AF70" s="53" t="n"/>
      <c r="AG70" s="53" t="n"/>
      <c r="AH70" s="53" t="n"/>
      <c r="AI70" s="53" t="n"/>
      <c r="AJ70" s="53" t="n"/>
      <c r="AK70" s="53" t="n"/>
      <c r="AL70" s="53" t="n"/>
      <c r="AM70" s="53" t="n"/>
      <c r="AN70" s="53" t="n"/>
      <c r="AO70" s="53" t="n"/>
      <c r="AP70" s="53" t="n"/>
      <c r="AQ70" s="53" t="n"/>
      <c r="AR70" s="53" t="n"/>
      <c r="AS70" s="53" t="n"/>
      <c r="AT70" s="53" t="n"/>
      <c r="AU70" s="53" t="n"/>
      <c r="AV70" s="53" t="n"/>
      <c r="AW70" s="53" t="n"/>
      <c r="AX70" s="53" t="n"/>
      <c r="AY70" s="53" t="n"/>
    </row>
    <row r="71" ht="15" customHeight="1">
      <c r="A71" s="54" t="n"/>
      <c r="B71" s="55">
        <f>IF($B$70="","",$B$70)</f>
        <v/>
      </c>
      <c r="C71" s="56" t="inlineStr">
        <is>
          <t>마케팅2팀</t>
        </is>
      </c>
      <c r="D71" s="55">
        <f>IF($D$70="","",$D$70)</f>
        <v/>
      </c>
      <c r="E71" s="57" t="inlineStr">
        <is>
          <t>이미지</t>
        </is>
      </c>
      <c r="F71" s="44" t="n"/>
      <c r="G71" s="58">
        <f>IF($G$70="","",$G$70)</f>
        <v/>
      </c>
      <c r="H71" s="59" t="n"/>
      <c r="I71" s="59" t="n"/>
      <c r="J71" s="59" t="n"/>
      <c r="K71" s="59" t="n"/>
      <c r="L71" s="60">
        <f>IF(SUM(U71:AY71)=0,"",SUM(U71:AY71))</f>
        <v/>
      </c>
      <c r="M71" s="61">
        <f>IFERROR(INDEX(U$2:AY$2,MATCH(TRUE,INDEX(U71:AY71&lt;&gt;"",0),0)),"")</f>
        <v/>
      </c>
      <c r="N71" s="61">
        <f>IFERROR(LOOKUP(2,1/(U71:AY71&lt;&gt;""),U$2:AY$2),"")</f>
        <v/>
      </c>
      <c r="O71" s="59" t="n"/>
      <c r="P71" s="59" t="n"/>
      <c r="Q71" s="59" t="n"/>
      <c r="R71" s="59" t="n"/>
      <c r="S71" s="14" t="n"/>
      <c r="U71" s="53" t="n"/>
      <c r="V71" s="53" t="n"/>
      <c r="W71" s="53" t="n"/>
      <c r="X71" s="53" t="n"/>
      <c r="Y71" s="53" t="n"/>
      <c r="Z71" s="53" t="n"/>
      <c r="AA71" s="53" t="n"/>
      <c r="AB71" s="53" t="n"/>
      <c r="AC71" s="53" t="n"/>
      <c r="AD71" s="53" t="n"/>
      <c r="AE71" s="53" t="n"/>
      <c r="AF71" s="53" t="n"/>
      <c r="AG71" s="53" t="n"/>
      <c r="AH71" s="53" t="n"/>
      <c r="AI71" s="53" t="n"/>
      <c r="AJ71" s="53" t="n"/>
      <c r="AK71" s="53" t="n"/>
      <c r="AL71" s="53" t="n"/>
      <c r="AM71" s="53" t="n"/>
      <c r="AN71" s="53" t="n"/>
      <c r="AO71" s="53" t="n"/>
      <c r="AP71" s="53" t="n"/>
      <c r="AQ71" s="53" t="n"/>
      <c r="AR71" s="53" t="n"/>
      <c r="AS71" s="53" t="n"/>
      <c r="AT71" s="53" t="n"/>
      <c r="AU71" s="53" t="n"/>
      <c r="AV71" s="53" t="n"/>
      <c r="AW71" s="53" t="n"/>
      <c r="AX71" s="53" t="n"/>
      <c r="AY71" s="53" t="n"/>
    </row>
    <row r="72" ht="15" customHeight="1">
      <c r="A72" s="62" t="n"/>
      <c r="B72" s="55">
        <f>IF($B$70="","",$B$70)</f>
        <v/>
      </c>
      <c r="C72" s="63" t="inlineStr">
        <is>
          <t>마케팅2팀</t>
        </is>
      </c>
      <c r="D72" s="55">
        <f>IF($D$70="","",$D$70)</f>
        <v/>
      </c>
      <c r="E72" s="64" t="inlineStr">
        <is>
          <t>영상</t>
        </is>
      </c>
      <c r="F72" s="44" t="n"/>
      <c r="G72" s="58">
        <f>IF($G$70="","",$G$70)</f>
        <v/>
      </c>
      <c r="H72" s="59" t="n"/>
      <c r="I72" s="59" t="n"/>
      <c r="J72" s="59" t="n"/>
      <c r="K72" s="59" t="n"/>
      <c r="L72" s="65">
        <f>IF(SUM(U72:AY72)=0,"",SUM(U72:AY72))</f>
        <v/>
      </c>
      <c r="M72" s="66">
        <f>IFERROR(INDEX(U$2:AY$2,MATCH(TRUE,INDEX(U72:AY72&lt;&gt;"",0),0)),"")</f>
        <v/>
      </c>
      <c r="N72" s="66">
        <f>IFERROR(LOOKUP(2,1/(U72:AY72&lt;&gt;""),U$2:AY$2),"")</f>
        <v/>
      </c>
      <c r="O72" s="59" t="n"/>
      <c r="P72" s="59" t="n"/>
      <c r="Q72" s="59" t="n"/>
      <c r="R72" s="59" t="n"/>
      <c r="S72" s="14" t="n"/>
      <c r="U72" s="53" t="n"/>
      <c r="V72" s="53" t="n"/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53" t="n"/>
      <c r="AF72" s="53" t="n"/>
      <c r="AG72" s="53" t="n"/>
      <c r="AH72" s="53" t="n"/>
      <c r="AI72" s="53" t="n"/>
      <c r="AJ72" s="53" t="n"/>
      <c r="AK72" s="53" t="n"/>
      <c r="AL72" s="53" t="n"/>
      <c r="AM72" s="53" t="n"/>
      <c r="AN72" s="53" t="n"/>
      <c r="AO72" s="53" t="n"/>
      <c r="AP72" s="53" t="n"/>
      <c r="AQ72" s="53" t="n"/>
      <c r="AR72" s="53" t="n"/>
      <c r="AS72" s="53" t="n"/>
      <c r="AT72" s="53" t="n"/>
      <c r="AU72" s="53" t="n"/>
      <c r="AV72" s="53" t="n"/>
      <c r="AW72" s="53" t="n"/>
      <c r="AX72" s="53" t="n"/>
      <c r="AY72" s="53" t="n"/>
    </row>
    <row r="73" ht="15" customHeight="1">
      <c r="A73" s="40">
        <f>IF($D$73="","",22)</f>
        <v/>
      </c>
      <c r="B73" s="10" t="n"/>
      <c r="C73" s="41" t="inlineStr">
        <is>
          <t>마케팅2팀</t>
        </is>
      </c>
      <c r="D73" s="42" t="n"/>
      <c r="E73" s="43" t="inlineStr">
        <is>
          <t>기획</t>
        </is>
      </c>
      <c r="F73" s="44" t="n"/>
      <c r="G73" s="45" t="n"/>
      <c r="H73" s="46">
        <f>IF($I$73="","",IF($I$73&lt;0,"🔴지연",IF($I$73&lt;=1,"🟡임박","🟢여유")))</f>
        <v/>
      </c>
      <c r="I73" s="47">
        <f>IF(OR($G$73="",$K$73=""),"",$G$73-$K$73)</f>
        <v/>
      </c>
      <c r="J73" s="48">
        <f>IF(SUM($L$73:$L$75)=0,"",SUM($L$73:$L$75))</f>
        <v/>
      </c>
      <c r="K73" s="49">
        <f>IF($J$73="","",MAX($N$73:$N$75))</f>
        <v/>
      </c>
      <c r="L73" s="50">
        <f>IF(SUM(U73:AY73)=0,"",SUM(U73:AY73))</f>
        <v/>
      </c>
      <c r="M73" s="51">
        <f>IFERROR(INDEX(U$2:AY$2,MATCH(TRUE,INDEX(U73:AY73&lt;&gt;"",0),0)),"")</f>
        <v/>
      </c>
      <c r="N73" s="51">
        <f>IFERROR(LOOKUP(2,1/(U73:AY73&lt;&gt;""),U$2:AY$2),"")</f>
        <v/>
      </c>
      <c r="O73" s="52" t="n"/>
      <c r="P73" s="52" t="n"/>
      <c r="Q73" s="52" t="n"/>
      <c r="R73" s="44" t="n"/>
      <c r="S73" s="14" t="n"/>
      <c r="U73" s="53" t="n"/>
      <c r="V73" s="53" t="n"/>
      <c r="W73" s="53" t="n"/>
      <c r="X73" s="53" t="n"/>
      <c r="Y73" s="53" t="n"/>
      <c r="Z73" s="53" t="n"/>
      <c r="AA73" s="53" t="n"/>
      <c r="AB73" s="53" t="n"/>
      <c r="AC73" s="53" t="n"/>
      <c r="AD73" s="53" t="n"/>
      <c r="AE73" s="53" t="n"/>
      <c r="AF73" s="53" t="n"/>
      <c r="AG73" s="53" t="n"/>
      <c r="AH73" s="53" t="n"/>
      <c r="AI73" s="53" t="n"/>
      <c r="AJ73" s="53" t="n"/>
      <c r="AK73" s="53" t="n"/>
      <c r="AL73" s="53" t="n"/>
      <c r="AM73" s="53" t="n"/>
      <c r="AN73" s="53" t="n"/>
      <c r="AO73" s="53" t="n"/>
      <c r="AP73" s="53" t="n"/>
      <c r="AQ73" s="53" t="n"/>
      <c r="AR73" s="53" t="n"/>
      <c r="AS73" s="53" t="n"/>
      <c r="AT73" s="53" t="n"/>
      <c r="AU73" s="53" t="n"/>
      <c r="AV73" s="53" t="n"/>
      <c r="AW73" s="53" t="n"/>
      <c r="AX73" s="53" t="n"/>
      <c r="AY73" s="53" t="n"/>
    </row>
    <row r="74" ht="15" customHeight="1">
      <c r="A74" s="54" t="n"/>
      <c r="B74" s="55">
        <f>IF($B$73="","",$B$73)</f>
        <v/>
      </c>
      <c r="C74" s="56" t="inlineStr">
        <is>
          <t>마케팅2팀</t>
        </is>
      </c>
      <c r="D74" s="55">
        <f>IF($D$73="","",$D$73)</f>
        <v/>
      </c>
      <c r="E74" s="57" t="inlineStr">
        <is>
          <t>이미지</t>
        </is>
      </c>
      <c r="F74" s="44" t="n"/>
      <c r="G74" s="58">
        <f>IF($G$73="","",$G$73)</f>
        <v/>
      </c>
      <c r="H74" s="59" t="n"/>
      <c r="I74" s="59" t="n"/>
      <c r="J74" s="59" t="n"/>
      <c r="K74" s="59" t="n"/>
      <c r="L74" s="60">
        <f>IF(SUM(U74:AY74)=0,"",SUM(U74:AY74))</f>
        <v/>
      </c>
      <c r="M74" s="61">
        <f>IFERROR(INDEX(U$2:AY$2,MATCH(TRUE,INDEX(U74:AY74&lt;&gt;"",0),0)),"")</f>
        <v/>
      </c>
      <c r="N74" s="61">
        <f>IFERROR(LOOKUP(2,1/(U74:AY74&lt;&gt;""),U$2:AY$2),"")</f>
        <v/>
      </c>
      <c r="O74" s="59" t="n"/>
      <c r="P74" s="59" t="n"/>
      <c r="Q74" s="59" t="n"/>
      <c r="R74" s="59" t="n"/>
      <c r="S74" s="14" t="n"/>
      <c r="U74" s="53" t="n"/>
      <c r="V74" s="53" t="n"/>
      <c r="W74" s="53" t="n"/>
      <c r="X74" s="53" t="n"/>
      <c r="Y74" s="53" t="n"/>
      <c r="Z74" s="53" t="n"/>
      <c r="AA74" s="53" t="n"/>
      <c r="AB74" s="53" t="n"/>
      <c r="AC74" s="53" t="n"/>
      <c r="AD74" s="53" t="n"/>
      <c r="AE74" s="53" t="n"/>
      <c r="AF74" s="53" t="n"/>
      <c r="AG74" s="53" t="n"/>
      <c r="AH74" s="53" t="n"/>
      <c r="AI74" s="53" t="n"/>
      <c r="AJ74" s="53" t="n"/>
      <c r="AK74" s="53" t="n"/>
      <c r="AL74" s="53" t="n"/>
      <c r="AM74" s="53" t="n"/>
      <c r="AN74" s="53" t="n"/>
      <c r="AO74" s="53" t="n"/>
      <c r="AP74" s="53" t="n"/>
      <c r="AQ74" s="53" t="n"/>
      <c r="AR74" s="53" t="n"/>
      <c r="AS74" s="53" t="n"/>
      <c r="AT74" s="53" t="n"/>
      <c r="AU74" s="53" t="n"/>
      <c r="AV74" s="53" t="n"/>
      <c r="AW74" s="53" t="n"/>
      <c r="AX74" s="53" t="n"/>
      <c r="AY74" s="53" t="n"/>
    </row>
    <row r="75" ht="15" customHeight="1">
      <c r="A75" s="62" t="n"/>
      <c r="B75" s="55">
        <f>IF($B$73="","",$B$73)</f>
        <v/>
      </c>
      <c r="C75" s="63" t="inlineStr">
        <is>
          <t>마케팅2팀</t>
        </is>
      </c>
      <c r="D75" s="55">
        <f>IF($D$73="","",$D$73)</f>
        <v/>
      </c>
      <c r="E75" s="64" t="inlineStr">
        <is>
          <t>영상</t>
        </is>
      </c>
      <c r="F75" s="44" t="n"/>
      <c r="G75" s="58">
        <f>IF($G$73="","",$G$73)</f>
        <v/>
      </c>
      <c r="H75" s="59" t="n"/>
      <c r="I75" s="59" t="n"/>
      <c r="J75" s="59" t="n"/>
      <c r="K75" s="59" t="n"/>
      <c r="L75" s="65">
        <f>IF(SUM(U75:AY75)=0,"",SUM(U75:AY75))</f>
        <v/>
      </c>
      <c r="M75" s="66">
        <f>IFERROR(INDEX(U$2:AY$2,MATCH(TRUE,INDEX(U75:AY75&lt;&gt;"",0),0)),"")</f>
        <v/>
      </c>
      <c r="N75" s="66">
        <f>IFERROR(LOOKUP(2,1/(U75:AY75&lt;&gt;""),U$2:AY$2),"")</f>
        <v/>
      </c>
      <c r="O75" s="59" t="n"/>
      <c r="P75" s="59" t="n"/>
      <c r="Q75" s="59" t="n"/>
      <c r="R75" s="59" t="n"/>
      <c r="S75" s="14" t="n"/>
      <c r="U75" s="53" t="n"/>
      <c r="V75" s="53" t="n"/>
      <c r="W75" s="53" t="n"/>
      <c r="X75" s="53" t="n"/>
      <c r="Y75" s="53" t="n"/>
      <c r="Z75" s="53" t="n"/>
      <c r="AA75" s="53" t="n"/>
      <c r="AB75" s="53" t="n"/>
      <c r="AC75" s="53" t="n"/>
      <c r="AD75" s="53" t="n"/>
      <c r="AE75" s="53" t="n"/>
      <c r="AF75" s="53" t="n"/>
      <c r="AG75" s="53" t="n"/>
      <c r="AH75" s="53" t="n"/>
      <c r="AI75" s="53" t="n"/>
      <c r="AJ75" s="53" t="n"/>
      <c r="AK75" s="53" t="n"/>
      <c r="AL75" s="53" t="n"/>
      <c r="AM75" s="53" t="n"/>
      <c r="AN75" s="53" t="n"/>
      <c r="AO75" s="53" t="n"/>
      <c r="AP75" s="53" t="n"/>
      <c r="AQ75" s="53" t="n"/>
      <c r="AR75" s="53" t="n"/>
      <c r="AS75" s="53" t="n"/>
      <c r="AT75" s="53" t="n"/>
      <c r="AU75" s="53" t="n"/>
      <c r="AV75" s="53" t="n"/>
      <c r="AW75" s="53" t="n"/>
      <c r="AX75" s="53" t="n"/>
      <c r="AY75" s="53" t="n"/>
    </row>
    <row r="76" ht="15" customHeight="1">
      <c r="A76" s="40">
        <f>IF($D$76="","",23)</f>
        <v/>
      </c>
      <c r="B76" s="10" t="n"/>
      <c r="C76" s="41" t="inlineStr">
        <is>
          <t>마케팅2팀</t>
        </is>
      </c>
      <c r="D76" s="42" t="n"/>
      <c r="E76" s="43" t="inlineStr">
        <is>
          <t>기획</t>
        </is>
      </c>
      <c r="F76" s="44" t="n"/>
      <c r="G76" s="45" t="n"/>
      <c r="H76" s="46">
        <f>IF($I$76="","",IF($I$76&lt;0,"🔴지연",IF($I$76&lt;=1,"🟡임박","🟢여유")))</f>
        <v/>
      </c>
      <c r="I76" s="47">
        <f>IF(OR($G$76="",$K$76=""),"",$G$76-$K$76)</f>
        <v/>
      </c>
      <c r="J76" s="48">
        <f>IF(SUM($L$76:$L$78)=0,"",SUM($L$76:$L$78))</f>
        <v/>
      </c>
      <c r="K76" s="49">
        <f>IF($J$76="","",MAX($N$76:$N$78))</f>
        <v/>
      </c>
      <c r="L76" s="50">
        <f>IF(SUM(U76:AY76)=0,"",SUM(U76:AY76))</f>
        <v/>
      </c>
      <c r="M76" s="51">
        <f>IFERROR(INDEX(U$2:AY$2,MATCH(TRUE,INDEX(U76:AY76&lt;&gt;"",0),0)),"")</f>
        <v/>
      </c>
      <c r="N76" s="51">
        <f>IFERROR(LOOKUP(2,1/(U76:AY76&lt;&gt;""),U$2:AY$2),"")</f>
        <v/>
      </c>
      <c r="O76" s="52" t="n"/>
      <c r="P76" s="52" t="n"/>
      <c r="Q76" s="52" t="n"/>
      <c r="R76" s="44" t="n"/>
      <c r="S76" s="14" t="n"/>
      <c r="U76" s="53" t="n"/>
      <c r="V76" s="53" t="n"/>
      <c r="W76" s="53" t="n"/>
      <c r="X76" s="53" t="n"/>
      <c r="Y76" s="53" t="n"/>
      <c r="Z76" s="53" t="n"/>
      <c r="AA76" s="53" t="n"/>
      <c r="AB76" s="53" t="n"/>
      <c r="AC76" s="53" t="n"/>
      <c r="AD76" s="53" t="n"/>
      <c r="AE76" s="53" t="n"/>
      <c r="AF76" s="53" t="n"/>
      <c r="AG76" s="53" t="n"/>
      <c r="AH76" s="53" t="n"/>
      <c r="AI76" s="53" t="n"/>
      <c r="AJ76" s="53" t="n"/>
      <c r="AK76" s="53" t="n"/>
      <c r="AL76" s="53" t="n"/>
      <c r="AM76" s="53" t="n"/>
      <c r="AN76" s="53" t="n"/>
      <c r="AO76" s="53" t="n"/>
      <c r="AP76" s="53" t="n"/>
      <c r="AQ76" s="53" t="n"/>
      <c r="AR76" s="53" t="n"/>
      <c r="AS76" s="53" t="n"/>
      <c r="AT76" s="53" t="n"/>
      <c r="AU76" s="53" t="n"/>
      <c r="AV76" s="53" t="n"/>
      <c r="AW76" s="53" t="n"/>
      <c r="AX76" s="53" t="n"/>
      <c r="AY76" s="53" t="n"/>
    </row>
    <row r="77" ht="15" customHeight="1">
      <c r="A77" s="54" t="n"/>
      <c r="B77" s="55">
        <f>IF($B$76="","",$B$76)</f>
        <v/>
      </c>
      <c r="C77" s="56" t="inlineStr">
        <is>
          <t>마케팅2팀</t>
        </is>
      </c>
      <c r="D77" s="55">
        <f>IF($D$76="","",$D$76)</f>
        <v/>
      </c>
      <c r="E77" s="57" t="inlineStr">
        <is>
          <t>이미지</t>
        </is>
      </c>
      <c r="F77" s="44" t="n"/>
      <c r="G77" s="58">
        <f>IF($G$76="","",$G$76)</f>
        <v/>
      </c>
      <c r="H77" s="59" t="n"/>
      <c r="I77" s="59" t="n"/>
      <c r="J77" s="59" t="n"/>
      <c r="K77" s="59" t="n"/>
      <c r="L77" s="60">
        <f>IF(SUM(U77:AY77)=0,"",SUM(U77:AY77))</f>
        <v/>
      </c>
      <c r="M77" s="61">
        <f>IFERROR(INDEX(U$2:AY$2,MATCH(TRUE,INDEX(U77:AY77&lt;&gt;"",0),0)),"")</f>
        <v/>
      </c>
      <c r="N77" s="61">
        <f>IFERROR(LOOKUP(2,1/(U77:AY77&lt;&gt;""),U$2:AY$2),"")</f>
        <v/>
      </c>
      <c r="O77" s="59" t="n"/>
      <c r="P77" s="59" t="n"/>
      <c r="Q77" s="59" t="n"/>
      <c r="R77" s="59" t="n"/>
      <c r="S77" s="14" t="n"/>
      <c r="U77" s="53" t="n"/>
      <c r="V77" s="53" t="n"/>
      <c r="W77" s="53" t="n"/>
      <c r="X77" s="53" t="n"/>
      <c r="Y77" s="53" t="n"/>
      <c r="Z77" s="53" t="n"/>
      <c r="AA77" s="53" t="n"/>
      <c r="AB77" s="53" t="n"/>
      <c r="AC77" s="53" t="n"/>
      <c r="AD77" s="53" t="n"/>
      <c r="AE77" s="53" t="n"/>
      <c r="AF77" s="53" t="n"/>
      <c r="AG77" s="53" t="n"/>
      <c r="AH77" s="53" t="n"/>
      <c r="AI77" s="53" t="n"/>
      <c r="AJ77" s="53" t="n"/>
      <c r="AK77" s="53" t="n"/>
      <c r="AL77" s="53" t="n"/>
      <c r="AM77" s="53" t="n"/>
      <c r="AN77" s="53" t="n"/>
      <c r="AO77" s="53" t="n"/>
      <c r="AP77" s="53" t="n"/>
      <c r="AQ77" s="53" t="n"/>
      <c r="AR77" s="53" t="n"/>
      <c r="AS77" s="53" t="n"/>
      <c r="AT77" s="53" t="n"/>
      <c r="AU77" s="53" t="n"/>
      <c r="AV77" s="53" t="n"/>
      <c r="AW77" s="53" t="n"/>
      <c r="AX77" s="53" t="n"/>
      <c r="AY77" s="53" t="n"/>
    </row>
    <row r="78" ht="15" customHeight="1">
      <c r="A78" s="62" t="n"/>
      <c r="B78" s="55">
        <f>IF($B$76="","",$B$76)</f>
        <v/>
      </c>
      <c r="C78" s="63" t="inlineStr">
        <is>
          <t>마케팅2팀</t>
        </is>
      </c>
      <c r="D78" s="55">
        <f>IF($D$76="","",$D$76)</f>
        <v/>
      </c>
      <c r="E78" s="64" t="inlineStr">
        <is>
          <t>영상</t>
        </is>
      </c>
      <c r="F78" s="44" t="n"/>
      <c r="G78" s="58">
        <f>IF($G$76="","",$G$76)</f>
        <v/>
      </c>
      <c r="H78" s="59" t="n"/>
      <c r="I78" s="59" t="n"/>
      <c r="J78" s="59" t="n"/>
      <c r="K78" s="59" t="n"/>
      <c r="L78" s="65">
        <f>IF(SUM(U78:AY78)=0,"",SUM(U78:AY78))</f>
        <v/>
      </c>
      <c r="M78" s="66">
        <f>IFERROR(INDEX(U$2:AY$2,MATCH(TRUE,INDEX(U78:AY78&lt;&gt;"",0),0)),"")</f>
        <v/>
      </c>
      <c r="N78" s="66">
        <f>IFERROR(LOOKUP(2,1/(U78:AY78&lt;&gt;""),U$2:AY$2),"")</f>
        <v/>
      </c>
      <c r="O78" s="59" t="n"/>
      <c r="P78" s="59" t="n"/>
      <c r="Q78" s="59" t="n"/>
      <c r="R78" s="59" t="n"/>
      <c r="S78" s="14" t="n"/>
      <c r="U78" s="53" t="n"/>
      <c r="V78" s="53" t="n"/>
      <c r="W78" s="53" t="n"/>
      <c r="X78" s="53" t="n"/>
      <c r="Y78" s="53" t="n"/>
      <c r="Z78" s="53" t="n"/>
      <c r="AA78" s="53" t="n"/>
      <c r="AB78" s="53" t="n"/>
      <c r="AC78" s="53" t="n"/>
      <c r="AD78" s="53" t="n"/>
      <c r="AE78" s="53" t="n"/>
      <c r="AF78" s="53" t="n"/>
      <c r="AG78" s="53" t="n"/>
      <c r="AH78" s="53" t="n"/>
      <c r="AI78" s="53" t="n"/>
      <c r="AJ78" s="53" t="n"/>
      <c r="AK78" s="53" t="n"/>
      <c r="AL78" s="53" t="n"/>
      <c r="AM78" s="53" t="n"/>
      <c r="AN78" s="53" t="n"/>
      <c r="AO78" s="53" t="n"/>
      <c r="AP78" s="53" t="n"/>
      <c r="AQ78" s="53" t="n"/>
      <c r="AR78" s="53" t="n"/>
      <c r="AS78" s="53" t="n"/>
      <c r="AT78" s="53" t="n"/>
      <c r="AU78" s="53" t="n"/>
      <c r="AV78" s="53" t="n"/>
      <c r="AW78" s="53" t="n"/>
      <c r="AX78" s="53" t="n"/>
      <c r="AY78" s="53" t="n"/>
    </row>
    <row r="79" ht="15" customHeight="1">
      <c r="A79" s="40">
        <f>IF($D$79="","",24)</f>
        <v/>
      </c>
      <c r="B79" s="10" t="n"/>
      <c r="C79" s="41" t="inlineStr">
        <is>
          <t>마케팅2팀</t>
        </is>
      </c>
      <c r="D79" s="42" t="n"/>
      <c r="E79" s="43" t="inlineStr">
        <is>
          <t>기획</t>
        </is>
      </c>
      <c r="F79" s="44" t="n"/>
      <c r="G79" s="45" t="n"/>
      <c r="H79" s="46">
        <f>IF($I$79="","",IF($I$79&lt;0,"🔴지연",IF($I$79&lt;=1,"🟡임박","🟢여유")))</f>
        <v/>
      </c>
      <c r="I79" s="47">
        <f>IF(OR($G$79="",$K$79=""),"",$G$79-$K$79)</f>
        <v/>
      </c>
      <c r="J79" s="48">
        <f>IF(SUM($L$79:$L$81)=0,"",SUM($L$79:$L$81))</f>
        <v/>
      </c>
      <c r="K79" s="49">
        <f>IF($J$79="","",MAX($N$79:$N$81))</f>
        <v/>
      </c>
      <c r="L79" s="50">
        <f>IF(SUM(U79:AY79)=0,"",SUM(U79:AY79))</f>
        <v/>
      </c>
      <c r="M79" s="51">
        <f>IFERROR(INDEX(U$2:AY$2,MATCH(TRUE,INDEX(U79:AY79&lt;&gt;"",0),0)),"")</f>
        <v/>
      </c>
      <c r="N79" s="51">
        <f>IFERROR(LOOKUP(2,1/(U79:AY79&lt;&gt;""),U$2:AY$2),"")</f>
        <v/>
      </c>
      <c r="O79" s="52" t="n"/>
      <c r="P79" s="52" t="n"/>
      <c r="Q79" s="52" t="n"/>
      <c r="R79" s="44" t="n"/>
      <c r="S79" s="14" t="n"/>
      <c r="U79" s="53" t="n"/>
      <c r="V79" s="53" t="n"/>
      <c r="W79" s="53" t="n"/>
      <c r="X79" s="53" t="n"/>
      <c r="Y79" s="53" t="n"/>
      <c r="Z79" s="53" t="n"/>
      <c r="AA79" s="53" t="n"/>
      <c r="AB79" s="53" t="n"/>
      <c r="AC79" s="53" t="n"/>
      <c r="AD79" s="53" t="n"/>
      <c r="AE79" s="53" t="n"/>
      <c r="AF79" s="53" t="n"/>
      <c r="AG79" s="53" t="n"/>
      <c r="AH79" s="53" t="n"/>
      <c r="AI79" s="53" t="n"/>
      <c r="AJ79" s="53" t="n"/>
      <c r="AK79" s="53" t="n"/>
      <c r="AL79" s="53" t="n"/>
      <c r="AM79" s="53" t="n"/>
      <c r="AN79" s="53" t="n"/>
      <c r="AO79" s="53" t="n"/>
      <c r="AP79" s="53" t="n"/>
      <c r="AQ79" s="53" t="n"/>
      <c r="AR79" s="53" t="n"/>
      <c r="AS79" s="53" t="n"/>
      <c r="AT79" s="53" t="n"/>
      <c r="AU79" s="53" t="n"/>
      <c r="AV79" s="53" t="n"/>
      <c r="AW79" s="53" t="n"/>
      <c r="AX79" s="53" t="n"/>
      <c r="AY79" s="53" t="n"/>
    </row>
    <row r="80" ht="15" customHeight="1">
      <c r="A80" s="54" t="n"/>
      <c r="B80" s="55">
        <f>IF($B$79="","",$B$79)</f>
        <v/>
      </c>
      <c r="C80" s="56" t="inlineStr">
        <is>
          <t>마케팅2팀</t>
        </is>
      </c>
      <c r="D80" s="55">
        <f>IF($D$79="","",$D$79)</f>
        <v/>
      </c>
      <c r="E80" s="57" t="inlineStr">
        <is>
          <t>이미지</t>
        </is>
      </c>
      <c r="F80" s="44" t="n"/>
      <c r="G80" s="58">
        <f>IF($G$79="","",$G$79)</f>
        <v/>
      </c>
      <c r="H80" s="59" t="n"/>
      <c r="I80" s="59" t="n"/>
      <c r="J80" s="59" t="n"/>
      <c r="K80" s="59" t="n"/>
      <c r="L80" s="60">
        <f>IF(SUM(U80:AY80)=0,"",SUM(U80:AY80))</f>
        <v/>
      </c>
      <c r="M80" s="61">
        <f>IFERROR(INDEX(U$2:AY$2,MATCH(TRUE,INDEX(U80:AY80&lt;&gt;"",0),0)),"")</f>
        <v/>
      </c>
      <c r="N80" s="61">
        <f>IFERROR(LOOKUP(2,1/(U80:AY80&lt;&gt;""),U$2:AY$2),"")</f>
        <v/>
      </c>
      <c r="O80" s="59" t="n"/>
      <c r="P80" s="59" t="n"/>
      <c r="Q80" s="59" t="n"/>
      <c r="R80" s="59" t="n"/>
      <c r="S80" s="14" t="n"/>
      <c r="U80" s="53" t="n"/>
      <c r="V80" s="53" t="n"/>
      <c r="W80" s="53" t="n"/>
      <c r="X80" s="53" t="n"/>
      <c r="Y80" s="53" t="n"/>
      <c r="Z80" s="53" t="n"/>
      <c r="AA80" s="53" t="n"/>
      <c r="AB80" s="53" t="n"/>
      <c r="AC80" s="53" t="n"/>
      <c r="AD80" s="53" t="n"/>
      <c r="AE80" s="53" t="n"/>
      <c r="AF80" s="53" t="n"/>
      <c r="AG80" s="53" t="n"/>
      <c r="AH80" s="53" t="n"/>
      <c r="AI80" s="53" t="n"/>
      <c r="AJ80" s="53" t="n"/>
      <c r="AK80" s="53" t="n"/>
      <c r="AL80" s="53" t="n"/>
      <c r="AM80" s="53" t="n"/>
      <c r="AN80" s="53" t="n"/>
      <c r="AO80" s="53" t="n"/>
      <c r="AP80" s="53" t="n"/>
      <c r="AQ80" s="53" t="n"/>
      <c r="AR80" s="53" t="n"/>
      <c r="AS80" s="53" t="n"/>
      <c r="AT80" s="53" t="n"/>
      <c r="AU80" s="53" t="n"/>
      <c r="AV80" s="53" t="n"/>
      <c r="AW80" s="53" t="n"/>
      <c r="AX80" s="53" t="n"/>
      <c r="AY80" s="53" t="n"/>
    </row>
    <row r="81" ht="15" customHeight="1">
      <c r="A81" s="62" t="n"/>
      <c r="B81" s="55">
        <f>IF($B$79="","",$B$79)</f>
        <v/>
      </c>
      <c r="C81" s="63" t="inlineStr">
        <is>
          <t>마케팅2팀</t>
        </is>
      </c>
      <c r="D81" s="55">
        <f>IF($D$79="","",$D$79)</f>
        <v/>
      </c>
      <c r="E81" s="64" t="inlineStr">
        <is>
          <t>영상</t>
        </is>
      </c>
      <c r="F81" s="44" t="n"/>
      <c r="G81" s="58">
        <f>IF($G$79="","",$G$79)</f>
        <v/>
      </c>
      <c r="H81" s="59" t="n"/>
      <c r="I81" s="59" t="n"/>
      <c r="J81" s="59" t="n"/>
      <c r="K81" s="59" t="n"/>
      <c r="L81" s="65">
        <f>IF(SUM(U81:AY81)=0,"",SUM(U81:AY81))</f>
        <v/>
      </c>
      <c r="M81" s="66">
        <f>IFERROR(INDEX(U$2:AY$2,MATCH(TRUE,INDEX(U81:AY81&lt;&gt;"",0),0)),"")</f>
        <v/>
      </c>
      <c r="N81" s="66">
        <f>IFERROR(LOOKUP(2,1/(U81:AY81&lt;&gt;""),U$2:AY$2),"")</f>
        <v/>
      </c>
      <c r="O81" s="59" t="n"/>
      <c r="P81" s="59" t="n"/>
      <c r="Q81" s="59" t="n"/>
      <c r="R81" s="59" t="n"/>
      <c r="S81" s="14" t="n"/>
      <c r="U81" s="53" t="n"/>
      <c r="V81" s="53" t="n"/>
      <c r="W81" s="53" t="n"/>
      <c r="X81" s="53" t="n"/>
      <c r="Y81" s="53" t="n"/>
      <c r="Z81" s="53" t="n"/>
      <c r="AA81" s="53" t="n"/>
      <c r="AB81" s="53" t="n"/>
      <c r="AC81" s="53" t="n"/>
      <c r="AD81" s="53" t="n"/>
      <c r="AE81" s="53" t="n"/>
      <c r="AF81" s="53" t="n"/>
      <c r="AG81" s="53" t="n"/>
      <c r="AH81" s="53" t="n"/>
      <c r="AI81" s="53" t="n"/>
      <c r="AJ81" s="53" t="n"/>
      <c r="AK81" s="53" t="n"/>
      <c r="AL81" s="53" t="n"/>
      <c r="AM81" s="53" t="n"/>
      <c r="AN81" s="53" t="n"/>
      <c r="AO81" s="53" t="n"/>
      <c r="AP81" s="53" t="n"/>
      <c r="AQ81" s="53" t="n"/>
      <c r="AR81" s="53" t="n"/>
      <c r="AS81" s="53" t="n"/>
      <c r="AT81" s="53" t="n"/>
      <c r="AU81" s="53" t="n"/>
      <c r="AV81" s="53" t="n"/>
      <c r="AW81" s="53" t="n"/>
      <c r="AX81" s="53" t="n"/>
      <c r="AY81" s="53" t="n"/>
    </row>
    <row r="82" ht="15" customHeight="1">
      <c r="A82" s="40">
        <f>IF($D$82="","",25)</f>
        <v/>
      </c>
      <c r="B82" s="10" t="n"/>
      <c r="C82" s="41" t="inlineStr">
        <is>
          <t>마케팅2팀</t>
        </is>
      </c>
      <c r="D82" s="42" t="n"/>
      <c r="E82" s="43" t="inlineStr">
        <is>
          <t>기획</t>
        </is>
      </c>
      <c r="F82" s="44" t="n"/>
      <c r="G82" s="45" t="n"/>
      <c r="H82" s="46">
        <f>IF($I$82="","",IF($I$82&lt;0,"🔴지연",IF($I$82&lt;=1,"🟡임박","🟢여유")))</f>
        <v/>
      </c>
      <c r="I82" s="47">
        <f>IF(OR($G$82="",$K$82=""),"",$G$82-$K$82)</f>
        <v/>
      </c>
      <c r="J82" s="48">
        <f>IF(SUM($L$82:$L$84)=0,"",SUM($L$82:$L$84))</f>
        <v/>
      </c>
      <c r="K82" s="49">
        <f>IF($J$82="","",MAX($N$82:$N$84))</f>
        <v/>
      </c>
      <c r="L82" s="50">
        <f>IF(SUM(U82:AY82)=0,"",SUM(U82:AY82))</f>
        <v/>
      </c>
      <c r="M82" s="51">
        <f>IFERROR(INDEX(U$2:AY$2,MATCH(TRUE,INDEX(U82:AY82&lt;&gt;"",0),0)),"")</f>
        <v/>
      </c>
      <c r="N82" s="51">
        <f>IFERROR(LOOKUP(2,1/(U82:AY82&lt;&gt;""),U$2:AY$2),"")</f>
        <v/>
      </c>
      <c r="O82" s="52" t="n"/>
      <c r="P82" s="52" t="n"/>
      <c r="Q82" s="52" t="n"/>
      <c r="R82" s="44" t="n"/>
      <c r="S82" s="14" t="n"/>
      <c r="U82" s="53" t="n"/>
      <c r="V82" s="53" t="n"/>
      <c r="W82" s="53" t="n"/>
      <c r="X82" s="53" t="n"/>
      <c r="Y82" s="53" t="n"/>
      <c r="Z82" s="53" t="n"/>
      <c r="AA82" s="53" t="n"/>
      <c r="AB82" s="53" t="n"/>
      <c r="AC82" s="53" t="n"/>
      <c r="AD82" s="53" t="n"/>
      <c r="AE82" s="53" t="n"/>
      <c r="AF82" s="53" t="n"/>
      <c r="AG82" s="53" t="n"/>
      <c r="AH82" s="53" t="n"/>
      <c r="AI82" s="53" t="n"/>
      <c r="AJ82" s="53" t="n"/>
      <c r="AK82" s="53" t="n"/>
      <c r="AL82" s="53" t="n"/>
      <c r="AM82" s="53" t="n"/>
      <c r="AN82" s="53" t="n"/>
      <c r="AO82" s="53" t="n"/>
      <c r="AP82" s="53" t="n"/>
      <c r="AQ82" s="53" t="n"/>
      <c r="AR82" s="53" t="n"/>
      <c r="AS82" s="53" t="n"/>
      <c r="AT82" s="53" t="n"/>
      <c r="AU82" s="53" t="n"/>
      <c r="AV82" s="53" t="n"/>
      <c r="AW82" s="53" t="n"/>
      <c r="AX82" s="53" t="n"/>
      <c r="AY82" s="53" t="n"/>
    </row>
    <row r="83" ht="15" customHeight="1">
      <c r="A83" s="54" t="n"/>
      <c r="B83" s="55">
        <f>IF($B$82="","",$B$82)</f>
        <v/>
      </c>
      <c r="C83" s="56" t="inlineStr">
        <is>
          <t>마케팅2팀</t>
        </is>
      </c>
      <c r="D83" s="55">
        <f>IF($D$82="","",$D$82)</f>
        <v/>
      </c>
      <c r="E83" s="57" t="inlineStr">
        <is>
          <t>이미지</t>
        </is>
      </c>
      <c r="F83" s="44" t="n"/>
      <c r="G83" s="58">
        <f>IF($G$82="","",$G$82)</f>
        <v/>
      </c>
      <c r="H83" s="59" t="n"/>
      <c r="I83" s="59" t="n"/>
      <c r="J83" s="59" t="n"/>
      <c r="K83" s="59" t="n"/>
      <c r="L83" s="60">
        <f>IF(SUM(U83:AY83)=0,"",SUM(U83:AY83))</f>
        <v/>
      </c>
      <c r="M83" s="61">
        <f>IFERROR(INDEX(U$2:AY$2,MATCH(TRUE,INDEX(U83:AY83&lt;&gt;"",0),0)),"")</f>
        <v/>
      </c>
      <c r="N83" s="61">
        <f>IFERROR(LOOKUP(2,1/(U83:AY83&lt;&gt;""),U$2:AY$2),"")</f>
        <v/>
      </c>
      <c r="O83" s="59" t="n"/>
      <c r="P83" s="59" t="n"/>
      <c r="Q83" s="59" t="n"/>
      <c r="R83" s="59" t="n"/>
      <c r="S83" s="14" t="n"/>
      <c r="U83" s="53" t="n"/>
      <c r="V83" s="53" t="n"/>
      <c r="W83" s="53" t="n"/>
      <c r="X83" s="53" t="n"/>
      <c r="Y83" s="53" t="n"/>
      <c r="Z83" s="53" t="n"/>
      <c r="AA83" s="53" t="n"/>
      <c r="AB83" s="53" t="n"/>
      <c r="AC83" s="53" t="n"/>
      <c r="AD83" s="53" t="n"/>
      <c r="AE83" s="53" t="n"/>
      <c r="AF83" s="53" t="n"/>
      <c r="AG83" s="53" t="n"/>
      <c r="AH83" s="53" t="n"/>
      <c r="AI83" s="53" t="n"/>
      <c r="AJ83" s="53" t="n"/>
      <c r="AK83" s="53" t="n"/>
      <c r="AL83" s="53" t="n"/>
      <c r="AM83" s="53" t="n"/>
      <c r="AN83" s="53" t="n"/>
      <c r="AO83" s="53" t="n"/>
      <c r="AP83" s="53" t="n"/>
      <c r="AQ83" s="53" t="n"/>
      <c r="AR83" s="53" t="n"/>
      <c r="AS83" s="53" t="n"/>
      <c r="AT83" s="53" t="n"/>
      <c r="AU83" s="53" t="n"/>
      <c r="AV83" s="53" t="n"/>
      <c r="AW83" s="53" t="n"/>
      <c r="AX83" s="53" t="n"/>
      <c r="AY83" s="53" t="n"/>
    </row>
    <row r="84" ht="15" customHeight="1">
      <c r="A84" s="62" t="n"/>
      <c r="B84" s="55">
        <f>IF($B$82="","",$B$82)</f>
        <v/>
      </c>
      <c r="C84" s="63" t="inlineStr">
        <is>
          <t>마케팅2팀</t>
        </is>
      </c>
      <c r="D84" s="55">
        <f>IF($D$82="","",$D$82)</f>
        <v/>
      </c>
      <c r="E84" s="64" t="inlineStr">
        <is>
          <t>영상</t>
        </is>
      </c>
      <c r="F84" s="44" t="n"/>
      <c r="G84" s="58">
        <f>IF($G$82="","",$G$82)</f>
        <v/>
      </c>
      <c r="H84" s="59" t="n"/>
      <c r="I84" s="59" t="n"/>
      <c r="J84" s="59" t="n"/>
      <c r="K84" s="59" t="n"/>
      <c r="L84" s="65">
        <f>IF(SUM(U84:AY84)=0,"",SUM(U84:AY84))</f>
        <v/>
      </c>
      <c r="M84" s="66">
        <f>IFERROR(INDEX(U$2:AY$2,MATCH(TRUE,INDEX(U84:AY84&lt;&gt;"",0),0)),"")</f>
        <v/>
      </c>
      <c r="N84" s="66">
        <f>IFERROR(LOOKUP(2,1/(U84:AY84&lt;&gt;""),U$2:AY$2),"")</f>
        <v/>
      </c>
      <c r="O84" s="59" t="n"/>
      <c r="P84" s="59" t="n"/>
      <c r="Q84" s="59" t="n"/>
      <c r="R84" s="59" t="n"/>
      <c r="S84" s="14" t="n"/>
      <c r="U84" s="53" t="n"/>
      <c r="V84" s="53" t="n"/>
      <c r="W84" s="53" t="n"/>
      <c r="X84" s="53" t="n"/>
      <c r="Y84" s="53" t="n"/>
      <c r="Z84" s="53" t="n"/>
      <c r="AA84" s="53" t="n"/>
      <c r="AB84" s="53" t="n"/>
      <c r="AC84" s="53" t="n"/>
      <c r="AD84" s="53" t="n"/>
      <c r="AE84" s="53" t="n"/>
      <c r="AF84" s="53" t="n"/>
      <c r="AG84" s="53" t="n"/>
      <c r="AH84" s="53" t="n"/>
      <c r="AI84" s="53" t="n"/>
      <c r="AJ84" s="53" t="n"/>
      <c r="AK84" s="53" t="n"/>
      <c r="AL84" s="53" t="n"/>
      <c r="AM84" s="53" t="n"/>
      <c r="AN84" s="53" t="n"/>
      <c r="AO84" s="53" t="n"/>
      <c r="AP84" s="53" t="n"/>
      <c r="AQ84" s="53" t="n"/>
      <c r="AR84" s="53" t="n"/>
      <c r="AS84" s="53" t="n"/>
      <c r="AT84" s="53" t="n"/>
      <c r="AU84" s="53" t="n"/>
      <c r="AV84" s="53" t="n"/>
      <c r="AW84" s="53" t="n"/>
      <c r="AX84" s="53" t="n"/>
      <c r="AY84" s="53" t="n"/>
    </row>
    <row r="85" ht="15" customHeight="1">
      <c r="A85" s="40">
        <f>IF($D$85="","",26)</f>
        <v/>
      </c>
      <c r="B85" s="10" t="n"/>
      <c r="C85" s="41" t="inlineStr">
        <is>
          <t>마케팅2팀</t>
        </is>
      </c>
      <c r="D85" s="42" t="n"/>
      <c r="E85" s="43" t="inlineStr">
        <is>
          <t>기획</t>
        </is>
      </c>
      <c r="F85" s="44" t="n"/>
      <c r="G85" s="45" t="n"/>
      <c r="H85" s="46">
        <f>IF($I$85="","",IF($I$85&lt;0,"🔴지연",IF($I$85&lt;=1,"🟡임박","🟢여유")))</f>
        <v/>
      </c>
      <c r="I85" s="47">
        <f>IF(OR($G$85="",$K$85=""),"",$G$85-$K$85)</f>
        <v/>
      </c>
      <c r="J85" s="48">
        <f>IF(SUM($L$85:$L$87)=0,"",SUM($L$85:$L$87))</f>
        <v/>
      </c>
      <c r="K85" s="49">
        <f>IF($J$85="","",MAX($N$85:$N$87))</f>
        <v/>
      </c>
      <c r="L85" s="50">
        <f>IF(SUM(U85:AY85)=0,"",SUM(U85:AY85))</f>
        <v/>
      </c>
      <c r="M85" s="51">
        <f>IFERROR(INDEX(U$2:AY$2,MATCH(TRUE,INDEX(U85:AY85&lt;&gt;"",0),0)),"")</f>
        <v/>
      </c>
      <c r="N85" s="51">
        <f>IFERROR(LOOKUP(2,1/(U85:AY85&lt;&gt;""),U$2:AY$2),"")</f>
        <v/>
      </c>
      <c r="O85" s="52" t="n"/>
      <c r="P85" s="52" t="n"/>
      <c r="Q85" s="52" t="n"/>
      <c r="R85" s="44" t="n"/>
      <c r="S85" s="14" t="n"/>
      <c r="U85" s="53" t="n"/>
      <c r="V85" s="53" t="n"/>
      <c r="W85" s="53" t="n"/>
      <c r="X85" s="53" t="n"/>
      <c r="Y85" s="53" t="n"/>
      <c r="Z85" s="53" t="n"/>
      <c r="AA85" s="53" t="n"/>
      <c r="AB85" s="53" t="n"/>
      <c r="AC85" s="53" t="n"/>
      <c r="AD85" s="53" t="n"/>
      <c r="AE85" s="53" t="n"/>
      <c r="AF85" s="53" t="n"/>
      <c r="AG85" s="53" t="n"/>
      <c r="AH85" s="53" t="n"/>
      <c r="AI85" s="53" t="n"/>
      <c r="AJ85" s="53" t="n"/>
      <c r="AK85" s="53" t="n"/>
      <c r="AL85" s="53" t="n"/>
      <c r="AM85" s="53" t="n"/>
      <c r="AN85" s="53" t="n"/>
      <c r="AO85" s="53" t="n"/>
      <c r="AP85" s="53" t="n"/>
      <c r="AQ85" s="53" t="n"/>
      <c r="AR85" s="53" t="n"/>
      <c r="AS85" s="53" t="n"/>
      <c r="AT85" s="53" t="n"/>
      <c r="AU85" s="53" t="n"/>
      <c r="AV85" s="53" t="n"/>
      <c r="AW85" s="53" t="n"/>
      <c r="AX85" s="53" t="n"/>
      <c r="AY85" s="53" t="n"/>
    </row>
    <row r="86" ht="15" customHeight="1">
      <c r="A86" s="54" t="n"/>
      <c r="B86" s="55">
        <f>IF($B$85="","",$B$85)</f>
        <v/>
      </c>
      <c r="C86" s="56" t="inlineStr">
        <is>
          <t>마케팅2팀</t>
        </is>
      </c>
      <c r="D86" s="55">
        <f>IF($D$85="","",$D$85)</f>
        <v/>
      </c>
      <c r="E86" s="57" t="inlineStr">
        <is>
          <t>이미지</t>
        </is>
      </c>
      <c r="F86" s="44" t="n"/>
      <c r="G86" s="58">
        <f>IF($G$85="","",$G$85)</f>
        <v/>
      </c>
      <c r="H86" s="59" t="n"/>
      <c r="I86" s="59" t="n"/>
      <c r="J86" s="59" t="n"/>
      <c r="K86" s="59" t="n"/>
      <c r="L86" s="60">
        <f>IF(SUM(U86:AY86)=0,"",SUM(U86:AY86))</f>
        <v/>
      </c>
      <c r="M86" s="61">
        <f>IFERROR(INDEX(U$2:AY$2,MATCH(TRUE,INDEX(U86:AY86&lt;&gt;"",0),0)),"")</f>
        <v/>
      </c>
      <c r="N86" s="61">
        <f>IFERROR(LOOKUP(2,1/(U86:AY86&lt;&gt;""),U$2:AY$2),"")</f>
        <v/>
      </c>
      <c r="O86" s="59" t="n"/>
      <c r="P86" s="59" t="n"/>
      <c r="Q86" s="59" t="n"/>
      <c r="R86" s="59" t="n"/>
      <c r="S86" s="14" t="n"/>
      <c r="U86" s="53" t="n"/>
      <c r="V86" s="53" t="n"/>
      <c r="W86" s="53" t="n"/>
      <c r="X86" s="53" t="n"/>
      <c r="Y86" s="53" t="n"/>
      <c r="Z86" s="53" t="n"/>
      <c r="AA86" s="53" t="n"/>
      <c r="AB86" s="53" t="n"/>
      <c r="AC86" s="53" t="n"/>
      <c r="AD86" s="53" t="n"/>
      <c r="AE86" s="53" t="n"/>
      <c r="AF86" s="53" t="n"/>
      <c r="AG86" s="53" t="n"/>
      <c r="AH86" s="53" t="n"/>
      <c r="AI86" s="53" t="n"/>
      <c r="AJ86" s="53" t="n"/>
      <c r="AK86" s="53" t="n"/>
      <c r="AL86" s="53" t="n"/>
      <c r="AM86" s="53" t="n"/>
      <c r="AN86" s="53" t="n"/>
      <c r="AO86" s="53" t="n"/>
      <c r="AP86" s="53" t="n"/>
      <c r="AQ86" s="53" t="n"/>
      <c r="AR86" s="53" t="n"/>
      <c r="AS86" s="53" t="n"/>
      <c r="AT86" s="53" t="n"/>
      <c r="AU86" s="53" t="n"/>
      <c r="AV86" s="53" t="n"/>
      <c r="AW86" s="53" t="n"/>
      <c r="AX86" s="53" t="n"/>
      <c r="AY86" s="53" t="n"/>
    </row>
    <row r="87" ht="15" customHeight="1">
      <c r="A87" s="62" t="n"/>
      <c r="B87" s="55">
        <f>IF($B$85="","",$B$85)</f>
        <v/>
      </c>
      <c r="C87" s="63" t="inlineStr">
        <is>
          <t>마케팅2팀</t>
        </is>
      </c>
      <c r="D87" s="55">
        <f>IF($D$85="","",$D$85)</f>
        <v/>
      </c>
      <c r="E87" s="64" t="inlineStr">
        <is>
          <t>영상</t>
        </is>
      </c>
      <c r="F87" s="44" t="n"/>
      <c r="G87" s="58">
        <f>IF($G$85="","",$G$85)</f>
        <v/>
      </c>
      <c r="H87" s="59" t="n"/>
      <c r="I87" s="59" t="n"/>
      <c r="J87" s="59" t="n"/>
      <c r="K87" s="59" t="n"/>
      <c r="L87" s="65">
        <f>IF(SUM(U87:AY87)=0,"",SUM(U87:AY87))</f>
        <v/>
      </c>
      <c r="M87" s="66">
        <f>IFERROR(INDEX(U$2:AY$2,MATCH(TRUE,INDEX(U87:AY87&lt;&gt;"",0),0)),"")</f>
        <v/>
      </c>
      <c r="N87" s="66">
        <f>IFERROR(LOOKUP(2,1/(U87:AY87&lt;&gt;""),U$2:AY$2),"")</f>
        <v/>
      </c>
      <c r="O87" s="59" t="n"/>
      <c r="P87" s="59" t="n"/>
      <c r="Q87" s="59" t="n"/>
      <c r="R87" s="59" t="n"/>
      <c r="S87" s="14" t="n"/>
      <c r="U87" s="53" t="n"/>
      <c r="V87" s="53" t="n"/>
      <c r="W87" s="53" t="n"/>
      <c r="X87" s="53" t="n"/>
      <c r="Y87" s="53" t="n"/>
      <c r="Z87" s="53" t="n"/>
      <c r="AA87" s="53" t="n"/>
      <c r="AB87" s="53" t="n"/>
      <c r="AC87" s="53" t="n"/>
      <c r="AD87" s="53" t="n"/>
      <c r="AE87" s="53" t="n"/>
      <c r="AF87" s="53" t="n"/>
      <c r="AG87" s="53" t="n"/>
      <c r="AH87" s="53" t="n"/>
      <c r="AI87" s="53" t="n"/>
      <c r="AJ87" s="53" t="n"/>
      <c r="AK87" s="53" t="n"/>
      <c r="AL87" s="53" t="n"/>
      <c r="AM87" s="53" t="n"/>
      <c r="AN87" s="53" t="n"/>
      <c r="AO87" s="53" t="n"/>
      <c r="AP87" s="53" t="n"/>
      <c r="AQ87" s="53" t="n"/>
      <c r="AR87" s="53" t="n"/>
      <c r="AS87" s="53" t="n"/>
      <c r="AT87" s="53" t="n"/>
      <c r="AU87" s="53" t="n"/>
      <c r="AV87" s="53" t="n"/>
      <c r="AW87" s="53" t="n"/>
      <c r="AX87" s="53" t="n"/>
      <c r="AY87" s="53" t="n"/>
    </row>
    <row r="88" ht="15" customHeight="1">
      <c r="A88" s="40">
        <f>IF($D$88="","",27)</f>
        <v/>
      </c>
      <c r="B88" s="10" t="n"/>
      <c r="C88" s="41" t="inlineStr">
        <is>
          <t>마케팅2팀</t>
        </is>
      </c>
      <c r="D88" s="42" t="n"/>
      <c r="E88" s="43" t="inlineStr">
        <is>
          <t>기획</t>
        </is>
      </c>
      <c r="F88" s="44" t="n"/>
      <c r="G88" s="45" t="n"/>
      <c r="H88" s="46">
        <f>IF($I$88="","",IF($I$88&lt;0,"🔴지연",IF($I$88&lt;=1,"🟡임박","🟢여유")))</f>
        <v/>
      </c>
      <c r="I88" s="47">
        <f>IF(OR($G$88="",$K$88=""),"",$G$88-$K$88)</f>
        <v/>
      </c>
      <c r="J88" s="48">
        <f>IF(SUM($L$88:$L$90)=0,"",SUM($L$88:$L$90))</f>
        <v/>
      </c>
      <c r="K88" s="49">
        <f>IF($J$88="","",MAX($N$88:$N$90))</f>
        <v/>
      </c>
      <c r="L88" s="50">
        <f>IF(SUM(U88:AY88)=0,"",SUM(U88:AY88))</f>
        <v/>
      </c>
      <c r="M88" s="51">
        <f>IFERROR(INDEX(U$2:AY$2,MATCH(TRUE,INDEX(U88:AY88&lt;&gt;"",0),0)),"")</f>
        <v/>
      </c>
      <c r="N88" s="51">
        <f>IFERROR(LOOKUP(2,1/(U88:AY88&lt;&gt;""),U$2:AY$2),"")</f>
        <v/>
      </c>
      <c r="O88" s="52" t="n"/>
      <c r="P88" s="52" t="n"/>
      <c r="Q88" s="52" t="n"/>
      <c r="R88" s="44" t="n"/>
      <c r="S88" s="14" t="n"/>
      <c r="U88" s="53" t="n"/>
      <c r="V88" s="53" t="n"/>
      <c r="W88" s="53" t="n"/>
      <c r="X88" s="53" t="n"/>
      <c r="Y88" s="53" t="n"/>
      <c r="Z88" s="53" t="n"/>
      <c r="AA88" s="53" t="n"/>
      <c r="AB88" s="53" t="n"/>
      <c r="AC88" s="53" t="n"/>
      <c r="AD88" s="53" t="n"/>
      <c r="AE88" s="53" t="n"/>
      <c r="AF88" s="53" t="n"/>
      <c r="AG88" s="53" t="n"/>
      <c r="AH88" s="53" t="n"/>
      <c r="AI88" s="53" t="n"/>
      <c r="AJ88" s="53" t="n"/>
      <c r="AK88" s="53" t="n"/>
      <c r="AL88" s="53" t="n"/>
      <c r="AM88" s="53" t="n"/>
      <c r="AN88" s="53" t="n"/>
      <c r="AO88" s="53" t="n"/>
      <c r="AP88" s="53" t="n"/>
      <c r="AQ88" s="53" t="n"/>
      <c r="AR88" s="53" t="n"/>
      <c r="AS88" s="53" t="n"/>
      <c r="AT88" s="53" t="n"/>
      <c r="AU88" s="53" t="n"/>
      <c r="AV88" s="53" t="n"/>
      <c r="AW88" s="53" t="n"/>
      <c r="AX88" s="53" t="n"/>
      <c r="AY88" s="53" t="n"/>
    </row>
    <row r="89" ht="15" customHeight="1">
      <c r="A89" s="54" t="n"/>
      <c r="B89" s="55">
        <f>IF($B$88="","",$B$88)</f>
        <v/>
      </c>
      <c r="C89" s="56" t="inlineStr">
        <is>
          <t>마케팅2팀</t>
        </is>
      </c>
      <c r="D89" s="55">
        <f>IF($D$88="","",$D$88)</f>
        <v/>
      </c>
      <c r="E89" s="57" t="inlineStr">
        <is>
          <t>이미지</t>
        </is>
      </c>
      <c r="F89" s="44" t="n"/>
      <c r="G89" s="58">
        <f>IF($G$88="","",$G$88)</f>
        <v/>
      </c>
      <c r="H89" s="59" t="n"/>
      <c r="I89" s="59" t="n"/>
      <c r="J89" s="59" t="n"/>
      <c r="K89" s="59" t="n"/>
      <c r="L89" s="60">
        <f>IF(SUM(U89:AY89)=0,"",SUM(U89:AY89))</f>
        <v/>
      </c>
      <c r="M89" s="61">
        <f>IFERROR(INDEX(U$2:AY$2,MATCH(TRUE,INDEX(U89:AY89&lt;&gt;"",0),0)),"")</f>
        <v/>
      </c>
      <c r="N89" s="61">
        <f>IFERROR(LOOKUP(2,1/(U89:AY89&lt;&gt;""),U$2:AY$2),"")</f>
        <v/>
      </c>
      <c r="O89" s="59" t="n"/>
      <c r="P89" s="59" t="n"/>
      <c r="Q89" s="59" t="n"/>
      <c r="R89" s="59" t="n"/>
      <c r="S89" s="14" t="n"/>
      <c r="U89" s="53" t="n"/>
      <c r="V89" s="53" t="n"/>
      <c r="W89" s="53" t="n"/>
      <c r="X89" s="53" t="n"/>
      <c r="Y89" s="53" t="n"/>
      <c r="Z89" s="53" t="n"/>
      <c r="AA89" s="53" t="n"/>
      <c r="AB89" s="53" t="n"/>
      <c r="AC89" s="53" t="n"/>
      <c r="AD89" s="53" t="n"/>
      <c r="AE89" s="53" t="n"/>
      <c r="AF89" s="53" t="n"/>
      <c r="AG89" s="53" t="n"/>
      <c r="AH89" s="53" t="n"/>
      <c r="AI89" s="53" t="n"/>
      <c r="AJ89" s="53" t="n"/>
      <c r="AK89" s="53" t="n"/>
      <c r="AL89" s="53" t="n"/>
      <c r="AM89" s="53" t="n"/>
      <c r="AN89" s="53" t="n"/>
      <c r="AO89" s="53" t="n"/>
      <c r="AP89" s="53" t="n"/>
      <c r="AQ89" s="53" t="n"/>
      <c r="AR89" s="53" t="n"/>
      <c r="AS89" s="53" t="n"/>
      <c r="AT89" s="53" t="n"/>
      <c r="AU89" s="53" t="n"/>
      <c r="AV89" s="53" t="n"/>
      <c r="AW89" s="53" t="n"/>
      <c r="AX89" s="53" t="n"/>
      <c r="AY89" s="53" t="n"/>
    </row>
    <row r="90" ht="15" customHeight="1">
      <c r="A90" s="62" t="n"/>
      <c r="B90" s="55">
        <f>IF($B$88="","",$B$88)</f>
        <v/>
      </c>
      <c r="C90" s="63" t="inlineStr">
        <is>
          <t>마케팅2팀</t>
        </is>
      </c>
      <c r="D90" s="55">
        <f>IF($D$88="","",$D$88)</f>
        <v/>
      </c>
      <c r="E90" s="64" t="inlineStr">
        <is>
          <t>영상</t>
        </is>
      </c>
      <c r="F90" s="44" t="n"/>
      <c r="G90" s="58">
        <f>IF($G$88="","",$G$88)</f>
        <v/>
      </c>
      <c r="H90" s="59" t="n"/>
      <c r="I90" s="59" t="n"/>
      <c r="J90" s="59" t="n"/>
      <c r="K90" s="59" t="n"/>
      <c r="L90" s="65">
        <f>IF(SUM(U90:AY90)=0,"",SUM(U90:AY90))</f>
        <v/>
      </c>
      <c r="M90" s="66">
        <f>IFERROR(INDEX(U$2:AY$2,MATCH(TRUE,INDEX(U90:AY90&lt;&gt;"",0),0)),"")</f>
        <v/>
      </c>
      <c r="N90" s="66">
        <f>IFERROR(LOOKUP(2,1/(U90:AY90&lt;&gt;""),U$2:AY$2),"")</f>
        <v/>
      </c>
      <c r="O90" s="59" t="n"/>
      <c r="P90" s="59" t="n"/>
      <c r="Q90" s="59" t="n"/>
      <c r="R90" s="59" t="n"/>
      <c r="S90" s="14" t="n"/>
      <c r="U90" s="53" t="n"/>
      <c r="V90" s="53" t="n"/>
      <c r="W90" s="53" t="n"/>
      <c r="X90" s="53" t="n"/>
      <c r="Y90" s="53" t="n"/>
      <c r="Z90" s="53" t="n"/>
      <c r="AA90" s="53" t="n"/>
      <c r="AB90" s="53" t="n"/>
      <c r="AC90" s="53" t="n"/>
      <c r="AD90" s="53" t="n"/>
      <c r="AE90" s="53" t="n"/>
      <c r="AF90" s="53" t="n"/>
      <c r="AG90" s="53" t="n"/>
      <c r="AH90" s="53" t="n"/>
      <c r="AI90" s="53" t="n"/>
      <c r="AJ90" s="53" t="n"/>
      <c r="AK90" s="53" t="n"/>
      <c r="AL90" s="53" t="n"/>
      <c r="AM90" s="53" t="n"/>
      <c r="AN90" s="53" t="n"/>
      <c r="AO90" s="53" t="n"/>
      <c r="AP90" s="53" t="n"/>
      <c r="AQ90" s="53" t="n"/>
      <c r="AR90" s="53" t="n"/>
      <c r="AS90" s="53" t="n"/>
      <c r="AT90" s="53" t="n"/>
      <c r="AU90" s="53" t="n"/>
      <c r="AV90" s="53" t="n"/>
      <c r="AW90" s="53" t="n"/>
      <c r="AX90" s="53" t="n"/>
      <c r="AY90" s="53" t="n"/>
    </row>
    <row r="91" ht="15" customHeight="1">
      <c r="A91" s="40">
        <f>IF($D$91="","",28)</f>
        <v/>
      </c>
      <c r="B91" s="10" t="n"/>
      <c r="C91" s="41" t="inlineStr">
        <is>
          <t>마케팅2팀</t>
        </is>
      </c>
      <c r="D91" s="42" t="n"/>
      <c r="E91" s="43" t="inlineStr">
        <is>
          <t>기획</t>
        </is>
      </c>
      <c r="F91" s="44" t="n"/>
      <c r="G91" s="45" t="n"/>
      <c r="H91" s="46">
        <f>IF($I$91="","",IF($I$91&lt;0,"🔴지연",IF($I$91&lt;=1,"🟡임박","🟢여유")))</f>
        <v/>
      </c>
      <c r="I91" s="47">
        <f>IF(OR($G$91="",$K$91=""),"",$G$91-$K$91)</f>
        <v/>
      </c>
      <c r="J91" s="48">
        <f>IF(SUM($L$91:$L$93)=0,"",SUM($L$91:$L$93))</f>
        <v/>
      </c>
      <c r="K91" s="49">
        <f>IF($J$91="","",MAX($N$91:$N$93))</f>
        <v/>
      </c>
      <c r="L91" s="50">
        <f>IF(SUM(U91:AY91)=0,"",SUM(U91:AY91))</f>
        <v/>
      </c>
      <c r="M91" s="51">
        <f>IFERROR(INDEX(U$2:AY$2,MATCH(TRUE,INDEX(U91:AY91&lt;&gt;"",0),0)),"")</f>
        <v/>
      </c>
      <c r="N91" s="51">
        <f>IFERROR(LOOKUP(2,1/(U91:AY91&lt;&gt;""),U$2:AY$2),"")</f>
        <v/>
      </c>
      <c r="O91" s="52" t="n"/>
      <c r="P91" s="52" t="n"/>
      <c r="Q91" s="52" t="n"/>
      <c r="R91" s="44" t="n"/>
      <c r="S91" s="14" t="n"/>
      <c r="U91" s="53" t="n"/>
      <c r="V91" s="53" t="n"/>
      <c r="W91" s="53" t="n"/>
      <c r="X91" s="53" t="n"/>
      <c r="Y91" s="53" t="n"/>
      <c r="Z91" s="53" t="n"/>
      <c r="AA91" s="53" t="n"/>
      <c r="AB91" s="53" t="n"/>
      <c r="AC91" s="53" t="n"/>
      <c r="AD91" s="53" t="n"/>
      <c r="AE91" s="53" t="n"/>
      <c r="AF91" s="53" t="n"/>
      <c r="AG91" s="53" t="n"/>
      <c r="AH91" s="53" t="n"/>
      <c r="AI91" s="53" t="n"/>
      <c r="AJ91" s="53" t="n"/>
      <c r="AK91" s="53" t="n"/>
      <c r="AL91" s="53" t="n"/>
      <c r="AM91" s="53" t="n"/>
      <c r="AN91" s="53" t="n"/>
      <c r="AO91" s="53" t="n"/>
      <c r="AP91" s="53" t="n"/>
      <c r="AQ91" s="53" t="n"/>
      <c r="AR91" s="53" t="n"/>
      <c r="AS91" s="53" t="n"/>
      <c r="AT91" s="53" t="n"/>
      <c r="AU91" s="53" t="n"/>
      <c r="AV91" s="53" t="n"/>
      <c r="AW91" s="53" t="n"/>
      <c r="AX91" s="53" t="n"/>
      <c r="AY91" s="53" t="n"/>
    </row>
    <row r="92" ht="15" customHeight="1">
      <c r="A92" s="54" t="n"/>
      <c r="B92" s="55">
        <f>IF($B$91="","",$B$91)</f>
        <v/>
      </c>
      <c r="C92" s="56" t="inlineStr">
        <is>
          <t>마케팅2팀</t>
        </is>
      </c>
      <c r="D92" s="55">
        <f>IF($D$91="","",$D$91)</f>
        <v/>
      </c>
      <c r="E92" s="57" t="inlineStr">
        <is>
          <t>이미지</t>
        </is>
      </c>
      <c r="F92" s="44" t="n"/>
      <c r="G92" s="58">
        <f>IF($G$91="","",$G$91)</f>
        <v/>
      </c>
      <c r="H92" s="59" t="n"/>
      <c r="I92" s="59" t="n"/>
      <c r="J92" s="59" t="n"/>
      <c r="K92" s="59" t="n"/>
      <c r="L92" s="60">
        <f>IF(SUM(U92:AY92)=0,"",SUM(U92:AY92))</f>
        <v/>
      </c>
      <c r="M92" s="61">
        <f>IFERROR(INDEX(U$2:AY$2,MATCH(TRUE,INDEX(U92:AY92&lt;&gt;"",0),0)),"")</f>
        <v/>
      </c>
      <c r="N92" s="61">
        <f>IFERROR(LOOKUP(2,1/(U92:AY92&lt;&gt;""),U$2:AY$2),"")</f>
        <v/>
      </c>
      <c r="O92" s="59" t="n"/>
      <c r="P92" s="59" t="n"/>
      <c r="Q92" s="59" t="n"/>
      <c r="R92" s="59" t="n"/>
      <c r="S92" s="14" t="n"/>
      <c r="U92" s="53" t="n"/>
      <c r="V92" s="53" t="n"/>
      <c r="W92" s="53" t="n"/>
      <c r="X92" s="53" t="n"/>
      <c r="Y92" s="53" t="n"/>
      <c r="Z92" s="53" t="n"/>
      <c r="AA92" s="53" t="n"/>
      <c r="AB92" s="53" t="n"/>
      <c r="AC92" s="53" t="n"/>
      <c r="AD92" s="53" t="n"/>
      <c r="AE92" s="53" t="n"/>
      <c r="AF92" s="53" t="n"/>
      <c r="AG92" s="53" t="n"/>
      <c r="AH92" s="53" t="n"/>
      <c r="AI92" s="53" t="n"/>
      <c r="AJ92" s="53" t="n"/>
      <c r="AK92" s="53" t="n"/>
      <c r="AL92" s="53" t="n"/>
      <c r="AM92" s="53" t="n"/>
      <c r="AN92" s="53" t="n"/>
      <c r="AO92" s="53" t="n"/>
      <c r="AP92" s="53" t="n"/>
      <c r="AQ92" s="53" t="n"/>
      <c r="AR92" s="53" t="n"/>
      <c r="AS92" s="53" t="n"/>
      <c r="AT92" s="53" t="n"/>
      <c r="AU92" s="53" t="n"/>
      <c r="AV92" s="53" t="n"/>
      <c r="AW92" s="53" t="n"/>
      <c r="AX92" s="53" t="n"/>
      <c r="AY92" s="53" t="n"/>
    </row>
    <row r="93" ht="15" customHeight="1">
      <c r="A93" s="62" t="n"/>
      <c r="B93" s="55">
        <f>IF($B$91="","",$B$91)</f>
        <v/>
      </c>
      <c r="C93" s="63" t="inlineStr">
        <is>
          <t>마케팅2팀</t>
        </is>
      </c>
      <c r="D93" s="55">
        <f>IF($D$91="","",$D$91)</f>
        <v/>
      </c>
      <c r="E93" s="64" t="inlineStr">
        <is>
          <t>영상</t>
        </is>
      </c>
      <c r="F93" s="44" t="n"/>
      <c r="G93" s="58">
        <f>IF($G$91="","",$G$91)</f>
        <v/>
      </c>
      <c r="H93" s="59" t="n"/>
      <c r="I93" s="59" t="n"/>
      <c r="J93" s="59" t="n"/>
      <c r="K93" s="59" t="n"/>
      <c r="L93" s="65">
        <f>IF(SUM(U93:AY93)=0,"",SUM(U93:AY93))</f>
        <v/>
      </c>
      <c r="M93" s="66">
        <f>IFERROR(INDEX(U$2:AY$2,MATCH(TRUE,INDEX(U93:AY93&lt;&gt;"",0),0)),"")</f>
        <v/>
      </c>
      <c r="N93" s="66">
        <f>IFERROR(LOOKUP(2,1/(U93:AY93&lt;&gt;""),U$2:AY$2),"")</f>
        <v/>
      </c>
      <c r="O93" s="59" t="n"/>
      <c r="P93" s="59" t="n"/>
      <c r="Q93" s="59" t="n"/>
      <c r="R93" s="59" t="n"/>
      <c r="S93" s="14" t="n"/>
      <c r="U93" s="53" t="n"/>
      <c r="V93" s="53" t="n"/>
      <c r="W93" s="53" t="n"/>
      <c r="X93" s="53" t="n"/>
      <c r="Y93" s="53" t="n"/>
      <c r="Z93" s="53" t="n"/>
      <c r="AA93" s="53" t="n"/>
      <c r="AB93" s="53" t="n"/>
      <c r="AC93" s="53" t="n"/>
      <c r="AD93" s="53" t="n"/>
      <c r="AE93" s="53" t="n"/>
      <c r="AF93" s="53" t="n"/>
      <c r="AG93" s="53" t="n"/>
      <c r="AH93" s="53" t="n"/>
      <c r="AI93" s="53" t="n"/>
      <c r="AJ93" s="53" t="n"/>
      <c r="AK93" s="53" t="n"/>
      <c r="AL93" s="53" t="n"/>
      <c r="AM93" s="53" t="n"/>
      <c r="AN93" s="53" t="n"/>
      <c r="AO93" s="53" t="n"/>
      <c r="AP93" s="53" t="n"/>
      <c r="AQ93" s="53" t="n"/>
      <c r="AR93" s="53" t="n"/>
      <c r="AS93" s="53" t="n"/>
      <c r="AT93" s="53" t="n"/>
      <c r="AU93" s="53" t="n"/>
      <c r="AV93" s="53" t="n"/>
      <c r="AW93" s="53" t="n"/>
      <c r="AX93" s="53" t="n"/>
      <c r="AY93" s="53" t="n"/>
    </row>
    <row r="94" ht="15" customHeight="1">
      <c r="A94" s="40">
        <f>IF($D$94="","",29)</f>
        <v/>
      </c>
      <c r="B94" s="10" t="n"/>
      <c r="C94" s="41" t="inlineStr">
        <is>
          <t>마케팅2팀</t>
        </is>
      </c>
      <c r="D94" s="42" t="n"/>
      <c r="E94" s="43" t="inlineStr">
        <is>
          <t>기획</t>
        </is>
      </c>
      <c r="F94" s="44" t="n"/>
      <c r="G94" s="45" t="n"/>
      <c r="H94" s="46">
        <f>IF($I$94="","",IF($I$94&lt;0,"🔴지연",IF($I$94&lt;=1,"🟡임박","🟢여유")))</f>
        <v/>
      </c>
      <c r="I94" s="47">
        <f>IF(OR($G$94="",$K$94=""),"",$G$94-$K$94)</f>
        <v/>
      </c>
      <c r="J94" s="48">
        <f>IF(SUM($L$94:$L$96)=0,"",SUM($L$94:$L$96))</f>
        <v/>
      </c>
      <c r="K94" s="49">
        <f>IF($J$94="","",MAX($N$94:$N$96))</f>
        <v/>
      </c>
      <c r="L94" s="50">
        <f>IF(SUM(U94:AY94)=0,"",SUM(U94:AY94))</f>
        <v/>
      </c>
      <c r="M94" s="51">
        <f>IFERROR(INDEX(U$2:AY$2,MATCH(TRUE,INDEX(U94:AY94&lt;&gt;"",0),0)),"")</f>
        <v/>
      </c>
      <c r="N94" s="51">
        <f>IFERROR(LOOKUP(2,1/(U94:AY94&lt;&gt;""),U$2:AY$2),"")</f>
        <v/>
      </c>
      <c r="O94" s="52" t="n"/>
      <c r="P94" s="52" t="n"/>
      <c r="Q94" s="52" t="n"/>
      <c r="R94" s="44" t="n"/>
      <c r="S94" s="14" t="n"/>
      <c r="U94" s="53" t="n"/>
      <c r="V94" s="53" t="n"/>
      <c r="W94" s="53" t="n"/>
      <c r="X94" s="53" t="n"/>
      <c r="Y94" s="53" t="n"/>
      <c r="Z94" s="53" t="n"/>
      <c r="AA94" s="53" t="n"/>
      <c r="AB94" s="53" t="n"/>
      <c r="AC94" s="53" t="n"/>
      <c r="AD94" s="53" t="n"/>
      <c r="AE94" s="53" t="n"/>
      <c r="AF94" s="53" t="n"/>
      <c r="AG94" s="53" t="n"/>
      <c r="AH94" s="53" t="n"/>
      <c r="AI94" s="53" t="n"/>
      <c r="AJ94" s="53" t="n"/>
      <c r="AK94" s="53" t="n"/>
      <c r="AL94" s="53" t="n"/>
      <c r="AM94" s="53" t="n"/>
      <c r="AN94" s="53" t="n"/>
      <c r="AO94" s="53" t="n"/>
      <c r="AP94" s="53" t="n"/>
      <c r="AQ94" s="53" t="n"/>
      <c r="AR94" s="53" t="n"/>
      <c r="AS94" s="53" t="n"/>
      <c r="AT94" s="53" t="n"/>
      <c r="AU94" s="53" t="n"/>
      <c r="AV94" s="53" t="n"/>
      <c r="AW94" s="53" t="n"/>
      <c r="AX94" s="53" t="n"/>
      <c r="AY94" s="53" t="n"/>
    </row>
    <row r="95" ht="15" customHeight="1">
      <c r="A95" s="54" t="n"/>
      <c r="B95" s="55">
        <f>IF($B$94="","",$B$94)</f>
        <v/>
      </c>
      <c r="C95" s="56" t="inlineStr">
        <is>
          <t>마케팅2팀</t>
        </is>
      </c>
      <c r="D95" s="55">
        <f>IF($D$94="","",$D$94)</f>
        <v/>
      </c>
      <c r="E95" s="57" t="inlineStr">
        <is>
          <t>이미지</t>
        </is>
      </c>
      <c r="F95" s="44" t="n"/>
      <c r="G95" s="58">
        <f>IF($G$94="","",$G$94)</f>
        <v/>
      </c>
      <c r="H95" s="59" t="n"/>
      <c r="I95" s="59" t="n"/>
      <c r="J95" s="59" t="n"/>
      <c r="K95" s="59" t="n"/>
      <c r="L95" s="60">
        <f>IF(SUM(U95:AY95)=0,"",SUM(U95:AY95))</f>
        <v/>
      </c>
      <c r="M95" s="61">
        <f>IFERROR(INDEX(U$2:AY$2,MATCH(TRUE,INDEX(U95:AY95&lt;&gt;"",0),0)),"")</f>
        <v/>
      </c>
      <c r="N95" s="61">
        <f>IFERROR(LOOKUP(2,1/(U95:AY95&lt;&gt;""),U$2:AY$2),"")</f>
        <v/>
      </c>
      <c r="O95" s="59" t="n"/>
      <c r="P95" s="59" t="n"/>
      <c r="Q95" s="59" t="n"/>
      <c r="R95" s="59" t="n"/>
      <c r="S95" s="14" t="n"/>
      <c r="U95" s="53" t="n"/>
      <c r="V95" s="53" t="n"/>
      <c r="W95" s="53" t="n"/>
      <c r="X95" s="53" t="n"/>
      <c r="Y95" s="53" t="n"/>
      <c r="Z95" s="53" t="n"/>
      <c r="AA95" s="53" t="n"/>
      <c r="AB95" s="53" t="n"/>
      <c r="AC95" s="53" t="n"/>
      <c r="AD95" s="53" t="n"/>
      <c r="AE95" s="53" t="n"/>
      <c r="AF95" s="53" t="n"/>
      <c r="AG95" s="53" t="n"/>
      <c r="AH95" s="53" t="n"/>
      <c r="AI95" s="53" t="n"/>
      <c r="AJ95" s="53" t="n"/>
      <c r="AK95" s="53" t="n"/>
      <c r="AL95" s="53" t="n"/>
      <c r="AM95" s="53" t="n"/>
      <c r="AN95" s="53" t="n"/>
      <c r="AO95" s="53" t="n"/>
      <c r="AP95" s="53" t="n"/>
      <c r="AQ95" s="53" t="n"/>
      <c r="AR95" s="53" t="n"/>
      <c r="AS95" s="53" t="n"/>
      <c r="AT95" s="53" t="n"/>
      <c r="AU95" s="53" t="n"/>
      <c r="AV95" s="53" t="n"/>
      <c r="AW95" s="53" t="n"/>
      <c r="AX95" s="53" t="n"/>
      <c r="AY95" s="53" t="n"/>
    </row>
    <row r="96" ht="15" customHeight="1">
      <c r="A96" s="62" t="n"/>
      <c r="B96" s="55">
        <f>IF($B$94="","",$B$94)</f>
        <v/>
      </c>
      <c r="C96" s="63" t="inlineStr">
        <is>
          <t>마케팅2팀</t>
        </is>
      </c>
      <c r="D96" s="55">
        <f>IF($D$94="","",$D$94)</f>
        <v/>
      </c>
      <c r="E96" s="64" t="inlineStr">
        <is>
          <t>영상</t>
        </is>
      </c>
      <c r="F96" s="44" t="n"/>
      <c r="G96" s="58">
        <f>IF($G$94="","",$G$94)</f>
        <v/>
      </c>
      <c r="H96" s="59" t="n"/>
      <c r="I96" s="59" t="n"/>
      <c r="J96" s="59" t="n"/>
      <c r="K96" s="59" t="n"/>
      <c r="L96" s="65">
        <f>IF(SUM(U96:AY96)=0,"",SUM(U96:AY96))</f>
        <v/>
      </c>
      <c r="M96" s="66">
        <f>IFERROR(INDEX(U$2:AY$2,MATCH(TRUE,INDEX(U96:AY96&lt;&gt;"",0),0)),"")</f>
        <v/>
      </c>
      <c r="N96" s="66">
        <f>IFERROR(LOOKUP(2,1/(U96:AY96&lt;&gt;""),U$2:AY$2),"")</f>
        <v/>
      </c>
      <c r="O96" s="59" t="n"/>
      <c r="P96" s="59" t="n"/>
      <c r="Q96" s="59" t="n"/>
      <c r="R96" s="59" t="n"/>
      <c r="S96" s="14" t="n"/>
      <c r="U96" s="53" t="n"/>
      <c r="V96" s="53" t="n"/>
      <c r="W96" s="53" t="n"/>
      <c r="X96" s="53" t="n"/>
      <c r="Y96" s="53" t="n"/>
      <c r="Z96" s="53" t="n"/>
      <c r="AA96" s="53" t="n"/>
      <c r="AB96" s="53" t="n"/>
      <c r="AC96" s="53" t="n"/>
      <c r="AD96" s="53" t="n"/>
      <c r="AE96" s="53" t="n"/>
      <c r="AF96" s="53" t="n"/>
      <c r="AG96" s="53" t="n"/>
      <c r="AH96" s="53" t="n"/>
      <c r="AI96" s="53" t="n"/>
      <c r="AJ96" s="53" t="n"/>
      <c r="AK96" s="53" t="n"/>
      <c r="AL96" s="53" t="n"/>
      <c r="AM96" s="53" t="n"/>
      <c r="AN96" s="53" t="n"/>
      <c r="AO96" s="53" t="n"/>
      <c r="AP96" s="53" t="n"/>
      <c r="AQ96" s="53" t="n"/>
      <c r="AR96" s="53" t="n"/>
      <c r="AS96" s="53" t="n"/>
      <c r="AT96" s="53" t="n"/>
      <c r="AU96" s="53" t="n"/>
      <c r="AV96" s="53" t="n"/>
      <c r="AW96" s="53" t="n"/>
      <c r="AX96" s="53" t="n"/>
      <c r="AY96" s="53" t="n"/>
    </row>
    <row r="97" ht="15" customHeight="1">
      <c r="A97" s="40">
        <f>IF($D$97="","",30)</f>
        <v/>
      </c>
      <c r="B97" s="10" t="n"/>
      <c r="C97" s="41" t="inlineStr">
        <is>
          <t>마케팅2팀</t>
        </is>
      </c>
      <c r="D97" s="42" t="n"/>
      <c r="E97" s="43" t="inlineStr">
        <is>
          <t>기획</t>
        </is>
      </c>
      <c r="F97" s="44" t="n"/>
      <c r="G97" s="45" t="n"/>
      <c r="H97" s="46">
        <f>IF($I$97="","",IF($I$97&lt;0,"🔴지연",IF($I$97&lt;=1,"🟡임박","🟢여유")))</f>
        <v/>
      </c>
      <c r="I97" s="47">
        <f>IF(OR($G$97="",$K$97=""),"",$G$97-$K$97)</f>
        <v/>
      </c>
      <c r="J97" s="48">
        <f>IF(SUM($L$97:$L$99)=0,"",SUM($L$97:$L$99))</f>
        <v/>
      </c>
      <c r="K97" s="49">
        <f>IF($J$97="","",MAX($N$97:$N$99))</f>
        <v/>
      </c>
      <c r="L97" s="50">
        <f>IF(SUM(U97:AY97)=0,"",SUM(U97:AY97))</f>
        <v/>
      </c>
      <c r="M97" s="51">
        <f>IFERROR(INDEX(U$2:AY$2,MATCH(TRUE,INDEX(U97:AY97&lt;&gt;"",0),0)),"")</f>
        <v/>
      </c>
      <c r="N97" s="51">
        <f>IFERROR(LOOKUP(2,1/(U97:AY97&lt;&gt;""),U$2:AY$2),"")</f>
        <v/>
      </c>
      <c r="O97" s="52" t="n"/>
      <c r="P97" s="52" t="n"/>
      <c r="Q97" s="52" t="n"/>
      <c r="R97" s="44" t="n"/>
      <c r="S97" s="14" t="n"/>
      <c r="U97" s="53" t="n"/>
      <c r="V97" s="53" t="n"/>
      <c r="W97" s="53" t="n"/>
      <c r="X97" s="53" t="n"/>
      <c r="Y97" s="53" t="n"/>
      <c r="Z97" s="53" t="n"/>
      <c r="AA97" s="53" t="n"/>
      <c r="AB97" s="53" t="n"/>
      <c r="AC97" s="53" t="n"/>
      <c r="AD97" s="53" t="n"/>
      <c r="AE97" s="53" t="n"/>
      <c r="AF97" s="53" t="n"/>
      <c r="AG97" s="53" t="n"/>
      <c r="AH97" s="53" t="n"/>
      <c r="AI97" s="53" t="n"/>
      <c r="AJ97" s="53" t="n"/>
      <c r="AK97" s="53" t="n"/>
      <c r="AL97" s="53" t="n"/>
      <c r="AM97" s="53" t="n"/>
      <c r="AN97" s="53" t="n"/>
      <c r="AO97" s="53" t="n"/>
      <c r="AP97" s="53" t="n"/>
      <c r="AQ97" s="53" t="n"/>
      <c r="AR97" s="53" t="n"/>
      <c r="AS97" s="53" t="n"/>
      <c r="AT97" s="53" t="n"/>
      <c r="AU97" s="53" t="n"/>
      <c r="AV97" s="53" t="n"/>
      <c r="AW97" s="53" t="n"/>
      <c r="AX97" s="53" t="n"/>
      <c r="AY97" s="53" t="n"/>
    </row>
    <row r="98" ht="15" customHeight="1">
      <c r="A98" s="54" t="n"/>
      <c r="B98" s="55">
        <f>IF($B$97="","",$B$97)</f>
        <v/>
      </c>
      <c r="C98" s="56" t="inlineStr">
        <is>
          <t>마케팅2팀</t>
        </is>
      </c>
      <c r="D98" s="55">
        <f>IF($D$97="","",$D$97)</f>
        <v/>
      </c>
      <c r="E98" s="57" t="inlineStr">
        <is>
          <t>이미지</t>
        </is>
      </c>
      <c r="F98" s="44" t="n"/>
      <c r="G98" s="58">
        <f>IF($G$97="","",$G$97)</f>
        <v/>
      </c>
      <c r="H98" s="59" t="n"/>
      <c r="I98" s="59" t="n"/>
      <c r="J98" s="59" t="n"/>
      <c r="K98" s="59" t="n"/>
      <c r="L98" s="60">
        <f>IF(SUM(U98:AY98)=0,"",SUM(U98:AY98))</f>
        <v/>
      </c>
      <c r="M98" s="61">
        <f>IFERROR(INDEX(U$2:AY$2,MATCH(TRUE,INDEX(U98:AY98&lt;&gt;"",0),0)),"")</f>
        <v/>
      </c>
      <c r="N98" s="61">
        <f>IFERROR(LOOKUP(2,1/(U98:AY98&lt;&gt;""),U$2:AY$2),"")</f>
        <v/>
      </c>
      <c r="O98" s="59" t="n"/>
      <c r="P98" s="59" t="n"/>
      <c r="Q98" s="59" t="n"/>
      <c r="R98" s="59" t="n"/>
      <c r="S98" s="14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3" t="n"/>
      <c r="AN98" s="53" t="n"/>
      <c r="AO98" s="53" t="n"/>
      <c r="AP98" s="53" t="n"/>
      <c r="AQ98" s="53" t="n"/>
      <c r="AR98" s="53" t="n"/>
      <c r="AS98" s="53" t="n"/>
      <c r="AT98" s="53" t="n"/>
      <c r="AU98" s="53" t="n"/>
      <c r="AV98" s="53" t="n"/>
      <c r="AW98" s="53" t="n"/>
      <c r="AX98" s="53" t="n"/>
      <c r="AY98" s="53" t="n"/>
    </row>
    <row r="99" ht="15" customHeight="1">
      <c r="A99" s="62" t="n"/>
      <c r="B99" s="55">
        <f>IF($B$97="","",$B$97)</f>
        <v/>
      </c>
      <c r="C99" s="63" t="inlineStr">
        <is>
          <t>마케팅2팀</t>
        </is>
      </c>
      <c r="D99" s="55">
        <f>IF($D$97="","",$D$97)</f>
        <v/>
      </c>
      <c r="E99" s="64" t="inlineStr">
        <is>
          <t>영상</t>
        </is>
      </c>
      <c r="F99" s="44" t="n"/>
      <c r="G99" s="58">
        <f>IF($G$97="","",$G$97)</f>
        <v/>
      </c>
      <c r="H99" s="59" t="n"/>
      <c r="I99" s="59" t="n"/>
      <c r="J99" s="59" t="n"/>
      <c r="K99" s="59" t="n"/>
      <c r="L99" s="65">
        <f>IF(SUM(U99:AY99)=0,"",SUM(U99:AY99))</f>
        <v/>
      </c>
      <c r="M99" s="66">
        <f>IFERROR(INDEX(U$2:AY$2,MATCH(TRUE,INDEX(U99:AY99&lt;&gt;"",0),0)),"")</f>
        <v/>
      </c>
      <c r="N99" s="66">
        <f>IFERROR(LOOKUP(2,1/(U99:AY99&lt;&gt;""),U$2:AY$2),"")</f>
        <v/>
      </c>
      <c r="O99" s="59" t="n"/>
      <c r="P99" s="59" t="n"/>
      <c r="Q99" s="59" t="n"/>
      <c r="R99" s="59" t="n"/>
      <c r="S99" s="14" t="n"/>
      <c r="U99" s="53" t="n"/>
      <c r="V99" s="53" t="n"/>
      <c r="W99" s="53" t="n"/>
      <c r="X99" s="53" t="n"/>
      <c r="Y99" s="53" t="n"/>
      <c r="Z99" s="53" t="n"/>
      <c r="AA99" s="53" t="n"/>
      <c r="AB99" s="53" t="n"/>
      <c r="AC99" s="53" t="n"/>
      <c r="AD99" s="53" t="n"/>
      <c r="AE99" s="53" t="n"/>
      <c r="AF99" s="53" t="n"/>
      <c r="AG99" s="53" t="n"/>
      <c r="AH99" s="53" t="n"/>
      <c r="AI99" s="53" t="n"/>
      <c r="AJ99" s="53" t="n"/>
      <c r="AK99" s="53" t="n"/>
      <c r="AL99" s="53" t="n"/>
      <c r="AM99" s="53" t="n"/>
      <c r="AN99" s="53" t="n"/>
      <c r="AO99" s="53" t="n"/>
      <c r="AP99" s="53" t="n"/>
      <c r="AQ99" s="53" t="n"/>
      <c r="AR99" s="53" t="n"/>
      <c r="AS99" s="53" t="n"/>
      <c r="AT99" s="53" t="n"/>
      <c r="AU99" s="53" t="n"/>
      <c r="AV99" s="53" t="n"/>
      <c r="AW99" s="53" t="n"/>
      <c r="AX99" s="53" t="n"/>
      <c r="AY99" s="53" t="n"/>
    </row>
    <row r="100" ht="15" customHeight="1">
      <c r="A100" s="40">
        <f>IF($D$100="","",31)</f>
        <v/>
      </c>
      <c r="B100" s="10" t="n"/>
      <c r="C100" s="41" t="inlineStr">
        <is>
          <t>마케팅2팀</t>
        </is>
      </c>
      <c r="D100" s="42" t="n"/>
      <c r="E100" s="43" t="inlineStr">
        <is>
          <t>기획</t>
        </is>
      </c>
      <c r="F100" s="44" t="n"/>
      <c r="G100" s="45" t="n"/>
      <c r="H100" s="46">
        <f>IF($I$100="","",IF($I$100&lt;0,"🔴지연",IF($I$100&lt;=1,"🟡임박","🟢여유")))</f>
        <v/>
      </c>
      <c r="I100" s="47">
        <f>IF(OR($G$100="",$K$100=""),"",$G$100-$K$100)</f>
        <v/>
      </c>
      <c r="J100" s="48">
        <f>IF(SUM($L$100:$L$102)=0,"",SUM($L$100:$L$102))</f>
        <v/>
      </c>
      <c r="K100" s="49">
        <f>IF($J$100="","",MAX($N$100:$N$102))</f>
        <v/>
      </c>
      <c r="L100" s="50">
        <f>IF(SUM(U100:AY100)=0,"",SUM(U100:AY100))</f>
        <v/>
      </c>
      <c r="M100" s="51">
        <f>IFERROR(INDEX(U$2:AY$2,MATCH(TRUE,INDEX(U100:AY100&lt;&gt;"",0),0)),"")</f>
        <v/>
      </c>
      <c r="N100" s="51">
        <f>IFERROR(LOOKUP(2,1/(U100:AY100&lt;&gt;""),U$2:AY$2),"")</f>
        <v/>
      </c>
      <c r="O100" s="52" t="n"/>
      <c r="P100" s="52" t="n"/>
      <c r="Q100" s="52" t="n"/>
      <c r="R100" s="44" t="n"/>
      <c r="S100" s="14" t="n"/>
      <c r="U100" s="53" t="n"/>
      <c r="V100" s="53" t="n"/>
      <c r="W100" s="53" t="n"/>
      <c r="X100" s="53" t="n"/>
      <c r="Y100" s="53" t="n"/>
      <c r="Z100" s="53" t="n"/>
      <c r="AA100" s="53" t="n"/>
      <c r="AB100" s="53" t="n"/>
      <c r="AC100" s="53" t="n"/>
      <c r="AD100" s="53" t="n"/>
      <c r="AE100" s="53" t="n"/>
      <c r="AF100" s="53" t="n"/>
      <c r="AG100" s="53" t="n"/>
      <c r="AH100" s="53" t="n"/>
      <c r="AI100" s="53" t="n"/>
      <c r="AJ100" s="53" t="n"/>
      <c r="AK100" s="53" t="n"/>
      <c r="AL100" s="53" t="n"/>
      <c r="AM100" s="53" t="n"/>
      <c r="AN100" s="53" t="n"/>
      <c r="AO100" s="53" t="n"/>
      <c r="AP100" s="53" t="n"/>
      <c r="AQ100" s="53" t="n"/>
      <c r="AR100" s="53" t="n"/>
      <c r="AS100" s="53" t="n"/>
      <c r="AT100" s="53" t="n"/>
      <c r="AU100" s="53" t="n"/>
      <c r="AV100" s="53" t="n"/>
      <c r="AW100" s="53" t="n"/>
      <c r="AX100" s="53" t="n"/>
      <c r="AY100" s="53" t="n"/>
    </row>
    <row r="101" ht="15" customHeight="1">
      <c r="A101" s="54" t="n"/>
      <c r="B101" s="55">
        <f>IF($B$100="","",$B$100)</f>
        <v/>
      </c>
      <c r="C101" s="56" t="inlineStr">
        <is>
          <t>마케팅2팀</t>
        </is>
      </c>
      <c r="D101" s="55">
        <f>IF($D$100="","",$D$100)</f>
        <v/>
      </c>
      <c r="E101" s="57" t="inlineStr">
        <is>
          <t>이미지</t>
        </is>
      </c>
      <c r="F101" s="44" t="n"/>
      <c r="G101" s="58">
        <f>IF($G$100="","",$G$100)</f>
        <v/>
      </c>
      <c r="H101" s="59" t="n"/>
      <c r="I101" s="59" t="n"/>
      <c r="J101" s="59" t="n"/>
      <c r="K101" s="59" t="n"/>
      <c r="L101" s="60">
        <f>IF(SUM(U101:AY101)=0,"",SUM(U101:AY101))</f>
        <v/>
      </c>
      <c r="M101" s="61">
        <f>IFERROR(INDEX(U$2:AY$2,MATCH(TRUE,INDEX(U101:AY101&lt;&gt;"",0),0)),"")</f>
        <v/>
      </c>
      <c r="N101" s="61">
        <f>IFERROR(LOOKUP(2,1/(U101:AY101&lt;&gt;""),U$2:AY$2),"")</f>
        <v/>
      </c>
      <c r="O101" s="59" t="n"/>
      <c r="P101" s="59" t="n"/>
      <c r="Q101" s="59" t="n"/>
      <c r="R101" s="59" t="n"/>
      <c r="S101" s="14" t="n"/>
      <c r="U101" s="53" t="n"/>
      <c r="V101" s="53" t="n"/>
      <c r="W101" s="53" t="n"/>
      <c r="X101" s="53" t="n"/>
      <c r="Y101" s="53" t="n"/>
      <c r="Z101" s="53" t="n"/>
      <c r="AA101" s="53" t="n"/>
      <c r="AB101" s="53" t="n"/>
      <c r="AC101" s="53" t="n"/>
      <c r="AD101" s="53" t="n"/>
      <c r="AE101" s="53" t="n"/>
      <c r="AF101" s="53" t="n"/>
      <c r="AG101" s="53" t="n"/>
      <c r="AH101" s="53" t="n"/>
      <c r="AI101" s="53" t="n"/>
      <c r="AJ101" s="53" t="n"/>
      <c r="AK101" s="53" t="n"/>
      <c r="AL101" s="53" t="n"/>
      <c r="AM101" s="53" t="n"/>
      <c r="AN101" s="53" t="n"/>
      <c r="AO101" s="53" t="n"/>
      <c r="AP101" s="53" t="n"/>
      <c r="AQ101" s="53" t="n"/>
      <c r="AR101" s="53" t="n"/>
      <c r="AS101" s="53" t="n"/>
      <c r="AT101" s="53" t="n"/>
      <c r="AU101" s="53" t="n"/>
      <c r="AV101" s="53" t="n"/>
      <c r="AW101" s="53" t="n"/>
      <c r="AX101" s="53" t="n"/>
      <c r="AY101" s="53" t="n"/>
    </row>
    <row r="102" ht="15" customHeight="1">
      <c r="A102" s="62" t="n"/>
      <c r="B102" s="55">
        <f>IF($B$100="","",$B$100)</f>
        <v/>
      </c>
      <c r="C102" s="63" t="inlineStr">
        <is>
          <t>마케팅2팀</t>
        </is>
      </c>
      <c r="D102" s="55">
        <f>IF($D$100="","",$D$100)</f>
        <v/>
      </c>
      <c r="E102" s="64" t="inlineStr">
        <is>
          <t>영상</t>
        </is>
      </c>
      <c r="F102" s="44" t="n"/>
      <c r="G102" s="58">
        <f>IF($G$100="","",$G$100)</f>
        <v/>
      </c>
      <c r="H102" s="59" t="n"/>
      <c r="I102" s="59" t="n"/>
      <c r="J102" s="59" t="n"/>
      <c r="K102" s="59" t="n"/>
      <c r="L102" s="65">
        <f>IF(SUM(U102:AY102)=0,"",SUM(U102:AY102))</f>
        <v/>
      </c>
      <c r="M102" s="66">
        <f>IFERROR(INDEX(U$2:AY$2,MATCH(TRUE,INDEX(U102:AY102&lt;&gt;"",0),0)),"")</f>
        <v/>
      </c>
      <c r="N102" s="66">
        <f>IFERROR(LOOKUP(2,1/(U102:AY102&lt;&gt;""),U$2:AY$2),"")</f>
        <v/>
      </c>
      <c r="O102" s="59" t="n"/>
      <c r="P102" s="59" t="n"/>
      <c r="Q102" s="59" t="n"/>
      <c r="R102" s="59" t="n"/>
      <c r="S102" s="14" t="n"/>
      <c r="U102" s="53" t="n"/>
      <c r="V102" s="53" t="n"/>
      <c r="W102" s="53" t="n"/>
      <c r="X102" s="53" t="n"/>
      <c r="Y102" s="53" t="n"/>
      <c r="Z102" s="53" t="n"/>
      <c r="AA102" s="53" t="n"/>
      <c r="AB102" s="53" t="n"/>
      <c r="AC102" s="53" t="n"/>
      <c r="AD102" s="53" t="n"/>
      <c r="AE102" s="53" t="n"/>
      <c r="AF102" s="53" t="n"/>
      <c r="AG102" s="53" t="n"/>
      <c r="AH102" s="53" t="n"/>
      <c r="AI102" s="53" t="n"/>
      <c r="AJ102" s="53" t="n"/>
      <c r="AK102" s="53" t="n"/>
      <c r="AL102" s="53" t="n"/>
      <c r="AM102" s="53" t="n"/>
      <c r="AN102" s="53" t="n"/>
      <c r="AO102" s="53" t="n"/>
      <c r="AP102" s="53" t="n"/>
      <c r="AQ102" s="53" t="n"/>
      <c r="AR102" s="53" t="n"/>
      <c r="AS102" s="53" t="n"/>
      <c r="AT102" s="53" t="n"/>
      <c r="AU102" s="53" t="n"/>
      <c r="AV102" s="53" t="n"/>
      <c r="AW102" s="53" t="n"/>
      <c r="AX102" s="53" t="n"/>
      <c r="AY102" s="53" t="n"/>
    </row>
    <row r="103" ht="15" customHeight="1">
      <c r="A103" s="40">
        <f>IF($D$103="","",32)</f>
        <v/>
      </c>
      <c r="B103" s="10" t="n"/>
      <c r="C103" s="41" t="inlineStr">
        <is>
          <t>마케팅2팀</t>
        </is>
      </c>
      <c r="D103" s="42" t="n"/>
      <c r="E103" s="43" t="inlineStr">
        <is>
          <t>기획</t>
        </is>
      </c>
      <c r="F103" s="44" t="n"/>
      <c r="G103" s="45" t="n"/>
      <c r="H103" s="46">
        <f>IF($I$103="","",IF($I$103&lt;0,"🔴지연",IF($I$103&lt;=1,"🟡임박","🟢여유")))</f>
        <v/>
      </c>
      <c r="I103" s="47">
        <f>IF(OR($G$103="",$K$103=""),"",$G$103-$K$103)</f>
        <v/>
      </c>
      <c r="J103" s="48">
        <f>IF(SUM($L$103:$L$105)=0,"",SUM($L$103:$L$105))</f>
        <v/>
      </c>
      <c r="K103" s="49">
        <f>IF($J$103="","",MAX($N$103:$N$105))</f>
        <v/>
      </c>
      <c r="L103" s="50">
        <f>IF(SUM(U103:AY103)=0,"",SUM(U103:AY103))</f>
        <v/>
      </c>
      <c r="M103" s="51">
        <f>IFERROR(INDEX(U$2:AY$2,MATCH(TRUE,INDEX(U103:AY103&lt;&gt;"",0),0)),"")</f>
        <v/>
      </c>
      <c r="N103" s="51">
        <f>IFERROR(LOOKUP(2,1/(U103:AY103&lt;&gt;""),U$2:AY$2),"")</f>
        <v/>
      </c>
      <c r="O103" s="52" t="n"/>
      <c r="P103" s="52" t="n"/>
      <c r="Q103" s="52" t="n"/>
      <c r="R103" s="44" t="n"/>
      <c r="S103" s="14" t="n"/>
      <c r="U103" s="53" t="n"/>
      <c r="V103" s="53" t="n"/>
      <c r="W103" s="53" t="n"/>
      <c r="X103" s="53" t="n"/>
      <c r="Y103" s="53" t="n"/>
      <c r="Z103" s="53" t="n"/>
      <c r="AA103" s="53" t="n"/>
      <c r="AB103" s="53" t="n"/>
      <c r="AC103" s="53" t="n"/>
      <c r="AD103" s="53" t="n"/>
      <c r="AE103" s="53" t="n"/>
      <c r="AF103" s="53" t="n"/>
      <c r="AG103" s="53" t="n"/>
      <c r="AH103" s="53" t="n"/>
      <c r="AI103" s="53" t="n"/>
      <c r="AJ103" s="53" t="n"/>
      <c r="AK103" s="53" t="n"/>
      <c r="AL103" s="53" t="n"/>
      <c r="AM103" s="53" t="n"/>
      <c r="AN103" s="53" t="n"/>
      <c r="AO103" s="53" t="n"/>
      <c r="AP103" s="53" t="n"/>
      <c r="AQ103" s="53" t="n"/>
      <c r="AR103" s="53" t="n"/>
      <c r="AS103" s="53" t="n"/>
      <c r="AT103" s="53" t="n"/>
      <c r="AU103" s="53" t="n"/>
      <c r="AV103" s="53" t="n"/>
      <c r="AW103" s="53" t="n"/>
      <c r="AX103" s="53" t="n"/>
      <c r="AY103" s="53" t="n"/>
    </row>
    <row r="104" ht="15" customHeight="1">
      <c r="A104" s="54" t="n"/>
      <c r="B104" s="55">
        <f>IF($B$103="","",$B$103)</f>
        <v/>
      </c>
      <c r="C104" s="56" t="inlineStr">
        <is>
          <t>마케팅2팀</t>
        </is>
      </c>
      <c r="D104" s="55">
        <f>IF($D$103="","",$D$103)</f>
        <v/>
      </c>
      <c r="E104" s="57" t="inlineStr">
        <is>
          <t>이미지</t>
        </is>
      </c>
      <c r="F104" s="44" t="n"/>
      <c r="G104" s="58">
        <f>IF($G$103="","",$G$103)</f>
        <v/>
      </c>
      <c r="H104" s="59" t="n"/>
      <c r="I104" s="59" t="n"/>
      <c r="J104" s="59" t="n"/>
      <c r="K104" s="59" t="n"/>
      <c r="L104" s="60">
        <f>IF(SUM(U104:AY104)=0,"",SUM(U104:AY104))</f>
        <v/>
      </c>
      <c r="M104" s="61">
        <f>IFERROR(INDEX(U$2:AY$2,MATCH(TRUE,INDEX(U104:AY104&lt;&gt;"",0),0)),"")</f>
        <v/>
      </c>
      <c r="N104" s="61">
        <f>IFERROR(LOOKUP(2,1/(U104:AY104&lt;&gt;""),U$2:AY$2),"")</f>
        <v/>
      </c>
      <c r="O104" s="59" t="n"/>
      <c r="P104" s="59" t="n"/>
      <c r="Q104" s="59" t="n"/>
      <c r="R104" s="59" t="n"/>
      <c r="S104" s="14" t="n"/>
      <c r="U104" s="53" t="n"/>
      <c r="V104" s="53" t="n"/>
      <c r="W104" s="53" t="n"/>
      <c r="X104" s="53" t="n"/>
      <c r="Y104" s="53" t="n"/>
      <c r="Z104" s="53" t="n"/>
      <c r="AA104" s="53" t="n"/>
      <c r="AB104" s="53" t="n"/>
      <c r="AC104" s="53" t="n"/>
      <c r="AD104" s="53" t="n"/>
      <c r="AE104" s="53" t="n"/>
      <c r="AF104" s="53" t="n"/>
      <c r="AG104" s="53" t="n"/>
      <c r="AH104" s="53" t="n"/>
      <c r="AI104" s="53" t="n"/>
      <c r="AJ104" s="53" t="n"/>
      <c r="AK104" s="53" t="n"/>
      <c r="AL104" s="53" t="n"/>
      <c r="AM104" s="53" t="n"/>
      <c r="AN104" s="53" t="n"/>
      <c r="AO104" s="53" t="n"/>
      <c r="AP104" s="53" t="n"/>
      <c r="AQ104" s="53" t="n"/>
      <c r="AR104" s="53" t="n"/>
      <c r="AS104" s="53" t="n"/>
      <c r="AT104" s="53" t="n"/>
      <c r="AU104" s="53" t="n"/>
      <c r="AV104" s="53" t="n"/>
      <c r="AW104" s="53" t="n"/>
      <c r="AX104" s="53" t="n"/>
      <c r="AY104" s="53" t="n"/>
    </row>
    <row r="105" ht="15" customHeight="1">
      <c r="A105" s="62" t="n"/>
      <c r="B105" s="55">
        <f>IF($B$103="","",$B$103)</f>
        <v/>
      </c>
      <c r="C105" s="63" t="inlineStr">
        <is>
          <t>마케팅2팀</t>
        </is>
      </c>
      <c r="D105" s="55">
        <f>IF($D$103="","",$D$103)</f>
        <v/>
      </c>
      <c r="E105" s="64" t="inlineStr">
        <is>
          <t>영상</t>
        </is>
      </c>
      <c r="F105" s="44" t="n"/>
      <c r="G105" s="58">
        <f>IF($G$103="","",$G$103)</f>
        <v/>
      </c>
      <c r="H105" s="59" t="n"/>
      <c r="I105" s="59" t="n"/>
      <c r="J105" s="59" t="n"/>
      <c r="K105" s="59" t="n"/>
      <c r="L105" s="65">
        <f>IF(SUM(U105:AY105)=0,"",SUM(U105:AY105))</f>
        <v/>
      </c>
      <c r="M105" s="66">
        <f>IFERROR(INDEX(U$2:AY$2,MATCH(TRUE,INDEX(U105:AY105&lt;&gt;"",0),0)),"")</f>
        <v/>
      </c>
      <c r="N105" s="66">
        <f>IFERROR(LOOKUP(2,1/(U105:AY105&lt;&gt;""),U$2:AY$2),"")</f>
        <v/>
      </c>
      <c r="O105" s="59" t="n"/>
      <c r="P105" s="59" t="n"/>
      <c r="Q105" s="59" t="n"/>
      <c r="R105" s="59" t="n"/>
      <c r="S105" s="14" t="n"/>
      <c r="U105" s="53" t="n"/>
      <c r="V105" s="53" t="n"/>
      <c r="W105" s="53" t="n"/>
      <c r="X105" s="53" t="n"/>
      <c r="Y105" s="53" t="n"/>
      <c r="Z105" s="53" t="n"/>
      <c r="AA105" s="53" t="n"/>
      <c r="AB105" s="53" t="n"/>
      <c r="AC105" s="53" t="n"/>
      <c r="AD105" s="53" t="n"/>
      <c r="AE105" s="53" t="n"/>
      <c r="AF105" s="53" t="n"/>
      <c r="AG105" s="53" t="n"/>
      <c r="AH105" s="53" t="n"/>
      <c r="AI105" s="53" t="n"/>
      <c r="AJ105" s="53" t="n"/>
      <c r="AK105" s="53" t="n"/>
      <c r="AL105" s="53" t="n"/>
      <c r="AM105" s="53" t="n"/>
      <c r="AN105" s="53" t="n"/>
      <c r="AO105" s="53" t="n"/>
      <c r="AP105" s="53" t="n"/>
      <c r="AQ105" s="53" t="n"/>
      <c r="AR105" s="53" t="n"/>
      <c r="AS105" s="53" t="n"/>
      <c r="AT105" s="53" t="n"/>
      <c r="AU105" s="53" t="n"/>
      <c r="AV105" s="53" t="n"/>
      <c r="AW105" s="53" t="n"/>
      <c r="AX105" s="53" t="n"/>
      <c r="AY105" s="53" t="n"/>
    </row>
    <row r="106" ht="15" customHeight="1">
      <c r="A106" s="40">
        <f>IF($D$106="","",33)</f>
        <v/>
      </c>
      <c r="B106" s="10" t="n"/>
      <c r="C106" s="41" t="inlineStr">
        <is>
          <t>마케팅2팀</t>
        </is>
      </c>
      <c r="D106" s="42" t="n"/>
      <c r="E106" s="43" t="inlineStr">
        <is>
          <t>기획</t>
        </is>
      </c>
      <c r="F106" s="44" t="n"/>
      <c r="G106" s="45" t="n"/>
      <c r="H106" s="46">
        <f>IF($I$106="","",IF($I$106&lt;0,"🔴지연",IF($I$106&lt;=1,"🟡임박","🟢여유")))</f>
        <v/>
      </c>
      <c r="I106" s="47">
        <f>IF(OR($G$106="",$K$106=""),"",$G$106-$K$106)</f>
        <v/>
      </c>
      <c r="J106" s="48">
        <f>IF(SUM($L$106:$L$108)=0,"",SUM($L$106:$L$108))</f>
        <v/>
      </c>
      <c r="K106" s="49">
        <f>IF($J$106="","",MAX($N$106:$N$108))</f>
        <v/>
      </c>
      <c r="L106" s="50">
        <f>IF(SUM(U106:AY106)=0,"",SUM(U106:AY106))</f>
        <v/>
      </c>
      <c r="M106" s="51">
        <f>IFERROR(INDEX(U$2:AY$2,MATCH(TRUE,INDEX(U106:AY106&lt;&gt;"",0),0)),"")</f>
        <v/>
      </c>
      <c r="N106" s="51">
        <f>IFERROR(LOOKUP(2,1/(U106:AY106&lt;&gt;""),U$2:AY$2),"")</f>
        <v/>
      </c>
      <c r="O106" s="52" t="n"/>
      <c r="P106" s="52" t="n"/>
      <c r="Q106" s="52" t="n"/>
      <c r="R106" s="44" t="n"/>
      <c r="S106" s="14" t="n"/>
      <c r="U106" s="53" t="n"/>
      <c r="V106" s="53" t="n"/>
      <c r="W106" s="53" t="n"/>
      <c r="X106" s="53" t="n"/>
      <c r="Y106" s="53" t="n"/>
      <c r="Z106" s="53" t="n"/>
      <c r="AA106" s="53" t="n"/>
      <c r="AB106" s="53" t="n"/>
      <c r="AC106" s="53" t="n"/>
      <c r="AD106" s="53" t="n"/>
      <c r="AE106" s="53" t="n"/>
      <c r="AF106" s="53" t="n"/>
      <c r="AG106" s="53" t="n"/>
      <c r="AH106" s="53" t="n"/>
      <c r="AI106" s="53" t="n"/>
      <c r="AJ106" s="53" t="n"/>
      <c r="AK106" s="53" t="n"/>
      <c r="AL106" s="53" t="n"/>
      <c r="AM106" s="53" t="n"/>
      <c r="AN106" s="53" t="n"/>
      <c r="AO106" s="53" t="n"/>
      <c r="AP106" s="53" t="n"/>
      <c r="AQ106" s="53" t="n"/>
      <c r="AR106" s="53" t="n"/>
      <c r="AS106" s="53" t="n"/>
      <c r="AT106" s="53" t="n"/>
      <c r="AU106" s="53" t="n"/>
      <c r="AV106" s="53" t="n"/>
      <c r="AW106" s="53" t="n"/>
      <c r="AX106" s="53" t="n"/>
      <c r="AY106" s="53" t="n"/>
    </row>
    <row r="107" ht="15" customHeight="1">
      <c r="A107" s="54" t="n"/>
      <c r="B107" s="55">
        <f>IF($B$106="","",$B$106)</f>
        <v/>
      </c>
      <c r="C107" s="56" t="inlineStr">
        <is>
          <t>마케팅2팀</t>
        </is>
      </c>
      <c r="D107" s="55">
        <f>IF($D$106="","",$D$106)</f>
        <v/>
      </c>
      <c r="E107" s="57" t="inlineStr">
        <is>
          <t>이미지</t>
        </is>
      </c>
      <c r="F107" s="44" t="n"/>
      <c r="G107" s="58">
        <f>IF($G$106="","",$G$106)</f>
        <v/>
      </c>
      <c r="H107" s="59" t="n"/>
      <c r="I107" s="59" t="n"/>
      <c r="J107" s="59" t="n"/>
      <c r="K107" s="59" t="n"/>
      <c r="L107" s="60">
        <f>IF(SUM(U107:AY107)=0,"",SUM(U107:AY107))</f>
        <v/>
      </c>
      <c r="M107" s="61">
        <f>IFERROR(INDEX(U$2:AY$2,MATCH(TRUE,INDEX(U107:AY107&lt;&gt;"",0),0)),"")</f>
        <v/>
      </c>
      <c r="N107" s="61">
        <f>IFERROR(LOOKUP(2,1/(U107:AY107&lt;&gt;""),U$2:AY$2),"")</f>
        <v/>
      </c>
      <c r="O107" s="59" t="n"/>
      <c r="P107" s="59" t="n"/>
      <c r="Q107" s="59" t="n"/>
      <c r="R107" s="59" t="n"/>
      <c r="S107" s="14" t="n"/>
      <c r="U107" s="53" t="n"/>
      <c r="V107" s="53" t="n"/>
      <c r="W107" s="53" t="n"/>
      <c r="X107" s="53" t="n"/>
      <c r="Y107" s="53" t="n"/>
      <c r="Z107" s="53" t="n"/>
      <c r="AA107" s="53" t="n"/>
      <c r="AB107" s="53" t="n"/>
      <c r="AC107" s="53" t="n"/>
      <c r="AD107" s="53" t="n"/>
      <c r="AE107" s="53" t="n"/>
      <c r="AF107" s="53" t="n"/>
      <c r="AG107" s="53" t="n"/>
      <c r="AH107" s="53" t="n"/>
      <c r="AI107" s="53" t="n"/>
      <c r="AJ107" s="53" t="n"/>
      <c r="AK107" s="53" t="n"/>
      <c r="AL107" s="53" t="n"/>
      <c r="AM107" s="53" t="n"/>
      <c r="AN107" s="53" t="n"/>
      <c r="AO107" s="53" t="n"/>
      <c r="AP107" s="53" t="n"/>
      <c r="AQ107" s="53" t="n"/>
      <c r="AR107" s="53" t="n"/>
      <c r="AS107" s="53" t="n"/>
      <c r="AT107" s="53" t="n"/>
      <c r="AU107" s="53" t="n"/>
      <c r="AV107" s="53" t="n"/>
      <c r="AW107" s="53" t="n"/>
      <c r="AX107" s="53" t="n"/>
      <c r="AY107" s="53" t="n"/>
    </row>
    <row r="108" ht="15" customHeight="1">
      <c r="A108" s="62" t="n"/>
      <c r="B108" s="55">
        <f>IF($B$106="","",$B$106)</f>
        <v/>
      </c>
      <c r="C108" s="63" t="inlineStr">
        <is>
          <t>마케팅2팀</t>
        </is>
      </c>
      <c r="D108" s="55">
        <f>IF($D$106="","",$D$106)</f>
        <v/>
      </c>
      <c r="E108" s="64" t="inlineStr">
        <is>
          <t>영상</t>
        </is>
      </c>
      <c r="F108" s="44" t="n"/>
      <c r="G108" s="58">
        <f>IF($G$106="","",$G$106)</f>
        <v/>
      </c>
      <c r="H108" s="59" t="n"/>
      <c r="I108" s="59" t="n"/>
      <c r="J108" s="59" t="n"/>
      <c r="K108" s="59" t="n"/>
      <c r="L108" s="65">
        <f>IF(SUM(U108:AY108)=0,"",SUM(U108:AY108))</f>
        <v/>
      </c>
      <c r="M108" s="66">
        <f>IFERROR(INDEX(U$2:AY$2,MATCH(TRUE,INDEX(U108:AY108&lt;&gt;"",0),0)),"")</f>
        <v/>
      </c>
      <c r="N108" s="66">
        <f>IFERROR(LOOKUP(2,1/(U108:AY108&lt;&gt;""),U$2:AY$2),"")</f>
        <v/>
      </c>
      <c r="O108" s="59" t="n"/>
      <c r="P108" s="59" t="n"/>
      <c r="Q108" s="59" t="n"/>
      <c r="R108" s="59" t="n"/>
      <c r="S108" s="14" t="n"/>
      <c r="U108" s="53" t="n"/>
      <c r="V108" s="53" t="n"/>
      <c r="W108" s="53" t="n"/>
      <c r="X108" s="53" t="n"/>
      <c r="Y108" s="53" t="n"/>
      <c r="Z108" s="53" t="n"/>
      <c r="AA108" s="53" t="n"/>
      <c r="AB108" s="53" t="n"/>
      <c r="AC108" s="53" t="n"/>
      <c r="AD108" s="53" t="n"/>
      <c r="AE108" s="53" t="n"/>
      <c r="AF108" s="53" t="n"/>
      <c r="AG108" s="53" t="n"/>
      <c r="AH108" s="53" t="n"/>
      <c r="AI108" s="53" t="n"/>
      <c r="AJ108" s="53" t="n"/>
      <c r="AK108" s="53" t="n"/>
      <c r="AL108" s="53" t="n"/>
      <c r="AM108" s="53" t="n"/>
      <c r="AN108" s="53" t="n"/>
      <c r="AO108" s="53" t="n"/>
      <c r="AP108" s="53" t="n"/>
      <c r="AQ108" s="53" t="n"/>
      <c r="AR108" s="53" t="n"/>
      <c r="AS108" s="53" t="n"/>
      <c r="AT108" s="53" t="n"/>
      <c r="AU108" s="53" t="n"/>
      <c r="AV108" s="53" t="n"/>
      <c r="AW108" s="53" t="n"/>
      <c r="AX108" s="53" t="n"/>
      <c r="AY108" s="53" t="n"/>
    </row>
    <row r="109" ht="15" customHeight="1">
      <c r="A109" s="40">
        <f>IF($D$109="","",34)</f>
        <v/>
      </c>
      <c r="B109" s="10" t="n"/>
      <c r="C109" s="41" t="inlineStr">
        <is>
          <t>마케팅2팀</t>
        </is>
      </c>
      <c r="D109" s="42" t="n"/>
      <c r="E109" s="43" t="inlineStr">
        <is>
          <t>기획</t>
        </is>
      </c>
      <c r="F109" s="44" t="n"/>
      <c r="G109" s="45" t="n"/>
      <c r="H109" s="46">
        <f>IF($I$109="","",IF($I$109&lt;0,"🔴지연",IF($I$109&lt;=1,"🟡임박","🟢여유")))</f>
        <v/>
      </c>
      <c r="I109" s="47">
        <f>IF(OR($G$109="",$K$109=""),"",$G$109-$K$109)</f>
        <v/>
      </c>
      <c r="J109" s="48">
        <f>IF(SUM($L$109:$L$111)=0,"",SUM($L$109:$L$111))</f>
        <v/>
      </c>
      <c r="K109" s="49">
        <f>IF($J$109="","",MAX($N$109:$N$111))</f>
        <v/>
      </c>
      <c r="L109" s="50">
        <f>IF(SUM(U109:AY109)=0,"",SUM(U109:AY109))</f>
        <v/>
      </c>
      <c r="M109" s="51">
        <f>IFERROR(INDEX(U$2:AY$2,MATCH(TRUE,INDEX(U109:AY109&lt;&gt;"",0),0)),"")</f>
        <v/>
      </c>
      <c r="N109" s="51">
        <f>IFERROR(LOOKUP(2,1/(U109:AY109&lt;&gt;""),U$2:AY$2),"")</f>
        <v/>
      </c>
      <c r="O109" s="52" t="n"/>
      <c r="P109" s="52" t="n"/>
      <c r="Q109" s="52" t="n"/>
      <c r="R109" s="44" t="n"/>
      <c r="S109" s="14" t="n"/>
      <c r="U109" s="53" t="n"/>
      <c r="V109" s="53" t="n"/>
      <c r="W109" s="53" t="n"/>
      <c r="X109" s="53" t="n"/>
      <c r="Y109" s="53" t="n"/>
      <c r="Z109" s="53" t="n"/>
      <c r="AA109" s="53" t="n"/>
      <c r="AB109" s="53" t="n"/>
      <c r="AC109" s="53" t="n"/>
      <c r="AD109" s="53" t="n"/>
      <c r="AE109" s="53" t="n"/>
      <c r="AF109" s="53" t="n"/>
      <c r="AG109" s="53" t="n"/>
      <c r="AH109" s="53" t="n"/>
      <c r="AI109" s="53" t="n"/>
      <c r="AJ109" s="53" t="n"/>
      <c r="AK109" s="53" t="n"/>
      <c r="AL109" s="53" t="n"/>
      <c r="AM109" s="53" t="n"/>
      <c r="AN109" s="53" t="n"/>
      <c r="AO109" s="53" t="n"/>
      <c r="AP109" s="53" t="n"/>
      <c r="AQ109" s="53" t="n"/>
      <c r="AR109" s="53" t="n"/>
      <c r="AS109" s="53" t="n"/>
      <c r="AT109" s="53" t="n"/>
      <c r="AU109" s="53" t="n"/>
      <c r="AV109" s="53" t="n"/>
      <c r="AW109" s="53" t="n"/>
      <c r="AX109" s="53" t="n"/>
      <c r="AY109" s="53" t="n"/>
    </row>
    <row r="110" ht="15" customHeight="1">
      <c r="A110" s="54" t="n"/>
      <c r="B110" s="55">
        <f>IF($B$109="","",$B$109)</f>
        <v/>
      </c>
      <c r="C110" s="56" t="inlineStr">
        <is>
          <t>마케팅2팀</t>
        </is>
      </c>
      <c r="D110" s="55">
        <f>IF($D$109="","",$D$109)</f>
        <v/>
      </c>
      <c r="E110" s="57" t="inlineStr">
        <is>
          <t>이미지</t>
        </is>
      </c>
      <c r="F110" s="44" t="n"/>
      <c r="G110" s="58">
        <f>IF($G$109="","",$G$109)</f>
        <v/>
      </c>
      <c r="H110" s="59" t="n"/>
      <c r="I110" s="59" t="n"/>
      <c r="J110" s="59" t="n"/>
      <c r="K110" s="59" t="n"/>
      <c r="L110" s="60">
        <f>IF(SUM(U110:AY110)=0,"",SUM(U110:AY110))</f>
        <v/>
      </c>
      <c r="M110" s="61">
        <f>IFERROR(INDEX(U$2:AY$2,MATCH(TRUE,INDEX(U110:AY110&lt;&gt;"",0),0)),"")</f>
        <v/>
      </c>
      <c r="N110" s="61">
        <f>IFERROR(LOOKUP(2,1/(U110:AY110&lt;&gt;""),U$2:AY$2),"")</f>
        <v/>
      </c>
      <c r="O110" s="59" t="n"/>
      <c r="P110" s="59" t="n"/>
      <c r="Q110" s="59" t="n"/>
      <c r="R110" s="59" t="n"/>
      <c r="S110" s="14" t="n"/>
      <c r="U110" s="53" t="n"/>
      <c r="V110" s="53" t="n"/>
      <c r="W110" s="53" t="n"/>
      <c r="X110" s="53" t="n"/>
      <c r="Y110" s="53" t="n"/>
      <c r="Z110" s="53" t="n"/>
      <c r="AA110" s="53" t="n"/>
      <c r="AB110" s="53" t="n"/>
      <c r="AC110" s="53" t="n"/>
      <c r="AD110" s="53" t="n"/>
      <c r="AE110" s="53" t="n"/>
      <c r="AF110" s="53" t="n"/>
      <c r="AG110" s="53" t="n"/>
      <c r="AH110" s="53" t="n"/>
      <c r="AI110" s="53" t="n"/>
      <c r="AJ110" s="53" t="n"/>
      <c r="AK110" s="53" t="n"/>
      <c r="AL110" s="53" t="n"/>
      <c r="AM110" s="53" t="n"/>
      <c r="AN110" s="53" t="n"/>
      <c r="AO110" s="53" t="n"/>
      <c r="AP110" s="53" t="n"/>
      <c r="AQ110" s="53" t="n"/>
      <c r="AR110" s="53" t="n"/>
      <c r="AS110" s="53" t="n"/>
      <c r="AT110" s="53" t="n"/>
      <c r="AU110" s="53" t="n"/>
      <c r="AV110" s="53" t="n"/>
      <c r="AW110" s="53" t="n"/>
      <c r="AX110" s="53" t="n"/>
      <c r="AY110" s="53" t="n"/>
    </row>
    <row r="111" ht="15" customHeight="1">
      <c r="A111" s="62" t="n"/>
      <c r="B111" s="55">
        <f>IF($B$109="","",$B$109)</f>
        <v/>
      </c>
      <c r="C111" s="63" t="inlineStr">
        <is>
          <t>마케팅2팀</t>
        </is>
      </c>
      <c r="D111" s="55">
        <f>IF($D$109="","",$D$109)</f>
        <v/>
      </c>
      <c r="E111" s="64" t="inlineStr">
        <is>
          <t>영상</t>
        </is>
      </c>
      <c r="F111" s="44" t="n"/>
      <c r="G111" s="58">
        <f>IF($G$109="","",$G$109)</f>
        <v/>
      </c>
      <c r="H111" s="59" t="n"/>
      <c r="I111" s="59" t="n"/>
      <c r="J111" s="59" t="n"/>
      <c r="K111" s="59" t="n"/>
      <c r="L111" s="65">
        <f>IF(SUM(U111:AY111)=0,"",SUM(U111:AY111))</f>
        <v/>
      </c>
      <c r="M111" s="66">
        <f>IFERROR(INDEX(U$2:AY$2,MATCH(TRUE,INDEX(U111:AY111&lt;&gt;"",0),0)),"")</f>
        <v/>
      </c>
      <c r="N111" s="66">
        <f>IFERROR(LOOKUP(2,1/(U111:AY111&lt;&gt;""),U$2:AY$2),"")</f>
        <v/>
      </c>
      <c r="O111" s="59" t="n"/>
      <c r="P111" s="59" t="n"/>
      <c r="Q111" s="59" t="n"/>
      <c r="R111" s="59" t="n"/>
      <c r="S111" s="14" t="n"/>
      <c r="U111" s="53" t="n"/>
      <c r="V111" s="53" t="n"/>
      <c r="W111" s="53" t="n"/>
      <c r="X111" s="53" t="n"/>
      <c r="Y111" s="53" t="n"/>
      <c r="Z111" s="53" t="n"/>
      <c r="AA111" s="53" t="n"/>
      <c r="AB111" s="53" t="n"/>
      <c r="AC111" s="53" t="n"/>
      <c r="AD111" s="53" t="n"/>
      <c r="AE111" s="53" t="n"/>
      <c r="AF111" s="53" t="n"/>
      <c r="AG111" s="53" t="n"/>
      <c r="AH111" s="53" t="n"/>
      <c r="AI111" s="53" t="n"/>
      <c r="AJ111" s="53" t="n"/>
      <c r="AK111" s="53" t="n"/>
      <c r="AL111" s="53" t="n"/>
      <c r="AM111" s="53" t="n"/>
      <c r="AN111" s="53" t="n"/>
      <c r="AO111" s="53" t="n"/>
      <c r="AP111" s="53" t="n"/>
      <c r="AQ111" s="53" t="n"/>
      <c r="AR111" s="53" t="n"/>
      <c r="AS111" s="53" t="n"/>
      <c r="AT111" s="53" t="n"/>
      <c r="AU111" s="53" t="n"/>
      <c r="AV111" s="53" t="n"/>
      <c r="AW111" s="53" t="n"/>
      <c r="AX111" s="53" t="n"/>
      <c r="AY111" s="53" t="n"/>
    </row>
    <row r="112" ht="15" customHeight="1">
      <c r="A112" s="40">
        <f>IF($D$112="","",35)</f>
        <v/>
      </c>
      <c r="B112" s="10" t="n"/>
      <c r="C112" s="41" t="inlineStr">
        <is>
          <t>마케팅2팀</t>
        </is>
      </c>
      <c r="D112" s="42" t="n"/>
      <c r="E112" s="43" t="inlineStr">
        <is>
          <t>기획</t>
        </is>
      </c>
      <c r="F112" s="44" t="n"/>
      <c r="G112" s="45" t="n"/>
      <c r="H112" s="46">
        <f>IF($I$112="","",IF($I$112&lt;0,"🔴지연",IF($I$112&lt;=1,"🟡임박","🟢여유")))</f>
        <v/>
      </c>
      <c r="I112" s="47">
        <f>IF(OR($G$112="",$K$112=""),"",$G$112-$K$112)</f>
        <v/>
      </c>
      <c r="J112" s="48">
        <f>IF(SUM($L$112:$L$114)=0,"",SUM($L$112:$L$114))</f>
        <v/>
      </c>
      <c r="K112" s="49">
        <f>IF($J$112="","",MAX($N$112:$N$114))</f>
        <v/>
      </c>
      <c r="L112" s="50">
        <f>IF(SUM(U112:AY112)=0,"",SUM(U112:AY112))</f>
        <v/>
      </c>
      <c r="M112" s="51">
        <f>IFERROR(INDEX(U$2:AY$2,MATCH(TRUE,INDEX(U112:AY112&lt;&gt;"",0),0)),"")</f>
        <v/>
      </c>
      <c r="N112" s="51">
        <f>IFERROR(LOOKUP(2,1/(U112:AY112&lt;&gt;""),U$2:AY$2),"")</f>
        <v/>
      </c>
      <c r="O112" s="52" t="n"/>
      <c r="P112" s="52" t="n"/>
      <c r="Q112" s="52" t="n"/>
      <c r="R112" s="44" t="n"/>
      <c r="S112" s="14" t="n"/>
      <c r="U112" s="53" t="n"/>
      <c r="V112" s="53" t="n"/>
      <c r="W112" s="53" t="n"/>
      <c r="X112" s="53" t="n"/>
      <c r="Y112" s="53" t="n"/>
      <c r="Z112" s="53" t="n"/>
      <c r="AA112" s="53" t="n"/>
      <c r="AB112" s="53" t="n"/>
      <c r="AC112" s="53" t="n"/>
      <c r="AD112" s="53" t="n"/>
      <c r="AE112" s="53" t="n"/>
      <c r="AF112" s="53" t="n"/>
      <c r="AG112" s="53" t="n"/>
      <c r="AH112" s="53" t="n"/>
      <c r="AI112" s="53" t="n"/>
      <c r="AJ112" s="53" t="n"/>
      <c r="AK112" s="53" t="n"/>
      <c r="AL112" s="53" t="n"/>
      <c r="AM112" s="53" t="n"/>
      <c r="AN112" s="53" t="n"/>
      <c r="AO112" s="53" t="n"/>
      <c r="AP112" s="53" t="n"/>
      <c r="AQ112" s="53" t="n"/>
      <c r="AR112" s="53" t="n"/>
      <c r="AS112" s="53" t="n"/>
      <c r="AT112" s="53" t="n"/>
      <c r="AU112" s="53" t="n"/>
      <c r="AV112" s="53" t="n"/>
      <c r="AW112" s="53" t="n"/>
      <c r="AX112" s="53" t="n"/>
      <c r="AY112" s="53" t="n"/>
    </row>
    <row r="113" ht="15" customHeight="1">
      <c r="A113" s="54" t="n"/>
      <c r="B113" s="55">
        <f>IF($B$112="","",$B$112)</f>
        <v/>
      </c>
      <c r="C113" s="56" t="inlineStr">
        <is>
          <t>마케팅2팀</t>
        </is>
      </c>
      <c r="D113" s="55">
        <f>IF($D$112="","",$D$112)</f>
        <v/>
      </c>
      <c r="E113" s="57" t="inlineStr">
        <is>
          <t>이미지</t>
        </is>
      </c>
      <c r="F113" s="44" t="n"/>
      <c r="G113" s="58">
        <f>IF($G$112="","",$G$112)</f>
        <v/>
      </c>
      <c r="H113" s="59" t="n"/>
      <c r="I113" s="59" t="n"/>
      <c r="J113" s="59" t="n"/>
      <c r="K113" s="59" t="n"/>
      <c r="L113" s="60">
        <f>IF(SUM(U113:AY113)=0,"",SUM(U113:AY113))</f>
        <v/>
      </c>
      <c r="M113" s="61">
        <f>IFERROR(INDEX(U$2:AY$2,MATCH(TRUE,INDEX(U113:AY113&lt;&gt;"",0),0)),"")</f>
        <v/>
      </c>
      <c r="N113" s="61">
        <f>IFERROR(LOOKUP(2,1/(U113:AY113&lt;&gt;""),U$2:AY$2),"")</f>
        <v/>
      </c>
      <c r="O113" s="59" t="n"/>
      <c r="P113" s="59" t="n"/>
      <c r="Q113" s="59" t="n"/>
      <c r="R113" s="59" t="n"/>
      <c r="S113" s="14" t="n"/>
      <c r="U113" s="53" t="n"/>
      <c r="V113" s="53" t="n"/>
      <c r="W113" s="53" t="n"/>
      <c r="X113" s="53" t="n"/>
      <c r="Y113" s="53" t="n"/>
      <c r="Z113" s="53" t="n"/>
      <c r="AA113" s="53" t="n"/>
      <c r="AB113" s="53" t="n"/>
      <c r="AC113" s="53" t="n"/>
      <c r="AD113" s="53" t="n"/>
      <c r="AE113" s="53" t="n"/>
      <c r="AF113" s="53" t="n"/>
      <c r="AG113" s="53" t="n"/>
      <c r="AH113" s="53" t="n"/>
      <c r="AI113" s="53" t="n"/>
      <c r="AJ113" s="53" t="n"/>
      <c r="AK113" s="53" t="n"/>
      <c r="AL113" s="53" t="n"/>
      <c r="AM113" s="53" t="n"/>
      <c r="AN113" s="53" t="n"/>
      <c r="AO113" s="53" t="n"/>
      <c r="AP113" s="53" t="n"/>
      <c r="AQ113" s="53" t="n"/>
      <c r="AR113" s="53" t="n"/>
      <c r="AS113" s="53" t="n"/>
      <c r="AT113" s="53" t="n"/>
      <c r="AU113" s="53" t="n"/>
      <c r="AV113" s="53" t="n"/>
      <c r="AW113" s="53" t="n"/>
      <c r="AX113" s="53" t="n"/>
      <c r="AY113" s="53" t="n"/>
    </row>
    <row r="114" ht="15" customHeight="1">
      <c r="A114" s="62" t="n"/>
      <c r="B114" s="55">
        <f>IF($B$112="","",$B$112)</f>
        <v/>
      </c>
      <c r="C114" s="63" t="inlineStr">
        <is>
          <t>마케팅2팀</t>
        </is>
      </c>
      <c r="D114" s="55">
        <f>IF($D$112="","",$D$112)</f>
        <v/>
      </c>
      <c r="E114" s="64" t="inlineStr">
        <is>
          <t>영상</t>
        </is>
      </c>
      <c r="F114" s="44" t="n"/>
      <c r="G114" s="58">
        <f>IF($G$112="","",$G$112)</f>
        <v/>
      </c>
      <c r="H114" s="59" t="n"/>
      <c r="I114" s="59" t="n"/>
      <c r="J114" s="59" t="n"/>
      <c r="K114" s="59" t="n"/>
      <c r="L114" s="65">
        <f>IF(SUM(U114:AY114)=0,"",SUM(U114:AY114))</f>
        <v/>
      </c>
      <c r="M114" s="66">
        <f>IFERROR(INDEX(U$2:AY$2,MATCH(TRUE,INDEX(U114:AY114&lt;&gt;"",0),0)),"")</f>
        <v/>
      </c>
      <c r="N114" s="66">
        <f>IFERROR(LOOKUP(2,1/(U114:AY114&lt;&gt;""),U$2:AY$2),"")</f>
        <v/>
      </c>
      <c r="O114" s="59" t="n"/>
      <c r="P114" s="59" t="n"/>
      <c r="Q114" s="59" t="n"/>
      <c r="R114" s="59" t="n"/>
      <c r="S114" s="14" t="n"/>
      <c r="U114" s="53" t="n"/>
      <c r="V114" s="53" t="n"/>
      <c r="W114" s="53" t="n"/>
      <c r="X114" s="53" t="n"/>
      <c r="Y114" s="53" t="n"/>
      <c r="Z114" s="53" t="n"/>
      <c r="AA114" s="53" t="n"/>
      <c r="AB114" s="53" t="n"/>
      <c r="AC114" s="53" t="n"/>
      <c r="AD114" s="53" t="n"/>
      <c r="AE114" s="53" t="n"/>
      <c r="AF114" s="53" t="n"/>
      <c r="AG114" s="53" t="n"/>
      <c r="AH114" s="53" t="n"/>
      <c r="AI114" s="53" t="n"/>
      <c r="AJ114" s="53" t="n"/>
      <c r="AK114" s="53" t="n"/>
      <c r="AL114" s="53" t="n"/>
      <c r="AM114" s="53" t="n"/>
      <c r="AN114" s="53" t="n"/>
      <c r="AO114" s="53" t="n"/>
      <c r="AP114" s="53" t="n"/>
      <c r="AQ114" s="53" t="n"/>
      <c r="AR114" s="53" t="n"/>
      <c r="AS114" s="53" t="n"/>
      <c r="AT114" s="53" t="n"/>
      <c r="AU114" s="53" t="n"/>
      <c r="AV114" s="53" t="n"/>
      <c r="AW114" s="53" t="n"/>
      <c r="AX114" s="53" t="n"/>
      <c r="AY114" s="53" t="n"/>
    </row>
    <row r="115" ht="15" customHeight="1">
      <c r="A115" s="40">
        <f>IF($D$115="","",36)</f>
        <v/>
      </c>
      <c r="B115" s="10" t="n"/>
      <c r="C115" s="41" t="inlineStr">
        <is>
          <t>마케팅2팀</t>
        </is>
      </c>
      <c r="D115" s="42" t="n"/>
      <c r="E115" s="43" t="inlineStr">
        <is>
          <t>기획</t>
        </is>
      </c>
      <c r="F115" s="44" t="n"/>
      <c r="G115" s="45" t="n"/>
      <c r="H115" s="46">
        <f>IF($I$115="","",IF($I$115&lt;0,"🔴지연",IF($I$115&lt;=1,"🟡임박","🟢여유")))</f>
        <v/>
      </c>
      <c r="I115" s="47">
        <f>IF(OR($G$115="",$K$115=""),"",$G$115-$K$115)</f>
        <v/>
      </c>
      <c r="J115" s="48">
        <f>IF(SUM($L$115:$L$117)=0,"",SUM($L$115:$L$117))</f>
        <v/>
      </c>
      <c r="K115" s="49">
        <f>IF($J$115="","",MAX($N$115:$N$117))</f>
        <v/>
      </c>
      <c r="L115" s="50">
        <f>IF(SUM(U115:AY115)=0,"",SUM(U115:AY115))</f>
        <v/>
      </c>
      <c r="M115" s="51">
        <f>IFERROR(INDEX(U$2:AY$2,MATCH(TRUE,INDEX(U115:AY115&lt;&gt;"",0),0)),"")</f>
        <v/>
      </c>
      <c r="N115" s="51">
        <f>IFERROR(LOOKUP(2,1/(U115:AY115&lt;&gt;""),U$2:AY$2),"")</f>
        <v/>
      </c>
      <c r="O115" s="52" t="n"/>
      <c r="P115" s="52" t="n"/>
      <c r="Q115" s="52" t="n"/>
      <c r="R115" s="44" t="n"/>
      <c r="S115" s="14" t="n"/>
      <c r="U115" s="53" t="n"/>
      <c r="V115" s="53" t="n"/>
      <c r="W115" s="53" t="n"/>
      <c r="X115" s="53" t="n"/>
      <c r="Y115" s="53" t="n"/>
      <c r="Z115" s="53" t="n"/>
      <c r="AA115" s="53" t="n"/>
      <c r="AB115" s="53" t="n"/>
      <c r="AC115" s="53" t="n"/>
      <c r="AD115" s="53" t="n"/>
      <c r="AE115" s="53" t="n"/>
      <c r="AF115" s="53" t="n"/>
      <c r="AG115" s="53" t="n"/>
      <c r="AH115" s="53" t="n"/>
      <c r="AI115" s="53" t="n"/>
      <c r="AJ115" s="53" t="n"/>
      <c r="AK115" s="53" t="n"/>
      <c r="AL115" s="53" t="n"/>
      <c r="AM115" s="53" t="n"/>
      <c r="AN115" s="53" t="n"/>
      <c r="AO115" s="53" t="n"/>
      <c r="AP115" s="53" t="n"/>
      <c r="AQ115" s="53" t="n"/>
      <c r="AR115" s="53" t="n"/>
      <c r="AS115" s="53" t="n"/>
      <c r="AT115" s="53" t="n"/>
      <c r="AU115" s="53" t="n"/>
      <c r="AV115" s="53" t="n"/>
      <c r="AW115" s="53" t="n"/>
      <c r="AX115" s="53" t="n"/>
      <c r="AY115" s="53" t="n"/>
    </row>
    <row r="116" ht="15" customHeight="1">
      <c r="A116" s="54" t="n"/>
      <c r="B116" s="55">
        <f>IF($B$115="","",$B$115)</f>
        <v/>
      </c>
      <c r="C116" s="56" t="inlineStr">
        <is>
          <t>마케팅2팀</t>
        </is>
      </c>
      <c r="D116" s="55">
        <f>IF($D$115="","",$D$115)</f>
        <v/>
      </c>
      <c r="E116" s="57" t="inlineStr">
        <is>
          <t>이미지</t>
        </is>
      </c>
      <c r="F116" s="44" t="n"/>
      <c r="G116" s="58">
        <f>IF($G$115="","",$G$115)</f>
        <v/>
      </c>
      <c r="H116" s="59" t="n"/>
      <c r="I116" s="59" t="n"/>
      <c r="J116" s="59" t="n"/>
      <c r="K116" s="59" t="n"/>
      <c r="L116" s="60">
        <f>IF(SUM(U116:AY116)=0,"",SUM(U116:AY116))</f>
        <v/>
      </c>
      <c r="M116" s="61">
        <f>IFERROR(INDEX(U$2:AY$2,MATCH(TRUE,INDEX(U116:AY116&lt;&gt;"",0),0)),"")</f>
        <v/>
      </c>
      <c r="N116" s="61">
        <f>IFERROR(LOOKUP(2,1/(U116:AY116&lt;&gt;""),U$2:AY$2),"")</f>
        <v/>
      </c>
      <c r="O116" s="59" t="n"/>
      <c r="P116" s="59" t="n"/>
      <c r="Q116" s="59" t="n"/>
      <c r="R116" s="59" t="n"/>
      <c r="S116" s="14" t="n"/>
      <c r="U116" s="53" t="n"/>
      <c r="V116" s="53" t="n"/>
      <c r="W116" s="53" t="n"/>
      <c r="X116" s="53" t="n"/>
      <c r="Y116" s="53" t="n"/>
      <c r="Z116" s="53" t="n"/>
      <c r="AA116" s="53" t="n"/>
      <c r="AB116" s="53" t="n"/>
      <c r="AC116" s="53" t="n"/>
      <c r="AD116" s="53" t="n"/>
      <c r="AE116" s="53" t="n"/>
      <c r="AF116" s="53" t="n"/>
      <c r="AG116" s="53" t="n"/>
      <c r="AH116" s="53" t="n"/>
      <c r="AI116" s="53" t="n"/>
      <c r="AJ116" s="53" t="n"/>
      <c r="AK116" s="53" t="n"/>
      <c r="AL116" s="53" t="n"/>
      <c r="AM116" s="53" t="n"/>
      <c r="AN116" s="53" t="n"/>
      <c r="AO116" s="53" t="n"/>
      <c r="AP116" s="53" t="n"/>
      <c r="AQ116" s="53" t="n"/>
      <c r="AR116" s="53" t="n"/>
      <c r="AS116" s="53" t="n"/>
      <c r="AT116" s="53" t="n"/>
      <c r="AU116" s="53" t="n"/>
      <c r="AV116" s="53" t="n"/>
      <c r="AW116" s="53" t="n"/>
      <c r="AX116" s="53" t="n"/>
      <c r="AY116" s="53" t="n"/>
    </row>
    <row r="117" ht="15" customHeight="1">
      <c r="A117" s="62" t="n"/>
      <c r="B117" s="55">
        <f>IF($B$115="","",$B$115)</f>
        <v/>
      </c>
      <c r="C117" s="63" t="inlineStr">
        <is>
          <t>마케팅2팀</t>
        </is>
      </c>
      <c r="D117" s="55">
        <f>IF($D$115="","",$D$115)</f>
        <v/>
      </c>
      <c r="E117" s="64" t="inlineStr">
        <is>
          <t>영상</t>
        </is>
      </c>
      <c r="F117" s="44" t="n"/>
      <c r="G117" s="58">
        <f>IF($G$115="","",$G$115)</f>
        <v/>
      </c>
      <c r="H117" s="59" t="n"/>
      <c r="I117" s="59" t="n"/>
      <c r="J117" s="59" t="n"/>
      <c r="K117" s="59" t="n"/>
      <c r="L117" s="65">
        <f>IF(SUM(U117:AY117)=0,"",SUM(U117:AY117))</f>
        <v/>
      </c>
      <c r="M117" s="66">
        <f>IFERROR(INDEX(U$2:AY$2,MATCH(TRUE,INDEX(U117:AY117&lt;&gt;"",0),0)),"")</f>
        <v/>
      </c>
      <c r="N117" s="66">
        <f>IFERROR(LOOKUP(2,1/(U117:AY117&lt;&gt;""),U$2:AY$2),"")</f>
        <v/>
      </c>
      <c r="O117" s="59" t="n"/>
      <c r="P117" s="59" t="n"/>
      <c r="Q117" s="59" t="n"/>
      <c r="R117" s="59" t="n"/>
      <c r="S117" s="14" t="n"/>
      <c r="U117" s="53" t="n"/>
      <c r="V117" s="53" t="n"/>
      <c r="W117" s="53" t="n"/>
      <c r="X117" s="53" t="n"/>
      <c r="Y117" s="53" t="n"/>
      <c r="Z117" s="53" t="n"/>
      <c r="AA117" s="53" t="n"/>
      <c r="AB117" s="53" t="n"/>
      <c r="AC117" s="53" t="n"/>
      <c r="AD117" s="53" t="n"/>
      <c r="AE117" s="53" t="n"/>
      <c r="AF117" s="53" t="n"/>
      <c r="AG117" s="53" t="n"/>
      <c r="AH117" s="53" t="n"/>
      <c r="AI117" s="53" t="n"/>
      <c r="AJ117" s="53" t="n"/>
      <c r="AK117" s="53" t="n"/>
      <c r="AL117" s="53" t="n"/>
      <c r="AM117" s="53" t="n"/>
      <c r="AN117" s="53" t="n"/>
      <c r="AO117" s="53" t="n"/>
      <c r="AP117" s="53" t="n"/>
      <c r="AQ117" s="53" t="n"/>
      <c r="AR117" s="53" t="n"/>
      <c r="AS117" s="53" t="n"/>
      <c r="AT117" s="53" t="n"/>
      <c r="AU117" s="53" t="n"/>
      <c r="AV117" s="53" t="n"/>
      <c r="AW117" s="53" t="n"/>
      <c r="AX117" s="53" t="n"/>
      <c r="AY117" s="53" t="n"/>
    </row>
    <row r="118" ht="15" customHeight="1">
      <c r="A118" s="40">
        <f>IF($D$118="","",37)</f>
        <v/>
      </c>
      <c r="B118" s="10" t="n"/>
      <c r="C118" s="41" t="inlineStr">
        <is>
          <t>마케팅2팀</t>
        </is>
      </c>
      <c r="D118" s="42" t="n"/>
      <c r="E118" s="43" t="inlineStr">
        <is>
          <t>기획</t>
        </is>
      </c>
      <c r="F118" s="44" t="n"/>
      <c r="G118" s="45" t="n"/>
      <c r="H118" s="46">
        <f>IF($I$118="","",IF($I$118&lt;0,"🔴지연",IF($I$118&lt;=1,"🟡임박","🟢여유")))</f>
        <v/>
      </c>
      <c r="I118" s="47">
        <f>IF(OR($G$118="",$K$118=""),"",$G$118-$K$118)</f>
        <v/>
      </c>
      <c r="J118" s="48">
        <f>IF(SUM($L$118:$L$120)=0,"",SUM($L$118:$L$120))</f>
        <v/>
      </c>
      <c r="K118" s="49">
        <f>IF($J$118="","",MAX($N$118:$N$120))</f>
        <v/>
      </c>
      <c r="L118" s="50">
        <f>IF(SUM(U118:AY118)=0,"",SUM(U118:AY118))</f>
        <v/>
      </c>
      <c r="M118" s="51">
        <f>IFERROR(INDEX(U$2:AY$2,MATCH(TRUE,INDEX(U118:AY118&lt;&gt;"",0),0)),"")</f>
        <v/>
      </c>
      <c r="N118" s="51">
        <f>IFERROR(LOOKUP(2,1/(U118:AY118&lt;&gt;""),U$2:AY$2),"")</f>
        <v/>
      </c>
      <c r="O118" s="52" t="n"/>
      <c r="P118" s="52" t="n"/>
      <c r="Q118" s="52" t="n"/>
      <c r="R118" s="44" t="n"/>
      <c r="S118" s="14" t="n"/>
      <c r="U118" s="53" t="n"/>
      <c r="V118" s="53" t="n"/>
      <c r="W118" s="53" t="n"/>
      <c r="X118" s="53" t="n"/>
      <c r="Y118" s="53" t="n"/>
      <c r="Z118" s="53" t="n"/>
      <c r="AA118" s="53" t="n"/>
      <c r="AB118" s="53" t="n"/>
      <c r="AC118" s="53" t="n"/>
      <c r="AD118" s="53" t="n"/>
      <c r="AE118" s="53" t="n"/>
      <c r="AF118" s="53" t="n"/>
      <c r="AG118" s="53" t="n"/>
      <c r="AH118" s="53" t="n"/>
      <c r="AI118" s="53" t="n"/>
      <c r="AJ118" s="53" t="n"/>
      <c r="AK118" s="53" t="n"/>
      <c r="AL118" s="53" t="n"/>
      <c r="AM118" s="53" t="n"/>
      <c r="AN118" s="53" t="n"/>
      <c r="AO118" s="53" t="n"/>
      <c r="AP118" s="53" t="n"/>
      <c r="AQ118" s="53" t="n"/>
      <c r="AR118" s="53" t="n"/>
      <c r="AS118" s="53" t="n"/>
      <c r="AT118" s="53" t="n"/>
      <c r="AU118" s="53" t="n"/>
      <c r="AV118" s="53" t="n"/>
      <c r="AW118" s="53" t="n"/>
      <c r="AX118" s="53" t="n"/>
      <c r="AY118" s="53" t="n"/>
    </row>
    <row r="119" ht="15" customHeight="1">
      <c r="A119" s="54" t="n"/>
      <c r="B119" s="55">
        <f>IF($B$118="","",$B$118)</f>
        <v/>
      </c>
      <c r="C119" s="56" t="inlineStr">
        <is>
          <t>마케팅2팀</t>
        </is>
      </c>
      <c r="D119" s="55">
        <f>IF($D$118="","",$D$118)</f>
        <v/>
      </c>
      <c r="E119" s="57" t="inlineStr">
        <is>
          <t>이미지</t>
        </is>
      </c>
      <c r="F119" s="44" t="n"/>
      <c r="G119" s="58">
        <f>IF($G$118="","",$G$118)</f>
        <v/>
      </c>
      <c r="H119" s="59" t="n"/>
      <c r="I119" s="59" t="n"/>
      <c r="J119" s="59" t="n"/>
      <c r="K119" s="59" t="n"/>
      <c r="L119" s="60">
        <f>IF(SUM(U119:AY119)=0,"",SUM(U119:AY119))</f>
        <v/>
      </c>
      <c r="M119" s="61">
        <f>IFERROR(INDEX(U$2:AY$2,MATCH(TRUE,INDEX(U119:AY119&lt;&gt;"",0),0)),"")</f>
        <v/>
      </c>
      <c r="N119" s="61">
        <f>IFERROR(LOOKUP(2,1/(U119:AY119&lt;&gt;""),U$2:AY$2),"")</f>
        <v/>
      </c>
      <c r="O119" s="59" t="n"/>
      <c r="P119" s="59" t="n"/>
      <c r="Q119" s="59" t="n"/>
      <c r="R119" s="59" t="n"/>
      <c r="S119" s="14" t="n"/>
      <c r="U119" s="53" t="n"/>
      <c r="V119" s="53" t="n"/>
      <c r="W119" s="53" t="n"/>
      <c r="X119" s="53" t="n"/>
      <c r="Y119" s="53" t="n"/>
      <c r="Z119" s="53" t="n"/>
      <c r="AA119" s="53" t="n"/>
      <c r="AB119" s="53" t="n"/>
      <c r="AC119" s="53" t="n"/>
      <c r="AD119" s="53" t="n"/>
      <c r="AE119" s="53" t="n"/>
      <c r="AF119" s="53" t="n"/>
      <c r="AG119" s="53" t="n"/>
      <c r="AH119" s="53" t="n"/>
      <c r="AI119" s="53" t="n"/>
      <c r="AJ119" s="53" t="n"/>
      <c r="AK119" s="53" t="n"/>
      <c r="AL119" s="53" t="n"/>
      <c r="AM119" s="53" t="n"/>
      <c r="AN119" s="53" t="n"/>
      <c r="AO119" s="53" t="n"/>
      <c r="AP119" s="53" t="n"/>
      <c r="AQ119" s="53" t="n"/>
      <c r="AR119" s="53" t="n"/>
      <c r="AS119" s="53" t="n"/>
      <c r="AT119" s="53" t="n"/>
      <c r="AU119" s="53" t="n"/>
      <c r="AV119" s="53" t="n"/>
      <c r="AW119" s="53" t="n"/>
      <c r="AX119" s="53" t="n"/>
      <c r="AY119" s="53" t="n"/>
    </row>
    <row r="120" ht="15" customHeight="1">
      <c r="A120" s="62" t="n"/>
      <c r="B120" s="55">
        <f>IF($B$118="","",$B$118)</f>
        <v/>
      </c>
      <c r="C120" s="63" t="inlineStr">
        <is>
          <t>마케팅2팀</t>
        </is>
      </c>
      <c r="D120" s="55">
        <f>IF($D$118="","",$D$118)</f>
        <v/>
      </c>
      <c r="E120" s="64" t="inlineStr">
        <is>
          <t>영상</t>
        </is>
      </c>
      <c r="F120" s="44" t="n"/>
      <c r="G120" s="58">
        <f>IF($G$118="","",$G$118)</f>
        <v/>
      </c>
      <c r="H120" s="59" t="n"/>
      <c r="I120" s="59" t="n"/>
      <c r="J120" s="59" t="n"/>
      <c r="K120" s="59" t="n"/>
      <c r="L120" s="65">
        <f>IF(SUM(U120:AY120)=0,"",SUM(U120:AY120))</f>
        <v/>
      </c>
      <c r="M120" s="66">
        <f>IFERROR(INDEX(U$2:AY$2,MATCH(TRUE,INDEX(U120:AY120&lt;&gt;"",0),0)),"")</f>
        <v/>
      </c>
      <c r="N120" s="66">
        <f>IFERROR(LOOKUP(2,1/(U120:AY120&lt;&gt;""),U$2:AY$2),"")</f>
        <v/>
      </c>
      <c r="O120" s="59" t="n"/>
      <c r="P120" s="59" t="n"/>
      <c r="Q120" s="59" t="n"/>
      <c r="R120" s="59" t="n"/>
      <c r="S120" s="14" t="n"/>
      <c r="U120" s="53" t="n"/>
      <c r="V120" s="53" t="n"/>
      <c r="W120" s="53" t="n"/>
      <c r="X120" s="53" t="n"/>
      <c r="Y120" s="53" t="n"/>
      <c r="Z120" s="53" t="n"/>
      <c r="AA120" s="53" t="n"/>
      <c r="AB120" s="53" t="n"/>
      <c r="AC120" s="53" t="n"/>
      <c r="AD120" s="53" t="n"/>
      <c r="AE120" s="53" t="n"/>
      <c r="AF120" s="53" t="n"/>
      <c r="AG120" s="53" t="n"/>
      <c r="AH120" s="53" t="n"/>
      <c r="AI120" s="53" t="n"/>
      <c r="AJ120" s="53" t="n"/>
      <c r="AK120" s="53" t="n"/>
      <c r="AL120" s="53" t="n"/>
      <c r="AM120" s="53" t="n"/>
      <c r="AN120" s="53" t="n"/>
      <c r="AO120" s="53" t="n"/>
      <c r="AP120" s="53" t="n"/>
      <c r="AQ120" s="53" t="n"/>
      <c r="AR120" s="53" t="n"/>
      <c r="AS120" s="53" t="n"/>
      <c r="AT120" s="53" t="n"/>
      <c r="AU120" s="53" t="n"/>
      <c r="AV120" s="53" t="n"/>
      <c r="AW120" s="53" t="n"/>
      <c r="AX120" s="53" t="n"/>
      <c r="AY120" s="53" t="n"/>
    </row>
    <row r="121" ht="15" customHeight="1">
      <c r="A121" s="40">
        <f>IF($D$121="","",38)</f>
        <v/>
      </c>
      <c r="B121" s="10" t="n"/>
      <c r="C121" s="41" t="inlineStr">
        <is>
          <t>마케팅2팀</t>
        </is>
      </c>
      <c r="D121" s="42" t="n"/>
      <c r="E121" s="43" t="inlineStr">
        <is>
          <t>기획</t>
        </is>
      </c>
      <c r="F121" s="44" t="n"/>
      <c r="G121" s="45" t="n"/>
      <c r="H121" s="46">
        <f>IF($I$121="","",IF($I$121&lt;0,"🔴지연",IF($I$121&lt;=1,"🟡임박","🟢여유")))</f>
        <v/>
      </c>
      <c r="I121" s="47">
        <f>IF(OR($G$121="",$K$121=""),"",$G$121-$K$121)</f>
        <v/>
      </c>
      <c r="J121" s="48">
        <f>IF(SUM($L$121:$L$123)=0,"",SUM($L$121:$L$123))</f>
        <v/>
      </c>
      <c r="K121" s="49">
        <f>IF($J$121="","",MAX($N$121:$N$123))</f>
        <v/>
      </c>
      <c r="L121" s="50">
        <f>IF(SUM(U121:AY121)=0,"",SUM(U121:AY121))</f>
        <v/>
      </c>
      <c r="M121" s="51">
        <f>IFERROR(INDEX(U$2:AY$2,MATCH(TRUE,INDEX(U121:AY121&lt;&gt;"",0),0)),"")</f>
        <v/>
      </c>
      <c r="N121" s="51">
        <f>IFERROR(LOOKUP(2,1/(U121:AY121&lt;&gt;""),U$2:AY$2),"")</f>
        <v/>
      </c>
      <c r="O121" s="52" t="n"/>
      <c r="P121" s="52" t="n"/>
      <c r="Q121" s="52" t="n"/>
      <c r="R121" s="44" t="n"/>
      <c r="S121" s="14" t="n"/>
      <c r="U121" s="53" t="n"/>
      <c r="V121" s="53" t="n"/>
      <c r="W121" s="53" t="n"/>
      <c r="X121" s="53" t="n"/>
      <c r="Y121" s="53" t="n"/>
      <c r="Z121" s="53" t="n"/>
      <c r="AA121" s="53" t="n"/>
      <c r="AB121" s="53" t="n"/>
      <c r="AC121" s="53" t="n"/>
      <c r="AD121" s="53" t="n"/>
      <c r="AE121" s="53" t="n"/>
      <c r="AF121" s="53" t="n"/>
      <c r="AG121" s="53" t="n"/>
      <c r="AH121" s="53" t="n"/>
      <c r="AI121" s="53" t="n"/>
      <c r="AJ121" s="53" t="n"/>
      <c r="AK121" s="53" t="n"/>
      <c r="AL121" s="53" t="n"/>
      <c r="AM121" s="53" t="n"/>
      <c r="AN121" s="53" t="n"/>
      <c r="AO121" s="53" t="n"/>
      <c r="AP121" s="53" t="n"/>
      <c r="AQ121" s="53" t="n"/>
      <c r="AR121" s="53" t="n"/>
      <c r="AS121" s="53" t="n"/>
      <c r="AT121" s="53" t="n"/>
      <c r="AU121" s="53" t="n"/>
      <c r="AV121" s="53" t="n"/>
      <c r="AW121" s="53" t="n"/>
      <c r="AX121" s="53" t="n"/>
      <c r="AY121" s="53" t="n"/>
    </row>
    <row r="122" ht="15" customHeight="1">
      <c r="A122" s="54" t="n"/>
      <c r="B122" s="55">
        <f>IF($B$121="","",$B$121)</f>
        <v/>
      </c>
      <c r="C122" s="56" t="inlineStr">
        <is>
          <t>마케팅2팀</t>
        </is>
      </c>
      <c r="D122" s="55">
        <f>IF($D$121="","",$D$121)</f>
        <v/>
      </c>
      <c r="E122" s="57" t="inlineStr">
        <is>
          <t>이미지</t>
        </is>
      </c>
      <c r="F122" s="44" t="n"/>
      <c r="G122" s="58">
        <f>IF($G$121="","",$G$121)</f>
        <v/>
      </c>
      <c r="H122" s="59" t="n"/>
      <c r="I122" s="59" t="n"/>
      <c r="J122" s="59" t="n"/>
      <c r="K122" s="59" t="n"/>
      <c r="L122" s="60">
        <f>IF(SUM(U122:AY122)=0,"",SUM(U122:AY122))</f>
        <v/>
      </c>
      <c r="M122" s="61">
        <f>IFERROR(INDEX(U$2:AY$2,MATCH(TRUE,INDEX(U122:AY122&lt;&gt;"",0),0)),"")</f>
        <v/>
      </c>
      <c r="N122" s="61">
        <f>IFERROR(LOOKUP(2,1/(U122:AY122&lt;&gt;""),U$2:AY$2),"")</f>
        <v/>
      </c>
      <c r="O122" s="59" t="n"/>
      <c r="P122" s="59" t="n"/>
      <c r="Q122" s="59" t="n"/>
      <c r="R122" s="59" t="n"/>
      <c r="S122" s="14" t="n"/>
      <c r="U122" s="53" t="n"/>
      <c r="V122" s="53" t="n"/>
      <c r="W122" s="53" t="n"/>
      <c r="X122" s="53" t="n"/>
      <c r="Y122" s="53" t="n"/>
      <c r="Z122" s="53" t="n"/>
      <c r="AA122" s="53" t="n"/>
      <c r="AB122" s="53" t="n"/>
      <c r="AC122" s="53" t="n"/>
      <c r="AD122" s="53" t="n"/>
      <c r="AE122" s="53" t="n"/>
      <c r="AF122" s="53" t="n"/>
      <c r="AG122" s="53" t="n"/>
      <c r="AH122" s="53" t="n"/>
      <c r="AI122" s="53" t="n"/>
      <c r="AJ122" s="53" t="n"/>
      <c r="AK122" s="53" t="n"/>
      <c r="AL122" s="53" t="n"/>
      <c r="AM122" s="53" t="n"/>
      <c r="AN122" s="53" t="n"/>
      <c r="AO122" s="53" t="n"/>
      <c r="AP122" s="53" t="n"/>
      <c r="AQ122" s="53" t="n"/>
      <c r="AR122" s="53" t="n"/>
      <c r="AS122" s="53" t="n"/>
      <c r="AT122" s="53" t="n"/>
      <c r="AU122" s="53" t="n"/>
      <c r="AV122" s="53" t="n"/>
      <c r="AW122" s="53" t="n"/>
      <c r="AX122" s="53" t="n"/>
      <c r="AY122" s="53" t="n"/>
    </row>
    <row r="123" ht="15" customHeight="1">
      <c r="A123" s="62" t="n"/>
      <c r="B123" s="55">
        <f>IF($B$121="","",$B$121)</f>
        <v/>
      </c>
      <c r="C123" s="63" t="inlineStr">
        <is>
          <t>마케팅2팀</t>
        </is>
      </c>
      <c r="D123" s="55">
        <f>IF($D$121="","",$D$121)</f>
        <v/>
      </c>
      <c r="E123" s="64" t="inlineStr">
        <is>
          <t>영상</t>
        </is>
      </c>
      <c r="F123" s="44" t="n"/>
      <c r="G123" s="58">
        <f>IF($G$121="","",$G$121)</f>
        <v/>
      </c>
      <c r="H123" s="59" t="n"/>
      <c r="I123" s="59" t="n"/>
      <c r="J123" s="59" t="n"/>
      <c r="K123" s="59" t="n"/>
      <c r="L123" s="65">
        <f>IF(SUM(U123:AY123)=0,"",SUM(U123:AY123))</f>
        <v/>
      </c>
      <c r="M123" s="66">
        <f>IFERROR(INDEX(U$2:AY$2,MATCH(TRUE,INDEX(U123:AY123&lt;&gt;"",0),0)),"")</f>
        <v/>
      </c>
      <c r="N123" s="66">
        <f>IFERROR(LOOKUP(2,1/(U123:AY123&lt;&gt;""),U$2:AY$2),"")</f>
        <v/>
      </c>
      <c r="O123" s="59" t="n"/>
      <c r="P123" s="59" t="n"/>
      <c r="Q123" s="59" t="n"/>
      <c r="R123" s="59" t="n"/>
      <c r="S123" s="14" t="n"/>
      <c r="U123" s="53" t="n"/>
      <c r="V123" s="53" t="n"/>
      <c r="W123" s="53" t="n"/>
      <c r="X123" s="53" t="n"/>
      <c r="Y123" s="53" t="n"/>
      <c r="Z123" s="53" t="n"/>
      <c r="AA123" s="53" t="n"/>
      <c r="AB123" s="53" t="n"/>
      <c r="AC123" s="53" t="n"/>
      <c r="AD123" s="53" t="n"/>
      <c r="AE123" s="53" t="n"/>
      <c r="AF123" s="53" t="n"/>
      <c r="AG123" s="53" t="n"/>
      <c r="AH123" s="53" t="n"/>
      <c r="AI123" s="53" t="n"/>
      <c r="AJ123" s="53" t="n"/>
      <c r="AK123" s="53" t="n"/>
      <c r="AL123" s="53" t="n"/>
      <c r="AM123" s="53" t="n"/>
      <c r="AN123" s="53" t="n"/>
      <c r="AO123" s="53" t="n"/>
      <c r="AP123" s="53" t="n"/>
      <c r="AQ123" s="53" t="n"/>
      <c r="AR123" s="53" t="n"/>
      <c r="AS123" s="53" t="n"/>
      <c r="AT123" s="53" t="n"/>
      <c r="AU123" s="53" t="n"/>
      <c r="AV123" s="53" t="n"/>
      <c r="AW123" s="53" t="n"/>
      <c r="AX123" s="53" t="n"/>
      <c r="AY123" s="53" t="n"/>
    </row>
    <row r="124" ht="15" customHeight="1">
      <c r="A124" s="40">
        <f>IF($D$124="","",39)</f>
        <v/>
      </c>
      <c r="B124" s="10" t="n"/>
      <c r="C124" s="41" t="inlineStr">
        <is>
          <t>마케팅2팀</t>
        </is>
      </c>
      <c r="D124" s="42" t="n"/>
      <c r="E124" s="43" t="inlineStr">
        <is>
          <t>기획</t>
        </is>
      </c>
      <c r="F124" s="44" t="n"/>
      <c r="G124" s="45" t="n"/>
      <c r="H124" s="46">
        <f>IF($I$124="","",IF($I$124&lt;0,"🔴지연",IF($I$124&lt;=1,"🟡임박","🟢여유")))</f>
        <v/>
      </c>
      <c r="I124" s="47">
        <f>IF(OR($G$124="",$K$124=""),"",$G$124-$K$124)</f>
        <v/>
      </c>
      <c r="J124" s="48">
        <f>IF(SUM($L$124:$L$126)=0,"",SUM($L$124:$L$126))</f>
        <v/>
      </c>
      <c r="K124" s="49">
        <f>IF($J$124="","",MAX($N$124:$N$126))</f>
        <v/>
      </c>
      <c r="L124" s="50">
        <f>IF(SUM(U124:AY124)=0,"",SUM(U124:AY124))</f>
        <v/>
      </c>
      <c r="M124" s="51">
        <f>IFERROR(INDEX(U$2:AY$2,MATCH(TRUE,INDEX(U124:AY124&lt;&gt;"",0),0)),"")</f>
        <v/>
      </c>
      <c r="N124" s="51">
        <f>IFERROR(LOOKUP(2,1/(U124:AY124&lt;&gt;""),U$2:AY$2),"")</f>
        <v/>
      </c>
      <c r="O124" s="52" t="n"/>
      <c r="P124" s="52" t="n"/>
      <c r="Q124" s="52" t="n"/>
      <c r="R124" s="44" t="n"/>
      <c r="S124" s="14" t="n"/>
      <c r="U124" s="53" t="n"/>
      <c r="V124" s="53" t="n"/>
      <c r="W124" s="53" t="n"/>
      <c r="X124" s="53" t="n"/>
      <c r="Y124" s="53" t="n"/>
      <c r="Z124" s="53" t="n"/>
      <c r="AA124" s="53" t="n"/>
      <c r="AB124" s="53" t="n"/>
      <c r="AC124" s="53" t="n"/>
      <c r="AD124" s="53" t="n"/>
      <c r="AE124" s="53" t="n"/>
      <c r="AF124" s="53" t="n"/>
      <c r="AG124" s="53" t="n"/>
      <c r="AH124" s="53" t="n"/>
      <c r="AI124" s="53" t="n"/>
      <c r="AJ124" s="53" t="n"/>
      <c r="AK124" s="53" t="n"/>
      <c r="AL124" s="53" t="n"/>
      <c r="AM124" s="53" t="n"/>
      <c r="AN124" s="53" t="n"/>
      <c r="AO124" s="53" t="n"/>
      <c r="AP124" s="53" t="n"/>
      <c r="AQ124" s="53" t="n"/>
      <c r="AR124" s="53" t="n"/>
      <c r="AS124" s="53" t="n"/>
      <c r="AT124" s="53" t="n"/>
      <c r="AU124" s="53" t="n"/>
      <c r="AV124" s="53" t="n"/>
      <c r="AW124" s="53" t="n"/>
      <c r="AX124" s="53" t="n"/>
      <c r="AY124" s="53" t="n"/>
    </row>
    <row r="125" ht="15" customHeight="1">
      <c r="A125" s="54" t="n"/>
      <c r="B125" s="55">
        <f>IF($B$124="","",$B$124)</f>
        <v/>
      </c>
      <c r="C125" s="56" t="inlineStr">
        <is>
          <t>마케팅2팀</t>
        </is>
      </c>
      <c r="D125" s="55">
        <f>IF($D$124="","",$D$124)</f>
        <v/>
      </c>
      <c r="E125" s="57" t="inlineStr">
        <is>
          <t>이미지</t>
        </is>
      </c>
      <c r="F125" s="44" t="n"/>
      <c r="G125" s="58">
        <f>IF($G$124="","",$G$124)</f>
        <v/>
      </c>
      <c r="H125" s="59" t="n"/>
      <c r="I125" s="59" t="n"/>
      <c r="J125" s="59" t="n"/>
      <c r="K125" s="59" t="n"/>
      <c r="L125" s="60">
        <f>IF(SUM(U125:AY125)=0,"",SUM(U125:AY125))</f>
        <v/>
      </c>
      <c r="M125" s="61">
        <f>IFERROR(INDEX(U$2:AY$2,MATCH(TRUE,INDEX(U125:AY125&lt;&gt;"",0),0)),"")</f>
        <v/>
      </c>
      <c r="N125" s="61">
        <f>IFERROR(LOOKUP(2,1/(U125:AY125&lt;&gt;""),U$2:AY$2),"")</f>
        <v/>
      </c>
      <c r="O125" s="59" t="n"/>
      <c r="P125" s="59" t="n"/>
      <c r="Q125" s="59" t="n"/>
      <c r="R125" s="59" t="n"/>
      <c r="S125" s="14" t="n"/>
      <c r="U125" s="53" t="n"/>
      <c r="V125" s="53" t="n"/>
      <c r="W125" s="53" t="n"/>
      <c r="X125" s="53" t="n"/>
      <c r="Y125" s="53" t="n"/>
      <c r="Z125" s="53" t="n"/>
      <c r="AA125" s="53" t="n"/>
      <c r="AB125" s="53" t="n"/>
      <c r="AC125" s="53" t="n"/>
      <c r="AD125" s="53" t="n"/>
      <c r="AE125" s="53" t="n"/>
      <c r="AF125" s="53" t="n"/>
      <c r="AG125" s="53" t="n"/>
      <c r="AH125" s="53" t="n"/>
      <c r="AI125" s="53" t="n"/>
      <c r="AJ125" s="53" t="n"/>
      <c r="AK125" s="53" t="n"/>
      <c r="AL125" s="53" t="n"/>
      <c r="AM125" s="53" t="n"/>
      <c r="AN125" s="53" t="n"/>
      <c r="AO125" s="53" t="n"/>
      <c r="AP125" s="53" t="n"/>
      <c r="AQ125" s="53" t="n"/>
      <c r="AR125" s="53" t="n"/>
      <c r="AS125" s="53" t="n"/>
      <c r="AT125" s="53" t="n"/>
      <c r="AU125" s="53" t="n"/>
      <c r="AV125" s="53" t="n"/>
      <c r="AW125" s="53" t="n"/>
      <c r="AX125" s="53" t="n"/>
      <c r="AY125" s="53" t="n"/>
    </row>
    <row r="126" ht="15" customHeight="1">
      <c r="A126" s="62" t="n"/>
      <c r="B126" s="55">
        <f>IF($B$124="","",$B$124)</f>
        <v/>
      </c>
      <c r="C126" s="63" t="inlineStr">
        <is>
          <t>마케팅2팀</t>
        </is>
      </c>
      <c r="D126" s="55">
        <f>IF($D$124="","",$D$124)</f>
        <v/>
      </c>
      <c r="E126" s="64" t="inlineStr">
        <is>
          <t>영상</t>
        </is>
      </c>
      <c r="F126" s="44" t="n"/>
      <c r="G126" s="58">
        <f>IF($G$124="","",$G$124)</f>
        <v/>
      </c>
      <c r="H126" s="59" t="n"/>
      <c r="I126" s="59" t="n"/>
      <c r="J126" s="59" t="n"/>
      <c r="K126" s="59" t="n"/>
      <c r="L126" s="65">
        <f>IF(SUM(U126:AY126)=0,"",SUM(U126:AY126))</f>
        <v/>
      </c>
      <c r="M126" s="66">
        <f>IFERROR(INDEX(U$2:AY$2,MATCH(TRUE,INDEX(U126:AY126&lt;&gt;"",0),0)),"")</f>
        <v/>
      </c>
      <c r="N126" s="66">
        <f>IFERROR(LOOKUP(2,1/(U126:AY126&lt;&gt;""),U$2:AY$2),"")</f>
        <v/>
      </c>
      <c r="O126" s="59" t="n"/>
      <c r="P126" s="59" t="n"/>
      <c r="Q126" s="59" t="n"/>
      <c r="R126" s="59" t="n"/>
      <c r="S126" s="14" t="n"/>
      <c r="U126" s="53" t="n"/>
      <c r="V126" s="53" t="n"/>
      <c r="W126" s="53" t="n"/>
      <c r="X126" s="53" t="n"/>
      <c r="Y126" s="53" t="n"/>
      <c r="Z126" s="53" t="n"/>
      <c r="AA126" s="53" t="n"/>
      <c r="AB126" s="53" t="n"/>
      <c r="AC126" s="53" t="n"/>
      <c r="AD126" s="53" t="n"/>
      <c r="AE126" s="53" t="n"/>
      <c r="AF126" s="53" t="n"/>
      <c r="AG126" s="53" t="n"/>
      <c r="AH126" s="53" t="n"/>
      <c r="AI126" s="53" t="n"/>
      <c r="AJ126" s="53" t="n"/>
      <c r="AK126" s="53" t="n"/>
      <c r="AL126" s="53" t="n"/>
      <c r="AM126" s="53" t="n"/>
      <c r="AN126" s="53" t="n"/>
      <c r="AO126" s="53" t="n"/>
      <c r="AP126" s="53" t="n"/>
      <c r="AQ126" s="53" t="n"/>
      <c r="AR126" s="53" t="n"/>
      <c r="AS126" s="53" t="n"/>
      <c r="AT126" s="53" t="n"/>
      <c r="AU126" s="53" t="n"/>
      <c r="AV126" s="53" t="n"/>
      <c r="AW126" s="53" t="n"/>
      <c r="AX126" s="53" t="n"/>
      <c r="AY126" s="53" t="n"/>
    </row>
    <row r="127" ht="15" customHeight="1">
      <c r="A127" s="40">
        <f>IF($D$127="","",40)</f>
        <v/>
      </c>
      <c r="B127" s="10" t="n"/>
      <c r="C127" s="41" t="inlineStr">
        <is>
          <t>마케팅2팀</t>
        </is>
      </c>
      <c r="D127" s="42" t="n"/>
      <c r="E127" s="43" t="inlineStr">
        <is>
          <t>기획</t>
        </is>
      </c>
      <c r="F127" s="44" t="n"/>
      <c r="G127" s="45" t="n"/>
      <c r="H127" s="46">
        <f>IF($I$127="","",IF($I$127&lt;0,"🔴지연",IF($I$127&lt;=1,"🟡임박","🟢여유")))</f>
        <v/>
      </c>
      <c r="I127" s="47">
        <f>IF(OR($G$127="",$K$127=""),"",$G$127-$K$127)</f>
        <v/>
      </c>
      <c r="J127" s="48">
        <f>IF(SUM($L$127:$L$129)=0,"",SUM($L$127:$L$129))</f>
        <v/>
      </c>
      <c r="K127" s="49">
        <f>IF($J$127="","",MAX($N$127:$N$129))</f>
        <v/>
      </c>
      <c r="L127" s="50">
        <f>IF(SUM(U127:AY127)=0,"",SUM(U127:AY127))</f>
        <v/>
      </c>
      <c r="M127" s="51">
        <f>IFERROR(INDEX(U$2:AY$2,MATCH(TRUE,INDEX(U127:AY127&lt;&gt;"",0),0)),"")</f>
        <v/>
      </c>
      <c r="N127" s="51">
        <f>IFERROR(LOOKUP(2,1/(U127:AY127&lt;&gt;""),U$2:AY$2),"")</f>
        <v/>
      </c>
      <c r="O127" s="52" t="n"/>
      <c r="P127" s="52" t="n"/>
      <c r="Q127" s="52" t="n"/>
      <c r="R127" s="44" t="n"/>
      <c r="S127" s="14" t="n"/>
      <c r="U127" s="53" t="n"/>
      <c r="V127" s="53" t="n"/>
      <c r="W127" s="53" t="n"/>
      <c r="X127" s="53" t="n"/>
      <c r="Y127" s="53" t="n"/>
      <c r="Z127" s="53" t="n"/>
      <c r="AA127" s="53" t="n"/>
      <c r="AB127" s="53" t="n"/>
      <c r="AC127" s="53" t="n"/>
      <c r="AD127" s="53" t="n"/>
      <c r="AE127" s="53" t="n"/>
      <c r="AF127" s="53" t="n"/>
      <c r="AG127" s="53" t="n"/>
      <c r="AH127" s="53" t="n"/>
      <c r="AI127" s="53" t="n"/>
      <c r="AJ127" s="53" t="n"/>
      <c r="AK127" s="53" t="n"/>
      <c r="AL127" s="53" t="n"/>
      <c r="AM127" s="53" t="n"/>
      <c r="AN127" s="53" t="n"/>
      <c r="AO127" s="53" t="n"/>
      <c r="AP127" s="53" t="n"/>
      <c r="AQ127" s="53" t="n"/>
      <c r="AR127" s="53" t="n"/>
      <c r="AS127" s="53" t="n"/>
      <c r="AT127" s="53" t="n"/>
      <c r="AU127" s="53" t="n"/>
      <c r="AV127" s="53" t="n"/>
      <c r="AW127" s="53" t="n"/>
      <c r="AX127" s="53" t="n"/>
      <c r="AY127" s="53" t="n"/>
    </row>
    <row r="128" ht="15" customHeight="1">
      <c r="A128" s="54" t="n"/>
      <c r="B128" s="55">
        <f>IF($B$127="","",$B$127)</f>
        <v/>
      </c>
      <c r="C128" s="56" t="inlineStr">
        <is>
          <t>마케팅2팀</t>
        </is>
      </c>
      <c r="D128" s="55">
        <f>IF($D$127="","",$D$127)</f>
        <v/>
      </c>
      <c r="E128" s="57" t="inlineStr">
        <is>
          <t>이미지</t>
        </is>
      </c>
      <c r="F128" s="44" t="n"/>
      <c r="G128" s="58">
        <f>IF($G$127="","",$G$127)</f>
        <v/>
      </c>
      <c r="H128" s="59" t="n"/>
      <c r="I128" s="59" t="n"/>
      <c r="J128" s="59" t="n"/>
      <c r="K128" s="59" t="n"/>
      <c r="L128" s="60">
        <f>IF(SUM(U128:AY128)=0,"",SUM(U128:AY128))</f>
        <v/>
      </c>
      <c r="M128" s="61">
        <f>IFERROR(INDEX(U$2:AY$2,MATCH(TRUE,INDEX(U128:AY128&lt;&gt;"",0),0)),"")</f>
        <v/>
      </c>
      <c r="N128" s="61">
        <f>IFERROR(LOOKUP(2,1/(U128:AY128&lt;&gt;""),U$2:AY$2),"")</f>
        <v/>
      </c>
      <c r="O128" s="59" t="n"/>
      <c r="P128" s="59" t="n"/>
      <c r="Q128" s="59" t="n"/>
      <c r="R128" s="59" t="n"/>
      <c r="S128" s="14" t="n"/>
      <c r="U128" s="53" t="n"/>
      <c r="V128" s="53" t="n"/>
      <c r="W128" s="53" t="n"/>
      <c r="X128" s="53" t="n"/>
      <c r="Y128" s="53" t="n"/>
      <c r="Z128" s="53" t="n"/>
      <c r="AA128" s="53" t="n"/>
      <c r="AB128" s="53" t="n"/>
      <c r="AC128" s="53" t="n"/>
      <c r="AD128" s="53" t="n"/>
      <c r="AE128" s="53" t="n"/>
      <c r="AF128" s="53" t="n"/>
      <c r="AG128" s="53" t="n"/>
      <c r="AH128" s="53" t="n"/>
      <c r="AI128" s="53" t="n"/>
      <c r="AJ128" s="53" t="n"/>
      <c r="AK128" s="53" t="n"/>
      <c r="AL128" s="53" t="n"/>
      <c r="AM128" s="53" t="n"/>
      <c r="AN128" s="53" t="n"/>
      <c r="AO128" s="53" t="n"/>
      <c r="AP128" s="53" t="n"/>
      <c r="AQ128" s="53" t="n"/>
      <c r="AR128" s="53" t="n"/>
      <c r="AS128" s="53" t="n"/>
      <c r="AT128" s="53" t="n"/>
      <c r="AU128" s="53" t="n"/>
      <c r="AV128" s="53" t="n"/>
      <c r="AW128" s="53" t="n"/>
      <c r="AX128" s="53" t="n"/>
      <c r="AY128" s="53" t="n"/>
    </row>
    <row r="129" ht="15" customHeight="1">
      <c r="A129" s="62" t="n"/>
      <c r="B129" s="55">
        <f>IF($B$127="","",$B$127)</f>
        <v/>
      </c>
      <c r="C129" s="63" t="inlineStr">
        <is>
          <t>마케팅2팀</t>
        </is>
      </c>
      <c r="D129" s="55">
        <f>IF($D$127="","",$D$127)</f>
        <v/>
      </c>
      <c r="E129" s="64" t="inlineStr">
        <is>
          <t>영상</t>
        </is>
      </c>
      <c r="F129" s="44" t="n"/>
      <c r="G129" s="58">
        <f>IF($G$127="","",$G$127)</f>
        <v/>
      </c>
      <c r="H129" s="59" t="n"/>
      <c r="I129" s="59" t="n"/>
      <c r="J129" s="59" t="n"/>
      <c r="K129" s="59" t="n"/>
      <c r="L129" s="65">
        <f>IF(SUM(U129:AY129)=0,"",SUM(U129:AY129))</f>
        <v/>
      </c>
      <c r="M129" s="66">
        <f>IFERROR(INDEX(U$2:AY$2,MATCH(TRUE,INDEX(U129:AY129&lt;&gt;"",0),0)),"")</f>
        <v/>
      </c>
      <c r="N129" s="66">
        <f>IFERROR(LOOKUP(2,1/(U129:AY129&lt;&gt;""),U$2:AY$2),"")</f>
        <v/>
      </c>
      <c r="O129" s="59" t="n"/>
      <c r="P129" s="59" t="n"/>
      <c r="Q129" s="59" t="n"/>
      <c r="R129" s="59" t="n"/>
      <c r="S129" s="14" t="n"/>
      <c r="U129" s="53" t="n"/>
      <c r="V129" s="53" t="n"/>
      <c r="W129" s="53" t="n"/>
      <c r="X129" s="53" t="n"/>
      <c r="Y129" s="53" t="n"/>
      <c r="Z129" s="53" t="n"/>
      <c r="AA129" s="53" t="n"/>
      <c r="AB129" s="53" t="n"/>
      <c r="AC129" s="53" t="n"/>
      <c r="AD129" s="53" t="n"/>
      <c r="AE129" s="53" t="n"/>
      <c r="AF129" s="53" t="n"/>
      <c r="AG129" s="53" t="n"/>
      <c r="AH129" s="53" t="n"/>
      <c r="AI129" s="53" t="n"/>
      <c r="AJ129" s="53" t="n"/>
      <c r="AK129" s="53" t="n"/>
      <c r="AL129" s="53" t="n"/>
      <c r="AM129" s="53" t="n"/>
      <c r="AN129" s="53" t="n"/>
      <c r="AO129" s="53" t="n"/>
      <c r="AP129" s="53" t="n"/>
      <c r="AQ129" s="53" t="n"/>
      <c r="AR129" s="53" t="n"/>
      <c r="AS129" s="53" t="n"/>
      <c r="AT129" s="53" t="n"/>
      <c r="AU129" s="53" t="n"/>
      <c r="AV129" s="53" t="n"/>
      <c r="AW129" s="53" t="n"/>
      <c r="AX129" s="53" t="n"/>
      <c r="AY129" s="53" t="n"/>
    </row>
    <row r="130" ht="18" customHeight="1">
      <c r="A130" s="39" t="inlineStr">
        <is>
          <t>마케팅3팀   (131~190행 · 소재 20개)</t>
        </is>
      </c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  <c r="AN130" s="8" t="n"/>
      <c r="AO130" s="8" t="n"/>
      <c r="AP130" s="8" t="n"/>
      <c r="AQ130" s="8" t="n"/>
      <c r="AR130" s="8" t="n"/>
      <c r="AS130" s="8" t="n"/>
      <c r="AT130" s="8" t="n"/>
      <c r="AU130" s="8" t="n"/>
      <c r="AV130" s="8" t="n"/>
      <c r="AW130" s="8" t="n"/>
      <c r="AX130" s="8" t="n"/>
      <c r="AY130" s="4" t="n"/>
    </row>
    <row r="131" ht="15" customHeight="1">
      <c r="A131" s="40">
        <f>IF($D$131="","",41)</f>
        <v/>
      </c>
      <c r="B131" s="10" t="n"/>
      <c r="C131" s="41" t="inlineStr">
        <is>
          <t>마케팅3팀</t>
        </is>
      </c>
      <c r="D131" s="42" t="n"/>
      <c r="E131" s="43" t="inlineStr">
        <is>
          <t>기획</t>
        </is>
      </c>
      <c r="F131" s="44" t="n"/>
      <c r="G131" s="45" t="n"/>
      <c r="H131" s="46">
        <f>IF($I$131="","",IF($I$131&lt;0,"🔴지연",IF($I$131&lt;=1,"🟡임박","🟢여유")))</f>
        <v/>
      </c>
      <c r="I131" s="47">
        <f>IF(OR($G$131="",$K$131=""),"",$G$131-$K$131)</f>
        <v/>
      </c>
      <c r="J131" s="48">
        <f>IF(SUM($L$131:$L$133)=0,"",SUM($L$131:$L$133))</f>
        <v/>
      </c>
      <c r="K131" s="49">
        <f>IF($J$131="","",MAX($N$131:$N$133))</f>
        <v/>
      </c>
      <c r="L131" s="50">
        <f>IF(SUM(U131:AY131)=0,"",SUM(U131:AY131))</f>
        <v/>
      </c>
      <c r="M131" s="51">
        <f>IFERROR(INDEX(U$2:AY$2,MATCH(TRUE,INDEX(U131:AY131&lt;&gt;"",0),0)),"")</f>
        <v/>
      </c>
      <c r="N131" s="51">
        <f>IFERROR(LOOKUP(2,1/(U131:AY131&lt;&gt;""),U$2:AY$2),"")</f>
        <v/>
      </c>
      <c r="O131" s="52" t="n"/>
      <c r="P131" s="52" t="n"/>
      <c r="Q131" s="52" t="n"/>
      <c r="R131" s="44" t="n"/>
      <c r="S131" s="14" t="n"/>
      <c r="U131" s="53" t="n"/>
      <c r="V131" s="53" t="n"/>
      <c r="W131" s="53" t="n"/>
      <c r="X131" s="53" t="n"/>
      <c r="Y131" s="53" t="n"/>
      <c r="Z131" s="53" t="n"/>
      <c r="AA131" s="53" t="n"/>
      <c r="AB131" s="53" t="n"/>
      <c r="AC131" s="53" t="n"/>
      <c r="AD131" s="53" t="n"/>
      <c r="AE131" s="53" t="n"/>
      <c r="AF131" s="53" t="n"/>
      <c r="AG131" s="53" t="n"/>
      <c r="AH131" s="53" t="n"/>
      <c r="AI131" s="53" t="n"/>
      <c r="AJ131" s="53" t="n"/>
      <c r="AK131" s="53" t="n"/>
      <c r="AL131" s="53" t="n"/>
      <c r="AM131" s="53" t="n"/>
      <c r="AN131" s="53" t="n"/>
      <c r="AO131" s="53" t="n"/>
      <c r="AP131" s="53" t="n"/>
      <c r="AQ131" s="53" t="n"/>
      <c r="AR131" s="53" t="n"/>
      <c r="AS131" s="53" t="n"/>
      <c r="AT131" s="53" t="n"/>
      <c r="AU131" s="53" t="n"/>
      <c r="AV131" s="53" t="n"/>
      <c r="AW131" s="53" t="n"/>
      <c r="AX131" s="53" t="n"/>
      <c r="AY131" s="53" t="n"/>
    </row>
    <row r="132" ht="15" customHeight="1">
      <c r="A132" s="54" t="n"/>
      <c r="B132" s="55">
        <f>IF($B$131="","",$B$131)</f>
        <v/>
      </c>
      <c r="C132" s="56" t="inlineStr">
        <is>
          <t>마케팅3팀</t>
        </is>
      </c>
      <c r="D132" s="55">
        <f>IF($D$131="","",$D$131)</f>
        <v/>
      </c>
      <c r="E132" s="57" t="inlineStr">
        <is>
          <t>이미지</t>
        </is>
      </c>
      <c r="F132" s="44" t="n"/>
      <c r="G132" s="58">
        <f>IF($G$131="","",$G$131)</f>
        <v/>
      </c>
      <c r="H132" s="59" t="n"/>
      <c r="I132" s="59" t="n"/>
      <c r="J132" s="59" t="n"/>
      <c r="K132" s="59" t="n"/>
      <c r="L132" s="60">
        <f>IF(SUM(U132:AY132)=0,"",SUM(U132:AY132))</f>
        <v/>
      </c>
      <c r="M132" s="61">
        <f>IFERROR(INDEX(U$2:AY$2,MATCH(TRUE,INDEX(U132:AY132&lt;&gt;"",0),0)),"")</f>
        <v/>
      </c>
      <c r="N132" s="61">
        <f>IFERROR(LOOKUP(2,1/(U132:AY132&lt;&gt;""),U$2:AY$2),"")</f>
        <v/>
      </c>
      <c r="O132" s="59" t="n"/>
      <c r="P132" s="59" t="n"/>
      <c r="Q132" s="59" t="n"/>
      <c r="R132" s="59" t="n"/>
      <c r="S132" s="14" t="n"/>
      <c r="U132" s="53" t="n"/>
      <c r="V132" s="53" t="n"/>
      <c r="W132" s="53" t="n"/>
      <c r="X132" s="53" t="n"/>
      <c r="Y132" s="53" t="n"/>
      <c r="Z132" s="53" t="n"/>
      <c r="AA132" s="53" t="n"/>
      <c r="AB132" s="53" t="n"/>
      <c r="AC132" s="53" t="n"/>
      <c r="AD132" s="53" t="n"/>
      <c r="AE132" s="53" t="n"/>
      <c r="AF132" s="53" t="n"/>
      <c r="AG132" s="53" t="n"/>
      <c r="AH132" s="53" t="n"/>
      <c r="AI132" s="53" t="n"/>
      <c r="AJ132" s="53" t="n"/>
      <c r="AK132" s="53" t="n"/>
      <c r="AL132" s="53" t="n"/>
      <c r="AM132" s="53" t="n"/>
      <c r="AN132" s="53" t="n"/>
      <c r="AO132" s="53" t="n"/>
      <c r="AP132" s="53" t="n"/>
      <c r="AQ132" s="53" t="n"/>
      <c r="AR132" s="53" t="n"/>
      <c r="AS132" s="53" t="n"/>
      <c r="AT132" s="53" t="n"/>
      <c r="AU132" s="53" t="n"/>
      <c r="AV132" s="53" t="n"/>
      <c r="AW132" s="53" t="n"/>
      <c r="AX132" s="53" t="n"/>
      <c r="AY132" s="53" t="n"/>
    </row>
    <row r="133" ht="15" customHeight="1">
      <c r="A133" s="62" t="n"/>
      <c r="B133" s="55">
        <f>IF($B$131="","",$B$131)</f>
        <v/>
      </c>
      <c r="C133" s="63" t="inlineStr">
        <is>
          <t>마케팅3팀</t>
        </is>
      </c>
      <c r="D133" s="55">
        <f>IF($D$131="","",$D$131)</f>
        <v/>
      </c>
      <c r="E133" s="64" t="inlineStr">
        <is>
          <t>영상</t>
        </is>
      </c>
      <c r="F133" s="44" t="n"/>
      <c r="G133" s="58">
        <f>IF($G$131="","",$G$131)</f>
        <v/>
      </c>
      <c r="H133" s="59" t="n"/>
      <c r="I133" s="59" t="n"/>
      <c r="J133" s="59" t="n"/>
      <c r="K133" s="59" t="n"/>
      <c r="L133" s="65">
        <f>IF(SUM(U133:AY133)=0,"",SUM(U133:AY133))</f>
        <v/>
      </c>
      <c r="M133" s="66">
        <f>IFERROR(INDEX(U$2:AY$2,MATCH(TRUE,INDEX(U133:AY133&lt;&gt;"",0),0)),"")</f>
        <v/>
      </c>
      <c r="N133" s="66">
        <f>IFERROR(LOOKUP(2,1/(U133:AY133&lt;&gt;""),U$2:AY$2),"")</f>
        <v/>
      </c>
      <c r="O133" s="59" t="n"/>
      <c r="P133" s="59" t="n"/>
      <c r="Q133" s="59" t="n"/>
      <c r="R133" s="59" t="n"/>
      <c r="S133" s="14" t="n"/>
      <c r="U133" s="53" t="n"/>
      <c r="V133" s="53" t="n"/>
      <c r="W133" s="53" t="n"/>
      <c r="X133" s="53" t="n"/>
      <c r="Y133" s="53" t="n"/>
      <c r="Z133" s="53" t="n"/>
      <c r="AA133" s="53" t="n"/>
      <c r="AB133" s="53" t="n"/>
      <c r="AC133" s="53" t="n"/>
      <c r="AD133" s="53" t="n"/>
      <c r="AE133" s="53" t="n"/>
      <c r="AF133" s="53" t="n"/>
      <c r="AG133" s="53" t="n"/>
      <c r="AH133" s="53" t="n"/>
      <c r="AI133" s="53" t="n"/>
      <c r="AJ133" s="53" t="n"/>
      <c r="AK133" s="53" t="n"/>
      <c r="AL133" s="53" t="n"/>
      <c r="AM133" s="53" t="n"/>
      <c r="AN133" s="53" t="n"/>
      <c r="AO133" s="53" t="n"/>
      <c r="AP133" s="53" t="n"/>
      <c r="AQ133" s="53" t="n"/>
      <c r="AR133" s="53" t="n"/>
      <c r="AS133" s="53" t="n"/>
      <c r="AT133" s="53" t="n"/>
      <c r="AU133" s="53" t="n"/>
      <c r="AV133" s="53" t="n"/>
      <c r="AW133" s="53" t="n"/>
      <c r="AX133" s="53" t="n"/>
      <c r="AY133" s="53" t="n"/>
    </row>
    <row r="134" ht="15" customHeight="1">
      <c r="A134" s="40">
        <f>IF($D$134="","",42)</f>
        <v/>
      </c>
      <c r="B134" s="10" t="n"/>
      <c r="C134" s="41" t="inlineStr">
        <is>
          <t>마케팅3팀</t>
        </is>
      </c>
      <c r="D134" s="42" t="n"/>
      <c r="E134" s="43" t="inlineStr">
        <is>
          <t>기획</t>
        </is>
      </c>
      <c r="F134" s="44" t="n"/>
      <c r="G134" s="45" t="n"/>
      <c r="H134" s="46">
        <f>IF($I$134="","",IF($I$134&lt;0,"🔴지연",IF($I$134&lt;=1,"🟡임박","🟢여유")))</f>
        <v/>
      </c>
      <c r="I134" s="47">
        <f>IF(OR($G$134="",$K$134=""),"",$G$134-$K$134)</f>
        <v/>
      </c>
      <c r="J134" s="48">
        <f>IF(SUM($L$134:$L$136)=0,"",SUM($L$134:$L$136))</f>
        <v/>
      </c>
      <c r="K134" s="49">
        <f>IF($J$134="","",MAX($N$134:$N$136))</f>
        <v/>
      </c>
      <c r="L134" s="50">
        <f>IF(SUM(U134:AY134)=0,"",SUM(U134:AY134))</f>
        <v/>
      </c>
      <c r="M134" s="51">
        <f>IFERROR(INDEX(U$2:AY$2,MATCH(TRUE,INDEX(U134:AY134&lt;&gt;"",0),0)),"")</f>
        <v/>
      </c>
      <c r="N134" s="51">
        <f>IFERROR(LOOKUP(2,1/(U134:AY134&lt;&gt;""),U$2:AY$2),"")</f>
        <v/>
      </c>
      <c r="O134" s="52" t="n"/>
      <c r="P134" s="52" t="n"/>
      <c r="Q134" s="52" t="n"/>
      <c r="R134" s="44" t="n"/>
      <c r="S134" s="14" t="n"/>
      <c r="U134" s="53" t="n"/>
      <c r="V134" s="53" t="n"/>
      <c r="W134" s="53" t="n"/>
      <c r="X134" s="53" t="n"/>
      <c r="Y134" s="53" t="n"/>
      <c r="Z134" s="53" t="n"/>
      <c r="AA134" s="53" t="n"/>
      <c r="AB134" s="53" t="n"/>
      <c r="AC134" s="53" t="n"/>
      <c r="AD134" s="53" t="n"/>
      <c r="AE134" s="53" t="n"/>
      <c r="AF134" s="53" t="n"/>
      <c r="AG134" s="53" t="n"/>
      <c r="AH134" s="53" t="n"/>
      <c r="AI134" s="53" t="n"/>
      <c r="AJ134" s="53" t="n"/>
      <c r="AK134" s="53" t="n"/>
      <c r="AL134" s="53" t="n"/>
      <c r="AM134" s="53" t="n"/>
      <c r="AN134" s="53" t="n"/>
      <c r="AO134" s="53" t="n"/>
      <c r="AP134" s="53" t="n"/>
      <c r="AQ134" s="53" t="n"/>
      <c r="AR134" s="53" t="n"/>
      <c r="AS134" s="53" t="n"/>
      <c r="AT134" s="53" t="n"/>
      <c r="AU134" s="53" t="n"/>
      <c r="AV134" s="53" t="n"/>
      <c r="AW134" s="53" t="n"/>
      <c r="AX134" s="53" t="n"/>
      <c r="AY134" s="53" t="n"/>
    </row>
    <row r="135" ht="15" customHeight="1">
      <c r="A135" s="54" t="n"/>
      <c r="B135" s="55">
        <f>IF($B$134="","",$B$134)</f>
        <v/>
      </c>
      <c r="C135" s="56" t="inlineStr">
        <is>
          <t>마케팅3팀</t>
        </is>
      </c>
      <c r="D135" s="55">
        <f>IF($D$134="","",$D$134)</f>
        <v/>
      </c>
      <c r="E135" s="57" t="inlineStr">
        <is>
          <t>이미지</t>
        </is>
      </c>
      <c r="F135" s="44" t="n"/>
      <c r="G135" s="58">
        <f>IF($G$134="","",$G$134)</f>
        <v/>
      </c>
      <c r="H135" s="59" t="n"/>
      <c r="I135" s="59" t="n"/>
      <c r="J135" s="59" t="n"/>
      <c r="K135" s="59" t="n"/>
      <c r="L135" s="60">
        <f>IF(SUM(U135:AY135)=0,"",SUM(U135:AY135))</f>
        <v/>
      </c>
      <c r="M135" s="61">
        <f>IFERROR(INDEX(U$2:AY$2,MATCH(TRUE,INDEX(U135:AY135&lt;&gt;"",0),0)),"")</f>
        <v/>
      </c>
      <c r="N135" s="61">
        <f>IFERROR(LOOKUP(2,1/(U135:AY135&lt;&gt;""),U$2:AY$2),"")</f>
        <v/>
      </c>
      <c r="O135" s="59" t="n"/>
      <c r="P135" s="59" t="n"/>
      <c r="Q135" s="59" t="n"/>
      <c r="R135" s="59" t="n"/>
      <c r="S135" s="14" t="n"/>
      <c r="U135" s="53" t="n"/>
      <c r="V135" s="53" t="n"/>
      <c r="W135" s="53" t="n"/>
      <c r="X135" s="53" t="n"/>
      <c r="Y135" s="53" t="n"/>
      <c r="Z135" s="53" t="n"/>
      <c r="AA135" s="53" t="n"/>
      <c r="AB135" s="53" t="n"/>
      <c r="AC135" s="53" t="n"/>
      <c r="AD135" s="53" t="n"/>
      <c r="AE135" s="53" t="n"/>
      <c r="AF135" s="53" t="n"/>
      <c r="AG135" s="53" t="n"/>
      <c r="AH135" s="53" t="n"/>
      <c r="AI135" s="53" t="n"/>
      <c r="AJ135" s="53" t="n"/>
      <c r="AK135" s="53" t="n"/>
      <c r="AL135" s="53" t="n"/>
      <c r="AM135" s="53" t="n"/>
      <c r="AN135" s="53" t="n"/>
      <c r="AO135" s="53" t="n"/>
      <c r="AP135" s="53" t="n"/>
      <c r="AQ135" s="53" t="n"/>
      <c r="AR135" s="53" t="n"/>
      <c r="AS135" s="53" t="n"/>
      <c r="AT135" s="53" t="n"/>
      <c r="AU135" s="53" t="n"/>
      <c r="AV135" s="53" t="n"/>
      <c r="AW135" s="53" t="n"/>
      <c r="AX135" s="53" t="n"/>
      <c r="AY135" s="53" t="n"/>
    </row>
    <row r="136" ht="15" customHeight="1">
      <c r="A136" s="62" t="n"/>
      <c r="B136" s="55">
        <f>IF($B$134="","",$B$134)</f>
        <v/>
      </c>
      <c r="C136" s="63" t="inlineStr">
        <is>
          <t>마케팅3팀</t>
        </is>
      </c>
      <c r="D136" s="55">
        <f>IF($D$134="","",$D$134)</f>
        <v/>
      </c>
      <c r="E136" s="64" t="inlineStr">
        <is>
          <t>영상</t>
        </is>
      </c>
      <c r="F136" s="44" t="n"/>
      <c r="G136" s="58">
        <f>IF($G$134="","",$G$134)</f>
        <v/>
      </c>
      <c r="H136" s="59" t="n"/>
      <c r="I136" s="59" t="n"/>
      <c r="J136" s="59" t="n"/>
      <c r="K136" s="59" t="n"/>
      <c r="L136" s="65">
        <f>IF(SUM(U136:AY136)=0,"",SUM(U136:AY136))</f>
        <v/>
      </c>
      <c r="M136" s="66">
        <f>IFERROR(INDEX(U$2:AY$2,MATCH(TRUE,INDEX(U136:AY136&lt;&gt;"",0),0)),"")</f>
        <v/>
      </c>
      <c r="N136" s="66">
        <f>IFERROR(LOOKUP(2,1/(U136:AY136&lt;&gt;""),U$2:AY$2),"")</f>
        <v/>
      </c>
      <c r="O136" s="59" t="n"/>
      <c r="P136" s="59" t="n"/>
      <c r="Q136" s="59" t="n"/>
      <c r="R136" s="59" t="n"/>
      <c r="S136" s="14" t="n"/>
      <c r="U136" s="53" t="n"/>
      <c r="V136" s="53" t="n"/>
      <c r="W136" s="53" t="n"/>
      <c r="X136" s="53" t="n"/>
      <c r="Y136" s="53" t="n"/>
      <c r="Z136" s="53" t="n"/>
      <c r="AA136" s="53" t="n"/>
      <c r="AB136" s="53" t="n"/>
      <c r="AC136" s="53" t="n"/>
      <c r="AD136" s="53" t="n"/>
      <c r="AE136" s="53" t="n"/>
      <c r="AF136" s="53" t="n"/>
      <c r="AG136" s="53" t="n"/>
      <c r="AH136" s="53" t="n"/>
      <c r="AI136" s="53" t="n"/>
      <c r="AJ136" s="53" t="n"/>
      <c r="AK136" s="53" t="n"/>
      <c r="AL136" s="53" t="n"/>
      <c r="AM136" s="53" t="n"/>
      <c r="AN136" s="53" t="n"/>
      <c r="AO136" s="53" t="n"/>
      <c r="AP136" s="53" t="n"/>
      <c r="AQ136" s="53" t="n"/>
      <c r="AR136" s="53" t="n"/>
      <c r="AS136" s="53" t="n"/>
      <c r="AT136" s="53" t="n"/>
      <c r="AU136" s="53" t="n"/>
      <c r="AV136" s="53" t="n"/>
      <c r="AW136" s="53" t="n"/>
      <c r="AX136" s="53" t="n"/>
      <c r="AY136" s="53" t="n"/>
    </row>
    <row r="137" ht="15" customHeight="1">
      <c r="A137" s="40">
        <f>IF($D$137="","",43)</f>
        <v/>
      </c>
      <c r="B137" s="10" t="n"/>
      <c r="C137" s="41" t="inlineStr">
        <is>
          <t>마케팅3팀</t>
        </is>
      </c>
      <c r="D137" s="42" t="n"/>
      <c r="E137" s="43" t="inlineStr">
        <is>
          <t>기획</t>
        </is>
      </c>
      <c r="F137" s="44" t="n"/>
      <c r="G137" s="45" t="n"/>
      <c r="H137" s="46">
        <f>IF($I$137="","",IF($I$137&lt;0,"🔴지연",IF($I$137&lt;=1,"🟡임박","🟢여유")))</f>
        <v/>
      </c>
      <c r="I137" s="47">
        <f>IF(OR($G$137="",$K$137=""),"",$G$137-$K$137)</f>
        <v/>
      </c>
      <c r="J137" s="48">
        <f>IF(SUM($L$137:$L$139)=0,"",SUM($L$137:$L$139))</f>
        <v/>
      </c>
      <c r="K137" s="49">
        <f>IF($J$137="","",MAX($N$137:$N$139))</f>
        <v/>
      </c>
      <c r="L137" s="50">
        <f>IF(SUM(U137:AY137)=0,"",SUM(U137:AY137))</f>
        <v/>
      </c>
      <c r="M137" s="51">
        <f>IFERROR(INDEX(U$2:AY$2,MATCH(TRUE,INDEX(U137:AY137&lt;&gt;"",0),0)),"")</f>
        <v/>
      </c>
      <c r="N137" s="51">
        <f>IFERROR(LOOKUP(2,1/(U137:AY137&lt;&gt;""),U$2:AY$2),"")</f>
        <v/>
      </c>
      <c r="O137" s="52" t="n"/>
      <c r="P137" s="52" t="n"/>
      <c r="Q137" s="52" t="n"/>
      <c r="R137" s="44" t="n"/>
      <c r="S137" s="14" t="n"/>
      <c r="U137" s="53" t="n"/>
      <c r="V137" s="53" t="n"/>
      <c r="W137" s="53" t="n"/>
      <c r="X137" s="53" t="n"/>
      <c r="Y137" s="53" t="n"/>
      <c r="Z137" s="53" t="n"/>
      <c r="AA137" s="53" t="n"/>
      <c r="AB137" s="53" t="n"/>
      <c r="AC137" s="53" t="n"/>
      <c r="AD137" s="53" t="n"/>
      <c r="AE137" s="53" t="n"/>
      <c r="AF137" s="53" t="n"/>
      <c r="AG137" s="53" t="n"/>
      <c r="AH137" s="53" t="n"/>
      <c r="AI137" s="53" t="n"/>
      <c r="AJ137" s="53" t="n"/>
      <c r="AK137" s="53" t="n"/>
      <c r="AL137" s="53" t="n"/>
      <c r="AM137" s="53" t="n"/>
      <c r="AN137" s="53" t="n"/>
      <c r="AO137" s="53" t="n"/>
      <c r="AP137" s="53" t="n"/>
      <c r="AQ137" s="53" t="n"/>
      <c r="AR137" s="53" t="n"/>
      <c r="AS137" s="53" t="n"/>
      <c r="AT137" s="53" t="n"/>
      <c r="AU137" s="53" t="n"/>
      <c r="AV137" s="53" t="n"/>
      <c r="AW137" s="53" t="n"/>
      <c r="AX137" s="53" t="n"/>
      <c r="AY137" s="53" t="n"/>
    </row>
    <row r="138" ht="15" customHeight="1">
      <c r="A138" s="54" t="n"/>
      <c r="B138" s="55">
        <f>IF($B$137="","",$B$137)</f>
        <v/>
      </c>
      <c r="C138" s="56" t="inlineStr">
        <is>
          <t>마케팅3팀</t>
        </is>
      </c>
      <c r="D138" s="55">
        <f>IF($D$137="","",$D$137)</f>
        <v/>
      </c>
      <c r="E138" s="57" t="inlineStr">
        <is>
          <t>이미지</t>
        </is>
      </c>
      <c r="F138" s="44" t="n"/>
      <c r="G138" s="58">
        <f>IF($G$137="","",$G$137)</f>
        <v/>
      </c>
      <c r="H138" s="59" t="n"/>
      <c r="I138" s="59" t="n"/>
      <c r="J138" s="59" t="n"/>
      <c r="K138" s="59" t="n"/>
      <c r="L138" s="60">
        <f>IF(SUM(U138:AY138)=0,"",SUM(U138:AY138))</f>
        <v/>
      </c>
      <c r="M138" s="61">
        <f>IFERROR(INDEX(U$2:AY$2,MATCH(TRUE,INDEX(U138:AY138&lt;&gt;"",0),0)),"")</f>
        <v/>
      </c>
      <c r="N138" s="61">
        <f>IFERROR(LOOKUP(2,1/(U138:AY138&lt;&gt;""),U$2:AY$2),"")</f>
        <v/>
      </c>
      <c r="O138" s="59" t="n"/>
      <c r="P138" s="59" t="n"/>
      <c r="Q138" s="59" t="n"/>
      <c r="R138" s="59" t="n"/>
      <c r="S138" s="14" t="n"/>
      <c r="U138" s="53" t="n"/>
      <c r="V138" s="53" t="n"/>
      <c r="W138" s="53" t="n"/>
      <c r="X138" s="53" t="n"/>
      <c r="Y138" s="53" t="n"/>
      <c r="Z138" s="53" t="n"/>
      <c r="AA138" s="53" t="n"/>
      <c r="AB138" s="53" t="n"/>
      <c r="AC138" s="53" t="n"/>
      <c r="AD138" s="53" t="n"/>
      <c r="AE138" s="53" t="n"/>
      <c r="AF138" s="53" t="n"/>
      <c r="AG138" s="53" t="n"/>
      <c r="AH138" s="53" t="n"/>
      <c r="AI138" s="53" t="n"/>
      <c r="AJ138" s="53" t="n"/>
      <c r="AK138" s="53" t="n"/>
      <c r="AL138" s="53" t="n"/>
      <c r="AM138" s="53" t="n"/>
      <c r="AN138" s="53" t="n"/>
      <c r="AO138" s="53" t="n"/>
      <c r="AP138" s="53" t="n"/>
      <c r="AQ138" s="53" t="n"/>
      <c r="AR138" s="53" t="n"/>
      <c r="AS138" s="53" t="n"/>
      <c r="AT138" s="53" t="n"/>
      <c r="AU138" s="53" t="n"/>
      <c r="AV138" s="53" t="n"/>
      <c r="AW138" s="53" t="n"/>
      <c r="AX138" s="53" t="n"/>
      <c r="AY138" s="53" t="n"/>
    </row>
    <row r="139" ht="15" customHeight="1">
      <c r="A139" s="62" t="n"/>
      <c r="B139" s="55">
        <f>IF($B$137="","",$B$137)</f>
        <v/>
      </c>
      <c r="C139" s="63" t="inlineStr">
        <is>
          <t>마케팅3팀</t>
        </is>
      </c>
      <c r="D139" s="55">
        <f>IF($D$137="","",$D$137)</f>
        <v/>
      </c>
      <c r="E139" s="64" t="inlineStr">
        <is>
          <t>영상</t>
        </is>
      </c>
      <c r="F139" s="44" t="n"/>
      <c r="G139" s="58">
        <f>IF($G$137="","",$G$137)</f>
        <v/>
      </c>
      <c r="H139" s="59" t="n"/>
      <c r="I139" s="59" t="n"/>
      <c r="J139" s="59" t="n"/>
      <c r="K139" s="59" t="n"/>
      <c r="L139" s="65">
        <f>IF(SUM(U139:AY139)=0,"",SUM(U139:AY139))</f>
        <v/>
      </c>
      <c r="M139" s="66">
        <f>IFERROR(INDEX(U$2:AY$2,MATCH(TRUE,INDEX(U139:AY139&lt;&gt;"",0),0)),"")</f>
        <v/>
      </c>
      <c r="N139" s="66">
        <f>IFERROR(LOOKUP(2,1/(U139:AY139&lt;&gt;""),U$2:AY$2),"")</f>
        <v/>
      </c>
      <c r="O139" s="59" t="n"/>
      <c r="P139" s="59" t="n"/>
      <c r="Q139" s="59" t="n"/>
      <c r="R139" s="59" t="n"/>
      <c r="S139" s="14" t="n"/>
      <c r="U139" s="53" t="n"/>
      <c r="V139" s="53" t="n"/>
      <c r="W139" s="53" t="n"/>
      <c r="X139" s="53" t="n"/>
      <c r="Y139" s="53" t="n"/>
      <c r="Z139" s="53" t="n"/>
      <c r="AA139" s="53" t="n"/>
      <c r="AB139" s="53" t="n"/>
      <c r="AC139" s="53" t="n"/>
      <c r="AD139" s="53" t="n"/>
      <c r="AE139" s="53" t="n"/>
      <c r="AF139" s="53" t="n"/>
      <c r="AG139" s="53" t="n"/>
      <c r="AH139" s="53" t="n"/>
      <c r="AI139" s="53" t="n"/>
      <c r="AJ139" s="53" t="n"/>
      <c r="AK139" s="53" t="n"/>
      <c r="AL139" s="53" t="n"/>
      <c r="AM139" s="53" t="n"/>
      <c r="AN139" s="53" t="n"/>
      <c r="AO139" s="53" t="n"/>
      <c r="AP139" s="53" t="n"/>
      <c r="AQ139" s="53" t="n"/>
      <c r="AR139" s="53" t="n"/>
      <c r="AS139" s="53" t="n"/>
      <c r="AT139" s="53" t="n"/>
      <c r="AU139" s="53" t="n"/>
      <c r="AV139" s="53" t="n"/>
      <c r="AW139" s="53" t="n"/>
      <c r="AX139" s="53" t="n"/>
      <c r="AY139" s="53" t="n"/>
    </row>
    <row r="140" ht="15" customHeight="1">
      <c r="A140" s="40">
        <f>IF($D$140="","",44)</f>
        <v/>
      </c>
      <c r="B140" s="10" t="n"/>
      <c r="C140" s="41" t="inlineStr">
        <is>
          <t>마케팅3팀</t>
        </is>
      </c>
      <c r="D140" s="42" t="n"/>
      <c r="E140" s="43" t="inlineStr">
        <is>
          <t>기획</t>
        </is>
      </c>
      <c r="F140" s="44" t="n"/>
      <c r="G140" s="45" t="n"/>
      <c r="H140" s="46">
        <f>IF($I$140="","",IF($I$140&lt;0,"🔴지연",IF($I$140&lt;=1,"🟡임박","🟢여유")))</f>
        <v/>
      </c>
      <c r="I140" s="47">
        <f>IF(OR($G$140="",$K$140=""),"",$G$140-$K$140)</f>
        <v/>
      </c>
      <c r="J140" s="48">
        <f>IF(SUM($L$140:$L$142)=0,"",SUM($L$140:$L$142))</f>
        <v/>
      </c>
      <c r="K140" s="49">
        <f>IF($J$140="","",MAX($N$140:$N$142))</f>
        <v/>
      </c>
      <c r="L140" s="50">
        <f>IF(SUM(U140:AY140)=0,"",SUM(U140:AY140))</f>
        <v/>
      </c>
      <c r="M140" s="51">
        <f>IFERROR(INDEX(U$2:AY$2,MATCH(TRUE,INDEX(U140:AY140&lt;&gt;"",0),0)),"")</f>
        <v/>
      </c>
      <c r="N140" s="51">
        <f>IFERROR(LOOKUP(2,1/(U140:AY140&lt;&gt;""),U$2:AY$2),"")</f>
        <v/>
      </c>
      <c r="O140" s="52" t="n"/>
      <c r="P140" s="52" t="n"/>
      <c r="Q140" s="52" t="n"/>
      <c r="R140" s="44" t="n"/>
      <c r="S140" s="14" t="n"/>
      <c r="U140" s="53" t="n"/>
      <c r="V140" s="53" t="n"/>
      <c r="W140" s="53" t="n"/>
      <c r="X140" s="53" t="n"/>
      <c r="Y140" s="53" t="n"/>
      <c r="Z140" s="53" t="n"/>
      <c r="AA140" s="53" t="n"/>
      <c r="AB140" s="53" t="n"/>
      <c r="AC140" s="53" t="n"/>
      <c r="AD140" s="53" t="n"/>
      <c r="AE140" s="53" t="n"/>
      <c r="AF140" s="53" t="n"/>
      <c r="AG140" s="53" t="n"/>
      <c r="AH140" s="53" t="n"/>
      <c r="AI140" s="53" t="n"/>
      <c r="AJ140" s="53" t="n"/>
      <c r="AK140" s="53" t="n"/>
      <c r="AL140" s="53" t="n"/>
      <c r="AM140" s="53" t="n"/>
      <c r="AN140" s="53" t="n"/>
      <c r="AO140" s="53" t="n"/>
      <c r="AP140" s="53" t="n"/>
      <c r="AQ140" s="53" t="n"/>
      <c r="AR140" s="53" t="n"/>
      <c r="AS140" s="53" t="n"/>
      <c r="AT140" s="53" t="n"/>
      <c r="AU140" s="53" t="n"/>
      <c r="AV140" s="53" t="n"/>
      <c r="AW140" s="53" t="n"/>
      <c r="AX140" s="53" t="n"/>
      <c r="AY140" s="53" t="n"/>
    </row>
    <row r="141" ht="15" customHeight="1">
      <c r="A141" s="54" t="n"/>
      <c r="B141" s="55">
        <f>IF($B$140="","",$B$140)</f>
        <v/>
      </c>
      <c r="C141" s="56" t="inlineStr">
        <is>
          <t>마케팅3팀</t>
        </is>
      </c>
      <c r="D141" s="55">
        <f>IF($D$140="","",$D$140)</f>
        <v/>
      </c>
      <c r="E141" s="57" t="inlineStr">
        <is>
          <t>이미지</t>
        </is>
      </c>
      <c r="F141" s="44" t="n"/>
      <c r="G141" s="58">
        <f>IF($G$140="","",$G$140)</f>
        <v/>
      </c>
      <c r="H141" s="59" t="n"/>
      <c r="I141" s="59" t="n"/>
      <c r="J141" s="59" t="n"/>
      <c r="K141" s="59" t="n"/>
      <c r="L141" s="60">
        <f>IF(SUM(U141:AY141)=0,"",SUM(U141:AY141))</f>
        <v/>
      </c>
      <c r="M141" s="61">
        <f>IFERROR(INDEX(U$2:AY$2,MATCH(TRUE,INDEX(U141:AY141&lt;&gt;"",0),0)),"")</f>
        <v/>
      </c>
      <c r="N141" s="61">
        <f>IFERROR(LOOKUP(2,1/(U141:AY141&lt;&gt;""),U$2:AY$2),"")</f>
        <v/>
      </c>
      <c r="O141" s="59" t="n"/>
      <c r="P141" s="59" t="n"/>
      <c r="Q141" s="59" t="n"/>
      <c r="R141" s="59" t="n"/>
      <c r="S141" s="14" t="n"/>
      <c r="U141" s="53" t="n"/>
      <c r="V141" s="53" t="n"/>
      <c r="W141" s="53" t="n"/>
      <c r="X141" s="53" t="n"/>
      <c r="Y141" s="53" t="n"/>
      <c r="Z141" s="53" t="n"/>
      <c r="AA141" s="53" t="n"/>
      <c r="AB141" s="53" t="n"/>
      <c r="AC141" s="53" t="n"/>
      <c r="AD141" s="53" t="n"/>
      <c r="AE141" s="53" t="n"/>
      <c r="AF141" s="53" t="n"/>
      <c r="AG141" s="53" t="n"/>
      <c r="AH141" s="53" t="n"/>
      <c r="AI141" s="53" t="n"/>
      <c r="AJ141" s="53" t="n"/>
      <c r="AK141" s="53" t="n"/>
      <c r="AL141" s="53" t="n"/>
      <c r="AM141" s="53" t="n"/>
      <c r="AN141" s="53" t="n"/>
      <c r="AO141" s="53" t="n"/>
      <c r="AP141" s="53" t="n"/>
      <c r="AQ141" s="53" t="n"/>
      <c r="AR141" s="53" t="n"/>
      <c r="AS141" s="53" t="n"/>
      <c r="AT141" s="53" t="n"/>
      <c r="AU141" s="53" t="n"/>
      <c r="AV141" s="53" t="n"/>
      <c r="AW141" s="53" t="n"/>
      <c r="AX141" s="53" t="n"/>
      <c r="AY141" s="53" t="n"/>
    </row>
    <row r="142" ht="15" customHeight="1">
      <c r="A142" s="62" t="n"/>
      <c r="B142" s="55">
        <f>IF($B$140="","",$B$140)</f>
        <v/>
      </c>
      <c r="C142" s="63" t="inlineStr">
        <is>
          <t>마케팅3팀</t>
        </is>
      </c>
      <c r="D142" s="55">
        <f>IF($D$140="","",$D$140)</f>
        <v/>
      </c>
      <c r="E142" s="64" t="inlineStr">
        <is>
          <t>영상</t>
        </is>
      </c>
      <c r="F142" s="44" t="n"/>
      <c r="G142" s="58">
        <f>IF($G$140="","",$G$140)</f>
        <v/>
      </c>
      <c r="H142" s="59" t="n"/>
      <c r="I142" s="59" t="n"/>
      <c r="J142" s="59" t="n"/>
      <c r="K142" s="59" t="n"/>
      <c r="L142" s="65">
        <f>IF(SUM(U142:AY142)=0,"",SUM(U142:AY142))</f>
        <v/>
      </c>
      <c r="M142" s="66">
        <f>IFERROR(INDEX(U$2:AY$2,MATCH(TRUE,INDEX(U142:AY142&lt;&gt;"",0),0)),"")</f>
        <v/>
      </c>
      <c r="N142" s="66">
        <f>IFERROR(LOOKUP(2,1/(U142:AY142&lt;&gt;""),U$2:AY$2),"")</f>
        <v/>
      </c>
      <c r="O142" s="59" t="n"/>
      <c r="P142" s="59" t="n"/>
      <c r="Q142" s="59" t="n"/>
      <c r="R142" s="59" t="n"/>
      <c r="S142" s="14" t="n"/>
      <c r="U142" s="53" t="n"/>
      <c r="V142" s="53" t="n"/>
      <c r="W142" s="53" t="n"/>
      <c r="X142" s="53" t="n"/>
      <c r="Y142" s="53" t="n"/>
      <c r="Z142" s="53" t="n"/>
      <c r="AA142" s="53" t="n"/>
      <c r="AB142" s="53" t="n"/>
      <c r="AC142" s="53" t="n"/>
      <c r="AD142" s="53" t="n"/>
      <c r="AE142" s="53" t="n"/>
      <c r="AF142" s="53" t="n"/>
      <c r="AG142" s="53" t="n"/>
      <c r="AH142" s="53" t="n"/>
      <c r="AI142" s="53" t="n"/>
      <c r="AJ142" s="53" t="n"/>
      <c r="AK142" s="53" t="n"/>
      <c r="AL142" s="53" t="n"/>
      <c r="AM142" s="53" t="n"/>
      <c r="AN142" s="53" t="n"/>
      <c r="AO142" s="53" t="n"/>
      <c r="AP142" s="53" t="n"/>
      <c r="AQ142" s="53" t="n"/>
      <c r="AR142" s="53" t="n"/>
      <c r="AS142" s="53" t="n"/>
      <c r="AT142" s="53" t="n"/>
      <c r="AU142" s="53" t="n"/>
      <c r="AV142" s="53" t="n"/>
      <c r="AW142" s="53" t="n"/>
      <c r="AX142" s="53" t="n"/>
      <c r="AY142" s="53" t="n"/>
    </row>
    <row r="143" ht="15" customHeight="1">
      <c r="A143" s="40">
        <f>IF($D$143="","",45)</f>
        <v/>
      </c>
      <c r="B143" s="10" t="n"/>
      <c r="C143" s="41" t="inlineStr">
        <is>
          <t>마케팅3팀</t>
        </is>
      </c>
      <c r="D143" s="42" t="n"/>
      <c r="E143" s="43" t="inlineStr">
        <is>
          <t>기획</t>
        </is>
      </c>
      <c r="F143" s="44" t="n"/>
      <c r="G143" s="45" t="n"/>
      <c r="H143" s="46">
        <f>IF($I$143="","",IF($I$143&lt;0,"🔴지연",IF($I$143&lt;=1,"🟡임박","🟢여유")))</f>
        <v/>
      </c>
      <c r="I143" s="47">
        <f>IF(OR($G$143="",$K$143=""),"",$G$143-$K$143)</f>
        <v/>
      </c>
      <c r="J143" s="48">
        <f>IF(SUM($L$143:$L$145)=0,"",SUM($L$143:$L$145))</f>
        <v/>
      </c>
      <c r="K143" s="49">
        <f>IF($J$143="","",MAX($N$143:$N$145))</f>
        <v/>
      </c>
      <c r="L143" s="50">
        <f>IF(SUM(U143:AY143)=0,"",SUM(U143:AY143))</f>
        <v/>
      </c>
      <c r="M143" s="51">
        <f>IFERROR(INDEX(U$2:AY$2,MATCH(TRUE,INDEX(U143:AY143&lt;&gt;"",0),0)),"")</f>
        <v/>
      </c>
      <c r="N143" s="51">
        <f>IFERROR(LOOKUP(2,1/(U143:AY143&lt;&gt;""),U$2:AY$2),"")</f>
        <v/>
      </c>
      <c r="O143" s="52" t="n"/>
      <c r="P143" s="52" t="n"/>
      <c r="Q143" s="52" t="n"/>
      <c r="R143" s="44" t="n"/>
      <c r="S143" s="14" t="n"/>
      <c r="U143" s="53" t="n"/>
      <c r="V143" s="53" t="n"/>
      <c r="W143" s="53" t="n"/>
      <c r="X143" s="53" t="n"/>
      <c r="Y143" s="53" t="n"/>
      <c r="Z143" s="53" t="n"/>
      <c r="AA143" s="53" t="n"/>
      <c r="AB143" s="53" t="n"/>
      <c r="AC143" s="53" t="n"/>
      <c r="AD143" s="53" t="n"/>
      <c r="AE143" s="53" t="n"/>
      <c r="AF143" s="53" t="n"/>
      <c r="AG143" s="53" t="n"/>
      <c r="AH143" s="53" t="n"/>
      <c r="AI143" s="53" t="n"/>
      <c r="AJ143" s="53" t="n"/>
      <c r="AK143" s="53" t="n"/>
      <c r="AL143" s="53" t="n"/>
      <c r="AM143" s="53" t="n"/>
      <c r="AN143" s="53" t="n"/>
      <c r="AO143" s="53" t="n"/>
      <c r="AP143" s="53" t="n"/>
      <c r="AQ143" s="53" t="n"/>
      <c r="AR143" s="53" t="n"/>
      <c r="AS143" s="53" t="n"/>
      <c r="AT143" s="53" t="n"/>
      <c r="AU143" s="53" t="n"/>
      <c r="AV143" s="53" t="n"/>
      <c r="AW143" s="53" t="n"/>
      <c r="AX143" s="53" t="n"/>
      <c r="AY143" s="53" t="n"/>
    </row>
    <row r="144" ht="15" customHeight="1">
      <c r="A144" s="54" t="n"/>
      <c r="B144" s="55">
        <f>IF($B$143="","",$B$143)</f>
        <v/>
      </c>
      <c r="C144" s="56" t="inlineStr">
        <is>
          <t>마케팅3팀</t>
        </is>
      </c>
      <c r="D144" s="55">
        <f>IF($D$143="","",$D$143)</f>
        <v/>
      </c>
      <c r="E144" s="57" t="inlineStr">
        <is>
          <t>이미지</t>
        </is>
      </c>
      <c r="F144" s="44" t="n"/>
      <c r="G144" s="58">
        <f>IF($G$143="","",$G$143)</f>
        <v/>
      </c>
      <c r="H144" s="59" t="n"/>
      <c r="I144" s="59" t="n"/>
      <c r="J144" s="59" t="n"/>
      <c r="K144" s="59" t="n"/>
      <c r="L144" s="60">
        <f>IF(SUM(U144:AY144)=0,"",SUM(U144:AY144))</f>
        <v/>
      </c>
      <c r="M144" s="61">
        <f>IFERROR(INDEX(U$2:AY$2,MATCH(TRUE,INDEX(U144:AY144&lt;&gt;"",0),0)),"")</f>
        <v/>
      </c>
      <c r="N144" s="61">
        <f>IFERROR(LOOKUP(2,1/(U144:AY144&lt;&gt;""),U$2:AY$2),"")</f>
        <v/>
      </c>
      <c r="O144" s="59" t="n"/>
      <c r="P144" s="59" t="n"/>
      <c r="Q144" s="59" t="n"/>
      <c r="R144" s="59" t="n"/>
      <c r="S144" s="14" t="n"/>
      <c r="U144" s="53" t="n"/>
      <c r="V144" s="53" t="n"/>
      <c r="W144" s="53" t="n"/>
      <c r="X144" s="53" t="n"/>
      <c r="Y144" s="53" t="n"/>
      <c r="Z144" s="53" t="n"/>
      <c r="AA144" s="53" t="n"/>
      <c r="AB144" s="53" t="n"/>
      <c r="AC144" s="53" t="n"/>
      <c r="AD144" s="53" t="n"/>
      <c r="AE144" s="53" t="n"/>
      <c r="AF144" s="53" t="n"/>
      <c r="AG144" s="53" t="n"/>
      <c r="AH144" s="53" t="n"/>
      <c r="AI144" s="53" t="n"/>
      <c r="AJ144" s="53" t="n"/>
      <c r="AK144" s="53" t="n"/>
      <c r="AL144" s="53" t="n"/>
      <c r="AM144" s="53" t="n"/>
      <c r="AN144" s="53" t="n"/>
      <c r="AO144" s="53" t="n"/>
      <c r="AP144" s="53" t="n"/>
      <c r="AQ144" s="53" t="n"/>
      <c r="AR144" s="53" t="n"/>
      <c r="AS144" s="53" t="n"/>
      <c r="AT144" s="53" t="n"/>
      <c r="AU144" s="53" t="n"/>
      <c r="AV144" s="53" t="n"/>
      <c r="AW144" s="53" t="n"/>
      <c r="AX144" s="53" t="n"/>
      <c r="AY144" s="53" t="n"/>
    </row>
    <row r="145" ht="15" customHeight="1">
      <c r="A145" s="62" t="n"/>
      <c r="B145" s="55">
        <f>IF($B$143="","",$B$143)</f>
        <v/>
      </c>
      <c r="C145" s="63" t="inlineStr">
        <is>
          <t>마케팅3팀</t>
        </is>
      </c>
      <c r="D145" s="55">
        <f>IF($D$143="","",$D$143)</f>
        <v/>
      </c>
      <c r="E145" s="64" t="inlineStr">
        <is>
          <t>영상</t>
        </is>
      </c>
      <c r="F145" s="44" t="n"/>
      <c r="G145" s="58">
        <f>IF($G$143="","",$G$143)</f>
        <v/>
      </c>
      <c r="H145" s="59" t="n"/>
      <c r="I145" s="59" t="n"/>
      <c r="J145" s="59" t="n"/>
      <c r="K145" s="59" t="n"/>
      <c r="L145" s="65">
        <f>IF(SUM(U145:AY145)=0,"",SUM(U145:AY145))</f>
        <v/>
      </c>
      <c r="M145" s="66">
        <f>IFERROR(INDEX(U$2:AY$2,MATCH(TRUE,INDEX(U145:AY145&lt;&gt;"",0),0)),"")</f>
        <v/>
      </c>
      <c r="N145" s="66">
        <f>IFERROR(LOOKUP(2,1/(U145:AY145&lt;&gt;""),U$2:AY$2),"")</f>
        <v/>
      </c>
      <c r="O145" s="59" t="n"/>
      <c r="P145" s="59" t="n"/>
      <c r="Q145" s="59" t="n"/>
      <c r="R145" s="59" t="n"/>
      <c r="S145" s="14" t="n"/>
      <c r="U145" s="53" t="n"/>
      <c r="V145" s="53" t="n"/>
      <c r="W145" s="53" t="n"/>
      <c r="X145" s="53" t="n"/>
      <c r="Y145" s="53" t="n"/>
      <c r="Z145" s="53" t="n"/>
      <c r="AA145" s="53" t="n"/>
      <c r="AB145" s="53" t="n"/>
      <c r="AC145" s="53" t="n"/>
      <c r="AD145" s="53" t="n"/>
      <c r="AE145" s="53" t="n"/>
      <c r="AF145" s="53" t="n"/>
      <c r="AG145" s="53" t="n"/>
      <c r="AH145" s="53" t="n"/>
      <c r="AI145" s="53" t="n"/>
      <c r="AJ145" s="53" t="n"/>
      <c r="AK145" s="53" t="n"/>
      <c r="AL145" s="53" t="n"/>
      <c r="AM145" s="53" t="n"/>
      <c r="AN145" s="53" t="n"/>
      <c r="AO145" s="53" t="n"/>
      <c r="AP145" s="53" t="n"/>
      <c r="AQ145" s="53" t="n"/>
      <c r="AR145" s="53" t="n"/>
      <c r="AS145" s="53" t="n"/>
      <c r="AT145" s="53" t="n"/>
      <c r="AU145" s="53" t="n"/>
      <c r="AV145" s="53" t="n"/>
      <c r="AW145" s="53" t="n"/>
      <c r="AX145" s="53" t="n"/>
      <c r="AY145" s="53" t="n"/>
    </row>
    <row r="146" ht="15" customHeight="1">
      <c r="A146" s="40">
        <f>IF($D$146="","",46)</f>
        <v/>
      </c>
      <c r="B146" s="10" t="n"/>
      <c r="C146" s="41" t="inlineStr">
        <is>
          <t>마케팅3팀</t>
        </is>
      </c>
      <c r="D146" s="42" t="n"/>
      <c r="E146" s="43" t="inlineStr">
        <is>
          <t>기획</t>
        </is>
      </c>
      <c r="F146" s="44" t="n"/>
      <c r="G146" s="45" t="n"/>
      <c r="H146" s="46">
        <f>IF($I$146="","",IF($I$146&lt;0,"🔴지연",IF($I$146&lt;=1,"🟡임박","🟢여유")))</f>
        <v/>
      </c>
      <c r="I146" s="47">
        <f>IF(OR($G$146="",$K$146=""),"",$G$146-$K$146)</f>
        <v/>
      </c>
      <c r="J146" s="48">
        <f>IF(SUM($L$146:$L$148)=0,"",SUM($L$146:$L$148))</f>
        <v/>
      </c>
      <c r="K146" s="49">
        <f>IF($J$146="","",MAX($N$146:$N$148))</f>
        <v/>
      </c>
      <c r="L146" s="50">
        <f>IF(SUM(U146:AY146)=0,"",SUM(U146:AY146))</f>
        <v/>
      </c>
      <c r="M146" s="51">
        <f>IFERROR(INDEX(U$2:AY$2,MATCH(TRUE,INDEX(U146:AY146&lt;&gt;"",0),0)),"")</f>
        <v/>
      </c>
      <c r="N146" s="51">
        <f>IFERROR(LOOKUP(2,1/(U146:AY146&lt;&gt;""),U$2:AY$2),"")</f>
        <v/>
      </c>
      <c r="O146" s="52" t="n"/>
      <c r="P146" s="52" t="n"/>
      <c r="Q146" s="52" t="n"/>
      <c r="R146" s="44" t="n"/>
      <c r="S146" s="14" t="n"/>
      <c r="U146" s="53" t="n"/>
      <c r="V146" s="53" t="n"/>
      <c r="W146" s="53" t="n"/>
      <c r="X146" s="53" t="n"/>
      <c r="Y146" s="53" t="n"/>
      <c r="Z146" s="53" t="n"/>
      <c r="AA146" s="53" t="n"/>
      <c r="AB146" s="53" t="n"/>
      <c r="AC146" s="53" t="n"/>
      <c r="AD146" s="53" t="n"/>
      <c r="AE146" s="53" t="n"/>
      <c r="AF146" s="53" t="n"/>
      <c r="AG146" s="53" t="n"/>
      <c r="AH146" s="53" t="n"/>
      <c r="AI146" s="53" t="n"/>
      <c r="AJ146" s="53" t="n"/>
      <c r="AK146" s="53" t="n"/>
      <c r="AL146" s="53" t="n"/>
      <c r="AM146" s="53" t="n"/>
      <c r="AN146" s="53" t="n"/>
      <c r="AO146" s="53" t="n"/>
      <c r="AP146" s="53" t="n"/>
      <c r="AQ146" s="53" t="n"/>
      <c r="AR146" s="53" t="n"/>
      <c r="AS146" s="53" t="n"/>
      <c r="AT146" s="53" t="n"/>
      <c r="AU146" s="53" t="n"/>
      <c r="AV146" s="53" t="n"/>
      <c r="AW146" s="53" t="n"/>
      <c r="AX146" s="53" t="n"/>
      <c r="AY146" s="53" t="n"/>
    </row>
    <row r="147" ht="15" customHeight="1">
      <c r="A147" s="54" t="n"/>
      <c r="B147" s="55">
        <f>IF($B$146="","",$B$146)</f>
        <v/>
      </c>
      <c r="C147" s="56" t="inlineStr">
        <is>
          <t>마케팅3팀</t>
        </is>
      </c>
      <c r="D147" s="55">
        <f>IF($D$146="","",$D$146)</f>
        <v/>
      </c>
      <c r="E147" s="57" t="inlineStr">
        <is>
          <t>이미지</t>
        </is>
      </c>
      <c r="F147" s="44" t="n"/>
      <c r="G147" s="58">
        <f>IF($G$146="","",$G$146)</f>
        <v/>
      </c>
      <c r="H147" s="59" t="n"/>
      <c r="I147" s="59" t="n"/>
      <c r="J147" s="59" t="n"/>
      <c r="K147" s="59" t="n"/>
      <c r="L147" s="60">
        <f>IF(SUM(U147:AY147)=0,"",SUM(U147:AY147))</f>
        <v/>
      </c>
      <c r="M147" s="61">
        <f>IFERROR(INDEX(U$2:AY$2,MATCH(TRUE,INDEX(U147:AY147&lt;&gt;"",0),0)),"")</f>
        <v/>
      </c>
      <c r="N147" s="61">
        <f>IFERROR(LOOKUP(2,1/(U147:AY147&lt;&gt;""),U$2:AY$2),"")</f>
        <v/>
      </c>
      <c r="O147" s="59" t="n"/>
      <c r="P147" s="59" t="n"/>
      <c r="Q147" s="59" t="n"/>
      <c r="R147" s="59" t="n"/>
      <c r="S147" s="14" t="n"/>
      <c r="U147" s="53" t="n"/>
      <c r="V147" s="53" t="n"/>
      <c r="W147" s="53" t="n"/>
      <c r="X147" s="53" t="n"/>
      <c r="Y147" s="53" t="n"/>
      <c r="Z147" s="53" t="n"/>
      <c r="AA147" s="53" t="n"/>
      <c r="AB147" s="53" t="n"/>
      <c r="AC147" s="53" t="n"/>
      <c r="AD147" s="53" t="n"/>
      <c r="AE147" s="53" t="n"/>
      <c r="AF147" s="53" t="n"/>
      <c r="AG147" s="53" t="n"/>
      <c r="AH147" s="53" t="n"/>
      <c r="AI147" s="53" t="n"/>
      <c r="AJ147" s="53" t="n"/>
      <c r="AK147" s="53" t="n"/>
      <c r="AL147" s="53" t="n"/>
      <c r="AM147" s="53" t="n"/>
      <c r="AN147" s="53" t="n"/>
      <c r="AO147" s="53" t="n"/>
      <c r="AP147" s="53" t="n"/>
      <c r="AQ147" s="53" t="n"/>
      <c r="AR147" s="53" t="n"/>
      <c r="AS147" s="53" t="n"/>
      <c r="AT147" s="53" t="n"/>
      <c r="AU147" s="53" t="n"/>
      <c r="AV147" s="53" t="n"/>
      <c r="AW147" s="53" t="n"/>
      <c r="AX147" s="53" t="n"/>
      <c r="AY147" s="53" t="n"/>
    </row>
    <row r="148" ht="15" customHeight="1">
      <c r="A148" s="62" t="n"/>
      <c r="B148" s="55">
        <f>IF($B$146="","",$B$146)</f>
        <v/>
      </c>
      <c r="C148" s="63" t="inlineStr">
        <is>
          <t>마케팅3팀</t>
        </is>
      </c>
      <c r="D148" s="55">
        <f>IF($D$146="","",$D$146)</f>
        <v/>
      </c>
      <c r="E148" s="64" t="inlineStr">
        <is>
          <t>영상</t>
        </is>
      </c>
      <c r="F148" s="44" t="n"/>
      <c r="G148" s="58">
        <f>IF($G$146="","",$G$146)</f>
        <v/>
      </c>
      <c r="H148" s="59" t="n"/>
      <c r="I148" s="59" t="n"/>
      <c r="J148" s="59" t="n"/>
      <c r="K148" s="59" t="n"/>
      <c r="L148" s="65">
        <f>IF(SUM(U148:AY148)=0,"",SUM(U148:AY148))</f>
        <v/>
      </c>
      <c r="M148" s="66">
        <f>IFERROR(INDEX(U$2:AY$2,MATCH(TRUE,INDEX(U148:AY148&lt;&gt;"",0),0)),"")</f>
        <v/>
      </c>
      <c r="N148" s="66">
        <f>IFERROR(LOOKUP(2,1/(U148:AY148&lt;&gt;""),U$2:AY$2),"")</f>
        <v/>
      </c>
      <c r="O148" s="59" t="n"/>
      <c r="P148" s="59" t="n"/>
      <c r="Q148" s="59" t="n"/>
      <c r="R148" s="59" t="n"/>
      <c r="S148" s="14" t="n"/>
      <c r="U148" s="53" t="n"/>
      <c r="V148" s="53" t="n"/>
      <c r="W148" s="53" t="n"/>
      <c r="X148" s="53" t="n"/>
      <c r="Y148" s="53" t="n"/>
      <c r="Z148" s="53" t="n"/>
      <c r="AA148" s="53" t="n"/>
      <c r="AB148" s="53" t="n"/>
      <c r="AC148" s="53" t="n"/>
      <c r="AD148" s="53" t="n"/>
      <c r="AE148" s="53" t="n"/>
      <c r="AF148" s="53" t="n"/>
      <c r="AG148" s="53" t="n"/>
      <c r="AH148" s="53" t="n"/>
      <c r="AI148" s="53" t="n"/>
      <c r="AJ148" s="53" t="n"/>
      <c r="AK148" s="53" t="n"/>
      <c r="AL148" s="53" t="n"/>
      <c r="AM148" s="53" t="n"/>
      <c r="AN148" s="53" t="n"/>
      <c r="AO148" s="53" t="n"/>
      <c r="AP148" s="53" t="n"/>
      <c r="AQ148" s="53" t="n"/>
      <c r="AR148" s="53" t="n"/>
      <c r="AS148" s="53" t="n"/>
      <c r="AT148" s="53" t="n"/>
      <c r="AU148" s="53" t="n"/>
      <c r="AV148" s="53" t="n"/>
      <c r="AW148" s="53" t="n"/>
      <c r="AX148" s="53" t="n"/>
      <c r="AY148" s="53" t="n"/>
    </row>
    <row r="149" ht="15" customHeight="1">
      <c r="A149" s="40">
        <f>IF($D$149="","",47)</f>
        <v/>
      </c>
      <c r="B149" s="10" t="n"/>
      <c r="C149" s="41" t="inlineStr">
        <is>
          <t>마케팅3팀</t>
        </is>
      </c>
      <c r="D149" s="42" t="n"/>
      <c r="E149" s="43" t="inlineStr">
        <is>
          <t>기획</t>
        </is>
      </c>
      <c r="F149" s="44" t="n"/>
      <c r="G149" s="45" t="n"/>
      <c r="H149" s="46">
        <f>IF($I$149="","",IF($I$149&lt;0,"🔴지연",IF($I$149&lt;=1,"🟡임박","🟢여유")))</f>
        <v/>
      </c>
      <c r="I149" s="47">
        <f>IF(OR($G$149="",$K$149=""),"",$G$149-$K$149)</f>
        <v/>
      </c>
      <c r="J149" s="48">
        <f>IF(SUM($L$149:$L$151)=0,"",SUM($L$149:$L$151))</f>
        <v/>
      </c>
      <c r="K149" s="49">
        <f>IF($J$149="","",MAX($N$149:$N$151))</f>
        <v/>
      </c>
      <c r="L149" s="50">
        <f>IF(SUM(U149:AY149)=0,"",SUM(U149:AY149))</f>
        <v/>
      </c>
      <c r="M149" s="51">
        <f>IFERROR(INDEX(U$2:AY$2,MATCH(TRUE,INDEX(U149:AY149&lt;&gt;"",0),0)),"")</f>
        <v/>
      </c>
      <c r="N149" s="51">
        <f>IFERROR(LOOKUP(2,1/(U149:AY149&lt;&gt;""),U$2:AY$2),"")</f>
        <v/>
      </c>
      <c r="O149" s="52" t="n"/>
      <c r="P149" s="52" t="n"/>
      <c r="Q149" s="52" t="n"/>
      <c r="R149" s="44" t="n"/>
      <c r="S149" s="14" t="n"/>
      <c r="U149" s="53" t="n"/>
      <c r="V149" s="53" t="n"/>
      <c r="W149" s="53" t="n"/>
      <c r="X149" s="53" t="n"/>
      <c r="Y149" s="53" t="n"/>
      <c r="Z149" s="53" t="n"/>
      <c r="AA149" s="53" t="n"/>
      <c r="AB149" s="53" t="n"/>
      <c r="AC149" s="53" t="n"/>
      <c r="AD149" s="53" t="n"/>
      <c r="AE149" s="53" t="n"/>
      <c r="AF149" s="53" t="n"/>
      <c r="AG149" s="53" t="n"/>
      <c r="AH149" s="53" t="n"/>
      <c r="AI149" s="53" t="n"/>
      <c r="AJ149" s="53" t="n"/>
      <c r="AK149" s="53" t="n"/>
      <c r="AL149" s="53" t="n"/>
      <c r="AM149" s="53" t="n"/>
      <c r="AN149" s="53" t="n"/>
      <c r="AO149" s="53" t="n"/>
      <c r="AP149" s="53" t="n"/>
      <c r="AQ149" s="53" t="n"/>
      <c r="AR149" s="53" t="n"/>
      <c r="AS149" s="53" t="n"/>
      <c r="AT149" s="53" t="n"/>
      <c r="AU149" s="53" t="n"/>
      <c r="AV149" s="53" t="n"/>
      <c r="AW149" s="53" t="n"/>
      <c r="AX149" s="53" t="n"/>
      <c r="AY149" s="53" t="n"/>
    </row>
    <row r="150" ht="15" customHeight="1">
      <c r="A150" s="54" t="n"/>
      <c r="B150" s="55">
        <f>IF($B$149="","",$B$149)</f>
        <v/>
      </c>
      <c r="C150" s="56" t="inlineStr">
        <is>
          <t>마케팅3팀</t>
        </is>
      </c>
      <c r="D150" s="55">
        <f>IF($D$149="","",$D$149)</f>
        <v/>
      </c>
      <c r="E150" s="57" t="inlineStr">
        <is>
          <t>이미지</t>
        </is>
      </c>
      <c r="F150" s="44" t="n"/>
      <c r="G150" s="58">
        <f>IF($G$149="","",$G$149)</f>
        <v/>
      </c>
      <c r="H150" s="59" t="n"/>
      <c r="I150" s="59" t="n"/>
      <c r="J150" s="59" t="n"/>
      <c r="K150" s="59" t="n"/>
      <c r="L150" s="60">
        <f>IF(SUM(U150:AY150)=0,"",SUM(U150:AY150))</f>
        <v/>
      </c>
      <c r="M150" s="61">
        <f>IFERROR(INDEX(U$2:AY$2,MATCH(TRUE,INDEX(U150:AY150&lt;&gt;"",0),0)),"")</f>
        <v/>
      </c>
      <c r="N150" s="61">
        <f>IFERROR(LOOKUP(2,1/(U150:AY150&lt;&gt;""),U$2:AY$2),"")</f>
        <v/>
      </c>
      <c r="O150" s="59" t="n"/>
      <c r="P150" s="59" t="n"/>
      <c r="Q150" s="59" t="n"/>
      <c r="R150" s="59" t="n"/>
      <c r="S150" s="14" t="n"/>
      <c r="U150" s="53" t="n"/>
      <c r="V150" s="53" t="n"/>
      <c r="W150" s="53" t="n"/>
      <c r="X150" s="53" t="n"/>
      <c r="Y150" s="53" t="n"/>
      <c r="Z150" s="53" t="n"/>
      <c r="AA150" s="53" t="n"/>
      <c r="AB150" s="53" t="n"/>
      <c r="AC150" s="53" t="n"/>
      <c r="AD150" s="53" t="n"/>
      <c r="AE150" s="53" t="n"/>
      <c r="AF150" s="53" t="n"/>
      <c r="AG150" s="53" t="n"/>
      <c r="AH150" s="53" t="n"/>
      <c r="AI150" s="53" t="n"/>
      <c r="AJ150" s="53" t="n"/>
      <c r="AK150" s="53" t="n"/>
      <c r="AL150" s="53" t="n"/>
      <c r="AM150" s="53" t="n"/>
      <c r="AN150" s="53" t="n"/>
      <c r="AO150" s="53" t="n"/>
      <c r="AP150" s="53" t="n"/>
      <c r="AQ150" s="53" t="n"/>
      <c r="AR150" s="53" t="n"/>
      <c r="AS150" s="53" t="n"/>
      <c r="AT150" s="53" t="n"/>
      <c r="AU150" s="53" t="n"/>
      <c r="AV150" s="53" t="n"/>
      <c r="AW150" s="53" t="n"/>
      <c r="AX150" s="53" t="n"/>
      <c r="AY150" s="53" t="n"/>
    </row>
    <row r="151" ht="15" customHeight="1">
      <c r="A151" s="62" t="n"/>
      <c r="B151" s="55">
        <f>IF($B$149="","",$B$149)</f>
        <v/>
      </c>
      <c r="C151" s="63" t="inlineStr">
        <is>
          <t>마케팅3팀</t>
        </is>
      </c>
      <c r="D151" s="55">
        <f>IF($D$149="","",$D$149)</f>
        <v/>
      </c>
      <c r="E151" s="64" t="inlineStr">
        <is>
          <t>영상</t>
        </is>
      </c>
      <c r="F151" s="44" t="n"/>
      <c r="G151" s="58">
        <f>IF($G$149="","",$G$149)</f>
        <v/>
      </c>
      <c r="H151" s="59" t="n"/>
      <c r="I151" s="59" t="n"/>
      <c r="J151" s="59" t="n"/>
      <c r="K151" s="59" t="n"/>
      <c r="L151" s="65">
        <f>IF(SUM(U151:AY151)=0,"",SUM(U151:AY151))</f>
        <v/>
      </c>
      <c r="M151" s="66">
        <f>IFERROR(INDEX(U$2:AY$2,MATCH(TRUE,INDEX(U151:AY151&lt;&gt;"",0),0)),"")</f>
        <v/>
      </c>
      <c r="N151" s="66">
        <f>IFERROR(LOOKUP(2,1/(U151:AY151&lt;&gt;""),U$2:AY$2),"")</f>
        <v/>
      </c>
      <c r="O151" s="59" t="n"/>
      <c r="P151" s="59" t="n"/>
      <c r="Q151" s="59" t="n"/>
      <c r="R151" s="59" t="n"/>
      <c r="S151" s="14" t="n"/>
      <c r="U151" s="53" t="n"/>
      <c r="V151" s="53" t="n"/>
      <c r="W151" s="53" t="n"/>
      <c r="X151" s="53" t="n"/>
      <c r="Y151" s="53" t="n"/>
      <c r="Z151" s="53" t="n"/>
      <c r="AA151" s="53" t="n"/>
      <c r="AB151" s="53" t="n"/>
      <c r="AC151" s="53" t="n"/>
      <c r="AD151" s="53" t="n"/>
      <c r="AE151" s="53" t="n"/>
      <c r="AF151" s="53" t="n"/>
      <c r="AG151" s="53" t="n"/>
      <c r="AH151" s="53" t="n"/>
      <c r="AI151" s="53" t="n"/>
      <c r="AJ151" s="53" t="n"/>
      <c r="AK151" s="53" t="n"/>
      <c r="AL151" s="53" t="n"/>
      <c r="AM151" s="53" t="n"/>
      <c r="AN151" s="53" t="n"/>
      <c r="AO151" s="53" t="n"/>
      <c r="AP151" s="53" t="n"/>
      <c r="AQ151" s="53" t="n"/>
      <c r="AR151" s="53" t="n"/>
      <c r="AS151" s="53" t="n"/>
      <c r="AT151" s="53" t="n"/>
      <c r="AU151" s="53" t="n"/>
      <c r="AV151" s="53" t="n"/>
      <c r="AW151" s="53" t="n"/>
      <c r="AX151" s="53" t="n"/>
      <c r="AY151" s="53" t="n"/>
    </row>
    <row r="152" ht="15" customHeight="1">
      <c r="A152" s="40">
        <f>IF($D$152="","",48)</f>
        <v/>
      </c>
      <c r="B152" s="10" t="n"/>
      <c r="C152" s="41" t="inlineStr">
        <is>
          <t>마케팅3팀</t>
        </is>
      </c>
      <c r="D152" s="42" t="n"/>
      <c r="E152" s="43" t="inlineStr">
        <is>
          <t>기획</t>
        </is>
      </c>
      <c r="F152" s="44" t="n"/>
      <c r="G152" s="45" t="n"/>
      <c r="H152" s="46">
        <f>IF($I$152="","",IF($I$152&lt;0,"🔴지연",IF($I$152&lt;=1,"🟡임박","🟢여유")))</f>
        <v/>
      </c>
      <c r="I152" s="47">
        <f>IF(OR($G$152="",$K$152=""),"",$G$152-$K$152)</f>
        <v/>
      </c>
      <c r="J152" s="48">
        <f>IF(SUM($L$152:$L$154)=0,"",SUM($L$152:$L$154))</f>
        <v/>
      </c>
      <c r="K152" s="49">
        <f>IF($J$152="","",MAX($N$152:$N$154))</f>
        <v/>
      </c>
      <c r="L152" s="50">
        <f>IF(SUM(U152:AY152)=0,"",SUM(U152:AY152))</f>
        <v/>
      </c>
      <c r="M152" s="51">
        <f>IFERROR(INDEX(U$2:AY$2,MATCH(TRUE,INDEX(U152:AY152&lt;&gt;"",0),0)),"")</f>
        <v/>
      </c>
      <c r="N152" s="51">
        <f>IFERROR(LOOKUP(2,1/(U152:AY152&lt;&gt;""),U$2:AY$2),"")</f>
        <v/>
      </c>
      <c r="O152" s="52" t="n"/>
      <c r="P152" s="52" t="n"/>
      <c r="Q152" s="52" t="n"/>
      <c r="R152" s="44" t="n"/>
      <c r="S152" s="14" t="n"/>
      <c r="U152" s="53" t="n"/>
      <c r="V152" s="53" t="n"/>
      <c r="W152" s="53" t="n"/>
      <c r="X152" s="53" t="n"/>
      <c r="Y152" s="53" t="n"/>
      <c r="Z152" s="53" t="n"/>
      <c r="AA152" s="53" t="n"/>
      <c r="AB152" s="53" t="n"/>
      <c r="AC152" s="53" t="n"/>
      <c r="AD152" s="53" t="n"/>
      <c r="AE152" s="53" t="n"/>
      <c r="AF152" s="53" t="n"/>
      <c r="AG152" s="53" t="n"/>
      <c r="AH152" s="53" t="n"/>
      <c r="AI152" s="53" t="n"/>
      <c r="AJ152" s="53" t="n"/>
      <c r="AK152" s="53" t="n"/>
      <c r="AL152" s="53" t="n"/>
      <c r="AM152" s="53" t="n"/>
      <c r="AN152" s="53" t="n"/>
      <c r="AO152" s="53" t="n"/>
      <c r="AP152" s="53" t="n"/>
      <c r="AQ152" s="53" t="n"/>
      <c r="AR152" s="53" t="n"/>
      <c r="AS152" s="53" t="n"/>
      <c r="AT152" s="53" t="n"/>
      <c r="AU152" s="53" t="n"/>
      <c r="AV152" s="53" t="n"/>
      <c r="AW152" s="53" t="n"/>
      <c r="AX152" s="53" t="n"/>
      <c r="AY152" s="53" t="n"/>
    </row>
    <row r="153" ht="15" customHeight="1">
      <c r="A153" s="54" t="n"/>
      <c r="B153" s="55">
        <f>IF($B$152="","",$B$152)</f>
        <v/>
      </c>
      <c r="C153" s="56" t="inlineStr">
        <is>
          <t>마케팅3팀</t>
        </is>
      </c>
      <c r="D153" s="55">
        <f>IF($D$152="","",$D$152)</f>
        <v/>
      </c>
      <c r="E153" s="57" t="inlineStr">
        <is>
          <t>이미지</t>
        </is>
      </c>
      <c r="F153" s="44" t="n"/>
      <c r="G153" s="58">
        <f>IF($G$152="","",$G$152)</f>
        <v/>
      </c>
      <c r="H153" s="59" t="n"/>
      <c r="I153" s="59" t="n"/>
      <c r="J153" s="59" t="n"/>
      <c r="K153" s="59" t="n"/>
      <c r="L153" s="60">
        <f>IF(SUM(U153:AY153)=0,"",SUM(U153:AY153))</f>
        <v/>
      </c>
      <c r="M153" s="61">
        <f>IFERROR(INDEX(U$2:AY$2,MATCH(TRUE,INDEX(U153:AY153&lt;&gt;"",0),0)),"")</f>
        <v/>
      </c>
      <c r="N153" s="61">
        <f>IFERROR(LOOKUP(2,1/(U153:AY153&lt;&gt;""),U$2:AY$2),"")</f>
        <v/>
      </c>
      <c r="O153" s="59" t="n"/>
      <c r="P153" s="59" t="n"/>
      <c r="Q153" s="59" t="n"/>
      <c r="R153" s="59" t="n"/>
      <c r="S153" s="14" t="n"/>
      <c r="U153" s="53" t="n"/>
      <c r="V153" s="53" t="n"/>
      <c r="W153" s="53" t="n"/>
      <c r="X153" s="53" t="n"/>
      <c r="Y153" s="53" t="n"/>
      <c r="Z153" s="53" t="n"/>
      <c r="AA153" s="53" t="n"/>
      <c r="AB153" s="53" t="n"/>
      <c r="AC153" s="53" t="n"/>
      <c r="AD153" s="53" t="n"/>
      <c r="AE153" s="53" t="n"/>
      <c r="AF153" s="53" t="n"/>
      <c r="AG153" s="53" t="n"/>
      <c r="AH153" s="53" t="n"/>
      <c r="AI153" s="53" t="n"/>
      <c r="AJ153" s="53" t="n"/>
      <c r="AK153" s="53" t="n"/>
      <c r="AL153" s="53" t="n"/>
      <c r="AM153" s="53" t="n"/>
      <c r="AN153" s="53" t="n"/>
      <c r="AO153" s="53" t="n"/>
      <c r="AP153" s="53" t="n"/>
      <c r="AQ153" s="53" t="n"/>
      <c r="AR153" s="53" t="n"/>
      <c r="AS153" s="53" t="n"/>
      <c r="AT153" s="53" t="n"/>
      <c r="AU153" s="53" t="n"/>
      <c r="AV153" s="53" t="n"/>
      <c r="AW153" s="53" t="n"/>
      <c r="AX153" s="53" t="n"/>
      <c r="AY153" s="53" t="n"/>
    </row>
    <row r="154" ht="15" customHeight="1">
      <c r="A154" s="62" t="n"/>
      <c r="B154" s="55">
        <f>IF($B$152="","",$B$152)</f>
        <v/>
      </c>
      <c r="C154" s="63" t="inlineStr">
        <is>
          <t>마케팅3팀</t>
        </is>
      </c>
      <c r="D154" s="55">
        <f>IF($D$152="","",$D$152)</f>
        <v/>
      </c>
      <c r="E154" s="64" t="inlineStr">
        <is>
          <t>영상</t>
        </is>
      </c>
      <c r="F154" s="44" t="n"/>
      <c r="G154" s="58">
        <f>IF($G$152="","",$G$152)</f>
        <v/>
      </c>
      <c r="H154" s="59" t="n"/>
      <c r="I154" s="59" t="n"/>
      <c r="J154" s="59" t="n"/>
      <c r="K154" s="59" t="n"/>
      <c r="L154" s="65">
        <f>IF(SUM(U154:AY154)=0,"",SUM(U154:AY154))</f>
        <v/>
      </c>
      <c r="M154" s="66">
        <f>IFERROR(INDEX(U$2:AY$2,MATCH(TRUE,INDEX(U154:AY154&lt;&gt;"",0),0)),"")</f>
        <v/>
      </c>
      <c r="N154" s="66">
        <f>IFERROR(LOOKUP(2,1/(U154:AY154&lt;&gt;""),U$2:AY$2),"")</f>
        <v/>
      </c>
      <c r="O154" s="59" t="n"/>
      <c r="P154" s="59" t="n"/>
      <c r="Q154" s="59" t="n"/>
      <c r="R154" s="59" t="n"/>
      <c r="S154" s="14" t="n"/>
      <c r="U154" s="53" t="n"/>
      <c r="V154" s="53" t="n"/>
      <c r="W154" s="53" t="n"/>
      <c r="X154" s="53" t="n"/>
      <c r="Y154" s="53" t="n"/>
      <c r="Z154" s="53" t="n"/>
      <c r="AA154" s="53" t="n"/>
      <c r="AB154" s="53" t="n"/>
      <c r="AC154" s="53" t="n"/>
      <c r="AD154" s="53" t="n"/>
      <c r="AE154" s="53" t="n"/>
      <c r="AF154" s="53" t="n"/>
      <c r="AG154" s="53" t="n"/>
      <c r="AH154" s="53" t="n"/>
      <c r="AI154" s="53" t="n"/>
      <c r="AJ154" s="53" t="n"/>
      <c r="AK154" s="53" t="n"/>
      <c r="AL154" s="53" t="n"/>
      <c r="AM154" s="53" t="n"/>
      <c r="AN154" s="53" t="n"/>
      <c r="AO154" s="53" t="n"/>
      <c r="AP154" s="53" t="n"/>
      <c r="AQ154" s="53" t="n"/>
      <c r="AR154" s="53" t="n"/>
      <c r="AS154" s="53" t="n"/>
      <c r="AT154" s="53" t="n"/>
      <c r="AU154" s="53" t="n"/>
      <c r="AV154" s="53" t="n"/>
      <c r="AW154" s="53" t="n"/>
      <c r="AX154" s="53" t="n"/>
      <c r="AY154" s="53" t="n"/>
    </row>
    <row r="155" ht="15" customHeight="1">
      <c r="A155" s="40">
        <f>IF($D$155="","",49)</f>
        <v/>
      </c>
      <c r="B155" s="10" t="n"/>
      <c r="C155" s="41" t="inlineStr">
        <is>
          <t>마케팅3팀</t>
        </is>
      </c>
      <c r="D155" s="42" t="n"/>
      <c r="E155" s="43" t="inlineStr">
        <is>
          <t>기획</t>
        </is>
      </c>
      <c r="F155" s="44" t="n"/>
      <c r="G155" s="45" t="n"/>
      <c r="H155" s="46">
        <f>IF($I$155="","",IF($I$155&lt;0,"🔴지연",IF($I$155&lt;=1,"🟡임박","🟢여유")))</f>
        <v/>
      </c>
      <c r="I155" s="47">
        <f>IF(OR($G$155="",$K$155=""),"",$G$155-$K$155)</f>
        <v/>
      </c>
      <c r="J155" s="48">
        <f>IF(SUM($L$155:$L$157)=0,"",SUM($L$155:$L$157))</f>
        <v/>
      </c>
      <c r="K155" s="49">
        <f>IF($J$155="","",MAX($N$155:$N$157))</f>
        <v/>
      </c>
      <c r="L155" s="50">
        <f>IF(SUM(U155:AY155)=0,"",SUM(U155:AY155))</f>
        <v/>
      </c>
      <c r="M155" s="51">
        <f>IFERROR(INDEX(U$2:AY$2,MATCH(TRUE,INDEX(U155:AY155&lt;&gt;"",0),0)),"")</f>
        <v/>
      </c>
      <c r="N155" s="51">
        <f>IFERROR(LOOKUP(2,1/(U155:AY155&lt;&gt;""),U$2:AY$2),"")</f>
        <v/>
      </c>
      <c r="O155" s="52" t="n"/>
      <c r="P155" s="52" t="n"/>
      <c r="Q155" s="52" t="n"/>
      <c r="R155" s="44" t="n"/>
      <c r="S155" s="14" t="n"/>
      <c r="U155" s="53" t="n"/>
      <c r="V155" s="53" t="n"/>
      <c r="W155" s="53" t="n"/>
      <c r="X155" s="53" t="n"/>
      <c r="Y155" s="53" t="n"/>
      <c r="Z155" s="53" t="n"/>
      <c r="AA155" s="53" t="n"/>
      <c r="AB155" s="53" t="n"/>
      <c r="AC155" s="53" t="n"/>
      <c r="AD155" s="53" t="n"/>
      <c r="AE155" s="53" t="n"/>
      <c r="AF155" s="53" t="n"/>
      <c r="AG155" s="53" t="n"/>
      <c r="AH155" s="53" t="n"/>
      <c r="AI155" s="53" t="n"/>
      <c r="AJ155" s="53" t="n"/>
      <c r="AK155" s="53" t="n"/>
      <c r="AL155" s="53" t="n"/>
      <c r="AM155" s="53" t="n"/>
      <c r="AN155" s="53" t="n"/>
      <c r="AO155" s="53" t="n"/>
      <c r="AP155" s="53" t="n"/>
      <c r="AQ155" s="53" t="n"/>
      <c r="AR155" s="53" t="n"/>
      <c r="AS155" s="53" t="n"/>
      <c r="AT155" s="53" t="n"/>
      <c r="AU155" s="53" t="n"/>
      <c r="AV155" s="53" t="n"/>
      <c r="AW155" s="53" t="n"/>
      <c r="AX155" s="53" t="n"/>
      <c r="AY155" s="53" t="n"/>
    </row>
    <row r="156" ht="15" customHeight="1">
      <c r="A156" s="54" t="n"/>
      <c r="B156" s="55">
        <f>IF($B$155="","",$B$155)</f>
        <v/>
      </c>
      <c r="C156" s="56" t="inlineStr">
        <is>
          <t>마케팅3팀</t>
        </is>
      </c>
      <c r="D156" s="55">
        <f>IF($D$155="","",$D$155)</f>
        <v/>
      </c>
      <c r="E156" s="57" t="inlineStr">
        <is>
          <t>이미지</t>
        </is>
      </c>
      <c r="F156" s="44" t="n"/>
      <c r="G156" s="58">
        <f>IF($G$155="","",$G$155)</f>
        <v/>
      </c>
      <c r="H156" s="59" t="n"/>
      <c r="I156" s="59" t="n"/>
      <c r="J156" s="59" t="n"/>
      <c r="K156" s="59" t="n"/>
      <c r="L156" s="60">
        <f>IF(SUM(U156:AY156)=0,"",SUM(U156:AY156))</f>
        <v/>
      </c>
      <c r="M156" s="61">
        <f>IFERROR(INDEX(U$2:AY$2,MATCH(TRUE,INDEX(U156:AY156&lt;&gt;"",0),0)),"")</f>
        <v/>
      </c>
      <c r="N156" s="61">
        <f>IFERROR(LOOKUP(2,1/(U156:AY156&lt;&gt;""),U$2:AY$2),"")</f>
        <v/>
      </c>
      <c r="O156" s="59" t="n"/>
      <c r="P156" s="59" t="n"/>
      <c r="Q156" s="59" t="n"/>
      <c r="R156" s="59" t="n"/>
      <c r="S156" s="14" t="n"/>
      <c r="U156" s="53" t="n"/>
      <c r="V156" s="53" t="n"/>
      <c r="W156" s="53" t="n"/>
      <c r="X156" s="53" t="n"/>
      <c r="Y156" s="53" t="n"/>
      <c r="Z156" s="53" t="n"/>
      <c r="AA156" s="53" t="n"/>
      <c r="AB156" s="53" t="n"/>
      <c r="AC156" s="53" t="n"/>
      <c r="AD156" s="53" t="n"/>
      <c r="AE156" s="53" t="n"/>
      <c r="AF156" s="53" t="n"/>
      <c r="AG156" s="53" t="n"/>
      <c r="AH156" s="53" t="n"/>
      <c r="AI156" s="53" t="n"/>
      <c r="AJ156" s="53" t="n"/>
      <c r="AK156" s="53" t="n"/>
      <c r="AL156" s="53" t="n"/>
      <c r="AM156" s="53" t="n"/>
      <c r="AN156" s="53" t="n"/>
      <c r="AO156" s="53" t="n"/>
      <c r="AP156" s="53" t="n"/>
      <c r="AQ156" s="53" t="n"/>
      <c r="AR156" s="53" t="n"/>
      <c r="AS156" s="53" t="n"/>
      <c r="AT156" s="53" t="n"/>
      <c r="AU156" s="53" t="n"/>
      <c r="AV156" s="53" t="n"/>
      <c r="AW156" s="53" t="n"/>
      <c r="AX156" s="53" t="n"/>
      <c r="AY156" s="53" t="n"/>
    </row>
    <row r="157" ht="15" customHeight="1">
      <c r="A157" s="62" t="n"/>
      <c r="B157" s="55">
        <f>IF($B$155="","",$B$155)</f>
        <v/>
      </c>
      <c r="C157" s="63" t="inlineStr">
        <is>
          <t>마케팅3팀</t>
        </is>
      </c>
      <c r="D157" s="55">
        <f>IF($D$155="","",$D$155)</f>
        <v/>
      </c>
      <c r="E157" s="64" t="inlineStr">
        <is>
          <t>영상</t>
        </is>
      </c>
      <c r="F157" s="44" t="n"/>
      <c r="G157" s="58">
        <f>IF($G$155="","",$G$155)</f>
        <v/>
      </c>
      <c r="H157" s="59" t="n"/>
      <c r="I157" s="59" t="n"/>
      <c r="J157" s="59" t="n"/>
      <c r="K157" s="59" t="n"/>
      <c r="L157" s="65">
        <f>IF(SUM(U157:AY157)=0,"",SUM(U157:AY157))</f>
        <v/>
      </c>
      <c r="M157" s="66">
        <f>IFERROR(INDEX(U$2:AY$2,MATCH(TRUE,INDEX(U157:AY157&lt;&gt;"",0),0)),"")</f>
        <v/>
      </c>
      <c r="N157" s="66">
        <f>IFERROR(LOOKUP(2,1/(U157:AY157&lt;&gt;""),U$2:AY$2),"")</f>
        <v/>
      </c>
      <c r="O157" s="59" t="n"/>
      <c r="P157" s="59" t="n"/>
      <c r="Q157" s="59" t="n"/>
      <c r="R157" s="59" t="n"/>
      <c r="S157" s="14" t="n"/>
      <c r="U157" s="53" t="n"/>
      <c r="V157" s="53" t="n"/>
      <c r="W157" s="53" t="n"/>
      <c r="X157" s="53" t="n"/>
      <c r="Y157" s="53" t="n"/>
      <c r="Z157" s="53" t="n"/>
      <c r="AA157" s="53" t="n"/>
      <c r="AB157" s="53" t="n"/>
      <c r="AC157" s="53" t="n"/>
      <c r="AD157" s="53" t="n"/>
      <c r="AE157" s="53" t="n"/>
      <c r="AF157" s="53" t="n"/>
      <c r="AG157" s="53" t="n"/>
      <c r="AH157" s="53" t="n"/>
      <c r="AI157" s="53" t="n"/>
      <c r="AJ157" s="53" t="n"/>
      <c r="AK157" s="53" t="n"/>
      <c r="AL157" s="53" t="n"/>
      <c r="AM157" s="53" t="n"/>
      <c r="AN157" s="53" t="n"/>
      <c r="AO157" s="53" t="n"/>
      <c r="AP157" s="53" t="n"/>
      <c r="AQ157" s="53" t="n"/>
      <c r="AR157" s="53" t="n"/>
      <c r="AS157" s="53" t="n"/>
      <c r="AT157" s="53" t="n"/>
      <c r="AU157" s="53" t="n"/>
      <c r="AV157" s="53" t="n"/>
      <c r="AW157" s="53" t="n"/>
      <c r="AX157" s="53" t="n"/>
      <c r="AY157" s="53" t="n"/>
    </row>
    <row r="158" ht="15" customHeight="1">
      <c r="A158" s="40">
        <f>IF($D$158="","",50)</f>
        <v/>
      </c>
      <c r="B158" s="10" t="n"/>
      <c r="C158" s="41" t="inlineStr">
        <is>
          <t>마케팅3팀</t>
        </is>
      </c>
      <c r="D158" s="42" t="n"/>
      <c r="E158" s="43" t="inlineStr">
        <is>
          <t>기획</t>
        </is>
      </c>
      <c r="F158" s="44" t="n"/>
      <c r="G158" s="45" t="n"/>
      <c r="H158" s="46">
        <f>IF($I$158="","",IF($I$158&lt;0,"🔴지연",IF($I$158&lt;=1,"🟡임박","🟢여유")))</f>
        <v/>
      </c>
      <c r="I158" s="47">
        <f>IF(OR($G$158="",$K$158=""),"",$G$158-$K$158)</f>
        <v/>
      </c>
      <c r="J158" s="48">
        <f>IF(SUM($L$158:$L$160)=0,"",SUM($L$158:$L$160))</f>
        <v/>
      </c>
      <c r="K158" s="49">
        <f>IF($J$158="","",MAX($N$158:$N$160))</f>
        <v/>
      </c>
      <c r="L158" s="50">
        <f>IF(SUM(U158:AY158)=0,"",SUM(U158:AY158))</f>
        <v/>
      </c>
      <c r="M158" s="51">
        <f>IFERROR(INDEX(U$2:AY$2,MATCH(TRUE,INDEX(U158:AY158&lt;&gt;"",0),0)),"")</f>
        <v/>
      </c>
      <c r="N158" s="51">
        <f>IFERROR(LOOKUP(2,1/(U158:AY158&lt;&gt;""),U$2:AY$2),"")</f>
        <v/>
      </c>
      <c r="O158" s="52" t="n"/>
      <c r="P158" s="52" t="n"/>
      <c r="Q158" s="52" t="n"/>
      <c r="R158" s="44" t="n"/>
      <c r="S158" s="14" t="n"/>
      <c r="U158" s="53" t="n"/>
      <c r="V158" s="53" t="n"/>
      <c r="W158" s="53" t="n"/>
      <c r="X158" s="53" t="n"/>
      <c r="Y158" s="53" t="n"/>
      <c r="Z158" s="53" t="n"/>
      <c r="AA158" s="53" t="n"/>
      <c r="AB158" s="53" t="n"/>
      <c r="AC158" s="53" t="n"/>
      <c r="AD158" s="53" t="n"/>
      <c r="AE158" s="53" t="n"/>
      <c r="AF158" s="53" t="n"/>
      <c r="AG158" s="53" t="n"/>
      <c r="AH158" s="53" t="n"/>
      <c r="AI158" s="53" t="n"/>
      <c r="AJ158" s="53" t="n"/>
      <c r="AK158" s="53" t="n"/>
      <c r="AL158" s="53" t="n"/>
      <c r="AM158" s="53" t="n"/>
      <c r="AN158" s="53" t="n"/>
      <c r="AO158" s="53" t="n"/>
      <c r="AP158" s="53" t="n"/>
      <c r="AQ158" s="53" t="n"/>
      <c r="AR158" s="53" t="n"/>
      <c r="AS158" s="53" t="n"/>
      <c r="AT158" s="53" t="n"/>
      <c r="AU158" s="53" t="n"/>
      <c r="AV158" s="53" t="n"/>
      <c r="AW158" s="53" t="n"/>
      <c r="AX158" s="53" t="n"/>
      <c r="AY158" s="53" t="n"/>
    </row>
    <row r="159" ht="15" customHeight="1">
      <c r="A159" s="54" t="n"/>
      <c r="B159" s="55">
        <f>IF($B$158="","",$B$158)</f>
        <v/>
      </c>
      <c r="C159" s="56" t="inlineStr">
        <is>
          <t>마케팅3팀</t>
        </is>
      </c>
      <c r="D159" s="55">
        <f>IF($D$158="","",$D$158)</f>
        <v/>
      </c>
      <c r="E159" s="57" t="inlineStr">
        <is>
          <t>이미지</t>
        </is>
      </c>
      <c r="F159" s="44" t="n"/>
      <c r="G159" s="58">
        <f>IF($G$158="","",$G$158)</f>
        <v/>
      </c>
      <c r="H159" s="59" t="n"/>
      <c r="I159" s="59" t="n"/>
      <c r="J159" s="59" t="n"/>
      <c r="K159" s="59" t="n"/>
      <c r="L159" s="60">
        <f>IF(SUM(U159:AY159)=0,"",SUM(U159:AY159))</f>
        <v/>
      </c>
      <c r="M159" s="61">
        <f>IFERROR(INDEX(U$2:AY$2,MATCH(TRUE,INDEX(U159:AY159&lt;&gt;"",0),0)),"")</f>
        <v/>
      </c>
      <c r="N159" s="61">
        <f>IFERROR(LOOKUP(2,1/(U159:AY159&lt;&gt;""),U$2:AY$2),"")</f>
        <v/>
      </c>
      <c r="O159" s="59" t="n"/>
      <c r="P159" s="59" t="n"/>
      <c r="Q159" s="59" t="n"/>
      <c r="R159" s="59" t="n"/>
      <c r="S159" s="14" t="n"/>
      <c r="U159" s="53" t="n"/>
      <c r="V159" s="53" t="n"/>
      <c r="W159" s="53" t="n"/>
      <c r="X159" s="53" t="n"/>
      <c r="Y159" s="53" t="n"/>
      <c r="Z159" s="53" t="n"/>
      <c r="AA159" s="53" t="n"/>
      <c r="AB159" s="53" t="n"/>
      <c r="AC159" s="53" t="n"/>
      <c r="AD159" s="53" t="n"/>
      <c r="AE159" s="53" t="n"/>
      <c r="AF159" s="53" t="n"/>
      <c r="AG159" s="53" t="n"/>
      <c r="AH159" s="53" t="n"/>
      <c r="AI159" s="53" t="n"/>
      <c r="AJ159" s="53" t="n"/>
      <c r="AK159" s="53" t="n"/>
      <c r="AL159" s="53" t="n"/>
      <c r="AM159" s="53" t="n"/>
      <c r="AN159" s="53" t="n"/>
      <c r="AO159" s="53" t="n"/>
      <c r="AP159" s="53" t="n"/>
      <c r="AQ159" s="53" t="n"/>
      <c r="AR159" s="53" t="n"/>
      <c r="AS159" s="53" t="n"/>
      <c r="AT159" s="53" t="n"/>
      <c r="AU159" s="53" t="n"/>
      <c r="AV159" s="53" t="n"/>
      <c r="AW159" s="53" t="n"/>
      <c r="AX159" s="53" t="n"/>
      <c r="AY159" s="53" t="n"/>
    </row>
    <row r="160" ht="15" customHeight="1">
      <c r="A160" s="62" t="n"/>
      <c r="B160" s="55">
        <f>IF($B$158="","",$B$158)</f>
        <v/>
      </c>
      <c r="C160" s="63" t="inlineStr">
        <is>
          <t>마케팅3팀</t>
        </is>
      </c>
      <c r="D160" s="55">
        <f>IF($D$158="","",$D$158)</f>
        <v/>
      </c>
      <c r="E160" s="64" t="inlineStr">
        <is>
          <t>영상</t>
        </is>
      </c>
      <c r="F160" s="44" t="n"/>
      <c r="G160" s="58">
        <f>IF($G$158="","",$G$158)</f>
        <v/>
      </c>
      <c r="H160" s="59" t="n"/>
      <c r="I160" s="59" t="n"/>
      <c r="J160" s="59" t="n"/>
      <c r="K160" s="59" t="n"/>
      <c r="L160" s="65">
        <f>IF(SUM(U160:AY160)=0,"",SUM(U160:AY160))</f>
        <v/>
      </c>
      <c r="M160" s="66">
        <f>IFERROR(INDEX(U$2:AY$2,MATCH(TRUE,INDEX(U160:AY160&lt;&gt;"",0),0)),"")</f>
        <v/>
      </c>
      <c r="N160" s="66">
        <f>IFERROR(LOOKUP(2,1/(U160:AY160&lt;&gt;""),U$2:AY$2),"")</f>
        <v/>
      </c>
      <c r="O160" s="59" t="n"/>
      <c r="P160" s="59" t="n"/>
      <c r="Q160" s="59" t="n"/>
      <c r="R160" s="59" t="n"/>
      <c r="S160" s="14" t="n"/>
      <c r="U160" s="53" t="n"/>
      <c r="V160" s="53" t="n"/>
      <c r="W160" s="53" t="n"/>
      <c r="X160" s="53" t="n"/>
      <c r="Y160" s="53" t="n"/>
      <c r="Z160" s="53" t="n"/>
      <c r="AA160" s="53" t="n"/>
      <c r="AB160" s="53" t="n"/>
      <c r="AC160" s="53" t="n"/>
      <c r="AD160" s="53" t="n"/>
      <c r="AE160" s="53" t="n"/>
      <c r="AF160" s="53" t="n"/>
      <c r="AG160" s="53" t="n"/>
      <c r="AH160" s="53" t="n"/>
      <c r="AI160" s="53" t="n"/>
      <c r="AJ160" s="53" t="n"/>
      <c r="AK160" s="53" t="n"/>
      <c r="AL160" s="53" t="n"/>
      <c r="AM160" s="53" t="n"/>
      <c r="AN160" s="53" t="n"/>
      <c r="AO160" s="53" t="n"/>
      <c r="AP160" s="53" t="n"/>
      <c r="AQ160" s="53" t="n"/>
      <c r="AR160" s="53" t="n"/>
      <c r="AS160" s="53" t="n"/>
      <c r="AT160" s="53" t="n"/>
      <c r="AU160" s="53" t="n"/>
      <c r="AV160" s="53" t="n"/>
      <c r="AW160" s="53" t="n"/>
      <c r="AX160" s="53" t="n"/>
      <c r="AY160" s="53" t="n"/>
    </row>
    <row r="161" ht="15" customHeight="1">
      <c r="A161" s="40">
        <f>IF($D$161="","",51)</f>
        <v/>
      </c>
      <c r="B161" s="10" t="n"/>
      <c r="C161" s="41" t="inlineStr">
        <is>
          <t>마케팅3팀</t>
        </is>
      </c>
      <c r="D161" s="42" t="n"/>
      <c r="E161" s="43" t="inlineStr">
        <is>
          <t>기획</t>
        </is>
      </c>
      <c r="F161" s="44" t="n"/>
      <c r="G161" s="45" t="n"/>
      <c r="H161" s="46">
        <f>IF($I$161="","",IF($I$161&lt;0,"🔴지연",IF($I$161&lt;=1,"🟡임박","🟢여유")))</f>
        <v/>
      </c>
      <c r="I161" s="47">
        <f>IF(OR($G$161="",$K$161=""),"",$G$161-$K$161)</f>
        <v/>
      </c>
      <c r="J161" s="48">
        <f>IF(SUM($L$161:$L$163)=0,"",SUM($L$161:$L$163))</f>
        <v/>
      </c>
      <c r="K161" s="49">
        <f>IF($J$161="","",MAX($N$161:$N$163))</f>
        <v/>
      </c>
      <c r="L161" s="50">
        <f>IF(SUM(U161:AY161)=0,"",SUM(U161:AY161))</f>
        <v/>
      </c>
      <c r="M161" s="51">
        <f>IFERROR(INDEX(U$2:AY$2,MATCH(TRUE,INDEX(U161:AY161&lt;&gt;"",0),0)),"")</f>
        <v/>
      </c>
      <c r="N161" s="51">
        <f>IFERROR(LOOKUP(2,1/(U161:AY161&lt;&gt;""),U$2:AY$2),"")</f>
        <v/>
      </c>
      <c r="O161" s="52" t="n"/>
      <c r="P161" s="52" t="n"/>
      <c r="Q161" s="52" t="n"/>
      <c r="R161" s="44" t="n"/>
      <c r="S161" s="14" t="n"/>
      <c r="U161" s="53" t="n"/>
      <c r="V161" s="53" t="n"/>
      <c r="W161" s="53" t="n"/>
      <c r="X161" s="53" t="n"/>
      <c r="Y161" s="53" t="n"/>
      <c r="Z161" s="53" t="n"/>
      <c r="AA161" s="53" t="n"/>
      <c r="AB161" s="53" t="n"/>
      <c r="AC161" s="53" t="n"/>
      <c r="AD161" s="53" t="n"/>
      <c r="AE161" s="53" t="n"/>
      <c r="AF161" s="53" t="n"/>
      <c r="AG161" s="53" t="n"/>
      <c r="AH161" s="53" t="n"/>
      <c r="AI161" s="53" t="n"/>
      <c r="AJ161" s="53" t="n"/>
      <c r="AK161" s="53" t="n"/>
      <c r="AL161" s="53" t="n"/>
      <c r="AM161" s="53" t="n"/>
      <c r="AN161" s="53" t="n"/>
      <c r="AO161" s="53" t="n"/>
      <c r="AP161" s="53" t="n"/>
      <c r="AQ161" s="53" t="n"/>
      <c r="AR161" s="53" t="n"/>
      <c r="AS161" s="53" t="n"/>
      <c r="AT161" s="53" t="n"/>
      <c r="AU161" s="53" t="n"/>
      <c r="AV161" s="53" t="n"/>
      <c r="AW161" s="53" t="n"/>
      <c r="AX161" s="53" t="n"/>
      <c r="AY161" s="53" t="n"/>
    </row>
    <row r="162" ht="15" customHeight="1">
      <c r="A162" s="54" t="n"/>
      <c r="B162" s="55">
        <f>IF($B$161="","",$B$161)</f>
        <v/>
      </c>
      <c r="C162" s="56" t="inlineStr">
        <is>
          <t>마케팅3팀</t>
        </is>
      </c>
      <c r="D162" s="55">
        <f>IF($D$161="","",$D$161)</f>
        <v/>
      </c>
      <c r="E162" s="57" t="inlineStr">
        <is>
          <t>이미지</t>
        </is>
      </c>
      <c r="F162" s="44" t="n"/>
      <c r="G162" s="58">
        <f>IF($G$161="","",$G$161)</f>
        <v/>
      </c>
      <c r="H162" s="59" t="n"/>
      <c r="I162" s="59" t="n"/>
      <c r="J162" s="59" t="n"/>
      <c r="K162" s="59" t="n"/>
      <c r="L162" s="60">
        <f>IF(SUM(U162:AY162)=0,"",SUM(U162:AY162))</f>
        <v/>
      </c>
      <c r="M162" s="61">
        <f>IFERROR(INDEX(U$2:AY$2,MATCH(TRUE,INDEX(U162:AY162&lt;&gt;"",0),0)),"")</f>
        <v/>
      </c>
      <c r="N162" s="61">
        <f>IFERROR(LOOKUP(2,1/(U162:AY162&lt;&gt;""),U$2:AY$2),"")</f>
        <v/>
      </c>
      <c r="O162" s="59" t="n"/>
      <c r="P162" s="59" t="n"/>
      <c r="Q162" s="59" t="n"/>
      <c r="R162" s="59" t="n"/>
      <c r="S162" s="14" t="n"/>
      <c r="U162" s="53" t="n"/>
      <c r="V162" s="53" t="n"/>
      <c r="W162" s="53" t="n"/>
      <c r="X162" s="53" t="n"/>
      <c r="Y162" s="53" t="n"/>
      <c r="Z162" s="53" t="n"/>
      <c r="AA162" s="53" t="n"/>
      <c r="AB162" s="53" t="n"/>
      <c r="AC162" s="53" t="n"/>
      <c r="AD162" s="53" t="n"/>
      <c r="AE162" s="53" t="n"/>
      <c r="AF162" s="53" t="n"/>
      <c r="AG162" s="53" t="n"/>
      <c r="AH162" s="53" t="n"/>
      <c r="AI162" s="53" t="n"/>
      <c r="AJ162" s="53" t="n"/>
      <c r="AK162" s="53" t="n"/>
      <c r="AL162" s="53" t="n"/>
      <c r="AM162" s="53" t="n"/>
      <c r="AN162" s="53" t="n"/>
      <c r="AO162" s="53" t="n"/>
      <c r="AP162" s="53" t="n"/>
      <c r="AQ162" s="53" t="n"/>
      <c r="AR162" s="53" t="n"/>
      <c r="AS162" s="53" t="n"/>
      <c r="AT162" s="53" t="n"/>
      <c r="AU162" s="53" t="n"/>
      <c r="AV162" s="53" t="n"/>
      <c r="AW162" s="53" t="n"/>
      <c r="AX162" s="53" t="n"/>
      <c r="AY162" s="53" t="n"/>
    </row>
    <row r="163" ht="15" customHeight="1">
      <c r="A163" s="62" t="n"/>
      <c r="B163" s="55">
        <f>IF($B$161="","",$B$161)</f>
        <v/>
      </c>
      <c r="C163" s="63" t="inlineStr">
        <is>
          <t>마케팅3팀</t>
        </is>
      </c>
      <c r="D163" s="55">
        <f>IF($D$161="","",$D$161)</f>
        <v/>
      </c>
      <c r="E163" s="64" t="inlineStr">
        <is>
          <t>영상</t>
        </is>
      </c>
      <c r="F163" s="44" t="n"/>
      <c r="G163" s="58">
        <f>IF($G$161="","",$G$161)</f>
        <v/>
      </c>
      <c r="H163" s="59" t="n"/>
      <c r="I163" s="59" t="n"/>
      <c r="J163" s="59" t="n"/>
      <c r="K163" s="59" t="n"/>
      <c r="L163" s="65">
        <f>IF(SUM(U163:AY163)=0,"",SUM(U163:AY163))</f>
        <v/>
      </c>
      <c r="M163" s="66">
        <f>IFERROR(INDEX(U$2:AY$2,MATCH(TRUE,INDEX(U163:AY163&lt;&gt;"",0),0)),"")</f>
        <v/>
      </c>
      <c r="N163" s="66">
        <f>IFERROR(LOOKUP(2,1/(U163:AY163&lt;&gt;""),U$2:AY$2),"")</f>
        <v/>
      </c>
      <c r="O163" s="59" t="n"/>
      <c r="P163" s="59" t="n"/>
      <c r="Q163" s="59" t="n"/>
      <c r="R163" s="59" t="n"/>
      <c r="S163" s="14" t="n"/>
      <c r="U163" s="53" t="n"/>
      <c r="V163" s="53" t="n"/>
      <c r="W163" s="53" t="n"/>
      <c r="X163" s="53" t="n"/>
      <c r="Y163" s="53" t="n"/>
      <c r="Z163" s="53" t="n"/>
      <c r="AA163" s="53" t="n"/>
      <c r="AB163" s="53" t="n"/>
      <c r="AC163" s="53" t="n"/>
      <c r="AD163" s="53" t="n"/>
      <c r="AE163" s="53" t="n"/>
      <c r="AF163" s="53" t="n"/>
      <c r="AG163" s="53" t="n"/>
      <c r="AH163" s="53" t="n"/>
      <c r="AI163" s="53" t="n"/>
      <c r="AJ163" s="53" t="n"/>
      <c r="AK163" s="53" t="n"/>
      <c r="AL163" s="53" t="n"/>
      <c r="AM163" s="53" t="n"/>
      <c r="AN163" s="53" t="n"/>
      <c r="AO163" s="53" t="n"/>
      <c r="AP163" s="53" t="n"/>
      <c r="AQ163" s="53" t="n"/>
      <c r="AR163" s="53" t="n"/>
      <c r="AS163" s="53" t="n"/>
      <c r="AT163" s="53" t="n"/>
      <c r="AU163" s="53" t="n"/>
      <c r="AV163" s="53" t="n"/>
      <c r="AW163" s="53" t="n"/>
      <c r="AX163" s="53" t="n"/>
      <c r="AY163" s="53" t="n"/>
    </row>
    <row r="164" ht="15" customHeight="1">
      <c r="A164" s="40">
        <f>IF($D$164="","",52)</f>
        <v/>
      </c>
      <c r="B164" s="10" t="n"/>
      <c r="C164" s="41" t="inlineStr">
        <is>
          <t>마케팅3팀</t>
        </is>
      </c>
      <c r="D164" s="42" t="n"/>
      <c r="E164" s="43" t="inlineStr">
        <is>
          <t>기획</t>
        </is>
      </c>
      <c r="F164" s="44" t="n"/>
      <c r="G164" s="45" t="n"/>
      <c r="H164" s="46">
        <f>IF($I$164="","",IF($I$164&lt;0,"🔴지연",IF($I$164&lt;=1,"🟡임박","🟢여유")))</f>
        <v/>
      </c>
      <c r="I164" s="47">
        <f>IF(OR($G$164="",$K$164=""),"",$G$164-$K$164)</f>
        <v/>
      </c>
      <c r="J164" s="48">
        <f>IF(SUM($L$164:$L$166)=0,"",SUM($L$164:$L$166))</f>
        <v/>
      </c>
      <c r="K164" s="49">
        <f>IF($J$164="","",MAX($N$164:$N$166))</f>
        <v/>
      </c>
      <c r="L164" s="50">
        <f>IF(SUM(U164:AY164)=0,"",SUM(U164:AY164))</f>
        <v/>
      </c>
      <c r="M164" s="51">
        <f>IFERROR(INDEX(U$2:AY$2,MATCH(TRUE,INDEX(U164:AY164&lt;&gt;"",0),0)),"")</f>
        <v/>
      </c>
      <c r="N164" s="51">
        <f>IFERROR(LOOKUP(2,1/(U164:AY164&lt;&gt;""),U$2:AY$2),"")</f>
        <v/>
      </c>
      <c r="O164" s="52" t="n"/>
      <c r="P164" s="52" t="n"/>
      <c r="Q164" s="52" t="n"/>
      <c r="R164" s="44" t="n"/>
      <c r="S164" s="14" t="n"/>
      <c r="U164" s="53" t="n"/>
      <c r="V164" s="53" t="n"/>
      <c r="W164" s="53" t="n"/>
      <c r="X164" s="53" t="n"/>
      <c r="Y164" s="53" t="n"/>
      <c r="Z164" s="53" t="n"/>
      <c r="AA164" s="53" t="n"/>
      <c r="AB164" s="53" t="n"/>
      <c r="AC164" s="53" t="n"/>
      <c r="AD164" s="53" t="n"/>
      <c r="AE164" s="53" t="n"/>
      <c r="AF164" s="53" t="n"/>
      <c r="AG164" s="53" t="n"/>
      <c r="AH164" s="53" t="n"/>
      <c r="AI164" s="53" t="n"/>
      <c r="AJ164" s="53" t="n"/>
      <c r="AK164" s="53" t="n"/>
      <c r="AL164" s="53" t="n"/>
      <c r="AM164" s="53" t="n"/>
      <c r="AN164" s="53" t="n"/>
      <c r="AO164" s="53" t="n"/>
      <c r="AP164" s="53" t="n"/>
      <c r="AQ164" s="53" t="n"/>
      <c r="AR164" s="53" t="n"/>
      <c r="AS164" s="53" t="n"/>
      <c r="AT164" s="53" t="n"/>
      <c r="AU164" s="53" t="n"/>
      <c r="AV164" s="53" t="n"/>
      <c r="AW164" s="53" t="n"/>
      <c r="AX164" s="53" t="n"/>
      <c r="AY164" s="53" t="n"/>
    </row>
    <row r="165" ht="15" customHeight="1">
      <c r="A165" s="54" t="n"/>
      <c r="B165" s="55">
        <f>IF($B$164="","",$B$164)</f>
        <v/>
      </c>
      <c r="C165" s="56" t="inlineStr">
        <is>
          <t>마케팅3팀</t>
        </is>
      </c>
      <c r="D165" s="55">
        <f>IF($D$164="","",$D$164)</f>
        <v/>
      </c>
      <c r="E165" s="57" t="inlineStr">
        <is>
          <t>이미지</t>
        </is>
      </c>
      <c r="F165" s="44" t="n"/>
      <c r="G165" s="58">
        <f>IF($G$164="","",$G$164)</f>
        <v/>
      </c>
      <c r="H165" s="59" t="n"/>
      <c r="I165" s="59" t="n"/>
      <c r="J165" s="59" t="n"/>
      <c r="K165" s="59" t="n"/>
      <c r="L165" s="60">
        <f>IF(SUM(U165:AY165)=0,"",SUM(U165:AY165))</f>
        <v/>
      </c>
      <c r="M165" s="61">
        <f>IFERROR(INDEX(U$2:AY$2,MATCH(TRUE,INDEX(U165:AY165&lt;&gt;"",0),0)),"")</f>
        <v/>
      </c>
      <c r="N165" s="61">
        <f>IFERROR(LOOKUP(2,1/(U165:AY165&lt;&gt;""),U$2:AY$2),"")</f>
        <v/>
      </c>
      <c r="O165" s="59" t="n"/>
      <c r="P165" s="59" t="n"/>
      <c r="Q165" s="59" t="n"/>
      <c r="R165" s="59" t="n"/>
      <c r="S165" s="14" t="n"/>
      <c r="U165" s="53" t="n"/>
      <c r="V165" s="53" t="n"/>
      <c r="W165" s="53" t="n"/>
      <c r="X165" s="53" t="n"/>
      <c r="Y165" s="53" t="n"/>
      <c r="Z165" s="53" t="n"/>
      <c r="AA165" s="53" t="n"/>
      <c r="AB165" s="53" t="n"/>
      <c r="AC165" s="53" t="n"/>
      <c r="AD165" s="53" t="n"/>
      <c r="AE165" s="53" t="n"/>
      <c r="AF165" s="53" t="n"/>
      <c r="AG165" s="53" t="n"/>
      <c r="AH165" s="53" t="n"/>
      <c r="AI165" s="53" t="n"/>
      <c r="AJ165" s="53" t="n"/>
      <c r="AK165" s="53" t="n"/>
      <c r="AL165" s="53" t="n"/>
      <c r="AM165" s="53" t="n"/>
      <c r="AN165" s="53" t="n"/>
      <c r="AO165" s="53" t="n"/>
      <c r="AP165" s="53" t="n"/>
      <c r="AQ165" s="53" t="n"/>
      <c r="AR165" s="53" t="n"/>
      <c r="AS165" s="53" t="n"/>
      <c r="AT165" s="53" t="n"/>
      <c r="AU165" s="53" t="n"/>
      <c r="AV165" s="53" t="n"/>
      <c r="AW165" s="53" t="n"/>
      <c r="AX165" s="53" t="n"/>
      <c r="AY165" s="53" t="n"/>
    </row>
    <row r="166" ht="15" customHeight="1">
      <c r="A166" s="62" t="n"/>
      <c r="B166" s="55">
        <f>IF($B$164="","",$B$164)</f>
        <v/>
      </c>
      <c r="C166" s="63" t="inlineStr">
        <is>
          <t>마케팅3팀</t>
        </is>
      </c>
      <c r="D166" s="55">
        <f>IF($D$164="","",$D$164)</f>
        <v/>
      </c>
      <c r="E166" s="64" t="inlineStr">
        <is>
          <t>영상</t>
        </is>
      </c>
      <c r="F166" s="44" t="n"/>
      <c r="G166" s="58">
        <f>IF($G$164="","",$G$164)</f>
        <v/>
      </c>
      <c r="H166" s="59" t="n"/>
      <c r="I166" s="59" t="n"/>
      <c r="J166" s="59" t="n"/>
      <c r="K166" s="59" t="n"/>
      <c r="L166" s="65">
        <f>IF(SUM(U166:AY166)=0,"",SUM(U166:AY166))</f>
        <v/>
      </c>
      <c r="M166" s="66">
        <f>IFERROR(INDEX(U$2:AY$2,MATCH(TRUE,INDEX(U166:AY166&lt;&gt;"",0),0)),"")</f>
        <v/>
      </c>
      <c r="N166" s="66">
        <f>IFERROR(LOOKUP(2,1/(U166:AY166&lt;&gt;""),U$2:AY$2),"")</f>
        <v/>
      </c>
      <c r="O166" s="59" t="n"/>
      <c r="P166" s="59" t="n"/>
      <c r="Q166" s="59" t="n"/>
      <c r="R166" s="59" t="n"/>
      <c r="S166" s="14" t="n"/>
      <c r="U166" s="53" t="n"/>
      <c r="V166" s="53" t="n"/>
      <c r="W166" s="53" t="n"/>
      <c r="X166" s="53" t="n"/>
      <c r="Y166" s="53" t="n"/>
      <c r="Z166" s="53" t="n"/>
      <c r="AA166" s="53" t="n"/>
      <c r="AB166" s="53" t="n"/>
      <c r="AC166" s="53" t="n"/>
      <c r="AD166" s="53" t="n"/>
      <c r="AE166" s="53" t="n"/>
      <c r="AF166" s="53" t="n"/>
      <c r="AG166" s="53" t="n"/>
      <c r="AH166" s="53" t="n"/>
      <c r="AI166" s="53" t="n"/>
      <c r="AJ166" s="53" t="n"/>
      <c r="AK166" s="53" t="n"/>
      <c r="AL166" s="53" t="n"/>
      <c r="AM166" s="53" t="n"/>
      <c r="AN166" s="53" t="n"/>
      <c r="AO166" s="53" t="n"/>
      <c r="AP166" s="53" t="n"/>
      <c r="AQ166" s="53" t="n"/>
      <c r="AR166" s="53" t="n"/>
      <c r="AS166" s="53" t="n"/>
      <c r="AT166" s="53" t="n"/>
      <c r="AU166" s="53" t="n"/>
      <c r="AV166" s="53" t="n"/>
      <c r="AW166" s="53" t="n"/>
      <c r="AX166" s="53" t="n"/>
      <c r="AY166" s="53" t="n"/>
    </row>
    <row r="167" ht="15" customHeight="1">
      <c r="A167" s="40">
        <f>IF($D$167="","",53)</f>
        <v/>
      </c>
      <c r="B167" s="10" t="n"/>
      <c r="C167" s="41" t="inlineStr">
        <is>
          <t>마케팅3팀</t>
        </is>
      </c>
      <c r="D167" s="42" t="n"/>
      <c r="E167" s="43" t="inlineStr">
        <is>
          <t>기획</t>
        </is>
      </c>
      <c r="F167" s="44" t="n"/>
      <c r="G167" s="45" t="n"/>
      <c r="H167" s="46">
        <f>IF($I$167="","",IF($I$167&lt;0,"🔴지연",IF($I$167&lt;=1,"🟡임박","🟢여유")))</f>
        <v/>
      </c>
      <c r="I167" s="47">
        <f>IF(OR($G$167="",$K$167=""),"",$G$167-$K$167)</f>
        <v/>
      </c>
      <c r="J167" s="48">
        <f>IF(SUM($L$167:$L$169)=0,"",SUM($L$167:$L$169))</f>
        <v/>
      </c>
      <c r="K167" s="49">
        <f>IF($J$167="","",MAX($N$167:$N$169))</f>
        <v/>
      </c>
      <c r="L167" s="50">
        <f>IF(SUM(U167:AY167)=0,"",SUM(U167:AY167))</f>
        <v/>
      </c>
      <c r="M167" s="51">
        <f>IFERROR(INDEX(U$2:AY$2,MATCH(TRUE,INDEX(U167:AY167&lt;&gt;"",0),0)),"")</f>
        <v/>
      </c>
      <c r="N167" s="51">
        <f>IFERROR(LOOKUP(2,1/(U167:AY167&lt;&gt;""),U$2:AY$2),"")</f>
        <v/>
      </c>
      <c r="O167" s="52" t="n"/>
      <c r="P167" s="52" t="n"/>
      <c r="Q167" s="52" t="n"/>
      <c r="R167" s="44" t="n"/>
      <c r="S167" s="14" t="n"/>
      <c r="U167" s="53" t="n"/>
      <c r="V167" s="53" t="n"/>
      <c r="W167" s="53" t="n"/>
      <c r="X167" s="53" t="n"/>
      <c r="Y167" s="53" t="n"/>
      <c r="Z167" s="53" t="n"/>
      <c r="AA167" s="53" t="n"/>
      <c r="AB167" s="53" t="n"/>
      <c r="AC167" s="53" t="n"/>
      <c r="AD167" s="53" t="n"/>
      <c r="AE167" s="53" t="n"/>
      <c r="AF167" s="53" t="n"/>
      <c r="AG167" s="53" t="n"/>
      <c r="AH167" s="53" t="n"/>
      <c r="AI167" s="53" t="n"/>
      <c r="AJ167" s="53" t="n"/>
      <c r="AK167" s="53" t="n"/>
      <c r="AL167" s="53" t="n"/>
      <c r="AM167" s="53" t="n"/>
      <c r="AN167" s="53" t="n"/>
      <c r="AO167" s="53" t="n"/>
      <c r="AP167" s="53" t="n"/>
      <c r="AQ167" s="53" t="n"/>
      <c r="AR167" s="53" t="n"/>
      <c r="AS167" s="53" t="n"/>
      <c r="AT167" s="53" t="n"/>
      <c r="AU167" s="53" t="n"/>
      <c r="AV167" s="53" t="n"/>
      <c r="AW167" s="53" t="n"/>
      <c r="AX167" s="53" t="n"/>
      <c r="AY167" s="53" t="n"/>
    </row>
    <row r="168" ht="15" customHeight="1">
      <c r="A168" s="54" t="n"/>
      <c r="B168" s="55">
        <f>IF($B$167="","",$B$167)</f>
        <v/>
      </c>
      <c r="C168" s="56" t="inlineStr">
        <is>
          <t>마케팅3팀</t>
        </is>
      </c>
      <c r="D168" s="55">
        <f>IF($D$167="","",$D$167)</f>
        <v/>
      </c>
      <c r="E168" s="57" t="inlineStr">
        <is>
          <t>이미지</t>
        </is>
      </c>
      <c r="F168" s="44" t="n"/>
      <c r="G168" s="58">
        <f>IF($G$167="","",$G$167)</f>
        <v/>
      </c>
      <c r="H168" s="59" t="n"/>
      <c r="I168" s="59" t="n"/>
      <c r="J168" s="59" t="n"/>
      <c r="K168" s="59" t="n"/>
      <c r="L168" s="60">
        <f>IF(SUM(U168:AY168)=0,"",SUM(U168:AY168))</f>
        <v/>
      </c>
      <c r="M168" s="61">
        <f>IFERROR(INDEX(U$2:AY$2,MATCH(TRUE,INDEX(U168:AY168&lt;&gt;"",0),0)),"")</f>
        <v/>
      </c>
      <c r="N168" s="61">
        <f>IFERROR(LOOKUP(2,1/(U168:AY168&lt;&gt;""),U$2:AY$2),"")</f>
        <v/>
      </c>
      <c r="O168" s="59" t="n"/>
      <c r="P168" s="59" t="n"/>
      <c r="Q168" s="59" t="n"/>
      <c r="R168" s="59" t="n"/>
      <c r="S168" s="14" t="n"/>
      <c r="U168" s="53" t="n"/>
      <c r="V168" s="53" t="n"/>
      <c r="W168" s="53" t="n"/>
      <c r="X168" s="53" t="n"/>
      <c r="Y168" s="53" t="n"/>
      <c r="Z168" s="53" t="n"/>
      <c r="AA168" s="53" t="n"/>
      <c r="AB168" s="53" t="n"/>
      <c r="AC168" s="53" t="n"/>
      <c r="AD168" s="53" t="n"/>
      <c r="AE168" s="53" t="n"/>
      <c r="AF168" s="53" t="n"/>
      <c r="AG168" s="53" t="n"/>
      <c r="AH168" s="53" t="n"/>
      <c r="AI168" s="53" t="n"/>
      <c r="AJ168" s="53" t="n"/>
      <c r="AK168" s="53" t="n"/>
      <c r="AL168" s="53" t="n"/>
      <c r="AM168" s="53" t="n"/>
      <c r="AN168" s="53" t="n"/>
      <c r="AO168" s="53" t="n"/>
      <c r="AP168" s="53" t="n"/>
      <c r="AQ168" s="53" t="n"/>
      <c r="AR168" s="53" t="n"/>
      <c r="AS168" s="53" t="n"/>
      <c r="AT168" s="53" t="n"/>
      <c r="AU168" s="53" t="n"/>
      <c r="AV168" s="53" t="n"/>
      <c r="AW168" s="53" t="n"/>
      <c r="AX168" s="53" t="n"/>
      <c r="AY168" s="53" t="n"/>
    </row>
    <row r="169" ht="15" customHeight="1">
      <c r="A169" s="62" t="n"/>
      <c r="B169" s="55">
        <f>IF($B$167="","",$B$167)</f>
        <v/>
      </c>
      <c r="C169" s="63" t="inlineStr">
        <is>
          <t>마케팅3팀</t>
        </is>
      </c>
      <c r="D169" s="55">
        <f>IF($D$167="","",$D$167)</f>
        <v/>
      </c>
      <c r="E169" s="64" t="inlineStr">
        <is>
          <t>영상</t>
        </is>
      </c>
      <c r="F169" s="44" t="n"/>
      <c r="G169" s="58">
        <f>IF($G$167="","",$G$167)</f>
        <v/>
      </c>
      <c r="H169" s="59" t="n"/>
      <c r="I169" s="59" t="n"/>
      <c r="J169" s="59" t="n"/>
      <c r="K169" s="59" t="n"/>
      <c r="L169" s="65">
        <f>IF(SUM(U169:AY169)=0,"",SUM(U169:AY169))</f>
        <v/>
      </c>
      <c r="M169" s="66">
        <f>IFERROR(INDEX(U$2:AY$2,MATCH(TRUE,INDEX(U169:AY169&lt;&gt;"",0),0)),"")</f>
        <v/>
      </c>
      <c r="N169" s="66">
        <f>IFERROR(LOOKUP(2,1/(U169:AY169&lt;&gt;""),U$2:AY$2),"")</f>
        <v/>
      </c>
      <c r="O169" s="59" t="n"/>
      <c r="P169" s="59" t="n"/>
      <c r="Q169" s="59" t="n"/>
      <c r="R169" s="59" t="n"/>
      <c r="S169" s="14" t="n"/>
      <c r="U169" s="53" t="n"/>
      <c r="V169" s="53" t="n"/>
      <c r="W169" s="53" t="n"/>
      <c r="X169" s="53" t="n"/>
      <c r="Y169" s="53" t="n"/>
      <c r="Z169" s="53" t="n"/>
      <c r="AA169" s="53" t="n"/>
      <c r="AB169" s="53" t="n"/>
      <c r="AC169" s="53" t="n"/>
      <c r="AD169" s="53" t="n"/>
      <c r="AE169" s="53" t="n"/>
      <c r="AF169" s="53" t="n"/>
      <c r="AG169" s="53" t="n"/>
      <c r="AH169" s="53" t="n"/>
      <c r="AI169" s="53" t="n"/>
      <c r="AJ169" s="53" t="n"/>
      <c r="AK169" s="53" t="n"/>
      <c r="AL169" s="53" t="n"/>
      <c r="AM169" s="53" t="n"/>
      <c r="AN169" s="53" t="n"/>
      <c r="AO169" s="53" t="n"/>
      <c r="AP169" s="53" t="n"/>
      <c r="AQ169" s="53" t="n"/>
      <c r="AR169" s="53" t="n"/>
      <c r="AS169" s="53" t="n"/>
      <c r="AT169" s="53" t="n"/>
      <c r="AU169" s="53" t="n"/>
      <c r="AV169" s="53" t="n"/>
      <c r="AW169" s="53" t="n"/>
      <c r="AX169" s="53" t="n"/>
      <c r="AY169" s="53" t="n"/>
    </row>
    <row r="170" ht="15" customHeight="1">
      <c r="A170" s="40">
        <f>IF($D$170="","",54)</f>
        <v/>
      </c>
      <c r="B170" s="10" t="n"/>
      <c r="C170" s="41" t="inlineStr">
        <is>
          <t>마케팅3팀</t>
        </is>
      </c>
      <c r="D170" s="42" t="n"/>
      <c r="E170" s="43" t="inlineStr">
        <is>
          <t>기획</t>
        </is>
      </c>
      <c r="F170" s="44" t="n"/>
      <c r="G170" s="45" t="n"/>
      <c r="H170" s="46">
        <f>IF($I$170="","",IF($I$170&lt;0,"🔴지연",IF($I$170&lt;=1,"🟡임박","🟢여유")))</f>
        <v/>
      </c>
      <c r="I170" s="47">
        <f>IF(OR($G$170="",$K$170=""),"",$G$170-$K$170)</f>
        <v/>
      </c>
      <c r="J170" s="48">
        <f>IF(SUM($L$170:$L$172)=0,"",SUM($L$170:$L$172))</f>
        <v/>
      </c>
      <c r="K170" s="49">
        <f>IF($J$170="","",MAX($N$170:$N$172))</f>
        <v/>
      </c>
      <c r="L170" s="50">
        <f>IF(SUM(U170:AY170)=0,"",SUM(U170:AY170))</f>
        <v/>
      </c>
      <c r="M170" s="51">
        <f>IFERROR(INDEX(U$2:AY$2,MATCH(TRUE,INDEX(U170:AY170&lt;&gt;"",0),0)),"")</f>
        <v/>
      </c>
      <c r="N170" s="51">
        <f>IFERROR(LOOKUP(2,1/(U170:AY170&lt;&gt;""),U$2:AY$2),"")</f>
        <v/>
      </c>
      <c r="O170" s="52" t="n"/>
      <c r="P170" s="52" t="n"/>
      <c r="Q170" s="52" t="n"/>
      <c r="R170" s="44" t="n"/>
      <c r="S170" s="14" t="n"/>
      <c r="U170" s="53" t="n"/>
      <c r="V170" s="53" t="n"/>
      <c r="W170" s="53" t="n"/>
      <c r="X170" s="53" t="n"/>
      <c r="Y170" s="53" t="n"/>
      <c r="Z170" s="53" t="n"/>
      <c r="AA170" s="53" t="n"/>
      <c r="AB170" s="53" t="n"/>
      <c r="AC170" s="53" t="n"/>
      <c r="AD170" s="53" t="n"/>
      <c r="AE170" s="53" t="n"/>
      <c r="AF170" s="53" t="n"/>
      <c r="AG170" s="53" t="n"/>
      <c r="AH170" s="53" t="n"/>
      <c r="AI170" s="53" t="n"/>
      <c r="AJ170" s="53" t="n"/>
      <c r="AK170" s="53" t="n"/>
      <c r="AL170" s="53" t="n"/>
      <c r="AM170" s="53" t="n"/>
      <c r="AN170" s="53" t="n"/>
      <c r="AO170" s="53" t="n"/>
      <c r="AP170" s="53" t="n"/>
      <c r="AQ170" s="53" t="n"/>
      <c r="AR170" s="53" t="n"/>
      <c r="AS170" s="53" t="n"/>
      <c r="AT170" s="53" t="n"/>
      <c r="AU170" s="53" t="n"/>
      <c r="AV170" s="53" t="n"/>
      <c r="AW170" s="53" t="n"/>
      <c r="AX170" s="53" t="n"/>
      <c r="AY170" s="53" t="n"/>
    </row>
    <row r="171" ht="15" customHeight="1">
      <c r="A171" s="54" t="n"/>
      <c r="B171" s="55">
        <f>IF($B$170="","",$B$170)</f>
        <v/>
      </c>
      <c r="C171" s="56" t="inlineStr">
        <is>
          <t>마케팅3팀</t>
        </is>
      </c>
      <c r="D171" s="55">
        <f>IF($D$170="","",$D$170)</f>
        <v/>
      </c>
      <c r="E171" s="57" t="inlineStr">
        <is>
          <t>이미지</t>
        </is>
      </c>
      <c r="F171" s="44" t="n"/>
      <c r="G171" s="58">
        <f>IF($G$170="","",$G$170)</f>
        <v/>
      </c>
      <c r="H171" s="59" t="n"/>
      <c r="I171" s="59" t="n"/>
      <c r="J171" s="59" t="n"/>
      <c r="K171" s="59" t="n"/>
      <c r="L171" s="60">
        <f>IF(SUM(U171:AY171)=0,"",SUM(U171:AY171))</f>
        <v/>
      </c>
      <c r="M171" s="61">
        <f>IFERROR(INDEX(U$2:AY$2,MATCH(TRUE,INDEX(U171:AY171&lt;&gt;"",0),0)),"")</f>
        <v/>
      </c>
      <c r="N171" s="61">
        <f>IFERROR(LOOKUP(2,1/(U171:AY171&lt;&gt;""),U$2:AY$2),"")</f>
        <v/>
      </c>
      <c r="O171" s="59" t="n"/>
      <c r="P171" s="59" t="n"/>
      <c r="Q171" s="59" t="n"/>
      <c r="R171" s="59" t="n"/>
      <c r="S171" s="14" t="n"/>
      <c r="U171" s="53" t="n"/>
      <c r="V171" s="53" t="n"/>
      <c r="W171" s="53" t="n"/>
      <c r="X171" s="53" t="n"/>
      <c r="Y171" s="53" t="n"/>
      <c r="Z171" s="53" t="n"/>
      <c r="AA171" s="53" t="n"/>
      <c r="AB171" s="53" t="n"/>
      <c r="AC171" s="53" t="n"/>
      <c r="AD171" s="53" t="n"/>
      <c r="AE171" s="53" t="n"/>
      <c r="AF171" s="53" t="n"/>
      <c r="AG171" s="53" t="n"/>
      <c r="AH171" s="53" t="n"/>
      <c r="AI171" s="53" t="n"/>
      <c r="AJ171" s="53" t="n"/>
      <c r="AK171" s="53" t="n"/>
      <c r="AL171" s="53" t="n"/>
      <c r="AM171" s="53" t="n"/>
      <c r="AN171" s="53" t="n"/>
      <c r="AO171" s="53" t="n"/>
      <c r="AP171" s="53" t="n"/>
      <c r="AQ171" s="53" t="n"/>
      <c r="AR171" s="53" t="n"/>
      <c r="AS171" s="53" t="n"/>
      <c r="AT171" s="53" t="n"/>
      <c r="AU171" s="53" t="n"/>
      <c r="AV171" s="53" t="n"/>
      <c r="AW171" s="53" t="n"/>
      <c r="AX171" s="53" t="n"/>
      <c r="AY171" s="53" t="n"/>
    </row>
    <row r="172" ht="15" customHeight="1">
      <c r="A172" s="62" t="n"/>
      <c r="B172" s="55">
        <f>IF($B$170="","",$B$170)</f>
        <v/>
      </c>
      <c r="C172" s="63" t="inlineStr">
        <is>
          <t>마케팅3팀</t>
        </is>
      </c>
      <c r="D172" s="55">
        <f>IF($D$170="","",$D$170)</f>
        <v/>
      </c>
      <c r="E172" s="64" t="inlineStr">
        <is>
          <t>영상</t>
        </is>
      </c>
      <c r="F172" s="44" t="n"/>
      <c r="G172" s="58">
        <f>IF($G$170="","",$G$170)</f>
        <v/>
      </c>
      <c r="H172" s="59" t="n"/>
      <c r="I172" s="59" t="n"/>
      <c r="J172" s="59" t="n"/>
      <c r="K172" s="59" t="n"/>
      <c r="L172" s="65">
        <f>IF(SUM(U172:AY172)=0,"",SUM(U172:AY172))</f>
        <v/>
      </c>
      <c r="M172" s="66">
        <f>IFERROR(INDEX(U$2:AY$2,MATCH(TRUE,INDEX(U172:AY172&lt;&gt;"",0),0)),"")</f>
        <v/>
      </c>
      <c r="N172" s="66">
        <f>IFERROR(LOOKUP(2,1/(U172:AY172&lt;&gt;""),U$2:AY$2),"")</f>
        <v/>
      </c>
      <c r="O172" s="59" t="n"/>
      <c r="P172" s="59" t="n"/>
      <c r="Q172" s="59" t="n"/>
      <c r="R172" s="59" t="n"/>
      <c r="S172" s="14" t="n"/>
      <c r="U172" s="53" t="n"/>
      <c r="V172" s="53" t="n"/>
      <c r="W172" s="53" t="n"/>
      <c r="X172" s="53" t="n"/>
      <c r="Y172" s="53" t="n"/>
      <c r="Z172" s="53" t="n"/>
      <c r="AA172" s="53" t="n"/>
      <c r="AB172" s="53" t="n"/>
      <c r="AC172" s="53" t="n"/>
      <c r="AD172" s="53" t="n"/>
      <c r="AE172" s="53" t="n"/>
      <c r="AF172" s="53" t="n"/>
      <c r="AG172" s="53" t="n"/>
      <c r="AH172" s="53" t="n"/>
      <c r="AI172" s="53" t="n"/>
      <c r="AJ172" s="53" t="n"/>
      <c r="AK172" s="53" t="n"/>
      <c r="AL172" s="53" t="n"/>
      <c r="AM172" s="53" t="n"/>
      <c r="AN172" s="53" t="n"/>
      <c r="AO172" s="53" t="n"/>
      <c r="AP172" s="53" t="n"/>
      <c r="AQ172" s="53" t="n"/>
      <c r="AR172" s="53" t="n"/>
      <c r="AS172" s="53" t="n"/>
      <c r="AT172" s="53" t="n"/>
      <c r="AU172" s="53" t="n"/>
      <c r="AV172" s="53" t="n"/>
      <c r="AW172" s="53" t="n"/>
      <c r="AX172" s="53" t="n"/>
      <c r="AY172" s="53" t="n"/>
    </row>
    <row r="173" ht="15" customHeight="1">
      <c r="A173" s="40">
        <f>IF($D$173="","",55)</f>
        <v/>
      </c>
      <c r="B173" s="10" t="n"/>
      <c r="C173" s="41" t="inlineStr">
        <is>
          <t>마케팅3팀</t>
        </is>
      </c>
      <c r="D173" s="42" t="n"/>
      <c r="E173" s="43" t="inlineStr">
        <is>
          <t>기획</t>
        </is>
      </c>
      <c r="F173" s="44" t="n"/>
      <c r="G173" s="45" t="n"/>
      <c r="H173" s="46">
        <f>IF($I$173="","",IF($I$173&lt;0,"🔴지연",IF($I$173&lt;=1,"🟡임박","🟢여유")))</f>
        <v/>
      </c>
      <c r="I173" s="47">
        <f>IF(OR($G$173="",$K$173=""),"",$G$173-$K$173)</f>
        <v/>
      </c>
      <c r="J173" s="48">
        <f>IF(SUM($L$173:$L$175)=0,"",SUM($L$173:$L$175))</f>
        <v/>
      </c>
      <c r="K173" s="49">
        <f>IF($J$173="","",MAX($N$173:$N$175))</f>
        <v/>
      </c>
      <c r="L173" s="50">
        <f>IF(SUM(U173:AY173)=0,"",SUM(U173:AY173))</f>
        <v/>
      </c>
      <c r="M173" s="51">
        <f>IFERROR(INDEX(U$2:AY$2,MATCH(TRUE,INDEX(U173:AY173&lt;&gt;"",0),0)),"")</f>
        <v/>
      </c>
      <c r="N173" s="51">
        <f>IFERROR(LOOKUP(2,1/(U173:AY173&lt;&gt;""),U$2:AY$2),"")</f>
        <v/>
      </c>
      <c r="O173" s="52" t="n"/>
      <c r="P173" s="52" t="n"/>
      <c r="Q173" s="52" t="n"/>
      <c r="R173" s="44" t="n"/>
      <c r="S173" s="14" t="n"/>
      <c r="U173" s="53" t="n"/>
      <c r="V173" s="53" t="n"/>
      <c r="W173" s="53" t="n"/>
      <c r="X173" s="53" t="n"/>
      <c r="Y173" s="53" t="n"/>
      <c r="Z173" s="53" t="n"/>
      <c r="AA173" s="53" t="n"/>
      <c r="AB173" s="53" t="n"/>
      <c r="AC173" s="53" t="n"/>
      <c r="AD173" s="53" t="n"/>
      <c r="AE173" s="53" t="n"/>
      <c r="AF173" s="53" t="n"/>
      <c r="AG173" s="53" t="n"/>
      <c r="AH173" s="53" t="n"/>
      <c r="AI173" s="53" t="n"/>
      <c r="AJ173" s="53" t="n"/>
      <c r="AK173" s="53" t="n"/>
      <c r="AL173" s="53" t="n"/>
      <c r="AM173" s="53" t="n"/>
      <c r="AN173" s="53" t="n"/>
      <c r="AO173" s="53" t="n"/>
      <c r="AP173" s="53" t="n"/>
      <c r="AQ173" s="53" t="n"/>
      <c r="AR173" s="53" t="n"/>
      <c r="AS173" s="53" t="n"/>
      <c r="AT173" s="53" t="n"/>
      <c r="AU173" s="53" t="n"/>
      <c r="AV173" s="53" t="n"/>
      <c r="AW173" s="53" t="n"/>
      <c r="AX173" s="53" t="n"/>
      <c r="AY173" s="53" t="n"/>
    </row>
    <row r="174" ht="15" customHeight="1">
      <c r="A174" s="54" t="n"/>
      <c r="B174" s="55">
        <f>IF($B$173="","",$B$173)</f>
        <v/>
      </c>
      <c r="C174" s="56" t="inlineStr">
        <is>
          <t>마케팅3팀</t>
        </is>
      </c>
      <c r="D174" s="55">
        <f>IF($D$173="","",$D$173)</f>
        <v/>
      </c>
      <c r="E174" s="57" t="inlineStr">
        <is>
          <t>이미지</t>
        </is>
      </c>
      <c r="F174" s="44" t="n"/>
      <c r="G174" s="58">
        <f>IF($G$173="","",$G$173)</f>
        <v/>
      </c>
      <c r="H174" s="59" t="n"/>
      <c r="I174" s="59" t="n"/>
      <c r="J174" s="59" t="n"/>
      <c r="K174" s="59" t="n"/>
      <c r="L174" s="60">
        <f>IF(SUM(U174:AY174)=0,"",SUM(U174:AY174))</f>
        <v/>
      </c>
      <c r="M174" s="61">
        <f>IFERROR(INDEX(U$2:AY$2,MATCH(TRUE,INDEX(U174:AY174&lt;&gt;"",0),0)),"")</f>
        <v/>
      </c>
      <c r="N174" s="61">
        <f>IFERROR(LOOKUP(2,1/(U174:AY174&lt;&gt;""),U$2:AY$2),"")</f>
        <v/>
      </c>
      <c r="O174" s="59" t="n"/>
      <c r="P174" s="59" t="n"/>
      <c r="Q174" s="59" t="n"/>
      <c r="R174" s="59" t="n"/>
      <c r="S174" s="14" t="n"/>
      <c r="U174" s="53" t="n"/>
      <c r="V174" s="53" t="n"/>
      <c r="W174" s="53" t="n"/>
      <c r="X174" s="53" t="n"/>
      <c r="Y174" s="53" t="n"/>
      <c r="Z174" s="53" t="n"/>
      <c r="AA174" s="53" t="n"/>
      <c r="AB174" s="53" t="n"/>
      <c r="AC174" s="53" t="n"/>
      <c r="AD174" s="53" t="n"/>
      <c r="AE174" s="53" t="n"/>
      <c r="AF174" s="53" t="n"/>
      <c r="AG174" s="53" t="n"/>
      <c r="AH174" s="53" t="n"/>
      <c r="AI174" s="53" t="n"/>
      <c r="AJ174" s="53" t="n"/>
      <c r="AK174" s="53" t="n"/>
      <c r="AL174" s="53" t="n"/>
      <c r="AM174" s="53" t="n"/>
      <c r="AN174" s="53" t="n"/>
      <c r="AO174" s="53" t="n"/>
      <c r="AP174" s="53" t="n"/>
      <c r="AQ174" s="53" t="n"/>
      <c r="AR174" s="53" t="n"/>
      <c r="AS174" s="53" t="n"/>
      <c r="AT174" s="53" t="n"/>
      <c r="AU174" s="53" t="n"/>
      <c r="AV174" s="53" t="n"/>
      <c r="AW174" s="53" t="n"/>
      <c r="AX174" s="53" t="n"/>
      <c r="AY174" s="53" t="n"/>
    </row>
    <row r="175" ht="15" customHeight="1">
      <c r="A175" s="62" t="n"/>
      <c r="B175" s="55">
        <f>IF($B$173="","",$B$173)</f>
        <v/>
      </c>
      <c r="C175" s="63" t="inlineStr">
        <is>
          <t>마케팅3팀</t>
        </is>
      </c>
      <c r="D175" s="55">
        <f>IF($D$173="","",$D$173)</f>
        <v/>
      </c>
      <c r="E175" s="64" t="inlineStr">
        <is>
          <t>영상</t>
        </is>
      </c>
      <c r="F175" s="44" t="n"/>
      <c r="G175" s="58">
        <f>IF($G$173="","",$G$173)</f>
        <v/>
      </c>
      <c r="H175" s="59" t="n"/>
      <c r="I175" s="59" t="n"/>
      <c r="J175" s="59" t="n"/>
      <c r="K175" s="59" t="n"/>
      <c r="L175" s="65">
        <f>IF(SUM(U175:AY175)=0,"",SUM(U175:AY175))</f>
        <v/>
      </c>
      <c r="M175" s="66">
        <f>IFERROR(INDEX(U$2:AY$2,MATCH(TRUE,INDEX(U175:AY175&lt;&gt;"",0),0)),"")</f>
        <v/>
      </c>
      <c r="N175" s="66">
        <f>IFERROR(LOOKUP(2,1/(U175:AY175&lt;&gt;""),U$2:AY$2),"")</f>
        <v/>
      </c>
      <c r="O175" s="59" t="n"/>
      <c r="P175" s="59" t="n"/>
      <c r="Q175" s="59" t="n"/>
      <c r="R175" s="59" t="n"/>
      <c r="S175" s="14" t="n"/>
      <c r="U175" s="53" t="n"/>
      <c r="V175" s="53" t="n"/>
      <c r="W175" s="53" t="n"/>
      <c r="X175" s="53" t="n"/>
      <c r="Y175" s="53" t="n"/>
      <c r="Z175" s="53" t="n"/>
      <c r="AA175" s="53" t="n"/>
      <c r="AB175" s="53" t="n"/>
      <c r="AC175" s="53" t="n"/>
      <c r="AD175" s="53" t="n"/>
      <c r="AE175" s="53" t="n"/>
      <c r="AF175" s="53" t="n"/>
      <c r="AG175" s="53" t="n"/>
      <c r="AH175" s="53" t="n"/>
      <c r="AI175" s="53" t="n"/>
      <c r="AJ175" s="53" t="n"/>
      <c r="AK175" s="53" t="n"/>
      <c r="AL175" s="53" t="n"/>
      <c r="AM175" s="53" t="n"/>
      <c r="AN175" s="53" t="n"/>
      <c r="AO175" s="53" t="n"/>
      <c r="AP175" s="53" t="n"/>
      <c r="AQ175" s="53" t="n"/>
      <c r="AR175" s="53" t="n"/>
      <c r="AS175" s="53" t="n"/>
      <c r="AT175" s="53" t="n"/>
      <c r="AU175" s="53" t="n"/>
      <c r="AV175" s="53" t="n"/>
      <c r="AW175" s="53" t="n"/>
      <c r="AX175" s="53" t="n"/>
      <c r="AY175" s="53" t="n"/>
    </row>
    <row r="176" ht="15" customHeight="1">
      <c r="A176" s="40">
        <f>IF($D$176="","",56)</f>
        <v/>
      </c>
      <c r="B176" s="10" t="n"/>
      <c r="C176" s="41" t="inlineStr">
        <is>
          <t>마케팅3팀</t>
        </is>
      </c>
      <c r="D176" s="42" t="n"/>
      <c r="E176" s="43" t="inlineStr">
        <is>
          <t>기획</t>
        </is>
      </c>
      <c r="F176" s="44" t="n"/>
      <c r="G176" s="45" t="n"/>
      <c r="H176" s="46">
        <f>IF($I$176="","",IF($I$176&lt;0,"🔴지연",IF($I$176&lt;=1,"🟡임박","🟢여유")))</f>
        <v/>
      </c>
      <c r="I176" s="47">
        <f>IF(OR($G$176="",$K$176=""),"",$G$176-$K$176)</f>
        <v/>
      </c>
      <c r="J176" s="48">
        <f>IF(SUM($L$176:$L$178)=0,"",SUM($L$176:$L$178))</f>
        <v/>
      </c>
      <c r="K176" s="49">
        <f>IF($J$176="","",MAX($N$176:$N$178))</f>
        <v/>
      </c>
      <c r="L176" s="50">
        <f>IF(SUM(U176:AY176)=0,"",SUM(U176:AY176))</f>
        <v/>
      </c>
      <c r="M176" s="51">
        <f>IFERROR(INDEX(U$2:AY$2,MATCH(TRUE,INDEX(U176:AY176&lt;&gt;"",0),0)),"")</f>
        <v/>
      </c>
      <c r="N176" s="51">
        <f>IFERROR(LOOKUP(2,1/(U176:AY176&lt;&gt;""),U$2:AY$2),"")</f>
        <v/>
      </c>
      <c r="O176" s="52" t="n"/>
      <c r="P176" s="52" t="n"/>
      <c r="Q176" s="52" t="n"/>
      <c r="R176" s="44" t="n"/>
      <c r="S176" s="14" t="n"/>
      <c r="U176" s="53" t="n"/>
      <c r="V176" s="53" t="n"/>
      <c r="W176" s="53" t="n"/>
      <c r="X176" s="53" t="n"/>
      <c r="Y176" s="53" t="n"/>
      <c r="Z176" s="53" t="n"/>
      <c r="AA176" s="53" t="n"/>
      <c r="AB176" s="53" t="n"/>
      <c r="AC176" s="53" t="n"/>
      <c r="AD176" s="53" t="n"/>
      <c r="AE176" s="53" t="n"/>
      <c r="AF176" s="53" t="n"/>
      <c r="AG176" s="53" t="n"/>
      <c r="AH176" s="53" t="n"/>
      <c r="AI176" s="53" t="n"/>
      <c r="AJ176" s="53" t="n"/>
      <c r="AK176" s="53" t="n"/>
      <c r="AL176" s="53" t="n"/>
      <c r="AM176" s="53" t="n"/>
      <c r="AN176" s="53" t="n"/>
      <c r="AO176" s="53" t="n"/>
      <c r="AP176" s="53" t="n"/>
      <c r="AQ176" s="53" t="n"/>
      <c r="AR176" s="53" t="n"/>
      <c r="AS176" s="53" t="n"/>
      <c r="AT176" s="53" t="n"/>
      <c r="AU176" s="53" t="n"/>
      <c r="AV176" s="53" t="n"/>
      <c r="AW176" s="53" t="n"/>
      <c r="AX176" s="53" t="n"/>
      <c r="AY176" s="53" t="n"/>
    </row>
    <row r="177" ht="15" customHeight="1">
      <c r="A177" s="54" t="n"/>
      <c r="B177" s="55">
        <f>IF($B$176="","",$B$176)</f>
        <v/>
      </c>
      <c r="C177" s="56" t="inlineStr">
        <is>
          <t>마케팅3팀</t>
        </is>
      </c>
      <c r="D177" s="55">
        <f>IF($D$176="","",$D$176)</f>
        <v/>
      </c>
      <c r="E177" s="57" t="inlineStr">
        <is>
          <t>이미지</t>
        </is>
      </c>
      <c r="F177" s="44" t="n"/>
      <c r="G177" s="58">
        <f>IF($G$176="","",$G$176)</f>
        <v/>
      </c>
      <c r="H177" s="59" t="n"/>
      <c r="I177" s="59" t="n"/>
      <c r="J177" s="59" t="n"/>
      <c r="K177" s="59" t="n"/>
      <c r="L177" s="60">
        <f>IF(SUM(U177:AY177)=0,"",SUM(U177:AY177))</f>
        <v/>
      </c>
      <c r="M177" s="61">
        <f>IFERROR(INDEX(U$2:AY$2,MATCH(TRUE,INDEX(U177:AY177&lt;&gt;"",0),0)),"")</f>
        <v/>
      </c>
      <c r="N177" s="61">
        <f>IFERROR(LOOKUP(2,1/(U177:AY177&lt;&gt;""),U$2:AY$2),"")</f>
        <v/>
      </c>
      <c r="O177" s="59" t="n"/>
      <c r="P177" s="59" t="n"/>
      <c r="Q177" s="59" t="n"/>
      <c r="R177" s="59" t="n"/>
      <c r="S177" s="14" t="n"/>
      <c r="U177" s="53" t="n"/>
      <c r="V177" s="53" t="n"/>
      <c r="W177" s="53" t="n"/>
      <c r="X177" s="53" t="n"/>
      <c r="Y177" s="53" t="n"/>
      <c r="Z177" s="53" t="n"/>
      <c r="AA177" s="53" t="n"/>
      <c r="AB177" s="53" t="n"/>
      <c r="AC177" s="53" t="n"/>
      <c r="AD177" s="53" t="n"/>
      <c r="AE177" s="53" t="n"/>
      <c r="AF177" s="53" t="n"/>
      <c r="AG177" s="53" t="n"/>
      <c r="AH177" s="53" t="n"/>
      <c r="AI177" s="53" t="n"/>
      <c r="AJ177" s="53" t="n"/>
      <c r="AK177" s="53" t="n"/>
      <c r="AL177" s="53" t="n"/>
      <c r="AM177" s="53" t="n"/>
      <c r="AN177" s="53" t="n"/>
      <c r="AO177" s="53" t="n"/>
      <c r="AP177" s="53" t="n"/>
      <c r="AQ177" s="53" t="n"/>
      <c r="AR177" s="53" t="n"/>
      <c r="AS177" s="53" t="n"/>
      <c r="AT177" s="53" t="n"/>
      <c r="AU177" s="53" t="n"/>
      <c r="AV177" s="53" t="n"/>
      <c r="AW177" s="53" t="n"/>
      <c r="AX177" s="53" t="n"/>
      <c r="AY177" s="53" t="n"/>
    </row>
    <row r="178" ht="15" customHeight="1">
      <c r="A178" s="62" t="n"/>
      <c r="B178" s="55">
        <f>IF($B$176="","",$B$176)</f>
        <v/>
      </c>
      <c r="C178" s="63" t="inlineStr">
        <is>
          <t>마케팅3팀</t>
        </is>
      </c>
      <c r="D178" s="55">
        <f>IF($D$176="","",$D$176)</f>
        <v/>
      </c>
      <c r="E178" s="64" t="inlineStr">
        <is>
          <t>영상</t>
        </is>
      </c>
      <c r="F178" s="44" t="n"/>
      <c r="G178" s="58">
        <f>IF($G$176="","",$G$176)</f>
        <v/>
      </c>
      <c r="H178" s="59" t="n"/>
      <c r="I178" s="59" t="n"/>
      <c r="J178" s="59" t="n"/>
      <c r="K178" s="59" t="n"/>
      <c r="L178" s="65">
        <f>IF(SUM(U178:AY178)=0,"",SUM(U178:AY178))</f>
        <v/>
      </c>
      <c r="M178" s="66">
        <f>IFERROR(INDEX(U$2:AY$2,MATCH(TRUE,INDEX(U178:AY178&lt;&gt;"",0),0)),"")</f>
        <v/>
      </c>
      <c r="N178" s="66">
        <f>IFERROR(LOOKUP(2,1/(U178:AY178&lt;&gt;""),U$2:AY$2),"")</f>
        <v/>
      </c>
      <c r="O178" s="59" t="n"/>
      <c r="P178" s="59" t="n"/>
      <c r="Q178" s="59" t="n"/>
      <c r="R178" s="59" t="n"/>
      <c r="S178" s="14" t="n"/>
      <c r="U178" s="53" t="n"/>
      <c r="V178" s="53" t="n"/>
      <c r="W178" s="53" t="n"/>
      <c r="X178" s="53" t="n"/>
      <c r="Y178" s="53" t="n"/>
      <c r="Z178" s="53" t="n"/>
      <c r="AA178" s="53" t="n"/>
      <c r="AB178" s="53" t="n"/>
      <c r="AC178" s="53" t="n"/>
      <c r="AD178" s="53" t="n"/>
      <c r="AE178" s="53" t="n"/>
      <c r="AF178" s="53" t="n"/>
      <c r="AG178" s="53" t="n"/>
      <c r="AH178" s="53" t="n"/>
      <c r="AI178" s="53" t="n"/>
      <c r="AJ178" s="53" t="n"/>
      <c r="AK178" s="53" t="n"/>
      <c r="AL178" s="53" t="n"/>
      <c r="AM178" s="53" t="n"/>
      <c r="AN178" s="53" t="n"/>
      <c r="AO178" s="53" t="n"/>
      <c r="AP178" s="53" t="n"/>
      <c r="AQ178" s="53" t="n"/>
      <c r="AR178" s="53" t="n"/>
      <c r="AS178" s="53" t="n"/>
      <c r="AT178" s="53" t="n"/>
      <c r="AU178" s="53" t="n"/>
      <c r="AV178" s="53" t="n"/>
      <c r="AW178" s="53" t="n"/>
      <c r="AX178" s="53" t="n"/>
      <c r="AY178" s="53" t="n"/>
    </row>
    <row r="179" ht="15" customHeight="1">
      <c r="A179" s="40">
        <f>IF($D$179="","",57)</f>
        <v/>
      </c>
      <c r="B179" s="10" t="n"/>
      <c r="C179" s="41" t="inlineStr">
        <is>
          <t>마케팅3팀</t>
        </is>
      </c>
      <c r="D179" s="42" t="n"/>
      <c r="E179" s="43" t="inlineStr">
        <is>
          <t>기획</t>
        </is>
      </c>
      <c r="F179" s="44" t="n"/>
      <c r="G179" s="45" t="n"/>
      <c r="H179" s="46">
        <f>IF($I$179="","",IF($I$179&lt;0,"🔴지연",IF($I$179&lt;=1,"🟡임박","🟢여유")))</f>
        <v/>
      </c>
      <c r="I179" s="47">
        <f>IF(OR($G$179="",$K$179=""),"",$G$179-$K$179)</f>
        <v/>
      </c>
      <c r="J179" s="48">
        <f>IF(SUM($L$179:$L$181)=0,"",SUM($L$179:$L$181))</f>
        <v/>
      </c>
      <c r="K179" s="49">
        <f>IF($J$179="","",MAX($N$179:$N$181))</f>
        <v/>
      </c>
      <c r="L179" s="50">
        <f>IF(SUM(U179:AY179)=0,"",SUM(U179:AY179))</f>
        <v/>
      </c>
      <c r="M179" s="51">
        <f>IFERROR(INDEX(U$2:AY$2,MATCH(TRUE,INDEX(U179:AY179&lt;&gt;"",0),0)),"")</f>
        <v/>
      </c>
      <c r="N179" s="51">
        <f>IFERROR(LOOKUP(2,1/(U179:AY179&lt;&gt;""),U$2:AY$2),"")</f>
        <v/>
      </c>
      <c r="O179" s="52" t="n"/>
      <c r="P179" s="52" t="n"/>
      <c r="Q179" s="52" t="n"/>
      <c r="R179" s="44" t="n"/>
      <c r="S179" s="14" t="n"/>
      <c r="U179" s="53" t="n"/>
      <c r="V179" s="53" t="n"/>
      <c r="W179" s="53" t="n"/>
      <c r="X179" s="53" t="n"/>
      <c r="Y179" s="53" t="n"/>
      <c r="Z179" s="53" t="n"/>
      <c r="AA179" s="53" t="n"/>
      <c r="AB179" s="53" t="n"/>
      <c r="AC179" s="53" t="n"/>
      <c r="AD179" s="53" t="n"/>
      <c r="AE179" s="53" t="n"/>
      <c r="AF179" s="53" t="n"/>
      <c r="AG179" s="53" t="n"/>
      <c r="AH179" s="53" t="n"/>
      <c r="AI179" s="53" t="n"/>
      <c r="AJ179" s="53" t="n"/>
      <c r="AK179" s="53" t="n"/>
      <c r="AL179" s="53" t="n"/>
      <c r="AM179" s="53" t="n"/>
      <c r="AN179" s="53" t="n"/>
      <c r="AO179" s="53" t="n"/>
      <c r="AP179" s="53" t="n"/>
      <c r="AQ179" s="53" t="n"/>
      <c r="AR179" s="53" t="n"/>
      <c r="AS179" s="53" t="n"/>
      <c r="AT179" s="53" t="n"/>
      <c r="AU179" s="53" t="n"/>
      <c r="AV179" s="53" t="n"/>
      <c r="AW179" s="53" t="n"/>
      <c r="AX179" s="53" t="n"/>
      <c r="AY179" s="53" t="n"/>
    </row>
    <row r="180" ht="15" customHeight="1">
      <c r="A180" s="54" t="n"/>
      <c r="B180" s="55">
        <f>IF($B$179="","",$B$179)</f>
        <v/>
      </c>
      <c r="C180" s="56" t="inlineStr">
        <is>
          <t>마케팅3팀</t>
        </is>
      </c>
      <c r="D180" s="55">
        <f>IF($D$179="","",$D$179)</f>
        <v/>
      </c>
      <c r="E180" s="57" t="inlineStr">
        <is>
          <t>이미지</t>
        </is>
      </c>
      <c r="F180" s="44" t="n"/>
      <c r="G180" s="58">
        <f>IF($G$179="","",$G$179)</f>
        <v/>
      </c>
      <c r="H180" s="59" t="n"/>
      <c r="I180" s="59" t="n"/>
      <c r="J180" s="59" t="n"/>
      <c r="K180" s="59" t="n"/>
      <c r="L180" s="60">
        <f>IF(SUM(U180:AY180)=0,"",SUM(U180:AY180))</f>
        <v/>
      </c>
      <c r="M180" s="61">
        <f>IFERROR(INDEX(U$2:AY$2,MATCH(TRUE,INDEX(U180:AY180&lt;&gt;"",0),0)),"")</f>
        <v/>
      </c>
      <c r="N180" s="61">
        <f>IFERROR(LOOKUP(2,1/(U180:AY180&lt;&gt;""),U$2:AY$2),"")</f>
        <v/>
      </c>
      <c r="O180" s="59" t="n"/>
      <c r="P180" s="59" t="n"/>
      <c r="Q180" s="59" t="n"/>
      <c r="R180" s="59" t="n"/>
      <c r="S180" s="14" t="n"/>
      <c r="U180" s="53" t="n"/>
      <c r="V180" s="53" t="n"/>
      <c r="W180" s="53" t="n"/>
      <c r="X180" s="53" t="n"/>
      <c r="Y180" s="53" t="n"/>
      <c r="Z180" s="53" t="n"/>
      <c r="AA180" s="53" t="n"/>
      <c r="AB180" s="53" t="n"/>
      <c r="AC180" s="53" t="n"/>
      <c r="AD180" s="53" t="n"/>
      <c r="AE180" s="53" t="n"/>
      <c r="AF180" s="53" t="n"/>
      <c r="AG180" s="53" t="n"/>
      <c r="AH180" s="53" t="n"/>
      <c r="AI180" s="53" t="n"/>
      <c r="AJ180" s="53" t="n"/>
      <c r="AK180" s="53" t="n"/>
      <c r="AL180" s="53" t="n"/>
      <c r="AM180" s="53" t="n"/>
      <c r="AN180" s="53" t="n"/>
      <c r="AO180" s="53" t="n"/>
      <c r="AP180" s="53" t="n"/>
      <c r="AQ180" s="53" t="n"/>
      <c r="AR180" s="53" t="n"/>
      <c r="AS180" s="53" t="n"/>
      <c r="AT180" s="53" t="n"/>
      <c r="AU180" s="53" t="n"/>
      <c r="AV180" s="53" t="n"/>
      <c r="AW180" s="53" t="n"/>
      <c r="AX180" s="53" t="n"/>
      <c r="AY180" s="53" t="n"/>
    </row>
    <row r="181" ht="15" customHeight="1">
      <c r="A181" s="62" t="n"/>
      <c r="B181" s="55">
        <f>IF($B$179="","",$B$179)</f>
        <v/>
      </c>
      <c r="C181" s="63" t="inlineStr">
        <is>
          <t>마케팅3팀</t>
        </is>
      </c>
      <c r="D181" s="55">
        <f>IF($D$179="","",$D$179)</f>
        <v/>
      </c>
      <c r="E181" s="64" t="inlineStr">
        <is>
          <t>영상</t>
        </is>
      </c>
      <c r="F181" s="44" t="n"/>
      <c r="G181" s="58">
        <f>IF($G$179="","",$G$179)</f>
        <v/>
      </c>
      <c r="H181" s="59" t="n"/>
      <c r="I181" s="59" t="n"/>
      <c r="J181" s="59" t="n"/>
      <c r="K181" s="59" t="n"/>
      <c r="L181" s="65">
        <f>IF(SUM(U181:AY181)=0,"",SUM(U181:AY181))</f>
        <v/>
      </c>
      <c r="M181" s="66">
        <f>IFERROR(INDEX(U$2:AY$2,MATCH(TRUE,INDEX(U181:AY181&lt;&gt;"",0),0)),"")</f>
        <v/>
      </c>
      <c r="N181" s="66">
        <f>IFERROR(LOOKUP(2,1/(U181:AY181&lt;&gt;""),U$2:AY$2),"")</f>
        <v/>
      </c>
      <c r="O181" s="59" t="n"/>
      <c r="P181" s="59" t="n"/>
      <c r="Q181" s="59" t="n"/>
      <c r="R181" s="59" t="n"/>
      <c r="S181" s="14" t="n"/>
      <c r="U181" s="53" t="n"/>
      <c r="V181" s="53" t="n"/>
      <c r="W181" s="53" t="n"/>
      <c r="X181" s="53" t="n"/>
      <c r="Y181" s="53" t="n"/>
      <c r="Z181" s="53" t="n"/>
      <c r="AA181" s="53" t="n"/>
      <c r="AB181" s="53" t="n"/>
      <c r="AC181" s="53" t="n"/>
      <c r="AD181" s="53" t="n"/>
      <c r="AE181" s="53" t="n"/>
      <c r="AF181" s="53" t="n"/>
      <c r="AG181" s="53" t="n"/>
      <c r="AH181" s="53" t="n"/>
      <c r="AI181" s="53" t="n"/>
      <c r="AJ181" s="53" t="n"/>
      <c r="AK181" s="53" t="n"/>
      <c r="AL181" s="53" t="n"/>
      <c r="AM181" s="53" t="n"/>
      <c r="AN181" s="53" t="n"/>
      <c r="AO181" s="53" t="n"/>
      <c r="AP181" s="53" t="n"/>
      <c r="AQ181" s="53" t="n"/>
      <c r="AR181" s="53" t="n"/>
      <c r="AS181" s="53" t="n"/>
      <c r="AT181" s="53" t="n"/>
      <c r="AU181" s="53" t="n"/>
      <c r="AV181" s="53" t="n"/>
      <c r="AW181" s="53" t="n"/>
      <c r="AX181" s="53" t="n"/>
      <c r="AY181" s="53" t="n"/>
    </row>
    <row r="182" ht="15" customHeight="1">
      <c r="A182" s="40">
        <f>IF($D$182="","",58)</f>
        <v/>
      </c>
      <c r="B182" s="10" t="n"/>
      <c r="C182" s="41" t="inlineStr">
        <is>
          <t>마케팅3팀</t>
        </is>
      </c>
      <c r="D182" s="42" t="n"/>
      <c r="E182" s="43" t="inlineStr">
        <is>
          <t>기획</t>
        </is>
      </c>
      <c r="F182" s="44" t="n"/>
      <c r="G182" s="45" t="n"/>
      <c r="H182" s="46">
        <f>IF($I$182="","",IF($I$182&lt;0,"🔴지연",IF($I$182&lt;=1,"🟡임박","🟢여유")))</f>
        <v/>
      </c>
      <c r="I182" s="47">
        <f>IF(OR($G$182="",$K$182=""),"",$G$182-$K$182)</f>
        <v/>
      </c>
      <c r="J182" s="48">
        <f>IF(SUM($L$182:$L$184)=0,"",SUM($L$182:$L$184))</f>
        <v/>
      </c>
      <c r="K182" s="49">
        <f>IF($J$182="","",MAX($N$182:$N$184))</f>
        <v/>
      </c>
      <c r="L182" s="50">
        <f>IF(SUM(U182:AY182)=0,"",SUM(U182:AY182))</f>
        <v/>
      </c>
      <c r="M182" s="51">
        <f>IFERROR(INDEX(U$2:AY$2,MATCH(TRUE,INDEX(U182:AY182&lt;&gt;"",0),0)),"")</f>
        <v/>
      </c>
      <c r="N182" s="51">
        <f>IFERROR(LOOKUP(2,1/(U182:AY182&lt;&gt;""),U$2:AY$2),"")</f>
        <v/>
      </c>
      <c r="O182" s="52" t="n"/>
      <c r="P182" s="52" t="n"/>
      <c r="Q182" s="52" t="n"/>
      <c r="R182" s="44" t="n"/>
      <c r="S182" s="14" t="n"/>
      <c r="U182" s="53" t="n"/>
      <c r="V182" s="53" t="n"/>
      <c r="W182" s="53" t="n"/>
      <c r="X182" s="53" t="n"/>
      <c r="Y182" s="53" t="n"/>
      <c r="Z182" s="53" t="n"/>
      <c r="AA182" s="53" t="n"/>
      <c r="AB182" s="53" t="n"/>
      <c r="AC182" s="53" t="n"/>
      <c r="AD182" s="53" t="n"/>
      <c r="AE182" s="53" t="n"/>
      <c r="AF182" s="53" t="n"/>
      <c r="AG182" s="53" t="n"/>
      <c r="AH182" s="53" t="n"/>
      <c r="AI182" s="53" t="n"/>
      <c r="AJ182" s="53" t="n"/>
      <c r="AK182" s="53" t="n"/>
      <c r="AL182" s="53" t="n"/>
      <c r="AM182" s="53" t="n"/>
      <c r="AN182" s="53" t="n"/>
      <c r="AO182" s="53" t="n"/>
      <c r="AP182" s="53" t="n"/>
      <c r="AQ182" s="53" t="n"/>
      <c r="AR182" s="53" t="n"/>
      <c r="AS182" s="53" t="n"/>
      <c r="AT182" s="53" t="n"/>
      <c r="AU182" s="53" t="n"/>
      <c r="AV182" s="53" t="n"/>
      <c r="AW182" s="53" t="n"/>
      <c r="AX182" s="53" t="n"/>
      <c r="AY182" s="53" t="n"/>
    </row>
    <row r="183" ht="15" customHeight="1">
      <c r="A183" s="54" t="n"/>
      <c r="B183" s="55">
        <f>IF($B$182="","",$B$182)</f>
        <v/>
      </c>
      <c r="C183" s="56" t="inlineStr">
        <is>
          <t>마케팅3팀</t>
        </is>
      </c>
      <c r="D183" s="55">
        <f>IF($D$182="","",$D$182)</f>
        <v/>
      </c>
      <c r="E183" s="57" t="inlineStr">
        <is>
          <t>이미지</t>
        </is>
      </c>
      <c r="F183" s="44" t="n"/>
      <c r="G183" s="58">
        <f>IF($G$182="","",$G$182)</f>
        <v/>
      </c>
      <c r="H183" s="59" t="n"/>
      <c r="I183" s="59" t="n"/>
      <c r="J183" s="59" t="n"/>
      <c r="K183" s="59" t="n"/>
      <c r="L183" s="60">
        <f>IF(SUM(U183:AY183)=0,"",SUM(U183:AY183))</f>
        <v/>
      </c>
      <c r="M183" s="61">
        <f>IFERROR(INDEX(U$2:AY$2,MATCH(TRUE,INDEX(U183:AY183&lt;&gt;"",0),0)),"")</f>
        <v/>
      </c>
      <c r="N183" s="61">
        <f>IFERROR(LOOKUP(2,1/(U183:AY183&lt;&gt;""),U$2:AY$2),"")</f>
        <v/>
      </c>
      <c r="O183" s="59" t="n"/>
      <c r="P183" s="59" t="n"/>
      <c r="Q183" s="59" t="n"/>
      <c r="R183" s="59" t="n"/>
      <c r="S183" s="14" t="n"/>
      <c r="U183" s="53" t="n"/>
      <c r="V183" s="53" t="n"/>
      <c r="W183" s="53" t="n"/>
      <c r="X183" s="53" t="n"/>
      <c r="Y183" s="53" t="n"/>
      <c r="Z183" s="53" t="n"/>
      <c r="AA183" s="53" t="n"/>
      <c r="AB183" s="53" t="n"/>
      <c r="AC183" s="53" t="n"/>
      <c r="AD183" s="53" t="n"/>
      <c r="AE183" s="53" t="n"/>
      <c r="AF183" s="53" t="n"/>
      <c r="AG183" s="53" t="n"/>
      <c r="AH183" s="53" t="n"/>
      <c r="AI183" s="53" t="n"/>
      <c r="AJ183" s="53" t="n"/>
      <c r="AK183" s="53" t="n"/>
      <c r="AL183" s="53" t="n"/>
      <c r="AM183" s="53" t="n"/>
      <c r="AN183" s="53" t="n"/>
      <c r="AO183" s="53" t="n"/>
      <c r="AP183" s="53" t="n"/>
      <c r="AQ183" s="53" t="n"/>
      <c r="AR183" s="53" t="n"/>
      <c r="AS183" s="53" t="n"/>
      <c r="AT183" s="53" t="n"/>
      <c r="AU183" s="53" t="n"/>
      <c r="AV183" s="53" t="n"/>
      <c r="AW183" s="53" t="n"/>
      <c r="AX183" s="53" t="n"/>
      <c r="AY183" s="53" t="n"/>
    </row>
    <row r="184" ht="15" customHeight="1">
      <c r="A184" s="62" t="n"/>
      <c r="B184" s="55">
        <f>IF($B$182="","",$B$182)</f>
        <v/>
      </c>
      <c r="C184" s="63" t="inlineStr">
        <is>
          <t>마케팅3팀</t>
        </is>
      </c>
      <c r="D184" s="55">
        <f>IF($D$182="","",$D$182)</f>
        <v/>
      </c>
      <c r="E184" s="64" t="inlineStr">
        <is>
          <t>영상</t>
        </is>
      </c>
      <c r="F184" s="44" t="n"/>
      <c r="G184" s="58">
        <f>IF($G$182="","",$G$182)</f>
        <v/>
      </c>
      <c r="H184" s="59" t="n"/>
      <c r="I184" s="59" t="n"/>
      <c r="J184" s="59" t="n"/>
      <c r="K184" s="59" t="n"/>
      <c r="L184" s="65">
        <f>IF(SUM(U184:AY184)=0,"",SUM(U184:AY184))</f>
        <v/>
      </c>
      <c r="M184" s="66">
        <f>IFERROR(INDEX(U$2:AY$2,MATCH(TRUE,INDEX(U184:AY184&lt;&gt;"",0),0)),"")</f>
        <v/>
      </c>
      <c r="N184" s="66">
        <f>IFERROR(LOOKUP(2,1/(U184:AY184&lt;&gt;""),U$2:AY$2),"")</f>
        <v/>
      </c>
      <c r="O184" s="59" t="n"/>
      <c r="P184" s="59" t="n"/>
      <c r="Q184" s="59" t="n"/>
      <c r="R184" s="59" t="n"/>
      <c r="S184" s="14" t="n"/>
      <c r="U184" s="53" t="n"/>
      <c r="V184" s="53" t="n"/>
      <c r="W184" s="53" t="n"/>
      <c r="X184" s="53" t="n"/>
      <c r="Y184" s="53" t="n"/>
      <c r="Z184" s="53" t="n"/>
      <c r="AA184" s="53" t="n"/>
      <c r="AB184" s="53" t="n"/>
      <c r="AC184" s="53" t="n"/>
      <c r="AD184" s="53" t="n"/>
      <c r="AE184" s="53" t="n"/>
      <c r="AF184" s="53" t="n"/>
      <c r="AG184" s="53" t="n"/>
      <c r="AH184" s="53" t="n"/>
      <c r="AI184" s="53" t="n"/>
      <c r="AJ184" s="53" t="n"/>
      <c r="AK184" s="53" t="n"/>
      <c r="AL184" s="53" t="n"/>
      <c r="AM184" s="53" t="n"/>
      <c r="AN184" s="53" t="n"/>
      <c r="AO184" s="53" t="n"/>
      <c r="AP184" s="53" t="n"/>
      <c r="AQ184" s="53" t="n"/>
      <c r="AR184" s="53" t="n"/>
      <c r="AS184" s="53" t="n"/>
      <c r="AT184" s="53" t="n"/>
      <c r="AU184" s="53" t="n"/>
      <c r="AV184" s="53" t="n"/>
      <c r="AW184" s="53" t="n"/>
      <c r="AX184" s="53" t="n"/>
      <c r="AY184" s="53" t="n"/>
    </row>
    <row r="185" ht="15" customHeight="1">
      <c r="A185" s="40">
        <f>IF($D$185="","",59)</f>
        <v/>
      </c>
      <c r="B185" s="10" t="n"/>
      <c r="C185" s="41" t="inlineStr">
        <is>
          <t>마케팅3팀</t>
        </is>
      </c>
      <c r="D185" s="42" t="n"/>
      <c r="E185" s="43" t="inlineStr">
        <is>
          <t>기획</t>
        </is>
      </c>
      <c r="F185" s="44" t="n"/>
      <c r="G185" s="45" t="n"/>
      <c r="H185" s="46">
        <f>IF($I$185="","",IF($I$185&lt;0,"🔴지연",IF($I$185&lt;=1,"🟡임박","🟢여유")))</f>
        <v/>
      </c>
      <c r="I185" s="47">
        <f>IF(OR($G$185="",$K$185=""),"",$G$185-$K$185)</f>
        <v/>
      </c>
      <c r="J185" s="48">
        <f>IF(SUM($L$185:$L$187)=0,"",SUM($L$185:$L$187))</f>
        <v/>
      </c>
      <c r="K185" s="49">
        <f>IF($J$185="","",MAX($N$185:$N$187))</f>
        <v/>
      </c>
      <c r="L185" s="50">
        <f>IF(SUM(U185:AY185)=0,"",SUM(U185:AY185))</f>
        <v/>
      </c>
      <c r="M185" s="51">
        <f>IFERROR(INDEX(U$2:AY$2,MATCH(TRUE,INDEX(U185:AY185&lt;&gt;"",0),0)),"")</f>
        <v/>
      </c>
      <c r="N185" s="51">
        <f>IFERROR(LOOKUP(2,1/(U185:AY185&lt;&gt;""),U$2:AY$2),"")</f>
        <v/>
      </c>
      <c r="O185" s="52" t="n"/>
      <c r="P185" s="52" t="n"/>
      <c r="Q185" s="52" t="n"/>
      <c r="R185" s="44" t="n"/>
      <c r="S185" s="14" t="n"/>
      <c r="U185" s="53" t="n"/>
      <c r="V185" s="53" t="n"/>
      <c r="W185" s="53" t="n"/>
      <c r="X185" s="53" t="n"/>
      <c r="Y185" s="53" t="n"/>
      <c r="Z185" s="53" t="n"/>
      <c r="AA185" s="53" t="n"/>
      <c r="AB185" s="53" t="n"/>
      <c r="AC185" s="53" t="n"/>
      <c r="AD185" s="53" t="n"/>
      <c r="AE185" s="53" t="n"/>
      <c r="AF185" s="53" t="n"/>
      <c r="AG185" s="53" t="n"/>
      <c r="AH185" s="53" t="n"/>
      <c r="AI185" s="53" t="n"/>
      <c r="AJ185" s="53" t="n"/>
      <c r="AK185" s="53" t="n"/>
      <c r="AL185" s="53" t="n"/>
      <c r="AM185" s="53" t="n"/>
      <c r="AN185" s="53" t="n"/>
      <c r="AO185" s="53" t="n"/>
      <c r="AP185" s="53" t="n"/>
      <c r="AQ185" s="53" t="n"/>
      <c r="AR185" s="53" t="n"/>
      <c r="AS185" s="53" t="n"/>
      <c r="AT185" s="53" t="n"/>
      <c r="AU185" s="53" t="n"/>
      <c r="AV185" s="53" t="n"/>
      <c r="AW185" s="53" t="n"/>
      <c r="AX185" s="53" t="n"/>
      <c r="AY185" s="53" t="n"/>
    </row>
    <row r="186" ht="15" customHeight="1">
      <c r="A186" s="54" t="n"/>
      <c r="B186" s="55">
        <f>IF($B$185="","",$B$185)</f>
        <v/>
      </c>
      <c r="C186" s="56" t="inlineStr">
        <is>
          <t>마케팅3팀</t>
        </is>
      </c>
      <c r="D186" s="55">
        <f>IF($D$185="","",$D$185)</f>
        <v/>
      </c>
      <c r="E186" s="57" t="inlineStr">
        <is>
          <t>이미지</t>
        </is>
      </c>
      <c r="F186" s="44" t="n"/>
      <c r="G186" s="58">
        <f>IF($G$185="","",$G$185)</f>
        <v/>
      </c>
      <c r="H186" s="59" t="n"/>
      <c r="I186" s="59" t="n"/>
      <c r="J186" s="59" t="n"/>
      <c r="K186" s="59" t="n"/>
      <c r="L186" s="60">
        <f>IF(SUM(U186:AY186)=0,"",SUM(U186:AY186))</f>
        <v/>
      </c>
      <c r="M186" s="61">
        <f>IFERROR(INDEX(U$2:AY$2,MATCH(TRUE,INDEX(U186:AY186&lt;&gt;"",0),0)),"")</f>
        <v/>
      </c>
      <c r="N186" s="61">
        <f>IFERROR(LOOKUP(2,1/(U186:AY186&lt;&gt;""),U$2:AY$2),"")</f>
        <v/>
      </c>
      <c r="O186" s="59" t="n"/>
      <c r="P186" s="59" t="n"/>
      <c r="Q186" s="59" t="n"/>
      <c r="R186" s="59" t="n"/>
      <c r="S186" s="14" t="n"/>
      <c r="U186" s="53" t="n"/>
      <c r="V186" s="53" t="n"/>
      <c r="W186" s="53" t="n"/>
      <c r="X186" s="53" t="n"/>
      <c r="Y186" s="53" t="n"/>
      <c r="Z186" s="53" t="n"/>
      <c r="AA186" s="53" t="n"/>
      <c r="AB186" s="53" t="n"/>
      <c r="AC186" s="53" t="n"/>
      <c r="AD186" s="53" t="n"/>
      <c r="AE186" s="53" t="n"/>
      <c r="AF186" s="53" t="n"/>
      <c r="AG186" s="53" t="n"/>
      <c r="AH186" s="53" t="n"/>
      <c r="AI186" s="53" t="n"/>
      <c r="AJ186" s="53" t="n"/>
      <c r="AK186" s="53" t="n"/>
      <c r="AL186" s="53" t="n"/>
      <c r="AM186" s="53" t="n"/>
      <c r="AN186" s="53" t="n"/>
      <c r="AO186" s="53" t="n"/>
      <c r="AP186" s="53" t="n"/>
      <c r="AQ186" s="53" t="n"/>
      <c r="AR186" s="53" t="n"/>
      <c r="AS186" s="53" t="n"/>
      <c r="AT186" s="53" t="n"/>
      <c r="AU186" s="53" t="n"/>
      <c r="AV186" s="53" t="n"/>
      <c r="AW186" s="53" t="n"/>
      <c r="AX186" s="53" t="n"/>
      <c r="AY186" s="53" t="n"/>
    </row>
    <row r="187" ht="15" customHeight="1">
      <c r="A187" s="62" t="n"/>
      <c r="B187" s="55">
        <f>IF($B$185="","",$B$185)</f>
        <v/>
      </c>
      <c r="C187" s="63" t="inlineStr">
        <is>
          <t>마케팅3팀</t>
        </is>
      </c>
      <c r="D187" s="55">
        <f>IF($D$185="","",$D$185)</f>
        <v/>
      </c>
      <c r="E187" s="64" t="inlineStr">
        <is>
          <t>영상</t>
        </is>
      </c>
      <c r="F187" s="44" t="n"/>
      <c r="G187" s="58">
        <f>IF($G$185="","",$G$185)</f>
        <v/>
      </c>
      <c r="H187" s="59" t="n"/>
      <c r="I187" s="59" t="n"/>
      <c r="J187" s="59" t="n"/>
      <c r="K187" s="59" t="n"/>
      <c r="L187" s="65">
        <f>IF(SUM(U187:AY187)=0,"",SUM(U187:AY187))</f>
        <v/>
      </c>
      <c r="M187" s="66">
        <f>IFERROR(INDEX(U$2:AY$2,MATCH(TRUE,INDEX(U187:AY187&lt;&gt;"",0),0)),"")</f>
        <v/>
      </c>
      <c r="N187" s="66">
        <f>IFERROR(LOOKUP(2,1/(U187:AY187&lt;&gt;""),U$2:AY$2),"")</f>
        <v/>
      </c>
      <c r="O187" s="59" t="n"/>
      <c r="P187" s="59" t="n"/>
      <c r="Q187" s="59" t="n"/>
      <c r="R187" s="59" t="n"/>
      <c r="S187" s="14" t="n"/>
      <c r="U187" s="53" t="n"/>
      <c r="V187" s="53" t="n"/>
      <c r="W187" s="53" t="n"/>
      <c r="X187" s="53" t="n"/>
      <c r="Y187" s="53" t="n"/>
      <c r="Z187" s="53" t="n"/>
      <c r="AA187" s="53" t="n"/>
      <c r="AB187" s="53" t="n"/>
      <c r="AC187" s="53" t="n"/>
      <c r="AD187" s="53" t="n"/>
      <c r="AE187" s="53" t="n"/>
      <c r="AF187" s="53" t="n"/>
      <c r="AG187" s="53" t="n"/>
      <c r="AH187" s="53" t="n"/>
      <c r="AI187" s="53" t="n"/>
      <c r="AJ187" s="53" t="n"/>
      <c r="AK187" s="53" t="n"/>
      <c r="AL187" s="53" t="n"/>
      <c r="AM187" s="53" t="n"/>
      <c r="AN187" s="53" t="n"/>
      <c r="AO187" s="53" t="n"/>
      <c r="AP187" s="53" t="n"/>
      <c r="AQ187" s="53" t="n"/>
      <c r="AR187" s="53" t="n"/>
      <c r="AS187" s="53" t="n"/>
      <c r="AT187" s="53" t="n"/>
      <c r="AU187" s="53" t="n"/>
      <c r="AV187" s="53" t="n"/>
      <c r="AW187" s="53" t="n"/>
      <c r="AX187" s="53" t="n"/>
      <c r="AY187" s="53" t="n"/>
    </row>
    <row r="188" ht="15" customHeight="1">
      <c r="A188" s="40">
        <f>IF($D$188="","",60)</f>
        <v/>
      </c>
      <c r="B188" s="10" t="n"/>
      <c r="C188" s="41" t="inlineStr">
        <is>
          <t>마케팅3팀</t>
        </is>
      </c>
      <c r="D188" s="42" t="n"/>
      <c r="E188" s="43" t="inlineStr">
        <is>
          <t>기획</t>
        </is>
      </c>
      <c r="F188" s="44" t="n"/>
      <c r="G188" s="45" t="n"/>
      <c r="H188" s="46">
        <f>IF($I$188="","",IF($I$188&lt;0,"🔴지연",IF($I$188&lt;=1,"🟡임박","🟢여유")))</f>
        <v/>
      </c>
      <c r="I188" s="47">
        <f>IF(OR($G$188="",$K$188=""),"",$G$188-$K$188)</f>
        <v/>
      </c>
      <c r="J188" s="48">
        <f>IF(SUM($L$188:$L$190)=0,"",SUM($L$188:$L$190))</f>
        <v/>
      </c>
      <c r="K188" s="49">
        <f>IF($J$188="","",MAX($N$188:$N$190))</f>
        <v/>
      </c>
      <c r="L188" s="50">
        <f>IF(SUM(U188:AY188)=0,"",SUM(U188:AY188))</f>
        <v/>
      </c>
      <c r="M188" s="51">
        <f>IFERROR(INDEX(U$2:AY$2,MATCH(TRUE,INDEX(U188:AY188&lt;&gt;"",0),0)),"")</f>
        <v/>
      </c>
      <c r="N188" s="51">
        <f>IFERROR(LOOKUP(2,1/(U188:AY188&lt;&gt;""),U$2:AY$2),"")</f>
        <v/>
      </c>
      <c r="O188" s="52" t="n"/>
      <c r="P188" s="52" t="n"/>
      <c r="Q188" s="52" t="n"/>
      <c r="R188" s="44" t="n"/>
      <c r="S188" s="14" t="n"/>
      <c r="U188" s="53" t="n"/>
      <c r="V188" s="53" t="n"/>
      <c r="W188" s="53" t="n"/>
      <c r="X188" s="53" t="n"/>
      <c r="Y188" s="53" t="n"/>
      <c r="Z188" s="53" t="n"/>
      <c r="AA188" s="53" t="n"/>
      <c r="AB188" s="53" t="n"/>
      <c r="AC188" s="53" t="n"/>
      <c r="AD188" s="53" t="n"/>
      <c r="AE188" s="53" t="n"/>
      <c r="AF188" s="53" t="n"/>
      <c r="AG188" s="53" t="n"/>
      <c r="AH188" s="53" t="n"/>
      <c r="AI188" s="53" t="n"/>
      <c r="AJ188" s="53" t="n"/>
      <c r="AK188" s="53" t="n"/>
      <c r="AL188" s="53" t="n"/>
      <c r="AM188" s="53" t="n"/>
      <c r="AN188" s="53" t="n"/>
      <c r="AO188" s="53" t="n"/>
      <c r="AP188" s="53" t="n"/>
      <c r="AQ188" s="53" t="n"/>
      <c r="AR188" s="53" t="n"/>
      <c r="AS188" s="53" t="n"/>
      <c r="AT188" s="53" t="n"/>
      <c r="AU188" s="53" t="n"/>
      <c r="AV188" s="53" t="n"/>
      <c r="AW188" s="53" t="n"/>
      <c r="AX188" s="53" t="n"/>
      <c r="AY188" s="53" t="n"/>
    </row>
    <row r="189" ht="15" customHeight="1">
      <c r="A189" s="54" t="n"/>
      <c r="B189" s="55">
        <f>IF($B$188="","",$B$188)</f>
        <v/>
      </c>
      <c r="C189" s="56" t="inlineStr">
        <is>
          <t>마케팅3팀</t>
        </is>
      </c>
      <c r="D189" s="55">
        <f>IF($D$188="","",$D$188)</f>
        <v/>
      </c>
      <c r="E189" s="57" t="inlineStr">
        <is>
          <t>이미지</t>
        </is>
      </c>
      <c r="F189" s="44" t="n"/>
      <c r="G189" s="58">
        <f>IF($G$188="","",$G$188)</f>
        <v/>
      </c>
      <c r="H189" s="59" t="n"/>
      <c r="I189" s="59" t="n"/>
      <c r="J189" s="59" t="n"/>
      <c r="K189" s="59" t="n"/>
      <c r="L189" s="60">
        <f>IF(SUM(U189:AY189)=0,"",SUM(U189:AY189))</f>
        <v/>
      </c>
      <c r="M189" s="61">
        <f>IFERROR(INDEX(U$2:AY$2,MATCH(TRUE,INDEX(U189:AY189&lt;&gt;"",0),0)),"")</f>
        <v/>
      </c>
      <c r="N189" s="61">
        <f>IFERROR(LOOKUP(2,1/(U189:AY189&lt;&gt;""),U$2:AY$2),"")</f>
        <v/>
      </c>
      <c r="O189" s="59" t="n"/>
      <c r="P189" s="59" t="n"/>
      <c r="Q189" s="59" t="n"/>
      <c r="R189" s="59" t="n"/>
      <c r="S189" s="14" t="n"/>
      <c r="U189" s="53" t="n"/>
      <c r="V189" s="53" t="n"/>
      <c r="W189" s="53" t="n"/>
      <c r="X189" s="53" t="n"/>
      <c r="Y189" s="53" t="n"/>
      <c r="Z189" s="53" t="n"/>
      <c r="AA189" s="53" t="n"/>
      <c r="AB189" s="53" t="n"/>
      <c r="AC189" s="53" t="n"/>
      <c r="AD189" s="53" t="n"/>
      <c r="AE189" s="53" t="n"/>
      <c r="AF189" s="53" t="n"/>
      <c r="AG189" s="53" t="n"/>
      <c r="AH189" s="53" t="n"/>
      <c r="AI189" s="53" t="n"/>
      <c r="AJ189" s="53" t="n"/>
      <c r="AK189" s="53" t="n"/>
      <c r="AL189" s="53" t="n"/>
      <c r="AM189" s="53" t="n"/>
      <c r="AN189" s="53" t="n"/>
      <c r="AO189" s="53" t="n"/>
      <c r="AP189" s="53" t="n"/>
      <c r="AQ189" s="53" t="n"/>
      <c r="AR189" s="53" t="n"/>
      <c r="AS189" s="53" t="n"/>
      <c r="AT189" s="53" t="n"/>
      <c r="AU189" s="53" t="n"/>
      <c r="AV189" s="53" t="n"/>
      <c r="AW189" s="53" t="n"/>
      <c r="AX189" s="53" t="n"/>
      <c r="AY189" s="53" t="n"/>
    </row>
    <row r="190" ht="15" customHeight="1">
      <c r="A190" s="62" t="n"/>
      <c r="B190" s="55">
        <f>IF($B$188="","",$B$188)</f>
        <v/>
      </c>
      <c r="C190" s="63" t="inlineStr">
        <is>
          <t>마케팅3팀</t>
        </is>
      </c>
      <c r="D190" s="55">
        <f>IF($D$188="","",$D$188)</f>
        <v/>
      </c>
      <c r="E190" s="64" t="inlineStr">
        <is>
          <t>영상</t>
        </is>
      </c>
      <c r="F190" s="44" t="n"/>
      <c r="G190" s="58">
        <f>IF($G$188="","",$G$188)</f>
        <v/>
      </c>
      <c r="H190" s="59" t="n"/>
      <c r="I190" s="59" t="n"/>
      <c r="J190" s="59" t="n"/>
      <c r="K190" s="59" t="n"/>
      <c r="L190" s="65">
        <f>IF(SUM(U190:AY190)=0,"",SUM(U190:AY190))</f>
        <v/>
      </c>
      <c r="M190" s="66">
        <f>IFERROR(INDEX(U$2:AY$2,MATCH(TRUE,INDEX(U190:AY190&lt;&gt;"",0),0)),"")</f>
        <v/>
      </c>
      <c r="N190" s="66">
        <f>IFERROR(LOOKUP(2,1/(U190:AY190&lt;&gt;""),U$2:AY$2),"")</f>
        <v/>
      </c>
      <c r="O190" s="59" t="n"/>
      <c r="P190" s="59" t="n"/>
      <c r="Q190" s="59" t="n"/>
      <c r="R190" s="59" t="n"/>
      <c r="S190" s="14" t="n"/>
      <c r="U190" s="53" t="n"/>
      <c r="V190" s="53" t="n"/>
      <c r="W190" s="53" t="n"/>
      <c r="X190" s="53" t="n"/>
      <c r="Y190" s="53" t="n"/>
      <c r="Z190" s="53" t="n"/>
      <c r="AA190" s="53" t="n"/>
      <c r="AB190" s="53" t="n"/>
      <c r="AC190" s="53" t="n"/>
      <c r="AD190" s="53" t="n"/>
      <c r="AE190" s="53" t="n"/>
      <c r="AF190" s="53" t="n"/>
      <c r="AG190" s="53" t="n"/>
      <c r="AH190" s="53" t="n"/>
      <c r="AI190" s="53" t="n"/>
      <c r="AJ190" s="53" t="n"/>
      <c r="AK190" s="53" t="n"/>
      <c r="AL190" s="53" t="n"/>
      <c r="AM190" s="53" t="n"/>
      <c r="AN190" s="53" t="n"/>
      <c r="AO190" s="53" t="n"/>
      <c r="AP190" s="53" t="n"/>
      <c r="AQ190" s="53" t="n"/>
      <c r="AR190" s="53" t="n"/>
      <c r="AS190" s="53" t="n"/>
      <c r="AT190" s="53" t="n"/>
      <c r="AU190" s="53" t="n"/>
      <c r="AV190" s="53" t="n"/>
      <c r="AW190" s="53" t="n"/>
      <c r="AX190" s="53" t="n"/>
      <c r="AY190" s="53" t="n"/>
    </row>
    <row r="191" ht="18" customHeight="1">
      <c r="A191" s="39" t="inlineStr">
        <is>
          <t>마케팅4팀   (192~251행 · 소재 20개)</t>
        </is>
      </c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I191" s="8" t="n"/>
      <c r="AJ191" s="8" t="n"/>
      <c r="AK191" s="8" t="n"/>
      <c r="AL191" s="8" t="n"/>
      <c r="AM191" s="8" t="n"/>
      <c r="AN191" s="8" t="n"/>
      <c r="AO191" s="8" t="n"/>
      <c r="AP191" s="8" t="n"/>
      <c r="AQ191" s="8" t="n"/>
      <c r="AR191" s="8" t="n"/>
      <c r="AS191" s="8" t="n"/>
      <c r="AT191" s="8" t="n"/>
      <c r="AU191" s="8" t="n"/>
      <c r="AV191" s="8" t="n"/>
      <c r="AW191" s="8" t="n"/>
      <c r="AX191" s="8" t="n"/>
      <c r="AY191" s="4" t="n"/>
    </row>
    <row r="192" ht="15" customHeight="1">
      <c r="A192" s="40">
        <f>IF($D$192="","",61)</f>
        <v/>
      </c>
      <c r="B192" s="10" t="n"/>
      <c r="C192" s="41" t="inlineStr">
        <is>
          <t>마케팅4팀</t>
        </is>
      </c>
      <c r="D192" s="42" t="n"/>
      <c r="E192" s="43" t="inlineStr">
        <is>
          <t>기획</t>
        </is>
      </c>
      <c r="F192" s="44" t="n"/>
      <c r="G192" s="45" t="n"/>
      <c r="H192" s="46">
        <f>IF($I$192="","",IF($I$192&lt;0,"🔴지연",IF($I$192&lt;=1,"🟡임박","🟢여유")))</f>
        <v/>
      </c>
      <c r="I192" s="47">
        <f>IF(OR($G$192="",$K$192=""),"",$G$192-$K$192)</f>
        <v/>
      </c>
      <c r="J192" s="48">
        <f>IF(SUM($L$192:$L$194)=0,"",SUM($L$192:$L$194))</f>
        <v/>
      </c>
      <c r="K192" s="49">
        <f>IF($J$192="","",MAX($N$192:$N$194))</f>
        <v/>
      </c>
      <c r="L192" s="50">
        <f>IF(SUM(U192:AY192)=0,"",SUM(U192:AY192))</f>
        <v/>
      </c>
      <c r="M192" s="51">
        <f>IFERROR(INDEX(U$2:AY$2,MATCH(TRUE,INDEX(U192:AY192&lt;&gt;"",0),0)),"")</f>
        <v/>
      </c>
      <c r="N192" s="51">
        <f>IFERROR(LOOKUP(2,1/(U192:AY192&lt;&gt;""),U$2:AY$2),"")</f>
        <v/>
      </c>
      <c r="O192" s="52" t="n"/>
      <c r="P192" s="52" t="n"/>
      <c r="Q192" s="52" t="n"/>
      <c r="R192" s="44" t="n"/>
      <c r="S192" s="14" t="n"/>
      <c r="U192" s="53" t="n"/>
      <c r="V192" s="53" t="n"/>
      <c r="W192" s="53" t="n"/>
      <c r="X192" s="53" t="n"/>
      <c r="Y192" s="53" t="n"/>
      <c r="Z192" s="53" t="n"/>
      <c r="AA192" s="53" t="n"/>
      <c r="AB192" s="53" t="n"/>
      <c r="AC192" s="53" t="n"/>
      <c r="AD192" s="53" t="n"/>
      <c r="AE192" s="53" t="n"/>
      <c r="AF192" s="53" t="n"/>
      <c r="AG192" s="53" t="n"/>
      <c r="AH192" s="53" t="n"/>
      <c r="AI192" s="53" t="n"/>
      <c r="AJ192" s="53" t="n"/>
      <c r="AK192" s="53" t="n"/>
      <c r="AL192" s="53" t="n"/>
      <c r="AM192" s="53" t="n"/>
      <c r="AN192" s="53" t="n"/>
      <c r="AO192" s="53" t="n"/>
      <c r="AP192" s="53" t="n"/>
      <c r="AQ192" s="53" t="n"/>
      <c r="AR192" s="53" t="n"/>
      <c r="AS192" s="53" t="n"/>
      <c r="AT192" s="53" t="n"/>
      <c r="AU192" s="53" t="n"/>
      <c r="AV192" s="53" t="n"/>
      <c r="AW192" s="53" t="n"/>
      <c r="AX192" s="53" t="n"/>
      <c r="AY192" s="53" t="n"/>
    </row>
    <row r="193" ht="15" customHeight="1">
      <c r="A193" s="54" t="n"/>
      <c r="B193" s="55">
        <f>IF($B$192="","",$B$192)</f>
        <v/>
      </c>
      <c r="C193" s="56" t="inlineStr">
        <is>
          <t>마케팅4팀</t>
        </is>
      </c>
      <c r="D193" s="55">
        <f>IF($D$192="","",$D$192)</f>
        <v/>
      </c>
      <c r="E193" s="57" t="inlineStr">
        <is>
          <t>이미지</t>
        </is>
      </c>
      <c r="F193" s="44" t="n"/>
      <c r="G193" s="58">
        <f>IF($G$192="","",$G$192)</f>
        <v/>
      </c>
      <c r="H193" s="59" t="n"/>
      <c r="I193" s="59" t="n"/>
      <c r="J193" s="59" t="n"/>
      <c r="K193" s="59" t="n"/>
      <c r="L193" s="60">
        <f>IF(SUM(U193:AY193)=0,"",SUM(U193:AY193))</f>
        <v/>
      </c>
      <c r="M193" s="61">
        <f>IFERROR(INDEX(U$2:AY$2,MATCH(TRUE,INDEX(U193:AY193&lt;&gt;"",0),0)),"")</f>
        <v/>
      </c>
      <c r="N193" s="61">
        <f>IFERROR(LOOKUP(2,1/(U193:AY193&lt;&gt;""),U$2:AY$2),"")</f>
        <v/>
      </c>
      <c r="O193" s="59" t="n"/>
      <c r="P193" s="59" t="n"/>
      <c r="Q193" s="59" t="n"/>
      <c r="R193" s="59" t="n"/>
      <c r="S193" s="14" t="n"/>
      <c r="U193" s="53" t="n"/>
      <c r="V193" s="53" t="n"/>
      <c r="W193" s="53" t="n"/>
      <c r="X193" s="53" t="n"/>
      <c r="Y193" s="53" t="n"/>
      <c r="Z193" s="53" t="n"/>
      <c r="AA193" s="53" t="n"/>
      <c r="AB193" s="53" t="n"/>
      <c r="AC193" s="53" t="n"/>
      <c r="AD193" s="53" t="n"/>
      <c r="AE193" s="53" t="n"/>
      <c r="AF193" s="53" t="n"/>
      <c r="AG193" s="53" t="n"/>
      <c r="AH193" s="53" t="n"/>
      <c r="AI193" s="53" t="n"/>
      <c r="AJ193" s="53" t="n"/>
      <c r="AK193" s="53" t="n"/>
      <c r="AL193" s="53" t="n"/>
      <c r="AM193" s="53" t="n"/>
      <c r="AN193" s="53" t="n"/>
      <c r="AO193" s="53" t="n"/>
      <c r="AP193" s="53" t="n"/>
      <c r="AQ193" s="53" t="n"/>
      <c r="AR193" s="53" t="n"/>
      <c r="AS193" s="53" t="n"/>
      <c r="AT193" s="53" t="n"/>
      <c r="AU193" s="53" t="n"/>
      <c r="AV193" s="53" t="n"/>
      <c r="AW193" s="53" t="n"/>
      <c r="AX193" s="53" t="n"/>
      <c r="AY193" s="53" t="n"/>
    </row>
    <row r="194" ht="15" customHeight="1">
      <c r="A194" s="62" t="n"/>
      <c r="B194" s="55">
        <f>IF($B$192="","",$B$192)</f>
        <v/>
      </c>
      <c r="C194" s="63" t="inlineStr">
        <is>
          <t>마케팅4팀</t>
        </is>
      </c>
      <c r="D194" s="55">
        <f>IF($D$192="","",$D$192)</f>
        <v/>
      </c>
      <c r="E194" s="64" t="inlineStr">
        <is>
          <t>영상</t>
        </is>
      </c>
      <c r="F194" s="44" t="n"/>
      <c r="G194" s="58">
        <f>IF($G$192="","",$G$192)</f>
        <v/>
      </c>
      <c r="H194" s="59" t="n"/>
      <c r="I194" s="59" t="n"/>
      <c r="J194" s="59" t="n"/>
      <c r="K194" s="59" t="n"/>
      <c r="L194" s="65">
        <f>IF(SUM(U194:AY194)=0,"",SUM(U194:AY194))</f>
        <v/>
      </c>
      <c r="M194" s="66">
        <f>IFERROR(INDEX(U$2:AY$2,MATCH(TRUE,INDEX(U194:AY194&lt;&gt;"",0),0)),"")</f>
        <v/>
      </c>
      <c r="N194" s="66">
        <f>IFERROR(LOOKUP(2,1/(U194:AY194&lt;&gt;""),U$2:AY$2),"")</f>
        <v/>
      </c>
      <c r="O194" s="59" t="n"/>
      <c r="P194" s="59" t="n"/>
      <c r="Q194" s="59" t="n"/>
      <c r="R194" s="59" t="n"/>
      <c r="S194" s="14" t="n"/>
      <c r="U194" s="53" t="n"/>
      <c r="V194" s="53" t="n"/>
      <c r="W194" s="53" t="n"/>
      <c r="X194" s="53" t="n"/>
      <c r="Y194" s="53" t="n"/>
      <c r="Z194" s="53" t="n"/>
      <c r="AA194" s="53" t="n"/>
      <c r="AB194" s="53" t="n"/>
      <c r="AC194" s="53" t="n"/>
      <c r="AD194" s="53" t="n"/>
      <c r="AE194" s="53" t="n"/>
      <c r="AF194" s="53" t="n"/>
      <c r="AG194" s="53" t="n"/>
      <c r="AH194" s="53" t="n"/>
      <c r="AI194" s="53" t="n"/>
      <c r="AJ194" s="53" t="n"/>
      <c r="AK194" s="53" t="n"/>
      <c r="AL194" s="53" t="n"/>
      <c r="AM194" s="53" t="n"/>
      <c r="AN194" s="53" t="n"/>
      <c r="AO194" s="53" t="n"/>
      <c r="AP194" s="53" t="n"/>
      <c r="AQ194" s="53" t="n"/>
      <c r="AR194" s="53" t="n"/>
      <c r="AS194" s="53" t="n"/>
      <c r="AT194" s="53" t="n"/>
      <c r="AU194" s="53" t="n"/>
      <c r="AV194" s="53" t="n"/>
      <c r="AW194" s="53" t="n"/>
      <c r="AX194" s="53" t="n"/>
      <c r="AY194" s="53" t="n"/>
    </row>
    <row r="195" ht="15" customHeight="1">
      <c r="A195" s="40">
        <f>IF($D$195="","",62)</f>
        <v/>
      </c>
      <c r="B195" s="10" t="n"/>
      <c r="C195" s="41" t="inlineStr">
        <is>
          <t>마케팅4팀</t>
        </is>
      </c>
      <c r="D195" s="42" t="n"/>
      <c r="E195" s="43" t="inlineStr">
        <is>
          <t>기획</t>
        </is>
      </c>
      <c r="F195" s="44" t="n"/>
      <c r="G195" s="45" t="n"/>
      <c r="H195" s="46">
        <f>IF($I$195="","",IF($I$195&lt;0,"🔴지연",IF($I$195&lt;=1,"🟡임박","🟢여유")))</f>
        <v/>
      </c>
      <c r="I195" s="47">
        <f>IF(OR($G$195="",$K$195=""),"",$G$195-$K$195)</f>
        <v/>
      </c>
      <c r="J195" s="48">
        <f>IF(SUM($L$195:$L$197)=0,"",SUM($L$195:$L$197))</f>
        <v/>
      </c>
      <c r="K195" s="49">
        <f>IF($J$195="","",MAX($N$195:$N$197))</f>
        <v/>
      </c>
      <c r="L195" s="50">
        <f>IF(SUM(U195:AY195)=0,"",SUM(U195:AY195))</f>
        <v/>
      </c>
      <c r="M195" s="51">
        <f>IFERROR(INDEX(U$2:AY$2,MATCH(TRUE,INDEX(U195:AY195&lt;&gt;"",0),0)),"")</f>
        <v/>
      </c>
      <c r="N195" s="51">
        <f>IFERROR(LOOKUP(2,1/(U195:AY195&lt;&gt;""),U$2:AY$2),"")</f>
        <v/>
      </c>
      <c r="O195" s="52" t="n"/>
      <c r="P195" s="52" t="n"/>
      <c r="Q195" s="52" t="n"/>
      <c r="R195" s="44" t="n"/>
      <c r="S195" s="14" t="n"/>
      <c r="U195" s="53" t="n"/>
      <c r="V195" s="53" t="n"/>
      <c r="W195" s="53" t="n"/>
      <c r="X195" s="53" t="n"/>
      <c r="Y195" s="53" t="n"/>
      <c r="Z195" s="53" t="n"/>
      <c r="AA195" s="53" t="n"/>
      <c r="AB195" s="53" t="n"/>
      <c r="AC195" s="53" t="n"/>
      <c r="AD195" s="53" t="n"/>
      <c r="AE195" s="53" t="n"/>
      <c r="AF195" s="53" t="n"/>
      <c r="AG195" s="53" t="n"/>
      <c r="AH195" s="53" t="n"/>
      <c r="AI195" s="53" t="n"/>
      <c r="AJ195" s="53" t="n"/>
      <c r="AK195" s="53" t="n"/>
      <c r="AL195" s="53" t="n"/>
      <c r="AM195" s="53" t="n"/>
      <c r="AN195" s="53" t="n"/>
      <c r="AO195" s="53" t="n"/>
      <c r="AP195" s="53" t="n"/>
      <c r="AQ195" s="53" t="n"/>
      <c r="AR195" s="53" t="n"/>
      <c r="AS195" s="53" t="n"/>
      <c r="AT195" s="53" t="n"/>
      <c r="AU195" s="53" t="n"/>
      <c r="AV195" s="53" t="n"/>
      <c r="AW195" s="53" t="n"/>
      <c r="AX195" s="53" t="n"/>
      <c r="AY195" s="53" t="n"/>
    </row>
    <row r="196" ht="15" customHeight="1">
      <c r="A196" s="54" t="n"/>
      <c r="B196" s="55">
        <f>IF($B$195="","",$B$195)</f>
        <v/>
      </c>
      <c r="C196" s="56" t="inlineStr">
        <is>
          <t>마케팅4팀</t>
        </is>
      </c>
      <c r="D196" s="55">
        <f>IF($D$195="","",$D$195)</f>
        <v/>
      </c>
      <c r="E196" s="57" t="inlineStr">
        <is>
          <t>이미지</t>
        </is>
      </c>
      <c r="F196" s="44" t="n"/>
      <c r="G196" s="58">
        <f>IF($G$195="","",$G$195)</f>
        <v/>
      </c>
      <c r="H196" s="59" t="n"/>
      <c r="I196" s="59" t="n"/>
      <c r="J196" s="59" t="n"/>
      <c r="K196" s="59" t="n"/>
      <c r="L196" s="60">
        <f>IF(SUM(U196:AY196)=0,"",SUM(U196:AY196))</f>
        <v/>
      </c>
      <c r="M196" s="61">
        <f>IFERROR(INDEX(U$2:AY$2,MATCH(TRUE,INDEX(U196:AY196&lt;&gt;"",0),0)),"")</f>
        <v/>
      </c>
      <c r="N196" s="61">
        <f>IFERROR(LOOKUP(2,1/(U196:AY196&lt;&gt;""),U$2:AY$2),"")</f>
        <v/>
      </c>
      <c r="O196" s="59" t="n"/>
      <c r="P196" s="59" t="n"/>
      <c r="Q196" s="59" t="n"/>
      <c r="R196" s="59" t="n"/>
      <c r="S196" s="14" t="n"/>
      <c r="U196" s="53" t="n"/>
      <c r="V196" s="53" t="n"/>
      <c r="W196" s="53" t="n"/>
      <c r="X196" s="53" t="n"/>
      <c r="Y196" s="53" t="n"/>
      <c r="Z196" s="53" t="n"/>
      <c r="AA196" s="53" t="n"/>
      <c r="AB196" s="53" t="n"/>
      <c r="AC196" s="53" t="n"/>
      <c r="AD196" s="53" t="n"/>
      <c r="AE196" s="53" t="n"/>
      <c r="AF196" s="53" t="n"/>
      <c r="AG196" s="53" t="n"/>
      <c r="AH196" s="53" t="n"/>
      <c r="AI196" s="53" t="n"/>
      <c r="AJ196" s="53" t="n"/>
      <c r="AK196" s="53" t="n"/>
      <c r="AL196" s="53" t="n"/>
      <c r="AM196" s="53" t="n"/>
      <c r="AN196" s="53" t="n"/>
      <c r="AO196" s="53" t="n"/>
      <c r="AP196" s="53" t="n"/>
      <c r="AQ196" s="53" t="n"/>
      <c r="AR196" s="53" t="n"/>
      <c r="AS196" s="53" t="n"/>
      <c r="AT196" s="53" t="n"/>
      <c r="AU196" s="53" t="n"/>
      <c r="AV196" s="53" t="n"/>
      <c r="AW196" s="53" t="n"/>
      <c r="AX196" s="53" t="n"/>
      <c r="AY196" s="53" t="n"/>
    </row>
    <row r="197" ht="15" customHeight="1">
      <c r="A197" s="62" t="n"/>
      <c r="B197" s="55">
        <f>IF($B$195="","",$B$195)</f>
        <v/>
      </c>
      <c r="C197" s="63" t="inlineStr">
        <is>
          <t>마케팅4팀</t>
        </is>
      </c>
      <c r="D197" s="55">
        <f>IF($D$195="","",$D$195)</f>
        <v/>
      </c>
      <c r="E197" s="64" t="inlineStr">
        <is>
          <t>영상</t>
        </is>
      </c>
      <c r="F197" s="44" t="n"/>
      <c r="G197" s="58">
        <f>IF($G$195="","",$G$195)</f>
        <v/>
      </c>
      <c r="H197" s="59" t="n"/>
      <c r="I197" s="59" t="n"/>
      <c r="J197" s="59" t="n"/>
      <c r="K197" s="59" t="n"/>
      <c r="L197" s="65">
        <f>IF(SUM(U197:AY197)=0,"",SUM(U197:AY197))</f>
        <v/>
      </c>
      <c r="M197" s="66">
        <f>IFERROR(INDEX(U$2:AY$2,MATCH(TRUE,INDEX(U197:AY197&lt;&gt;"",0),0)),"")</f>
        <v/>
      </c>
      <c r="N197" s="66">
        <f>IFERROR(LOOKUP(2,1/(U197:AY197&lt;&gt;""),U$2:AY$2),"")</f>
        <v/>
      </c>
      <c r="O197" s="59" t="n"/>
      <c r="P197" s="59" t="n"/>
      <c r="Q197" s="59" t="n"/>
      <c r="R197" s="59" t="n"/>
      <c r="S197" s="14" t="n"/>
      <c r="U197" s="53" t="n"/>
      <c r="V197" s="53" t="n"/>
      <c r="W197" s="53" t="n"/>
      <c r="X197" s="53" t="n"/>
      <c r="Y197" s="53" t="n"/>
      <c r="Z197" s="53" t="n"/>
      <c r="AA197" s="53" t="n"/>
      <c r="AB197" s="53" t="n"/>
      <c r="AC197" s="53" t="n"/>
      <c r="AD197" s="53" t="n"/>
      <c r="AE197" s="53" t="n"/>
      <c r="AF197" s="53" t="n"/>
      <c r="AG197" s="53" t="n"/>
      <c r="AH197" s="53" t="n"/>
      <c r="AI197" s="53" t="n"/>
      <c r="AJ197" s="53" t="n"/>
      <c r="AK197" s="53" t="n"/>
      <c r="AL197" s="53" t="n"/>
      <c r="AM197" s="53" t="n"/>
      <c r="AN197" s="53" t="n"/>
      <c r="AO197" s="53" t="n"/>
      <c r="AP197" s="53" t="n"/>
      <c r="AQ197" s="53" t="n"/>
      <c r="AR197" s="53" t="n"/>
      <c r="AS197" s="53" t="n"/>
      <c r="AT197" s="53" t="n"/>
      <c r="AU197" s="53" t="n"/>
      <c r="AV197" s="53" t="n"/>
      <c r="AW197" s="53" t="n"/>
      <c r="AX197" s="53" t="n"/>
      <c r="AY197" s="53" t="n"/>
    </row>
    <row r="198" ht="15" customHeight="1">
      <c r="A198" s="40">
        <f>IF($D$198="","",63)</f>
        <v/>
      </c>
      <c r="B198" s="10" t="n"/>
      <c r="C198" s="41" t="inlineStr">
        <is>
          <t>마케팅4팀</t>
        </is>
      </c>
      <c r="D198" s="42" t="n"/>
      <c r="E198" s="43" t="inlineStr">
        <is>
          <t>기획</t>
        </is>
      </c>
      <c r="F198" s="44" t="n"/>
      <c r="G198" s="45" t="n"/>
      <c r="H198" s="46">
        <f>IF($I$198="","",IF($I$198&lt;0,"🔴지연",IF($I$198&lt;=1,"🟡임박","🟢여유")))</f>
        <v/>
      </c>
      <c r="I198" s="47">
        <f>IF(OR($G$198="",$K$198=""),"",$G$198-$K$198)</f>
        <v/>
      </c>
      <c r="J198" s="48">
        <f>IF(SUM($L$198:$L$200)=0,"",SUM($L$198:$L$200))</f>
        <v/>
      </c>
      <c r="K198" s="49">
        <f>IF($J$198="","",MAX($N$198:$N$200))</f>
        <v/>
      </c>
      <c r="L198" s="50">
        <f>IF(SUM(U198:AY198)=0,"",SUM(U198:AY198))</f>
        <v/>
      </c>
      <c r="M198" s="51">
        <f>IFERROR(INDEX(U$2:AY$2,MATCH(TRUE,INDEX(U198:AY198&lt;&gt;"",0),0)),"")</f>
        <v/>
      </c>
      <c r="N198" s="51">
        <f>IFERROR(LOOKUP(2,1/(U198:AY198&lt;&gt;""),U$2:AY$2),"")</f>
        <v/>
      </c>
      <c r="O198" s="52" t="n"/>
      <c r="P198" s="52" t="n"/>
      <c r="Q198" s="52" t="n"/>
      <c r="R198" s="44" t="n"/>
      <c r="S198" s="14" t="n"/>
      <c r="U198" s="53" t="n"/>
      <c r="V198" s="53" t="n"/>
      <c r="W198" s="53" t="n"/>
      <c r="X198" s="53" t="n"/>
      <c r="Y198" s="53" t="n"/>
      <c r="Z198" s="53" t="n"/>
      <c r="AA198" s="53" t="n"/>
      <c r="AB198" s="53" t="n"/>
      <c r="AC198" s="53" t="n"/>
      <c r="AD198" s="53" t="n"/>
      <c r="AE198" s="53" t="n"/>
      <c r="AF198" s="53" t="n"/>
      <c r="AG198" s="53" t="n"/>
      <c r="AH198" s="53" t="n"/>
      <c r="AI198" s="53" t="n"/>
      <c r="AJ198" s="53" t="n"/>
      <c r="AK198" s="53" t="n"/>
      <c r="AL198" s="53" t="n"/>
      <c r="AM198" s="53" t="n"/>
      <c r="AN198" s="53" t="n"/>
      <c r="AO198" s="53" t="n"/>
      <c r="AP198" s="53" t="n"/>
      <c r="AQ198" s="53" t="n"/>
      <c r="AR198" s="53" t="n"/>
      <c r="AS198" s="53" t="n"/>
      <c r="AT198" s="53" t="n"/>
      <c r="AU198" s="53" t="n"/>
      <c r="AV198" s="53" t="n"/>
      <c r="AW198" s="53" t="n"/>
      <c r="AX198" s="53" t="n"/>
      <c r="AY198" s="53" t="n"/>
    </row>
    <row r="199" ht="15" customHeight="1">
      <c r="A199" s="54" t="n"/>
      <c r="B199" s="55">
        <f>IF($B$198="","",$B$198)</f>
        <v/>
      </c>
      <c r="C199" s="56" t="inlineStr">
        <is>
          <t>마케팅4팀</t>
        </is>
      </c>
      <c r="D199" s="55">
        <f>IF($D$198="","",$D$198)</f>
        <v/>
      </c>
      <c r="E199" s="57" t="inlineStr">
        <is>
          <t>이미지</t>
        </is>
      </c>
      <c r="F199" s="44" t="n"/>
      <c r="G199" s="58">
        <f>IF($G$198="","",$G$198)</f>
        <v/>
      </c>
      <c r="H199" s="59" t="n"/>
      <c r="I199" s="59" t="n"/>
      <c r="J199" s="59" t="n"/>
      <c r="K199" s="59" t="n"/>
      <c r="L199" s="60">
        <f>IF(SUM(U199:AY199)=0,"",SUM(U199:AY199))</f>
        <v/>
      </c>
      <c r="M199" s="61">
        <f>IFERROR(INDEX(U$2:AY$2,MATCH(TRUE,INDEX(U199:AY199&lt;&gt;"",0),0)),"")</f>
        <v/>
      </c>
      <c r="N199" s="61">
        <f>IFERROR(LOOKUP(2,1/(U199:AY199&lt;&gt;""),U$2:AY$2),"")</f>
        <v/>
      </c>
      <c r="O199" s="59" t="n"/>
      <c r="P199" s="59" t="n"/>
      <c r="Q199" s="59" t="n"/>
      <c r="R199" s="59" t="n"/>
      <c r="S199" s="14" t="n"/>
      <c r="U199" s="53" t="n"/>
      <c r="V199" s="53" t="n"/>
      <c r="W199" s="53" t="n"/>
      <c r="X199" s="53" t="n"/>
      <c r="Y199" s="53" t="n"/>
      <c r="Z199" s="53" t="n"/>
      <c r="AA199" s="53" t="n"/>
      <c r="AB199" s="53" t="n"/>
      <c r="AC199" s="53" t="n"/>
      <c r="AD199" s="53" t="n"/>
      <c r="AE199" s="53" t="n"/>
      <c r="AF199" s="53" t="n"/>
      <c r="AG199" s="53" t="n"/>
      <c r="AH199" s="53" t="n"/>
      <c r="AI199" s="53" t="n"/>
      <c r="AJ199" s="53" t="n"/>
      <c r="AK199" s="53" t="n"/>
      <c r="AL199" s="53" t="n"/>
      <c r="AM199" s="53" t="n"/>
      <c r="AN199" s="53" t="n"/>
      <c r="AO199" s="53" t="n"/>
      <c r="AP199" s="53" t="n"/>
      <c r="AQ199" s="53" t="n"/>
      <c r="AR199" s="53" t="n"/>
      <c r="AS199" s="53" t="n"/>
      <c r="AT199" s="53" t="n"/>
      <c r="AU199" s="53" t="n"/>
      <c r="AV199" s="53" t="n"/>
      <c r="AW199" s="53" t="n"/>
      <c r="AX199" s="53" t="n"/>
      <c r="AY199" s="53" t="n"/>
    </row>
    <row r="200" ht="15" customHeight="1">
      <c r="A200" s="62" t="n"/>
      <c r="B200" s="55">
        <f>IF($B$198="","",$B$198)</f>
        <v/>
      </c>
      <c r="C200" s="63" t="inlineStr">
        <is>
          <t>마케팅4팀</t>
        </is>
      </c>
      <c r="D200" s="55">
        <f>IF($D$198="","",$D$198)</f>
        <v/>
      </c>
      <c r="E200" s="64" t="inlineStr">
        <is>
          <t>영상</t>
        </is>
      </c>
      <c r="F200" s="44" t="n"/>
      <c r="G200" s="58">
        <f>IF($G$198="","",$G$198)</f>
        <v/>
      </c>
      <c r="H200" s="59" t="n"/>
      <c r="I200" s="59" t="n"/>
      <c r="J200" s="59" t="n"/>
      <c r="K200" s="59" t="n"/>
      <c r="L200" s="65">
        <f>IF(SUM(U200:AY200)=0,"",SUM(U200:AY200))</f>
        <v/>
      </c>
      <c r="M200" s="66">
        <f>IFERROR(INDEX(U$2:AY$2,MATCH(TRUE,INDEX(U200:AY200&lt;&gt;"",0),0)),"")</f>
        <v/>
      </c>
      <c r="N200" s="66">
        <f>IFERROR(LOOKUP(2,1/(U200:AY200&lt;&gt;""),U$2:AY$2),"")</f>
        <v/>
      </c>
      <c r="O200" s="59" t="n"/>
      <c r="P200" s="59" t="n"/>
      <c r="Q200" s="59" t="n"/>
      <c r="R200" s="59" t="n"/>
      <c r="S200" s="14" t="n"/>
      <c r="U200" s="53" t="n"/>
      <c r="V200" s="53" t="n"/>
      <c r="W200" s="53" t="n"/>
      <c r="X200" s="53" t="n"/>
      <c r="Y200" s="53" t="n"/>
      <c r="Z200" s="53" t="n"/>
      <c r="AA200" s="53" t="n"/>
      <c r="AB200" s="53" t="n"/>
      <c r="AC200" s="53" t="n"/>
      <c r="AD200" s="53" t="n"/>
      <c r="AE200" s="53" t="n"/>
      <c r="AF200" s="53" t="n"/>
      <c r="AG200" s="53" t="n"/>
      <c r="AH200" s="53" t="n"/>
      <c r="AI200" s="53" t="n"/>
      <c r="AJ200" s="53" t="n"/>
      <c r="AK200" s="53" t="n"/>
      <c r="AL200" s="53" t="n"/>
      <c r="AM200" s="53" t="n"/>
      <c r="AN200" s="53" t="n"/>
      <c r="AO200" s="53" t="n"/>
      <c r="AP200" s="53" t="n"/>
      <c r="AQ200" s="53" t="n"/>
      <c r="AR200" s="53" t="n"/>
      <c r="AS200" s="53" t="n"/>
      <c r="AT200" s="53" t="n"/>
      <c r="AU200" s="53" t="n"/>
      <c r="AV200" s="53" t="n"/>
      <c r="AW200" s="53" t="n"/>
      <c r="AX200" s="53" t="n"/>
      <c r="AY200" s="53" t="n"/>
    </row>
    <row r="201" ht="15" customHeight="1">
      <c r="A201" s="40">
        <f>IF($D$201="","",64)</f>
        <v/>
      </c>
      <c r="B201" s="10" t="n"/>
      <c r="C201" s="41" t="inlineStr">
        <is>
          <t>마케팅4팀</t>
        </is>
      </c>
      <c r="D201" s="42" t="n"/>
      <c r="E201" s="43" t="inlineStr">
        <is>
          <t>기획</t>
        </is>
      </c>
      <c r="F201" s="44" t="n"/>
      <c r="G201" s="45" t="n"/>
      <c r="H201" s="46">
        <f>IF($I$201="","",IF($I$201&lt;0,"🔴지연",IF($I$201&lt;=1,"🟡임박","🟢여유")))</f>
        <v/>
      </c>
      <c r="I201" s="47">
        <f>IF(OR($G$201="",$K$201=""),"",$G$201-$K$201)</f>
        <v/>
      </c>
      <c r="J201" s="48">
        <f>IF(SUM($L$201:$L$203)=0,"",SUM($L$201:$L$203))</f>
        <v/>
      </c>
      <c r="K201" s="49">
        <f>IF($J$201="","",MAX($N$201:$N$203))</f>
        <v/>
      </c>
      <c r="L201" s="50">
        <f>IF(SUM(U201:AY201)=0,"",SUM(U201:AY201))</f>
        <v/>
      </c>
      <c r="M201" s="51">
        <f>IFERROR(INDEX(U$2:AY$2,MATCH(TRUE,INDEX(U201:AY201&lt;&gt;"",0),0)),"")</f>
        <v/>
      </c>
      <c r="N201" s="51">
        <f>IFERROR(LOOKUP(2,1/(U201:AY201&lt;&gt;""),U$2:AY$2),"")</f>
        <v/>
      </c>
      <c r="O201" s="52" t="n"/>
      <c r="P201" s="52" t="n"/>
      <c r="Q201" s="52" t="n"/>
      <c r="R201" s="44" t="n"/>
      <c r="S201" s="14" t="n"/>
      <c r="U201" s="53" t="n"/>
      <c r="V201" s="53" t="n"/>
      <c r="W201" s="53" t="n"/>
      <c r="X201" s="53" t="n"/>
      <c r="Y201" s="53" t="n"/>
      <c r="Z201" s="53" t="n"/>
      <c r="AA201" s="53" t="n"/>
      <c r="AB201" s="53" t="n"/>
      <c r="AC201" s="53" t="n"/>
      <c r="AD201" s="53" t="n"/>
      <c r="AE201" s="53" t="n"/>
      <c r="AF201" s="53" t="n"/>
      <c r="AG201" s="53" t="n"/>
      <c r="AH201" s="53" t="n"/>
      <c r="AI201" s="53" t="n"/>
      <c r="AJ201" s="53" t="n"/>
      <c r="AK201" s="53" t="n"/>
      <c r="AL201" s="53" t="n"/>
      <c r="AM201" s="53" t="n"/>
      <c r="AN201" s="53" t="n"/>
      <c r="AO201" s="53" t="n"/>
      <c r="AP201" s="53" t="n"/>
      <c r="AQ201" s="53" t="n"/>
      <c r="AR201" s="53" t="n"/>
      <c r="AS201" s="53" t="n"/>
      <c r="AT201" s="53" t="n"/>
      <c r="AU201" s="53" t="n"/>
      <c r="AV201" s="53" t="n"/>
      <c r="AW201" s="53" t="n"/>
      <c r="AX201" s="53" t="n"/>
      <c r="AY201" s="53" t="n"/>
    </row>
    <row r="202" ht="15" customHeight="1">
      <c r="A202" s="54" t="n"/>
      <c r="B202" s="55">
        <f>IF($B$201="","",$B$201)</f>
        <v/>
      </c>
      <c r="C202" s="56" t="inlineStr">
        <is>
          <t>마케팅4팀</t>
        </is>
      </c>
      <c r="D202" s="55">
        <f>IF($D$201="","",$D$201)</f>
        <v/>
      </c>
      <c r="E202" s="57" t="inlineStr">
        <is>
          <t>이미지</t>
        </is>
      </c>
      <c r="F202" s="44" t="n"/>
      <c r="G202" s="58">
        <f>IF($G$201="","",$G$201)</f>
        <v/>
      </c>
      <c r="H202" s="59" t="n"/>
      <c r="I202" s="59" t="n"/>
      <c r="J202" s="59" t="n"/>
      <c r="K202" s="59" t="n"/>
      <c r="L202" s="60">
        <f>IF(SUM(U202:AY202)=0,"",SUM(U202:AY202))</f>
        <v/>
      </c>
      <c r="M202" s="61">
        <f>IFERROR(INDEX(U$2:AY$2,MATCH(TRUE,INDEX(U202:AY202&lt;&gt;"",0),0)),"")</f>
        <v/>
      </c>
      <c r="N202" s="61">
        <f>IFERROR(LOOKUP(2,1/(U202:AY202&lt;&gt;""),U$2:AY$2),"")</f>
        <v/>
      </c>
      <c r="O202" s="59" t="n"/>
      <c r="P202" s="59" t="n"/>
      <c r="Q202" s="59" t="n"/>
      <c r="R202" s="59" t="n"/>
      <c r="S202" s="14" t="n"/>
      <c r="U202" s="53" t="n"/>
      <c r="V202" s="53" t="n"/>
      <c r="W202" s="53" t="n"/>
      <c r="X202" s="53" t="n"/>
      <c r="Y202" s="53" t="n"/>
      <c r="Z202" s="53" t="n"/>
      <c r="AA202" s="53" t="n"/>
      <c r="AB202" s="53" t="n"/>
      <c r="AC202" s="53" t="n"/>
      <c r="AD202" s="53" t="n"/>
      <c r="AE202" s="53" t="n"/>
      <c r="AF202" s="53" t="n"/>
      <c r="AG202" s="53" t="n"/>
      <c r="AH202" s="53" t="n"/>
      <c r="AI202" s="53" t="n"/>
      <c r="AJ202" s="53" t="n"/>
      <c r="AK202" s="53" t="n"/>
      <c r="AL202" s="53" t="n"/>
      <c r="AM202" s="53" t="n"/>
      <c r="AN202" s="53" t="n"/>
      <c r="AO202" s="53" t="n"/>
      <c r="AP202" s="53" t="n"/>
      <c r="AQ202" s="53" t="n"/>
      <c r="AR202" s="53" t="n"/>
      <c r="AS202" s="53" t="n"/>
      <c r="AT202" s="53" t="n"/>
      <c r="AU202" s="53" t="n"/>
      <c r="AV202" s="53" t="n"/>
      <c r="AW202" s="53" t="n"/>
      <c r="AX202" s="53" t="n"/>
      <c r="AY202" s="53" t="n"/>
    </row>
    <row r="203" ht="15" customHeight="1">
      <c r="A203" s="62" t="n"/>
      <c r="B203" s="55">
        <f>IF($B$201="","",$B$201)</f>
        <v/>
      </c>
      <c r="C203" s="63" t="inlineStr">
        <is>
          <t>마케팅4팀</t>
        </is>
      </c>
      <c r="D203" s="55">
        <f>IF($D$201="","",$D$201)</f>
        <v/>
      </c>
      <c r="E203" s="64" t="inlineStr">
        <is>
          <t>영상</t>
        </is>
      </c>
      <c r="F203" s="44" t="n"/>
      <c r="G203" s="58">
        <f>IF($G$201="","",$G$201)</f>
        <v/>
      </c>
      <c r="H203" s="59" t="n"/>
      <c r="I203" s="59" t="n"/>
      <c r="J203" s="59" t="n"/>
      <c r="K203" s="59" t="n"/>
      <c r="L203" s="65">
        <f>IF(SUM(U203:AY203)=0,"",SUM(U203:AY203))</f>
        <v/>
      </c>
      <c r="M203" s="66">
        <f>IFERROR(INDEX(U$2:AY$2,MATCH(TRUE,INDEX(U203:AY203&lt;&gt;"",0),0)),"")</f>
        <v/>
      </c>
      <c r="N203" s="66">
        <f>IFERROR(LOOKUP(2,1/(U203:AY203&lt;&gt;""),U$2:AY$2),"")</f>
        <v/>
      </c>
      <c r="O203" s="59" t="n"/>
      <c r="P203" s="59" t="n"/>
      <c r="Q203" s="59" t="n"/>
      <c r="R203" s="59" t="n"/>
      <c r="S203" s="14" t="n"/>
      <c r="U203" s="53" t="n"/>
      <c r="V203" s="53" t="n"/>
      <c r="W203" s="53" t="n"/>
      <c r="X203" s="53" t="n"/>
      <c r="Y203" s="53" t="n"/>
      <c r="Z203" s="53" t="n"/>
      <c r="AA203" s="53" t="n"/>
      <c r="AB203" s="53" t="n"/>
      <c r="AC203" s="53" t="n"/>
      <c r="AD203" s="53" t="n"/>
      <c r="AE203" s="53" t="n"/>
      <c r="AF203" s="53" t="n"/>
      <c r="AG203" s="53" t="n"/>
      <c r="AH203" s="53" t="n"/>
      <c r="AI203" s="53" t="n"/>
      <c r="AJ203" s="53" t="n"/>
      <c r="AK203" s="53" t="n"/>
      <c r="AL203" s="53" t="n"/>
      <c r="AM203" s="53" t="n"/>
      <c r="AN203" s="53" t="n"/>
      <c r="AO203" s="53" t="n"/>
      <c r="AP203" s="53" t="n"/>
      <c r="AQ203" s="53" t="n"/>
      <c r="AR203" s="53" t="n"/>
      <c r="AS203" s="53" t="n"/>
      <c r="AT203" s="53" t="n"/>
      <c r="AU203" s="53" t="n"/>
      <c r="AV203" s="53" t="n"/>
      <c r="AW203" s="53" t="n"/>
      <c r="AX203" s="53" t="n"/>
      <c r="AY203" s="53" t="n"/>
    </row>
    <row r="204" ht="15" customHeight="1">
      <c r="A204" s="40">
        <f>IF($D$204="","",65)</f>
        <v/>
      </c>
      <c r="B204" s="10" t="n"/>
      <c r="C204" s="41" t="inlineStr">
        <is>
          <t>마케팅4팀</t>
        </is>
      </c>
      <c r="D204" s="42" t="n"/>
      <c r="E204" s="43" t="inlineStr">
        <is>
          <t>기획</t>
        </is>
      </c>
      <c r="F204" s="44" t="n"/>
      <c r="G204" s="45" t="n"/>
      <c r="H204" s="46">
        <f>IF($I$204="","",IF($I$204&lt;0,"🔴지연",IF($I$204&lt;=1,"🟡임박","🟢여유")))</f>
        <v/>
      </c>
      <c r="I204" s="47">
        <f>IF(OR($G$204="",$K$204=""),"",$G$204-$K$204)</f>
        <v/>
      </c>
      <c r="J204" s="48">
        <f>IF(SUM($L$204:$L$206)=0,"",SUM($L$204:$L$206))</f>
        <v/>
      </c>
      <c r="K204" s="49">
        <f>IF($J$204="","",MAX($N$204:$N$206))</f>
        <v/>
      </c>
      <c r="L204" s="50">
        <f>IF(SUM(U204:AY204)=0,"",SUM(U204:AY204))</f>
        <v/>
      </c>
      <c r="M204" s="51">
        <f>IFERROR(INDEX(U$2:AY$2,MATCH(TRUE,INDEX(U204:AY204&lt;&gt;"",0),0)),"")</f>
        <v/>
      </c>
      <c r="N204" s="51">
        <f>IFERROR(LOOKUP(2,1/(U204:AY204&lt;&gt;""),U$2:AY$2),"")</f>
        <v/>
      </c>
      <c r="O204" s="52" t="n"/>
      <c r="P204" s="52" t="n"/>
      <c r="Q204" s="52" t="n"/>
      <c r="R204" s="44" t="n"/>
      <c r="S204" s="14" t="n"/>
      <c r="U204" s="53" t="n"/>
      <c r="V204" s="53" t="n"/>
      <c r="W204" s="53" t="n"/>
      <c r="X204" s="53" t="n"/>
      <c r="Y204" s="53" t="n"/>
      <c r="Z204" s="53" t="n"/>
      <c r="AA204" s="53" t="n"/>
      <c r="AB204" s="53" t="n"/>
      <c r="AC204" s="53" t="n"/>
      <c r="AD204" s="53" t="n"/>
      <c r="AE204" s="53" t="n"/>
      <c r="AF204" s="53" t="n"/>
      <c r="AG204" s="53" t="n"/>
      <c r="AH204" s="53" t="n"/>
      <c r="AI204" s="53" t="n"/>
      <c r="AJ204" s="53" t="n"/>
      <c r="AK204" s="53" t="n"/>
      <c r="AL204" s="53" t="n"/>
      <c r="AM204" s="53" t="n"/>
      <c r="AN204" s="53" t="n"/>
      <c r="AO204" s="53" t="n"/>
      <c r="AP204" s="53" t="n"/>
      <c r="AQ204" s="53" t="n"/>
      <c r="AR204" s="53" t="n"/>
      <c r="AS204" s="53" t="n"/>
      <c r="AT204" s="53" t="n"/>
      <c r="AU204" s="53" t="n"/>
      <c r="AV204" s="53" t="n"/>
      <c r="AW204" s="53" t="n"/>
      <c r="AX204" s="53" t="n"/>
      <c r="AY204" s="53" t="n"/>
    </row>
    <row r="205" ht="15" customHeight="1">
      <c r="A205" s="54" t="n"/>
      <c r="B205" s="55">
        <f>IF($B$204="","",$B$204)</f>
        <v/>
      </c>
      <c r="C205" s="56" t="inlineStr">
        <is>
          <t>마케팅4팀</t>
        </is>
      </c>
      <c r="D205" s="55">
        <f>IF($D$204="","",$D$204)</f>
        <v/>
      </c>
      <c r="E205" s="57" t="inlineStr">
        <is>
          <t>이미지</t>
        </is>
      </c>
      <c r="F205" s="44" t="n"/>
      <c r="G205" s="58">
        <f>IF($G$204="","",$G$204)</f>
        <v/>
      </c>
      <c r="H205" s="59" t="n"/>
      <c r="I205" s="59" t="n"/>
      <c r="J205" s="59" t="n"/>
      <c r="K205" s="59" t="n"/>
      <c r="L205" s="60">
        <f>IF(SUM(U205:AY205)=0,"",SUM(U205:AY205))</f>
        <v/>
      </c>
      <c r="M205" s="61">
        <f>IFERROR(INDEX(U$2:AY$2,MATCH(TRUE,INDEX(U205:AY205&lt;&gt;"",0),0)),"")</f>
        <v/>
      </c>
      <c r="N205" s="61">
        <f>IFERROR(LOOKUP(2,1/(U205:AY205&lt;&gt;""),U$2:AY$2),"")</f>
        <v/>
      </c>
      <c r="O205" s="59" t="n"/>
      <c r="P205" s="59" t="n"/>
      <c r="Q205" s="59" t="n"/>
      <c r="R205" s="59" t="n"/>
      <c r="S205" s="14" t="n"/>
      <c r="U205" s="53" t="n"/>
      <c r="V205" s="53" t="n"/>
      <c r="W205" s="53" t="n"/>
      <c r="X205" s="53" t="n"/>
      <c r="Y205" s="53" t="n"/>
      <c r="Z205" s="53" t="n"/>
      <c r="AA205" s="53" t="n"/>
      <c r="AB205" s="53" t="n"/>
      <c r="AC205" s="53" t="n"/>
      <c r="AD205" s="53" t="n"/>
      <c r="AE205" s="53" t="n"/>
      <c r="AF205" s="53" t="n"/>
      <c r="AG205" s="53" t="n"/>
      <c r="AH205" s="53" t="n"/>
      <c r="AI205" s="53" t="n"/>
      <c r="AJ205" s="53" t="n"/>
      <c r="AK205" s="53" t="n"/>
      <c r="AL205" s="53" t="n"/>
      <c r="AM205" s="53" t="n"/>
      <c r="AN205" s="53" t="n"/>
      <c r="AO205" s="53" t="n"/>
      <c r="AP205" s="53" t="n"/>
      <c r="AQ205" s="53" t="n"/>
      <c r="AR205" s="53" t="n"/>
      <c r="AS205" s="53" t="n"/>
      <c r="AT205" s="53" t="n"/>
      <c r="AU205" s="53" t="n"/>
      <c r="AV205" s="53" t="n"/>
      <c r="AW205" s="53" t="n"/>
      <c r="AX205" s="53" t="n"/>
      <c r="AY205" s="53" t="n"/>
    </row>
    <row r="206" ht="15" customHeight="1">
      <c r="A206" s="62" t="n"/>
      <c r="B206" s="55">
        <f>IF($B$204="","",$B$204)</f>
        <v/>
      </c>
      <c r="C206" s="63" t="inlineStr">
        <is>
          <t>마케팅4팀</t>
        </is>
      </c>
      <c r="D206" s="55">
        <f>IF($D$204="","",$D$204)</f>
        <v/>
      </c>
      <c r="E206" s="64" t="inlineStr">
        <is>
          <t>영상</t>
        </is>
      </c>
      <c r="F206" s="44" t="n"/>
      <c r="G206" s="58">
        <f>IF($G$204="","",$G$204)</f>
        <v/>
      </c>
      <c r="H206" s="59" t="n"/>
      <c r="I206" s="59" t="n"/>
      <c r="J206" s="59" t="n"/>
      <c r="K206" s="59" t="n"/>
      <c r="L206" s="65">
        <f>IF(SUM(U206:AY206)=0,"",SUM(U206:AY206))</f>
        <v/>
      </c>
      <c r="M206" s="66">
        <f>IFERROR(INDEX(U$2:AY$2,MATCH(TRUE,INDEX(U206:AY206&lt;&gt;"",0),0)),"")</f>
        <v/>
      </c>
      <c r="N206" s="66">
        <f>IFERROR(LOOKUP(2,1/(U206:AY206&lt;&gt;""),U$2:AY$2),"")</f>
        <v/>
      </c>
      <c r="O206" s="59" t="n"/>
      <c r="P206" s="59" t="n"/>
      <c r="Q206" s="59" t="n"/>
      <c r="R206" s="59" t="n"/>
      <c r="S206" s="14" t="n"/>
      <c r="U206" s="53" t="n"/>
      <c r="V206" s="53" t="n"/>
      <c r="W206" s="53" t="n"/>
      <c r="X206" s="53" t="n"/>
      <c r="Y206" s="53" t="n"/>
      <c r="Z206" s="53" t="n"/>
      <c r="AA206" s="53" t="n"/>
      <c r="AB206" s="53" t="n"/>
      <c r="AC206" s="53" t="n"/>
      <c r="AD206" s="53" t="n"/>
      <c r="AE206" s="53" t="n"/>
      <c r="AF206" s="53" t="n"/>
      <c r="AG206" s="53" t="n"/>
      <c r="AH206" s="53" t="n"/>
      <c r="AI206" s="53" t="n"/>
      <c r="AJ206" s="53" t="n"/>
      <c r="AK206" s="53" t="n"/>
      <c r="AL206" s="53" t="n"/>
      <c r="AM206" s="53" t="n"/>
      <c r="AN206" s="53" t="n"/>
      <c r="AO206" s="53" t="n"/>
      <c r="AP206" s="53" t="n"/>
      <c r="AQ206" s="53" t="n"/>
      <c r="AR206" s="53" t="n"/>
      <c r="AS206" s="53" t="n"/>
      <c r="AT206" s="53" t="n"/>
      <c r="AU206" s="53" t="n"/>
      <c r="AV206" s="53" t="n"/>
      <c r="AW206" s="53" t="n"/>
      <c r="AX206" s="53" t="n"/>
      <c r="AY206" s="53" t="n"/>
    </row>
    <row r="207" ht="15" customHeight="1">
      <c r="A207" s="40">
        <f>IF($D$207="","",66)</f>
        <v/>
      </c>
      <c r="B207" s="10" t="n"/>
      <c r="C207" s="41" t="inlineStr">
        <is>
          <t>마케팅4팀</t>
        </is>
      </c>
      <c r="D207" s="42" t="n"/>
      <c r="E207" s="43" t="inlineStr">
        <is>
          <t>기획</t>
        </is>
      </c>
      <c r="F207" s="44" t="n"/>
      <c r="G207" s="45" t="n"/>
      <c r="H207" s="46">
        <f>IF($I$207="","",IF($I$207&lt;0,"🔴지연",IF($I$207&lt;=1,"🟡임박","🟢여유")))</f>
        <v/>
      </c>
      <c r="I207" s="47">
        <f>IF(OR($G$207="",$K$207=""),"",$G$207-$K$207)</f>
        <v/>
      </c>
      <c r="J207" s="48">
        <f>IF(SUM($L$207:$L$209)=0,"",SUM($L$207:$L$209))</f>
        <v/>
      </c>
      <c r="K207" s="49">
        <f>IF($J$207="","",MAX($N$207:$N$209))</f>
        <v/>
      </c>
      <c r="L207" s="50">
        <f>IF(SUM(U207:AY207)=0,"",SUM(U207:AY207))</f>
        <v/>
      </c>
      <c r="M207" s="51">
        <f>IFERROR(INDEX(U$2:AY$2,MATCH(TRUE,INDEX(U207:AY207&lt;&gt;"",0),0)),"")</f>
        <v/>
      </c>
      <c r="N207" s="51">
        <f>IFERROR(LOOKUP(2,1/(U207:AY207&lt;&gt;""),U$2:AY$2),"")</f>
        <v/>
      </c>
      <c r="O207" s="52" t="n"/>
      <c r="P207" s="52" t="n"/>
      <c r="Q207" s="52" t="n"/>
      <c r="R207" s="44" t="n"/>
      <c r="S207" s="14" t="n"/>
      <c r="U207" s="53" t="n"/>
      <c r="V207" s="53" t="n"/>
      <c r="W207" s="53" t="n"/>
      <c r="X207" s="53" t="n"/>
      <c r="Y207" s="53" t="n"/>
      <c r="Z207" s="53" t="n"/>
      <c r="AA207" s="53" t="n"/>
      <c r="AB207" s="53" t="n"/>
      <c r="AC207" s="53" t="n"/>
      <c r="AD207" s="53" t="n"/>
      <c r="AE207" s="53" t="n"/>
      <c r="AF207" s="53" t="n"/>
      <c r="AG207" s="53" t="n"/>
      <c r="AH207" s="53" t="n"/>
      <c r="AI207" s="53" t="n"/>
      <c r="AJ207" s="53" t="n"/>
      <c r="AK207" s="53" t="n"/>
      <c r="AL207" s="53" t="n"/>
      <c r="AM207" s="53" t="n"/>
      <c r="AN207" s="53" t="n"/>
      <c r="AO207" s="53" t="n"/>
      <c r="AP207" s="53" t="n"/>
      <c r="AQ207" s="53" t="n"/>
      <c r="AR207" s="53" t="n"/>
      <c r="AS207" s="53" t="n"/>
      <c r="AT207" s="53" t="n"/>
      <c r="AU207" s="53" t="n"/>
      <c r="AV207" s="53" t="n"/>
      <c r="AW207" s="53" t="n"/>
      <c r="AX207" s="53" t="n"/>
      <c r="AY207" s="53" t="n"/>
    </row>
    <row r="208" ht="15" customHeight="1">
      <c r="A208" s="54" t="n"/>
      <c r="B208" s="55">
        <f>IF($B$207="","",$B$207)</f>
        <v/>
      </c>
      <c r="C208" s="56" t="inlineStr">
        <is>
          <t>마케팅4팀</t>
        </is>
      </c>
      <c r="D208" s="55">
        <f>IF($D$207="","",$D$207)</f>
        <v/>
      </c>
      <c r="E208" s="57" t="inlineStr">
        <is>
          <t>이미지</t>
        </is>
      </c>
      <c r="F208" s="44" t="n"/>
      <c r="G208" s="58">
        <f>IF($G$207="","",$G$207)</f>
        <v/>
      </c>
      <c r="H208" s="59" t="n"/>
      <c r="I208" s="59" t="n"/>
      <c r="J208" s="59" t="n"/>
      <c r="K208" s="59" t="n"/>
      <c r="L208" s="60">
        <f>IF(SUM(U208:AY208)=0,"",SUM(U208:AY208))</f>
        <v/>
      </c>
      <c r="M208" s="61">
        <f>IFERROR(INDEX(U$2:AY$2,MATCH(TRUE,INDEX(U208:AY208&lt;&gt;"",0),0)),"")</f>
        <v/>
      </c>
      <c r="N208" s="61">
        <f>IFERROR(LOOKUP(2,1/(U208:AY208&lt;&gt;""),U$2:AY$2),"")</f>
        <v/>
      </c>
      <c r="O208" s="59" t="n"/>
      <c r="P208" s="59" t="n"/>
      <c r="Q208" s="59" t="n"/>
      <c r="R208" s="59" t="n"/>
      <c r="S208" s="14" t="n"/>
      <c r="U208" s="53" t="n"/>
      <c r="V208" s="53" t="n"/>
      <c r="W208" s="53" t="n"/>
      <c r="X208" s="53" t="n"/>
      <c r="Y208" s="53" t="n"/>
      <c r="Z208" s="53" t="n"/>
      <c r="AA208" s="53" t="n"/>
      <c r="AB208" s="53" t="n"/>
      <c r="AC208" s="53" t="n"/>
      <c r="AD208" s="53" t="n"/>
      <c r="AE208" s="53" t="n"/>
      <c r="AF208" s="53" t="n"/>
      <c r="AG208" s="53" t="n"/>
      <c r="AH208" s="53" t="n"/>
      <c r="AI208" s="53" t="n"/>
      <c r="AJ208" s="53" t="n"/>
      <c r="AK208" s="53" t="n"/>
      <c r="AL208" s="53" t="n"/>
      <c r="AM208" s="53" t="n"/>
      <c r="AN208" s="53" t="n"/>
      <c r="AO208" s="53" t="n"/>
      <c r="AP208" s="53" t="n"/>
      <c r="AQ208" s="53" t="n"/>
      <c r="AR208" s="53" t="n"/>
      <c r="AS208" s="53" t="n"/>
      <c r="AT208" s="53" t="n"/>
      <c r="AU208" s="53" t="n"/>
      <c r="AV208" s="53" t="n"/>
      <c r="AW208" s="53" t="n"/>
      <c r="AX208" s="53" t="n"/>
      <c r="AY208" s="53" t="n"/>
    </row>
    <row r="209" ht="15" customHeight="1">
      <c r="A209" s="62" t="n"/>
      <c r="B209" s="55">
        <f>IF($B$207="","",$B$207)</f>
        <v/>
      </c>
      <c r="C209" s="63" t="inlineStr">
        <is>
          <t>마케팅4팀</t>
        </is>
      </c>
      <c r="D209" s="55">
        <f>IF($D$207="","",$D$207)</f>
        <v/>
      </c>
      <c r="E209" s="64" t="inlineStr">
        <is>
          <t>영상</t>
        </is>
      </c>
      <c r="F209" s="44" t="n"/>
      <c r="G209" s="58">
        <f>IF($G$207="","",$G$207)</f>
        <v/>
      </c>
      <c r="H209" s="59" t="n"/>
      <c r="I209" s="59" t="n"/>
      <c r="J209" s="59" t="n"/>
      <c r="K209" s="59" t="n"/>
      <c r="L209" s="65">
        <f>IF(SUM(U209:AY209)=0,"",SUM(U209:AY209))</f>
        <v/>
      </c>
      <c r="M209" s="66">
        <f>IFERROR(INDEX(U$2:AY$2,MATCH(TRUE,INDEX(U209:AY209&lt;&gt;"",0),0)),"")</f>
        <v/>
      </c>
      <c r="N209" s="66">
        <f>IFERROR(LOOKUP(2,1/(U209:AY209&lt;&gt;""),U$2:AY$2),"")</f>
        <v/>
      </c>
      <c r="O209" s="59" t="n"/>
      <c r="P209" s="59" t="n"/>
      <c r="Q209" s="59" t="n"/>
      <c r="R209" s="59" t="n"/>
      <c r="S209" s="14" t="n"/>
      <c r="U209" s="53" t="n"/>
      <c r="V209" s="53" t="n"/>
      <c r="W209" s="53" t="n"/>
      <c r="X209" s="53" t="n"/>
      <c r="Y209" s="53" t="n"/>
      <c r="Z209" s="53" t="n"/>
      <c r="AA209" s="53" t="n"/>
      <c r="AB209" s="53" t="n"/>
      <c r="AC209" s="53" t="n"/>
      <c r="AD209" s="53" t="n"/>
      <c r="AE209" s="53" t="n"/>
      <c r="AF209" s="53" t="n"/>
      <c r="AG209" s="53" t="n"/>
      <c r="AH209" s="53" t="n"/>
      <c r="AI209" s="53" t="n"/>
      <c r="AJ209" s="53" t="n"/>
      <c r="AK209" s="53" t="n"/>
      <c r="AL209" s="53" t="n"/>
      <c r="AM209" s="53" t="n"/>
      <c r="AN209" s="53" t="n"/>
      <c r="AO209" s="53" t="n"/>
      <c r="AP209" s="53" t="n"/>
      <c r="AQ209" s="53" t="n"/>
      <c r="AR209" s="53" t="n"/>
      <c r="AS209" s="53" t="n"/>
      <c r="AT209" s="53" t="n"/>
      <c r="AU209" s="53" t="n"/>
      <c r="AV209" s="53" t="n"/>
      <c r="AW209" s="53" t="n"/>
      <c r="AX209" s="53" t="n"/>
      <c r="AY209" s="53" t="n"/>
    </row>
    <row r="210" ht="15" customHeight="1">
      <c r="A210" s="40">
        <f>IF($D$210="","",67)</f>
        <v/>
      </c>
      <c r="B210" s="10" t="n"/>
      <c r="C210" s="41" t="inlineStr">
        <is>
          <t>마케팅4팀</t>
        </is>
      </c>
      <c r="D210" s="42" t="n"/>
      <c r="E210" s="43" t="inlineStr">
        <is>
          <t>기획</t>
        </is>
      </c>
      <c r="F210" s="44" t="n"/>
      <c r="G210" s="45" t="n"/>
      <c r="H210" s="46">
        <f>IF($I$210="","",IF($I$210&lt;0,"🔴지연",IF($I$210&lt;=1,"🟡임박","🟢여유")))</f>
        <v/>
      </c>
      <c r="I210" s="47">
        <f>IF(OR($G$210="",$K$210=""),"",$G$210-$K$210)</f>
        <v/>
      </c>
      <c r="J210" s="48">
        <f>IF(SUM($L$210:$L$212)=0,"",SUM($L$210:$L$212))</f>
        <v/>
      </c>
      <c r="K210" s="49">
        <f>IF($J$210="","",MAX($N$210:$N$212))</f>
        <v/>
      </c>
      <c r="L210" s="50">
        <f>IF(SUM(U210:AY210)=0,"",SUM(U210:AY210))</f>
        <v/>
      </c>
      <c r="M210" s="51">
        <f>IFERROR(INDEX(U$2:AY$2,MATCH(TRUE,INDEX(U210:AY210&lt;&gt;"",0),0)),"")</f>
        <v/>
      </c>
      <c r="N210" s="51">
        <f>IFERROR(LOOKUP(2,1/(U210:AY210&lt;&gt;""),U$2:AY$2),"")</f>
        <v/>
      </c>
      <c r="O210" s="52" t="n"/>
      <c r="P210" s="52" t="n"/>
      <c r="Q210" s="52" t="n"/>
      <c r="R210" s="44" t="n"/>
      <c r="S210" s="14" t="n"/>
      <c r="U210" s="53" t="n"/>
      <c r="V210" s="53" t="n"/>
      <c r="W210" s="53" t="n"/>
      <c r="X210" s="53" t="n"/>
      <c r="Y210" s="53" t="n"/>
      <c r="Z210" s="53" t="n"/>
      <c r="AA210" s="53" t="n"/>
      <c r="AB210" s="53" t="n"/>
      <c r="AC210" s="53" t="n"/>
      <c r="AD210" s="53" t="n"/>
      <c r="AE210" s="53" t="n"/>
      <c r="AF210" s="53" t="n"/>
      <c r="AG210" s="53" t="n"/>
      <c r="AH210" s="53" t="n"/>
      <c r="AI210" s="53" t="n"/>
      <c r="AJ210" s="53" t="n"/>
      <c r="AK210" s="53" t="n"/>
      <c r="AL210" s="53" t="n"/>
      <c r="AM210" s="53" t="n"/>
      <c r="AN210" s="53" t="n"/>
      <c r="AO210" s="53" t="n"/>
      <c r="AP210" s="53" t="n"/>
      <c r="AQ210" s="53" t="n"/>
      <c r="AR210" s="53" t="n"/>
      <c r="AS210" s="53" t="n"/>
      <c r="AT210" s="53" t="n"/>
      <c r="AU210" s="53" t="n"/>
      <c r="AV210" s="53" t="n"/>
      <c r="AW210" s="53" t="n"/>
      <c r="AX210" s="53" t="n"/>
      <c r="AY210" s="53" t="n"/>
    </row>
    <row r="211" ht="15" customHeight="1">
      <c r="A211" s="54" t="n"/>
      <c r="B211" s="55">
        <f>IF($B$210="","",$B$210)</f>
        <v/>
      </c>
      <c r="C211" s="56" t="inlineStr">
        <is>
          <t>마케팅4팀</t>
        </is>
      </c>
      <c r="D211" s="55">
        <f>IF($D$210="","",$D$210)</f>
        <v/>
      </c>
      <c r="E211" s="57" t="inlineStr">
        <is>
          <t>이미지</t>
        </is>
      </c>
      <c r="F211" s="44" t="n"/>
      <c r="G211" s="58">
        <f>IF($G$210="","",$G$210)</f>
        <v/>
      </c>
      <c r="H211" s="59" t="n"/>
      <c r="I211" s="59" t="n"/>
      <c r="J211" s="59" t="n"/>
      <c r="K211" s="59" t="n"/>
      <c r="L211" s="60">
        <f>IF(SUM(U211:AY211)=0,"",SUM(U211:AY211))</f>
        <v/>
      </c>
      <c r="M211" s="61">
        <f>IFERROR(INDEX(U$2:AY$2,MATCH(TRUE,INDEX(U211:AY211&lt;&gt;"",0),0)),"")</f>
        <v/>
      </c>
      <c r="N211" s="61">
        <f>IFERROR(LOOKUP(2,1/(U211:AY211&lt;&gt;""),U$2:AY$2),"")</f>
        <v/>
      </c>
      <c r="O211" s="59" t="n"/>
      <c r="P211" s="59" t="n"/>
      <c r="Q211" s="59" t="n"/>
      <c r="R211" s="59" t="n"/>
      <c r="S211" s="14" t="n"/>
      <c r="U211" s="53" t="n"/>
      <c r="V211" s="53" t="n"/>
      <c r="W211" s="53" t="n"/>
      <c r="X211" s="53" t="n"/>
      <c r="Y211" s="53" t="n"/>
      <c r="Z211" s="53" t="n"/>
      <c r="AA211" s="53" t="n"/>
      <c r="AB211" s="53" t="n"/>
      <c r="AC211" s="53" t="n"/>
      <c r="AD211" s="53" t="n"/>
      <c r="AE211" s="53" t="n"/>
      <c r="AF211" s="53" t="n"/>
      <c r="AG211" s="53" t="n"/>
      <c r="AH211" s="53" t="n"/>
      <c r="AI211" s="53" t="n"/>
      <c r="AJ211" s="53" t="n"/>
      <c r="AK211" s="53" t="n"/>
      <c r="AL211" s="53" t="n"/>
      <c r="AM211" s="53" t="n"/>
      <c r="AN211" s="53" t="n"/>
      <c r="AO211" s="53" t="n"/>
      <c r="AP211" s="53" t="n"/>
      <c r="AQ211" s="53" t="n"/>
      <c r="AR211" s="53" t="n"/>
      <c r="AS211" s="53" t="n"/>
      <c r="AT211" s="53" t="n"/>
      <c r="AU211" s="53" t="n"/>
      <c r="AV211" s="53" t="n"/>
      <c r="AW211" s="53" t="n"/>
      <c r="AX211" s="53" t="n"/>
      <c r="AY211" s="53" t="n"/>
    </row>
    <row r="212" ht="15" customHeight="1">
      <c r="A212" s="62" t="n"/>
      <c r="B212" s="55">
        <f>IF($B$210="","",$B$210)</f>
        <v/>
      </c>
      <c r="C212" s="63" t="inlineStr">
        <is>
          <t>마케팅4팀</t>
        </is>
      </c>
      <c r="D212" s="55">
        <f>IF($D$210="","",$D$210)</f>
        <v/>
      </c>
      <c r="E212" s="64" t="inlineStr">
        <is>
          <t>영상</t>
        </is>
      </c>
      <c r="F212" s="44" t="n"/>
      <c r="G212" s="58">
        <f>IF($G$210="","",$G$210)</f>
        <v/>
      </c>
      <c r="H212" s="59" t="n"/>
      <c r="I212" s="59" t="n"/>
      <c r="J212" s="59" t="n"/>
      <c r="K212" s="59" t="n"/>
      <c r="L212" s="65">
        <f>IF(SUM(U212:AY212)=0,"",SUM(U212:AY212))</f>
        <v/>
      </c>
      <c r="M212" s="66">
        <f>IFERROR(INDEX(U$2:AY$2,MATCH(TRUE,INDEX(U212:AY212&lt;&gt;"",0),0)),"")</f>
        <v/>
      </c>
      <c r="N212" s="66">
        <f>IFERROR(LOOKUP(2,1/(U212:AY212&lt;&gt;""),U$2:AY$2),"")</f>
        <v/>
      </c>
      <c r="O212" s="59" t="n"/>
      <c r="P212" s="59" t="n"/>
      <c r="Q212" s="59" t="n"/>
      <c r="R212" s="59" t="n"/>
      <c r="S212" s="14" t="n"/>
      <c r="U212" s="53" t="n"/>
      <c r="V212" s="53" t="n"/>
      <c r="W212" s="53" t="n"/>
      <c r="X212" s="53" t="n"/>
      <c r="Y212" s="53" t="n"/>
      <c r="Z212" s="53" t="n"/>
      <c r="AA212" s="53" t="n"/>
      <c r="AB212" s="53" t="n"/>
      <c r="AC212" s="53" t="n"/>
      <c r="AD212" s="53" t="n"/>
      <c r="AE212" s="53" t="n"/>
      <c r="AF212" s="53" t="n"/>
      <c r="AG212" s="53" t="n"/>
      <c r="AH212" s="53" t="n"/>
      <c r="AI212" s="53" t="n"/>
      <c r="AJ212" s="53" t="n"/>
      <c r="AK212" s="53" t="n"/>
      <c r="AL212" s="53" t="n"/>
      <c r="AM212" s="53" t="n"/>
      <c r="AN212" s="53" t="n"/>
      <c r="AO212" s="53" t="n"/>
      <c r="AP212" s="53" t="n"/>
      <c r="AQ212" s="53" t="n"/>
      <c r="AR212" s="53" t="n"/>
      <c r="AS212" s="53" t="n"/>
      <c r="AT212" s="53" t="n"/>
      <c r="AU212" s="53" t="n"/>
      <c r="AV212" s="53" t="n"/>
      <c r="AW212" s="53" t="n"/>
      <c r="AX212" s="53" t="n"/>
      <c r="AY212" s="53" t="n"/>
    </row>
    <row r="213" ht="15" customHeight="1">
      <c r="A213" s="40">
        <f>IF($D$213="","",68)</f>
        <v/>
      </c>
      <c r="B213" s="10" t="n"/>
      <c r="C213" s="41" t="inlineStr">
        <is>
          <t>마케팅4팀</t>
        </is>
      </c>
      <c r="D213" s="42" t="n"/>
      <c r="E213" s="43" t="inlineStr">
        <is>
          <t>기획</t>
        </is>
      </c>
      <c r="F213" s="44" t="n"/>
      <c r="G213" s="45" t="n"/>
      <c r="H213" s="46">
        <f>IF($I$213="","",IF($I$213&lt;0,"🔴지연",IF($I$213&lt;=1,"🟡임박","🟢여유")))</f>
        <v/>
      </c>
      <c r="I213" s="47">
        <f>IF(OR($G$213="",$K$213=""),"",$G$213-$K$213)</f>
        <v/>
      </c>
      <c r="J213" s="48">
        <f>IF(SUM($L$213:$L$215)=0,"",SUM($L$213:$L$215))</f>
        <v/>
      </c>
      <c r="K213" s="49">
        <f>IF($J$213="","",MAX($N$213:$N$215))</f>
        <v/>
      </c>
      <c r="L213" s="50">
        <f>IF(SUM(U213:AY213)=0,"",SUM(U213:AY213))</f>
        <v/>
      </c>
      <c r="M213" s="51">
        <f>IFERROR(INDEX(U$2:AY$2,MATCH(TRUE,INDEX(U213:AY213&lt;&gt;"",0),0)),"")</f>
        <v/>
      </c>
      <c r="N213" s="51">
        <f>IFERROR(LOOKUP(2,1/(U213:AY213&lt;&gt;""),U$2:AY$2),"")</f>
        <v/>
      </c>
      <c r="O213" s="52" t="n"/>
      <c r="P213" s="52" t="n"/>
      <c r="Q213" s="52" t="n"/>
      <c r="R213" s="44" t="n"/>
      <c r="S213" s="14" t="n"/>
      <c r="U213" s="53" t="n"/>
      <c r="V213" s="53" t="n"/>
      <c r="W213" s="53" t="n"/>
      <c r="X213" s="53" t="n"/>
      <c r="Y213" s="53" t="n"/>
      <c r="Z213" s="53" t="n"/>
      <c r="AA213" s="53" t="n"/>
      <c r="AB213" s="53" t="n"/>
      <c r="AC213" s="53" t="n"/>
      <c r="AD213" s="53" t="n"/>
      <c r="AE213" s="53" t="n"/>
      <c r="AF213" s="53" t="n"/>
      <c r="AG213" s="53" t="n"/>
      <c r="AH213" s="53" t="n"/>
      <c r="AI213" s="53" t="n"/>
      <c r="AJ213" s="53" t="n"/>
      <c r="AK213" s="53" t="n"/>
      <c r="AL213" s="53" t="n"/>
      <c r="AM213" s="53" t="n"/>
      <c r="AN213" s="53" t="n"/>
      <c r="AO213" s="53" t="n"/>
      <c r="AP213" s="53" t="n"/>
      <c r="AQ213" s="53" t="n"/>
      <c r="AR213" s="53" t="n"/>
      <c r="AS213" s="53" t="n"/>
      <c r="AT213" s="53" t="n"/>
      <c r="AU213" s="53" t="n"/>
      <c r="AV213" s="53" t="n"/>
      <c r="AW213" s="53" t="n"/>
      <c r="AX213" s="53" t="n"/>
      <c r="AY213" s="53" t="n"/>
    </row>
    <row r="214" ht="15" customHeight="1">
      <c r="A214" s="54" t="n"/>
      <c r="B214" s="55">
        <f>IF($B$213="","",$B$213)</f>
        <v/>
      </c>
      <c r="C214" s="56" t="inlineStr">
        <is>
          <t>마케팅4팀</t>
        </is>
      </c>
      <c r="D214" s="55">
        <f>IF($D$213="","",$D$213)</f>
        <v/>
      </c>
      <c r="E214" s="57" t="inlineStr">
        <is>
          <t>이미지</t>
        </is>
      </c>
      <c r="F214" s="44" t="n"/>
      <c r="G214" s="58">
        <f>IF($G$213="","",$G$213)</f>
        <v/>
      </c>
      <c r="H214" s="59" t="n"/>
      <c r="I214" s="59" t="n"/>
      <c r="J214" s="59" t="n"/>
      <c r="K214" s="59" t="n"/>
      <c r="L214" s="60">
        <f>IF(SUM(U214:AY214)=0,"",SUM(U214:AY214))</f>
        <v/>
      </c>
      <c r="M214" s="61">
        <f>IFERROR(INDEX(U$2:AY$2,MATCH(TRUE,INDEX(U214:AY214&lt;&gt;"",0),0)),"")</f>
        <v/>
      </c>
      <c r="N214" s="61">
        <f>IFERROR(LOOKUP(2,1/(U214:AY214&lt;&gt;""),U$2:AY$2),"")</f>
        <v/>
      </c>
      <c r="O214" s="59" t="n"/>
      <c r="P214" s="59" t="n"/>
      <c r="Q214" s="59" t="n"/>
      <c r="R214" s="59" t="n"/>
      <c r="S214" s="14" t="n"/>
      <c r="U214" s="53" t="n"/>
      <c r="V214" s="53" t="n"/>
      <c r="W214" s="53" t="n"/>
      <c r="X214" s="53" t="n"/>
      <c r="Y214" s="53" t="n"/>
      <c r="Z214" s="53" t="n"/>
      <c r="AA214" s="53" t="n"/>
      <c r="AB214" s="53" t="n"/>
      <c r="AC214" s="53" t="n"/>
      <c r="AD214" s="53" t="n"/>
      <c r="AE214" s="53" t="n"/>
      <c r="AF214" s="53" t="n"/>
      <c r="AG214" s="53" t="n"/>
      <c r="AH214" s="53" t="n"/>
      <c r="AI214" s="53" t="n"/>
      <c r="AJ214" s="53" t="n"/>
      <c r="AK214" s="53" t="n"/>
      <c r="AL214" s="53" t="n"/>
      <c r="AM214" s="53" t="n"/>
      <c r="AN214" s="53" t="n"/>
      <c r="AO214" s="53" t="n"/>
      <c r="AP214" s="53" t="n"/>
      <c r="AQ214" s="53" t="n"/>
      <c r="AR214" s="53" t="n"/>
      <c r="AS214" s="53" t="n"/>
      <c r="AT214" s="53" t="n"/>
      <c r="AU214" s="53" t="n"/>
      <c r="AV214" s="53" t="n"/>
      <c r="AW214" s="53" t="n"/>
      <c r="AX214" s="53" t="n"/>
      <c r="AY214" s="53" t="n"/>
    </row>
    <row r="215" ht="15" customHeight="1">
      <c r="A215" s="62" t="n"/>
      <c r="B215" s="55">
        <f>IF($B$213="","",$B$213)</f>
        <v/>
      </c>
      <c r="C215" s="63" t="inlineStr">
        <is>
          <t>마케팅4팀</t>
        </is>
      </c>
      <c r="D215" s="55">
        <f>IF($D$213="","",$D$213)</f>
        <v/>
      </c>
      <c r="E215" s="64" t="inlineStr">
        <is>
          <t>영상</t>
        </is>
      </c>
      <c r="F215" s="44" t="n"/>
      <c r="G215" s="58">
        <f>IF($G$213="","",$G$213)</f>
        <v/>
      </c>
      <c r="H215" s="59" t="n"/>
      <c r="I215" s="59" t="n"/>
      <c r="J215" s="59" t="n"/>
      <c r="K215" s="59" t="n"/>
      <c r="L215" s="65">
        <f>IF(SUM(U215:AY215)=0,"",SUM(U215:AY215))</f>
        <v/>
      </c>
      <c r="M215" s="66">
        <f>IFERROR(INDEX(U$2:AY$2,MATCH(TRUE,INDEX(U215:AY215&lt;&gt;"",0),0)),"")</f>
        <v/>
      </c>
      <c r="N215" s="66">
        <f>IFERROR(LOOKUP(2,1/(U215:AY215&lt;&gt;""),U$2:AY$2),"")</f>
        <v/>
      </c>
      <c r="O215" s="59" t="n"/>
      <c r="P215" s="59" t="n"/>
      <c r="Q215" s="59" t="n"/>
      <c r="R215" s="59" t="n"/>
      <c r="S215" s="14" t="n"/>
      <c r="U215" s="53" t="n"/>
      <c r="V215" s="53" t="n"/>
      <c r="W215" s="53" t="n"/>
      <c r="X215" s="53" t="n"/>
      <c r="Y215" s="53" t="n"/>
      <c r="Z215" s="53" t="n"/>
      <c r="AA215" s="53" t="n"/>
      <c r="AB215" s="53" t="n"/>
      <c r="AC215" s="53" t="n"/>
      <c r="AD215" s="53" t="n"/>
      <c r="AE215" s="53" t="n"/>
      <c r="AF215" s="53" t="n"/>
      <c r="AG215" s="53" t="n"/>
      <c r="AH215" s="53" t="n"/>
      <c r="AI215" s="53" t="n"/>
      <c r="AJ215" s="53" t="n"/>
      <c r="AK215" s="53" t="n"/>
      <c r="AL215" s="53" t="n"/>
      <c r="AM215" s="53" t="n"/>
      <c r="AN215" s="53" t="n"/>
      <c r="AO215" s="53" t="n"/>
      <c r="AP215" s="53" t="n"/>
      <c r="AQ215" s="53" t="n"/>
      <c r="AR215" s="53" t="n"/>
      <c r="AS215" s="53" t="n"/>
      <c r="AT215" s="53" t="n"/>
      <c r="AU215" s="53" t="n"/>
      <c r="AV215" s="53" t="n"/>
      <c r="AW215" s="53" t="n"/>
      <c r="AX215" s="53" t="n"/>
      <c r="AY215" s="53" t="n"/>
    </row>
    <row r="216" ht="15" customHeight="1">
      <c r="A216" s="40">
        <f>IF($D$216="","",69)</f>
        <v/>
      </c>
      <c r="B216" s="10" t="n"/>
      <c r="C216" s="41" t="inlineStr">
        <is>
          <t>마케팅4팀</t>
        </is>
      </c>
      <c r="D216" s="42" t="n"/>
      <c r="E216" s="43" t="inlineStr">
        <is>
          <t>기획</t>
        </is>
      </c>
      <c r="F216" s="44" t="n"/>
      <c r="G216" s="45" t="n"/>
      <c r="H216" s="46">
        <f>IF($I$216="","",IF($I$216&lt;0,"🔴지연",IF($I$216&lt;=1,"🟡임박","🟢여유")))</f>
        <v/>
      </c>
      <c r="I216" s="47">
        <f>IF(OR($G$216="",$K$216=""),"",$G$216-$K$216)</f>
        <v/>
      </c>
      <c r="J216" s="48">
        <f>IF(SUM($L$216:$L$218)=0,"",SUM($L$216:$L$218))</f>
        <v/>
      </c>
      <c r="K216" s="49">
        <f>IF($J$216="","",MAX($N$216:$N$218))</f>
        <v/>
      </c>
      <c r="L216" s="50">
        <f>IF(SUM(U216:AY216)=0,"",SUM(U216:AY216))</f>
        <v/>
      </c>
      <c r="M216" s="51">
        <f>IFERROR(INDEX(U$2:AY$2,MATCH(TRUE,INDEX(U216:AY216&lt;&gt;"",0),0)),"")</f>
        <v/>
      </c>
      <c r="N216" s="51">
        <f>IFERROR(LOOKUP(2,1/(U216:AY216&lt;&gt;""),U$2:AY$2),"")</f>
        <v/>
      </c>
      <c r="O216" s="52" t="n"/>
      <c r="P216" s="52" t="n"/>
      <c r="Q216" s="52" t="n"/>
      <c r="R216" s="44" t="n"/>
      <c r="S216" s="14" t="n"/>
      <c r="U216" s="53" t="n"/>
      <c r="V216" s="53" t="n"/>
      <c r="W216" s="53" t="n"/>
      <c r="X216" s="53" t="n"/>
      <c r="Y216" s="53" t="n"/>
      <c r="Z216" s="53" t="n"/>
      <c r="AA216" s="53" t="n"/>
      <c r="AB216" s="53" t="n"/>
      <c r="AC216" s="53" t="n"/>
      <c r="AD216" s="53" t="n"/>
      <c r="AE216" s="53" t="n"/>
      <c r="AF216" s="53" t="n"/>
      <c r="AG216" s="53" t="n"/>
      <c r="AH216" s="53" t="n"/>
      <c r="AI216" s="53" t="n"/>
      <c r="AJ216" s="53" t="n"/>
      <c r="AK216" s="53" t="n"/>
      <c r="AL216" s="53" t="n"/>
      <c r="AM216" s="53" t="n"/>
      <c r="AN216" s="53" t="n"/>
      <c r="AO216" s="53" t="n"/>
      <c r="AP216" s="53" t="n"/>
      <c r="AQ216" s="53" t="n"/>
      <c r="AR216" s="53" t="n"/>
      <c r="AS216" s="53" t="n"/>
      <c r="AT216" s="53" t="n"/>
      <c r="AU216" s="53" t="n"/>
      <c r="AV216" s="53" t="n"/>
      <c r="AW216" s="53" t="n"/>
      <c r="AX216" s="53" t="n"/>
      <c r="AY216" s="53" t="n"/>
    </row>
    <row r="217" ht="15" customHeight="1">
      <c r="A217" s="54" t="n"/>
      <c r="B217" s="55">
        <f>IF($B$216="","",$B$216)</f>
        <v/>
      </c>
      <c r="C217" s="56" t="inlineStr">
        <is>
          <t>마케팅4팀</t>
        </is>
      </c>
      <c r="D217" s="55">
        <f>IF($D$216="","",$D$216)</f>
        <v/>
      </c>
      <c r="E217" s="57" t="inlineStr">
        <is>
          <t>이미지</t>
        </is>
      </c>
      <c r="F217" s="44" t="n"/>
      <c r="G217" s="58">
        <f>IF($G$216="","",$G$216)</f>
        <v/>
      </c>
      <c r="H217" s="59" t="n"/>
      <c r="I217" s="59" t="n"/>
      <c r="J217" s="59" t="n"/>
      <c r="K217" s="59" t="n"/>
      <c r="L217" s="60">
        <f>IF(SUM(U217:AY217)=0,"",SUM(U217:AY217))</f>
        <v/>
      </c>
      <c r="M217" s="61">
        <f>IFERROR(INDEX(U$2:AY$2,MATCH(TRUE,INDEX(U217:AY217&lt;&gt;"",0),0)),"")</f>
        <v/>
      </c>
      <c r="N217" s="61">
        <f>IFERROR(LOOKUP(2,1/(U217:AY217&lt;&gt;""),U$2:AY$2),"")</f>
        <v/>
      </c>
      <c r="O217" s="59" t="n"/>
      <c r="P217" s="59" t="n"/>
      <c r="Q217" s="59" t="n"/>
      <c r="R217" s="59" t="n"/>
      <c r="S217" s="14" t="n"/>
      <c r="U217" s="53" t="n"/>
      <c r="V217" s="53" t="n"/>
      <c r="W217" s="53" t="n"/>
      <c r="X217" s="53" t="n"/>
      <c r="Y217" s="53" t="n"/>
      <c r="Z217" s="53" t="n"/>
      <c r="AA217" s="53" t="n"/>
      <c r="AB217" s="53" t="n"/>
      <c r="AC217" s="53" t="n"/>
      <c r="AD217" s="53" t="n"/>
      <c r="AE217" s="53" t="n"/>
      <c r="AF217" s="53" t="n"/>
      <c r="AG217" s="53" t="n"/>
      <c r="AH217" s="53" t="n"/>
      <c r="AI217" s="53" t="n"/>
      <c r="AJ217" s="53" t="n"/>
      <c r="AK217" s="53" t="n"/>
      <c r="AL217" s="53" t="n"/>
      <c r="AM217" s="53" t="n"/>
      <c r="AN217" s="53" t="n"/>
      <c r="AO217" s="53" t="n"/>
      <c r="AP217" s="53" t="n"/>
      <c r="AQ217" s="53" t="n"/>
      <c r="AR217" s="53" t="n"/>
      <c r="AS217" s="53" t="n"/>
      <c r="AT217" s="53" t="n"/>
      <c r="AU217" s="53" t="n"/>
      <c r="AV217" s="53" t="n"/>
      <c r="AW217" s="53" t="n"/>
      <c r="AX217" s="53" t="n"/>
      <c r="AY217" s="53" t="n"/>
    </row>
    <row r="218" ht="15" customHeight="1">
      <c r="A218" s="62" t="n"/>
      <c r="B218" s="55">
        <f>IF($B$216="","",$B$216)</f>
        <v/>
      </c>
      <c r="C218" s="63" t="inlineStr">
        <is>
          <t>마케팅4팀</t>
        </is>
      </c>
      <c r="D218" s="55">
        <f>IF($D$216="","",$D$216)</f>
        <v/>
      </c>
      <c r="E218" s="64" t="inlineStr">
        <is>
          <t>영상</t>
        </is>
      </c>
      <c r="F218" s="44" t="n"/>
      <c r="G218" s="58">
        <f>IF($G$216="","",$G$216)</f>
        <v/>
      </c>
      <c r="H218" s="59" t="n"/>
      <c r="I218" s="59" t="n"/>
      <c r="J218" s="59" t="n"/>
      <c r="K218" s="59" t="n"/>
      <c r="L218" s="65">
        <f>IF(SUM(U218:AY218)=0,"",SUM(U218:AY218))</f>
        <v/>
      </c>
      <c r="M218" s="66">
        <f>IFERROR(INDEX(U$2:AY$2,MATCH(TRUE,INDEX(U218:AY218&lt;&gt;"",0),0)),"")</f>
        <v/>
      </c>
      <c r="N218" s="66">
        <f>IFERROR(LOOKUP(2,1/(U218:AY218&lt;&gt;""),U$2:AY$2),"")</f>
        <v/>
      </c>
      <c r="O218" s="59" t="n"/>
      <c r="P218" s="59" t="n"/>
      <c r="Q218" s="59" t="n"/>
      <c r="R218" s="59" t="n"/>
      <c r="S218" s="14" t="n"/>
      <c r="U218" s="53" t="n"/>
      <c r="V218" s="53" t="n"/>
      <c r="W218" s="53" t="n"/>
      <c r="X218" s="53" t="n"/>
      <c r="Y218" s="53" t="n"/>
      <c r="Z218" s="53" t="n"/>
      <c r="AA218" s="53" t="n"/>
      <c r="AB218" s="53" t="n"/>
      <c r="AC218" s="53" t="n"/>
      <c r="AD218" s="53" t="n"/>
      <c r="AE218" s="53" t="n"/>
      <c r="AF218" s="53" t="n"/>
      <c r="AG218" s="53" t="n"/>
      <c r="AH218" s="53" t="n"/>
      <c r="AI218" s="53" t="n"/>
      <c r="AJ218" s="53" t="n"/>
      <c r="AK218" s="53" t="n"/>
      <c r="AL218" s="53" t="n"/>
      <c r="AM218" s="53" t="n"/>
      <c r="AN218" s="53" t="n"/>
      <c r="AO218" s="53" t="n"/>
      <c r="AP218" s="53" t="n"/>
      <c r="AQ218" s="53" t="n"/>
      <c r="AR218" s="53" t="n"/>
      <c r="AS218" s="53" t="n"/>
      <c r="AT218" s="53" t="n"/>
      <c r="AU218" s="53" t="n"/>
      <c r="AV218" s="53" t="n"/>
      <c r="AW218" s="53" t="n"/>
      <c r="AX218" s="53" t="n"/>
      <c r="AY218" s="53" t="n"/>
    </row>
    <row r="219" ht="15" customHeight="1">
      <c r="A219" s="40">
        <f>IF($D$219="","",70)</f>
        <v/>
      </c>
      <c r="B219" s="10" t="n"/>
      <c r="C219" s="41" t="inlineStr">
        <is>
          <t>마케팅4팀</t>
        </is>
      </c>
      <c r="D219" s="42" t="n"/>
      <c r="E219" s="43" t="inlineStr">
        <is>
          <t>기획</t>
        </is>
      </c>
      <c r="F219" s="44" t="n"/>
      <c r="G219" s="45" t="n"/>
      <c r="H219" s="46">
        <f>IF($I$219="","",IF($I$219&lt;0,"🔴지연",IF($I$219&lt;=1,"🟡임박","🟢여유")))</f>
        <v/>
      </c>
      <c r="I219" s="47">
        <f>IF(OR($G$219="",$K$219=""),"",$G$219-$K$219)</f>
        <v/>
      </c>
      <c r="J219" s="48">
        <f>IF(SUM($L$219:$L$221)=0,"",SUM($L$219:$L$221))</f>
        <v/>
      </c>
      <c r="K219" s="49">
        <f>IF($J$219="","",MAX($N$219:$N$221))</f>
        <v/>
      </c>
      <c r="L219" s="50">
        <f>IF(SUM(U219:AY219)=0,"",SUM(U219:AY219))</f>
        <v/>
      </c>
      <c r="M219" s="51">
        <f>IFERROR(INDEX(U$2:AY$2,MATCH(TRUE,INDEX(U219:AY219&lt;&gt;"",0),0)),"")</f>
        <v/>
      </c>
      <c r="N219" s="51">
        <f>IFERROR(LOOKUP(2,1/(U219:AY219&lt;&gt;""),U$2:AY$2),"")</f>
        <v/>
      </c>
      <c r="O219" s="52" t="n"/>
      <c r="P219" s="52" t="n"/>
      <c r="Q219" s="52" t="n"/>
      <c r="R219" s="44" t="n"/>
      <c r="S219" s="14" t="n"/>
      <c r="U219" s="53" t="n"/>
      <c r="V219" s="53" t="n"/>
      <c r="W219" s="53" t="n"/>
      <c r="X219" s="53" t="n"/>
      <c r="Y219" s="53" t="n"/>
      <c r="Z219" s="53" t="n"/>
      <c r="AA219" s="53" t="n"/>
      <c r="AB219" s="53" t="n"/>
      <c r="AC219" s="53" t="n"/>
      <c r="AD219" s="53" t="n"/>
      <c r="AE219" s="53" t="n"/>
      <c r="AF219" s="53" t="n"/>
      <c r="AG219" s="53" t="n"/>
      <c r="AH219" s="53" t="n"/>
      <c r="AI219" s="53" t="n"/>
      <c r="AJ219" s="53" t="n"/>
      <c r="AK219" s="53" t="n"/>
      <c r="AL219" s="53" t="n"/>
      <c r="AM219" s="53" t="n"/>
      <c r="AN219" s="53" t="n"/>
      <c r="AO219" s="53" t="n"/>
      <c r="AP219" s="53" t="n"/>
      <c r="AQ219" s="53" t="n"/>
      <c r="AR219" s="53" t="n"/>
      <c r="AS219" s="53" t="n"/>
      <c r="AT219" s="53" t="n"/>
      <c r="AU219" s="53" t="n"/>
      <c r="AV219" s="53" t="n"/>
      <c r="AW219" s="53" t="n"/>
      <c r="AX219" s="53" t="n"/>
      <c r="AY219" s="53" t="n"/>
    </row>
    <row r="220" ht="15" customHeight="1">
      <c r="A220" s="54" t="n"/>
      <c r="B220" s="55">
        <f>IF($B$219="","",$B$219)</f>
        <v/>
      </c>
      <c r="C220" s="56" t="inlineStr">
        <is>
          <t>마케팅4팀</t>
        </is>
      </c>
      <c r="D220" s="55">
        <f>IF($D$219="","",$D$219)</f>
        <v/>
      </c>
      <c r="E220" s="57" t="inlineStr">
        <is>
          <t>이미지</t>
        </is>
      </c>
      <c r="F220" s="44" t="n"/>
      <c r="G220" s="58">
        <f>IF($G$219="","",$G$219)</f>
        <v/>
      </c>
      <c r="H220" s="59" t="n"/>
      <c r="I220" s="59" t="n"/>
      <c r="J220" s="59" t="n"/>
      <c r="K220" s="59" t="n"/>
      <c r="L220" s="60">
        <f>IF(SUM(U220:AY220)=0,"",SUM(U220:AY220))</f>
        <v/>
      </c>
      <c r="M220" s="61">
        <f>IFERROR(INDEX(U$2:AY$2,MATCH(TRUE,INDEX(U220:AY220&lt;&gt;"",0),0)),"")</f>
        <v/>
      </c>
      <c r="N220" s="61">
        <f>IFERROR(LOOKUP(2,1/(U220:AY220&lt;&gt;""),U$2:AY$2),"")</f>
        <v/>
      </c>
      <c r="O220" s="59" t="n"/>
      <c r="P220" s="59" t="n"/>
      <c r="Q220" s="59" t="n"/>
      <c r="R220" s="59" t="n"/>
      <c r="S220" s="14" t="n"/>
      <c r="U220" s="53" t="n"/>
      <c r="V220" s="53" t="n"/>
      <c r="W220" s="53" t="n"/>
      <c r="X220" s="53" t="n"/>
      <c r="Y220" s="53" t="n"/>
      <c r="Z220" s="53" t="n"/>
      <c r="AA220" s="53" t="n"/>
      <c r="AB220" s="53" t="n"/>
      <c r="AC220" s="53" t="n"/>
      <c r="AD220" s="53" t="n"/>
      <c r="AE220" s="53" t="n"/>
      <c r="AF220" s="53" t="n"/>
      <c r="AG220" s="53" t="n"/>
      <c r="AH220" s="53" t="n"/>
      <c r="AI220" s="53" t="n"/>
      <c r="AJ220" s="53" t="n"/>
      <c r="AK220" s="53" t="n"/>
      <c r="AL220" s="53" t="n"/>
      <c r="AM220" s="53" t="n"/>
      <c r="AN220" s="53" t="n"/>
      <c r="AO220" s="53" t="n"/>
      <c r="AP220" s="53" t="n"/>
      <c r="AQ220" s="53" t="n"/>
      <c r="AR220" s="53" t="n"/>
      <c r="AS220" s="53" t="n"/>
      <c r="AT220" s="53" t="n"/>
      <c r="AU220" s="53" t="n"/>
      <c r="AV220" s="53" t="n"/>
      <c r="AW220" s="53" t="n"/>
      <c r="AX220" s="53" t="n"/>
      <c r="AY220" s="53" t="n"/>
    </row>
    <row r="221" ht="15" customHeight="1">
      <c r="A221" s="62" t="n"/>
      <c r="B221" s="55">
        <f>IF($B$219="","",$B$219)</f>
        <v/>
      </c>
      <c r="C221" s="63" t="inlineStr">
        <is>
          <t>마케팅4팀</t>
        </is>
      </c>
      <c r="D221" s="55">
        <f>IF($D$219="","",$D$219)</f>
        <v/>
      </c>
      <c r="E221" s="64" t="inlineStr">
        <is>
          <t>영상</t>
        </is>
      </c>
      <c r="F221" s="44" t="n"/>
      <c r="G221" s="58">
        <f>IF($G$219="","",$G$219)</f>
        <v/>
      </c>
      <c r="H221" s="59" t="n"/>
      <c r="I221" s="59" t="n"/>
      <c r="J221" s="59" t="n"/>
      <c r="K221" s="59" t="n"/>
      <c r="L221" s="65">
        <f>IF(SUM(U221:AY221)=0,"",SUM(U221:AY221))</f>
        <v/>
      </c>
      <c r="M221" s="66">
        <f>IFERROR(INDEX(U$2:AY$2,MATCH(TRUE,INDEX(U221:AY221&lt;&gt;"",0),0)),"")</f>
        <v/>
      </c>
      <c r="N221" s="66">
        <f>IFERROR(LOOKUP(2,1/(U221:AY221&lt;&gt;""),U$2:AY$2),"")</f>
        <v/>
      </c>
      <c r="O221" s="59" t="n"/>
      <c r="P221" s="59" t="n"/>
      <c r="Q221" s="59" t="n"/>
      <c r="R221" s="59" t="n"/>
      <c r="S221" s="14" t="n"/>
      <c r="U221" s="53" t="n"/>
      <c r="V221" s="53" t="n"/>
      <c r="W221" s="53" t="n"/>
      <c r="X221" s="53" t="n"/>
      <c r="Y221" s="53" t="n"/>
      <c r="Z221" s="53" t="n"/>
      <c r="AA221" s="53" t="n"/>
      <c r="AB221" s="53" t="n"/>
      <c r="AC221" s="53" t="n"/>
      <c r="AD221" s="53" t="n"/>
      <c r="AE221" s="53" t="n"/>
      <c r="AF221" s="53" t="n"/>
      <c r="AG221" s="53" t="n"/>
      <c r="AH221" s="53" t="n"/>
      <c r="AI221" s="53" t="n"/>
      <c r="AJ221" s="53" t="n"/>
      <c r="AK221" s="53" t="n"/>
      <c r="AL221" s="53" t="n"/>
      <c r="AM221" s="53" t="n"/>
      <c r="AN221" s="53" t="n"/>
      <c r="AO221" s="53" t="n"/>
      <c r="AP221" s="53" t="n"/>
      <c r="AQ221" s="53" t="n"/>
      <c r="AR221" s="53" t="n"/>
      <c r="AS221" s="53" t="n"/>
      <c r="AT221" s="53" t="n"/>
      <c r="AU221" s="53" t="n"/>
      <c r="AV221" s="53" t="n"/>
      <c r="AW221" s="53" t="n"/>
      <c r="AX221" s="53" t="n"/>
      <c r="AY221" s="53" t="n"/>
    </row>
    <row r="222" ht="15" customHeight="1">
      <c r="A222" s="40">
        <f>IF($D$222="","",71)</f>
        <v/>
      </c>
      <c r="B222" s="10" t="n"/>
      <c r="C222" s="41" t="inlineStr">
        <is>
          <t>마케팅4팀</t>
        </is>
      </c>
      <c r="D222" s="42" t="n"/>
      <c r="E222" s="43" t="inlineStr">
        <is>
          <t>기획</t>
        </is>
      </c>
      <c r="F222" s="44" t="n"/>
      <c r="G222" s="45" t="n"/>
      <c r="H222" s="46">
        <f>IF($I$222="","",IF($I$222&lt;0,"🔴지연",IF($I$222&lt;=1,"🟡임박","🟢여유")))</f>
        <v/>
      </c>
      <c r="I222" s="47">
        <f>IF(OR($G$222="",$K$222=""),"",$G$222-$K$222)</f>
        <v/>
      </c>
      <c r="J222" s="48">
        <f>IF(SUM($L$222:$L$224)=0,"",SUM($L$222:$L$224))</f>
        <v/>
      </c>
      <c r="K222" s="49">
        <f>IF($J$222="","",MAX($N$222:$N$224))</f>
        <v/>
      </c>
      <c r="L222" s="50">
        <f>IF(SUM(U222:AY222)=0,"",SUM(U222:AY222))</f>
        <v/>
      </c>
      <c r="M222" s="51">
        <f>IFERROR(INDEX(U$2:AY$2,MATCH(TRUE,INDEX(U222:AY222&lt;&gt;"",0),0)),"")</f>
        <v/>
      </c>
      <c r="N222" s="51">
        <f>IFERROR(LOOKUP(2,1/(U222:AY222&lt;&gt;""),U$2:AY$2),"")</f>
        <v/>
      </c>
      <c r="O222" s="52" t="n"/>
      <c r="P222" s="52" t="n"/>
      <c r="Q222" s="52" t="n"/>
      <c r="R222" s="44" t="n"/>
      <c r="S222" s="14" t="n"/>
      <c r="U222" s="53" t="n"/>
      <c r="V222" s="53" t="n"/>
      <c r="W222" s="53" t="n"/>
      <c r="X222" s="53" t="n"/>
      <c r="Y222" s="53" t="n"/>
      <c r="Z222" s="53" t="n"/>
      <c r="AA222" s="53" t="n"/>
      <c r="AB222" s="53" t="n"/>
      <c r="AC222" s="53" t="n"/>
      <c r="AD222" s="53" t="n"/>
      <c r="AE222" s="53" t="n"/>
      <c r="AF222" s="53" t="n"/>
      <c r="AG222" s="53" t="n"/>
      <c r="AH222" s="53" t="n"/>
      <c r="AI222" s="53" t="n"/>
      <c r="AJ222" s="53" t="n"/>
      <c r="AK222" s="53" t="n"/>
      <c r="AL222" s="53" t="n"/>
      <c r="AM222" s="53" t="n"/>
      <c r="AN222" s="53" t="n"/>
      <c r="AO222" s="53" t="n"/>
      <c r="AP222" s="53" t="n"/>
      <c r="AQ222" s="53" t="n"/>
      <c r="AR222" s="53" t="n"/>
      <c r="AS222" s="53" t="n"/>
      <c r="AT222" s="53" t="n"/>
      <c r="AU222" s="53" t="n"/>
      <c r="AV222" s="53" t="n"/>
      <c r="AW222" s="53" t="n"/>
      <c r="AX222" s="53" t="n"/>
      <c r="AY222" s="53" t="n"/>
    </row>
    <row r="223" ht="15" customHeight="1">
      <c r="A223" s="54" t="n"/>
      <c r="B223" s="55">
        <f>IF($B$222="","",$B$222)</f>
        <v/>
      </c>
      <c r="C223" s="56" t="inlineStr">
        <is>
          <t>마케팅4팀</t>
        </is>
      </c>
      <c r="D223" s="55">
        <f>IF($D$222="","",$D$222)</f>
        <v/>
      </c>
      <c r="E223" s="57" t="inlineStr">
        <is>
          <t>이미지</t>
        </is>
      </c>
      <c r="F223" s="44" t="n"/>
      <c r="G223" s="58">
        <f>IF($G$222="","",$G$222)</f>
        <v/>
      </c>
      <c r="H223" s="59" t="n"/>
      <c r="I223" s="59" t="n"/>
      <c r="J223" s="59" t="n"/>
      <c r="K223" s="59" t="n"/>
      <c r="L223" s="60">
        <f>IF(SUM(U223:AY223)=0,"",SUM(U223:AY223))</f>
        <v/>
      </c>
      <c r="M223" s="61">
        <f>IFERROR(INDEX(U$2:AY$2,MATCH(TRUE,INDEX(U223:AY223&lt;&gt;"",0),0)),"")</f>
        <v/>
      </c>
      <c r="N223" s="61">
        <f>IFERROR(LOOKUP(2,1/(U223:AY223&lt;&gt;""),U$2:AY$2),"")</f>
        <v/>
      </c>
      <c r="O223" s="59" t="n"/>
      <c r="P223" s="59" t="n"/>
      <c r="Q223" s="59" t="n"/>
      <c r="R223" s="59" t="n"/>
      <c r="S223" s="14" t="n"/>
      <c r="U223" s="53" t="n"/>
      <c r="V223" s="53" t="n"/>
      <c r="W223" s="53" t="n"/>
      <c r="X223" s="53" t="n"/>
      <c r="Y223" s="53" t="n"/>
      <c r="Z223" s="53" t="n"/>
      <c r="AA223" s="53" t="n"/>
      <c r="AB223" s="53" t="n"/>
      <c r="AC223" s="53" t="n"/>
      <c r="AD223" s="53" t="n"/>
      <c r="AE223" s="53" t="n"/>
      <c r="AF223" s="53" t="n"/>
      <c r="AG223" s="53" t="n"/>
      <c r="AH223" s="53" t="n"/>
      <c r="AI223" s="53" t="n"/>
      <c r="AJ223" s="53" t="n"/>
      <c r="AK223" s="53" t="n"/>
      <c r="AL223" s="53" t="n"/>
      <c r="AM223" s="53" t="n"/>
      <c r="AN223" s="53" t="n"/>
      <c r="AO223" s="53" t="n"/>
      <c r="AP223" s="53" t="n"/>
      <c r="AQ223" s="53" t="n"/>
      <c r="AR223" s="53" t="n"/>
      <c r="AS223" s="53" t="n"/>
      <c r="AT223" s="53" t="n"/>
      <c r="AU223" s="53" t="n"/>
      <c r="AV223" s="53" t="n"/>
      <c r="AW223" s="53" t="n"/>
      <c r="AX223" s="53" t="n"/>
      <c r="AY223" s="53" t="n"/>
    </row>
    <row r="224" ht="15" customHeight="1">
      <c r="A224" s="62" t="n"/>
      <c r="B224" s="55">
        <f>IF($B$222="","",$B$222)</f>
        <v/>
      </c>
      <c r="C224" s="63" t="inlineStr">
        <is>
          <t>마케팅4팀</t>
        </is>
      </c>
      <c r="D224" s="55">
        <f>IF($D$222="","",$D$222)</f>
        <v/>
      </c>
      <c r="E224" s="64" t="inlineStr">
        <is>
          <t>영상</t>
        </is>
      </c>
      <c r="F224" s="44" t="n"/>
      <c r="G224" s="58">
        <f>IF($G$222="","",$G$222)</f>
        <v/>
      </c>
      <c r="H224" s="59" t="n"/>
      <c r="I224" s="59" t="n"/>
      <c r="J224" s="59" t="n"/>
      <c r="K224" s="59" t="n"/>
      <c r="L224" s="65">
        <f>IF(SUM(U224:AY224)=0,"",SUM(U224:AY224))</f>
        <v/>
      </c>
      <c r="M224" s="66">
        <f>IFERROR(INDEX(U$2:AY$2,MATCH(TRUE,INDEX(U224:AY224&lt;&gt;"",0),0)),"")</f>
        <v/>
      </c>
      <c r="N224" s="66">
        <f>IFERROR(LOOKUP(2,1/(U224:AY224&lt;&gt;""),U$2:AY$2),"")</f>
        <v/>
      </c>
      <c r="O224" s="59" t="n"/>
      <c r="P224" s="59" t="n"/>
      <c r="Q224" s="59" t="n"/>
      <c r="R224" s="59" t="n"/>
      <c r="S224" s="14" t="n"/>
      <c r="U224" s="53" t="n"/>
      <c r="V224" s="53" t="n"/>
      <c r="W224" s="53" t="n"/>
      <c r="X224" s="53" t="n"/>
      <c r="Y224" s="53" t="n"/>
      <c r="Z224" s="53" t="n"/>
      <c r="AA224" s="53" t="n"/>
      <c r="AB224" s="53" t="n"/>
      <c r="AC224" s="53" t="n"/>
      <c r="AD224" s="53" t="n"/>
      <c r="AE224" s="53" t="n"/>
      <c r="AF224" s="53" t="n"/>
      <c r="AG224" s="53" t="n"/>
      <c r="AH224" s="53" t="n"/>
      <c r="AI224" s="53" t="n"/>
      <c r="AJ224" s="53" t="n"/>
      <c r="AK224" s="53" t="n"/>
      <c r="AL224" s="53" t="n"/>
      <c r="AM224" s="53" t="n"/>
      <c r="AN224" s="53" t="n"/>
      <c r="AO224" s="53" t="n"/>
      <c r="AP224" s="53" t="n"/>
      <c r="AQ224" s="53" t="n"/>
      <c r="AR224" s="53" t="n"/>
      <c r="AS224" s="53" t="n"/>
      <c r="AT224" s="53" t="n"/>
      <c r="AU224" s="53" t="n"/>
      <c r="AV224" s="53" t="n"/>
      <c r="AW224" s="53" t="n"/>
      <c r="AX224" s="53" t="n"/>
      <c r="AY224" s="53" t="n"/>
    </row>
    <row r="225" ht="15" customHeight="1">
      <c r="A225" s="40">
        <f>IF($D$225="","",72)</f>
        <v/>
      </c>
      <c r="B225" s="10" t="n"/>
      <c r="C225" s="41" t="inlineStr">
        <is>
          <t>마케팅4팀</t>
        </is>
      </c>
      <c r="D225" s="42" t="n"/>
      <c r="E225" s="43" t="inlineStr">
        <is>
          <t>기획</t>
        </is>
      </c>
      <c r="F225" s="44" t="n"/>
      <c r="G225" s="45" t="n"/>
      <c r="H225" s="46">
        <f>IF($I$225="","",IF($I$225&lt;0,"🔴지연",IF($I$225&lt;=1,"🟡임박","🟢여유")))</f>
        <v/>
      </c>
      <c r="I225" s="47">
        <f>IF(OR($G$225="",$K$225=""),"",$G$225-$K$225)</f>
        <v/>
      </c>
      <c r="J225" s="48">
        <f>IF(SUM($L$225:$L$227)=0,"",SUM($L$225:$L$227))</f>
        <v/>
      </c>
      <c r="K225" s="49">
        <f>IF($J$225="","",MAX($N$225:$N$227))</f>
        <v/>
      </c>
      <c r="L225" s="50">
        <f>IF(SUM(U225:AY225)=0,"",SUM(U225:AY225))</f>
        <v/>
      </c>
      <c r="M225" s="51">
        <f>IFERROR(INDEX(U$2:AY$2,MATCH(TRUE,INDEX(U225:AY225&lt;&gt;"",0),0)),"")</f>
        <v/>
      </c>
      <c r="N225" s="51">
        <f>IFERROR(LOOKUP(2,1/(U225:AY225&lt;&gt;""),U$2:AY$2),"")</f>
        <v/>
      </c>
      <c r="O225" s="52" t="n"/>
      <c r="P225" s="52" t="n"/>
      <c r="Q225" s="52" t="n"/>
      <c r="R225" s="44" t="n"/>
      <c r="S225" s="14" t="n"/>
      <c r="U225" s="53" t="n"/>
      <c r="V225" s="53" t="n"/>
      <c r="W225" s="53" t="n"/>
      <c r="X225" s="53" t="n"/>
      <c r="Y225" s="53" t="n"/>
      <c r="Z225" s="53" t="n"/>
      <c r="AA225" s="53" t="n"/>
      <c r="AB225" s="53" t="n"/>
      <c r="AC225" s="53" t="n"/>
      <c r="AD225" s="53" t="n"/>
      <c r="AE225" s="53" t="n"/>
      <c r="AF225" s="53" t="n"/>
      <c r="AG225" s="53" t="n"/>
      <c r="AH225" s="53" t="n"/>
      <c r="AI225" s="53" t="n"/>
      <c r="AJ225" s="53" t="n"/>
      <c r="AK225" s="53" t="n"/>
      <c r="AL225" s="53" t="n"/>
      <c r="AM225" s="53" t="n"/>
      <c r="AN225" s="53" t="n"/>
      <c r="AO225" s="53" t="n"/>
      <c r="AP225" s="53" t="n"/>
      <c r="AQ225" s="53" t="n"/>
      <c r="AR225" s="53" t="n"/>
      <c r="AS225" s="53" t="n"/>
      <c r="AT225" s="53" t="n"/>
      <c r="AU225" s="53" t="n"/>
      <c r="AV225" s="53" t="n"/>
      <c r="AW225" s="53" t="n"/>
      <c r="AX225" s="53" t="n"/>
      <c r="AY225" s="53" t="n"/>
    </row>
    <row r="226" ht="15" customHeight="1">
      <c r="A226" s="54" t="n"/>
      <c r="B226" s="55">
        <f>IF($B$225="","",$B$225)</f>
        <v/>
      </c>
      <c r="C226" s="56" t="inlineStr">
        <is>
          <t>마케팅4팀</t>
        </is>
      </c>
      <c r="D226" s="55">
        <f>IF($D$225="","",$D$225)</f>
        <v/>
      </c>
      <c r="E226" s="57" t="inlineStr">
        <is>
          <t>이미지</t>
        </is>
      </c>
      <c r="F226" s="44" t="n"/>
      <c r="G226" s="58">
        <f>IF($G$225="","",$G$225)</f>
        <v/>
      </c>
      <c r="H226" s="59" t="n"/>
      <c r="I226" s="59" t="n"/>
      <c r="J226" s="59" t="n"/>
      <c r="K226" s="59" t="n"/>
      <c r="L226" s="60">
        <f>IF(SUM(U226:AY226)=0,"",SUM(U226:AY226))</f>
        <v/>
      </c>
      <c r="M226" s="61">
        <f>IFERROR(INDEX(U$2:AY$2,MATCH(TRUE,INDEX(U226:AY226&lt;&gt;"",0),0)),"")</f>
        <v/>
      </c>
      <c r="N226" s="61">
        <f>IFERROR(LOOKUP(2,1/(U226:AY226&lt;&gt;""),U$2:AY$2),"")</f>
        <v/>
      </c>
      <c r="O226" s="59" t="n"/>
      <c r="P226" s="59" t="n"/>
      <c r="Q226" s="59" t="n"/>
      <c r="R226" s="59" t="n"/>
      <c r="S226" s="14" t="n"/>
      <c r="U226" s="53" t="n"/>
      <c r="V226" s="53" t="n"/>
      <c r="W226" s="53" t="n"/>
      <c r="X226" s="53" t="n"/>
      <c r="Y226" s="53" t="n"/>
      <c r="Z226" s="53" t="n"/>
      <c r="AA226" s="53" t="n"/>
      <c r="AB226" s="53" t="n"/>
      <c r="AC226" s="53" t="n"/>
      <c r="AD226" s="53" t="n"/>
      <c r="AE226" s="53" t="n"/>
      <c r="AF226" s="53" t="n"/>
      <c r="AG226" s="53" t="n"/>
      <c r="AH226" s="53" t="n"/>
      <c r="AI226" s="53" t="n"/>
      <c r="AJ226" s="53" t="n"/>
      <c r="AK226" s="53" t="n"/>
      <c r="AL226" s="53" t="n"/>
      <c r="AM226" s="53" t="n"/>
      <c r="AN226" s="53" t="n"/>
      <c r="AO226" s="53" t="n"/>
      <c r="AP226" s="53" t="n"/>
      <c r="AQ226" s="53" t="n"/>
      <c r="AR226" s="53" t="n"/>
      <c r="AS226" s="53" t="n"/>
      <c r="AT226" s="53" t="n"/>
      <c r="AU226" s="53" t="n"/>
      <c r="AV226" s="53" t="n"/>
      <c r="AW226" s="53" t="n"/>
      <c r="AX226" s="53" t="n"/>
      <c r="AY226" s="53" t="n"/>
    </row>
    <row r="227" ht="15" customHeight="1">
      <c r="A227" s="62" t="n"/>
      <c r="B227" s="55">
        <f>IF($B$225="","",$B$225)</f>
        <v/>
      </c>
      <c r="C227" s="63" t="inlineStr">
        <is>
          <t>마케팅4팀</t>
        </is>
      </c>
      <c r="D227" s="55">
        <f>IF($D$225="","",$D$225)</f>
        <v/>
      </c>
      <c r="E227" s="64" t="inlineStr">
        <is>
          <t>영상</t>
        </is>
      </c>
      <c r="F227" s="44" t="n"/>
      <c r="G227" s="58">
        <f>IF($G$225="","",$G$225)</f>
        <v/>
      </c>
      <c r="H227" s="59" t="n"/>
      <c r="I227" s="59" t="n"/>
      <c r="J227" s="59" t="n"/>
      <c r="K227" s="59" t="n"/>
      <c r="L227" s="65">
        <f>IF(SUM(U227:AY227)=0,"",SUM(U227:AY227))</f>
        <v/>
      </c>
      <c r="M227" s="66">
        <f>IFERROR(INDEX(U$2:AY$2,MATCH(TRUE,INDEX(U227:AY227&lt;&gt;"",0),0)),"")</f>
        <v/>
      </c>
      <c r="N227" s="66">
        <f>IFERROR(LOOKUP(2,1/(U227:AY227&lt;&gt;""),U$2:AY$2),"")</f>
        <v/>
      </c>
      <c r="O227" s="59" t="n"/>
      <c r="P227" s="59" t="n"/>
      <c r="Q227" s="59" t="n"/>
      <c r="R227" s="59" t="n"/>
      <c r="S227" s="14" t="n"/>
      <c r="U227" s="53" t="n"/>
      <c r="V227" s="53" t="n"/>
      <c r="W227" s="53" t="n"/>
      <c r="X227" s="53" t="n"/>
      <c r="Y227" s="53" t="n"/>
      <c r="Z227" s="53" t="n"/>
      <c r="AA227" s="53" t="n"/>
      <c r="AB227" s="53" t="n"/>
      <c r="AC227" s="53" t="n"/>
      <c r="AD227" s="53" t="n"/>
      <c r="AE227" s="53" t="n"/>
      <c r="AF227" s="53" t="n"/>
      <c r="AG227" s="53" t="n"/>
      <c r="AH227" s="53" t="n"/>
      <c r="AI227" s="53" t="n"/>
      <c r="AJ227" s="53" t="n"/>
      <c r="AK227" s="53" t="n"/>
      <c r="AL227" s="53" t="n"/>
      <c r="AM227" s="53" t="n"/>
      <c r="AN227" s="53" t="n"/>
      <c r="AO227" s="53" t="n"/>
      <c r="AP227" s="53" t="n"/>
      <c r="AQ227" s="53" t="n"/>
      <c r="AR227" s="53" t="n"/>
      <c r="AS227" s="53" t="n"/>
      <c r="AT227" s="53" t="n"/>
      <c r="AU227" s="53" t="n"/>
      <c r="AV227" s="53" t="n"/>
      <c r="AW227" s="53" t="n"/>
      <c r="AX227" s="53" t="n"/>
      <c r="AY227" s="53" t="n"/>
    </row>
    <row r="228" ht="15" customHeight="1">
      <c r="A228" s="40">
        <f>IF($D$228="","",73)</f>
        <v/>
      </c>
      <c r="B228" s="10" t="n"/>
      <c r="C228" s="41" t="inlineStr">
        <is>
          <t>마케팅4팀</t>
        </is>
      </c>
      <c r="D228" s="42" t="n"/>
      <c r="E228" s="43" t="inlineStr">
        <is>
          <t>기획</t>
        </is>
      </c>
      <c r="F228" s="44" t="n"/>
      <c r="G228" s="45" t="n"/>
      <c r="H228" s="46">
        <f>IF($I$228="","",IF($I$228&lt;0,"🔴지연",IF($I$228&lt;=1,"🟡임박","🟢여유")))</f>
        <v/>
      </c>
      <c r="I228" s="47">
        <f>IF(OR($G$228="",$K$228=""),"",$G$228-$K$228)</f>
        <v/>
      </c>
      <c r="J228" s="48">
        <f>IF(SUM($L$228:$L$230)=0,"",SUM($L$228:$L$230))</f>
        <v/>
      </c>
      <c r="K228" s="49">
        <f>IF($J$228="","",MAX($N$228:$N$230))</f>
        <v/>
      </c>
      <c r="L228" s="50">
        <f>IF(SUM(U228:AY228)=0,"",SUM(U228:AY228))</f>
        <v/>
      </c>
      <c r="M228" s="51">
        <f>IFERROR(INDEX(U$2:AY$2,MATCH(TRUE,INDEX(U228:AY228&lt;&gt;"",0),0)),"")</f>
        <v/>
      </c>
      <c r="N228" s="51">
        <f>IFERROR(LOOKUP(2,1/(U228:AY228&lt;&gt;""),U$2:AY$2),"")</f>
        <v/>
      </c>
      <c r="O228" s="52" t="n"/>
      <c r="P228" s="52" t="n"/>
      <c r="Q228" s="52" t="n"/>
      <c r="R228" s="44" t="n"/>
      <c r="S228" s="14" t="n"/>
      <c r="U228" s="53" t="n"/>
      <c r="V228" s="53" t="n"/>
      <c r="W228" s="53" t="n"/>
      <c r="X228" s="53" t="n"/>
      <c r="Y228" s="53" t="n"/>
      <c r="Z228" s="53" t="n"/>
      <c r="AA228" s="53" t="n"/>
      <c r="AB228" s="53" t="n"/>
      <c r="AC228" s="53" t="n"/>
      <c r="AD228" s="53" t="n"/>
      <c r="AE228" s="53" t="n"/>
      <c r="AF228" s="53" t="n"/>
      <c r="AG228" s="53" t="n"/>
      <c r="AH228" s="53" t="n"/>
      <c r="AI228" s="53" t="n"/>
      <c r="AJ228" s="53" t="n"/>
      <c r="AK228" s="53" t="n"/>
      <c r="AL228" s="53" t="n"/>
      <c r="AM228" s="53" t="n"/>
      <c r="AN228" s="53" t="n"/>
      <c r="AO228" s="53" t="n"/>
      <c r="AP228" s="53" t="n"/>
      <c r="AQ228" s="53" t="n"/>
      <c r="AR228" s="53" t="n"/>
      <c r="AS228" s="53" t="n"/>
      <c r="AT228" s="53" t="n"/>
      <c r="AU228" s="53" t="n"/>
      <c r="AV228" s="53" t="n"/>
      <c r="AW228" s="53" t="n"/>
      <c r="AX228" s="53" t="n"/>
      <c r="AY228" s="53" t="n"/>
    </row>
    <row r="229" ht="15" customHeight="1">
      <c r="A229" s="54" t="n"/>
      <c r="B229" s="55">
        <f>IF($B$228="","",$B$228)</f>
        <v/>
      </c>
      <c r="C229" s="56" t="inlineStr">
        <is>
          <t>마케팅4팀</t>
        </is>
      </c>
      <c r="D229" s="55">
        <f>IF($D$228="","",$D$228)</f>
        <v/>
      </c>
      <c r="E229" s="57" t="inlineStr">
        <is>
          <t>이미지</t>
        </is>
      </c>
      <c r="F229" s="44" t="n"/>
      <c r="G229" s="58">
        <f>IF($G$228="","",$G$228)</f>
        <v/>
      </c>
      <c r="H229" s="59" t="n"/>
      <c r="I229" s="59" t="n"/>
      <c r="J229" s="59" t="n"/>
      <c r="K229" s="59" t="n"/>
      <c r="L229" s="60">
        <f>IF(SUM(U229:AY229)=0,"",SUM(U229:AY229))</f>
        <v/>
      </c>
      <c r="M229" s="61">
        <f>IFERROR(INDEX(U$2:AY$2,MATCH(TRUE,INDEX(U229:AY229&lt;&gt;"",0),0)),"")</f>
        <v/>
      </c>
      <c r="N229" s="61">
        <f>IFERROR(LOOKUP(2,1/(U229:AY229&lt;&gt;""),U$2:AY$2),"")</f>
        <v/>
      </c>
      <c r="O229" s="59" t="n"/>
      <c r="P229" s="59" t="n"/>
      <c r="Q229" s="59" t="n"/>
      <c r="R229" s="59" t="n"/>
      <c r="S229" s="14" t="n"/>
      <c r="U229" s="53" t="n"/>
      <c r="V229" s="53" t="n"/>
      <c r="W229" s="53" t="n"/>
      <c r="X229" s="53" t="n"/>
      <c r="Y229" s="53" t="n"/>
      <c r="Z229" s="53" t="n"/>
      <c r="AA229" s="53" t="n"/>
      <c r="AB229" s="53" t="n"/>
      <c r="AC229" s="53" t="n"/>
      <c r="AD229" s="53" t="n"/>
      <c r="AE229" s="53" t="n"/>
      <c r="AF229" s="53" t="n"/>
      <c r="AG229" s="53" t="n"/>
      <c r="AH229" s="53" t="n"/>
      <c r="AI229" s="53" t="n"/>
      <c r="AJ229" s="53" t="n"/>
      <c r="AK229" s="53" t="n"/>
      <c r="AL229" s="53" t="n"/>
      <c r="AM229" s="53" t="n"/>
      <c r="AN229" s="53" t="n"/>
      <c r="AO229" s="53" t="n"/>
      <c r="AP229" s="53" t="n"/>
      <c r="AQ229" s="53" t="n"/>
      <c r="AR229" s="53" t="n"/>
      <c r="AS229" s="53" t="n"/>
      <c r="AT229" s="53" t="n"/>
      <c r="AU229" s="53" t="n"/>
      <c r="AV229" s="53" t="n"/>
      <c r="AW229" s="53" t="n"/>
      <c r="AX229" s="53" t="n"/>
      <c r="AY229" s="53" t="n"/>
    </row>
    <row r="230" ht="15" customHeight="1">
      <c r="A230" s="62" t="n"/>
      <c r="B230" s="55">
        <f>IF($B$228="","",$B$228)</f>
        <v/>
      </c>
      <c r="C230" s="63" t="inlineStr">
        <is>
          <t>마케팅4팀</t>
        </is>
      </c>
      <c r="D230" s="55">
        <f>IF($D$228="","",$D$228)</f>
        <v/>
      </c>
      <c r="E230" s="64" t="inlineStr">
        <is>
          <t>영상</t>
        </is>
      </c>
      <c r="F230" s="44" t="n"/>
      <c r="G230" s="58">
        <f>IF($G$228="","",$G$228)</f>
        <v/>
      </c>
      <c r="H230" s="59" t="n"/>
      <c r="I230" s="59" t="n"/>
      <c r="J230" s="59" t="n"/>
      <c r="K230" s="59" t="n"/>
      <c r="L230" s="65">
        <f>IF(SUM(U230:AY230)=0,"",SUM(U230:AY230))</f>
        <v/>
      </c>
      <c r="M230" s="66">
        <f>IFERROR(INDEX(U$2:AY$2,MATCH(TRUE,INDEX(U230:AY230&lt;&gt;"",0),0)),"")</f>
        <v/>
      </c>
      <c r="N230" s="66">
        <f>IFERROR(LOOKUP(2,1/(U230:AY230&lt;&gt;""),U$2:AY$2),"")</f>
        <v/>
      </c>
      <c r="O230" s="59" t="n"/>
      <c r="P230" s="59" t="n"/>
      <c r="Q230" s="59" t="n"/>
      <c r="R230" s="59" t="n"/>
      <c r="S230" s="14" t="n"/>
      <c r="U230" s="53" t="n"/>
      <c r="V230" s="53" t="n"/>
      <c r="W230" s="53" t="n"/>
      <c r="X230" s="53" t="n"/>
      <c r="Y230" s="53" t="n"/>
      <c r="Z230" s="53" t="n"/>
      <c r="AA230" s="53" t="n"/>
      <c r="AB230" s="53" t="n"/>
      <c r="AC230" s="53" t="n"/>
      <c r="AD230" s="53" t="n"/>
      <c r="AE230" s="53" t="n"/>
      <c r="AF230" s="53" t="n"/>
      <c r="AG230" s="53" t="n"/>
      <c r="AH230" s="53" t="n"/>
      <c r="AI230" s="53" t="n"/>
      <c r="AJ230" s="53" t="n"/>
      <c r="AK230" s="53" t="n"/>
      <c r="AL230" s="53" t="n"/>
      <c r="AM230" s="53" t="n"/>
      <c r="AN230" s="53" t="n"/>
      <c r="AO230" s="53" t="n"/>
      <c r="AP230" s="53" t="n"/>
      <c r="AQ230" s="53" t="n"/>
      <c r="AR230" s="53" t="n"/>
      <c r="AS230" s="53" t="n"/>
      <c r="AT230" s="53" t="n"/>
      <c r="AU230" s="53" t="n"/>
      <c r="AV230" s="53" t="n"/>
      <c r="AW230" s="53" t="n"/>
      <c r="AX230" s="53" t="n"/>
      <c r="AY230" s="53" t="n"/>
    </row>
    <row r="231" ht="15" customHeight="1">
      <c r="A231" s="40">
        <f>IF($D$231="","",74)</f>
        <v/>
      </c>
      <c r="B231" s="10" t="n"/>
      <c r="C231" s="41" t="inlineStr">
        <is>
          <t>마케팅4팀</t>
        </is>
      </c>
      <c r="D231" s="42" t="n"/>
      <c r="E231" s="43" t="inlineStr">
        <is>
          <t>기획</t>
        </is>
      </c>
      <c r="F231" s="44" t="n"/>
      <c r="G231" s="45" t="n"/>
      <c r="H231" s="46">
        <f>IF($I$231="","",IF($I$231&lt;0,"🔴지연",IF($I$231&lt;=1,"🟡임박","🟢여유")))</f>
        <v/>
      </c>
      <c r="I231" s="47">
        <f>IF(OR($G$231="",$K$231=""),"",$G$231-$K$231)</f>
        <v/>
      </c>
      <c r="J231" s="48">
        <f>IF(SUM($L$231:$L$233)=0,"",SUM($L$231:$L$233))</f>
        <v/>
      </c>
      <c r="K231" s="49">
        <f>IF($J$231="","",MAX($N$231:$N$233))</f>
        <v/>
      </c>
      <c r="L231" s="50">
        <f>IF(SUM(U231:AY231)=0,"",SUM(U231:AY231))</f>
        <v/>
      </c>
      <c r="M231" s="51">
        <f>IFERROR(INDEX(U$2:AY$2,MATCH(TRUE,INDEX(U231:AY231&lt;&gt;"",0),0)),"")</f>
        <v/>
      </c>
      <c r="N231" s="51">
        <f>IFERROR(LOOKUP(2,1/(U231:AY231&lt;&gt;""),U$2:AY$2),"")</f>
        <v/>
      </c>
      <c r="O231" s="52" t="n"/>
      <c r="P231" s="52" t="n"/>
      <c r="Q231" s="52" t="n"/>
      <c r="R231" s="44" t="n"/>
      <c r="S231" s="14" t="n"/>
      <c r="U231" s="53" t="n"/>
      <c r="V231" s="53" t="n"/>
      <c r="W231" s="53" t="n"/>
      <c r="X231" s="53" t="n"/>
      <c r="Y231" s="53" t="n"/>
      <c r="Z231" s="53" t="n"/>
      <c r="AA231" s="53" t="n"/>
      <c r="AB231" s="53" t="n"/>
      <c r="AC231" s="53" t="n"/>
      <c r="AD231" s="53" t="n"/>
      <c r="AE231" s="53" t="n"/>
      <c r="AF231" s="53" t="n"/>
      <c r="AG231" s="53" t="n"/>
      <c r="AH231" s="53" t="n"/>
      <c r="AI231" s="53" t="n"/>
      <c r="AJ231" s="53" t="n"/>
      <c r="AK231" s="53" t="n"/>
      <c r="AL231" s="53" t="n"/>
      <c r="AM231" s="53" t="n"/>
      <c r="AN231" s="53" t="n"/>
      <c r="AO231" s="53" t="n"/>
      <c r="AP231" s="53" t="n"/>
      <c r="AQ231" s="53" t="n"/>
      <c r="AR231" s="53" t="n"/>
      <c r="AS231" s="53" t="n"/>
      <c r="AT231" s="53" t="n"/>
      <c r="AU231" s="53" t="n"/>
      <c r="AV231" s="53" t="n"/>
      <c r="AW231" s="53" t="n"/>
      <c r="AX231" s="53" t="n"/>
      <c r="AY231" s="53" t="n"/>
    </row>
    <row r="232" ht="15" customHeight="1">
      <c r="A232" s="54" t="n"/>
      <c r="B232" s="55">
        <f>IF($B$231="","",$B$231)</f>
        <v/>
      </c>
      <c r="C232" s="56" t="inlineStr">
        <is>
          <t>마케팅4팀</t>
        </is>
      </c>
      <c r="D232" s="55">
        <f>IF($D$231="","",$D$231)</f>
        <v/>
      </c>
      <c r="E232" s="57" t="inlineStr">
        <is>
          <t>이미지</t>
        </is>
      </c>
      <c r="F232" s="44" t="n"/>
      <c r="G232" s="58">
        <f>IF($G$231="","",$G$231)</f>
        <v/>
      </c>
      <c r="H232" s="59" t="n"/>
      <c r="I232" s="59" t="n"/>
      <c r="J232" s="59" t="n"/>
      <c r="K232" s="59" t="n"/>
      <c r="L232" s="60">
        <f>IF(SUM(U232:AY232)=0,"",SUM(U232:AY232))</f>
        <v/>
      </c>
      <c r="M232" s="61">
        <f>IFERROR(INDEX(U$2:AY$2,MATCH(TRUE,INDEX(U232:AY232&lt;&gt;"",0),0)),"")</f>
        <v/>
      </c>
      <c r="N232" s="61">
        <f>IFERROR(LOOKUP(2,1/(U232:AY232&lt;&gt;""),U$2:AY$2),"")</f>
        <v/>
      </c>
      <c r="O232" s="59" t="n"/>
      <c r="P232" s="59" t="n"/>
      <c r="Q232" s="59" t="n"/>
      <c r="R232" s="59" t="n"/>
      <c r="S232" s="14" t="n"/>
      <c r="U232" s="53" t="n"/>
      <c r="V232" s="53" t="n"/>
      <c r="W232" s="53" t="n"/>
      <c r="X232" s="53" t="n"/>
      <c r="Y232" s="53" t="n"/>
      <c r="Z232" s="53" t="n"/>
      <c r="AA232" s="53" t="n"/>
      <c r="AB232" s="53" t="n"/>
      <c r="AC232" s="53" t="n"/>
      <c r="AD232" s="53" t="n"/>
      <c r="AE232" s="53" t="n"/>
      <c r="AF232" s="53" t="n"/>
      <c r="AG232" s="53" t="n"/>
      <c r="AH232" s="53" t="n"/>
      <c r="AI232" s="53" t="n"/>
      <c r="AJ232" s="53" t="n"/>
      <c r="AK232" s="53" t="n"/>
      <c r="AL232" s="53" t="n"/>
      <c r="AM232" s="53" t="n"/>
      <c r="AN232" s="53" t="n"/>
      <c r="AO232" s="53" t="n"/>
      <c r="AP232" s="53" t="n"/>
      <c r="AQ232" s="53" t="n"/>
      <c r="AR232" s="53" t="n"/>
      <c r="AS232" s="53" t="n"/>
      <c r="AT232" s="53" t="n"/>
      <c r="AU232" s="53" t="n"/>
      <c r="AV232" s="53" t="n"/>
      <c r="AW232" s="53" t="n"/>
      <c r="AX232" s="53" t="n"/>
      <c r="AY232" s="53" t="n"/>
    </row>
    <row r="233" ht="15" customHeight="1">
      <c r="A233" s="62" t="n"/>
      <c r="B233" s="55">
        <f>IF($B$231="","",$B$231)</f>
        <v/>
      </c>
      <c r="C233" s="63" t="inlineStr">
        <is>
          <t>마케팅4팀</t>
        </is>
      </c>
      <c r="D233" s="55">
        <f>IF($D$231="","",$D$231)</f>
        <v/>
      </c>
      <c r="E233" s="64" t="inlineStr">
        <is>
          <t>영상</t>
        </is>
      </c>
      <c r="F233" s="44" t="n"/>
      <c r="G233" s="58">
        <f>IF($G$231="","",$G$231)</f>
        <v/>
      </c>
      <c r="H233" s="59" t="n"/>
      <c r="I233" s="59" t="n"/>
      <c r="J233" s="59" t="n"/>
      <c r="K233" s="59" t="n"/>
      <c r="L233" s="65">
        <f>IF(SUM(U233:AY233)=0,"",SUM(U233:AY233))</f>
        <v/>
      </c>
      <c r="M233" s="66">
        <f>IFERROR(INDEX(U$2:AY$2,MATCH(TRUE,INDEX(U233:AY233&lt;&gt;"",0),0)),"")</f>
        <v/>
      </c>
      <c r="N233" s="66">
        <f>IFERROR(LOOKUP(2,1/(U233:AY233&lt;&gt;""),U$2:AY$2),"")</f>
        <v/>
      </c>
      <c r="O233" s="59" t="n"/>
      <c r="P233" s="59" t="n"/>
      <c r="Q233" s="59" t="n"/>
      <c r="R233" s="59" t="n"/>
      <c r="S233" s="14" t="n"/>
      <c r="U233" s="53" t="n"/>
      <c r="V233" s="53" t="n"/>
      <c r="W233" s="53" t="n"/>
      <c r="X233" s="53" t="n"/>
      <c r="Y233" s="53" t="n"/>
      <c r="Z233" s="53" t="n"/>
      <c r="AA233" s="53" t="n"/>
      <c r="AB233" s="53" t="n"/>
      <c r="AC233" s="53" t="n"/>
      <c r="AD233" s="53" t="n"/>
      <c r="AE233" s="53" t="n"/>
      <c r="AF233" s="53" t="n"/>
      <c r="AG233" s="53" t="n"/>
      <c r="AH233" s="53" t="n"/>
      <c r="AI233" s="53" t="n"/>
      <c r="AJ233" s="53" t="n"/>
      <c r="AK233" s="53" t="n"/>
      <c r="AL233" s="53" t="n"/>
      <c r="AM233" s="53" t="n"/>
      <c r="AN233" s="53" t="n"/>
      <c r="AO233" s="53" t="n"/>
      <c r="AP233" s="53" t="n"/>
      <c r="AQ233" s="53" t="n"/>
      <c r="AR233" s="53" t="n"/>
      <c r="AS233" s="53" t="n"/>
      <c r="AT233" s="53" t="n"/>
      <c r="AU233" s="53" t="n"/>
      <c r="AV233" s="53" t="n"/>
      <c r="AW233" s="53" t="n"/>
      <c r="AX233" s="53" t="n"/>
      <c r="AY233" s="53" t="n"/>
    </row>
    <row r="234" ht="15" customHeight="1">
      <c r="A234" s="40">
        <f>IF($D$234="","",75)</f>
        <v/>
      </c>
      <c r="B234" s="10" t="n"/>
      <c r="C234" s="41" t="inlineStr">
        <is>
          <t>마케팅4팀</t>
        </is>
      </c>
      <c r="D234" s="42" t="n"/>
      <c r="E234" s="43" t="inlineStr">
        <is>
          <t>기획</t>
        </is>
      </c>
      <c r="F234" s="44" t="n"/>
      <c r="G234" s="45" t="n"/>
      <c r="H234" s="46">
        <f>IF($I$234="","",IF($I$234&lt;0,"🔴지연",IF($I$234&lt;=1,"🟡임박","🟢여유")))</f>
        <v/>
      </c>
      <c r="I234" s="47">
        <f>IF(OR($G$234="",$K$234=""),"",$G$234-$K$234)</f>
        <v/>
      </c>
      <c r="J234" s="48">
        <f>IF(SUM($L$234:$L$236)=0,"",SUM($L$234:$L$236))</f>
        <v/>
      </c>
      <c r="K234" s="49">
        <f>IF($J$234="","",MAX($N$234:$N$236))</f>
        <v/>
      </c>
      <c r="L234" s="50">
        <f>IF(SUM(U234:AY234)=0,"",SUM(U234:AY234))</f>
        <v/>
      </c>
      <c r="M234" s="51">
        <f>IFERROR(INDEX(U$2:AY$2,MATCH(TRUE,INDEX(U234:AY234&lt;&gt;"",0),0)),"")</f>
        <v/>
      </c>
      <c r="N234" s="51">
        <f>IFERROR(LOOKUP(2,1/(U234:AY234&lt;&gt;""),U$2:AY$2),"")</f>
        <v/>
      </c>
      <c r="O234" s="52" t="n"/>
      <c r="P234" s="52" t="n"/>
      <c r="Q234" s="52" t="n"/>
      <c r="R234" s="44" t="n"/>
      <c r="S234" s="14" t="n"/>
      <c r="U234" s="53" t="n"/>
      <c r="V234" s="53" t="n"/>
      <c r="W234" s="53" t="n"/>
      <c r="X234" s="53" t="n"/>
      <c r="Y234" s="53" t="n"/>
      <c r="Z234" s="53" t="n"/>
      <c r="AA234" s="53" t="n"/>
      <c r="AB234" s="53" t="n"/>
      <c r="AC234" s="53" t="n"/>
      <c r="AD234" s="53" t="n"/>
      <c r="AE234" s="53" t="n"/>
      <c r="AF234" s="53" t="n"/>
      <c r="AG234" s="53" t="n"/>
      <c r="AH234" s="53" t="n"/>
      <c r="AI234" s="53" t="n"/>
      <c r="AJ234" s="53" t="n"/>
      <c r="AK234" s="53" t="n"/>
      <c r="AL234" s="53" t="n"/>
      <c r="AM234" s="53" t="n"/>
      <c r="AN234" s="53" t="n"/>
      <c r="AO234" s="53" t="n"/>
      <c r="AP234" s="53" t="n"/>
      <c r="AQ234" s="53" t="n"/>
      <c r="AR234" s="53" t="n"/>
      <c r="AS234" s="53" t="n"/>
      <c r="AT234" s="53" t="n"/>
      <c r="AU234" s="53" t="n"/>
      <c r="AV234" s="53" t="n"/>
      <c r="AW234" s="53" t="n"/>
      <c r="AX234" s="53" t="n"/>
      <c r="AY234" s="53" t="n"/>
    </row>
    <row r="235" ht="15" customHeight="1">
      <c r="A235" s="54" t="n"/>
      <c r="B235" s="55">
        <f>IF($B$234="","",$B$234)</f>
        <v/>
      </c>
      <c r="C235" s="56" t="inlineStr">
        <is>
          <t>마케팅4팀</t>
        </is>
      </c>
      <c r="D235" s="55">
        <f>IF($D$234="","",$D$234)</f>
        <v/>
      </c>
      <c r="E235" s="57" t="inlineStr">
        <is>
          <t>이미지</t>
        </is>
      </c>
      <c r="F235" s="44" t="n"/>
      <c r="G235" s="58">
        <f>IF($G$234="","",$G$234)</f>
        <v/>
      </c>
      <c r="H235" s="59" t="n"/>
      <c r="I235" s="59" t="n"/>
      <c r="J235" s="59" t="n"/>
      <c r="K235" s="59" t="n"/>
      <c r="L235" s="60">
        <f>IF(SUM(U235:AY235)=0,"",SUM(U235:AY235))</f>
        <v/>
      </c>
      <c r="M235" s="61">
        <f>IFERROR(INDEX(U$2:AY$2,MATCH(TRUE,INDEX(U235:AY235&lt;&gt;"",0),0)),"")</f>
        <v/>
      </c>
      <c r="N235" s="61">
        <f>IFERROR(LOOKUP(2,1/(U235:AY235&lt;&gt;""),U$2:AY$2),"")</f>
        <v/>
      </c>
      <c r="O235" s="59" t="n"/>
      <c r="P235" s="59" t="n"/>
      <c r="Q235" s="59" t="n"/>
      <c r="R235" s="59" t="n"/>
      <c r="S235" s="14" t="n"/>
      <c r="U235" s="53" t="n"/>
      <c r="V235" s="53" t="n"/>
      <c r="W235" s="53" t="n"/>
      <c r="X235" s="53" t="n"/>
      <c r="Y235" s="53" t="n"/>
      <c r="Z235" s="53" t="n"/>
      <c r="AA235" s="53" t="n"/>
      <c r="AB235" s="53" t="n"/>
      <c r="AC235" s="53" t="n"/>
      <c r="AD235" s="53" t="n"/>
      <c r="AE235" s="53" t="n"/>
      <c r="AF235" s="53" t="n"/>
      <c r="AG235" s="53" t="n"/>
      <c r="AH235" s="53" t="n"/>
      <c r="AI235" s="53" t="n"/>
      <c r="AJ235" s="53" t="n"/>
      <c r="AK235" s="53" t="n"/>
      <c r="AL235" s="53" t="n"/>
      <c r="AM235" s="53" t="n"/>
      <c r="AN235" s="53" t="n"/>
      <c r="AO235" s="53" t="n"/>
      <c r="AP235" s="53" t="n"/>
      <c r="AQ235" s="53" t="n"/>
      <c r="AR235" s="53" t="n"/>
      <c r="AS235" s="53" t="n"/>
      <c r="AT235" s="53" t="n"/>
      <c r="AU235" s="53" t="n"/>
      <c r="AV235" s="53" t="n"/>
      <c r="AW235" s="53" t="n"/>
      <c r="AX235" s="53" t="n"/>
      <c r="AY235" s="53" t="n"/>
    </row>
    <row r="236" ht="15" customHeight="1">
      <c r="A236" s="62" t="n"/>
      <c r="B236" s="55">
        <f>IF($B$234="","",$B$234)</f>
        <v/>
      </c>
      <c r="C236" s="63" t="inlineStr">
        <is>
          <t>마케팅4팀</t>
        </is>
      </c>
      <c r="D236" s="55">
        <f>IF($D$234="","",$D$234)</f>
        <v/>
      </c>
      <c r="E236" s="64" t="inlineStr">
        <is>
          <t>영상</t>
        </is>
      </c>
      <c r="F236" s="44" t="n"/>
      <c r="G236" s="58">
        <f>IF($G$234="","",$G$234)</f>
        <v/>
      </c>
      <c r="H236" s="59" t="n"/>
      <c r="I236" s="59" t="n"/>
      <c r="J236" s="59" t="n"/>
      <c r="K236" s="59" t="n"/>
      <c r="L236" s="65">
        <f>IF(SUM(U236:AY236)=0,"",SUM(U236:AY236))</f>
        <v/>
      </c>
      <c r="M236" s="66">
        <f>IFERROR(INDEX(U$2:AY$2,MATCH(TRUE,INDEX(U236:AY236&lt;&gt;"",0),0)),"")</f>
        <v/>
      </c>
      <c r="N236" s="66">
        <f>IFERROR(LOOKUP(2,1/(U236:AY236&lt;&gt;""),U$2:AY$2),"")</f>
        <v/>
      </c>
      <c r="O236" s="59" t="n"/>
      <c r="P236" s="59" t="n"/>
      <c r="Q236" s="59" t="n"/>
      <c r="R236" s="59" t="n"/>
      <c r="S236" s="14" t="n"/>
      <c r="U236" s="53" t="n"/>
      <c r="V236" s="53" t="n"/>
      <c r="W236" s="53" t="n"/>
      <c r="X236" s="53" t="n"/>
      <c r="Y236" s="53" t="n"/>
      <c r="Z236" s="53" t="n"/>
      <c r="AA236" s="53" t="n"/>
      <c r="AB236" s="53" t="n"/>
      <c r="AC236" s="53" t="n"/>
      <c r="AD236" s="53" t="n"/>
      <c r="AE236" s="53" t="n"/>
      <c r="AF236" s="53" t="n"/>
      <c r="AG236" s="53" t="n"/>
      <c r="AH236" s="53" t="n"/>
      <c r="AI236" s="53" t="n"/>
      <c r="AJ236" s="53" t="n"/>
      <c r="AK236" s="53" t="n"/>
      <c r="AL236" s="53" t="n"/>
      <c r="AM236" s="53" t="n"/>
      <c r="AN236" s="53" t="n"/>
      <c r="AO236" s="53" t="n"/>
      <c r="AP236" s="53" t="n"/>
      <c r="AQ236" s="53" t="n"/>
      <c r="AR236" s="53" t="n"/>
      <c r="AS236" s="53" t="n"/>
      <c r="AT236" s="53" t="n"/>
      <c r="AU236" s="53" t="n"/>
      <c r="AV236" s="53" t="n"/>
      <c r="AW236" s="53" t="n"/>
      <c r="AX236" s="53" t="n"/>
      <c r="AY236" s="53" t="n"/>
    </row>
    <row r="237" ht="15" customHeight="1">
      <c r="A237" s="40">
        <f>IF($D$237="","",76)</f>
        <v/>
      </c>
      <c r="B237" s="10" t="n"/>
      <c r="C237" s="41" t="inlineStr">
        <is>
          <t>마케팅4팀</t>
        </is>
      </c>
      <c r="D237" s="42" t="n"/>
      <c r="E237" s="43" t="inlineStr">
        <is>
          <t>기획</t>
        </is>
      </c>
      <c r="F237" s="44" t="n"/>
      <c r="G237" s="45" t="n"/>
      <c r="H237" s="46">
        <f>IF($I$237="","",IF($I$237&lt;0,"🔴지연",IF($I$237&lt;=1,"🟡임박","🟢여유")))</f>
        <v/>
      </c>
      <c r="I237" s="47">
        <f>IF(OR($G$237="",$K$237=""),"",$G$237-$K$237)</f>
        <v/>
      </c>
      <c r="J237" s="48">
        <f>IF(SUM($L$237:$L$239)=0,"",SUM($L$237:$L$239))</f>
        <v/>
      </c>
      <c r="K237" s="49">
        <f>IF($J$237="","",MAX($N$237:$N$239))</f>
        <v/>
      </c>
      <c r="L237" s="50">
        <f>IF(SUM(U237:AY237)=0,"",SUM(U237:AY237))</f>
        <v/>
      </c>
      <c r="M237" s="51">
        <f>IFERROR(INDEX(U$2:AY$2,MATCH(TRUE,INDEX(U237:AY237&lt;&gt;"",0),0)),"")</f>
        <v/>
      </c>
      <c r="N237" s="51">
        <f>IFERROR(LOOKUP(2,1/(U237:AY237&lt;&gt;""),U$2:AY$2),"")</f>
        <v/>
      </c>
      <c r="O237" s="52" t="n"/>
      <c r="P237" s="52" t="n"/>
      <c r="Q237" s="52" t="n"/>
      <c r="R237" s="44" t="n"/>
      <c r="S237" s="14" t="n"/>
      <c r="U237" s="53" t="n"/>
      <c r="V237" s="53" t="n"/>
      <c r="W237" s="53" t="n"/>
      <c r="X237" s="53" t="n"/>
      <c r="Y237" s="53" t="n"/>
      <c r="Z237" s="53" t="n"/>
      <c r="AA237" s="53" t="n"/>
      <c r="AB237" s="53" t="n"/>
      <c r="AC237" s="53" t="n"/>
      <c r="AD237" s="53" t="n"/>
      <c r="AE237" s="53" t="n"/>
      <c r="AF237" s="53" t="n"/>
      <c r="AG237" s="53" t="n"/>
      <c r="AH237" s="53" t="n"/>
      <c r="AI237" s="53" t="n"/>
      <c r="AJ237" s="53" t="n"/>
      <c r="AK237" s="53" t="n"/>
      <c r="AL237" s="53" t="n"/>
      <c r="AM237" s="53" t="n"/>
      <c r="AN237" s="53" t="n"/>
      <c r="AO237" s="53" t="n"/>
      <c r="AP237" s="53" t="n"/>
      <c r="AQ237" s="53" t="n"/>
      <c r="AR237" s="53" t="n"/>
      <c r="AS237" s="53" t="n"/>
      <c r="AT237" s="53" t="n"/>
      <c r="AU237" s="53" t="n"/>
      <c r="AV237" s="53" t="n"/>
      <c r="AW237" s="53" t="n"/>
      <c r="AX237" s="53" t="n"/>
      <c r="AY237" s="53" t="n"/>
    </row>
    <row r="238" ht="15" customHeight="1">
      <c r="A238" s="54" t="n"/>
      <c r="B238" s="55">
        <f>IF($B$237="","",$B$237)</f>
        <v/>
      </c>
      <c r="C238" s="56" t="inlineStr">
        <is>
          <t>마케팅4팀</t>
        </is>
      </c>
      <c r="D238" s="55">
        <f>IF($D$237="","",$D$237)</f>
        <v/>
      </c>
      <c r="E238" s="57" t="inlineStr">
        <is>
          <t>이미지</t>
        </is>
      </c>
      <c r="F238" s="44" t="n"/>
      <c r="G238" s="58">
        <f>IF($G$237="","",$G$237)</f>
        <v/>
      </c>
      <c r="H238" s="59" t="n"/>
      <c r="I238" s="59" t="n"/>
      <c r="J238" s="59" t="n"/>
      <c r="K238" s="59" t="n"/>
      <c r="L238" s="60">
        <f>IF(SUM(U238:AY238)=0,"",SUM(U238:AY238))</f>
        <v/>
      </c>
      <c r="M238" s="61">
        <f>IFERROR(INDEX(U$2:AY$2,MATCH(TRUE,INDEX(U238:AY238&lt;&gt;"",0),0)),"")</f>
        <v/>
      </c>
      <c r="N238" s="61">
        <f>IFERROR(LOOKUP(2,1/(U238:AY238&lt;&gt;""),U$2:AY$2),"")</f>
        <v/>
      </c>
      <c r="O238" s="59" t="n"/>
      <c r="P238" s="59" t="n"/>
      <c r="Q238" s="59" t="n"/>
      <c r="R238" s="59" t="n"/>
      <c r="S238" s="14" t="n"/>
      <c r="U238" s="53" t="n"/>
      <c r="V238" s="53" t="n"/>
      <c r="W238" s="53" t="n"/>
      <c r="X238" s="53" t="n"/>
      <c r="Y238" s="53" t="n"/>
      <c r="Z238" s="53" t="n"/>
      <c r="AA238" s="53" t="n"/>
      <c r="AB238" s="53" t="n"/>
      <c r="AC238" s="53" t="n"/>
      <c r="AD238" s="53" t="n"/>
      <c r="AE238" s="53" t="n"/>
      <c r="AF238" s="53" t="n"/>
      <c r="AG238" s="53" t="n"/>
      <c r="AH238" s="53" t="n"/>
      <c r="AI238" s="53" t="n"/>
      <c r="AJ238" s="53" t="n"/>
      <c r="AK238" s="53" t="n"/>
      <c r="AL238" s="53" t="n"/>
      <c r="AM238" s="53" t="n"/>
      <c r="AN238" s="53" t="n"/>
      <c r="AO238" s="53" t="n"/>
      <c r="AP238" s="53" t="n"/>
      <c r="AQ238" s="53" t="n"/>
      <c r="AR238" s="53" t="n"/>
      <c r="AS238" s="53" t="n"/>
      <c r="AT238" s="53" t="n"/>
      <c r="AU238" s="53" t="n"/>
      <c r="AV238" s="53" t="n"/>
      <c r="AW238" s="53" t="n"/>
      <c r="AX238" s="53" t="n"/>
      <c r="AY238" s="53" t="n"/>
    </row>
    <row r="239" ht="15" customHeight="1">
      <c r="A239" s="62" t="n"/>
      <c r="B239" s="55">
        <f>IF($B$237="","",$B$237)</f>
        <v/>
      </c>
      <c r="C239" s="63" t="inlineStr">
        <is>
          <t>마케팅4팀</t>
        </is>
      </c>
      <c r="D239" s="55">
        <f>IF($D$237="","",$D$237)</f>
        <v/>
      </c>
      <c r="E239" s="64" t="inlineStr">
        <is>
          <t>영상</t>
        </is>
      </c>
      <c r="F239" s="44" t="n"/>
      <c r="G239" s="58">
        <f>IF($G$237="","",$G$237)</f>
        <v/>
      </c>
      <c r="H239" s="59" t="n"/>
      <c r="I239" s="59" t="n"/>
      <c r="J239" s="59" t="n"/>
      <c r="K239" s="59" t="n"/>
      <c r="L239" s="65">
        <f>IF(SUM(U239:AY239)=0,"",SUM(U239:AY239))</f>
        <v/>
      </c>
      <c r="M239" s="66">
        <f>IFERROR(INDEX(U$2:AY$2,MATCH(TRUE,INDEX(U239:AY239&lt;&gt;"",0),0)),"")</f>
        <v/>
      </c>
      <c r="N239" s="66">
        <f>IFERROR(LOOKUP(2,1/(U239:AY239&lt;&gt;""),U$2:AY$2),"")</f>
        <v/>
      </c>
      <c r="O239" s="59" t="n"/>
      <c r="P239" s="59" t="n"/>
      <c r="Q239" s="59" t="n"/>
      <c r="R239" s="59" t="n"/>
      <c r="S239" s="14" t="n"/>
      <c r="U239" s="53" t="n"/>
      <c r="V239" s="53" t="n"/>
      <c r="W239" s="53" t="n"/>
      <c r="X239" s="53" t="n"/>
      <c r="Y239" s="53" t="n"/>
      <c r="Z239" s="53" t="n"/>
      <c r="AA239" s="53" t="n"/>
      <c r="AB239" s="53" t="n"/>
      <c r="AC239" s="53" t="n"/>
      <c r="AD239" s="53" t="n"/>
      <c r="AE239" s="53" t="n"/>
      <c r="AF239" s="53" t="n"/>
      <c r="AG239" s="53" t="n"/>
      <c r="AH239" s="53" t="n"/>
      <c r="AI239" s="53" t="n"/>
      <c r="AJ239" s="53" t="n"/>
      <c r="AK239" s="53" t="n"/>
      <c r="AL239" s="53" t="n"/>
      <c r="AM239" s="53" t="n"/>
      <c r="AN239" s="53" t="n"/>
      <c r="AO239" s="53" t="n"/>
      <c r="AP239" s="53" t="n"/>
      <c r="AQ239" s="53" t="n"/>
      <c r="AR239" s="53" t="n"/>
      <c r="AS239" s="53" t="n"/>
      <c r="AT239" s="53" t="n"/>
      <c r="AU239" s="53" t="n"/>
      <c r="AV239" s="53" t="n"/>
      <c r="AW239" s="53" t="n"/>
      <c r="AX239" s="53" t="n"/>
      <c r="AY239" s="53" t="n"/>
    </row>
    <row r="240" ht="15" customHeight="1">
      <c r="A240" s="40">
        <f>IF($D$240="","",77)</f>
        <v/>
      </c>
      <c r="B240" s="10" t="n"/>
      <c r="C240" s="41" t="inlineStr">
        <is>
          <t>마케팅4팀</t>
        </is>
      </c>
      <c r="D240" s="42" t="n"/>
      <c r="E240" s="43" t="inlineStr">
        <is>
          <t>기획</t>
        </is>
      </c>
      <c r="F240" s="44" t="n"/>
      <c r="G240" s="45" t="n"/>
      <c r="H240" s="46">
        <f>IF($I$240="","",IF($I$240&lt;0,"🔴지연",IF($I$240&lt;=1,"🟡임박","🟢여유")))</f>
        <v/>
      </c>
      <c r="I240" s="47">
        <f>IF(OR($G$240="",$K$240=""),"",$G$240-$K$240)</f>
        <v/>
      </c>
      <c r="J240" s="48">
        <f>IF(SUM($L$240:$L$242)=0,"",SUM($L$240:$L$242))</f>
        <v/>
      </c>
      <c r="K240" s="49">
        <f>IF($J$240="","",MAX($N$240:$N$242))</f>
        <v/>
      </c>
      <c r="L240" s="50">
        <f>IF(SUM(U240:AY240)=0,"",SUM(U240:AY240))</f>
        <v/>
      </c>
      <c r="M240" s="51">
        <f>IFERROR(INDEX(U$2:AY$2,MATCH(TRUE,INDEX(U240:AY240&lt;&gt;"",0),0)),"")</f>
        <v/>
      </c>
      <c r="N240" s="51">
        <f>IFERROR(LOOKUP(2,1/(U240:AY240&lt;&gt;""),U$2:AY$2),"")</f>
        <v/>
      </c>
      <c r="O240" s="52" t="n"/>
      <c r="P240" s="52" t="n"/>
      <c r="Q240" s="52" t="n"/>
      <c r="R240" s="44" t="n"/>
      <c r="S240" s="14" t="n"/>
      <c r="U240" s="53" t="n"/>
      <c r="V240" s="53" t="n"/>
      <c r="W240" s="53" t="n"/>
      <c r="X240" s="53" t="n"/>
      <c r="Y240" s="53" t="n"/>
      <c r="Z240" s="53" t="n"/>
      <c r="AA240" s="53" t="n"/>
      <c r="AB240" s="53" t="n"/>
      <c r="AC240" s="53" t="n"/>
      <c r="AD240" s="53" t="n"/>
      <c r="AE240" s="53" t="n"/>
      <c r="AF240" s="53" t="n"/>
      <c r="AG240" s="53" t="n"/>
      <c r="AH240" s="53" t="n"/>
      <c r="AI240" s="53" t="n"/>
      <c r="AJ240" s="53" t="n"/>
      <c r="AK240" s="53" t="n"/>
      <c r="AL240" s="53" t="n"/>
      <c r="AM240" s="53" t="n"/>
      <c r="AN240" s="53" t="n"/>
      <c r="AO240" s="53" t="n"/>
      <c r="AP240" s="53" t="n"/>
      <c r="AQ240" s="53" t="n"/>
      <c r="AR240" s="53" t="n"/>
      <c r="AS240" s="53" t="n"/>
      <c r="AT240" s="53" t="n"/>
      <c r="AU240" s="53" t="n"/>
      <c r="AV240" s="53" t="n"/>
      <c r="AW240" s="53" t="n"/>
      <c r="AX240" s="53" t="n"/>
      <c r="AY240" s="53" t="n"/>
    </row>
    <row r="241" ht="15" customHeight="1">
      <c r="A241" s="54" t="n"/>
      <c r="B241" s="55">
        <f>IF($B$240="","",$B$240)</f>
        <v/>
      </c>
      <c r="C241" s="56" t="inlineStr">
        <is>
          <t>마케팅4팀</t>
        </is>
      </c>
      <c r="D241" s="55">
        <f>IF($D$240="","",$D$240)</f>
        <v/>
      </c>
      <c r="E241" s="57" t="inlineStr">
        <is>
          <t>이미지</t>
        </is>
      </c>
      <c r="F241" s="44" t="n"/>
      <c r="G241" s="58">
        <f>IF($G$240="","",$G$240)</f>
        <v/>
      </c>
      <c r="H241" s="59" t="n"/>
      <c r="I241" s="59" t="n"/>
      <c r="J241" s="59" t="n"/>
      <c r="K241" s="59" t="n"/>
      <c r="L241" s="60">
        <f>IF(SUM(U241:AY241)=0,"",SUM(U241:AY241))</f>
        <v/>
      </c>
      <c r="M241" s="61">
        <f>IFERROR(INDEX(U$2:AY$2,MATCH(TRUE,INDEX(U241:AY241&lt;&gt;"",0),0)),"")</f>
        <v/>
      </c>
      <c r="N241" s="61">
        <f>IFERROR(LOOKUP(2,1/(U241:AY241&lt;&gt;""),U$2:AY$2),"")</f>
        <v/>
      </c>
      <c r="O241" s="59" t="n"/>
      <c r="P241" s="59" t="n"/>
      <c r="Q241" s="59" t="n"/>
      <c r="R241" s="59" t="n"/>
      <c r="S241" s="14" t="n"/>
      <c r="U241" s="53" t="n"/>
      <c r="V241" s="53" t="n"/>
      <c r="W241" s="53" t="n"/>
      <c r="X241" s="53" t="n"/>
      <c r="Y241" s="53" t="n"/>
      <c r="Z241" s="53" t="n"/>
      <c r="AA241" s="53" t="n"/>
      <c r="AB241" s="53" t="n"/>
      <c r="AC241" s="53" t="n"/>
      <c r="AD241" s="53" t="n"/>
      <c r="AE241" s="53" t="n"/>
      <c r="AF241" s="53" t="n"/>
      <c r="AG241" s="53" t="n"/>
      <c r="AH241" s="53" t="n"/>
      <c r="AI241" s="53" t="n"/>
      <c r="AJ241" s="53" t="n"/>
      <c r="AK241" s="53" t="n"/>
      <c r="AL241" s="53" t="n"/>
      <c r="AM241" s="53" t="n"/>
      <c r="AN241" s="53" t="n"/>
      <c r="AO241" s="53" t="n"/>
      <c r="AP241" s="53" t="n"/>
      <c r="AQ241" s="53" t="n"/>
      <c r="AR241" s="53" t="n"/>
      <c r="AS241" s="53" t="n"/>
      <c r="AT241" s="53" t="n"/>
      <c r="AU241" s="53" t="n"/>
      <c r="AV241" s="53" t="n"/>
      <c r="AW241" s="53" t="n"/>
      <c r="AX241" s="53" t="n"/>
      <c r="AY241" s="53" t="n"/>
    </row>
    <row r="242" ht="15" customHeight="1">
      <c r="A242" s="62" t="n"/>
      <c r="B242" s="55">
        <f>IF($B$240="","",$B$240)</f>
        <v/>
      </c>
      <c r="C242" s="63" t="inlineStr">
        <is>
          <t>마케팅4팀</t>
        </is>
      </c>
      <c r="D242" s="55">
        <f>IF($D$240="","",$D$240)</f>
        <v/>
      </c>
      <c r="E242" s="64" t="inlineStr">
        <is>
          <t>영상</t>
        </is>
      </c>
      <c r="F242" s="44" t="n"/>
      <c r="G242" s="58">
        <f>IF($G$240="","",$G$240)</f>
        <v/>
      </c>
      <c r="H242" s="59" t="n"/>
      <c r="I242" s="59" t="n"/>
      <c r="J242" s="59" t="n"/>
      <c r="K242" s="59" t="n"/>
      <c r="L242" s="65">
        <f>IF(SUM(U242:AY242)=0,"",SUM(U242:AY242))</f>
        <v/>
      </c>
      <c r="M242" s="66">
        <f>IFERROR(INDEX(U$2:AY$2,MATCH(TRUE,INDEX(U242:AY242&lt;&gt;"",0),0)),"")</f>
        <v/>
      </c>
      <c r="N242" s="66">
        <f>IFERROR(LOOKUP(2,1/(U242:AY242&lt;&gt;""),U$2:AY$2),"")</f>
        <v/>
      </c>
      <c r="O242" s="59" t="n"/>
      <c r="P242" s="59" t="n"/>
      <c r="Q242" s="59" t="n"/>
      <c r="R242" s="59" t="n"/>
      <c r="S242" s="14" t="n"/>
      <c r="U242" s="53" t="n"/>
      <c r="V242" s="53" t="n"/>
      <c r="W242" s="53" t="n"/>
      <c r="X242" s="53" t="n"/>
      <c r="Y242" s="53" t="n"/>
      <c r="Z242" s="53" t="n"/>
      <c r="AA242" s="53" t="n"/>
      <c r="AB242" s="53" t="n"/>
      <c r="AC242" s="53" t="n"/>
      <c r="AD242" s="53" t="n"/>
      <c r="AE242" s="53" t="n"/>
      <c r="AF242" s="53" t="n"/>
      <c r="AG242" s="53" t="n"/>
      <c r="AH242" s="53" t="n"/>
      <c r="AI242" s="53" t="n"/>
      <c r="AJ242" s="53" t="n"/>
      <c r="AK242" s="53" t="n"/>
      <c r="AL242" s="53" t="n"/>
      <c r="AM242" s="53" t="n"/>
      <c r="AN242" s="53" t="n"/>
      <c r="AO242" s="53" t="n"/>
      <c r="AP242" s="53" t="n"/>
      <c r="AQ242" s="53" t="n"/>
      <c r="AR242" s="53" t="n"/>
      <c r="AS242" s="53" t="n"/>
      <c r="AT242" s="53" t="n"/>
      <c r="AU242" s="53" t="n"/>
      <c r="AV242" s="53" t="n"/>
      <c r="AW242" s="53" t="n"/>
      <c r="AX242" s="53" t="n"/>
      <c r="AY242" s="53" t="n"/>
    </row>
    <row r="243" ht="15" customHeight="1">
      <c r="A243" s="40">
        <f>IF($D$243="","",78)</f>
        <v/>
      </c>
      <c r="B243" s="10" t="n"/>
      <c r="C243" s="41" t="inlineStr">
        <is>
          <t>마케팅4팀</t>
        </is>
      </c>
      <c r="D243" s="42" t="n"/>
      <c r="E243" s="43" t="inlineStr">
        <is>
          <t>기획</t>
        </is>
      </c>
      <c r="F243" s="44" t="n"/>
      <c r="G243" s="45" t="n"/>
      <c r="H243" s="46">
        <f>IF($I$243="","",IF($I$243&lt;0,"🔴지연",IF($I$243&lt;=1,"🟡임박","🟢여유")))</f>
        <v/>
      </c>
      <c r="I243" s="47">
        <f>IF(OR($G$243="",$K$243=""),"",$G$243-$K$243)</f>
        <v/>
      </c>
      <c r="J243" s="48">
        <f>IF(SUM($L$243:$L$245)=0,"",SUM($L$243:$L$245))</f>
        <v/>
      </c>
      <c r="K243" s="49">
        <f>IF($J$243="","",MAX($N$243:$N$245))</f>
        <v/>
      </c>
      <c r="L243" s="50">
        <f>IF(SUM(U243:AY243)=0,"",SUM(U243:AY243))</f>
        <v/>
      </c>
      <c r="M243" s="51">
        <f>IFERROR(INDEX(U$2:AY$2,MATCH(TRUE,INDEX(U243:AY243&lt;&gt;"",0),0)),"")</f>
        <v/>
      </c>
      <c r="N243" s="51">
        <f>IFERROR(LOOKUP(2,1/(U243:AY243&lt;&gt;""),U$2:AY$2),"")</f>
        <v/>
      </c>
      <c r="O243" s="52" t="n"/>
      <c r="P243" s="52" t="n"/>
      <c r="Q243" s="52" t="n"/>
      <c r="R243" s="44" t="n"/>
      <c r="S243" s="14" t="n"/>
      <c r="U243" s="53" t="n"/>
      <c r="V243" s="53" t="n"/>
      <c r="W243" s="53" t="n"/>
      <c r="X243" s="53" t="n"/>
      <c r="Y243" s="53" t="n"/>
      <c r="Z243" s="53" t="n"/>
      <c r="AA243" s="53" t="n"/>
      <c r="AB243" s="53" t="n"/>
      <c r="AC243" s="53" t="n"/>
      <c r="AD243" s="53" t="n"/>
      <c r="AE243" s="53" t="n"/>
      <c r="AF243" s="53" t="n"/>
      <c r="AG243" s="53" t="n"/>
      <c r="AH243" s="53" t="n"/>
      <c r="AI243" s="53" t="n"/>
      <c r="AJ243" s="53" t="n"/>
      <c r="AK243" s="53" t="n"/>
      <c r="AL243" s="53" t="n"/>
      <c r="AM243" s="53" t="n"/>
      <c r="AN243" s="53" t="n"/>
      <c r="AO243" s="53" t="n"/>
      <c r="AP243" s="53" t="n"/>
      <c r="AQ243" s="53" t="n"/>
      <c r="AR243" s="53" t="n"/>
      <c r="AS243" s="53" t="n"/>
      <c r="AT243" s="53" t="n"/>
      <c r="AU243" s="53" t="n"/>
      <c r="AV243" s="53" t="n"/>
      <c r="AW243" s="53" t="n"/>
      <c r="AX243" s="53" t="n"/>
      <c r="AY243" s="53" t="n"/>
    </row>
    <row r="244" ht="15" customHeight="1">
      <c r="A244" s="54" t="n"/>
      <c r="B244" s="55">
        <f>IF($B$243="","",$B$243)</f>
        <v/>
      </c>
      <c r="C244" s="56" t="inlineStr">
        <is>
          <t>마케팅4팀</t>
        </is>
      </c>
      <c r="D244" s="55">
        <f>IF($D$243="","",$D$243)</f>
        <v/>
      </c>
      <c r="E244" s="57" t="inlineStr">
        <is>
          <t>이미지</t>
        </is>
      </c>
      <c r="F244" s="44" t="n"/>
      <c r="G244" s="58">
        <f>IF($G$243="","",$G$243)</f>
        <v/>
      </c>
      <c r="H244" s="59" t="n"/>
      <c r="I244" s="59" t="n"/>
      <c r="J244" s="59" t="n"/>
      <c r="K244" s="59" t="n"/>
      <c r="L244" s="60">
        <f>IF(SUM(U244:AY244)=0,"",SUM(U244:AY244))</f>
        <v/>
      </c>
      <c r="M244" s="61">
        <f>IFERROR(INDEX(U$2:AY$2,MATCH(TRUE,INDEX(U244:AY244&lt;&gt;"",0),0)),"")</f>
        <v/>
      </c>
      <c r="N244" s="61">
        <f>IFERROR(LOOKUP(2,1/(U244:AY244&lt;&gt;""),U$2:AY$2),"")</f>
        <v/>
      </c>
      <c r="O244" s="59" t="n"/>
      <c r="P244" s="59" t="n"/>
      <c r="Q244" s="59" t="n"/>
      <c r="R244" s="59" t="n"/>
      <c r="S244" s="14" t="n"/>
      <c r="U244" s="53" t="n"/>
      <c r="V244" s="53" t="n"/>
      <c r="W244" s="53" t="n"/>
      <c r="X244" s="53" t="n"/>
      <c r="Y244" s="53" t="n"/>
      <c r="Z244" s="53" t="n"/>
      <c r="AA244" s="53" t="n"/>
      <c r="AB244" s="53" t="n"/>
      <c r="AC244" s="53" t="n"/>
      <c r="AD244" s="53" t="n"/>
      <c r="AE244" s="53" t="n"/>
      <c r="AF244" s="53" t="n"/>
      <c r="AG244" s="53" t="n"/>
      <c r="AH244" s="53" t="n"/>
      <c r="AI244" s="53" t="n"/>
      <c r="AJ244" s="53" t="n"/>
      <c r="AK244" s="53" t="n"/>
      <c r="AL244" s="53" t="n"/>
      <c r="AM244" s="53" t="n"/>
      <c r="AN244" s="53" t="n"/>
      <c r="AO244" s="53" t="n"/>
      <c r="AP244" s="53" t="n"/>
      <c r="AQ244" s="53" t="n"/>
      <c r="AR244" s="53" t="n"/>
      <c r="AS244" s="53" t="n"/>
      <c r="AT244" s="53" t="n"/>
      <c r="AU244" s="53" t="n"/>
      <c r="AV244" s="53" t="n"/>
      <c r="AW244" s="53" t="n"/>
      <c r="AX244" s="53" t="n"/>
      <c r="AY244" s="53" t="n"/>
    </row>
    <row r="245" ht="15" customHeight="1">
      <c r="A245" s="62" t="n"/>
      <c r="B245" s="55">
        <f>IF($B$243="","",$B$243)</f>
        <v/>
      </c>
      <c r="C245" s="63" t="inlineStr">
        <is>
          <t>마케팅4팀</t>
        </is>
      </c>
      <c r="D245" s="55">
        <f>IF($D$243="","",$D$243)</f>
        <v/>
      </c>
      <c r="E245" s="64" t="inlineStr">
        <is>
          <t>영상</t>
        </is>
      </c>
      <c r="F245" s="44" t="n"/>
      <c r="G245" s="58">
        <f>IF($G$243="","",$G$243)</f>
        <v/>
      </c>
      <c r="H245" s="59" t="n"/>
      <c r="I245" s="59" t="n"/>
      <c r="J245" s="59" t="n"/>
      <c r="K245" s="59" t="n"/>
      <c r="L245" s="65">
        <f>IF(SUM(U245:AY245)=0,"",SUM(U245:AY245))</f>
        <v/>
      </c>
      <c r="M245" s="66">
        <f>IFERROR(INDEX(U$2:AY$2,MATCH(TRUE,INDEX(U245:AY245&lt;&gt;"",0),0)),"")</f>
        <v/>
      </c>
      <c r="N245" s="66">
        <f>IFERROR(LOOKUP(2,1/(U245:AY245&lt;&gt;""),U$2:AY$2),"")</f>
        <v/>
      </c>
      <c r="O245" s="59" t="n"/>
      <c r="P245" s="59" t="n"/>
      <c r="Q245" s="59" t="n"/>
      <c r="R245" s="59" t="n"/>
      <c r="S245" s="14" t="n"/>
      <c r="U245" s="53" t="n"/>
      <c r="V245" s="53" t="n"/>
      <c r="W245" s="53" t="n"/>
      <c r="X245" s="53" t="n"/>
      <c r="Y245" s="53" t="n"/>
      <c r="Z245" s="53" t="n"/>
      <c r="AA245" s="53" t="n"/>
      <c r="AB245" s="53" t="n"/>
      <c r="AC245" s="53" t="n"/>
      <c r="AD245" s="53" t="n"/>
      <c r="AE245" s="53" t="n"/>
      <c r="AF245" s="53" t="n"/>
      <c r="AG245" s="53" t="n"/>
      <c r="AH245" s="53" t="n"/>
      <c r="AI245" s="53" t="n"/>
      <c r="AJ245" s="53" t="n"/>
      <c r="AK245" s="53" t="n"/>
      <c r="AL245" s="53" t="n"/>
      <c r="AM245" s="53" t="n"/>
      <c r="AN245" s="53" t="n"/>
      <c r="AO245" s="53" t="n"/>
      <c r="AP245" s="53" t="n"/>
      <c r="AQ245" s="53" t="n"/>
      <c r="AR245" s="53" t="n"/>
      <c r="AS245" s="53" t="n"/>
      <c r="AT245" s="53" t="n"/>
      <c r="AU245" s="53" t="n"/>
      <c r="AV245" s="53" t="n"/>
      <c r="AW245" s="53" t="n"/>
      <c r="AX245" s="53" t="n"/>
      <c r="AY245" s="53" t="n"/>
    </row>
    <row r="246" ht="15" customHeight="1">
      <c r="A246" s="40">
        <f>IF($D$246="","",79)</f>
        <v/>
      </c>
      <c r="B246" s="10" t="n"/>
      <c r="C246" s="41" t="inlineStr">
        <is>
          <t>마케팅4팀</t>
        </is>
      </c>
      <c r="D246" s="42" t="n"/>
      <c r="E246" s="43" t="inlineStr">
        <is>
          <t>기획</t>
        </is>
      </c>
      <c r="F246" s="44" t="n"/>
      <c r="G246" s="45" t="n"/>
      <c r="H246" s="46">
        <f>IF($I$246="","",IF($I$246&lt;0,"🔴지연",IF($I$246&lt;=1,"🟡임박","🟢여유")))</f>
        <v/>
      </c>
      <c r="I246" s="47">
        <f>IF(OR($G$246="",$K$246=""),"",$G$246-$K$246)</f>
        <v/>
      </c>
      <c r="J246" s="48">
        <f>IF(SUM($L$246:$L$248)=0,"",SUM($L$246:$L$248))</f>
        <v/>
      </c>
      <c r="K246" s="49">
        <f>IF($J$246="","",MAX($N$246:$N$248))</f>
        <v/>
      </c>
      <c r="L246" s="50">
        <f>IF(SUM(U246:AY246)=0,"",SUM(U246:AY246))</f>
        <v/>
      </c>
      <c r="M246" s="51">
        <f>IFERROR(INDEX(U$2:AY$2,MATCH(TRUE,INDEX(U246:AY246&lt;&gt;"",0),0)),"")</f>
        <v/>
      </c>
      <c r="N246" s="51">
        <f>IFERROR(LOOKUP(2,1/(U246:AY246&lt;&gt;""),U$2:AY$2),"")</f>
        <v/>
      </c>
      <c r="O246" s="52" t="n"/>
      <c r="P246" s="52" t="n"/>
      <c r="Q246" s="52" t="n"/>
      <c r="R246" s="44" t="n"/>
      <c r="S246" s="14" t="n"/>
      <c r="U246" s="53" t="n"/>
      <c r="V246" s="53" t="n"/>
      <c r="W246" s="53" t="n"/>
      <c r="X246" s="53" t="n"/>
      <c r="Y246" s="53" t="n"/>
      <c r="Z246" s="53" t="n"/>
      <c r="AA246" s="53" t="n"/>
      <c r="AB246" s="53" t="n"/>
      <c r="AC246" s="53" t="n"/>
      <c r="AD246" s="53" t="n"/>
      <c r="AE246" s="53" t="n"/>
      <c r="AF246" s="53" t="n"/>
      <c r="AG246" s="53" t="n"/>
      <c r="AH246" s="53" t="n"/>
      <c r="AI246" s="53" t="n"/>
      <c r="AJ246" s="53" t="n"/>
      <c r="AK246" s="53" t="n"/>
      <c r="AL246" s="53" t="n"/>
      <c r="AM246" s="53" t="n"/>
      <c r="AN246" s="53" t="n"/>
      <c r="AO246" s="53" t="n"/>
      <c r="AP246" s="53" t="n"/>
      <c r="AQ246" s="53" t="n"/>
      <c r="AR246" s="53" t="n"/>
      <c r="AS246" s="53" t="n"/>
      <c r="AT246" s="53" t="n"/>
      <c r="AU246" s="53" t="n"/>
      <c r="AV246" s="53" t="n"/>
      <c r="AW246" s="53" t="n"/>
      <c r="AX246" s="53" t="n"/>
      <c r="AY246" s="53" t="n"/>
    </row>
    <row r="247" ht="15" customHeight="1">
      <c r="A247" s="54" t="n"/>
      <c r="B247" s="55">
        <f>IF($B$246="","",$B$246)</f>
        <v/>
      </c>
      <c r="C247" s="56" t="inlineStr">
        <is>
          <t>마케팅4팀</t>
        </is>
      </c>
      <c r="D247" s="55">
        <f>IF($D$246="","",$D$246)</f>
        <v/>
      </c>
      <c r="E247" s="57" t="inlineStr">
        <is>
          <t>이미지</t>
        </is>
      </c>
      <c r="F247" s="44" t="n"/>
      <c r="G247" s="58">
        <f>IF($G$246="","",$G$246)</f>
        <v/>
      </c>
      <c r="H247" s="59" t="n"/>
      <c r="I247" s="59" t="n"/>
      <c r="J247" s="59" t="n"/>
      <c r="K247" s="59" t="n"/>
      <c r="L247" s="60">
        <f>IF(SUM(U247:AY247)=0,"",SUM(U247:AY247))</f>
        <v/>
      </c>
      <c r="M247" s="61">
        <f>IFERROR(INDEX(U$2:AY$2,MATCH(TRUE,INDEX(U247:AY247&lt;&gt;"",0),0)),"")</f>
        <v/>
      </c>
      <c r="N247" s="61">
        <f>IFERROR(LOOKUP(2,1/(U247:AY247&lt;&gt;""),U$2:AY$2),"")</f>
        <v/>
      </c>
      <c r="O247" s="59" t="n"/>
      <c r="P247" s="59" t="n"/>
      <c r="Q247" s="59" t="n"/>
      <c r="R247" s="59" t="n"/>
      <c r="S247" s="14" t="n"/>
      <c r="U247" s="53" t="n"/>
      <c r="V247" s="53" t="n"/>
      <c r="W247" s="53" t="n"/>
      <c r="X247" s="53" t="n"/>
      <c r="Y247" s="53" t="n"/>
      <c r="Z247" s="53" t="n"/>
      <c r="AA247" s="53" t="n"/>
      <c r="AB247" s="53" t="n"/>
      <c r="AC247" s="53" t="n"/>
      <c r="AD247" s="53" t="n"/>
      <c r="AE247" s="53" t="n"/>
      <c r="AF247" s="53" t="n"/>
      <c r="AG247" s="53" t="n"/>
      <c r="AH247" s="53" t="n"/>
      <c r="AI247" s="53" t="n"/>
      <c r="AJ247" s="53" t="n"/>
      <c r="AK247" s="53" t="n"/>
      <c r="AL247" s="53" t="n"/>
      <c r="AM247" s="53" t="n"/>
      <c r="AN247" s="53" t="n"/>
      <c r="AO247" s="53" t="n"/>
      <c r="AP247" s="53" t="n"/>
      <c r="AQ247" s="53" t="n"/>
      <c r="AR247" s="53" t="n"/>
      <c r="AS247" s="53" t="n"/>
      <c r="AT247" s="53" t="n"/>
      <c r="AU247" s="53" t="n"/>
      <c r="AV247" s="53" t="n"/>
      <c r="AW247" s="53" t="n"/>
      <c r="AX247" s="53" t="n"/>
      <c r="AY247" s="53" t="n"/>
    </row>
    <row r="248" ht="15" customHeight="1">
      <c r="A248" s="62" t="n"/>
      <c r="B248" s="55">
        <f>IF($B$246="","",$B$246)</f>
        <v/>
      </c>
      <c r="C248" s="63" t="inlineStr">
        <is>
          <t>마케팅4팀</t>
        </is>
      </c>
      <c r="D248" s="55">
        <f>IF($D$246="","",$D$246)</f>
        <v/>
      </c>
      <c r="E248" s="64" t="inlineStr">
        <is>
          <t>영상</t>
        </is>
      </c>
      <c r="F248" s="44" t="n"/>
      <c r="G248" s="58">
        <f>IF($G$246="","",$G$246)</f>
        <v/>
      </c>
      <c r="H248" s="59" t="n"/>
      <c r="I248" s="59" t="n"/>
      <c r="J248" s="59" t="n"/>
      <c r="K248" s="59" t="n"/>
      <c r="L248" s="65">
        <f>IF(SUM(U248:AY248)=0,"",SUM(U248:AY248))</f>
        <v/>
      </c>
      <c r="M248" s="66">
        <f>IFERROR(INDEX(U$2:AY$2,MATCH(TRUE,INDEX(U248:AY248&lt;&gt;"",0),0)),"")</f>
        <v/>
      </c>
      <c r="N248" s="66">
        <f>IFERROR(LOOKUP(2,1/(U248:AY248&lt;&gt;""),U$2:AY$2),"")</f>
        <v/>
      </c>
      <c r="O248" s="59" t="n"/>
      <c r="P248" s="59" t="n"/>
      <c r="Q248" s="59" t="n"/>
      <c r="R248" s="59" t="n"/>
      <c r="S248" s="14" t="n"/>
      <c r="U248" s="53" t="n"/>
      <c r="V248" s="53" t="n"/>
      <c r="W248" s="53" t="n"/>
      <c r="X248" s="53" t="n"/>
      <c r="Y248" s="53" t="n"/>
      <c r="Z248" s="53" t="n"/>
      <c r="AA248" s="53" t="n"/>
      <c r="AB248" s="53" t="n"/>
      <c r="AC248" s="53" t="n"/>
      <c r="AD248" s="53" t="n"/>
      <c r="AE248" s="53" t="n"/>
      <c r="AF248" s="53" t="n"/>
      <c r="AG248" s="53" t="n"/>
      <c r="AH248" s="53" t="n"/>
      <c r="AI248" s="53" t="n"/>
      <c r="AJ248" s="53" t="n"/>
      <c r="AK248" s="53" t="n"/>
      <c r="AL248" s="53" t="n"/>
      <c r="AM248" s="53" t="n"/>
      <c r="AN248" s="53" t="n"/>
      <c r="AO248" s="53" t="n"/>
      <c r="AP248" s="53" t="n"/>
      <c r="AQ248" s="53" t="n"/>
      <c r="AR248" s="53" t="n"/>
      <c r="AS248" s="53" t="n"/>
      <c r="AT248" s="53" t="n"/>
      <c r="AU248" s="53" t="n"/>
      <c r="AV248" s="53" t="n"/>
      <c r="AW248" s="53" t="n"/>
      <c r="AX248" s="53" t="n"/>
      <c r="AY248" s="53" t="n"/>
    </row>
    <row r="249" ht="15" customHeight="1">
      <c r="A249" s="40">
        <f>IF($D$249="","",80)</f>
        <v/>
      </c>
      <c r="B249" s="10" t="n"/>
      <c r="C249" s="41" t="inlineStr">
        <is>
          <t>마케팅4팀</t>
        </is>
      </c>
      <c r="D249" s="42" t="n"/>
      <c r="E249" s="43" t="inlineStr">
        <is>
          <t>기획</t>
        </is>
      </c>
      <c r="F249" s="44" t="n"/>
      <c r="G249" s="45" t="n"/>
      <c r="H249" s="46">
        <f>IF($I$249="","",IF($I$249&lt;0,"🔴지연",IF($I$249&lt;=1,"🟡임박","🟢여유")))</f>
        <v/>
      </c>
      <c r="I249" s="47">
        <f>IF(OR($G$249="",$K$249=""),"",$G$249-$K$249)</f>
        <v/>
      </c>
      <c r="J249" s="48">
        <f>IF(SUM($L$249:$L$251)=0,"",SUM($L$249:$L$251))</f>
        <v/>
      </c>
      <c r="K249" s="49">
        <f>IF($J$249="","",MAX($N$249:$N$251))</f>
        <v/>
      </c>
      <c r="L249" s="50">
        <f>IF(SUM(U249:AY249)=0,"",SUM(U249:AY249))</f>
        <v/>
      </c>
      <c r="M249" s="51">
        <f>IFERROR(INDEX(U$2:AY$2,MATCH(TRUE,INDEX(U249:AY249&lt;&gt;"",0),0)),"")</f>
        <v/>
      </c>
      <c r="N249" s="51">
        <f>IFERROR(LOOKUP(2,1/(U249:AY249&lt;&gt;""),U$2:AY$2),"")</f>
        <v/>
      </c>
      <c r="O249" s="52" t="n"/>
      <c r="P249" s="52" t="n"/>
      <c r="Q249" s="52" t="n"/>
      <c r="R249" s="44" t="n"/>
      <c r="S249" s="14" t="n"/>
      <c r="U249" s="53" t="n"/>
      <c r="V249" s="53" t="n"/>
      <c r="W249" s="53" t="n"/>
      <c r="X249" s="53" t="n"/>
      <c r="Y249" s="53" t="n"/>
      <c r="Z249" s="53" t="n"/>
      <c r="AA249" s="53" t="n"/>
      <c r="AB249" s="53" t="n"/>
      <c r="AC249" s="53" t="n"/>
      <c r="AD249" s="53" t="n"/>
      <c r="AE249" s="53" t="n"/>
      <c r="AF249" s="53" t="n"/>
      <c r="AG249" s="53" t="n"/>
      <c r="AH249" s="53" t="n"/>
      <c r="AI249" s="53" t="n"/>
      <c r="AJ249" s="53" t="n"/>
      <c r="AK249" s="53" t="n"/>
      <c r="AL249" s="53" t="n"/>
      <c r="AM249" s="53" t="n"/>
      <c r="AN249" s="53" t="n"/>
      <c r="AO249" s="53" t="n"/>
      <c r="AP249" s="53" t="n"/>
      <c r="AQ249" s="53" t="n"/>
      <c r="AR249" s="53" t="n"/>
      <c r="AS249" s="53" t="n"/>
      <c r="AT249" s="53" t="n"/>
      <c r="AU249" s="53" t="n"/>
      <c r="AV249" s="53" t="n"/>
      <c r="AW249" s="53" t="n"/>
      <c r="AX249" s="53" t="n"/>
      <c r="AY249" s="53" t="n"/>
    </row>
    <row r="250" ht="15" customHeight="1">
      <c r="A250" s="54" t="n"/>
      <c r="B250" s="55">
        <f>IF($B$249="","",$B$249)</f>
        <v/>
      </c>
      <c r="C250" s="56" t="inlineStr">
        <is>
          <t>마케팅4팀</t>
        </is>
      </c>
      <c r="D250" s="55">
        <f>IF($D$249="","",$D$249)</f>
        <v/>
      </c>
      <c r="E250" s="57" t="inlineStr">
        <is>
          <t>이미지</t>
        </is>
      </c>
      <c r="F250" s="44" t="n"/>
      <c r="G250" s="58">
        <f>IF($G$249="","",$G$249)</f>
        <v/>
      </c>
      <c r="H250" s="59" t="n"/>
      <c r="I250" s="59" t="n"/>
      <c r="J250" s="59" t="n"/>
      <c r="K250" s="59" t="n"/>
      <c r="L250" s="60">
        <f>IF(SUM(U250:AY250)=0,"",SUM(U250:AY250))</f>
        <v/>
      </c>
      <c r="M250" s="61">
        <f>IFERROR(INDEX(U$2:AY$2,MATCH(TRUE,INDEX(U250:AY250&lt;&gt;"",0),0)),"")</f>
        <v/>
      </c>
      <c r="N250" s="61">
        <f>IFERROR(LOOKUP(2,1/(U250:AY250&lt;&gt;""),U$2:AY$2),"")</f>
        <v/>
      </c>
      <c r="O250" s="59" t="n"/>
      <c r="P250" s="59" t="n"/>
      <c r="Q250" s="59" t="n"/>
      <c r="R250" s="59" t="n"/>
      <c r="S250" s="14" t="n"/>
      <c r="U250" s="53" t="n"/>
      <c r="V250" s="53" t="n"/>
      <c r="W250" s="53" t="n"/>
      <c r="X250" s="53" t="n"/>
      <c r="Y250" s="53" t="n"/>
      <c r="Z250" s="53" t="n"/>
      <c r="AA250" s="53" t="n"/>
      <c r="AB250" s="53" t="n"/>
      <c r="AC250" s="53" t="n"/>
      <c r="AD250" s="53" t="n"/>
      <c r="AE250" s="53" t="n"/>
      <c r="AF250" s="53" t="n"/>
      <c r="AG250" s="53" t="n"/>
      <c r="AH250" s="53" t="n"/>
      <c r="AI250" s="53" t="n"/>
      <c r="AJ250" s="53" t="n"/>
      <c r="AK250" s="53" t="n"/>
      <c r="AL250" s="53" t="n"/>
      <c r="AM250" s="53" t="n"/>
      <c r="AN250" s="53" t="n"/>
      <c r="AO250" s="53" t="n"/>
      <c r="AP250" s="53" t="n"/>
      <c r="AQ250" s="53" t="n"/>
      <c r="AR250" s="53" t="n"/>
      <c r="AS250" s="53" t="n"/>
      <c r="AT250" s="53" t="n"/>
      <c r="AU250" s="53" t="n"/>
      <c r="AV250" s="53" t="n"/>
      <c r="AW250" s="53" t="n"/>
      <c r="AX250" s="53" t="n"/>
      <c r="AY250" s="53" t="n"/>
    </row>
    <row r="251" ht="15" customHeight="1">
      <c r="A251" s="62" t="n"/>
      <c r="B251" s="55">
        <f>IF($B$249="","",$B$249)</f>
        <v/>
      </c>
      <c r="C251" s="63" t="inlineStr">
        <is>
          <t>마케팅4팀</t>
        </is>
      </c>
      <c r="D251" s="55">
        <f>IF($D$249="","",$D$249)</f>
        <v/>
      </c>
      <c r="E251" s="64" t="inlineStr">
        <is>
          <t>영상</t>
        </is>
      </c>
      <c r="F251" s="44" t="n"/>
      <c r="G251" s="58">
        <f>IF($G$249="","",$G$249)</f>
        <v/>
      </c>
      <c r="H251" s="59" t="n"/>
      <c r="I251" s="59" t="n"/>
      <c r="J251" s="59" t="n"/>
      <c r="K251" s="59" t="n"/>
      <c r="L251" s="65">
        <f>IF(SUM(U251:AY251)=0,"",SUM(U251:AY251))</f>
        <v/>
      </c>
      <c r="M251" s="66">
        <f>IFERROR(INDEX(U$2:AY$2,MATCH(TRUE,INDEX(U251:AY251&lt;&gt;"",0),0)),"")</f>
        <v/>
      </c>
      <c r="N251" s="66">
        <f>IFERROR(LOOKUP(2,1/(U251:AY251&lt;&gt;""),U$2:AY$2),"")</f>
        <v/>
      </c>
      <c r="O251" s="59" t="n"/>
      <c r="P251" s="59" t="n"/>
      <c r="Q251" s="59" t="n"/>
      <c r="R251" s="59" t="n"/>
      <c r="S251" s="14" t="n"/>
      <c r="U251" s="53" t="n"/>
      <c r="V251" s="53" t="n"/>
      <c r="W251" s="53" t="n"/>
      <c r="X251" s="53" t="n"/>
      <c r="Y251" s="53" t="n"/>
      <c r="Z251" s="53" t="n"/>
      <c r="AA251" s="53" t="n"/>
      <c r="AB251" s="53" t="n"/>
      <c r="AC251" s="53" t="n"/>
      <c r="AD251" s="53" t="n"/>
      <c r="AE251" s="53" t="n"/>
      <c r="AF251" s="53" t="n"/>
      <c r="AG251" s="53" t="n"/>
      <c r="AH251" s="53" t="n"/>
      <c r="AI251" s="53" t="n"/>
      <c r="AJ251" s="53" t="n"/>
      <c r="AK251" s="53" t="n"/>
      <c r="AL251" s="53" t="n"/>
      <c r="AM251" s="53" t="n"/>
      <c r="AN251" s="53" t="n"/>
      <c r="AO251" s="53" t="n"/>
      <c r="AP251" s="53" t="n"/>
      <c r="AQ251" s="53" t="n"/>
      <c r="AR251" s="53" t="n"/>
      <c r="AS251" s="53" t="n"/>
      <c r="AT251" s="53" t="n"/>
      <c r="AU251" s="53" t="n"/>
      <c r="AV251" s="53" t="n"/>
      <c r="AW251" s="53" t="n"/>
      <c r="AX251" s="53" t="n"/>
      <c r="AY251" s="53" t="n"/>
    </row>
    <row r="252" ht="18" customHeight="1">
      <c r="A252" s="39" t="inlineStr">
        <is>
          <t>기타   (253~312행 · 소재 20개)</t>
        </is>
      </c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  <c r="AA252" s="8" t="n"/>
      <c r="AB252" s="8" t="n"/>
      <c r="AC252" s="8" t="n"/>
      <c r="AD252" s="8" t="n"/>
      <c r="AE252" s="8" t="n"/>
      <c r="AF252" s="8" t="n"/>
      <c r="AG252" s="8" t="n"/>
      <c r="AH252" s="8" t="n"/>
      <c r="AI252" s="8" t="n"/>
      <c r="AJ252" s="8" t="n"/>
      <c r="AK252" s="8" t="n"/>
      <c r="AL252" s="8" t="n"/>
      <c r="AM252" s="8" t="n"/>
      <c r="AN252" s="8" t="n"/>
      <c r="AO252" s="8" t="n"/>
      <c r="AP252" s="8" t="n"/>
      <c r="AQ252" s="8" t="n"/>
      <c r="AR252" s="8" t="n"/>
      <c r="AS252" s="8" t="n"/>
      <c r="AT252" s="8" t="n"/>
      <c r="AU252" s="8" t="n"/>
      <c r="AV252" s="8" t="n"/>
      <c r="AW252" s="8" t="n"/>
      <c r="AX252" s="8" t="n"/>
      <c r="AY252" s="4" t="n"/>
    </row>
    <row r="253" ht="15" customHeight="1">
      <c r="A253" s="40">
        <f>IF($D$253="","",81)</f>
        <v/>
      </c>
      <c r="B253" s="10" t="n"/>
      <c r="C253" s="41" t="inlineStr">
        <is>
          <t>기타</t>
        </is>
      </c>
      <c r="D253" s="42" t="n"/>
      <c r="E253" s="43" t="inlineStr">
        <is>
          <t>기획</t>
        </is>
      </c>
      <c r="F253" s="44" t="n"/>
      <c r="G253" s="45" t="n"/>
      <c r="H253" s="46">
        <f>IF($I$253="","",IF($I$253&lt;0,"🔴지연",IF($I$253&lt;=1,"🟡임박","🟢여유")))</f>
        <v/>
      </c>
      <c r="I253" s="47">
        <f>IF(OR($G$253="",$K$253=""),"",$G$253-$K$253)</f>
        <v/>
      </c>
      <c r="J253" s="48">
        <f>IF(SUM($L$253:$L$255)=0,"",SUM($L$253:$L$255))</f>
        <v/>
      </c>
      <c r="K253" s="49">
        <f>IF($J$253="","",MAX($N$253:$N$255))</f>
        <v/>
      </c>
      <c r="L253" s="50">
        <f>IF(SUM(U253:AY253)=0,"",SUM(U253:AY253))</f>
        <v/>
      </c>
      <c r="M253" s="51">
        <f>IFERROR(INDEX(U$2:AY$2,MATCH(TRUE,INDEX(U253:AY253&lt;&gt;"",0),0)),"")</f>
        <v/>
      </c>
      <c r="N253" s="51">
        <f>IFERROR(LOOKUP(2,1/(U253:AY253&lt;&gt;""),U$2:AY$2),"")</f>
        <v/>
      </c>
      <c r="O253" s="52" t="n"/>
      <c r="P253" s="52" t="n"/>
      <c r="Q253" s="52" t="n"/>
      <c r="R253" s="44" t="n"/>
      <c r="S253" s="14" t="n"/>
      <c r="U253" s="53" t="n"/>
      <c r="V253" s="53" t="n"/>
      <c r="W253" s="53" t="n"/>
      <c r="X253" s="53" t="n"/>
      <c r="Y253" s="53" t="n"/>
      <c r="Z253" s="53" t="n"/>
      <c r="AA253" s="53" t="n"/>
      <c r="AB253" s="53" t="n"/>
      <c r="AC253" s="53" t="n"/>
      <c r="AD253" s="53" t="n"/>
      <c r="AE253" s="53" t="n"/>
      <c r="AF253" s="53" t="n"/>
      <c r="AG253" s="53" t="n"/>
      <c r="AH253" s="53" t="n"/>
      <c r="AI253" s="53" t="n"/>
      <c r="AJ253" s="53" t="n"/>
      <c r="AK253" s="53" t="n"/>
      <c r="AL253" s="53" t="n"/>
      <c r="AM253" s="53" t="n"/>
      <c r="AN253" s="53" t="n"/>
      <c r="AO253" s="53" t="n"/>
      <c r="AP253" s="53" t="n"/>
      <c r="AQ253" s="53" t="n"/>
      <c r="AR253" s="53" t="n"/>
      <c r="AS253" s="53" t="n"/>
      <c r="AT253" s="53" t="n"/>
      <c r="AU253" s="53" t="n"/>
      <c r="AV253" s="53" t="n"/>
      <c r="AW253" s="53" t="n"/>
      <c r="AX253" s="53" t="n"/>
      <c r="AY253" s="53" t="n"/>
    </row>
    <row r="254" ht="15" customHeight="1">
      <c r="A254" s="54" t="n"/>
      <c r="B254" s="55">
        <f>IF($B$253="","",$B$253)</f>
        <v/>
      </c>
      <c r="C254" s="56" t="inlineStr">
        <is>
          <t>기타</t>
        </is>
      </c>
      <c r="D254" s="55">
        <f>IF($D$253="","",$D$253)</f>
        <v/>
      </c>
      <c r="E254" s="57" t="inlineStr">
        <is>
          <t>이미지</t>
        </is>
      </c>
      <c r="F254" s="44" t="n"/>
      <c r="G254" s="58">
        <f>IF($G$253="","",$G$253)</f>
        <v/>
      </c>
      <c r="H254" s="59" t="n"/>
      <c r="I254" s="59" t="n"/>
      <c r="J254" s="59" t="n"/>
      <c r="K254" s="59" t="n"/>
      <c r="L254" s="60">
        <f>IF(SUM(U254:AY254)=0,"",SUM(U254:AY254))</f>
        <v/>
      </c>
      <c r="M254" s="61">
        <f>IFERROR(INDEX(U$2:AY$2,MATCH(TRUE,INDEX(U254:AY254&lt;&gt;"",0),0)),"")</f>
        <v/>
      </c>
      <c r="N254" s="61">
        <f>IFERROR(LOOKUP(2,1/(U254:AY254&lt;&gt;""),U$2:AY$2),"")</f>
        <v/>
      </c>
      <c r="O254" s="59" t="n"/>
      <c r="P254" s="59" t="n"/>
      <c r="Q254" s="59" t="n"/>
      <c r="R254" s="59" t="n"/>
      <c r="S254" s="14" t="n"/>
      <c r="U254" s="53" t="n"/>
      <c r="V254" s="53" t="n"/>
      <c r="W254" s="53" t="n"/>
      <c r="X254" s="53" t="n"/>
      <c r="Y254" s="53" t="n"/>
      <c r="Z254" s="53" t="n"/>
      <c r="AA254" s="53" t="n"/>
      <c r="AB254" s="53" t="n"/>
      <c r="AC254" s="53" t="n"/>
      <c r="AD254" s="53" t="n"/>
      <c r="AE254" s="53" t="n"/>
      <c r="AF254" s="53" t="n"/>
      <c r="AG254" s="53" t="n"/>
      <c r="AH254" s="53" t="n"/>
      <c r="AI254" s="53" t="n"/>
      <c r="AJ254" s="53" t="n"/>
      <c r="AK254" s="53" t="n"/>
      <c r="AL254" s="53" t="n"/>
      <c r="AM254" s="53" t="n"/>
      <c r="AN254" s="53" t="n"/>
      <c r="AO254" s="53" t="n"/>
      <c r="AP254" s="53" t="n"/>
      <c r="AQ254" s="53" t="n"/>
      <c r="AR254" s="53" t="n"/>
      <c r="AS254" s="53" t="n"/>
      <c r="AT254" s="53" t="n"/>
      <c r="AU254" s="53" t="n"/>
      <c r="AV254" s="53" t="n"/>
      <c r="AW254" s="53" t="n"/>
      <c r="AX254" s="53" t="n"/>
      <c r="AY254" s="53" t="n"/>
    </row>
    <row r="255" ht="15" customHeight="1">
      <c r="A255" s="62" t="n"/>
      <c r="B255" s="55">
        <f>IF($B$253="","",$B$253)</f>
        <v/>
      </c>
      <c r="C255" s="63" t="inlineStr">
        <is>
          <t>기타</t>
        </is>
      </c>
      <c r="D255" s="55">
        <f>IF($D$253="","",$D$253)</f>
        <v/>
      </c>
      <c r="E255" s="64" t="inlineStr">
        <is>
          <t>영상</t>
        </is>
      </c>
      <c r="F255" s="44" t="n"/>
      <c r="G255" s="58">
        <f>IF($G$253="","",$G$253)</f>
        <v/>
      </c>
      <c r="H255" s="59" t="n"/>
      <c r="I255" s="59" t="n"/>
      <c r="J255" s="59" t="n"/>
      <c r="K255" s="59" t="n"/>
      <c r="L255" s="65">
        <f>IF(SUM(U255:AY255)=0,"",SUM(U255:AY255))</f>
        <v/>
      </c>
      <c r="M255" s="66">
        <f>IFERROR(INDEX(U$2:AY$2,MATCH(TRUE,INDEX(U255:AY255&lt;&gt;"",0),0)),"")</f>
        <v/>
      </c>
      <c r="N255" s="66">
        <f>IFERROR(LOOKUP(2,1/(U255:AY255&lt;&gt;""),U$2:AY$2),"")</f>
        <v/>
      </c>
      <c r="O255" s="59" t="n"/>
      <c r="P255" s="59" t="n"/>
      <c r="Q255" s="59" t="n"/>
      <c r="R255" s="59" t="n"/>
      <c r="S255" s="14" t="n"/>
      <c r="U255" s="53" t="n"/>
      <c r="V255" s="53" t="n"/>
      <c r="W255" s="53" t="n"/>
      <c r="X255" s="53" t="n"/>
      <c r="Y255" s="53" t="n"/>
      <c r="Z255" s="53" t="n"/>
      <c r="AA255" s="53" t="n"/>
      <c r="AB255" s="53" t="n"/>
      <c r="AC255" s="53" t="n"/>
      <c r="AD255" s="53" t="n"/>
      <c r="AE255" s="53" t="n"/>
      <c r="AF255" s="53" t="n"/>
      <c r="AG255" s="53" t="n"/>
      <c r="AH255" s="53" t="n"/>
      <c r="AI255" s="53" t="n"/>
      <c r="AJ255" s="53" t="n"/>
      <c r="AK255" s="53" t="n"/>
      <c r="AL255" s="53" t="n"/>
      <c r="AM255" s="53" t="n"/>
      <c r="AN255" s="53" t="n"/>
      <c r="AO255" s="53" t="n"/>
      <c r="AP255" s="53" t="n"/>
      <c r="AQ255" s="53" t="n"/>
      <c r="AR255" s="53" t="n"/>
      <c r="AS255" s="53" t="n"/>
      <c r="AT255" s="53" t="n"/>
      <c r="AU255" s="53" t="n"/>
      <c r="AV255" s="53" t="n"/>
      <c r="AW255" s="53" t="n"/>
      <c r="AX255" s="53" t="n"/>
      <c r="AY255" s="53" t="n"/>
    </row>
    <row r="256" ht="15" customHeight="1">
      <c r="A256" s="40">
        <f>IF($D$256="","",82)</f>
        <v/>
      </c>
      <c r="B256" s="10" t="n"/>
      <c r="C256" s="41" t="inlineStr">
        <is>
          <t>기타</t>
        </is>
      </c>
      <c r="D256" s="42" t="n"/>
      <c r="E256" s="43" t="inlineStr">
        <is>
          <t>기획</t>
        </is>
      </c>
      <c r="F256" s="44" t="n"/>
      <c r="G256" s="45" t="n"/>
      <c r="H256" s="46">
        <f>IF($I$256="","",IF($I$256&lt;0,"🔴지연",IF($I$256&lt;=1,"🟡임박","🟢여유")))</f>
        <v/>
      </c>
      <c r="I256" s="47">
        <f>IF(OR($G$256="",$K$256=""),"",$G$256-$K$256)</f>
        <v/>
      </c>
      <c r="J256" s="48">
        <f>IF(SUM($L$256:$L$258)=0,"",SUM($L$256:$L$258))</f>
        <v/>
      </c>
      <c r="K256" s="49">
        <f>IF($J$256="","",MAX($N$256:$N$258))</f>
        <v/>
      </c>
      <c r="L256" s="50">
        <f>IF(SUM(U256:AY256)=0,"",SUM(U256:AY256))</f>
        <v/>
      </c>
      <c r="M256" s="51">
        <f>IFERROR(INDEX(U$2:AY$2,MATCH(TRUE,INDEX(U256:AY256&lt;&gt;"",0),0)),"")</f>
        <v/>
      </c>
      <c r="N256" s="51">
        <f>IFERROR(LOOKUP(2,1/(U256:AY256&lt;&gt;""),U$2:AY$2),"")</f>
        <v/>
      </c>
      <c r="O256" s="52" t="n"/>
      <c r="P256" s="52" t="n"/>
      <c r="Q256" s="52" t="n"/>
      <c r="R256" s="44" t="n"/>
      <c r="S256" s="14" t="n"/>
      <c r="U256" s="53" t="n"/>
      <c r="V256" s="53" t="n"/>
      <c r="W256" s="53" t="n"/>
      <c r="X256" s="53" t="n"/>
      <c r="Y256" s="53" t="n"/>
      <c r="Z256" s="53" t="n"/>
      <c r="AA256" s="53" t="n"/>
      <c r="AB256" s="53" t="n"/>
      <c r="AC256" s="53" t="n"/>
      <c r="AD256" s="53" t="n"/>
      <c r="AE256" s="53" t="n"/>
      <c r="AF256" s="53" t="n"/>
      <c r="AG256" s="53" t="n"/>
      <c r="AH256" s="53" t="n"/>
      <c r="AI256" s="53" t="n"/>
      <c r="AJ256" s="53" t="n"/>
      <c r="AK256" s="53" t="n"/>
      <c r="AL256" s="53" t="n"/>
      <c r="AM256" s="53" t="n"/>
      <c r="AN256" s="53" t="n"/>
      <c r="AO256" s="53" t="n"/>
      <c r="AP256" s="53" t="n"/>
      <c r="AQ256" s="53" t="n"/>
      <c r="AR256" s="53" t="n"/>
      <c r="AS256" s="53" t="n"/>
      <c r="AT256" s="53" t="n"/>
      <c r="AU256" s="53" t="n"/>
      <c r="AV256" s="53" t="n"/>
      <c r="AW256" s="53" t="n"/>
      <c r="AX256" s="53" t="n"/>
      <c r="AY256" s="53" t="n"/>
    </row>
    <row r="257" ht="15" customHeight="1">
      <c r="A257" s="54" t="n"/>
      <c r="B257" s="55">
        <f>IF($B$256="","",$B$256)</f>
        <v/>
      </c>
      <c r="C257" s="56" t="inlineStr">
        <is>
          <t>기타</t>
        </is>
      </c>
      <c r="D257" s="55">
        <f>IF($D$256="","",$D$256)</f>
        <v/>
      </c>
      <c r="E257" s="57" t="inlineStr">
        <is>
          <t>이미지</t>
        </is>
      </c>
      <c r="F257" s="44" t="n"/>
      <c r="G257" s="58">
        <f>IF($G$256="","",$G$256)</f>
        <v/>
      </c>
      <c r="H257" s="59" t="n"/>
      <c r="I257" s="59" t="n"/>
      <c r="J257" s="59" t="n"/>
      <c r="K257" s="59" t="n"/>
      <c r="L257" s="60">
        <f>IF(SUM(U257:AY257)=0,"",SUM(U257:AY257))</f>
        <v/>
      </c>
      <c r="M257" s="61">
        <f>IFERROR(INDEX(U$2:AY$2,MATCH(TRUE,INDEX(U257:AY257&lt;&gt;"",0),0)),"")</f>
        <v/>
      </c>
      <c r="N257" s="61">
        <f>IFERROR(LOOKUP(2,1/(U257:AY257&lt;&gt;""),U$2:AY$2),"")</f>
        <v/>
      </c>
      <c r="O257" s="59" t="n"/>
      <c r="P257" s="59" t="n"/>
      <c r="Q257" s="59" t="n"/>
      <c r="R257" s="59" t="n"/>
      <c r="S257" s="14" t="n"/>
      <c r="U257" s="53" t="n"/>
      <c r="V257" s="53" t="n"/>
      <c r="W257" s="53" t="n"/>
      <c r="X257" s="53" t="n"/>
      <c r="Y257" s="53" t="n"/>
      <c r="Z257" s="53" t="n"/>
      <c r="AA257" s="53" t="n"/>
      <c r="AB257" s="53" t="n"/>
      <c r="AC257" s="53" t="n"/>
      <c r="AD257" s="53" t="n"/>
      <c r="AE257" s="53" t="n"/>
      <c r="AF257" s="53" t="n"/>
      <c r="AG257" s="53" t="n"/>
      <c r="AH257" s="53" t="n"/>
      <c r="AI257" s="53" t="n"/>
      <c r="AJ257" s="53" t="n"/>
      <c r="AK257" s="53" t="n"/>
      <c r="AL257" s="53" t="n"/>
      <c r="AM257" s="53" t="n"/>
      <c r="AN257" s="53" t="n"/>
      <c r="AO257" s="53" t="n"/>
      <c r="AP257" s="53" t="n"/>
      <c r="AQ257" s="53" t="n"/>
      <c r="AR257" s="53" t="n"/>
      <c r="AS257" s="53" t="n"/>
      <c r="AT257" s="53" t="n"/>
      <c r="AU257" s="53" t="n"/>
      <c r="AV257" s="53" t="n"/>
      <c r="AW257" s="53" t="n"/>
      <c r="AX257" s="53" t="n"/>
      <c r="AY257" s="53" t="n"/>
    </row>
    <row r="258" ht="15" customHeight="1">
      <c r="A258" s="62" t="n"/>
      <c r="B258" s="55">
        <f>IF($B$256="","",$B$256)</f>
        <v/>
      </c>
      <c r="C258" s="63" t="inlineStr">
        <is>
          <t>기타</t>
        </is>
      </c>
      <c r="D258" s="55">
        <f>IF($D$256="","",$D$256)</f>
        <v/>
      </c>
      <c r="E258" s="64" t="inlineStr">
        <is>
          <t>영상</t>
        </is>
      </c>
      <c r="F258" s="44" t="n"/>
      <c r="G258" s="58">
        <f>IF($G$256="","",$G$256)</f>
        <v/>
      </c>
      <c r="H258" s="59" t="n"/>
      <c r="I258" s="59" t="n"/>
      <c r="J258" s="59" t="n"/>
      <c r="K258" s="59" t="n"/>
      <c r="L258" s="65">
        <f>IF(SUM(U258:AY258)=0,"",SUM(U258:AY258))</f>
        <v/>
      </c>
      <c r="M258" s="66">
        <f>IFERROR(INDEX(U$2:AY$2,MATCH(TRUE,INDEX(U258:AY258&lt;&gt;"",0),0)),"")</f>
        <v/>
      </c>
      <c r="N258" s="66">
        <f>IFERROR(LOOKUP(2,1/(U258:AY258&lt;&gt;""),U$2:AY$2),"")</f>
        <v/>
      </c>
      <c r="O258" s="59" t="n"/>
      <c r="P258" s="59" t="n"/>
      <c r="Q258" s="59" t="n"/>
      <c r="R258" s="59" t="n"/>
      <c r="S258" s="14" t="n"/>
      <c r="U258" s="53" t="n"/>
      <c r="V258" s="53" t="n"/>
      <c r="W258" s="53" t="n"/>
      <c r="X258" s="53" t="n"/>
      <c r="Y258" s="53" t="n"/>
      <c r="Z258" s="53" t="n"/>
      <c r="AA258" s="53" t="n"/>
      <c r="AB258" s="53" t="n"/>
      <c r="AC258" s="53" t="n"/>
      <c r="AD258" s="53" t="n"/>
      <c r="AE258" s="53" t="n"/>
      <c r="AF258" s="53" t="n"/>
      <c r="AG258" s="53" t="n"/>
      <c r="AH258" s="53" t="n"/>
      <c r="AI258" s="53" t="n"/>
      <c r="AJ258" s="53" t="n"/>
      <c r="AK258" s="53" t="n"/>
      <c r="AL258" s="53" t="n"/>
      <c r="AM258" s="53" t="n"/>
      <c r="AN258" s="53" t="n"/>
      <c r="AO258" s="53" t="n"/>
      <c r="AP258" s="53" t="n"/>
      <c r="AQ258" s="53" t="n"/>
      <c r="AR258" s="53" t="n"/>
      <c r="AS258" s="53" t="n"/>
      <c r="AT258" s="53" t="n"/>
      <c r="AU258" s="53" t="n"/>
      <c r="AV258" s="53" t="n"/>
      <c r="AW258" s="53" t="n"/>
      <c r="AX258" s="53" t="n"/>
      <c r="AY258" s="53" t="n"/>
    </row>
    <row r="259" ht="15" customHeight="1">
      <c r="A259" s="40">
        <f>IF($D$259="","",83)</f>
        <v/>
      </c>
      <c r="B259" s="10" t="n"/>
      <c r="C259" s="41" t="inlineStr">
        <is>
          <t>기타</t>
        </is>
      </c>
      <c r="D259" s="42" t="n"/>
      <c r="E259" s="43" t="inlineStr">
        <is>
          <t>기획</t>
        </is>
      </c>
      <c r="F259" s="44" t="n"/>
      <c r="G259" s="45" t="n"/>
      <c r="H259" s="46">
        <f>IF($I$259="","",IF($I$259&lt;0,"🔴지연",IF($I$259&lt;=1,"🟡임박","🟢여유")))</f>
        <v/>
      </c>
      <c r="I259" s="47">
        <f>IF(OR($G$259="",$K$259=""),"",$G$259-$K$259)</f>
        <v/>
      </c>
      <c r="J259" s="48">
        <f>IF(SUM($L$259:$L$261)=0,"",SUM($L$259:$L$261))</f>
        <v/>
      </c>
      <c r="K259" s="49">
        <f>IF($J$259="","",MAX($N$259:$N$261))</f>
        <v/>
      </c>
      <c r="L259" s="50">
        <f>IF(SUM(U259:AY259)=0,"",SUM(U259:AY259))</f>
        <v/>
      </c>
      <c r="M259" s="51">
        <f>IFERROR(INDEX(U$2:AY$2,MATCH(TRUE,INDEX(U259:AY259&lt;&gt;"",0),0)),"")</f>
        <v/>
      </c>
      <c r="N259" s="51">
        <f>IFERROR(LOOKUP(2,1/(U259:AY259&lt;&gt;""),U$2:AY$2),"")</f>
        <v/>
      </c>
      <c r="O259" s="52" t="n"/>
      <c r="P259" s="52" t="n"/>
      <c r="Q259" s="52" t="n"/>
      <c r="R259" s="44" t="n"/>
      <c r="S259" s="14" t="n"/>
      <c r="U259" s="53" t="n"/>
      <c r="V259" s="53" t="n"/>
      <c r="W259" s="53" t="n"/>
      <c r="X259" s="53" t="n"/>
      <c r="Y259" s="53" t="n"/>
      <c r="Z259" s="53" t="n"/>
      <c r="AA259" s="53" t="n"/>
      <c r="AB259" s="53" t="n"/>
      <c r="AC259" s="53" t="n"/>
      <c r="AD259" s="53" t="n"/>
      <c r="AE259" s="53" t="n"/>
      <c r="AF259" s="53" t="n"/>
      <c r="AG259" s="53" t="n"/>
      <c r="AH259" s="53" t="n"/>
      <c r="AI259" s="53" t="n"/>
      <c r="AJ259" s="53" t="n"/>
      <c r="AK259" s="53" t="n"/>
      <c r="AL259" s="53" t="n"/>
      <c r="AM259" s="53" t="n"/>
      <c r="AN259" s="53" t="n"/>
      <c r="AO259" s="53" t="n"/>
      <c r="AP259" s="53" t="n"/>
      <c r="AQ259" s="53" t="n"/>
      <c r="AR259" s="53" t="n"/>
      <c r="AS259" s="53" t="n"/>
      <c r="AT259" s="53" t="n"/>
      <c r="AU259" s="53" t="n"/>
      <c r="AV259" s="53" t="n"/>
      <c r="AW259" s="53" t="n"/>
      <c r="AX259" s="53" t="n"/>
      <c r="AY259" s="53" t="n"/>
    </row>
    <row r="260" ht="15" customHeight="1">
      <c r="A260" s="54" t="n"/>
      <c r="B260" s="55">
        <f>IF($B$259="","",$B$259)</f>
        <v/>
      </c>
      <c r="C260" s="56" t="inlineStr">
        <is>
          <t>기타</t>
        </is>
      </c>
      <c r="D260" s="55">
        <f>IF($D$259="","",$D$259)</f>
        <v/>
      </c>
      <c r="E260" s="57" t="inlineStr">
        <is>
          <t>이미지</t>
        </is>
      </c>
      <c r="F260" s="44" t="n"/>
      <c r="G260" s="58">
        <f>IF($G$259="","",$G$259)</f>
        <v/>
      </c>
      <c r="H260" s="59" t="n"/>
      <c r="I260" s="59" t="n"/>
      <c r="J260" s="59" t="n"/>
      <c r="K260" s="59" t="n"/>
      <c r="L260" s="60">
        <f>IF(SUM(U260:AY260)=0,"",SUM(U260:AY260))</f>
        <v/>
      </c>
      <c r="M260" s="61">
        <f>IFERROR(INDEX(U$2:AY$2,MATCH(TRUE,INDEX(U260:AY260&lt;&gt;"",0),0)),"")</f>
        <v/>
      </c>
      <c r="N260" s="61">
        <f>IFERROR(LOOKUP(2,1/(U260:AY260&lt;&gt;""),U$2:AY$2),"")</f>
        <v/>
      </c>
      <c r="O260" s="59" t="n"/>
      <c r="P260" s="59" t="n"/>
      <c r="Q260" s="59" t="n"/>
      <c r="R260" s="59" t="n"/>
      <c r="S260" s="14" t="n"/>
      <c r="U260" s="53" t="n"/>
      <c r="V260" s="53" t="n"/>
      <c r="W260" s="53" t="n"/>
      <c r="X260" s="53" t="n"/>
      <c r="Y260" s="53" t="n"/>
      <c r="Z260" s="53" t="n"/>
      <c r="AA260" s="53" t="n"/>
      <c r="AB260" s="53" t="n"/>
      <c r="AC260" s="53" t="n"/>
      <c r="AD260" s="53" t="n"/>
      <c r="AE260" s="53" t="n"/>
      <c r="AF260" s="53" t="n"/>
      <c r="AG260" s="53" t="n"/>
      <c r="AH260" s="53" t="n"/>
      <c r="AI260" s="53" t="n"/>
      <c r="AJ260" s="53" t="n"/>
      <c r="AK260" s="53" t="n"/>
      <c r="AL260" s="53" t="n"/>
      <c r="AM260" s="53" t="n"/>
      <c r="AN260" s="53" t="n"/>
      <c r="AO260" s="53" t="n"/>
      <c r="AP260" s="53" t="n"/>
      <c r="AQ260" s="53" t="n"/>
      <c r="AR260" s="53" t="n"/>
      <c r="AS260" s="53" t="n"/>
      <c r="AT260" s="53" t="n"/>
      <c r="AU260" s="53" t="n"/>
      <c r="AV260" s="53" t="n"/>
      <c r="AW260" s="53" t="n"/>
      <c r="AX260" s="53" t="n"/>
      <c r="AY260" s="53" t="n"/>
    </row>
    <row r="261" ht="15" customHeight="1">
      <c r="A261" s="62" t="n"/>
      <c r="B261" s="55">
        <f>IF($B$259="","",$B$259)</f>
        <v/>
      </c>
      <c r="C261" s="63" t="inlineStr">
        <is>
          <t>기타</t>
        </is>
      </c>
      <c r="D261" s="55">
        <f>IF($D$259="","",$D$259)</f>
        <v/>
      </c>
      <c r="E261" s="64" t="inlineStr">
        <is>
          <t>영상</t>
        </is>
      </c>
      <c r="F261" s="44" t="n"/>
      <c r="G261" s="58">
        <f>IF($G$259="","",$G$259)</f>
        <v/>
      </c>
      <c r="H261" s="59" t="n"/>
      <c r="I261" s="59" t="n"/>
      <c r="J261" s="59" t="n"/>
      <c r="K261" s="59" t="n"/>
      <c r="L261" s="65">
        <f>IF(SUM(U261:AY261)=0,"",SUM(U261:AY261))</f>
        <v/>
      </c>
      <c r="M261" s="66">
        <f>IFERROR(INDEX(U$2:AY$2,MATCH(TRUE,INDEX(U261:AY261&lt;&gt;"",0),0)),"")</f>
        <v/>
      </c>
      <c r="N261" s="66">
        <f>IFERROR(LOOKUP(2,1/(U261:AY261&lt;&gt;""),U$2:AY$2),"")</f>
        <v/>
      </c>
      <c r="O261" s="59" t="n"/>
      <c r="P261" s="59" t="n"/>
      <c r="Q261" s="59" t="n"/>
      <c r="R261" s="59" t="n"/>
      <c r="S261" s="14" t="n"/>
      <c r="U261" s="53" t="n"/>
      <c r="V261" s="53" t="n"/>
      <c r="W261" s="53" t="n"/>
      <c r="X261" s="53" t="n"/>
      <c r="Y261" s="53" t="n"/>
      <c r="Z261" s="53" t="n"/>
      <c r="AA261" s="53" t="n"/>
      <c r="AB261" s="53" t="n"/>
      <c r="AC261" s="53" t="n"/>
      <c r="AD261" s="53" t="n"/>
      <c r="AE261" s="53" t="n"/>
      <c r="AF261" s="53" t="n"/>
      <c r="AG261" s="53" t="n"/>
      <c r="AH261" s="53" t="n"/>
      <c r="AI261" s="53" t="n"/>
      <c r="AJ261" s="53" t="n"/>
      <c r="AK261" s="53" t="n"/>
      <c r="AL261" s="53" t="n"/>
      <c r="AM261" s="53" t="n"/>
      <c r="AN261" s="53" t="n"/>
      <c r="AO261" s="53" t="n"/>
      <c r="AP261" s="53" t="n"/>
      <c r="AQ261" s="53" t="n"/>
      <c r="AR261" s="53" t="n"/>
      <c r="AS261" s="53" t="n"/>
      <c r="AT261" s="53" t="n"/>
      <c r="AU261" s="53" t="n"/>
      <c r="AV261" s="53" t="n"/>
      <c r="AW261" s="53" t="n"/>
      <c r="AX261" s="53" t="n"/>
      <c r="AY261" s="53" t="n"/>
    </row>
    <row r="262" ht="15" customHeight="1">
      <c r="A262" s="40">
        <f>IF($D$262="","",84)</f>
        <v/>
      </c>
      <c r="B262" s="10" t="n"/>
      <c r="C262" s="41" t="inlineStr">
        <is>
          <t>기타</t>
        </is>
      </c>
      <c r="D262" s="42" t="n"/>
      <c r="E262" s="43" t="inlineStr">
        <is>
          <t>기획</t>
        </is>
      </c>
      <c r="F262" s="44" t="n"/>
      <c r="G262" s="45" t="n"/>
      <c r="H262" s="46">
        <f>IF($I$262="","",IF($I$262&lt;0,"🔴지연",IF($I$262&lt;=1,"🟡임박","🟢여유")))</f>
        <v/>
      </c>
      <c r="I262" s="47">
        <f>IF(OR($G$262="",$K$262=""),"",$G$262-$K$262)</f>
        <v/>
      </c>
      <c r="J262" s="48">
        <f>IF(SUM($L$262:$L$264)=0,"",SUM($L$262:$L$264))</f>
        <v/>
      </c>
      <c r="K262" s="49">
        <f>IF($J$262="","",MAX($N$262:$N$264))</f>
        <v/>
      </c>
      <c r="L262" s="50">
        <f>IF(SUM(U262:AY262)=0,"",SUM(U262:AY262))</f>
        <v/>
      </c>
      <c r="M262" s="51">
        <f>IFERROR(INDEX(U$2:AY$2,MATCH(TRUE,INDEX(U262:AY262&lt;&gt;"",0),0)),"")</f>
        <v/>
      </c>
      <c r="N262" s="51">
        <f>IFERROR(LOOKUP(2,1/(U262:AY262&lt;&gt;""),U$2:AY$2),"")</f>
        <v/>
      </c>
      <c r="O262" s="52" t="n"/>
      <c r="P262" s="52" t="n"/>
      <c r="Q262" s="52" t="n"/>
      <c r="R262" s="44" t="n"/>
      <c r="S262" s="14" t="n"/>
      <c r="U262" s="53" t="n"/>
      <c r="V262" s="53" t="n"/>
      <c r="W262" s="53" t="n"/>
      <c r="X262" s="53" t="n"/>
      <c r="Y262" s="53" t="n"/>
      <c r="Z262" s="53" t="n"/>
      <c r="AA262" s="53" t="n"/>
      <c r="AB262" s="53" t="n"/>
      <c r="AC262" s="53" t="n"/>
      <c r="AD262" s="53" t="n"/>
      <c r="AE262" s="53" t="n"/>
      <c r="AF262" s="53" t="n"/>
      <c r="AG262" s="53" t="n"/>
      <c r="AH262" s="53" t="n"/>
      <c r="AI262" s="53" t="n"/>
      <c r="AJ262" s="53" t="n"/>
      <c r="AK262" s="53" t="n"/>
      <c r="AL262" s="53" t="n"/>
      <c r="AM262" s="53" t="n"/>
      <c r="AN262" s="53" t="n"/>
      <c r="AO262" s="53" t="n"/>
      <c r="AP262" s="53" t="n"/>
      <c r="AQ262" s="53" t="n"/>
      <c r="AR262" s="53" t="n"/>
      <c r="AS262" s="53" t="n"/>
      <c r="AT262" s="53" t="n"/>
      <c r="AU262" s="53" t="n"/>
      <c r="AV262" s="53" t="n"/>
      <c r="AW262" s="53" t="n"/>
      <c r="AX262" s="53" t="n"/>
      <c r="AY262" s="53" t="n"/>
    </row>
    <row r="263" ht="15" customHeight="1">
      <c r="A263" s="54" t="n"/>
      <c r="B263" s="55">
        <f>IF($B$262="","",$B$262)</f>
        <v/>
      </c>
      <c r="C263" s="56" t="inlineStr">
        <is>
          <t>기타</t>
        </is>
      </c>
      <c r="D263" s="55">
        <f>IF($D$262="","",$D$262)</f>
        <v/>
      </c>
      <c r="E263" s="57" t="inlineStr">
        <is>
          <t>이미지</t>
        </is>
      </c>
      <c r="F263" s="44" t="n"/>
      <c r="G263" s="58">
        <f>IF($G$262="","",$G$262)</f>
        <v/>
      </c>
      <c r="H263" s="59" t="n"/>
      <c r="I263" s="59" t="n"/>
      <c r="J263" s="59" t="n"/>
      <c r="K263" s="59" t="n"/>
      <c r="L263" s="60">
        <f>IF(SUM(U263:AY263)=0,"",SUM(U263:AY263))</f>
        <v/>
      </c>
      <c r="M263" s="61">
        <f>IFERROR(INDEX(U$2:AY$2,MATCH(TRUE,INDEX(U263:AY263&lt;&gt;"",0),0)),"")</f>
        <v/>
      </c>
      <c r="N263" s="61">
        <f>IFERROR(LOOKUP(2,1/(U263:AY263&lt;&gt;""),U$2:AY$2),"")</f>
        <v/>
      </c>
      <c r="O263" s="59" t="n"/>
      <c r="P263" s="59" t="n"/>
      <c r="Q263" s="59" t="n"/>
      <c r="R263" s="59" t="n"/>
      <c r="S263" s="14" t="n"/>
      <c r="U263" s="53" t="n"/>
      <c r="V263" s="53" t="n"/>
      <c r="W263" s="53" t="n"/>
      <c r="X263" s="53" t="n"/>
      <c r="Y263" s="53" t="n"/>
      <c r="Z263" s="53" t="n"/>
      <c r="AA263" s="53" t="n"/>
      <c r="AB263" s="53" t="n"/>
      <c r="AC263" s="53" t="n"/>
      <c r="AD263" s="53" t="n"/>
      <c r="AE263" s="53" t="n"/>
      <c r="AF263" s="53" t="n"/>
      <c r="AG263" s="53" t="n"/>
      <c r="AH263" s="53" t="n"/>
      <c r="AI263" s="53" t="n"/>
      <c r="AJ263" s="53" t="n"/>
      <c r="AK263" s="53" t="n"/>
      <c r="AL263" s="53" t="n"/>
      <c r="AM263" s="53" t="n"/>
      <c r="AN263" s="53" t="n"/>
      <c r="AO263" s="53" t="n"/>
      <c r="AP263" s="53" t="n"/>
      <c r="AQ263" s="53" t="n"/>
      <c r="AR263" s="53" t="n"/>
      <c r="AS263" s="53" t="n"/>
      <c r="AT263" s="53" t="n"/>
      <c r="AU263" s="53" t="n"/>
      <c r="AV263" s="53" t="n"/>
      <c r="AW263" s="53" t="n"/>
      <c r="AX263" s="53" t="n"/>
      <c r="AY263" s="53" t="n"/>
    </row>
    <row r="264" ht="15" customHeight="1">
      <c r="A264" s="62" t="n"/>
      <c r="B264" s="55">
        <f>IF($B$262="","",$B$262)</f>
        <v/>
      </c>
      <c r="C264" s="63" t="inlineStr">
        <is>
          <t>기타</t>
        </is>
      </c>
      <c r="D264" s="55">
        <f>IF($D$262="","",$D$262)</f>
        <v/>
      </c>
      <c r="E264" s="64" t="inlineStr">
        <is>
          <t>영상</t>
        </is>
      </c>
      <c r="F264" s="44" t="n"/>
      <c r="G264" s="58">
        <f>IF($G$262="","",$G$262)</f>
        <v/>
      </c>
      <c r="H264" s="59" t="n"/>
      <c r="I264" s="59" t="n"/>
      <c r="J264" s="59" t="n"/>
      <c r="K264" s="59" t="n"/>
      <c r="L264" s="65">
        <f>IF(SUM(U264:AY264)=0,"",SUM(U264:AY264))</f>
        <v/>
      </c>
      <c r="M264" s="66">
        <f>IFERROR(INDEX(U$2:AY$2,MATCH(TRUE,INDEX(U264:AY264&lt;&gt;"",0),0)),"")</f>
        <v/>
      </c>
      <c r="N264" s="66">
        <f>IFERROR(LOOKUP(2,1/(U264:AY264&lt;&gt;""),U$2:AY$2),"")</f>
        <v/>
      </c>
      <c r="O264" s="59" t="n"/>
      <c r="P264" s="59" t="n"/>
      <c r="Q264" s="59" t="n"/>
      <c r="R264" s="59" t="n"/>
      <c r="S264" s="14" t="n"/>
      <c r="U264" s="53" t="n"/>
      <c r="V264" s="53" t="n"/>
      <c r="W264" s="53" t="n"/>
      <c r="X264" s="53" t="n"/>
      <c r="Y264" s="53" t="n"/>
      <c r="Z264" s="53" t="n"/>
      <c r="AA264" s="53" t="n"/>
      <c r="AB264" s="53" t="n"/>
      <c r="AC264" s="53" t="n"/>
      <c r="AD264" s="53" t="n"/>
      <c r="AE264" s="53" t="n"/>
      <c r="AF264" s="53" t="n"/>
      <c r="AG264" s="53" t="n"/>
      <c r="AH264" s="53" t="n"/>
      <c r="AI264" s="53" t="n"/>
      <c r="AJ264" s="53" t="n"/>
      <c r="AK264" s="53" t="n"/>
      <c r="AL264" s="53" t="n"/>
      <c r="AM264" s="53" t="n"/>
      <c r="AN264" s="53" t="n"/>
      <c r="AO264" s="53" t="n"/>
      <c r="AP264" s="53" t="n"/>
      <c r="AQ264" s="53" t="n"/>
      <c r="AR264" s="53" t="n"/>
      <c r="AS264" s="53" t="n"/>
      <c r="AT264" s="53" t="n"/>
      <c r="AU264" s="53" t="n"/>
      <c r="AV264" s="53" t="n"/>
      <c r="AW264" s="53" t="n"/>
      <c r="AX264" s="53" t="n"/>
      <c r="AY264" s="53" t="n"/>
    </row>
    <row r="265" ht="15" customHeight="1">
      <c r="A265" s="40">
        <f>IF($D$265="","",85)</f>
        <v/>
      </c>
      <c r="B265" s="10" t="n"/>
      <c r="C265" s="41" t="inlineStr">
        <is>
          <t>기타</t>
        </is>
      </c>
      <c r="D265" s="42" t="n"/>
      <c r="E265" s="43" t="inlineStr">
        <is>
          <t>기획</t>
        </is>
      </c>
      <c r="F265" s="44" t="n"/>
      <c r="G265" s="45" t="n"/>
      <c r="H265" s="46">
        <f>IF($I$265="","",IF($I$265&lt;0,"🔴지연",IF($I$265&lt;=1,"🟡임박","🟢여유")))</f>
        <v/>
      </c>
      <c r="I265" s="47">
        <f>IF(OR($G$265="",$K$265=""),"",$G$265-$K$265)</f>
        <v/>
      </c>
      <c r="J265" s="48">
        <f>IF(SUM($L$265:$L$267)=0,"",SUM($L$265:$L$267))</f>
        <v/>
      </c>
      <c r="K265" s="49">
        <f>IF($J$265="","",MAX($N$265:$N$267))</f>
        <v/>
      </c>
      <c r="L265" s="50">
        <f>IF(SUM(U265:AY265)=0,"",SUM(U265:AY265))</f>
        <v/>
      </c>
      <c r="M265" s="51">
        <f>IFERROR(INDEX(U$2:AY$2,MATCH(TRUE,INDEX(U265:AY265&lt;&gt;"",0),0)),"")</f>
        <v/>
      </c>
      <c r="N265" s="51">
        <f>IFERROR(LOOKUP(2,1/(U265:AY265&lt;&gt;""),U$2:AY$2),"")</f>
        <v/>
      </c>
      <c r="O265" s="52" t="n"/>
      <c r="P265" s="52" t="n"/>
      <c r="Q265" s="52" t="n"/>
      <c r="R265" s="44" t="n"/>
      <c r="S265" s="14" t="n"/>
      <c r="U265" s="53" t="n"/>
      <c r="V265" s="53" t="n"/>
      <c r="W265" s="53" t="n"/>
      <c r="X265" s="53" t="n"/>
      <c r="Y265" s="53" t="n"/>
      <c r="Z265" s="53" t="n"/>
      <c r="AA265" s="53" t="n"/>
      <c r="AB265" s="53" t="n"/>
      <c r="AC265" s="53" t="n"/>
      <c r="AD265" s="53" t="n"/>
      <c r="AE265" s="53" t="n"/>
      <c r="AF265" s="53" t="n"/>
      <c r="AG265" s="53" t="n"/>
      <c r="AH265" s="53" t="n"/>
      <c r="AI265" s="53" t="n"/>
      <c r="AJ265" s="53" t="n"/>
      <c r="AK265" s="53" t="n"/>
      <c r="AL265" s="53" t="n"/>
      <c r="AM265" s="53" t="n"/>
      <c r="AN265" s="53" t="n"/>
      <c r="AO265" s="53" t="n"/>
      <c r="AP265" s="53" t="n"/>
      <c r="AQ265" s="53" t="n"/>
      <c r="AR265" s="53" t="n"/>
      <c r="AS265" s="53" t="n"/>
      <c r="AT265" s="53" t="n"/>
      <c r="AU265" s="53" t="n"/>
      <c r="AV265" s="53" t="n"/>
      <c r="AW265" s="53" t="n"/>
      <c r="AX265" s="53" t="n"/>
      <c r="AY265" s="53" t="n"/>
    </row>
    <row r="266" ht="15" customHeight="1">
      <c r="A266" s="54" t="n"/>
      <c r="B266" s="55">
        <f>IF($B$265="","",$B$265)</f>
        <v/>
      </c>
      <c r="C266" s="56" t="inlineStr">
        <is>
          <t>기타</t>
        </is>
      </c>
      <c r="D266" s="55">
        <f>IF($D$265="","",$D$265)</f>
        <v/>
      </c>
      <c r="E266" s="57" t="inlineStr">
        <is>
          <t>이미지</t>
        </is>
      </c>
      <c r="F266" s="44" t="n"/>
      <c r="G266" s="58">
        <f>IF($G$265="","",$G$265)</f>
        <v/>
      </c>
      <c r="H266" s="59" t="n"/>
      <c r="I266" s="59" t="n"/>
      <c r="J266" s="59" t="n"/>
      <c r="K266" s="59" t="n"/>
      <c r="L266" s="60">
        <f>IF(SUM(U266:AY266)=0,"",SUM(U266:AY266))</f>
        <v/>
      </c>
      <c r="M266" s="61">
        <f>IFERROR(INDEX(U$2:AY$2,MATCH(TRUE,INDEX(U266:AY266&lt;&gt;"",0),0)),"")</f>
        <v/>
      </c>
      <c r="N266" s="61">
        <f>IFERROR(LOOKUP(2,1/(U266:AY266&lt;&gt;""),U$2:AY$2),"")</f>
        <v/>
      </c>
      <c r="O266" s="59" t="n"/>
      <c r="P266" s="59" t="n"/>
      <c r="Q266" s="59" t="n"/>
      <c r="R266" s="59" t="n"/>
      <c r="S266" s="14" t="n"/>
      <c r="U266" s="53" t="n"/>
      <c r="V266" s="53" t="n"/>
      <c r="W266" s="53" t="n"/>
      <c r="X266" s="53" t="n"/>
      <c r="Y266" s="53" t="n"/>
      <c r="Z266" s="53" t="n"/>
      <c r="AA266" s="53" t="n"/>
      <c r="AB266" s="53" t="n"/>
      <c r="AC266" s="53" t="n"/>
      <c r="AD266" s="53" t="n"/>
      <c r="AE266" s="53" t="n"/>
      <c r="AF266" s="53" t="n"/>
      <c r="AG266" s="53" t="n"/>
      <c r="AH266" s="53" t="n"/>
      <c r="AI266" s="53" t="n"/>
      <c r="AJ266" s="53" t="n"/>
      <c r="AK266" s="53" t="n"/>
      <c r="AL266" s="53" t="n"/>
      <c r="AM266" s="53" t="n"/>
      <c r="AN266" s="53" t="n"/>
      <c r="AO266" s="53" t="n"/>
      <c r="AP266" s="53" t="n"/>
      <c r="AQ266" s="53" t="n"/>
      <c r="AR266" s="53" t="n"/>
      <c r="AS266" s="53" t="n"/>
      <c r="AT266" s="53" t="n"/>
      <c r="AU266" s="53" t="n"/>
      <c r="AV266" s="53" t="n"/>
      <c r="AW266" s="53" t="n"/>
      <c r="AX266" s="53" t="n"/>
      <c r="AY266" s="53" t="n"/>
    </row>
    <row r="267" ht="15" customHeight="1">
      <c r="A267" s="62" t="n"/>
      <c r="B267" s="55">
        <f>IF($B$265="","",$B$265)</f>
        <v/>
      </c>
      <c r="C267" s="63" t="inlineStr">
        <is>
          <t>기타</t>
        </is>
      </c>
      <c r="D267" s="55">
        <f>IF($D$265="","",$D$265)</f>
        <v/>
      </c>
      <c r="E267" s="64" t="inlineStr">
        <is>
          <t>영상</t>
        </is>
      </c>
      <c r="F267" s="44" t="n"/>
      <c r="G267" s="58">
        <f>IF($G$265="","",$G$265)</f>
        <v/>
      </c>
      <c r="H267" s="59" t="n"/>
      <c r="I267" s="59" t="n"/>
      <c r="J267" s="59" t="n"/>
      <c r="K267" s="59" t="n"/>
      <c r="L267" s="65">
        <f>IF(SUM(U267:AY267)=0,"",SUM(U267:AY267))</f>
        <v/>
      </c>
      <c r="M267" s="66">
        <f>IFERROR(INDEX(U$2:AY$2,MATCH(TRUE,INDEX(U267:AY267&lt;&gt;"",0),0)),"")</f>
        <v/>
      </c>
      <c r="N267" s="66">
        <f>IFERROR(LOOKUP(2,1/(U267:AY267&lt;&gt;""),U$2:AY$2),"")</f>
        <v/>
      </c>
      <c r="O267" s="59" t="n"/>
      <c r="P267" s="59" t="n"/>
      <c r="Q267" s="59" t="n"/>
      <c r="R267" s="59" t="n"/>
      <c r="S267" s="14" t="n"/>
      <c r="U267" s="53" t="n"/>
      <c r="V267" s="53" t="n"/>
      <c r="W267" s="53" t="n"/>
      <c r="X267" s="53" t="n"/>
      <c r="Y267" s="53" t="n"/>
      <c r="Z267" s="53" t="n"/>
      <c r="AA267" s="53" t="n"/>
      <c r="AB267" s="53" t="n"/>
      <c r="AC267" s="53" t="n"/>
      <c r="AD267" s="53" t="n"/>
      <c r="AE267" s="53" t="n"/>
      <c r="AF267" s="53" t="n"/>
      <c r="AG267" s="53" t="n"/>
      <c r="AH267" s="53" t="n"/>
      <c r="AI267" s="53" t="n"/>
      <c r="AJ267" s="53" t="n"/>
      <c r="AK267" s="53" t="n"/>
      <c r="AL267" s="53" t="n"/>
      <c r="AM267" s="53" t="n"/>
      <c r="AN267" s="53" t="n"/>
      <c r="AO267" s="53" t="n"/>
      <c r="AP267" s="53" t="n"/>
      <c r="AQ267" s="53" t="n"/>
      <c r="AR267" s="53" t="n"/>
      <c r="AS267" s="53" t="n"/>
      <c r="AT267" s="53" t="n"/>
      <c r="AU267" s="53" t="n"/>
      <c r="AV267" s="53" t="n"/>
      <c r="AW267" s="53" t="n"/>
      <c r="AX267" s="53" t="n"/>
      <c r="AY267" s="53" t="n"/>
    </row>
    <row r="268" ht="15" customHeight="1">
      <c r="A268" s="40">
        <f>IF($D$268="","",86)</f>
        <v/>
      </c>
      <c r="B268" s="10" t="n"/>
      <c r="C268" s="41" t="inlineStr">
        <is>
          <t>기타</t>
        </is>
      </c>
      <c r="D268" s="42" t="n"/>
      <c r="E268" s="43" t="inlineStr">
        <is>
          <t>기획</t>
        </is>
      </c>
      <c r="F268" s="44" t="n"/>
      <c r="G268" s="45" t="n"/>
      <c r="H268" s="46">
        <f>IF($I$268="","",IF($I$268&lt;0,"🔴지연",IF($I$268&lt;=1,"🟡임박","🟢여유")))</f>
        <v/>
      </c>
      <c r="I268" s="47">
        <f>IF(OR($G$268="",$K$268=""),"",$G$268-$K$268)</f>
        <v/>
      </c>
      <c r="J268" s="48">
        <f>IF(SUM($L$268:$L$270)=0,"",SUM($L$268:$L$270))</f>
        <v/>
      </c>
      <c r="K268" s="49">
        <f>IF($J$268="","",MAX($N$268:$N$270))</f>
        <v/>
      </c>
      <c r="L268" s="50">
        <f>IF(SUM(U268:AY268)=0,"",SUM(U268:AY268))</f>
        <v/>
      </c>
      <c r="M268" s="51">
        <f>IFERROR(INDEX(U$2:AY$2,MATCH(TRUE,INDEX(U268:AY268&lt;&gt;"",0),0)),"")</f>
        <v/>
      </c>
      <c r="N268" s="51">
        <f>IFERROR(LOOKUP(2,1/(U268:AY268&lt;&gt;""),U$2:AY$2),"")</f>
        <v/>
      </c>
      <c r="O268" s="52" t="n"/>
      <c r="P268" s="52" t="n"/>
      <c r="Q268" s="52" t="n"/>
      <c r="R268" s="44" t="n"/>
      <c r="S268" s="14" t="n"/>
      <c r="U268" s="53" t="n"/>
      <c r="V268" s="53" t="n"/>
      <c r="W268" s="53" t="n"/>
      <c r="X268" s="53" t="n"/>
      <c r="Y268" s="53" t="n"/>
      <c r="Z268" s="53" t="n"/>
      <c r="AA268" s="53" t="n"/>
      <c r="AB268" s="53" t="n"/>
      <c r="AC268" s="53" t="n"/>
      <c r="AD268" s="53" t="n"/>
      <c r="AE268" s="53" t="n"/>
      <c r="AF268" s="53" t="n"/>
      <c r="AG268" s="53" t="n"/>
      <c r="AH268" s="53" t="n"/>
      <c r="AI268" s="53" t="n"/>
      <c r="AJ268" s="53" t="n"/>
      <c r="AK268" s="53" t="n"/>
      <c r="AL268" s="53" t="n"/>
      <c r="AM268" s="53" t="n"/>
      <c r="AN268" s="53" t="n"/>
      <c r="AO268" s="53" t="n"/>
      <c r="AP268" s="53" t="n"/>
      <c r="AQ268" s="53" t="n"/>
      <c r="AR268" s="53" t="n"/>
      <c r="AS268" s="53" t="n"/>
      <c r="AT268" s="53" t="n"/>
      <c r="AU268" s="53" t="n"/>
      <c r="AV268" s="53" t="n"/>
      <c r="AW268" s="53" t="n"/>
      <c r="AX268" s="53" t="n"/>
      <c r="AY268" s="53" t="n"/>
    </row>
    <row r="269" ht="15" customHeight="1">
      <c r="A269" s="54" t="n"/>
      <c r="B269" s="55">
        <f>IF($B$268="","",$B$268)</f>
        <v/>
      </c>
      <c r="C269" s="56" t="inlineStr">
        <is>
          <t>기타</t>
        </is>
      </c>
      <c r="D269" s="55">
        <f>IF($D$268="","",$D$268)</f>
        <v/>
      </c>
      <c r="E269" s="57" t="inlineStr">
        <is>
          <t>이미지</t>
        </is>
      </c>
      <c r="F269" s="44" t="n"/>
      <c r="G269" s="58">
        <f>IF($G$268="","",$G$268)</f>
        <v/>
      </c>
      <c r="H269" s="59" t="n"/>
      <c r="I269" s="59" t="n"/>
      <c r="J269" s="59" t="n"/>
      <c r="K269" s="59" t="n"/>
      <c r="L269" s="60">
        <f>IF(SUM(U269:AY269)=0,"",SUM(U269:AY269))</f>
        <v/>
      </c>
      <c r="M269" s="61">
        <f>IFERROR(INDEX(U$2:AY$2,MATCH(TRUE,INDEX(U269:AY269&lt;&gt;"",0),0)),"")</f>
        <v/>
      </c>
      <c r="N269" s="61">
        <f>IFERROR(LOOKUP(2,1/(U269:AY269&lt;&gt;""),U$2:AY$2),"")</f>
        <v/>
      </c>
      <c r="O269" s="59" t="n"/>
      <c r="P269" s="59" t="n"/>
      <c r="Q269" s="59" t="n"/>
      <c r="R269" s="59" t="n"/>
      <c r="S269" s="14" t="n"/>
      <c r="U269" s="53" t="n"/>
      <c r="V269" s="53" t="n"/>
      <c r="W269" s="53" t="n"/>
      <c r="X269" s="53" t="n"/>
      <c r="Y269" s="53" t="n"/>
      <c r="Z269" s="53" t="n"/>
      <c r="AA269" s="53" t="n"/>
      <c r="AB269" s="53" t="n"/>
      <c r="AC269" s="53" t="n"/>
      <c r="AD269" s="53" t="n"/>
      <c r="AE269" s="53" t="n"/>
      <c r="AF269" s="53" t="n"/>
      <c r="AG269" s="53" t="n"/>
      <c r="AH269" s="53" t="n"/>
      <c r="AI269" s="53" t="n"/>
      <c r="AJ269" s="53" t="n"/>
      <c r="AK269" s="53" t="n"/>
      <c r="AL269" s="53" t="n"/>
      <c r="AM269" s="53" t="n"/>
      <c r="AN269" s="53" t="n"/>
      <c r="AO269" s="53" t="n"/>
      <c r="AP269" s="53" t="n"/>
      <c r="AQ269" s="53" t="n"/>
      <c r="AR269" s="53" t="n"/>
      <c r="AS269" s="53" t="n"/>
      <c r="AT269" s="53" t="n"/>
      <c r="AU269" s="53" t="n"/>
      <c r="AV269" s="53" t="n"/>
      <c r="AW269" s="53" t="n"/>
      <c r="AX269" s="53" t="n"/>
      <c r="AY269" s="53" t="n"/>
    </row>
    <row r="270" ht="15" customHeight="1">
      <c r="A270" s="62" t="n"/>
      <c r="B270" s="55">
        <f>IF($B$268="","",$B$268)</f>
        <v/>
      </c>
      <c r="C270" s="63" t="inlineStr">
        <is>
          <t>기타</t>
        </is>
      </c>
      <c r="D270" s="55">
        <f>IF($D$268="","",$D$268)</f>
        <v/>
      </c>
      <c r="E270" s="64" t="inlineStr">
        <is>
          <t>영상</t>
        </is>
      </c>
      <c r="F270" s="44" t="n"/>
      <c r="G270" s="58">
        <f>IF($G$268="","",$G$268)</f>
        <v/>
      </c>
      <c r="H270" s="59" t="n"/>
      <c r="I270" s="59" t="n"/>
      <c r="J270" s="59" t="n"/>
      <c r="K270" s="59" t="n"/>
      <c r="L270" s="65">
        <f>IF(SUM(U270:AY270)=0,"",SUM(U270:AY270))</f>
        <v/>
      </c>
      <c r="M270" s="66">
        <f>IFERROR(INDEX(U$2:AY$2,MATCH(TRUE,INDEX(U270:AY270&lt;&gt;"",0),0)),"")</f>
        <v/>
      </c>
      <c r="N270" s="66">
        <f>IFERROR(LOOKUP(2,1/(U270:AY270&lt;&gt;""),U$2:AY$2),"")</f>
        <v/>
      </c>
      <c r="O270" s="59" t="n"/>
      <c r="P270" s="59" t="n"/>
      <c r="Q270" s="59" t="n"/>
      <c r="R270" s="59" t="n"/>
      <c r="S270" s="14" t="n"/>
      <c r="U270" s="53" t="n"/>
      <c r="V270" s="53" t="n"/>
      <c r="W270" s="53" t="n"/>
      <c r="X270" s="53" t="n"/>
      <c r="Y270" s="53" t="n"/>
      <c r="Z270" s="53" t="n"/>
      <c r="AA270" s="53" t="n"/>
      <c r="AB270" s="53" t="n"/>
      <c r="AC270" s="53" t="n"/>
      <c r="AD270" s="53" t="n"/>
      <c r="AE270" s="53" t="n"/>
      <c r="AF270" s="53" t="n"/>
      <c r="AG270" s="53" t="n"/>
      <c r="AH270" s="53" t="n"/>
      <c r="AI270" s="53" t="n"/>
      <c r="AJ270" s="53" t="n"/>
      <c r="AK270" s="53" t="n"/>
      <c r="AL270" s="53" t="n"/>
      <c r="AM270" s="53" t="n"/>
      <c r="AN270" s="53" t="n"/>
      <c r="AO270" s="53" t="n"/>
      <c r="AP270" s="53" t="n"/>
      <c r="AQ270" s="53" t="n"/>
      <c r="AR270" s="53" t="n"/>
      <c r="AS270" s="53" t="n"/>
      <c r="AT270" s="53" t="n"/>
      <c r="AU270" s="53" t="n"/>
      <c r="AV270" s="53" t="n"/>
      <c r="AW270" s="53" t="n"/>
      <c r="AX270" s="53" t="n"/>
      <c r="AY270" s="53" t="n"/>
    </row>
    <row r="271" ht="15" customHeight="1">
      <c r="A271" s="40">
        <f>IF($D$271="","",87)</f>
        <v/>
      </c>
      <c r="B271" s="10" t="n"/>
      <c r="C271" s="41" t="inlineStr">
        <is>
          <t>기타</t>
        </is>
      </c>
      <c r="D271" s="42" t="n"/>
      <c r="E271" s="43" t="inlineStr">
        <is>
          <t>기획</t>
        </is>
      </c>
      <c r="F271" s="44" t="n"/>
      <c r="G271" s="45" t="n"/>
      <c r="H271" s="46">
        <f>IF($I$271="","",IF($I$271&lt;0,"🔴지연",IF($I$271&lt;=1,"🟡임박","🟢여유")))</f>
        <v/>
      </c>
      <c r="I271" s="47">
        <f>IF(OR($G$271="",$K$271=""),"",$G$271-$K$271)</f>
        <v/>
      </c>
      <c r="J271" s="48">
        <f>IF(SUM($L$271:$L$273)=0,"",SUM($L$271:$L$273))</f>
        <v/>
      </c>
      <c r="K271" s="49">
        <f>IF($J$271="","",MAX($N$271:$N$273))</f>
        <v/>
      </c>
      <c r="L271" s="50">
        <f>IF(SUM(U271:AY271)=0,"",SUM(U271:AY271))</f>
        <v/>
      </c>
      <c r="M271" s="51">
        <f>IFERROR(INDEX(U$2:AY$2,MATCH(TRUE,INDEX(U271:AY271&lt;&gt;"",0),0)),"")</f>
        <v/>
      </c>
      <c r="N271" s="51">
        <f>IFERROR(LOOKUP(2,1/(U271:AY271&lt;&gt;""),U$2:AY$2),"")</f>
        <v/>
      </c>
      <c r="O271" s="52" t="n"/>
      <c r="P271" s="52" t="n"/>
      <c r="Q271" s="52" t="n"/>
      <c r="R271" s="44" t="n"/>
      <c r="S271" s="14" t="n"/>
      <c r="U271" s="53" t="n"/>
      <c r="V271" s="53" t="n"/>
      <c r="W271" s="53" t="n"/>
      <c r="X271" s="53" t="n"/>
      <c r="Y271" s="53" t="n"/>
      <c r="Z271" s="53" t="n"/>
      <c r="AA271" s="53" t="n"/>
      <c r="AB271" s="53" t="n"/>
      <c r="AC271" s="53" t="n"/>
      <c r="AD271" s="53" t="n"/>
      <c r="AE271" s="53" t="n"/>
      <c r="AF271" s="53" t="n"/>
      <c r="AG271" s="53" t="n"/>
      <c r="AH271" s="53" t="n"/>
      <c r="AI271" s="53" t="n"/>
      <c r="AJ271" s="53" t="n"/>
      <c r="AK271" s="53" t="n"/>
      <c r="AL271" s="53" t="n"/>
      <c r="AM271" s="53" t="n"/>
      <c r="AN271" s="53" t="n"/>
      <c r="AO271" s="53" t="n"/>
      <c r="AP271" s="53" t="n"/>
      <c r="AQ271" s="53" t="n"/>
      <c r="AR271" s="53" t="n"/>
      <c r="AS271" s="53" t="n"/>
      <c r="AT271" s="53" t="n"/>
      <c r="AU271" s="53" t="n"/>
      <c r="AV271" s="53" t="n"/>
      <c r="AW271" s="53" t="n"/>
      <c r="AX271" s="53" t="n"/>
      <c r="AY271" s="53" t="n"/>
    </row>
    <row r="272" ht="15" customHeight="1">
      <c r="A272" s="54" t="n"/>
      <c r="B272" s="55">
        <f>IF($B$271="","",$B$271)</f>
        <v/>
      </c>
      <c r="C272" s="56" t="inlineStr">
        <is>
          <t>기타</t>
        </is>
      </c>
      <c r="D272" s="55">
        <f>IF($D$271="","",$D$271)</f>
        <v/>
      </c>
      <c r="E272" s="57" t="inlineStr">
        <is>
          <t>이미지</t>
        </is>
      </c>
      <c r="F272" s="44" t="n"/>
      <c r="G272" s="58">
        <f>IF($G$271="","",$G$271)</f>
        <v/>
      </c>
      <c r="H272" s="59" t="n"/>
      <c r="I272" s="59" t="n"/>
      <c r="J272" s="59" t="n"/>
      <c r="K272" s="59" t="n"/>
      <c r="L272" s="60">
        <f>IF(SUM(U272:AY272)=0,"",SUM(U272:AY272))</f>
        <v/>
      </c>
      <c r="M272" s="61">
        <f>IFERROR(INDEX(U$2:AY$2,MATCH(TRUE,INDEX(U272:AY272&lt;&gt;"",0),0)),"")</f>
        <v/>
      </c>
      <c r="N272" s="61">
        <f>IFERROR(LOOKUP(2,1/(U272:AY272&lt;&gt;""),U$2:AY$2),"")</f>
        <v/>
      </c>
      <c r="O272" s="59" t="n"/>
      <c r="P272" s="59" t="n"/>
      <c r="Q272" s="59" t="n"/>
      <c r="R272" s="59" t="n"/>
      <c r="S272" s="14" t="n"/>
      <c r="U272" s="53" t="n"/>
      <c r="V272" s="53" t="n"/>
      <c r="W272" s="53" t="n"/>
      <c r="X272" s="53" t="n"/>
      <c r="Y272" s="53" t="n"/>
      <c r="Z272" s="53" t="n"/>
      <c r="AA272" s="53" t="n"/>
      <c r="AB272" s="53" t="n"/>
      <c r="AC272" s="53" t="n"/>
      <c r="AD272" s="53" t="n"/>
      <c r="AE272" s="53" t="n"/>
      <c r="AF272" s="53" t="n"/>
      <c r="AG272" s="53" t="n"/>
      <c r="AH272" s="53" t="n"/>
      <c r="AI272" s="53" t="n"/>
      <c r="AJ272" s="53" t="n"/>
      <c r="AK272" s="53" t="n"/>
      <c r="AL272" s="53" t="n"/>
      <c r="AM272" s="53" t="n"/>
      <c r="AN272" s="53" t="n"/>
      <c r="AO272" s="53" t="n"/>
      <c r="AP272" s="53" t="n"/>
      <c r="AQ272" s="53" t="n"/>
      <c r="AR272" s="53" t="n"/>
      <c r="AS272" s="53" t="n"/>
      <c r="AT272" s="53" t="n"/>
      <c r="AU272" s="53" t="n"/>
      <c r="AV272" s="53" t="n"/>
      <c r="AW272" s="53" t="n"/>
      <c r="AX272" s="53" t="n"/>
      <c r="AY272" s="53" t="n"/>
    </row>
    <row r="273" ht="15" customHeight="1">
      <c r="A273" s="62" t="n"/>
      <c r="B273" s="55">
        <f>IF($B$271="","",$B$271)</f>
        <v/>
      </c>
      <c r="C273" s="63" t="inlineStr">
        <is>
          <t>기타</t>
        </is>
      </c>
      <c r="D273" s="55">
        <f>IF($D$271="","",$D$271)</f>
        <v/>
      </c>
      <c r="E273" s="64" t="inlineStr">
        <is>
          <t>영상</t>
        </is>
      </c>
      <c r="F273" s="44" t="n"/>
      <c r="G273" s="58">
        <f>IF($G$271="","",$G$271)</f>
        <v/>
      </c>
      <c r="H273" s="59" t="n"/>
      <c r="I273" s="59" t="n"/>
      <c r="J273" s="59" t="n"/>
      <c r="K273" s="59" t="n"/>
      <c r="L273" s="65">
        <f>IF(SUM(U273:AY273)=0,"",SUM(U273:AY273))</f>
        <v/>
      </c>
      <c r="M273" s="66">
        <f>IFERROR(INDEX(U$2:AY$2,MATCH(TRUE,INDEX(U273:AY273&lt;&gt;"",0),0)),"")</f>
        <v/>
      </c>
      <c r="N273" s="66">
        <f>IFERROR(LOOKUP(2,1/(U273:AY273&lt;&gt;""),U$2:AY$2),"")</f>
        <v/>
      </c>
      <c r="O273" s="59" t="n"/>
      <c r="P273" s="59" t="n"/>
      <c r="Q273" s="59" t="n"/>
      <c r="R273" s="59" t="n"/>
      <c r="S273" s="14" t="n"/>
      <c r="U273" s="53" t="n"/>
      <c r="V273" s="53" t="n"/>
      <c r="W273" s="53" t="n"/>
      <c r="X273" s="53" t="n"/>
      <c r="Y273" s="53" t="n"/>
      <c r="Z273" s="53" t="n"/>
      <c r="AA273" s="53" t="n"/>
      <c r="AB273" s="53" t="n"/>
      <c r="AC273" s="53" t="n"/>
      <c r="AD273" s="53" t="n"/>
      <c r="AE273" s="53" t="n"/>
      <c r="AF273" s="53" t="n"/>
      <c r="AG273" s="53" t="n"/>
      <c r="AH273" s="53" t="n"/>
      <c r="AI273" s="53" t="n"/>
      <c r="AJ273" s="53" t="n"/>
      <c r="AK273" s="53" t="n"/>
      <c r="AL273" s="53" t="n"/>
      <c r="AM273" s="53" t="n"/>
      <c r="AN273" s="53" t="n"/>
      <c r="AO273" s="53" t="n"/>
      <c r="AP273" s="53" t="n"/>
      <c r="AQ273" s="53" t="n"/>
      <c r="AR273" s="53" t="n"/>
      <c r="AS273" s="53" t="n"/>
      <c r="AT273" s="53" t="n"/>
      <c r="AU273" s="53" t="n"/>
      <c r="AV273" s="53" t="n"/>
      <c r="AW273" s="53" t="n"/>
      <c r="AX273" s="53" t="n"/>
      <c r="AY273" s="53" t="n"/>
    </row>
    <row r="274" ht="15" customHeight="1">
      <c r="A274" s="40">
        <f>IF($D$274="","",88)</f>
        <v/>
      </c>
      <c r="B274" s="10" t="n"/>
      <c r="C274" s="41" t="inlineStr">
        <is>
          <t>기타</t>
        </is>
      </c>
      <c r="D274" s="42" t="n"/>
      <c r="E274" s="43" t="inlineStr">
        <is>
          <t>기획</t>
        </is>
      </c>
      <c r="F274" s="44" t="n"/>
      <c r="G274" s="45" t="n"/>
      <c r="H274" s="46">
        <f>IF($I$274="","",IF($I$274&lt;0,"🔴지연",IF($I$274&lt;=1,"🟡임박","🟢여유")))</f>
        <v/>
      </c>
      <c r="I274" s="47">
        <f>IF(OR($G$274="",$K$274=""),"",$G$274-$K$274)</f>
        <v/>
      </c>
      <c r="J274" s="48">
        <f>IF(SUM($L$274:$L$276)=0,"",SUM($L$274:$L$276))</f>
        <v/>
      </c>
      <c r="K274" s="49">
        <f>IF($J$274="","",MAX($N$274:$N$276))</f>
        <v/>
      </c>
      <c r="L274" s="50">
        <f>IF(SUM(U274:AY274)=0,"",SUM(U274:AY274))</f>
        <v/>
      </c>
      <c r="M274" s="51">
        <f>IFERROR(INDEX(U$2:AY$2,MATCH(TRUE,INDEX(U274:AY274&lt;&gt;"",0),0)),"")</f>
        <v/>
      </c>
      <c r="N274" s="51">
        <f>IFERROR(LOOKUP(2,1/(U274:AY274&lt;&gt;""),U$2:AY$2),"")</f>
        <v/>
      </c>
      <c r="O274" s="52" t="n"/>
      <c r="P274" s="52" t="n"/>
      <c r="Q274" s="52" t="n"/>
      <c r="R274" s="44" t="n"/>
      <c r="S274" s="14" t="n"/>
      <c r="U274" s="53" t="n"/>
      <c r="V274" s="53" t="n"/>
      <c r="W274" s="53" t="n"/>
      <c r="X274" s="53" t="n"/>
      <c r="Y274" s="53" t="n"/>
      <c r="Z274" s="53" t="n"/>
      <c r="AA274" s="53" t="n"/>
      <c r="AB274" s="53" t="n"/>
      <c r="AC274" s="53" t="n"/>
      <c r="AD274" s="53" t="n"/>
      <c r="AE274" s="53" t="n"/>
      <c r="AF274" s="53" t="n"/>
      <c r="AG274" s="53" t="n"/>
      <c r="AH274" s="53" t="n"/>
      <c r="AI274" s="53" t="n"/>
      <c r="AJ274" s="53" t="n"/>
      <c r="AK274" s="53" t="n"/>
      <c r="AL274" s="53" t="n"/>
      <c r="AM274" s="53" t="n"/>
      <c r="AN274" s="53" t="n"/>
      <c r="AO274" s="53" t="n"/>
      <c r="AP274" s="53" t="n"/>
      <c r="AQ274" s="53" t="n"/>
      <c r="AR274" s="53" t="n"/>
      <c r="AS274" s="53" t="n"/>
      <c r="AT274" s="53" t="n"/>
      <c r="AU274" s="53" t="n"/>
      <c r="AV274" s="53" t="n"/>
      <c r="AW274" s="53" t="n"/>
      <c r="AX274" s="53" t="n"/>
      <c r="AY274" s="53" t="n"/>
    </row>
    <row r="275" ht="15" customHeight="1">
      <c r="A275" s="54" t="n"/>
      <c r="B275" s="55">
        <f>IF($B$274="","",$B$274)</f>
        <v/>
      </c>
      <c r="C275" s="56" t="inlineStr">
        <is>
          <t>기타</t>
        </is>
      </c>
      <c r="D275" s="55">
        <f>IF($D$274="","",$D$274)</f>
        <v/>
      </c>
      <c r="E275" s="57" t="inlineStr">
        <is>
          <t>이미지</t>
        </is>
      </c>
      <c r="F275" s="44" t="n"/>
      <c r="G275" s="58">
        <f>IF($G$274="","",$G$274)</f>
        <v/>
      </c>
      <c r="H275" s="59" t="n"/>
      <c r="I275" s="59" t="n"/>
      <c r="J275" s="59" t="n"/>
      <c r="K275" s="59" t="n"/>
      <c r="L275" s="60">
        <f>IF(SUM(U275:AY275)=0,"",SUM(U275:AY275))</f>
        <v/>
      </c>
      <c r="M275" s="61">
        <f>IFERROR(INDEX(U$2:AY$2,MATCH(TRUE,INDEX(U275:AY275&lt;&gt;"",0),0)),"")</f>
        <v/>
      </c>
      <c r="N275" s="61">
        <f>IFERROR(LOOKUP(2,1/(U275:AY275&lt;&gt;""),U$2:AY$2),"")</f>
        <v/>
      </c>
      <c r="O275" s="59" t="n"/>
      <c r="P275" s="59" t="n"/>
      <c r="Q275" s="59" t="n"/>
      <c r="R275" s="59" t="n"/>
      <c r="S275" s="14" t="n"/>
      <c r="U275" s="53" t="n"/>
      <c r="V275" s="53" t="n"/>
      <c r="W275" s="53" t="n"/>
      <c r="X275" s="53" t="n"/>
      <c r="Y275" s="53" t="n"/>
      <c r="Z275" s="53" t="n"/>
      <c r="AA275" s="53" t="n"/>
      <c r="AB275" s="53" t="n"/>
      <c r="AC275" s="53" t="n"/>
      <c r="AD275" s="53" t="n"/>
      <c r="AE275" s="53" t="n"/>
      <c r="AF275" s="53" t="n"/>
      <c r="AG275" s="53" t="n"/>
      <c r="AH275" s="53" t="n"/>
      <c r="AI275" s="53" t="n"/>
      <c r="AJ275" s="53" t="n"/>
      <c r="AK275" s="53" t="n"/>
      <c r="AL275" s="53" t="n"/>
      <c r="AM275" s="53" t="n"/>
      <c r="AN275" s="53" t="n"/>
      <c r="AO275" s="53" t="n"/>
      <c r="AP275" s="53" t="n"/>
      <c r="AQ275" s="53" t="n"/>
      <c r="AR275" s="53" t="n"/>
      <c r="AS275" s="53" t="n"/>
      <c r="AT275" s="53" t="n"/>
      <c r="AU275" s="53" t="n"/>
      <c r="AV275" s="53" t="n"/>
      <c r="AW275" s="53" t="n"/>
      <c r="AX275" s="53" t="n"/>
      <c r="AY275" s="53" t="n"/>
    </row>
    <row r="276" ht="15" customHeight="1">
      <c r="A276" s="62" t="n"/>
      <c r="B276" s="55">
        <f>IF($B$274="","",$B$274)</f>
        <v/>
      </c>
      <c r="C276" s="63" t="inlineStr">
        <is>
          <t>기타</t>
        </is>
      </c>
      <c r="D276" s="55">
        <f>IF($D$274="","",$D$274)</f>
        <v/>
      </c>
      <c r="E276" s="64" t="inlineStr">
        <is>
          <t>영상</t>
        </is>
      </c>
      <c r="F276" s="44" t="n"/>
      <c r="G276" s="58">
        <f>IF($G$274="","",$G$274)</f>
        <v/>
      </c>
      <c r="H276" s="59" t="n"/>
      <c r="I276" s="59" t="n"/>
      <c r="J276" s="59" t="n"/>
      <c r="K276" s="59" t="n"/>
      <c r="L276" s="65">
        <f>IF(SUM(U276:AY276)=0,"",SUM(U276:AY276))</f>
        <v/>
      </c>
      <c r="M276" s="66">
        <f>IFERROR(INDEX(U$2:AY$2,MATCH(TRUE,INDEX(U276:AY276&lt;&gt;"",0),0)),"")</f>
        <v/>
      </c>
      <c r="N276" s="66">
        <f>IFERROR(LOOKUP(2,1/(U276:AY276&lt;&gt;""),U$2:AY$2),"")</f>
        <v/>
      </c>
      <c r="O276" s="59" t="n"/>
      <c r="P276" s="59" t="n"/>
      <c r="Q276" s="59" t="n"/>
      <c r="R276" s="59" t="n"/>
      <c r="S276" s="14" t="n"/>
      <c r="U276" s="53" t="n"/>
      <c r="V276" s="53" t="n"/>
      <c r="W276" s="53" t="n"/>
      <c r="X276" s="53" t="n"/>
      <c r="Y276" s="53" t="n"/>
      <c r="Z276" s="53" t="n"/>
      <c r="AA276" s="53" t="n"/>
      <c r="AB276" s="53" t="n"/>
      <c r="AC276" s="53" t="n"/>
      <c r="AD276" s="53" t="n"/>
      <c r="AE276" s="53" t="n"/>
      <c r="AF276" s="53" t="n"/>
      <c r="AG276" s="53" t="n"/>
      <c r="AH276" s="53" t="n"/>
      <c r="AI276" s="53" t="n"/>
      <c r="AJ276" s="53" t="n"/>
      <c r="AK276" s="53" t="n"/>
      <c r="AL276" s="53" t="n"/>
      <c r="AM276" s="53" t="n"/>
      <c r="AN276" s="53" t="n"/>
      <c r="AO276" s="53" t="n"/>
      <c r="AP276" s="53" t="n"/>
      <c r="AQ276" s="53" t="n"/>
      <c r="AR276" s="53" t="n"/>
      <c r="AS276" s="53" t="n"/>
      <c r="AT276" s="53" t="n"/>
      <c r="AU276" s="53" t="n"/>
      <c r="AV276" s="53" t="n"/>
      <c r="AW276" s="53" t="n"/>
      <c r="AX276" s="53" t="n"/>
      <c r="AY276" s="53" t="n"/>
    </row>
    <row r="277" ht="15" customHeight="1">
      <c r="A277" s="40">
        <f>IF($D$277="","",89)</f>
        <v/>
      </c>
      <c r="B277" s="10" t="n"/>
      <c r="C277" s="41" t="inlineStr">
        <is>
          <t>기타</t>
        </is>
      </c>
      <c r="D277" s="42" t="n"/>
      <c r="E277" s="43" t="inlineStr">
        <is>
          <t>기획</t>
        </is>
      </c>
      <c r="F277" s="44" t="n"/>
      <c r="G277" s="45" t="n"/>
      <c r="H277" s="46">
        <f>IF($I$277="","",IF($I$277&lt;0,"🔴지연",IF($I$277&lt;=1,"🟡임박","🟢여유")))</f>
        <v/>
      </c>
      <c r="I277" s="47">
        <f>IF(OR($G$277="",$K$277=""),"",$G$277-$K$277)</f>
        <v/>
      </c>
      <c r="J277" s="48">
        <f>IF(SUM($L$277:$L$279)=0,"",SUM($L$277:$L$279))</f>
        <v/>
      </c>
      <c r="K277" s="49">
        <f>IF($J$277="","",MAX($N$277:$N$279))</f>
        <v/>
      </c>
      <c r="L277" s="50">
        <f>IF(SUM(U277:AY277)=0,"",SUM(U277:AY277))</f>
        <v/>
      </c>
      <c r="M277" s="51">
        <f>IFERROR(INDEX(U$2:AY$2,MATCH(TRUE,INDEX(U277:AY277&lt;&gt;"",0),0)),"")</f>
        <v/>
      </c>
      <c r="N277" s="51">
        <f>IFERROR(LOOKUP(2,1/(U277:AY277&lt;&gt;""),U$2:AY$2),"")</f>
        <v/>
      </c>
      <c r="O277" s="52" t="n"/>
      <c r="P277" s="52" t="n"/>
      <c r="Q277" s="52" t="n"/>
      <c r="R277" s="44" t="n"/>
      <c r="S277" s="14" t="n"/>
      <c r="U277" s="53" t="n"/>
      <c r="V277" s="53" t="n"/>
      <c r="W277" s="53" t="n"/>
      <c r="X277" s="53" t="n"/>
      <c r="Y277" s="53" t="n"/>
      <c r="Z277" s="53" t="n"/>
      <c r="AA277" s="53" t="n"/>
      <c r="AB277" s="53" t="n"/>
      <c r="AC277" s="53" t="n"/>
      <c r="AD277" s="53" t="n"/>
      <c r="AE277" s="53" t="n"/>
      <c r="AF277" s="53" t="n"/>
      <c r="AG277" s="53" t="n"/>
      <c r="AH277" s="53" t="n"/>
      <c r="AI277" s="53" t="n"/>
      <c r="AJ277" s="53" t="n"/>
      <c r="AK277" s="53" t="n"/>
      <c r="AL277" s="53" t="n"/>
      <c r="AM277" s="53" t="n"/>
      <c r="AN277" s="53" t="n"/>
      <c r="AO277" s="53" t="n"/>
      <c r="AP277" s="53" t="n"/>
      <c r="AQ277" s="53" t="n"/>
      <c r="AR277" s="53" t="n"/>
      <c r="AS277" s="53" t="n"/>
      <c r="AT277" s="53" t="n"/>
      <c r="AU277" s="53" t="n"/>
      <c r="AV277" s="53" t="n"/>
      <c r="AW277" s="53" t="n"/>
      <c r="AX277" s="53" t="n"/>
      <c r="AY277" s="53" t="n"/>
    </row>
    <row r="278" ht="15" customHeight="1">
      <c r="A278" s="54" t="n"/>
      <c r="B278" s="55">
        <f>IF($B$277="","",$B$277)</f>
        <v/>
      </c>
      <c r="C278" s="56" t="inlineStr">
        <is>
          <t>기타</t>
        </is>
      </c>
      <c r="D278" s="55">
        <f>IF($D$277="","",$D$277)</f>
        <v/>
      </c>
      <c r="E278" s="57" t="inlineStr">
        <is>
          <t>이미지</t>
        </is>
      </c>
      <c r="F278" s="44" t="n"/>
      <c r="G278" s="58">
        <f>IF($G$277="","",$G$277)</f>
        <v/>
      </c>
      <c r="H278" s="59" t="n"/>
      <c r="I278" s="59" t="n"/>
      <c r="J278" s="59" t="n"/>
      <c r="K278" s="59" t="n"/>
      <c r="L278" s="60">
        <f>IF(SUM(U278:AY278)=0,"",SUM(U278:AY278))</f>
        <v/>
      </c>
      <c r="M278" s="61">
        <f>IFERROR(INDEX(U$2:AY$2,MATCH(TRUE,INDEX(U278:AY278&lt;&gt;"",0),0)),"")</f>
        <v/>
      </c>
      <c r="N278" s="61">
        <f>IFERROR(LOOKUP(2,1/(U278:AY278&lt;&gt;""),U$2:AY$2),"")</f>
        <v/>
      </c>
      <c r="O278" s="59" t="n"/>
      <c r="P278" s="59" t="n"/>
      <c r="Q278" s="59" t="n"/>
      <c r="R278" s="59" t="n"/>
      <c r="S278" s="14" t="n"/>
      <c r="U278" s="53" t="n"/>
      <c r="V278" s="53" t="n"/>
      <c r="W278" s="53" t="n"/>
      <c r="X278" s="53" t="n"/>
      <c r="Y278" s="53" t="n"/>
      <c r="Z278" s="53" t="n"/>
      <c r="AA278" s="53" t="n"/>
      <c r="AB278" s="53" t="n"/>
      <c r="AC278" s="53" t="n"/>
      <c r="AD278" s="53" t="n"/>
      <c r="AE278" s="53" t="n"/>
      <c r="AF278" s="53" t="n"/>
      <c r="AG278" s="53" t="n"/>
      <c r="AH278" s="53" t="n"/>
      <c r="AI278" s="53" t="n"/>
      <c r="AJ278" s="53" t="n"/>
      <c r="AK278" s="53" t="n"/>
      <c r="AL278" s="53" t="n"/>
      <c r="AM278" s="53" t="n"/>
      <c r="AN278" s="53" t="n"/>
      <c r="AO278" s="53" t="n"/>
      <c r="AP278" s="53" t="n"/>
      <c r="AQ278" s="53" t="n"/>
      <c r="AR278" s="53" t="n"/>
      <c r="AS278" s="53" t="n"/>
      <c r="AT278" s="53" t="n"/>
      <c r="AU278" s="53" t="n"/>
      <c r="AV278" s="53" t="n"/>
      <c r="AW278" s="53" t="n"/>
      <c r="AX278" s="53" t="n"/>
      <c r="AY278" s="53" t="n"/>
    </row>
    <row r="279" ht="15" customHeight="1">
      <c r="A279" s="62" t="n"/>
      <c r="B279" s="55">
        <f>IF($B$277="","",$B$277)</f>
        <v/>
      </c>
      <c r="C279" s="63" t="inlineStr">
        <is>
          <t>기타</t>
        </is>
      </c>
      <c r="D279" s="55">
        <f>IF($D$277="","",$D$277)</f>
        <v/>
      </c>
      <c r="E279" s="64" t="inlineStr">
        <is>
          <t>영상</t>
        </is>
      </c>
      <c r="F279" s="44" t="n"/>
      <c r="G279" s="58">
        <f>IF($G$277="","",$G$277)</f>
        <v/>
      </c>
      <c r="H279" s="59" t="n"/>
      <c r="I279" s="59" t="n"/>
      <c r="J279" s="59" t="n"/>
      <c r="K279" s="59" t="n"/>
      <c r="L279" s="65">
        <f>IF(SUM(U279:AY279)=0,"",SUM(U279:AY279))</f>
        <v/>
      </c>
      <c r="M279" s="66">
        <f>IFERROR(INDEX(U$2:AY$2,MATCH(TRUE,INDEX(U279:AY279&lt;&gt;"",0),0)),"")</f>
        <v/>
      </c>
      <c r="N279" s="66">
        <f>IFERROR(LOOKUP(2,1/(U279:AY279&lt;&gt;""),U$2:AY$2),"")</f>
        <v/>
      </c>
      <c r="O279" s="59" t="n"/>
      <c r="P279" s="59" t="n"/>
      <c r="Q279" s="59" t="n"/>
      <c r="R279" s="59" t="n"/>
      <c r="S279" s="14" t="n"/>
      <c r="U279" s="53" t="n"/>
      <c r="V279" s="53" t="n"/>
      <c r="W279" s="53" t="n"/>
      <c r="X279" s="53" t="n"/>
      <c r="Y279" s="53" t="n"/>
      <c r="Z279" s="53" t="n"/>
      <c r="AA279" s="53" t="n"/>
      <c r="AB279" s="53" t="n"/>
      <c r="AC279" s="53" t="n"/>
      <c r="AD279" s="53" t="n"/>
      <c r="AE279" s="53" t="n"/>
      <c r="AF279" s="53" t="n"/>
      <c r="AG279" s="53" t="n"/>
      <c r="AH279" s="53" t="n"/>
      <c r="AI279" s="53" t="n"/>
      <c r="AJ279" s="53" t="n"/>
      <c r="AK279" s="53" t="n"/>
      <c r="AL279" s="53" t="n"/>
      <c r="AM279" s="53" t="n"/>
      <c r="AN279" s="53" t="n"/>
      <c r="AO279" s="53" t="n"/>
      <c r="AP279" s="53" t="n"/>
      <c r="AQ279" s="53" t="n"/>
      <c r="AR279" s="53" t="n"/>
      <c r="AS279" s="53" t="n"/>
      <c r="AT279" s="53" t="n"/>
      <c r="AU279" s="53" t="n"/>
      <c r="AV279" s="53" t="n"/>
      <c r="AW279" s="53" t="n"/>
      <c r="AX279" s="53" t="n"/>
      <c r="AY279" s="53" t="n"/>
    </row>
    <row r="280" ht="15" customHeight="1">
      <c r="A280" s="40">
        <f>IF($D$280="","",90)</f>
        <v/>
      </c>
      <c r="B280" s="10" t="n"/>
      <c r="C280" s="41" t="inlineStr">
        <is>
          <t>기타</t>
        </is>
      </c>
      <c r="D280" s="42" t="n"/>
      <c r="E280" s="43" t="inlineStr">
        <is>
          <t>기획</t>
        </is>
      </c>
      <c r="F280" s="44" t="n"/>
      <c r="G280" s="45" t="n"/>
      <c r="H280" s="46">
        <f>IF($I$280="","",IF($I$280&lt;0,"🔴지연",IF($I$280&lt;=1,"🟡임박","🟢여유")))</f>
        <v/>
      </c>
      <c r="I280" s="47">
        <f>IF(OR($G$280="",$K$280=""),"",$G$280-$K$280)</f>
        <v/>
      </c>
      <c r="J280" s="48">
        <f>IF(SUM($L$280:$L$282)=0,"",SUM($L$280:$L$282))</f>
        <v/>
      </c>
      <c r="K280" s="49">
        <f>IF($J$280="","",MAX($N$280:$N$282))</f>
        <v/>
      </c>
      <c r="L280" s="50">
        <f>IF(SUM(U280:AY280)=0,"",SUM(U280:AY280))</f>
        <v/>
      </c>
      <c r="M280" s="51">
        <f>IFERROR(INDEX(U$2:AY$2,MATCH(TRUE,INDEX(U280:AY280&lt;&gt;"",0),0)),"")</f>
        <v/>
      </c>
      <c r="N280" s="51">
        <f>IFERROR(LOOKUP(2,1/(U280:AY280&lt;&gt;""),U$2:AY$2),"")</f>
        <v/>
      </c>
      <c r="O280" s="52" t="n"/>
      <c r="P280" s="52" t="n"/>
      <c r="Q280" s="52" t="n"/>
      <c r="R280" s="44" t="n"/>
      <c r="S280" s="14" t="n"/>
      <c r="U280" s="53" t="n"/>
      <c r="V280" s="53" t="n"/>
      <c r="W280" s="53" t="n"/>
      <c r="X280" s="53" t="n"/>
      <c r="Y280" s="53" t="n"/>
      <c r="Z280" s="53" t="n"/>
      <c r="AA280" s="53" t="n"/>
      <c r="AB280" s="53" t="n"/>
      <c r="AC280" s="53" t="n"/>
      <c r="AD280" s="53" t="n"/>
      <c r="AE280" s="53" t="n"/>
      <c r="AF280" s="53" t="n"/>
      <c r="AG280" s="53" t="n"/>
      <c r="AH280" s="53" t="n"/>
      <c r="AI280" s="53" t="n"/>
      <c r="AJ280" s="53" t="n"/>
      <c r="AK280" s="53" t="n"/>
      <c r="AL280" s="53" t="n"/>
      <c r="AM280" s="53" t="n"/>
      <c r="AN280" s="53" t="n"/>
      <c r="AO280" s="53" t="n"/>
      <c r="AP280" s="53" t="n"/>
      <c r="AQ280" s="53" t="n"/>
      <c r="AR280" s="53" t="n"/>
      <c r="AS280" s="53" t="n"/>
      <c r="AT280" s="53" t="n"/>
      <c r="AU280" s="53" t="n"/>
      <c r="AV280" s="53" t="n"/>
      <c r="AW280" s="53" t="n"/>
      <c r="AX280" s="53" t="n"/>
      <c r="AY280" s="53" t="n"/>
    </row>
    <row r="281" ht="15" customHeight="1">
      <c r="A281" s="54" t="n"/>
      <c r="B281" s="55">
        <f>IF($B$280="","",$B$280)</f>
        <v/>
      </c>
      <c r="C281" s="56" t="inlineStr">
        <is>
          <t>기타</t>
        </is>
      </c>
      <c r="D281" s="55">
        <f>IF($D$280="","",$D$280)</f>
        <v/>
      </c>
      <c r="E281" s="57" t="inlineStr">
        <is>
          <t>이미지</t>
        </is>
      </c>
      <c r="F281" s="44" t="n"/>
      <c r="G281" s="58">
        <f>IF($G$280="","",$G$280)</f>
        <v/>
      </c>
      <c r="H281" s="59" t="n"/>
      <c r="I281" s="59" t="n"/>
      <c r="J281" s="59" t="n"/>
      <c r="K281" s="59" t="n"/>
      <c r="L281" s="60">
        <f>IF(SUM(U281:AY281)=0,"",SUM(U281:AY281))</f>
        <v/>
      </c>
      <c r="M281" s="61">
        <f>IFERROR(INDEX(U$2:AY$2,MATCH(TRUE,INDEX(U281:AY281&lt;&gt;"",0),0)),"")</f>
        <v/>
      </c>
      <c r="N281" s="61">
        <f>IFERROR(LOOKUP(2,1/(U281:AY281&lt;&gt;""),U$2:AY$2),"")</f>
        <v/>
      </c>
      <c r="O281" s="59" t="n"/>
      <c r="P281" s="59" t="n"/>
      <c r="Q281" s="59" t="n"/>
      <c r="R281" s="59" t="n"/>
      <c r="S281" s="14" t="n"/>
      <c r="U281" s="53" t="n"/>
      <c r="V281" s="53" t="n"/>
      <c r="W281" s="53" t="n"/>
      <c r="X281" s="53" t="n"/>
      <c r="Y281" s="53" t="n"/>
      <c r="Z281" s="53" t="n"/>
      <c r="AA281" s="53" t="n"/>
      <c r="AB281" s="53" t="n"/>
      <c r="AC281" s="53" t="n"/>
      <c r="AD281" s="53" t="n"/>
      <c r="AE281" s="53" t="n"/>
      <c r="AF281" s="53" t="n"/>
      <c r="AG281" s="53" t="n"/>
      <c r="AH281" s="53" t="n"/>
      <c r="AI281" s="53" t="n"/>
      <c r="AJ281" s="53" t="n"/>
      <c r="AK281" s="53" t="n"/>
      <c r="AL281" s="53" t="n"/>
      <c r="AM281" s="53" t="n"/>
      <c r="AN281" s="53" t="n"/>
      <c r="AO281" s="53" t="n"/>
      <c r="AP281" s="53" t="n"/>
      <c r="AQ281" s="53" t="n"/>
      <c r="AR281" s="53" t="n"/>
      <c r="AS281" s="53" t="n"/>
      <c r="AT281" s="53" t="n"/>
      <c r="AU281" s="53" t="n"/>
      <c r="AV281" s="53" t="n"/>
      <c r="AW281" s="53" t="n"/>
      <c r="AX281" s="53" t="n"/>
      <c r="AY281" s="53" t="n"/>
    </row>
    <row r="282" ht="15" customHeight="1">
      <c r="A282" s="62" t="n"/>
      <c r="B282" s="55">
        <f>IF($B$280="","",$B$280)</f>
        <v/>
      </c>
      <c r="C282" s="63" t="inlineStr">
        <is>
          <t>기타</t>
        </is>
      </c>
      <c r="D282" s="55">
        <f>IF($D$280="","",$D$280)</f>
        <v/>
      </c>
      <c r="E282" s="64" t="inlineStr">
        <is>
          <t>영상</t>
        </is>
      </c>
      <c r="F282" s="44" t="n"/>
      <c r="G282" s="58">
        <f>IF($G$280="","",$G$280)</f>
        <v/>
      </c>
      <c r="H282" s="59" t="n"/>
      <c r="I282" s="59" t="n"/>
      <c r="J282" s="59" t="n"/>
      <c r="K282" s="59" t="n"/>
      <c r="L282" s="65">
        <f>IF(SUM(U282:AY282)=0,"",SUM(U282:AY282))</f>
        <v/>
      </c>
      <c r="M282" s="66">
        <f>IFERROR(INDEX(U$2:AY$2,MATCH(TRUE,INDEX(U282:AY282&lt;&gt;"",0),0)),"")</f>
        <v/>
      </c>
      <c r="N282" s="66">
        <f>IFERROR(LOOKUP(2,1/(U282:AY282&lt;&gt;""),U$2:AY$2),"")</f>
        <v/>
      </c>
      <c r="O282" s="59" t="n"/>
      <c r="P282" s="59" t="n"/>
      <c r="Q282" s="59" t="n"/>
      <c r="R282" s="59" t="n"/>
      <c r="S282" s="14" t="n"/>
      <c r="U282" s="53" t="n"/>
      <c r="V282" s="53" t="n"/>
      <c r="W282" s="53" t="n"/>
      <c r="X282" s="53" t="n"/>
      <c r="Y282" s="53" t="n"/>
      <c r="Z282" s="53" t="n"/>
      <c r="AA282" s="53" t="n"/>
      <c r="AB282" s="53" t="n"/>
      <c r="AC282" s="53" t="n"/>
      <c r="AD282" s="53" t="n"/>
      <c r="AE282" s="53" t="n"/>
      <c r="AF282" s="53" t="n"/>
      <c r="AG282" s="53" t="n"/>
      <c r="AH282" s="53" t="n"/>
      <c r="AI282" s="53" t="n"/>
      <c r="AJ282" s="53" t="n"/>
      <c r="AK282" s="53" t="n"/>
      <c r="AL282" s="53" t="n"/>
      <c r="AM282" s="53" t="n"/>
      <c r="AN282" s="53" t="n"/>
      <c r="AO282" s="53" t="n"/>
      <c r="AP282" s="53" t="n"/>
      <c r="AQ282" s="53" t="n"/>
      <c r="AR282" s="53" t="n"/>
      <c r="AS282" s="53" t="n"/>
      <c r="AT282" s="53" t="n"/>
      <c r="AU282" s="53" t="n"/>
      <c r="AV282" s="53" t="n"/>
      <c r="AW282" s="53" t="n"/>
      <c r="AX282" s="53" t="n"/>
      <c r="AY282" s="53" t="n"/>
    </row>
    <row r="283" ht="15" customHeight="1">
      <c r="A283" s="40">
        <f>IF($D$283="","",91)</f>
        <v/>
      </c>
      <c r="B283" s="10" t="n"/>
      <c r="C283" s="41" t="inlineStr">
        <is>
          <t>기타</t>
        </is>
      </c>
      <c r="D283" s="42" t="n"/>
      <c r="E283" s="43" t="inlineStr">
        <is>
          <t>기획</t>
        </is>
      </c>
      <c r="F283" s="44" t="n"/>
      <c r="G283" s="45" t="n"/>
      <c r="H283" s="46">
        <f>IF($I$283="","",IF($I$283&lt;0,"🔴지연",IF($I$283&lt;=1,"🟡임박","🟢여유")))</f>
        <v/>
      </c>
      <c r="I283" s="47">
        <f>IF(OR($G$283="",$K$283=""),"",$G$283-$K$283)</f>
        <v/>
      </c>
      <c r="J283" s="48">
        <f>IF(SUM($L$283:$L$285)=0,"",SUM($L$283:$L$285))</f>
        <v/>
      </c>
      <c r="K283" s="49">
        <f>IF($J$283="","",MAX($N$283:$N$285))</f>
        <v/>
      </c>
      <c r="L283" s="50">
        <f>IF(SUM(U283:AY283)=0,"",SUM(U283:AY283))</f>
        <v/>
      </c>
      <c r="M283" s="51">
        <f>IFERROR(INDEX(U$2:AY$2,MATCH(TRUE,INDEX(U283:AY283&lt;&gt;"",0),0)),"")</f>
        <v/>
      </c>
      <c r="N283" s="51">
        <f>IFERROR(LOOKUP(2,1/(U283:AY283&lt;&gt;""),U$2:AY$2),"")</f>
        <v/>
      </c>
      <c r="O283" s="52" t="n"/>
      <c r="P283" s="52" t="n"/>
      <c r="Q283" s="52" t="n"/>
      <c r="R283" s="44" t="n"/>
      <c r="S283" s="14" t="n"/>
      <c r="U283" s="53" t="n"/>
      <c r="V283" s="53" t="n"/>
      <c r="W283" s="53" t="n"/>
      <c r="X283" s="53" t="n"/>
      <c r="Y283" s="53" t="n"/>
      <c r="Z283" s="53" t="n"/>
      <c r="AA283" s="53" t="n"/>
      <c r="AB283" s="53" t="n"/>
      <c r="AC283" s="53" t="n"/>
      <c r="AD283" s="53" t="n"/>
      <c r="AE283" s="53" t="n"/>
      <c r="AF283" s="53" t="n"/>
      <c r="AG283" s="53" t="n"/>
      <c r="AH283" s="53" t="n"/>
      <c r="AI283" s="53" t="n"/>
      <c r="AJ283" s="53" t="n"/>
      <c r="AK283" s="53" t="n"/>
      <c r="AL283" s="53" t="n"/>
      <c r="AM283" s="53" t="n"/>
      <c r="AN283" s="53" t="n"/>
      <c r="AO283" s="53" t="n"/>
      <c r="AP283" s="53" t="n"/>
      <c r="AQ283" s="53" t="n"/>
      <c r="AR283" s="53" t="n"/>
      <c r="AS283" s="53" t="n"/>
      <c r="AT283" s="53" t="n"/>
      <c r="AU283" s="53" t="n"/>
      <c r="AV283" s="53" t="n"/>
      <c r="AW283" s="53" t="n"/>
      <c r="AX283" s="53" t="n"/>
      <c r="AY283" s="53" t="n"/>
    </row>
    <row r="284" ht="15" customHeight="1">
      <c r="A284" s="54" t="n"/>
      <c r="B284" s="55">
        <f>IF($B$283="","",$B$283)</f>
        <v/>
      </c>
      <c r="C284" s="56" t="inlineStr">
        <is>
          <t>기타</t>
        </is>
      </c>
      <c r="D284" s="55">
        <f>IF($D$283="","",$D$283)</f>
        <v/>
      </c>
      <c r="E284" s="57" t="inlineStr">
        <is>
          <t>이미지</t>
        </is>
      </c>
      <c r="F284" s="44" t="n"/>
      <c r="G284" s="58">
        <f>IF($G$283="","",$G$283)</f>
        <v/>
      </c>
      <c r="H284" s="59" t="n"/>
      <c r="I284" s="59" t="n"/>
      <c r="J284" s="59" t="n"/>
      <c r="K284" s="59" t="n"/>
      <c r="L284" s="60">
        <f>IF(SUM(U284:AY284)=0,"",SUM(U284:AY284))</f>
        <v/>
      </c>
      <c r="M284" s="61">
        <f>IFERROR(INDEX(U$2:AY$2,MATCH(TRUE,INDEX(U284:AY284&lt;&gt;"",0),0)),"")</f>
        <v/>
      </c>
      <c r="N284" s="61">
        <f>IFERROR(LOOKUP(2,1/(U284:AY284&lt;&gt;""),U$2:AY$2),"")</f>
        <v/>
      </c>
      <c r="O284" s="59" t="n"/>
      <c r="P284" s="59" t="n"/>
      <c r="Q284" s="59" t="n"/>
      <c r="R284" s="59" t="n"/>
      <c r="S284" s="14" t="n"/>
      <c r="U284" s="53" t="n"/>
      <c r="V284" s="53" t="n"/>
      <c r="W284" s="53" t="n"/>
      <c r="X284" s="53" t="n"/>
      <c r="Y284" s="53" t="n"/>
      <c r="Z284" s="53" t="n"/>
      <c r="AA284" s="53" t="n"/>
      <c r="AB284" s="53" t="n"/>
      <c r="AC284" s="53" t="n"/>
      <c r="AD284" s="53" t="n"/>
      <c r="AE284" s="53" t="n"/>
      <c r="AF284" s="53" t="n"/>
      <c r="AG284" s="53" t="n"/>
      <c r="AH284" s="53" t="n"/>
      <c r="AI284" s="53" t="n"/>
      <c r="AJ284" s="53" t="n"/>
      <c r="AK284" s="53" t="n"/>
      <c r="AL284" s="53" t="n"/>
      <c r="AM284" s="53" t="n"/>
      <c r="AN284" s="53" t="n"/>
      <c r="AO284" s="53" t="n"/>
      <c r="AP284" s="53" t="n"/>
      <c r="AQ284" s="53" t="n"/>
      <c r="AR284" s="53" t="n"/>
      <c r="AS284" s="53" t="n"/>
      <c r="AT284" s="53" t="n"/>
      <c r="AU284" s="53" t="n"/>
      <c r="AV284" s="53" t="n"/>
      <c r="AW284" s="53" t="n"/>
      <c r="AX284" s="53" t="n"/>
      <c r="AY284" s="53" t="n"/>
    </row>
    <row r="285" ht="15" customHeight="1">
      <c r="A285" s="62" t="n"/>
      <c r="B285" s="55">
        <f>IF($B$283="","",$B$283)</f>
        <v/>
      </c>
      <c r="C285" s="63" t="inlineStr">
        <is>
          <t>기타</t>
        </is>
      </c>
      <c r="D285" s="55">
        <f>IF($D$283="","",$D$283)</f>
        <v/>
      </c>
      <c r="E285" s="64" t="inlineStr">
        <is>
          <t>영상</t>
        </is>
      </c>
      <c r="F285" s="44" t="n"/>
      <c r="G285" s="58">
        <f>IF($G$283="","",$G$283)</f>
        <v/>
      </c>
      <c r="H285" s="59" t="n"/>
      <c r="I285" s="59" t="n"/>
      <c r="J285" s="59" t="n"/>
      <c r="K285" s="59" t="n"/>
      <c r="L285" s="65">
        <f>IF(SUM(U285:AY285)=0,"",SUM(U285:AY285))</f>
        <v/>
      </c>
      <c r="M285" s="66">
        <f>IFERROR(INDEX(U$2:AY$2,MATCH(TRUE,INDEX(U285:AY285&lt;&gt;"",0),0)),"")</f>
        <v/>
      </c>
      <c r="N285" s="66">
        <f>IFERROR(LOOKUP(2,1/(U285:AY285&lt;&gt;""),U$2:AY$2),"")</f>
        <v/>
      </c>
      <c r="O285" s="59" t="n"/>
      <c r="P285" s="59" t="n"/>
      <c r="Q285" s="59" t="n"/>
      <c r="R285" s="59" t="n"/>
      <c r="S285" s="14" t="n"/>
      <c r="U285" s="53" t="n"/>
      <c r="V285" s="53" t="n"/>
      <c r="W285" s="53" t="n"/>
      <c r="X285" s="53" t="n"/>
      <c r="Y285" s="53" t="n"/>
      <c r="Z285" s="53" t="n"/>
      <c r="AA285" s="53" t="n"/>
      <c r="AB285" s="53" t="n"/>
      <c r="AC285" s="53" t="n"/>
      <c r="AD285" s="53" t="n"/>
      <c r="AE285" s="53" t="n"/>
      <c r="AF285" s="53" t="n"/>
      <c r="AG285" s="53" t="n"/>
      <c r="AH285" s="53" t="n"/>
      <c r="AI285" s="53" t="n"/>
      <c r="AJ285" s="53" t="n"/>
      <c r="AK285" s="53" t="n"/>
      <c r="AL285" s="53" t="n"/>
      <c r="AM285" s="53" t="n"/>
      <c r="AN285" s="53" t="n"/>
      <c r="AO285" s="53" t="n"/>
      <c r="AP285" s="53" t="n"/>
      <c r="AQ285" s="53" t="n"/>
      <c r="AR285" s="53" t="n"/>
      <c r="AS285" s="53" t="n"/>
      <c r="AT285" s="53" t="n"/>
      <c r="AU285" s="53" t="n"/>
      <c r="AV285" s="53" t="n"/>
      <c r="AW285" s="53" t="n"/>
      <c r="AX285" s="53" t="n"/>
      <c r="AY285" s="53" t="n"/>
    </row>
    <row r="286" ht="15" customHeight="1">
      <c r="A286" s="40">
        <f>IF($D$286="","",92)</f>
        <v/>
      </c>
      <c r="B286" s="10" t="n"/>
      <c r="C286" s="41" t="inlineStr">
        <is>
          <t>기타</t>
        </is>
      </c>
      <c r="D286" s="42" t="n"/>
      <c r="E286" s="43" t="inlineStr">
        <is>
          <t>기획</t>
        </is>
      </c>
      <c r="F286" s="44" t="n"/>
      <c r="G286" s="45" t="n"/>
      <c r="H286" s="46">
        <f>IF($I$286="","",IF($I$286&lt;0,"🔴지연",IF($I$286&lt;=1,"🟡임박","🟢여유")))</f>
        <v/>
      </c>
      <c r="I286" s="47">
        <f>IF(OR($G$286="",$K$286=""),"",$G$286-$K$286)</f>
        <v/>
      </c>
      <c r="J286" s="48">
        <f>IF(SUM($L$286:$L$288)=0,"",SUM($L$286:$L$288))</f>
        <v/>
      </c>
      <c r="K286" s="49">
        <f>IF($J$286="","",MAX($N$286:$N$288))</f>
        <v/>
      </c>
      <c r="L286" s="50">
        <f>IF(SUM(U286:AY286)=0,"",SUM(U286:AY286))</f>
        <v/>
      </c>
      <c r="M286" s="51">
        <f>IFERROR(INDEX(U$2:AY$2,MATCH(TRUE,INDEX(U286:AY286&lt;&gt;"",0),0)),"")</f>
        <v/>
      </c>
      <c r="N286" s="51">
        <f>IFERROR(LOOKUP(2,1/(U286:AY286&lt;&gt;""),U$2:AY$2),"")</f>
        <v/>
      </c>
      <c r="O286" s="52" t="n"/>
      <c r="P286" s="52" t="n"/>
      <c r="Q286" s="52" t="n"/>
      <c r="R286" s="44" t="n"/>
      <c r="S286" s="14" t="n"/>
      <c r="U286" s="53" t="n"/>
      <c r="V286" s="53" t="n"/>
      <c r="W286" s="53" t="n"/>
      <c r="X286" s="53" t="n"/>
      <c r="Y286" s="53" t="n"/>
      <c r="Z286" s="53" t="n"/>
      <c r="AA286" s="53" t="n"/>
      <c r="AB286" s="53" t="n"/>
      <c r="AC286" s="53" t="n"/>
      <c r="AD286" s="53" t="n"/>
      <c r="AE286" s="53" t="n"/>
      <c r="AF286" s="53" t="n"/>
      <c r="AG286" s="53" t="n"/>
      <c r="AH286" s="53" t="n"/>
      <c r="AI286" s="53" t="n"/>
      <c r="AJ286" s="53" t="n"/>
      <c r="AK286" s="53" t="n"/>
      <c r="AL286" s="53" t="n"/>
      <c r="AM286" s="53" t="n"/>
      <c r="AN286" s="53" t="n"/>
      <c r="AO286" s="53" t="n"/>
      <c r="AP286" s="53" t="n"/>
      <c r="AQ286" s="53" t="n"/>
      <c r="AR286" s="53" t="n"/>
      <c r="AS286" s="53" t="n"/>
      <c r="AT286" s="53" t="n"/>
      <c r="AU286" s="53" t="n"/>
      <c r="AV286" s="53" t="n"/>
      <c r="AW286" s="53" t="n"/>
      <c r="AX286" s="53" t="n"/>
      <c r="AY286" s="53" t="n"/>
    </row>
    <row r="287" ht="15" customHeight="1">
      <c r="A287" s="54" t="n"/>
      <c r="B287" s="55">
        <f>IF($B$286="","",$B$286)</f>
        <v/>
      </c>
      <c r="C287" s="56" t="inlineStr">
        <is>
          <t>기타</t>
        </is>
      </c>
      <c r="D287" s="55">
        <f>IF($D$286="","",$D$286)</f>
        <v/>
      </c>
      <c r="E287" s="57" t="inlineStr">
        <is>
          <t>이미지</t>
        </is>
      </c>
      <c r="F287" s="44" t="n"/>
      <c r="G287" s="58">
        <f>IF($G$286="","",$G$286)</f>
        <v/>
      </c>
      <c r="H287" s="59" t="n"/>
      <c r="I287" s="59" t="n"/>
      <c r="J287" s="59" t="n"/>
      <c r="K287" s="59" t="n"/>
      <c r="L287" s="60">
        <f>IF(SUM(U287:AY287)=0,"",SUM(U287:AY287))</f>
        <v/>
      </c>
      <c r="M287" s="61">
        <f>IFERROR(INDEX(U$2:AY$2,MATCH(TRUE,INDEX(U287:AY287&lt;&gt;"",0),0)),"")</f>
        <v/>
      </c>
      <c r="N287" s="61">
        <f>IFERROR(LOOKUP(2,1/(U287:AY287&lt;&gt;""),U$2:AY$2),"")</f>
        <v/>
      </c>
      <c r="O287" s="59" t="n"/>
      <c r="P287" s="59" t="n"/>
      <c r="Q287" s="59" t="n"/>
      <c r="R287" s="59" t="n"/>
      <c r="S287" s="14" t="n"/>
      <c r="U287" s="53" t="n"/>
      <c r="V287" s="53" t="n"/>
      <c r="W287" s="53" t="n"/>
      <c r="X287" s="53" t="n"/>
      <c r="Y287" s="53" t="n"/>
      <c r="Z287" s="53" t="n"/>
      <c r="AA287" s="53" t="n"/>
      <c r="AB287" s="53" t="n"/>
      <c r="AC287" s="53" t="n"/>
      <c r="AD287" s="53" t="n"/>
      <c r="AE287" s="53" t="n"/>
      <c r="AF287" s="53" t="n"/>
      <c r="AG287" s="53" t="n"/>
      <c r="AH287" s="53" t="n"/>
      <c r="AI287" s="53" t="n"/>
      <c r="AJ287" s="53" t="n"/>
      <c r="AK287" s="53" t="n"/>
      <c r="AL287" s="53" t="n"/>
      <c r="AM287" s="53" t="n"/>
      <c r="AN287" s="53" t="n"/>
      <c r="AO287" s="53" t="n"/>
      <c r="AP287" s="53" t="n"/>
      <c r="AQ287" s="53" t="n"/>
      <c r="AR287" s="53" t="n"/>
      <c r="AS287" s="53" t="n"/>
      <c r="AT287" s="53" t="n"/>
      <c r="AU287" s="53" t="n"/>
      <c r="AV287" s="53" t="n"/>
      <c r="AW287" s="53" t="n"/>
      <c r="AX287" s="53" t="n"/>
      <c r="AY287" s="53" t="n"/>
    </row>
    <row r="288" ht="15" customHeight="1">
      <c r="A288" s="62" t="n"/>
      <c r="B288" s="55">
        <f>IF($B$286="","",$B$286)</f>
        <v/>
      </c>
      <c r="C288" s="63" t="inlineStr">
        <is>
          <t>기타</t>
        </is>
      </c>
      <c r="D288" s="55">
        <f>IF($D$286="","",$D$286)</f>
        <v/>
      </c>
      <c r="E288" s="64" t="inlineStr">
        <is>
          <t>영상</t>
        </is>
      </c>
      <c r="F288" s="44" t="n"/>
      <c r="G288" s="58">
        <f>IF($G$286="","",$G$286)</f>
        <v/>
      </c>
      <c r="H288" s="59" t="n"/>
      <c r="I288" s="59" t="n"/>
      <c r="J288" s="59" t="n"/>
      <c r="K288" s="59" t="n"/>
      <c r="L288" s="65">
        <f>IF(SUM(U288:AY288)=0,"",SUM(U288:AY288))</f>
        <v/>
      </c>
      <c r="M288" s="66">
        <f>IFERROR(INDEX(U$2:AY$2,MATCH(TRUE,INDEX(U288:AY288&lt;&gt;"",0),0)),"")</f>
        <v/>
      </c>
      <c r="N288" s="66">
        <f>IFERROR(LOOKUP(2,1/(U288:AY288&lt;&gt;""),U$2:AY$2),"")</f>
        <v/>
      </c>
      <c r="O288" s="59" t="n"/>
      <c r="P288" s="59" t="n"/>
      <c r="Q288" s="59" t="n"/>
      <c r="R288" s="59" t="n"/>
      <c r="S288" s="14" t="n"/>
      <c r="U288" s="53" t="n"/>
      <c r="V288" s="53" t="n"/>
      <c r="W288" s="53" t="n"/>
      <c r="X288" s="53" t="n"/>
      <c r="Y288" s="53" t="n"/>
      <c r="Z288" s="53" t="n"/>
      <c r="AA288" s="53" t="n"/>
      <c r="AB288" s="53" t="n"/>
      <c r="AC288" s="53" t="n"/>
      <c r="AD288" s="53" t="n"/>
      <c r="AE288" s="53" t="n"/>
      <c r="AF288" s="53" t="n"/>
      <c r="AG288" s="53" t="n"/>
      <c r="AH288" s="53" t="n"/>
      <c r="AI288" s="53" t="n"/>
      <c r="AJ288" s="53" t="n"/>
      <c r="AK288" s="53" t="n"/>
      <c r="AL288" s="53" t="n"/>
      <c r="AM288" s="53" t="n"/>
      <c r="AN288" s="53" t="n"/>
      <c r="AO288" s="53" t="n"/>
      <c r="AP288" s="53" t="n"/>
      <c r="AQ288" s="53" t="n"/>
      <c r="AR288" s="53" t="n"/>
      <c r="AS288" s="53" t="n"/>
      <c r="AT288" s="53" t="n"/>
      <c r="AU288" s="53" t="n"/>
      <c r="AV288" s="53" t="n"/>
      <c r="AW288" s="53" t="n"/>
      <c r="AX288" s="53" t="n"/>
      <c r="AY288" s="53" t="n"/>
    </row>
    <row r="289" ht="15" customHeight="1">
      <c r="A289" s="40">
        <f>IF($D$289="","",93)</f>
        <v/>
      </c>
      <c r="B289" s="10" t="n"/>
      <c r="C289" s="41" t="inlineStr">
        <is>
          <t>기타</t>
        </is>
      </c>
      <c r="D289" s="42" t="n"/>
      <c r="E289" s="43" t="inlineStr">
        <is>
          <t>기획</t>
        </is>
      </c>
      <c r="F289" s="44" t="n"/>
      <c r="G289" s="45" t="n"/>
      <c r="H289" s="46">
        <f>IF($I$289="","",IF($I$289&lt;0,"🔴지연",IF($I$289&lt;=1,"🟡임박","🟢여유")))</f>
        <v/>
      </c>
      <c r="I289" s="47">
        <f>IF(OR($G$289="",$K$289=""),"",$G$289-$K$289)</f>
        <v/>
      </c>
      <c r="J289" s="48">
        <f>IF(SUM($L$289:$L$291)=0,"",SUM($L$289:$L$291))</f>
        <v/>
      </c>
      <c r="K289" s="49">
        <f>IF($J$289="","",MAX($N$289:$N$291))</f>
        <v/>
      </c>
      <c r="L289" s="50">
        <f>IF(SUM(U289:AY289)=0,"",SUM(U289:AY289))</f>
        <v/>
      </c>
      <c r="M289" s="51">
        <f>IFERROR(INDEX(U$2:AY$2,MATCH(TRUE,INDEX(U289:AY289&lt;&gt;"",0),0)),"")</f>
        <v/>
      </c>
      <c r="N289" s="51">
        <f>IFERROR(LOOKUP(2,1/(U289:AY289&lt;&gt;""),U$2:AY$2),"")</f>
        <v/>
      </c>
      <c r="O289" s="52" t="n"/>
      <c r="P289" s="52" t="n"/>
      <c r="Q289" s="52" t="n"/>
      <c r="R289" s="44" t="n"/>
      <c r="S289" s="14" t="n"/>
      <c r="U289" s="53" t="n"/>
      <c r="V289" s="53" t="n"/>
      <c r="W289" s="53" t="n"/>
      <c r="X289" s="53" t="n"/>
      <c r="Y289" s="53" t="n"/>
      <c r="Z289" s="53" t="n"/>
      <c r="AA289" s="53" t="n"/>
      <c r="AB289" s="53" t="n"/>
      <c r="AC289" s="53" t="n"/>
      <c r="AD289" s="53" t="n"/>
      <c r="AE289" s="53" t="n"/>
      <c r="AF289" s="53" t="n"/>
      <c r="AG289" s="53" t="n"/>
      <c r="AH289" s="53" t="n"/>
      <c r="AI289" s="53" t="n"/>
      <c r="AJ289" s="53" t="n"/>
      <c r="AK289" s="53" t="n"/>
      <c r="AL289" s="53" t="n"/>
      <c r="AM289" s="53" t="n"/>
      <c r="AN289" s="53" t="n"/>
      <c r="AO289" s="53" t="n"/>
      <c r="AP289" s="53" t="n"/>
      <c r="AQ289" s="53" t="n"/>
      <c r="AR289" s="53" t="n"/>
      <c r="AS289" s="53" t="n"/>
      <c r="AT289" s="53" t="n"/>
      <c r="AU289" s="53" t="n"/>
      <c r="AV289" s="53" t="n"/>
      <c r="AW289" s="53" t="n"/>
      <c r="AX289" s="53" t="n"/>
      <c r="AY289" s="53" t="n"/>
    </row>
    <row r="290" ht="15" customHeight="1">
      <c r="A290" s="54" t="n"/>
      <c r="B290" s="55">
        <f>IF($B$289="","",$B$289)</f>
        <v/>
      </c>
      <c r="C290" s="56" t="inlineStr">
        <is>
          <t>기타</t>
        </is>
      </c>
      <c r="D290" s="55">
        <f>IF($D$289="","",$D$289)</f>
        <v/>
      </c>
      <c r="E290" s="57" t="inlineStr">
        <is>
          <t>이미지</t>
        </is>
      </c>
      <c r="F290" s="44" t="n"/>
      <c r="G290" s="58">
        <f>IF($G$289="","",$G$289)</f>
        <v/>
      </c>
      <c r="H290" s="59" t="n"/>
      <c r="I290" s="59" t="n"/>
      <c r="J290" s="59" t="n"/>
      <c r="K290" s="59" t="n"/>
      <c r="L290" s="60">
        <f>IF(SUM(U290:AY290)=0,"",SUM(U290:AY290))</f>
        <v/>
      </c>
      <c r="M290" s="61">
        <f>IFERROR(INDEX(U$2:AY$2,MATCH(TRUE,INDEX(U290:AY290&lt;&gt;"",0),0)),"")</f>
        <v/>
      </c>
      <c r="N290" s="61">
        <f>IFERROR(LOOKUP(2,1/(U290:AY290&lt;&gt;""),U$2:AY$2),"")</f>
        <v/>
      </c>
      <c r="O290" s="59" t="n"/>
      <c r="P290" s="59" t="n"/>
      <c r="Q290" s="59" t="n"/>
      <c r="R290" s="59" t="n"/>
      <c r="S290" s="14" t="n"/>
      <c r="U290" s="53" t="n"/>
      <c r="V290" s="53" t="n"/>
      <c r="W290" s="53" t="n"/>
      <c r="X290" s="53" t="n"/>
      <c r="Y290" s="53" t="n"/>
      <c r="Z290" s="53" t="n"/>
      <c r="AA290" s="53" t="n"/>
      <c r="AB290" s="53" t="n"/>
      <c r="AC290" s="53" t="n"/>
      <c r="AD290" s="53" t="n"/>
      <c r="AE290" s="53" t="n"/>
      <c r="AF290" s="53" t="n"/>
      <c r="AG290" s="53" t="n"/>
      <c r="AH290" s="53" t="n"/>
      <c r="AI290" s="53" t="n"/>
      <c r="AJ290" s="53" t="n"/>
      <c r="AK290" s="53" t="n"/>
      <c r="AL290" s="53" t="n"/>
      <c r="AM290" s="53" t="n"/>
      <c r="AN290" s="53" t="n"/>
      <c r="AO290" s="53" t="n"/>
      <c r="AP290" s="53" t="n"/>
      <c r="AQ290" s="53" t="n"/>
      <c r="AR290" s="53" t="n"/>
      <c r="AS290" s="53" t="n"/>
      <c r="AT290" s="53" t="n"/>
      <c r="AU290" s="53" t="n"/>
      <c r="AV290" s="53" t="n"/>
      <c r="AW290" s="53" t="n"/>
      <c r="AX290" s="53" t="n"/>
      <c r="AY290" s="53" t="n"/>
    </row>
    <row r="291" ht="15" customHeight="1">
      <c r="A291" s="62" t="n"/>
      <c r="B291" s="55">
        <f>IF($B$289="","",$B$289)</f>
        <v/>
      </c>
      <c r="C291" s="63" t="inlineStr">
        <is>
          <t>기타</t>
        </is>
      </c>
      <c r="D291" s="55">
        <f>IF($D$289="","",$D$289)</f>
        <v/>
      </c>
      <c r="E291" s="64" t="inlineStr">
        <is>
          <t>영상</t>
        </is>
      </c>
      <c r="F291" s="44" t="n"/>
      <c r="G291" s="58">
        <f>IF($G$289="","",$G$289)</f>
        <v/>
      </c>
      <c r="H291" s="59" t="n"/>
      <c r="I291" s="59" t="n"/>
      <c r="J291" s="59" t="n"/>
      <c r="K291" s="59" t="n"/>
      <c r="L291" s="65">
        <f>IF(SUM(U291:AY291)=0,"",SUM(U291:AY291))</f>
        <v/>
      </c>
      <c r="M291" s="66">
        <f>IFERROR(INDEX(U$2:AY$2,MATCH(TRUE,INDEX(U291:AY291&lt;&gt;"",0),0)),"")</f>
        <v/>
      </c>
      <c r="N291" s="66">
        <f>IFERROR(LOOKUP(2,1/(U291:AY291&lt;&gt;""),U$2:AY$2),"")</f>
        <v/>
      </c>
      <c r="O291" s="59" t="n"/>
      <c r="P291" s="59" t="n"/>
      <c r="Q291" s="59" t="n"/>
      <c r="R291" s="59" t="n"/>
      <c r="S291" s="14" t="n"/>
      <c r="U291" s="53" t="n"/>
      <c r="V291" s="53" t="n"/>
      <c r="W291" s="53" t="n"/>
      <c r="X291" s="53" t="n"/>
      <c r="Y291" s="53" t="n"/>
      <c r="Z291" s="53" t="n"/>
      <c r="AA291" s="53" t="n"/>
      <c r="AB291" s="53" t="n"/>
      <c r="AC291" s="53" t="n"/>
      <c r="AD291" s="53" t="n"/>
      <c r="AE291" s="53" t="n"/>
      <c r="AF291" s="53" t="n"/>
      <c r="AG291" s="53" t="n"/>
      <c r="AH291" s="53" t="n"/>
      <c r="AI291" s="53" t="n"/>
      <c r="AJ291" s="53" t="n"/>
      <c r="AK291" s="53" t="n"/>
      <c r="AL291" s="53" t="n"/>
      <c r="AM291" s="53" t="n"/>
      <c r="AN291" s="53" t="n"/>
      <c r="AO291" s="53" t="n"/>
      <c r="AP291" s="53" t="n"/>
      <c r="AQ291" s="53" t="n"/>
      <c r="AR291" s="53" t="n"/>
      <c r="AS291" s="53" t="n"/>
      <c r="AT291" s="53" t="n"/>
      <c r="AU291" s="53" t="n"/>
      <c r="AV291" s="53" t="n"/>
      <c r="AW291" s="53" t="n"/>
      <c r="AX291" s="53" t="n"/>
      <c r="AY291" s="53" t="n"/>
    </row>
    <row r="292" ht="15" customHeight="1">
      <c r="A292" s="40">
        <f>IF($D$292="","",94)</f>
        <v/>
      </c>
      <c r="B292" s="10" t="n"/>
      <c r="C292" s="41" t="inlineStr">
        <is>
          <t>기타</t>
        </is>
      </c>
      <c r="D292" s="42" t="n"/>
      <c r="E292" s="43" t="inlineStr">
        <is>
          <t>기획</t>
        </is>
      </c>
      <c r="F292" s="44" t="n"/>
      <c r="G292" s="45" t="n"/>
      <c r="H292" s="46">
        <f>IF($I$292="","",IF($I$292&lt;0,"🔴지연",IF($I$292&lt;=1,"🟡임박","🟢여유")))</f>
        <v/>
      </c>
      <c r="I292" s="47">
        <f>IF(OR($G$292="",$K$292=""),"",$G$292-$K$292)</f>
        <v/>
      </c>
      <c r="J292" s="48">
        <f>IF(SUM($L$292:$L$294)=0,"",SUM($L$292:$L$294))</f>
        <v/>
      </c>
      <c r="K292" s="49">
        <f>IF($J$292="","",MAX($N$292:$N$294))</f>
        <v/>
      </c>
      <c r="L292" s="50">
        <f>IF(SUM(U292:AY292)=0,"",SUM(U292:AY292))</f>
        <v/>
      </c>
      <c r="M292" s="51">
        <f>IFERROR(INDEX(U$2:AY$2,MATCH(TRUE,INDEX(U292:AY292&lt;&gt;"",0),0)),"")</f>
        <v/>
      </c>
      <c r="N292" s="51">
        <f>IFERROR(LOOKUP(2,1/(U292:AY292&lt;&gt;""),U$2:AY$2),"")</f>
        <v/>
      </c>
      <c r="O292" s="52" t="n"/>
      <c r="P292" s="52" t="n"/>
      <c r="Q292" s="52" t="n"/>
      <c r="R292" s="44" t="n"/>
      <c r="S292" s="14" t="n"/>
      <c r="U292" s="53" t="n"/>
      <c r="V292" s="53" t="n"/>
      <c r="W292" s="53" t="n"/>
      <c r="X292" s="53" t="n"/>
      <c r="Y292" s="53" t="n"/>
      <c r="Z292" s="53" t="n"/>
      <c r="AA292" s="53" t="n"/>
      <c r="AB292" s="53" t="n"/>
      <c r="AC292" s="53" t="n"/>
      <c r="AD292" s="53" t="n"/>
      <c r="AE292" s="53" t="n"/>
      <c r="AF292" s="53" t="n"/>
      <c r="AG292" s="53" t="n"/>
      <c r="AH292" s="53" t="n"/>
      <c r="AI292" s="53" t="n"/>
      <c r="AJ292" s="53" t="n"/>
      <c r="AK292" s="53" t="n"/>
      <c r="AL292" s="53" t="n"/>
      <c r="AM292" s="53" t="n"/>
      <c r="AN292" s="53" t="n"/>
      <c r="AO292" s="53" t="n"/>
      <c r="AP292" s="53" t="n"/>
      <c r="AQ292" s="53" t="n"/>
      <c r="AR292" s="53" t="n"/>
      <c r="AS292" s="53" t="n"/>
      <c r="AT292" s="53" t="n"/>
      <c r="AU292" s="53" t="n"/>
      <c r="AV292" s="53" t="n"/>
      <c r="AW292" s="53" t="n"/>
      <c r="AX292" s="53" t="n"/>
      <c r="AY292" s="53" t="n"/>
    </row>
    <row r="293" ht="15" customHeight="1">
      <c r="A293" s="54" t="n"/>
      <c r="B293" s="55">
        <f>IF($B$292="","",$B$292)</f>
        <v/>
      </c>
      <c r="C293" s="56" t="inlineStr">
        <is>
          <t>기타</t>
        </is>
      </c>
      <c r="D293" s="55">
        <f>IF($D$292="","",$D$292)</f>
        <v/>
      </c>
      <c r="E293" s="57" t="inlineStr">
        <is>
          <t>이미지</t>
        </is>
      </c>
      <c r="F293" s="44" t="n"/>
      <c r="G293" s="58">
        <f>IF($G$292="","",$G$292)</f>
        <v/>
      </c>
      <c r="H293" s="59" t="n"/>
      <c r="I293" s="59" t="n"/>
      <c r="J293" s="59" t="n"/>
      <c r="K293" s="59" t="n"/>
      <c r="L293" s="60">
        <f>IF(SUM(U293:AY293)=0,"",SUM(U293:AY293))</f>
        <v/>
      </c>
      <c r="M293" s="61">
        <f>IFERROR(INDEX(U$2:AY$2,MATCH(TRUE,INDEX(U293:AY293&lt;&gt;"",0),0)),"")</f>
        <v/>
      </c>
      <c r="N293" s="61">
        <f>IFERROR(LOOKUP(2,1/(U293:AY293&lt;&gt;""),U$2:AY$2),"")</f>
        <v/>
      </c>
      <c r="O293" s="59" t="n"/>
      <c r="P293" s="59" t="n"/>
      <c r="Q293" s="59" t="n"/>
      <c r="R293" s="59" t="n"/>
      <c r="S293" s="14" t="n"/>
      <c r="U293" s="53" t="n"/>
      <c r="V293" s="53" t="n"/>
      <c r="W293" s="53" t="n"/>
      <c r="X293" s="53" t="n"/>
      <c r="Y293" s="53" t="n"/>
      <c r="Z293" s="53" t="n"/>
      <c r="AA293" s="53" t="n"/>
      <c r="AB293" s="53" t="n"/>
      <c r="AC293" s="53" t="n"/>
      <c r="AD293" s="53" t="n"/>
      <c r="AE293" s="53" t="n"/>
      <c r="AF293" s="53" t="n"/>
      <c r="AG293" s="53" t="n"/>
      <c r="AH293" s="53" t="n"/>
      <c r="AI293" s="53" t="n"/>
      <c r="AJ293" s="53" t="n"/>
      <c r="AK293" s="53" t="n"/>
      <c r="AL293" s="53" t="n"/>
      <c r="AM293" s="53" t="n"/>
      <c r="AN293" s="53" t="n"/>
      <c r="AO293" s="53" t="n"/>
      <c r="AP293" s="53" t="n"/>
      <c r="AQ293" s="53" t="n"/>
      <c r="AR293" s="53" t="n"/>
      <c r="AS293" s="53" t="n"/>
      <c r="AT293" s="53" t="n"/>
      <c r="AU293" s="53" t="n"/>
      <c r="AV293" s="53" t="n"/>
      <c r="AW293" s="53" t="n"/>
      <c r="AX293" s="53" t="n"/>
      <c r="AY293" s="53" t="n"/>
    </row>
    <row r="294" ht="15" customHeight="1">
      <c r="A294" s="62" t="n"/>
      <c r="B294" s="55">
        <f>IF($B$292="","",$B$292)</f>
        <v/>
      </c>
      <c r="C294" s="63" t="inlineStr">
        <is>
          <t>기타</t>
        </is>
      </c>
      <c r="D294" s="55">
        <f>IF($D$292="","",$D$292)</f>
        <v/>
      </c>
      <c r="E294" s="64" t="inlineStr">
        <is>
          <t>영상</t>
        </is>
      </c>
      <c r="F294" s="44" t="n"/>
      <c r="G294" s="58">
        <f>IF($G$292="","",$G$292)</f>
        <v/>
      </c>
      <c r="H294" s="59" t="n"/>
      <c r="I294" s="59" t="n"/>
      <c r="J294" s="59" t="n"/>
      <c r="K294" s="59" t="n"/>
      <c r="L294" s="65">
        <f>IF(SUM(U294:AY294)=0,"",SUM(U294:AY294))</f>
        <v/>
      </c>
      <c r="M294" s="66">
        <f>IFERROR(INDEX(U$2:AY$2,MATCH(TRUE,INDEX(U294:AY294&lt;&gt;"",0),0)),"")</f>
        <v/>
      </c>
      <c r="N294" s="66">
        <f>IFERROR(LOOKUP(2,1/(U294:AY294&lt;&gt;""),U$2:AY$2),"")</f>
        <v/>
      </c>
      <c r="O294" s="59" t="n"/>
      <c r="P294" s="59" t="n"/>
      <c r="Q294" s="59" t="n"/>
      <c r="R294" s="59" t="n"/>
      <c r="S294" s="14" t="n"/>
      <c r="U294" s="53" t="n"/>
      <c r="V294" s="53" t="n"/>
      <c r="W294" s="53" t="n"/>
      <c r="X294" s="53" t="n"/>
      <c r="Y294" s="53" t="n"/>
      <c r="Z294" s="53" t="n"/>
      <c r="AA294" s="53" t="n"/>
      <c r="AB294" s="53" t="n"/>
      <c r="AC294" s="53" t="n"/>
      <c r="AD294" s="53" t="n"/>
      <c r="AE294" s="53" t="n"/>
      <c r="AF294" s="53" t="n"/>
      <c r="AG294" s="53" t="n"/>
      <c r="AH294" s="53" t="n"/>
      <c r="AI294" s="53" t="n"/>
      <c r="AJ294" s="53" t="n"/>
      <c r="AK294" s="53" t="n"/>
      <c r="AL294" s="53" t="n"/>
      <c r="AM294" s="53" t="n"/>
      <c r="AN294" s="53" t="n"/>
      <c r="AO294" s="53" t="n"/>
      <c r="AP294" s="53" t="n"/>
      <c r="AQ294" s="53" t="n"/>
      <c r="AR294" s="53" t="n"/>
      <c r="AS294" s="53" t="n"/>
      <c r="AT294" s="53" t="n"/>
      <c r="AU294" s="53" t="n"/>
      <c r="AV294" s="53" t="n"/>
      <c r="AW294" s="53" t="n"/>
      <c r="AX294" s="53" t="n"/>
      <c r="AY294" s="53" t="n"/>
    </row>
    <row r="295" ht="15" customHeight="1">
      <c r="A295" s="40">
        <f>IF($D$295="","",95)</f>
        <v/>
      </c>
      <c r="B295" s="10" t="n"/>
      <c r="C295" s="41" t="inlineStr">
        <is>
          <t>기타</t>
        </is>
      </c>
      <c r="D295" s="42" t="n"/>
      <c r="E295" s="43" t="inlineStr">
        <is>
          <t>기획</t>
        </is>
      </c>
      <c r="F295" s="44" t="n"/>
      <c r="G295" s="45" t="n"/>
      <c r="H295" s="46">
        <f>IF($I$295="","",IF($I$295&lt;0,"🔴지연",IF($I$295&lt;=1,"🟡임박","🟢여유")))</f>
        <v/>
      </c>
      <c r="I295" s="47">
        <f>IF(OR($G$295="",$K$295=""),"",$G$295-$K$295)</f>
        <v/>
      </c>
      <c r="J295" s="48">
        <f>IF(SUM($L$295:$L$297)=0,"",SUM($L$295:$L$297))</f>
        <v/>
      </c>
      <c r="K295" s="49">
        <f>IF($J$295="","",MAX($N$295:$N$297))</f>
        <v/>
      </c>
      <c r="L295" s="50">
        <f>IF(SUM(U295:AY295)=0,"",SUM(U295:AY295))</f>
        <v/>
      </c>
      <c r="M295" s="51">
        <f>IFERROR(INDEX(U$2:AY$2,MATCH(TRUE,INDEX(U295:AY295&lt;&gt;"",0),0)),"")</f>
        <v/>
      </c>
      <c r="N295" s="51">
        <f>IFERROR(LOOKUP(2,1/(U295:AY295&lt;&gt;""),U$2:AY$2),"")</f>
        <v/>
      </c>
      <c r="O295" s="52" t="n"/>
      <c r="P295" s="52" t="n"/>
      <c r="Q295" s="52" t="n"/>
      <c r="R295" s="44" t="n"/>
      <c r="S295" s="14" t="n"/>
      <c r="U295" s="53" t="n"/>
      <c r="V295" s="53" t="n"/>
      <c r="W295" s="53" t="n"/>
      <c r="X295" s="53" t="n"/>
      <c r="Y295" s="53" t="n"/>
      <c r="Z295" s="53" t="n"/>
      <c r="AA295" s="53" t="n"/>
      <c r="AB295" s="53" t="n"/>
      <c r="AC295" s="53" t="n"/>
      <c r="AD295" s="53" t="n"/>
      <c r="AE295" s="53" t="n"/>
      <c r="AF295" s="53" t="n"/>
      <c r="AG295" s="53" t="n"/>
      <c r="AH295" s="53" t="n"/>
      <c r="AI295" s="53" t="n"/>
      <c r="AJ295" s="53" t="n"/>
      <c r="AK295" s="53" t="n"/>
      <c r="AL295" s="53" t="n"/>
      <c r="AM295" s="53" t="n"/>
      <c r="AN295" s="53" t="n"/>
      <c r="AO295" s="53" t="n"/>
      <c r="AP295" s="53" t="n"/>
      <c r="AQ295" s="53" t="n"/>
      <c r="AR295" s="53" t="n"/>
      <c r="AS295" s="53" t="n"/>
      <c r="AT295" s="53" t="n"/>
      <c r="AU295" s="53" t="n"/>
      <c r="AV295" s="53" t="n"/>
      <c r="AW295" s="53" t="n"/>
      <c r="AX295" s="53" t="n"/>
      <c r="AY295" s="53" t="n"/>
    </row>
    <row r="296" ht="15" customHeight="1">
      <c r="A296" s="54" t="n"/>
      <c r="B296" s="55">
        <f>IF($B$295="","",$B$295)</f>
        <v/>
      </c>
      <c r="C296" s="56" t="inlineStr">
        <is>
          <t>기타</t>
        </is>
      </c>
      <c r="D296" s="55">
        <f>IF($D$295="","",$D$295)</f>
        <v/>
      </c>
      <c r="E296" s="57" t="inlineStr">
        <is>
          <t>이미지</t>
        </is>
      </c>
      <c r="F296" s="44" t="n"/>
      <c r="G296" s="58">
        <f>IF($G$295="","",$G$295)</f>
        <v/>
      </c>
      <c r="H296" s="59" t="n"/>
      <c r="I296" s="59" t="n"/>
      <c r="J296" s="59" t="n"/>
      <c r="K296" s="59" t="n"/>
      <c r="L296" s="60">
        <f>IF(SUM(U296:AY296)=0,"",SUM(U296:AY296))</f>
        <v/>
      </c>
      <c r="M296" s="61">
        <f>IFERROR(INDEX(U$2:AY$2,MATCH(TRUE,INDEX(U296:AY296&lt;&gt;"",0),0)),"")</f>
        <v/>
      </c>
      <c r="N296" s="61">
        <f>IFERROR(LOOKUP(2,1/(U296:AY296&lt;&gt;""),U$2:AY$2),"")</f>
        <v/>
      </c>
      <c r="O296" s="59" t="n"/>
      <c r="P296" s="59" t="n"/>
      <c r="Q296" s="59" t="n"/>
      <c r="R296" s="59" t="n"/>
      <c r="S296" s="14" t="n"/>
      <c r="U296" s="53" t="n"/>
      <c r="V296" s="53" t="n"/>
      <c r="W296" s="53" t="n"/>
      <c r="X296" s="53" t="n"/>
      <c r="Y296" s="53" t="n"/>
      <c r="Z296" s="53" t="n"/>
      <c r="AA296" s="53" t="n"/>
      <c r="AB296" s="53" t="n"/>
      <c r="AC296" s="53" t="n"/>
      <c r="AD296" s="53" t="n"/>
      <c r="AE296" s="53" t="n"/>
      <c r="AF296" s="53" t="n"/>
      <c r="AG296" s="53" t="n"/>
      <c r="AH296" s="53" t="n"/>
      <c r="AI296" s="53" t="n"/>
      <c r="AJ296" s="53" t="n"/>
      <c r="AK296" s="53" t="n"/>
      <c r="AL296" s="53" t="n"/>
      <c r="AM296" s="53" t="n"/>
      <c r="AN296" s="53" t="n"/>
      <c r="AO296" s="53" t="n"/>
      <c r="AP296" s="53" t="n"/>
      <c r="AQ296" s="53" t="n"/>
      <c r="AR296" s="53" t="n"/>
      <c r="AS296" s="53" t="n"/>
      <c r="AT296" s="53" t="n"/>
      <c r="AU296" s="53" t="n"/>
      <c r="AV296" s="53" t="n"/>
      <c r="AW296" s="53" t="n"/>
      <c r="AX296" s="53" t="n"/>
      <c r="AY296" s="53" t="n"/>
    </row>
    <row r="297" ht="15" customHeight="1">
      <c r="A297" s="62" t="n"/>
      <c r="B297" s="55">
        <f>IF($B$295="","",$B$295)</f>
        <v/>
      </c>
      <c r="C297" s="63" t="inlineStr">
        <is>
          <t>기타</t>
        </is>
      </c>
      <c r="D297" s="55">
        <f>IF($D$295="","",$D$295)</f>
        <v/>
      </c>
      <c r="E297" s="64" t="inlineStr">
        <is>
          <t>영상</t>
        </is>
      </c>
      <c r="F297" s="44" t="n"/>
      <c r="G297" s="58">
        <f>IF($G$295="","",$G$295)</f>
        <v/>
      </c>
      <c r="H297" s="59" t="n"/>
      <c r="I297" s="59" t="n"/>
      <c r="J297" s="59" t="n"/>
      <c r="K297" s="59" t="n"/>
      <c r="L297" s="65">
        <f>IF(SUM(U297:AY297)=0,"",SUM(U297:AY297))</f>
        <v/>
      </c>
      <c r="M297" s="66">
        <f>IFERROR(INDEX(U$2:AY$2,MATCH(TRUE,INDEX(U297:AY297&lt;&gt;"",0),0)),"")</f>
        <v/>
      </c>
      <c r="N297" s="66">
        <f>IFERROR(LOOKUP(2,1/(U297:AY297&lt;&gt;""),U$2:AY$2),"")</f>
        <v/>
      </c>
      <c r="O297" s="59" t="n"/>
      <c r="P297" s="59" t="n"/>
      <c r="Q297" s="59" t="n"/>
      <c r="R297" s="59" t="n"/>
      <c r="S297" s="14" t="n"/>
      <c r="U297" s="53" t="n"/>
      <c r="V297" s="53" t="n"/>
      <c r="W297" s="53" t="n"/>
      <c r="X297" s="53" t="n"/>
      <c r="Y297" s="53" t="n"/>
      <c r="Z297" s="53" t="n"/>
      <c r="AA297" s="53" t="n"/>
      <c r="AB297" s="53" t="n"/>
      <c r="AC297" s="53" t="n"/>
      <c r="AD297" s="53" t="n"/>
      <c r="AE297" s="53" t="n"/>
      <c r="AF297" s="53" t="n"/>
      <c r="AG297" s="53" t="n"/>
      <c r="AH297" s="53" t="n"/>
      <c r="AI297" s="53" t="n"/>
      <c r="AJ297" s="53" t="n"/>
      <c r="AK297" s="53" t="n"/>
      <c r="AL297" s="53" t="n"/>
      <c r="AM297" s="53" t="n"/>
      <c r="AN297" s="53" t="n"/>
      <c r="AO297" s="53" t="n"/>
      <c r="AP297" s="53" t="n"/>
      <c r="AQ297" s="53" t="n"/>
      <c r="AR297" s="53" t="n"/>
      <c r="AS297" s="53" t="n"/>
      <c r="AT297" s="53" t="n"/>
      <c r="AU297" s="53" t="n"/>
      <c r="AV297" s="53" t="n"/>
      <c r="AW297" s="53" t="n"/>
      <c r="AX297" s="53" t="n"/>
      <c r="AY297" s="53" t="n"/>
    </row>
    <row r="298" ht="15" customHeight="1">
      <c r="A298" s="40">
        <f>IF($D$298="","",96)</f>
        <v/>
      </c>
      <c r="B298" s="10" t="n"/>
      <c r="C298" s="41" t="inlineStr">
        <is>
          <t>기타</t>
        </is>
      </c>
      <c r="D298" s="42" t="n"/>
      <c r="E298" s="43" t="inlineStr">
        <is>
          <t>기획</t>
        </is>
      </c>
      <c r="F298" s="44" t="n"/>
      <c r="G298" s="45" t="n"/>
      <c r="H298" s="46">
        <f>IF($I$298="","",IF($I$298&lt;0,"🔴지연",IF($I$298&lt;=1,"🟡임박","🟢여유")))</f>
        <v/>
      </c>
      <c r="I298" s="47">
        <f>IF(OR($G$298="",$K$298=""),"",$G$298-$K$298)</f>
        <v/>
      </c>
      <c r="J298" s="48">
        <f>IF(SUM($L$298:$L$300)=0,"",SUM($L$298:$L$300))</f>
        <v/>
      </c>
      <c r="K298" s="49">
        <f>IF($J$298="","",MAX($N$298:$N$300))</f>
        <v/>
      </c>
      <c r="L298" s="50">
        <f>IF(SUM(U298:AY298)=0,"",SUM(U298:AY298))</f>
        <v/>
      </c>
      <c r="M298" s="51">
        <f>IFERROR(INDEX(U$2:AY$2,MATCH(TRUE,INDEX(U298:AY298&lt;&gt;"",0),0)),"")</f>
        <v/>
      </c>
      <c r="N298" s="51">
        <f>IFERROR(LOOKUP(2,1/(U298:AY298&lt;&gt;""),U$2:AY$2),"")</f>
        <v/>
      </c>
      <c r="O298" s="52" t="n"/>
      <c r="P298" s="52" t="n"/>
      <c r="Q298" s="52" t="n"/>
      <c r="R298" s="44" t="n"/>
      <c r="S298" s="14" t="n"/>
      <c r="U298" s="53" t="n"/>
      <c r="V298" s="53" t="n"/>
      <c r="W298" s="53" t="n"/>
      <c r="X298" s="53" t="n"/>
      <c r="Y298" s="53" t="n"/>
      <c r="Z298" s="53" t="n"/>
      <c r="AA298" s="53" t="n"/>
      <c r="AB298" s="53" t="n"/>
      <c r="AC298" s="53" t="n"/>
      <c r="AD298" s="53" t="n"/>
      <c r="AE298" s="53" t="n"/>
      <c r="AF298" s="53" t="n"/>
      <c r="AG298" s="53" t="n"/>
      <c r="AH298" s="53" t="n"/>
      <c r="AI298" s="53" t="n"/>
      <c r="AJ298" s="53" t="n"/>
      <c r="AK298" s="53" t="n"/>
      <c r="AL298" s="53" t="n"/>
      <c r="AM298" s="53" t="n"/>
      <c r="AN298" s="53" t="n"/>
      <c r="AO298" s="53" t="n"/>
      <c r="AP298" s="53" t="n"/>
      <c r="AQ298" s="53" t="n"/>
      <c r="AR298" s="53" t="n"/>
      <c r="AS298" s="53" t="n"/>
      <c r="AT298" s="53" t="n"/>
      <c r="AU298" s="53" t="n"/>
      <c r="AV298" s="53" t="n"/>
      <c r="AW298" s="53" t="n"/>
      <c r="AX298" s="53" t="n"/>
      <c r="AY298" s="53" t="n"/>
    </row>
    <row r="299" ht="15" customHeight="1">
      <c r="A299" s="54" t="n"/>
      <c r="B299" s="55">
        <f>IF($B$298="","",$B$298)</f>
        <v/>
      </c>
      <c r="C299" s="56" t="inlineStr">
        <is>
          <t>기타</t>
        </is>
      </c>
      <c r="D299" s="55">
        <f>IF($D$298="","",$D$298)</f>
        <v/>
      </c>
      <c r="E299" s="57" t="inlineStr">
        <is>
          <t>이미지</t>
        </is>
      </c>
      <c r="F299" s="44" t="n"/>
      <c r="G299" s="58">
        <f>IF($G$298="","",$G$298)</f>
        <v/>
      </c>
      <c r="H299" s="59" t="n"/>
      <c r="I299" s="59" t="n"/>
      <c r="J299" s="59" t="n"/>
      <c r="K299" s="59" t="n"/>
      <c r="L299" s="60">
        <f>IF(SUM(U299:AY299)=0,"",SUM(U299:AY299))</f>
        <v/>
      </c>
      <c r="M299" s="61">
        <f>IFERROR(INDEX(U$2:AY$2,MATCH(TRUE,INDEX(U299:AY299&lt;&gt;"",0),0)),"")</f>
        <v/>
      </c>
      <c r="N299" s="61">
        <f>IFERROR(LOOKUP(2,1/(U299:AY299&lt;&gt;""),U$2:AY$2),"")</f>
        <v/>
      </c>
      <c r="O299" s="59" t="n"/>
      <c r="P299" s="59" t="n"/>
      <c r="Q299" s="59" t="n"/>
      <c r="R299" s="59" t="n"/>
      <c r="S299" s="14" t="n"/>
      <c r="U299" s="53" t="n"/>
      <c r="V299" s="53" t="n"/>
      <c r="W299" s="53" t="n"/>
      <c r="X299" s="53" t="n"/>
      <c r="Y299" s="53" t="n"/>
      <c r="Z299" s="53" t="n"/>
      <c r="AA299" s="53" t="n"/>
      <c r="AB299" s="53" t="n"/>
      <c r="AC299" s="53" t="n"/>
      <c r="AD299" s="53" t="n"/>
      <c r="AE299" s="53" t="n"/>
      <c r="AF299" s="53" t="n"/>
      <c r="AG299" s="53" t="n"/>
      <c r="AH299" s="53" t="n"/>
      <c r="AI299" s="53" t="n"/>
      <c r="AJ299" s="53" t="n"/>
      <c r="AK299" s="53" t="n"/>
      <c r="AL299" s="53" t="n"/>
      <c r="AM299" s="53" t="n"/>
      <c r="AN299" s="53" t="n"/>
      <c r="AO299" s="53" t="n"/>
      <c r="AP299" s="53" t="n"/>
      <c r="AQ299" s="53" t="n"/>
      <c r="AR299" s="53" t="n"/>
      <c r="AS299" s="53" t="n"/>
      <c r="AT299" s="53" t="n"/>
      <c r="AU299" s="53" t="n"/>
      <c r="AV299" s="53" t="n"/>
      <c r="AW299" s="53" t="n"/>
      <c r="AX299" s="53" t="n"/>
      <c r="AY299" s="53" t="n"/>
    </row>
    <row r="300" ht="15" customHeight="1">
      <c r="A300" s="62" t="n"/>
      <c r="B300" s="55">
        <f>IF($B$298="","",$B$298)</f>
        <v/>
      </c>
      <c r="C300" s="63" t="inlineStr">
        <is>
          <t>기타</t>
        </is>
      </c>
      <c r="D300" s="55">
        <f>IF($D$298="","",$D$298)</f>
        <v/>
      </c>
      <c r="E300" s="64" t="inlineStr">
        <is>
          <t>영상</t>
        </is>
      </c>
      <c r="F300" s="44" t="n"/>
      <c r="G300" s="58">
        <f>IF($G$298="","",$G$298)</f>
        <v/>
      </c>
      <c r="H300" s="59" t="n"/>
      <c r="I300" s="59" t="n"/>
      <c r="J300" s="59" t="n"/>
      <c r="K300" s="59" t="n"/>
      <c r="L300" s="65">
        <f>IF(SUM(U300:AY300)=0,"",SUM(U300:AY300))</f>
        <v/>
      </c>
      <c r="M300" s="66">
        <f>IFERROR(INDEX(U$2:AY$2,MATCH(TRUE,INDEX(U300:AY300&lt;&gt;"",0),0)),"")</f>
        <v/>
      </c>
      <c r="N300" s="66">
        <f>IFERROR(LOOKUP(2,1/(U300:AY300&lt;&gt;""),U$2:AY$2),"")</f>
        <v/>
      </c>
      <c r="O300" s="59" t="n"/>
      <c r="P300" s="59" t="n"/>
      <c r="Q300" s="59" t="n"/>
      <c r="R300" s="59" t="n"/>
      <c r="S300" s="14" t="n"/>
      <c r="U300" s="53" t="n"/>
      <c r="V300" s="53" t="n"/>
      <c r="W300" s="53" t="n"/>
      <c r="X300" s="53" t="n"/>
      <c r="Y300" s="53" t="n"/>
      <c r="Z300" s="53" t="n"/>
      <c r="AA300" s="53" t="n"/>
      <c r="AB300" s="53" t="n"/>
      <c r="AC300" s="53" t="n"/>
      <c r="AD300" s="53" t="n"/>
      <c r="AE300" s="53" t="n"/>
      <c r="AF300" s="53" t="n"/>
      <c r="AG300" s="53" t="n"/>
      <c r="AH300" s="53" t="n"/>
      <c r="AI300" s="53" t="n"/>
      <c r="AJ300" s="53" t="n"/>
      <c r="AK300" s="53" t="n"/>
      <c r="AL300" s="53" t="n"/>
      <c r="AM300" s="53" t="n"/>
      <c r="AN300" s="53" t="n"/>
      <c r="AO300" s="53" t="n"/>
      <c r="AP300" s="53" t="n"/>
      <c r="AQ300" s="53" t="n"/>
      <c r="AR300" s="53" t="n"/>
      <c r="AS300" s="53" t="n"/>
      <c r="AT300" s="53" t="n"/>
      <c r="AU300" s="53" t="n"/>
      <c r="AV300" s="53" t="n"/>
      <c r="AW300" s="53" t="n"/>
      <c r="AX300" s="53" t="n"/>
      <c r="AY300" s="53" t="n"/>
    </row>
    <row r="301" ht="15" customHeight="1">
      <c r="A301" s="40">
        <f>IF($D$301="","",97)</f>
        <v/>
      </c>
      <c r="B301" s="10" t="n"/>
      <c r="C301" s="41" t="inlineStr">
        <is>
          <t>기타</t>
        </is>
      </c>
      <c r="D301" s="42" t="n"/>
      <c r="E301" s="43" t="inlineStr">
        <is>
          <t>기획</t>
        </is>
      </c>
      <c r="F301" s="44" t="n"/>
      <c r="G301" s="45" t="n"/>
      <c r="H301" s="46">
        <f>IF($I$301="","",IF($I$301&lt;0,"🔴지연",IF($I$301&lt;=1,"🟡임박","🟢여유")))</f>
        <v/>
      </c>
      <c r="I301" s="47">
        <f>IF(OR($G$301="",$K$301=""),"",$G$301-$K$301)</f>
        <v/>
      </c>
      <c r="J301" s="48">
        <f>IF(SUM($L$301:$L$303)=0,"",SUM($L$301:$L$303))</f>
        <v/>
      </c>
      <c r="K301" s="49">
        <f>IF($J$301="","",MAX($N$301:$N$303))</f>
        <v/>
      </c>
      <c r="L301" s="50">
        <f>IF(SUM(U301:AY301)=0,"",SUM(U301:AY301))</f>
        <v/>
      </c>
      <c r="M301" s="51">
        <f>IFERROR(INDEX(U$2:AY$2,MATCH(TRUE,INDEX(U301:AY301&lt;&gt;"",0),0)),"")</f>
        <v/>
      </c>
      <c r="N301" s="51">
        <f>IFERROR(LOOKUP(2,1/(U301:AY301&lt;&gt;""),U$2:AY$2),"")</f>
        <v/>
      </c>
      <c r="O301" s="52" t="n"/>
      <c r="P301" s="52" t="n"/>
      <c r="Q301" s="52" t="n"/>
      <c r="R301" s="44" t="n"/>
      <c r="S301" s="14" t="n"/>
      <c r="U301" s="53" t="n"/>
      <c r="V301" s="53" t="n"/>
      <c r="W301" s="53" t="n"/>
      <c r="X301" s="53" t="n"/>
      <c r="Y301" s="53" t="n"/>
      <c r="Z301" s="53" t="n"/>
      <c r="AA301" s="53" t="n"/>
      <c r="AB301" s="53" t="n"/>
      <c r="AC301" s="53" t="n"/>
      <c r="AD301" s="53" t="n"/>
      <c r="AE301" s="53" t="n"/>
      <c r="AF301" s="53" t="n"/>
      <c r="AG301" s="53" t="n"/>
      <c r="AH301" s="53" t="n"/>
      <c r="AI301" s="53" t="n"/>
      <c r="AJ301" s="53" t="n"/>
      <c r="AK301" s="53" t="n"/>
      <c r="AL301" s="53" t="n"/>
      <c r="AM301" s="53" t="n"/>
      <c r="AN301" s="53" t="n"/>
      <c r="AO301" s="53" t="n"/>
      <c r="AP301" s="53" t="n"/>
      <c r="AQ301" s="53" t="n"/>
      <c r="AR301" s="53" t="n"/>
      <c r="AS301" s="53" t="n"/>
      <c r="AT301" s="53" t="n"/>
      <c r="AU301" s="53" t="n"/>
      <c r="AV301" s="53" t="n"/>
      <c r="AW301" s="53" t="n"/>
      <c r="AX301" s="53" t="n"/>
      <c r="AY301" s="53" t="n"/>
    </row>
    <row r="302" ht="15" customHeight="1">
      <c r="A302" s="54" t="n"/>
      <c r="B302" s="55">
        <f>IF($B$301="","",$B$301)</f>
        <v/>
      </c>
      <c r="C302" s="56" t="inlineStr">
        <is>
          <t>기타</t>
        </is>
      </c>
      <c r="D302" s="55">
        <f>IF($D$301="","",$D$301)</f>
        <v/>
      </c>
      <c r="E302" s="57" t="inlineStr">
        <is>
          <t>이미지</t>
        </is>
      </c>
      <c r="F302" s="44" t="n"/>
      <c r="G302" s="58">
        <f>IF($G$301="","",$G$301)</f>
        <v/>
      </c>
      <c r="H302" s="59" t="n"/>
      <c r="I302" s="59" t="n"/>
      <c r="J302" s="59" t="n"/>
      <c r="K302" s="59" t="n"/>
      <c r="L302" s="60">
        <f>IF(SUM(U302:AY302)=0,"",SUM(U302:AY302))</f>
        <v/>
      </c>
      <c r="M302" s="61">
        <f>IFERROR(INDEX(U$2:AY$2,MATCH(TRUE,INDEX(U302:AY302&lt;&gt;"",0),0)),"")</f>
        <v/>
      </c>
      <c r="N302" s="61">
        <f>IFERROR(LOOKUP(2,1/(U302:AY302&lt;&gt;""),U$2:AY$2),"")</f>
        <v/>
      </c>
      <c r="O302" s="59" t="n"/>
      <c r="P302" s="59" t="n"/>
      <c r="Q302" s="59" t="n"/>
      <c r="R302" s="59" t="n"/>
      <c r="S302" s="14" t="n"/>
      <c r="U302" s="53" t="n"/>
      <c r="V302" s="53" t="n"/>
      <c r="W302" s="53" t="n"/>
      <c r="X302" s="53" t="n"/>
      <c r="Y302" s="53" t="n"/>
      <c r="Z302" s="53" t="n"/>
      <c r="AA302" s="53" t="n"/>
      <c r="AB302" s="53" t="n"/>
      <c r="AC302" s="53" t="n"/>
      <c r="AD302" s="53" t="n"/>
      <c r="AE302" s="53" t="n"/>
      <c r="AF302" s="53" t="n"/>
      <c r="AG302" s="53" t="n"/>
      <c r="AH302" s="53" t="n"/>
      <c r="AI302" s="53" t="n"/>
      <c r="AJ302" s="53" t="n"/>
      <c r="AK302" s="53" t="n"/>
      <c r="AL302" s="53" t="n"/>
      <c r="AM302" s="53" t="n"/>
      <c r="AN302" s="53" t="n"/>
      <c r="AO302" s="53" t="n"/>
      <c r="AP302" s="53" t="n"/>
      <c r="AQ302" s="53" t="n"/>
      <c r="AR302" s="53" t="n"/>
      <c r="AS302" s="53" t="n"/>
      <c r="AT302" s="53" t="n"/>
      <c r="AU302" s="53" t="n"/>
      <c r="AV302" s="53" t="n"/>
      <c r="AW302" s="53" t="n"/>
      <c r="AX302" s="53" t="n"/>
      <c r="AY302" s="53" t="n"/>
    </row>
    <row r="303" ht="15" customHeight="1">
      <c r="A303" s="62" t="n"/>
      <c r="B303" s="55">
        <f>IF($B$301="","",$B$301)</f>
        <v/>
      </c>
      <c r="C303" s="63" t="inlineStr">
        <is>
          <t>기타</t>
        </is>
      </c>
      <c r="D303" s="55">
        <f>IF($D$301="","",$D$301)</f>
        <v/>
      </c>
      <c r="E303" s="64" t="inlineStr">
        <is>
          <t>영상</t>
        </is>
      </c>
      <c r="F303" s="44" t="n"/>
      <c r="G303" s="58">
        <f>IF($G$301="","",$G$301)</f>
        <v/>
      </c>
      <c r="H303" s="59" t="n"/>
      <c r="I303" s="59" t="n"/>
      <c r="J303" s="59" t="n"/>
      <c r="K303" s="59" t="n"/>
      <c r="L303" s="65">
        <f>IF(SUM(U303:AY303)=0,"",SUM(U303:AY303))</f>
        <v/>
      </c>
      <c r="M303" s="66">
        <f>IFERROR(INDEX(U$2:AY$2,MATCH(TRUE,INDEX(U303:AY303&lt;&gt;"",0),0)),"")</f>
        <v/>
      </c>
      <c r="N303" s="66">
        <f>IFERROR(LOOKUP(2,1/(U303:AY303&lt;&gt;""),U$2:AY$2),"")</f>
        <v/>
      </c>
      <c r="O303" s="59" t="n"/>
      <c r="P303" s="59" t="n"/>
      <c r="Q303" s="59" t="n"/>
      <c r="R303" s="59" t="n"/>
      <c r="S303" s="14" t="n"/>
      <c r="U303" s="53" t="n"/>
      <c r="V303" s="53" t="n"/>
      <c r="W303" s="53" t="n"/>
      <c r="X303" s="53" t="n"/>
      <c r="Y303" s="53" t="n"/>
      <c r="Z303" s="53" t="n"/>
      <c r="AA303" s="53" t="n"/>
      <c r="AB303" s="53" t="n"/>
      <c r="AC303" s="53" t="n"/>
      <c r="AD303" s="53" t="n"/>
      <c r="AE303" s="53" t="n"/>
      <c r="AF303" s="53" t="n"/>
      <c r="AG303" s="53" t="n"/>
      <c r="AH303" s="53" t="n"/>
      <c r="AI303" s="53" t="n"/>
      <c r="AJ303" s="53" t="n"/>
      <c r="AK303" s="53" t="n"/>
      <c r="AL303" s="53" t="n"/>
      <c r="AM303" s="53" t="n"/>
      <c r="AN303" s="53" t="n"/>
      <c r="AO303" s="53" t="n"/>
      <c r="AP303" s="53" t="n"/>
      <c r="AQ303" s="53" t="n"/>
      <c r="AR303" s="53" t="n"/>
      <c r="AS303" s="53" t="n"/>
      <c r="AT303" s="53" t="n"/>
      <c r="AU303" s="53" t="n"/>
      <c r="AV303" s="53" t="n"/>
      <c r="AW303" s="53" t="n"/>
      <c r="AX303" s="53" t="n"/>
      <c r="AY303" s="53" t="n"/>
    </row>
    <row r="304" ht="15" customHeight="1">
      <c r="A304" s="40">
        <f>IF($D$304="","",98)</f>
        <v/>
      </c>
      <c r="B304" s="10" t="n"/>
      <c r="C304" s="41" t="inlineStr">
        <is>
          <t>기타</t>
        </is>
      </c>
      <c r="D304" s="42" t="n"/>
      <c r="E304" s="43" t="inlineStr">
        <is>
          <t>기획</t>
        </is>
      </c>
      <c r="F304" s="44" t="n"/>
      <c r="G304" s="45" t="n"/>
      <c r="H304" s="46">
        <f>IF($I$304="","",IF($I$304&lt;0,"🔴지연",IF($I$304&lt;=1,"🟡임박","🟢여유")))</f>
        <v/>
      </c>
      <c r="I304" s="47">
        <f>IF(OR($G$304="",$K$304=""),"",$G$304-$K$304)</f>
        <v/>
      </c>
      <c r="J304" s="48">
        <f>IF(SUM($L$304:$L$306)=0,"",SUM($L$304:$L$306))</f>
        <v/>
      </c>
      <c r="K304" s="49">
        <f>IF($J$304="","",MAX($N$304:$N$306))</f>
        <v/>
      </c>
      <c r="L304" s="50">
        <f>IF(SUM(U304:AY304)=0,"",SUM(U304:AY304))</f>
        <v/>
      </c>
      <c r="M304" s="51">
        <f>IFERROR(INDEX(U$2:AY$2,MATCH(TRUE,INDEX(U304:AY304&lt;&gt;"",0),0)),"")</f>
        <v/>
      </c>
      <c r="N304" s="51">
        <f>IFERROR(LOOKUP(2,1/(U304:AY304&lt;&gt;""),U$2:AY$2),"")</f>
        <v/>
      </c>
      <c r="O304" s="52" t="n"/>
      <c r="P304" s="52" t="n"/>
      <c r="Q304" s="52" t="n"/>
      <c r="R304" s="44" t="n"/>
      <c r="S304" s="14" t="n"/>
      <c r="U304" s="53" t="n"/>
      <c r="V304" s="53" t="n"/>
      <c r="W304" s="53" t="n"/>
      <c r="X304" s="53" t="n"/>
      <c r="Y304" s="53" t="n"/>
      <c r="Z304" s="53" t="n"/>
      <c r="AA304" s="53" t="n"/>
      <c r="AB304" s="53" t="n"/>
      <c r="AC304" s="53" t="n"/>
      <c r="AD304" s="53" t="n"/>
      <c r="AE304" s="53" t="n"/>
      <c r="AF304" s="53" t="n"/>
      <c r="AG304" s="53" t="n"/>
      <c r="AH304" s="53" t="n"/>
      <c r="AI304" s="53" t="n"/>
      <c r="AJ304" s="53" t="n"/>
      <c r="AK304" s="53" t="n"/>
      <c r="AL304" s="53" t="n"/>
      <c r="AM304" s="53" t="n"/>
      <c r="AN304" s="53" t="n"/>
      <c r="AO304" s="53" t="n"/>
      <c r="AP304" s="53" t="n"/>
      <c r="AQ304" s="53" t="n"/>
      <c r="AR304" s="53" t="n"/>
      <c r="AS304" s="53" t="n"/>
      <c r="AT304" s="53" t="n"/>
      <c r="AU304" s="53" t="n"/>
      <c r="AV304" s="53" t="n"/>
      <c r="AW304" s="53" t="n"/>
      <c r="AX304" s="53" t="n"/>
      <c r="AY304" s="53" t="n"/>
    </row>
    <row r="305" ht="15" customHeight="1">
      <c r="A305" s="54" t="n"/>
      <c r="B305" s="55">
        <f>IF($B$304="","",$B$304)</f>
        <v/>
      </c>
      <c r="C305" s="56" t="inlineStr">
        <is>
          <t>기타</t>
        </is>
      </c>
      <c r="D305" s="55">
        <f>IF($D$304="","",$D$304)</f>
        <v/>
      </c>
      <c r="E305" s="57" t="inlineStr">
        <is>
          <t>이미지</t>
        </is>
      </c>
      <c r="F305" s="44" t="n"/>
      <c r="G305" s="58">
        <f>IF($G$304="","",$G$304)</f>
        <v/>
      </c>
      <c r="H305" s="59" t="n"/>
      <c r="I305" s="59" t="n"/>
      <c r="J305" s="59" t="n"/>
      <c r="K305" s="59" t="n"/>
      <c r="L305" s="60">
        <f>IF(SUM(U305:AY305)=0,"",SUM(U305:AY305))</f>
        <v/>
      </c>
      <c r="M305" s="61">
        <f>IFERROR(INDEX(U$2:AY$2,MATCH(TRUE,INDEX(U305:AY305&lt;&gt;"",0),0)),"")</f>
        <v/>
      </c>
      <c r="N305" s="61">
        <f>IFERROR(LOOKUP(2,1/(U305:AY305&lt;&gt;""),U$2:AY$2),"")</f>
        <v/>
      </c>
      <c r="O305" s="59" t="n"/>
      <c r="P305" s="59" t="n"/>
      <c r="Q305" s="59" t="n"/>
      <c r="R305" s="59" t="n"/>
      <c r="S305" s="14" t="n"/>
      <c r="U305" s="53" t="n"/>
      <c r="V305" s="53" t="n"/>
      <c r="W305" s="53" t="n"/>
      <c r="X305" s="53" t="n"/>
      <c r="Y305" s="53" t="n"/>
      <c r="Z305" s="53" t="n"/>
      <c r="AA305" s="53" t="n"/>
      <c r="AB305" s="53" t="n"/>
      <c r="AC305" s="53" t="n"/>
      <c r="AD305" s="53" t="n"/>
      <c r="AE305" s="53" t="n"/>
      <c r="AF305" s="53" t="n"/>
      <c r="AG305" s="53" t="n"/>
      <c r="AH305" s="53" t="n"/>
      <c r="AI305" s="53" t="n"/>
      <c r="AJ305" s="53" t="n"/>
      <c r="AK305" s="53" t="n"/>
      <c r="AL305" s="53" t="n"/>
      <c r="AM305" s="53" t="n"/>
      <c r="AN305" s="53" t="n"/>
      <c r="AO305" s="53" t="n"/>
      <c r="AP305" s="53" t="n"/>
      <c r="AQ305" s="53" t="n"/>
      <c r="AR305" s="53" t="n"/>
      <c r="AS305" s="53" t="n"/>
      <c r="AT305" s="53" t="n"/>
      <c r="AU305" s="53" t="n"/>
      <c r="AV305" s="53" t="n"/>
      <c r="AW305" s="53" t="n"/>
      <c r="AX305" s="53" t="n"/>
      <c r="AY305" s="53" t="n"/>
    </row>
    <row r="306" ht="15" customHeight="1">
      <c r="A306" s="62" t="n"/>
      <c r="B306" s="55">
        <f>IF($B$304="","",$B$304)</f>
        <v/>
      </c>
      <c r="C306" s="63" t="inlineStr">
        <is>
          <t>기타</t>
        </is>
      </c>
      <c r="D306" s="55">
        <f>IF($D$304="","",$D$304)</f>
        <v/>
      </c>
      <c r="E306" s="64" t="inlineStr">
        <is>
          <t>영상</t>
        </is>
      </c>
      <c r="F306" s="44" t="n"/>
      <c r="G306" s="58">
        <f>IF($G$304="","",$G$304)</f>
        <v/>
      </c>
      <c r="H306" s="59" t="n"/>
      <c r="I306" s="59" t="n"/>
      <c r="J306" s="59" t="n"/>
      <c r="K306" s="59" t="n"/>
      <c r="L306" s="65">
        <f>IF(SUM(U306:AY306)=0,"",SUM(U306:AY306))</f>
        <v/>
      </c>
      <c r="M306" s="66">
        <f>IFERROR(INDEX(U$2:AY$2,MATCH(TRUE,INDEX(U306:AY306&lt;&gt;"",0),0)),"")</f>
        <v/>
      </c>
      <c r="N306" s="66">
        <f>IFERROR(LOOKUP(2,1/(U306:AY306&lt;&gt;""),U$2:AY$2),"")</f>
        <v/>
      </c>
      <c r="O306" s="59" t="n"/>
      <c r="P306" s="59" t="n"/>
      <c r="Q306" s="59" t="n"/>
      <c r="R306" s="59" t="n"/>
      <c r="S306" s="14" t="n"/>
      <c r="U306" s="53" t="n"/>
      <c r="V306" s="53" t="n"/>
      <c r="W306" s="53" t="n"/>
      <c r="X306" s="53" t="n"/>
      <c r="Y306" s="53" t="n"/>
      <c r="Z306" s="53" t="n"/>
      <c r="AA306" s="53" t="n"/>
      <c r="AB306" s="53" t="n"/>
      <c r="AC306" s="53" t="n"/>
      <c r="AD306" s="53" t="n"/>
      <c r="AE306" s="53" t="n"/>
      <c r="AF306" s="53" t="n"/>
      <c r="AG306" s="53" t="n"/>
      <c r="AH306" s="53" t="n"/>
      <c r="AI306" s="53" t="n"/>
      <c r="AJ306" s="53" t="n"/>
      <c r="AK306" s="53" t="n"/>
      <c r="AL306" s="53" t="n"/>
      <c r="AM306" s="53" t="n"/>
      <c r="AN306" s="53" t="n"/>
      <c r="AO306" s="53" t="n"/>
      <c r="AP306" s="53" t="n"/>
      <c r="AQ306" s="53" t="n"/>
      <c r="AR306" s="53" t="n"/>
      <c r="AS306" s="53" t="n"/>
      <c r="AT306" s="53" t="n"/>
      <c r="AU306" s="53" t="n"/>
      <c r="AV306" s="53" t="n"/>
      <c r="AW306" s="53" t="n"/>
      <c r="AX306" s="53" t="n"/>
      <c r="AY306" s="53" t="n"/>
    </row>
    <row r="307" ht="15" customHeight="1">
      <c r="A307" s="40">
        <f>IF($D$307="","",99)</f>
        <v/>
      </c>
      <c r="B307" s="10" t="n"/>
      <c r="C307" s="41" t="inlineStr">
        <is>
          <t>기타</t>
        </is>
      </c>
      <c r="D307" s="42" t="n"/>
      <c r="E307" s="43" t="inlineStr">
        <is>
          <t>기획</t>
        </is>
      </c>
      <c r="F307" s="44" t="n"/>
      <c r="G307" s="45" t="n"/>
      <c r="H307" s="46">
        <f>IF($I$307="","",IF($I$307&lt;0,"🔴지연",IF($I$307&lt;=1,"🟡임박","🟢여유")))</f>
        <v/>
      </c>
      <c r="I307" s="47">
        <f>IF(OR($G$307="",$K$307=""),"",$G$307-$K$307)</f>
        <v/>
      </c>
      <c r="J307" s="48">
        <f>IF(SUM($L$307:$L$309)=0,"",SUM($L$307:$L$309))</f>
        <v/>
      </c>
      <c r="K307" s="49">
        <f>IF($J$307="","",MAX($N$307:$N$309))</f>
        <v/>
      </c>
      <c r="L307" s="50">
        <f>IF(SUM(U307:AY307)=0,"",SUM(U307:AY307))</f>
        <v/>
      </c>
      <c r="M307" s="51">
        <f>IFERROR(INDEX(U$2:AY$2,MATCH(TRUE,INDEX(U307:AY307&lt;&gt;"",0),0)),"")</f>
        <v/>
      </c>
      <c r="N307" s="51">
        <f>IFERROR(LOOKUP(2,1/(U307:AY307&lt;&gt;""),U$2:AY$2),"")</f>
        <v/>
      </c>
      <c r="O307" s="52" t="n"/>
      <c r="P307" s="52" t="n"/>
      <c r="Q307" s="52" t="n"/>
      <c r="R307" s="44" t="n"/>
      <c r="S307" s="14" t="n"/>
      <c r="U307" s="53" t="n"/>
      <c r="V307" s="53" t="n"/>
      <c r="W307" s="53" t="n"/>
      <c r="X307" s="53" t="n"/>
      <c r="Y307" s="53" t="n"/>
      <c r="Z307" s="53" t="n"/>
      <c r="AA307" s="53" t="n"/>
      <c r="AB307" s="53" t="n"/>
      <c r="AC307" s="53" t="n"/>
      <c r="AD307" s="53" t="n"/>
      <c r="AE307" s="53" t="n"/>
      <c r="AF307" s="53" t="n"/>
      <c r="AG307" s="53" t="n"/>
      <c r="AH307" s="53" t="n"/>
      <c r="AI307" s="53" t="n"/>
      <c r="AJ307" s="53" t="n"/>
      <c r="AK307" s="53" t="n"/>
      <c r="AL307" s="53" t="n"/>
      <c r="AM307" s="53" t="n"/>
      <c r="AN307" s="53" t="n"/>
      <c r="AO307" s="53" t="n"/>
      <c r="AP307" s="53" t="n"/>
      <c r="AQ307" s="53" t="n"/>
      <c r="AR307" s="53" t="n"/>
      <c r="AS307" s="53" t="n"/>
      <c r="AT307" s="53" t="n"/>
      <c r="AU307" s="53" t="n"/>
      <c r="AV307" s="53" t="n"/>
      <c r="AW307" s="53" t="n"/>
      <c r="AX307" s="53" t="n"/>
      <c r="AY307" s="53" t="n"/>
    </row>
    <row r="308" ht="15" customHeight="1">
      <c r="A308" s="54" t="n"/>
      <c r="B308" s="55">
        <f>IF($B$307="","",$B$307)</f>
        <v/>
      </c>
      <c r="C308" s="56" t="inlineStr">
        <is>
          <t>기타</t>
        </is>
      </c>
      <c r="D308" s="55">
        <f>IF($D$307="","",$D$307)</f>
        <v/>
      </c>
      <c r="E308" s="57" t="inlineStr">
        <is>
          <t>이미지</t>
        </is>
      </c>
      <c r="F308" s="44" t="n"/>
      <c r="G308" s="58">
        <f>IF($G$307="","",$G$307)</f>
        <v/>
      </c>
      <c r="H308" s="59" t="n"/>
      <c r="I308" s="59" t="n"/>
      <c r="J308" s="59" t="n"/>
      <c r="K308" s="59" t="n"/>
      <c r="L308" s="60">
        <f>IF(SUM(U308:AY308)=0,"",SUM(U308:AY308))</f>
        <v/>
      </c>
      <c r="M308" s="61">
        <f>IFERROR(INDEX(U$2:AY$2,MATCH(TRUE,INDEX(U308:AY308&lt;&gt;"",0),0)),"")</f>
        <v/>
      </c>
      <c r="N308" s="61">
        <f>IFERROR(LOOKUP(2,1/(U308:AY308&lt;&gt;""),U$2:AY$2),"")</f>
        <v/>
      </c>
      <c r="O308" s="59" t="n"/>
      <c r="P308" s="59" t="n"/>
      <c r="Q308" s="59" t="n"/>
      <c r="R308" s="59" t="n"/>
      <c r="S308" s="14" t="n"/>
      <c r="U308" s="53" t="n"/>
      <c r="V308" s="53" t="n"/>
      <c r="W308" s="53" t="n"/>
      <c r="X308" s="53" t="n"/>
      <c r="Y308" s="53" t="n"/>
      <c r="Z308" s="53" t="n"/>
      <c r="AA308" s="53" t="n"/>
      <c r="AB308" s="53" t="n"/>
      <c r="AC308" s="53" t="n"/>
      <c r="AD308" s="53" t="n"/>
      <c r="AE308" s="53" t="n"/>
      <c r="AF308" s="53" t="n"/>
      <c r="AG308" s="53" t="n"/>
      <c r="AH308" s="53" t="n"/>
      <c r="AI308" s="53" t="n"/>
      <c r="AJ308" s="53" t="n"/>
      <c r="AK308" s="53" t="n"/>
      <c r="AL308" s="53" t="n"/>
      <c r="AM308" s="53" t="n"/>
      <c r="AN308" s="53" t="n"/>
      <c r="AO308" s="53" t="n"/>
      <c r="AP308" s="53" t="n"/>
      <c r="AQ308" s="53" t="n"/>
      <c r="AR308" s="53" t="n"/>
      <c r="AS308" s="53" t="n"/>
      <c r="AT308" s="53" t="n"/>
      <c r="AU308" s="53" t="n"/>
      <c r="AV308" s="53" t="n"/>
      <c r="AW308" s="53" t="n"/>
      <c r="AX308" s="53" t="n"/>
      <c r="AY308" s="53" t="n"/>
    </row>
    <row r="309" ht="15" customHeight="1">
      <c r="A309" s="62" t="n"/>
      <c r="B309" s="55">
        <f>IF($B$307="","",$B$307)</f>
        <v/>
      </c>
      <c r="C309" s="63" t="inlineStr">
        <is>
          <t>기타</t>
        </is>
      </c>
      <c r="D309" s="55">
        <f>IF($D$307="","",$D$307)</f>
        <v/>
      </c>
      <c r="E309" s="64" t="inlineStr">
        <is>
          <t>영상</t>
        </is>
      </c>
      <c r="F309" s="44" t="n"/>
      <c r="G309" s="58">
        <f>IF($G$307="","",$G$307)</f>
        <v/>
      </c>
      <c r="H309" s="59" t="n"/>
      <c r="I309" s="59" t="n"/>
      <c r="J309" s="59" t="n"/>
      <c r="K309" s="59" t="n"/>
      <c r="L309" s="65">
        <f>IF(SUM(U309:AY309)=0,"",SUM(U309:AY309))</f>
        <v/>
      </c>
      <c r="M309" s="66">
        <f>IFERROR(INDEX(U$2:AY$2,MATCH(TRUE,INDEX(U309:AY309&lt;&gt;"",0),0)),"")</f>
        <v/>
      </c>
      <c r="N309" s="66">
        <f>IFERROR(LOOKUP(2,1/(U309:AY309&lt;&gt;""),U$2:AY$2),"")</f>
        <v/>
      </c>
      <c r="O309" s="59" t="n"/>
      <c r="P309" s="59" t="n"/>
      <c r="Q309" s="59" t="n"/>
      <c r="R309" s="59" t="n"/>
      <c r="S309" s="14" t="n"/>
      <c r="U309" s="53" t="n"/>
      <c r="V309" s="53" t="n"/>
      <c r="W309" s="53" t="n"/>
      <c r="X309" s="53" t="n"/>
      <c r="Y309" s="53" t="n"/>
      <c r="Z309" s="53" t="n"/>
      <c r="AA309" s="53" t="n"/>
      <c r="AB309" s="53" t="n"/>
      <c r="AC309" s="53" t="n"/>
      <c r="AD309" s="53" t="n"/>
      <c r="AE309" s="53" t="n"/>
      <c r="AF309" s="53" t="n"/>
      <c r="AG309" s="53" t="n"/>
      <c r="AH309" s="53" t="n"/>
      <c r="AI309" s="53" t="n"/>
      <c r="AJ309" s="53" t="n"/>
      <c r="AK309" s="53" t="n"/>
      <c r="AL309" s="53" t="n"/>
      <c r="AM309" s="53" t="n"/>
      <c r="AN309" s="53" t="n"/>
      <c r="AO309" s="53" t="n"/>
      <c r="AP309" s="53" t="n"/>
      <c r="AQ309" s="53" t="n"/>
      <c r="AR309" s="53" t="n"/>
      <c r="AS309" s="53" t="n"/>
      <c r="AT309" s="53" t="n"/>
      <c r="AU309" s="53" t="n"/>
      <c r="AV309" s="53" t="n"/>
      <c r="AW309" s="53" t="n"/>
      <c r="AX309" s="53" t="n"/>
      <c r="AY309" s="53" t="n"/>
    </row>
    <row r="310" ht="15" customHeight="1">
      <c r="A310" s="40">
        <f>IF($D$310="","",100)</f>
        <v/>
      </c>
      <c r="B310" s="10" t="n"/>
      <c r="C310" s="41" t="inlineStr">
        <is>
          <t>기타</t>
        </is>
      </c>
      <c r="D310" s="42" t="n"/>
      <c r="E310" s="43" t="inlineStr">
        <is>
          <t>기획</t>
        </is>
      </c>
      <c r="F310" s="44" t="n"/>
      <c r="G310" s="45" t="n"/>
      <c r="H310" s="46">
        <f>IF($I$310="","",IF($I$310&lt;0,"🔴지연",IF($I$310&lt;=1,"🟡임박","🟢여유")))</f>
        <v/>
      </c>
      <c r="I310" s="47">
        <f>IF(OR($G$310="",$K$310=""),"",$G$310-$K$310)</f>
        <v/>
      </c>
      <c r="J310" s="48">
        <f>IF(SUM($L$310:$L$312)=0,"",SUM($L$310:$L$312))</f>
        <v/>
      </c>
      <c r="K310" s="49">
        <f>IF($J$310="","",MAX($N$310:$N$312))</f>
        <v/>
      </c>
      <c r="L310" s="50">
        <f>IF(SUM(U310:AY310)=0,"",SUM(U310:AY310))</f>
        <v/>
      </c>
      <c r="M310" s="51">
        <f>IFERROR(INDEX(U$2:AY$2,MATCH(TRUE,INDEX(U310:AY310&lt;&gt;"",0),0)),"")</f>
        <v/>
      </c>
      <c r="N310" s="51">
        <f>IFERROR(LOOKUP(2,1/(U310:AY310&lt;&gt;""),U$2:AY$2),"")</f>
        <v/>
      </c>
      <c r="O310" s="52" t="n"/>
      <c r="P310" s="52" t="n"/>
      <c r="Q310" s="52" t="n"/>
      <c r="R310" s="44" t="n"/>
      <c r="S310" s="14" t="n"/>
      <c r="U310" s="53" t="n"/>
      <c r="V310" s="53" t="n"/>
      <c r="W310" s="53" t="n"/>
      <c r="X310" s="53" t="n"/>
      <c r="Y310" s="53" t="n"/>
      <c r="Z310" s="53" t="n"/>
      <c r="AA310" s="53" t="n"/>
      <c r="AB310" s="53" t="n"/>
      <c r="AC310" s="53" t="n"/>
      <c r="AD310" s="53" t="n"/>
      <c r="AE310" s="53" t="n"/>
      <c r="AF310" s="53" t="n"/>
      <c r="AG310" s="53" t="n"/>
      <c r="AH310" s="53" t="n"/>
      <c r="AI310" s="53" t="n"/>
      <c r="AJ310" s="53" t="n"/>
      <c r="AK310" s="53" t="n"/>
      <c r="AL310" s="53" t="n"/>
      <c r="AM310" s="53" t="n"/>
      <c r="AN310" s="53" t="n"/>
      <c r="AO310" s="53" t="n"/>
      <c r="AP310" s="53" t="n"/>
      <c r="AQ310" s="53" t="n"/>
      <c r="AR310" s="53" t="n"/>
      <c r="AS310" s="53" t="n"/>
      <c r="AT310" s="53" t="n"/>
      <c r="AU310" s="53" t="n"/>
      <c r="AV310" s="53" t="n"/>
      <c r="AW310" s="53" t="n"/>
      <c r="AX310" s="53" t="n"/>
      <c r="AY310" s="53" t="n"/>
    </row>
    <row r="311" ht="15" customHeight="1">
      <c r="A311" s="54" t="n"/>
      <c r="B311" s="55">
        <f>IF($B$310="","",$B$310)</f>
        <v/>
      </c>
      <c r="C311" s="56" t="inlineStr">
        <is>
          <t>기타</t>
        </is>
      </c>
      <c r="D311" s="55">
        <f>IF($D$310="","",$D$310)</f>
        <v/>
      </c>
      <c r="E311" s="57" t="inlineStr">
        <is>
          <t>이미지</t>
        </is>
      </c>
      <c r="F311" s="44" t="n"/>
      <c r="G311" s="58">
        <f>IF($G$310="","",$G$310)</f>
        <v/>
      </c>
      <c r="H311" s="59" t="n"/>
      <c r="I311" s="59" t="n"/>
      <c r="J311" s="59" t="n"/>
      <c r="K311" s="59" t="n"/>
      <c r="L311" s="60">
        <f>IF(SUM(U311:AY311)=0,"",SUM(U311:AY311))</f>
        <v/>
      </c>
      <c r="M311" s="61">
        <f>IFERROR(INDEX(U$2:AY$2,MATCH(TRUE,INDEX(U311:AY311&lt;&gt;"",0),0)),"")</f>
        <v/>
      </c>
      <c r="N311" s="61">
        <f>IFERROR(LOOKUP(2,1/(U311:AY311&lt;&gt;""),U$2:AY$2),"")</f>
        <v/>
      </c>
      <c r="O311" s="59" t="n"/>
      <c r="P311" s="59" t="n"/>
      <c r="Q311" s="59" t="n"/>
      <c r="R311" s="59" t="n"/>
      <c r="S311" s="14" t="n"/>
      <c r="U311" s="53" t="n"/>
      <c r="V311" s="53" t="n"/>
      <c r="W311" s="53" t="n"/>
      <c r="X311" s="53" t="n"/>
      <c r="Y311" s="53" t="n"/>
      <c r="Z311" s="53" t="n"/>
      <c r="AA311" s="53" t="n"/>
      <c r="AB311" s="53" t="n"/>
      <c r="AC311" s="53" t="n"/>
      <c r="AD311" s="53" t="n"/>
      <c r="AE311" s="53" t="n"/>
      <c r="AF311" s="53" t="n"/>
      <c r="AG311" s="53" t="n"/>
      <c r="AH311" s="53" t="n"/>
      <c r="AI311" s="53" t="n"/>
      <c r="AJ311" s="53" t="n"/>
      <c r="AK311" s="53" t="n"/>
      <c r="AL311" s="53" t="n"/>
      <c r="AM311" s="53" t="n"/>
      <c r="AN311" s="53" t="n"/>
      <c r="AO311" s="53" t="n"/>
      <c r="AP311" s="53" t="n"/>
      <c r="AQ311" s="53" t="n"/>
      <c r="AR311" s="53" t="n"/>
      <c r="AS311" s="53" t="n"/>
      <c r="AT311" s="53" t="n"/>
      <c r="AU311" s="53" t="n"/>
      <c r="AV311" s="53" t="n"/>
      <c r="AW311" s="53" t="n"/>
      <c r="AX311" s="53" t="n"/>
      <c r="AY311" s="53" t="n"/>
    </row>
    <row r="312" ht="15" customHeight="1">
      <c r="A312" s="62" t="n"/>
      <c r="B312" s="55">
        <f>IF($B$310="","",$B$310)</f>
        <v/>
      </c>
      <c r="C312" s="63" t="inlineStr">
        <is>
          <t>기타</t>
        </is>
      </c>
      <c r="D312" s="55">
        <f>IF($D$310="","",$D$310)</f>
        <v/>
      </c>
      <c r="E312" s="64" t="inlineStr">
        <is>
          <t>영상</t>
        </is>
      </c>
      <c r="F312" s="44" t="n"/>
      <c r="G312" s="58">
        <f>IF($G$310="","",$G$310)</f>
        <v/>
      </c>
      <c r="H312" s="59" t="n"/>
      <c r="I312" s="59" t="n"/>
      <c r="J312" s="59" t="n"/>
      <c r="K312" s="59" t="n"/>
      <c r="L312" s="65">
        <f>IF(SUM(U312:AY312)=0,"",SUM(U312:AY312))</f>
        <v/>
      </c>
      <c r="M312" s="66">
        <f>IFERROR(INDEX(U$2:AY$2,MATCH(TRUE,INDEX(U312:AY312&lt;&gt;"",0),0)),"")</f>
        <v/>
      </c>
      <c r="N312" s="66">
        <f>IFERROR(LOOKUP(2,1/(U312:AY312&lt;&gt;""),U$2:AY$2),"")</f>
        <v/>
      </c>
      <c r="O312" s="59" t="n"/>
      <c r="P312" s="59" t="n"/>
      <c r="Q312" s="59" t="n"/>
      <c r="R312" s="59" t="n"/>
      <c r="S312" s="14" t="n"/>
      <c r="U312" s="53" t="n"/>
      <c r="V312" s="53" t="n"/>
      <c r="W312" s="53" t="n"/>
      <c r="X312" s="53" t="n"/>
      <c r="Y312" s="53" t="n"/>
      <c r="Z312" s="53" t="n"/>
      <c r="AA312" s="53" t="n"/>
      <c r="AB312" s="53" t="n"/>
      <c r="AC312" s="53" t="n"/>
      <c r="AD312" s="53" t="n"/>
      <c r="AE312" s="53" t="n"/>
      <c r="AF312" s="53" t="n"/>
      <c r="AG312" s="53" t="n"/>
      <c r="AH312" s="53" t="n"/>
      <c r="AI312" s="53" t="n"/>
      <c r="AJ312" s="53" t="n"/>
      <c r="AK312" s="53" t="n"/>
      <c r="AL312" s="53" t="n"/>
      <c r="AM312" s="53" t="n"/>
      <c r="AN312" s="53" t="n"/>
      <c r="AO312" s="53" t="n"/>
      <c r="AP312" s="53" t="n"/>
      <c r="AQ312" s="53" t="n"/>
      <c r="AR312" s="53" t="n"/>
      <c r="AS312" s="53" t="n"/>
      <c r="AT312" s="53" t="n"/>
      <c r="AU312" s="53" t="n"/>
      <c r="AV312" s="53" t="n"/>
      <c r="AW312" s="53" t="n"/>
      <c r="AX312" s="53" t="n"/>
      <c r="AY312" s="53" t="n"/>
    </row>
    <row r="315">
      <c r="A315" s="67" t="inlineStr">
        <is>
          <t>담당자 1일 캐파(MD)</t>
        </is>
      </c>
      <c r="B315" s="68">
        <f>'마스터'!$J$5</f>
        <v/>
      </c>
    </row>
    <row r="316">
      <c r="A316" s="67" t="inlineStr">
        <is>
          <t>공휴일(자동 연동)</t>
        </is>
      </c>
    </row>
    <row r="317">
      <c r="A317" s="67">
        <f>'마스터'!$I$13</f>
        <v/>
      </c>
      <c r="B317" s="69">
        <f>'마스터'!$J$13</f>
        <v/>
      </c>
    </row>
    <row r="318">
      <c r="A318" s="67">
        <f>'마스터'!$I$14</f>
        <v/>
      </c>
      <c r="B318" s="69">
        <f>'마스터'!$J$14</f>
        <v/>
      </c>
    </row>
    <row r="319">
      <c r="A319" s="67">
        <f>'마스터'!$I$15</f>
        <v/>
      </c>
      <c r="B319" s="69">
        <f>'마스터'!$J$15</f>
        <v/>
      </c>
    </row>
    <row r="320">
      <c r="A320" s="67">
        <f>'마스터'!$I$16</f>
        <v/>
      </c>
      <c r="B320" s="69">
        <f>'마스터'!$J$16</f>
        <v/>
      </c>
    </row>
    <row r="321">
      <c r="A321" s="67">
        <f>'마스터'!$I$17</f>
        <v/>
      </c>
      <c r="B321" s="69">
        <f>'마스터'!$J$17</f>
        <v/>
      </c>
    </row>
    <row r="322">
      <c r="A322" s="67">
        <f>'마스터'!$I$18</f>
        <v/>
      </c>
      <c r="B322" s="69">
        <f>'마스터'!$J$18</f>
        <v/>
      </c>
    </row>
    <row r="323">
      <c r="A323" s="67">
        <f>'마스터'!$I$19</f>
        <v/>
      </c>
      <c r="B323" s="69">
        <f>'마스터'!$J$19</f>
        <v/>
      </c>
    </row>
    <row r="324">
      <c r="A324" s="67">
        <f>'마스터'!$I$20</f>
        <v/>
      </c>
      <c r="B324" s="69">
        <f>'마스터'!$J$20</f>
        <v/>
      </c>
    </row>
    <row r="325">
      <c r="A325" s="67">
        <f>'마스터'!$I$21</f>
        <v/>
      </c>
      <c r="B325" s="69">
        <f>'마스터'!$J$21</f>
        <v/>
      </c>
    </row>
    <row r="326">
      <c r="A326" s="67">
        <f>'마스터'!$I$22</f>
        <v/>
      </c>
      <c r="B326" s="69">
        <f>'마스터'!$J$22</f>
        <v/>
      </c>
    </row>
    <row r="327">
      <c r="A327" s="67">
        <f>'마스터'!$I$23</f>
        <v/>
      </c>
      <c r="B327" s="69">
        <f>'마스터'!$J$23</f>
        <v/>
      </c>
    </row>
    <row r="328">
      <c r="A328" s="67">
        <f>'마스터'!$I$24</f>
        <v/>
      </c>
      <c r="B328" s="69">
        <f>'마스터'!$J$24</f>
        <v/>
      </c>
    </row>
    <row r="329">
      <c r="A329" s="67">
        <f>'마스터'!$I$25</f>
        <v/>
      </c>
      <c r="B329" s="69">
        <f>'마스터'!$J$25</f>
        <v/>
      </c>
    </row>
    <row r="330">
      <c r="A330" s="67">
        <f>'마스터'!$I$26</f>
        <v/>
      </c>
      <c r="B330" s="69">
        <f>'마스터'!$J$26</f>
        <v/>
      </c>
    </row>
    <row r="331">
      <c r="A331" s="67">
        <f>'마스터'!$I$27</f>
        <v/>
      </c>
      <c r="B331" s="69">
        <f>'마스터'!$J$27</f>
        <v/>
      </c>
    </row>
  </sheetData>
  <mergeCells count="16">
    <mergeCell ref="L1:N1"/>
    <mergeCell ref="A252:AY252"/>
    <mergeCell ref="O1:Q1"/>
    <mergeCell ref="A191:AY191"/>
    <mergeCell ref="A1:F1"/>
    <mergeCell ref="A5:F5"/>
    <mergeCell ref="A130:AY130"/>
    <mergeCell ref="G1:K1"/>
    <mergeCell ref="A8:AY8"/>
    <mergeCell ref="U1:AY1"/>
    <mergeCell ref="A6:F6"/>
    <mergeCell ref="A4:F4"/>
    <mergeCell ref="A3:F3"/>
    <mergeCell ref="A7:AY7"/>
    <mergeCell ref="A69:AY69"/>
    <mergeCell ref="R1:S1"/>
  </mergeCells>
  <conditionalFormatting sqref="U3:AY6">
    <cfRule type="expression" priority="1" dxfId="3">
      <formula>AND(U3&lt;&gt;"",U3&gt;$H3)</formula>
    </cfRule>
    <cfRule type="expression" priority="2" dxfId="4">
      <formula>AND(U3&gt;0,U3&gt;=$H3*0.8)</formula>
    </cfRule>
  </conditionalFormatting>
  <conditionalFormatting sqref="U3:AY312">
    <cfRule type="expression" priority="3" dxfId="5">
      <formula>U$2=""</formula>
    </cfRule>
    <cfRule type="expression" priority="4" dxfId="6">
      <formula>AND(U$2&lt;&gt;"",OR(WEEKDAY(U$2,2)&gt;5,COUNTIF($B$317:$B$331,U$2)&gt;0))</formula>
    </cfRule>
  </conditionalFormatting>
  <conditionalFormatting sqref="U9:AY312">
    <cfRule type="expression" priority="5" dxfId="7">
      <formula>AND(U9&lt;&gt;"",$G9&lt;&gt;"",U$2&lt;&gt;"",U$2&gt;$G9)</formula>
    </cfRule>
    <cfRule type="expression" priority="6" dxfId="8">
      <formula>AND($F9&lt;&gt;"",U9&lt;&gt;"",SUMIF($F$9:$F$312,$F9,U$9:U$312)&gt;$B$315)</formula>
    </cfRule>
    <cfRule type="expression" priority="7" dxfId="9">
      <formula>AND($E9="기획",U9&lt;&gt;"")</formula>
    </cfRule>
    <cfRule type="expression" priority="8" dxfId="10">
      <formula>AND($E9="이미지",U9&lt;&gt;"")</formula>
    </cfRule>
    <cfRule type="expression" priority="9" dxfId="11">
      <formula>AND($E9="영상",U9&lt;&gt;"")</formula>
    </cfRule>
  </conditionalFormatting>
  <conditionalFormatting sqref="H9:I312">
    <cfRule type="expression" priority="10" dxfId="12">
      <formula>AND($I9&lt;&gt;"",$I9&lt;0)</formula>
    </cfRule>
    <cfRule type="expression" priority="11" dxfId="13">
      <formula>AND($I9&lt;&gt;"",$I9&lt;=1)</formula>
    </cfRule>
    <cfRule type="expression" priority="12" dxfId="14">
      <formula>$I9&lt;&gt;""</formula>
    </cfRule>
  </conditionalFormatting>
  <dataValidations count="2">
    <dataValidation sqref="B9:B312" showDropDown="0" showInputMessage="0" showErrorMessage="0" allowBlank="1" type="list">
      <formula1>'마스터'!$A$3:$A$12</formula1>
    </dataValidation>
    <dataValidation sqref="R9:R312" showDropDown="0" showInputMessage="0" showErrorMessage="0" allowBlank="1" type="list">
      <formula1>'마스터'!$G$3:$G$6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F2A44"/>
    <outlinePr summaryBelow="1" summaryRight="1"/>
    <pageSetUpPr/>
  </sheetPr>
  <dimension ref="A1:AY331"/>
  <sheetViews>
    <sheetView workbookViewId="0">
      <pane xSplit="8" ySplit="8" topLeftCell="I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28" customWidth="1" min="4" max="4"/>
    <col width="8" customWidth="1" min="5" max="5"/>
    <col width="10" customWidth="1" min="6" max="6"/>
    <col width="11" customWidth="1" min="7" max="7"/>
    <col width="9" customWidth="1" min="8" max="8"/>
    <col width="8" customWidth="1" min="9" max="9"/>
    <col width="8" customWidth="1" min="10" max="10"/>
    <col width="11" customWidth="1" min="11" max="11"/>
    <col width="8" customWidth="1" min="12" max="12"/>
    <col width="10" customWidth="1" min="13" max="13"/>
    <col width="10" customWidth="1" min="14" max="14"/>
    <col width="6" customWidth="1" min="15" max="15"/>
    <col width="6" customWidth="1" min="16" max="16"/>
    <col width="6" customWidth="1" min="17" max="17"/>
    <col width="8" customWidth="1" min="18" max="18"/>
    <col width="16" customWidth="1" min="19" max="19"/>
    <col width="2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3.6" customWidth="1" min="33" max="33"/>
    <col width="3.6" customWidth="1" min="34" max="34"/>
    <col width="3.6" customWidth="1" min="35" max="35"/>
    <col width="3.6" customWidth="1" min="36" max="36"/>
    <col width="3.6" customWidth="1" min="37" max="37"/>
    <col width="3.6" customWidth="1" min="38" max="38"/>
    <col width="3.6" customWidth="1" min="39" max="39"/>
    <col width="3.6" customWidth="1" min="40" max="40"/>
    <col width="3.6" customWidth="1" min="41" max="41"/>
    <col width="3.6" customWidth="1" min="42" max="42"/>
    <col width="3.6" customWidth="1" min="43" max="43"/>
    <col width="3.6" customWidth="1" min="44" max="44"/>
    <col width="3.6" customWidth="1" min="45" max="45"/>
    <col width="3.6" customWidth="1" min="46" max="46"/>
    <col width="3.6" customWidth="1" min="47" max="47"/>
    <col width="3.6" customWidth="1" min="48" max="48"/>
    <col width="3.6" customWidth="1" min="49" max="49"/>
    <col width="3.6" customWidth="1" min="50" max="50"/>
    <col width="3.6" customWidth="1" min="51" max="51"/>
  </cols>
  <sheetData>
    <row r="1" ht="22" customHeight="1">
      <c r="A1" s="27" t="inlineStr">
        <is>
          <t>9월 소재 정보  (소재 1개 = 기획/이미지/영상 3줄)</t>
        </is>
      </c>
      <c r="B1" s="8" t="n"/>
      <c r="C1" s="8" t="n"/>
      <c r="D1" s="8" t="n"/>
      <c r="E1" s="8" t="n"/>
      <c r="F1" s="4" t="n"/>
      <c r="G1" s="28" t="inlineStr">
        <is>
          <t>고객사 전달일 기준 (자동)</t>
        </is>
      </c>
      <c r="H1" s="8" t="n"/>
      <c r="I1" s="8" t="n"/>
      <c r="J1" s="8" t="n"/>
      <c r="K1" s="4" t="n"/>
      <c r="L1" s="29" t="inlineStr">
        <is>
          <t>직군별 집계 (자동)</t>
        </is>
      </c>
      <c r="M1" s="8" t="n"/>
      <c r="N1" s="4" t="n"/>
      <c r="O1" s="30" t="inlineStr">
        <is>
          <t>수량 (소재당 1번)</t>
        </is>
      </c>
      <c r="P1" s="8" t="n"/>
      <c r="Q1" s="4" t="n"/>
      <c r="R1" s="31" t="inlineStr">
        <is>
          <t>관리</t>
        </is>
      </c>
      <c r="S1" s="4" t="n"/>
      <c r="U1" s="32" t="inlineStr">
        <is>
          <t>9월 간트 - 날짜 칸에 실제 MD 직접 입력   |   상단 4줄 = 일자별 직군 TO 상태</t>
        </is>
      </c>
      <c r="V1" s="8" t="n"/>
      <c r="W1" s="8" t="n"/>
      <c r="X1" s="8" t="n"/>
      <c r="Y1" s="8" t="n"/>
      <c r="Z1" s="8" t="n"/>
      <c r="AA1" s="8" t="n"/>
      <c r="AB1" s="8" t="n"/>
      <c r="AC1" s="8" t="n"/>
      <c r="AD1" s="8" t="n"/>
      <c r="AE1" s="8" t="n"/>
      <c r="AF1" s="8" t="n"/>
      <c r="AG1" s="8" t="n"/>
      <c r="AH1" s="8" t="n"/>
      <c r="AI1" s="8" t="n"/>
      <c r="AJ1" s="8" t="n"/>
      <c r="AK1" s="8" t="n"/>
      <c r="AL1" s="8" t="n"/>
      <c r="AM1" s="8" t="n"/>
      <c r="AN1" s="8" t="n"/>
      <c r="AO1" s="8" t="n"/>
      <c r="AP1" s="8" t="n"/>
      <c r="AQ1" s="8" t="n"/>
      <c r="AR1" s="8" t="n"/>
      <c r="AS1" s="8" t="n"/>
      <c r="AT1" s="8" t="n"/>
      <c r="AU1" s="8" t="n"/>
      <c r="AV1" s="8" t="n"/>
      <c r="AW1" s="8" t="n"/>
      <c r="AX1" s="8" t="n"/>
      <c r="AY1" s="4" t="n"/>
    </row>
    <row r="2" ht="30" customHeight="1">
      <c r="A2" s="17" t="inlineStr">
        <is>
          <t>No</t>
        </is>
      </c>
      <c r="B2" s="17" t="inlineStr">
        <is>
          <t>게임 타이틀</t>
        </is>
      </c>
      <c r="C2" s="17" t="inlineStr">
        <is>
          <t>고객팀</t>
        </is>
      </c>
      <c r="D2" s="17" t="inlineStr">
        <is>
          <t>소재명(업무명)</t>
        </is>
      </c>
      <c r="E2" s="17" t="inlineStr">
        <is>
          <t>직군</t>
        </is>
      </c>
      <c r="F2" s="17" t="inlineStr">
        <is>
          <t>담당자</t>
        </is>
      </c>
      <c r="G2" s="17" t="inlineStr">
        <is>
          <t>고객사
전달일</t>
        </is>
      </c>
      <c r="H2" s="17" t="inlineStr">
        <is>
          <t>신호</t>
        </is>
      </c>
      <c r="I2" s="17" t="inlineStr">
        <is>
          <t>전달일
여유</t>
        </is>
      </c>
      <c r="J2" s="17" t="inlineStr">
        <is>
          <t>소재
총MD</t>
        </is>
      </c>
      <c r="K2" s="17" t="inlineStr">
        <is>
          <t>소재
최종완료</t>
        </is>
      </c>
      <c r="L2" s="17" t="inlineStr">
        <is>
          <t>직군
MD</t>
        </is>
      </c>
      <c r="M2" s="17" t="inlineStr">
        <is>
          <t>직군
시작일</t>
        </is>
      </c>
      <c r="N2" s="17" t="inlineStr">
        <is>
          <t>직군
완료일</t>
        </is>
      </c>
      <c r="O2" s="17" t="inlineStr">
        <is>
          <t>영상
수</t>
        </is>
      </c>
      <c r="P2" s="17" t="inlineStr">
        <is>
          <t>사이즈
베리</t>
        </is>
      </c>
      <c r="Q2" s="17" t="inlineStr">
        <is>
          <t>다국어
베리</t>
        </is>
      </c>
      <c r="R2" s="17" t="inlineStr">
        <is>
          <t>상태</t>
        </is>
      </c>
      <c r="S2" s="17" t="inlineStr">
        <is>
          <t>비고</t>
        </is>
      </c>
      <c r="U2" s="33">
        <f>IF(MONTH(DATE('마스터'!$J$3,9,1)+0)=9,DATE('마스터'!$J$3,9,1)+0,"")</f>
        <v/>
      </c>
      <c r="V2" s="33">
        <f>IF(MONTH(DATE('마스터'!$J$3,9,1)+1)=9,DATE('마스터'!$J$3,9,1)+1,"")</f>
        <v/>
      </c>
      <c r="W2" s="33">
        <f>IF(MONTH(DATE('마스터'!$J$3,9,1)+2)=9,DATE('마스터'!$J$3,9,1)+2,"")</f>
        <v/>
      </c>
      <c r="X2" s="33">
        <f>IF(MONTH(DATE('마스터'!$J$3,9,1)+3)=9,DATE('마스터'!$J$3,9,1)+3,"")</f>
        <v/>
      </c>
      <c r="Y2" s="33">
        <f>IF(MONTH(DATE('마스터'!$J$3,9,1)+4)=9,DATE('마스터'!$J$3,9,1)+4,"")</f>
        <v/>
      </c>
      <c r="Z2" s="33">
        <f>IF(MONTH(DATE('마스터'!$J$3,9,1)+5)=9,DATE('마스터'!$J$3,9,1)+5,"")</f>
        <v/>
      </c>
      <c r="AA2" s="33">
        <f>IF(MONTH(DATE('마스터'!$J$3,9,1)+6)=9,DATE('마스터'!$J$3,9,1)+6,"")</f>
        <v/>
      </c>
      <c r="AB2" s="33">
        <f>IF(MONTH(DATE('마스터'!$J$3,9,1)+7)=9,DATE('마스터'!$J$3,9,1)+7,"")</f>
        <v/>
      </c>
      <c r="AC2" s="33">
        <f>IF(MONTH(DATE('마스터'!$J$3,9,1)+8)=9,DATE('마스터'!$J$3,9,1)+8,"")</f>
        <v/>
      </c>
      <c r="AD2" s="33">
        <f>IF(MONTH(DATE('마스터'!$J$3,9,1)+9)=9,DATE('마스터'!$J$3,9,1)+9,"")</f>
        <v/>
      </c>
      <c r="AE2" s="33">
        <f>IF(MONTH(DATE('마스터'!$J$3,9,1)+10)=9,DATE('마스터'!$J$3,9,1)+10,"")</f>
        <v/>
      </c>
      <c r="AF2" s="33">
        <f>IF(MONTH(DATE('마스터'!$J$3,9,1)+11)=9,DATE('마스터'!$J$3,9,1)+11,"")</f>
        <v/>
      </c>
      <c r="AG2" s="33">
        <f>IF(MONTH(DATE('마스터'!$J$3,9,1)+12)=9,DATE('마스터'!$J$3,9,1)+12,"")</f>
        <v/>
      </c>
      <c r="AH2" s="33">
        <f>IF(MONTH(DATE('마스터'!$J$3,9,1)+13)=9,DATE('마스터'!$J$3,9,1)+13,"")</f>
        <v/>
      </c>
      <c r="AI2" s="33">
        <f>IF(MONTH(DATE('마스터'!$J$3,9,1)+14)=9,DATE('마스터'!$J$3,9,1)+14,"")</f>
        <v/>
      </c>
      <c r="AJ2" s="33">
        <f>IF(MONTH(DATE('마스터'!$J$3,9,1)+15)=9,DATE('마스터'!$J$3,9,1)+15,"")</f>
        <v/>
      </c>
      <c r="AK2" s="33">
        <f>IF(MONTH(DATE('마스터'!$J$3,9,1)+16)=9,DATE('마스터'!$J$3,9,1)+16,"")</f>
        <v/>
      </c>
      <c r="AL2" s="33">
        <f>IF(MONTH(DATE('마스터'!$J$3,9,1)+17)=9,DATE('마스터'!$J$3,9,1)+17,"")</f>
        <v/>
      </c>
      <c r="AM2" s="33">
        <f>IF(MONTH(DATE('마스터'!$J$3,9,1)+18)=9,DATE('마스터'!$J$3,9,1)+18,"")</f>
        <v/>
      </c>
      <c r="AN2" s="33">
        <f>IF(MONTH(DATE('마스터'!$J$3,9,1)+19)=9,DATE('마스터'!$J$3,9,1)+19,"")</f>
        <v/>
      </c>
      <c r="AO2" s="33">
        <f>IF(MONTH(DATE('마스터'!$J$3,9,1)+20)=9,DATE('마스터'!$J$3,9,1)+20,"")</f>
        <v/>
      </c>
      <c r="AP2" s="33">
        <f>IF(MONTH(DATE('마스터'!$J$3,9,1)+21)=9,DATE('마스터'!$J$3,9,1)+21,"")</f>
        <v/>
      </c>
      <c r="AQ2" s="33">
        <f>IF(MONTH(DATE('마스터'!$J$3,9,1)+22)=9,DATE('마스터'!$J$3,9,1)+22,"")</f>
        <v/>
      </c>
      <c r="AR2" s="33">
        <f>IF(MONTH(DATE('마스터'!$J$3,9,1)+23)=9,DATE('마스터'!$J$3,9,1)+23,"")</f>
        <v/>
      </c>
      <c r="AS2" s="33">
        <f>IF(MONTH(DATE('마스터'!$J$3,9,1)+24)=9,DATE('마스터'!$J$3,9,1)+24,"")</f>
        <v/>
      </c>
      <c r="AT2" s="33">
        <f>IF(MONTH(DATE('마스터'!$J$3,9,1)+25)=9,DATE('마스터'!$J$3,9,1)+25,"")</f>
        <v/>
      </c>
      <c r="AU2" s="33">
        <f>IF(MONTH(DATE('마스터'!$J$3,9,1)+26)=9,DATE('마스터'!$J$3,9,1)+26,"")</f>
        <v/>
      </c>
      <c r="AV2" s="33">
        <f>IF(MONTH(DATE('마스터'!$J$3,9,1)+27)=9,DATE('마스터'!$J$3,9,1)+27,"")</f>
        <v/>
      </c>
      <c r="AW2" s="33">
        <f>IF(MONTH(DATE('마스터'!$J$3,9,1)+28)=9,DATE('마스터'!$J$3,9,1)+28,"")</f>
        <v/>
      </c>
      <c r="AX2" s="33">
        <f>IF(MONTH(DATE('마스터'!$J$3,9,1)+29)=9,DATE('마스터'!$J$3,9,1)+29,"")</f>
        <v/>
      </c>
      <c r="AY2" s="33">
        <f>IF(MONTH(DATE('마스터'!$J$3,9,1)+30)=9,DATE('마스터'!$J$3,9,1)+30,"")</f>
        <v/>
      </c>
    </row>
    <row r="3" ht="15" customHeight="1">
      <c r="A3" s="5" t="inlineStr">
        <is>
          <t>전체 TO (일자별 부하)</t>
        </is>
      </c>
      <c r="B3" s="8" t="n"/>
      <c r="C3" s="8" t="n"/>
      <c r="D3" s="8" t="n"/>
      <c r="E3" s="8" t="n"/>
      <c r="F3" s="4" t="n"/>
      <c r="G3" s="34" t="inlineStr">
        <is>
          <t>정원</t>
        </is>
      </c>
      <c r="H3" s="35">
        <f>SUM('마스터'!$J$8:$J$10)</f>
        <v/>
      </c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U3" s="37">
        <f>SUM(U$9:U$312)</f>
        <v/>
      </c>
      <c r="V3" s="37">
        <f>SUM(V$9:V$312)</f>
        <v/>
      </c>
      <c r="W3" s="37">
        <f>SUM(W$9:W$312)</f>
        <v/>
      </c>
      <c r="X3" s="37">
        <f>SUM(X$9:X$312)</f>
        <v/>
      </c>
      <c r="Y3" s="37">
        <f>SUM(Y$9:Y$312)</f>
        <v/>
      </c>
      <c r="Z3" s="37">
        <f>SUM(Z$9:Z$312)</f>
        <v/>
      </c>
      <c r="AA3" s="37">
        <f>SUM(AA$9:AA$312)</f>
        <v/>
      </c>
      <c r="AB3" s="37">
        <f>SUM(AB$9:AB$312)</f>
        <v/>
      </c>
      <c r="AC3" s="37">
        <f>SUM(AC$9:AC$312)</f>
        <v/>
      </c>
      <c r="AD3" s="37">
        <f>SUM(AD$9:AD$312)</f>
        <v/>
      </c>
      <c r="AE3" s="37">
        <f>SUM(AE$9:AE$312)</f>
        <v/>
      </c>
      <c r="AF3" s="37">
        <f>SUM(AF$9:AF$312)</f>
        <v/>
      </c>
      <c r="AG3" s="37">
        <f>SUM(AG$9:AG$312)</f>
        <v/>
      </c>
      <c r="AH3" s="37">
        <f>SUM(AH$9:AH$312)</f>
        <v/>
      </c>
      <c r="AI3" s="37">
        <f>SUM(AI$9:AI$312)</f>
        <v/>
      </c>
      <c r="AJ3" s="37">
        <f>SUM(AJ$9:AJ$312)</f>
        <v/>
      </c>
      <c r="AK3" s="37">
        <f>SUM(AK$9:AK$312)</f>
        <v/>
      </c>
      <c r="AL3" s="37">
        <f>SUM(AL$9:AL$312)</f>
        <v/>
      </c>
      <c r="AM3" s="37">
        <f>SUM(AM$9:AM$312)</f>
        <v/>
      </c>
      <c r="AN3" s="37">
        <f>SUM(AN$9:AN$312)</f>
        <v/>
      </c>
      <c r="AO3" s="37">
        <f>SUM(AO$9:AO$312)</f>
        <v/>
      </c>
      <c r="AP3" s="37">
        <f>SUM(AP$9:AP$312)</f>
        <v/>
      </c>
      <c r="AQ3" s="37">
        <f>SUM(AQ$9:AQ$312)</f>
        <v/>
      </c>
      <c r="AR3" s="37">
        <f>SUM(AR$9:AR$312)</f>
        <v/>
      </c>
      <c r="AS3" s="37">
        <f>SUM(AS$9:AS$312)</f>
        <v/>
      </c>
      <c r="AT3" s="37">
        <f>SUM(AT$9:AT$312)</f>
        <v/>
      </c>
      <c r="AU3" s="37">
        <f>SUM(AU$9:AU$312)</f>
        <v/>
      </c>
      <c r="AV3" s="37">
        <f>SUM(AV$9:AV$312)</f>
        <v/>
      </c>
      <c r="AW3" s="37">
        <f>SUM(AW$9:AW$312)</f>
        <v/>
      </c>
      <c r="AX3" s="37">
        <f>SUM(AX$9:AX$312)</f>
        <v/>
      </c>
      <c r="AY3" s="37">
        <f>SUM(AY$9:AY$312)</f>
        <v/>
      </c>
    </row>
    <row r="4" ht="15" customHeight="1">
      <c r="A4" s="5" t="inlineStr">
        <is>
          <t>영상 TO</t>
        </is>
      </c>
      <c r="B4" s="8" t="n"/>
      <c r="C4" s="8" t="n"/>
      <c r="D4" s="8" t="n"/>
      <c r="E4" s="8" t="n"/>
      <c r="F4" s="4" t="n"/>
      <c r="G4" s="34" t="inlineStr">
        <is>
          <t>정원</t>
        </is>
      </c>
      <c r="H4" s="35">
        <f>'마스터'!$J$8</f>
        <v/>
      </c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U4" s="37">
        <f>SUMIF($E$9:$E$312,"영상",U$9:U$312)</f>
        <v/>
      </c>
      <c r="V4" s="37">
        <f>SUMIF($E$9:$E$312,"영상",V$9:V$312)</f>
        <v/>
      </c>
      <c r="W4" s="37">
        <f>SUMIF($E$9:$E$312,"영상",W$9:W$312)</f>
        <v/>
      </c>
      <c r="X4" s="37">
        <f>SUMIF($E$9:$E$312,"영상",X$9:X$312)</f>
        <v/>
      </c>
      <c r="Y4" s="37">
        <f>SUMIF($E$9:$E$312,"영상",Y$9:Y$312)</f>
        <v/>
      </c>
      <c r="Z4" s="37">
        <f>SUMIF($E$9:$E$312,"영상",Z$9:Z$312)</f>
        <v/>
      </c>
      <c r="AA4" s="37">
        <f>SUMIF($E$9:$E$312,"영상",AA$9:AA$312)</f>
        <v/>
      </c>
      <c r="AB4" s="37">
        <f>SUMIF($E$9:$E$312,"영상",AB$9:AB$312)</f>
        <v/>
      </c>
      <c r="AC4" s="37">
        <f>SUMIF($E$9:$E$312,"영상",AC$9:AC$312)</f>
        <v/>
      </c>
      <c r="AD4" s="37">
        <f>SUMIF($E$9:$E$312,"영상",AD$9:AD$312)</f>
        <v/>
      </c>
      <c r="AE4" s="37">
        <f>SUMIF($E$9:$E$312,"영상",AE$9:AE$312)</f>
        <v/>
      </c>
      <c r="AF4" s="37">
        <f>SUMIF($E$9:$E$312,"영상",AF$9:AF$312)</f>
        <v/>
      </c>
      <c r="AG4" s="37">
        <f>SUMIF($E$9:$E$312,"영상",AG$9:AG$312)</f>
        <v/>
      </c>
      <c r="AH4" s="37">
        <f>SUMIF($E$9:$E$312,"영상",AH$9:AH$312)</f>
        <v/>
      </c>
      <c r="AI4" s="37">
        <f>SUMIF($E$9:$E$312,"영상",AI$9:AI$312)</f>
        <v/>
      </c>
      <c r="AJ4" s="37">
        <f>SUMIF($E$9:$E$312,"영상",AJ$9:AJ$312)</f>
        <v/>
      </c>
      <c r="AK4" s="37">
        <f>SUMIF($E$9:$E$312,"영상",AK$9:AK$312)</f>
        <v/>
      </c>
      <c r="AL4" s="37">
        <f>SUMIF($E$9:$E$312,"영상",AL$9:AL$312)</f>
        <v/>
      </c>
      <c r="AM4" s="37">
        <f>SUMIF($E$9:$E$312,"영상",AM$9:AM$312)</f>
        <v/>
      </c>
      <c r="AN4" s="37">
        <f>SUMIF($E$9:$E$312,"영상",AN$9:AN$312)</f>
        <v/>
      </c>
      <c r="AO4" s="37">
        <f>SUMIF($E$9:$E$312,"영상",AO$9:AO$312)</f>
        <v/>
      </c>
      <c r="AP4" s="37">
        <f>SUMIF($E$9:$E$312,"영상",AP$9:AP$312)</f>
        <v/>
      </c>
      <c r="AQ4" s="37">
        <f>SUMIF($E$9:$E$312,"영상",AQ$9:AQ$312)</f>
        <v/>
      </c>
      <c r="AR4" s="37">
        <f>SUMIF($E$9:$E$312,"영상",AR$9:AR$312)</f>
        <v/>
      </c>
      <c r="AS4" s="37">
        <f>SUMIF($E$9:$E$312,"영상",AS$9:AS$312)</f>
        <v/>
      </c>
      <c r="AT4" s="37">
        <f>SUMIF($E$9:$E$312,"영상",AT$9:AT$312)</f>
        <v/>
      </c>
      <c r="AU4" s="37">
        <f>SUMIF($E$9:$E$312,"영상",AU$9:AU$312)</f>
        <v/>
      </c>
      <c r="AV4" s="37">
        <f>SUMIF($E$9:$E$312,"영상",AV$9:AV$312)</f>
        <v/>
      </c>
      <c r="AW4" s="37">
        <f>SUMIF($E$9:$E$312,"영상",AW$9:AW$312)</f>
        <v/>
      </c>
      <c r="AX4" s="37">
        <f>SUMIF($E$9:$E$312,"영상",AX$9:AX$312)</f>
        <v/>
      </c>
      <c r="AY4" s="37">
        <f>SUMIF($E$9:$E$312,"영상",AY$9:AY$312)</f>
        <v/>
      </c>
    </row>
    <row r="5" ht="15" customHeight="1">
      <c r="A5" s="5" t="inlineStr">
        <is>
          <t>이미지 TO</t>
        </is>
      </c>
      <c r="B5" s="8" t="n"/>
      <c r="C5" s="8" t="n"/>
      <c r="D5" s="8" t="n"/>
      <c r="E5" s="8" t="n"/>
      <c r="F5" s="4" t="n"/>
      <c r="G5" s="34" t="inlineStr">
        <is>
          <t>정원</t>
        </is>
      </c>
      <c r="H5" s="35">
        <f>'마스터'!$J$9</f>
        <v/>
      </c>
      <c r="I5" s="36" t="n"/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  <c r="S5" s="36" t="n"/>
      <c r="U5" s="37">
        <f>SUMIF($E$9:$E$312,"이미지",U$9:U$312)</f>
        <v/>
      </c>
      <c r="V5" s="37">
        <f>SUMIF($E$9:$E$312,"이미지",V$9:V$312)</f>
        <v/>
      </c>
      <c r="W5" s="37">
        <f>SUMIF($E$9:$E$312,"이미지",W$9:W$312)</f>
        <v/>
      </c>
      <c r="X5" s="37">
        <f>SUMIF($E$9:$E$312,"이미지",X$9:X$312)</f>
        <v/>
      </c>
      <c r="Y5" s="37">
        <f>SUMIF($E$9:$E$312,"이미지",Y$9:Y$312)</f>
        <v/>
      </c>
      <c r="Z5" s="37">
        <f>SUMIF($E$9:$E$312,"이미지",Z$9:Z$312)</f>
        <v/>
      </c>
      <c r="AA5" s="37">
        <f>SUMIF($E$9:$E$312,"이미지",AA$9:AA$312)</f>
        <v/>
      </c>
      <c r="AB5" s="37">
        <f>SUMIF($E$9:$E$312,"이미지",AB$9:AB$312)</f>
        <v/>
      </c>
      <c r="AC5" s="37">
        <f>SUMIF($E$9:$E$312,"이미지",AC$9:AC$312)</f>
        <v/>
      </c>
      <c r="AD5" s="37">
        <f>SUMIF($E$9:$E$312,"이미지",AD$9:AD$312)</f>
        <v/>
      </c>
      <c r="AE5" s="37">
        <f>SUMIF($E$9:$E$312,"이미지",AE$9:AE$312)</f>
        <v/>
      </c>
      <c r="AF5" s="37">
        <f>SUMIF($E$9:$E$312,"이미지",AF$9:AF$312)</f>
        <v/>
      </c>
      <c r="AG5" s="37">
        <f>SUMIF($E$9:$E$312,"이미지",AG$9:AG$312)</f>
        <v/>
      </c>
      <c r="AH5" s="37">
        <f>SUMIF($E$9:$E$312,"이미지",AH$9:AH$312)</f>
        <v/>
      </c>
      <c r="AI5" s="37">
        <f>SUMIF($E$9:$E$312,"이미지",AI$9:AI$312)</f>
        <v/>
      </c>
      <c r="AJ5" s="37">
        <f>SUMIF($E$9:$E$312,"이미지",AJ$9:AJ$312)</f>
        <v/>
      </c>
      <c r="AK5" s="37">
        <f>SUMIF($E$9:$E$312,"이미지",AK$9:AK$312)</f>
        <v/>
      </c>
      <c r="AL5" s="37">
        <f>SUMIF($E$9:$E$312,"이미지",AL$9:AL$312)</f>
        <v/>
      </c>
      <c r="AM5" s="37">
        <f>SUMIF($E$9:$E$312,"이미지",AM$9:AM$312)</f>
        <v/>
      </c>
      <c r="AN5" s="37">
        <f>SUMIF($E$9:$E$312,"이미지",AN$9:AN$312)</f>
        <v/>
      </c>
      <c r="AO5" s="37">
        <f>SUMIF($E$9:$E$312,"이미지",AO$9:AO$312)</f>
        <v/>
      </c>
      <c r="AP5" s="37">
        <f>SUMIF($E$9:$E$312,"이미지",AP$9:AP$312)</f>
        <v/>
      </c>
      <c r="AQ5" s="37">
        <f>SUMIF($E$9:$E$312,"이미지",AQ$9:AQ$312)</f>
        <v/>
      </c>
      <c r="AR5" s="37">
        <f>SUMIF($E$9:$E$312,"이미지",AR$9:AR$312)</f>
        <v/>
      </c>
      <c r="AS5" s="37">
        <f>SUMIF($E$9:$E$312,"이미지",AS$9:AS$312)</f>
        <v/>
      </c>
      <c r="AT5" s="37">
        <f>SUMIF($E$9:$E$312,"이미지",AT$9:AT$312)</f>
        <v/>
      </c>
      <c r="AU5" s="37">
        <f>SUMIF($E$9:$E$312,"이미지",AU$9:AU$312)</f>
        <v/>
      </c>
      <c r="AV5" s="37">
        <f>SUMIF($E$9:$E$312,"이미지",AV$9:AV$312)</f>
        <v/>
      </c>
      <c r="AW5" s="37">
        <f>SUMIF($E$9:$E$312,"이미지",AW$9:AW$312)</f>
        <v/>
      </c>
      <c r="AX5" s="37">
        <f>SUMIF($E$9:$E$312,"이미지",AX$9:AX$312)</f>
        <v/>
      </c>
      <c r="AY5" s="37">
        <f>SUMIF($E$9:$E$312,"이미지",AY$9:AY$312)</f>
        <v/>
      </c>
    </row>
    <row r="6" ht="15" customHeight="1">
      <c r="A6" s="5" t="inlineStr">
        <is>
          <t>기획 TO</t>
        </is>
      </c>
      <c r="B6" s="8" t="n"/>
      <c r="C6" s="8" t="n"/>
      <c r="D6" s="8" t="n"/>
      <c r="E6" s="8" t="n"/>
      <c r="F6" s="4" t="n"/>
      <c r="G6" s="34" t="inlineStr">
        <is>
          <t>정원</t>
        </is>
      </c>
      <c r="H6" s="35">
        <f>'마스터'!$J$10</f>
        <v/>
      </c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6" t="n"/>
      <c r="S6" s="36" t="n"/>
      <c r="U6" s="37">
        <f>SUMIF($E$9:$E$312,"기획",U$9:U$312)</f>
        <v/>
      </c>
      <c r="V6" s="37">
        <f>SUMIF($E$9:$E$312,"기획",V$9:V$312)</f>
        <v/>
      </c>
      <c r="W6" s="37">
        <f>SUMIF($E$9:$E$312,"기획",W$9:W$312)</f>
        <v/>
      </c>
      <c r="X6" s="37">
        <f>SUMIF($E$9:$E$312,"기획",X$9:X$312)</f>
        <v/>
      </c>
      <c r="Y6" s="37">
        <f>SUMIF($E$9:$E$312,"기획",Y$9:Y$312)</f>
        <v/>
      </c>
      <c r="Z6" s="37">
        <f>SUMIF($E$9:$E$312,"기획",Z$9:Z$312)</f>
        <v/>
      </c>
      <c r="AA6" s="37">
        <f>SUMIF($E$9:$E$312,"기획",AA$9:AA$312)</f>
        <v/>
      </c>
      <c r="AB6" s="37">
        <f>SUMIF($E$9:$E$312,"기획",AB$9:AB$312)</f>
        <v/>
      </c>
      <c r="AC6" s="37">
        <f>SUMIF($E$9:$E$312,"기획",AC$9:AC$312)</f>
        <v/>
      </c>
      <c r="AD6" s="37">
        <f>SUMIF($E$9:$E$312,"기획",AD$9:AD$312)</f>
        <v/>
      </c>
      <c r="AE6" s="37">
        <f>SUMIF($E$9:$E$312,"기획",AE$9:AE$312)</f>
        <v/>
      </c>
      <c r="AF6" s="37">
        <f>SUMIF($E$9:$E$312,"기획",AF$9:AF$312)</f>
        <v/>
      </c>
      <c r="AG6" s="37">
        <f>SUMIF($E$9:$E$312,"기획",AG$9:AG$312)</f>
        <v/>
      </c>
      <c r="AH6" s="37">
        <f>SUMIF($E$9:$E$312,"기획",AH$9:AH$312)</f>
        <v/>
      </c>
      <c r="AI6" s="37">
        <f>SUMIF($E$9:$E$312,"기획",AI$9:AI$312)</f>
        <v/>
      </c>
      <c r="AJ6" s="37">
        <f>SUMIF($E$9:$E$312,"기획",AJ$9:AJ$312)</f>
        <v/>
      </c>
      <c r="AK6" s="37">
        <f>SUMIF($E$9:$E$312,"기획",AK$9:AK$312)</f>
        <v/>
      </c>
      <c r="AL6" s="37">
        <f>SUMIF($E$9:$E$312,"기획",AL$9:AL$312)</f>
        <v/>
      </c>
      <c r="AM6" s="37">
        <f>SUMIF($E$9:$E$312,"기획",AM$9:AM$312)</f>
        <v/>
      </c>
      <c r="AN6" s="37">
        <f>SUMIF($E$9:$E$312,"기획",AN$9:AN$312)</f>
        <v/>
      </c>
      <c r="AO6" s="37">
        <f>SUMIF($E$9:$E$312,"기획",AO$9:AO$312)</f>
        <v/>
      </c>
      <c r="AP6" s="37">
        <f>SUMIF($E$9:$E$312,"기획",AP$9:AP$312)</f>
        <v/>
      </c>
      <c r="AQ6" s="37">
        <f>SUMIF($E$9:$E$312,"기획",AQ$9:AQ$312)</f>
        <v/>
      </c>
      <c r="AR6" s="37">
        <f>SUMIF($E$9:$E$312,"기획",AR$9:AR$312)</f>
        <v/>
      </c>
      <c r="AS6" s="37">
        <f>SUMIF($E$9:$E$312,"기획",AS$9:AS$312)</f>
        <v/>
      </c>
      <c r="AT6" s="37">
        <f>SUMIF($E$9:$E$312,"기획",AT$9:AT$312)</f>
        <v/>
      </c>
      <c r="AU6" s="37">
        <f>SUMIF($E$9:$E$312,"기획",AU$9:AU$312)</f>
        <v/>
      </c>
      <c r="AV6" s="37">
        <f>SUMIF($E$9:$E$312,"기획",AV$9:AV$312)</f>
        <v/>
      </c>
      <c r="AW6" s="37">
        <f>SUMIF($E$9:$E$312,"기획",AW$9:AW$312)</f>
        <v/>
      </c>
      <c r="AX6" s="37">
        <f>SUMIF($E$9:$E$312,"기획",AX$9:AX$312)</f>
        <v/>
      </c>
      <c r="AY6" s="37">
        <f>SUMIF($E$9:$E$312,"기획",AY$9:AY$312)</f>
        <v/>
      </c>
    </row>
    <row r="7">
      <c r="A7" s="38" t="inlineStr">
        <is>
          <t>▼ 아래부터 입력. 노란칸=직접 입력 / 회색칸=자동(건드리지 마세요)</t>
        </is>
      </c>
    </row>
    <row r="8" ht="18" customHeight="1">
      <c r="A8" s="39" t="inlineStr">
        <is>
          <t>마케팅1팀   (9~68행 · 소재 20개)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4" t="n"/>
    </row>
    <row r="9" ht="15" customHeight="1">
      <c r="A9" s="40">
        <f>IF($D$9="","",1)</f>
        <v/>
      </c>
      <c r="B9" s="10" t="n"/>
      <c r="C9" s="41" t="inlineStr">
        <is>
          <t>마케팅1팀</t>
        </is>
      </c>
      <c r="D9" s="42" t="n"/>
      <c r="E9" s="43" t="inlineStr">
        <is>
          <t>기획</t>
        </is>
      </c>
      <c r="F9" s="44" t="n"/>
      <c r="G9" s="45" t="n"/>
      <c r="H9" s="46">
        <f>IF($I$9="","",IF($I$9&lt;0,"🔴지연",IF($I$9&lt;=1,"🟡임박","🟢여유")))</f>
        <v/>
      </c>
      <c r="I9" s="47">
        <f>IF(OR($G$9="",$K$9=""),"",$G$9-$K$9)</f>
        <v/>
      </c>
      <c r="J9" s="48">
        <f>IF(SUM($L$9:$L$11)=0,"",SUM($L$9:$L$11))</f>
        <v/>
      </c>
      <c r="K9" s="49">
        <f>IF($J$9="","",MAX($N$9:$N$11))</f>
        <v/>
      </c>
      <c r="L9" s="50">
        <f>IF(SUM(U9:AY9)=0,"",SUM(U9:AY9))</f>
        <v/>
      </c>
      <c r="M9" s="51">
        <f>IFERROR(INDEX(U$2:AY$2,MATCH(TRUE,INDEX(U9:AY9&lt;&gt;"",0),0)),"")</f>
        <v/>
      </c>
      <c r="N9" s="51">
        <f>IFERROR(LOOKUP(2,1/(U9:AY9&lt;&gt;""),U$2:AY$2),"")</f>
        <v/>
      </c>
      <c r="O9" s="52" t="n"/>
      <c r="P9" s="52" t="n"/>
      <c r="Q9" s="52" t="n"/>
      <c r="R9" s="44" t="n"/>
      <c r="S9" s="14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</row>
    <row r="10" ht="15" customHeight="1">
      <c r="A10" s="54" t="n"/>
      <c r="B10" s="55">
        <f>IF($B$9="","",$B$9)</f>
        <v/>
      </c>
      <c r="C10" s="56" t="inlineStr">
        <is>
          <t>마케팅1팀</t>
        </is>
      </c>
      <c r="D10" s="55">
        <f>IF($D$9="","",$D$9)</f>
        <v/>
      </c>
      <c r="E10" s="57" t="inlineStr">
        <is>
          <t>이미지</t>
        </is>
      </c>
      <c r="F10" s="44" t="n"/>
      <c r="G10" s="58">
        <f>IF($G$9="","",$G$9)</f>
        <v/>
      </c>
      <c r="H10" s="59" t="n"/>
      <c r="I10" s="59" t="n"/>
      <c r="J10" s="59" t="n"/>
      <c r="K10" s="59" t="n"/>
      <c r="L10" s="60">
        <f>IF(SUM(U10:AY10)=0,"",SUM(U10:AY10))</f>
        <v/>
      </c>
      <c r="M10" s="61">
        <f>IFERROR(INDEX(U$2:AY$2,MATCH(TRUE,INDEX(U10:AY10&lt;&gt;"",0),0)),"")</f>
        <v/>
      </c>
      <c r="N10" s="61">
        <f>IFERROR(LOOKUP(2,1/(U10:AY10&lt;&gt;""),U$2:AY$2),"")</f>
        <v/>
      </c>
      <c r="O10" s="59" t="n"/>
      <c r="P10" s="59" t="n"/>
      <c r="Q10" s="59" t="n"/>
      <c r="R10" s="59" t="n"/>
      <c r="S10" s="14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</row>
    <row r="11" ht="15" customHeight="1">
      <c r="A11" s="62" t="n"/>
      <c r="B11" s="55">
        <f>IF($B$9="","",$B$9)</f>
        <v/>
      </c>
      <c r="C11" s="63" t="inlineStr">
        <is>
          <t>마케팅1팀</t>
        </is>
      </c>
      <c r="D11" s="55">
        <f>IF($D$9="","",$D$9)</f>
        <v/>
      </c>
      <c r="E11" s="64" t="inlineStr">
        <is>
          <t>영상</t>
        </is>
      </c>
      <c r="F11" s="44" t="n"/>
      <c r="G11" s="58">
        <f>IF($G$9="","",$G$9)</f>
        <v/>
      </c>
      <c r="H11" s="59" t="n"/>
      <c r="I11" s="59" t="n"/>
      <c r="J11" s="59" t="n"/>
      <c r="K11" s="59" t="n"/>
      <c r="L11" s="65">
        <f>IF(SUM(U11:AY11)=0,"",SUM(U11:AY11))</f>
        <v/>
      </c>
      <c r="M11" s="66">
        <f>IFERROR(INDEX(U$2:AY$2,MATCH(TRUE,INDEX(U11:AY11&lt;&gt;"",0),0)),"")</f>
        <v/>
      </c>
      <c r="N11" s="66">
        <f>IFERROR(LOOKUP(2,1/(U11:AY11&lt;&gt;""),U$2:AY$2),"")</f>
        <v/>
      </c>
      <c r="O11" s="59" t="n"/>
      <c r="P11" s="59" t="n"/>
      <c r="Q11" s="59" t="n"/>
      <c r="R11" s="59" t="n"/>
      <c r="S11" s="14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</row>
    <row r="12" ht="15" customHeight="1">
      <c r="A12" s="40">
        <f>IF($D$12="","",2)</f>
        <v/>
      </c>
      <c r="B12" s="10" t="n"/>
      <c r="C12" s="41" t="inlineStr">
        <is>
          <t>마케팅1팀</t>
        </is>
      </c>
      <c r="D12" s="42" t="n"/>
      <c r="E12" s="43" t="inlineStr">
        <is>
          <t>기획</t>
        </is>
      </c>
      <c r="F12" s="44" t="n"/>
      <c r="G12" s="45" t="n"/>
      <c r="H12" s="46">
        <f>IF($I$12="","",IF($I$12&lt;0,"🔴지연",IF($I$12&lt;=1,"🟡임박","🟢여유")))</f>
        <v/>
      </c>
      <c r="I12" s="47">
        <f>IF(OR($G$12="",$K$12=""),"",$G$12-$K$12)</f>
        <v/>
      </c>
      <c r="J12" s="48">
        <f>IF(SUM($L$12:$L$14)=0,"",SUM($L$12:$L$14))</f>
        <v/>
      </c>
      <c r="K12" s="49">
        <f>IF($J$12="","",MAX($N$12:$N$14))</f>
        <v/>
      </c>
      <c r="L12" s="50">
        <f>IF(SUM(U12:AY12)=0,"",SUM(U12:AY12))</f>
        <v/>
      </c>
      <c r="M12" s="51">
        <f>IFERROR(INDEX(U$2:AY$2,MATCH(TRUE,INDEX(U12:AY12&lt;&gt;"",0),0)),"")</f>
        <v/>
      </c>
      <c r="N12" s="51">
        <f>IFERROR(LOOKUP(2,1/(U12:AY12&lt;&gt;""),U$2:AY$2),"")</f>
        <v/>
      </c>
      <c r="O12" s="52" t="n"/>
      <c r="P12" s="52" t="n"/>
      <c r="Q12" s="52" t="n"/>
      <c r="R12" s="44" t="n"/>
      <c r="S12" s="14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</row>
    <row r="13" ht="15" customHeight="1">
      <c r="A13" s="54" t="n"/>
      <c r="B13" s="55">
        <f>IF($B$12="","",$B$12)</f>
        <v/>
      </c>
      <c r="C13" s="56" t="inlineStr">
        <is>
          <t>마케팅1팀</t>
        </is>
      </c>
      <c r="D13" s="55">
        <f>IF($D$12="","",$D$12)</f>
        <v/>
      </c>
      <c r="E13" s="57" t="inlineStr">
        <is>
          <t>이미지</t>
        </is>
      </c>
      <c r="F13" s="44" t="n"/>
      <c r="G13" s="58">
        <f>IF($G$12="","",$G$12)</f>
        <v/>
      </c>
      <c r="H13" s="59" t="n"/>
      <c r="I13" s="59" t="n"/>
      <c r="J13" s="59" t="n"/>
      <c r="K13" s="59" t="n"/>
      <c r="L13" s="60">
        <f>IF(SUM(U13:AY13)=0,"",SUM(U13:AY13))</f>
        <v/>
      </c>
      <c r="M13" s="61">
        <f>IFERROR(INDEX(U$2:AY$2,MATCH(TRUE,INDEX(U13:AY13&lt;&gt;"",0),0)),"")</f>
        <v/>
      </c>
      <c r="N13" s="61">
        <f>IFERROR(LOOKUP(2,1/(U13:AY13&lt;&gt;""),U$2:AY$2),"")</f>
        <v/>
      </c>
      <c r="O13" s="59" t="n"/>
      <c r="P13" s="59" t="n"/>
      <c r="Q13" s="59" t="n"/>
      <c r="R13" s="59" t="n"/>
      <c r="S13" s="14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</row>
    <row r="14" ht="15" customHeight="1">
      <c r="A14" s="62" t="n"/>
      <c r="B14" s="55">
        <f>IF($B$12="","",$B$12)</f>
        <v/>
      </c>
      <c r="C14" s="63" t="inlineStr">
        <is>
          <t>마케팅1팀</t>
        </is>
      </c>
      <c r="D14" s="55">
        <f>IF($D$12="","",$D$12)</f>
        <v/>
      </c>
      <c r="E14" s="64" t="inlineStr">
        <is>
          <t>영상</t>
        </is>
      </c>
      <c r="F14" s="44" t="n"/>
      <c r="G14" s="58">
        <f>IF($G$12="","",$G$12)</f>
        <v/>
      </c>
      <c r="H14" s="59" t="n"/>
      <c r="I14" s="59" t="n"/>
      <c r="J14" s="59" t="n"/>
      <c r="K14" s="59" t="n"/>
      <c r="L14" s="65">
        <f>IF(SUM(U14:AY14)=0,"",SUM(U14:AY14))</f>
        <v/>
      </c>
      <c r="M14" s="66">
        <f>IFERROR(INDEX(U$2:AY$2,MATCH(TRUE,INDEX(U14:AY14&lt;&gt;"",0),0)),"")</f>
        <v/>
      </c>
      <c r="N14" s="66">
        <f>IFERROR(LOOKUP(2,1/(U14:AY14&lt;&gt;""),U$2:AY$2),"")</f>
        <v/>
      </c>
      <c r="O14" s="59" t="n"/>
      <c r="P14" s="59" t="n"/>
      <c r="Q14" s="59" t="n"/>
      <c r="R14" s="59" t="n"/>
      <c r="S14" s="14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</row>
    <row r="15" ht="15" customHeight="1">
      <c r="A15" s="40">
        <f>IF($D$15="","",3)</f>
        <v/>
      </c>
      <c r="B15" s="10" t="n"/>
      <c r="C15" s="41" t="inlineStr">
        <is>
          <t>마케팅1팀</t>
        </is>
      </c>
      <c r="D15" s="42" t="n"/>
      <c r="E15" s="43" t="inlineStr">
        <is>
          <t>기획</t>
        </is>
      </c>
      <c r="F15" s="44" t="n"/>
      <c r="G15" s="45" t="n"/>
      <c r="H15" s="46">
        <f>IF($I$15="","",IF($I$15&lt;0,"🔴지연",IF($I$15&lt;=1,"🟡임박","🟢여유")))</f>
        <v/>
      </c>
      <c r="I15" s="47">
        <f>IF(OR($G$15="",$K$15=""),"",$G$15-$K$15)</f>
        <v/>
      </c>
      <c r="J15" s="48">
        <f>IF(SUM($L$15:$L$17)=0,"",SUM($L$15:$L$17))</f>
        <v/>
      </c>
      <c r="K15" s="49">
        <f>IF($J$15="","",MAX($N$15:$N$17))</f>
        <v/>
      </c>
      <c r="L15" s="50">
        <f>IF(SUM(U15:AY15)=0,"",SUM(U15:AY15))</f>
        <v/>
      </c>
      <c r="M15" s="51">
        <f>IFERROR(INDEX(U$2:AY$2,MATCH(TRUE,INDEX(U15:AY15&lt;&gt;"",0),0)),"")</f>
        <v/>
      </c>
      <c r="N15" s="51">
        <f>IFERROR(LOOKUP(2,1/(U15:AY15&lt;&gt;""),U$2:AY$2),"")</f>
        <v/>
      </c>
      <c r="O15" s="52" t="n"/>
      <c r="P15" s="52" t="n"/>
      <c r="Q15" s="52" t="n"/>
      <c r="R15" s="44" t="n"/>
      <c r="S15" s="14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</row>
    <row r="16" ht="15" customHeight="1">
      <c r="A16" s="54" t="n"/>
      <c r="B16" s="55">
        <f>IF($B$15="","",$B$15)</f>
        <v/>
      </c>
      <c r="C16" s="56" t="inlineStr">
        <is>
          <t>마케팅1팀</t>
        </is>
      </c>
      <c r="D16" s="55">
        <f>IF($D$15="","",$D$15)</f>
        <v/>
      </c>
      <c r="E16" s="57" t="inlineStr">
        <is>
          <t>이미지</t>
        </is>
      </c>
      <c r="F16" s="44" t="n"/>
      <c r="G16" s="58">
        <f>IF($G$15="","",$G$15)</f>
        <v/>
      </c>
      <c r="H16" s="59" t="n"/>
      <c r="I16" s="59" t="n"/>
      <c r="J16" s="59" t="n"/>
      <c r="K16" s="59" t="n"/>
      <c r="L16" s="60">
        <f>IF(SUM(U16:AY16)=0,"",SUM(U16:AY16))</f>
        <v/>
      </c>
      <c r="M16" s="61">
        <f>IFERROR(INDEX(U$2:AY$2,MATCH(TRUE,INDEX(U16:AY16&lt;&gt;"",0),0)),"")</f>
        <v/>
      </c>
      <c r="N16" s="61">
        <f>IFERROR(LOOKUP(2,1/(U16:AY16&lt;&gt;""),U$2:AY$2),"")</f>
        <v/>
      </c>
      <c r="O16" s="59" t="n"/>
      <c r="P16" s="59" t="n"/>
      <c r="Q16" s="59" t="n"/>
      <c r="R16" s="59" t="n"/>
      <c r="S16" s="14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</row>
    <row r="17" ht="15" customHeight="1">
      <c r="A17" s="62" t="n"/>
      <c r="B17" s="55">
        <f>IF($B$15="","",$B$15)</f>
        <v/>
      </c>
      <c r="C17" s="63" t="inlineStr">
        <is>
          <t>마케팅1팀</t>
        </is>
      </c>
      <c r="D17" s="55">
        <f>IF($D$15="","",$D$15)</f>
        <v/>
      </c>
      <c r="E17" s="64" t="inlineStr">
        <is>
          <t>영상</t>
        </is>
      </c>
      <c r="F17" s="44" t="n"/>
      <c r="G17" s="58">
        <f>IF($G$15="","",$G$15)</f>
        <v/>
      </c>
      <c r="H17" s="59" t="n"/>
      <c r="I17" s="59" t="n"/>
      <c r="J17" s="59" t="n"/>
      <c r="K17" s="59" t="n"/>
      <c r="L17" s="65">
        <f>IF(SUM(U17:AY17)=0,"",SUM(U17:AY17))</f>
        <v/>
      </c>
      <c r="M17" s="66">
        <f>IFERROR(INDEX(U$2:AY$2,MATCH(TRUE,INDEX(U17:AY17&lt;&gt;"",0),0)),"")</f>
        <v/>
      </c>
      <c r="N17" s="66">
        <f>IFERROR(LOOKUP(2,1/(U17:AY17&lt;&gt;""),U$2:AY$2),"")</f>
        <v/>
      </c>
      <c r="O17" s="59" t="n"/>
      <c r="P17" s="59" t="n"/>
      <c r="Q17" s="59" t="n"/>
      <c r="R17" s="59" t="n"/>
      <c r="S17" s="14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</row>
    <row r="18" ht="15" customHeight="1">
      <c r="A18" s="40">
        <f>IF($D$18="","",4)</f>
        <v/>
      </c>
      <c r="B18" s="10" t="n"/>
      <c r="C18" s="41" t="inlineStr">
        <is>
          <t>마케팅1팀</t>
        </is>
      </c>
      <c r="D18" s="42" t="n"/>
      <c r="E18" s="43" t="inlineStr">
        <is>
          <t>기획</t>
        </is>
      </c>
      <c r="F18" s="44" t="n"/>
      <c r="G18" s="45" t="n"/>
      <c r="H18" s="46">
        <f>IF($I$18="","",IF($I$18&lt;0,"🔴지연",IF($I$18&lt;=1,"🟡임박","🟢여유")))</f>
        <v/>
      </c>
      <c r="I18" s="47">
        <f>IF(OR($G$18="",$K$18=""),"",$G$18-$K$18)</f>
        <v/>
      </c>
      <c r="J18" s="48">
        <f>IF(SUM($L$18:$L$20)=0,"",SUM($L$18:$L$20))</f>
        <v/>
      </c>
      <c r="K18" s="49">
        <f>IF($J$18="","",MAX($N$18:$N$20))</f>
        <v/>
      </c>
      <c r="L18" s="50">
        <f>IF(SUM(U18:AY18)=0,"",SUM(U18:AY18))</f>
        <v/>
      </c>
      <c r="M18" s="51">
        <f>IFERROR(INDEX(U$2:AY$2,MATCH(TRUE,INDEX(U18:AY18&lt;&gt;"",0),0)),"")</f>
        <v/>
      </c>
      <c r="N18" s="51">
        <f>IFERROR(LOOKUP(2,1/(U18:AY18&lt;&gt;""),U$2:AY$2),"")</f>
        <v/>
      </c>
      <c r="O18" s="52" t="n"/>
      <c r="P18" s="52" t="n"/>
      <c r="Q18" s="52" t="n"/>
      <c r="R18" s="44" t="n"/>
      <c r="S18" s="14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</row>
    <row r="19" ht="15" customHeight="1">
      <c r="A19" s="54" t="n"/>
      <c r="B19" s="55">
        <f>IF($B$18="","",$B$18)</f>
        <v/>
      </c>
      <c r="C19" s="56" t="inlineStr">
        <is>
          <t>마케팅1팀</t>
        </is>
      </c>
      <c r="D19" s="55">
        <f>IF($D$18="","",$D$18)</f>
        <v/>
      </c>
      <c r="E19" s="57" t="inlineStr">
        <is>
          <t>이미지</t>
        </is>
      </c>
      <c r="F19" s="44" t="n"/>
      <c r="G19" s="58">
        <f>IF($G$18="","",$G$18)</f>
        <v/>
      </c>
      <c r="H19" s="59" t="n"/>
      <c r="I19" s="59" t="n"/>
      <c r="J19" s="59" t="n"/>
      <c r="K19" s="59" t="n"/>
      <c r="L19" s="60">
        <f>IF(SUM(U19:AY19)=0,"",SUM(U19:AY19))</f>
        <v/>
      </c>
      <c r="M19" s="61">
        <f>IFERROR(INDEX(U$2:AY$2,MATCH(TRUE,INDEX(U19:AY19&lt;&gt;"",0),0)),"")</f>
        <v/>
      </c>
      <c r="N19" s="61">
        <f>IFERROR(LOOKUP(2,1/(U19:AY19&lt;&gt;""),U$2:AY$2),"")</f>
        <v/>
      </c>
      <c r="O19" s="59" t="n"/>
      <c r="P19" s="59" t="n"/>
      <c r="Q19" s="59" t="n"/>
      <c r="R19" s="59" t="n"/>
      <c r="S19" s="14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</row>
    <row r="20" ht="15" customHeight="1">
      <c r="A20" s="62" t="n"/>
      <c r="B20" s="55">
        <f>IF($B$18="","",$B$18)</f>
        <v/>
      </c>
      <c r="C20" s="63" t="inlineStr">
        <is>
          <t>마케팅1팀</t>
        </is>
      </c>
      <c r="D20" s="55">
        <f>IF($D$18="","",$D$18)</f>
        <v/>
      </c>
      <c r="E20" s="64" t="inlineStr">
        <is>
          <t>영상</t>
        </is>
      </c>
      <c r="F20" s="44" t="n"/>
      <c r="G20" s="58">
        <f>IF($G$18="","",$G$18)</f>
        <v/>
      </c>
      <c r="H20" s="59" t="n"/>
      <c r="I20" s="59" t="n"/>
      <c r="J20" s="59" t="n"/>
      <c r="K20" s="59" t="n"/>
      <c r="L20" s="65">
        <f>IF(SUM(U20:AY20)=0,"",SUM(U20:AY20))</f>
        <v/>
      </c>
      <c r="M20" s="66">
        <f>IFERROR(INDEX(U$2:AY$2,MATCH(TRUE,INDEX(U20:AY20&lt;&gt;"",0),0)),"")</f>
        <v/>
      </c>
      <c r="N20" s="66">
        <f>IFERROR(LOOKUP(2,1/(U20:AY20&lt;&gt;""),U$2:AY$2),"")</f>
        <v/>
      </c>
      <c r="O20" s="59" t="n"/>
      <c r="P20" s="59" t="n"/>
      <c r="Q20" s="59" t="n"/>
      <c r="R20" s="59" t="n"/>
      <c r="S20" s="14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</row>
    <row r="21" ht="15" customHeight="1">
      <c r="A21" s="40">
        <f>IF($D$21="","",5)</f>
        <v/>
      </c>
      <c r="B21" s="10" t="n"/>
      <c r="C21" s="41" t="inlineStr">
        <is>
          <t>마케팅1팀</t>
        </is>
      </c>
      <c r="D21" s="42" t="n"/>
      <c r="E21" s="43" t="inlineStr">
        <is>
          <t>기획</t>
        </is>
      </c>
      <c r="F21" s="44" t="n"/>
      <c r="G21" s="45" t="n"/>
      <c r="H21" s="46">
        <f>IF($I$21="","",IF($I$21&lt;0,"🔴지연",IF($I$21&lt;=1,"🟡임박","🟢여유")))</f>
        <v/>
      </c>
      <c r="I21" s="47">
        <f>IF(OR($G$21="",$K$21=""),"",$G$21-$K$21)</f>
        <v/>
      </c>
      <c r="J21" s="48">
        <f>IF(SUM($L$21:$L$23)=0,"",SUM($L$21:$L$23))</f>
        <v/>
      </c>
      <c r="K21" s="49">
        <f>IF($J$21="","",MAX($N$21:$N$23))</f>
        <v/>
      </c>
      <c r="L21" s="50">
        <f>IF(SUM(U21:AY21)=0,"",SUM(U21:AY21))</f>
        <v/>
      </c>
      <c r="M21" s="51">
        <f>IFERROR(INDEX(U$2:AY$2,MATCH(TRUE,INDEX(U21:AY21&lt;&gt;"",0),0)),"")</f>
        <v/>
      </c>
      <c r="N21" s="51">
        <f>IFERROR(LOOKUP(2,1/(U21:AY21&lt;&gt;""),U$2:AY$2),"")</f>
        <v/>
      </c>
      <c r="O21" s="52" t="n"/>
      <c r="P21" s="52" t="n"/>
      <c r="Q21" s="52" t="n"/>
      <c r="R21" s="44" t="n"/>
      <c r="S21" s="14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</row>
    <row r="22" ht="15" customHeight="1">
      <c r="A22" s="54" t="n"/>
      <c r="B22" s="55">
        <f>IF($B$21="","",$B$21)</f>
        <v/>
      </c>
      <c r="C22" s="56" t="inlineStr">
        <is>
          <t>마케팅1팀</t>
        </is>
      </c>
      <c r="D22" s="55">
        <f>IF($D$21="","",$D$21)</f>
        <v/>
      </c>
      <c r="E22" s="57" t="inlineStr">
        <is>
          <t>이미지</t>
        </is>
      </c>
      <c r="F22" s="44" t="n"/>
      <c r="G22" s="58">
        <f>IF($G$21="","",$G$21)</f>
        <v/>
      </c>
      <c r="H22" s="59" t="n"/>
      <c r="I22" s="59" t="n"/>
      <c r="J22" s="59" t="n"/>
      <c r="K22" s="59" t="n"/>
      <c r="L22" s="60">
        <f>IF(SUM(U22:AY22)=0,"",SUM(U22:AY22))</f>
        <v/>
      </c>
      <c r="M22" s="61">
        <f>IFERROR(INDEX(U$2:AY$2,MATCH(TRUE,INDEX(U22:AY22&lt;&gt;"",0),0)),"")</f>
        <v/>
      </c>
      <c r="N22" s="61">
        <f>IFERROR(LOOKUP(2,1/(U22:AY22&lt;&gt;""),U$2:AY$2),"")</f>
        <v/>
      </c>
      <c r="O22" s="59" t="n"/>
      <c r="P22" s="59" t="n"/>
      <c r="Q22" s="59" t="n"/>
      <c r="R22" s="59" t="n"/>
      <c r="S22" s="14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</row>
    <row r="23" ht="15" customHeight="1">
      <c r="A23" s="62" t="n"/>
      <c r="B23" s="55">
        <f>IF($B$21="","",$B$21)</f>
        <v/>
      </c>
      <c r="C23" s="63" t="inlineStr">
        <is>
          <t>마케팅1팀</t>
        </is>
      </c>
      <c r="D23" s="55">
        <f>IF($D$21="","",$D$21)</f>
        <v/>
      </c>
      <c r="E23" s="64" t="inlineStr">
        <is>
          <t>영상</t>
        </is>
      </c>
      <c r="F23" s="44" t="n"/>
      <c r="G23" s="58">
        <f>IF($G$21="","",$G$21)</f>
        <v/>
      </c>
      <c r="H23" s="59" t="n"/>
      <c r="I23" s="59" t="n"/>
      <c r="J23" s="59" t="n"/>
      <c r="K23" s="59" t="n"/>
      <c r="L23" s="65">
        <f>IF(SUM(U23:AY23)=0,"",SUM(U23:AY23))</f>
        <v/>
      </c>
      <c r="M23" s="66">
        <f>IFERROR(INDEX(U$2:AY$2,MATCH(TRUE,INDEX(U23:AY23&lt;&gt;"",0),0)),"")</f>
        <v/>
      </c>
      <c r="N23" s="66">
        <f>IFERROR(LOOKUP(2,1/(U23:AY23&lt;&gt;""),U$2:AY$2),"")</f>
        <v/>
      </c>
      <c r="O23" s="59" t="n"/>
      <c r="P23" s="59" t="n"/>
      <c r="Q23" s="59" t="n"/>
      <c r="R23" s="59" t="n"/>
      <c r="S23" s="14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</row>
    <row r="24" ht="15" customHeight="1">
      <c r="A24" s="40">
        <f>IF($D$24="","",6)</f>
        <v/>
      </c>
      <c r="B24" s="10" t="n"/>
      <c r="C24" s="41" t="inlineStr">
        <is>
          <t>마케팅1팀</t>
        </is>
      </c>
      <c r="D24" s="42" t="n"/>
      <c r="E24" s="43" t="inlineStr">
        <is>
          <t>기획</t>
        </is>
      </c>
      <c r="F24" s="44" t="n"/>
      <c r="G24" s="45" t="n"/>
      <c r="H24" s="46">
        <f>IF($I$24="","",IF($I$24&lt;0,"🔴지연",IF($I$24&lt;=1,"🟡임박","🟢여유")))</f>
        <v/>
      </c>
      <c r="I24" s="47">
        <f>IF(OR($G$24="",$K$24=""),"",$G$24-$K$24)</f>
        <v/>
      </c>
      <c r="J24" s="48">
        <f>IF(SUM($L$24:$L$26)=0,"",SUM($L$24:$L$26))</f>
        <v/>
      </c>
      <c r="K24" s="49">
        <f>IF($J$24="","",MAX($N$24:$N$26))</f>
        <v/>
      </c>
      <c r="L24" s="50">
        <f>IF(SUM(U24:AY24)=0,"",SUM(U24:AY24))</f>
        <v/>
      </c>
      <c r="M24" s="51">
        <f>IFERROR(INDEX(U$2:AY$2,MATCH(TRUE,INDEX(U24:AY24&lt;&gt;"",0),0)),"")</f>
        <v/>
      </c>
      <c r="N24" s="51">
        <f>IFERROR(LOOKUP(2,1/(U24:AY24&lt;&gt;""),U$2:AY$2),"")</f>
        <v/>
      </c>
      <c r="O24" s="52" t="n"/>
      <c r="P24" s="52" t="n"/>
      <c r="Q24" s="52" t="n"/>
      <c r="R24" s="44" t="n"/>
      <c r="S24" s="14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</row>
    <row r="25" ht="15" customHeight="1">
      <c r="A25" s="54" t="n"/>
      <c r="B25" s="55">
        <f>IF($B$24="","",$B$24)</f>
        <v/>
      </c>
      <c r="C25" s="56" t="inlineStr">
        <is>
          <t>마케팅1팀</t>
        </is>
      </c>
      <c r="D25" s="55">
        <f>IF($D$24="","",$D$24)</f>
        <v/>
      </c>
      <c r="E25" s="57" t="inlineStr">
        <is>
          <t>이미지</t>
        </is>
      </c>
      <c r="F25" s="44" t="n"/>
      <c r="G25" s="58">
        <f>IF($G$24="","",$G$24)</f>
        <v/>
      </c>
      <c r="H25" s="59" t="n"/>
      <c r="I25" s="59" t="n"/>
      <c r="J25" s="59" t="n"/>
      <c r="K25" s="59" t="n"/>
      <c r="L25" s="60">
        <f>IF(SUM(U25:AY25)=0,"",SUM(U25:AY25))</f>
        <v/>
      </c>
      <c r="M25" s="61">
        <f>IFERROR(INDEX(U$2:AY$2,MATCH(TRUE,INDEX(U25:AY25&lt;&gt;"",0),0)),"")</f>
        <v/>
      </c>
      <c r="N25" s="61">
        <f>IFERROR(LOOKUP(2,1/(U25:AY25&lt;&gt;""),U$2:AY$2),"")</f>
        <v/>
      </c>
      <c r="O25" s="59" t="n"/>
      <c r="P25" s="59" t="n"/>
      <c r="Q25" s="59" t="n"/>
      <c r="R25" s="59" t="n"/>
      <c r="S25" s="14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</row>
    <row r="26" ht="15" customHeight="1">
      <c r="A26" s="62" t="n"/>
      <c r="B26" s="55">
        <f>IF($B$24="","",$B$24)</f>
        <v/>
      </c>
      <c r="C26" s="63" t="inlineStr">
        <is>
          <t>마케팅1팀</t>
        </is>
      </c>
      <c r="D26" s="55">
        <f>IF($D$24="","",$D$24)</f>
        <v/>
      </c>
      <c r="E26" s="64" t="inlineStr">
        <is>
          <t>영상</t>
        </is>
      </c>
      <c r="F26" s="44" t="n"/>
      <c r="G26" s="58">
        <f>IF($G$24="","",$G$24)</f>
        <v/>
      </c>
      <c r="H26" s="59" t="n"/>
      <c r="I26" s="59" t="n"/>
      <c r="J26" s="59" t="n"/>
      <c r="K26" s="59" t="n"/>
      <c r="L26" s="65">
        <f>IF(SUM(U26:AY26)=0,"",SUM(U26:AY26))</f>
        <v/>
      </c>
      <c r="M26" s="66">
        <f>IFERROR(INDEX(U$2:AY$2,MATCH(TRUE,INDEX(U26:AY26&lt;&gt;"",0),0)),"")</f>
        <v/>
      </c>
      <c r="N26" s="66">
        <f>IFERROR(LOOKUP(2,1/(U26:AY26&lt;&gt;""),U$2:AY$2),"")</f>
        <v/>
      </c>
      <c r="O26" s="59" t="n"/>
      <c r="P26" s="59" t="n"/>
      <c r="Q26" s="59" t="n"/>
      <c r="R26" s="59" t="n"/>
      <c r="S26" s="14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</row>
    <row r="27" ht="15" customHeight="1">
      <c r="A27" s="40">
        <f>IF($D$27="","",7)</f>
        <v/>
      </c>
      <c r="B27" s="10" t="n"/>
      <c r="C27" s="41" t="inlineStr">
        <is>
          <t>마케팅1팀</t>
        </is>
      </c>
      <c r="D27" s="42" t="n"/>
      <c r="E27" s="43" t="inlineStr">
        <is>
          <t>기획</t>
        </is>
      </c>
      <c r="F27" s="44" t="n"/>
      <c r="G27" s="45" t="n"/>
      <c r="H27" s="46">
        <f>IF($I$27="","",IF($I$27&lt;0,"🔴지연",IF($I$27&lt;=1,"🟡임박","🟢여유")))</f>
        <v/>
      </c>
      <c r="I27" s="47">
        <f>IF(OR($G$27="",$K$27=""),"",$G$27-$K$27)</f>
        <v/>
      </c>
      <c r="J27" s="48">
        <f>IF(SUM($L$27:$L$29)=0,"",SUM($L$27:$L$29))</f>
        <v/>
      </c>
      <c r="K27" s="49">
        <f>IF($J$27="","",MAX($N$27:$N$29))</f>
        <v/>
      </c>
      <c r="L27" s="50">
        <f>IF(SUM(U27:AY27)=0,"",SUM(U27:AY27))</f>
        <v/>
      </c>
      <c r="M27" s="51">
        <f>IFERROR(INDEX(U$2:AY$2,MATCH(TRUE,INDEX(U27:AY27&lt;&gt;"",0),0)),"")</f>
        <v/>
      </c>
      <c r="N27" s="51">
        <f>IFERROR(LOOKUP(2,1/(U27:AY27&lt;&gt;""),U$2:AY$2),"")</f>
        <v/>
      </c>
      <c r="O27" s="52" t="n"/>
      <c r="P27" s="52" t="n"/>
      <c r="Q27" s="52" t="n"/>
      <c r="R27" s="44" t="n"/>
      <c r="S27" s="14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</row>
    <row r="28" ht="15" customHeight="1">
      <c r="A28" s="54" t="n"/>
      <c r="B28" s="55">
        <f>IF($B$27="","",$B$27)</f>
        <v/>
      </c>
      <c r="C28" s="56" t="inlineStr">
        <is>
          <t>마케팅1팀</t>
        </is>
      </c>
      <c r="D28" s="55">
        <f>IF($D$27="","",$D$27)</f>
        <v/>
      </c>
      <c r="E28" s="57" t="inlineStr">
        <is>
          <t>이미지</t>
        </is>
      </c>
      <c r="F28" s="44" t="n"/>
      <c r="G28" s="58">
        <f>IF($G$27="","",$G$27)</f>
        <v/>
      </c>
      <c r="H28" s="59" t="n"/>
      <c r="I28" s="59" t="n"/>
      <c r="J28" s="59" t="n"/>
      <c r="K28" s="59" t="n"/>
      <c r="L28" s="60">
        <f>IF(SUM(U28:AY28)=0,"",SUM(U28:AY28))</f>
        <v/>
      </c>
      <c r="M28" s="61">
        <f>IFERROR(INDEX(U$2:AY$2,MATCH(TRUE,INDEX(U28:AY28&lt;&gt;"",0),0)),"")</f>
        <v/>
      </c>
      <c r="N28" s="61">
        <f>IFERROR(LOOKUP(2,1/(U28:AY28&lt;&gt;""),U$2:AY$2),"")</f>
        <v/>
      </c>
      <c r="O28" s="59" t="n"/>
      <c r="P28" s="59" t="n"/>
      <c r="Q28" s="59" t="n"/>
      <c r="R28" s="59" t="n"/>
      <c r="S28" s="14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3" t="n"/>
      <c r="AQ28" s="53" t="n"/>
      <c r="AR28" s="53" t="n"/>
      <c r="AS28" s="53" t="n"/>
      <c r="AT28" s="53" t="n"/>
      <c r="AU28" s="53" t="n"/>
      <c r="AV28" s="53" t="n"/>
      <c r="AW28" s="53" t="n"/>
      <c r="AX28" s="53" t="n"/>
      <c r="AY28" s="53" t="n"/>
    </row>
    <row r="29" ht="15" customHeight="1">
      <c r="A29" s="62" t="n"/>
      <c r="B29" s="55">
        <f>IF($B$27="","",$B$27)</f>
        <v/>
      </c>
      <c r="C29" s="63" t="inlineStr">
        <is>
          <t>마케팅1팀</t>
        </is>
      </c>
      <c r="D29" s="55">
        <f>IF($D$27="","",$D$27)</f>
        <v/>
      </c>
      <c r="E29" s="64" t="inlineStr">
        <is>
          <t>영상</t>
        </is>
      </c>
      <c r="F29" s="44" t="n"/>
      <c r="G29" s="58">
        <f>IF($G$27="","",$G$27)</f>
        <v/>
      </c>
      <c r="H29" s="59" t="n"/>
      <c r="I29" s="59" t="n"/>
      <c r="J29" s="59" t="n"/>
      <c r="K29" s="59" t="n"/>
      <c r="L29" s="65">
        <f>IF(SUM(U29:AY29)=0,"",SUM(U29:AY29))</f>
        <v/>
      </c>
      <c r="M29" s="66">
        <f>IFERROR(INDEX(U$2:AY$2,MATCH(TRUE,INDEX(U29:AY29&lt;&gt;"",0),0)),"")</f>
        <v/>
      </c>
      <c r="N29" s="66">
        <f>IFERROR(LOOKUP(2,1/(U29:AY29&lt;&gt;""),U$2:AY$2),"")</f>
        <v/>
      </c>
      <c r="O29" s="59" t="n"/>
      <c r="P29" s="59" t="n"/>
      <c r="Q29" s="59" t="n"/>
      <c r="R29" s="59" t="n"/>
      <c r="S29" s="14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</row>
    <row r="30" ht="15" customHeight="1">
      <c r="A30" s="40">
        <f>IF($D$30="","",8)</f>
        <v/>
      </c>
      <c r="B30" s="10" t="n"/>
      <c r="C30" s="41" t="inlineStr">
        <is>
          <t>마케팅1팀</t>
        </is>
      </c>
      <c r="D30" s="42" t="n"/>
      <c r="E30" s="43" t="inlineStr">
        <is>
          <t>기획</t>
        </is>
      </c>
      <c r="F30" s="44" t="n"/>
      <c r="G30" s="45" t="n"/>
      <c r="H30" s="46">
        <f>IF($I$30="","",IF($I$30&lt;0,"🔴지연",IF($I$30&lt;=1,"🟡임박","🟢여유")))</f>
        <v/>
      </c>
      <c r="I30" s="47">
        <f>IF(OR($G$30="",$K$30=""),"",$G$30-$K$30)</f>
        <v/>
      </c>
      <c r="J30" s="48">
        <f>IF(SUM($L$30:$L$32)=0,"",SUM($L$30:$L$32))</f>
        <v/>
      </c>
      <c r="K30" s="49">
        <f>IF($J$30="","",MAX($N$30:$N$32))</f>
        <v/>
      </c>
      <c r="L30" s="50">
        <f>IF(SUM(U30:AY30)=0,"",SUM(U30:AY30))</f>
        <v/>
      </c>
      <c r="M30" s="51">
        <f>IFERROR(INDEX(U$2:AY$2,MATCH(TRUE,INDEX(U30:AY30&lt;&gt;"",0),0)),"")</f>
        <v/>
      </c>
      <c r="N30" s="51">
        <f>IFERROR(LOOKUP(2,1/(U30:AY30&lt;&gt;""),U$2:AY$2),"")</f>
        <v/>
      </c>
      <c r="O30" s="52" t="n"/>
      <c r="P30" s="52" t="n"/>
      <c r="Q30" s="52" t="n"/>
      <c r="R30" s="44" t="n"/>
      <c r="S30" s="14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53" t="n"/>
      <c r="AH30" s="53" t="n"/>
      <c r="AI30" s="53" t="n"/>
      <c r="AJ30" s="53" t="n"/>
      <c r="AK30" s="53" t="n"/>
      <c r="AL30" s="53" t="n"/>
      <c r="AM30" s="53" t="n"/>
      <c r="AN30" s="53" t="n"/>
      <c r="AO30" s="53" t="n"/>
      <c r="AP30" s="53" t="n"/>
      <c r="AQ30" s="53" t="n"/>
      <c r="AR30" s="53" t="n"/>
      <c r="AS30" s="53" t="n"/>
      <c r="AT30" s="53" t="n"/>
      <c r="AU30" s="53" t="n"/>
      <c r="AV30" s="53" t="n"/>
      <c r="AW30" s="53" t="n"/>
      <c r="AX30" s="53" t="n"/>
      <c r="AY30" s="53" t="n"/>
    </row>
    <row r="31" ht="15" customHeight="1">
      <c r="A31" s="54" t="n"/>
      <c r="B31" s="55">
        <f>IF($B$30="","",$B$30)</f>
        <v/>
      </c>
      <c r="C31" s="56" t="inlineStr">
        <is>
          <t>마케팅1팀</t>
        </is>
      </c>
      <c r="D31" s="55">
        <f>IF($D$30="","",$D$30)</f>
        <v/>
      </c>
      <c r="E31" s="57" t="inlineStr">
        <is>
          <t>이미지</t>
        </is>
      </c>
      <c r="F31" s="44" t="n"/>
      <c r="G31" s="58">
        <f>IF($G$30="","",$G$30)</f>
        <v/>
      </c>
      <c r="H31" s="59" t="n"/>
      <c r="I31" s="59" t="n"/>
      <c r="J31" s="59" t="n"/>
      <c r="K31" s="59" t="n"/>
      <c r="L31" s="60">
        <f>IF(SUM(U31:AY31)=0,"",SUM(U31:AY31))</f>
        <v/>
      </c>
      <c r="M31" s="61">
        <f>IFERROR(INDEX(U$2:AY$2,MATCH(TRUE,INDEX(U31:AY31&lt;&gt;"",0),0)),"")</f>
        <v/>
      </c>
      <c r="N31" s="61">
        <f>IFERROR(LOOKUP(2,1/(U31:AY31&lt;&gt;""),U$2:AY$2),"")</f>
        <v/>
      </c>
      <c r="O31" s="59" t="n"/>
      <c r="P31" s="59" t="n"/>
      <c r="Q31" s="59" t="n"/>
      <c r="R31" s="59" t="n"/>
      <c r="S31" s="14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53" t="n"/>
      <c r="AH31" s="53" t="n"/>
      <c r="AI31" s="53" t="n"/>
      <c r="AJ31" s="53" t="n"/>
      <c r="AK31" s="53" t="n"/>
      <c r="AL31" s="53" t="n"/>
      <c r="AM31" s="53" t="n"/>
      <c r="AN31" s="53" t="n"/>
      <c r="AO31" s="53" t="n"/>
      <c r="AP31" s="53" t="n"/>
      <c r="AQ31" s="53" t="n"/>
      <c r="AR31" s="53" t="n"/>
      <c r="AS31" s="53" t="n"/>
      <c r="AT31" s="53" t="n"/>
      <c r="AU31" s="53" t="n"/>
      <c r="AV31" s="53" t="n"/>
      <c r="AW31" s="53" t="n"/>
      <c r="AX31" s="53" t="n"/>
      <c r="AY31" s="53" t="n"/>
    </row>
    <row r="32" ht="15" customHeight="1">
      <c r="A32" s="62" t="n"/>
      <c r="B32" s="55">
        <f>IF($B$30="","",$B$30)</f>
        <v/>
      </c>
      <c r="C32" s="63" t="inlineStr">
        <is>
          <t>마케팅1팀</t>
        </is>
      </c>
      <c r="D32" s="55">
        <f>IF($D$30="","",$D$30)</f>
        <v/>
      </c>
      <c r="E32" s="64" t="inlineStr">
        <is>
          <t>영상</t>
        </is>
      </c>
      <c r="F32" s="44" t="n"/>
      <c r="G32" s="58">
        <f>IF($G$30="","",$G$30)</f>
        <v/>
      </c>
      <c r="H32" s="59" t="n"/>
      <c r="I32" s="59" t="n"/>
      <c r="J32" s="59" t="n"/>
      <c r="K32" s="59" t="n"/>
      <c r="L32" s="65">
        <f>IF(SUM(U32:AY32)=0,"",SUM(U32:AY32))</f>
        <v/>
      </c>
      <c r="M32" s="66">
        <f>IFERROR(INDEX(U$2:AY$2,MATCH(TRUE,INDEX(U32:AY32&lt;&gt;"",0),0)),"")</f>
        <v/>
      </c>
      <c r="N32" s="66">
        <f>IFERROR(LOOKUP(2,1/(U32:AY32&lt;&gt;""),U$2:AY$2),"")</f>
        <v/>
      </c>
      <c r="O32" s="59" t="n"/>
      <c r="P32" s="59" t="n"/>
      <c r="Q32" s="59" t="n"/>
      <c r="R32" s="59" t="n"/>
      <c r="S32" s="14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53" t="n"/>
      <c r="AK32" s="53" t="n"/>
      <c r="AL32" s="53" t="n"/>
      <c r="AM32" s="53" t="n"/>
      <c r="AN32" s="53" t="n"/>
      <c r="AO32" s="53" t="n"/>
      <c r="AP32" s="53" t="n"/>
      <c r="AQ32" s="53" t="n"/>
      <c r="AR32" s="53" t="n"/>
      <c r="AS32" s="53" t="n"/>
      <c r="AT32" s="53" t="n"/>
      <c r="AU32" s="53" t="n"/>
      <c r="AV32" s="53" t="n"/>
      <c r="AW32" s="53" t="n"/>
      <c r="AX32" s="53" t="n"/>
      <c r="AY32" s="53" t="n"/>
    </row>
    <row r="33" ht="15" customHeight="1">
      <c r="A33" s="40">
        <f>IF($D$33="","",9)</f>
        <v/>
      </c>
      <c r="B33" s="10" t="n"/>
      <c r="C33" s="41" t="inlineStr">
        <is>
          <t>마케팅1팀</t>
        </is>
      </c>
      <c r="D33" s="42" t="n"/>
      <c r="E33" s="43" t="inlineStr">
        <is>
          <t>기획</t>
        </is>
      </c>
      <c r="F33" s="44" t="n"/>
      <c r="G33" s="45" t="n"/>
      <c r="H33" s="46">
        <f>IF($I$33="","",IF($I$33&lt;0,"🔴지연",IF($I$33&lt;=1,"🟡임박","🟢여유")))</f>
        <v/>
      </c>
      <c r="I33" s="47">
        <f>IF(OR($G$33="",$K$33=""),"",$G$33-$K$33)</f>
        <v/>
      </c>
      <c r="J33" s="48">
        <f>IF(SUM($L$33:$L$35)=0,"",SUM($L$33:$L$35))</f>
        <v/>
      </c>
      <c r="K33" s="49">
        <f>IF($J$33="","",MAX($N$33:$N$35))</f>
        <v/>
      </c>
      <c r="L33" s="50">
        <f>IF(SUM(U33:AY33)=0,"",SUM(U33:AY33))</f>
        <v/>
      </c>
      <c r="M33" s="51">
        <f>IFERROR(INDEX(U$2:AY$2,MATCH(TRUE,INDEX(U33:AY33&lt;&gt;"",0),0)),"")</f>
        <v/>
      </c>
      <c r="N33" s="51">
        <f>IFERROR(LOOKUP(2,1/(U33:AY33&lt;&gt;""),U$2:AY$2),"")</f>
        <v/>
      </c>
      <c r="O33" s="52" t="n"/>
      <c r="P33" s="52" t="n"/>
      <c r="Q33" s="52" t="n"/>
      <c r="R33" s="44" t="n"/>
      <c r="S33" s="14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53" t="n"/>
    </row>
    <row r="34" ht="15" customHeight="1">
      <c r="A34" s="54" t="n"/>
      <c r="B34" s="55">
        <f>IF($B$33="","",$B$33)</f>
        <v/>
      </c>
      <c r="C34" s="56" t="inlineStr">
        <is>
          <t>마케팅1팀</t>
        </is>
      </c>
      <c r="D34" s="55">
        <f>IF($D$33="","",$D$33)</f>
        <v/>
      </c>
      <c r="E34" s="57" t="inlineStr">
        <is>
          <t>이미지</t>
        </is>
      </c>
      <c r="F34" s="44" t="n"/>
      <c r="G34" s="58">
        <f>IF($G$33="","",$G$33)</f>
        <v/>
      </c>
      <c r="H34" s="59" t="n"/>
      <c r="I34" s="59" t="n"/>
      <c r="J34" s="59" t="n"/>
      <c r="K34" s="59" t="n"/>
      <c r="L34" s="60">
        <f>IF(SUM(U34:AY34)=0,"",SUM(U34:AY34))</f>
        <v/>
      </c>
      <c r="M34" s="61">
        <f>IFERROR(INDEX(U$2:AY$2,MATCH(TRUE,INDEX(U34:AY34&lt;&gt;"",0),0)),"")</f>
        <v/>
      </c>
      <c r="N34" s="61">
        <f>IFERROR(LOOKUP(2,1/(U34:AY34&lt;&gt;""),U$2:AY$2),"")</f>
        <v/>
      </c>
      <c r="O34" s="59" t="n"/>
      <c r="P34" s="59" t="n"/>
      <c r="Q34" s="59" t="n"/>
      <c r="R34" s="59" t="n"/>
      <c r="S34" s="14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  <c r="AD34" s="53" t="n"/>
      <c r="AE34" s="53" t="n"/>
      <c r="AF34" s="53" t="n"/>
      <c r="AG34" s="53" t="n"/>
      <c r="AH34" s="53" t="n"/>
      <c r="AI34" s="53" t="n"/>
      <c r="AJ34" s="53" t="n"/>
      <c r="AK34" s="53" t="n"/>
      <c r="AL34" s="53" t="n"/>
      <c r="AM34" s="53" t="n"/>
      <c r="AN34" s="53" t="n"/>
      <c r="AO34" s="53" t="n"/>
      <c r="AP34" s="53" t="n"/>
      <c r="AQ34" s="53" t="n"/>
      <c r="AR34" s="53" t="n"/>
      <c r="AS34" s="53" t="n"/>
      <c r="AT34" s="53" t="n"/>
      <c r="AU34" s="53" t="n"/>
      <c r="AV34" s="53" t="n"/>
      <c r="AW34" s="53" t="n"/>
      <c r="AX34" s="53" t="n"/>
      <c r="AY34" s="53" t="n"/>
    </row>
    <row r="35" ht="15" customHeight="1">
      <c r="A35" s="62" t="n"/>
      <c r="B35" s="55">
        <f>IF($B$33="","",$B$33)</f>
        <v/>
      </c>
      <c r="C35" s="63" t="inlineStr">
        <is>
          <t>마케팅1팀</t>
        </is>
      </c>
      <c r="D35" s="55">
        <f>IF($D$33="","",$D$33)</f>
        <v/>
      </c>
      <c r="E35" s="64" t="inlineStr">
        <is>
          <t>영상</t>
        </is>
      </c>
      <c r="F35" s="44" t="n"/>
      <c r="G35" s="58">
        <f>IF($G$33="","",$G$33)</f>
        <v/>
      </c>
      <c r="H35" s="59" t="n"/>
      <c r="I35" s="59" t="n"/>
      <c r="J35" s="59" t="n"/>
      <c r="K35" s="59" t="n"/>
      <c r="L35" s="65">
        <f>IF(SUM(U35:AY35)=0,"",SUM(U35:AY35))</f>
        <v/>
      </c>
      <c r="M35" s="66">
        <f>IFERROR(INDEX(U$2:AY$2,MATCH(TRUE,INDEX(U35:AY35&lt;&gt;"",0),0)),"")</f>
        <v/>
      </c>
      <c r="N35" s="66">
        <f>IFERROR(LOOKUP(2,1/(U35:AY35&lt;&gt;""),U$2:AY$2),"")</f>
        <v/>
      </c>
      <c r="O35" s="59" t="n"/>
      <c r="P35" s="59" t="n"/>
      <c r="Q35" s="59" t="n"/>
      <c r="R35" s="59" t="n"/>
      <c r="S35" s="14" t="n"/>
      <c r="U35" s="53" t="n"/>
      <c r="V35" s="53" t="n"/>
      <c r="W35" s="53" t="n"/>
      <c r="X35" s="53" t="n"/>
      <c r="Y35" s="53" t="n"/>
      <c r="Z35" s="53" t="n"/>
      <c r="AA35" s="53" t="n"/>
      <c r="AB35" s="53" t="n"/>
      <c r="AC35" s="53" t="n"/>
      <c r="AD35" s="53" t="n"/>
      <c r="AE35" s="53" t="n"/>
      <c r="AF35" s="53" t="n"/>
      <c r="AG35" s="53" t="n"/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</row>
    <row r="36" ht="15" customHeight="1">
      <c r="A36" s="40">
        <f>IF($D$36="","",10)</f>
        <v/>
      </c>
      <c r="B36" s="10" t="n"/>
      <c r="C36" s="41" t="inlineStr">
        <is>
          <t>마케팅1팀</t>
        </is>
      </c>
      <c r="D36" s="42" t="n"/>
      <c r="E36" s="43" t="inlineStr">
        <is>
          <t>기획</t>
        </is>
      </c>
      <c r="F36" s="44" t="n"/>
      <c r="G36" s="45" t="n"/>
      <c r="H36" s="46">
        <f>IF($I$36="","",IF($I$36&lt;0,"🔴지연",IF($I$36&lt;=1,"🟡임박","🟢여유")))</f>
        <v/>
      </c>
      <c r="I36" s="47">
        <f>IF(OR($G$36="",$K$36=""),"",$G$36-$K$36)</f>
        <v/>
      </c>
      <c r="J36" s="48">
        <f>IF(SUM($L$36:$L$38)=0,"",SUM($L$36:$L$38))</f>
        <v/>
      </c>
      <c r="K36" s="49">
        <f>IF($J$36="","",MAX($N$36:$N$38))</f>
        <v/>
      </c>
      <c r="L36" s="50">
        <f>IF(SUM(U36:AY36)=0,"",SUM(U36:AY36))</f>
        <v/>
      </c>
      <c r="M36" s="51">
        <f>IFERROR(INDEX(U$2:AY$2,MATCH(TRUE,INDEX(U36:AY36&lt;&gt;"",0),0)),"")</f>
        <v/>
      </c>
      <c r="N36" s="51">
        <f>IFERROR(LOOKUP(2,1/(U36:AY36&lt;&gt;""),U$2:AY$2),"")</f>
        <v/>
      </c>
      <c r="O36" s="52" t="n"/>
      <c r="P36" s="52" t="n"/>
      <c r="Q36" s="52" t="n"/>
      <c r="R36" s="44" t="n"/>
      <c r="S36" s="14" t="n"/>
      <c r="U36" s="53" t="n"/>
      <c r="V36" s="53" t="n"/>
      <c r="W36" s="53" t="n"/>
      <c r="X36" s="53" t="n"/>
      <c r="Y36" s="53" t="n"/>
      <c r="Z36" s="53" t="n"/>
      <c r="AA36" s="53" t="n"/>
      <c r="AB36" s="53" t="n"/>
      <c r="AC36" s="53" t="n"/>
      <c r="AD36" s="53" t="n"/>
      <c r="AE36" s="53" t="n"/>
      <c r="AF36" s="53" t="n"/>
      <c r="AG36" s="53" t="n"/>
      <c r="AH36" s="53" t="n"/>
      <c r="AI36" s="53" t="n"/>
      <c r="AJ36" s="53" t="n"/>
      <c r="AK36" s="53" t="n"/>
      <c r="AL36" s="53" t="n"/>
      <c r="AM36" s="53" t="n"/>
      <c r="AN36" s="53" t="n"/>
      <c r="AO36" s="53" t="n"/>
      <c r="AP36" s="53" t="n"/>
      <c r="AQ36" s="53" t="n"/>
      <c r="AR36" s="53" t="n"/>
      <c r="AS36" s="53" t="n"/>
      <c r="AT36" s="53" t="n"/>
      <c r="AU36" s="53" t="n"/>
      <c r="AV36" s="53" t="n"/>
      <c r="AW36" s="53" t="n"/>
      <c r="AX36" s="53" t="n"/>
      <c r="AY36" s="53" t="n"/>
    </row>
    <row r="37" ht="15" customHeight="1">
      <c r="A37" s="54" t="n"/>
      <c r="B37" s="55">
        <f>IF($B$36="","",$B$36)</f>
        <v/>
      </c>
      <c r="C37" s="56" t="inlineStr">
        <is>
          <t>마케팅1팀</t>
        </is>
      </c>
      <c r="D37" s="55">
        <f>IF($D$36="","",$D$36)</f>
        <v/>
      </c>
      <c r="E37" s="57" t="inlineStr">
        <is>
          <t>이미지</t>
        </is>
      </c>
      <c r="F37" s="44" t="n"/>
      <c r="G37" s="58">
        <f>IF($G$36="","",$G$36)</f>
        <v/>
      </c>
      <c r="H37" s="59" t="n"/>
      <c r="I37" s="59" t="n"/>
      <c r="J37" s="59" t="n"/>
      <c r="K37" s="59" t="n"/>
      <c r="L37" s="60">
        <f>IF(SUM(U37:AY37)=0,"",SUM(U37:AY37))</f>
        <v/>
      </c>
      <c r="M37" s="61">
        <f>IFERROR(INDEX(U$2:AY$2,MATCH(TRUE,INDEX(U37:AY37&lt;&gt;"",0),0)),"")</f>
        <v/>
      </c>
      <c r="N37" s="61">
        <f>IFERROR(LOOKUP(2,1/(U37:AY37&lt;&gt;""),U$2:AY$2),"")</f>
        <v/>
      </c>
      <c r="O37" s="59" t="n"/>
      <c r="P37" s="59" t="n"/>
      <c r="Q37" s="59" t="n"/>
      <c r="R37" s="59" t="n"/>
      <c r="S37" s="14" t="n"/>
      <c r="U37" s="53" t="n"/>
      <c r="V37" s="53" t="n"/>
      <c r="W37" s="53" t="n"/>
      <c r="X37" s="53" t="n"/>
      <c r="Y37" s="53" t="n"/>
      <c r="Z37" s="53" t="n"/>
      <c r="AA37" s="53" t="n"/>
      <c r="AB37" s="53" t="n"/>
      <c r="AC37" s="53" t="n"/>
      <c r="AD37" s="53" t="n"/>
      <c r="AE37" s="53" t="n"/>
      <c r="AF37" s="53" t="n"/>
      <c r="AG37" s="53" t="n"/>
      <c r="AH37" s="53" t="n"/>
      <c r="AI37" s="53" t="n"/>
      <c r="AJ37" s="53" t="n"/>
      <c r="AK37" s="53" t="n"/>
      <c r="AL37" s="53" t="n"/>
      <c r="AM37" s="53" t="n"/>
      <c r="AN37" s="53" t="n"/>
      <c r="AO37" s="53" t="n"/>
      <c r="AP37" s="53" t="n"/>
      <c r="AQ37" s="53" t="n"/>
      <c r="AR37" s="53" t="n"/>
      <c r="AS37" s="53" t="n"/>
      <c r="AT37" s="53" t="n"/>
      <c r="AU37" s="53" t="n"/>
      <c r="AV37" s="53" t="n"/>
      <c r="AW37" s="53" t="n"/>
      <c r="AX37" s="53" t="n"/>
      <c r="AY37" s="53" t="n"/>
    </row>
    <row r="38" ht="15" customHeight="1">
      <c r="A38" s="62" t="n"/>
      <c r="B38" s="55">
        <f>IF($B$36="","",$B$36)</f>
        <v/>
      </c>
      <c r="C38" s="63" t="inlineStr">
        <is>
          <t>마케팅1팀</t>
        </is>
      </c>
      <c r="D38" s="55">
        <f>IF($D$36="","",$D$36)</f>
        <v/>
      </c>
      <c r="E38" s="64" t="inlineStr">
        <is>
          <t>영상</t>
        </is>
      </c>
      <c r="F38" s="44" t="n"/>
      <c r="G38" s="58">
        <f>IF($G$36="","",$G$36)</f>
        <v/>
      </c>
      <c r="H38" s="59" t="n"/>
      <c r="I38" s="59" t="n"/>
      <c r="J38" s="59" t="n"/>
      <c r="K38" s="59" t="n"/>
      <c r="L38" s="65">
        <f>IF(SUM(U38:AY38)=0,"",SUM(U38:AY38))</f>
        <v/>
      </c>
      <c r="M38" s="66">
        <f>IFERROR(INDEX(U$2:AY$2,MATCH(TRUE,INDEX(U38:AY38&lt;&gt;"",0),0)),"")</f>
        <v/>
      </c>
      <c r="N38" s="66">
        <f>IFERROR(LOOKUP(2,1/(U38:AY38&lt;&gt;""),U$2:AY$2),"")</f>
        <v/>
      </c>
      <c r="O38" s="59" t="n"/>
      <c r="P38" s="59" t="n"/>
      <c r="Q38" s="59" t="n"/>
      <c r="R38" s="59" t="n"/>
      <c r="S38" s="14" t="n"/>
      <c r="U38" s="53" t="n"/>
      <c r="V38" s="53" t="n"/>
      <c r="W38" s="53" t="n"/>
      <c r="X38" s="53" t="n"/>
      <c r="Y38" s="53" t="n"/>
      <c r="Z38" s="53" t="n"/>
      <c r="AA38" s="53" t="n"/>
      <c r="AB38" s="53" t="n"/>
      <c r="AC38" s="53" t="n"/>
      <c r="AD38" s="53" t="n"/>
      <c r="AE38" s="53" t="n"/>
      <c r="AF38" s="53" t="n"/>
      <c r="AG38" s="53" t="n"/>
      <c r="AH38" s="53" t="n"/>
      <c r="AI38" s="53" t="n"/>
      <c r="AJ38" s="53" t="n"/>
      <c r="AK38" s="53" t="n"/>
      <c r="AL38" s="53" t="n"/>
      <c r="AM38" s="53" t="n"/>
      <c r="AN38" s="53" t="n"/>
      <c r="AO38" s="53" t="n"/>
      <c r="AP38" s="53" t="n"/>
      <c r="AQ38" s="53" t="n"/>
      <c r="AR38" s="53" t="n"/>
      <c r="AS38" s="53" t="n"/>
      <c r="AT38" s="53" t="n"/>
      <c r="AU38" s="53" t="n"/>
      <c r="AV38" s="53" t="n"/>
      <c r="AW38" s="53" t="n"/>
      <c r="AX38" s="53" t="n"/>
      <c r="AY38" s="53" t="n"/>
    </row>
    <row r="39" ht="15" customHeight="1">
      <c r="A39" s="40">
        <f>IF($D$39="","",11)</f>
        <v/>
      </c>
      <c r="B39" s="10" t="n"/>
      <c r="C39" s="41" t="inlineStr">
        <is>
          <t>마케팅1팀</t>
        </is>
      </c>
      <c r="D39" s="42" t="n"/>
      <c r="E39" s="43" t="inlineStr">
        <is>
          <t>기획</t>
        </is>
      </c>
      <c r="F39" s="44" t="n"/>
      <c r="G39" s="45" t="n"/>
      <c r="H39" s="46">
        <f>IF($I$39="","",IF($I$39&lt;0,"🔴지연",IF($I$39&lt;=1,"🟡임박","🟢여유")))</f>
        <v/>
      </c>
      <c r="I39" s="47">
        <f>IF(OR($G$39="",$K$39=""),"",$G$39-$K$39)</f>
        <v/>
      </c>
      <c r="J39" s="48">
        <f>IF(SUM($L$39:$L$41)=0,"",SUM($L$39:$L$41))</f>
        <v/>
      </c>
      <c r="K39" s="49">
        <f>IF($J$39="","",MAX($N$39:$N$41))</f>
        <v/>
      </c>
      <c r="L39" s="50">
        <f>IF(SUM(U39:AY39)=0,"",SUM(U39:AY39))</f>
        <v/>
      </c>
      <c r="M39" s="51">
        <f>IFERROR(INDEX(U$2:AY$2,MATCH(TRUE,INDEX(U39:AY39&lt;&gt;"",0),0)),"")</f>
        <v/>
      </c>
      <c r="N39" s="51">
        <f>IFERROR(LOOKUP(2,1/(U39:AY39&lt;&gt;""),U$2:AY$2),"")</f>
        <v/>
      </c>
      <c r="O39" s="52" t="n"/>
      <c r="P39" s="52" t="n"/>
      <c r="Q39" s="52" t="n"/>
      <c r="R39" s="44" t="n"/>
      <c r="S39" s="14" t="n"/>
      <c r="U39" s="53" t="n"/>
      <c r="V39" s="53" t="n"/>
      <c r="W39" s="53" t="n"/>
      <c r="X39" s="53" t="n"/>
      <c r="Y39" s="53" t="n"/>
      <c r="Z39" s="53" t="n"/>
      <c r="AA39" s="53" t="n"/>
      <c r="AB39" s="53" t="n"/>
      <c r="AC39" s="53" t="n"/>
      <c r="AD39" s="53" t="n"/>
      <c r="AE39" s="53" t="n"/>
      <c r="AF39" s="53" t="n"/>
      <c r="AG39" s="53" t="n"/>
      <c r="AH39" s="53" t="n"/>
      <c r="AI39" s="53" t="n"/>
      <c r="AJ39" s="53" t="n"/>
      <c r="AK39" s="53" t="n"/>
      <c r="AL39" s="53" t="n"/>
      <c r="AM39" s="53" t="n"/>
      <c r="AN39" s="53" t="n"/>
      <c r="AO39" s="53" t="n"/>
      <c r="AP39" s="53" t="n"/>
      <c r="AQ39" s="53" t="n"/>
      <c r="AR39" s="53" t="n"/>
      <c r="AS39" s="53" t="n"/>
      <c r="AT39" s="53" t="n"/>
      <c r="AU39" s="53" t="n"/>
      <c r="AV39" s="53" t="n"/>
      <c r="AW39" s="53" t="n"/>
      <c r="AX39" s="53" t="n"/>
      <c r="AY39" s="53" t="n"/>
    </row>
    <row r="40" ht="15" customHeight="1">
      <c r="A40" s="54" t="n"/>
      <c r="B40" s="55">
        <f>IF($B$39="","",$B$39)</f>
        <v/>
      </c>
      <c r="C40" s="56" t="inlineStr">
        <is>
          <t>마케팅1팀</t>
        </is>
      </c>
      <c r="D40" s="55">
        <f>IF($D$39="","",$D$39)</f>
        <v/>
      </c>
      <c r="E40" s="57" t="inlineStr">
        <is>
          <t>이미지</t>
        </is>
      </c>
      <c r="F40" s="44" t="n"/>
      <c r="G40" s="58">
        <f>IF($G$39="","",$G$39)</f>
        <v/>
      </c>
      <c r="H40" s="59" t="n"/>
      <c r="I40" s="59" t="n"/>
      <c r="J40" s="59" t="n"/>
      <c r="K40" s="59" t="n"/>
      <c r="L40" s="60">
        <f>IF(SUM(U40:AY40)=0,"",SUM(U40:AY40))</f>
        <v/>
      </c>
      <c r="M40" s="61">
        <f>IFERROR(INDEX(U$2:AY$2,MATCH(TRUE,INDEX(U40:AY40&lt;&gt;"",0),0)),"")</f>
        <v/>
      </c>
      <c r="N40" s="61">
        <f>IFERROR(LOOKUP(2,1/(U40:AY40&lt;&gt;""),U$2:AY$2),"")</f>
        <v/>
      </c>
      <c r="O40" s="59" t="n"/>
      <c r="P40" s="59" t="n"/>
      <c r="Q40" s="59" t="n"/>
      <c r="R40" s="59" t="n"/>
      <c r="S40" s="14" t="n"/>
      <c r="U40" s="53" t="n"/>
      <c r="V40" s="53" t="n"/>
      <c r="W40" s="53" t="n"/>
      <c r="X40" s="53" t="n"/>
      <c r="Y40" s="53" t="n"/>
      <c r="Z40" s="53" t="n"/>
      <c r="AA40" s="53" t="n"/>
      <c r="AB40" s="53" t="n"/>
      <c r="AC40" s="53" t="n"/>
      <c r="AD40" s="53" t="n"/>
      <c r="AE40" s="53" t="n"/>
      <c r="AF40" s="53" t="n"/>
      <c r="AG40" s="53" t="n"/>
      <c r="AH40" s="53" t="n"/>
      <c r="AI40" s="53" t="n"/>
      <c r="AJ40" s="53" t="n"/>
      <c r="AK40" s="53" t="n"/>
      <c r="AL40" s="53" t="n"/>
      <c r="AM40" s="53" t="n"/>
      <c r="AN40" s="53" t="n"/>
      <c r="AO40" s="53" t="n"/>
      <c r="AP40" s="53" t="n"/>
      <c r="AQ40" s="53" t="n"/>
      <c r="AR40" s="53" t="n"/>
      <c r="AS40" s="53" t="n"/>
      <c r="AT40" s="53" t="n"/>
      <c r="AU40" s="53" t="n"/>
      <c r="AV40" s="53" t="n"/>
      <c r="AW40" s="53" t="n"/>
      <c r="AX40" s="53" t="n"/>
      <c r="AY40" s="53" t="n"/>
    </row>
    <row r="41" ht="15" customHeight="1">
      <c r="A41" s="62" t="n"/>
      <c r="B41" s="55">
        <f>IF($B$39="","",$B$39)</f>
        <v/>
      </c>
      <c r="C41" s="63" t="inlineStr">
        <is>
          <t>마케팅1팀</t>
        </is>
      </c>
      <c r="D41" s="55">
        <f>IF($D$39="","",$D$39)</f>
        <v/>
      </c>
      <c r="E41" s="64" t="inlineStr">
        <is>
          <t>영상</t>
        </is>
      </c>
      <c r="F41" s="44" t="n"/>
      <c r="G41" s="58">
        <f>IF($G$39="","",$G$39)</f>
        <v/>
      </c>
      <c r="H41" s="59" t="n"/>
      <c r="I41" s="59" t="n"/>
      <c r="J41" s="59" t="n"/>
      <c r="K41" s="59" t="n"/>
      <c r="L41" s="65">
        <f>IF(SUM(U41:AY41)=0,"",SUM(U41:AY41))</f>
        <v/>
      </c>
      <c r="M41" s="66">
        <f>IFERROR(INDEX(U$2:AY$2,MATCH(TRUE,INDEX(U41:AY41&lt;&gt;"",0),0)),"")</f>
        <v/>
      </c>
      <c r="N41" s="66">
        <f>IFERROR(LOOKUP(2,1/(U41:AY41&lt;&gt;""),U$2:AY$2),"")</f>
        <v/>
      </c>
      <c r="O41" s="59" t="n"/>
      <c r="P41" s="59" t="n"/>
      <c r="Q41" s="59" t="n"/>
      <c r="R41" s="59" t="n"/>
      <c r="S41" s="14" t="n"/>
      <c r="U41" s="53" t="n"/>
      <c r="V41" s="53" t="n"/>
      <c r="W41" s="53" t="n"/>
      <c r="X41" s="53" t="n"/>
      <c r="Y41" s="53" t="n"/>
      <c r="Z41" s="53" t="n"/>
      <c r="AA41" s="53" t="n"/>
      <c r="AB41" s="53" t="n"/>
      <c r="AC41" s="53" t="n"/>
      <c r="AD41" s="53" t="n"/>
      <c r="AE41" s="53" t="n"/>
      <c r="AF41" s="53" t="n"/>
      <c r="AG41" s="53" t="n"/>
      <c r="AH41" s="53" t="n"/>
      <c r="AI41" s="53" t="n"/>
      <c r="AJ41" s="53" t="n"/>
      <c r="AK41" s="53" t="n"/>
      <c r="AL41" s="53" t="n"/>
      <c r="AM41" s="53" t="n"/>
      <c r="AN41" s="53" t="n"/>
      <c r="AO41" s="53" t="n"/>
      <c r="AP41" s="53" t="n"/>
      <c r="AQ41" s="53" t="n"/>
      <c r="AR41" s="53" t="n"/>
      <c r="AS41" s="53" t="n"/>
      <c r="AT41" s="53" t="n"/>
      <c r="AU41" s="53" t="n"/>
      <c r="AV41" s="53" t="n"/>
      <c r="AW41" s="53" t="n"/>
      <c r="AX41" s="53" t="n"/>
      <c r="AY41" s="53" t="n"/>
    </row>
    <row r="42" ht="15" customHeight="1">
      <c r="A42" s="40">
        <f>IF($D$42="","",12)</f>
        <v/>
      </c>
      <c r="B42" s="10" t="n"/>
      <c r="C42" s="41" t="inlineStr">
        <is>
          <t>마케팅1팀</t>
        </is>
      </c>
      <c r="D42" s="42" t="n"/>
      <c r="E42" s="43" t="inlineStr">
        <is>
          <t>기획</t>
        </is>
      </c>
      <c r="F42" s="44" t="n"/>
      <c r="G42" s="45" t="n"/>
      <c r="H42" s="46">
        <f>IF($I$42="","",IF($I$42&lt;0,"🔴지연",IF($I$42&lt;=1,"🟡임박","🟢여유")))</f>
        <v/>
      </c>
      <c r="I42" s="47">
        <f>IF(OR($G$42="",$K$42=""),"",$G$42-$K$42)</f>
        <v/>
      </c>
      <c r="J42" s="48">
        <f>IF(SUM($L$42:$L$44)=0,"",SUM($L$42:$L$44))</f>
        <v/>
      </c>
      <c r="K42" s="49">
        <f>IF($J$42="","",MAX($N$42:$N$44))</f>
        <v/>
      </c>
      <c r="L42" s="50">
        <f>IF(SUM(U42:AY42)=0,"",SUM(U42:AY42))</f>
        <v/>
      </c>
      <c r="M42" s="51">
        <f>IFERROR(INDEX(U$2:AY$2,MATCH(TRUE,INDEX(U42:AY42&lt;&gt;"",0),0)),"")</f>
        <v/>
      </c>
      <c r="N42" s="51">
        <f>IFERROR(LOOKUP(2,1/(U42:AY42&lt;&gt;""),U$2:AY$2),"")</f>
        <v/>
      </c>
      <c r="O42" s="52" t="n"/>
      <c r="P42" s="52" t="n"/>
      <c r="Q42" s="52" t="n"/>
      <c r="R42" s="44" t="n"/>
      <c r="S42" s="14" t="n"/>
      <c r="U42" s="53" t="n"/>
      <c r="V42" s="53" t="n"/>
      <c r="W42" s="53" t="n"/>
      <c r="X42" s="53" t="n"/>
      <c r="Y42" s="53" t="n"/>
      <c r="Z42" s="53" t="n"/>
      <c r="AA42" s="53" t="n"/>
      <c r="AB42" s="53" t="n"/>
      <c r="AC42" s="53" t="n"/>
      <c r="AD42" s="53" t="n"/>
      <c r="AE42" s="53" t="n"/>
      <c r="AF42" s="53" t="n"/>
      <c r="AG42" s="53" t="n"/>
      <c r="AH42" s="53" t="n"/>
      <c r="AI42" s="53" t="n"/>
      <c r="AJ42" s="53" t="n"/>
      <c r="AK42" s="53" t="n"/>
      <c r="AL42" s="53" t="n"/>
      <c r="AM42" s="53" t="n"/>
      <c r="AN42" s="53" t="n"/>
      <c r="AO42" s="53" t="n"/>
      <c r="AP42" s="53" t="n"/>
      <c r="AQ42" s="53" t="n"/>
      <c r="AR42" s="53" t="n"/>
      <c r="AS42" s="53" t="n"/>
      <c r="AT42" s="53" t="n"/>
      <c r="AU42" s="53" t="n"/>
      <c r="AV42" s="53" t="n"/>
      <c r="AW42" s="53" t="n"/>
      <c r="AX42" s="53" t="n"/>
      <c r="AY42" s="53" t="n"/>
    </row>
    <row r="43" ht="15" customHeight="1">
      <c r="A43" s="54" t="n"/>
      <c r="B43" s="55">
        <f>IF($B$42="","",$B$42)</f>
        <v/>
      </c>
      <c r="C43" s="56" t="inlineStr">
        <is>
          <t>마케팅1팀</t>
        </is>
      </c>
      <c r="D43" s="55">
        <f>IF($D$42="","",$D$42)</f>
        <v/>
      </c>
      <c r="E43" s="57" t="inlineStr">
        <is>
          <t>이미지</t>
        </is>
      </c>
      <c r="F43" s="44" t="n"/>
      <c r="G43" s="58">
        <f>IF($G$42="","",$G$42)</f>
        <v/>
      </c>
      <c r="H43" s="59" t="n"/>
      <c r="I43" s="59" t="n"/>
      <c r="J43" s="59" t="n"/>
      <c r="K43" s="59" t="n"/>
      <c r="L43" s="60">
        <f>IF(SUM(U43:AY43)=0,"",SUM(U43:AY43))</f>
        <v/>
      </c>
      <c r="M43" s="61">
        <f>IFERROR(INDEX(U$2:AY$2,MATCH(TRUE,INDEX(U43:AY43&lt;&gt;"",0),0)),"")</f>
        <v/>
      </c>
      <c r="N43" s="61">
        <f>IFERROR(LOOKUP(2,1/(U43:AY43&lt;&gt;""),U$2:AY$2),"")</f>
        <v/>
      </c>
      <c r="O43" s="59" t="n"/>
      <c r="P43" s="59" t="n"/>
      <c r="Q43" s="59" t="n"/>
      <c r="R43" s="59" t="n"/>
      <c r="S43" s="14" t="n"/>
      <c r="U43" s="53" t="n"/>
      <c r="V43" s="53" t="n"/>
      <c r="W43" s="53" t="n"/>
      <c r="X43" s="53" t="n"/>
      <c r="Y43" s="53" t="n"/>
      <c r="Z43" s="53" t="n"/>
      <c r="AA43" s="53" t="n"/>
      <c r="AB43" s="53" t="n"/>
      <c r="AC43" s="53" t="n"/>
      <c r="AD43" s="53" t="n"/>
      <c r="AE43" s="53" t="n"/>
      <c r="AF43" s="53" t="n"/>
      <c r="AG43" s="53" t="n"/>
      <c r="AH43" s="53" t="n"/>
      <c r="AI43" s="53" t="n"/>
      <c r="AJ43" s="53" t="n"/>
      <c r="AK43" s="53" t="n"/>
      <c r="AL43" s="53" t="n"/>
      <c r="AM43" s="53" t="n"/>
      <c r="AN43" s="53" t="n"/>
      <c r="AO43" s="53" t="n"/>
      <c r="AP43" s="53" t="n"/>
      <c r="AQ43" s="53" t="n"/>
      <c r="AR43" s="53" t="n"/>
      <c r="AS43" s="53" t="n"/>
      <c r="AT43" s="53" t="n"/>
      <c r="AU43" s="53" t="n"/>
      <c r="AV43" s="53" t="n"/>
      <c r="AW43" s="53" t="n"/>
      <c r="AX43" s="53" t="n"/>
      <c r="AY43" s="53" t="n"/>
    </row>
    <row r="44" ht="15" customHeight="1">
      <c r="A44" s="62" t="n"/>
      <c r="B44" s="55">
        <f>IF($B$42="","",$B$42)</f>
        <v/>
      </c>
      <c r="C44" s="63" t="inlineStr">
        <is>
          <t>마케팅1팀</t>
        </is>
      </c>
      <c r="D44" s="55">
        <f>IF($D$42="","",$D$42)</f>
        <v/>
      </c>
      <c r="E44" s="64" t="inlineStr">
        <is>
          <t>영상</t>
        </is>
      </c>
      <c r="F44" s="44" t="n"/>
      <c r="G44" s="58">
        <f>IF($G$42="","",$G$42)</f>
        <v/>
      </c>
      <c r="H44" s="59" t="n"/>
      <c r="I44" s="59" t="n"/>
      <c r="J44" s="59" t="n"/>
      <c r="K44" s="59" t="n"/>
      <c r="L44" s="65">
        <f>IF(SUM(U44:AY44)=0,"",SUM(U44:AY44))</f>
        <v/>
      </c>
      <c r="M44" s="66">
        <f>IFERROR(INDEX(U$2:AY$2,MATCH(TRUE,INDEX(U44:AY44&lt;&gt;"",0),0)),"")</f>
        <v/>
      </c>
      <c r="N44" s="66">
        <f>IFERROR(LOOKUP(2,1/(U44:AY44&lt;&gt;""),U$2:AY$2),"")</f>
        <v/>
      </c>
      <c r="O44" s="59" t="n"/>
      <c r="P44" s="59" t="n"/>
      <c r="Q44" s="59" t="n"/>
      <c r="R44" s="59" t="n"/>
      <c r="S44" s="14" t="n"/>
      <c r="U44" s="53" t="n"/>
      <c r="V44" s="53" t="n"/>
      <c r="W44" s="53" t="n"/>
      <c r="X44" s="53" t="n"/>
      <c r="Y44" s="53" t="n"/>
      <c r="Z44" s="53" t="n"/>
      <c r="AA44" s="53" t="n"/>
      <c r="AB44" s="53" t="n"/>
      <c r="AC44" s="53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53" t="n"/>
      <c r="AN44" s="53" t="n"/>
      <c r="AO44" s="53" t="n"/>
      <c r="AP44" s="53" t="n"/>
      <c r="AQ44" s="53" t="n"/>
      <c r="AR44" s="53" t="n"/>
      <c r="AS44" s="53" t="n"/>
      <c r="AT44" s="53" t="n"/>
      <c r="AU44" s="53" t="n"/>
      <c r="AV44" s="53" t="n"/>
      <c r="AW44" s="53" t="n"/>
      <c r="AX44" s="53" t="n"/>
      <c r="AY44" s="53" t="n"/>
    </row>
    <row r="45" ht="15" customHeight="1">
      <c r="A45" s="40">
        <f>IF($D$45="","",13)</f>
        <v/>
      </c>
      <c r="B45" s="10" t="n"/>
      <c r="C45" s="41" t="inlineStr">
        <is>
          <t>마케팅1팀</t>
        </is>
      </c>
      <c r="D45" s="42" t="n"/>
      <c r="E45" s="43" t="inlineStr">
        <is>
          <t>기획</t>
        </is>
      </c>
      <c r="F45" s="44" t="n"/>
      <c r="G45" s="45" t="n"/>
      <c r="H45" s="46">
        <f>IF($I$45="","",IF($I$45&lt;0,"🔴지연",IF($I$45&lt;=1,"🟡임박","🟢여유")))</f>
        <v/>
      </c>
      <c r="I45" s="47">
        <f>IF(OR($G$45="",$K$45=""),"",$G$45-$K$45)</f>
        <v/>
      </c>
      <c r="J45" s="48">
        <f>IF(SUM($L$45:$L$47)=0,"",SUM($L$45:$L$47))</f>
        <v/>
      </c>
      <c r="K45" s="49">
        <f>IF($J$45="","",MAX($N$45:$N$47))</f>
        <v/>
      </c>
      <c r="L45" s="50">
        <f>IF(SUM(U45:AY45)=0,"",SUM(U45:AY45))</f>
        <v/>
      </c>
      <c r="M45" s="51">
        <f>IFERROR(INDEX(U$2:AY$2,MATCH(TRUE,INDEX(U45:AY45&lt;&gt;"",0),0)),"")</f>
        <v/>
      </c>
      <c r="N45" s="51">
        <f>IFERROR(LOOKUP(2,1/(U45:AY45&lt;&gt;""),U$2:AY$2),"")</f>
        <v/>
      </c>
      <c r="O45" s="52" t="n"/>
      <c r="P45" s="52" t="n"/>
      <c r="Q45" s="52" t="n"/>
      <c r="R45" s="44" t="n"/>
      <c r="S45" s="14" t="n"/>
      <c r="U45" s="53" t="n"/>
      <c r="V45" s="53" t="n"/>
      <c r="W45" s="53" t="n"/>
      <c r="X45" s="53" t="n"/>
      <c r="Y45" s="53" t="n"/>
      <c r="Z45" s="53" t="n"/>
      <c r="AA45" s="53" t="n"/>
      <c r="AB45" s="53" t="n"/>
      <c r="AC45" s="53" t="n"/>
      <c r="AD45" s="53" t="n"/>
      <c r="AE45" s="53" t="n"/>
      <c r="AF45" s="53" t="n"/>
      <c r="AG45" s="53" t="n"/>
      <c r="AH45" s="53" t="n"/>
      <c r="AI45" s="53" t="n"/>
      <c r="AJ45" s="53" t="n"/>
      <c r="AK45" s="53" t="n"/>
      <c r="AL45" s="53" t="n"/>
      <c r="AM45" s="53" t="n"/>
      <c r="AN45" s="53" t="n"/>
      <c r="AO45" s="53" t="n"/>
      <c r="AP45" s="53" t="n"/>
      <c r="AQ45" s="53" t="n"/>
      <c r="AR45" s="53" t="n"/>
      <c r="AS45" s="53" t="n"/>
      <c r="AT45" s="53" t="n"/>
      <c r="AU45" s="53" t="n"/>
      <c r="AV45" s="53" t="n"/>
      <c r="AW45" s="53" t="n"/>
      <c r="AX45" s="53" t="n"/>
      <c r="AY45" s="53" t="n"/>
    </row>
    <row r="46" ht="15" customHeight="1">
      <c r="A46" s="54" t="n"/>
      <c r="B46" s="55">
        <f>IF($B$45="","",$B$45)</f>
        <v/>
      </c>
      <c r="C46" s="56" t="inlineStr">
        <is>
          <t>마케팅1팀</t>
        </is>
      </c>
      <c r="D46" s="55">
        <f>IF($D$45="","",$D$45)</f>
        <v/>
      </c>
      <c r="E46" s="57" t="inlineStr">
        <is>
          <t>이미지</t>
        </is>
      </c>
      <c r="F46" s="44" t="n"/>
      <c r="G46" s="58">
        <f>IF($G$45="","",$G$45)</f>
        <v/>
      </c>
      <c r="H46" s="59" t="n"/>
      <c r="I46" s="59" t="n"/>
      <c r="J46" s="59" t="n"/>
      <c r="K46" s="59" t="n"/>
      <c r="L46" s="60">
        <f>IF(SUM(U46:AY46)=0,"",SUM(U46:AY46))</f>
        <v/>
      </c>
      <c r="M46" s="61">
        <f>IFERROR(INDEX(U$2:AY$2,MATCH(TRUE,INDEX(U46:AY46&lt;&gt;"",0),0)),"")</f>
        <v/>
      </c>
      <c r="N46" s="61">
        <f>IFERROR(LOOKUP(2,1/(U46:AY46&lt;&gt;""),U$2:AY$2),"")</f>
        <v/>
      </c>
      <c r="O46" s="59" t="n"/>
      <c r="P46" s="59" t="n"/>
      <c r="Q46" s="59" t="n"/>
      <c r="R46" s="59" t="n"/>
      <c r="S46" s="14" t="n"/>
      <c r="U46" s="53" t="n"/>
      <c r="V46" s="53" t="n"/>
      <c r="W46" s="53" t="n"/>
      <c r="X46" s="53" t="n"/>
      <c r="Y46" s="53" t="n"/>
      <c r="Z46" s="53" t="n"/>
      <c r="AA46" s="53" t="n"/>
      <c r="AB46" s="53" t="n"/>
      <c r="AC46" s="53" t="n"/>
      <c r="AD46" s="53" t="n"/>
      <c r="AE46" s="53" t="n"/>
      <c r="AF46" s="53" t="n"/>
      <c r="AG46" s="53" t="n"/>
      <c r="AH46" s="53" t="n"/>
      <c r="AI46" s="53" t="n"/>
      <c r="AJ46" s="53" t="n"/>
      <c r="AK46" s="53" t="n"/>
      <c r="AL46" s="53" t="n"/>
      <c r="AM46" s="53" t="n"/>
      <c r="AN46" s="53" t="n"/>
      <c r="AO46" s="53" t="n"/>
      <c r="AP46" s="53" t="n"/>
      <c r="AQ46" s="53" t="n"/>
      <c r="AR46" s="53" t="n"/>
      <c r="AS46" s="53" t="n"/>
      <c r="AT46" s="53" t="n"/>
      <c r="AU46" s="53" t="n"/>
      <c r="AV46" s="53" t="n"/>
      <c r="AW46" s="53" t="n"/>
      <c r="AX46" s="53" t="n"/>
      <c r="AY46" s="53" t="n"/>
    </row>
    <row r="47" ht="15" customHeight="1">
      <c r="A47" s="62" t="n"/>
      <c r="B47" s="55">
        <f>IF($B$45="","",$B$45)</f>
        <v/>
      </c>
      <c r="C47" s="63" t="inlineStr">
        <is>
          <t>마케팅1팀</t>
        </is>
      </c>
      <c r="D47" s="55">
        <f>IF($D$45="","",$D$45)</f>
        <v/>
      </c>
      <c r="E47" s="64" t="inlineStr">
        <is>
          <t>영상</t>
        </is>
      </c>
      <c r="F47" s="44" t="n"/>
      <c r="G47" s="58">
        <f>IF($G$45="","",$G$45)</f>
        <v/>
      </c>
      <c r="H47" s="59" t="n"/>
      <c r="I47" s="59" t="n"/>
      <c r="J47" s="59" t="n"/>
      <c r="K47" s="59" t="n"/>
      <c r="L47" s="65">
        <f>IF(SUM(U47:AY47)=0,"",SUM(U47:AY47))</f>
        <v/>
      </c>
      <c r="M47" s="66">
        <f>IFERROR(INDEX(U$2:AY$2,MATCH(TRUE,INDEX(U47:AY47&lt;&gt;"",0),0)),"")</f>
        <v/>
      </c>
      <c r="N47" s="66">
        <f>IFERROR(LOOKUP(2,1/(U47:AY47&lt;&gt;""),U$2:AY$2),"")</f>
        <v/>
      </c>
      <c r="O47" s="59" t="n"/>
      <c r="P47" s="59" t="n"/>
      <c r="Q47" s="59" t="n"/>
      <c r="R47" s="59" t="n"/>
      <c r="S47" s="14" t="n"/>
      <c r="U47" s="53" t="n"/>
      <c r="V47" s="53" t="n"/>
      <c r="W47" s="53" t="n"/>
      <c r="X47" s="53" t="n"/>
      <c r="Y47" s="53" t="n"/>
      <c r="Z47" s="53" t="n"/>
      <c r="AA47" s="53" t="n"/>
      <c r="AB47" s="53" t="n"/>
      <c r="AC47" s="53" t="n"/>
      <c r="AD47" s="53" t="n"/>
      <c r="AE47" s="53" t="n"/>
      <c r="AF47" s="53" t="n"/>
      <c r="AG47" s="53" t="n"/>
      <c r="AH47" s="53" t="n"/>
      <c r="AI47" s="53" t="n"/>
      <c r="AJ47" s="53" t="n"/>
      <c r="AK47" s="53" t="n"/>
      <c r="AL47" s="53" t="n"/>
      <c r="AM47" s="53" t="n"/>
      <c r="AN47" s="53" t="n"/>
      <c r="AO47" s="53" t="n"/>
      <c r="AP47" s="53" t="n"/>
      <c r="AQ47" s="53" t="n"/>
      <c r="AR47" s="53" t="n"/>
      <c r="AS47" s="53" t="n"/>
      <c r="AT47" s="53" t="n"/>
      <c r="AU47" s="53" t="n"/>
      <c r="AV47" s="53" t="n"/>
      <c r="AW47" s="53" t="n"/>
      <c r="AX47" s="53" t="n"/>
      <c r="AY47" s="53" t="n"/>
    </row>
    <row r="48" ht="15" customHeight="1">
      <c r="A48" s="40">
        <f>IF($D$48="","",14)</f>
        <v/>
      </c>
      <c r="B48" s="10" t="n"/>
      <c r="C48" s="41" t="inlineStr">
        <is>
          <t>마케팅1팀</t>
        </is>
      </c>
      <c r="D48" s="42" t="n"/>
      <c r="E48" s="43" t="inlineStr">
        <is>
          <t>기획</t>
        </is>
      </c>
      <c r="F48" s="44" t="n"/>
      <c r="G48" s="45" t="n"/>
      <c r="H48" s="46">
        <f>IF($I$48="","",IF($I$48&lt;0,"🔴지연",IF($I$48&lt;=1,"🟡임박","🟢여유")))</f>
        <v/>
      </c>
      <c r="I48" s="47">
        <f>IF(OR($G$48="",$K$48=""),"",$G$48-$K$48)</f>
        <v/>
      </c>
      <c r="J48" s="48">
        <f>IF(SUM($L$48:$L$50)=0,"",SUM($L$48:$L$50))</f>
        <v/>
      </c>
      <c r="K48" s="49">
        <f>IF($J$48="","",MAX($N$48:$N$50))</f>
        <v/>
      </c>
      <c r="L48" s="50">
        <f>IF(SUM(U48:AY48)=0,"",SUM(U48:AY48))</f>
        <v/>
      </c>
      <c r="M48" s="51">
        <f>IFERROR(INDEX(U$2:AY$2,MATCH(TRUE,INDEX(U48:AY48&lt;&gt;"",0),0)),"")</f>
        <v/>
      </c>
      <c r="N48" s="51">
        <f>IFERROR(LOOKUP(2,1/(U48:AY48&lt;&gt;""),U$2:AY$2),"")</f>
        <v/>
      </c>
      <c r="O48" s="52" t="n"/>
      <c r="P48" s="52" t="n"/>
      <c r="Q48" s="52" t="n"/>
      <c r="R48" s="44" t="n"/>
      <c r="S48" s="14" t="n"/>
      <c r="U48" s="53" t="n"/>
      <c r="V48" s="53" t="n"/>
      <c r="W48" s="53" t="n"/>
      <c r="X48" s="53" t="n"/>
      <c r="Y48" s="53" t="n"/>
      <c r="Z48" s="53" t="n"/>
      <c r="AA48" s="53" t="n"/>
      <c r="AB48" s="53" t="n"/>
      <c r="AC48" s="53" t="n"/>
      <c r="AD48" s="53" t="n"/>
      <c r="AE48" s="53" t="n"/>
      <c r="AF48" s="53" t="n"/>
      <c r="AG48" s="53" t="n"/>
      <c r="AH48" s="53" t="n"/>
      <c r="AI48" s="53" t="n"/>
      <c r="AJ48" s="53" t="n"/>
      <c r="AK48" s="53" t="n"/>
      <c r="AL48" s="53" t="n"/>
      <c r="AM48" s="53" t="n"/>
      <c r="AN48" s="53" t="n"/>
      <c r="AO48" s="53" t="n"/>
      <c r="AP48" s="53" t="n"/>
      <c r="AQ48" s="53" t="n"/>
      <c r="AR48" s="53" t="n"/>
      <c r="AS48" s="53" t="n"/>
      <c r="AT48" s="53" t="n"/>
      <c r="AU48" s="53" t="n"/>
      <c r="AV48" s="53" t="n"/>
      <c r="AW48" s="53" t="n"/>
      <c r="AX48" s="53" t="n"/>
      <c r="AY48" s="53" t="n"/>
    </row>
    <row r="49" ht="15" customHeight="1">
      <c r="A49" s="54" t="n"/>
      <c r="B49" s="55">
        <f>IF($B$48="","",$B$48)</f>
        <v/>
      </c>
      <c r="C49" s="56" t="inlineStr">
        <is>
          <t>마케팅1팀</t>
        </is>
      </c>
      <c r="D49" s="55">
        <f>IF($D$48="","",$D$48)</f>
        <v/>
      </c>
      <c r="E49" s="57" t="inlineStr">
        <is>
          <t>이미지</t>
        </is>
      </c>
      <c r="F49" s="44" t="n"/>
      <c r="G49" s="58">
        <f>IF($G$48="","",$G$48)</f>
        <v/>
      </c>
      <c r="H49" s="59" t="n"/>
      <c r="I49" s="59" t="n"/>
      <c r="J49" s="59" t="n"/>
      <c r="K49" s="59" t="n"/>
      <c r="L49" s="60">
        <f>IF(SUM(U49:AY49)=0,"",SUM(U49:AY49))</f>
        <v/>
      </c>
      <c r="M49" s="61">
        <f>IFERROR(INDEX(U$2:AY$2,MATCH(TRUE,INDEX(U49:AY49&lt;&gt;"",0),0)),"")</f>
        <v/>
      </c>
      <c r="N49" s="61">
        <f>IFERROR(LOOKUP(2,1/(U49:AY49&lt;&gt;""),U$2:AY$2),"")</f>
        <v/>
      </c>
      <c r="O49" s="59" t="n"/>
      <c r="P49" s="59" t="n"/>
      <c r="Q49" s="59" t="n"/>
      <c r="R49" s="59" t="n"/>
      <c r="S49" s="14" t="n"/>
      <c r="U49" s="53" t="n"/>
      <c r="V49" s="53" t="n"/>
      <c r="W49" s="53" t="n"/>
      <c r="X49" s="53" t="n"/>
      <c r="Y49" s="53" t="n"/>
      <c r="Z49" s="53" t="n"/>
      <c r="AA49" s="53" t="n"/>
      <c r="AB49" s="53" t="n"/>
      <c r="AC49" s="53" t="n"/>
      <c r="AD49" s="53" t="n"/>
      <c r="AE49" s="53" t="n"/>
      <c r="AF49" s="53" t="n"/>
      <c r="AG49" s="53" t="n"/>
      <c r="AH49" s="53" t="n"/>
      <c r="AI49" s="53" t="n"/>
      <c r="AJ49" s="53" t="n"/>
      <c r="AK49" s="53" t="n"/>
      <c r="AL49" s="53" t="n"/>
      <c r="AM49" s="53" t="n"/>
      <c r="AN49" s="53" t="n"/>
      <c r="AO49" s="53" t="n"/>
      <c r="AP49" s="53" t="n"/>
      <c r="AQ49" s="53" t="n"/>
      <c r="AR49" s="53" t="n"/>
      <c r="AS49" s="53" t="n"/>
      <c r="AT49" s="53" t="n"/>
      <c r="AU49" s="53" t="n"/>
      <c r="AV49" s="53" t="n"/>
      <c r="AW49" s="53" t="n"/>
      <c r="AX49" s="53" t="n"/>
      <c r="AY49" s="53" t="n"/>
    </row>
    <row r="50" ht="15" customHeight="1">
      <c r="A50" s="62" t="n"/>
      <c r="B50" s="55">
        <f>IF($B$48="","",$B$48)</f>
        <v/>
      </c>
      <c r="C50" s="63" t="inlineStr">
        <is>
          <t>마케팅1팀</t>
        </is>
      </c>
      <c r="D50" s="55">
        <f>IF($D$48="","",$D$48)</f>
        <v/>
      </c>
      <c r="E50" s="64" t="inlineStr">
        <is>
          <t>영상</t>
        </is>
      </c>
      <c r="F50" s="44" t="n"/>
      <c r="G50" s="58">
        <f>IF($G$48="","",$G$48)</f>
        <v/>
      </c>
      <c r="H50" s="59" t="n"/>
      <c r="I50" s="59" t="n"/>
      <c r="J50" s="59" t="n"/>
      <c r="K50" s="59" t="n"/>
      <c r="L50" s="65">
        <f>IF(SUM(U50:AY50)=0,"",SUM(U50:AY50))</f>
        <v/>
      </c>
      <c r="M50" s="66">
        <f>IFERROR(INDEX(U$2:AY$2,MATCH(TRUE,INDEX(U50:AY50&lt;&gt;"",0),0)),"")</f>
        <v/>
      </c>
      <c r="N50" s="66">
        <f>IFERROR(LOOKUP(2,1/(U50:AY50&lt;&gt;""),U$2:AY$2),"")</f>
        <v/>
      </c>
      <c r="O50" s="59" t="n"/>
      <c r="P50" s="59" t="n"/>
      <c r="Q50" s="59" t="n"/>
      <c r="R50" s="59" t="n"/>
      <c r="S50" s="14" t="n"/>
      <c r="U50" s="53" t="n"/>
      <c r="V50" s="53" t="n"/>
      <c r="W50" s="53" t="n"/>
      <c r="X50" s="53" t="n"/>
      <c r="Y50" s="53" t="n"/>
      <c r="Z50" s="53" t="n"/>
      <c r="AA50" s="53" t="n"/>
      <c r="AB50" s="53" t="n"/>
      <c r="AC50" s="53" t="n"/>
      <c r="AD50" s="53" t="n"/>
      <c r="AE50" s="53" t="n"/>
      <c r="AF50" s="53" t="n"/>
      <c r="AG50" s="53" t="n"/>
      <c r="AH50" s="53" t="n"/>
      <c r="AI50" s="53" t="n"/>
      <c r="AJ50" s="53" t="n"/>
      <c r="AK50" s="53" t="n"/>
      <c r="AL50" s="53" t="n"/>
      <c r="AM50" s="53" t="n"/>
      <c r="AN50" s="53" t="n"/>
      <c r="AO50" s="53" t="n"/>
      <c r="AP50" s="53" t="n"/>
      <c r="AQ50" s="53" t="n"/>
      <c r="AR50" s="53" t="n"/>
      <c r="AS50" s="53" t="n"/>
      <c r="AT50" s="53" t="n"/>
      <c r="AU50" s="53" t="n"/>
      <c r="AV50" s="53" t="n"/>
      <c r="AW50" s="53" t="n"/>
      <c r="AX50" s="53" t="n"/>
      <c r="AY50" s="53" t="n"/>
    </row>
    <row r="51" ht="15" customHeight="1">
      <c r="A51" s="40">
        <f>IF($D$51="","",15)</f>
        <v/>
      </c>
      <c r="B51" s="10" t="n"/>
      <c r="C51" s="41" t="inlineStr">
        <is>
          <t>마케팅1팀</t>
        </is>
      </c>
      <c r="D51" s="42" t="n"/>
      <c r="E51" s="43" t="inlineStr">
        <is>
          <t>기획</t>
        </is>
      </c>
      <c r="F51" s="44" t="n"/>
      <c r="G51" s="45" t="n"/>
      <c r="H51" s="46">
        <f>IF($I$51="","",IF($I$51&lt;0,"🔴지연",IF($I$51&lt;=1,"🟡임박","🟢여유")))</f>
        <v/>
      </c>
      <c r="I51" s="47">
        <f>IF(OR($G$51="",$K$51=""),"",$G$51-$K$51)</f>
        <v/>
      </c>
      <c r="J51" s="48">
        <f>IF(SUM($L$51:$L$53)=0,"",SUM($L$51:$L$53))</f>
        <v/>
      </c>
      <c r="K51" s="49">
        <f>IF($J$51="","",MAX($N$51:$N$53))</f>
        <v/>
      </c>
      <c r="L51" s="50">
        <f>IF(SUM(U51:AY51)=0,"",SUM(U51:AY51))</f>
        <v/>
      </c>
      <c r="M51" s="51">
        <f>IFERROR(INDEX(U$2:AY$2,MATCH(TRUE,INDEX(U51:AY51&lt;&gt;"",0),0)),"")</f>
        <v/>
      </c>
      <c r="N51" s="51">
        <f>IFERROR(LOOKUP(2,1/(U51:AY51&lt;&gt;""),U$2:AY$2),"")</f>
        <v/>
      </c>
      <c r="O51" s="52" t="n"/>
      <c r="P51" s="52" t="n"/>
      <c r="Q51" s="52" t="n"/>
      <c r="R51" s="44" t="n"/>
      <c r="S51" s="14" t="n"/>
      <c r="U51" s="53" t="n"/>
      <c r="V51" s="53" t="n"/>
      <c r="W51" s="53" t="n"/>
      <c r="X51" s="53" t="n"/>
      <c r="Y51" s="53" t="n"/>
      <c r="Z51" s="53" t="n"/>
      <c r="AA51" s="53" t="n"/>
      <c r="AB51" s="53" t="n"/>
      <c r="AC51" s="53" t="n"/>
      <c r="AD51" s="53" t="n"/>
      <c r="AE51" s="53" t="n"/>
      <c r="AF51" s="53" t="n"/>
      <c r="AG51" s="53" t="n"/>
      <c r="AH51" s="53" t="n"/>
      <c r="AI51" s="53" t="n"/>
      <c r="AJ51" s="53" t="n"/>
      <c r="AK51" s="53" t="n"/>
      <c r="AL51" s="53" t="n"/>
      <c r="AM51" s="53" t="n"/>
      <c r="AN51" s="53" t="n"/>
      <c r="AO51" s="53" t="n"/>
      <c r="AP51" s="53" t="n"/>
      <c r="AQ51" s="53" t="n"/>
      <c r="AR51" s="53" t="n"/>
      <c r="AS51" s="53" t="n"/>
      <c r="AT51" s="53" t="n"/>
      <c r="AU51" s="53" t="n"/>
      <c r="AV51" s="53" t="n"/>
      <c r="AW51" s="53" t="n"/>
      <c r="AX51" s="53" t="n"/>
      <c r="AY51" s="53" t="n"/>
    </row>
    <row r="52" ht="15" customHeight="1">
      <c r="A52" s="54" t="n"/>
      <c r="B52" s="55">
        <f>IF($B$51="","",$B$51)</f>
        <v/>
      </c>
      <c r="C52" s="56" t="inlineStr">
        <is>
          <t>마케팅1팀</t>
        </is>
      </c>
      <c r="D52" s="55">
        <f>IF($D$51="","",$D$51)</f>
        <v/>
      </c>
      <c r="E52" s="57" t="inlineStr">
        <is>
          <t>이미지</t>
        </is>
      </c>
      <c r="F52" s="44" t="n"/>
      <c r="G52" s="58">
        <f>IF($G$51="","",$G$51)</f>
        <v/>
      </c>
      <c r="H52" s="59" t="n"/>
      <c r="I52" s="59" t="n"/>
      <c r="J52" s="59" t="n"/>
      <c r="K52" s="59" t="n"/>
      <c r="L52" s="60">
        <f>IF(SUM(U52:AY52)=0,"",SUM(U52:AY52))</f>
        <v/>
      </c>
      <c r="M52" s="61">
        <f>IFERROR(INDEX(U$2:AY$2,MATCH(TRUE,INDEX(U52:AY52&lt;&gt;"",0),0)),"")</f>
        <v/>
      </c>
      <c r="N52" s="61">
        <f>IFERROR(LOOKUP(2,1/(U52:AY52&lt;&gt;""),U$2:AY$2),"")</f>
        <v/>
      </c>
      <c r="O52" s="59" t="n"/>
      <c r="P52" s="59" t="n"/>
      <c r="Q52" s="59" t="n"/>
      <c r="R52" s="59" t="n"/>
      <c r="S52" s="14" t="n"/>
      <c r="U52" s="53" t="n"/>
      <c r="V52" s="53" t="n"/>
      <c r="W52" s="53" t="n"/>
      <c r="X52" s="53" t="n"/>
      <c r="Y52" s="53" t="n"/>
      <c r="Z52" s="53" t="n"/>
      <c r="AA52" s="53" t="n"/>
      <c r="AB52" s="53" t="n"/>
      <c r="AC52" s="53" t="n"/>
      <c r="AD52" s="53" t="n"/>
      <c r="AE52" s="53" t="n"/>
      <c r="AF52" s="53" t="n"/>
      <c r="AG52" s="53" t="n"/>
      <c r="AH52" s="53" t="n"/>
      <c r="AI52" s="53" t="n"/>
      <c r="AJ52" s="53" t="n"/>
      <c r="AK52" s="53" t="n"/>
      <c r="AL52" s="53" t="n"/>
      <c r="AM52" s="53" t="n"/>
      <c r="AN52" s="53" t="n"/>
      <c r="AO52" s="53" t="n"/>
      <c r="AP52" s="53" t="n"/>
      <c r="AQ52" s="53" t="n"/>
      <c r="AR52" s="53" t="n"/>
      <c r="AS52" s="53" t="n"/>
      <c r="AT52" s="53" t="n"/>
      <c r="AU52" s="53" t="n"/>
      <c r="AV52" s="53" t="n"/>
      <c r="AW52" s="53" t="n"/>
      <c r="AX52" s="53" t="n"/>
      <c r="AY52" s="53" t="n"/>
    </row>
    <row r="53" ht="15" customHeight="1">
      <c r="A53" s="62" t="n"/>
      <c r="B53" s="55">
        <f>IF($B$51="","",$B$51)</f>
        <v/>
      </c>
      <c r="C53" s="63" t="inlineStr">
        <is>
          <t>마케팅1팀</t>
        </is>
      </c>
      <c r="D53" s="55">
        <f>IF($D$51="","",$D$51)</f>
        <v/>
      </c>
      <c r="E53" s="64" t="inlineStr">
        <is>
          <t>영상</t>
        </is>
      </c>
      <c r="F53" s="44" t="n"/>
      <c r="G53" s="58">
        <f>IF($G$51="","",$G$51)</f>
        <v/>
      </c>
      <c r="H53" s="59" t="n"/>
      <c r="I53" s="59" t="n"/>
      <c r="J53" s="59" t="n"/>
      <c r="K53" s="59" t="n"/>
      <c r="L53" s="65">
        <f>IF(SUM(U53:AY53)=0,"",SUM(U53:AY53))</f>
        <v/>
      </c>
      <c r="M53" s="66">
        <f>IFERROR(INDEX(U$2:AY$2,MATCH(TRUE,INDEX(U53:AY53&lt;&gt;"",0),0)),"")</f>
        <v/>
      </c>
      <c r="N53" s="66">
        <f>IFERROR(LOOKUP(2,1/(U53:AY53&lt;&gt;""),U$2:AY$2),"")</f>
        <v/>
      </c>
      <c r="O53" s="59" t="n"/>
      <c r="P53" s="59" t="n"/>
      <c r="Q53" s="59" t="n"/>
      <c r="R53" s="59" t="n"/>
      <c r="S53" s="14" t="n"/>
      <c r="U53" s="53" t="n"/>
      <c r="V53" s="53" t="n"/>
      <c r="W53" s="53" t="n"/>
      <c r="X53" s="53" t="n"/>
      <c r="Y53" s="53" t="n"/>
      <c r="Z53" s="53" t="n"/>
      <c r="AA53" s="53" t="n"/>
      <c r="AB53" s="53" t="n"/>
      <c r="AC53" s="53" t="n"/>
      <c r="AD53" s="53" t="n"/>
      <c r="AE53" s="53" t="n"/>
      <c r="AF53" s="53" t="n"/>
      <c r="AG53" s="53" t="n"/>
      <c r="AH53" s="53" t="n"/>
      <c r="AI53" s="53" t="n"/>
      <c r="AJ53" s="53" t="n"/>
      <c r="AK53" s="53" t="n"/>
      <c r="AL53" s="53" t="n"/>
      <c r="AM53" s="53" t="n"/>
      <c r="AN53" s="53" t="n"/>
      <c r="AO53" s="53" t="n"/>
      <c r="AP53" s="53" t="n"/>
      <c r="AQ53" s="53" t="n"/>
      <c r="AR53" s="53" t="n"/>
      <c r="AS53" s="53" t="n"/>
      <c r="AT53" s="53" t="n"/>
      <c r="AU53" s="53" t="n"/>
      <c r="AV53" s="53" t="n"/>
      <c r="AW53" s="53" t="n"/>
      <c r="AX53" s="53" t="n"/>
      <c r="AY53" s="53" t="n"/>
    </row>
    <row r="54" ht="15" customHeight="1">
      <c r="A54" s="40">
        <f>IF($D$54="","",16)</f>
        <v/>
      </c>
      <c r="B54" s="10" t="n"/>
      <c r="C54" s="41" t="inlineStr">
        <is>
          <t>마케팅1팀</t>
        </is>
      </c>
      <c r="D54" s="42" t="n"/>
      <c r="E54" s="43" t="inlineStr">
        <is>
          <t>기획</t>
        </is>
      </c>
      <c r="F54" s="44" t="n"/>
      <c r="G54" s="45" t="n"/>
      <c r="H54" s="46">
        <f>IF($I$54="","",IF($I$54&lt;0,"🔴지연",IF($I$54&lt;=1,"🟡임박","🟢여유")))</f>
        <v/>
      </c>
      <c r="I54" s="47">
        <f>IF(OR($G$54="",$K$54=""),"",$G$54-$K$54)</f>
        <v/>
      </c>
      <c r="J54" s="48">
        <f>IF(SUM($L$54:$L$56)=0,"",SUM($L$54:$L$56))</f>
        <v/>
      </c>
      <c r="K54" s="49">
        <f>IF($J$54="","",MAX($N$54:$N$56))</f>
        <v/>
      </c>
      <c r="L54" s="50">
        <f>IF(SUM(U54:AY54)=0,"",SUM(U54:AY54))</f>
        <v/>
      </c>
      <c r="M54" s="51">
        <f>IFERROR(INDEX(U$2:AY$2,MATCH(TRUE,INDEX(U54:AY54&lt;&gt;"",0),0)),"")</f>
        <v/>
      </c>
      <c r="N54" s="51">
        <f>IFERROR(LOOKUP(2,1/(U54:AY54&lt;&gt;""),U$2:AY$2),"")</f>
        <v/>
      </c>
      <c r="O54" s="52" t="n"/>
      <c r="P54" s="52" t="n"/>
      <c r="Q54" s="52" t="n"/>
      <c r="R54" s="44" t="n"/>
      <c r="S54" s="14" t="n"/>
      <c r="U54" s="53" t="n"/>
      <c r="V54" s="53" t="n"/>
      <c r="W54" s="53" t="n"/>
      <c r="X54" s="53" t="n"/>
      <c r="Y54" s="53" t="n"/>
      <c r="Z54" s="53" t="n"/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s="53" t="n"/>
      <c r="AJ54" s="53" t="n"/>
      <c r="AK54" s="53" t="n"/>
      <c r="AL54" s="53" t="n"/>
      <c r="AM54" s="53" t="n"/>
      <c r="AN54" s="53" t="n"/>
      <c r="AO54" s="53" t="n"/>
      <c r="AP54" s="53" t="n"/>
      <c r="AQ54" s="53" t="n"/>
      <c r="AR54" s="53" t="n"/>
      <c r="AS54" s="53" t="n"/>
      <c r="AT54" s="53" t="n"/>
      <c r="AU54" s="53" t="n"/>
      <c r="AV54" s="53" t="n"/>
      <c r="AW54" s="53" t="n"/>
      <c r="AX54" s="53" t="n"/>
      <c r="AY54" s="53" t="n"/>
    </row>
    <row r="55" ht="15" customHeight="1">
      <c r="A55" s="54" t="n"/>
      <c r="B55" s="55">
        <f>IF($B$54="","",$B$54)</f>
        <v/>
      </c>
      <c r="C55" s="56" t="inlineStr">
        <is>
          <t>마케팅1팀</t>
        </is>
      </c>
      <c r="D55" s="55">
        <f>IF($D$54="","",$D$54)</f>
        <v/>
      </c>
      <c r="E55" s="57" t="inlineStr">
        <is>
          <t>이미지</t>
        </is>
      </c>
      <c r="F55" s="44" t="n"/>
      <c r="G55" s="58">
        <f>IF($G$54="","",$G$54)</f>
        <v/>
      </c>
      <c r="H55" s="59" t="n"/>
      <c r="I55" s="59" t="n"/>
      <c r="J55" s="59" t="n"/>
      <c r="K55" s="59" t="n"/>
      <c r="L55" s="60">
        <f>IF(SUM(U55:AY55)=0,"",SUM(U55:AY55))</f>
        <v/>
      </c>
      <c r="M55" s="61">
        <f>IFERROR(INDEX(U$2:AY$2,MATCH(TRUE,INDEX(U55:AY55&lt;&gt;"",0),0)),"")</f>
        <v/>
      </c>
      <c r="N55" s="61">
        <f>IFERROR(LOOKUP(2,1/(U55:AY55&lt;&gt;""),U$2:AY$2),"")</f>
        <v/>
      </c>
      <c r="O55" s="59" t="n"/>
      <c r="P55" s="59" t="n"/>
      <c r="Q55" s="59" t="n"/>
      <c r="R55" s="59" t="n"/>
      <c r="S55" s="14" t="n"/>
      <c r="U55" s="53" t="n"/>
      <c r="V55" s="53" t="n"/>
      <c r="W55" s="53" t="n"/>
      <c r="X55" s="53" t="n"/>
      <c r="Y55" s="53" t="n"/>
      <c r="Z55" s="53" t="n"/>
      <c r="AA55" s="53" t="n"/>
      <c r="AB55" s="53" t="n"/>
      <c r="AC55" s="53" t="n"/>
      <c r="AD55" s="53" t="n"/>
      <c r="AE55" s="53" t="n"/>
      <c r="AF55" s="53" t="n"/>
      <c r="AG55" s="53" t="n"/>
      <c r="AH55" s="53" t="n"/>
      <c r="AI55" s="53" t="n"/>
      <c r="AJ55" s="53" t="n"/>
      <c r="AK55" s="53" t="n"/>
      <c r="AL55" s="53" t="n"/>
      <c r="AM55" s="53" t="n"/>
      <c r="AN55" s="53" t="n"/>
      <c r="AO55" s="53" t="n"/>
      <c r="AP55" s="53" t="n"/>
      <c r="AQ55" s="53" t="n"/>
      <c r="AR55" s="53" t="n"/>
      <c r="AS55" s="53" t="n"/>
      <c r="AT55" s="53" t="n"/>
      <c r="AU55" s="53" t="n"/>
      <c r="AV55" s="53" t="n"/>
      <c r="AW55" s="53" t="n"/>
      <c r="AX55" s="53" t="n"/>
      <c r="AY55" s="53" t="n"/>
    </row>
    <row r="56" ht="15" customHeight="1">
      <c r="A56" s="62" t="n"/>
      <c r="B56" s="55">
        <f>IF($B$54="","",$B$54)</f>
        <v/>
      </c>
      <c r="C56" s="63" t="inlineStr">
        <is>
          <t>마케팅1팀</t>
        </is>
      </c>
      <c r="D56" s="55">
        <f>IF($D$54="","",$D$54)</f>
        <v/>
      </c>
      <c r="E56" s="64" t="inlineStr">
        <is>
          <t>영상</t>
        </is>
      </c>
      <c r="F56" s="44" t="n"/>
      <c r="G56" s="58">
        <f>IF($G$54="","",$G$54)</f>
        <v/>
      </c>
      <c r="H56" s="59" t="n"/>
      <c r="I56" s="59" t="n"/>
      <c r="J56" s="59" t="n"/>
      <c r="K56" s="59" t="n"/>
      <c r="L56" s="65">
        <f>IF(SUM(U56:AY56)=0,"",SUM(U56:AY56))</f>
        <v/>
      </c>
      <c r="M56" s="66">
        <f>IFERROR(INDEX(U$2:AY$2,MATCH(TRUE,INDEX(U56:AY56&lt;&gt;"",0),0)),"")</f>
        <v/>
      </c>
      <c r="N56" s="66">
        <f>IFERROR(LOOKUP(2,1/(U56:AY56&lt;&gt;""),U$2:AY$2),"")</f>
        <v/>
      </c>
      <c r="O56" s="59" t="n"/>
      <c r="P56" s="59" t="n"/>
      <c r="Q56" s="59" t="n"/>
      <c r="R56" s="59" t="n"/>
      <c r="S56" s="14" t="n"/>
      <c r="U56" s="53" t="n"/>
      <c r="V56" s="53" t="n"/>
      <c r="W56" s="53" t="n"/>
      <c r="X56" s="5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s="53" t="n"/>
      <c r="AJ56" s="53" t="n"/>
      <c r="AK56" s="53" t="n"/>
      <c r="AL56" s="53" t="n"/>
      <c r="AM56" s="53" t="n"/>
      <c r="AN56" s="53" t="n"/>
      <c r="AO56" s="53" t="n"/>
      <c r="AP56" s="53" t="n"/>
      <c r="AQ56" s="53" t="n"/>
      <c r="AR56" s="53" t="n"/>
      <c r="AS56" s="53" t="n"/>
      <c r="AT56" s="53" t="n"/>
      <c r="AU56" s="53" t="n"/>
      <c r="AV56" s="53" t="n"/>
      <c r="AW56" s="53" t="n"/>
      <c r="AX56" s="53" t="n"/>
      <c r="AY56" s="53" t="n"/>
    </row>
    <row r="57" ht="15" customHeight="1">
      <c r="A57" s="40">
        <f>IF($D$57="","",17)</f>
        <v/>
      </c>
      <c r="B57" s="10" t="n"/>
      <c r="C57" s="41" t="inlineStr">
        <is>
          <t>마케팅1팀</t>
        </is>
      </c>
      <c r="D57" s="42" t="n"/>
      <c r="E57" s="43" t="inlineStr">
        <is>
          <t>기획</t>
        </is>
      </c>
      <c r="F57" s="44" t="n"/>
      <c r="G57" s="45" t="n"/>
      <c r="H57" s="46">
        <f>IF($I$57="","",IF($I$57&lt;0,"🔴지연",IF($I$57&lt;=1,"🟡임박","🟢여유")))</f>
        <v/>
      </c>
      <c r="I57" s="47">
        <f>IF(OR($G$57="",$K$57=""),"",$G$57-$K$57)</f>
        <v/>
      </c>
      <c r="J57" s="48">
        <f>IF(SUM($L$57:$L$59)=0,"",SUM($L$57:$L$59))</f>
        <v/>
      </c>
      <c r="K57" s="49">
        <f>IF($J$57="","",MAX($N$57:$N$59))</f>
        <v/>
      </c>
      <c r="L57" s="50">
        <f>IF(SUM(U57:AY57)=0,"",SUM(U57:AY57))</f>
        <v/>
      </c>
      <c r="M57" s="51">
        <f>IFERROR(INDEX(U$2:AY$2,MATCH(TRUE,INDEX(U57:AY57&lt;&gt;"",0),0)),"")</f>
        <v/>
      </c>
      <c r="N57" s="51">
        <f>IFERROR(LOOKUP(2,1/(U57:AY57&lt;&gt;""),U$2:AY$2),"")</f>
        <v/>
      </c>
      <c r="O57" s="52" t="n"/>
      <c r="P57" s="52" t="n"/>
      <c r="Q57" s="52" t="n"/>
      <c r="R57" s="44" t="n"/>
      <c r="S57" s="14" t="n"/>
      <c r="U57" s="53" t="n"/>
      <c r="V57" s="53" t="n"/>
      <c r="W57" s="53" t="n"/>
      <c r="X57" s="53" t="n"/>
      <c r="Y57" s="53" t="n"/>
      <c r="Z57" s="53" t="n"/>
      <c r="AA57" s="53" t="n"/>
      <c r="AB57" s="53" t="n"/>
      <c r="AC57" s="53" t="n"/>
      <c r="AD57" s="53" t="n"/>
      <c r="AE57" s="53" t="n"/>
      <c r="AF57" s="53" t="n"/>
      <c r="AG57" s="53" t="n"/>
      <c r="AH57" s="53" t="n"/>
      <c r="AI57" s="53" t="n"/>
      <c r="AJ57" s="53" t="n"/>
      <c r="AK57" s="53" t="n"/>
      <c r="AL57" s="53" t="n"/>
      <c r="AM57" s="53" t="n"/>
      <c r="AN57" s="53" t="n"/>
      <c r="AO57" s="53" t="n"/>
      <c r="AP57" s="53" t="n"/>
      <c r="AQ57" s="53" t="n"/>
      <c r="AR57" s="53" t="n"/>
      <c r="AS57" s="53" t="n"/>
      <c r="AT57" s="53" t="n"/>
      <c r="AU57" s="53" t="n"/>
      <c r="AV57" s="53" t="n"/>
      <c r="AW57" s="53" t="n"/>
      <c r="AX57" s="53" t="n"/>
      <c r="AY57" s="53" t="n"/>
    </row>
    <row r="58" ht="15" customHeight="1">
      <c r="A58" s="54" t="n"/>
      <c r="B58" s="55">
        <f>IF($B$57="","",$B$57)</f>
        <v/>
      </c>
      <c r="C58" s="56" t="inlineStr">
        <is>
          <t>마케팅1팀</t>
        </is>
      </c>
      <c r="D58" s="55">
        <f>IF($D$57="","",$D$57)</f>
        <v/>
      </c>
      <c r="E58" s="57" t="inlineStr">
        <is>
          <t>이미지</t>
        </is>
      </c>
      <c r="F58" s="44" t="n"/>
      <c r="G58" s="58">
        <f>IF($G$57="","",$G$57)</f>
        <v/>
      </c>
      <c r="H58" s="59" t="n"/>
      <c r="I58" s="59" t="n"/>
      <c r="J58" s="59" t="n"/>
      <c r="K58" s="59" t="n"/>
      <c r="L58" s="60">
        <f>IF(SUM(U58:AY58)=0,"",SUM(U58:AY58))</f>
        <v/>
      </c>
      <c r="M58" s="61">
        <f>IFERROR(INDEX(U$2:AY$2,MATCH(TRUE,INDEX(U58:AY58&lt;&gt;"",0),0)),"")</f>
        <v/>
      </c>
      <c r="N58" s="61">
        <f>IFERROR(LOOKUP(2,1/(U58:AY58&lt;&gt;""),U$2:AY$2),"")</f>
        <v/>
      </c>
      <c r="O58" s="59" t="n"/>
      <c r="P58" s="59" t="n"/>
      <c r="Q58" s="59" t="n"/>
      <c r="R58" s="59" t="n"/>
      <c r="S58" s="14" t="n"/>
      <c r="U58" s="53" t="n"/>
      <c r="V58" s="53" t="n"/>
      <c r="W58" s="53" t="n"/>
      <c r="X58" s="53" t="n"/>
      <c r="Y58" s="53" t="n"/>
      <c r="Z58" s="53" t="n"/>
      <c r="AA58" s="53" t="n"/>
      <c r="AB58" s="53" t="n"/>
      <c r="AC58" s="53" t="n"/>
      <c r="AD58" s="53" t="n"/>
      <c r="AE58" s="53" t="n"/>
      <c r="AF58" s="53" t="n"/>
      <c r="AG58" s="53" t="n"/>
      <c r="AH58" s="53" t="n"/>
      <c r="AI58" s="53" t="n"/>
      <c r="AJ58" s="53" t="n"/>
      <c r="AK58" s="53" t="n"/>
      <c r="AL58" s="53" t="n"/>
      <c r="AM58" s="53" t="n"/>
      <c r="AN58" s="53" t="n"/>
      <c r="AO58" s="53" t="n"/>
      <c r="AP58" s="53" t="n"/>
      <c r="AQ58" s="53" t="n"/>
      <c r="AR58" s="53" t="n"/>
      <c r="AS58" s="53" t="n"/>
      <c r="AT58" s="53" t="n"/>
      <c r="AU58" s="53" t="n"/>
      <c r="AV58" s="53" t="n"/>
      <c r="AW58" s="53" t="n"/>
      <c r="AX58" s="53" t="n"/>
      <c r="AY58" s="53" t="n"/>
    </row>
    <row r="59" ht="15" customHeight="1">
      <c r="A59" s="62" t="n"/>
      <c r="B59" s="55">
        <f>IF($B$57="","",$B$57)</f>
        <v/>
      </c>
      <c r="C59" s="63" t="inlineStr">
        <is>
          <t>마케팅1팀</t>
        </is>
      </c>
      <c r="D59" s="55">
        <f>IF($D$57="","",$D$57)</f>
        <v/>
      </c>
      <c r="E59" s="64" t="inlineStr">
        <is>
          <t>영상</t>
        </is>
      </c>
      <c r="F59" s="44" t="n"/>
      <c r="G59" s="58">
        <f>IF($G$57="","",$G$57)</f>
        <v/>
      </c>
      <c r="H59" s="59" t="n"/>
      <c r="I59" s="59" t="n"/>
      <c r="J59" s="59" t="n"/>
      <c r="K59" s="59" t="n"/>
      <c r="L59" s="65">
        <f>IF(SUM(U59:AY59)=0,"",SUM(U59:AY59))</f>
        <v/>
      </c>
      <c r="M59" s="66">
        <f>IFERROR(INDEX(U$2:AY$2,MATCH(TRUE,INDEX(U59:AY59&lt;&gt;"",0),0)),"")</f>
        <v/>
      </c>
      <c r="N59" s="66">
        <f>IFERROR(LOOKUP(2,1/(U59:AY59&lt;&gt;""),U$2:AY$2),"")</f>
        <v/>
      </c>
      <c r="O59" s="59" t="n"/>
      <c r="P59" s="59" t="n"/>
      <c r="Q59" s="59" t="n"/>
      <c r="R59" s="59" t="n"/>
      <c r="S59" s="14" t="n"/>
      <c r="U59" s="53" t="n"/>
      <c r="V59" s="53" t="n"/>
      <c r="W59" s="53" t="n"/>
      <c r="X59" s="53" t="n"/>
      <c r="Y59" s="53" t="n"/>
      <c r="Z59" s="53" t="n"/>
      <c r="AA59" s="53" t="n"/>
      <c r="AB59" s="53" t="n"/>
      <c r="AC59" s="53" t="n"/>
      <c r="AD59" s="53" t="n"/>
      <c r="AE59" s="53" t="n"/>
      <c r="AF59" s="53" t="n"/>
      <c r="AG59" s="53" t="n"/>
      <c r="AH59" s="53" t="n"/>
      <c r="AI59" s="53" t="n"/>
      <c r="AJ59" s="53" t="n"/>
      <c r="AK59" s="53" t="n"/>
      <c r="AL59" s="53" t="n"/>
      <c r="AM59" s="53" t="n"/>
      <c r="AN59" s="53" t="n"/>
      <c r="AO59" s="53" t="n"/>
      <c r="AP59" s="53" t="n"/>
      <c r="AQ59" s="53" t="n"/>
      <c r="AR59" s="53" t="n"/>
      <c r="AS59" s="53" t="n"/>
      <c r="AT59" s="53" t="n"/>
      <c r="AU59" s="53" t="n"/>
      <c r="AV59" s="53" t="n"/>
      <c r="AW59" s="53" t="n"/>
      <c r="AX59" s="53" t="n"/>
      <c r="AY59" s="53" t="n"/>
    </row>
    <row r="60" ht="15" customHeight="1">
      <c r="A60" s="40">
        <f>IF($D$60="","",18)</f>
        <v/>
      </c>
      <c r="B60" s="10" t="n"/>
      <c r="C60" s="41" t="inlineStr">
        <is>
          <t>마케팅1팀</t>
        </is>
      </c>
      <c r="D60" s="42" t="n"/>
      <c r="E60" s="43" t="inlineStr">
        <is>
          <t>기획</t>
        </is>
      </c>
      <c r="F60" s="44" t="n"/>
      <c r="G60" s="45" t="n"/>
      <c r="H60" s="46">
        <f>IF($I$60="","",IF($I$60&lt;0,"🔴지연",IF($I$60&lt;=1,"🟡임박","🟢여유")))</f>
        <v/>
      </c>
      <c r="I60" s="47">
        <f>IF(OR($G$60="",$K$60=""),"",$G$60-$K$60)</f>
        <v/>
      </c>
      <c r="J60" s="48">
        <f>IF(SUM($L$60:$L$62)=0,"",SUM($L$60:$L$62))</f>
        <v/>
      </c>
      <c r="K60" s="49">
        <f>IF($J$60="","",MAX($N$60:$N$62))</f>
        <v/>
      </c>
      <c r="L60" s="50">
        <f>IF(SUM(U60:AY60)=0,"",SUM(U60:AY60))</f>
        <v/>
      </c>
      <c r="M60" s="51">
        <f>IFERROR(INDEX(U$2:AY$2,MATCH(TRUE,INDEX(U60:AY60&lt;&gt;"",0),0)),"")</f>
        <v/>
      </c>
      <c r="N60" s="51">
        <f>IFERROR(LOOKUP(2,1/(U60:AY60&lt;&gt;""),U$2:AY$2),"")</f>
        <v/>
      </c>
      <c r="O60" s="52" t="n"/>
      <c r="P60" s="52" t="n"/>
      <c r="Q60" s="52" t="n"/>
      <c r="R60" s="44" t="n"/>
      <c r="S60" s="14" t="n"/>
      <c r="U60" s="53" t="n"/>
      <c r="V60" s="53" t="n"/>
      <c r="W60" s="53" t="n"/>
      <c r="X60" s="53" t="n"/>
      <c r="Y60" s="53" t="n"/>
      <c r="Z60" s="53" t="n"/>
      <c r="AA60" s="53" t="n"/>
      <c r="AB60" s="53" t="n"/>
      <c r="AC60" s="53" t="n"/>
      <c r="AD60" s="53" t="n"/>
      <c r="AE60" s="53" t="n"/>
      <c r="AF60" s="53" t="n"/>
      <c r="AG60" s="53" t="n"/>
      <c r="AH60" s="53" t="n"/>
      <c r="AI60" s="53" t="n"/>
      <c r="AJ60" s="53" t="n"/>
      <c r="AK60" s="53" t="n"/>
      <c r="AL60" s="53" t="n"/>
      <c r="AM60" s="53" t="n"/>
      <c r="AN60" s="53" t="n"/>
      <c r="AO60" s="53" t="n"/>
      <c r="AP60" s="53" t="n"/>
      <c r="AQ60" s="53" t="n"/>
      <c r="AR60" s="53" t="n"/>
      <c r="AS60" s="53" t="n"/>
      <c r="AT60" s="53" t="n"/>
      <c r="AU60" s="53" t="n"/>
      <c r="AV60" s="53" t="n"/>
      <c r="AW60" s="53" t="n"/>
      <c r="AX60" s="53" t="n"/>
      <c r="AY60" s="53" t="n"/>
    </row>
    <row r="61" ht="15" customHeight="1">
      <c r="A61" s="54" t="n"/>
      <c r="B61" s="55">
        <f>IF($B$60="","",$B$60)</f>
        <v/>
      </c>
      <c r="C61" s="56" t="inlineStr">
        <is>
          <t>마케팅1팀</t>
        </is>
      </c>
      <c r="D61" s="55">
        <f>IF($D$60="","",$D$60)</f>
        <v/>
      </c>
      <c r="E61" s="57" t="inlineStr">
        <is>
          <t>이미지</t>
        </is>
      </c>
      <c r="F61" s="44" t="n"/>
      <c r="G61" s="58">
        <f>IF($G$60="","",$G$60)</f>
        <v/>
      </c>
      <c r="H61" s="59" t="n"/>
      <c r="I61" s="59" t="n"/>
      <c r="J61" s="59" t="n"/>
      <c r="K61" s="59" t="n"/>
      <c r="L61" s="60">
        <f>IF(SUM(U61:AY61)=0,"",SUM(U61:AY61))</f>
        <v/>
      </c>
      <c r="M61" s="61">
        <f>IFERROR(INDEX(U$2:AY$2,MATCH(TRUE,INDEX(U61:AY61&lt;&gt;"",0),0)),"")</f>
        <v/>
      </c>
      <c r="N61" s="61">
        <f>IFERROR(LOOKUP(2,1/(U61:AY61&lt;&gt;""),U$2:AY$2),"")</f>
        <v/>
      </c>
      <c r="O61" s="59" t="n"/>
      <c r="P61" s="59" t="n"/>
      <c r="Q61" s="59" t="n"/>
      <c r="R61" s="59" t="n"/>
      <c r="S61" s="14" t="n"/>
      <c r="U61" s="53" t="n"/>
      <c r="V61" s="53" t="n"/>
      <c r="W61" s="53" t="n"/>
      <c r="X61" s="53" t="n"/>
      <c r="Y61" s="53" t="n"/>
      <c r="Z61" s="53" t="n"/>
      <c r="AA61" s="53" t="n"/>
      <c r="AB61" s="53" t="n"/>
      <c r="AC61" s="53" t="n"/>
      <c r="AD61" s="53" t="n"/>
      <c r="AE61" s="53" t="n"/>
      <c r="AF61" s="53" t="n"/>
      <c r="AG61" s="53" t="n"/>
      <c r="AH61" s="53" t="n"/>
      <c r="AI61" s="53" t="n"/>
      <c r="AJ61" s="53" t="n"/>
      <c r="AK61" s="53" t="n"/>
      <c r="AL61" s="53" t="n"/>
      <c r="AM61" s="53" t="n"/>
      <c r="AN61" s="53" t="n"/>
      <c r="AO61" s="53" t="n"/>
      <c r="AP61" s="53" t="n"/>
      <c r="AQ61" s="53" t="n"/>
      <c r="AR61" s="53" t="n"/>
      <c r="AS61" s="53" t="n"/>
      <c r="AT61" s="53" t="n"/>
      <c r="AU61" s="53" t="n"/>
      <c r="AV61" s="53" t="n"/>
      <c r="AW61" s="53" t="n"/>
      <c r="AX61" s="53" t="n"/>
      <c r="AY61" s="53" t="n"/>
    </row>
    <row r="62" ht="15" customHeight="1">
      <c r="A62" s="62" t="n"/>
      <c r="B62" s="55">
        <f>IF($B$60="","",$B$60)</f>
        <v/>
      </c>
      <c r="C62" s="63" t="inlineStr">
        <is>
          <t>마케팅1팀</t>
        </is>
      </c>
      <c r="D62" s="55">
        <f>IF($D$60="","",$D$60)</f>
        <v/>
      </c>
      <c r="E62" s="64" t="inlineStr">
        <is>
          <t>영상</t>
        </is>
      </c>
      <c r="F62" s="44" t="n"/>
      <c r="G62" s="58">
        <f>IF($G$60="","",$G$60)</f>
        <v/>
      </c>
      <c r="H62" s="59" t="n"/>
      <c r="I62" s="59" t="n"/>
      <c r="J62" s="59" t="n"/>
      <c r="K62" s="59" t="n"/>
      <c r="L62" s="65">
        <f>IF(SUM(U62:AY62)=0,"",SUM(U62:AY62))</f>
        <v/>
      </c>
      <c r="M62" s="66">
        <f>IFERROR(INDEX(U$2:AY$2,MATCH(TRUE,INDEX(U62:AY62&lt;&gt;"",0),0)),"")</f>
        <v/>
      </c>
      <c r="N62" s="66">
        <f>IFERROR(LOOKUP(2,1/(U62:AY62&lt;&gt;""),U$2:AY$2),"")</f>
        <v/>
      </c>
      <c r="O62" s="59" t="n"/>
      <c r="P62" s="59" t="n"/>
      <c r="Q62" s="59" t="n"/>
      <c r="R62" s="59" t="n"/>
      <c r="S62" s="14" t="n"/>
      <c r="U62" s="53" t="n"/>
      <c r="V62" s="53" t="n"/>
      <c r="W62" s="53" t="n"/>
      <c r="X62" s="53" t="n"/>
      <c r="Y62" s="53" t="n"/>
      <c r="Z62" s="53" t="n"/>
      <c r="AA62" s="53" t="n"/>
      <c r="AB62" s="53" t="n"/>
      <c r="AC62" s="53" t="n"/>
      <c r="AD62" s="53" t="n"/>
      <c r="AE62" s="53" t="n"/>
      <c r="AF62" s="53" t="n"/>
      <c r="AG62" s="53" t="n"/>
      <c r="AH62" s="53" t="n"/>
      <c r="AI62" s="53" t="n"/>
      <c r="AJ62" s="53" t="n"/>
      <c r="AK62" s="53" t="n"/>
      <c r="AL62" s="53" t="n"/>
      <c r="AM62" s="53" t="n"/>
      <c r="AN62" s="53" t="n"/>
      <c r="AO62" s="53" t="n"/>
      <c r="AP62" s="53" t="n"/>
      <c r="AQ62" s="53" t="n"/>
      <c r="AR62" s="53" t="n"/>
      <c r="AS62" s="53" t="n"/>
      <c r="AT62" s="53" t="n"/>
      <c r="AU62" s="53" t="n"/>
      <c r="AV62" s="53" t="n"/>
      <c r="AW62" s="53" t="n"/>
      <c r="AX62" s="53" t="n"/>
      <c r="AY62" s="53" t="n"/>
    </row>
    <row r="63" ht="15" customHeight="1">
      <c r="A63" s="40">
        <f>IF($D$63="","",19)</f>
        <v/>
      </c>
      <c r="B63" s="10" t="n"/>
      <c r="C63" s="41" t="inlineStr">
        <is>
          <t>마케팅1팀</t>
        </is>
      </c>
      <c r="D63" s="42" t="n"/>
      <c r="E63" s="43" t="inlineStr">
        <is>
          <t>기획</t>
        </is>
      </c>
      <c r="F63" s="44" t="n"/>
      <c r="G63" s="45" t="n"/>
      <c r="H63" s="46">
        <f>IF($I$63="","",IF($I$63&lt;0,"🔴지연",IF($I$63&lt;=1,"🟡임박","🟢여유")))</f>
        <v/>
      </c>
      <c r="I63" s="47">
        <f>IF(OR($G$63="",$K$63=""),"",$G$63-$K$63)</f>
        <v/>
      </c>
      <c r="J63" s="48">
        <f>IF(SUM($L$63:$L$65)=0,"",SUM($L$63:$L$65))</f>
        <v/>
      </c>
      <c r="K63" s="49">
        <f>IF($J$63="","",MAX($N$63:$N$65))</f>
        <v/>
      </c>
      <c r="L63" s="50">
        <f>IF(SUM(U63:AY63)=0,"",SUM(U63:AY63))</f>
        <v/>
      </c>
      <c r="M63" s="51">
        <f>IFERROR(INDEX(U$2:AY$2,MATCH(TRUE,INDEX(U63:AY63&lt;&gt;"",0),0)),"")</f>
        <v/>
      </c>
      <c r="N63" s="51">
        <f>IFERROR(LOOKUP(2,1/(U63:AY63&lt;&gt;""),U$2:AY$2),"")</f>
        <v/>
      </c>
      <c r="O63" s="52" t="n"/>
      <c r="P63" s="52" t="n"/>
      <c r="Q63" s="52" t="n"/>
      <c r="R63" s="44" t="n"/>
      <c r="S63" s="14" t="n"/>
      <c r="U63" s="53" t="n"/>
      <c r="V63" s="53" t="n"/>
      <c r="W63" s="53" t="n"/>
      <c r="X63" s="53" t="n"/>
      <c r="Y63" s="53" t="n"/>
      <c r="Z63" s="53" t="n"/>
      <c r="AA63" s="53" t="n"/>
      <c r="AB63" s="53" t="n"/>
      <c r="AC63" s="53" t="n"/>
      <c r="AD63" s="53" t="n"/>
      <c r="AE63" s="53" t="n"/>
      <c r="AF63" s="53" t="n"/>
      <c r="AG63" s="53" t="n"/>
      <c r="AH63" s="53" t="n"/>
      <c r="AI63" s="53" t="n"/>
      <c r="AJ63" s="53" t="n"/>
      <c r="AK63" s="53" t="n"/>
      <c r="AL63" s="53" t="n"/>
      <c r="AM63" s="53" t="n"/>
      <c r="AN63" s="53" t="n"/>
      <c r="AO63" s="53" t="n"/>
      <c r="AP63" s="53" t="n"/>
      <c r="AQ63" s="53" t="n"/>
      <c r="AR63" s="53" t="n"/>
      <c r="AS63" s="53" t="n"/>
      <c r="AT63" s="53" t="n"/>
      <c r="AU63" s="53" t="n"/>
      <c r="AV63" s="53" t="n"/>
      <c r="AW63" s="53" t="n"/>
      <c r="AX63" s="53" t="n"/>
      <c r="AY63" s="53" t="n"/>
    </row>
    <row r="64" ht="15" customHeight="1">
      <c r="A64" s="54" t="n"/>
      <c r="B64" s="55">
        <f>IF($B$63="","",$B$63)</f>
        <v/>
      </c>
      <c r="C64" s="56" t="inlineStr">
        <is>
          <t>마케팅1팀</t>
        </is>
      </c>
      <c r="D64" s="55">
        <f>IF($D$63="","",$D$63)</f>
        <v/>
      </c>
      <c r="E64" s="57" t="inlineStr">
        <is>
          <t>이미지</t>
        </is>
      </c>
      <c r="F64" s="44" t="n"/>
      <c r="G64" s="58">
        <f>IF($G$63="","",$G$63)</f>
        <v/>
      </c>
      <c r="H64" s="59" t="n"/>
      <c r="I64" s="59" t="n"/>
      <c r="J64" s="59" t="n"/>
      <c r="K64" s="59" t="n"/>
      <c r="L64" s="60">
        <f>IF(SUM(U64:AY64)=0,"",SUM(U64:AY64))</f>
        <v/>
      </c>
      <c r="M64" s="61">
        <f>IFERROR(INDEX(U$2:AY$2,MATCH(TRUE,INDEX(U64:AY64&lt;&gt;"",0),0)),"")</f>
        <v/>
      </c>
      <c r="N64" s="61">
        <f>IFERROR(LOOKUP(2,1/(U64:AY64&lt;&gt;""),U$2:AY$2),"")</f>
        <v/>
      </c>
      <c r="O64" s="59" t="n"/>
      <c r="P64" s="59" t="n"/>
      <c r="Q64" s="59" t="n"/>
      <c r="R64" s="59" t="n"/>
      <c r="S64" s="14" t="n"/>
      <c r="U64" s="53" t="n"/>
      <c r="V64" s="53" t="n"/>
      <c r="W64" s="53" t="n"/>
      <c r="X64" s="53" t="n"/>
      <c r="Y64" s="53" t="n"/>
      <c r="Z64" s="53" t="n"/>
      <c r="AA64" s="53" t="n"/>
      <c r="AB64" s="53" t="n"/>
      <c r="AC64" s="53" t="n"/>
      <c r="AD64" s="53" t="n"/>
      <c r="AE64" s="53" t="n"/>
      <c r="AF64" s="53" t="n"/>
      <c r="AG64" s="53" t="n"/>
      <c r="AH64" s="53" t="n"/>
      <c r="AI64" s="53" t="n"/>
      <c r="AJ64" s="53" t="n"/>
      <c r="AK64" s="53" t="n"/>
      <c r="AL64" s="53" t="n"/>
      <c r="AM64" s="53" t="n"/>
      <c r="AN64" s="53" t="n"/>
      <c r="AO64" s="53" t="n"/>
      <c r="AP64" s="53" t="n"/>
      <c r="AQ64" s="53" t="n"/>
      <c r="AR64" s="53" t="n"/>
      <c r="AS64" s="53" t="n"/>
      <c r="AT64" s="53" t="n"/>
      <c r="AU64" s="53" t="n"/>
      <c r="AV64" s="53" t="n"/>
      <c r="AW64" s="53" t="n"/>
      <c r="AX64" s="53" t="n"/>
      <c r="AY64" s="53" t="n"/>
    </row>
    <row r="65" ht="15" customHeight="1">
      <c r="A65" s="62" t="n"/>
      <c r="B65" s="55">
        <f>IF($B$63="","",$B$63)</f>
        <v/>
      </c>
      <c r="C65" s="63" t="inlineStr">
        <is>
          <t>마케팅1팀</t>
        </is>
      </c>
      <c r="D65" s="55">
        <f>IF($D$63="","",$D$63)</f>
        <v/>
      </c>
      <c r="E65" s="64" t="inlineStr">
        <is>
          <t>영상</t>
        </is>
      </c>
      <c r="F65" s="44" t="n"/>
      <c r="G65" s="58">
        <f>IF($G$63="","",$G$63)</f>
        <v/>
      </c>
      <c r="H65" s="59" t="n"/>
      <c r="I65" s="59" t="n"/>
      <c r="J65" s="59" t="n"/>
      <c r="K65" s="59" t="n"/>
      <c r="L65" s="65">
        <f>IF(SUM(U65:AY65)=0,"",SUM(U65:AY65))</f>
        <v/>
      </c>
      <c r="M65" s="66">
        <f>IFERROR(INDEX(U$2:AY$2,MATCH(TRUE,INDEX(U65:AY65&lt;&gt;"",0),0)),"")</f>
        <v/>
      </c>
      <c r="N65" s="66">
        <f>IFERROR(LOOKUP(2,1/(U65:AY65&lt;&gt;""),U$2:AY$2),"")</f>
        <v/>
      </c>
      <c r="O65" s="59" t="n"/>
      <c r="P65" s="59" t="n"/>
      <c r="Q65" s="59" t="n"/>
      <c r="R65" s="59" t="n"/>
      <c r="S65" s="14" t="n"/>
      <c r="U65" s="53" t="n"/>
      <c r="V65" s="53" t="n"/>
      <c r="W65" s="53" t="n"/>
      <c r="X65" s="53" t="n"/>
      <c r="Y65" s="53" t="n"/>
      <c r="Z65" s="53" t="n"/>
      <c r="AA65" s="53" t="n"/>
      <c r="AB65" s="53" t="n"/>
      <c r="AC65" s="53" t="n"/>
      <c r="AD65" s="53" t="n"/>
      <c r="AE65" s="53" t="n"/>
      <c r="AF65" s="53" t="n"/>
      <c r="AG65" s="53" t="n"/>
      <c r="AH65" s="53" t="n"/>
      <c r="AI65" s="53" t="n"/>
      <c r="AJ65" s="53" t="n"/>
      <c r="AK65" s="53" t="n"/>
      <c r="AL65" s="53" t="n"/>
      <c r="AM65" s="53" t="n"/>
      <c r="AN65" s="53" t="n"/>
      <c r="AO65" s="53" t="n"/>
      <c r="AP65" s="53" t="n"/>
      <c r="AQ65" s="53" t="n"/>
      <c r="AR65" s="53" t="n"/>
      <c r="AS65" s="53" t="n"/>
      <c r="AT65" s="53" t="n"/>
      <c r="AU65" s="53" t="n"/>
      <c r="AV65" s="53" t="n"/>
      <c r="AW65" s="53" t="n"/>
      <c r="AX65" s="53" t="n"/>
      <c r="AY65" s="53" t="n"/>
    </row>
    <row r="66" ht="15" customHeight="1">
      <c r="A66" s="40">
        <f>IF($D$66="","",20)</f>
        <v/>
      </c>
      <c r="B66" s="10" t="n"/>
      <c r="C66" s="41" t="inlineStr">
        <is>
          <t>마케팅1팀</t>
        </is>
      </c>
      <c r="D66" s="42" t="n"/>
      <c r="E66" s="43" t="inlineStr">
        <is>
          <t>기획</t>
        </is>
      </c>
      <c r="F66" s="44" t="n"/>
      <c r="G66" s="45" t="n"/>
      <c r="H66" s="46">
        <f>IF($I$66="","",IF($I$66&lt;0,"🔴지연",IF($I$66&lt;=1,"🟡임박","🟢여유")))</f>
        <v/>
      </c>
      <c r="I66" s="47">
        <f>IF(OR($G$66="",$K$66=""),"",$G$66-$K$66)</f>
        <v/>
      </c>
      <c r="J66" s="48">
        <f>IF(SUM($L$66:$L$68)=0,"",SUM($L$66:$L$68))</f>
        <v/>
      </c>
      <c r="K66" s="49">
        <f>IF($J$66="","",MAX($N$66:$N$68))</f>
        <v/>
      </c>
      <c r="L66" s="50">
        <f>IF(SUM(U66:AY66)=0,"",SUM(U66:AY66))</f>
        <v/>
      </c>
      <c r="M66" s="51">
        <f>IFERROR(INDEX(U$2:AY$2,MATCH(TRUE,INDEX(U66:AY66&lt;&gt;"",0),0)),"")</f>
        <v/>
      </c>
      <c r="N66" s="51">
        <f>IFERROR(LOOKUP(2,1/(U66:AY66&lt;&gt;""),U$2:AY$2),"")</f>
        <v/>
      </c>
      <c r="O66" s="52" t="n"/>
      <c r="P66" s="52" t="n"/>
      <c r="Q66" s="52" t="n"/>
      <c r="R66" s="44" t="n"/>
      <c r="S66" s="14" t="n"/>
      <c r="U66" s="53" t="n"/>
      <c r="V66" s="53" t="n"/>
      <c r="W66" s="53" t="n"/>
      <c r="X66" s="53" t="n"/>
      <c r="Y66" s="53" t="n"/>
      <c r="Z66" s="53" t="n"/>
      <c r="AA66" s="53" t="n"/>
      <c r="AB66" s="53" t="n"/>
      <c r="AC66" s="53" t="n"/>
      <c r="AD66" s="53" t="n"/>
      <c r="AE66" s="53" t="n"/>
      <c r="AF66" s="53" t="n"/>
      <c r="AG66" s="53" t="n"/>
      <c r="AH66" s="53" t="n"/>
      <c r="AI66" s="53" t="n"/>
      <c r="AJ66" s="53" t="n"/>
      <c r="AK66" s="53" t="n"/>
      <c r="AL66" s="53" t="n"/>
      <c r="AM66" s="53" t="n"/>
      <c r="AN66" s="53" t="n"/>
      <c r="AO66" s="53" t="n"/>
      <c r="AP66" s="53" t="n"/>
      <c r="AQ66" s="53" t="n"/>
      <c r="AR66" s="53" t="n"/>
      <c r="AS66" s="53" t="n"/>
      <c r="AT66" s="53" t="n"/>
      <c r="AU66" s="53" t="n"/>
      <c r="AV66" s="53" t="n"/>
      <c r="AW66" s="53" t="n"/>
      <c r="AX66" s="53" t="n"/>
      <c r="AY66" s="53" t="n"/>
    </row>
    <row r="67" ht="15" customHeight="1">
      <c r="A67" s="54" t="n"/>
      <c r="B67" s="55">
        <f>IF($B$66="","",$B$66)</f>
        <v/>
      </c>
      <c r="C67" s="56" t="inlineStr">
        <is>
          <t>마케팅1팀</t>
        </is>
      </c>
      <c r="D67" s="55">
        <f>IF($D$66="","",$D$66)</f>
        <v/>
      </c>
      <c r="E67" s="57" t="inlineStr">
        <is>
          <t>이미지</t>
        </is>
      </c>
      <c r="F67" s="44" t="n"/>
      <c r="G67" s="58">
        <f>IF($G$66="","",$G$66)</f>
        <v/>
      </c>
      <c r="H67" s="59" t="n"/>
      <c r="I67" s="59" t="n"/>
      <c r="J67" s="59" t="n"/>
      <c r="K67" s="59" t="n"/>
      <c r="L67" s="60">
        <f>IF(SUM(U67:AY67)=0,"",SUM(U67:AY67))</f>
        <v/>
      </c>
      <c r="M67" s="61">
        <f>IFERROR(INDEX(U$2:AY$2,MATCH(TRUE,INDEX(U67:AY67&lt;&gt;"",0),0)),"")</f>
        <v/>
      </c>
      <c r="N67" s="61">
        <f>IFERROR(LOOKUP(2,1/(U67:AY67&lt;&gt;""),U$2:AY$2),"")</f>
        <v/>
      </c>
      <c r="O67" s="59" t="n"/>
      <c r="P67" s="59" t="n"/>
      <c r="Q67" s="59" t="n"/>
      <c r="R67" s="59" t="n"/>
      <c r="S67" s="14" t="n"/>
      <c r="U67" s="53" t="n"/>
      <c r="V67" s="53" t="n"/>
      <c r="W67" s="53" t="n"/>
      <c r="X67" s="53" t="n"/>
      <c r="Y67" s="53" t="n"/>
      <c r="Z67" s="53" t="n"/>
      <c r="AA67" s="53" t="n"/>
      <c r="AB67" s="53" t="n"/>
      <c r="AC67" s="53" t="n"/>
      <c r="AD67" s="53" t="n"/>
      <c r="AE67" s="53" t="n"/>
      <c r="AF67" s="53" t="n"/>
      <c r="AG67" s="53" t="n"/>
      <c r="AH67" s="53" t="n"/>
      <c r="AI67" s="53" t="n"/>
      <c r="AJ67" s="53" t="n"/>
      <c r="AK67" s="53" t="n"/>
      <c r="AL67" s="53" t="n"/>
      <c r="AM67" s="53" t="n"/>
      <c r="AN67" s="53" t="n"/>
      <c r="AO67" s="53" t="n"/>
      <c r="AP67" s="53" t="n"/>
      <c r="AQ67" s="53" t="n"/>
      <c r="AR67" s="53" t="n"/>
      <c r="AS67" s="53" t="n"/>
      <c r="AT67" s="53" t="n"/>
      <c r="AU67" s="53" t="n"/>
      <c r="AV67" s="53" t="n"/>
      <c r="AW67" s="53" t="n"/>
      <c r="AX67" s="53" t="n"/>
      <c r="AY67" s="53" t="n"/>
    </row>
    <row r="68" ht="15" customHeight="1">
      <c r="A68" s="62" t="n"/>
      <c r="B68" s="55">
        <f>IF($B$66="","",$B$66)</f>
        <v/>
      </c>
      <c r="C68" s="63" t="inlineStr">
        <is>
          <t>마케팅1팀</t>
        </is>
      </c>
      <c r="D68" s="55">
        <f>IF($D$66="","",$D$66)</f>
        <v/>
      </c>
      <c r="E68" s="64" t="inlineStr">
        <is>
          <t>영상</t>
        </is>
      </c>
      <c r="F68" s="44" t="n"/>
      <c r="G68" s="58">
        <f>IF($G$66="","",$G$66)</f>
        <v/>
      </c>
      <c r="H68" s="59" t="n"/>
      <c r="I68" s="59" t="n"/>
      <c r="J68" s="59" t="n"/>
      <c r="K68" s="59" t="n"/>
      <c r="L68" s="65">
        <f>IF(SUM(U68:AY68)=0,"",SUM(U68:AY68))</f>
        <v/>
      </c>
      <c r="M68" s="66">
        <f>IFERROR(INDEX(U$2:AY$2,MATCH(TRUE,INDEX(U68:AY68&lt;&gt;"",0),0)),"")</f>
        <v/>
      </c>
      <c r="N68" s="66">
        <f>IFERROR(LOOKUP(2,1/(U68:AY68&lt;&gt;""),U$2:AY$2),"")</f>
        <v/>
      </c>
      <c r="O68" s="59" t="n"/>
      <c r="P68" s="59" t="n"/>
      <c r="Q68" s="59" t="n"/>
      <c r="R68" s="59" t="n"/>
      <c r="S68" s="14" t="n"/>
      <c r="U68" s="53" t="n"/>
      <c r="V68" s="53" t="n"/>
      <c r="W68" s="53" t="n"/>
      <c r="X68" s="53" t="n"/>
      <c r="Y68" s="53" t="n"/>
      <c r="Z68" s="53" t="n"/>
      <c r="AA68" s="53" t="n"/>
      <c r="AB68" s="53" t="n"/>
      <c r="AC68" s="53" t="n"/>
      <c r="AD68" s="53" t="n"/>
      <c r="AE68" s="53" t="n"/>
      <c r="AF68" s="53" t="n"/>
      <c r="AG68" s="53" t="n"/>
      <c r="AH68" s="53" t="n"/>
      <c r="AI68" s="53" t="n"/>
      <c r="AJ68" s="53" t="n"/>
      <c r="AK68" s="53" t="n"/>
      <c r="AL68" s="53" t="n"/>
      <c r="AM68" s="53" t="n"/>
      <c r="AN68" s="53" t="n"/>
      <c r="AO68" s="53" t="n"/>
      <c r="AP68" s="53" t="n"/>
      <c r="AQ68" s="53" t="n"/>
      <c r="AR68" s="53" t="n"/>
      <c r="AS68" s="53" t="n"/>
      <c r="AT68" s="53" t="n"/>
      <c r="AU68" s="53" t="n"/>
      <c r="AV68" s="53" t="n"/>
      <c r="AW68" s="53" t="n"/>
      <c r="AX68" s="53" t="n"/>
      <c r="AY68" s="53" t="n"/>
    </row>
    <row r="69" ht="18" customHeight="1">
      <c r="A69" s="39" t="inlineStr">
        <is>
          <t>마케팅2팀   (70~129행 · 소재 20개)</t>
        </is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4" t="n"/>
    </row>
    <row r="70" ht="15" customHeight="1">
      <c r="A70" s="40">
        <f>IF($D$70="","",21)</f>
        <v/>
      </c>
      <c r="B70" s="10" t="n"/>
      <c r="C70" s="41" t="inlineStr">
        <is>
          <t>마케팅2팀</t>
        </is>
      </c>
      <c r="D70" s="42" t="n"/>
      <c r="E70" s="43" t="inlineStr">
        <is>
          <t>기획</t>
        </is>
      </c>
      <c r="F70" s="44" t="n"/>
      <c r="G70" s="45" t="n"/>
      <c r="H70" s="46">
        <f>IF($I$70="","",IF($I$70&lt;0,"🔴지연",IF($I$70&lt;=1,"🟡임박","🟢여유")))</f>
        <v/>
      </c>
      <c r="I70" s="47">
        <f>IF(OR($G$70="",$K$70=""),"",$G$70-$K$70)</f>
        <v/>
      </c>
      <c r="J70" s="48">
        <f>IF(SUM($L$70:$L$72)=0,"",SUM($L$70:$L$72))</f>
        <v/>
      </c>
      <c r="K70" s="49">
        <f>IF($J$70="","",MAX($N$70:$N$72))</f>
        <v/>
      </c>
      <c r="L70" s="50">
        <f>IF(SUM(U70:AY70)=0,"",SUM(U70:AY70))</f>
        <v/>
      </c>
      <c r="M70" s="51">
        <f>IFERROR(INDEX(U$2:AY$2,MATCH(TRUE,INDEX(U70:AY70&lt;&gt;"",0),0)),"")</f>
        <v/>
      </c>
      <c r="N70" s="51">
        <f>IFERROR(LOOKUP(2,1/(U70:AY70&lt;&gt;""),U$2:AY$2),"")</f>
        <v/>
      </c>
      <c r="O70" s="52" t="n"/>
      <c r="P70" s="52" t="n"/>
      <c r="Q70" s="52" t="n"/>
      <c r="R70" s="44" t="n"/>
      <c r="S70" s="14" t="n"/>
      <c r="U70" s="53" t="n"/>
      <c r="V70" s="53" t="n"/>
      <c r="W70" s="53" t="n"/>
      <c r="X70" s="53" t="n"/>
      <c r="Y70" s="53" t="n"/>
      <c r="Z70" s="53" t="n"/>
      <c r="AA70" s="53" t="n"/>
      <c r="AB70" s="53" t="n"/>
      <c r="AC70" s="53" t="n"/>
      <c r="AD70" s="53" t="n"/>
      <c r="AE70" s="53" t="n"/>
      <c r="AF70" s="53" t="n"/>
      <c r="AG70" s="53" t="n"/>
      <c r="AH70" s="53" t="n"/>
      <c r="AI70" s="53" t="n"/>
      <c r="AJ70" s="53" t="n"/>
      <c r="AK70" s="53" t="n"/>
      <c r="AL70" s="53" t="n"/>
      <c r="AM70" s="53" t="n"/>
      <c r="AN70" s="53" t="n"/>
      <c r="AO70" s="53" t="n"/>
      <c r="AP70" s="53" t="n"/>
      <c r="AQ70" s="53" t="n"/>
      <c r="AR70" s="53" t="n"/>
      <c r="AS70" s="53" t="n"/>
      <c r="AT70" s="53" t="n"/>
      <c r="AU70" s="53" t="n"/>
      <c r="AV70" s="53" t="n"/>
      <c r="AW70" s="53" t="n"/>
      <c r="AX70" s="53" t="n"/>
      <c r="AY70" s="53" t="n"/>
    </row>
    <row r="71" ht="15" customHeight="1">
      <c r="A71" s="54" t="n"/>
      <c r="B71" s="55">
        <f>IF($B$70="","",$B$70)</f>
        <v/>
      </c>
      <c r="C71" s="56" t="inlineStr">
        <is>
          <t>마케팅2팀</t>
        </is>
      </c>
      <c r="D71" s="55">
        <f>IF($D$70="","",$D$70)</f>
        <v/>
      </c>
      <c r="E71" s="57" t="inlineStr">
        <is>
          <t>이미지</t>
        </is>
      </c>
      <c r="F71" s="44" t="n"/>
      <c r="G71" s="58">
        <f>IF($G$70="","",$G$70)</f>
        <v/>
      </c>
      <c r="H71" s="59" t="n"/>
      <c r="I71" s="59" t="n"/>
      <c r="J71" s="59" t="n"/>
      <c r="K71" s="59" t="n"/>
      <c r="L71" s="60">
        <f>IF(SUM(U71:AY71)=0,"",SUM(U71:AY71))</f>
        <v/>
      </c>
      <c r="M71" s="61">
        <f>IFERROR(INDEX(U$2:AY$2,MATCH(TRUE,INDEX(U71:AY71&lt;&gt;"",0),0)),"")</f>
        <v/>
      </c>
      <c r="N71" s="61">
        <f>IFERROR(LOOKUP(2,1/(U71:AY71&lt;&gt;""),U$2:AY$2),"")</f>
        <v/>
      </c>
      <c r="O71" s="59" t="n"/>
      <c r="P71" s="59" t="n"/>
      <c r="Q71" s="59" t="n"/>
      <c r="R71" s="59" t="n"/>
      <c r="S71" s="14" t="n"/>
      <c r="U71" s="53" t="n"/>
      <c r="V71" s="53" t="n"/>
      <c r="W71" s="53" t="n"/>
      <c r="X71" s="53" t="n"/>
      <c r="Y71" s="53" t="n"/>
      <c r="Z71" s="53" t="n"/>
      <c r="AA71" s="53" t="n"/>
      <c r="AB71" s="53" t="n"/>
      <c r="AC71" s="53" t="n"/>
      <c r="AD71" s="53" t="n"/>
      <c r="AE71" s="53" t="n"/>
      <c r="AF71" s="53" t="n"/>
      <c r="AG71" s="53" t="n"/>
      <c r="AH71" s="53" t="n"/>
      <c r="AI71" s="53" t="n"/>
      <c r="AJ71" s="53" t="n"/>
      <c r="AK71" s="53" t="n"/>
      <c r="AL71" s="53" t="n"/>
      <c r="AM71" s="53" t="n"/>
      <c r="AN71" s="53" t="n"/>
      <c r="AO71" s="53" t="n"/>
      <c r="AP71" s="53" t="n"/>
      <c r="AQ71" s="53" t="n"/>
      <c r="AR71" s="53" t="n"/>
      <c r="AS71" s="53" t="n"/>
      <c r="AT71" s="53" t="n"/>
      <c r="AU71" s="53" t="n"/>
      <c r="AV71" s="53" t="n"/>
      <c r="AW71" s="53" t="n"/>
      <c r="AX71" s="53" t="n"/>
      <c r="AY71" s="53" t="n"/>
    </row>
    <row r="72" ht="15" customHeight="1">
      <c r="A72" s="62" t="n"/>
      <c r="B72" s="55">
        <f>IF($B$70="","",$B$70)</f>
        <v/>
      </c>
      <c r="C72" s="63" t="inlineStr">
        <is>
          <t>마케팅2팀</t>
        </is>
      </c>
      <c r="D72" s="55">
        <f>IF($D$70="","",$D$70)</f>
        <v/>
      </c>
      <c r="E72" s="64" t="inlineStr">
        <is>
          <t>영상</t>
        </is>
      </c>
      <c r="F72" s="44" t="n"/>
      <c r="G72" s="58">
        <f>IF($G$70="","",$G$70)</f>
        <v/>
      </c>
      <c r="H72" s="59" t="n"/>
      <c r="I72" s="59" t="n"/>
      <c r="J72" s="59" t="n"/>
      <c r="K72" s="59" t="n"/>
      <c r="L72" s="65">
        <f>IF(SUM(U72:AY72)=0,"",SUM(U72:AY72))</f>
        <v/>
      </c>
      <c r="M72" s="66">
        <f>IFERROR(INDEX(U$2:AY$2,MATCH(TRUE,INDEX(U72:AY72&lt;&gt;"",0),0)),"")</f>
        <v/>
      </c>
      <c r="N72" s="66">
        <f>IFERROR(LOOKUP(2,1/(U72:AY72&lt;&gt;""),U$2:AY$2),"")</f>
        <v/>
      </c>
      <c r="O72" s="59" t="n"/>
      <c r="P72" s="59" t="n"/>
      <c r="Q72" s="59" t="n"/>
      <c r="R72" s="59" t="n"/>
      <c r="S72" s="14" t="n"/>
      <c r="U72" s="53" t="n"/>
      <c r="V72" s="53" t="n"/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53" t="n"/>
      <c r="AF72" s="53" t="n"/>
      <c r="AG72" s="53" t="n"/>
      <c r="AH72" s="53" t="n"/>
      <c r="AI72" s="53" t="n"/>
      <c r="AJ72" s="53" t="n"/>
      <c r="AK72" s="53" t="n"/>
      <c r="AL72" s="53" t="n"/>
      <c r="AM72" s="53" t="n"/>
      <c r="AN72" s="53" t="n"/>
      <c r="AO72" s="53" t="n"/>
      <c r="AP72" s="53" t="n"/>
      <c r="AQ72" s="53" t="n"/>
      <c r="AR72" s="53" t="n"/>
      <c r="AS72" s="53" t="n"/>
      <c r="AT72" s="53" t="n"/>
      <c r="AU72" s="53" t="n"/>
      <c r="AV72" s="53" t="n"/>
      <c r="AW72" s="53" t="n"/>
      <c r="AX72" s="53" t="n"/>
      <c r="AY72" s="53" t="n"/>
    </row>
    <row r="73" ht="15" customHeight="1">
      <c r="A73" s="40">
        <f>IF($D$73="","",22)</f>
        <v/>
      </c>
      <c r="B73" s="10" t="n"/>
      <c r="C73" s="41" t="inlineStr">
        <is>
          <t>마케팅2팀</t>
        </is>
      </c>
      <c r="D73" s="42" t="n"/>
      <c r="E73" s="43" t="inlineStr">
        <is>
          <t>기획</t>
        </is>
      </c>
      <c r="F73" s="44" t="n"/>
      <c r="G73" s="45" t="n"/>
      <c r="H73" s="46">
        <f>IF($I$73="","",IF($I$73&lt;0,"🔴지연",IF($I$73&lt;=1,"🟡임박","🟢여유")))</f>
        <v/>
      </c>
      <c r="I73" s="47">
        <f>IF(OR($G$73="",$K$73=""),"",$G$73-$K$73)</f>
        <v/>
      </c>
      <c r="J73" s="48">
        <f>IF(SUM($L$73:$L$75)=0,"",SUM($L$73:$L$75))</f>
        <v/>
      </c>
      <c r="K73" s="49">
        <f>IF($J$73="","",MAX($N$73:$N$75))</f>
        <v/>
      </c>
      <c r="L73" s="50">
        <f>IF(SUM(U73:AY73)=0,"",SUM(U73:AY73))</f>
        <v/>
      </c>
      <c r="M73" s="51">
        <f>IFERROR(INDEX(U$2:AY$2,MATCH(TRUE,INDEX(U73:AY73&lt;&gt;"",0),0)),"")</f>
        <v/>
      </c>
      <c r="N73" s="51">
        <f>IFERROR(LOOKUP(2,1/(U73:AY73&lt;&gt;""),U$2:AY$2),"")</f>
        <v/>
      </c>
      <c r="O73" s="52" t="n"/>
      <c r="P73" s="52" t="n"/>
      <c r="Q73" s="52" t="n"/>
      <c r="R73" s="44" t="n"/>
      <c r="S73" s="14" t="n"/>
      <c r="U73" s="53" t="n"/>
      <c r="V73" s="53" t="n"/>
      <c r="W73" s="53" t="n"/>
      <c r="X73" s="53" t="n"/>
      <c r="Y73" s="53" t="n"/>
      <c r="Z73" s="53" t="n"/>
      <c r="AA73" s="53" t="n"/>
      <c r="AB73" s="53" t="n"/>
      <c r="AC73" s="53" t="n"/>
      <c r="AD73" s="53" t="n"/>
      <c r="AE73" s="53" t="n"/>
      <c r="AF73" s="53" t="n"/>
      <c r="AG73" s="53" t="n"/>
      <c r="AH73" s="53" t="n"/>
      <c r="AI73" s="53" t="n"/>
      <c r="AJ73" s="53" t="n"/>
      <c r="AK73" s="53" t="n"/>
      <c r="AL73" s="53" t="n"/>
      <c r="AM73" s="53" t="n"/>
      <c r="AN73" s="53" t="n"/>
      <c r="AO73" s="53" t="n"/>
      <c r="AP73" s="53" t="n"/>
      <c r="AQ73" s="53" t="n"/>
      <c r="AR73" s="53" t="n"/>
      <c r="AS73" s="53" t="n"/>
      <c r="AT73" s="53" t="n"/>
      <c r="AU73" s="53" t="n"/>
      <c r="AV73" s="53" t="n"/>
      <c r="AW73" s="53" t="n"/>
      <c r="AX73" s="53" t="n"/>
      <c r="AY73" s="53" t="n"/>
    </row>
    <row r="74" ht="15" customHeight="1">
      <c r="A74" s="54" t="n"/>
      <c r="B74" s="55">
        <f>IF($B$73="","",$B$73)</f>
        <v/>
      </c>
      <c r="C74" s="56" t="inlineStr">
        <is>
          <t>마케팅2팀</t>
        </is>
      </c>
      <c r="D74" s="55">
        <f>IF($D$73="","",$D$73)</f>
        <v/>
      </c>
      <c r="E74" s="57" t="inlineStr">
        <is>
          <t>이미지</t>
        </is>
      </c>
      <c r="F74" s="44" t="n"/>
      <c r="G74" s="58">
        <f>IF($G$73="","",$G$73)</f>
        <v/>
      </c>
      <c r="H74" s="59" t="n"/>
      <c r="I74" s="59" t="n"/>
      <c r="J74" s="59" t="n"/>
      <c r="K74" s="59" t="n"/>
      <c r="L74" s="60">
        <f>IF(SUM(U74:AY74)=0,"",SUM(U74:AY74))</f>
        <v/>
      </c>
      <c r="M74" s="61">
        <f>IFERROR(INDEX(U$2:AY$2,MATCH(TRUE,INDEX(U74:AY74&lt;&gt;"",0),0)),"")</f>
        <v/>
      </c>
      <c r="N74" s="61">
        <f>IFERROR(LOOKUP(2,1/(U74:AY74&lt;&gt;""),U$2:AY$2),"")</f>
        <v/>
      </c>
      <c r="O74" s="59" t="n"/>
      <c r="P74" s="59" t="n"/>
      <c r="Q74" s="59" t="n"/>
      <c r="R74" s="59" t="n"/>
      <c r="S74" s="14" t="n"/>
      <c r="U74" s="53" t="n"/>
      <c r="V74" s="53" t="n"/>
      <c r="W74" s="53" t="n"/>
      <c r="X74" s="53" t="n"/>
      <c r="Y74" s="53" t="n"/>
      <c r="Z74" s="53" t="n"/>
      <c r="AA74" s="53" t="n"/>
      <c r="AB74" s="53" t="n"/>
      <c r="AC74" s="53" t="n"/>
      <c r="AD74" s="53" t="n"/>
      <c r="AE74" s="53" t="n"/>
      <c r="AF74" s="53" t="n"/>
      <c r="AG74" s="53" t="n"/>
      <c r="AH74" s="53" t="n"/>
      <c r="AI74" s="53" t="n"/>
      <c r="AJ74" s="53" t="n"/>
      <c r="AK74" s="53" t="n"/>
      <c r="AL74" s="53" t="n"/>
      <c r="AM74" s="53" t="n"/>
      <c r="AN74" s="53" t="n"/>
      <c r="AO74" s="53" t="n"/>
      <c r="AP74" s="53" t="n"/>
      <c r="AQ74" s="53" t="n"/>
      <c r="AR74" s="53" t="n"/>
      <c r="AS74" s="53" t="n"/>
      <c r="AT74" s="53" t="n"/>
      <c r="AU74" s="53" t="n"/>
      <c r="AV74" s="53" t="n"/>
      <c r="AW74" s="53" t="n"/>
      <c r="AX74" s="53" t="n"/>
      <c r="AY74" s="53" t="n"/>
    </row>
    <row r="75" ht="15" customHeight="1">
      <c r="A75" s="62" t="n"/>
      <c r="B75" s="55">
        <f>IF($B$73="","",$B$73)</f>
        <v/>
      </c>
      <c r="C75" s="63" t="inlineStr">
        <is>
          <t>마케팅2팀</t>
        </is>
      </c>
      <c r="D75" s="55">
        <f>IF($D$73="","",$D$73)</f>
        <v/>
      </c>
      <c r="E75" s="64" t="inlineStr">
        <is>
          <t>영상</t>
        </is>
      </c>
      <c r="F75" s="44" t="n"/>
      <c r="G75" s="58">
        <f>IF($G$73="","",$G$73)</f>
        <v/>
      </c>
      <c r="H75" s="59" t="n"/>
      <c r="I75" s="59" t="n"/>
      <c r="J75" s="59" t="n"/>
      <c r="K75" s="59" t="n"/>
      <c r="L75" s="65">
        <f>IF(SUM(U75:AY75)=0,"",SUM(U75:AY75))</f>
        <v/>
      </c>
      <c r="M75" s="66">
        <f>IFERROR(INDEX(U$2:AY$2,MATCH(TRUE,INDEX(U75:AY75&lt;&gt;"",0),0)),"")</f>
        <v/>
      </c>
      <c r="N75" s="66">
        <f>IFERROR(LOOKUP(2,1/(U75:AY75&lt;&gt;""),U$2:AY$2),"")</f>
        <v/>
      </c>
      <c r="O75" s="59" t="n"/>
      <c r="P75" s="59" t="n"/>
      <c r="Q75" s="59" t="n"/>
      <c r="R75" s="59" t="n"/>
      <c r="S75" s="14" t="n"/>
      <c r="U75" s="53" t="n"/>
      <c r="V75" s="53" t="n"/>
      <c r="W75" s="53" t="n"/>
      <c r="X75" s="53" t="n"/>
      <c r="Y75" s="53" t="n"/>
      <c r="Z75" s="53" t="n"/>
      <c r="AA75" s="53" t="n"/>
      <c r="AB75" s="53" t="n"/>
      <c r="AC75" s="53" t="n"/>
      <c r="AD75" s="53" t="n"/>
      <c r="AE75" s="53" t="n"/>
      <c r="AF75" s="53" t="n"/>
      <c r="AG75" s="53" t="n"/>
      <c r="AH75" s="53" t="n"/>
      <c r="AI75" s="53" t="n"/>
      <c r="AJ75" s="53" t="n"/>
      <c r="AK75" s="53" t="n"/>
      <c r="AL75" s="53" t="n"/>
      <c r="AM75" s="53" t="n"/>
      <c r="AN75" s="53" t="n"/>
      <c r="AO75" s="53" t="n"/>
      <c r="AP75" s="53" t="n"/>
      <c r="AQ75" s="53" t="n"/>
      <c r="AR75" s="53" t="n"/>
      <c r="AS75" s="53" t="n"/>
      <c r="AT75" s="53" t="n"/>
      <c r="AU75" s="53" t="n"/>
      <c r="AV75" s="53" t="n"/>
      <c r="AW75" s="53" t="n"/>
      <c r="AX75" s="53" t="n"/>
      <c r="AY75" s="53" t="n"/>
    </row>
    <row r="76" ht="15" customHeight="1">
      <c r="A76" s="40">
        <f>IF($D$76="","",23)</f>
        <v/>
      </c>
      <c r="B76" s="10" t="n"/>
      <c r="C76" s="41" t="inlineStr">
        <is>
          <t>마케팅2팀</t>
        </is>
      </c>
      <c r="D76" s="42" t="n"/>
      <c r="E76" s="43" t="inlineStr">
        <is>
          <t>기획</t>
        </is>
      </c>
      <c r="F76" s="44" t="n"/>
      <c r="G76" s="45" t="n"/>
      <c r="H76" s="46">
        <f>IF($I$76="","",IF($I$76&lt;0,"🔴지연",IF($I$76&lt;=1,"🟡임박","🟢여유")))</f>
        <v/>
      </c>
      <c r="I76" s="47">
        <f>IF(OR($G$76="",$K$76=""),"",$G$76-$K$76)</f>
        <v/>
      </c>
      <c r="J76" s="48">
        <f>IF(SUM($L$76:$L$78)=0,"",SUM($L$76:$L$78))</f>
        <v/>
      </c>
      <c r="K76" s="49">
        <f>IF($J$76="","",MAX($N$76:$N$78))</f>
        <v/>
      </c>
      <c r="L76" s="50">
        <f>IF(SUM(U76:AY76)=0,"",SUM(U76:AY76))</f>
        <v/>
      </c>
      <c r="M76" s="51">
        <f>IFERROR(INDEX(U$2:AY$2,MATCH(TRUE,INDEX(U76:AY76&lt;&gt;"",0),0)),"")</f>
        <v/>
      </c>
      <c r="N76" s="51">
        <f>IFERROR(LOOKUP(2,1/(U76:AY76&lt;&gt;""),U$2:AY$2),"")</f>
        <v/>
      </c>
      <c r="O76" s="52" t="n"/>
      <c r="P76" s="52" t="n"/>
      <c r="Q76" s="52" t="n"/>
      <c r="R76" s="44" t="n"/>
      <c r="S76" s="14" t="n"/>
      <c r="U76" s="53" t="n"/>
      <c r="V76" s="53" t="n"/>
      <c r="W76" s="53" t="n"/>
      <c r="X76" s="53" t="n"/>
      <c r="Y76" s="53" t="n"/>
      <c r="Z76" s="53" t="n"/>
      <c r="AA76" s="53" t="n"/>
      <c r="AB76" s="53" t="n"/>
      <c r="AC76" s="53" t="n"/>
      <c r="AD76" s="53" t="n"/>
      <c r="AE76" s="53" t="n"/>
      <c r="AF76" s="53" t="n"/>
      <c r="AG76" s="53" t="n"/>
      <c r="AH76" s="53" t="n"/>
      <c r="AI76" s="53" t="n"/>
      <c r="AJ76" s="53" t="n"/>
      <c r="AK76" s="53" t="n"/>
      <c r="AL76" s="53" t="n"/>
      <c r="AM76" s="53" t="n"/>
      <c r="AN76" s="53" t="n"/>
      <c r="AO76" s="53" t="n"/>
      <c r="AP76" s="53" t="n"/>
      <c r="AQ76" s="53" t="n"/>
      <c r="AR76" s="53" t="n"/>
      <c r="AS76" s="53" t="n"/>
      <c r="AT76" s="53" t="n"/>
      <c r="AU76" s="53" t="n"/>
      <c r="AV76" s="53" t="n"/>
      <c r="AW76" s="53" t="n"/>
      <c r="AX76" s="53" t="n"/>
      <c r="AY76" s="53" t="n"/>
    </row>
    <row r="77" ht="15" customHeight="1">
      <c r="A77" s="54" t="n"/>
      <c r="B77" s="55">
        <f>IF($B$76="","",$B$76)</f>
        <v/>
      </c>
      <c r="C77" s="56" t="inlineStr">
        <is>
          <t>마케팅2팀</t>
        </is>
      </c>
      <c r="D77" s="55">
        <f>IF($D$76="","",$D$76)</f>
        <v/>
      </c>
      <c r="E77" s="57" t="inlineStr">
        <is>
          <t>이미지</t>
        </is>
      </c>
      <c r="F77" s="44" t="n"/>
      <c r="G77" s="58">
        <f>IF($G$76="","",$G$76)</f>
        <v/>
      </c>
      <c r="H77" s="59" t="n"/>
      <c r="I77" s="59" t="n"/>
      <c r="J77" s="59" t="n"/>
      <c r="K77" s="59" t="n"/>
      <c r="L77" s="60">
        <f>IF(SUM(U77:AY77)=0,"",SUM(U77:AY77))</f>
        <v/>
      </c>
      <c r="M77" s="61">
        <f>IFERROR(INDEX(U$2:AY$2,MATCH(TRUE,INDEX(U77:AY77&lt;&gt;"",0),0)),"")</f>
        <v/>
      </c>
      <c r="N77" s="61">
        <f>IFERROR(LOOKUP(2,1/(U77:AY77&lt;&gt;""),U$2:AY$2),"")</f>
        <v/>
      </c>
      <c r="O77" s="59" t="n"/>
      <c r="P77" s="59" t="n"/>
      <c r="Q77" s="59" t="n"/>
      <c r="R77" s="59" t="n"/>
      <c r="S77" s="14" t="n"/>
      <c r="U77" s="53" t="n"/>
      <c r="V77" s="53" t="n"/>
      <c r="W77" s="53" t="n"/>
      <c r="X77" s="53" t="n"/>
      <c r="Y77" s="53" t="n"/>
      <c r="Z77" s="53" t="n"/>
      <c r="AA77" s="53" t="n"/>
      <c r="AB77" s="53" t="n"/>
      <c r="AC77" s="53" t="n"/>
      <c r="AD77" s="53" t="n"/>
      <c r="AE77" s="53" t="n"/>
      <c r="AF77" s="53" t="n"/>
      <c r="AG77" s="53" t="n"/>
      <c r="AH77" s="53" t="n"/>
      <c r="AI77" s="53" t="n"/>
      <c r="AJ77" s="53" t="n"/>
      <c r="AK77" s="53" t="n"/>
      <c r="AL77" s="53" t="n"/>
      <c r="AM77" s="53" t="n"/>
      <c r="AN77" s="53" t="n"/>
      <c r="AO77" s="53" t="n"/>
      <c r="AP77" s="53" t="n"/>
      <c r="AQ77" s="53" t="n"/>
      <c r="AR77" s="53" t="n"/>
      <c r="AS77" s="53" t="n"/>
      <c r="AT77" s="53" t="n"/>
      <c r="AU77" s="53" t="n"/>
      <c r="AV77" s="53" t="n"/>
      <c r="AW77" s="53" t="n"/>
      <c r="AX77" s="53" t="n"/>
      <c r="AY77" s="53" t="n"/>
    </row>
    <row r="78" ht="15" customHeight="1">
      <c r="A78" s="62" t="n"/>
      <c r="B78" s="55">
        <f>IF($B$76="","",$B$76)</f>
        <v/>
      </c>
      <c r="C78" s="63" t="inlineStr">
        <is>
          <t>마케팅2팀</t>
        </is>
      </c>
      <c r="D78" s="55">
        <f>IF($D$76="","",$D$76)</f>
        <v/>
      </c>
      <c r="E78" s="64" t="inlineStr">
        <is>
          <t>영상</t>
        </is>
      </c>
      <c r="F78" s="44" t="n"/>
      <c r="G78" s="58">
        <f>IF($G$76="","",$G$76)</f>
        <v/>
      </c>
      <c r="H78" s="59" t="n"/>
      <c r="I78" s="59" t="n"/>
      <c r="J78" s="59" t="n"/>
      <c r="K78" s="59" t="n"/>
      <c r="L78" s="65">
        <f>IF(SUM(U78:AY78)=0,"",SUM(U78:AY78))</f>
        <v/>
      </c>
      <c r="M78" s="66">
        <f>IFERROR(INDEX(U$2:AY$2,MATCH(TRUE,INDEX(U78:AY78&lt;&gt;"",0),0)),"")</f>
        <v/>
      </c>
      <c r="N78" s="66">
        <f>IFERROR(LOOKUP(2,1/(U78:AY78&lt;&gt;""),U$2:AY$2),"")</f>
        <v/>
      </c>
      <c r="O78" s="59" t="n"/>
      <c r="P78" s="59" t="n"/>
      <c r="Q78" s="59" t="n"/>
      <c r="R78" s="59" t="n"/>
      <c r="S78" s="14" t="n"/>
      <c r="U78" s="53" t="n"/>
      <c r="V78" s="53" t="n"/>
      <c r="W78" s="53" t="n"/>
      <c r="X78" s="53" t="n"/>
      <c r="Y78" s="53" t="n"/>
      <c r="Z78" s="53" t="n"/>
      <c r="AA78" s="53" t="n"/>
      <c r="AB78" s="53" t="n"/>
      <c r="AC78" s="53" t="n"/>
      <c r="AD78" s="53" t="n"/>
      <c r="AE78" s="53" t="n"/>
      <c r="AF78" s="53" t="n"/>
      <c r="AG78" s="53" t="n"/>
      <c r="AH78" s="53" t="n"/>
      <c r="AI78" s="53" t="n"/>
      <c r="AJ78" s="53" t="n"/>
      <c r="AK78" s="53" t="n"/>
      <c r="AL78" s="53" t="n"/>
      <c r="AM78" s="53" t="n"/>
      <c r="AN78" s="53" t="n"/>
      <c r="AO78" s="53" t="n"/>
      <c r="AP78" s="53" t="n"/>
      <c r="AQ78" s="53" t="n"/>
      <c r="AR78" s="53" t="n"/>
      <c r="AS78" s="53" t="n"/>
      <c r="AT78" s="53" t="n"/>
      <c r="AU78" s="53" t="n"/>
      <c r="AV78" s="53" t="n"/>
      <c r="AW78" s="53" t="n"/>
      <c r="AX78" s="53" t="n"/>
      <c r="AY78" s="53" t="n"/>
    </row>
    <row r="79" ht="15" customHeight="1">
      <c r="A79" s="40">
        <f>IF($D$79="","",24)</f>
        <v/>
      </c>
      <c r="B79" s="10" t="n"/>
      <c r="C79" s="41" t="inlineStr">
        <is>
          <t>마케팅2팀</t>
        </is>
      </c>
      <c r="D79" s="42" t="n"/>
      <c r="E79" s="43" t="inlineStr">
        <is>
          <t>기획</t>
        </is>
      </c>
      <c r="F79" s="44" t="n"/>
      <c r="G79" s="45" t="n"/>
      <c r="H79" s="46">
        <f>IF($I$79="","",IF($I$79&lt;0,"🔴지연",IF($I$79&lt;=1,"🟡임박","🟢여유")))</f>
        <v/>
      </c>
      <c r="I79" s="47">
        <f>IF(OR($G$79="",$K$79=""),"",$G$79-$K$79)</f>
        <v/>
      </c>
      <c r="J79" s="48">
        <f>IF(SUM($L$79:$L$81)=0,"",SUM($L$79:$L$81))</f>
        <v/>
      </c>
      <c r="K79" s="49">
        <f>IF($J$79="","",MAX($N$79:$N$81))</f>
        <v/>
      </c>
      <c r="L79" s="50">
        <f>IF(SUM(U79:AY79)=0,"",SUM(U79:AY79))</f>
        <v/>
      </c>
      <c r="M79" s="51">
        <f>IFERROR(INDEX(U$2:AY$2,MATCH(TRUE,INDEX(U79:AY79&lt;&gt;"",0),0)),"")</f>
        <v/>
      </c>
      <c r="N79" s="51">
        <f>IFERROR(LOOKUP(2,1/(U79:AY79&lt;&gt;""),U$2:AY$2),"")</f>
        <v/>
      </c>
      <c r="O79" s="52" t="n"/>
      <c r="P79" s="52" t="n"/>
      <c r="Q79" s="52" t="n"/>
      <c r="R79" s="44" t="n"/>
      <c r="S79" s="14" t="n"/>
      <c r="U79" s="53" t="n"/>
      <c r="V79" s="53" t="n"/>
      <c r="W79" s="53" t="n"/>
      <c r="X79" s="53" t="n"/>
      <c r="Y79" s="53" t="n"/>
      <c r="Z79" s="53" t="n"/>
      <c r="AA79" s="53" t="n"/>
      <c r="AB79" s="53" t="n"/>
      <c r="AC79" s="53" t="n"/>
      <c r="AD79" s="53" t="n"/>
      <c r="AE79" s="53" t="n"/>
      <c r="AF79" s="53" t="n"/>
      <c r="AG79" s="53" t="n"/>
      <c r="AH79" s="53" t="n"/>
      <c r="AI79" s="53" t="n"/>
      <c r="AJ79" s="53" t="n"/>
      <c r="AK79" s="53" t="n"/>
      <c r="AL79" s="53" t="n"/>
      <c r="AM79" s="53" t="n"/>
      <c r="AN79" s="53" t="n"/>
      <c r="AO79" s="53" t="n"/>
      <c r="AP79" s="53" t="n"/>
      <c r="AQ79" s="53" t="n"/>
      <c r="AR79" s="53" t="n"/>
      <c r="AS79" s="53" t="n"/>
      <c r="AT79" s="53" t="n"/>
      <c r="AU79" s="53" t="n"/>
      <c r="AV79" s="53" t="n"/>
      <c r="AW79" s="53" t="n"/>
      <c r="AX79" s="53" t="n"/>
      <c r="AY79" s="53" t="n"/>
    </row>
    <row r="80" ht="15" customHeight="1">
      <c r="A80" s="54" t="n"/>
      <c r="B80" s="55">
        <f>IF($B$79="","",$B$79)</f>
        <v/>
      </c>
      <c r="C80" s="56" t="inlineStr">
        <is>
          <t>마케팅2팀</t>
        </is>
      </c>
      <c r="D80" s="55">
        <f>IF($D$79="","",$D$79)</f>
        <v/>
      </c>
      <c r="E80" s="57" t="inlineStr">
        <is>
          <t>이미지</t>
        </is>
      </c>
      <c r="F80" s="44" t="n"/>
      <c r="G80" s="58">
        <f>IF($G$79="","",$G$79)</f>
        <v/>
      </c>
      <c r="H80" s="59" t="n"/>
      <c r="I80" s="59" t="n"/>
      <c r="J80" s="59" t="n"/>
      <c r="K80" s="59" t="n"/>
      <c r="L80" s="60">
        <f>IF(SUM(U80:AY80)=0,"",SUM(U80:AY80))</f>
        <v/>
      </c>
      <c r="M80" s="61">
        <f>IFERROR(INDEX(U$2:AY$2,MATCH(TRUE,INDEX(U80:AY80&lt;&gt;"",0),0)),"")</f>
        <v/>
      </c>
      <c r="N80" s="61">
        <f>IFERROR(LOOKUP(2,1/(U80:AY80&lt;&gt;""),U$2:AY$2),"")</f>
        <v/>
      </c>
      <c r="O80" s="59" t="n"/>
      <c r="P80" s="59" t="n"/>
      <c r="Q80" s="59" t="n"/>
      <c r="R80" s="59" t="n"/>
      <c r="S80" s="14" t="n"/>
      <c r="U80" s="53" t="n"/>
      <c r="V80" s="53" t="n"/>
      <c r="W80" s="53" t="n"/>
      <c r="X80" s="53" t="n"/>
      <c r="Y80" s="53" t="n"/>
      <c r="Z80" s="53" t="n"/>
      <c r="AA80" s="53" t="n"/>
      <c r="AB80" s="53" t="n"/>
      <c r="AC80" s="53" t="n"/>
      <c r="AD80" s="53" t="n"/>
      <c r="AE80" s="53" t="n"/>
      <c r="AF80" s="53" t="n"/>
      <c r="AG80" s="53" t="n"/>
      <c r="AH80" s="53" t="n"/>
      <c r="AI80" s="53" t="n"/>
      <c r="AJ80" s="53" t="n"/>
      <c r="AK80" s="53" t="n"/>
      <c r="AL80" s="53" t="n"/>
      <c r="AM80" s="53" t="n"/>
      <c r="AN80" s="53" t="n"/>
      <c r="AO80" s="53" t="n"/>
      <c r="AP80" s="53" t="n"/>
      <c r="AQ80" s="53" t="n"/>
      <c r="AR80" s="53" t="n"/>
      <c r="AS80" s="53" t="n"/>
      <c r="AT80" s="53" t="n"/>
      <c r="AU80" s="53" t="n"/>
      <c r="AV80" s="53" t="n"/>
      <c r="AW80" s="53" t="n"/>
      <c r="AX80" s="53" t="n"/>
      <c r="AY80" s="53" t="n"/>
    </row>
    <row r="81" ht="15" customHeight="1">
      <c r="A81" s="62" t="n"/>
      <c r="B81" s="55">
        <f>IF($B$79="","",$B$79)</f>
        <v/>
      </c>
      <c r="C81" s="63" t="inlineStr">
        <is>
          <t>마케팅2팀</t>
        </is>
      </c>
      <c r="D81" s="55">
        <f>IF($D$79="","",$D$79)</f>
        <v/>
      </c>
      <c r="E81" s="64" t="inlineStr">
        <is>
          <t>영상</t>
        </is>
      </c>
      <c r="F81" s="44" t="n"/>
      <c r="G81" s="58">
        <f>IF($G$79="","",$G$79)</f>
        <v/>
      </c>
      <c r="H81" s="59" t="n"/>
      <c r="I81" s="59" t="n"/>
      <c r="J81" s="59" t="n"/>
      <c r="K81" s="59" t="n"/>
      <c r="L81" s="65">
        <f>IF(SUM(U81:AY81)=0,"",SUM(U81:AY81))</f>
        <v/>
      </c>
      <c r="M81" s="66">
        <f>IFERROR(INDEX(U$2:AY$2,MATCH(TRUE,INDEX(U81:AY81&lt;&gt;"",0),0)),"")</f>
        <v/>
      </c>
      <c r="N81" s="66">
        <f>IFERROR(LOOKUP(2,1/(U81:AY81&lt;&gt;""),U$2:AY$2),"")</f>
        <v/>
      </c>
      <c r="O81" s="59" t="n"/>
      <c r="P81" s="59" t="n"/>
      <c r="Q81" s="59" t="n"/>
      <c r="R81" s="59" t="n"/>
      <c r="S81" s="14" t="n"/>
      <c r="U81" s="53" t="n"/>
      <c r="V81" s="53" t="n"/>
      <c r="W81" s="53" t="n"/>
      <c r="X81" s="53" t="n"/>
      <c r="Y81" s="53" t="n"/>
      <c r="Z81" s="53" t="n"/>
      <c r="AA81" s="53" t="n"/>
      <c r="AB81" s="53" t="n"/>
      <c r="AC81" s="53" t="n"/>
      <c r="AD81" s="53" t="n"/>
      <c r="AE81" s="53" t="n"/>
      <c r="AF81" s="53" t="n"/>
      <c r="AG81" s="53" t="n"/>
      <c r="AH81" s="53" t="n"/>
      <c r="AI81" s="53" t="n"/>
      <c r="AJ81" s="53" t="n"/>
      <c r="AK81" s="53" t="n"/>
      <c r="AL81" s="53" t="n"/>
      <c r="AM81" s="53" t="n"/>
      <c r="AN81" s="53" t="n"/>
      <c r="AO81" s="53" t="n"/>
      <c r="AP81" s="53" t="n"/>
      <c r="AQ81" s="53" t="n"/>
      <c r="AR81" s="53" t="n"/>
      <c r="AS81" s="53" t="n"/>
      <c r="AT81" s="53" t="n"/>
      <c r="AU81" s="53" t="n"/>
      <c r="AV81" s="53" t="n"/>
      <c r="AW81" s="53" t="n"/>
      <c r="AX81" s="53" t="n"/>
      <c r="AY81" s="53" t="n"/>
    </row>
    <row r="82" ht="15" customHeight="1">
      <c r="A82" s="40">
        <f>IF($D$82="","",25)</f>
        <v/>
      </c>
      <c r="B82" s="10" t="n"/>
      <c r="C82" s="41" t="inlineStr">
        <is>
          <t>마케팅2팀</t>
        </is>
      </c>
      <c r="D82" s="42" t="n"/>
      <c r="E82" s="43" t="inlineStr">
        <is>
          <t>기획</t>
        </is>
      </c>
      <c r="F82" s="44" t="n"/>
      <c r="G82" s="45" t="n"/>
      <c r="H82" s="46">
        <f>IF($I$82="","",IF($I$82&lt;0,"🔴지연",IF($I$82&lt;=1,"🟡임박","🟢여유")))</f>
        <v/>
      </c>
      <c r="I82" s="47">
        <f>IF(OR($G$82="",$K$82=""),"",$G$82-$K$82)</f>
        <v/>
      </c>
      <c r="J82" s="48">
        <f>IF(SUM($L$82:$L$84)=0,"",SUM($L$82:$L$84))</f>
        <v/>
      </c>
      <c r="K82" s="49">
        <f>IF($J$82="","",MAX($N$82:$N$84))</f>
        <v/>
      </c>
      <c r="L82" s="50">
        <f>IF(SUM(U82:AY82)=0,"",SUM(U82:AY82))</f>
        <v/>
      </c>
      <c r="M82" s="51">
        <f>IFERROR(INDEX(U$2:AY$2,MATCH(TRUE,INDEX(U82:AY82&lt;&gt;"",0),0)),"")</f>
        <v/>
      </c>
      <c r="N82" s="51">
        <f>IFERROR(LOOKUP(2,1/(U82:AY82&lt;&gt;""),U$2:AY$2),"")</f>
        <v/>
      </c>
      <c r="O82" s="52" t="n"/>
      <c r="P82" s="52" t="n"/>
      <c r="Q82" s="52" t="n"/>
      <c r="R82" s="44" t="n"/>
      <c r="S82" s="14" t="n"/>
      <c r="U82" s="53" t="n"/>
      <c r="V82" s="53" t="n"/>
      <c r="W82" s="53" t="n"/>
      <c r="X82" s="53" t="n"/>
      <c r="Y82" s="53" t="n"/>
      <c r="Z82" s="53" t="n"/>
      <c r="AA82" s="53" t="n"/>
      <c r="AB82" s="53" t="n"/>
      <c r="AC82" s="53" t="n"/>
      <c r="AD82" s="53" t="n"/>
      <c r="AE82" s="53" t="n"/>
      <c r="AF82" s="53" t="n"/>
      <c r="AG82" s="53" t="n"/>
      <c r="AH82" s="53" t="n"/>
      <c r="AI82" s="53" t="n"/>
      <c r="AJ82" s="53" t="n"/>
      <c r="AK82" s="53" t="n"/>
      <c r="AL82" s="53" t="n"/>
      <c r="AM82" s="53" t="n"/>
      <c r="AN82" s="53" t="n"/>
      <c r="AO82" s="53" t="n"/>
      <c r="AP82" s="53" t="n"/>
      <c r="AQ82" s="53" t="n"/>
      <c r="AR82" s="53" t="n"/>
      <c r="AS82" s="53" t="n"/>
      <c r="AT82" s="53" t="n"/>
      <c r="AU82" s="53" t="n"/>
      <c r="AV82" s="53" t="n"/>
      <c r="AW82" s="53" t="n"/>
      <c r="AX82" s="53" t="n"/>
      <c r="AY82" s="53" t="n"/>
    </row>
    <row r="83" ht="15" customHeight="1">
      <c r="A83" s="54" t="n"/>
      <c r="B83" s="55">
        <f>IF($B$82="","",$B$82)</f>
        <v/>
      </c>
      <c r="C83" s="56" t="inlineStr">
        <is>
          <t>마케팅2팀</t>
        </is>
      </c>
      <c r="D83" s="55">
        <f>IF($D$82="","",$D$82)</f>
        <v/>
      </c>
      <c r="E83" s="57" t="inlineStr">
        <is>
          <t>이미지</t>
        </is>
      </c>
      <c r="F83" s="44" t="n"/>
      <c r="G83" s="58">
        <f>IF($G$82="","",$G$82)</f>
        <v/>
      </c>
      <c r="H83" s="59" t="n"/>
      <c r="I83" s="59" t="n"/>
      <c r="J83" s="59" t="n"/>
      <c r="K83" s="59" t="n"/>
      <c r="L83" s="60">
        <f>IF(SUM(U83:AY83)=0,"",SUM(U83:AY83))</f>
        <v/>
      </c>
      <c r="M83" s="61">
        <f>IFERROR(INDEX(U$2:AY$2,MATCH(TRUE,INDEX(U83:AY83&lt;&gt;"",0),0)),"")</f>
        <v/>
      </c>
      <c r="N83" s="61">
        <f>IFERROR(LOOKUP(2,1/(U83:AY83&lt;&gt;""),U$2:AY$2),"")</f>
        <v/>
      </c>
      <c r="O83" s="59" t="n"/>
      <c r="P83" s="59" t="n"/>
      <c r="Q83" s="59" t="n"/>
      <c r="R83" s="59" t="n"/>
      <c r="S83" s="14" t="n"/>
      <c r="U83" s="53" t="n"/>
      <c r="V83" s="53" t="n"/>
      <c r="W83" s="53" t="n"/>
      <c r="X83" s="53" t="n"/>
      <c r="Y83" s="53" t="n"/>
      <c r="Z83" s="53" t="n"/>
      <c r="AA83" s="53" t="n"/>
      <c r="AB83" s="53" t="n"/>
      <c r="AC83" s="53" t="n"/>
      <c r="AD83" s="53" t="n"/>
      <c r="AE83" s="53" t="n"/>
      <c r="AF83" s="53" t="n"/>
      <c r="AG83" s="53" t="n"/>
      <c r="AH83" s="53" t="n"/>
      <c r="AI83" s="53" t="n"/>
      <c r="AJ83" s="53" t="n"/>
      <c r="AK83" s="53" t="n"/>
      <c r="AL83" s="53" t="n"/>
      <c r="AM83" s="53" t="n"/>
      <c r="AN83" s="53" t="n"/>
      <c r="AO83" s="53" t="n"/>
      <c r="AP83" s="53" t="n"/>
      <c r="AQ83" s="53" t="n"/>
      <c r="AR83" s="53" t="n"/>
      <c r="AS83" s="53" t="n"/>
      <c r="AT83" s="53" t="n"/>
      <c r="AU83" s="53" t="n"/>
      <c r="AV83" s="53" t="n"/>
      <c r="AW83" s="53" t="n"/>
      <c r="AX83" s="53" t="n"/>
      <c r="AY83" s="53" t="n"/>
    </row>
    <row r="84" ht="15" customHeight="1">
      <c r="A84" s="62" t="n"/>
      <c r="B84" s="55">
        <f>IF($B$82="","",$B$82)</f>
        <v/>
      </c>
      <c r="C84" s="63" t="inlineStr">
        <is>
          <t>마케팅2팀</t>
        </is>
      </c>
      <c r="D84" s="55">
        <f>IF($D$82="","",$D$82)</f>
        <v/>
      </c>
      <c r="E84" s="64" t="inlineStr">
        <is>
          <t>영상</t>
        </is>
      </c>
      <c r="F84" s="44" t="n"/>
      <c r="G84" s="58">
        <f>IF($G$82="","",$G$82)</f>
        <v/>
      </c>
      <c r="H84" s="59" t="n"/>
      <c r="I84" s="59" t="n"/>
      <c r="J84" s="59" t="n"/>
      <c r="K84" s="59" t="n"/>
      <c r="L84" s="65">
        <f>IF(SUM(U84:AY84)=0,"",SUM(U84:AY84))</f>
        <v/>
      </c>
      <c r="M84" s="66">
        <f>IFERROR(INDEX(U$2:AY$2,MATCH(TRUE,INDEX(U84:AY84&lt;&gt;"",0),0)),"")</f>
        <v/>
      </c>
      <c r="N84" s="66">
        <f>IFERROR(LOOKUP(2,1/(U84:AY84&lt;&gt;""),U$2:AY$2),"")</f>
        <v/>
      </c>
      <c r="O84" s="59" t="n"/>
      <c r="P84" s="59" t="n"/>
      <c r="Q84" s="59" t="n"/>
      <c r="R84" s="59" t="n"/>
      <c r="S84" s="14" t="n"/>
      <c r="U84" s="53" t="n"/>
      <c r="V84" s="53" t="n"/>
      <c r="W84" s="53" t="n"/>
      <c r="X84" s="53" t="n"/>
      <c r="Y84" s="53" t="n"/>
      <c r="Z84" s="53" t="n"/>
      <c r="AA84" s="53" t="n"/>
      <c r="AB84" s="53" t="n"/>
      <c r="AC84" s="53" t="n"/>
      <c r="AD84" s="53" t="n"/>
      <c r="AE84" s="53" t="n"/>
      <c r="AF84" s="53" t="n"/>
      <c r="AG84" s="53" t="n"/>
      <c r="AH84" s="53" t="n"/>
      <c r="AI84" s="53" t="n"/>
      <c r="AJ84" s="53" t="n"/>
      <c r="AK84" s="53" t="n"/>
      <c r="AL84" s="53" t="n"/>
      <c r="AM84" s="53" t="n"/>
      <c r="AN84" s="53" t="n"/>
      <c r="AO84" s="53" t="n"/>
      <c r="AP84" s="53" t="n"/>
      <c r="AQ84" s="53" t="n"/>
      <c r="AR84" s="53" t="n"/>
      <c r="AS84" s="53" t="n"/>
      <c r="AT84" s="53" t="n"/>
      <c r="AU84" s="53" t="n"/>
      <c r="AV84" s="53" t="n"/>
      <c r="AW84" s="53" t="n"/>
      <c r="AX84" s="53" t="n"/>
      <c r="AY84" s="53" t="n"/>
    </row>
    <row r="85" ht="15" customHeight="1">
      <c r="A85" s="40">
        <f>IF($D$85="","",26)</f>
        <v/>
      </c>
      <c r="B85" s="10" t="n"/>
      <c r="C85" s="41" t="inlineStr">
        <is>
          <t>마케팅2팀</t>
        </is>
      </c>
      <c r="D85" s="42" t="n"/>
      <c r="E85" s="43" t="inlineStr">
        <is>
          <t>기획</t>
        </is>
      </c>
      <c r="F85" s="44" t="n"/>
      <c r="G85" s="45" t="n"/>
      <c r="H85" s="46">
        <f>IF($I$85="","",IF($I$85&lt;0,"🔴지연",IF($I$85&lt;=1,"🟡임박","🟢여유")))</f>
        <v/>
      </c>
      <c r="I85" s="47">
        <f>IF(OR($G$85="",$K$85=""),"",$G$85-$K$85)</f>
        <v/>
      </c>
      <c r="J85" s="48">
        <f>IF(SUM($L$85:$L$87)=0,"",SUM($L$85:$L$87))</f>
        <v/>
      </c>
      <c r="K85" s="49">
        <f>IF($J$85="","",MAX($N$85:$N$87))</f>
        <v/>
      </c>
      <c r="L85" s="50">
        <f>IF(SUM(U85:AY85)=0,"",SUM(U85:AY85))</f>
        <v/>
      </c>
      <c r="M85" s="51">
        <f>IFERROR(INDEX(U$2:AY$2,MATCH(TRUE,INDEX(U85:AY85&lt;&gt;"",0),0)),"")</f>
        <v/>
      </c>
      <c r="N85" s="51">
        <f>IFERROR(LOOKUP(2,1/(U85:AY85&lt;&gt;""),U$2:AY$2),"")</f>
        <v/>
      </c>
      <c r="O85" s="52" t="n"/>
      <c r="P85" s="52" t="n"/>
      <c r="Q85" s="52" t="n"/>
      <c r="R85" s="44" t="n"/>
      <c r="S85" s="14" t="n"/>
      <c r="U85" s="53" t="n"/>
      <c r="V85" s="53" t="n"/>
      <c r="W85" s="53" t="n"/>
      <c r="X85" s="53" t="n"/>
      <c r="Y85" s="53" t="n"/>
      <c r="Z85" s="53" t="n"/>
      <c r="AA85" s="53" t="n"/>
      <c r="AB85" s="53" t="n"/>
      <c r="AC85" s="53" t="n"/>
      <c r="AD85" s="53" t="n"/>
      <c r="AE85" s="53" t="n"/>
      <c r="AF85" s="53" t="n"/>
      <c r="AG85" s="53" t="n"/>
      <c r="AH85" s="53" t="n"/>
      <c r="AI85" s="53" t="n"/>
      <c r="AJ85" s="53" t="n"/>
      <c r="AK85" s="53" t="n"/>
      <c r="AL85" s="53" t="n"/>
      <c r="AM85" s="53" t="n"/>
      <c r="AN85" s="53" t="n"/>
      <c r="AO85" s="53" t="n"/>
      <c r="AP85" s="53" t="n"/>
      <c r="AQ85" s="53" t="n"/>
      <c r="AR85" s="53" t="n"/>
      <c r="AS85" s="53" t="n"/>
      <c r="AT85" s="53" t="n"/>
      <c r="AU85" s="53" t="n"/>
      <c r="AV85" s="53" t="n"/>
      <c r="AW85" s="53" t="n"/>
      <c r="AX85" s="53" t="n"/>
      <c r="AY85" s="53" t="n"/>
    </row>
    <row r="86" ht="15" customHeight="1">
      <c r="A86" s="54" t="n"/>
      <c r="B86" s="55">
        <f>IF($B$85="","",$B$85)</f>
        <v/>
      </c>
      <c r="C86" s="56" t="inlineStr">
        <is>
          <t>마케팅2팀</t>
        </is>
      </c>
      <c r="D86" s="55">
        <f>IF($D$85="","",$D$85)</f>
        <v/>
      </c>
      <c r="E86" s="57" t="inlineStr">
        <is>
          <t>이미지</t>
        </is>
      </c>
      <c r="F86" s="44" t="n"/>
      <c r="G86" s="58">
        <f>IF($G$85="","",$G$85)</f>
        <v/>
      </c>
      <c r="H86" s="59" t="n"/>
      <c r="I86" s="59" t="n"/>
      <c r="J86" s="59" t="n"/>
      <c r="K86" s="59" t="n"/>
      <c r="L86" s="60">
        <f>IF(SUM(U86:AY86)=0,"",SUM(U86:AY86))</f>
        <v/>
      </c>
      <c r="M86" s="61">
        <f>IFERROR(INDEX(U$2:AY$2,MATCH(TRUE,INDEX(U86:AY86&lt;&gt;"",0),0)),"")</f>
        <v/>
      </c>
      <c r="N86" s="61">
        <f>IFERROR(LOOKUP(2,1/(U86:AY86&lt;&gt;""),U$2:AY$2),"")</f>
        <v/>
      </c>
      <c r="O86" s="59" t="n"/>
      <c r="P86" s="59" t="n"/>
      <c r="Q86" s="59" t="n"/>
      <c r="R86" s="59" t="n"/>
      <c r="S86" s="14" t="n"/>
      <c r="U86" s="53" t="n"/>
      <c r="V86" s="53" t="n"/>
      <c r="W86" s="53" t="n"/>
      <c r="X86" s="53" t="n"/>
      <c r="Y86" s="53" t="n"/>
      <c r="Z86" s="53" t="n"/>
      <c r="AA86" s="53" t="n"/>
      <c r="AB86" s="53" t="n"/>
      <c r="AC86" s="53" t="n"/>
      <c r="AD86" s="53" t="n"/>
      <c r="AE86" s="53" t="n"/>
      <c r="AF86" s="53" t="n"/>
      <c r="AG86" s="53" t="n"/>
      <c r="AH86" s="53" t="n"/>
      <c r="AI86" s="53" t="n"/>
      <c r="AJ86" s="53" t="n"/>
      <c r="AK86" s="53" t="n"/>
      <c r="AL86" s="53" t="n"/>
      <c r="AM86" s="53" t="n"/>
      <c r="AN86" s="53" t="n"/>
      <c r="AO86" s="53" t="n"/>
      <c r="AP86" s="53" t="n"/>
      <c r="AQ86" s="53" t="n"/>
      <c r="AR86" s="53" t="n"/>
      <c r="AS86" s="53" t="n"/>
      <c r="AT86" s="53" t="n"/>
      <c r="AU86" s="53" t="n"/>
      <c r="AV86" s="53" t="n"/>
      <c r="AW86" s="53" t="n"/>
      <c r="AX86" s="53" t="n"/>
      <c r="AY86" s="53" t="n"/>
    </row>
    <row r="87" ht="15" customHeight="1">
      <c r="A87" s="62" t="n"/>
      <c r="B87" s="55">
        <f>IF($B$85="","",$B$85)</f>
        <v/>
      </c>
      <c r="C87" s="63" t="inlineStr">
        <is>
          <t>마케팅2팀</t>
        </is>
      </c>
      <c r="D87" s="55">
        <f>IF($D$85="","",$D$85)</f>
        <v/>
      </c>
      <c r="E87" s="64" t="inlineStr">
        <is>
          <t>영상</t>
        </is>
      </c>
      <c r="F87" s="44" t="n"/>
      <c r="G87" s="58">
        <f>IF($G$85="","",$G$85)</f>
        <v/>
      </c>
      <c r="H87" s="59" t="n"/>
      <c r="I87" s="59" t="n"/>
      <c r="J87" s="59" t="n"/>
      <c r="K87" s="59" t="n"/>
      <c r="L87" s="65">
        <f>IF(SUM(U87:AY87)=0,"",SUM(U87:AY87))</f>
        <v/>
      </c>
      <c r="M87" s="66">
        <f>IFERROR(INDEX(U$2:AY$2,MATCH(TRUE,INDEX(U87:AY87&lt;&gt;"",0),0)),"")</f>
        <v/>
      </c>
      <c r="N87" s="66">
        <f>IFERROR(LOOKUP(2,1/(U87:AY87&lt;&gt;""),U$2:AY$2),"")</f>
        <v/>
      </c>
      <c r="O87" s="59" t="n"/>
      <c r="P87" s="59" t="n"/>
      <c r="Q87" s="59" t="n"/>
      <c r="R87" s="59" t="n"/>
      <c r="S87" s="14" t="n"/>
      <c r="U87" s="53" t="n"/>
      <c r="V87" s="53" t="n"/>
      <c r="W87" s="53" t="n"/>
      <c r="X87" s="53" t="n"/>
      <c r="Y87" s="53" t="n"/>
      <c r="Z87" s="53" t="n"/>
      <c r="AA87" s="53" t="n"/>
      <c r="AB87" s="53" t="n"/>
      <c r="AC87" s="53" t="n"/>
      <c r="AD87" s="53" t="n"/>
      <c r="AE87" s="53" t="n"/>
      <c r="AF87" s="53" t="n"/>
      <c r="AG87" s="53" t="n"/>
      <c r="AH87" s="53" t="n"/>
      <c r="AI87" s="53" t="n"/>
      <c r="AJ87" s="53" t="n"/>
      <c r="AK87" s="53" t="n"/>
      <c r="AL87" s="53" t="n"/>
      <c r="AM87" s="53" t="n"/>
      <c r="AN87" s="53" t="n"/>
      <c r="AO87" s="53" t="n"/>
      <c r="AP87" s="53" t="n"/>
      <c r="AQ87" s="53" t="n"/>
      <c r="AR87" s="53" t="n"/>
      <c r="AS87" s="53" t="n"/>
      <c r="AT87" s="53" t="n"/>
      <c r="AU87" s="53" t="n"/>
      <c r="AV87" s="53" t="n"/>
      <c r="AW87" s="53" t="n"/>
      <c r="AX87" s="53" t="n"/>
      <c r="AY87" s="53" t="n"/>
    </row>
    <row r="88" ht="15" customHeight="1">
      <c r="A88" s="40">
        <f>IF($D$88="","",27)</f>
        <v/>
      </c>
      <c r="B88" s="10" t="n"/>
      <c r="C88" s="41" t="inlineStr">
        <is>
          <t>마케팅2팀</t>
        </is>
      </c>
      <c r="D88" s="42" t="n"/>
      <c r="E88" s="43" t="inlineStr">
        <is>
          <t>기획</t>
        </is>
      </c>
      <c r="F88" s="44" t="n"/>
      <c r="G88" s="45" t="n"/>
      <c r="H88" s="46">
        <f>IF($I$88="","",IF($I$88&lt;0,"🔴지연",IF($I$88&lt;=1,"🟡임박","🟢여유")))</f>
        <v/>
      </c>
      <c r="I88" s="47">
        <f>IF(OR($G$88="",$K$88=""),"",$G$88-$K$88)</f>
        <v/>
      </c>
      <c r="J88" s="48">
        <f>IF(SUM($L$88:$L$90)=0,"",SUM($L$88:$L$90))</f>
        <v/>
      </c>
      <c r="K88" s="49">
        <f>IF($J$88="","",MAX($N$88:$N$90))</f>
        <v/>
      </c>
      <c r="L88" s="50">
        <f>IF(SUM(U88:AY88)=0,"",SUM(U88:AY88))</f>
        <v/>
      </c>
      <c r="M88" s="51">
        <f>IFERROR(INDEX(U$2:AY$2,MATCH(TRUE,INDEX(U88:AY88&lt;&gt;"",0),0)),"")</f>
        <v/>
      </c>
      <c r="N88" s="51">
        <f>IFERROR(LOOKUP(2,1/(U88:AY88&lt;&gt;""),U$2:AY$2),"")</f>
        <v/>
      </c>
      <c r="O88" s="52" t="n"/>
      <c r="P88" s="52" t="n"/>
      <c r="Q88" s="52" t="n"/>
      <c r="R88" s="44" t="n"/>
      <c r="S88" s="14" t="n"/>
      <c r="U88" s="53" t="n"/>
      <c r="V88" s="53" t="n"/>
      <c r="W88" s="53" t="n"/>
      <c r="X88" s="53" t="n"/>
      <c r="Y88" s="53" t="n"/>
      <c r="Z88" s="53" t="n"/>
      <c r="AA88" s="53" t="n"/>
      <c r="AB88" s="53" t="n"/>
      <c r="AC88" s="53" t="n"/>
      <c r="AD88" s="53" t="n"/>
      <c r="AE88" s="53" t="n"/>
      <c r="AF88" s="53" t="n"/>
      <c r="AG88" s="53" t="n"/>
      <c r="AH88" s="53" t="n"/>
      <c r="AI88" s="53" t="n"/>
      <c r="AJ88" s="53" t="n"/>
      <c r="AK88" s="53" t="n"/>
      <c r="AL88" s="53" t="n"/>
      <c r="AM88" s="53" t="n"/>
      <c r="AN88" s="53" t="n"/>
      <c r="AO88" s="53" t="n"/>
      <c r="AP88" s="53" t="n"/>
      <c r="AQ88" s="53" t="n"/>
      <c r="AR88" s="53" t="n"/>
      <c r="AS88" s="53" t="n"/>
      <c r="AT88" s="53" t="n"/>
      <c r="AU88" s="53" t="n"/>
      <c r="AV88" s="53" t="n"/>
      <c r="AW88" s="53" t="n"/>
      <c r="AX88" s="53" t="n"/>
      <c r="AY88" s="53" t="n"/>
    </row>
    <row r="89" ht="15" customHeight="1">
      <c r="A89" s="54" t="n"/>
      <c r="B89" s="55">
        <f>IF($B$88="","",$B$88)</f>
        <v/>
      </c>
      <c r="C89" s="56" t="inlineStr">
        <is>
          <t>마케팅2팀</t>
        </is>
      </c>
      <c r="D89" s="55">
        <f>IF($D$88="","",$D$88)</f>
        <v/>
      </c>
      <c r="E89" s="57" t="inlineStr">
        <is>
          <t>이미지</t>
        </is>
      </c>
      <c r="F89" s="44" t="n"/>
      <c r="G89" s="58">
        <f>IF($G$88="","",$G$88)</f>
        <v/>
      </c>
      <c r="H89" s="59" t="n"/>
      <c r="I89" s="59" t="n"/>
      <c r="J89" s="59" t="n"/>
      <c r="K89" s="59" t="n"/>
      <c r="L89" s="60">
        <f>IF(SUM(U89:AY89)=0,"",SUM(U89:AY89))</f>
        <v/>
      </c>
      <c r="M89" s="61">
        <f>IFERROR(INDEX(U$2:AY$2,MATCH(TRUE,INDEX(U89:AY89&lt;&gt;"",0),0)),"")</f>
        <v/>
      </c>
      <c r="N89" s="61">
        <f>IFERROR(LOOKUP(2,1/(U89:AY89&lt;&gt;""),U$2:AY$2),"")</f>
        <v/>
      </c>
      <c r="O89" s="59" t="n"/>
      <c r="P89" s="59" t="n"/>
      <c r="Q89" s="59" t="n"/>
      <c r="R89" s="59" t="n"/>
      <c r="S89" s="14" t="n"/>
      <c r="U89" s="53" t="n"/>
      <c r="V89" s="53" t="n"/>
      <c r="W89" s="53" t="n"/>
      <c r="X89" s="53" t="n"/>
      <c r="Y89" s="53" t="n"/>
      <c r="Z89" s="53" t="n"/>
      <c r="AA89" s="53" t="n"/>
      <c r="AB89" s="53" t="n"/>
      <c r="AC89" s="53" t="n"/>
      <c r="AD89" s="53" t="n"/>
      <c r="AE89" s="53" t="n"/>
      <c r="AF89" s="53" t="n"/>
      <c r="AG89" s="53" t="n"/>
      <c r="AH89" s="53" t="n"/>
      <c r="AI89" s="53" t="n"/>
      <c r="AJ89" s="53" t="n"/>
      <c r="AK89" s="53" t="n"/>
      <c r="AL89" s="53" t="n"/>
      <c r="AM89" s="53" t="n"/>
      <c r="AN89" s="53" t="n"/>
      <c r="AO89" s="53" t="n"/>
      <c r="AP89" s="53" t="n"/>
      <c r="AQ89" s="53" t="n"/>
      <c r="AR89" s="53" t="n"/>
      <c r="AS89" s="53" t="n"/>
      <c r="AT89" s="53" t="n"/>
      <c r="AU89" s="53" t="n"/>
      <c r="AV89" s="53" t="n"/>
      <c r="AW89" s="53" t="n"/>
      <c r="AX89" s="53" t="n"/>
      <c r="AY89" s="53" t="n"/>
    </row>
    <row r="90" ht="15" customHeight="1">
      <c r="A90" s="62" t="n"/>
      <c r="B90" s="55">
        <f>IF($B$88="","",$B$88)</f>
        <v/>
      </c>
      <c r="C90" s="63" t="inlineStr">
        <is>
          <t>마케팅2팀</t>
        </is>
      </c>
      <c r="D90" s="55">
        <f>IF($D$88="","",$D$88)</f>
        <v/>
      </c>
      <c r="E90" s="64" t="inlineStr">
        <is>
          <t>영상</t>
        </is>
      </c>
      <c r="F90" s="44" t="n"/>
      <c r="G90" s="58">
        <f>IF($G$88="","",$G$88)</f>
        <v/>
      </c>
      <c r="H90" s="59" t="n"/>
      <c r="I90" s="59" t="n"/>
      <c r="J90" s="59" t="n"/>
      <c r="K90" s="59" t="n"/>
      <c r="L90" s="65">
        <f>IF(SUM(U90:AY90)=0,"",SUM(U90:AY90))</f>
        <v/>
      </c>
      <c r="M90" s="66">
        <f>IFERROR(INDEX(U$2:AY$2,MATCH(TRUE,INDEX(U90:AY90&lt;&gt;"",0),0)),"")</f>
        <v/>
      </c>
      <c r="N90" s="66">
        <f>IFERROR(LOOKUP(2,1/(U90:AY90&lt;&gt;""),U$2:AY$2),"")</f>
        <v/>
      </c>
      <c r="O90" s="59" t="n"/>
      <c r="P90" s="59" t="n"/>
      <c r="Q90" s="59" t="n"/>
      <c r="R90" s="59" t="n"/>
      <c r="S90" s="14" t="n"/>
      <c r="U90" s="53" t="n"/>
      <c r="V90" s="53" t="n"/>
      <c r="W90" s="53" t="n"/>
      <c r="X90" s="53" t="n"/>
      <c r="Y90" s="53" t="n"/>
      <c r="Z90" s="53" t="n"/>
      <c r="AA90" s="53" t="n"/>
      <c r="AB90" s="53" t="n"/>
      <c r="AC90" s="53" t="n"/>
      <c r="AD90" s="53" t="n"/>
      <c r="AE90" s="53" t="n"/>
      <c r="AF90" s="53" t="n"/>
      <c r="AG90" s="53" t="n"/>
      <c r="AH90" s="53" t="n"/>
      <c r="AI90" s="53" t="n"/>
      <c r="AJ90" s="53" t="n"/>
      <c r="AK90" s="53" t="n"/>
      <c r="AL90" s="53" t="n"/>
      <c r="AM90" s="53" t="n"/>
      <c r="AN90" s="53" t="n"/>
      <c r="AO90" s="53" t="n"/>
      <c r="AP90" s="53" t="n"/>
      <c r="AQ90" s="53" t="n"/>
      <c r="AR90" s="53" t="n"/>
      <c r="AS90" s="53" t="n"/>
      <c r="AT90" s="53" t="n"/>
      <c r="AU90" s="53" t="n"/>
      <c r="AV90" s="53" t="n"/>
      <c r="AW90" s="53" t="n"/>
      <c r="AX90" s="53" t="n"/>
      <c r="AY90" s="53" t="n"/>
    </row>
    <row r="91" ht="15" customHeight="1">
      <c r="A91" s="40">
        <f>IF($D$91="","",28)</f>
        <v/>
      </c>
      <c r="B91" s="10" t="n"/>
      <c r="C91" s="41" t="inlineStr">
        <is>
          <t>마케팅2팀</t>
        </is>
      </c>
      <c r="D91" s="42" t="n"/>
      <c r="E91" s="43" t="inlineStr">
        <is>
          <t>기획</t>
        </is>
      </c>
      <c r="F91" s="44" t="n"/>
      <c r="G91" s="45" t="n"/>
      <c r="H91" s="46">
        <f>IF($I$91="","",IF($I$91&lt;0,"🔴지연",IF($I$91&lt;=1,"🟡임박","🟢여유")))</f>
        <v/>
      </c>
      <c r="I91" s="47">
        <f>IF(OR($G$91="",$K$91=""),"",$G$91-$K$91)</f>
        <v/>
      </c>
      <c r="J91" s="48">
        <f>IF(SUM($L$91:$L$93)=0,"",SUM($L$91:$L$93))</f>
        <v/>
      </c>
      <c r="K91" s="49">
        <f>IF($J$91="","",MAX($N$91:$N$93))</f>
        <v/>
      </c>
      <c r="L91" s="50">
        <f>IF(SUM(U91:AY91)=0,"",SUM(U91:AY91))</f>
        <v/>
      </c>
      <c r="M91" s="51">
        <f>IFERROR(INDEX(U$2:AY$2,MATCH(TRUE,INDEX(U91:AY91&lt;&gt;"",0),0)),"")</f>
        <v/>
      </c>
      <c r="N91" s="51">
        <f>IFERROR(LOOKUP(2,1/(U91:AY91&lt;&gt;""),U$2:AY$2),"")</f>
        <v/>
      </c>
      <c r="O91" s="52" t="n"/>
      <c r="P91" s="52" t="n"/>
      <c r="Q91" s="52" t="n"/>
      <c r="R91" s="44" t="n"/>
      <c r="S91" s="14" t="n"/>
      <c r="U91" s="53" t="n"/>
      <c r="V91" s="53" t="n"/>
      <c r="W91" s="53" t="n"/>
      <c r="X91" s="53" t="n"/>
      <c r="Y91" s="53" t="n"/>
      <c r="Z91" s="53" t="n"/>
      <c r="AA91" s="53" t="n"/>
      <c r="AB91" s="53" t="n"/>
      <c r="AC91" s="53" t="n"/>
      <c r="AD91" s="53" t="n"/>
      <c r="AE91" s="53" t="n"/>
      <c r="AF91" s="53" t="n"/>
      <c r="AG91" s="53" t="n"/>
      <c r="AH91" s="53" t="n"/>
      <c r="AI91" s="53" t="n"/>
      <c r="AJ91" s="53" t="n"/>
      <c r="AK91" s="53" t="n"/>
      <c r="AL91" s="53" t="n"/>
      <c r="AM91" s="53" t="n"/>
      <c r="AN91" s="53" t="n"/>
      <c r="AO91" s="53" t="n"/>
      <c r="AP91" s="53" t="n"/>
      <c r="AQ91" s="53" t="n"/>
      <c r="AR91" s="53" t="n"/>
      <c r="AS91" s="53" t="n"/>
      <c r="AT91" s="53" t="n"/>
      <c r="AU91" s="53" t="n"/>
      <c r="AV91" s="53" t="n"/>
      <c r="AW91" s="53" t="n"/>
      <c r="AX91" s="53" t="n"/>
      <c r="AY91" s="53" t="n"/>
    </row>
    <row r="92" ht="15" customHeight="1">
      <c r="A92" s="54" t="n"/>
      <c r="B92" s="55">
        <f>IF($B$91="","",$B$91)</f>
        <v/>
      </c>
      <c r="C92" s="56" t="inlineStr">
        <is>
          <t>마케팅2팀</t>
        </is>
      </c>
      <c r="D92" s="55">
        <f>IF($D$91="","",$D$91)</f>
        <v/>
      </c>
      <c r="E92" s="57" t="inlineStr">
        <is>
          <t>이미지</t>
        </is>
      </c>
      <c r="F92" s="44" t="n"/>
      <c r="G92" s="58">
        <f>IF($G$91="","",$G$91)</f>
        <v/>
      </c>
      <c r="H92" s="59" t="n"/>
      <c r="I92" s="59" t="n"/>
      <c r="J92" s="59" t="n"/>
      <c r="K92" s="59" t="n"/>
      <c r="L92" s="60">
        <f>IF(SUM(U92:AY92)=0,"",SUM(U92:AY92))</f>
        <v/>
      </c>
      <c r="M92" s="61">
        <f>IFERROR(INDEX(U$2:AY$2,MATCH(TRUE,INDEX(U92:AY92&lt;&gt;"",0),0)),"")</f>
        <v/>
      </c>
      <c r="N92" s="61">
        <f>IFERROR(LOOKUP(2,1/(U92:AY92&lt;&gt;""),U$2:AY$2),"")</f>
        <v/>
      </c>
      <c r="O92" s="59" t="n"/>
      <c r="P92" s="59" t="n"/>
      <c r="Q92" s="59" t="n"/>
      <c r="R92" s="59" t="n"/>
      <c r="S92" s="14" t="n"/>
      <c r="U92" s="53" t="n"/>
      <c r="V92" s="53" t="n"/>
      <c r="W92" s="53" t="n"/>
      <c r="X92" s="53" t="n"/>
      <c r="Y92" s="53" t="n"/>
      <c r="Z92" s="53" t="n"/>
      <c r="AA92" s="53" t="n"/>
      <c r="AB92" s="53" t="n"/>
      <c r="AC92" s="53" t="n"/>
      <c r="AD92" s="53" t="n"/>
      <c r="AE92" s="53" t="n"/>
      <c r="AF92" s="53" t="n"/>
      <c r="AG92" s="53" t="n"/>
      <c r="AH92" s="53" t="n"/>
      <c r="AI92" s="53" t="n"/>
      <c r="AJ92" s="53" t="n"/>
      <c r="AK92" s="53" t="n"/>
      <c r="AL92" s="53" t="n"/>
      <c r="AM92" s="53" t="n"/>
      <c r="AN92" s="53" t="n"/>
      <c r="AO92" s="53" t="n"/>
      <c r="AP92" s="53" t="n"/>
      <c r="AQ92" s="53" t="n"/>
      <c r="AR92" s="53" t="n"/>
      <c r="AS92" s="53" t="n"/>
      <c r="AT92" s="53" t="n"/>
      <c r="AU92" s="53" t="n"/>
      <c r="AV92" s="53" t="n"/>
      <c r="AW92" s="53" t="n"/>
      <c r="AX92" s="53" t="n"/>
      <c r="AY92" s="53" t="n"/>
    </row>
    <row r="93" ht="15" customHeight="1">
      <c r="A93" s="62" t="n"/>
      <c r="B93" s="55">
        <f>IF($B$91="","",$B$91)</f>
        <v/>
      </c>
      <c r="C93" s="63" t="inlineStr">
        <is>
          <t>마케팅2팀</t>
        </is>
      </c>
      <c r="D93" s="55">
        <f>IF($D$91="","",$D$91)</f>
        <v/>
      </c>
      <c r="E93" s="64" t="inlineStr">
        <is>
          <t>영상</t>
        </is>
      </c>
      <c r="F93" s="44" t="n"/>
      <c r="G93" s="58">
        <f>IF($G$91="","",$G$91)</f>
        <v/>
      </c>
      <c r="H93" s="59" t="n"/>
      <c r="I93" s="59" t="n"/>
      <c r="J93" s="59" t="n"/>
      <c r="K93" s="59" t="n"/>
      <c r="L93" s="65">
        <f>IF(SUM(U93:AY93)=0,"",SUM(U93:AY93))</f>
        <v/>
      </c>
      <c r="M93" s="66">
        <f>IFERROR(INDEX(U$2:AY$2,MATCH(TRUE,INDEX(U93:AY93&lt;&gt;"",0),0)),"")</f>
        <v/>
      </c>
      <c r="N93" s="66">
        <f>IFERROR(LOOKUP(2,1/(U93:AY93&lt;&gt;""),U$2:AY$2),"")</f>
        <v/>
      </c>
      <c r="O93" s="59" t="n"/>
      <c r="P93" s="59" t="n"/>
      <c r="Q93" s="59" t="n"/>
      <c r="R93" s="59" t="n"/>
      <c r="S93" s="14" t="n"/>
      <c r="U93" s="53" t="n"/>
      <c r="V93" s="53" t="n"/>
      <c r="W93" s="53" t="n"/>
      <c r="X93" s="53" t="n"/>
      <c r="Y93" s="53" t="n"/>
      <c r="Z93" s="53" t="n"/>
      <c r="AA93" s="53" t="n"/>
      <c r="AB93" s="53" t="n"/>
      <c r="AC93" s="53" t="n"/>
      <c r="AD93" s="53" t="n"/>
      <c r="AE93" s="53" t="n"/>
      <c r="AF93" s="53" t="n"/>
      <c r="AG93" s="53" t="n"/>
      <c r="AH93" s="53" t="n"/>
      <c r="AI93" s="53" t="n"/>
      <c r="AJ93" s="53" t="n"/>
      <c r="AK93" s="53" t="n"/>
      <c r="AL93" s="53" t="n"/>
      <c r="AM93" s="53" t="n"/>
      <c r="AN93" s="53" t="n"/>
      <c r="AO93" s="53" t="n"/>
      <c r="AP93" s="53" t="n"/>
      <c r="AQ93" s="53" t="n"/>
      <c r="AR93" s="53" t="n"/>
      <c r="AS93" s="53" t="n"/>
      <c r="AT93" s="53" t="n"/>
      <c r="AU93" s="53" t="n"/>
      <c r="AV93" s="53" t="n"/>
      <c r="AW93" s="53" t="n"/>
      <c r="AX93" s="53" t="n"/>
      <c r="AY93" s="53" t="n"/>
    </row>
    <row r="94" ht="15" customHeight="1">
      <c r="A94" s="40">
        <f>IF($D$94="","",29)</f>
        <v/>
      </c>
      <c r="B94" s="10" t="n"/>
      <c r="C94" s="41" t="inlineStr">
        <is>
          <t>마케팅2팀</t>
        </is>
      </c>
      <c r="D94" s="42" t="n"/>
      <c r="E94" s="43" t="inlineStr">
        <is>
          <t>기획</t>
        </is>
      </c>
      <c r="F94" s="44" t="n"/>
      <c r="G94" s="45" t="n"/>
      <c r="H94" s="46">
        <f>IF($I$94="","",IF($I$94&lt;0,"🔴지연",IF($I$94&lt;=1,"🟡임박","🟢여유")))</f>
        <v/>
      </c>
      <c r="I94" s="47">
        <f>IF(OR($G$94="",$K$94=""),"",$G$94-$K$94)</f>
        <v/>
      </c>
      <c r="J94" s="48">
        <f>IF(SUM($L$94:$L$96)=0,"",SUM($L$94:$L$96))</f>
        <v/>
      </c>
      <c r="K94" s="49">
        <f>IF($J$94="","",MAX($N$94:$N$96))</f>
        <v/>
      </c>
      <c r="L94" s="50">
        <f>IF(SUM(U94:AY94)=0,"",SUM(U94:AY94))</f>
        <v/>
      </c>
      <c r="M94" s="51">
        <f>IFERROR(INDEX(U$2:AY$2,MATCH(TRUE,INDEX(U94:AY94&lt;&gt;"",0),0)),"")</f>
        <v/>
      </c>
      <c r="N94" s="51">
        <f>IFERROR(LOOKUP(2,1/(U94:AY94&lt;&gt;""),U$2:AY$2),"")</f>
        <v/>
      </c>
      <c r="O94" s="52" t="n"/>
      <c r="P94" s="52" t="n"/>
      <c r="Q94" s="52" t="n"/>
      <c r="R94" s="44" t="n"/>
      <c r="S94" s="14" t="n"/>
      <c r="U94" s="53" t="n"/>
      <c r="V94" s="53" t="n"/>
      <c r="W94" s="53" t="n"/>
      <c r="X94" s="53" t="n"/>
      <c r="Y94" s="53" t="n"/>
      <c r="Z94" s="53" t="n"/>
      <c r="AA94" s="53" t="n"/>
      <c r="AB94" s="53" t="n"/>
      <c r="AC94" s="53" t="n"/>
      <c r="AD94" s="53" t="n"/>
      <c r="AE94" s="53" t="n"/>
      <c r="AF94" s="53" t="n"/>
      <c r="AG94" s="53" t="n"/>
      <c r="AH94" s="53" t="n"/>
      <c r="AI94" s="53" t="n"/>
      <c r="AJ94" s="53" t="n"/>
      <c r="AK94" s="53" t="n"/>
      <c r="AL94" s="53" t="n"/>
      <c r="AM94" s="53" t="n"/>
      <c r="AN94" s="53" t="n"/>
      <c r="AO94" s="53" t="n"/>
      <c r="AP94" s="53" t="n"/>
      <c r="AQ94" s="53" t="n"/>
      <c r="AR94" s="53" t="n"/>
      <c r="AS94" s="53" t="n"/>
      <c r="AT94" s="53" t="n"/>
      <c r="AU94" s="53" t="n"/>
      <c r="AV94" s="53" t="n"/>
      <c r="AW94" s="53" t="n"/>
      <c r="AX94" s="53" t="n"/>
      <c r="AY94" s="53" t="n"/>
    </row>
    <row r="95" ht="15" customHeight="1">
      <c r="A95" s="54" t="n"/>
      <c r="B95" s="55">
        <f>IF($B$94="","",$B$94)</f>
        <v/>
      </c>
      <c r="C95" s="56" t="inlineStr">
        <is>
          <t>마케팅2팀</t>
        </is>
      </c>
      <c r="D95" s="55">
        <f>IF($D$94="","",$D$94)</f>
        <v/>
      </c>
      <c r="E95" s="57" t="inlineStr">
        <is>
          <t>이미지</t>
        </is>
      </c>
      <c r="F95" s="44" t="n"/>
      <c r="G95" s="58">
        <f>IF($G$94="","",$G$94)</f>
        <v/>
      </c>
      <c r="H95" s="59" t="n"/>
      <c r="I95" s="59" t="n"/>
      <c r="J95" s="59" t="n"/>
      <c r="K95" s="59" t="n"/>
      <c r="L95" s="60">
        <f>IF(SUM(U95:AY95)=0,"",SUM(U95:AY95))</f>
        <v/>
      </c>
      <c r="M95" s="61">
        <f>IFERROR(INDEX(U$2:AY$2,MATCH(TRUE,INDEX(U95:AY95&lt;&gt;"",0),0)),"")</f>
        <v/>
      </c>
      <c r="N95" s="61">
        <f>IFERROR(LOOKUP(2,1/(U95:AY95&lt;&gt;""),U$2:AY$2),"")</f>
        <v/>
      </c>
      <c r="O95" s="59" t="n"/>
      <c r="P95" s="59" t="n"/>
      <c r="Q95" s="59" t="n"/>
      <c r="R95" s="59" t="n"/>
      <c r="S95" s="14" t="n"/>
      <c r="U95" s="53" t="n"/>
      <c r="V95" s="53" t="n"/>
      <c r="W95" s="53" t="n"/>
      <c r="X95" s="53" t="n"/>
      <c r="Y95" s="53" t="n"/>
      <c r="Z95" s="53" t="n"/>
      <c r="AA95" s="53" t="n"/>
      <c r="AB95" s="53" t="n"/>
      <c r="AC95" s="53" t="n"/>
      <c r="AD95" s="53" t="n"/>
      <c r="AE95" s="53" t="n"/>
      <c r="AF95" s="53" t="n"/>
      <c r="AG95" s="53" t="n"/>
      <c r="AH95" s="53" t="n"/>
      <c r="AI95" s="53" t="n"/>
      <c r="AJ95" s="53" t="n"/>
      <c r="AK95" s="53" t="n"/>
      <c r="AL95" s="53" t="n"/>
      <c r="AM95" s="53" t="n"/>
      <c r="AN95" s="53" t="n"/>
      <c r="AO95" s="53" t="n"/>
      <c r="AP95" s="53" t="n"/>
      <c r="AQ95" s="53" t="n"/>
      <c r="AR95" s="53" t="n"/>
      <c r="AS95" s="53" t="n"/>
      <c r="AT95" s="53" t="n"/>
      <c r="AU95" s="53" t="n"/>
      <c r="AV95" s="53" t="n"/>
      <c r="AW95" s="53" t="n"/>
      <c r="AX95" s="53" t="n"/>
      <c r="AY95" s="53" t="n"/>
    </row>
    <row r="96" ht="15" customHeight="1">
      <c r="A96" s="62" t="n"/>
      <c r="B96" s="55">
        <f>IF($B$94="","",$B$94)</f>
        <v/>
      </c>
      <c r="C96" s="63" t="inlineStr">
        <is>
          <t>마케팅2팀</t>
        </is>
      </c>
      <c r="D96" s="55">
        <f>IF($D$94="","",$D$94)</f>
        <v/>
      </c>
      <c r="E96" s="64" t="inlineStr">
        <is>
          <t>영상</t>
        </is>
      </c>
      <c r="F96" s="44" t="n"/>
      <c r="G96" s="58">
        <f>IF($G$94="","",$G$94)</f>
        <v/>
      </c>
      <c r="H96" s="59" t="n"/>
      <c r="I96" s="59" t="n"/>
      <c r="J96" s="59" t="n"/>
      <c r="K96" s="59" t="n"/>
      <c r="L96" s="65">
        <f>IF(SUM(U96:AY96)=0,"",SUM(U96:AY96))</f>
        <v/>
      </c>
      <c r="M96" s="66">
        <f>IFERROR(INDEX(U$2:AY$2,MATCH(TRUE,INDEX(U96:AY96&lt;&gt;"",0),0)),"")</f>
        <v/>
      </c>
      <c r="N96" s="66">
        <f>IFERROR(LOOKUP(2,1/(U96:AY96&lt;&gt;""),U$2:AY$2),"")</f>
        <v/>
      </c>
      <c r="O96" s="59" t="n"/>
      <c r="P96" s="59" t="n"/>
      <c r="Q96" s="59" t="n"/>
      <c r="R96" s="59" t="n"/>
      <c r="S96" s="14" t="n"/>
      <c r="U96" s="53" t="n"/>
      <c r="V96" s="53" t="n"/>
      <c r="W96" s="53" t="n"/>
      <c r="X96" s="53" t="n"/>
      <c r="Y96" s="53" t="n"/>
      <c r="Z96" s="53" t="n"/>
      <c r="AA96" s="53" t="n"/>
      <c r="AB96" s="53" t="n"/>
      <c r="AC96" s="53" t="n"/>
      <c r="AD96" s="53" t="n"/>
      <c r="AE96" s="53" t="n"/>
      <c r="AF96" s="53" t="n"/>
      <c r="AG96" s="53" t="n"/>
      <c r="AH96" s="53" t="n"/>
      <c r="AI96" s="53" t="n"/>
      <c r="AJ96" s="53" t="n"/>
      <c r="AK96" s="53" t="n"/>
      <c r="AL96" s="53" t="n"/>
      <c r="AM96" s="53" t="n"/>
      <c r="AN96" s="53" t="n"/>
      <c r="AO96" s="53" t="n"/>
      <c r="AP96" s="53" t="n"/>
      <c r="AQ96" s="53" t="n"/>
      <c r="AR96" s="53" t="n"/>
      <c r="AS96" s="53" t="n"/>
      <c r="AT96" s="53" t="n"/>
      <c r="AU96" s="53" t="n"/>
      <c r="AV96" s="53" t="n"/>
      <c r="AW96" s="53" t="n"/>
      <c r="AX96" s="53" t="n"/>
      <c r="AY96" s="53" t="n"/>
    </row>
    <row r="97" ht="15" customHeight="1">
      <c r="A97" s="40">
        <f>IF($D$97="","",30)</f>
        <v/>
      </c>
      <c r="B97" s="10" t="n"/>
      <c r="C97" s="41" t="inlineStr">
        <is>
          <t>마케팅2팀</t>
        </is>
      </c>
      <c r="D97" s="42" t="n"/>
      <c r="E97" s="43" t="inlineStr">
        <is>
          <t>기획</t>
        </is>
      </c>
      <c r="F97" s="44" t="n"/>
      <c r="G97" s="45" t="n"/>
      <c r="H97" s="46">
        <f>IF($I$97="","",IF($I$97&lt;0,"🔴지연",IF($I$97&lt;=1,"🟡임박","🟢여유")))</f>
        <v/>
      </c>
      <c r="I97" s="47">
        <f>IF(OR($G$97="",$K$97=""),"",$G$97-$K$97)</f>
        <v/>
      </c>
      <c r="J97" s="48">
        <f>IF(SUM($L$97:$L$99)=0,"",SUM($L$97:$L$99))</f>
        <v/>
      </c>
      <c r="K97" s="49">
        <f>IF($J$97="","",MAX($N$97:$N$99))</f>
        <v/>
      </c>
      <c r="L97" s="50">
        <f>IF(SUM(U97:AY97)=0,"",SUM(U97:AY97))</f>
        <v/>
      </c>
      <c r="M97" s="51">
        <f>IFERROR(INDEX(U$2:AY$2,MATCH(TRUE,INDEX(U97:AY97&lt;&gt;"",0),0)),"")</f>
        <v/>
      </c>
      <c r="N97" s="51">
        <f>IFERROR(LOOKUP(2,1/(U97:AY97&lt;&gt;""),U$2:AY$2),"")</f>
        <v/>
      </c>
      <c r="O97" s="52" t="n"/>
      <c r="P97" s="52" t="n"/>
      <c r="Q97" s="52" t="n"/>
      <c r="R97" s="44" t="n"/>
      <c r="S97" s="14" t="n"/>
      <c r="U97" s="53" t="n"/>
      <c r="V97" s="53" t="n"/>
      <c r="W97" s="53" t="n"/>
      <c r="X97" s="53" t="n"/>
      <c r="Y97" s="53" t="n"/>
      <c r="Z97" s="53" t="n"/>
      <c r="AA97" s="53" t="n"/>
      <c r="AB97" s="53" t="n"/>
      <c r="AC97" s="53" t="n"/>
      <c r="AD97" s="53" t="n"/>
      <c r="AE97" s="53" t="n"/>
      <c r="AF97" s="53" t="n"/>
      <c r="AG97" s="53" t="n"/>
      <c r="AH97" s="53" t="n"/>
      <c r="AI97" s="53" t="n"/>
      <c r="AJ97" s="53" t="n"/>
      <c r="AK97" s="53" t="n"/>
      <c r="AL97" s="53" t="n"/>
      <c r="AM97" s="53" t="n"/>
      <c r="AN97" s="53" t="n"/>
      <c r="AO97" s="53" t="n"/>
      <c r="AP97" s="53" t="n"/>
      <c r="AQ97" s="53" t="n"/>
      <c r="AR97" s="53" t="n"/>
      <c r="AS97" s="53" t="n"/>
      <c r="AT97" s="53" t="n"/>
      <c r="AU97" s="53" t="n"/>
      <c r="AV97" s="53" t="n"/>
      <c r="AW97" s="53" t="n"/>
      <c r="AX97" s="53" t="n"/>
      <c r="AY97" s="53" t="n"/>
    </row>
    <row r="98" ht="15" customHeight="1">
      <c r="A98" s="54" t="n"/>
      <c r="B98" s="55">
        <f>IF($B$97="","",$B$97)</f>
        <v/>
      </c>
      <c r="C98" s="56" t="inlineStr">
        <is>
          <t>마케팅2팀</t>
        </is>
      </c>
      <c r="D98" s="55">
        <f>IF($D$97="","",$D$97)</f>
        <v/>
      </c>
      <c r="E98" s="57" t="inlineStr">
        <is>
          <t>이미지</t>
        </is>
      </c>
      <c r="F98" s="44" t="n"/>
      <c r="G98" s="58">
        <f>IF($G$97="","",$G$97)</f>
        <v/>
      </c>
      <c r="H98" s="59" t="n"/>
      <c r="I98" s="59" t="n"/>
      <c r="J98" s="59" t="n"/>
      <c r="K98" s="59" t="n"/>
      <c r="L98" s="60">
        <f>IF(SUM(U98:AY98)=0,"",SUM(U98:AY98))</f>
        <v/>
      </c>
      <c r="M98" s="61">
        <f>IFERROR(INDEX(U$2:AY$2,MATCH(TRUE,INDEX(U98:AY98&lt;&gt;"",0),0)),"")</f>
        <v/>
      </c>
      <c r="N98" s="61">
        <f>IFERROR(LOOKUP(2,1/(U98:AY98&lt;&gt;""),U$2:AY$2),"")</f>
        <v/>
      </c>
      <c r="O98" s="59" t="n"/>
      <c r="P98" s="59" t="n"/>
      <c r="Q98" s="59" t="n"/>
      <c r="R98" s="59" t="n"/>
      <c r="S98" s="14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3" t="n"/>
      <c r="AN98" s="53" t="n"/>
      <c r="AO98" s="53" t="n"/>
      <c r="AP98" s="53" t="n"/>
      <c r="AQ98" s="53" t="n"/>
      <c r="AR98" s="53" t="n"/>
      <c r="AS98" s="53" t="n"/>
      <c r="AT98" s="53" t="n"/>
      <c r="AU98" s="53" t="n"/>
      <c r="AV98" s="53" t="n"/>
      <c r="AW98" s="53" t="n"/>
      <c r="AX98" s="53" t="n"/>
      <c r="AY98" s="53" t="n"/>
    </row>
    <row r="99" ht="15" customHeight="1">
      <c r="A99" s="62" t="n"/>
      <c r="B99" s="55">
        <f>IF($B$97="","",$B$97)</f>
        <v/>
      </c>
      <c r="C99" s="63" t="inlineStr">
        <is>
          <t>마케팅2팀</t>
        </is>
      </c>
      <c r="D99" s="55">
        <f>IF($D$97="","",$D$97)</f>
        <v/>
      </c>
      <c r="E99" s="64" t="inlineStr">
        <is>
          <t>영상</t>
        </is>
      </c>
      <c r="F99" s="44" t="n"/>
      <c r="G99" s="58">
        <f>IF($G$97="","",$G$97)</f>
        <v/>
      </c>
      <c r="H99" s="59" t="n"/>
      <c r="I99" s="59" t="n"/>
      <c r="J99" s="59" t="n"/>
      <c r="K99" s="59" t="n"/>
      <c r="L99" s="65">
        <f>IF(SUM(U99:AY99)=0,"",SUM(U99:AY99))</f>
        <v/>
      </c>
      <c r="M99" s="66">
        <f>IFERROR(INDEX(U$2:AY$2,MATCH(TRUE,INDEX(U99:AY99&lt;&gt;"",0),0)),"")</f>
        <v/>
      </c>
      <c r="N99" s="66">
        <f>IFERROR(LOOKUP(2,1/(U99:AY99&lt;&gt;""),U$2:AY$2),"")</f>
        <v/>
      </c>
      <c r="O99" s="59" t="n"/>
      <c r="P99" s="59" t="n"/>
      <c r="Q99" s="59" t="n"/>
      <c r="R99" s="59" t="n"/>
      <c r="S99" s="14" t="n"/>
      <c r="U99" s="53" t="n"/>
      <c r="V99" s="53" t="n"/>
      <c r="W99" s="53" t="n"/>
      <c r="X99" s="53" t="n"/>
      <c r="Y99" s="53" t="n"/>
      <c r="Z99" s="53" t="n"/>
      <c r="AA99" s="53" t="n"/>
      <c r="AB99" s="53" t="n"/>
      <c r="AC99" s="53" t="n"/>
      <c r="AD99" s="53" t="n"/>
      <c r="AE99" s="53" t="n"/>
      <c r="AF99" s="53" t="n"/>
      <c r="AG99" s="53" t="n"/>
      <c r="AH99" s="53" t="n"/>
      <c r="AI99" s="53" t="n"/>
      <c r="AJ99" s="53" t="n"/>
      <c r="AK99" s="53" t="n"/>
      <c r="AL99" s="53" t="n"/>
      <c r="AM99" s="53" t="n"/>
      <c r="AN99" s="53" t="n"/>
      <c r="AO99" s="53" t="n"/>
      <c r="AP99" s="53" t="n"/>
      <c r="AQ99" s="53" t="n"/>
      <c r="AR99" s="53" t="n"/>
      <c r="AS99" s="53" t="n"/>
      <c r="AT99" s="53" t="n"/>
      <c r="AU99" s="53" t="n"/>
      <c r="AV99" s="53" t="n"/>
      <c r="AW99" s="53" t="n"/>
      <c r="AX99" s="53" t="n"/>
      <c r="AY99" s="53" t="n"/>
    </row>
    <row r="100" ht="15" customHeight="1">
      <c r="A100" s="40">
        <f>IF($D$100="","",31)</f>
        <v/>
      </c>
      <c r="B100" s="10" t="n"/>
      <c r="C100" s="41" t="inlineStr">
        <is>
          <t>마케팅2팀</t>
        </is>
      </c>
      <c r="D100" s="42" t="n"/>
      <c r="E100" s="43" t="inlineStr">
        <is>
          <t>기획</t>
        </is>
      </c>
      <c r="F100" s="44" t="n"/>
      <c r="G100" s="45" t="n"/>
      <c r="H100" s="46">
        <f>IF($I$100="","",IF($I$100&lt;0,"🔴지연",IF($I$100&lt;=1,"🟡임박","🟢여유")))</f>
        <v/>
      </c>
      <c r="I100" s="47">
        <f>IF(OR($G$100="",$K$100=""),"",$G$100-$K$100)</f>
        <v/>
      </c>
      <c r="J100" s="48">
        <f>IF(SUM($L$100:$L$102)=0,"",SUM($L$100:$L$102))</f>
        <v/>
      </c>
      <c r="K100" s="49">
        <f>IF($J$100="","",MAX($N$100:$N$102))</f>
        <v/>
      </c>
      <c r="L100" s="50">
        <f>IF(SUM(U100:AY100)=0,"",SUM(U100:AY100))</f>
        <v/>
      </c>
      <c r="M100" s="51">
        <f>IFERROR(INDEX(U$2:AY$2,MATCH(TRUE,INDEX(U100:AY100&lt;&gt;"",0),0)),"")</f>
        <v/>
      </c>
      <c r="N100" s="51">
        <f>IFERROR(LOOKUP(2,1/(U100:AY100&lt;&gt;""),U$2:AY$2),"")</f>
        <v/>
      </c>
      <c r="O100" s="52" t="n"/>
      <c r="P100" s="52" t="n"/>
      <c r="Q100" s="52" t="n"/>
      <c r="R100" s="44" t="n"/>
      <c r="S100" s="14" t="n"/>
      <c r="U100" s="53" t="n"/>
      <c r="V100" s="53" t="n"/>
      <c r="W100" s="53" t="n"/>
      <c r="X100" s="53" t="n"/>
      <c r="Y100" s="53" t="n"/>
      <c r="Z100" s="53" t="n"/>
      <c r="AA100" s="53" t="n"/>
      <c r="AB100" s="53" t="n"/>
      <c r="AC100" s="53" t="n"/>
      <c r="AD100" s="53" t="n"/>
      <c r="AE100" s="53" t="n"/>
      <c r="AF100" s="53" t="n"/>
      <c r="AG100" s="53" t="n"/>
      <c r="AH100" s="53" t="n"/>
      <c r="AI100" s="53" t="n"/>
      <c r="AJ100" s="53" t="n"/>
      <c r="AK100" s="53" t="n"/>
      <c r="AL100" s="53" t="n"/>
      <c r="AM100" s="53" t="n"/>
      <c r="AN100" s="53" t="n"/>
      <c r="AO100" s="53" t="n"/>
      <c r="AP100" s="53" t="n"/>
      <c r="AQ100" s="53" t="n"/>
      <c r="AR100" s="53" t="n"/>
      <c r="AS100" s="53" t="n"/>
      <c r="AT100" s="53" t="n"/>
      <c r="AU100" s="53" t="n"/>
      <c r="AV100" s="53" t="n"/>
      <c r="AW100" s="53" t="n"/>
      <c r="AX100" s="53" t="n"/>
      <c r="AY100" s="53" t="n"/>
    </row>
    <row r="101" ht="15" customHeight="1">
      <c r="A101" s="54" t="n"/>
      <c r="B101" s="55">
        <f>IF($B$100="","",$B$100)</f>
        <v/>
      </c>
      <c r="C101" s="56" t="inlineStr">
        <is>
          <t>마케팅2팀</t>
        </is>
      </c>
      <c r="D101" s="55">
        <f>IF($D$100="","",$D$100)</f>
        <v/>
      </c>
      <c r="E101" s="57" t="inlineStr">
        <is>
          <t>이미지</t>
        </is>
      </c>
      <c r="F101" s="44" t="n"/>
      <c r="G101" s="58">
        <f>IF($G$100="","",$G$100)</f>
        <v/>
      </c>
      <c r="H101" s="59" t="n"/>
      <c r="I101" s="59" t="n"/>
      <c r="J101" s="59" t="n"/>
      <c r="K101" s="59" t="n"/>
      <c r="L101" s="60">
        <f>IF(SUM(U101:AY101)=0,"",SUM(U101:AY101))</f>
        <v/>
      </c>
      <c r="M101" s="61">
        <f>IFERROR(INDEX(U$2:AY$2,MATCH(TRUE,INDEX(U101:AY101&lt;&gt;"",0),0)),"")</f>
        <v/>
      </c>
      <c r="N101" s="61">
        <f>IFERROR(LOOKUP(2,1/(U101:AY101&lt;&gt;""),U$2:AY$2),"")</f>
        <v/>
      </c>
      <c r="O101" s="59" t="n"/>
      <c r="P101" s="59" t="n"/>
      <c r="Q101" s="59" t="n"/>
      <c r="R101" s="59" t="n"/>
      <c r="S101" s="14" t="n"/>
      <c r="U101" s="53" t="n"/>
      <c r="V101" s="53" t="n"/>
      <c r="W101" s="53" t="n"/>
      <c r="X101" s="53" t="n"/>
      <c r="Y101" s="53" t="n"/>
      <c r="Z101" s="53" t="n"/>
      <c r="AA101" s="53" t="n"/>
      <c r="AB101" s="53" t="n"/>
      <c r="AC101" s="53" t="n"/>
      <c r="AD101" s="53" t="n"/>
      <c r="AE101" s="53" t="n"/>
      <c r="AF101" s="53" t="n"/>
      <c r="AG101" s="53" t="n"/>
      <c r="AH101" s="53" t="n"/>
      <c r="AI101" s="53" t="n"/>
      <c r="AJ101" s="53" t="n"/>
      <c r="AK101" s="53" t="n"/>
      <c r="AL101" s="53" t="n"/>
      <c r="AM101" s="53" t="n"/>
      <c r="AN101" s="53" t="n"/>
      <c r="AO101" s="53" t="n"/>
      <c r="AP101" s="53" t="n"/>
      <c r="AQ101" s="53" t="n"/>
      <c r="AR101" s="53" t="n"/>
      <c r="AS101" s="53" t="n"/>
      <c r="AT101" s="53" t="n"/>
      <c r="AU101" s="53" t="n"/>
      <c r="AV101" s="53" t="n"/>
      <c r="AW101" s="53" t="n"/>
      <c r="AX101" s="53" t="n"/>
      <c r="AY101" s="53" t="n"/>
    </row>
    <row r="102" ht="15" customHeight="1">
      <c r="A102" s="62" t="n"/>
      <c r="B102" s="55">
        <f>IF($B$100="","",$B$100)</f>
        <v/>
      </c>
      <c r="C102" s="63" t="inlineStr">
        <is>
          <t>마케팅2팀</t>
        </is>
      </c>
      <c r="D102" s="55">
        <f>IF($D$100="","",$D$100)</f>
        <v/>
      </c>
      <c r="E102" s="64" t="inlineStr">
        <is>
          <t>영상</t>
        </is>
      </c>
      <c r="F102" s="44" t="n"/>
      <c r="G102" s="58">
        <f>IF($G$100="","",$G$100)</f>
        <v/>
      </c>
      <c r="H102" s="59" t="n"/>
      <c r="I102" s="59" t="n"/>
      <c r="J102" s="59" t="n"/>
      <c r="K102" s="59" t="n"/>
      <c r="L102" s="65">
        <f>IF(SUM(U102:AY102)=0,"",SUM(U102:AY102))</f>
        <v/>
      </c>
      <c r="M102" s="66">
        <f>IFERROR(INDEX(U$2:AY$2,MATCH(TRUE,INDEX(U102:AY102&lt;&gt;"",0),0)),"")</f>
        <v/>
      </c>
      <c r="N102" s="66">
        <f>IFERROR(LOOKUP(2,1/(U102:AY102&lt;&gt;""),U$2:AY$2),"")</f>
        <v/>
      </c>
      <c r="O102" s="59" t="n"/>
      <c r="P102" s="59" t="n"/>
      <c r="Q102" s="59" t="n"/>
      <c r="R102" s="59" t="n"/>
      <c r="S102" s="14" t="n"/>
      <c r="U102" s="53" t="n"/>
      <c r="V102" s="53" t="n"/>
      <c r="W102" s="53" t="n"/>
      <c r="X102" s="53" t="n"/>
      <c r="Y102" s="53" t="n"/>
      <c r="Z102" s="53" t="n"/>
      <c r="AA102" s="53" t="n"/>
      <c r="AB102" s="53" t="n"/>
      <c r="AC102" s="53" t="n"/>
      <c r="AD102" s="53" t="n"/>
      <c r="AE102" s="53" t="n"/>
      <c r="AF102" s="53" t="n"/>
      <c r="AG102" s="53" t="n"/>
      <c r="AH102" s="53" t="n"/>
      <c r="AI102" s="53" t="n"/>
      <c r="AJ102" s="53" t="n"/>
      <c r="AK102" s="53" t="n"/>
      <c r="AL102" s="53" t="n"/>
      <c r="AM102" s="53" t="n"/>
      <c r="AN102" s="53" t="n"/>
      <c r="AO102" s="53" t="n"/>
      <c r="AP102" s="53" t="n"/>
      <c r="AQ102" s="53" t="n"/>
      <c r="AR102" s="53" t="n"/>
      <c r="AS102" s="53" t="n"/>
      <c r="AT102" s="53" t="n"/>
      <c r="AU102" s="53" t="n"/>
      <c r="AV102" s="53" t="n"/>
      <c r="AW102" s="53" t="n"/>
      <c r="AX102" s="53" t="n"/>
      <c r="AY102" s="53" t="n"/>
    </row>
    <row r="103" ht="15" customHeight="1">
      <c r="A103" s="40">
        <f>IF($D$103="","",32)</f>
        <v/>
      </c>
      <c r="B103" s="10" t="n"/>
      <c r="C103" s="41" t="inlineStr">
        <is>
          <t>마케팅2팀</t>
        </is>
      </c>
      <c r="D103" s="42" t="n"/>
      <c r="E103" s="43" t="inlineStr">
        <is>
          <t>기획</t>
        </is>
      </c>
      <c r="F103" s="44" t="n"/>
      <c r="G103" s="45" t="n"/>
      <c r="H103" s="46">
        <f>IF($I$103="","",IF($I$103&lt;0,"🔴지연",IF($I$103&lt;=1,"🟡임박","🟢여유")))</f>
        <v/>
      </c>
      <c r="I103" s="47">
        <f>IF(OR($G$103="",$K$103=""),"",$G$103-$K$103)</f>
        <v/>
      </c>
      <c r="J103" s="48">
        <f>IF(SUM($L$103:$L$105)=0,"",SUM($L$103:$L$105))</f>
        <v/>
      </c>
      <c r="K103" s="49">
        <f>IF($J$103="","",MAX($N$103:$N$105))</f>
        <v/>
      </c>
      <c r="L103" s="50">
        <f>IF(SUM(U103:AY103)=0,"",SUM(U103:AY103))</f>
        <v/>
      </c>
      <c r="M103" s="51">
        <f>IFERROR(INDEX(U$2:AY$2,MATCH(TRUE,INDEX(U103:AY103&lt;&gt;"",0),0)),"")</f>
        <v/>
      </c>
      <c r="N103" s="51">
        <f>IFERROR(LOOKUP(2,1/(U103:AY103&lt;&gt;""),U$2:AY$2),"")</f>
        <v/>
      </c>
      <c r="O103" s="52" t="n"/>
      <c r="P103" s="52" t="n"/>
      <c r="Q103" s="52" t="n"/>
      <c r="R103" s="44" t="n"/>
      <c r="S103" s="14" t="n"/>
      <c r="U103" s="53" t="n"/>
      <c r="V103" s="53" t="n"/>
      <c r="W103" s="53" t="n"/>
      <c r="X103" s="53" t="n"/>
      <c r="Y103" s="53" t="n"/>
      <c r="Z103" s="53" t="n"/>
      <c r="AA103" s="53" t="n"/>
      <c r="AB103" s="53" t="n"/>
      <c r="AC103" s="53" t="n"/>
      <c r="AD103" s="53" t="n"/>
      <c r="AE103" s="53" t="n"/>
      <c r="AF103" s="53" t="n"/>
      <c r="AG103" s="53" t="n"/>
      <c r="AH103" s="53" t="n"/>
      <c r="AI103" s="53" t="n"/>
      <c r="AJ103" s="53" t="n"/>
      <c r="AK103" s="53" t="n"/>
      <c r="AL103" s="53" t="n"/>
      <c r="AM103" s="53" t="n"/>
      <c r="AN103" s="53" t="n"/>
      <c r="AO103" s="53" t="n"/>
      <c r="AP103" s="53" t="n"/>
      <c r="AQ103" s="53" t="n"/>
      <c r="AR103" s="53" t="n"/>
      <c r="AS103" s="53" t="n"/>
      <c r="AT103" s="53" t="n"/>
      <c r="AU103" s="53" t="n"/>
      <c r="AV103" s="53" t="n"/>
      <c r="AW103" s="53" t="n"/>
      <c r="AX103" s="53" t="n"/>
      <c r="AY103" s="53" t="n"/>
    </row>
    <row r="104" ht="15" customHeight="1">
      <c r="A104" s="54" t="n"/>
      <c r="B104" s="55">
        <f>IF($B$103="","",$B$103)</f>
        <v/>
      </c>
      <c r="C104" s="56" t="inlineStr">
        <is>
          <t>마케팅2팀</t>
        </is>
      </c>
      <c r="D104" s="55">
        <f>IF($D$103="","",$D$103)</f>
        <v/>
      </c>
      <c r="E104" s="57" t="inlineStr">
        <is>
          <t>이미지</t>
        </is>
      </c>
      <c r="F104" s="44" t="n"/>
      <c r="G104" s="58">
        <f>IF($G$103="","",$G$103)</f>
        <v/>
      </c>
      <c r="H104" s="59" t="n"/>
      <c r="I104" s="59" t="n"/>
      <c r="J104" s="59" t="n"/>
      <c r="K104" s="59" t="n"/>
      <c r="L104" s="60">
        <f>IF(SUM(U104:AY104)=0,"",SUM(U104:AY104))</f>
        <v/>
      </c>
      <c r="M104" s="61">
        <f>IFERROR(INDEX(U$2:AY$2,MATCH(TRUE,INDEX(U104:AY104&lt;&gt;"",0),0)),"")</f>
        <v/>
      </c>
      <c r="N104" s="61">
        <f>IFERROR(LOOKUP(2,1/(U104:AY104&lt;&gt;""),U$2:AY$2),"")</f>
        <v/>
      </c>
      <c r="O104" s="59" t="n"/>
      <c r="P104" s="59" t="n"/>
      <c r="Q104" s="59" t="n"/>
      <c r="R104" s="59" t="n"/>
      <c r="S104" s="14" t="n"/>
      <c r="U104" s="53" t="n"/>
      <c r="V104" s="53" t="n"/>
      <c r="W104" s="53" t="n"/>
      <c r="X104" s="53" t="n"/>
      <c r="Y104" s="53" t="n"/>
      <c r="Z104" s="53" t="n"/>
      <c r="AA104" s="53" t="n"/>
      <c r="AB104" s="53" t="n"/>
      <c r="AC104" s="53" t="n"/>
      <c r="AD104" s="53" t="n"/>
      <c r="AE104" s="53" t="n"/>
      <c r="AF104" s="53" t="n"/>
      <c r="AG104" s="53" t="n"/>
      <c r="AH104" s="53" t="n"/>
      <c r="AI104" s="53" t="n"/>
      <c r="AJ104" s="53" t="n"/>
      <c r="AK104" s="53" t="n"/>
      <c r="AL104" s="53" t="n"/>
      <c r="AM104" s="53" t="n"/>
      <c r="AN104" s="53" t="n"/>
      <c r="AO104" s="53" t="n"/>
      <c r="AP104" s="53" t="n"/>
      <c r="AQ104" s="53" t="n"/>
      <c r="AR104" s="53" t="n"/>
      <c r="AS104" s="53" t="n"/>
      <c r="AT104" s="53" t="n"/>
      <c r="AU104" s="53" t="n"/>
      <c r="AV104" s="53" t="n"/>
      <c r="AW104" s="53" t="n"/>
      <c r="AX104" s="53" t="n"/>
      <c r="AY104" s="53" t="n"/>
    </row>
    <row r="105" ht="15" customHeight="1">
      <c r="A105" s="62" t="n"/>
      <c r="B105" s="55">
        <f>IF($B$103="","",$B$103)</f>
        <v/>
      </c>
      <c r="C105" s="63" t="inlineStr">
        <is>
          <t>마케팅2팀</t>
        </is>
      </c>
      <c r="D105" s="55">
        <f>IF($D$103="","",$D$103)</f>
        <v/>
      </c>
      <c r="E105" s="64" t="inlineStr">
        <is>
          <t>영상</t>
        </is>
      </c>
      <c r="F105" s="44" t="n"/>
      <c r="G105" s="58">
        <f>IF($G$103="","",$G$103)</f>
        <v/>
      </c>
      <c r="H105" s="59" t="n"/>
      <c r="I105" s="59" t="n"/>
      <c r="J105" s="59" t="n"/>
      <c r="K105" s="59" t="n"/>
      <c r="L105" s="65">
        <f>IF(SUM(U105:AY105)=0,"",SUM(U105:AY105))</f>
        <v/>
      </c>
      <c r="M105" s="66">
        <f>IFERROR(INDEX(U$2:AY$2,MATCH(TRUE,INDEX(U105:AY105&lt;&gt;"",0),0)),"")</f>
        <v/>
      </c>
      <c r="N105" s="66">
        <f>IFERROR(LOOKUP(2,1/(U105:AY105&lt;&gt;""),U$2:AY$2),"")</f>
        <v/>
      </c>
      <c r="O105" s="59" t="n"/>
      <c r="P105" s="59" t="n"/>
      <c r="Q105" s="59" t="n"/>
      <c r="R105" s="59" t="n"/>
      <c r="S105" s="14" t="n"/>
      <c r="U105" s="53" t="n"/>
      <c r="V105" s="53" t="n"/>
      <c r="W105" s="53" t="n"/>
      <c r="X105" s="53" t="n"/>
      <c r="Y105" s="53" t="n"/>
      <c r="Z105" s="53" t="n"/>
      <c r="AA105" s="53" t="n"/>
      <c r="AB105" s="53" t="n"/>
      <c r="AC105" s="53" t="n"/>
      <c r="AD105" s="53" t="n"/>
      <c r="AE105" s="53" t="n"/>
      <c r="AF105" s="53" t="n"/>
      <c r="AG105" s="53" t="n"/>
      <c r="AH105" s="53" t="n"/>
      <c r="AI105" s="53" t="n"/>
      <c r="AJ105" s="53" t="n"/>
      <c r="AK105" s="53" t="n"/>
      <c r="AL105" s="53" t="n"/>
      <c r="AM105" s="53" t="n"/>
      <c r="AN105" s="53" t="n"/>
      <c r="AO105" s="53" t="n"/>
      <c r="AP105" s="53" t="n"/>
      <c r="AQ105" s="53" t="n"/>
      <c r="AR105" s="53" t="n"/>
      <c r="AS105" s="53" t="n"/>
      <c r="AT105" s="53" t="n"/>
      <c r="AU105" s="53" t="n"/>
      <c r="AV105" s="53" t="n"/>
      <c r="AW105" s="53" t="n"/>
      <c r="AX105" s="53" t="n"/>
      <c r="AY105" s="53" t="n"/>
    </row>
    <row r="106" ht="15" customHeight="1">
      <c r="A106" s="40">
        <f>IF($D$106="","",33)</f>
        <v/>
      </c>
      <c r="B106" s="10" t="n"/>
      <c r="C106" s="41" t="inlineStr">
        <is>
          <t>마케팅2팀</t>
        </is>
      </c>
      <c r="D106" s="42" t="n"/>
      <c r="E106" s="43" t="inlineStr">
        <is>
          <t>기획</t>
        </is>
      </c>
      <c r="F106" s="44" t="n"/>
      <c r="G106" s="45" t="n"/>
      <c r="H106" s="46">
        <f>IF($I$106="","",IF($I$106&lt;0,"🔴지연",IF($I$106&lt;=1,"🟡임박","🟢여유")))</f>
        <v/>
      </c>
      <c r="I106" s="47">
        <f>IF(OR($G$106="",$K$106=""),"",$G$106-$K$106)</f>
        <v/>
      </c>
      <c r="J106" s="48">
        <f>IF(SUM($L$106:$L$108)=0,"",SUM($L$106:$L$108))</f>
        <v/>
      </c>
      <c r="K106" s="49">
        <f>IF($J$106="","",MAX($N$106:$N$108))</f>
        <v/>
      </c>
      <c r="L106" s="50">
        <f>IF(SUM(U106:AY106)=0,"",SUM(U106:AY106))</f>
        <v/>
      </c>
      <c r="M106" s="51">
        <f>IFERROR(INDEX(U$2:AY$2,MATCH(TRUE,INDEX(U106:AY106&lt;&gt;"",0),0)),"")</f>
        <v/>
      </c>
      <c r="N106" s="51">
        <f>IFERROR(LOOKUP(2,1/(U106:AY106&lt;&gt;""),U$2:AY$2),"")</f>
        <v/>
      </c>
      <c r="O106" s="52" t="n"/>
      <c r="P106" s="52" t="n"/>
      <c r="Q106" s="52" t="n"/>
      <c r="R106" s="44" t="n"/>
      <c r="S106" s="14" t="n"/>
      <c r="U106" s="53" t="n"/>
      <c r="V106" s="53" t="n"/>
      <c r="W106" s="53" t="n"/>
      <c r="X106" s="53" t="n"/>
      <c r="Y106" s="53" t="n"/>
      <c r="Z106" s="53" t="n"/>
      <c r="AA106" s="53" t="n"/>
      <c r="AB106" s="53" t="n"/>
      <c r="AC106" s="53" t="n"/>
      <c r="AD106" s="53" t="n"/>
      <c r="AE106" s="53" t="n"/>
      <c r="AF106" s="53" t="n"/>
      <c r="AG106" s="53" t="n"/>
      <c r="AH106" s="53" t="n"/>
      <c r="AI106" s="53" t="n"/>
      <c r="AJ106" s="53" t="n"/>
      <c r="AK106" s="53" t="n"/>
      <c r="AL106" s="53" t="n"/>
      <c r="AM106" s="53" t="n"/>
      <c r="AN106" s="53" t="n"/>
      <c r="AO106" s="53" t="n"/>
      <c r="AP106" s="53" t="n"/>
      <c r="AQ106" s="53" t="n"/>
      <c r="AR106" s="53" t="n"/>
      <c r="AS106" s="53" t="n"/>
      <c r="AT106" s="53" t="n"/>
      <c r="AU106" s="53" t="n"/>
      <c r="AV106" s="53" t="n"/>
      <c r="AW106" s="53" t="n"/>
      <c r="AX106" s="53" t="n"/>
      <c r="AY106" s="53" t="n"/>
    </row>
    <row r="107" ht="15" customHeight="1">
      <c r="A107" s="54" t="n"/>
      <c r="B107" s="55">
        <f>IF($B$106="","",$B$106)</f>
        <v/>
      </c>
      <c r="C107" s="56" t="inlineStr">
        <is>
          <t>마케팅2팀</t>
        </is>
      </c>
      <c r="D107" s="55">
        <f>IF($D$106="","",$D$106)</f>
        <v/>
      </c>
      <c r="E107" s="57" t="inlineStr">
        <is>
          <t>이미지</t>
        </is>
      </c>
      <c r="F107" s="44" t="n"/>
      <c r="G107" s="58">
        <f>IF($G$106="","",$G$106)</f>
        <v/>
      </c>
      <c r="H107" s="59" t="n"/>
      <c r="I107" s="59" t="n"/>
      <c r="J107" s="59" t="n"/>
      <c r="K107" s="59" t="n"/>
      <c r="L107" s="60">
        <f>IF(SUM(U107:AY107)=0,"",SUM(U107:AY107))</f>
        <v/>
      </c>
      <c r="M107" s="61">
        <f>IFERROR(INDEX(U$2:AY$2,MATCH(TRUE,INDEX(U107:AY107&lt;&gt;"",0),0)),"")</f>
        <v/>
      </c>
      <c r="N107" s="61">
        <f>IFERROR(LOOKUP(2,1/(U107:AY107&lt;&gt;""),U$2:AY$2),"")</f>
        <v/>
      </c>
      <c r="O107" s="59" t="n"/>
      <c r="P107" s="59" t="n"/>
      <c r="Q107" s="59" t="n"/>
      <c r="R107" s="59" t="n"/>
      <c r="S107" s="14" t="n"/>
      <c r="U107" s="53" t="n"/>
      <c r="V107" s="53" t="n"/>
      <c r="W107" s="53" t="n"/>
      <c r="X107" s="53" t="n"/>
      <c r="Y107" s="53" t="n"/>
      <c r="Z107" s="53" t="n"/>
      <c r="AA107" s="53" t="n"/>
      <c r="AB107" s="53" t="n"/>
      <c r="AC107" s="53" t="n"/>
      <c r="AD107" s="53" t="n"/>
      <c r="AE107" s="53" t="n"/>
      <c r="AF107" s="53" t="n"/>
      <c r="AG107" s="53" t="n"/>
      <c r="AH107" s="53" t="n"/>
      <c r="AI107" s="53" t="n"/>
      <c r="AJ107" s="53" t="n"/>
      <c r="AK107" s="53" t="n"/>
      <c r="AL107" s="53" t="n"/>
      <c r="AM107" s="53" t="n"/>
      <c r="AN107" s="53" t="n"/>
      <c r="AO107" s="53" t="n"/>
      <c r="AP107" s="53" t="n"/>
      <c r="AQ107" s="53" t="n"/>
      <c r="AR107" s="53" t="n"/>
      <c r="AS107" s="53" t="n"/>
      <c r="AT107" s="53" t="n"/>
      <c r="AU107" s="53" t="n"/>
      <c r="AV107" s="53" t="n"/>
      <c r="AW107" s="53" t="n"/>
      <c r="AX107" s="53" t="n"/>
      <c r="AY107" s="53" t="n"/>
    </row>
    <row r="108" ht="15" customHeight="1">
      <c r="A108" s="62" t="n"/>
      <c r="B108" s="55">
        <f>IF($B$106="","",$B$106)</f>
        <v/>
      </c>
      <c r="C108" s="63" t="inlineStr">
        <is>
          <t>마케팅2팀</t>
        </is>
      </c>
      <c r="D108" s="55">
        <f>IF($D$106="","",$D$106)</f>
        <v/>
      </c>
      <c r="E108" s="64" t="inlineStr">
        <is>
          <t>영상</t>
        </is>
      </c>
      <c r="F108" s="44" t="n"/>
      <c r="G108" s="58">
        <f>IF($G$106="","",$G$106)</f>
        <v/>
      </c>
      <c r="H108" s="59" t="n"/>
      <c r="I108" s="59" t="n"/>
      <c r="J108" s="59" t="n"/>
      <c r="K108" s="59" t="n"/>
      <c r="L108" s="65">
        <f>IF(SUM(U108:AY108)=0,"",SUM(U108:AY108))</f>
        <v/>
      </c>
      <c r="M108" s="66">
        <f>IFERROR(INDEX(U$2:AY$2,MATCH(TRUE,INDEX(U108:AY108&lt;&gt;"",0),0)),"")</f>
        <v/>
      </c>
      <c r="N108" s="66">
        <f>IFERROR(LOOKUP(2,1/(U108:AY108&lt;&gt;""),U$2:AY$2),"")</f>
        <v/>
      </c>
      <c r="O108" s="59" t="n"/>
      <c r="P108" s="59" t="n"/>
      <c r="Q108" s="59" t="n"/>
      <c r="R108" s="59" t="n"/>
      <c r="S108" s="14" t="n"/>
      <c r="U108" s="53" t="n"/>
      <c r="V108" s="53" t="n"/>
      <c r="W108" s="53" t="n"/>
      <c r="X108" s="53" t="n"/>
      <c r="Y108" s="53" t="n"/>
      <c r="Z108" s="53" t="n"/>
      <c r="AA108" s="53" t="n"/>
      <c r="AB108" s="53" t="n"/>
      <c r="AC108" s="53" t="n"/>
      <c r="AD108" s="53" t="n"/>
      <c r="AE108" s="53" t="n"/>
      <c r="AF108" s="53" t="n"/>
      <c r="AG108" s="53" t="n"/>
      <c r="AH108" s="53" t="n"/>
      <c r="AI108" s="53" t="n"/>
      <c r="AJ108" s="53" t="n"/>
      <c r="AK108" s="53" t="n"/>
      <c r="AL108" s="53" t="n"/>
      <c r="AM108" s="53" t="n"/>
      <c r="AN108" s="53" t="n"/>
      <c r="AO108" s="53" t="n"/>
      <c r="AP108" s="53" t="n"/>
      <c r="AQ108" s="53" t="n"/>
      <c r="AR108" s="53" t="n"/>
      <c r="AS108" s="53" t="n"/>
      <c r="AT108" s="53" t="n"/>
      <c r="AU108" s="53" t="n"/>
      <c r="AV108" s="53" t="n"/>
      <c r="AW108" s="53" t="n"/>
      <c r="AX108" s="53" t="n"/>
      <c r="AY108" s="53" t="n"/>
    </row>
    <row r="109" ht="15" customHeight="1">
      <c r="A109" s="40">
        <f>IF($D$109="","",34)</f>
        <v/>
      </c>
      <c r="B109" s="10" t="n"/>
      <c r="C109" s="41" t="inlineStr">
        <is>
          <t>마케팅2팀</t>
        </is>
      </c>
      <c r="D109" s="42" t="n"/>
      <c r="E109" s="43" t="inlineStr">
        <is>
          <t>기획</t>
        </is>
      </c>
      <c r="F109" s="44" t="n"/>
      <c r="G109" s="45" t="n"/>
      <c r="H109" s="46">
        <f>IF($I$109="","",IF($I$109&lt;0,"🔴지연",IF($I$109&lt;=1,"🟡임박","🟢여유")))</f>
        <v/>
      </c>
      <c r="I109" s="47">
        <f>IF(OR($G$109="",$K$109=""),"",$G$109-$K$109)</f>
        <v/>
      </c>
      <c r="J109" s="48">
        <f>IF(SUM($L$109:$L$111)=0,"",SUM($L$109:$L$111))</f>
        <v/>
      </c>
      <c r="K109" s="49">
        <f>IF($J$109="","",MAX($N$109:$N$111))</f>
        <v/>
      </c>
      <c r="L109" s="50">
        <f>IF(SUM(U109:AY109)=0,"",SUM(U109:AY109))</f>
        <v/>
      </c>
      <c r="M109" s="51">
        <f>IFERROR(INDEX(U$2:AY$2,MATCH(TRUE,INDEX(U109:AY109&lt;&gt;"",0),0)),"")</f>
        <v/>
      </c>
      <c r="N109" s="51">
        <f>IFERROR(LOOKUP(2,1/(U109:AY109&lt;&gt;""),U$2:AY$2),"")</f>
        <v/>
      </c>
      <c r="O109" s="52" t="n"/>
      <c r="P109" s="52" t="n"/>
      <c r="Q109" s="52" t="n"/>
      <c r="R109" s="44" t="n"/>
      <c r="S109" s="14" t="n"/>
      <c r="U109" s="53" t="n"/>
      <c r="V109" s="53" t="n"/>
      <c r="W109" s="53" t="n"/>
      <c r="X109" s="53" t="n"/>
      <c r="Y109" s="53" t="n"/>
      <c r="Z109" s="53" t="n"/>
      <c r="AA109" s="53" t="n"/>
      <c r="AB109" s="53" t="n"/>
      <c r="AC109" s="53" t="n"/>
      <c r="AD109" s="53" t="n"/>
      <c r="AE109" s="53" t="n"/>
      <c r="AF109" s="53" t="n"/>
      <c r="AG109" s="53" t="n"/>
      <c r="AH109" s="53" t="n"/>
      <c r="AI109" s="53" t="n"/>
      <c r="AJ109" s="53" t="n"/>
      <c r="AK109" s="53" t="n"/>
      <c r="AL109" s="53" t="n"/>
      <c r="AM109" s="53" t="n"/>
      <c r="AN109" s="53" t="n"/>
      <c r="AO109" s="53" t="n"/>
      <c r="AP109" s="53" t="n"/>
      <c r="AQ109" s="53" t="n"/>
      <c r="AR109" s="53" t="n"/>
      <c r="AS109" s="53" t="n"/>
      <c r="AT109" s="53" t="n"/>
      <c r="AU109" s="53" t="n"/>
      <c r="AV109" s="53" t="n"/>
      <c r="AW109" s="53" t="n"/>
      <c r="AX109" s="53" t="n"/>
      <c r="AY109" s="53" t="n"/>
    </row>
    <row r="110" ht="15" customHeight="1">
      <c r="A110" s="54" t="n"/>
      <c r="B110" s="55">
        <f>IF($B$109="","",$B$109)</f>
        <v/>
      </c>
      <c r="C110" s="56" t="inlineStr">
        <is>
          <t>마케팅2팀</t>
        </is>
      </c>
      <c r="D110" s="55">
        <f>IF($D$109="","",$D$109)</f>
        <v/>
      </c>
      <c r="E110" s="57" t="inlineStr">
        <is>
          <t>이미지</t>
        </is>
      </c>
      <c r="F110" s="44" t="n"/>
      <c r="G110" s="58">
        <f>IF($G$109="","",$G$109)</f>
        <v/>
      </c>
      <c r="H110" s="59" t="n"/>
      <c r="I110" s="59" t="n"/>
      <c r="J110" s="59" t="n"/>
      <c r="K110" s="59" t="n"/>
      <c r="L110" s="60">
        <f>IF(SUM(U110:AY110)=0,"",SUM(U110:AY110))</f>
        <v/>
      </c>
      <c r="M110" s="61">
        <f>IFERROR(INDEX(U$2:AY$2,MATCH(TRUE,INDEX(U110:AY110&lt;&gt;"",0),0)),"")</f>
        <v/>
      </c>
      <c r="N110" s="61">
        <f>IFERROR(LOOKUP(2,1/(U110:AY110&lt;&gt;""),U$2:AY$2),"")</f>
        <v/>
      </c>
      <c r="O110" s="59" t="n"/>
      <c r="P110" s="59" t="n"/>
      <c r="Q110" s="59" t="n"/>
      <c r="R110" s="59" t="n"/>
      <c r="S110" s="14" t="n"/>
      <c r="U110" s="53" t="n"/>
      <c r="V110" s="53" t="n"/>
      <c r="W110" s="53" t="n"/>
      <c r="X110" s="53" t="n"/>
      <c r="Y110" s="53" t="n"/>
      <c r="Z110" s="53" t="n"/>
      <c r="AA110" s="53" t="n"/>
      <c r="AB110" s="53" t="n"/>
      <c r="AC110" s="53" t="n"/>
      <c r="AD110" s="53" t="n"/>
      <c r="AE110" s="53" t="n"/>
      <c r="AF110" s="53" t="n"/>
      <c r="AG110" s="53" t="n"/>
      <c r="AH110" s="53" t="n"/>
      <c r="AI110" s="53" t="n"/>
      <c r="AJ110" s="53" t="n"/>
      <c r="AK110" s="53" t="n"/>
      <c r="AL110" s="53" t="n"/>
      <c r="AM110" s="53" t="n"/>
      <c r="AN110" s="53" t="n"/>
      <c r="AO110" s="53" t="n"/>
      <c r="AP110" s="53" t="n"/>
      <c r="AQ110" s="53" t="n"/>
      <c r="AR110" s="53" t="n"/>
      <c r="AS110" s="53" t="n"/>
      <c r="AT110" s="53" t="n"/>
      <c r="AU110" s="53" t="n"/>
      <c r="AV110" s="53" t="n"/>
      <c r="AW110" s="53" t="n"/>
      <c r="AX110" s="53" t="n"/>
      <c r="AY110" s="53" t="n"/>
    </row>
    <row r="111" ht="15" customHeight="1">
      <c r="A111" s="62" t="n"/>
      <c r="B111" s="55">
        <f>IF($B$109="","",$B$109)</f>
        <v/>
      </c>
      <c r="C111" s="63" t="inlineStr">
        <is>
          <t>마케팅2팀</t>
        </is>
      </c>
      <c r="D111" s="55">
        <f>IF($D$109="","",$D$109)</f>
        <v/>
      </c>
      <c r="E111" s="64" t="inlineStr">
        <is>
          <t>영상</t>
        </is>
      </c>
      <c r="F111" s="44" t="n"/>
      <c r="G111" s="58">
        <f>IF($G$109="","",$G$109)</f>
        <v/>
      </c>
      <c r="H111" s="59" t="n"/>
      <c r="I111" s="59" t="n"/>
      <c r="J111" s="59" t="n"/>
      <c r="K111" s="59" t="n"/>
      <c r="L111" s="65">
        <f>IF(SUM(U111:AY111)=0,"",SUM(U111:AY111))</f>
        <v/>
      </c>
      <c r="M111" s="66">
        <f>IFERROR(INDEX(U$2:AY$2,MATCH(TRUE,INDEX(U111:AY111&lt;&gt;"",0),0)),"")</f>
        <v/>
      </c>
      <c r="N111" s="66">
        <f>IFERROR(LOOKUP(2,1/(U111:AY111&lt;&gt;""),U$2:AY$2),"")</f>
        <v/>
      </c>
      <c r="O111" s="59" t="n"/>
      <c r="P111" s="59" t="n"/>
      <c r="Q111" s="59" t="n"/>
      <c r="R111" s="59" t="n"/>
      <c r="S111" s="14" t="n"/>
      <c r="U111" s="53" t="n"/>
      <c r="V111" s="53" t="n"/>
      <c r="W111" s="53" t="n"/>
      <c r="X111" s="53" t="n"/>
      <c r="Y111" s="53" t="n"/>
      <c r="Z111" s="53" t="n"/>
      <c r="AA111" s="53" t="n"/>
      <c r="AB111" s="53" t="n"/>
      <c r="AC111" s="53" t="n"/>
      <c r="AD111" s="53" t="n"/>
      <c r="AE111" s="53" t="n"/>
      <c r="AF111" s="53" t="n"/>
      <c r="AG111" s="53" t="n"/>
      <c r="AH111" s="53" t="n"/>
      <c r="AI111" s="53" t="n"/>
      <c r="AJ111" s="53" t="n"/>
      <c r="AK111" s="53" t="n"/>
      <c r="AL111" s="53" t="n"/>
      <c r="AM111" s="53" t="n"/>
      <c r="AN111" s="53" t="n"/>
      <c r="AO111" s="53" t="n"/>
      <c r="AP111" s="53" t="n"/>
      <c r="AQ111" s="53" t="n"/>
      <c r="AR111" s="53" t="n"/>
      <c r="AS111" s="53" t="n"/>
      <c r="AT111" s="53" t="n"/>
      <c r="AU111" s="53" t="n"/>
      <c r="AV111" s="53" t="n"/>
      <c r="AW111" s="53" t="n"/>
      <c r="AX111" s="53" t="n"/>
      <c r="AY111" s="53" t="n"/>
    </row>
    <row r="112" ht="15" customHeight="1">
      <c r="A112" s="40">
        <f>IF($D$112="","",35)</f>
        <v/>
      </c>
      <c r="B112" s="10" t="n"/>
      <c r="C112" s="41" t="inlineStr">
        <is>
          <t>마케팅2팀</t>
        </is>
      </c>
      <c r="D112" s="42" t="n"/>
      <c r="E112" s="43" t="inlineStr">
        <is>
          <t>기획</t>
        </is>
      </c>
      <c r="F112" s="44" t="n"/>
      <c r="G112" s="45" t="n"/>
      <c r="H112" s="46">
        <f>IF($I$112="","",IF($I$112&lt;0,"🔴지연",IF($I$112&lt;=1,"🟡임박","🟢여유")))</f>
        <v/>
      </c>
      <c r="I112" s="47">
        <f>IF(OR($G$112="",$K$112=""),"",$G$112-$K$112)</f>
        <v/>
      </c>
      <c r="J112" s="48">
        <f>IF(SUM($L$112:$L$114)=0,"",SUM($L$112:$L$114))</f>
        <v/>
      </c>
      <c r="K112" s="49">
        <f>IF($J$112="","",MAX($N$112:$N$114))</f>
        <v/>
      </c>
      <c r="L112" s="50">
        <f>IF(SUM(U112:AY112)=0,"",SUM(U112:AY112))</f>
        <v/>
      </c>
      <c r="M112" s="51">
        <f>IFERROR(INDEX(U$2:AY$2,MATCH(TRUE,INDEX(U112:AY112&lt;&gt;"",0),0)),"")</f>
        <v/>
      </c>
      <c r="N112" s="51">
        <f>IFERROR(LOOKUP(2,1/(U112:AY112&lt;&gt;""),U$2:AY$2),"")</f>
        <v/>
      </c>
      <c r="O112" s="52" t="n"/>
      <c r="P112" s="52" t="n"/>
      <c r="Q112" s="52" t="n"/>
      <c r="R112" s="44" t="n"/>
      <c r="S112" s="14" t="n"/>
      <c r="U112" s="53" t="n"/>
      <c r="V112" s="53" t="n"/>
      <c r="W112" s="53" t="n"/>
      <c r="X112" s="53" t="n"/>
      <c r="Y112" s="53" t="n"/>
      <c r="Z112" s="53" t="n"/>
      <c r="AA112" s="53" t="n"/>
      <c r="AB112" s="53" t="n"/>
      <c r="AC112" s="53" t="n"/>
      <c r="AD112" s="53" t="n"/>
      <c r="AE112" s="53" t="n"/>
      <c r="AF112" s="53" t="n"/>
      <c r="AG112" s="53" t="n"/>
      <c r="AH112" s="53" t="n"/>
      <c r="AI112" s="53" t="n"/>
      <c r="AJ112" s="53" t="n"/>
      <c r="AK112" s="53" t="n"/>
      <c r="AL112" s="53" t="n"/>
      <c r="AM112" s="53" t="n"/>
      <c r="AN112" s="53" t="n"/>
      <c r="AO112" s="53" t="n"/>
      <c r="AP112" s="53" t="n"/>
      <c r="AQ112" s="53" t="n"/>
      <c r="AR112" s="53" t="n"/>
      <c r="AS112" s="53" t="n"/>
      <c r="AT112" s="53" t="n"/>
      <c r="AU112" s="53" t="n"/>
      <c r="AV112" s="53" t="n"/>
      <c r="AW112" s="53" t="n"/>
      <c r="AX112" s="53" t="n"/>
      <c r="AY112" s="53" t="n"/>
    </row>
    <row r="113" ht="15" customHeight="1">
      <c r="A113" s="54" t="n"/>
      <c r="B113" s="55">
        <f>IF($B$112="","",$B$112)</f>
        <v/>
      </c>
      <c r="C113" s="56" t="inlineStr">
        <is>
          <t>마케팅2팀</t>
        </is>
      </c>
      <c r="D113" s="55">
        <f>IF($D$112="","",$D$112)</f>
        <v/>
      </c>
      <c r="E113" s="57" t="inlineStr">
        <is>
          <t>이미지</t>
        </is>
      </c>
      <c r="F113" s="44" t="n"/>
      <c r="G113" s="58">
        <f>IF($G$112="","",$G$112)</f>
        <v/>
      </c>
      <c r="H113" s="59" t="n"/>
      <c r="I113" s="59" t="n"/>
      <c r="J113" s="59" t="n"/>
      <c r="K113" s="59" t="n"/>
      <c r="L113" s="60">
        <f>IF(SUM(U113:AY113)=0,"",SUM(U113:AY113))</f>
        <v/>
      </c>
      <c r="M113" s="61">
        <f>IFERROR(INDEX(U$2:AY$2,MATCH(TRUE,INDEX(U113:AY113&lt;&gt;"",0),0)),"")</f>
        <v/>
      </c>
      <c r="N113" s="61">
        <f>IFERROR(LOOKUP(2,1/(U113:AY113&lt;&gt;""),U$2:AY$2),"")</f>
        <v/>
      </c>
      <c r="O113" s="59" t="n"/>
      <c r="P113" s="59" t="n"/>
      <c r="Q113" s="59" t="n"/>
      <c r="R113" s="59" t="n"/>
      <c r="S113" s="14" t="n"/>
      <c r="U113" s="53" t="n"/>
      <c r="V113" s="53" t="n"/>
      <c r="W113" s="53" t="n"/>
      <c r="X113" s="53" t="n"/>
      <c r="Y113" s="53" t="n"/>
      <c r="Z113" s="53" t="n"/>
      <c r="AA113" s="53" t="n"/>
      <c r="AB113" s="53" t="n"/>
      <c r="AC113" s="53" t="n"/>
      <c r="AD113" s="53" t="n"/>
      <c r="AE113" s="53" t="n"/>
      <c r="AF113" s="53" t="n"/>
      <c r="AG113" s="53" t="n"/>
      <c r="AH113" s="53" t="n"/>
      <c r="AI113" s="53" t="n"/>
      <c r="AJ113" s="53" t="n"/>
      <c r="AK113" s="53" t="n"/>
      <c r="AL113" s="53" t="n"/>
      <c r="AM113" s="53" t="n"/>
      <c r="AN113" s="53" t="n"/>
      <c r="AO113" s="53" t="n"/>
      <c r="AP113" s="53" t="n"/>
      <c r="AQ113" s="53" t="n"/>
      <c r="AR113" s="53" t="n"/>
      <c r="AS113" s="53" t="n"/>
      <c r="AT113" s="53" t="n"/>
      <c r="AU113" s="53" t="n"/>
      <c r="AV113" s="53" t="n"/>
      <c r="AW113" s="53" t="n"/>
      <c r="AX113" s="53" t="n"/>
      <c r="AY113" s="53" t="n"/>
    </row>
    <row r="114" ht="15" customHeight="1">
      <c r="A114" s="62" t="n"/>
      <c r="B114" s="55">
        <f>IF($B$112="","",$B$112)</f>
        <v/>
      </c>
      <c r="C114" s="63" t="inlineStr">
        <is>
          <t>마케팅2팀</t>
        </is>
      </c>
      <c r="D114" s="55">
        <f>IF($D$112="","",$D$112)</f>
        <v/>
      </c>
      <c r="E114" s="64" t="inlineStr">
        <is>
          <t>영상</t>
        </is>
      </c>
      <c r="F114" s="44" t="n"/>
      <c r="G114" s="58">
        <f>IF($G$112="","",$G$112)</f>
        <v/>
      </c>
      <c r="H114" s="59" t="n"/>
      <c r="I114" s="59" t="n"/>
      <c r="J114" s="59" t="n"/>
      <c r="K114" s="59" t="n"/>
      <c r="L114" s="65">
        <f>IF(SUM(U114:AY114)=0,"",SUM(U114:AY114))</f>
        <v/>
      </c>
      <c r="M114" s="66">
        <f>IFERROR(INDEX(U$2:AY$2,MATCH(TRUE,INDEX(U114:AY114&lt;&gt;"",0),0)),"")</f>
        <v/>
      </c>
      <c r="N114" s="66">
        <f>IFERROR(LOOKUP(2,1/(U114:AY114&lt;&gt;""),U$2:AY$2),"")</f>
        <v/>
      </c>
      <c r="O114" s="59" t="n"/>
      <c r="P114" s="59" t="n"/>
      <c r="Q114" s="59" t="n"/>
      <c r="R114" s="59" t="n"/>
      <c r="S114" s="14" t="n"/>
      <c r="U114" s="53" t="n"/>
      <c r="V114" s="53" t="n"/>
      <c r="W114" s="53" t="n"/>
      <c r="X114" s="53" t="n"/>
      <c r="Y114" s="53" t="n"/>
      <c r="Z114" s="53" t="n"/>
      <c r="AA114" s="53" t="n"/>
      <c r="AB114" s="53" t="n"/>
      <c r="AC114" s="53" t="n"/>
      <c r="AD114" s="53" t="n"/>
      <c r="AE114" s="53" t="n"/>
      <c r="AF114" s="53" t="n"/>
      <c r="AG114" s="53" t="n"/>
      <c r="AH114" s="53" t="n"/>
      <c r="AI114" s="53" t="n"/>
      <c r="AJ114" s="53" t="n"/>
      <c r="AK114" s="53" t="n"/>
      <c r="AL114" s="53" t="n"/>
      <c r="AM114" s="53" t="n"/>
      <c r="AN114" s="53" t="n"/>
      <c r="AO114" s="53" t="n"/>
      <c r="AP114" s="53" t="n"/>
      <c r="AQ114" s="53" t="n"/>
      <c r="AR114" s="53" t="n"/>
      <c r="AS114" s="53" t="n"/>
      <c r="AT114" s="53" t="n"/>
      <c r="AU114" s="53" t="n"/>
      <c r="AV114" s="53" t="n"/>
      <c r="AW114" s="53" t="n"/>
      <c r="AX114" s="53" t="n"/>
      <c r="AY114" s="53" t="n"/>
    </row>
    <row r="115" ht="15" customHeight="1">
      <c r="A115" s="40">
        <f>IF($D$115="","",36)</f>
        <v/>
      </c>
      <c r="B115" s="10" t="n"/>
      <c r="C115" s="41" t="inlineStr">
        <is>
          <t>마케팅2팀</t>
        </is>
      </c>
      <c r="D115" s="42" t="n"/>
      <c r="E115" s="43" t="inlineStr">
        <is>
          <t>기획</t>
        </is>
      </c>
      <c r="F115" s="44" t="n"/>
      <c r="G115" s="45" t="n"/>
      <c r="H115" s="46">
        <f>IF($I$115="","",IF($I$115&lt;0,"🔴지연",IF($I$115&lt;=1,"🟡임박","🟢여유")))</f>
        <v/>
      </c>
      <c r="I115" s="47">
        <f>IF(OR($G$115="",$K$115=""),"",$G$115-$K$115)</f>
        <v/>
      </c>
      <c r="J115" s="48">
        <f>IF(SUM($L$115:$L$117)=0,"",SUM($L$115:$L$117))</f>
        <v/>
      </c>
      <c r="K115" s="49">
        <f>IF($J$115="","",MAX($N$115:$N$117))</f>
        <v/>
      </c>
      <c r="L115" s="50">
        <f>IF(SUM(U115:AY115)=0,"",SUM(U115:AY115))</f>
        <v/>
      </c>
      <c r="M115" s="51">
        <f>IFERROR(INDEX(U$2:AY$2,MATCH(TRUE,INDEX(U115:AY115&lt;&gt;"",0),0)),"")</f>
        <v/>
      </c>
      <c r="N115" s="51">
        <f>IFERROR(LOOKUP(2,1/(U115:AY115&lt;&gt;""),U$2:AY$2),"")</f>
        <v/>
      </c>
      <c r="O115" s="52" t="n"/>
      <c r="P115" s="52" t="n"/>
      <c r="Q115" s="52" t="n"/>
      <c r="R115" s="44" t="n"/>
      <c r="S115" s="14" t="n"/>
      <c r="U115" s="53" t="n"/>
      <c r="V115" s="53" t="n"/>
      <c r="W115" s="53" t="n"/>
      <c r="X115" s="53" t="n"/>
      <c r="Y115" s="53" t="n"/>
      <c r="Z115" s="53" t="n"/>
      <c r="AA115" s="53" t="n"/>
      <c r="AB115" s="53" t="n"/>
      <c r="AC115" s="53" t="n"/>
      <c r="AD115" s="53" t="n"/>
      <c r="AE115" s="53" t="n"/>
      <c r="AF115" s="53" t="n"/>
      <c r="AG115" s="53" t="n"/>
      <c r="AH115" s="53" t="n"/>
      <c r="AI115" s="53" t="n"/>
      <c r="AJ115" s="53" t="n"/>
      <c r="AK115" s="53" t="n"/>
      <c r="AL115" s="53" t="n"/>
      <c r="AM115" s="53" t="n"/>
      <c r="AN115" s="53" t="n"/>
      <c r="AO115" s="53" t="n"/>
      <c r="AP115" s="53" t="n"/>
      <c r="AQ115" s="53" t="n"/>
      <c r="AR115" s="53" t="n"/>
      <c r="AS115" s="53" t="n"/>
      <c r="AT115" s="53" t="n"/>
      <c r="AU115" s="53" t="n"/>
      <c r="AV115" s="53" t="n"/>
      <c r="AW115" s="53" t="n"/>
      <c r="AX115" s="53" t="n"/>
      <c r="AY115" s="53" t="n"/>
    </row>
    <row r="116" ht="15" customHeight="1">
      <c r="A116" s="54" t="n"/>
      <c r="B116" s="55">
        <f>IF($B$115="","",$B$115)</f>
        <v/>
      </c>
      <c r="C116" s="56" t="inlineStr">
        <is>
          <t>마케팅2팀</t>
        </is>
      </c>
      <c r="D116" s="55">
        <f>IF($D$115="","",$D$115)</f>
        <v/>
      </c>
      <c r="E116" s="57" t="inlineStr">
        <is>
          <t>이미지</t>
        </is>
      </c>
      <c r="F116" s="44" t="n"/>
      <c r="G116" s="58">
        <f>IF($G$115="","",$G$115)</f>
        <v/>
      </c>
      <c r="H116" s="59" t="n"/>
      <c r="I116" s="59" t="n"/>
      <c r="J116" s="59" t="n"/>
      <c r="K116" s="59" t="n"/>
      <c r="L116" s="60">
        <f>IF(SUM(U116:AY116)=0,"",SUM(U116:AY116))</f>
        <v/>
      </c>
      <c r="M116" s="61">
        <f>IFERROR(INDEX(U$2:AY$2,MATCH(TRUE,INDEX(U116:AY116&lt;&gt;"",0),0)),"")</f>
        <v/>
      </c>
      <c r="N116" s="61">
        <f>IFERROR(LOOKUP(2,1/(U116:AY116&lt;&gt;""),U$2:AY$2),"")</f>
        <v/>
      </c>
      <c r="O116" s="59" t="n"/>
      <c r="P116" s="59" t="n"/>
      <c r="Q116" s="59" t="n"/>
      <c r="R116" s="59" t="n"/>
      <c r="S116" s="14" t="n"/>
      <c r="U116" s="53" t="n"/>
      <c r="V116" s="53" t="n"/>
      <c r="W116" s="53" t="n"/>
      <c r="X116" s="53" t="n"/>
      <c r="Y116" s="53" t="n"/>
      <c r="Z116" s="53" t="n"/>
      <c r="AA116" s="53" t="n"/>
      <c r="AB116" s="53" t="n"/>
      <c r="AC116" s="53" t="n"/>
      <c r="AD116" s="53" t="n"/>
      <c r="AE116" s="53" t="n"/>
      <c r="AF116" s="53" t="n"/>
      <c r="AG116" s="53" t="n"/>
      <c r="AH116" s="53" t="n"/>
      <c r="AI116" s="53" t="n"/>
      <c r="AJ116" s="53" t="n"/>
      <c r="AK116" s="53" t="n"/>
      <c r="AL116" s="53" t="n"/>
      <c r="AM116" s="53" t="n"/>
      <c r="AN116" s="53" t="n"/>
      <c r="AO116" s="53" t="n"/>
      <c r="AP116" s="53" t="n"/>
      <c r="AQ116" s="53" t="n"/>
      <c r="AR116" s="53" t="n"/>
      <c r="AS116" s="53" t="n"/>
      <c r="AT116" s="53" t="n"/>
      <c r="AU116" s="53" t="n"/>
      <c r="AV116" s="53" t="n"/>
      <c r="AW116" s="53" t="n"/>
      <c r="AX116" s="53" t="n"/>
      <c r="AY116" s="53" t="n"/>
    </row>
    <row r="117" ht="15" customHeight="1">
      <c r="A117" s="62" t="n"/>
      <c r="B117" s="55">
        <f>IF($B$115="","",$B$115)</f>
        <v/>
      </c>
      <c r="C117" s="63" t="inlineStr">
        <is>
          <t>마케팅2팀</t>
        </is>
      </c>
      <c r="D117" s="55">
        <f>IF($D$115="","",$D$115)</f>
        <v/>
      </c>
      <c r="E117" s="64" t="inlineStr">
        <is>
          <t>영상</t>
        </is>
      </c>
      <c r="F117" s="44" t="n"/>
      <c r="G117" s="58">
        <f>IF($G$115="","",$G$115)</f>
        <v/>
      </c>
      <c r="H117" s="59" t="n"/>
      <c r="I117" s="59" t="n"/>
      <c r="J117" s="59" t="n"/>
      <c r="K117" s="59" t="n"/>
      <c r="L117" s="65">
        <f>IF(SUM(U117:AY117)=0,"",SUM(U117:AY117))</f>
        <v/>
      </c>
      <c r="M117" s="66">
        <f>IFERROR(INDEX(U$2:AY$2,MATCH(TRUE,INDEX(U117:AY117&lt;&gt;"",0),0)),"")</f>
        <v/>
      </c>
      <c r="N117" s="66">
        <f>IFERROR(LOOKUP(2,1/(U117:AY117&lt;&gt;""),U$2:AY$2),"")</f>
        <v/>
      </c>
      <c r="O117" s="59" t="n"/>
      <c r="P117" s="59" t="n"/>
      <c r="Q117" s="59" t="n"/>
      <c r="R117" s="59" t="n"/>
      <c r="S117" s="14" t="n"/>
      <c r="U117" s="53" t="n"/>
      <c r="V117" s="53" t="n"/>
      <c r="W117" s="53" t="n"/>
      <c r="X117" s="53" t="n"/>
      <c r="Y117" s="53" t="n"/>
      <c r="Z117" s="53" t="n"/>
      <c r="AA117" s="53" t="n"/>
      <c r="AB117" s="53" t="n"/>
      <c r="AC117" s="53" t="n"/>
      <c r="AD117" s="53" t="n"/>
      <c r="AE117" s="53" t="n"/>
      <c r="AF117" s="53" t="n"/>
      <c r="AG117" s="53" t="n"/>
      <c r="AH117" s="53" t="n"/>
      <c r="AI117" s="53" t="n"/>
      <c r="AJ117" s="53" t="n"/>
      <c r="AK117" s="53" t="n"/>
      <c r="AL117" s="53" t="n"/>
      <c r="AM117" s="53" t="n"/>
      <c r="AN117" s="53" t="n"/>
      <c r="AO117" s="53" t="n"/>
      <c r="AP117" s="53" t="n"/>
      <c r="AQ117" s="53" t="n"/>
      <c r="AR117" s="53" t="n"/>
      <c r="AS117" s="53" t="n"/>
      <c r="AT117" s="53" t="n"/>
      <c r="AU117" s="53" t="n"/>
      <c r="AV117" s="53" t="n"/>
      <c r="AW117" s="53" t="n"/>
      <c r="AX117" s="53" t="n"/>
      <c r="AY117" s="53" t="n"/>
    </row>
    <row r="118" ht="15" customHeight="1">
      <c r="A118" s="40">
        <f>IF($D$118="","",37)</f>
        <v/>
      </c>
      <c r="B118" s="10" t="n"/>
      <c r="C118" s="41" t="inlineStr">
        <is>
          <t>마케팅2팀</t>
        </is>
      </c>
      <c r="D118" s="42" t="n"/>
      <c r="E118" s="43" t="inlineStr">
        <is>
          <t>기획</t>
        </is>
      </c>
      <c r="F118" s="44" t="n"/>
      <c r="G118" s="45" t="n"/>
      <c r="H118" s="46">
        <f>IF($I$118="","",IF($I$118&lt;0,"🔴지연",IF($I$118&lt;=1,"🟡임박","🟢여유")))</f>
        <v/>
      </c>
      <c r="I118" s="47">
        <f>IF(OR($G$118="",$K$118=""),"",$G$118-$K$118)</f>
        <v/>
      </c>
      <c r="J118" s="48">
        <f>IF(SUM($L$118:$L$120)=0,"",SUM($L$118:$L$120))</f>
        <v/>
      </c>
      <c r="K118" s="49">
        <f>IF($J$118="","",MAX($N$118:$N$120))</f>
        <v/>
      </c>
      <c r="L118" s="50">
        <f>IF(SUM(U118:AY118)=0,"",SUM(U118:AY118))</f>
        <v/>
      </c>
      <c r="M118" s="51">
        <f>IFERROR(INDEX(U$2:AY$2,MATCH(TRUE,INDEX(U118:AY118&lt;&gt;"",0),0)),"")</f>
        <v/>
      </c>
      <c r="N118" s="51">
        <f>IFERROR(LOOKUP(2,1/(U118:AY118&lt;&gt;""),U$2:AY$2),"")</f>
        <v/>
      </c>
      <c r="O118" s="52" t="n"/>
      <c r="P118" s="52" t="n"/>
      <c r="Q118" s="52" t="n"/>
      <c r="R118" s="44" t="n"/>
      <c r="S118" s="14" t="n"/>
      <c r="U118" s="53" t="n"/>
      <c r="V118" s="53" t="n"/>
      <c r="W118" s="53" t="n"/>
      <c r="X118" s="53" t="n"/>
      <c r="Y118" s="53" t="n"/>
      <c r="Z118" s="53" t="n"/>
      <c r="AA118" s="53" t="n"/>
      <c r="AB118" s="53" t="n"/>
      <c r="AC118" s="53" t="n"/>
      <c r="AD118" s="53" t="n"/>
      <c r="AE118" s="53" t="n"/>
      <c r="AF118" s="53" t="n"/>
      <c r="AG118" s="53" t="n"/>
      <c r="AH118" s="53" t="n"/>
      <c r="AI118" s="53" t="n"/>
      <c r="AJ118" s="53" t="n"/>
      <c r="AK118" s="53" t="n"/>
      <c r="AL118" s="53" t="n"/>
      <c r="AM118" s="53" t="n"/>
      <c r="AN118" s="53" t="n"/>
      <c r="AO118" s="53" t="n"/>
      <c r="AP118" s="53" t="n"/>
      <c r="AQ118" s="53" t="n"/>
      <c r="AR118" s="53" t="n"/>
      <c r="AS118" s="53" t="n"/>
      <c r="AT118" s="53" t="n"/>
      <c r="AU118" s="53" t="n"/>
      <c r="AV118" s="53" t="n"/>
      <c r="AW118" s="53" t="n"/>
      <c r="AX118" s="53" t="n"/>
      <c r="AY118" s="53" t="n"/>
    </row>
    <row r="119" ht="15" customHeight="1">
      <c r="A119" s="54" t="n"/>
      <c r="B119" s="55">
        <f>IF($B$118="","",$B$118)</f>
        <v/>
      </c>
      <c r="C119" s="56" t="inlineStr">
        <is>
          <t>마케팅2팀</t>
        </is>
      </c>
      <c r="D119" s="55">
        <f>IF($D$118="","",$D$118)</f>
        <v/>
      </c>
      <c r="E119" s="57" t="inlineStr">
        <is>
          <t>이미지</t>
        </is>
      </c>
      <c r="F119" s="44" t="n"/>
      <c r="G119" s="58">
        <f>IF($G$118="","",$G$118)</f>
        <v/>
      </c>
      <c r="H119" s="59" t="n"/>
      <c r="I119" s="59" t="n"/>
      <c r="J119" s="59" t="n"/>
      <c r="K119" s="59" t="n"/>
      <c r="L119" s="60">
        <f>IF(SUM(U119:AY119)=0,"",SUM(U119:AY119))</f>
        <v/>
      </c>
      <c r="M119" s="61">
        <f>IFERROR(INDEX(U$2:AY$2,MATCH(TRUE,INDEX(U119:AY119&lt;&gt;"",0),0)),"")</f>
        <v/>
      </c>
      <c r="N119" s="61">
        <f>IFERROR(LOOKUP(2,1/(U119:AY119&lt;&gt;""),U$2:AY$2),"")</f>
        <v/>
      </c>
      <c r="O119" s="59" t="n"/>
      <c r="P119" s="59" t="n"/>
      <c r="Q119" s="59" t="n"/>
      <c r="R119" s="59" t="n"/>
      <c r="S119" s="14" t="n"/>
      <c r="U119" s="53" t="n"/>
      <c r="V119" s="53" t="n"/>
      <c r="W119" s="53" t="n"/>
      <c r="X119" s="53" t="n"/>
      <c r="Y119" s="53" t="n"/>
      <c r="Z119" s="53" t="n"/>
      <c r="AA119" s="53" t="n"/>
      <c r="AB119" s="53" t="n"/>
      <c r="AC119" s="53" t="n"/>
      <c r="AD119" s="53" t="n"/>
      <c r="AE119" s="53" t="n"/>
      <c r="AF119" s="53" t="n"/>
      <c r="AG119" s="53" t="n"/>
      <c r="AH119" s="53" t="n"/>
      <c r="AI119" s="53" t="n"/>
      <c r="AJ119" s="53" t="n"/>
      <c r="AK119" s="53" t="n"/>
      <c r="AL119" s="53" t="n"/>
      <c r="AM119" s="53" t="n"/>
      <c r="AN119" s="53" t="n"/>
      <c r="AO119" s="53" t="n"/>
      <c r="AP119" s="53" t="n"/>
      <c r="AQ119" s="53" t="n"/>
      <c r="AR119" s="53" t="n"/>
      <c r="AS119" s="53" t="n"/>
      <c r="AT119" s="53" t="n"/>
      <c r="AU119" s="53" t="n"/>
      <c r="AV119" s="53" t="n"/>
      <c r="AW119" s="53" t="n"/>
      <c r="AX119" s="53" t="n"/>
      <c r="AY119" s="53" t="n"/>
    </row>
    <row r="120" ht="15" customHeight="1">
      <c r="A120" s="62" t="n"/>
      <c r="B120" s="55">
        <f>IF($B$118="","",$B$118)</f>
        <v/>
      </c>
      <c r="C120" s="63" t="inlineStr">
        <is>
          <t>마케팅2팀</t>
        </is>
      </c>
      <c r="D120" s="55">
        <f>IF($D$118="","",$D$118)</f>
        <v/>
      </c>
      <c r="E120" s="64" t="inlineStr">
        <is>
          <t>영상</t>
        </is>
      </c>
      <c r="F120" s="44" t="n"/>
      <c r="G120" s="58">
        <f>IF($G$118="","",$G$118)</f>
        <v/>
      </c>
      <c r="H120" s="59" t="n"/>
      <c r="I120" s="59" t="n"/>
      <c r="J120" s="59" t="n"/>
      <c r="K120" s="59" t="n"/>
      <c r="L120" s="65">
        <f>IF(SUM(U120:AY120)=0,"",SUM(U120:AY120))</f>
        <v/>
      </c>
      <c r="M120" s="66">
        <f>IFERROR(INDEX(U$2:AY$2,MATCH(TRUE,INDEX(U120:AY120&lt;&gt;"",0),0)),"")</f>
        <v/>
      </c>
      <c r="N120" s="66">
        <f>IFERROR(LOOKUP(2,1/(U120:AY120&lt;&gt;""),U$2:AY$2),"")</f>
        <v/>
      </c>
      <c r="O120" s="59" t="n"/>
      <c r="P120" s="59" t="n"/>
      <c r="Q120" s="59" t="n"/>
      <c r="R120" s="59" t="n"/>
      <c r="S120" s="14" t="n"/>
      <c r="U120" s="53" t="n"/>
      <c r="V120" s="53" t="n"/>
      <c r="W120" s="53" t="n"/>
      <c r="X120" s="53" t="n"/>
      <c r="Y120" s="53" t="n"/>
      <c r="Z120" s="53" t="n"/>
      <c r="AA120" s="53" t="n"/>
      <c r="AB120" s="53" t="n"/>
      <c r="AC120" s="53" t="n"/>
      <c r="AD120" s="53" t="n"/>
      <c r="AE120" s="53" t="n"/>
      <c r="AF120" s="53" t="n"/>
      <c r="AG120" s="53" t="n"/>
      <c r="AH120" s="53" t="n"/>
      <c r="AI120" s="53" t="n"/>
      <c r="AJ120" s="53" t="n"/>
      <c r="AK120" s="53" t="n"/>
      <c r="AL120" s="53" t="n"/>
      <c r="AM120" s="53" t="n"/>
      <c r="AN120" s="53" t="n"/>
      <c r="AO120" s="53" t="n"/>
      <c r="AP120" s="53" t="n"/>
      <c r="AQ120" s="53" t="n"/>
      <c r="AR120" s="53" t="n"/>
      <c r="AS120" s="53" t="n"/>
      <c r="AT120" s="53" t="n"/>
      <c r="AU120" s="53" t="n"/>
      <c r="AV120" s="53" t="n"/>
      <c r="AW120" s="53" t="n"/>
      <c r="AX120" s="53" t="n"/>
      <c r="AY120" s="53" t="n"/>
    </row>
    <row r="121" ht="15" customHeight="1">
      <c r="A121" s="40">
        <f>IF($D$121="","",38)</f>
        <v/>
      </c>
      <c r="B121" s="10" t="n"/>
      <c r="C121" s="41" t="inlineStr">
        <is>
          <t>마케팅2팀</t>
        </is>
      </c>
      <c r="D121" s="42" t="n"/>
      <c r="E121" s="43" t="inlineStr">
        <is>
          <t>기획</t>
        </is>
      </c>
      <c r="F121" s="44" t="n"/>
      <c r="G121" s="45" t="n"/>
      <c r="H121" s="46">
        <f>IF($I$121="","",IF($I$121&lt;0,"🔴지연",IF($I$121&lt;=1,"🟡임박","🟢여유")))</f>
        <v/>
      </c>
      <c r="I121" s="47">
        <f>IF(OR($G$121="",$K$121=""),"",$G$121-$K$121)</f>
        <v/>
      </c>
      <c r="J121" s="48">
        <f>IF(SUM($L$121:$L$123)=0,"",SUM($L$121:$L$123))</f>
        <v/>
      </c>
      <c r="K121" s="49">
        <f>IF($J$121="","",MAX($N$121:$N$123))</f>
        <v/>
      </c>
      <c r="L121" s="50">
        <f>IF(SUM(U121:AY121)=0,"",SUM(U121:AY121))</f>
        <v/>
      </c>
      <c r="M121" s="51">
        <f>IFERROR(INDEX(U$2:AY$2,MATCH(TRUE,INDEX(U121:AY121&lt;&gt;"",0),0)),"")</f>
        <v/>
      </c>
      <c r="N121" s="51">
        <f>IFERROR(LOOKUP(2,1/(U121:AY121&lt;&gt;""),U$2:AY$2),"")</f>
        <v/>
      </c>
      <c r="O121" s="52" t="n"/>
      <c r="P121" s="52" t="n"/>
      <c r="Q121" s="52" t="n"/>
      <c r="R121" s="44" t="n"/>
      <c r="S121" s="14" t="n"/>
      <c r="U121" s="53" t="n"/>
      <c r="V121" s="53" t="n"/>
      <c r="W121" s="53" t="n"/>
      <c r="X121" s="53" t="n"/>
      <c r="Y121" s="53" t="n"/>
      <c r="Z121" s="53" t="n"/>
      <c r="AA121" s="53" t="n"/>
      <c r="AB121" s="53" t="n"/>
      <c r="AC121" s="53" t="n"/>
      <c r="AD121" s="53" t="n"/>
      <c r="AE121" s="53" t="n"/>
      <c r="AF121" s="53" t="n"/>
      <c r="AG121" s="53" t="n"/>
      <c r="AH121" s="53" t="n"/>
      <c r="AI121" s="53" t="n"/>
      <c r="AJ121" s="53" t="n"/>
      <c r="AK121" s="53" t="n"/>
      <c r="AL121" s="53" t="n"/>
      <c r="AM121" s="53" t="n"/>
      <c r="AN121" s="53" t="n"/>
      <c r="AO121" s="53" t="n"/>
      <c r="AP121" s="53" t="n"/>
      <c r="AQ121" s="53" t="n"/>
      <c r="AR121" s="53" t="n"/>
      <c r="AS121" s="53" t="n"/>
      <c r="AT121" s="53" t="n"/>
      <c r="AU121" s="53" t="n"/>
      <c r="AV121" s="53" t="n"/>
      <c r="AW121" s="53" t="n"/>
      <c r="AX121" s="53" t="n"/>
      <c r="AY121" s="53" t="n"/>
    </row>
    <row r="122" ht="15" customHeight="1">
      <c r="A122" s="54" t="n"/>
      <c r="B122" s="55">
        <f>IF($B$121="","",$B$121)</f>
        <v/>
      </c>
      <c r="C122" s="56" t="inlineStr">
        <is>
          <t>마케팅2팀</t>
        </is>
      </c>
      <c r="D122" s="55">
        <f>IF($D$121="","",$D$121)</f>
        <v/>
      </c>
      <c r="E122" s="57" t="inlineStr">
        <is>
          <t>이미지</t>
        </is>
      </c>
      <c r="F122" s="44" t="n"/>
      <c r="G122" s="58">
        <f>IF($G$121="","",$G$121)</f>
        <v/>
      </c>
      <c r="H122" s="59" t="n"/>
      <c r="I122" s="59" t="n"/>
      <c r="J122" s="59" t="n"/>
      <c r="K122" s="59" t="n"/>
      <c r="L122" s="60">
        <f>IF(SUM(U122:AY122)=0,"",SUM(U122:AY122))</f>
        <v/>
      </c>
      <c r="M122" s="61">
        <f>IFERROR(INDEX(U$2:AY$2,MATCH(TRUE,INDEX(U122:AY122&lt;&gt;"",0),0)),"")</f>
        <v/>
      </c>
      <c r="N122" s="61">
        <f>IFERROR(LOOKUP(2,1/(U122:AY122&lt;&gt;""),U$2:AY$2),"")</f>
        <v/>
      </c>
      <c r="O122" s="59" t="n"/>
      <c r="P122" s="59" t="n"/>
      <c r="Q122" s="59" t="n"/>
      <c r="R122" s="59" t="n"/>
      <c r="S122" s="14" t="n"/>
      <c r="U122" s="53" t="n"/>
      <c r="V122" s="53" t="n"/>
      <c r="W122" s="53" t="n"/>
      <c r="X122" s="53" t="n"/>
      <c r="Y122" s="53" t="n"/>
      <c r="Z122" s="53" t="n"/>
      <c r="AA122" s="53" t="n"/>
      <c r="AB122" s="53" t="n"/>
      <c r="AC122" s="53" t="n"/>
      <c r="AD122" s="53" t="n"/>
      <c r="AE122" s="53" t="n"/>
      <c r="AF122" s="53" t="n"/>
      <c r="AG122" s="53" t="n"/>
      <c r="AH122" s="53" t="n"/>
      <c r="AI122" s="53" t="n"/>
      <c r="AJ122" s="53" t="n"/>
      <c r="AK122" s="53" t="n"/>
      <c r="AL122" s="53" t="n"/>
      <c r="AM122" s="53" t="n"/>
      <c r="AN122" s="53" t="n"/>
      <c r="AO122" s="53" t="n"/>
      <c r="AP122" s="53" t="n"/>
      <c r="AQ122" s="53" t="n"/>
      <c r="AR122" s="53" t="n"/>
      <c r="AS122" s="53" t="n"/>
      <c r="AT122" s="53" t="n"/>
      <c r="AU122" s="53" t="n"/>
      <c r="AV122" s="53" t="n"/>
      <c r="AW122" s="53" t="n"/>
      <c r="AX122" s="53" t="n"/>
      <c r="AY122" s="53" t="n"/>
    </row>
    <row r="123" ht="15" customHeight="1">
      <c r="A123" s="62" t="n"/>
      <c r="B123" s="55">
        <f>IF($B$121="","",$B$121)</f>
        <v/>
      </c>
      <c r="C123" s="63" t="inlineStr">
        <is>
          <t>마케팅2팀</t>
        </is>
      </c>
      <c r="D123" s="55">
        <f>IF($D$121="","",$D$121)</f>
        <v/>
      </c>
      <c r="E123" s="64" t="inlineStr">
        <is>
          <t>영상</t>
        </is>
      </c>
      <c r="F123" s="44" t="n"/>
      <c r="G123" s="58">
        <f>IF($G$121="","",$G$121)</f>
        <v/>
      </c>
      <c r="H123" s="59" t="n"/>
      <c r="I123" s="59" t="n"/>
      <c r="J123" s="59" t="n"/>
      <c r="K123" s="59" t="n"/>
      <c r="L123" s="65">
        <f>IF(SUM(U123:AY123)=0,"",SUM(U123:AY123))</f>
        <v/>
      </c>
      <c r="M123" s="66">
        <f>IFERROR(INDEX(U$2:AY$2,MATCH(TRUE,INDEX(U123:AY123&lt;&gt;"",0),0)),"")</f>
        <v/>
      </c>
      <c r="N123" s="66">
        <f>IFERROR(LOOKUP(2,1/(U123:AY123&lt;&gt;""),U$2:AY$2),"")</f>
        <v/>
      </c>
      <c r="O123" s="59" t="n"/>
      <c r="P123" s="59" t="n"/>
      <c r="Q123" s="59" t="n"/>
      <c r="R123" s="59" t="n"/>
      <c r="S123" s="14" t="n"/>
      <c r="U123" s="53" t="n"/>
      <c r="V123" s="53" t="n"/>
      <c r="W123" s="53" t="n"/>
      <c r="X123" s="53" t="n"/>
      <c r="Y123" s="53" t="n"/>
      <c r="Z123" s="53" t="n"/>
      <c r="AA123" s="53" t="n"/>
      <c r="AB123" s="53" t="n"/>
      <c r="AC123" s="53" t="n"/>
      <c r="AD123" s="53" t="n"/>
      <c r="AE123" s="53" t="n"/>
      <c r="AF123" s="53" t="n"/>
      <c r="AG123" s="53" t="n"/>
      <c r="AH123" s="53" t="n"/>
      <c r="AI123" s="53" t="n"/>
      <c r="AJ123" s="53" t="n"/>
      <c r="AK123" s="53" t="n"/>
      <c r="AL123" s="53" t="n"/>
      <c r="AM123" s="53" t="n"/>
      <c r="AN123" s="53" t="n"/>
      <c r="AO123" s="53" t="n"/>
      <c r="AP123" s="53" t="n"/>
      <c r="AQ123" s="53" t="n"/>
      <c r="AR123" s="53" t="n"/>
      <c r="AS123" s="53" t="n"/>
      <c r="AT123" s="53" t="n"/>
      <c r="AU123" s="53" t="n"/>
      <c r="AV123" s="53" t="n"/>
      <c r="AW123" s="53" t="n"/>
      <c r="AX123" s="53" t="n"/>
      <c r="AY123" s="53" t="n"/>
    </row>
    <row r="124" ht="15" customHeight="1">
      <c r="A124" s="40">
        <f>IF($D$124="","",39)</f>
        <v/>
      </c>
      <c r="B124" s="10" t="n"/>
      <c r="C124" s="41" t="inlineStr">
        <is>
          <t>마케팅2팀</t>
        </is>
      </c>
      <c r="D124" s="42" t="n"/>
      <c r="E124" s="43" t="inlineStr">
        <is>
          <t>기획</t>
        </is>
      </c>
      <c r="F124" s="44" t="n"/>
      <c r="G124" s="45" t="n"/>
      <c r="H124" s="46">
        <f>IF($I$124="","",IF($I$124&lt;0,"🔴지연",IF($I$124&lt;=1,"🟡임박","🟢여유")))</f>
        <v/>
      </c>
      <c r="I124" s="47">
        <f>IF(OR($G$124="",$K$124=""),"",$G$124-$K$124)</f>
        <v/>
      </c>
      <c r="J124" s="48">
        <f>IF(SUM($L$124:$L$126)=0,"",SUM($L$124:$L$126))</f>
        <v/>
      </c>
      <c r="K124" s="49">
        <f>IF($J$124="","",MAX($N$124:$N$126))</f>
        <v/>
      </c>
      <c r="L124" s="50">
        <f>IF(SUM(U124:AY124)=0,"",SUM(U124:AY124))</f>
        <v/>
      </c>
      <c r="M124" s="51">
        <f>IFERROR(INDEX(U$2:AY$2,MATCH(TRUE,INDEX(U124:AY124&lt;&gt;"",0),0)),"")</f>
        <v/>
      </c>
      <c r="N124" s="51">
        <f>IFERROR(LOOKUP(2,1/(U124:AY124&lt;&gt;""),U$2:AY$2),"")</f>
        <v/>
      </c>
      <c r="O124" s="52" t="n"/>
      <c r="P124" s="52" t="n"/>
      <c r="Q124" s="52" t="n"/>
      <c r="R124" s="44" t="n"/>
      <c r="S124" s="14" t="n"/>
      <c r="U124" s="53" t="n"/>
      <c r="V124" s="53" t="n"/>
      <c r="W124" s="53" t="n"/>
      <c r="X124" s="53" t="n"/>
      <c r="Y124" s="53" t="n"/>
      <c r="Z124" s="53" t="n"/>
      <c r="AA124" s="53" t="n"/>
      <c r="AB124" s="53" t="n"/>
      <c r="AC124" s="53" t="n"/>
      <c r="AD124" s="53" t="n"/>
      <c r="AE124" s="53" t="n"/>
      <c r="AF124" s="53" t="n"/>
      <c r="AG124" s="53" t="n"/>
      <c r="AH124" s="53" t="n"/>
      <c r="AI124" s="53" t="n"/>
      <c r="AJ124" s="53" t="n"/>
      <c r="AK124" s="53" t="n"/>
      <c r="AL124" s="53" t="n"/>
      <c r="AM124" s="53" t="n"/>
      <c r="AN124" s="53" t="n"/>
      <c r="AO124" s="53" t="n"/>
      <c r="AP124" s="53" t="n"/>
      <c r="AQ124" s="53" t="n"/>
      <c r="AR124" s="53" t="n"/>
      <c r="AS124" s="53" t="n"/>
      <c r="AT124" s="53" t="n"/>
      <c r="AU124" s="53" t="n"/>
      <c r="AV124" s="53" t="n"/>
      <c r="AW124" s="53" t="n"/>
      <c r="AX124" s="53" t="n"/>
      <c r="AY124" s="53" t="n"/>
    </row>
    <row r="125" ht="15" customHeight="1">
      <c r="A125" s="54" t="n"/>
      <c r="B125" s="55">
        <f>IF($B$124="","",$B$124)</f>
        <v/>
      </c>
      <c r="C125" s="56" t="inlineStr">
        <is>
          <t>마케팅2팀</t>
        </is>
      </c>
      <c r="D125" s="55">
        <f>IF($D$124="","",$D$124)</f>
        <v/>
      </c>
      <c r="E125" s="57" t="inlineStr">
        <is>
          <t>이미지</t>
        </is>
      </c>
      <c r="F125" s="44" t="n"/>
      <c r="G125" s="58">
        <f>IF($G$124="","",$G$124)</f>
        <v/>
      </c>
      <c r="H125" s="59" t="n"/>
      <c r="I125" s="59" t="n"/>
      <c r="J125" s="59" t="n"/>
      <c r="K125" s="59" t="n"/>
      <c r="L125" s="60">
        <f>IF(SUM(U125:AY125)=0,"",SUM(U125:AY125))</f>
        <v/>
      </c>
      <c r="M125" s="61">
        <f>IFERROR(INDEX(U$2:AY$2,MATCH(TRUE,INDEX(U125:AY125&lt;&gt;"",0),0)),"")</f>
        <v/>
      </c>
      <c r="N125" s="61">
        <f>IFERROR(LOOKUP(2,1/(U125:AY125&lt;&gt;""),U$2:AY$2),"")</f>
        <v/>
      </c>
      <c r="O125" s="59" t="n"/>
      <c r="P125" s="59" t="n"/>
      <c r="Q125" s="59" t="n"/>
      <c r="R125" s="59" t="n"/>
      <c r="S125" s="14" t="n"/>
      <c r="U125" s="53" t="n"/>
      <c r="V125" s="53" t="n"/>
      <c r="W125" s="53" t="n"/>
      <c r="X125" s="53" t="n"/>
      <c r="Y125" s="53" t="n"/>
      <c r="Z125" s="53" t="n"/>
      <c r="AA125" s="53" t="n"/>
      <c r="AB125" s="53" t="n"/>
      <c r="AC125" s="53" t="n"/>
      <c r="AD125" s="53" t="n"/>
      <c r="AE125" s="53" t="n"/>
      <c r="AF125" s="53" t="n"/>
      <c r="AG125" s="53" t="n"/>
      <c r="AH125" s="53" t="n"/>
      <c r="AI125" s="53" t="n"/>
      <c r="AJ125" s="53" t="n"/>
      <c r="AK125" s="53" t="n"/>
      <c r="AL125" s="53" t="n"/>
      <c r="AM125" s="53" t="n"/>
      <c r="AN125" s="53" t="n"/>
      <c r="AO125" s="53" t="n"/>
      <c r="AP125" s="53" t="n"/>
      <c r="AQ125" s="53" t="n"/>
      <c r="AR125" s="53" t="n"/>
      <c r="AS125" s="53" t="n"/>
      <c r="AT125" s="53" t="n"/>
      <c r="AU125" s="53" t="n"/>
      <c r="AV125" s="53" t="n"/>
      <c r="AW125" s="53" t="n"/>
      <c r="AX125" s="53" t="n"/>
      <c r="AY125" s="53" t="n"/>
    </row>
    <row r="126" ht="15" customHeight="1">
      <c r="A126" s="62" t="n"/>
      <c r="B126" s="55">
        <f>IF($B$124="","",$B$124)</f>
        <v/>
      </c>
      <c r="C126" s="63" t="inlineStr">
        <is>
          <t>마케팅2팀</t>
        </is>
      </c>
      <c r="D126" s="55">
        <f>IF($D$124="","",$D$124)</f>
        <v/>
      </c>
      <c r="E126" s="64" t="inlineStr">
        <is>
          <t>영상</t>
        </is>
      </c>
      <c r="F126" s="44" t="n"/>
      <c r="G126" s="58">
        <f>IF($G$124="","",$G$124)</f>
        <v/>
      </c>
      <c r="H126" s="59" t="n"/>
      <c r="I126" s="59" t="n"/>
      <c r="J126" s="59" t="n"/>
      <c r="K126" s="59" t="n"/>
      <c r="L126" s="65">
        <f>IF(SUM(U126:AY126)=0,"",SUM(U126:AY126))</f>
        <v/>
      </c>
      <c r="M126" s="66">
        <f>IFERROR(INDEX(U$2:AY$2,MATCH(TRUE,INDEX(U126:AY126&lt;&gt;"",0),0)),"")</f>
        <v/>
      </c>
      <c r="N126" s="66">
        <f>IFERROR(LOOKUP(2,1/(U126:AY126&lt;&gt;""),U$2:AY$2),"")</f>
        <v/>
      </c>
      <c r="O126" s="59" t="n"/>
      <c r="P126" s="59" t="n"/>
      <c r="Q126" s="59" t="n"/>
      <c r="R126" s="59" t="n"/>
      <c r="S126" s="14" t="n"/>
      <c r="U126" s="53" t="n"/>
      <c r="V126" s="53" t="n"/>
      <c r="W126" s="53" t="n"/>
      <c r="X126" s="53" t="n"/>
      <c r="Y126" s="53" t="n"/>
      <c r="Z126" s="53" t="n"/>
      <c r="AA126" s="53" t="n"/>
      <c r="AB126" s="53" t="n"/>
      <c r="AC126" s="53" t="n"/>
      <c r="AD126" s="53" t="n"/>
      <c r="AE126" s="53" t="n"/>
      <c r="AF126" s="53" t="n"/>
      <c r="AG126" s="53" t="n"/>
      <c r="AH126" s="53" t="n"/>
      <c r="AI126" s="53" t="n"/>
      <c r="AJ126" s="53" t="n"/>
      <c r="AK126" s="53" t="n"/>
      <c r="AL126" s="53" t="n"/>
      <c r="AM126" s="53" t="n"/>
      <c r="AN126" s="53" t="n"/>
      <c r="AO126" s="53" t="n"/>
      <c r="AP126" s="53" t="n"/>
      <c r="AQ126" s="53" t="n"/>
      <c r="AR126" s="53" t="n"/>
      <c r="AS126" s="53" t="n"/>
      <c r="AT126" s="53" t="n"/>
      <c r="AU126" s="53" t="n"/>
      <c r="AV126" s="53" t="n"/>
      <c r="AW126" s="53" t="n"/>
      <c r="AX126" s="53" t="n"/>
      <c r="AY126" s="53" t="n"/>
    </row>
    <row r="127" ht="15" customHeight="1">
      <c r="A127" s="40">
        <f>IF($D$127="","",40)</f>
        <v/>
      </c>
      <c r="B127" s="10" t="n"/>
      <c r="C127" s="41" t="inlineStr">
        <is>
          <t>마케팅2팀</t>
        </is>
      </c>
      <c r="D127" s="42" t="n"/>
      <c r="E127" s="43" t="inlineStr">
        <is>
          <t>기획</t>
        </is>
      </c>
      <c r="F127" s="44" t="n"/>
      <c r="G127" s="45" t="n"/>
      <c r="H127" s="46">
        <f>IF($I$127="","",IF($I$127&lt;0,"🔴지연",IF($I$127&lt;=1,"🟡임박","🟢여유")))</f>
        <v/>
      </c>
      <c r="I127" s="47">
        <f>IF(OR($G$127="",$K$127=""),"",$G$127-$K$127)</f>
        <v/>
      </c>
      <c r="J127" s="48">
        <f>IF(SUM($L$127:$L$129)=0,"",SUM($L$127:$L$129))</f>
        <v/>
      </c>
      <c r="K127" s="49">
        <f>IF($J$127="","",MAX($N$127:$N$129))</f>
        <v/>
      </c>
      <c r="L127" s="50">
        <f>IF(SUM(U127:AY127)=0,"",SUM(U127:AY127))</f>
        <v/>
      </c>
      <c r="M127" s="51">
        <f>IFERROR(INDEX(U$2:AY$2,MATCH(TRUE,INDEX(U127:AY127&lt;&gt;"",0),0)),"")</f>
        <v/>
      </c>
      <c r="N127" s="51">
        <f>IFERROR(LOOKUP(2,1/(U127:AY127&lt;&gt;""),U$2:AY$2),"")</f>
        <v/>
      </c>
      <c r="O127" s="52" t="n"/>
      <c r="P127" s="52" t="n"/>
      <c r="Q127" s="52" t="n"/>
      <c r="R127" s="44" t="n"/>
      <c r="S127" s="14" t="n"/>
      <c r="U127" s="53" t="n"/>
      <c r="V127" s="53" t="n"/>
      <c r="W127" s="53" t="n"/>
      <c r="X127" s="53" t="n"/>
      <c r="Y127" s="53" t="n"/>
      <c r="Z127" s="53" t="n"/>
      <c r="AA127" s="53" t="n"/>
      <c r="AB127" s="53" t="n"/>
      <c r="AC127" s="53" t="n"/>
      <c r="AD127" s="53" t="n"/>
      <c r="AE127" s="53" t="n"/>
      <c r="AF127" s="53" t="n"/>
      <c r="AG127" s="53" t="n"/>
      <c r="AH127" s="53" t="n"/>
      <c r="AI127" s="53" t="n"/>
      <c r="AJ127" s="53" t="n"/>
      <c r="AK127" s="53" t="n"/>
      <c r="AL127" s="53" t="n"/>
      <c r="AM127" s="53" t="n"/>
      <c r="AN127" s="53" t="n"/>
      <c r="AO127" s="53" t="n"/>
      <c r="AP127" s="53" t="n"/>
      <c r="AQ127" s="53" t="n"/>
      <c r="AR127" s="53" t="n"/>
      <c r="AS127" s="53" t="n"/>
      <c r="AT127" s="53" t="n"/>
      <c r="AU127" s="53" t="n"/>
      <c r="AV127" s="53" t="n"/>
      <c r="AW127" s="53" t="n"/>
      <c r="AX127" s="53" t="n"/>
      <c r="AY127" s="53" t="n"/>
    </row>
    <row r="128" ht="15" customHeight="1">
      <c r="A128" s="54" t="n"/>
      <c r="B128" s="55">
        <f>IF($B$127="","",$B$127)</f>
        <v/>
      </c>
      <c r="C128" s="56" t="inlineStr">
        <is>
          <t>마케팅2팀</t>
        </is>
      </c>
      <c r="D128" s="55">
        <f>IF($D$127="","",$D$127)</f>
        <v/>
      </c>
      <c r="E128" s="57" t="inlineStr">
        <is>
          <t>이미지</t>
        </is>
      </c>
      <c r="F128" s="44" t="n"/>
      <c r="G128" s="58">
        <f>IF($G$127="","",$G$127)</f>
        <v/>
      </c>
      <c r="H128" s="59" t="n"/>
      <c r="I128" s="59" t="n"/>
      <c r="J128" s="59" t="n"/>
      <c r="K128" s="59" t="n"/>
      <c r="L128" s="60">
        <f>IF(SUM(U128:AY128)=0,"",SUM(U128:AY128))</f>
        <v/>
      </c>
      <c r="M128" s="61">
        <f>IFERROR(INDEX(U$2:AY$2,MATCH(TRUE,INDEX(U128:AY128&lt;&gt;"",0),0)),"")</f>
        <v/>
      </c>
      <c r="N128" s="61">
        <f>IFERROR(LOOKUP(2,1/(U128:AY128&lt;&gt;""),U$2:AY$2),"")</f>
        <v/>
      </c>
      <c r="O128" s="59" t="n"/>
      <c r="P128" s="59" t="n"/>
      <c r="Q128" s="59" t="n"/>
      <c r="R128" s="59" t="n"/>
      <c r="S128" s="14" t="n"/>
      <c r="U128" s="53" t="n"/>
      <c r="V128" s="53" t="n"/>
      <c r="W128" s="53" t="n"/>
      <c r="X128" s="53" t="n"/>
      <c r="Y128" s="53" t="n"/>
      <c r="Z128" s="53" t="n"/>
      <c r="AA128" s="53" t="n"/>
      <c r="AB128" s="53" t="n"/>
      <c r="AC128" s="53" t="n"/>
      <c r="AD128" s="53" t="n"/>
      <c r="AE128" s="53" t="n"/>
      <c r="AF128" s="53" t="n"/>
      <c r="AG128" s="53" t="n"/>
      <c r="AH128" s="53" t="n"/>
      <c r="AI128" s="53" t="n"/>
      <c r="AJ128" s="53" t="n"/>
      <c r="AK128" s="53" t="n"/>
      <c r="AL128" s="53" t="n"/>
      <c r="AM128" s="53" t="n"/>
      <c r="AN128" s="53" t="n"/>
      <c r="AO128" s="53" t="n"/>
      <c r="AP128" s="53" t="n"/>
      <c r="AQ128" s="53" t="n"/>
      <c r="AR128" s="53" t="n"/>
      <c r="AS128" s="53" t="n"/>
      <c r="AT128" s="53" t="n"/>
      <c r="AU128" s="53" t="n"/>
      <c r="AV128" s="53" t="n"/>
      <c r="AW128" s="53" t="n"/>
      <c r="AX128" s="53" t="n"/>
      <c r="AY128" s="53" t="n"/>
    </row>
    <row r="129" ht="15" customHeight="1">
      <c r="A129" s="62" t="n"/>
      <c r="B129" s="55">
        <f>IF($B$127="","",$B$127)</f>
        <v/>
      </c>
      <c r="C129" s="63" t="inlineStr">
        <is>
          <t>마케팅2팀</t>
        </is>
      </c>
      <c r="D129" s="55">
        <f>IF($D$127="","",$D$127)</f>
        <v/>
      </c>
      <c r="E129" s="64" t="inlineStr">
        <is>
          <t>영상</t>
        </is>
      </c>
      <c r="F129" s="44" t="n"/>
      <c r="G129" s="58">
        <f>IF($G$127="","",$G$127)</f>
        <v/>
      </c>
      <c r="H129" s="59" t="n"/>
      <c r="I129" s="59" t="n"/>
      <c r="J129" s="59" t="n"/>
      <c r="K129" s="59" t="n"/>
      <c r="L129" s="65">
        <f>IF(SUM(U129:AY129)=0,"",SUM(U129:AY129))</f>
        <v/>
      </c>
      <c r="M129" s="66">
        <f>IFERROR(INDEX(U$2:AY$2,MATCH(TRUE,INDEX(U129:AY129&lt;&gt;"",0),0)),"")</f>
        <v/>
      </c>
      <c r="N129" s="66">
        <f>IFERROR(LOOKUP(2,1/(U129:AY129&lt;&gt;""),U$2:AY$2),"")</f>
        <v/>
      </c>
      <c r="O129" s="59" t="n"/>
      <c r="P129" s="59" t="n"/>
      <c r="Q129" s="59" t="n"/>
      <c r="R129" s="59" t="n"/>
      <c r="S129" s="14" t="n"/>
      <c r="U129" s="53" t="n"/>
      <c r="V129" s="53" t="n"/>
      <c r="W129" s="53" t="n"/>
      <c r="X129" s="53" t="n"/>
      <c r="Y129" s="53" t="n"/>
      <c r="Z129" s="53" t="n"/>
      <c r="AA129" s="53" t="n"/>
      <c r="AB129" s="53" t="n"/>
      <c r="AC129" s="53" t="n"/>
      <c r="AD129" s="53" t="n"/>
      <c r="AE129" s="53" t="n"/>
      <c r="AF129" s="53" t="n"/>
      <c r="AG129" s="53" t="n"/>
      <c r="AH129" s="53" t="n"/>
      <c r="AI129" s="53" t="n"/>
      <c r="AJ129" s="53" t="n"/>
      <c r="AK129" s="53" t="n"/>
      <c r="AL129" s="53" t="n"/>
      <c r="AM129" s="53" t="n"/>
      <c r="AN129" s="53" t="n"/>
      <c r="AO129" s="53" t="n"/>
      <c r="AP129" s="53" t="n"/>
      <c r="AQ129" s="53" t="n"/>
      <c r="AR129" s="53" t="n"/>
      <c r="AS129" s="53" t="n"/>
      <c r="AT129" s="53" t="n"/>
      <c r="AU129" s="53" t="n"/>
      <c r="AV129" s="53" t="n"/>
      <c r="AW129" s="53" t="n"/>
      <c r="AX129" s="53" t="n"/>
      <c r="AY129" s="53" t="n"/>
    </row>
    <row r="130" ht="18" customHeight="1">
      <c r="A130" s="39" t="inlineStr">
        <is>
          <t>마케팅3팀   (131~190행 · 소재 20개)</t>
        </is>
      </c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  <c r="AN130" s="8" t="n"/>
      <c r="AO130" s="8" t="n"/>
      <c r="AP130" s="8" t="n"/>
      <c r="AQ130" s="8" t="n"/>
      <c r="AR130" s="8" t="n"/>
      <c r="AS130" s="8" t="n"/>
      <c r="AT130" s="8" t="n"/>
      <c r="AU130" s="8" t="n"/>
      <c r="AV130" s="8" t="n"/>
      <c r="AW130" s="8" t="n"/>
      <c r="AX130" s="8" t="n"/>
      <c r="AY130" s="4" t="n"/>
    </row>
    <row r="131" ht="15" customHeight="1">
      <c r="A131" s="40">
        <f>IF($D$131="","",41)</f>
        <v/>
      </c>
      <c r="B131" s="10" t="n"/>
      <c r="C131" s="41" t="inlineStr">
        <is>
          <t>마케팅3팀</t>
        </is>
      </c>
      <c r="D131" s="42" t="n"/>
      <c r="E131" s="43" t="inlineStr">
        <is>
          <t>기획</t>
        </is>
      </c>
      <c r="F131" s="44" t="n"/>
      <c r="G131" s="45" t="n"/>
      <c r="H131" s="46">
        <f>IF($I$131="","",IF($I$131&lt;0,"🔴지연",IF($I$131&lt;=1,"🟡임박","🟢여유")))</f>
        <v/>
      </c>
      <c r="I131" s="47">
        <f>IF(OR($G$131="",$K$131=""),"",$G$131-$K$131)</f>
        <v/>
      </c>
      <c r="J131" s="48">
        <f>IF(SUM($L$131:$L$133)=0,"",SUM($L$131:$L$133))</f>
        <v/>
      </c>
      <c r="K131" s="49">
        <f>IF($J$131="","",MAX($N$131:$N$133))</f>
        <v/>
      </c>
      <c r="L131" s="50">
        <f>IF(SUM(U131:AY131)=0,"",SUM(U131:AY131))</f>
        <v/>
      </c>
      <c r="M131" s="51">
        <f>IFERROR(INDEX(U$2:AY$2,MATCH(TRUE,INDEX(U131:AY131&lt;&gt;"",0),0)),"")</f>
        <v/>
      </c>
      <c r="N131" s="51">
        <f>IFERROR(LOOKUP(2,1/(U131:AY131&lt;&gt;""),U$2:AY$2),"")</f>
        <v/>
      </c>
      <c r="O131" s="52" t="n"/>
      <c r="P131" s="52" t="n"/>
      <c r="Q131" s="52" t="n"/>
      <c r="R131" s="44" t="n"/>
      <c r="S131" s="14" t="n"/>
      <c r="U131" s="53" t="n"/>
      <c r="V131" s="53" t="n"/>
      <c r="W131" s="53" t="n"/>
      <c r="X131" s="53" t="n"/>
      <c r="Y131" s="53" t="n"/>
      <c r="Z131" s="53" t="n"/>
      <c r="AA131" s="53" t="n"/>
      <c r="AB131" s="53" t="n"/>
      <c r="AC131" s="53" t="n"/>
      <c r="AD131" s="53" t="n"/>
      <c r="AE131" s="53" t="n"/>
      <c r="AF131" s="53" t="n"/>
      <c r="AG131" s="53" t="n"/>
      <c r="AH131" s="53" t="n"/>
      <c r="AI131" s="53" t="n"/>
      <c r="AJ131" s="53" t="n"/>
      <c r="AK131" s="53" t="n"/>
      <c r="AL131" s="53" t="n"/>
      <c r="AM131" s="53" t="n"/>
      <c r="AN131" s="53" t="n"/>
      <c r="AO131" s="53" t="n"/>
      <c r="AP131" s="53" t="n"/>
      <c r="AQ131" s="53" t="n"/>
      <c r="AR131" s="53" t="n"/>
      <c r="AS131" s="53" t="n"/>
      <c r="AT131" s="53" t="n"/>
      <c r="AU131" s="53" t="n"/>
      <c r="AV131" s="53" t="n"/>
      <c r="AW131" s="53" t="n"/>
      <c r="AX131" s="53" t="n"/>
      <c r="AY131" s="53" t="n"/>
    </row>
    <row r="132" ht="15" customHeight="1">
      <c r="A132" s="54" t="n"/>
      <c r="B132" s="55">
        <f>IF($B$131="","",$B$131)</f>
        <v/>
      </c>
      <c r="C132" s="56" t="inlineStr">
        <is>
          <t>마케팅3팀</t>
        </is>
      </c>
      <c r="D132" s="55">
        <f>IF($D$131="","",$D$131)</f>
        <v/>
      </c>
      <c r="E132" s="57" t="inlineStr">
        <is>
          <t>이미지</t>
        </is>
      </c>
      <c r="F132" s="44" t="n"/>
      <c r="G132" s="58">
        <f>IF($G$131="","",$G$131)</f>
        <v/>
      </c>
      <c r="H132" s="59" t="n"/>
      <c r="I132" s="59" t="n"/>
      <c r="J132" s="59" t="n"/>
      <c r="K132" s="59" t="n"/>
      <c r="L132" s="60">
        <f>IF(SUM(U132:AY132)=0,"",SUM(U132:AY132))</f>
        <v/>
      </c>
      <c r="M132" s="61">
        <f>IFERROR(INDEX(U$2:AY$2,MATCH(TRUE,INDEX(U132:AY132&lt;&gt;"",0),0)),"")</f>
        <v/>
      </c>
      <c r="N132" s="61">
        <f>IFERROR(LOOKUP(2,1/(U132:AY132&lt;&gt;""),U$2:AY$2),"")</f>
        <v/>
      </c>
      <c r="O132" s="59" t="n"/>
      <c r="P132" s="59" t="n"/>
      <c r="Q132" s="59" t="n"/>
      <c r="R132" s="59" t="n"/>
      <c r="S132" s="14" t="n"/>
      <c r="U132" s="53" t="n"/>
      <c r="V132" s="53" t="n"/>
      <c r="W132" s="53" t="n"/>
      <c r="X132" s="53" t="n"/>
      <c r="Y132" s="53" t="n"/>
      <c r="Z132" s="53" t="n"/>
      <c r="AA132" s="53" t="n"/>
      <c r="AB132" s="53" t="n"/>
      <c r="AC132" s="53" t="n"/>
      <c r="AD132" s="53" t="n"/>
      <c r="AE132" s="53" t="n"/>
      <c r="AF132" s="53" t="n"/>
      <c r="AG132" s="53" t="n"/>
      <c r="AH132" s="53" t="n"/>
      <c r="AI132" s="53" t="n"/>
      <c r="AJ132" s="53" t="n"/>
      <c r="AK132" s="53" t="n"/>
      <c r="AL132" s="53" t="n"/>
      <c r="AM132" s="53" t="n"/>
      <c r="AN132" s="53" t="n"/>
      <c r="AO132" s="53" t="n"/>
      <c r="AP132" s="53" t="n"/>
      <c r="AQ132" s="53" t="n"/>
      <c r="AR132" s="53" t="n"/>
      <c r="AS132" s="53" t="n"/>
      <c r="AT132" s="53" t="n"/>
      <c r="AU132" s="53" t="n"/>
      <c r="AV132" s="53" t="n"/>
      <c r="AW132" s="53" t="n"/>
      <c r="AX132" s="53" t="n"/>
      <c r="AY132" s="53" t="n"/>
    </row>
    <row r="133" ht="15" customHeight="1">
      <c r="A133" s="62" t="n"/>
      <c r="B133" s="55">
        <f>IF($B$131="","",$B$131)</f>
        <v/>
      </c>
      <c r="C133" s="63" t="inlineStr">
        <is>
          <t>마케팅3팀</t>
        </is>
      </c>
      <c r="D133" s="55">
        <f>IF($D$131="","",$D$131)</f>
        <v/>
      </c>
      <c r="E133" s="64" t="inlineStr">
        <is>
          <t>영상</t>
        </is>
      </c>
      <c r="F133" s="44" t="n"/>
      <c r="G133" s="58">
        <f>IF($G$131="","",$G$131)</f>
        <v/>
      </c>
      <c r="H133" s="59" t="n"/>
      <c r="I133" s="59" t="n"/>
      <c r="J133" s="59" t="n"/>
      <c r="K133" s="59" t="n"/>
      <c r="L133" s="65">
        <f>IF(SUM(U133:AY133)=0,"",SUM(U133:AY133))</f>
        <v/>
      </c>
      <c r="M133" s="66">
        <f>IFERROR(INDEX(U$2:AY$2,MATCH(TRUE,INDEX(U133:AY133&lt;&gt;"",0),0)),"")</f>
        <v/>
      </c>
      <c r="N133" s="66">
        <f>IFERROR(LOOKUP(2,1/(U133:AY133&lt;&gt;""),U$2:AY$2),"")</f>
        <v/>
      </c>
      <c r="O133" s="59" t="n"/>
      <c r="P133" s="59" t="n"/>
      <c r="Q133" s="59" t="n"/>
      <c r="R133" s="59" t="n"/>
      <c r="S133" s="14" t="n"/>
      <c r="U133" s="53" t="n"/>
      <c r="V133" s="53" t="n"/>
      <c r="W133" s="53" t="n"/>
      <c r="X133" s="53" t="n"/>
      <c r="Y133" s="53" t="n"/>
      <c r="Z133" s="53" t="n"/>
      <c r="AA133" s="53" t="n"/>
      <c r="AB133" s="53" t="n"/>
      <c r="AC133" s="53" t="n"/>
      <c r="AD133" s="53" t="n"/>
      <c r="AE133" s="53" t="n"/>
      <c r="AF133" s="53" t="n"/>
      <c r="AG133" s="53" t="n"/>
      <c r="AH133" s="53" t="n"/>
      <c r="AI133" s="53" t="n"/>
      <c r="AJ133" s="53" t="n"/>
      <c r="AK133" s="53" t="n"/>
      <c r="AL133" s="53" t="n"/>
      <c r="AM133" s="53" t="n"/>
      <c r="AN133" s="53" t="n"/>
      <c r="AO133" s="53" t="n"/>
      <c r="AP133" s="53" t="n"/>
      <c r="AQ133" s="53" t="n"/>
      <c r="AR133" s="53" t="n"/>
      <c r="AS133" s="53" t="n"/>
      <c r="AT133" s="53" t="n"/>
      <c r="AU133" s="53" t="n"/>
      <c r="AV133" s="53" t="n"/>
      <c r="AW133" s="53" t="n"/>
      <c r="AX133" s="53" t="n"/>
      <c r="AY133" s="53" t="n"/>
    </row>
    <row r="134" ht="15" customHeight="1">
      <c r="A134" s="40">
        <f>IF($D$134="","",42)</f>
        <v/>
      </c>
      <c r="B134" s="10" t="n"/>
      <c r="C134" s="41" t="inlineStr">
        <is>
          <t>마케팅3팀</t>
        </is>
      </c>
      <c r="D134" s="42" t="n"/>
      <c r="E134" s="43" t="inlineStr">
        <is>
          <t>기획</t>
        </is>
      </c>
      <c r="F134" s="44" t="n"/>
      <c r="G134" s="45" t="n"/>
      <c r="H134" s="46">
        <f>IF($I$134="","",IF($I$134&lt;0,"🔴지연",IF($I$134&lt;=1,"🟡임박","🟢여유")))</f>
        <v/>
      </c>
      <c r="I134" s="47">
        <f>IF(OR($G$134="",$K$134=""),"",$G$134-$K$134)</f>
        <v/>
      </c>
      <c r="J134" s="48">
        <f>IF(SUM($L$134:$L$136)=0,"",SUM($L$134:$L$136))</f>
        <v/>
      </c>
      <c r="K134" s="49">
        <f>IF($J$134="","",MAX($N$134:$N$136))</f>
        <v/>
      </c>
      <c r="L134" s="50">
        <f>IF(SUM(U134:AY134)=0,"",SUM(U134:AY134))</f>
        <v/>
      </c>
      <c r="M134" s="51">
        <f>IFERROR(INDEX(U$2:AY$2,MATCH(TRUE,INDEX(U134:AY134&lt;&gt;"",0),0)),"")</f>
        <v/>
      </c>
      <c r="N134" s="51">
        <f>IFERROR(LOOKUP(2,1/(U134:AY134&lt;&gt;""),U$2:AY$2),"")</f>
        <v/>
      </c>
      <c r="O134" s="52" t="n"/>
      <c r="P134" s="52" t="n"/>
      <c r="Q134" s="52" t="n"/>
      <c r="R134" s="44" t="n"/>
      <c r="S134" s="14" t="n"/>
      <c r="U134" s="53" t="n"/>
      <c r="V134" s="53" t="n"/>
      <c r="W134" s="53" t="n"/>
      <c r="X134" s="53" t="n"/>
      <c r="Y134" s="53" t="n"/>
      <c r="Z134" s="53" t="n"/>
      <c r="AA134" s="53" t="n"/>
      <c r="AB134" s="53" t="n"/>
      <c r="AC134" s="53" t="n"/>
      <c r="AD134" s="53" t="n"/>
      <c r="AE134" s="53" t="n"/>
      <c r="AF134" s="53" t="n"/>
      <c r="AG134" s="53" t="n"/>
      <c r="AH134" s="53" t="n"/>
      <c r="AI134" s="53" t="n"/>
      <c r="AJ134" s="53" t="n"/>
      <c r="AK134" s="53" t="n"/>
      <c r="AL134" s="53" t="n"/>
      <c r="AM134" s="53" t="n"/>
      <c r="AN134" s="53" t="n"/>
      <c r="AO134" s="53" t="n"/>
      <c r="AP134" s="53" t="n"/>
      <c r="AQ134" s="53" t="n"/>
      <c r="AR134" s="53" t="n"/>
      <c r="AS134" s="53" t="n"/>
      <c r="AT134" s="53" t="n"/>
      <c r="AU134" s="53" t="n"/>
      <c r="AV134" s="53" t="n"/>
      <c r="AW134" s="53" t="n"/>
      <c r="AX134" s="53" t="n"/>
      <c r="AY134" s="53" t="n"/>
    </row>
    <row r="135" ht="15" customHeight="1">
      <c r="A135" s="54" t="n"/>
      <c r="B135" s="55">
        <f>IF($B$134="","",$B$134)</f>
        <v/>
      </c>
      <c r="C135" s="56" t="inlineStr">
        <is>
          <t>마케팅3팀</t>
        </is>
      </c>
      <c r="D135" s="55">
        <f>IF($D$134="","",$D$134)</f>
        <v/>
      </c>
      <c r="E135" s="57" t="inlineStr">
        <is>
          <t>이미지</t>
        </is>
      </c>
      <c r="F135" s="44" t="n"/>
      <c r="G135" s="58">
        <f>IF($G$134="","",$G$134)</f>
        <v/>
      </c>
      <c r="H135" s="59" t="n"/>
      <c r="I135" s="59" t="n"/>
      <c r="J135" s="59" t="n"/>
      <c r="K135" s="59" t="n"/>
      <c r="L135" s="60">
        <f>IF(SUM(U135:AY135)=0,"",SUM(U135:AY135))</f>
        <v/>
      </c>
      <c r="M135" s="61">
        <f>IFERROR(INDEX(U$2:AY$2,MATCH(TRUE,INDEX(U135:AY135&lt;&gt;"",0),0)),"")</f>
        <v/>
      </c>
      <c r="N135" s="61">
        <f>IFERROR(LOOKUP(2,1/(U135:AY135&lt;&gt;""),U$2:AY$2),"")</f>
        <v/>
      </c>
      <c r="O135" s="59" t="n"/>
      <c r="P135" s="59" t="n"/>
      <c r="Q135" s="59" t="n"/>
      <c r="R135" s="59" t="n"/>
      <c r="S135" s="14" t="n"/>
      <c r="U135" s="53" t="n"/>
      <c r="V135" s="53" t="n"/>
      <c r="W135" s="53" t="n"/>
      <c r="X135" s="53" t="n"/>
      <c r="Y135" s="53" t="n"/>
      <c r="Z135" s="53" t="n"/>
      <c r="AA135" s="53" t="n"/>
      <c r="AB135" s="53" t="n"/>
      <c r="AC135" s="53" t="n"/>
      <c r="AD135" s="53" t="n"/>
      <c r="AE135" s="53" t="n"/>
      <c r="AF135" s="53" t="n"/>
      <c r="AG135" s="53" t="n"/>
      <c r="AH135" s="53" t="n"/>
      <c r="AI135" s="53" t="n"/>
      <c r="AJ135" s="53" t="n"/>
      <c r="AK135" s="53" t="n"/>
      <c r="AL135" s="53" t="n"/>
      <c r="AM135" s="53" t="n"/>
      <c r="AN135" s="53" t="n"/>
      <c r="AO135" s="53" t="n"/>
      <c r="AP135" s="53" t="n"/>
      <c r="AQ135" s="53" t="n"/>
      <c r="AR135" s="53" t="n"/>
      <c r="AS135" s="53" t="n"/>
      <c r="AT135" s="53" t="n"/>
      <c r="AU135" s="53" t="n"/>
      <c r="AV135" s="53" t="n"/>
      <c r="AW135" s="53" t="n"/>
      <c r="AX135" s="53" t="n"/>
      <c r="AY135" s="53" t="n"/>
    </row>
    <row r="136" ht="15" customHeight="1">
      <c r="A136" s="62" t="n"/>
      <c r="B136" s="55">
        <f>IF($B$134="","",$B$134)</f>
        <v/>
      </c>
      <c r="C136" s="63" t="inlineStr">
        <is>
          <t>마케팅3팀</t>
        </is>
      </c>
      <c r="D136" s="55">
        <f>IF($D$134="","",$D$134)</f>
        <v/>
      </c>
      <c r="E136" s="64" t="inlineStr">
        <is>
          <t>영상</t>
        </is>
      </c>
      <c r="F136" s="44" t="n"/>
      <c r="G136" s="58">
        <f>IF($G$134="","",$G$134)</f>
        <v/>
      </c>
      <c r="H136" s="59" t="n"/>
      <c r="I136" s="59" t="n"/>
      <c r="J136" s="59" t="n"/>
      <c r="K136" s="59" t="n"/>
      <c r="L136" s="65">
        <f>IF(SUM(U136:AY136)=0,"",SUM(U136:AY136))</f>
        <v/>
      </c>
      <c r="M136" s="66">
        <f>IFERROR(INDEX(U$2:AY$2,MATCH(TRUE,INDEX(U136:AY136&lt;&gt;"",0),0)),"")</f>
        <v/>
      </c>
      <c r="N136" s="66">
        <f>IFERROR(LOOKUP(2,1/(U136:AY136&lt;&gt;""),U$2:AY$2),"")</f>
        <v/>
      </c>
      <c r="O136" s="59" t="n"/>
      <c r="P136" s="59" t="n"/>
      <c r="Q136" s="59" t="n"/>
      <c r="R136" s="59" t="n"/>
      <c r="S136" s="14" t="n"/>
      <c r="U136" s="53" t="n"/>
      <c r="V136" s="53" t="n"/>
      <c r="W136" s="53" t="n"/>
      <c r="X136" s="53" t="n"/>
      <c r="Y136" s="53" t="n"/>
      <c r="Z136" s="53" t="n"/>
      <c r="AA136" s="53" t="n"/>
      <c r="AB136" s="53" t="n"/>
      <c r="AC136" s="53" t="n"/>
      <c r="AD136" s="53" t="n"/>
      <c r="AE136" s="53" t="n"/>
      <c r="AF136" s="53" t="n"/>
      <c r="AG136" s="53" t="n"/>
      <c r="AH136" s="53" t="n"/>
      <c r="AI136" s="53" t="n"/>
      <c r="AJ136" s="53" t="n"/>
      <c r="AK136" s="53" t="n"/>
      <c r="AL136" s="53" t="n"/>
      <c r="AM136" s="53" t="n"/>
      <c r="AN136" s="53" t="n"/>
      <c r="AO136" s="53" t="n"/>
      <c r="AP136" s="53" t="n"/>
      <c r="AQ136" s="53" t="n"/>
      <c r="AR136" s="53" t="n"/>
      <c r="AS136" s="53" t="n"/>
      <c r="AT136" s="53" t="n"/>
      <c r="AU136" s="53" t="n"/>
      <c r="AV136" s="53" t="n"/>
      <c r="AW136" s="53" t="n"/>
      <c r="AX136" s="53" t="n"/>
      <c r="AY136" s="53" t="n"/>
    </row>
    <row r="137" ht="15" customHeight="1">
      <c r="A137" s="40">
        <f>IF($D$137="","",43)</f>
        <v/>
      </c>
      <c r="B137" s="10" t="n"/>
      <c r="C137" s="41" t="inlineStr">
        <is>
          <t>마케팅3팀</t>
        </is>
      </c>
      <c r="D137" s="42" t="n"/>
      <c r="E137" s="43" t="inlineStr">
        <is>
          <t>기획</t>
        </is>
      </c>
      <c r="F137" s="44" t="n"/>
      <c r="G137" s="45" t="n"/>
      <c r="H137" s="46">
        <f>IF($I$137="","",IF($I$137&lt;0,"🔴지연",IF($I$137&lt;=1,"🟡임박","🟢여유")))</f>
        <v/>
      </c>
      <c r="I137" s="47">
        <f>IF(OR($G$137="",$K$137=""),"",$G$137-$K$137)</f>
        <v/>
      </c>
      <c r="J137" s="48">
        <f>IF(SUM($L$137:$L$139)=0,"",SUM($L$137:$L$139))</f>
        <v/>
      </c>
      <c r="K137" s="49">
        <f>IF($J$137="","",MAX($N$137:$N$139))</f>
        <v/>
      </c>
      <c r="L137" s="50">
        <f>IF(SUM(U137:AY137)=0,"",SUM(U137:AY137))</f>
        <v/>
      </c>
      <c r="M137" s="51">
        <f>IFERROR(INDEX(U$2:AY$2,MATCH(TRUE,INDEX(U137:AY137&lt;&gt;"",0),0)),"")</f>
        <v/>
      </c>
      <c r="N137" s="51">
        <f>IFERROR(LOOKUP(2,1/(U137:AY137&lt;&gt;""),U$2:AY$2),"")</f>
        <v/>
      </c>
      <c r="O137" s="52" t="n"/>
      <c r="P137" s="52" t="n"/>
      <c r="Q137" s="52" t="n"/>
      <c r="R137" s="44" t="n"/>
      <c r="S137" s="14" t="n"/>
      <c r="U137" s="53" t="n"/>
      <c r="V137" s="53" t="n"/>
      <c r="W137" s="53" t="n"/>
      <c r="X137" s="53" t="n"/>
      <c r="Y137" s="53" t="n"/>
      <c r="Z137" s="53" t="n"/>
      <c r="AA137" s="53" t="n"/>
      <c r="AB137" s="53" t="n"/>
      <c r="AC137" s="53" t="n"/>
      <c r="AD137" s="53" t="n"/>
      <c r="AE137" s="53" t="n"/>
      <c r="AF137" s="53" t="n"/>
      <c r="AG137" s="53" t="n"/>
      <c r="AH137" s="53" t="n"/>
      <c r="AI137" s="53" t="n"/>
      <c r="AJ137" s="53" t="n"/>
      <c r="AK137" s="53" t="n"/>
      <c r="AL137" s="53" t="n"/>
      <c r="AM137" s="53" t="n"/>
      <c r="AN137" s="53" t="n"/>
      <c r="AO137" s="53" t="n"/>
      <c r="AP137" s="53" t="n"/>
      <c r="AQ137" s="53" t="n"/>
      <c r="AR137" s="53" t="n"/>
      <c r="AS137" s="53" t="n"/>
      <c r="AT137" s="53" t="n"/>
      <c r="AU137" s="53" t="n"/>
      <c r="AV137" s="53" t="n"/>
      <c r="AW137" s="53" t="n"/>
      <c r="AX137" s="53" t="n"/>
      <c r="AY137" s="53" t="n"/>
    </row>
    <row r="138" ht="15" customHeight="1">
      <c r="A138" s="54" t="n"/>
      <c r="B138" s="55">
        <f>IF($B$137="","",$B$137)</f>
        <v/>
      </c>
      <c r="C138" s="56" t="inlineStr">
        <is>
          <t>마케팅3팀</t>
        </is>
      </c>
      <c r="D138" s="55">
        <f>IF($D$137="","",$D$137)</f>
        <v/>
      </c>
      <c r="E138" s="57" t="inlineStr">
        <is>
          <t>이미지</t>
        </is>
      </c>
      <c r="F138" s="44" t="n"/>
      <c r="G138" s="58">
        <f>IF($G$137="","",$G$137)</f>
        <v/>
      </c>
      <c r="H138" s="59" t="n"/>
      <c r="I138" s="59" t="n"/>
      <c r="J138" s="59" t="n"/>
      <c r="K138" s="59" t="n"/>
      <c r="L138" s="60">
        <f>IF(SUM(U138:AY138)=0,"",SUM(U138:AY138))</f>
        <v/>
      </c>
      <c r="M138" s="61">
        <f>IFERROR(INDEX(U$2:AY$2,MATCH(TRUE,INDEX(U138:AY138&lt;&gt;"",0),0)),"")</f>
        <v/>
      </c>
      <c r="N138" s="61">
        <f>IFERROR(LOOKUP(2,1/(U138:AY138&lt;&gt;""),U$2:AY$2),"")</f>
        <v/>
      </c>
      <c r="O138" s="59" t="n"/>
      <c r="P138" s="59" t="n"/>
      <c r="Q138" s="59" t="n"/>
      <c r="R138" s="59" t="n"/>
      <c r="S138" s="14" t="n"/>
      <c r="U138" s="53" t="n"/>
      <c r="V138" s="53" t="n"/>
      <c r="W138" s="53" t="n"/>
      <c r="X138" s="53" t="n"/>
      <c r="Y138" s="53" t="n"/>
      <c r="Z138" s="53" t="n"/>
      <c r="AA138" s="53" t="n"/>
      <c r="AB138" s="53" t="n"/>
      <c r="AC138" s="53" t="n"/>
      <c r="AD138" s="53" t="n"/>
      <c r="AE138" s="53" t="n"/>
      <c r="AF138" s="53" t="n"/>
      <c r="AG138" s="53" t="n"/>
      <c r="AH138" s="53" t="n"/>
      <c r="AI138" s="53" t="n"/>
      <c r="AJ138" s="53" t="n"/>
      <c r="AK138" s="53" t="n"/>
      <c r="AL138" s="53" t="n"/>
      <c r="AM138" s="53" t="n"/>
      <c r="AN138" s="53" t="n"/>
      <c r="AO138" s="53" t="n"/>
      <c r="AP138" s="53" t="n"/>
      <c r="AQ138" s="53" t="n"/>
      <c r="AR138" s="53" t="n"/>
      <c r="AS138" s="53" t="n"/>
      <c r="AT138" s="53" t="n"/>
      <c r="AU138" s="53" t="n"/>
      <c r="AV138" s="53" t="n"/>
      <c r="AW138" s="53" t="n"/>
      <c r="AX138" s="53" t="n"/>
      <c r="AY138" s="53" t="n"/>
    </row>
    <row r="139" ht="15" customHeight="1">
      <c r="A139" s="62" t="n"/>
      <c r="B139" s="55">
        <f>IF($B$137="","",$B$137)</f>
        <v/>
      </c>
      <c r="C139" s="63" t="inlineStr">
        <is>
          <t>마케팅3팀</t>
        </is>
      </c>
      <c r="D139" s="55">
        <f>IF($D$137="","",$D$137)</f>
        <v/>
      </c>
      <c r="E139" s="64" t="inlineStr">
        <is>
          <t>영상</t>
        </is>
      </c>
      <c r="F139" s="44" t="n"/>
      <c r="G139" s="58">
        <f>IF($G$137="","",$G$137)</f>
        <v/>
      </c>
      <c r="H139" s="59" t="n"/>
      <c r="I139" s="59" t="n"/>
      <c r="J139" s="59" t="n"/>
      <c r="K139" s="59" t="n"/>
      <c r="L139" s="65">
        <f>IF(SUM(U139:AY139)=0,"",SUM(U139:AY139))</f>
        <v/>
      </c>
      <c r="M139" s="66">
        <f>IFERROR(INDEX(U$2:AY$2,MATCH(TRUE,INDEX(U139:AY139&lt;&gt;"",0),0)),"")</f>
        <v/>
      </c>
      <c r="N139" s="66">
        <f>IFERROR(LOOKUP(2,1/(U139:AY139&lt;&gt;""),U$2:AY$2),"")</f>
        <v/>
      </c>
      <c r="O139" s="59" t="n"/>
      <c r="P139" s="59" t="n"/>
      <c r="Q139" s="59" t="n"/>
      <c r="R139" s="59" t="n"/>
      <c r="S139" s="14" t="n"/>
      <c r="U139" s="53" t="n"/>
      <c r="V139" s="53" t="n"/>
      <c r="W139" s="53" t="n"/>
      <c r="X139" s="53" t="n"/>
      <c r="Y139" s="53" t="n"/>
      <c r="Z139" s="53" t="n"/>
      <c r="AA139" s="53" t="n"/>
      <c r="AB139" s="53" t="n"/>
      <c r="AC139" s="53" t="n"/>
      <c r="AD139" s="53" t="n"/>
      <c r="AE139" s="53" t="n"/>
      <c r="AF139" s="53" t="n"/>
      <c r="AG139" s="53" t="n"/>
      <c r="AH139" s="53" t="n"/>
      <c r="AI139" s="53" t="n"/>
      <c r="AJ139" s="53" t="n"/>
      <c r="AK139" s="53" t="n"/>
      <c r="AL139" s="53" t="n"/>
      <c r="AM139" s="53" t="n"/>
      <c r="AN139" s="53" t="n"/>
      <c r="AO139" s="53" t="n"/>
      <c r="AP139" s="53" t="n"/>
      <c r="AQ139" s="53" t="n"/>
      <c r="AR139" s="53" t="n"/>
      <c r="AS139" s="53" t="n"/>
      <c r="AT139" s="53" t="n"/>
      <c r="AU139" s="53" t="n"/>
      <c r="AV139" s="53" t="n"/>
      <c r="AW139" s="53" t="n"/>
      <c r="AX139" s="53" t="n"/>
      <c r="AY139" s="53" t="n"/>
    </row>
    <row r="140" ht="15" customHeight="1">
      <c r="A140" s="40">
        <f>IF($D$140="","",44)</f>
        <v/>
      </c>
      <c r="B140" s="10" t="n"/>
      <c r="C140" s="41" t="inlineStr">
        <is>
          <t>마케팅3팀</t>
        </is>
      </c>
      <c r="D140" s="42" t="n"/>
      <c r="E140" s="43" t="inlineStr">
        <is>
          <t>기획</t>
        </is>
      </c>
      <c r="F140" s="44" t="n"/>
      <c r="G140" s="45" t="n"/>
      <c r="H140" s="46">
        <f>IF($I$140="","",IF($I$140&lt;0,"🔴지연",IF($I$140&lt;=1,"🟡임박","🟢여유")))</f>
        <v/>
      </c>
      <c r="I140" s="47">
        <f>IF(OR($G$140="",$K$140=""),"",$G$140-$K$140)</f>
        <v/>
      </c>
      <c r="J140" s="48">
        <f>IF(SUM($L$140:$L$142)=0,"",SUM($L$140:$L$142))</f>
        <v/>
      </c>
      <c r="K140" s="49">
        <f>IF($J$140="","",MAX($N$140:$N$142))</f>
        <v/>
      </c>
      <c r="L140" s="50">
        <f>IF(SUM(U140:AY140)=0,"",SUM(U140:AY140))</f>
        <v/>
      </c>
      <c r="M140" s="51">
        <f>IFERROR(INDEX(U$2:AY$2,MATCH(TRUE,INDEX(U140:AY140&lt;&gt;"",0),0)),"")</f>
        <v/>
      </c>
      <c r="N140" s="51">
        <f>IFERROR(LOOKUP(2,1/(U140:AY140&lt;&gt;""),U$2:AY$2),"")</f>
        <v/>
      </c>
      <c r="O140" s="52" t="n"/>
      <c r="P140" s="52" t="n"/>
      <c r="Q140" s="52" t="n"/>
      <c r="R140" s="44" t="n"/>
      <c r="S140" s="14" t="n"/>
      <c r="U140" s="53" t="n"/>
      <c r="V140" s="53" t="n"/>
      <c r="W140" s="53" t="n"/>
      <c r="X140" s="53" t="n"/>
      <c r="Y140" s="53" t="n"/>
      <c r="Z140" s="53" t="n"/>
      <c r="AA140" s="53" t="n"/>
      <c r="AB140" s="53" t="n"/>
      <c r="AC140" s="53" t="n"/>
      <c r="AD140" s="53" t="n"/>
      <c r="AE140" s="53" t="n"/>
      <c r="AF140" s="53" t="n"/>
      <c r="AG140" s="53" t="n"/>
      <c r="AH140" s="53" t="n"/>
      <c r="AI140" s="53" t="n"/>
      <c r="AJ140" s="53" t="n"/>
      <c r="AK140" s="53" t="n"/>
      <c r="AL140" s="53" t="n"/>
      <c r="AM140" s="53" t="n"/>
      <c r="AN140" s="53" t="n"/>
      <c r="AO140" s="53" t="n"/>
      <c r="AP140" s="53" t="n"/>
      <c r="AQ140" s="53" t="n"/>
      <c r="AR140" s="53" t="n"/>
      <c r="AS140" s="53" t="n"/>
      <c r="AT140" s="53" t="n"/>
      <c r="AU140" s="53" t="n"/>
      <c r="AV140" s="53" t="n"/>
      <c r="AW140" s="53" t="n"/>
      <c r="AX140" s="53" t="n"/>
      <c r="AY140" s="53" t="n"/>
    </row>
    <row r="141" ht="15" customHeight="1">
      <c r="A141" s="54" t="n"/>
      <c r="B141" s="55">
        <f>IF($B$140="","",$B$140)</f>
        <v/>
      </c>
      <c r="C141" s="56" t="inlineStr">
        <is>
          <t>마케팅3팀</t>
        </is>
      </c>
      <c r="D141" s="55">
        <f>IF($D$140="","",$D$140)</f>
        <v/>
      </c>
      <c r="E141" s="57" t="inlineStr">
        <is>
          <t>이미지</t>
        </is>
      </c>
      <c r="F141" s="44" t="n"/>
      <c r="G141" s="58">
        <f>IF($G$140="","",$G$140)</f>
        <v/>
      </c>
      <c r="H141" s="59" t="n"/>
      <c r="I141" s="59" t="n"/>
      <c r="J141" s="59" t="n"/>
      <c r="K141" s="59" t="n"/>
      <c r="L141" s="60">
        <f>IF(SUM(U141:AY141)=0,"",SUM(U141:AY141))</f>
        <v/>
      </c>
      <c r="M141" s="61">
        <f>IFERROR(INDEX(U$2:AY$2,MATCH(TRUE,INDEX(U141:AY141&lt;&gt;"",0),0)),"")</f>
        <v/>
      </c>
      <c r="N141" s="61">
        <f>IFERROR(LOOKUP(2,1/(U141:AY141&lt;&gt;""),U$2:AY$2),"")</f>
        <v/>
      </c>
      <c r="O141" s="59" t="n"/>
      <c r="P141" s="59" t="n"/>
      <c r="Q141" s="59" t="n"/>
      <c r="R141" s="59" t="n"/>
      <c r="S141" s="14" t="n"/>
      <c r="U141" s="53" t="n"/>
      <c r="V141" s="53" t="n"/>
      <c r="W141" s="53" t="n"/>
      <c r="X141" s="53" t="n"/>
      <c r="Y141" s="53" t="n"/>
      <c r="Z141" s="53" t="n"/>
      <c r="AA141" s="53" t="n"/>
      <c r="AB141" s="53" t="n"/>
      <c r="AC141" s="53" t="n"/>
      <c r="AD141" s="53" t="n"/>
      <c r="AE141" s="53" t="n"/>
      <c r="AF141" s="53" t="n"/>
      <c r="AG141" s="53" t="n"/>
      <c r="AH141" s="53" t="n"/>
      <c r="AI141" s="53" t="n"/>
      <c r="AJ141" s="53" t="n"/>
      <c r="AK141" s="53" t="n"/>
      <c r="AL141" s="53" t="n"/>
      <c r="AM141" s="53" t="n"/>
      <c r="AN141" s="53" t="n"/>
      <c r="AO141" s="53" t="n"/>
      <c r="AP141" s="53" t="n"/>
      <c r="AQ141" s="53" t="n"/>
      <c r="AR141" s="53" t="n"/>
      <c r="AS141" s="53" t="n"/>
      <c r="AT141" s="53" t="n"/>
      <c r="AU141" s="53" t="n"/>
      <c r="AV141" s="53" t="n"/>
      <c r="AW141" s="53" t="n"/>
      <c r="AX141" s="53" t="n"/>
      <c r="AY141" s="53" t="n"/>
    </row>
    <row r="142" ht="15" customHeight="1">
      <c r="A142" s="62" t="n"/>
      <c r="B142" s="55">
        <f>IF($B$140="","",$B$140)</f>
        <v/>
      </c>
      <c r="C142" s="63" t="inlineStr">
        <is>
          <t>마케팅3팀</t>
        </is>
      </c>
      <c r="D142" s="55">
        <f>IF($D$140="","",$D$140)</f>
        <v/>
      </c>
      <c r="E142" s="64" t="inlineStr">
        <is>
          <t>영상</t>
        </is>
      </c>
      <c r="F142" s="44" t="n"/>
      <c r="G142" s="58">
        <f>IF($G$140="","",$G$140)</f>
        <v/>
      </c>
      <c r="H142" s="59" t="n"/>
      <c r="I142" s="59" t="n"/>
      <c r="J142" s="59" t="n"/>
      <c r="K142" s="59" t="n"/>
      <c r="L142" s="65">
        <f>IF(SUM(U142:AY142)=0,"",SUM(U142:AY142))</f>
        <v/>
      </c>
      <c r="M142" s="66">
        <f>IFERROR(INDEX(U$2:AY$2,MATCH(TRUE,INDEX(U142:AY142&lt;&gt;"",0),0)),"")</f>
        <v/>
      </c>
      <c r="N142" s="66">
        <f>IFERROR(LOOKUP(2,1/(U142:AY142&lt;&gt;""),U$2:AY$2),"")</f>
        <v/>
      </c>
      <c r="O142" s="59" t="n"/>
      <c r="P142" s="59" t="n"/>
      <c r="Q142" s="59" t="n"/>
      <c r="R142" s="59" t="n"/>
      <c r="S142" s="14" t="n"/>
      <c r="U142" s="53" t="n"/>
      <c r="V142" s="53" t="n"/>
      <c r="W142" s="53" t="n"/>
      <c r="X142" s="53" t="n"/>
      <c r="Y142" s="53" t="n"/>
      <c r="Z142" s="53" t="n"/>
      <c r="AA142" s="53" t="n"/>
      <c r="AB142" s="53" t="n"/>
      <c r="AC142" s="53" t="n"/>
      <c r="AD142" s="53" t="n"/>
      <c r="AE142" s="53" t="n"/>
      <c r="AF142" s="53" t="n"/>
      <c r="AG142" s="53" t="n"/>
      <c r="AH142" s="53" t="n"/>
      <c r="AI142" s="53" t="n"/>
      <c r="AJ142" s="53" t="n"/>
      <c r="AK142" s="53" t="n"/>
      <c r="AL142" s="53" t="n"/>
      <c r="AM142" s="53" t="n"/>
      <c r="AN142" s="53" t="n"/>
      <c r="AO142" s="53" t="n"/>
      <c r="AP142" s="53" t="n"/>
      <c r="AQ142" s="53" t="n"/>
      <c r="AR142" s="53" t="n"/>
      <c r="AS142" s="53" t="n"/>
      <c r="AT142" s="53" t="n"/>
      <c r="AU142" s="53" t="n"/>
      <c r="AV142" s="53" t="n"/>
      <c r="AW142" s="53" t="n"/>
      <c r="AX142" s="53" t="n"/>
      <c r="AY142" s="53" t="n"/>
    </row>
    <row r="143" ht="15" customHeight="1">
      <c r="A143" s="40">
        <f>IF($D$143="","",45)</f>
        <v/>
      </c>
      <c r="B143" s="10" t="n"/>
      <c r="C143" s="41" t="inlineStr">
        <is>
          <t>마케팅3팀</t>
        </is>
      </c>
      <c r="D143" s="42" t="n"/>
      <c r="E143" s="43" t="inlineStr">
        <is>
          <t>기획</t>
        </is>
      </c>
      <c r="F143" s="44" t="n"/>
      <c r="G143" s="45" t="n"/>
      <c r="H143" s="46">
        <f>IF($I$143="","",IF($I$143&lt;0,"🔴지연",IF($I$143&lt;=1,"🟡임박","🟢여유")))</f>
        <v/>
      </c>
      <c r="I143" s="47">
        <f>IF(OR($G$143="",$K$143=""),"",$G$143-$K$143)</f>
        <v/>
      </c>
      <c r="J143" s="48">
        <f>IF(SUM($L$143:$L$145)=0,"",SUM($L$143:$L$145))</f>
        <v/>
      </c>
      <c r="K143" s="49">
        <f>IF($J$143="","",MAX($N$143:$N$145))</f>
        <v/>
      </c>
      <c r="L143" s="50">
        <f>IF(SUM(U143:AY143)=0,"",SUM(U143:AY143))</f>
        <v/>
      </c>
      <c r="M143" s="51">
        <f>IFERROR(INDEX(U$2:AY$2,MATCH(TRUE,INDEX(U143:AY143&lt;&gt;"",0),0)),"")</f>
        <v/>
      </c>
      <c r="N143" s="51">
        <f>IFERROR(LOOKUP(2,1/(U143:AY143&lt;&gt;""),U$2:AY$2),"")</f>
        <v/>
      </c>
      <c r="O143" s="52" t="n"/>
      <c r="P143" s="52" t="n"/>
      <c r="Q143" s="52" t="n"/>
      <c r="R143" s="44" t="n"/>
      <c r="S143" s="14" t="n"/>
      <c r="U143" s="53" t="n"/>
      <c r="V143" s="53" t="n"/>
      <c r="W143" s="53" t="n"/>
      <c r="X143" s="53" t="n"/>
      <c r="Y143" s="53" t="n"/>
      <c r="Z143" s="53" t="n"/>
      <c r="AA143" s="53" t="n"/>
      <c r="AB143" s="53" t="n"/>
      <c r="AC143" s="53" t="n"/>
      <c r="AD143" s="53" t="n"/>
      <c r="AE143" s="53" t="n"/>
      <c r="AF143" s="53" t="n"/>
      <c r="AG143" s="53" t="n"/>
      <c r="AH143" s="53" t="n"/>
      <c r="AI143" s="53" t="n"/>
      <c r="AJ143" s="53" t="n"/>
      <c r="AK143" s="53" t="n"/>
      <c r="AL143" s="53" t="n"/>
      <c r="AM143" s="53" t="n"/>
      <c r="AN143" s="53" t="n"/>
      <c r="AO143" s="53" t="n"/>
      <c r="AP143" s="53" t="n"/>
      <c r="AQ143" s="53" t="n"/>
      <c r="AR143" s="53" t="n"/>
      <c r="AS143" s="53" t="n"/>
      <c r="AT143" s="53" t="n"/>
      <c r="AU143" s="53" t="n"/>
      <c r="AV143" s="53" t="n"/>
      <c r="AW143" s="53" t="n"/>
      <c r="AX143" s="53" t="n"/>
      <c r="AY143" s="53" t="n"/>
    </row>
    <row r="144" ht="15" customHeight="1">
      <c r="A144" s="54" t="n"/>
      <c r="B144" s="55">
        <f>IF($B$143="","",$B$143)</f>
        <v/>
      </c>
      <c r="C144" s="56" t="inlineStr">
        <is>
          <t>마케팅3팀</t>
        </is>
      </c>
      <c r="D144" s="55">
        <f>IF($D$143="","",$D$143)</f>
        <v/>
      </c>
      <c r="E144" s="57" t="inlineStr">
        <is>
          <t>이미지</t>
        </is>
      </c>
      <c r="F144" s="44" t="n"/>
      <c r="G144" s="58">
        <f>IF($G$143="","",$G$143)</f>
        <v/>
      </c>
      <c r="H144" s="59" t="n"/>
      <c r="I144" s="59" t="n"/>
      <c r="J144" s="59" t="n"/>
      <c r="K144" s="59" t="n"/>
      <c r="L144" s="60">
        <f>IF(SUM(U144:AY144)=0,"",SUM(U144:AY144))</f>
        <v/>
      </c>
      <c r="M144" s="61">
        <f>IFERROR(INDEX(U$2:AY$2,MATCH(TRUE,INDEX(U144:AY144&lt;&gt;"",0),0)),"")</f>
        <v/>
      </c>
      <c r="N144" s="61">
        <f>IFERROR(LOOKUP(2,1/(U144:AY144&lt;&gt;""),U$2:AY$2),"")</f>
        <v/>
      </c>
      <c r="O144" s="59" t="n"/>
      <c r="P144" s="59" t="n"/>
      <c r="Q144" s="59" t="n"/>
      <c r="R144" s="59" t="n"/>
      <c r="S144" s="14" t="n"/>
      <c r="U144" s="53" t="n"/>
      <c r="V144" s="53" t="n"/>
      <c r="W144" s="53" t="n"/>
      <c r="X144" s="53" t="n"/>
      <c r="Y144" s="53" t="n"/>
      <c r="Z144" s="53" t="n"/>
      <c r="AA144" s="53" t="n"/>
      <c r="AB144" s="53" t="n"/>
      <c r="AC144" s="53" t="n"/>
      <c r="AD144" s="53" t="n"/>
      <c r="AE144" s="53" t="n"/>
      <c r="AF144" s="53" t="n"/>
      <c r="AG144" s="53" t="n"/>
      <c r="AH144" s="53" t="n"/>
      <c r="AI144" s="53" t="n"/>
      <c r="AJ144" s="53" t="n"/>
      <c r="AK144" s="53" t="n"/>
      <c r="AL144" s="53" t="n"/>
      <c r="AM144" s="53" t="n"/>
      <c r="AN144" s="53" t="n"/>
      <c r="AO144" s="53" t="n"/>
      <c r="AP144" s="53" t="n"/>
      <c r="AQ144" s="53" t="n"/>
      <c r="AR144" s="53" t="n"/>
      <c r="AS144" s="53" t="n"/>
      <c r="AT144" s="53" t="n"/>
      <c r="AU144" s="53" t="n"/>
      <c r="AV144" s="53" t="n"/>
      <c r="AW144" s="53" t="n"/>
      <c r="AX144" s="53" t="n"/>
      <c r="AY144" s="53" t="n"/>
    </row>
    <row r="145" ht="15" customHeight="1">
      <c r="A145" s="62" t="n"/>
      <c r="B145" s="55">
        <f>IF($B$143="","",$B$143)</f>
        <v/>
      </c>
      <c r="C145" s="63" t="inlineStr">
        <is>
          <t>마케팅3팀</t>
        </is>
      </c>
      <c r="D145" s="55">
        <f>IF($D$143="","",$D$143)</f>
        <v/>
      </c>
      <c r="E145" s="64" t="inlineStr">
        <is>
          <t>영상</t>
        </is>
      </c>
      <c r="F145" s="44" t="n"/>
      <c r="G145" s="58">
        <f>IF($G$143="","",$G$143)</f>
        <v/>
      </c>
      <c r="H145" s="59" t="n"/>
      <c r="I145" s="59" t="n"/>
      <c r="J145" s="59" t="n"/>
      <c r="K145" s="59" t="n"/>
      <c r="L145" s="65">
        <f>IF(SUM(U145:AY145)=0,"",SUM(U145:AY145))</f>
        <v/>
      </c>
      <c r="M145" s="66">
        <f>IFERROR(INDEX(U$2:AY$2,MATCH(TRUE,INDEX(U145:AY145&lt;&gt;"",0),0)),"")</f>
        <v/>
      </c>
      <c r="N145" s="66">
        <f>IFERROR(LOOKUP(2,1/(U145:AY145&lt;&gt;""),U$2:AY$2),"")</f>
        <v/>
      </c>
      <c r="O145" s="59" t="n"/>
      <c r="P145" s="59" t="n"/>
      <c r="Q145" s="59" t="n"/>
      <c r="R145" s="59" t="n"/>
      <c r="S145" s="14" t="n"/>
      <c r="U145" s="53" t="n"/>
      <c r="V145" s="53" t="n"/>
      <c r="W145" s="53" t="n"/>
      <c r="X145" s="53" t="n"/>
      <c r="Y145" s="53" t="n"/>
      <c r="Z145" s="53" t="n"/>
      <c r="AA145" s="53" t="n"/>
      <c r="AB145" s="53" t="n"/>
      <c r="AC145" s="53" t="n"/>
      <c r="AD145" s="53" t="n"/>
      <c r="AE145" s="53" t="n"/>
      <c r="AF145" s="53" t="n"/>
      <c r="AG145" s="53" t="n"/>
      <c r="AH145" s="53" t="n"/>
      <c r="AI145" s="53" t="n"/>
      <c r="AJ145" s="53" t="n"/>
      <c r="AK145" s="53" t="n"/>
      <c r="AL145" s="53" t="n"/>
      <c r="AM145" s="53" t="n"/>
      <c r="AN145" s="53" t="n"/>
      <c r="AO145" s="53" t="n"/>
      <c r="AP145" s="53" t="n"/>
      <c r="AQ145" s="53" t="n"/>
      <c r="AR145" s="53" t="n"/>
      <c r="AS145" s="53" t="n"/>
      <c r="AT145" s="53" t="n"/>
      <c r="AU145" s="53" t="n"/>
      <c r="AV145" s="53" t="n"/>
      <c r="AW145" s="53" t="n"/>
      <c r="AX145" s="53" t="n"/>
      <c r="AY145" s="53" t="n"/>
    </row>
    <row r="146" ht="15" customHeight="1">
      <c r="A146" s="40">
        <f>IF($D$146="","",46)</f>
        <v/>
      </c>
      <c r="B146" s="10" t="n"/>
      <c r="C146" s="41" t="inlineStr">
        <is>
          <t>마케팅3팀</t>
        </is>
      </c>
      <c r="D146" s="42" t="n"/>
      <c r="E146" s="43" t="inlineStr">
        <is>
          <t>기획</t>
        </is>
      </c>
      <c r="F146" s="44" t="n"/>
      <c r="G146" s="45" t="n"/>
      <c r="H146" s="46">
        <f>IF($I$146="","",IF($I$146&lt;0,"🔴지연",IF($I$146&lt;=1,"🟡임박","🟢여유")))</f>
        <v/>
      </c>
      <c r="I146" s="47">
        <f>IF(OR($G$146="",$K$146=""),"",$G$146-$K$146)</f>
        <v/>
      </c>
      <c r="J146" s="48">
        <f>IF(SUM($L$146:$L$148)=0,"",SUM($L$146:$L$148))</f>
        <v/>
      </c>
      <c r="K146" s="49">
        <f>IF($J$146="","",MAX($N$146:$N$148))</f>
        <v/>
      </c>
      <c r="L146" s="50">
        <f>IF(SUM(U146:AY146)=0,"",SUM(U146:AY146))</f>
        <v/>
      </c>
      <c r="M146" s="51">
        <f>IFERROR(INDEX(U$2:AY$2,MATCH(TRUE,INDEX(U146:AY146&lt;&gt;"",0),0)),"")</f>
        <v/>
      </c>
      <c r="N146" s="51">
        <f>IFERROR(LOOKUP(2,1/(U146:AY146&lt;&gt;""),U$2:AY$2),"")</f>
        <v/>
      </c>
      <c r="O146" s="52" t="n"/>
      <c r="P146" s="52" t="n"/>
      <c r="Q146" s="52" t="n"/>
      <c r="R146" s="44" t="n"/>
      <c r="S146" s="14" t="n"/>
      <c r="U146" s="53" t="n"/>
      <c r="V146" s="53" t="n"/>
      <c r="W146" s="53" t="n"/>
      <c r="X146" s="53" t="n"/>
      <c r="Y146" s="53" t="n"/>
      <c r="Z146" s="53" t="n"/>
      <c r="AA146" s="53" t="n"/>
      <c r="AB146" s="53" t="n"/>
      <c r="AC146" s="53" t="n"/>
      <c r="AD146" s="53" t="n"/>
      <c r="AE146" s="53" t="n"/>
      <c r="AF146" s="53" t="n"/>
      <c r="AG146" s="53" t="n"/>
      <c r="AH146" s="53" t="n"/>
      <c r="AI146" s="53" t="n"/>
      <c r="AJ146" s="53" t="n"/>
      <c r="AK146" s="53" t="n"/>
      <c r="AL146" s="53" t="n"/>
      <c r="AM146" s="53" t="n"/>
      <c r="AN146" s="53" t="n"/>
      <c r="AO146" s="53" t="n"/>
      <c r="AP146" s="53" t="n"/>
      <c r="AQ146" s="53" t="n"/>
      <c r="AR146" s="53" t="n"/>
      <c r="AS146" s="53" t="n"/>
      <c r="AT146" s="53" t="n"/>
      <c r="AU146" s="53" t="n"/>
      <c r="AV146" s="53" t="n"/>
      <c r="AW146" s="53" t="n"/>
      <c r="AX146" s="53" t="n"/>
      <c r="AY146" s="53" t="n"/>
    </row>
    <row r="147" ht="15" customHeight="1">
      <c r="A147" s="54" t="n"/>
      <c r="B147" s="55">
        <f>IF($B$146="","",$B$146)</f>
        <v/>
      </c>
      <c r="C147" s="56" t="inlineStr">
        <is>
          <t>마케팅3팀</t>
        </is>
      </c>
      <c r="D147" s="55">
        <f>IF($D$146="","",$D$146)</f>
        <v/>
      </c>
      <c r="E147" s="57" t="inlineStr">
        <is>
          <t>이미지</t>
        </is>
      </c>
      <c r="F147" s="44" t="n"/>
      <c r="G147" s="58">
        <f>IF($G$146="","",$G$146)</f>
        <v/>
      </c>
      <c r="H147" s="59" t="n"/>
      <c r="I147" s="59" t="n"/>
      <c r="J147" s="59" t="n"/>
      <c r="K147" s="59" t="n"/>
      <c r="L147" s="60">
        <f>IF(SUM(U147:AY147)=0,"",SUM(U147:AY147))</f>
        <v/>
      </c>
      <c r="M147" s="61">
        <f>IFERROR(INDEX(U$2:AY$2,MATCH(TRUE,INDEX(U147:AY147&lt;&gt;"",0),0)),"")</f>
        <v/>
      </c>
      <c r="N147" s="61">
        <f>IFERROR(LOOKUP(2,1/(U147:AY147&lt;&gt;""),U$2:AY$2),"")</f>
        <v/>
      </c>
      <c r="O147" s="59" t="n"/>
      <c r="P147" s="59" t="n"/>
      <c r="Q147" s="59" t="n"/>
      <c r="R147" s="59" t="n"/>
      <c r="S147" s="14" t="n"/>
      <c r="U147" s="53" t="n"/>
      <c r="V147" s="53" t="n"/>
      <c r="W147" s="53" t="n"/>
      <c r="X147" s="53" t="n"/>
      <c r="Y147" s="53" t="n"/>
      <c r="Z147" s="53" t="n"/>
      <c r="AA147" s="53" t="n"/>
      <c r="AB147" s="53" t="n"/>
      <c r="AC147" s="53" t="n"/>
      <c r="AD147" s="53" t="n"/>
      <c r="AE147" s="53" t="n"/>
      <c r="AF147" s="53" t="n"/>
      <c r="AG147" s="53" t="n"/>
      <c r="AH147" s="53" t="n"/>
      <c r="AI147" s="53" t="n"/>
      <c r="AJ147" s="53" t="n"/>
      <c r="AK147" s="53" t="n"/>
      <c r="AL147" s="53" t="n"/>
      <c r="AM147" s="53" t="n"/>
      <c r="AN147" s="53" t="n"/>
      <c r="AO147" s="53" t="n"/>
      <c r="AP147" s="53" t="n"/>
      <c r="AQ147" s="53" t="n"/>
      <c r="AR147" s="53" t="n"/>
      <c r="AS147" s="53" t="n"/>
      <c r="AT147" s="53" t="n"/>
      <c r="AU147" s="53" t="n"/>
      <c r="AV147" s="53" t="n"/>
      <c r="AW147" s="53" t="n"/>
      <c r="AX147" s="53" t="n"/>
      <c r="AY147" s="53" t="n"/>
    </row>
    <row r="148" ht="15" customHeight="1">
      <c r="A148" s="62" t="n"/>
      <c r="B148" s="55">
        <f>IF($B$146="","",$B$146)</f>
        <v/>
      </c>
      <c r="C148" s="63" t="inlineStr">
        <is>
          <t>마케팅3팀</t>
        </is>
      </c>
      <c r="D148" s="55">
        <f>IF($D$146="","",$D$146)</f>
        <v/>
      </c>
      <c r="E148" s="64" t="inlineStr">
        <is>
          <t>영상</t>
        </is>
      </c>
      <c r="F148" s="44" t="n"/>
      <c r="G148" s="58">
        <f>IF($G$146="","",$G$146)</f>
        <v/>
      </c>
      <c r="H148" s="59" t="n"/>
      <c r="I148" s="59" t="n"/>
      <c r="J148" s="59" t="n"/>
      <c r="K148" s="59" t="n"/>
      <c r="L148" s="65">
        <f>IF(SUM(U148:AY148)=0,"",SUM(U148:AY148))</f>
        <v/>
      </c>
      <c r="M148" s="66">
        <f>IFERROR(INDEX(U$2:AY$2,MATCH(TRUE,INDEX(U148:AY148&lt;&gt;"",0),0)),"")</f>
        <v/>
      </c>
      <c r="N148" s="66">
        <f>IFERROR(LOOKUP(2,1/(U148:AY148&lt;&gt;""),U$2:AY$2),"")</f>
        <v/>
      </c>
      <c r="O148" s="59" t="n"/>
      <c r="P148" s="59" t="n"/>
      <c r="Q148" s="59" t="n"/>
      <c r="R148" s="59" t="n"/>
      <c r="S148" s="14" t="n"/>
      <c r="U148" s="53" t="n"/>
      <c r="V148" s="53" t="n"/>
      <c r="W148" s="53" t="n"/>
      <c r="X148" s="53" t="n"/>
      <c r="Y148" s="53" t="n"/>
      <c r="Z148" s="53" t="n"/>
      <c r="AA148" s="53" t="n"/>
      <c r="AB148" s="53" t="n"/>
      <c r="AC148" s="53" t="n"/>
      <c r="AD148" s="53" t="n"/>
      <c r="AE148" s="53" t="n"/>
      <c r="AF148" s="53" t="n"/>
      <c r="AG148" s="53" t="n"/>
      <c r="AH148" s="53" t="n"/>
      <c r="AI148" s="53" t="n"/>
      <c r="AJ148" s="53" t="n"/>
      <c r="AK148" s="53" t="n"/>
      <c r="AL148" s="53" t="n"/>
      <c r="AM148" s="53" t="n"/>
      <c r="AN148" s="53" t="n"/>
      <c r="AO148" s="53" t="n"/>
      <c r="AP148" s="53" t="n"/>
      <c r="AQ148" s="53" t="n"/>
      <c r="AR148" s="53" t="n"/>
      <c r="AS148" s="53" t="n"/>
      <c r="AT148" s="53" t="n"/>
      <c r="AU148" s="53" t="n"/>
      <c r="AV148" s="53" t="n"/>
      <c r="AW148" s="53" t="n"/>
      <c r="AX148" s="53" t="n"/>
      <c r="AY148" s="53" t="n"/>
    </row>
    <row r="149" ht="15" customHeight="1">
      <c r="A149" s="40">
        <f>IF($D$149="","",47)</f>
        <v/>
      </c>
      <c r="B149" s="10" t="n"/>
      <c r="C149" s="41" t="inlineStr">
        <is>
          <t>마케팅3팀</t>
        </is>
      </c>
      <c r="D149" s="42" t="n"/>
      <c r="E149" s="43" t="inlineStr">
        <is>
          <t>기획</t>
        </is>
      </c>
      <c r="F149" s="44" t="n"/>
      <c r="G149" s="45" t="n"/>
      <c r="H149" s="46">
        <f>IF($I$149="","",IF($I$149&lt;0,"🔴지연",IF($I$149&lt;=1,"🟡임박","🟢여유")))</f>
        <v/>
      </c>
      <c r="I149" s="47">
        <f>IF(OR($G$149="",$K$149=""),"",$G$149-$K$149)</f>
        <v/>
      </c>
      <c r="J149" s="48">
        <f>IF(SUM($L$149:$L$151)=0,"",SUM($L$149:$L$151))</f>
        <v/>
      </c>
      <c r="K149" s="49">
        <f>IF($J$149="","",MAX($N$149:$N$151))</f>
        <v/>
      </c>
      <c r="L149" s="50">
        <f>IF(SUM(U149:AY149)=0,"",SUM(U149:AY149))</f>
        <v/>
      </c>
      <c r="M149" s="51">
        <f>IFERROR(INDEX(U$2:AY$2,MATCH(TRUE,INDEX(U149:AY149&lt;&gt;"",0),0)),"")</f>
        <v/>
      </c>
      <c r="N149" s="51">
        <f>IFERROR(LOOKUP(2,1/(U149:AY149&lt;&gt;""),U$2:AY$2),"")</f>
        <v/>
      </c>
      <c r="O149" s="52" t="n"/>
      <c r="P149" s="52" t="n"/>
      <c r="Q149" s="52" t="n"/>
      <c r="R149" s="44" t="n"/>
      <c r="S149" s="14" t="n"/>
      <c r="U149" s="53" t="n"/>
      <c r="V149" s="53" t="n"/>
      <c r="W149" s="53" t="n"/>
      <c r="X149" s="53" t="n"/>
      <c r="Y149" s="53" t="n"/>
      <c r="Z149" s="53" t="n"/>
      <c r="AA149" s="53" t="n"/>
      <c r="AB149" s="53" t="n"/>
      <c r="AC149" s="53" t="n"/>
      <c r="AD149" s="53" t="n"/>
      <c r="AE149" s="53" t="n"/>
      <c r="AF149" s="53" t="n"/>
      <c r="AG149" s="53" t="n"/>
      <c r="AH149" s="53" t="n"/>
      <c r="AI149" s="53" t="n"/>
      <c r="AJ149" s="53" t="n"/>
      <c r="AK149" s="53" t="n"/>
      <c r="AL149" s="53" t="n"/>
      <c r="AM149" s="53" t="n"/>
      <c r="AN149" s="53" t="n"/>
      <c r="AO149" s="53" t="n"/>
      <c r="AP149" s="53" t="n"/>
      <c r="AQ149" s="53" t="n"/>
      <c r="AR149" s="53" t="n"/>
      <c r="AS149" s="53" t="n"/>
      <c r="AT149" s="53" t="n"/>
      <c r="AU149" s="53" t="n"/>
      <c r="AV149" s="53" t="n"/>
      <c r="AW149" s="53" t="n"/>
      <c r="AX149" s="53" t="n"/>
      <c r="AY149" s="53" t="n"/>
    </row>
    <row r="150" ht="15" customHeight="1">
      <c r="A150" s="54" t="n"/>
      <c r="B150" s="55">
        <f>IF($B$149="","",$B$149)</f>
        <v/>
      </c>
      <c r="C150" s="56" t="inlineStr">
        <is>
          <t>마케팅3팀</t>
        </is>
      </c>
      <c r="D150" s="55">
        <f>IF($D$149="","",$D$149)</f>
        <v/>
      </c>
      <c r="E150" s="57" t="inlineStr">
        <is>
          <t>이미지</t>
        </is>
      </c>
      <c r="F150" s="44" t="n"/>
      <c r="G150" s="58">
        <f>IF($G$149="","",$G$149)</f>
        <v/>
      </c>
      <c r="H150" s="59" t="n"/>
      <c r="I150" s="59" t="n"/>
      <c r="J150" s="59" t="n"/>
      <c r="K150" s="59" t="n"/>
      <c r="L150" s="60">
        <f>IF(SUM(U150:AY150)=0,"",SUM(U150:AY150))</f>
        <v/>
      </c>
      <c r="M150" s="61">
        <f>IFERROR(INDEX(U$2:AY$2,MATCH(TRUE,INDEX(U150:AY150&lt;&gt;"",0),0)),"")</f>
        <v/>
      </c>
      <c r="N150" s="61">
        <f>IFERROR(LOOKUP(2,1/(U150:AY150&lt;&gt;""),U$2:AY$2),"")</f>
        <v/>
      </c>
      <c r="O150" s="59" t="n"/>
      <c r="P150" s="59" t="n"/>
      <c r="Q150" s="59" t="n"/>
      <c r="R150" s="59" t="n"/>
      <c r="S150" s="14" t="n"/>
      <c r="U150" s="53" t="n"/>
      <c r="V150" s="53" t="n"/>
      <c r="W150" s="53" t="n"/>
      <c r="X150" s="53" t="n"/>
      <c r="Y150" s="53" t="n"/>
      <c r="Z150" s="53" t="n"/>
      <c r="AA150" s="53" t="n"/>
      <c r="AB150" s="53" t="n"/>
      <c r="AC150" s="53" t="n"/>
      <c r="AD150" s="53" t="n"/>
      <c r="AE150" s="53" t="n"/>
      <c r="AF150" s="53" t="n"/>
      <c r="AG150" s="53" t="n"/>
      <c r="AH150" s="53" t="n"/>
      <c r="AI150" s="53" t="n"/>
      <c r="AJ150" s="53" t="n"/>
      <c r="AK150" s="53" t="n"/>
      <c r="AL150" s="53" t="n"/>
      <c r="AM150" s="53" t="n"/>
      <c r="AN150" s="53" t="n"/>
      <c r="AO150" s="53" t="n"/>
      <c r="AP150" s="53" t="n"/>
      <c r="AQ150" s="53" t="n"/>
      <c r="AR150" s="53" t="n"/>
      <c r="AS150" s="53" t="n"/>
      <c r="AT150" s="53" t="n"/>
      <c r="AU150" s="53" t="n"/>
      <c r="AV150" s="53" t="n"/>
      <c r="AW150" s="53" t="n"/>
      <c r="AX150" s="53" t="n"/>
      <c r="AY150" s="53" t="n"/>
    </row>
    <row r="151" ht="15" customHeight="1">
      <c r="A151" s="62" t="n"/>
      <c r="B151" s="55">
        <f>IF($B$149="","",$B$149)</f>
        <v/>
      </c>
      <c r="C151" s="63" t="inlineStr">
        <is>
          <t>마케팅3팀</t>
        </is>
      </c>
      <c r="D151" s="55">
        <f>IF($D$149="","",$D$149)</f>
        <v/>
      </c>
      <c r="E151" s="64" t="inlineStr">
        <is>
          <t>영상</t>
        </is>
      </c>
      <c r="F151" s="44" t="n"/>
      <c r="G151" s="58">
        <f>IF($G$149="","",$G$149)</f>
        <v/>
      </c>
      <c r="H151" s="59" t="n"/>
      <c r="I151" s="59" t="n"/>
      <c r="J151" s="59" t="n"/>
      <c r="K151" s="59" t="n"/>
      <c r="L151" s="65">
        <f>IF(SUM(U151:AY151)=0,"",SUM(U151:AY151))</f>
        <v/>
      </c>
      <c r="M151" s="66">
        <f>IFERROR(INDEX(U$2:AY$2,MATCH(TRUE,INDEX(U151:AY151&lt;&gt;"",0),0)),"")</f>
        <v/>
      </c>
      <c r="N151" s="66">
        <f>IFERROR(LOOKUP(2,1/(U151:AY151&lt;&gt;""),U$2:AY$2),"")</f>
        <v/>
      </c>
      <c r="O151" s="59" t="n"/>
      <c r="P151" s="59" t="n"/>
      <c r="Q151" s="59" t="n"/>
      <c r="R151" s="59" t="n"/>
      <c r="S151" s="14" t="n"/>
      <c r="U151" s="53" t="n"/>
      <c r="V151" s="53" t="n"/>
      <c r="W151" s="53" t="n"/>
      <c r="X151" s="53" t="n"/>
      <c r="Y151" s="53" t="n"/>
      <c r="Z151" s="53" t="n"/>
      <c r="AA151" s="53" t="n"/>
      <c r="AB151" s="53" t="n"/>
      <c r="AC151" s="53" t="n"/>
      <c r="AD151" s="53" t="n"/>
      <c r="AE151" s="53" t="n"/>
      <c r="AF151" s="53" t="n"/>
      <c r="AG151" s="53" t="n"/>
      <c r="AH151" s="53" t="n"/>
      <c r="AI151" s="53" t="n"/>
      <c r="AJ151" s="53" t="n"/>
      <c r="AK151" s="53" t="n"/>
      <c r="AL151" s="53" t="n"/>
      <c r="AM151" s="53" t="n"/>
      <c r="AN151" s="53" t="n"/>
      <c r="AO151" s="53" t="n"/>
      <c r="AP151" s="53" t="n"/>
      <c r="AQ151" s="53" t="n"/>
      <c r="AR151" s="53" t="n"/>
      <c r="AS151" s="53" t="n"/>
      <c r="AT151" s="53" t="n"/>
      <c r="AU151" s="53" t="n"/>
      <c r="AV151" s="53" t="n"/>
      <c r="AW151" s="53" t="n"/>
      <c r="AX151" s="53" t="n"/>
      <c r="AY151" s="53" t="n"/>
    </row>
    <row r="152" ht="15" customHeight="1">
      <c r="A152" s="40">
        <f>IF($D$152="","",48)</f>
        <v/>
      </c>
      <c r="B152" s="10" t="n"/>
      <c r="C152" s="41" t="inlineStr">
        <is>
          <t>마케팅3팀</t>
        </is>
      </c>
      <c r="D152" s="42" t="n"/>
      <c r="E152" s="43" t="inlineStr">
        <is>
          <t>기획</t>
        </is>
      </c>
      <c r="F152" s="44" t="n"/>
      <c r="G152" s="45" t="n"/>
      <c r="H152" s="46">
        <f>IF($I$152="","",IF($I$152&lt;0,"🔴지연",IF($I$152&lt;=1,"🟡임박","🟢여유")))</f>
        <v/>
      </c>
      <c r="I152" s="47">
        <f>IF(OR($G$152="",$K$152=""),"",$G$152-$K$152)</f>
        <v/>
      </c>
      <c r="J152" s="48">
        <f>IF(SUM($L$152:$L$154)=0,"",SUM($L$152:$L$154))</f>
        <v/>
      </c>
      <c r="K152" s="49">
        <f>IF($J$152="","",MAX($N$152:$N$154))</f>
        <v/>
      </c>
      <c r="L152" s="50">
        <f>IF(SUM(U152:AY152)=0,"",SUM(U152:AY152))</f>
        <v/>
      </c>
      <c r="M152" s="51">
        <f>IFERROR(INDEX(U$2:AY$2,MATCH(TRUE,INDEX(U152:AY152&lt;&gt;"",0),0)),"")</f>
        <v/>
      </c>
      <c r="N152" s="51">
        <f>IFERROR(LOOKUP(2,1/(U152:AY152&lt;&gt;""),U$2:AY$2),"")</f>
        <v/>
      </c>
      <c r="O152" s="52" t="n"/>
      <c r="P152" s="52" t="n"/>
      <c r="Q152" s="52" t="n"/>
      <c r="R152" s="44" t="n"/>
      <c r="S152" s="14" t="n"/>
      <c r="U152" s="53" t="n"/>
      <c r="V152" s="53" t="n"/>
      <c r="W152" s="53" t="n"/>
      <c r="X152" s="53" t="n"/>
      <c r="Y152" s="53" t="n"/>
      <c r="Z152" s="53" t="n"/>
      <c r="AA152" s="53" t="n"/>
      <c r="AB152" s="53" t="n"/>
      <c r="AC152" s="53" t="n"/>
      <c r="AD152" s="53" t="n"/>
      <c r="AE152" s="53" t="n"/>
      <c r="AF152" s="53" t="n"/>
      <c r="AG152" s="53" t="n"/>
      <c r="AH152" s="53" t="n"/>
      <c r="AI152" s="53" t="n"/>
      <c r="AJ152" s="53" t="n"/>
      <c r="AK152" s="53" t="n"/>
      <c r="AL152" s="53" t="n"/>
      <c r="AM152" s="53" t="n"/>
      <c r="AN152" s="53" t="n"/>
      <c r="AO152" s="53" t="n"/>
      <c r="AP152" s="53" t="n"/>
      <c r="AQ152" s="53" t="n"/>
      <c r="AR152" s="53" t="n"/>
      <c r="AS152" s="53" t="n"/>
      <c r="AT152" s="53" t="n"/>
      <c r="AU152" s="53" t="n"/>
      <c r="AV152" s="53" t="n"/>
      <c r="AW152" s="53" t="n"/>
      <c r="AX152" s="53" t="n"/>
      <c r="AY152" s="53" t="n"/>
    </row>
    <row r="153" ht="15" customHeight="1">
      <c r="A153" s="54" t="n"/>
      <c r="B153" s="55">
        <f>IF($B$152="","",$B$152)</f>
        <v/>
      </c>
      <c r="C153" s="56" t="inlineStr">
        <is>
          <t>마케팅3팀</t>
        </is>
      </c>
      <c r="D153" s="55">
        <f>IF($D$152="","",$D$152)</f>
        <v/>
      </c>
      <c r="E153" s="57" t="inlineStr">
        <is>
          <t>이미지</t>
        </is>
      </c>
      <c r="F153" s="44" t="n"/>
      <c r="G153" s="58">
        <f>IF($G$152="","",$G$152)</f>
        <v/>
      </c>
      <c r="H153" s="59" t="n"/>
      <c r="I153" s="59" t="n"/>
      <c r="J153" s="59" t="n"/>
      <c r="K153" s="59" t="n"/>
      <c r="L153" s="60">
        <f>IF(SUM(U153:AY153)=0,"",SUM(U153:AY153))</f>
        <v/>
      </c>
      <c r="M153" s="61">
        <f>IFERROR(INDEX(U$2:AY$2,MATCH(TRUE,INDEX(U153:AY153&lt;&gt;"",0),0)),"")</f>
        <v/>
      </c>
      <c r="N153" s="61">
        <f>IFERROR(LOOKUP(2,1/(U153:AY153&lt;&gt;""),U$2:AY$2),"")</f>
        <v/>
      </c>
      <c r="O153" s="59" t="n"/>
      <c r="P153" s="59" t="n"/>
      <c r="Q153" s="59" t="n"/>
      <c r="R153" s="59" t="n"/>
      <c r="S153" s="14" t="n"/>
      <c r="U153" s="53" t="n"/>
      <c r="V153" s="53" t="n"/>
      <c r="W153" s="53" t="n"/>
      <c r="X153" s="53" t="n"/>
      <c r="Y153" s="53" t="n"/>
      <c r="Z153" s="53" t="n"/>
      <c r="AA153" s="53" t="n"/>
      <c r="AB153" s="53" t="n"/>
      <c r="AC153" s="53" t="n"/>
      <c r="AD153" s="53" t="n"/>
      <c r="AE153" s="53" t="n"/>
      <c r="AF153" s="53" t="n"/>
      <c r="AG153" s="53" t="n"/>
      <c r="AH153" s="53" t="n"/>
      <c r="AI153" s="53" t="n"/>
      <c r="AJ153" s="53" t="n"/>
      <c r="AK153" s="53" t="n"/>
      <c r="AL153" s="53" t="n"/>
      <c r="AM153" s="53" t="n"/>
      <c r="AN153" s="53" t="n"/>
      <c r="AO153" s="53" t="n"/>
      <c r="AP153" s="53" t="n"/>
      <c r="AQ153" s="53" t="n"/>
      <c r="AR153" s="53" t="n"/>
      <c r="AS153" s="53" t="n"/>
      <c r="AT153" s="53" t="n"/>
      <c r="AU153" s="53" t="n"/>
      <c r="AV153" s="53" t="n"/>
      <c r="AW153" s="53" t="n"/>
      <c r="AX153" s="53" t="n"/>
      <c r="AY153" s="53" t="n"/>
    </row>
    <row r="154" ht="15" customHeight="1">
      <c r="A154" s="62" t="n"/>
      <c r="B154" s="55">
        <f>IF($B$152="","",$B$152)</f>
        <v/>
      </c>
      <c r="C154" s="63" t="inlineStr">
        <is>
          <t>마케팅3팀</t>
        </is>
      </c>
      <c r="D154" s="55">
        <f>IF($D$152="","",$D$152)</f>
        <v/>
      </c>
      <c r="E154" s="64" t="inlineStr">
        <is>
          <t>영상</t>
        </is>
      </c>
      <c r="F154" s="44" t="n"/>
      <c r="G154" s="58">
        <f>IF($G$152="","",$G$152)</f>
        <v/>
      </c>
      <c r="H154" s="59" t="n"/>
      <c r="I154" s="59" t="n"/>
      <c r="J154" s="59" t="n"/>
      <c r="K154" s="59" t="n"/>
      <c r="L154" s="65">
        <f>IF(SUM(U154:AY154)=0,"",SUM(U154:AY154))</f>
        <v/>
      </c>
      <c r="M154" s="66">
        <f>IFERROR(INDEX(U$2:AY$2,MATCH(TRUE,INDEX(U154:AY154&lt;&gt;"",0),0)),"")</f>
        <v/>
      </c>
      <c r="N154" s="66">
        <f>IFERROR(LOOKUP(2,1/(U154:AY154&lt;&gt;""),U$2:AY$2),"")</f>
        <v/>
      </c>
      <c r="O154" s="59" t="n"/>
      <c r="P154" s="59" t="n"/>
      <c r="Q154" s="59" t="n"/>
      <c r="R154" s="59" t="n"/>
      <c r="S154" s="14" t="n"/>
      <c r="U154" s="53" t="n"/>
      <c r="V154" s="53" t="n"/>
      <c r="W154" s="53" t="n"/>
      <c r="X154" s="53" t="n"/>
      <c r="Y154" s="53" t="n"/>
      <c r="Z154" s="53" t="n"/>
      <c r="AA154" s="53" t="n"/>
      <c r="AB154" s="53" t="n"/>
      <c r="AC154" s="53" t="n"/>
      <c r="AD154" s="53" t="n"/>
      <c r="AE154" s="53" t="n"/>
      <c r="AF154" s="53" t="n"/>
      <c r="AG154" s="53" t="n"/>
      <c r="AH154" s="53" t="n"/>
      <c r="AI154" s="53" t="n"/>
      <c r="AJ154" s="53" t="n"/>
      <c r="AK154" s="53" t="n"/>
      <c r="AL154" s="53" t="n"/>
      <c r="AM154" s="53" t="n"/>
      <c r="AN154" s="53" t="n"/>
      <c r="AO154" s="53" t="n"/>
      <c r="AP154" s="53" t="n"/>
      <c r="AQ154" s="53" t="n"/>
      <c r="AR154" s="53" t="n"/>
      <c r="AS154" s="53" t="n"/>
      <c r="AT154" s="53" t="n"/>
      <c r="AU154" s="53" t="n"/>
      <c r="AV154" s="53" t="n"/>
      <c r="AW154" s="53" t="n"/>
      <c r="AX154" s="53" t="n"/>
      <c r="AY154" s="53" t="n"/>
    </row>
    <row r="155" ht="15" customHeight="1">
      <c r="A155" s="40">
        <f>IF($D$155="","",49)</f>
        <v/>
      </c>
      <c r="B155" s="10" t="n"/>
      <c r="C155" s="41" t="inlineStr">
        <is>
          <t>마케팅3팀</t>
        </is>
      </c>
      <c r="D155" s="42" t="n"/>
      <c r="E155" s="43" t="inlineStr">
        <is>
          <t>기획</t>
        </is>
      </c>
      <c r="F155" s="44" t="n"/>
      <c r="G155" s="45" t="n"/>
      <c r="H155" s="46">
        <f>IF($I$155="","",IF($I$155&lt;0,"🔴지연",IF($I$155&lt;=1,"🟡임박","🟢여유")))</f>
        <v/>
      </c>
      <c r="I155" s="47">
        <f>IF(OR($G$155="",$K$155=""),"",$G$155-$K$155)</f>
        <v/>
      </c>
      <c r="J155" s="48">
        <f>IF(SUM($L$155:$L$157)=0,"",SUM($L$155:$L$157))</f>
        <v/>
      </c>
      <c r="K155" s="49">
        <f>IF($J$155="","",MAX($N$155:$N$157))</f>
        <v/>
      </c>
      <c r="L155" s="50">
        <f>IF(SUM(U155:AY155)=0,"",SUM(U155:AY155))</f>
        <v/>
      </c>
      <c r="M155" s="51">
        <f>IFERROR(INDEX(U$2:AY$2,MATCH(TRUE,INDEX(U155:AY155&lt;&gt;"",0),0)),"")</f>
        <v/>
      </c>
      <c r="N155" s="51">
        <f>IFERROR(LOOKUP(2,1/(U155:AY155&lt;&gt;""),U$2:AY$2),"")</f>
        <v/>
      </c>
      <c r="O155" s="52" t="n"/>
      <c r="P155" s="52" t="n"/>
      <c r="Q155" s="52" t="n"/>
      <c r="R155" s="44" t="n"/>
      <c r="S155" s="14" t="n"/>
      <c r="U155" s="53" t="n"/>
      <c r="V155" s="53" t="n"/>
      <c r="W155" s="53" t="n"/>
      <c r="X155" s="53" t="n"/>
      <c r="Y155" s="53" t="n"/>
      <c r="Z155" s="53" t="n"/>
      <c r="AA155" s="53" t="n"/>
      <c r="AB155" s="53" t="n"/>
      <c r="AC155" s="53" t="n"/>
      <c r="AD155" s="53" t="n"/>
      <c r="AE155" s="53" t="n"/>
      <c r="AF155" s="53" t="n"/>
      <c r="AG155" s="53" t="n"/>
      <c r="AH155" s="53" t="n"/>
      <c r="AI155" s="53" t="n"/>
      <c r="AJ155" s="53" t="n"/>
      <c r="AK155" s="53" t="n"/>
      <c r="AL155" s="53" t="n"/>
      <c r="AM155" s="53" t="n"/>
      <c r="AN155" s="53" t="n"/>
      <c r="AO155" s="53" t="n"/>
      <c r="AP155" s="53" t="n"/>
      <c r="AQ155" s="53" t="n"/>
      <c r="AR155" s="53" t="n"/>
      <c r="AS155" s="53" t="n"/>
      <c r="AT155" s="53" t="n"/>
      <c r="AU155" s="53" t="n"/>
      <c r="AV155" s="53" t="n"/>
      <c r="AW155" s="53" t="n"/>
      <c r="AX155" s="53" t="n"/>
      <c r="AY155" s="53" t="n"/>
    </row>
    <row r="156" ht="15" customHeight="1">
      <c r="A156" s="54" t="n"/>
      <c r="B156" s="55">
        <f>IF($B$155="","",$B$155)</f>
        <v/>
      </c>
      <c r="C156" s="56" t="inlineStr">
        <is>
          <t>마케팅3팀</t>
        </is>
      </c>
      <c r="D156" s="55">
        <f>IF($D$155="","",$D$155)</f>
        <v/>
      </c>
      <c r="E156" s="57" t="inlineStr">
        <is>
          <t>이미지</t>
        </is>
      </c>
      <c r="F156" s="44" t="n"/>
      <c r="G156" s="58">
        <f>IF($G$155="","",$G$155)</f>
        <v/>
      </c>
      <c r="H156" s="59" t="n"/>
      <c r="I156" s="59" t="n"/>
      <c r="J156" s="59" t="n"/>
      <c r="K156" s="59" t="n"/>
      <c r="L156" s="60">
        <f>IF(SUM(U156:AY156)=0,"",SUM(U156:AY156))</f>
        <v/>
      </c>
      <c r="M156" s="61">
        <f>IFERROR(INDEX(U$2:AY$2,MATCH(TRUE,INDEX(U156:AY156&lt;&gt;"",0),0)),"")</f>
        <v/>
      </c>
      <c r="N156" s="61">
        <f>IFERROR(LOOKUP(2,1/(U156:AY156&lt;&gt;""),U$2:AY$2),"")</f>
        <v/>
      </c>
      <c r="O156" s="59" t="n"/>
      <c r="P156" s="59" t="n"/>
      <c r="Q156" s="59" t="n"/>
      <c r="R156" s="59" t="n"/>
      <c r="S156" s="14" t="n"/>
      <c r="U156" s="53" t="n"/>
      <c r="V156" s="53" t="n"/>
      <c r="W156" s="53" t="n"/>
      <c r="X156" s="53" t="n"/>
      <c r="Y156" s="53" t="n"/>
      <c r="Z156" s="53" t="n"/>
      <c r="AA156" s="53" t="n"/>
      <c r="AB156" s="53" t="n"/>
      <c r="AC156" s="53" t="n"/>
      <c r="AD156" s="53" t="n"/>
      <c r="AE156" s="53" t="n"/>
      <c r="AF156" s="53" t="n"/>
      <c r="AG156" s="53" t="n"/>
      <c r="AH156" s="53" t="n"/>
      <c r="AI156" s="53" t="n"/>
      <c r="AJ156" s="53" t="n"/>
      <c r="AK156" s="53" t="n"/>
      <c r="AL156" s="53" t="n"/>
      <c r="AM156" s="53" t="n"/>
      <c r="AN156" s="53" t="n"/>
      <c r="AO156" s="53" t="n"/>
      <c r="AP156" s="53" t="n"/>
      <c r="AQ156" s="53" t="n"/>
      <c r="AR156" s="53" t="n"/>
      <c r="AS156" s="53" t="n"/>
      <c r="AT156" s="53" t="n"/>
      <c r="AU156" s="53" t="n"/>
      <c r="AV156" s="53" t="n"/>
      <c r="AW156" s="53" t="n"/>
      <c r="AX156" s="53" t="n"/>
      <c r="AY156" s="53" t="n"/>
    </row>
    <row r="157" ht="15" customHeight="1">
      <c r="A157" s="62" t="n"/>
      <c r="B157" s="55">
        <f>IF($B$155="","",$B$155)</f>
        <v/>
      </c>
      <c r="C157" s="63" t="inlineStr">
        <is>
          <t>마케팅3팀</t>
        </is>
      </c>
      <c r="D157" s="55">
        <f>IF($D$155="","",$D$155)</f>
        <v/>
      </c>
      <c r="E157" s="64" t="inlineStr">
        <is>
          <t>영상</t>
        </is>
      </c>
      <c r="F157" s="44" t="n"/>
      <c r="G157" s="58">
        <f>IF($G$155="","",$G$155)</f>
        <v/>
      </c>
      <c r="H157" s="59" t="n"/>
      <c r="I157" s="59" t="n"/>
      <c r="J157" s="59" t="n"/>
      <c r="K157" s="59" t="n"/>
      <c r="L157" s="65">
        <f>IF(SUM(U157:AY157)=0,"",SUM(U157:AY157))</f>
        <v/>
      </c>
      <c r="M157" s="66">
        <f>IFERROR(INDEX(U$2:AY$2,MATCH(TRUE,INDEX(U157:AY157&lt;&gt;"",0),0)),"")</f>
        <v/>
      </c>
      <c r="N157" s="66">
        <f>IFERROR(LOOKUP(2,1/(U157:AY157&lt;&gt;""),U$2:AY$2),"")</f>
        <v/>
      </c>
      <c r="O157" s="59" t="n"/>
      <c r="P157" s="59" t="n"/>
      <c r="Q157" s="59" t="n"/>
      <c r="R157" s="59" t="n"/>
      <c r="S157" s="14" t="n"/>
      <c r="U157" s="53" t="n"/>
      <c r="V157" s="53" t="n"/>
      <c r="W157" s="53" t="n"/>
      <c r="X157" s="53" t="n"/>
      <c r="Y157" s="53" t="n"/>
      <c r="Z157" s="53" t="n"/>
      <c r="AA157" s="53" t="n"/>
      <c r="AB157" s="53" t="n"/>
      <c r="AC157" s="53" t="n"/>
      <c r="AD157" s="53" t="n"/>
      <c r="AE157" s="53" t="n"/>
      <c r="AF157" s="53" t="n"/>
      <c r="AG157" s="53" t="n"/>
      <c r="AH157" s="53" t="n"/>
      <c r="AI157" s="53" t="n"/>
      <c r="AJ157" s="53" t="n"/>
      <c r="AK157" s="53" t="n"/>
      <c r="AL157" s="53" t="n"/>
      <c r="AM157" s="53" t="n"/>
      <c r="AN157" s="53" t="n"/>
      <c r="AO157" s="53" t="n"/>
      <c r="AP157" s="53" t="n"/>
      <c r="AQ157" s="53" t="n"/>
      <c r="AR157" s="53" t="n"/>
      <c r="AS157" s="53" t="n"/>
      <c r="AT157" s="53" t="n"/>
      <c r="AU157" s="53" t="n"/>
      <c r="AV157" s="53" t="n"/>
      <c r="AW157" s="53" t="n"/>
      <c r="AX157" s="53" t="n"/>
      <c r="AY157" s="53" t="n"/>
    </row>
    <row r="158" ht="15" customHeight="1">
      <c r="A158" s="40">
        <f>IF($D$158="","",50)</f>
        <v/>
      </c>
      <c r="B158" s="10" t="n"/>
      <c r="C158" s="41" t="inlineStr">
        <is>
          <t>마케팅3팀</t>
        </is>
      </c>
      <c r="D158" s="42" t="n"/>
      <c r="E158" s="43" t="inlineStr">
        <is>
          <t>기획</t>
        </is>
      </c>
      <c r="F158" s="44" t="n"/>
      <c r="G158" s="45" t="n"/>
      <c r="H158" s="46">
        <f>IF($I$158="","",IF($I$158&lt;0,"🔴지연",IF($I$158&lt;=1,"🟡임박","🟢여유")))</f>
        <v/>
      </c>
      <c r="I158" s="47">
        <f>IF(OR($G$158="",$K$158=""),"",$G$158-$K$158)</f>
        <v/>
      </c>
      <c r="J158" s="48">
        <f>IF(SUM($L$158:$L$160)=0,"",SUM($L$158:$L$160))</f>
        <v/>
      </c>
      <c r="K158" s="49">
        <f>IF($J$158="","",MAX($N$158:$N$160))</f>
        <v/>
      </c>
      <c r="L158" s="50">
        <f>IF(SUM(U158:AY158)=0,"",SUM(U158:AY158))</f>
        <v/>
      </c>
      <c r="M158" s="51">
        <f>IFERROR(INDEX(U$2:AY$2,MATCH(TRUE,INDEX(U158:AY158&lt;&gt;"",0),0)),"")</f>
        <v/>
      </c>
      <c r="N158" s="51">
        <f>IFERROR(LOOKUP(2,1/(U158:AY158&lt;&gt;""),U$2:AY$2),"")</f>
        <v/>
      </c>
      <c r="O158" s="52" t="n"/>
      <c r="P158" s="52" t="n"/>
      <c r="Q158" s="52" t="n"/>
      <c r="R158" s="44" t="n"/>
      <c r="S158" s="14" t="n"/>
      <c r="U158" s="53" t="n"/>
      <c r="V158" s="53" t="n"/>
      <c r="W158" s="53" t="n"/>
      <c r="X158" s="53" t="n"/>
      <c r="Y158" s="53" t="n"/>
      <c r="Z158" s="53" t="n"/>
      <c r="AA158" s="53" t="n"/>
      <c r="AB158" s="53" t="n"/>
      <c r="AC158" s="53" t="n"/>
      <c r="AD158" s="53" t="n"/>
      <c r="AE158" s="53" t="n"/>
      <c r="AF158" s="53" t="n"/>
      <c r="AG158" s="53" t="n"/>
      <c r="AH158" s="53" t="n"/>
      <c r="AI158" s="53" t="n"/>
      <c r="AJ158" s="53" t="n"/>
      <c r="AK158" s="53" t="n"/>
      <c r="AL158" s="53" t="n"/>
      <c r="AM158" s="53" t="n"/>
      <c r="AN158" s="53" t="n"/>
      <c r="AO158" s="53" t="n"/>
      <c r="AP158" s="53" t="n"/>
      <c r="AQ158" s="53" t="n"/>
      <c r="AR158" s="53" t="n"/>
      <c r="AS158" s="53" t="n"/>
      <c r="AT158" s="53" t="n"/>
      <c r="AU158" s="53" t="n"/>
      <c r="AV158" s="53" t="n"/>
      <c r="AW158" s="53" t="n"/>
      <c r="AX158" s="53" t="n"/>
      <c r="AY158" s="53" t="n"/>
    </row>
    <row r="159" ht="15" customHeight="1">
      <c r="A159" s="54" t="n"/>
      <c r="B159" s="55">
        <f>IF($B$158="","",$B$158)</f>
        <v/>
      </c>
      <c r="C159" s="56" t="inlineStr">
        <is>
          <t>마케팅3팀</t>
        </is>
      </c>
      <c r="D159" s="55">
        <f>IF($D$158="","",$D$158)</f>
        <v/>
      </c>
      <c r="E159" s="57" t="inlineStr">
        <is>
          <t>이미지</t>
        </is>
      </c>
      <c r="F159" s="44" t="n"/>
      <c r="G159" s="58">
        <f>IF($G$158="","",$G$158)</f>
        <v/>
      </c>
      <c r="H159" s="59" t="n"/>
      <c r="I159" s="59" t="n"/>
      <c r="J159" s="59" t="n"/>
      <c r="K159" s="59" t="n"/>
      <c r="L159" s="60">
        <f>IF(SUM(U159:AY159)=0,"",SUM(U159:AY159))</f>
        <v/>
      </c>
      <c r="M159" s="61">
        <f>IFERROR(INDEX(U$2:AY$2,MATCH(TRUE,INDEX(U159:AY159&lt;&gt;"",0),0)),"")</f>
        <v/>
      </c>
      <c r="N159" s="61">
        <f>IFERROR(LOOKUP(2,1/(U159:AY159&lt;&gt;""),U$2:AY$2),"")</f>
        <v/>
      </c>
      <c r="O159" s="59" t="n"/>
      <c r="P159" s="59" t="n"/>
      <c r="Q159" s="59" t="n"/>
      <c r="R159" s="59" t="n"/>
      <c r="S159" s="14" t="n"/>
      <c r="U159" s="53" t="n"/>
      <c r="V159" s="53" t="n"/>
      <c r="W159" s="53" t="n"/>
      <c r="X159" s="53" t="n"/>
      <c r="Y159" s="53" t="n"/>
      <c r="Z159" s="53" t="n"/>
      <c r="AA159" s="53" t="n"/>
      <c r="AB159" s="53" t="n"/>
      <c r="AC159" s="53" t="n"/>
      <c r="AD159" s="53" t="n"/>
      <c r="AE159" s="53" t="n"/>
      <c r="AF159" s="53" t="n"/>
      <c r="AG159" s="53" t="n"/>
      <c r="AH159" s="53" t="n"/>
      <c r="AI159" s="53" t="n"/>
      <c r="AJ159" s="53" t="n"/>
      <c r="AK159" s="53" t="n"/>
      <c r="AL159" s="53" t="n"/>
      <c r="AM159" s="53" t="n"/>
      <c r="AN159" s="53" t="n"/>
      <c r="AO159" s="53" t="n"/>
      <c r="AP159" s="53" t="n"/>
      <c r="AQ159" s="53" t="n"/>
      <c r="AR159" s="53" t="n"/>
      <c r="AS159" s="53" t="n"/>
      <c r="AT159" s="53" t="n"/>
      <c r="AU159" s="53" t="n"/>
      <c r="AV159" s="53" t="n"/>
      <c r="AW159" s="53" t="n"/>
      <c r="AX159" s="53" t="n"/>
      <c r="AY159" s="53" t="n"/>
    </row>
    <row r="160" ht="15" customHeight="1">
      <c r="A160" s="62" t="n"/>
      <c r="B160" s="55">
        <f>IF($B$158="","",$B$158)</f>
        <v/>
      </c>
      <c r="C160" s="63" t="inlineStr">
        <is>
          <t>마케팅3팀</t>
        </is>
      </c>
      <c r="D160" s="55">
        <f>IF($D$158="","",$D$158)</f>
        <v/>
      </c>
      <c r="E160" s="64" t="inlineStr">
        <is>
          <t>영상</t>
        </is>
      </c>
      <c r="F160" s="44" t="n"/>
      <c r="G160" s="58">
        <f>IF($G$158="","",$G$158)</f>
        <v/>
      </c>
      <c r="H160" s="59" t="n"/>
      <c r="I160" s="59" t="n"/>
      <c r="J160" s="59" t="n"/>
      <c r="K160" s="59" t="n"/>
      <c r="L160" s="65">
        <f>IF(SUM(U160:AY160)=0,"",SUM(U160:AY160))</f>
        <v/>
      </c>
      <c r="M160" s="66">
        <f>IFERROR(INDEX(U$2:AY$2,MATCH(TRUE,INDEX(U160:AY160&lt;&gt;"",0),0)),"")</f>
        <v/>
      </c>
      <c r="N160" s="66">
        <f>IFERROR(LOOKUP(2,1/(U160:AY160&lt;&gt;""),U$2:AY$2),"")</f>
        <v/>
      </c>
      <c r="O160" s="59" t="n"/>
      <c r="P160" s="59" t="n"/>
      <c r="Q160" s="59" t="n"/>
      <c r="R160" s="59" t="n"/>
      <c r="S160" s="14" t="n"/>
      <c r="U160" s="53" t="n"/>
      <c r="V160" s="53" t="n"/>
      <c r="W160" s="53" t="n"/>
      <c r="X160" s="53" t="n"/>
      <c r="Y160" s="53" t="n"/>
      <c r="Z160" s="53" t="n"/>
      <c r="AA160" s="53" t="n"/>
      <c r="AB160" s="53" t="n"/>
      <c r="AC160" s="53" t="n"/>
      <c r="AD160" s="53" t="n"/>
      <c r="AE160" s="53" t="n"/>
      <c r="AF160" s="53" t="n"/>
      <c r="AG160" s="53" t="n"/>
      <c r="AH160" s="53" t="n"/>
      <c r="AI160" s="53" t="n"/>
      <c r="AJ160" s="53" t="n"/>
      <c r="AK160" s="53" t="n"/>
      <c r="AL160" s="53" t="n"/>
      <c r="AM160" s="53" t="n"/>
      <c r="AN160" s="53" t="n"/>
      <c r="AO160" s="53" t="n"/>
      <c r="AP160" s="53" t="n"/>
      <c r="AQ160" s="53" t="n"/>
      <c r="AR160" s="53" t="n"/>
      <c r="AS160" s="53" t="n"/>
      <c r="AT160" s="53" t="n"/>
      <c r="AU160" s="53" t="n"/>
      <c r="AV160" s="53" t="n"/>
      <c r="AW160" s="53" t="n"/>
      <c r="AX160" s="53" t="n"/>
      <c r="AY160" s="53" t="n"/>
    </row>
    <row r="161" ht="15" customHeight="1">
      <c r="A161" s="40">
        <f>IF($D$161="","",51)</f>
        <v/>
      </c>
      <c r="B161" s="10" t="n"/>
      <c r="C161" s="41" t="inlineStr">
        <is>
          <t>마케팅3팀</t>
        </is>
      </c>
      <c r="D161" s="42" t="n"/>
      <c r="E161" s="43" t="inlineStr">
        <is>
          <t>기획</t>
        </is>
      </c>
      <c r="F161" s="44" t="n"/>
      <c r="G161" s="45" t="n"/>
      <c r="H161" s="46">
        <f>IF($I$161="","",IF($I$161&lt;0,"🔴지연",IF($I$161&lt;=1,"🟡임박","🟢여유")))</f>
        <v/>
      </c>
      <c r="I161" s="47">
        <f>IF(OR($G$161="",$K$161=""),"",$G$161-$K$161)</f>
        <v/>
      </c>
      <c r="J161" s="48">
        <f>IF(SUM($L$161:$L$163)=0,"",SUM($L$161:$L$163))</f>
        <v/>
      </c>
      <c r="K161" s="49">
        <f>IF($J$161="","",MAX($N$161:$N$163))</f>
        <v/>
      </c>
      <c r="L161" s="50">
        <f>IF(SUM(U161:AY161)=0,"",SUM(U161:AY161))</f>
        <v/>
      </c>
      <c r="M161" s="51">
        <f>IFERROR(INDEX(U$2:AY$2,MATCH(TRUE,INDEX(U161:AY161&lt;&gt;"",0),0)),"")</f>
        <v/>
      </c>
      <c r="N161" s="51">
        <f>IFERROR(LOOKUP(2,1/(U161:AY161&lt;&gt;""),U$2:AY$2),"")</f>
        <v/>
      </c>
      <c r="O161" s="52" t="n"/>
      <c r="P161" s="52" t="n"/>
      <c r="Q161" s="52" t="n"/>
      <c r="R161" s="44" t="n"/>
      <c r="S161" s="14" t="n"/>
      <c r="U161" s="53" t="n"/>
      <c r="V161" s="53" t="n"/>
      <c r="W161" s="53" t="n"/>
      <c r="X161" s="53" t="n"/>
      <c r="Y161" s="53" t="n"/>
      <c r="Z161" s="53" t="n"/>
      <c r="AA161" s="53" t="n"/>
      <c r="AB161" s="53" t="n"/>
      <c r="AC161" s="53" t="n"/>
      <c r="AD161" s="53" t="n"/>
      <c r="AE161" s="53" t="n"/>
      <c r="AF161" s="53" t="n"/>
      <c r="AG161" s="53" t="n"/>
      <c r="AH161" s="53" t="n"/>
      <c r="AI161" s="53" t="n"/>
      <c r="AJ161" s="53" t="n"/>
      <c r="AK161" s="53" t="n"/>
      <c r="AL161" s="53" t="n"/>
      <c r="AM161" s="53" t="n"/>
      <c r="AN161" s="53" t="n"/>
      <c r="AO161" s="53" t="n"/>
      <c r="AP161" s="53" t="n"/>
      <c r="AQ161" s="53" t="n"/>
      <c r="AR161" s="53" t="n"/>
      <c r="AS161" s="53" t="n"/>
      <c r="AT161" s="53" t="n"/>
      <c r="AU161" s="53" t="n"/>
      <c r="AV161" s="53" t="n"/>
      <c r="AW161" s="53" t="n"/>
      <c r="AX161" s="53" t="n"/>
      <c r="AY161" s="53" t="n"/>
    </row>
    <row r="162" ht="15" customHeight="1">
      <c r="A162" s="54" t="n"/>
      <c r="B162" s="55">
        <f>IF($B$161="","",$B$161)</f>
        <v/>
      </c>
      <c r="C162" s="56" t="inlineStr">
        <is>
          <t>마케팅3팀</t>
        </is>
      </c>
      <c r="D162" s="55">
        <f>IF($D$161="","",$D$161)</f>
        <v/>
      </c>
      <c r="E162" s="57" t="inlineStr">
        <is>
          <t>이미지</t>
        </is>
      </c>
      <c r="F162" s="44" t="n"/>
      <c r="G162" s="58">
        <f>IF($G$161="","",$G$161)</f>
        <v/>
      </c>
      <c r="H162" s="59" t="n"/>
      <c r="I162" s="59" t="n"/>
      <c r="J162" s="59" t="n"/>
      <c r="K162" s="59" t="n"/>
      <c r="L162" s="60">
        <f>IF(SUM(U162:AY162)=0,"",SUM(U162:AY162))</f>
        <v/>
      </c>
      <c r="M162" s="61">
        <f>IFERROR(INDEX(U$2:AY$2,MATCH(TRUE,INDEX(U162:AY162&lt;&gt;"",0),0)),"")</f>
        <v/>
      </c>
      <c r="N162" s="61">
        <f>IFERROR(LOOKUP(2,1/(U162:AY162&lt;&gt;""),U$2:AY$2),"")</f>
        <v/>
      </c>
      <c r="O162" s="59" t="n"/>
      <c r="P162" s="59" t="n"/>
      <c r="Q162" s="59" t="n"/>
      <c r="R162" s="59" t="n"/>
      <c r="S162" s="14" t="n"/>
      <c r="U162" s="53" t="n"/>
      <c r="V162" s="53" t="n"/>
      <c r="W162" s="53" t="n"/>
      <c r="X162" s="53" t="n"/>
      <c r="Y162" s="53" t="n"/>
      <c r="Z162" s="53" t="n"/>
      <c r="AA162" s="53" t="n"/>
      <c r="AB162" s="53" t="n"/>
      <c r="AC162" s="53" t="n"/>
      <c r="AD162" s="53" t="n"/>
      <c r="AE162" s="53" t="n"/>
      <c r="AF162" s="53" t="n"/>
      <c r="AG162" s="53" t="n"/>
      <c r="AH162" s="53" t="n"/>
      <c r="AI162" s="53" t="n"/>
      <c r="AJ162" s="53" t="n"/>
      <c r="AK162" s="53" t="n"/>
      <c r="AL162" s="53" t="n"/>
      <c r="AM162" s="53" t="n"/>
      <c r="AN162" s="53" t="n"/>
      <c r="AO162" s="53" t="n"/>
      <c r="AP162" s="53" t="n"/>
      <c r="AQ162" s="53" t="n"/>
      <c r="AR162" s="53" t="n"/>
      <c r="AS162" s="53" t="n"/>
      <c r="AT162" s="53" t="n"/>
      <c r="AU162" s="53" t="n"/>
      <c r="AV162" s="53" t="n"/>
      <c r="AW162" s="53" t="n"/>
      <c r="AX162" s="53" t="n"/>
      <c r="AY162" s="53" t="n"/>
    </row>
    <row r="163" ht="15" customHeight="1">
      <c r="A163" s="62" t="n"/>
      <c r="B163" s="55">
        <f>IF($B$161="","",$B$161)</f>
        <v/>
      </c>
      <c r="C163" s="63" t="inlineStr">
        <is>
          <t>마케팅3팀</t>
        </is>
      </c>
      <c r="D163" s="55">
        <f>IF($D$161="","",$D$161)</f>
        <v/>
      </c>
      <c r="E163" s="64" t="inlineStr">
        <is>
          <t>영상</t>
        </is>
      </c>
      <c r="F163" s="44" t="n"/>
      <c r="G163" s="58">
        <f>IF($G$161="","",$G$161)</f>
        <v/>
      </c>
      <c r="H163" s="59" t="n"/>
      <c r="I163" s="59" t="n"/>
      <c r="J163" s="59" t="n"/>
      <c r="K163" s="59" t="n"/>
      <c r="L163" s="65">
        <f>IF(SUM(U163:AY163)=0,"",SUM(U163:AY163))</f>
        <v/>
      </c>
      <c r="M163" s="66">
        <f>IFERROR(INDEX(U$2:AY$2,MATCH(TRUE,INDEX(U163:AY163&lt;&gt;"",0),0)),"")</f>
        <v/>
      </c>
      <c r="N163" s="66">
        <f>IFERROR(LOOKUP(2,1/(U163:AY163&lt;&gt;""),U$2:AY$2),"")</f>
        <v/>
      </c>
      <c r="O163" s="59" t="n"/>
      <c r="P163" s="59" t="n"/>
      <c r="Q163" s="59" t="n"/>
      <c r="R163" s="59" t="n"/>
      <c r="S163" s="14" t="n"/>
      <c r="U163" s="53" t="n"/>
      <c r="V163" s="53" t="n"/>
      <c r="W163" s="53" t="n"/>
      <c r="X163" s="53" t="n"/>
      <c r="Y163" s="53" t="n"/>
      <c r="Z163" s="53" t="n"/>
      <c r="AA163" s="53" t="n"/>
      <c r="AB163" s="53" t="n"/>
      <c r="AC163" s="53" t="n"/>
      <c r="AD163" s="53" t="n"/>
      <c r="AE163" s="53" t="n"/>
      <c r="AF163" s="53" t="n"/>
      <c r="AG163" s="53" t="n"/>
      <c r="AH163" s="53" t="n"/>
      <c r="AI163" s="53" t="n"/>
      <c r="AJ163" s="53" t="n"/>
      <c r="AK163" s="53" t="n"/>
      <c r="AL163" s="53" t="n"/>
      <c r="AM163" s="53" t="n"/>
      <c r="AN163" s="53" t="n"/>
      <c r="AO163" s="53" t="n"/>
      <c r="AP163" s="53" t="n"/>
      <c r="AQ163" s="53" t="n"/>
      <c r="AR163" s="53" t="n"/>
      <c r="AS163" s="53" t="n"/>
      <c r="AT163" s="53" t="n"/>
      <c r="AU163" s="53" t="n"/>
      <c r="AV163" s="53" t="n"/>
      <c r="AW163" s="53" t="n"/>
      <c r="AX163" s="53" t="n"/>
      <c r="AY163" s="53" t="n"/>
    </row>
    <row r="164" ht="15" customHeight="1">
      <c r="A164" s="40">
        <f>IF($D$164="","",52)</f>
        <v/>
      </c>
      <c r="B164" s="10" t="n"/>
      <c r="C164" s="41" t="inlineStr">
        <is>
          <t>마케팅3팀</t>
        </is>
      </c>
      <c r="D164" s="42" t="n"/>
      <c r="E164" s="43" t="inlineStr">
        <is>
          <t>기획</t>
        </is>
      </c>
      <c r="F164" s="44" t="n"/>
      <c r="G164" s="45" t="n"/>
      <c r="H164" s="46">
        <f>IF($I$164="","",IF($I$164&lt;0,"🔴지연",IF($I$164&lt;=1,"🟡임박","🟢여유")))</f>
        <v/>
      </c>
      <c r="I164" s="47">
        <f>IF(OR($G$164="",$K$164=""),"",$G$164-$K$164)</f>
        <v/>
      </c>
      <c r="J164" s="48">
        <f>IF(SUM($L$164:$L$166)=0,"",SUM($L$164:$L$166))</f>
        <v/>
      </c>
      <c r="K164" s="49">
        <f>IF($J$164="","",MAX($N$164:$N$166))</f>
        <v/>
      </c>
      <c r="L164" s="50">
        <f>IF(SUM(U164:AY164)=0,"",SUM(U164:AY164))</f>
        <v/>
      </c>
      <c r="M164" s="51">
        <f>IFERROR(INDEX(U$2:AY$2,MATCH(TRUE,INDEX(U164:AY164&lt;&gt;"",0),0)),"")</f>
        <v/>
      </c>
      <c r="N164" s="51">
        <f>IFERROR(LOOKUP(2,1/(U164:AY164&lt;&gt;""),U$2:AY$2),"")</f>
        <v/>
      </c>
      <c r="O164" s="52" t="n"/>
      <c r="P164" s="52" t="n"/>
      <c r="Q164" s="52" t="n"/>
      <c r="R164" s="44" t="n"/>
      <c r="S164" s="14" t="n"/>
      <c r="U164" s="53" t="n"/>
      <c r="V164" s="53" t="n"/>
      <c r="W164" s="53" t="n"/>
      <c r="X164" s="53" t="n"/>
      <c r="Y164" s="53" t="n"/>
      <c r="Z164" s="53" t="n"/>
      <c r="AA164" s="53" t="n"/>
      <c r="AB164" s="53" t="n"/>
      <c r="AC164" s="53" t="n"/>
      <c r="AD164" s="53" t="n"/>
      <c r="AE164" s="53" t="n"/>
      <c r="AF164" s="53" t="n"/>
      <c r="AG164" s="53" t="n"/>
      <c r="AH164" s="53" t="n"/>
      <c r="AI164" s="53" t="n"/>
      <c r="AJ164" s="53" t="n"/>
      <c r="AK164" s="53" t="n"/>
      <c r="AL164" s="53" t="n"/>
      <c r="AM164" s="53" t="n"/>
      <c r="AN164" s="53" t="n"/>
      <c r="AO164" s="53" t="n"/>
      <c r="AP164" s="53" t="n"/>
      <c r="AQ164" s="53" t="n"/>
      <c r="AR164" s="53" t="n"/>
      <c r="AS164" s="53" t="n"/>
      <c r="AT164" s="53" t="n"/>
      <c r="AU164" s="53" t="n"/>
      <c r="AV164" s="53" t="n"/>
      <c r="AW164" s="53" t="n"/>
      <c r="AX164" s="53" t="n"/>
      <c r="AY164" s="53" t="n"/>
    </row>
    <row r="165" ht="15" customHeight="1">
      <c r="A165" s="54" t="n"/>
      <c r="B165" s="55">
        <f>IF($B$164="","",$B$164)</f>
        <v/>
      </c>
      <c r="C165" s="56" t="inlineStr">
        <is>
          <t>마케팅3팀</t>
        </is>
      </c>
      <c r="D165" s="55">
        <f>IF($D$164="","",$D$164)</f>
        <v/>
      </c>
      <c r="E165" s="57" t="inlineStr">
        <is>
          <t>이미지</t>
        </is>
      </c>
      <c r="F165" s="44" t="n"/>
      <c r="G165" s="58">
        <f>IF($G$164="","",$G$164)</f>
        <v/>
      </c>
      <c r="H165" s="59" t="n"/>
      <c r="I165" s="59" t="n"/>
      <c r="J165" s="59" t="n"/>
      <c r="K165" s="59" t="n"/>
      <c r="L165" s="60">
        <f>IF(SUM(U165:AY165)=0,"",SUM(U165:AY165))</f>
        <v/>
      </c>
      <c r="M165" s="61">
        <f>IFERROR(INDEX(U$2:AY$2,MATCH(TRUE,INDEX(U165:AY165&lt;&gt;"",0),0)),"")</f>
        <v/>
      </c>
      <c r="N165" s="61">
        <f>IFERROR(LOOKUP(2,1/(U165:AY165&lt;&gt;""),U$2:AY$2),"")</f>
        <v/>
      </c>
      <c r="O165" s="59" t="n"/>
      <c r="P165" s="59" t="n"/>
      <c r="Q165" s="59" t="n"/>
      <c r="R165" s="59" t="n"/>
      <c r="S165" s="14" t="n"/>
      <c r="U165" s="53" t="n"/>
      <c r="V165" s="53" t="n"/>
      <c r="W165" s="53" t="n"/>
      <c r="X165" s="53" t="n"/>
      <c r="Y165" s="53" t="n"/>
      <c r="Z165" s="53" t="n"/>
      <c r="AA165" s="53" t="n"/>
      <c r="AB165" s="53" t="n"/>
      <c r="AC165" s="53" t="n"/>
      <c r="AD165" s="53" t="n"/>
      <c r="AE165" s="53" t="n"/>
      <c r="AF165" s="53" t="n"/>
      <c r="AG165" s="53" t="n"/>
      <c r="AH165" s="53" t="n"/>
      <c r="AI165" s="53" t="n"/>
      <c r="AJ165" s="53" t="n"/>
      <c r="AK165" s="53" t="n"/>
      <c r="AL165" s="53" t="n"/>
      <c r="AM165" s="53" t="n"/>
      <c r="AN165" s="53" t="n"/>
      <c r="AO165" s="53" t="n"/>
      <c r="AP165" s="53" t="n"/>
      <c r="AQ165" s="53" t="n"/>
      <c r="AR165" s="53" t="n"/>
      <c r="AS165" s="53" t="n"/>
      <c r="AT165" s="53" t="n"/>
      <c r="AU165" s="53" t="n"/>
      <c r="AV165" s="53" t="n"/>
      <c r="AW165" s="53" t="n"/>
      <c r="AX165" s="53" t="n"/>
      <c r="AY165" s="53" t="n"/>
    </row>
    <row r="166" ht="15" customHeight="1">
      <c r="A166" s="62" t="n"/>
      <c r="B166" s="55">
        <f>IF($B$164="","",$B$164)</f>
        <v/>
      </c>
      <c r="C166" s="63" t="inlineStr">
        <is>
          <t>마케팅3팀</t>
        </is>
      </c>
      <c r="D166" s="55">
        <f>IF($D$164="","",$D$164)</f>
        <v/>
      </c>
      <c r="E166" s="64" t="inlineStr">
        <is>
          <t>영상</t>
        </is>
      </c>
      <c r="F166" s="44" t="n"/>
      <c r="G166" s="58">
        <f>IF($G$164="","",$G$164)</f>
        <v/>
      </c>
      <c r="H166" s="59" t="n"/>
      <c r="I166" s="59" t="n"/>
      <c r="J166" s="59" t="n"/>
      <c r="K166" s="59" t="n"/>
      <c r="L166" s="65">
        <f>IF(SUM(U166:AY166)=0,"",SUM(U166:AY166))</f>
        <v/>
      </c>
      <c r="M166" s="66">
        <f>IFERROR(INDEX(U$2:AY$2,MATCH(TRUE,INDEX(U166:AY166&lt;&gt;"",0),0)),"")</f>
        <v/>
      </c>
      <c r="N166" s="66">
        <f>IFERROR(LOOKUP(2,1/(U166:AY166&lt;&gt;""),U$2:AY$2),"")</f>
        <v/>
      </c>
      <c r="O166" s="59" t="n"/>
      <c r="P166" s="59" t="n"/>
      <c r="Q166" s="59" t="n"/>
      <c r="R166" s="59" t="n"/>
      <c r="S166" s="14" t="n"/>
      <c r="U166" s="53" t="n"/>
      <c r="V166" s="53" t="n"/>
      <c r="W166" s="53" t="n"/>
      <c r="X166" s="53" t="n"/>
      <c r="Y166" s="53" t="n"/>
      <c r="Z166" s="53" t="n"/>
      <c r="AA166" s="53" t="n"/>
      <c r="AB166" s="53" t="n"/>
      <c r="AC166" s="53" t="n"/>
      <c r="AD166" s="53" t="n"/>
      <c r="AE166" s="53" t="n"/>
      <c r="AF166" s="53" t="n"/>
      <c r="AG166" s="53" t="n"/>
      <c r="AH166" s="53" t="n"/>
      <c r="AI166" s="53" t="n"/>
      <c r="AJ166" s="53" t="n"/>
      <c r="AK166" s="53" t="n"/>
      <c r="AL166" s="53" t="n"/>
      <c r="AM166" s="53" t="n"/>
      <c r="AN166" s="53" t="n"/>
      <c r="AO166" s="53" t="n"/>
      <c r="AP166" s="53" t="n"/>
      <c r="AQ166" s="53" t="n"/>
      <c r="AR166" s="53" t="n"/>
      <c r="AS166" s="53" t="n"/>
      <c r="AT166" s="53" t="n"/>
      <c r="AU166" s="53" t="n"/>
      <c r="AV166" s="53" t="n"/>
      <c r="AW166" s="53" t="n"/>
      <c r="AX166" s="53" t="n"/>
      <c r="AY166" s="53" t="n"/>
    </row>
    <row r="167" ht="15" customHeight="1">
      <c r="A167" s="40">
        <f>IF($D$167="","",53)</f>
        <v/>
      </c>
      <c r="B167" s="10" t="n"/>
      <c r="C167" s="41" t="inlineStr">
        <is>
          <t>마케팅3팀</t>
        </is>
      </c>
      <c r="D167" s="42" t="n"/>
      <c r="E167" s="43" t="inlineStr">
        <is>
          <t>기획</t>
        </is>
      </c>
      <c r="F167" s="44" t="n"/>
      <c r="G167" s="45" t="n"/>
      <c r="H167" s="46">
        <f>IF($I$167="","",IF($I$167&lt;0,"🔴지연",IF($I$167&lt;=1,"🟡임박","🟢여유")))</f>
        <v/>
      </c>
      <c r="I167" s="47">
        <f>IF(OR($G$167="",$K$167=""),"",$G$167-$K$167)</f>
        <v/>
      </c>
      <c r="J167" s="48">
        <f>IF(SUM($L$167:$L$169)=0,"",SUM($L$167:$L$169))</f>
        <v/>
      </c>
      <c r="K167" s="49">
        <f>IF($J$167="","",MAX($N$167:$N$169))</f>
        <v/>
      </c>
      <c r="L167" s="50">
        <f>IF(SUM(U167:AY167)=0,"",SUM(U167:AY167))</f>
        <v/>
      </c>
      <c r="M167" s="51">
        <f>IFERROR(INDEX(U$2:AY$2,MATCH(TRUE,INDEX(U167:AY167&lt;&gt;"",0),0)),"")</f>
        <v/>
      </c>
      <c r="N167" s="51">
        <f>IFERROR(LOOKUP(2,1/(U167:AY167&lt;&gt;""),U$2:AY$2),"")</f>
        <v/>
      </c>
      <c r="O167" s="52" t="n"/>
      <c r="P167" s="52" t="n"/>
      <c r="Q167" s="52" t="n"/>
      <c r="R167" s="44" t="n"/>
      <c r="S167" s="14" t="n"/>
      <c r="U167" s="53" t="n"/>
      <c r="V167" s="53" t="n"/>
      <c r="W167" s="53" t="n"/>
      <c r="X167" s="53" t="n"/>
      <c r="Y167" s="53" t="n"/>
      <c r="Z167" s="53" t="n"/>
      <c r="AA167" s="53" t="n"/>
      <c r="AB167" s="53" t="n"/>
      <c r="AC167" s="53" t="n"/>
      <c r="AD167" s="53" t="n"/>
      <c r="AE167" s="53" t="n"/>
      <c r="AF167" s="53" t="n"/>
      <c r="AG167" s="53" t="n"/>
      <c r="AH167" s="53" t="n"/>
      <c r="AI167" s="53" t="n"/>
      <c r="AJ167" s="53" t="n"/>
      <c r="AK167" s="53" t="n"/>
      <c r="AL167" s="53" t="n"/>
      <c r="AM167" s="53" t="n"/>
      <c r="AN167" s="53" t="n"/>
      <c r="AO167" s="53" t="n"/>
      <c r="AP167" s="53" t="n"/>
      <c r="AQ167" s="53" t="n"/>
      <c r="AR167" s="53" t="n"/>
      <c r="AS167" s="53" t="n"/>
      <c r="AT167" s="53" t="n"/>
      <c r="AU167" s="53" t="n"/>
      <c r="AV167" s="53" t="n"/>
      <c r="AW167" s="53" t="n"/>
      <c r="AX167" s="53" t="n"/>
      <c r="AY167" s="53" t="n"/>
    </row>
    <row r="168" ht="15" customHeight="1">
      <c r="A168" s="54" t="n"/>
      <c r="B168" s="55">
        <f>IF($B$167="","",$B$167)</f>
        <v/>
      </c>
      <c r="C168" s="56" t="inlineStr">
        <is>
          <t>마케팅3팀</t>
        </is>
      </c>
      <c r="D168" s="55">
        <f>IF($D$167="","",$D$167)</f>
        <v/>
      </c>
      <c r="E168" s="57" t="inlineStr">
        <is>
          <t>이미지</t>
        </is>
      </c>
      <c r="F168" s="44" t="n"/>
      <c r="G168" s="58">
        <f>IF($G$167="","",$G$167)</f>
        <v/>
      </c>
      <c r="H168" s="59" t="n"/>
      <c r="I168" s="59" t="n"/>
      <c r="J168" s="59" t="n"/>
      <c r="K168" s="59" t="n"/>
      <c r="L168" s="60">
        <f>IF(SUM(U168:AY168)=0,"",SUM(U168:AY168))</f>
        <v/>
      </c>
      <c r="M168" s="61">
        <f>IFERROR(INDEX(U$2:AY$2,MATCH(TRUE,INDEX(U168:AY168&lt;&gt;"",0),0)),"")</f>
        <v/>
      </c>
      <c r="N168" s="61">
        <f>IFERROR(LOOKUP(2,1/(U168:AY168&lt;&gt;""),U$2:AY$2),"")</f>
        <v/>
      </c>
      <c r="O168" s="59" t="n"/>
      <c r="P168" s="59" t="n"/>
      <c r="Q168" s="59" t="n"/>
      <c r="R168" s="59" t="n"/>
      <c r="S168" s="14" t="n"/>
      <c r="U168" s="53" t="n"/>
      <c r="V168" s="53" t="n"/>
      <c r="W168" s="53" t="n"/>
      <c r="X168" s="53" t="n"/>
      <c r="Y168" s="53" t="n"/>
      <c r="Z168" s="53" t="n"/>
      <c r="AA168" s="53" t="n"/>
      <c r="AB168" s="53" t="n"/>
      <c r="AC168" s="53" t="n"/>
      <c r="AD168" s="53" t="n"/>
      <c r="AE168" s="53" t="n"/>
      <c r="AF168" s="53" t="n"/>
      <c r="AG168" s="53" t="n"/>
      <c r="AH168" s="53" t="n"/>
      <c r="AI168" s="53" t="n"/>
      <c r="AJ168" s="53" t="n"/>
      <c r="AK168" s="53" t="n"/>
      <c r="AL168" s="53" t="n"/>
      <c r="AM168" s="53" t="n"/>
      <c r="AN168" s="53" t="n"/>
      <c r="AO168" s="53" t="n"/>
      <c r="AP168" s="53" t="n"/>
      <c r="AQ168" s="53" t="n"/>
      <c r="AR168" s="53" t="n"/>
      <c r="AS168" s="53" t="n"/>
      <c r="AT168" s="53" t="n"/>
      <c r="AU168" s="53" t="n"/>
      <c r="AV168" s="53" t="n"/>
      <c r="AW168" s="53" t="n"/>
      <c r="AX168" s="53" t="n"/>
      <c r="AY168" s="53" t="n"/>
    </row>
    <row r="169" ht="15" customHeight="1">
      <c r="A169" s="62" t="n"/>
      <c r="B169" s="55">
        <f>IF($B$167="","",$B$167)</f>
        <v/>
      </c>
      <c r="C169" s="63" t="inlineStr">
        <is>
          <t>마케팅3팀</t>
        </is>
      </c>
      <c r="D169" s="55">
        <f>IF($D$167="","",$D$167)</f>
        <v/>
      </c>
      <c r="E169" s="64" t="inlineStr">
        <is>
          <t>영상</t>
        </is>
      </c>
      <c r="F169" s="44" t="n"/>
      <c r="G169" s="58">
        <f>IF($G$167="","",$G$167)</f>
        <v/>
      </c>
      <c r="H169" s="59" t="n"/>
      <c r="I169" s="59" t="n"/>
      <c r="J169" s="59" t="n"/>
      <c r="K169" s="59" t="n"/>
      <c r="L169" s="65">
        <f>IF(SUM(U169:AY169)=0,"",SUM(U169:AY169))</f>
        <v/>
      </c>
      <c r="M169" s="66">
        <f>IFERROR(INDEX(U$2:AY$2,MATCH(TRUE,INDEX(U169:AY169&lt;&gt;"",0),0)),"")</f>
        <v/>
      </c>
      <c r="N169" s="66">
        <f>IFERROR(LOOKUP(2,1/(U169:AY169&lt;&gt;""),U$2:AY$2),"")</f>
        <v/>
      </c>
      <c r="O169" s="59" t="n"/>
      <c r="P169" s="59" t="n"/>
      <c r="Q169" s="59" t="n"/>
      <c r="R169" s="59" t="n"/>
      <c r="S169" s="14" t="n"/>
      <c r="U169" s="53" t="n"/>
      <c r="V169" s="53" t="n"/>
      <c r="W169" s="53" t="n"/>
      <c r="X169" s="53" t="n"/>
      <c r="Y169" s="53" t="n"/>
      <c r="Z169" s="53" t="n"/>
      <c r="AA169" s="53" t="n"/>
      <c r="AB169" s="53" t="n"/>
      <c r="AC169" s="53" t="n"/>
      <c r="AD169" s="53" t="n"/>
      <c r="AE169" s="53" t="n"/>
      <c r="AF169" s="53" t="n"/>
      <c r="AG169" s="53" t="n"/>
      <c r="AH169" s="53" t="n"/>
      <c r="AI169" s="53" t="n"/>
      <c r="AJ169" s="53" t="n"/>
      <c r="AK169" s="53" t="n"/>
      <c r="AL169" s="53" t="n"/>
      <c r="AM169" s="53" t="n"/>
      <c r="AN169" s="53" t="n"/>
      <c r="AO169" s="53" t="n"/>
      <c r="AP169" s="53" t="n"/>
      <c r="AQ169" s="53" t="n"/>
      <c r="AR169" s="53" t="n"/>
      <c r="AS169" s="53" t="n"/>
      <c r="AT169" s="53" t="n"/>
      <c r="AU169" s="53" t="n"/>
      <c r="AV169" s="53" t="n"/>
      <c r="AW169" s="53" t="n"/>
      <c r="AX169" s="53" t="n"/>
      <c r="AY169" s="53" t="n"/>
    </row>
    <row r="170" ht="15" customHeight="1">
      <c r="A170" s="40">
        <f>IF($D$170="","",54)</f>
        <v/>
      </c>
      <c r="B170" s="10" t="n"/>
      <c r="C170" s="41" t="inlineStr">
        <is>
          <t>마케팅3팀</t>
        </is>
      </c>
      <c r="D170" s="42" t="n"/>
      <c r="E170" s="43" t="inlineStr">
        <is>
          <t>기획</t>
        </is>
      </c>
      <c r="F170" s="44" t="n"/>
      <c r="G170" s="45" t="n"/>
      <c r="H170" s="46">
        <f>IF($I$170="","",IF($I$170&lt;0,"🔴지연",IF($I$170&lt;=1,"🟡임박","🟢여유")))</f>
        <v/>
      </c>
      <c r="I170" s="47">
        <f>IF(OR($G$170="",$K$170=""),"",$G$170-$K$170)</f>
        <v/>
      </c>
      <c r="J170" s="48">
        <f>IF(SUM($L$170:$L$172)=0,"",SUM($L$170:$L$172))</f>
        <v/>
      </c>
      <c r="K170" s="49">
        <f>IF($J$170="","",MAX($N$170:$N$172))</f>
        <v/>
      </c>
      <c r="L170" s="50">
        <f>IF(SUM(U170:AY170)=0,"",SUM(U170:AY170))</f>
        <v/>
      </c>
      <c r="M170" s="51">
        <f>IFERROR(INDEX(U$2:AY$2,MATCH(TRUE,INDEX(U170:AY170&lt;&gt;"",0),0)),"")</f>
        <v/>
      </c>
      <c r="N170" s="51">
        <f>IFERROR(LOOKUP(2,1/(U170:AY170&lt;&gt;""),U$2:AY$2),"")</f>
        <v/>
      </c>
      <c r="O170" s="52" t="n"/>
      <c r="P170" s="52" t="n"/>
      <c r="Q170" s="52" t="n"/>
      <c r="R170" s="44" t="n"/>
      <c r="S170" s="14" t="n"/>
      <c r="U170" s="53" t="n"/>
      <c r="V170" s="53" t="n"/>
      <c r="W170" s="53" t="n"/>
      <c r="X170" s="53" t="n"/>
      <c r="Y170" s="53" t="n"/>
      <c r="Z170" s="53" t="n"/>
      <c r="AA170" s="53" t="n"/>
      <c r="AB170" s="53" t="n"/>
      <c r="AC170" s="53" t="n"/>
      <c r="AD170" s="53" t="n"/>
      <c r="AE170" s="53" t="n"/>
      <c r="AF170" s="53" t="n"/>
      <c r="AG170" s="53" t="n"/>
      <c r="AH170" s="53" t="n"/>
      <c r="AI170" s="53" t="n"/>
      <c r="AJ170" s="53" t="n"/>
      <c r="AK170" s="53" t="n"/>
      <c r="AL170" s="53" t="n"/>
      <c r="AM170" s="53" t="n"/>
      <c r="AN170" s="53" t="n"/>
      <c r="AO170" s="53" t="n"/>
      <c r="AP170" s="53" t="n"/>
      <c r="AQ170" s="53" t="n"/>
      <c r="AR170" s="53" t="n"/>
      <c r="AS170" s="53" t="n"/>
      <c r="AT170" s="53" t="n"/>
      <c r="AU170" s="53" t="n"/>
      <c r="AV170" s="53" t="n"/>
      <c r="AW170" s="53" t="n"/>
      <c r="AX170" s="53" t="n"/>
      <c r="AY170" s="53" t="n"/>
    </row>
    <row r="171" ht="15" customHeight="1">
      <c r="A171" s="54" t="n"/>
      <c r="B171" s="55">
        <f>IF($B$170="","",$B$170)</f>
        <v/>
      </c>
      <c r="C171" s="56" t="inlineStr">
        <is>
          <t>마케팅3팀</t>
        </is>
      </c>
      <c r="D171" s="55">
        <f>IF($D$170="","",$D$170)</f>
        <v/>
      </c>
      <c r="E171" s="57" t="inlineStr">
        <is>
          <t>이미지</t>
        </is>
      </c>
      <c r="F171" s="44" t="n"/>
      <c r="G171" s="58">
        <f>IF($G$170="","",$G$170)</f>
        <v/>
      </c>
      <c r="H171" s="59" t="n"/>
      <c r="I171" s="59" t="n"/>
      <c r="J171" s="59" t="n"/>
      <c r="K171" s="59" t="n"/>
      <c r="L171" s="60">
        <f>IF(SUM(U171:AY171)=0,"",SUM(U171:AY171))</f>
        <v/>
      </c>
      <c r="M171" s="61">
        <f>IFERROR(INDEX(U$2:AY$2,MATCH(TRUE,INDEX(U171:AY171&lt;&gt;"",0),0)),"")</f>
        <v/>
      </c>
      <c r="N171" s="61">
        <f>IFERROR(LOOKUP(2,1/(U171:AY171&lt;&gt;""),U$2:AY$2),"")</f>
        <v/>
      </c>
      <c r="O171" s="59" t="n"/>
      <c r="P171" s="59" t="n"/>
      <c r="Q171" s="59" t="n"/>
      <c r="R171" s="59" t="n"/>
      <c r="S171" s="14" t="n"/>
      <c r="U171" s="53" t="n"/>
      <c r="V171" s="53" t="n"/>
      <c r="W171" s="53" t="n"/>
      <c r="X171" s="53" t="n"/>
      <c r="Y171" s="53" t="n"/>
      <c r="Z171" s="53" t="n"/>
      <c r="AA171" s="53" t="n"/>
      <c r="AB171" s="53" t="n"/>
      <c r="AC171" s="53" t="n"/>
      <c r="AD171" s="53" t="n"/>
      <c r="AE171" s="53" t="n"/>
      <c r="AF171" s="53" t="n"/>
      <c r="AG171" s="53" t="n"/>
      <c r="AH171" s="53" t="n"/>
      <c r="AI171" s="53" t="n"/>
      <c r="AJ171" s="53" t="n"/>
      <c r="AK171" s="53" t="n"/>
      <c r="AL171" s="53" t="n"/>
      <c r="AM171" s="53" t="n"/>
      <c r="AN171" s="53" t="n"/>
      <c r="AO171" s="53" t="n"/>
      <c r="AP171" s="53" t="n"/>
      <c r="AQ171" s="53" t="n"/>
      <c r="AR171" s="53" t="n"/>
      <c r="AS171" s="53" t="n"/>
      <c r="AT171" s="53" t="n"/>
      <c r="AU171" s="53" t="n"/>
      <c r="AV171" s="53" t="n"/>
      <c r="AW171" s="53" t="n"/>
      <c r="AX171" s="53" t="n"/>
      <c r="AY171" s="53" t="n"/>
    </row>
    <row r="172" ht="15" customHeight="1">
      <c r="A172" s="62" t="n"/>
      <c r="B172" s="55">
        <f>IF($B$170="","",$B$170)</f>
        <v/>
      </c>
      <c r="C172" s="63" t="inlineStr">
        <is>
          <t>마케팅3팀</t>
        </is>
      </c>
      <c r="D172" s="55">
        <f>IF($D$170="","",$D$170)</f>
        <v/>
      </c>
      <c r="E172" s="64" t="inlineStr">
        <is>
          <t>영상</t>
        </is>
      </c>
      <c r="F172" s="44" t="n"/>
      <c r="G172" s="58">
        <f>IF($G$170="","",$G$170)</f>
        <v/>
      </c>
      <c r="H172" s="59" t="n"/>
      <c r="I172" s="59" t="n"/>
      <c r="J172" s="59" t="n"/>
      <c r="K172" s="59" t="n"/>
      <c r="L172" s="65">
        <f>IF(SUM(U172:AY172)=0,"",SUM(U172:AY172))</f>
        <v/>
      </c>
      <c r="M172" s="66">
        <f>IFERROR(INDEX(U$2:AY$2,MATCH(TRUE,INDEX(U172:AY172&lt;&gt;"",0),0)),"")</f>
        <v/>
      </c>
      <c r="N172" s="66">
        <f>IFERROR(LOOKUP(2,1/(U172:AY172&lt;&gt;""),U$2:AY$2),"")</f>
        <v/>
      </c>
      <c r="O172" s="59" t="n"/>
      <c r="P172" s="59" t="n"/>
      <c r="Q172" s="59" t="n"/>
      <c r="R172" s="59" t="n"/>
      <c r="S172" s="14" t="n"/>
      <c r="U172" s="53" t="n"/>
      <c r="V172" s="53" t="n"/>
      <c r="W172" s="53" t="n"/>
      <c r="X172" s="53" t="n"/>
      <c r="Y172" s="53" t="n"/>
      <c r="Z172" s="53" t="n"/>
      <c r="AA172" s="53" t="n"/>
      <c r="AB172" s="53" t="n"/>
      <c r="AC172" s="53" t="n"/>
      <c r="AD172" s="53" t="n"/>
      <c r="AE172" s="53" t="n"/>
      <c r="AF172" s="53" t="n"/>
      <c r="AG172" s="53" t="n"/>
      <c r="AH172" s="53" t="n"/>
      <c r="AI172" s="53" t="n"/>
      <c r="AJ172" s="53" t="n"/>
      <c r="AK172" s="53" t="n"/>
      <c r="AL172" s="53" t="n"/>
      <c r="AM172" s="53" t="n"/>
      <c r="AN172" s="53" t="n"/>
      <c r="AO172" s="53" t="n"/>
      <c r="AP172" s="53" t="n"/>
      <c r="AQ172" s="53" t="n"/>
      <c r="AR172" s="53" t="n"/>
      <c r="AS172" s="53" t="n"/>
      <c r="AT172" s="53" t="n"/>
      <c r="AU172" s="53" t="n"/>
      <c r="AV172" s="53" t="n"/>
      <c r="AW172" s="53" t="n"/>
      <c r="AX172" s="53" t="n"/>
      <c r="AY172" s="53" t="n"/>
    </row>
    <row r="173" ht="15" customHeight="1">
      <c r="A173" s="40">
        <f>IF($D$173="","",55)</f>
        <v/>
      </c>
      <c r="B173" s="10" t="n"/>
      <c r="C173" s="41" t="inlineStr">
        <is>
          <t>마케팅3팀</t>
        </is>
      </c>
      <c r="D173" s="42" t="n"/>
      <c r="E173" s="43" t="inlineStr">
        <is>
          <t>기획</t>
        </is>
      </c>
      <c r="F173" s="44" t="n"/>
      <c r="G173" s="45" t="n"/>
      <c r="H173" s="46">
        <f>IF($I$173="","",IF($I$173&lt;0,"🔴지연",IF($I$173&lt;=1,"🟡임박","🟢여유")))</f>
        <v/>
      </c>
      <c r="I173" s="47">
        <f>IF(OR($G$173="",$K$173=""),"",$G$173-$K$173)</f>
        <v/>
      </c>
      <c r="J173" s="48">
        <f>IF(SUM($L$173:$L$175)=0,"",SUM($L$173:$L$175))</f>
        <v/>
      </c>
      <c r="K173" s="49">
        <f>IF($J$173="","",MAX($N$173:$N$175))</f>
        <v/>
      </c>
      <c r="L173" s="50">
        <f>IF(SUM(U173:AY173)=0,"",SUM(U173:AY173))</f>
        <v/>
      </c>
      <c r="M173" s="51">
        <f>IFERROR(INDEX(U$2:AY$2,MATCH(TRUE,INDEX(U173:AY173&lt;&gt;"",0),0)),"")</f>
        <v/>
      </c>
      <c r="N173" s="51">
        <f>IFERROR(LOOKUP(2,1/(U173:AY173&lt;&gt;""),U$2:AY$2),"")</f>
        <v/>
      </c>
      <c r="O173" s="52" t="n"/>
      <c r="P173" s="52" t="n"/>
      <c r="Q173" s="52" t="n"/>
      <c r="R173" s="44" t="n"/>
      <c r="S173" s="14" t="n"/>
      <c r="U173" s="53" t="n"/>
      <c r="V173" s="53" t="n"/>
      <c r="W173" s="53" t="n"/>
      <c r="X173" s="53" t="n"/>
      <c r="Y173" s="53" t="n"/>
      <c r="Z173" s="53" t="n"/>
      <c r="AA173" s="53" t="n"/>
      <c r="AB173" s="53" t="n"/>
      <c r="AC173" s="53" t="n"/>
      <c r="AD173" s="53" t="n"/>
      <c r="AE173" s="53" t="n"/>
      <c r="AF173" s="53" t="n"/>
      <c r="AG173" s="53" t="n"/>
      <c r="AH173" s="53" t="n"/>
      <c r="AI173" s="53" t="n"/>
      <c r="AJ173" s="53" t="n"/>
      <c r="AK173" s="53" t="n"/>
      <c r="AL173" s="53" t="n"/>
      <c r="AM173" s="53" t="n"/>
      <c r="AN173" s="53" t="n"/>
      <c r="AO173" s="53" t="n"/>
      <c r="AP173" s="53" t="n"/>
      <c r="AQ173" s="53" t="n"/>
      <c r="AR173" s="53" t="n"/>
      <c r="AS173" s="53" t="n"/>
      <c r="AT173" s="53" t="n"/>
      <c r="AU173" s="53" t="n"/>
      <c r="AV173" s="53" t="n"/>
      <c r="AW173" s="53" t="n"/>
      <c r="AX173" s="53" t="n"/>
      <c r="AY173" s="53" t="n"/>
    </row>
    <row r="174" ht="15" customHeight="1">
      <c r="A174" s="54" t="n"/>
      <c r="B174" s="55">
        <f>IF($B$173="","",$B$173)</f>
        <v/>
      </c>
      <c r="C174" s="56" t="inlineStr">
        <is>
          <t>마케팅3팀</t>
        </is>
      </c>
      <c r="D174" s="55">
        <f>IF($D$173="","",$D$173)</f>
        <v/>
      </c>
      <c r="E174" s="57" t="inlineStr">
        <is>
          <t>이미지</t>
        </is>
      </c>
      <c r="F174" s="44" t="n"/>
      <c r="G174" s="58">
        <f>IF($G$173="","",$G$173)</f>
        <v/>
      </c>
      <c r="H174" s="59" t="n"/>
      <c r="I174" s="59" t="n"/>
      <c r="J174" s="59" t="n"/>
      <c r="K174" s="59" t="n"/>
      <c r="L174" s="60">
        <f>IF(SUM(U174:AY174)=0,"",SUM(U174:AY174))</f>
        <v/>
      </c>
      <c r="M174" s="61">
        <f>IFERROR(INDEX(U$2:AY$2,MATCH(TRUE,INDEX(U174:AY174&lt;&gt;"",0),0)),"")</f>
        <v/>
      </c>
      <c r="N174" s="61">
        <f>IFERROR(LOOKUP(2,1/(U174:AY174&lt;&gt;""),U$2:AY$2),"")</f>
        <v/>
      </c>
      <c r="O174" s="59" t="n"/>
      <c r="P174" s="59" t="n"/>
      <c r="Q174" s="59" t="n"/>
      <c r="R174" s="59" t="n"/>
      <c r="S174" s="14" t="n"/>
      <c r="U174" s="53" t="n"/>
      <c r="V174" s="53" t="n"/>
      <c r="W174" s="53" t="n"/>
      <c r="X174" s="53" t="n"/>
      <c r="Y174" s="53" t="n"/>
      <c r="Z174" s="53" t="n"/>
      <c r="AA174" s="53" t="n"/>
      <c r="AB174" s="53" t="n"/>
      <c r="AC174" s="53" t="n"/>
      <c r="AD174" s="53" t="n"/>
      <c r="AE174" s="53" t="n"/>
      <c r="AF174" s="53" t="n"/>
      <c r="AG174" s="53" t="n"/>
      <c r="AH174" s="53" t="n"/>
      <c r="AI174" s="53" t="n"/>
      <c r="AJ174" s="53" t="n"/>
      <c r="AK174" s="53" t="n"/>
      <c r="AL174" s="53" t="n"/>
      <c r="AM174" s="53" t="n"/>
      <c r="AN174" s="53" t="n"/>
      <c r="AO174" s="53" t="n"/>
      <c r="AP174" s="53" t="n"/>
      <c r="AQ174" s="53" t="n"/>
      <c r="AR174" s="53" t="n"/>
      <c r="AS174" s="53" t="n"/>
      <c r="AT174" s="53" t="n"/>
      <c r="AU174" s="53" t="n"/>
      <c r="AV174" s="53" t="n"/>
      <c r="AW174" s="53" t="n"/>
      <c r="AX174" s="53" t="n"/>
      <c r="AY174" s="53" t="n"/>
    </row>
    <row r="175" ht="15" customHeight="1">
      <c r="A175" s="62" t="n"/>
      <c r="B175" s="55">
        <f>IF($B$173="","",$B$173)</f>
        <v/>
      </c>
      <c r="C175" s="63" t="inlineStr">
        <is>
          <t>마케팅3팀</t>
        </is>
      </c>
      <c r="D175" s="55">
        <f>IF($D$173="","",$D$173)</f>
        <v/>
      </c>
      <c r="E175" s="64" t="inlineStr">
        <is>
          <t>영상</t>
        </is>
      </c>
      <c r="F175" s="44" t="n"/>
      <c r="G175" s="58">
        <f>IF($G$173="","",$G$173)</f>
        <v/>
      </c>
      <c r="H175" s="59" t="n"/>
      <c r="I175" s="59" t="n"/>
      <c r="J175" s="59" t="n"/>
      <c r="K175" s="59" t="n"/>
      <c r="L175" s="65">
        <f>IF(SUM(U175:AY175)=0,"",SUM(U175:AY175))</f>
        <v/>
      </c>
      <c r="M175" s="66">
        <f>IFERROR(INDEX(U$2:AY$2,MATCH(TRUE,INDEX(U175:AY175&lt;&gt;"",0),0)),"")</f>
        <v/>
      </c>
      <c r="N175" s="66">
        <f>IFERROR(LOOKUP(2,1/(U175:AY175&lt;&gt;""),U$2:AY$2),"")</f>
        <v/>
      </c>
      <c r="O175" s="59" t="n"/>
      <c r="P175" s="59" t="n"/>
      <c r="Q175" s="59" t="n"/>
      <c r="R175" s="59" t="n"/>
      <c r="S175" s="14" t="n"/>
      <c r="U175" s="53" t="n"/>
      <c r="V175" s="53" t="n"/>
      <c r="W175" s="53" t="n"/>
      <c r="X175" s="53" t="n"/>
      <c r="Y175" s="53" t="n"/>
      <c r="Z175" s="53" t="n"/>
      <c r="AA175" s="53" t="n"/>
      <c r="AB175" s="53" t="n"/>
      <c r="AC175" s="53" t="n"/>
      <c r="AD175" s="53" t="n"/>
      <c r="AE175" s="53" t="n"/>
      <c r="AF175" s="53" t="n"/>
      <c r="AG175" s="53" t="n"/>
      <c r="AH175" s="53" t="n"/>
      <c r="AI175" s="53" t="n"/>
      <c r="AJ175" s="53" t="n"/>
      <c r="AK175" s="53" t="n"/>
      <c r="AL175" s="53" t="n"/>
      <c r="AM175" s="53" t="n"/>
      <c r="AN175" s="53" t="n"/>
      <c r="AO175" s="53" t="n"/>
      <c r="AP175" s="53" t="n"/>
      <c r="AQ175" s="53" t="n"/>
      <c r="AR175" s="53" t="n"/>
      <c r="AS175" s="53" t="n"/>
      <c r="AT175" s="53" t="n"/>
      <c r="AU175" s="53" t="n"/>
      <c r="AV175" s="53" t="n"/>
      <c r="AW175" s="53" t="n"/>
      <c r="AX175" s="53" t="n"/>
      <c r="AY175" s="53" t="n"/>
    </row>
    <row r="176" ht="15" customHeight="1">
      <c r="A176" s="40">
        <f>IF($D$176="","",56)</f>
        <v/>
      </c>
      <c r="B176" s="10" t="n"/>
      <c r="C176" s="41" t="inlineStr">
        <is>
          <t>마케팅3팀</t>
        </is>
      </c>
      <c r="D176" s="42" t="n"/>
      <c r="E176" s="43" t="inlineStr">
        <is>
          <t>기획</t>
        </is>
      </c>
      <c r="F176" s="44" t="n"/>
      <c r="G176" s="45" t="n"/>
      <c r="H176" s="46">
        <f>IF($I$176="","",IF($I$176&lt;0,"🔴지연",IF($I$176&lt;=1,"🟡임박","🟢여유")))</f>
        <v/>
      </c>
      <c r="I176" s="47">
        <f>IF(OR($G$176="",$K$176=""),"",$G$176-$K$176)</f>
        <v/>
      </c>
      <c r="J176" s="48">
        <f>IF(SUM($L$176:$L$178)=0,"",SUM($L$176:$L$178))</f>
        <v/>
      </c>
      <c r="K176" s="49">
        <f>IF($J$176="","",MAX($N$176:$N$178))</f>
        <v/>
      </c>
      <c r="L176" s="50">
        <f>IF(SUM(U176:AY176)=0,"",SUM(U176:AY176))</f>
        <v/>
      </c>
      <c r="M176" s="51">
        <f>IFERROR(INDEX(U$2:AY$2,MATCH(TRUE,INDEX(U176:AY176&lt;&gt;"",0),0)),"")</f>
        <v/>
      </c>
      <c r="N176" s="51">
        <f>IFERROR(LOOKUP(2,1/(U176:AY176&lt;&gt;""),U$2:AY$2),"")</f>
        <v/>
      </c>
      <c r="O176" s="52" t="n"/>
      <c r="P176" s="52" t="n"/>
      <c r="Q176" s="52" t="n"/>
      <c r="R176" s="44" t="n"/>
      <c r="S176" s="14" t="n"/>
      <c r="U176" s="53" t="n"/>
      <c r="V176" s="53" t="n"/>
      <c r="W176" s="53" t="n"/>
      <c r="X176" s="53" t="n"/>
      <c r="Y176" s="53" t="n"/>
      <c r="Z176" s="53" t="n"/>
      <c r="AA176" s="53" t="n"/>
      <c r="AB176" s="53" t="n"/>
      <c r="AC176" s="53" t="n"/>
      <c r="AD176" s="53" t="n"/>
      <c r="AE176" s="53" t="n"/>
      <c r="AF176" s="53" t="n"/>
      <c r="AG176" s="53" t="n"/>
      <c r="AH176" s="53" t="n"/>
      <c r="AI176" s="53" t="n"/>
      <c r="AJ176" s="53" t="n"/>
      <c r="AK176" s="53" t="n"/>
      <c r="AL176" s="53" t="n"/>
      <c r="AM176" s="53" t="n"/>
      <c r="AN176" s="53" t="n"/>
      <c r="AO176" s="53" t="n"/>
      <c r="AP176" s="53" t="n"/>
      <c r="AQ176" s="53" t="n"/>
      <c r="AR176" s="53" t="n"/>
      <c r="AS176" s="53" t="n"/>
      <c r="AT176" s="53" t="n"/>
      <c r="AU176" s="53" t="n"/>
      <c r="AV176" s="53" t="n"/>
      <c r="AW176" s="53" t="n"/>
      <c r="AX176" s="53" t="n"/>
      <c r="AY176" s="53" t="n"/>
    </row>
    <row r="177" ht="15" customHeight="1">
      <c r="A177" s="54" t="n"/>
      <c r="B177" s="55">
        <f>IF($B$176="","",$B$176)</f>
        <v/>
      </c>
      <c r="C177" s="56" t="inlineStr">
        <is>
          <t>마케팅3팀</t>
        </is>
      </c>
      <c r="D177" s="55">
        <f>IF($D$176="","",$D$176)</f>
        <v/>
      </c>
      <c r="E177" s="57" t="inlineStr">
        <is>
          <t>이미지</t>
        </is>
      </c>
      <c r="F177" s="44" t="n"/>
      <c r="G177" s="58">
        <f>IF($G$176="","",$G$176)</f>
        <v/>
      </c>
      <c r="H177" s="59" t="n"/>
      <c r="I177" s="59" t="n"/>
      <c r="J177" s="59" t="n"/>
      <c r="K177" s="59" t="n"/>
      <c r="L177" s="60">
        <f>IF(SUM(U177:AY177)=0,"",SUM(U177:AY177))</f>
        <v/>
      </c>
      <c r="M177" s="61">
        <f>IFERROR(INDEX(U$2:AY$2,MATCH(TRUE,INDEX(U177:AY177&lt;&gt;"",0),0)),"")</f>
        <v/>
      </c>
      <c r="N177" s="61">
        <f>IFERROR(LOOKUP(2,1/(U177:AY177&lt;&gt;""),U$2:AY$2),"")</f>
        <v/>
      </c>
      <c r="O177" s="59" t="n"/>
      <c r="P177" s="59" t="n"/>
      <c r="Q177" s="59" t="n"/>
      <c r="R177" s="59" t="n"/>
      <c r="S177" s="14" t="n"/>
      <c r="U177" s="53" t="n"/>
      <c r="V177" s="53" t="n"/>
      <c r="W177" s="53" t="n"/>
      <c r="X177" s="53" t="n"/>
      <c r="Y177" s="53" t="n"/>
      <c r="Z177" s="53" t="n"/>
      <c r="AA177" s="53" t="n"/>
      <c r="AB177" s="53" t="n"/>
      <c r="AC177" s="53" t="n"/>
      <c r="AD177" s="53" t="n"/>
      <c r="AE177" s="53" t="n"/>
      <c r="AF177" s="53" t="n"/>
      <c r="AG177" s="53" t="n"/>
      <c r="AH177" s="53" t="n"/>
      <c r="AI177" s="53" t="n"/>
      <c r="AJ177" s="53" t="n"/>
      <c r="AK177" s="53" t="n"/>
      <c r="AL177" s="53" t="n"/>
      <c r="AM177" s="53" t="n"/>
      <c r="AN177" s="53" t="n"/>
      <c r="AO177" s="53" t="n"/>
      <c r="AP177" s="53" t="n"/>
      <c r="AQ177" s="53" t="n"/>
      <c r="AR177" s="53" t="n"/>
      <c r="AS177" s="53" t="n"/>
      <c r="AT177" s="53" t="n"/>
      <c r="AU177" s="53" t="n"/>
      <c r="AV177" s="53" t="n"/>
      <c r="AW177" s="53" t="n"/>
      <c r="AX177" s="53" t="n"/>
      <c r="AY177" s="53" t="n"/>
    </row>
    <row r="178" ht="15" customHeight="1">
      <c r="A178" s="62" t="n"/>
      <c r="B178" s="55">
        <f>IF($B$176="","",$B$176)</f>
        <v/>
      </c>
      <c r="C178" s="63" t="inlineStr">
        <is>
          <t>마케팅3팀</t>
        </is>
      </c>
      <c r="D178" s="55">
        <f>IF($D$176="","",$D$176)</f>
        <v/>
      </c>
      <c r="E178" s="64" t="inlineStr">
        <is>
          <t>영상</t>
        </is>
      </c>
      <c r="F178" s="44" t="n"/>
      <c r="G178" s="58">
        <f>IF($G$176="","",$G$176)</f>
        <v/>
      </c>
      <c r="H178" s="59" t="n"/>
      <c r="I178" s="59" t="n"/>
      <c r="J178" s="59" t="n"/>
      <c r="K178" s="59" t="n"/>
      <c r="L178" s="65">
        <f>IF(SUM(U178:AY178)=0,"",SUM(U178:AY178))</f>
        <v/>
      </c>
      <c r="M178" s="66">
        <f>IFERROR(INDEX(U$2:AY$2,MATCH(TRUE,INDEX(U178:AY178&lt;&gt;"",0),0)),"")</f>
        <v/>
      </c>
      <c r="N178" s="66">
        <f>IFERROR(LOOKUP(2,1/(U178:AY178&lt;&gt;""),U$2:AY$2),"")</f>
        <v/>
      </c>
      <c r="O178" s="59" t="n"/>
      <c r="P178" s="59" t="n"/>
      <c r="Q178" s="59" t="n"/>
      <c r="R178" s="59" t="n"/>
      <c r="S178" s="14" t="n"/>
      <c r="U178" s="53" t="n"/>
      <c r="V178" s="53" t="n"/>
      <c r="W178" s="53" t="n"/>
      <c r="X178" s="53" t="n"/>
      <c r="Y178" s="53" t="n"/>
      <c r="Z178" s="53" t="n"/>
      <c r="AA178" s="53" t="n"/>
      <c r="AB178" s="53" t="n"/>
      <c r="AC178" s="53" t="n"/>
      <c r="AD178" s="53" t="n"/>
      <c r="AE178" s="53" t="n"/>
      <c r="AF178" s="53" t="n"/>
      <c r="AG178" s="53" t="n"/>
      <c r="AH178" s="53" t="n"/>
      <c r="AI178" s="53" t="n"/>
      <c r="AJ178" s="53" t="n"/>
      <c r="AK178" s="53" t="n"/>
      <c r="AL178" s="53" t="n"/>
      <c r="AM178" s="53" t="n"/>
      <c r="AN178" s="53" t="n"/>
      <c r="AO178" s="53" t="n"/>
      <c r="AP178" s="53" t="n"/>
      <c r="AQ178" s="53" t="n"/>
      <c r="AR178" s="53" t="n"/>
      <c r="AS178" s="53" t="n"/>
      <c r="AT178" s="53" t="n"/>
      <c r="AU178" s="53" t="n"/>
      <c r="AV178" s="53" t="n"/>
      <c r="AW178" s="53" t="n"/>
      <c r="AX178" s="53" t="n"/>
      <c r="AY178" s="53" t="n"/>
    </row>
    <row r="179" ht="15" customHeight="1">
      <c r="A179" s="40">
        <f>IF($D$179="","",57)</f>
        <v/>
      </c>
      <c r="B179" s="10" t="n"/>
      <c r="C179" s="41" t="inlineStr">
        <is>
          <t>마케팅3팀</t>
        </is>
      </c>
      <c r="D179" s="42" t="n"/>
      <c r="E179" s="43" t="inlineStr">
        <is>
          <t>기획</t>
        </is>
      </c>
      <c r="F179" s="44" t="n"/>
      <c r="G179" s="45" t="n"/>
      <c r="H179" s="46">
        <f>IF($I$179="","",IF($I$179&lt;0,"🔴지연",IF($I$179&lt;=1,"🟡임박","🟢여유")))</f>
        <v/>
      </c>
      <c r="I179" s="47">
        <f>IF(OR($G$179="",$K$179=""),"",$G$179-$K$179)</f>
        <v/>
      </c>
      <c r="J179" s="48">
        <f>IF(SUM($L$179:$L$181)=0,"",SUM($L$179:$L$181))</f>
        <v/>
      </c>
      <c r="K179" s="49">
        <f>IF($J$179="","",MAX($N$179:$N$181))</f>
        <v/>
      </c>
      <c r="L179" s="50">
        <f>IF(SUM(U179:AY179)=0,"",SUM(U179:AY179))</f>
        <v/>
      </c>
      <c r="M179" s="51">
        <f>IFERROR(INDEX(U$2:AY$2,MATCH(TRUE,INDEX(U179:AY179&lt;&gt;"",0),0)),"")</f>
        <v/>
      </c>
      <c r="N179" s="51">
        <f>IFERROR(LOOKUP(2,1/(U179:AY179&lt;&gt;""),U$2:AY$2),"")</f>
        <v/>
      </c>
      <c r="O179" s="52" t="n"/>
      <c r="P179" s="52" t="n"/>
      <c r="Q179" s="52" t="n"/>
      <c r="R179" s="44" t="n"/>
      <c r="S179" s="14" t="n"/>
      <c r="U179" s="53" t="n"/>
      <c r="V179" s="53" t="n"/>
      <c r="W179" s="53" t="n"/>
      <c r="X179" s="53" t="n"/>
      <c r="Y179" s="53" t="n"/>
      <c r="Z179" s="53" t="n"/>
      <c r="AA179" s="53" t="n"/>
      <c r="AB179" s="53" t="n"/>
      <c r="AC179" s="53" t="n"/>
      <c r="AD179" s="53" t="n"/>
      <c r="AE179" s="53" t="n"/>
      <c r="AF179" s="53" t="n"/>
      <c r="AG179" s="53" t="n"/>
      <c r="AH179" s="53" t="n"/>
      <c r="AI179" s="53" t="n"/>
      <c r="AJ179" s="53" t="n"/>
      <c r="AK179" s="53" t="n"/>
      <c r="AL179" s="53" t="n"/>
      <c r="AM179" s="53" t="n"/>
      <c r="AN179" s="53" t="n"/>
      <c r="AO179" s="53" t="n"/>
      <c r="AP179" s="53" t="n"/>
      <c r="AQ179" s="53" t="n"/>
      <c r="AR179" s="53" t="n"/>
      <c r="AS179" s="53" t="n"/>
      <c r="AT179" s="53" t="n"/>
      <c r="AU179" s="53" t="n"/>
      <c r="AV179" s="53" t="n"/>
      <c r="AW179" s="53" t="n"/>
      <c r="AX179" s="53" t="n"/>
      <c r="AY179" s="53" t="n"/>
    </row>
    <row r="180" ht="15" customHeight="1">
      <c r="A180" s="54" t="n"/>
      <c r="B180" s="55">
        <f>IF($B$179="","",$B$179)</f>
        <v/>
      </c>
      <c r="C180" s="56" t="inlineStr">
        <is>
          <t>마케팅3팀</t>
        </is>
      </c>
      <c r="D180" s="55">
        <f>IF($D$179="","",$D$179)</f>
        <v/>
      </c>
      <c r="E180" s="57" t="inlineStr">
        <is>
          <t>이미지</t>
        </is>
      </c>
      <c r="F180" s="44" t="n"/>
      <c r="G180" s="58">
        <f>IF($G$179="","",$G$179)</f>
        <v/>
      </c>
      <c r="H180" s="59" t="n"/>
      <c r="I180" s="59" t="n"/>
      <c r="J180" s="59" t="n"/>
      <c r="K180" s="59" t="n"/>
      <c r="L180" s="60">
        <f>IF(SUM(U180:AY180)=0,"",SUM(U180:AY180))</f>
        <v/>
      </c>
      <c r="M180" s="61">
        <f>IFERROR(INDEX(U$2:AY$2,MATCH(TRUE,INDEX(U180:AY180&lt;&gt;"",0),0)),"")</f>
        <v/>
      </c>
      <c r="N180" s="61">
        <f>IFERROR(LOOKUP(2,1/(U180:AY180&lt;&gt;""),U$2:AY$2),"")</f>
        <v/>
      </c>
      <c r="O180" s="59" t="n"/>
      <c r="P180" s="59" t="n"/>
      <c r="Q180" s="59" t="n"/>
      <c r="R180" s="59" t="n"/>
      <c r="S180" s="14" t="n"/>
      <c r="U180" s="53" t="n"/>
      <c r="V180" s="53" t="n"/>
      <c r="W180" s="53" t="n"/>
      <c r="X180" s="53" t="n"/>
      <c r="Y180" s="53" t="n"/>
      <c r="Z180" s="53" t="n"/>
      <c r="AA180" s="53" t="n"/>
      <c r="AB180" s="53" t="n"/>
      <c r="AC180" s="53" t="n"/>
      <c r="AD180" s="53" t="n"/>
      <c r="AE180" s="53" t="n"/>
      <c r="AF180" s="53" t="n"/>
      <c r="AG180" s="53" t="n"/>
      <c r="AH180" s="53" t="n"/>
      <c r="AI180" s="53" t="n"/>
      <c r="AJ180" s="53" t="n"/>
      <c r="AK180" s="53" t="n"/>
      <c r="AL180" s="53" t="n"/>
      <c r="AM180" s="53" t="n"/>
      <c r="AN180" s="53" t="n"/>
      <c r="AO180" s="53" t="n"/>
      <c r="AP180" s="53" t="n"/>
      <c r="AQ180" s="53" t="n"/>
      <c r="AR180" s="53" t="n"/>
      <c r="AS180" s="53" t="n"/>
      <c r="AT180" s="53" t="n"/>
      <c r="AU180" s="53" t="n"/>
      <c r="AV180" s="53" t="n"/>
      <c r="AW180" s="53" t="n"/>
      <c r="AX180" s="53" t="n"/>
      <c r="AY180" s="53" t="n"/>
    </row>
    <row r="181" ht="15" customHeight="1">
      <c r="A181" s="62" t="n"/>
      <c r="B181" s="55">
        <f>IF($B$179="","",$B$179)</f>
        <v/>
      </c>
      <c r="C181" s="63" t="inlineStr">
        <is>
          <t>마케팅3팀</t>
        </is>
      </c>
      <c r="D181" s="55">
        <f>IF($D$179="","",$D$179)</f>
        <v/>
      </c>
      <c r="E181" s="64" t="inlineStr">
        <is>
          <t>영상</t>
        </is>
      </c>
      <c r="F181" s="44" t="n"/>
      <c r="G181" s="58">
        <f>IF($G$179="","",$G$179)</f>
        <v/>
      </c>
      <c r="H181" s="59" t="n"/>
      <c r="I181" s="59" t="n"/>
      <c r="J181" s="59" t="n"/>
      <c r="K181" s="59" t="n"/>
      <c r="L181" s="65">
        <f>IF(SUM(U181:AY181)=0,"",SUM(U181:AY181))</f>
        <v/>
      </c>
      <c r="M181" s="66">
        <f>IFERROR(INDEX(U$2:AY$2,MATCH(TRUE,INDEX(U181:AY181&lt;&gt;"",0),0)),"")</f>
        <v/>
      </c>
      <c r="N181" s="66">
        <f>IFERROR(LOOKUP(2,1/(U181:AY181&lt;&gt;""),U$2:AY$2),"")</f>
        <v/>
      </c>
      <c r="O181" s="59" t="n"/>
      <c r="P181" s="59" t="n"/>
      <c r="Q181" s="59" t="n"/>
      <c r="R181" s="59" t="n"/>
      <c r="S181" s="14" t="n"/>
      <c r="U181" s="53" t="n"/>
      <c r="V181" s="53" t="n"/>
      <c r="W181" s="53" t="n"/>
      <c r="X181" s="53" t="n"/>
      <c r="Y181" s="53" t="n"/>
      <c r="Z181" s="53" t="n"/>
      <c r="AA181" s="53" t="n"/>
      <c r="AB181" s="53" t="n"/>
      <c r="AC181" s="53" t="n"/>
      <c r="AD181" s="53" t="n"/>
      <c r="AE181" s="53" t="n"/>
      <c r="AF181" s="53" t="n"/>
      <c r="AG181" s="53" t="n"/>
      <c r="AH181" s="53" t="n"/>
      <c r="AI181" s="53" t="n"/>
      <c r="AJ181" s="53" t="n"/>
      <c r="AK181" s="53" t="n"/>
      <c r="AL181" s="53" t="n"/>
      <c r="AM181" s="53" t="n"/>
      <c r="AN181" s="53" t="n"/>
      <c r="AO181" s="53" t="n"/>
      <c r="AP181" s="53" t="n"/>
      <c r="AQ181" s="53" t="n"/>
      <c r="AR181" s="53" t="n"/>
      <c r="AS181" s="53" t="n"/>
      <c r="AT181" s="53" t="n"/>
      <c r="AU181" s="53" t="n"/>
      <c r="AV181" s="53" t="n"/>
      <c r="AW181" s="53" t="n"/>
      <c r="AX181" s="53" t="n"/>
      <c r="AY181" s="53" t="n"/>
    </row>
    <row r="182" ht="15" customHeight="1">
      <c r="A182" s="40">
        <f>IF($D$182="","",58)</f>
        <v/>
      </c>
      <c r="B182" s="10" t="n"/>
      <c r="C182" s="41" t="inlineStr">
        <is>
          <t>마케팅3팀</t>
        </is>
      </c>
      <c r="D182" s="42" t="n"/>
      <c r="E182" s="43" t="inlineStr">
        <is>
          <t>기획</t>
        </is>
      </c>
      <c r="F182" s="44" t="n"/>
      <c r="G182" s="45" t="n"/>
      <c r="H182" s="46">
        <f>IF($I$182="","",IF($I$182&lt;0,"🔴지연",IF($I$182&lt;=1,"🟡임박","🟢여유")))</f>
        <v/>
      </c>
      <c r="I182" s="47">
        <f>IF(OR($G$182="",$K$182=""),"",$G$182-$K$182)</f>
        <v/>
      </c>
      <c r="J182" s="48">
        <f>IF(SUM($L$182:$L$184)=0,"",SUM($L$182:$L$184))</f>
        <v/>
      </c>
      <c r="K182" s="49">
        <f>IF($J$182="","",MAX($N$182:$N$184))</f>
        <v/>
      </c>
      <c r="L182" s="50">
        <f>IF(SUM(U182:AY182)=0,"",SUM(U182:AY182))</f>
        <v/>
      </c>
      <c r="M182" s="51">
        <f>IFERROR(INDEX(U$2:AY$2,MATCH(TRUE,INDEX(U182:AY182&lt;&gt;"",0),0)),"")</f>
        <v/>
      </c>
      <c r="N182" s="51">
        <f>IFERROR(LOOKUP(2,1/(U182:AY182&lt;&gt;""),U$2:AY$2),"")</f>
        <v/>
      </c>
      <c r="O182" s="52" t="n"/>
      <c r="P182" s="52" t="n"/>
      <c r="Q182" s="52" t="n"/>
      <c r="R182" s="44" t="n"/>
      <c r="S182" s="14" t="n"/>
      <c r="U182" s="53" t="n"/>
      <c r="V182" s="53" t="n"/>
      <c r="W182" s="53" t="n"/>
      <c r="X182" s="53" t="n"/>
      <c r="Y182" s="53" t="n"/>
      <c r="Z182" s="53" t="n"/>
      <c r="AA182" s="53" t="n"/>
      <c r="AB182" s="53" t="n"/>
      <c r="AC182" s="53" t="n"/>
      <c r="AD182" s="53" t="n"/>
      <c r="AE182" s="53" t="n"/>
      <c r="AF182" s="53" t="n"/>
      <c r="AG182" s="53" t="n"/>
      <c r="AH182" s="53" t="n"/>
      <c r="AI182" s="53" t="n"/>
      <c r="AJ182" s="53" t="n"/>
      <c r="AK182" s="53" t="n"/>
      <c r="AL182" s="53" t="n"/>
      <c r="AM182" s="53" t="n"/>
      <c r="AN182" s="53" t="n"/>
      <c r="AO182" s="53" t="n"/>
      <c r="AP182" s="53" t="n"/>
      <c r="AQ182" s="53" t="n"/>
      <c r="AR182" s="53" t="n"/>
      <c r="AS182" s="53" t="n"/>
      <c r="AT182" s="53" t="n"/>
      <c r="AU182" s="53" t="n"/>
      <c r="AV182" s="53" t="n"/>
      <c r="AW182" s="53" t="n"/>
      <c r="AX182" s="53" t="n"/>
      <c r="AY182" s="53" t="n"/>
    </row>
    <row r="183" ht="15" customHeight="1">
      <c r="A183" s="54" t="n"/>
      <c r="B183" s="55">
        <f>IF($B$182="","",$B$182)</f>
        <v/>
      </c>
      <c r="C183" s="56" t="inlineStr">
        <is>
          <t>마케팅3팀</t>
        </is>
      </c>
      <c r="D183" s="55">
        <f>IF($D$182="","",$D$182)</f>
        <v/>
      </c>
      <c r="E183" s="57" t="inlineStr">
        <is>
          <t>이미지</t>
        </is>
      </c>
      <c r="F183" s="44" t="n"/>
      <c r="G183" s="58">
        <f>IF($G$182="","",$G$182)</f>
        <v/>
      </c>
      <c r="H183" s="59" t="n"/>
      <c r="I183" s="59" t="n"/>
      <c r="J183" s="59" t="n"/>
      <c r="K183" s="59" t="n"/>
      <c r="L183" s="60">
        <f>IF(SUM(U183:AY183)=0,"",SUM(U183:AY183))</f>
        <v/>
      </c>
      <c r="M183" s="61">
        <f>IFERROR(INDEX(U$2:AY$2,MATCH(TRUE,INDEX(U183:AY183&lt;&gt;"",0),0)),"")</f>
        <v/>
      </c>
      <c r="N183" s="61">
        <f>IFERROR(LOOKUP(2,1/(U183:AY183&lt;&gt;""),U$2:AY$2),"")</f>
        <v/>
      </c>
      <c r="O183" s="59" t="n"/>
      <c r="P183" s="59" t="n"/>
      <c r="Q183" s="59" t="n"/>
      <c r="R183" s="59" t="n"/>
      <c r="S183" s="14" t="n"/>
      <c r="U183" s="53" t="n"/>
      <c r="V183" s="53" t="n"/>
      <c r="W183" s="53" t="n"/>
      <c r="X183" s="53" t="n"/>
      <c r="Y183" s="53" t="n"/>
      <c r="Z183" s="53" t="n"/>
      <c r="AA183" s="53" t="n"/>
      <c r="AB183" s="53" t="n"/>
      <c r="AC183" s="53" t="n"/>
      <c r="AD183" s="53" t="n"/>
      <c r="AE183" s="53" t="n"/>
      <c r="AF183" s="53" t="n"/>
      <c r="AG183" s="53" t="n"/>
      <c r="AH183" s="53" t="n"/>
      <c r="AI183" s="53" t="n"/>
      <c r="AJ183" s="53" t="n"/>
      <c r="AK183" s="53" t="n"/>
      <c r="AL183" s="53" t="n"/>
      <c r="AM183" s="53" t="n"/>
      <c r="AN183" s="53" t="n"/>
      <c r="AO183" s="53" t="n"/>
      <c r="AP183" s="53" t="n"/>
      <c r="AQ183" s="53" t="n"/>
      <c r="AR183" s="53" t="n"/>
      <c r="AS183" s="53" t="n"/>
      <c r="AT183" s="53" t="n"/>
      <c r="AU183" s="53" t="n"/>
      <c r="AV183" s="53" t="n"/>
      <c r="AW183" s="53" t="n"/>
      <c r="AX183" s="53" t="n"/>
      <c r="AY183" s="53" t="n"/>
    </row>
    <row r="184" ht="15" customHeight="1">
      <c r="A184" s="62" t="n"/>
      <c r="B184" s="55">
        <f>IF($B$182="","",$B$182)</f>
        <v/>
      </c>
      <c r="C184" s="63" t="inlineStr">
        <is>
          <t>마케팅3팀</t>
        </is>
      </c>
      <c r="D184" s="55">
        <f>IF($D$182="","",$D$182)</f>
        <v/>
      </c>
      <c r="E184" s="64" t="inlineStr">
        <is>
          <t>영상</t>
        </is>
      </c>
      <c r="F184" s="44" t="n"/>
      <c r="G184" s="58">
        <f>IF($G$182="","",$G$182)</f>
        <v/>
      </c>
      <c r="H184" s="59" t="n"/>
      <c r="I184" s="59" t="n"/>
      <c r="J184" s="59" t="n"/>
      <c r="K184" s="59" t="n"/>
      <c r="L184" s="65">
        <f>IF(SUM(U184:AY184)=0,"",SUM(U184:AY184))</f>
        <v/>
      </c>
      <c r="M184" s="66">
        <f>IFERROR(INDEX(U$2:AY$2,MATCH(TRUE,INDEX(U184:AY184&lt;&gt;"",0),0)),"")</f>
        <v/>
      </c>
      <c r="N184" s="66">
        <f>IFERROR(LOOKUP(2,1/(U184:AY184&lt;&gt;""),U$2:AY$2),"")</f>
        <v/>
      </c>
      <c r="O184" s="59" t="n"/>
      <c r="P184" s="59" t="n"/>
      <c r="Q184" s="59" t="n"/>
      <c r="R184" s="59" t="n"/>
      <c r="S184" s="14" t="n"/>
      <c r="U184" s="53" t="n"/>
      <c r="V184" s="53" t="n"/>
      <c r="W184" s="53" t="n"/>
      <c r="X184" s="53" t="n"/>
      <c r="Y184" s="53" t="n"/>
      <c r="Z184" s="53" t="n"/>
      <c r="AA184" s="53" t="n"/>
      <c r="AB184" s="53" t="n"/>
      <c r="AC184" s="53" t="n"/>
      <c r="AD184" s="53" t="n"/>
      <c r="AE184" s="53" t="n"/>
      <c r="AF184" s="53" t="n"/>
      <c r="AG184" s="53" t="n"/>
      <c r="AH184" s="53" t="n"/>
      <c r="AI184" s="53" t="n"/>
      <c r="AJ184" s="53" t="n"/>
      <c r="AK184" s="53" t="n"/>
      <c r="AL184" s="53" t="n"/>
      <c r="AM184" s="53" t="n"/>
      <c r="AN184" s="53" t="n"/>
      <c r="AO184" s="53" t="n"/>
      <c r="AP184" s="53" t="n"/>
      <c r="AQ184" s="53" t="n"/>
      <c r="AR184" s="53" t="n"/>
      <c r="AS184" s="53" t="n"/>
      <c r="AT184" s="53" t="n"/>
      <c r="AU184" s="53" t="n"/>
      <c r="AV184" s="53" t="n"/>
      <c r="AW184" s="53" t="n"/>
      <c r="AX184" s="53" t="n"/>
      <c r="AY184" s="53" t="n"/>
    </row>
    <row r="185" ht="15" customHeight="1">
      <c r="A185" s="40">
        <f>IF($D$185="","",59)</f>
        <v/>
      </c>
      <c r="B185" s="10" t="n"/>
      <c r="C185" s="41" t="inlineStr">
        <is>
          <t>마케팅3팀</t>
        </is>
      </c>
      <c r="D185" s="42" t="n"/>
      <c r="E185" s="43" t="inlineStr">
        <is>
          <t>기획</t>
        </is>
      </c>
      <c r="F185" s="44" t="n"/>
      <c r="G185" s="45" t="n"/>
      <c r="H185" s="46">
        <f>IF($I$185="","",IF($I$185&lt;0,"🔴지연",IF($I$185&lt;=1,"🟡임박","🟢여유")))</f>
        <v/>
      </c>
      <c r="I185" s="47">
        <f>IF(OR($G$185="",$K$185=""),"",$G$185-$K$185)</f>
        <v/>
      </c>
      <c r="J185" s="48">
        <f>IF(SUM($L$185:$L$187)=0,"",SUM($L$185:$L$187))</f>
        <v/>
      </c>
      <c r="K185" s="49">
        <f>IF($J$185="","",MAX($N$185:$N$187))</f>
        <v/>
      </c>
      <c r="L185" s="50">
        <f>IF(SUM(U185:AY185)=0,"",SUM(U185:AY185))</f>
        <v/>
      </c>
      <c r="M185" s="51">
        <f>IFERROR(INDEX(U$2:AY$2,MATCH(TRUE,INDEX(U185:AY185&lt;&gt;"",0),0)),"")</f>
        <v/>
      </c>
      <c r="N185" s="51">
        <f>IFERROR(LOOKUP(2,1/(U185:AY185&lt;&gt;""),U$2:AY$2),"")</f>
        <v/>
      </c>
      <c r="O185" s="52" t="n"/>
      <c r="P185" s="52" t="n"/>
      <c r="Q185" s="52" t="n"/>
      <c r="R185" s="44" t="n"/>
      <c r="S185" s="14" t="n"/>
      <c r="U185" s="53" t="n"/>
      <c r="V185" s="53" t="n"/>
      <c r="W185" s="53" t="n"/>
      <c r="X185" s="53" t="n"/>
      <c r="Y185" s="53" t="n"/>
      <c r="Z185" s="53" t="n"/>
      <c r="AA185" s="53" t="n"/>
      <c r="AB185" s="53" t="n"/>
      <c r="AC185" s="53" t="n"/>
      <c r="AD185" s="53" t="n"/>
      <c r="AE185" s="53" t="n"/>
      <c r="AF185" s="53" t="n"/>
      <c r="AG185" s="53" t="n"/>
      <c r="AH185" s="53" t="n"/>
      <c r="AI185" s="53" t="n"/>
      <c r="AJ185" s="53" t="n"/>
      <c r="AK185" s="53" t="n"/>
      <c r="AL185" s="53" t="n"/>
      <c r="AM185" s="53" t="n"/>
      <c r="AN185" s="53" t="n"/>
      <c r="AO185" s="53" t="n"/>
      <c r="AP185" s="53" t="n"/>
      <c r="AQ185" s="53" t="n"/>
      <c r="AR185" s="53" t="n"/>
      <c r="AS185" s="53" t="n"/>
      <c r="AT185" s="53" t="n"/>
      <c r="AU185" s="53" t="n"/>
      <c r="AV185" s="53" t="n"/>
      <c r="AW185" s="53" t="n"/>
      <c r="AX185" s="53" t="n"/>
      <c r="AY185" s="53" t="n"/>
    </row>
    <row r="186" ht="15" customHeight="1">
      <c r="A186" s="54" t="n"/>
      <c r="B186" s="55">
        <f>IF($B$185="","",$B$185)</f>
        <v/>
      </c>
      <c r="C186" s="56" t="inlineStr">
        <is>
          <t>마케팅3팀</t>
        </is>
      </c>
      <c r="D186" s="55">
        <f>IF($D$185="","",$D$185)</f>
        <v/>
      </c>
      <c r="E186" s="57" t="inlineStr">
        <is>
          <t>이미지</t>
        </is>
      </c>
      <c r="F186" s="44" t="n"/>
      <c r="G186" s="58">
        <f>IF($G$185="","",$G$185)</f>
        <v/>
      </c>
      <c r="H186" s="59" t="n"/>
      <c r="I186" s="59" t="n"/>
      <c r="J186" s="59" t="n"/>
      <c r="K186" s="59" t="n"/>
      <c r="L186" s="60">
        <f>IF(SUM(U186:AY186)=0,"",SUM(U186:AY186))</f>
        <v/>
      </c>
      <c r="M186" s="61">
        <f>IFERROR(INDEX(U$2:AY$2,MATCH(TRUE,INDEX(U186:AY186&lt;&gt;"",0),0)),"")</f>
        <v/>
      </c>
      <c r="N186" s="61">
        <f>IFERROR(LOOKUP(2,1/(U186:AY186&lt;&gt;""),U$2:AY$2),"")</f>
        <v/>
      </c>
      <c r="O186" s="59" t="n"/>
      <c r="P186" s="59" t="n"/>
      <c r="Q186" s="59" t="n"/>
      <c r="R186" s="59" t="n"/>
      <c r="S186" s="14" t="n"/>
      <c r="U186" s="53" t="n"/>
      <c r="V186" s="53" t="n"/>
      <c r="W186" s="53" t="n"/>
      <c r="X186" s="53" t="n"/>
      <c r="Y186" s="53" t="n"/>
      <c r="Z186" s="53" t="n"/>
      <c r="AA186" s="53" t="n"/>
      <c r="AB186" s="53" t="n"/>
      <c r="AC186" s="53" t="n"/>
      <c r="AD186" s="53" t="n"/>
      <c r="AE186" s="53" t="n"/>
      <c r="AF186" s="53" t="n"/>
      <c r="AG186" s="53" t="n"/>
      <c r="AH186" s="53" t="n"/>
      <c r="AI186" s="53" t="n"/>
      <c r="AJ186" s="53" t="n"/>
      <c r="AK186" s="53" t="n"/>
      <c r="AL186" s="53" t="n"/>
      <c r="AM186" s="53" t="n"/>
      <c r="AN186" s="53" t="n"/>
      <c r="AO186" s="53" t="n"/>
      <c r="AP186" s="53" t="n"/>
      <c r="AQ186" s="53" t="n"/>
      <c r="AR186" s="53" t="n"/>
      <c r="AS186" s="53" t="n"/>
      <c r="AT186" s="53" t="n"/>
      <c r="AU186" s="53" t="n"/>
      <c r="AV186" s="53" t="n"/>
      <c r="AW186" s="53" t="n"/>
      <c r="AX186" s="53" t="n"/>
      <c r="AY186" s="53" t="n"/>
    </row>
    <row r="187" ht="15" customHeight="1">
      <c r="A187" s="62" t="n"/>
      <c r="B187" s="55">
        <f>IF($B$185="","",$B$185)</f>
        <v/>
      </c>
      <c r="C187" s="63" t="inlineStr">
        <is>
          <t>마케팅3팀</t>
        </is>
      </c>
      <c r="D187" s="55">
        <f>IF($D$185="","",$D$185)</f>
        <v/>
      </c>
      <c r="E187" s="64" t="inlineStr">
        <is>
          <t>영상</t>
        </is>
      </c>
      <c r="F187" s="44" t="n"/>
      <c r="G187" s="58">
        <f>IF($G$185="","",$G$185)</f>
        <v/>
      </c>
      <c r="H187" s="59" t="n"/>
      <c r="I187" s="59" t="n"/>
      <c r="J187" s="59" t="n"/>
      <c r="K187" s="59" t="n"/>
      <c r="L187" s="65">
        <f>IF(SUM(U187:AY187)=0,"",SUM(U187:AY187))</f>
        <v/>
      </c>
      <c r="M187" s="66">
        <f>IFERROR(INDEX(U$2:AY$2,MATCH(TRUE,INDEX(U187:AY187&lt;&gt;"",0),0)),"")</f>
        <v/>
      </c>
      <c r="N187" s="66">
        <f>IFERROR(LOOKUP(2,1/(U187:AY187&lt;&gt;""),U$2:AY$2),"")</f>
        <v/>
      </c>
      <c r="O187" s="59" t="n"/>
      <c r="P187" s="59" t="n"/>
      <c r="Q187" s="59" t="n"/>
      <c r="R187" s="59" t="n"/>
      <c r="S187" s="14" t="n"/>
      <c r="U187" s="53" t="n"/>
      <c r="V187" s="53" t="n"/>
      <c r="W187" s="53" t="n"/>
      <c r="X187" s="53" t="n"/>
      <c r="Y187" s="53" t="n"/>
      <c r="Z187" s="53" t="n"/>
      <c r="AA187" s="53" t="n"/>
      <c r="AB187" s="53" t="n"/>
      <c r="AC187" s="53" t="n"/>
      <c r="AD187" s="53" t="n"/>
      <c r="AE187" s="53" t="n"/>
      <c r="AF187" s="53" t="n"/>
      <c r="AG187" s="53" t="n"/>
      <c r="AH187" s="53" t="n"/>
      <c r="AI187" s="53" t="n"/>
      <c r="AJ187" s="53" t="n"/>
      <c r="AK187" s="53" t="n"/>
      <c r="AL187" s="53" t="n"/>
      <c r="AM187" s="53" t="n"/>
      <c r="AN187" s="53" t="n"/>
      <c r="AO187" s="53" t="n"/>
      <c r="AP187" s="53" t="n"/>
      <c r="AQ187" s="53" t="n"/>
      <c r="AR187" s="53" t="n"/>
      <c r="AS187" s="53" t="n"/>
      <c r="AT187" s="53" t="n"/>
      <c r="AU187" s="53" t="n"/>
      <c r="AV187" s="53" t="n"/>
      <c r="AW187" s="53" t="n"/>
      <c r="AX187" s="53" t="n"/>
      <c r="AY187" s="53" t="n"/>
    </row>
    <row r="188" ht="15" customHeight="1">
      <c r="A188" s="40">
        <f>IF($D$188="","",60)</f>
        <v/>
      </c>
      <c r="B188" s="10" t="n"/>
      <c r="C188" s="41" t="inlineStr">
        <is>
          <t>마케팅3팀</t>
        </is>
      </c>
      <c r="D188" s="42" t="n"/>
      <c r="E188" s="43" t="inlineStr">
        <is>
          <t>기획</t>
        </is>
      </c>
      <c r="F188" s="44" t="n"/>
      <c r="G188" s="45" t="n"/>
      <c r="H188" s="46">
        <f>IF($I$188="","",IF($I$188&lt;0,"🔴지연",IF($I$188&lt;=1,"🟡임박","🟢여유")))</f>
        <v/>
      </c>
      <c r="I188" s="47">
        <f>IF(OR($G$188="",$K$188=""),"",$G$188-$K$188)</f>
        <v/>
      </c>
      <c r="J188" s="48">
        <f>IF(SUM($L$188:$L$190)=0,"",SUM($L$188:$L$190))</f>
        <v/>
      </c>
      <c r="K188" s="49">
        <f>IF($J$188="","",MAX($N$188:$N$190))</f>
        <v/>
      </c>
      <c r="L188" s="50">
        <f>IF(SUM(U188:AY188)=0,"",SUM(U188:AY188))</f>
        <v/>
      </c>
      <c r="M188" s="51">
        <f>IFERROR(INDEX(U$2:AY$2,MATCH(TRUE,INDEX(U188:AY188&lt;&gt;"",0),0)),"")</f>
        <v/>
      </c>
      <c r="N188" s="51">
        <f>IFERROR(LOOKUP(2,1/(U188:AY188&lt;&gt;""),U$2:AY$2),"")</f>
        <v/>
      </c>
      <c r="O188" s="52" t="n"/>
      <c r="P188" s="52" t="n"/>
      <c r="Q188" s="52" t="n"/>
      <c r="R188" s="44" t="n"/>
      <c r="S188" s="14" t="n"/>
      <c r="U188" s="53" t="n"/>
      <c r="V188" s="53" t="n"/>
      <c r="W188" s="53" t="n"/>
      <c r="X188" s="53" t="n"/>
      <c r="Y188" s="53" t="n"/>
      <c r="Z188" s="53" t="n"/>
      <c r="AA188" s="53" t="n"/>
      <c r="AB188" s="53" t="n"/>
      <c r="AC188" s="53" t="n"/>
      <c r="AD188" s="53" t="n"/>
      <c r="AE188" s="53" t="n"/>
      <c r="AF188" s="53" t="n"/>
      <c r="AG188" s="53" t="n"/>
      <c r="AH188" s="53" t="n"/>
      <c r="AI188" s="53" t="n"/>
      <c r="AJ188" s="53" t="n"/>
      <c r="AK188" s="53" t="n"/>
      <c r="AL188" s="53" t="n"/>
      <c r="AM188" s="53" t="n"/>
      <c r="AN188" s="53" t="n"/>
      <c r="AO188" s="53" t="n"/>
      <c r="AP188" s="53" t="n"/>
      <c r="AQ188" s="53" t="n"/>
      <c r="AR188" s="53" t="n"/>
      <c r="AS188" s="53" t="n"/>
      <c r="AT188" s="53" t="n"/>
      <c r="AU188" s="53" t="n"/>
      <c r="AV188" s="53" t="n"/>
      <c r="AW188" s="53" t="n"/>
      <c r="AX188" s="53" t="n"/>
      <c r="AY188" s="53" t="n"/>
    </row>
    <row r="189" ht="15" customHeight="1">
      <c r="A189" s="54" t="n"/>
      <c r="B189" s="55">
        <f>IF($B$188="","",$B$188)</f>
        <v/>
      </c>
      <c r="C189" s="56" t="inlineStr">
        <is>
          <t>마케팅3팀</t>
        </is>
      </c>
      <c r="D189" s="55">
        <f>IF($D$188="","",$D$188)</f>
        <v/>
      </c>
      <c r="E189" s="57" t="inlineStr">
        <is>
          <t>이미지</t>
        </is>
      </c>
      <c r="F189" s="44" t="n"/>
      <c r="G189" s="58">
        <f>IF($G$188="","",$G$188)</f>
        <v/>
      </c>
      <c r="H189" s="59" t="n"/>
      <c r="I189" s="59" t="n"/>
      <c r="J189" s="59" t="n"/>
      <c r="K189" s="59" t="n"/>
      <c r="L189" s="60">
        <f>IF(SUM(U189:AY189)=0,"",SUM(U189:AY189))</f>
        <v/>
      </c>
      <c r="M189" s="61">
        <f>IFERROR(INDEX(U$2:AY$2,MATCH(TRUE,INDEX(U189:AY189&lt;&gt;"",0),0)),"")</f>
        <v/>
      </c>
      <c r="N189" s="61">
        <f>IFERROR(LOOKUP(2,1/(U189:AY189&lt;&gt;""),U$2:AY$2),"")</f>
        <v/>
      </c>
      <c r="O189" s="59" t="n"/>
      <c r="P189" s="59" t="n"/>
      <c r="Q189" s="59" t="n"/>
      <c r="R189" s="59" t="n"/>
      <c r="S189" s="14" t="n"/>
      <c r="U189" s="53" t="n"/>
      <c r="V189" s="53" t="n"/>
      <c r="W189" s="53" t="n"/>
      <c r="X189" s="53" t="n"/>
      <c r="Y189" s="53" t="n"/>
      <c r="Z189" s="53" t="n"/>
      <c r="AA189" s="53" t="n"/>
      <c r="AB189" s="53" t="n"/>
      <c r="AC189" s="53" t="n"/>
      <c r="AD189" s="53" t="n"/>
      <c r="AE189" s="53" t="n"/>
      <c r="AF189" s="53" t="n"/>
      <c r="AG189" s="53" t="n"/>
      <c r="AH189" s="53" t="n"/>
      <c r="AI189" s="53" t="n"/>
      <c r="AJ189" s="53" t="n"/>
      <c r="AK189" s="53" t="n"/>
      <c r="AL189" s="53" t="n"/>
      <c r="AM189" s="53" t="n"/>
      <c r="AN189" s="53" t="n"/>
      <c r="AO189" s="53" t="n"/>
      <c r="AP189" s="53" t="n"/>
      <c r="AQ189" s="53" t="n"/>
      <c r="AR189" s="53" t="n"/>
      <c r="AS189" s="53" t="n"/>
      <c r="AT189" s="53" t="n"/>
      <c r="AU189" s="53" t="n"/>
      <c r="AV189" s="53" t="n"/>
      <c r="AW189" s="53" t="n"/>
      <c r="AX189" s="53" t="n"/>
      <c r="AY189" s="53" t="n"/>
    </row>
    <row r="190" ht="15" customHeight="1">
      <c r="A190" s="62" t="n"/>
      <c r="B190" s="55">
        <f>IF($B$188="","",$B$188)</f>
        <v/>
      </c>
      <c r="C190" s="63" t="inlineStr">
        <is>
          <t>마케팅3팀</t>
        </is>
      </c>
      <c r="D190" s="55">
        <f>IF($D$188="","",$D$188)</f>
        <v/>
      </c>
      <c r="E190" s="64" t="inlineStr">
        <is>
          <t>영상</t>
        </is>
      </c>
      <c r="F190" s="44" t="n"/>
      <c r="G190" s="58">
        <f>IF($G$188="","",$G$188)</f>
        <v/>
      </c>
      <c r="H190" s="59" t="n"/>
      <c r="I190" s="59" t="n"/>
      <c r="J190" s="59" t="n"/>
      <c r="K190" s="59" t="n"/>
      <c r="L190" s="65">
        <f>IF(SUM(U190:AY190)=0,"",SUM(U190:AY190))</f>
        <v/>
      </c>
      <c r="M190" s="66">
        <f>IFERROR(INDEX(U$2:AY$2,MATCH(TRUE,INDEX(U190:AY190&lt;&gt;"",0),0)),"")</f>
        <v/>
      </c>
      <c r="N190" s="66">
        <f>IFERROR(LOOKUP(2,1/(U190:AY190&lt;&gt;""),U$2:AY$2),"")</f>
        <v/>
      </c>
      <c r="O190" s="59" t="n"/>
      <c r="P190" s="59" t="n"/>
      <c r="Q190" s="59" t="n"/>
      <c r="R190" s="59" t="n"/>
      <c r="S190" s="14" t="n"/>
      <c r="U190" s="53" t="n"/>
      <c r="V190" s="53" t="n"/>
      <c r="W190" s="53" t="n"/>
      <c r="X190" s="53" t="n"/>
      <c r="Y190" s="53" t="n"/>
      <c r="Z190" s="53" t="n"/>
      <c r="AA190" s="53" t="n"/>
      <c r="AB190" s="53" t="n"/>
      <c r="AC190" s="53" t="n"/>
      <c r="AD190" s="53" t="n"/>
      <c r="AE190" s="53" t="n"/>
      <c r="AF190" s="53" t="n"/>
      <c r="AG190" s="53" t="n"/>
      <c r="AH190" s="53" t="n"/>
      <c r="AI190" s="53" t="n"/>
      <c r="AJ190" s="53" t="n"/>
      <c r="AK190" s="53" t="n"/>
      <c r="AL190" s="53" t="n"/>
      <c r="AM190" s="53" t="n"/>
      <c r="AN190" s="53" t="n"/>
      <c r="AO190" s="53" t="n"/>
      <c r="AP190" s="53" t="n"/>
      <c r="AQ190" s="53" t="n"/>
      <c r="AR190" s="53" t="n"/>
      <c r="AS190" s="53" t="n"/>
      <c r="AT190" s="53" t="n"/>
      <c r="AU190" s="53" t="n"/>
      <c r="AV190" s="53" t="n"/>
      <c r="AW190" s="53" t="n"/>
      <c r="AX190" s="53" t="n"/>
      <c r="AY190" s="53" t="n"/>
    </row>
    <row r="191" ht="18" customHeight="1">
      <c r="A191" s="39" t="inlineStr">
        <is>
          <t>마케팅4팀   (192~251행 · 소재 20개)</t>
        </is>
      </c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I191" s="8" t="n"/>
      <c r="AJ191" s="8" t="n"/>
      <c r="AK191" s="8" t="n"/>
      <c r="AL191" s="8" t="n"/>
      <c r="AM191" s="8" t="n"/>
      <c r="AN191" s="8" t="n"/>
      <c r="AO191" s="8" t="n"/>
      <c r="AP191" s="8" t="n"/>
      <c r="AQ191" s="8" t="n"/>
      <c r="AR191" s="8" t="n"/>
      <c r="AS191" s="8" t="n"/>
      <c r="AT191" s="8" t="n"/>
      <c r="AU191" s="8" t="n"/>
      <c r="AV191" s="8" t="n"/>
      <c r="AW191" s="8" t="n"/>
      <c r="AX191" s="8" t="n"/>
      <c r="AY191" s="4" t="n"/>
    </row>
    <row r="192" ht="15" customHeight="1">
      <c r="A192" s="40">
        <f>IF($D$192="","",61)</f>
        <v/>
      </c>
      <c r="B192" s="10" t="n"/>
      <c r="C192" s="41" t="inlineStr">
        <is>
          <t>마케팅4팀</t>
        </is>
      </c>
      <c r="D192" s="42" t="n"/>
      <c r="E192" s="43" t="inlineStr">
        <is>
          <t>기획</t>
        </is>
      </c>
      <c r="F192" s="44" t="n"/>
      <c r="G192" s="45" t="n"/>
      <c r="H192" s="46">
        <f>IF($I$192="","",IF($I$192&lt;0,"🔴지연",IF($I$192&lt;=1,"🟡임박","🟢여유")))</f>
        <v/>
      </c>
      <c r="I192" s="47">
        <f>IF(OR($G$192="",$K$192=""),"",$G$192-$K$192)</f>
        <v/>
      </c>
      <c r="J192" s="48">
        <f>IF(SUM($L$192:$L$194)=0,"",SUM($L$192:$L$194))</f>
        <v/>
      </c>
      <c r="K192" s="49">
        <f>IF($J$192="","",MAX($N$192:$N$194))</f>
        <v/>
      </c>
      <c r="L192" s="50">
        <f>IF(SUM(U192:AY192)=0,"",SUM(U192:AY192))</f>
        <v/>
      </c>
      <c r="M192" s="51">
        <f>IFERROR(INDEX(U$2:AY$2,MATCH(TRUE,INDEX(U192:AY192&lt;&gt;"",0),0)),"")</f>
        <v/>
      </c>
      <c r="N192" s="51">
        <f>IFERROR(LOOKUP(2,1/(U192:AY192&lt;&gt;""),U$2:AY$2),"")</f>
        <v/>
      </c>
      <c r="O192" s="52" t="n"/>
      <c r="P192" s="52" t="n"/>
      <c r="Q192" s="52" t="n"/>
      <c r="R192" s="44" t="n"/>
      <c r="S192" s="14" t="n"/>
      <c r="U192" s="53" t="n"/>
      <c r="V192" s="53" t="n"/>
      <c r="W192" s="53" t="n"/>
      <c r="X192" s="53" t="n"/>
      <c r="Y192" s="53" t="n"/>
      <c r="Z192" s="53" t="n"/>
      <c r="AA192" s="53" t="n"/>
      <c r="AB192" s="53" t="n"/>
      <c r="AC192" s="53" t="n"/>
      <c r="AD192" s="53" t="n"/>
      <c r="AE192" s="53" t="n"/>
      <c r="AF192" s="53" t="n"/>
      <c r="AG192" s="53" t="n"/>
      <c r="AH192" s="53" t="n"/>
      <c r="AI192" s="53" t="n"/>
      <c r="AJ192" s="53" t="n"/>
      <c r="AK192" s="53" t="n"/>
      <c r="AL192" s="53" t="n"/>
      <c r="AM192" s="53" t="n"/>
      <c r="AN192" s="53" t="n"/>
      <c r="AO192" s="53" t="n"/>
      <c r="AP192" s="53" t="n"/>
      <c r="AQ192" s="53" t="n"/>
      <c r="AR192" s="53" t="n"/>
      <c r="AS192" s="53" t="n"/>
      <c r="AT192" s="53" t="n"/>
      <c r="AU192" s="53" t="n"/>
      <c r="AV192" s="53" t="n"/>
      <c r="AW192" s="53" t="n"/>
      <c r="AX192" s="53" t="n"/>
      <c r="AY192" s="53" t="n"/>
    </row>
    <row r="193" ht="15" customHeight="1">
      <c r="A193" s="54" t="n"/>
      <c r="B193" s="55">
        <f>IF($B$192="","",$B$192)</f>
        <v/>
      </c>
      <c r="C193" s="56" t="inlineStr">
        <is>
          <t>마케팅4팀</t>
        </is>
      </c>
      <c r="D193" s="55">
        <f>IF($D$192="","",$D$192)</f>
        <v/>
      </c>
      <c r="E193" s="57" t="inlineStr">
        <is>
          <t>이미지</t>
        </is>
      </c>
      <c r="F193" s="44" t="n"/>
      <c r="G193" s="58">
        <f>IF($G$192="","",$G$192)</f>
        <v/>
      </c>
      <c r="H193" s="59" t="n"/>
      <c r="I193" s="59" t="n"/>
      <c r="J193" s="59" t="n"/>
      <c r="K193" s="59" t="n"/>
      <c r="L193" s="60">
        <f>IF(SUM(U193:AY193)=0,"",SUM(U193:AY193))</f>
        <v/>
      </c>
      <c r="M193" s="61">
        <f>IFERROR(INDEX(U$2:AY$2,MATCH(TRUE,INDEX(U193:AY193&lt;&gt;"",0),0)),"")</f>
        <v/>
      </c>
      <c r="N193" s="61">
        <f>IFERROR(LOOKUP(2,1/(U193:AY193&lt;&gt;""),U$2:AY$2),"")</f>
        <v/>
      </c>
      <c r="O193" s="59" t="n"/>
      <c r="P193" s="59" t="n"/>
      <c r="Q193" s="59" t="n"/>
      <c r="R193" s="59" t="n"/>
      <c r="S193" s="14" t="n"/>
      <c r="U193" s="53" t="n"/>
      <c r="V193" s="53" t="n"/>
      <c r="W193" s="53" t="n"/>
      <c r="X193" s="53" t="n"/>
      <c r="Y193" s="53" t="n"/>
      <c r="Z193" s="53" t="n"/>
      <c r="AA193" s="53" t="n"/>
      <c r="AB193" s="53" t="n"/>
      <c r="AC193" s="53" t="n"/>
      <c r="AD193" s="53" t="n"/>
      <c r="AE193" s="53" t="n"/>
      <c r="AF193" s="53" t="n"/>
      <c r="AG193" s="53" t="n"/>
      <c r="AH193" s="53" t="n"/>
      <c r="AI193" s="53" t="n"/>
      <c r="AJ193" s="53" t="n"/>
      <c r="AK193" s="53" t="n"/>
      <c r="AL193" s="53" t="n"/>
      <c r="AM193" s="53" t="n"/>
      <c r="AN193" s="53" t="n"/>
      <c r="AO193" s="53" t="n"/>
      <c r="AP193" s="53" t="n"/>
      <c r="AQ193" s="53" t="n"/>
      <c r="AR193" s="53" t="n"/>
      <c r="AS193" s="53" t="n"/>
      <c r="AT193" s="53" t="n"/>
      <c r="AU193" s="53" t="n"/>
      <c r="AV193" s="53" t="n"/>
      <c r="AW193" s="53" t="n"/>
      <c r="AX193" s="53" t="n"/>
      <c r="AY193" s="53" t="n"/>
    </row>
    <row r="194" ht="15" customHeight="1">
      <c r="A194" s="62" t="n"/>
      <c r="B194" s="55">
        <f>IF($B$192="","",$B$192)</f>
        <v/>
      </c>
      <c r="C194" s="63" t="inlineStr">
        <is>
          <t>마케팅4팀</t>
        </is>
      </c>
      <c r="D194" s="55">
        <f>IF($D$192="","",$D$192)</f>
        <v/>
      </c>
      <c r="E194" s="64" t="inlineStr">
        <is>
          <t>영상</t>
        </is>
      </c>
      <c r="F194" s="44" t="n"/>
      <c r="G194" s="58">
        <f>IF($G$192="","",$G$192)</f>
        <v/>
      </c>
      <c r="H194" s="59" t="n"/>
      <c r="I194" s="59" t="n"/>
      <c r="J194" s="59" t="n"/>
      <c r="K194" s="59" t="n"/>
      <c r="L194" s="65">
        <f>IF(SUM(U194:AY194)=0,"",SUM(U194:AY194))</f>
        <v/>
      </c>
      <c r="M194" s="66">
        <f>IFERROR(INDEX(U$2:AY$2,MATCH(TRUE,INDEX(U194:AY194&lt;&gt;"",0),0)),"")</f>
        <v/>
      </c>
      <c r="N194" s="66">
        <f>IFERROR(LOOKUP(2,1/(U194:AY194&lt;&gt;""),U$2:AY$2),"")</f>
        <v/>
      </c>
      <c r="O194" s="59" t="n"/>
      <c r="P194" s="59" t="n"/>
      <c r="Q194" s="59" t="n"/>
      <c r="R194" s="59" t="n"/>
      <c r="S194" s="14" t="n"/>
      <c r="U194" s="53" t="n"/>
      <c r="V194" s="53" t="n"/>
      <c r="W194" s="53" t="n"/>
      <c r="X194" s="53" t="n"/>
      <c r="Y194" s="53" t="n"/>
      <c r="Z194" s="53" t="n"/>
      <c r="AA194" s="53" t="n"/>
      <c r="AB194" s="53" t="n"/>
      <c r="AC194" s="53" t="n"/>
      <c r="AD194" s="53" t="n"/>
      <c r="AE194" s="53" t="n"/>
      <c r="AF194" s="53" t="n"/>
      <c r="AG194" s="53" t="n"/>
      <c r="AH194" s="53" t="n"/>
      <c r="AI194" s="53" t="n"/>
      <c r="AJ194" s="53" t="n"/>
      <c r="AK194" s="53" t="n"/>
      <c r="AL194" s="53" t="n"/>
      <c r="AM194" s="53" t="n"/>
      <c r="AN194" s="53" t="n"/>
      <c r="AO194" s="53" t="n"/>
      <c r="AP194" s="53" t="n"/>
      <c r="AQ194" s="53" t="n"/>
      <c r="AR194" s="53" t="n"/>
      <c r="AS194" s="53" t="n"/>
      <c r="AT194" s="53" t="n"/>
      <c r="AU194" s="53" t="n"/>
      <c r="AV194" s="53" t="n"/>
      <c r="AW194" s="53" t="n"/>
      <c r="AX194" s="53" t="n"/>
      <c r="AY194" s="53" t="n"/>
    </row>
    <row r="195" ht="15" customHeight="1">
      <c r="A195" s="40">
        <f>IF($D$195="","",62)</f>
        <v/>
      </c>
      <c r="B195" s="10" t="n"/>
      <c r="C195" s="41" t="inlineStr">
        <is>
          <t>마케팅4팀</t>
        </is>
      </c>
      <c r="D195" s="42" t="n"/>
      <c r="E195" s="43" t="inlineStr">
        <is>
          <t>기획</t>
        </is>
      </c>
      <c r="F195" s="44" t="n"/>
      <c r="G195" s="45" t="n"/>
      <c r="H195" s="46">
        <f>IF($I$195="","",IF($I$195&lt;0,"🔴지연",IF($I$195&lt;=1,"🟡임박","🟢여유")))</f>
        <v/>
      </c>
      <c r="I195" s="47">
        <f>IF(OR($G$195="",$K$195=""),"",$G$195-$K$195)</f>
        <v/>
      </c>
      <c r="J195" s="48">
        <f>IF(SUM($L$195:$L$197)=0,"",SUM($L$195:$L$197))</f>
        <v/>
      </c>
      <c r="K195" s="49">
        <f>IF($J$195="","",MAX($N$195:$N$197))</f>
        <v/>
      </c>
      <c r="L195" s="50">
        <f>IF(SUM(U195:AY195)=0,"",SUM(U195:AY195))</f>
        <v/>
      </c>
      <c r="M195" s="51">
        <f>IFERROR(INDEX(U$2:AY$2,MATCH(TRUE,INDEX(U195:AY195&lt;&gt;"",0),0)),"")</f>
        <v/>
      </c>
      <c r="N195" s="51">
        <f>IFERROR(LOOKUP(2,1/(U195:AY195&lt;&gt;""),U$2:AY$2),"")</f>
        <v/>
      </c>
      <c r="O195" s="52" t="n"/>
      <c r="P195" s="52" t="n"/>
      <c r="Q195" s="52" t="n"/>
      <c r="R195" s="44" t="n"/>
      <c r="S195" s="14" t="n"/>
      <c r="U195" s="53" t="n"/>
      <c r="V195" s="53" t="n"/>
      <c r="W195" s="53" t="n"/>
      <c r="X195" s="53" t="n"/>
      <c r="Y195" s="53" t="n"/>
      <c r="Z195" s="53" t="n"/>
      <c r="AA195" s="53" t="n"/>
      <c r="AB195" s="53" t="n"/>
      <c r="AC195" s="53" t="n"/>
      <c r="AD195" s="53" t="n"/>
      <c r="AE195" s="53" t="n"/>
      <c r="AF195" s="53" t="n"/>
      <c r="AG195" s="53" t="n"/>
      <c r="AH195" s="53" t="n"/>
      <c r="AI195" s="53" t="n"/>
      <c r="AJ195" s="53" t="n"/>
      <c r="AK195" s="53" t="n"/>
      <c r="AL195" s="53" t="n"/>
      <c r="AM195" s="53" t="n"/>
      <c r="AN195" s="53" t="n"/>
      <c r="AO195" s="53" t="n"/>
      <c r="AP195" s="53" t="n"/>
      <c r="AQ195" s="53" t="n"/>
      <c r="AR195" s="53" t="n"/>
      <c r="AS195" s="53" t="n"/>
      <c r="AT195" s="53" t="n"/>
      <c r="AU195" s="53" t="n"/>
      <c r="AV195" s="53" t="n"/>
      <c r="AW195" s="53" t="n"/>
      <c r="AX195" s="53" t="n"/>
      <c r="AY195" s="53" t="n"/>
    </row>
    <row r="196" ht="15" customHeight="1">
      <c r="A196" s="54" t="n"/>
      <c r="B196" s="55">
        <f>IF($B$195="","",$B$195)</f>
        <v/>
      </c>
      <c r="C196" s="56" t="inlineStr">
        <is>
          <t>마케팅4팀</t>
        </is>
      </c>
      <c r="D196" s="55">
        <f>IF($D$195="","",$D$195)</f>
        <v/>
      </c>
      <c r="E196" s="57" t="inlineStr">
        <is>
          <t>이미지</t>
        </is>
      </c>
      <c r="F196" s="44" t="n"/>
      <c r="G196" s="58">
        <f>IF($G$195="","",$G$195)</f>
        <v/>
      </c>
      <c r="H196" s="59" t="n"/>
      <c r="I196" s="59" t="n"/>
      <c r="J196" s="59" t="n"/>
      <c r="K196" s="59" t="n"/>
      <c r="L196" s="60">
        <f>IF(SUM(U196:AY196)=0,"",SUM(U196:AY196))</f>
        <v/>
      </c>
      <c r="M196" s="61">
        <f>IFERROR(INDEX(U$2:AY$2,MATCH(TRUE,INDEX(U196:AY196&lt;&gt;"",0),0)),"")</f>
        <v/>
      </c>
      <c r="N196" s="61">
        <f>IFERROR(LOOKUP(2,1/(U196:AY196&lt;&gt;""),U$2:AY$2),"")</f>
        <v/>
      </c>
      <c r="O196" s="59" t="n"/>
      <c r="P196" s="59" t="n"/>
      <c r="Q196" s="59" t="n"/>
      <c r="R196" s="59" t="n"/>
      <c r="S196" s="14" t="n"/>
      <c r="U196" s="53" t="n"/>
      <c r="V196" s="53" t="n"/>
      <c r="W196" s="53" t="n"/>
      <c r="X196" s="53" t="n"/>
      <c r="Y196" s="53" t="n"/>
      <c r="Z196" s="53" t="n"/>
      <c r="AA196" s="53" t="n"/>
      <c r="AB196" s="53" t="n"/>
      <c r="AC196" s="53" t="n"/>
      <c r="AD196" s="53" t="n"/>
      <c r="AE196" s="53" t="n"/>
      <c r="AF196" s="53" t="n"/>
      <c r="AG196" s="53" t="n"/>
      <c r="AH196" s="53" t="n"/>
      <c r="AI196" s="53" t="n"/>
      <c r="AJ196" s="53" t="n"/>
      <c r="AK196" s="53" t="n"/>
      <c r="AL196" s="53" t="n"/>
      <c r="AM196" s="53" t="n"/>
      <c r="AN196" s="53" t="n"/>
      <c r="AO196" s="53" t="n"/>
      <c r="AP196" s="53" t="n"/>
      <c r="AQ196" s="53" t="n"/>
      <c r="AR196" s="53" t="n"/>
      <c r="AS196" s="53" t="n"/>
      <c r="AT196" s="53" t="n"/>
      <c r="AU196" s="53" t="n"/>
      <c r="AV196" s="53" t="n"/>
      <c r="AW196" s="53" t="n"/>
      <c r="AX196" s="53" t="n"/>
      <c r="AY196" s="53" t="n"/>
    </row>
    <row r="197" ht="15" customHeight="1">
      <c r="A197" s="62" t="n"/>
      <c r="B197" s="55">
        <f>IF($B$195="","",$B$195)</f>
        <v/>
      </c>
      <c r="C197" s="63" t="inlineStr">
        <is>
          <t>마케팅4팀</t>
        </is>
      </c>
      <c r="D197" s="55">
        <f>IF($D$195="","",$D$195)</f>
        <v/>
      </c>
      <c r="E197" s="64" t="inlineStr">
        <is>
          <t>영상</t>
        </is>
      </c>
      <c r="F197" s="44" t="n"/>
      <c r="G197" s="58">
        <f>IF($G$195="","",$G$195)</f>
        <v/>
      </c>
      <c r="H197" s="59" t="n"/>
      <c r="I197" s="59" t="n"/>
      <c r="J197" s="59" t="n"/>
      <c r="K197" s="59" t="n"/>
      <c r="L197" s="65">
        <f>IF(SUM(U197:AY197)=0,"",SUM(U197:AY197))</f>
        <v/>
      </c>
      <c r="M197" s="66">
        <f>IFERROR(INDEX(U$2:AY$2,MATCH(TRUE,INDEX(U197:AY197&lt;&gt;"",0),0)),"")</f>
        <v/>
      </c>
      <c r="N197" s="66">
        <f>IFERROR(LOOKUP(2,1/(U197:AY197&lt;&gt;""),U$2:AY$2),"")</f>
        <v/>
      </c>
      <c r="O197" s="59" t="n"/>
      <c r="P197" s="59" t="n"/>
      <c r="Q197" s="59" t="n"/>
      <c r="R197" s="59" t="n"/>
      <c r="S197" s="14" t="n"/>
      <c r="U197" s="53" t="n"/>
      <c r="V197" s="53" t="n"/>
      <c r="W197" s="53" t="n"/>
      <c r="X197" s="53" t="n"/>
      <c r="Y197" s="53" t="n"/>
      <c r="Z197" s="53" t="n"/>
      <c r="AA197" s="53" t="n"/>
      <c r="AB197" s="53" t="n"/>
      <c r="AC197" s="53" t="n"/>
      <c r="AD197" s="53" t="n"/>
      <c r="AE197" s="53" t="n"/>
      <c r="AF197" s="53" t="n"/>
      <c r="AG197" s="53" t="n"/>
      <c r="AH197" s="53" t="n"/>
      <c r="AI197" s="53" t="n"/>
      <c r="AJ197" s="53" t="n"/>
      <c r="AK197" s="53" t="n"/>
      <c r="AL197" s="53" t="n"/>
      <c r="AM197" s="53" t="n"/>
      <c r="AN197" s="53" t="n"/>
      <c r="AO197" s="53" t="n"/>
      <c r="AP197" s="53" t="n"/>
      <c r="AQ197" s="53" t="n"/>
      <c r="AR197" s="53" t="n"/>
      <c r="AS197" s="53" t="n"/>
      <c r="AT197" s="53" t="n"/>
      <c r="AU197" s="53" t="n"/>
      <c r="AV197" s="53" t="n"/>
      <c r="AW197" s="53" t="n"/>
      <c r="AX197" s="53" t="n"/>
      <c r="AY197" s="53" t="n"/>
    </row>
    <row r="198" ht="15" customHeight="1">
      <c r="A198" s="40">
        <f>IF($D$198="","",63)</f>
        <v/>
      </c>
      <c r="B198" s="10" t="n"/>
      <c r="C198" s="41" t="inlineStr">
        <is>
          <t>마케팅4팀</t>
        </is>
      </c>
      <c r="D198" s="42" t="n"/>
      <c r="E198" s="43" t="inlineStr">
        <is>
          <t>기획</t>
        </is>
      </c>
      <c r="F198" s="44" t="n"/>
      <c r="G198" s="45" t="n"/>
      <c r="H198" s="46">
        <f>IF($I$198="","",IF($I$198&lt;0,"🔴지연",IF($I$198&lt;=1,"🟡임박","🟢여유")))</f>
        <v/>
      </c>
      <c r="I198" s="47">
        <f>IF(OR($G$198="",$K$198=""),"",$G$198-$K$198)</f>
        <v/>
      </c>
      <c r="J198" s="48">
        <f>IF(SUM($L$198:$L$200)=0,"",SUM($L$198:$L$200))</f>
        <v/>
      </c>
      <c r="K198" s="49">
        <f>IF($J$198="","",MAX($N$198:$N$200))</f>
        <v/>
      </c>
      <c r="L198" s="50">
        <f>IF(SUM(U198:AY198)=0,"",SUM(U198:AY198))</f>
        <v/>
      </c>
      <c r="M198" s="51">
        <f>IFERROR(INDEX(U$2:AY$2,MATCH(TRUE,INDEX(U198:AY198&lt;&gt;"",0),0)),"")</f>
        <v/>
      </c>
      <c r="N198" s="51">
        <f>IFERROR(LOOKUP(2,1/(U198:AY198&lt;&gt;""),U$2:AY$2),"")</f>
        <v/>
      </c>
      <c r="O198" s="52" t="n"/>
      <c r="P198" s="52" t="n"/>
      <c r="Q198" s="52" t="n"/>
      <c r="R198" s="44" t="n"/>
      <c r="S198" s="14" t="n"/>
      <c r="U198" s="53" t="n"/>
      <c r="V198" s="53" t="n"/>
      <c r="W198" s="53" t="n"/>
      <c r="X198" s="53" t="n"/>
      <c r="Y198" s="53" t="n"/>
      <c r="Z198" s="53" t="n"/>
      <c r="AA198" s="53" t="n"/>
      <c r="AB198" s="53" t="n"/>
      <c r="AC198" s="53" t="n"/>
      <c r="AD198" s="53" t="n"/>
      <c r="AE198" s="53" t="n"/>
      <c r="AF198" s="53" t="n"/>
      <c r="AG198" s="53" t="n"/>
      <c r="AH198" s="53" t="n"/>
      <c r="AI198" s="53" t="n"/>
      <c r="AJ198" s="53" t="n"/>
      <c r="AK198" s="53" t="n"/>
      <c r="AL198" s="53" t="n"/>
      <c r="AM198" s="53" t="n"/>
      <c r="AN198" s="53" t="n"/>
      <c r="AO198" s="53" t="n"/>
      <c r="AP198" s="53" t="n"/>
      <c r="AQ198" s="53" t="n"/>
      <c r="AR198" s="53" t="n"/>
      <c r="AS198" s="53" t="n"/>
      <c r="AT198" s="53" t="n"/>
      <c r="AU198" s="53" t="n"/>
      <c r="AV198" s="53" t="n"/>
      <c r="AW198" s="53" t="n"/>
      <c r="AX198" s="53" t="n"/>
      <c r="AY198" s="53" t="n"/>
    </row>
    <row r="199" ht="15" customHeight="1">
      <c r="A199" s="54" t="n"/>
      <c r="B199" s="55">
        <f>IF($B$198="","",$B$198)</f>
        <v/>
      </c>
      <c r="C199" s="56" t="inlineStr">
        <is>
          <t>마케팅4팀</t>
        </is>
      </c>
      <c r="D199" s="55">
        <f>IF($D$198="","",$D$198)</f>
        <v/>
      </c>
      <c r="E199" s="57" t="inlineStr">
        <is>
          <t>이미지</t>
        </is>
      </c>
      <c r="F199" s="44" t="n"/>
      <c r="G199" s="58">
        <f>IF($G$198="","",$G$198)</f>
        <v/>
      </c>
      <c r="H199" s="59" t="n"/>
      <c r="I199" s="59" t="n"/>
      <c r="J199" s="59" t="n"/>
      <c r="K199" s="59" t="n"/>
      <c r="L199" s="60">
        <f>IF(SUM(U199:AY199)=0,"",SUM(U199:AY199))</f>
        <v/>
      </c>
      <c r="M199" s="61">
        <f>IFERROR(INDEX(U$2:AY$2,MATCH(TRUE,INDEX(U199:AY199&lt;&gt;"",0),0)),"")</f>
        <v/>
      </c>
      <c r="N199" s="61">
        <f>IFERROR(LOOKUP(2,1/(U199:AY199&lt;&gt;""),U$2:AY$2),"")</f>
        <v/>
      </c>
      <c r="O199" s="59" t="n"/>
      <c r="P199" s="59" t="n"/>
      <c r="Q199" s="59" t="n"/>
      <c r="R199" s="59" t="n"/>
      <c r="S199" s="14" t="n"/>
      <c r="U199" s="53" t="n"/>
      <c r="V199" s="53" t="n"/>
      <c r="W199" s="53" t="n"/>
      <c r="X199" s="53" t="n"/>
      <c r="Y199" s="53" t="n"/>
      <c r="Z199" s="53" t="n"/>
      <c r="AA199" s="53" t="n"/>
      <c r="AB199" s="53" t="n"/>
      <c r="AC199" s="53" t="n"/>
      <c r="AD199" s="53" t="n"/>
      <c r="AE199" s="53" t="n"/>
      <c r="AF199" s="53" t="n"/>
      <c r="AG199" s="53" t="n"/>
      <c r="AH199" s="53" t="n"/>
      <c r="AI199" s="53" t="n"/>
      <c r="AJ199" s="53" t="n"/>
      <c r="AK199" s="53" t="n"/>
      <c r="AL199" s="53" t="n"/>
      <c r="AM199" s="53" t="n"/>
      <c r="AN199" s="53" t="n"/>
      <c r="AO199" s="53" t="n"/>
      <c r="AP199" s="53" t="n"/>
      <c r="AQ199" s="53" t="n"/>
      <c r="AR199" s="53" t="n"/>
      <c r="AS199" s="53" t="n"/>
      <c r="AT199" s="53" t="n"/>
      <c r="AU199" s="53" t="n"/>
      <c r="AV199" s="53" t="n"/>
      <c r="AW199" s="53" t="n"/>
      <c r="AX199" s="53" t="n"/>
      <c r="AY199" s="53" t="n"/>
    </row>
    <row r="200" ht="15" customHeight="1">
      <c r="A200" s="62" t="n"/>
      <c r="B200" s="55">
        <f>IF($B$198="","",$B$198)</f>
        <v/>
      </c>
      <c r="C200" s="63" t="inlineStr">
        <is>
          <t>마케팅4팀</t>
        </is>
      </c>
      <c r="D200" s="55">
        <f>IF($D$198="","",$D$198)</f>
        <v/>
      </c>
      <c r="E200" s="64" t="inlineStr">
        <is>
          <t>영상</t>
        </is>
      </c>
      <c r="F200" s="44" t="n"/>
      <c r="G200" s="58">
        <f>IF($G$198="","",$G$198)</f>
        <v/>
      </c>
      <c r="H200" s="59" t="n"/>
      <c r="I200" s="59" t="n"/>
      <c r="J200" s="59" t="n"/>
      <c r="K200" s="59" t="n"/>
      <c r="L200" s="65">
        <f>IF(SUM(U200:AY200)=0,"",SUM(U200:AY200))</f>
        <v/>
      </c>
      <c r="M200" s="66">
        <f>IFERROR(INDEX(U$2:AY$2,MATCH(TRUE,INDEX(U200:AY200&lt;&gt;"",0),0)),"")</f>
        <v/>
      </c>
      <c r="N200" s="66">
        <f>IFERROR(LOOKUP(2,1/(U200:AY200&lt;&gt;""),U$2:AY$2),"")</f>
        <v/>
      </c>
      <c r="O200" s="59" t="n"/>
      <c r="P200" s="59" t="n"/>
      <c r="Q200" s="59" t="n"/>
      <c r="R200" s="59" t="n"/>
      <c r="S200" s="14" t="n"/>
      <c r="U200" s="53" t="n"/>
      <c r="V200" s="53" t="n"/>
      <c r="W200" s="53" t="n"/>
      <c r="X200" s="53" t="n"/>
      <c r="Y200" s="53" t="n"/>
      <c r="Z200" s="53" t="n"/>
      <c r="AA200" s="53" t="n"/>
      <c r="AB200" s="53" t="n"/>
      <c r="AC200" s="53" t="n"/>
      <c r="AD200" s="53" t="n"/>
      <c r="AE200" s="53" t="n"/>
      <c r="AF200" s="53" t="n"/>
      <c r="AG200" s="53" t="n"/>
      <c r="AH200" s="53" t="n"/>
      <c r="AI200" s="53" t="n"/>
      <c r="AJ200" s="53" t="n"/>
      <c r="AK200" s="53" t="n"/>
      <c r="AL200" s="53" t="n"/>
      <c r="AM200" s="53" t="n"/>
      <c r="AN200" s="53" t="n"/>
      <c r="AO200" s="53" t="n"/>
      <c r="AP200" s="53" t="n"/>
      <c r="AQ200" s="53" t="n"/>
      <c r="AR200" s="53" t="n"/>
      <c r="AS200" s="53" t="n"/>
      <c r="AT200" s="53" t="n"/>
      <c r="AU200" s="53" t="n"/>
      <c r="AV200" s="53" t="n"/>
      <c r="AW200" s="53" t="n"/>
      <c r="AX200" s="53" t="n"/>
      <c r="AY200" s="53" t="n"/>
    </row>
    <row r="201" ht="15" customHeight="1">
      <c r="A201" s="40">
        <f>IF($D$201="","",64)</f>
        <v/>
      </c>
      <c r="B201" s="10" t="n"/>
      <c r="C201" s="41" t="inlineStr">
        <is>
          <t>마케팅4팀</t>
        </is>
      </c>
      <c r="D201" s="42" t="n"/>
      <c r="E201" s="43" t="inlineStr">
        <is>
          <t>기획</t>
        </is>
      </c>
      <c r="F201" s="44" t="n"/>
      <c r="G201" s="45" t="n"/>
      <c r="H201" s="46">
        <f>IF($I$201="","",IF($I$201&lt;0,"🔴지연",IF($I$201&lt;=1,"🟡임박","🟢여유")))</f>
        <v/>
      </c>
      <c r="I201" s="47">
        <f>IF(OR($G$201="",$K$201=""),"",$G$201-$K$201)</f>
        <v/>
      </c>
      <c r="J201" s="48">
        <f>IF(SUM($L$201:$L$203)=0,"",SUM($L$201:$L$203))</f>
        <v/>
      </c>
      <c r="K201" s="49">
        <f>IF($J$201="","",MAX($N$201:$N$203))</f>
        <v/>
      </c>
      <c r="L201" s="50">
        <f>IF(SUM(U201:AY201)=0,"",SUM(U201:AY201))</f>
        <v/>
      </c>
      <c r="M201" s="51">
        <f>IFERROR(INDEX(U$2:AY$2,MATCH(TRUE,INDEX(U201:AY201&lt;&gt;"",0),0)),"")</f>
        <v/>
      </c>
      <c r="N201" s="51">
        <f>IFERROR(LOOKUP(2,1/(U201:AY201&lt;&gt;""),U$2:AY$2),"")</f>
        <v/>
      </c>
      <c r="O201" s="52" t="n"/>
      <c r="P201" s="52" t="n"/>
      <c r="Q201" s="52" t="n"/>
      <c r="R201" s="44" t="n"/>
      <c r="S201" s="14" t="n"/>
      <c r="U201" s="53" t="n"/>
      <c r="V201" s="53" t="n"/>
      <c r="W201" s="53" t="n"/>
      <c r="X201" s="53" t="n"/>
      <c r="Y201" s="53" t="n"/>
      <c r="Z201" s="53" t="n"/>
      <c r="AA201" s="53" t="n"/>
      <c r="AB201" s="53" t="n"/>
      <c r="AC201" s="53" t="n"/>
      <c r="AD201" s="53" t="n"/>
      <c r="AE201" s="53" t="n"/>
      <c r="AF201" s="53" t="n"/>
      <c r="AG201" s="53" t="n"/>
      <c r="AH201" s="53" t="n"/>
      <c r="AI201" s="53" t="n"/>
      <c r="AJ201" s="53" t="n"/>
      <c r="AK201" s="53" t="n"/>
      <c r="AL201" s="53" t="n"/>
      <c r="AM201" s="53" t="n"/>
      <c r="AN201" s="53" t="n"/>
      <c r="AO201" s="53" t="n"/>
      <c r="AP201" s="53" t="n"/>
      <c r="AQ201" s="53" t="n"/>
      <c r="AR201" s="53" t="n"/>
      <c r="AS201" s="53" t="n"/>
      <c r="AT201" s="53" t="n"/>
      <c r="AU201" s="53" t="n"/>
      <c r="AV201" s="53" t="n"/>
      <c r="AW201" s="53" t="n"/>
      <c r="AX201" s="53" t="n"/>
      <c r="AY201" s="53" t="n"/>
    </row>
    <row r="202" ht="15" customHeight="1">
      <c r="A202" s="54" t="n"/>
      <c r="B202" s="55">
        <f>IF($B$201="","",$B$201)</f>
        <v/>
      </c>
      <c r="C202" s="56" t="inlineStr">
        <is>
          <t>마케팅4팀</t>
        </is>
      </c>
      <c r="D202" s="55">
        <f>IF($D$201="","",$D$201)</f>
        <v/>
      </c>
      <c r="E202" s="57" t="inlineStr">
        <is>
          <t>이미지</t>
        </is>
      </c>
      <c r="F202" s="44" t="n"/>
      <c r="G202" s="58">
        <f>IF($G$201="","",$G$201)</f>
        <v/>
      </c>
      <c r="H202" s="59" t="n"/>
      <c r="I202" s="59" t="n"/>
      <c r="J202" s="59" t="n"/>
      <c r="K202" s="59" t="n"/>
      <c r="L202" s="60">
        <f>IF(SUM(U202:AY202)=0,"",SUM(U202:AY202))</f>
        <v/>
      </c>
      <c r="M202" s="61">
        <f>IFERROR(INDEX(U$2:AY$2,MATCH(TRUE,INDEX(U202:AY202&lt;&gt;"",0),0)),"")</f>
        <v/>
      </c>
      <c r="N202" s="61">
        <f>IFERROR(LOOKUP(2,1/(U202:AY202&lt;&gt;""),U$2:AY$2),"")</f>
        <v/>
      </c>
      <c r="O202" s="59" t="n"/>
      <c r="P202" s="59" t="n"/>
      <c r="Q202" s="59" t="n"/>
      <c r="R202" s="59" t="n"/>
      <c r="S202" s="14" t="n"/>
      <c r="U202" s="53" t="n"/>
      <c r="V202" s="53" t="n"/>
      <c r="W202" s="53" t="n"/>
      <c r="X202" s="53" t="n"/>
      <c r="Y202" s="53" t="n"/>
      <c r="Z202" s="53" t="n"/>
      <c r="AA202" s="53" t="n"/>
      <c r="AB202" s="53" t="n"/>
      <c r="AC202" s="53" t="n"/>
      <c r="AD202" s="53" t="n"/>
      <c r="AE202" s="53" t="n"/>
      <c r="AF202" s="53" t="n"/>
      <c r="AG202" s="53" t="n"/>
      <c r="AH202" s="53" t="n"/>
      <c r="AI202" s="53" t="n"/>
      <c r="AJ202" s="53" t="n"/>
      <c r="AK202" s="53" t="n"/>
      <c r="AL202" s="53" t="n"/>
      <c r="AM202" s="53" t="n"/>
      <c r="AN202" s="53" t="n"/>
      <c r="AO202" s="53" t="n"/>
      <c r="AP202" s="53" t="n"/>
      <c r="AQ202" s="53" t="n"/>
      <c r="AR202" s="53" t="n"/>
      <c r="AS202" s="53" t="n"/>
      <c r="AT202" s="53" t="n"/>
      <c r="AU202" s="53" t="n"/>
      <c r="AV202" s="53" t="n"/>
      <c r="AW202" s="53" t="n"/>
      <c r="AX202" s="53" t="n"/>
      <c r="AY202" s="53" t="n"/>
    </row>
    <row r="203" ht="15" customHeight="1">
      <c r="A203" s="62" t="n"/>
      <c r="B203" s="55">
        <f>IF($B$201="","",$B$201)</f>
        <v/>
      </c>
      <c r="C203" s="63" t="inlineStr">
        <is>
          <t>마케팅4팀</t>
        </is>
      </c>
      <c r="D203" s="55">
        <f>IF($D$201="","",$D$201)</f>
        <v/>
      </c>
      <c r="E203" s="64" t="inlineStr">
        <is>
          <t>영상</t>
        </is>
      </c>
      <c r="F203" s="44" t="n"/>
      <c r="G203" s="58">
        <f>IF($G$201="","",$G$201)</f>
        <v/>
      </c>
      <c r="H203" s="59" t="n"/>
      <c r="I203" s="59" t="n"/>
      <c r="J203" s="59" t="n"/>
      <c r="K203" s="59" t="n"/>
      <c r="L203" s="65">
        <f>IF(SUM(U203:AY203)=0,"",SUM(U203:AY203))</f>
        <v/>
      </c>
      <c r="M203" s="66">
        <f>IFERROR(INDEX(U$2:AY$2,MATCH(TRUE,INDEX(U203:AY203&lt;&gt;"",0),0)),"")</f>
        <v/>
      </c>
      <c r="N203" s="66">
        <f>IFERROR(LOOKUP(2,1/(U203:AY203&lt;&gt;""),U$2:AY$2),"")</f>
        <v/>
      </c>
      <c r="O203" s="59" t="n"/>
      <c r="P203" s="59" t="n"/>
      <c r="Q203" s="59" t="n"/>
      <c r="R203" s="59" t="n"/>
      <c r="S203" s="14" t="n"/>
      <c r="U203" s="53" t="n"/>
      <c r="V203" s="53" t="n"/>
      <c r="W203" s="53" t="n"/>
      <c r="X203" s="53" t="n"/>
      <c r="Y203" s="53" t="n"/>
      <c r="Z203" s="53" t="n"/>
      <c r="AA203" s="53" t="n"/>
      <c r="AB203" s="53" t="n"/>
      <c r="AC203" s="53" t="n"/>
      <c r="AD203" s="53" t="n"/>
      <c r="AE203" s="53" t="n"/>
      <c r="AF203" s="53" t="n"/>
      <c r="AG203" s="53" t="n"/>
      <c r="AH203" s="53" t="n"/>
      <c r="AI203" s="53" t="n"/>
      <c r="AJ203" s="53" t="n"/>
      <c r="AK203" s="53" t="n"/>
      <c r="AL203" s="53" t="n"/>
      <c r="AM203" s="53" t="n"/>
      <c r="AN203" s="53" t="n"/>
      <c r="AO203" s="53" t="n"/>
      <c r="AP203" s="53" t="n"/>
      <c r="AQ203" s="53" t="n"/>
      <c r="AR203" s="53" t="n"/>
      <c r="AS203" s="53" t="n"/>
      <c r="AT203" s="53" t="n"/>
      <c r="AU203" s="53" t="n"/>
      <c r="AV203" s="53" t="n"/>
      <c r="AW203" s="53" t="n"/>
      <c r="AX203" s="53" t="n"/>
      <c r="AY203" s="53" t="n"/>
    </row>
    <row r="204" ht="15" customHeight="1">
      <c r="A204" s="40">
        <f>IF($D$204="","",65)</f>
        <v/>
      </c>
      <c r="B204" s="10" t="n"/>
      <c r="C204" s="41" t="inlineStr">
        <is>
          <t>마케팅4팀</t>
        </is>
      </c>
      <c r="D204" s="42" t="n"/>
      <c r="E204" s="43" t="inlineStr">
        <is>
          <t>기획</t>
        </is>
      </c>
      <c r="F204" s="44" t="n"/>
      <c r="G204" s="45" t="n"/>
      <c r="H204" s="46">
        <f>IF($I$204="","",IF($I$204&lt;0,"🔴지연",IF($I$204&lt;=1,"🟡임박","🟢여유")))</f>
        <v/>
      </c>
      <c r="I204" s="47">
        <f>IF(OR($G$204="",$K$204=""),"",$G$204-$K$204)</f>
        <v/>
      </c>
      <c r="J204" s="48">
        <f>IF(SUM($L$204:$L$206)=0,"",SUM($L$204:$L$206))</f>
        <v/>
      </c>
      <c r="K204" s="49">
        <f>IF($J$204="","",MAX($N$204:$N$206))</f>
        <v/>
      </c>
      <c r="L204" s="50">
        <f>IF(SUM(U204:AY204)=0,"",SUM(U204:AY204))</f>
        <v/>
      </c>
      <c r="M204" s="51">
        <f>IFERROR(INDEX(U$2:AY$2,MATCH(TRUE,INDEX(U204:AY204&lt;&gt;"",0),0)),"")</f>
        <v/>
      </c>
      <c r="N204" s="51">
        <f>IFERROR(LOOKUP(2,1/(U204:AY204&lt;&gt;""),U$2:AY$2),"")</f>
        <v/>
      </c>
      <c r="O204" s="52" t="n"/>
      <c r="P204" s="52" t="n"/>
      <c r="Q204" s="52" t="n"/>
      <c r="R204" s="44" t="n"/>
      <c r="S204" s="14" t="n"/>
      <c r="U204" s="53" t="n"/>
      <c r="V204" s="53" t="n"/>
      <c r="W204" s="53" t="n"/>
      <c r="X204" s="53" t="n"/>
      <c r="Y204" s="53" t="n"/>
      <c r="Z204" s="53" t="n"/>
      <c r="AA204" s="53" t="n"/>
      <c r="AB204" s="53" t="n"/>
      <c r="AC204" s="53" t="n"/>
      <c r="AD204" s="53" t="n"/>
      <c r="AE204" s="53" t="n"/>
      <c r="AF204" s="53" t="n"/>
      <c r="AG204" s="53" t="n"/>
      <c r="AH204" s="53" t="n"/>
      <c r="AI204" s="53" t="n"/>
      <c r="AJ204" s="53" t="n"/>
      <c r="AK204" s="53" t="n"/>
      <c r="AL204" s="53" t="n"/>
      <c r="AM204" s="53" t="n"/>
      <c r="AN204" s="53" t="n"/>
      <c r="AO204" s="53" t="n"/>
      <c r="AP204" s="53" t="n"/>
      <c r="AQ204" s="53" t="n"/>
      <c r="AR204" s="53" t="n"/>
      <c r="AS204" s="53" t="n"/>
      <c r="AT204" s="53" t="n"/>
      <c r="AU204" s="53" t="n"/>
      <c r="AV204" s="53" t="n"/>
      <c r="AW204" s="53" t="n"/>
      <c r="AX204" s="53" t="n"/>
      <c r="AY204" s="53" t="n"/>
    </row>
    <row r="205" ht="15" customHeight="1">
      <c r="A205" s="54" t="n"/>
      <c r="B205" s="55">
        <f>IF($B$204="","",$B$204)</f>
        <v/>
      </c>
      <c r="C205" s="56" t="inlineStr">
        <is>
          <t>마케팅4팀</t>
        </is>
      </c>
      <c r="D205" s="55">
        <f>IF($D$204="","",$D$204)</f>
        <v/>
      </c>
      <c r="E205" s="57" t="inlineStr">
        <is>
          <t>이미지</t>
        </is>
      </c>
      <c r="F205" s="44" t="n"/>
      <c r="G205" s="58">
        <f>IF($G$204="","",$G$204)</f>
        <v/>
      </c>
      <c r="H205" s="59" t="n"/>
      <c r="I205" s="59" t="n"/>
      <c r="J205" s="59" t="n"/>
      <c r="K205" s="59" t="n"/>
      <c r="L205" s="60">
        <f>IF(SUM(U205:AY205)=0,"",SUM(U205:AY205))</f>
        <v/>
      </c>
      <c r="M205" s="61">
        <f>IFERROR(INDEX(U$2:AY$2,MATCH(TRUE,INDEX(U205:AY205&lt;&gt;"",0),0)),"")</f>
        <v/>
      </c>
      <c r="N205" s="61">
        <f>IFERROR(LOOKUP(2,1/(U205:AY205&lt;&gt;""),U$2:AY$2),"")</f>
        <v/>
      </c>
      <c r="O205" s="59" t="n"/>
      <c r="P205" s="59" t="n"/>
      <c r="Q205" s="59" t="n"/>
      <c r="R205" s="59" t="n"/>
      <c r="S205" s="14" t="n"/>
      <c r="U205" s="53" t="n"/>
      <c r="V205" s="53" t="n"/>
      <c r="W205" s="53" t="n"/>
      <c r="X205" s="53" t="n"/>
      <c r="Y205" s="53" t="n"/>
      <c r="Z205" s="53" t="n"/>
      <c r="AA205" s="53" t="n"/>
      <c r="AB205" s="53" t="n"/>
      <c r="AC205" s="53" t="n"/>
      <c r="AD205" s="53" t="n"/>
      <c r="AE205" s="53" t="n"/>
      <c r="AF205" s="53" t="n"/>
      <c r="AG205" s="53" t="n"/>
      <c r="AH205" s="53" t="n"/>
      <c r="AI205" s="53" t="n"/>
      <c r="AJ205" s="53" t="n"/>
      <c r="AK205" s="53" t="n"/>
      <c r="AL205" s="53" t="n"/>
      <c r="AM205" s="53" t="n"/>
      <c r="AN205" s="53" t="n"/>
      <c r="AO205" s="53" t="n"/>
      <c r="AP205" s="53" t="n"/>
      <c r="AQ205" s="53" t="n"/>
      <c r="AR205" s="53" t="n"/>
      <c r="AS205" s="53" t="n"/>
      <c r="AT205" s="53" t="n"/>
      <c r="AU205" s="53" t="n"/>
      <c r="AV205" s="53" t="n"/>
      <c r="AW205" s="53" t="n"/>
      <c r="AX205" s="53" t="n"/>
      <c r="AY205" s="53" t="n"/>
    </row>
    <row r="206" ht="15" customHeight="1">
      <c r="A206" s="62" t="n"/>
      <c r="B206" s="55">
        <f>IF($B$204="","",$B$204)</f>
        <v/>
      </c>
      <c r="C206" s="63" t="inlineStr">
        <is>
          <t>마케팅4팀</t>
        </is>
      </c>
      <c r="D206" s="55">
        <f>IF($D$204="","",$D$204)</f>
        <v/>
      </c>
      <c r="E206" s="64" t="inlineStr">
        <is>
          <t>영상</t>
        </is>
      </c>
      <c r="F206" s="44" t="n"/>
      <c r="G206" s="58">
        <f>IF($G$204="","",$G$204)</f>
        <v/>
      </c>
      <c r="H206" s="59" t="n"/>
      <c r="I206" s="59" t="n"/>
      <c r="J206" s="59" t="n"/>
      <c r="K206" s="59" t="n"/>
      <c r="L206" s="65">
        <f>IF(SUM(U206:AY206)=0,"",SUM(U206:AY206))</f>
        <v/>
      </c>
      <c r="M206" s="66">
        <f>IFERROR(INDEX(U$2:AY$2,MATCH(TRUE,INDEX(U206:AY206&lt;&gt;"",0),0)),"")</f>
        <v/>
      </c>
      <c r="N206" s="66">
        <f>IFERROR(LOOKUP(2,1/(U206:AY206&lt;&gt;""),U$2:AY$2),"")</f>
        <v/>
      </c>
      <c r="O206" s="59" t="n"/>
      <c r="P206" s="59" t="n"/>
      <c r="Q206" s="59" t="n"/>
      <c r="R206" s="59" t="n"/>
      <c r="S206" s="14" t="n"/>
      <c r="U206" s="53" t="n"/>
      <c r="V206" s="53" t="n"/>
      <c r="W206" s="53" t="n"/>
      <c r="X206" s="53" t="n"/>
      <c r="Y206" s="53" t="n"/>
      <c r="Z206" s="53" t="n"/>
      <c r="AA206" s="53" t="n"/>
      <c r="AB206" s="53" t="n"/>
      <c r="AC206" s="53" t="n"/>
      <c r="AD206" s="53" t="n"/>
      <c r="AE206" s="53" t="n"/>
      <c r="AF206" s="53" t="n"/>
      <c r="AG206" s="53" t="n"/>
      <c r="AH206" s="53" t="n"/>
      <c r="AI206" s="53" t="n"/>
      <c r="AJ206" s="53" t="n"/>
      <c r="AK206" s="53" t="n"/>
      <c r="AL206" s="53" t="n"/>
      <c r="AM206" s="53" t="n"/>
      <c r="AN206" s="53" t="n"/>
      <c r="AO206" s="53" t="n"/>
      <c r="AP206" s="53" t="n"/>
      <c r="AQ206" s="53" t="n"/>
      <c r="AR206" s="53" t="n"/>
      <c r="AS206" s="53" t="n"/>
      <c r="AT206" s="53" t="n"/>
      <c r="AU206" s="53" t="n"/>
      <c r="AV206" s="53" t="n"/>
      <c r="AW206" s="53" t="n"/>
      <c r="AX206" s="53" t="n"/>
      <c r="AY206" s="53" t="n"/>
    </row>
    <row r="207" ht="15" customHeight="1">
      <c r="A207" s="40">
        <f>IF($D$207="","",66)</f>
        <v/>
      </c>
      <c r="B207" s="10" t="n"/>
      <c r="C207" s="41" t="inlineStr">
        <is>
          <t>마케팅4팀</t>
        </is>
      </c>
      <c r="D207" s="42" t="n"/>
      <c r="E207" s="43" t="inlineStr">
        <is>
          <t>기획</t>
        </is>
      </c>
      <c r="F207" s="44" t="n"/>
      <c r="G207" s="45" t="n"/>
      <c r="H207" s="46">
        <f>IF($I$207="","",IF($I$207&lt;0,"🔴지연",IF($I$207&lt;=1,"🟡임박","🟢여유")))</f>
        <v/>
      </c>
      <c r="I207" s="47">
        <f>IF(OR($G$207="",$K$207=""),"",$G$207-$K$207)</f>
        <v/>
      </c>
      <c r="J207" s="48">
        <f>IF(SUM($L$207:$L$209)=0,"",SUM($L$207:$L$209))</f>
        <v/>
      </c>
      <c r="K207" s="49">
        <f>IF($J$207="","",MAX($N$207:$N$209))</f>
        <v/>
      </c>
      <c r="L207" s="50">
        <f>IF(SUM(U207:AY207)=0,"",SUM(U207:AY207))</f>
        <v/>
      </c>
      <c r="M207" s="51">
        <f>IFERROR(INDEX(U$2:AY$2,MATCH(TRUE,INDEX(U207:AY207&lt;&gt;"",0),0)),"")</f>
        <v/>
      </c>
      <c r="N207" s="51">
        <f>IFERROR(LOOKUP(2,1/(U207:AY207&lt;&gt;""),U$2:AY$2),"")</f>
        <v/>
      </c>
      <c r="O207" s="52" t="n"/>
      <c r="P207" s="52" t="n"/>
      <c r="Q207" s="52" t="n"/>
      <c r="R207" s="44" t="n"/>
      <c r="S207" s="14" t="n"/>
      <c r="U207" s="53" t="n"/>
      <c r="V207" s="53" t="n"/>
      <c r="W207" s="53" t="n"/>
      <c r="X207" s="53" t="n"/>
      <c r="Y207" s="53" t="n"/>
      <c r="Z207" s="53" t="n"/>
      <c r="AA207" s="53" t="n"/>
      <c r="AB207" s="53" t="n"/>
      <c r="AC207" s="53" t="n"/>
      <c r="AD207" s="53" t="n"/>
      <c r="AE207" s="53" t="n"/>
      <c r="AF207" s="53" t="n"/>
      <c r="AG207" s="53" t="n"/>
      <c r="AH207" s="53" t="n"/>
      <c r="AI207" s="53" t="n"/>
      <c r="AJ207" s="53" t="n"/>
      <c r="AK207" s="53" t="n"/>
      <c r="AL207" s="53" t="n"/>
      <c r="AM207" s="53" t="n"/>
      <c r="AN207" s="53" t="n"/>
      <c r="AO207" s="53" t="n"/>
      <c r="AP207" s="53" t="n"/>
      <c r="AQ207" s="53" t="n"/>
      <c r="AR207" s="53" t="n"/>
      <c r="AS207" s="53" t="n"/>
      <c r="AT207" s="53" t="n"/>
      <c r="AU207" s="53" t="n"/>
      <c r="AV207" s="53" t="n"/>
      <c r="AW207" s="53" t="n"/>
      <c r="AX207" s="53" t="n"/>
      <c r="AY207" s="53" t="n"/>
    </row>
    <row r="208" ht="15" customHeight="1">
      <c r="A208" s="54" t="n"/>
      <c r="B208" s="55">
        <f>IF($B$207="","",$B$207)</f>
        <v/>
      </c>
      <c r="C208" s="56" t="inlineStr">
        <is>
          <t>마케팅4팀</t>
        </is>
      </c>
      <c r="D208" s="55">
        <f>IF($D$207="","",$D$207)</f>
        <v/>
      </c>
      <c r="E208" s="57" t="inlineStr">
        <is>
          <t>이미지</t>
        </is>
      </c>
      <c r="F208" s="44" t="n"/>
      <c r="G208" s="58">
        <f>IF($G$207="","",$G$207)</f>
        <v/>
      </c>
      <c r="H208" s="59" t="n"/>
      <c r="I208" s="59" t="n"/>
      <c r="J208" s="59" t="n"/>
      <c r="K208" s="59" t="n"/>
      <c r="L208" s="60">
        <f>IF(SUM(U208:AY208)=0,"",SUM(U208:AY208))</f>
        <v/>
      </c>
      <c r="M208" s="61">
        <f>IFERROR(INDEX(U$2:AY$2,MATCH(TRUE,INDEX(U208:AY208&lt;&gt;"",0),0)),"")</f>
        <v/>
      </c>
      <c r="N208" s="61">
        <f>IFERROR(LOOKUP(2,1/(U208:AY208&lt;&gt;""),U$2:AY$2),"")</f>
        <v/>
      </c>
      <c r="O208" s="59" t="n"/>
      <c r="P208" s="59" t="n"/>
      <c r="Q208" s="59" t="n"/>
      <c r="R208" s="59" t="n"/>
      <c r="S208" s="14" t="n"/>
      <c r="U208" s="53" t="n"/>
      <c r="V208" s="53" t="n"/>
      <c r="W208" s="53" t="n"/>
      <c r="X208" s="53" t="n"/>
      <c r="Y208" s="53" t="n"/>
      <c r="Z208" s="53" t="n"/>
      <c r="AA208" s="53" t="n"/>
      <c r="AB208" s="53" t="n"/>
      <c r="AC208" s="53" t="n"/>
      <c r="AD208" s="53" t="n"/>
      <c r="AE208" s="53" t="n"/>
      <c r="AF208" s="53" t="n"/>
      <c r="AG208" s="53" t="n"/>
      <c r="AH208" s="53" t="n"/>
      <c r="AI208" s="53" t="n"/>
      <c r="AJ208" s="53" t="n"/>
      <c r="AK208" s="53" t="n"/>
      <c r="AL208" s="53" t="n"/>
      <c r="AM208" s="53" t="n"/>
      <c r="AN208" s="53" t="n"/>
      <c r="AO208" s="53" t="n"/>
      <c r="AP208" s="53" t="n"/>
      <c r="AQ208" s="53" t="n"/>
      <c r="AR208" s="53" t="n"/>
      <c r="AS208" s="53" t="n"/>
      <c r="AT208" s="53" t="n"/>
      <c r="AU208" s="53" t="n"/>
      <c r="AV208" s="53" t="n"/>
      <c r="AW208" s="53" t="n"/>
      <c r="AX208" s="53" t="n"/>
      <c r="AY208" s="53" t="n"/>
    </row>
    <row r="209" ht="15" customHeight="1">
      <c r="A209" s="62" t="n"/>
      <c r="B209" s="55">
        <f>IF($B$207="","",$B$207)</f>
        <v/>
      </c>
      <c r="C209" s="63" t="inlineStr">
        <is>
          <t>마케팅4팀</t>
        </is>
      </c>
      <c r="D209" s="55">
        <f>IF($D$207="","",$D$207)</f>
        <v/>
      </c>
      <c r="E209" s="64" t="inlineStr">
        <is>
          <t>영상</t>
        </is>
      </c>
      <c r="F209" s="44" t="n"/>
      <c r="G209" s="58">
        <f>IF($G$207="","",$G$207)</f>
        <v/>
      </c>
      <c r="H209" s="59" t="n"/>
      <c r="I209" s="59" t="n"/>
      <c r="J209" s="59" t="n"/>
      <c r="K209" s="59" t="n"/>
      <c r="L209" s="65">
        <f>IF(SUM(U209:AY209)=0,"",SUM(U209:AY209))</f>
        <v/>
      </c>
      <c r="M209" s="66">
        <f>IFERROR(INDEX(U$2:AY$2,MATCH(TRUE,INDEX(U209:AY209&lt;&gt;"",0),0)),"")</f>
        <v/>
      </c>
      <c r="N209" s="66">
        <f>IFERROR(LOOKUP(2,1/(U209:AY209&lt;&gt;""),U$2:AY$2),"")</f>
        <v/>
      </c>
      <c r="O209" s="59" t="n"/>
      <c r="P209" s="59" t="n"/>
      <c r="Q209" s="59" t="n"/>
      <c r="R209" s="59" t="n"/>
      <c r="S209" s="14" t="n"/>
      <c r="U209" s="53" t="n"/>
      <c r="V209" s="53" t="n"/>
      <c r="W209" s="53" t="n"/>
      <c r="X209" s="53" t="n"/>
      <c r="Y209" s="53" t="n"/>
      <c r="Z209" s="53" t="n"/>
      <c r="AA209" s="53" t="n"/>
      <c r="AB209" s="53" t="n"/>
      <c r="AC209" s="53" t="n"/>
      <c r="AD209" s="53" t="n"/>
      <c r="AE209" s="53" t="n"/>
      <c r="AF209" s="53" t="n"/>
      <c r="AG209" s="53" t="n"/>
      <c r="AH209" s="53" t="n"/>
      <c r="AI209" s="53" t="n"/>
      <c r="AJ209" s="53" t="n"/>
      <c r="AK209" s="53" t="n"/>
      <c r="AL209" s="53" t="n"/>
      <c r="AM209" s="53" t="n"/>
      <c r="AN209" s="53" t="n"/>
      <c r="AO209" s="53" t="n"/>
      <c r="AP209" s="53" t="n"/>
      <c r="AQ209" s="53" t="n"/>
      <c r="AR209" s="53" t="n"/>
      <c r="AS209" s="53" t="n"/>
      <c r="AT209" s="53" t="n"/>
      <c r="AU209" s="53" t="n"/>
      <c r="AV209" s="53" t="n"/>
      <c r="AW209" s="53" t="n"/>
      <c r="AX209" s="53" t="n"/>
      <c r="AY209" s="53" t="n"/>
    </row>
    <row r="210" ht="15" customHeight="1">
      <c r="A210" s="40">
        <f>IF($D$210="","",67)</f>
        <v/>
      </c>
      <c r="B210" s="10" t="n"/>
      <c r="C210" s="41" t="inlineStr">
        <is>
          <t>마케팅4팀</t>
        </is>
      </c>
      <c r="D210" s="42" t="n"/>
      <c r="E210" s="43" t="inlineStr">
        <is>
          <t>기획</t>
        </is>
      </c>
      <c r="F210" s="44" t="n"/>
      <c r="G210" s="45" t="n"/>
      <c r="H210" s="46">
        <f>IF($I$210="","",IF($I$210&lt;0,"🔴지연",IF($I$210&lt;=1,"🟡임박","🟢여유")))</f>
        <v/>
      </c>
      <c r="I210" s="47">
        <f>IF(OR($G$210="",$K$210=""),"",$G$210-$K$210)</f>
        <v/>
      </c>
      <c r="J210" s="48">
        <f>IF(SUM($L$210:$L$212)=0,"",SUM($L$210:$L$212))</f>
        <v/>
      </c>
      <c r="K210" s="49">
        <f>IF($J$210="","",MAX($N$210:$N$212))</f>
        <v/>
      </c>
      <c r="L210" s="50">
        <f>IF(SUM(U210:AY210)=0,"",SUM(U210:AY210))</f>
        <v/>
      </c>
      <c r="M210" s="51">
        <f>IFERROR(INDEX(U$2:AY$2,MATCH(TRUE,INDEX(U210:AY210&lt;&gt;"",0),0)),"")</f>
        <v/>
      </c>
      <c r="N210" s="51">
        <f>IFERROR(LOOKUP(2,1/(U210:AY210&lt;&gt;""),U$2:AY$2),"")</f>
        <v/>
      </c>
      <c r="O210" s="52" t="n"/>
      <c r="P210" s="52" t="n"/>
      <c r="Q210" s="52" t="n"/>
      <c r="R210" s="44" t="n"/>
      <c r="S210" s="14" t="n"/>
      <c r="U210" s="53" t="n"/>
      <c r="V210" s="53" t="n"/>
      <c r="W210" s="53" t="n"/>
      <c r="X210" s="53" t="n"/>
      <c r="Y210" s="53" t="n"/>
      <c r="Z210" s="53" t="n"/>
      <c r="AA210" s="53" t="n"/>
      <c r="AB210" s="53" t="n"/>
      <c r="AC210" s="53" t="n"/>
      <c r="AD210" s="53" t="n"/>
      <c r="AE210" s="53" t="n"/>
      <c r="AF210" s="53" t="n"/>
      <c r="AG210" s="53" t="n"/>
      <c r="AH210" s="53" t="n"/>
      <c r="AI210" s="53" t="n"/>
      <c r="AJ210" s="53" t="n"/>
      <c r="AK210" s="53" t="n"/>
      <c r="AL210" s="53" t="n"/>
      <c r="AM210" s="53" t="n"/>
      <c r="AN210" s="53" t="n"/>
      <c r="AO210" s="53" t="n"/>
      <c r="AP210" s="53" t="n"/>
      <c r="AQ210" s="53" t="n"/>
      <c r="AR210" s="53" t="n"/>
      <c r="AS210" s="53" t="n"/>
      <c r="AT210" s="53" t="n"/>
      <c r="AU210" s="53" t="n"/>
      <c r="AV210" s="53" t="n"/>
      <c r="AW210" s="53" t="n"/>
      <c r="AX210" s="53" t="n"/>
      <c r="AY210" s="53" t="n"/>
    </row>
    <row r="211" ht="15" customHeight="1">
      <c r="A211" s="54" t="n"/>
      <c r="B211" s="55">
        <f>IF($B$210="","",$B$210)</f>
        <v/>
      </c>
      <c r="C211" s="56" t="inlineStr">
        <is>
          <t>마케팅4팀</t>
        </is>
      </c>
      <c r="D211" s="55">
        <f>IF($D$210="","",$D$210)</f>
        <v/>
      </c>
      <c r="E211" s="57" t="inlineStr">
        <is>
          <t>이미지</t>
        </is>
      </c>
      <c r="F211" s="44" t="n"/>
      <c r="G211" s="58">
        <f>IF($G$210="","",$G$210)</f>
        <v/>
      </c>
      <c r="H211" s="59" t="n"/>
      <c r="I211" s="59" t="n"/>
      <c r="J211" s="59" t="n"/>
      <c r="K211" s="59" t="n"/>
      <c r="L211" s="60">
        <f>IF(SUM(U211:AY211)=0,"",SUM(U211:AY211))</f>
        <v/>
      </c>
      <c r="M211" s="61">
        <f>IFERROR(INDEX(U$2:AY$2,MATCH(TRUE,INDEX(U211:AY211&lt;&gt;"",0),0)),"")</f>
        <v/>
      </c>
      <c r="N211" s="61">
        <f>IFERROR(LOOKUP(2,1/(U211:AY211&lt;&gt;""),U$2:AY$2),"")</f>
        <v/>
      </c>
      <c r="O211" s="59" t="n"/>
      <c r="P211" s="59" t="n"/>
      <c r="Q211" s="59" t="n"/>
      <c r="R211" s="59" t="n"/>
      <c r="S211" s="14" t="n"/>
      <c r="U211" s="53" t="n"/>
      <c r="V211" s="53" t="n"/>
      <c r="W211" s="53" t="n"/>
      <c r="X211" s="53" t="n"/>
      <c r="Y211" s="53" t="n"/>
      <c r="Z211" s="53" t="n"/>
      <c r="AA211" s="53" t="n"/>
      <c r="AB211" s="53" t="n"/>
      <c r="AC211" s="53" t="n"/>
      <c r="AD211" s="53" t="n"/>
      <c r="AE211" s="53" t="n"/>
      <c r="AF211" s="53" t="n"/>
      <c r="AG211" s="53" t="n"/>
      <c r="AH211" s="53" t="n"/>
      <c r="AI211" s="53" t="n"/>
      <c r="AJ211" s="53" t="n"/>
      <c r="AK211" s="53" t="n"/>
      <c r="AL211" s="53" t="n"/>
      <c r="AM211" s="53" t="n"/>
      <c r="AN211" s="53" t="n"/>
      <c r="AO211" s="53" t="n"/>
      <c r="AP211" s="53" t="n"/>
      <c r="AQ211" s="53" t="n"/>
      <c r="AR211" s="53" t="n"/>
      <c r="AS211" s="53" t="n"/>
      <c r="AT211" s="53" t="n"/>
      <c r="AU211" s="53" t="n"/>
      <c r="AV211" s="53" t="n"/>
      <c r="AW211" s="53" t="n"/>
      <c r="AX211" s="53" t="n"/>
      <c r="AY211" s="53" t="n"/>
    </row>
    <row r="212" ht="15" customHeight="1">
      <c r="A212" s="62" t="n"/>
      <c r="B212" s="55">
        <f>IF($B$210="","",$B$210)</f>
        <v/>
      </c>
      <c r="C212" s="63" t="inlineStr">
        <is>
          <t>마케팅4팀</t>
        </is>
      </c>
      <c r="D212" s="55">
        <f>IF($D$210="","",$D$210)</f>
        <v/>
      </c>
      <c r="E212" s="64" t="inlineStr">
        <is>
          <t>영상</t>
        </is>
      </c>
      <c r="F212" s="44" t="n"/>
      <c r="G212" s="58">
        <f>IF($G$210="","",$G$210)</f>
        <v/>
      </c>
      <c r="H212" s="59" t="n"/>
      <c r="I212" s="59" t="n"/>
      <c r="J212" s="59" t="n"/>
      <c r="K212" s="59" t="n"/>
      <c r="L212" s="65">
        <f>IF(SUM(U212:AY212)=0,"",SUM(U212:AY212))</f>
        <v/>
      </c>
      <c r="M212" s="66">
        <f>IFERROR(INDEX(U$2:AY$2,MATCH(TRUE,INDEX(U212:AY212&lt;&gt;"",0),0)),"")</f>
        <v/>
      </c>
      <c r="N212" s="66">
        <f>IFERROR(LOOKUP(2,1/(U212:AY212&lt;&gt;""),U$2:AY$2),"")</f>
        <v/>
      </c>
      <c r="O212" s="59" t="n"/>
      <c r="P212" s="59" t="n"/>
      <c r="Q212" s="59" t="n"/>
      <c r="R212" s="59" t="n"/>
      <c r="S212" s="14" t="n"/>
      <c r="U212" s="53" t="n"/>
      <c r="V212" s="53" t="n"/>
      <c r="W212" s="53" t="n"/>
      <c r="X212" s="53" t="n"/>
      <c r="Y212" s="53" t="n"/>
      <c r="Z212" s="53" t="n"/>
      <c r="AA212" s="53" t="n"/>
      <c r="AB212" s="53" t="n"/>
      <c r="AC212" s="53" t="n"/>
      <c r="AD212" s="53" t="n"/>
      <c r="AE212" s="53" t="n"/>
      <c r="AF212" s="53" t="n"/>
      <c r="AG212" s="53" t="n"/>
      <c r="AH212" s="53" t="n"/>
      <c r="AI212" s="53" t="n"/>
      <c r="AJ212" s="53" t="n"/>
      <c r="AK212" s="53" t="n"/>
      <c r="AL212" s="53" t="n"/>
      <c r="AM212" s="53" t="n"/>
      <c r="AN212" s="53" t="n"/>
      <c r="AO212" s="53" t="n"/>
      <c r="AP212" s="53" t="n"/>
      <c r="AQ212" s="53" t="n"/>
      <c r="AR212" s="53" t="n"/>
      <c r="AS212" s="53" t="n"/>
      <c r="AT212" s="53" t="n"/>
      <c r="AU212" s="53" t="n"/>
      <c r="AV212" s="53" t="n"/>
      <c r="AW212" s="53" t="n"/>
      <c r="AX212" s="53" t="n"/>
      <c r="AY212" s="53" t="n"/>
    </row>
    <row r="213" ht="15" customHeight="1">
      <c r="A213" s="40">
        <f>IF($D$213="","",68)</f>
        <v/>
      </c>
      <c r="B213" s="10" t="n"/>
      <c r="C213" s="41" t="inlineStr">
        <is>
          <t>마케팅4팀</t>
        </is>
      </c>
      <c r="D213" s="42" t="n"/>
      <c r="E213" s="43" t="inlineStr">
        <is>
          <t>기획</t>
        </is>
      </c>
      <c r="F213" s="44" t="n"/>
      <c r="G213" s="45" t="n"/>
      <c r="H213" s="46">
        <f>IF($I$213="","",IF($I$213&lt;0,"🔴지연",IF($I$213&lt;=1,"🟡임박","🟢여유")))</f>
        <v/>
      </c>
      <c r="I213" s="47">
        <f>IF(OR($G$213="",$K$213=""),"",$G$213-$K$213)</f>
        <v/>
      </c>
      <c r="J213" s="48">
        <f>IF(SUM($L$213:$L$215)=0,"",SUM($L$213:$L$215))</f>
        <v/>
      </c>
      <c r="K213" s="49">
        <f>IF($J$213="","",MAX($N$213:$N$215))</f>
        <v/>
      </c>
      <c r="L213" s="50">
        <f>IF(SUM(U213:AY213)=0,"",SUM(U213:AY213))</f>
        <v/>
      </c>
      <c r="M213" s="51">
        <f>IFERROR(INDEX(U$2:AY$2,MATCH(TRUE,INDEX(U213:AY213&lt;&gt;"",0),0)),"")</f>
        <v/>
      </c>
      <c r="N213" s="51">
        <f>IFERROR(LOOKUP(2,1/(U213:AY213&lt;&gt;""),U$2:AY$2),"")</f>
        <v/>
      </c>
      <c r="O213" s="52" t="n"/>
      <c r="P213" s="52" t="n"/>
      <c r="Q213" s="52" t="n"/>
      <c r="R213" s="44" t="n"/>
      <c r="S213" s="14" t="n"/>
      <c r="U213" s="53" t="n"/>
      <c r="V213" s="53" t="n"/>
      <c r="W213" s="53" t="n"/>
      <c r="X213" s="53" t="n"/>
      <c r="Y213" s="53" t="n"/>
      <c r="Z213" s="53" t="n"/>
      <c r="AA213" s="53" t="n"/>
      <c r="AB213" s="53" t="n"/>
      <c r="AC213" s="53" t="n"/>
      <c r="AD213" s="53" t="n"/>
      <c r="AE213" s="53" t="n"/>
      <c r="AF213" s="53" t="n"/>
      <c r="AG213" s="53" t="n"/>
      <c r="AH213" s="53" t="n"/>
      <c r="AI213" s="53" t="n"/>
      <c r="AJ213" s="53" t="n"/>
      <c r="AK213" s="53" t="n"/>
      <c r="AL213" s="53" t="n"/>
      <c r="AM213" s="53" t="n"/>
      <c r="AN213" s="53" t="n"/>
      <c r="AO213" s="53" t="n"/>
      <c r="AP213" s="53" t="n"/>
      <c r="AQ213" s="53" t="n"/>
      <c r="AR213" s="53" t="n"/>
      <c r="AS213" s="53" t="n"/>
      <c r="AT213" s="53" t="n"/>
      <c r="AU213" s="53" t="n"/>
      <c r="AV213" s="53" t="n"/>
      <c r="AW213" s="53" t="n"/>
      <c r="AX213" s="53" t="n"/>
      <c r="AY213" s="53" t="n"/>
    </row>
    <row r="214" ht="15" customHeight="1">
      <c r="A214" s="54" t="n"/>
      <c r="B214" s="55">
        <f>IF($B$213="","",$B$213)</f>
        <v/>
      </c>
      <c r="C214" s="56" t="inlineStr">
        <is>
          <t>마케팅4팀</t>
        </is>
      </c>
      <c r="D214" s="55">
        <f>IF($D$213="","",$D$213)</f>
        <v/>
      </c>
      <c r="E214" s="57" t="inlineStr">
        <is>
          <t>이미지</t>
        </is>
      </c>
      <c r="F214" s="44" t="n"/>
      <c r="G214" s="58">
        <f>IF($G$213="","",$G$213)</f>
        <v/>
      </c>
      <c r="H214" s="59" t="n"/>
      <c r="I214" s="59" t="n"/>
      <c r="J214" s="59" t="n"/>
      <c r="K214" s="59" t="n"/>
      <c r="L214" s="60">
        <f>IF(SUM(U214:AY214)=0,"",SUM(U214:AY214))</f>
        <v/>
      </c>
      <c r="M214" s="61">
        <f>IFERROR(INDEX(U$2:AY$2,MATCH(TRUE,INDEX(U214:AY214&lt;&gt;"",0),0)),"")</f>
        <v/>
      </c>
      <c r="N214" s="61">
        <f>IFERROR(LOOKUP(2,1/(U214:AY214&lt;&gt;""),U$2:AY$2),"")</f>
        <v/>
      </c>
      <c r="O214" s="59" t="n"/>
      <c r="P214" s="59" t="n"/>
      <c r="Q214" s="59" t="n"/>
      <c r="R214" s="59" t="n"/>
      <c r="S214" s="14" t="n"/>
      <c r="U214" s="53" t="n"/>
      <c r="V214" s="53" t="n"/>
      <c r="W214" s="53" t="n"/>
      <c r="X214" s="53" t="n"/>
      <c r="Y214" s="53" t="n"/>
      <c r="Z214" s="53" t="n"/>
      <c r="AA214" s="53" t="n"/>
      <c r="AB214" s="53" t="n"/>
      <c r="AC214" s="53" t="n"/>
      <c r="AD214" s="53" t="n"/>
      <c r="AE214" s="53" t="n"/>
      <c r="AF214" s="53" t="n"/>
      <c r="AG214" s="53" t="n"/>
      <c r="AH214" s="53" t="n"/>
      <c r="AI214" s="53" t="n"/>
      <c r="AJ214" s="53" t="n"/>
      <c r="AK214" s="53" t="n"/>
      <c r="AL214" s="53" t="n"/>
      <c r="AM214" s="53" t="n"/>
      <c r="AN214" s="53" t="n"/>
      <c r="AO214" s="53" t="n"/>
      <c r="AP214" s="53" t="n"/>
      <c r="AQ214" s="53" t="n"/>
      <c r="AR214" s="53" t="n"/>
      <c r="AS214" s="53" t="n"/>
      <c r="AT214" s="53" t="n"/>
      <c r="AU214" s="53" t="n"/>
      <c r="AV214" s="53" t="n"/>
      <c r="AW214" s="53" t="n"/>
      <c r="AX214" s="53" t="n"/>
      <c r="AY214" s="53" t="n"/>
    </row>
    <row r="215" ht="15" customHeight="1">
      <c r="A215" s="62" t="n"/>
      <c r="B215" s="55">
        <f>IF($B$213="","",$B$213)</f>
        <v/>
      </c>
      <c r="C215" s="63" t="inlineStr">
        <is>
          <t>마케팅4팀</t>
        </is>
      </c>
      <c r="D215" s="55">
        <f>IF($D$213="","",$D$213)</f>
        <v/>
      </c>
      <c r="E215" s="64" t="inlineStr">
        <is>
          <t>영상</t>
        </is>
      </c>
      <c r="F215" s="44" t="n"/>
      <c r="G215" s="58">
        <f>IF($G$213="","",$G$213)</f>
        <v/>
      </c>
      <c r="H215" s="59" t="n"/>
      <c r="I215" s="59" t="n"/>
      <c r="J215" s="59" t="n"/>
      <c r="K215" s="59" t="n"/>
      <c r="L215" s="65">
        <f>IF(SUM(U215:AY215)=0,"",SUM(U215:AY215))</f>
        <v/>
      </c>
      <c r="M215" s="66">
        <f>IFERROR(INDEX(U$2:AY$2,MATCH(TRUE,INDEX(U215:AY215&lt;&gt;"",0),0)),"")</f>
        <v/>
      </c>
      <c r="N215" s="66">
        <f>IFERROR(LOOKUP(2,1/(U215:AY215&lt;&gt;""),U$2:AY$2),"")</f>
        <v/>
      </c>
      <c r="O215" s="59" t="n"/>
      <c r="P215" s="59" t="n"/>
      <c r="Q215" s="59" t="n"/>
      <c r="R215" s="59" t="n"/>
      <c r="S215" s="14" t="n"/>
      <c r="U215" s="53" t="n"/>
      <c r="V215" s="53" t="n"/>
      <c r="W215" s="53" t="n"/>
      <c r="X215" s="53" t="n"/>
      <c r="Y215" s="53" t="n"/>
      <c r="Z215" s="53" t="n"/>
      <c r="AA215" s="53" t="n"/>
      <c r="AB215" s="53" t="n"/>
      <c r="AC215" s="53" t="n"/>
      <c r="AD215" s="53" t="n"/>
      <c r="AE215" s="53" t="n"/>
      <c r="AF215" s="53" t="n"/>
      <c r="AG215" s="53" t="n"/>
      <c r="AH215" s="53" t="n"/>
      <c r="AI215" s="53" t="n"/>
      <c r="AJ215" s="53" t="n"/>
      <c r="AK215" s="53" t="n"/>
      <c r="AL215" s="53" t="n"/>
      <c r="AM215" s="53" t="n"/>
      <c r="AN215" s="53" t="n"/>
      <c r="AO215" s="53" t="n"/>
      <c r="AP215" s="53" t="n"/>
      <c r="AQ215" s="53" t="n"/>
      <c r="AR215" s="53" t="n"/>
      <c r="AS215" s="53" t="n"/>
      <c r="AT215" s="53" t="n"/>
      <c r="AU215" s="53" t="n"/>
      <c r="AV215" s="53" t="n"/>
      <c r="AW215" s="53" t="n"/>
      <c r="AX215" s="53" t="n"/>
      <c r="AY215" s="53" t="n"/>
    </row>
    <row r="216" ht="15" customHeight="1">
      <c r="A216" s="40">
        <f>IF($D$216="","",69)</f>
        <v/>
      </c>
      <c r="B216" s="10" t="n"/>
      <c r="C216" s="41" t="inlineStr">
        <is>
          <t>마케팅4팀</t>
        </is>
      </c>
      <c r="D216" s="42" t="n"/>
      <c r="E216" s="43" t="inlineStr">
        <is>
          <t>기획</t>
        </is>
      </c>
      <c r="F216" s="44" t="n"/>
      <c r="G216" s="45" t="n"/>
      <c r="H216" s="46">
        <f>IF($I$216="","",IF($I$216&lt;0,"🔴지연",IF($I$216&lt;=1,"🟡임박","🟢여유")))</f>
        <v/>
      </c>
      <c r="I216" s="47">
        <f>IF(OR($G$216="",$K$216=""),"",$G$216-$K$216)</f>
        <v/>
      </c>
      <c r="J216" s="48">
        <f>IF(SUM($L$216:$L$218)=0,"",SUM($L$216:$L$218))</f>
        <v/>
      </c>
      <c r="K216" s="49">
        <f>IF($J$216="","",MAX($N$216:$N$218))</f>
        <v/>
      </c>
      <c r="L216" s="50">
        <f>IF(SUM(U216:AY216)=0,"",SUM(U216:AY216))</f>
        <v/>
      </c>
      <c r="M216" s="51">
        <f>IFERROR(INDEX(U$2:AY$2,MATCH(TRUE,INDEX(U216:AY216&lt;&gt;"",0),0)),"")</f>
        <v/>
      </c>
      <c r="N216" s="51">
        <f>IFERROR(LOOKUP(2,1/(U216:AY216&lt;&gt;""),U$2:AY$2),"")</f>
        <v/>
      </c>
      <c r="O216" s="52" t="n"/>
      <c r="P216" s="52" t="n"/>
      <c r="Q216" s="52" t="n"/>
      <c r="R216" s="44" t="n"/>
      <c r="S216" s="14" t="n"/>
      <c r="U216" s="53" t="n"/>
      <c r="V216" s="53" t="n"/>
      <c r="W216" s="53" t="n"/>
      <c r="X216" s="53" t="n"/>
      <c r="Y216" s="53" t="n"/>
      <c r="Z216" s="53" t="n"/>
      <c r="AA216" s="53" t="n"/>
      <c r="AB216" s="53" t="n"/>
      <c r="AC216" s="53" t="n"/>
      <c r="AD216" s="53" t="n"/>
      <c r="AE216" s="53" t="n"/>
      <c r="AF216" s="53" t="n"/>
      <c r="AG216" s="53" t="n"/>
      <c r="AH216" s="53" t="n"/>
      <c r="AI216" s="53" t="n"/>
      <c r="AJ216" s="53" t="n"/>
      <c r="AK216" s="53" t="n"/>
      <c r="AL216" s="53" t="n"/>
      <c r="AM216" s="53" t="n"/>
      <c r="AN216" s="53" t="n"/>
      <c r="AO216" s="53" t="n"/>
      <c r="AP216" s="53" t="n"/>
      <c r="AQ216" s="53" t="n"/>
      <c r="AR216" s="53" t="n"/>
      <c r="AS216" s="53" t="n"/>
      <c r="AT216" s="53" t="n"/>
      <c r="AU216" s="53" t="n"/>
      <c r="AV216" s="53" t="n"/>
      <c r="AW216" s="53" t="n"/>
      <c r="AX216" s="53" t="n"/>
      <c r="AY216" s="53" t="n"/>
    </row>
    <row r="217" ht="15" customHeight="1">
      <c r="A217" s="54" t="n"/>
      <c r="B217" s="55">
        <f>IF($B$216="","",$B$216)</f>
        <v/>
      </c>
      <c r="C217" s="56" t="inlineStr">
        <is>
          <t>마케팅4팀</t>
        </is>
      </c>
      <c r="D217" s="55">
        <f>IF($D$216="","",$D$216)</f>
        <v/>
      </c>
      <c r="E217" s="57" t="inlineStr">
        <is>
          <t>이미지</t>
        </is>
      </c>
      <c r="F217" s="44" t="n"/>
      <c r="G217" s="58">
        <f>IF($G$216="","",$G$216)</f>
        <v/>
      </c>
      <c r="H217" s="59" t="n"/>
      <c r="I217" s="59" t="n"/>
      <c r="J217" s="59" t="n"/>
      <c r="K217" s="59" t="n"/>
      <c r="L217" s="60">
        <f>IF(SUM(U217:AY217)=0,"",SUM(U217:AY217))</f>
        <v/>
      </c>
      <c r="M217" s="61">
        <f>IFERROR(INDEX(U$2:AY$2,MATCH(TRUE,INDEX(U217:AY217&lt;&gt;"",0),0)),"")</f>
        <v/>
      </c>
      <c r="N217" s="61">
        <f>IFERROR(LOOKUP(2,1/(U217:AY217&lt;&gt;""),U$2:AY$2),"")</f>
        <v/>
      </c>
      <c r="O217" s="59" t="n"/>
      <c r="P217" s="59" t="n"/>
      <c r="Q217" s="59" t="n"/>
      <c r="R217" s="59" t="n"/>
      <c r="S217" s="14" t="n"/>
      <c r="U217" s="53" t="n"/>
      <c r="V217" s="53" t="n"/>
      <c r="W217" s="53" t="n"/>
      <c r="X217" s="53" t="n"/>
      <c r="Y217" s="53" t="n"/>
      <c r="Z217" s="53" t="n"/>
      <c r="AA217" s="53" t="n"/>
      <c r="AB217" s="53" t="n"/>
      <c r="AC217" s="53" t="n"/>
      <c r="AD217" s="53" t="n"/>
      <c r="AE217" s="53" t="n"/>
      <c r="AF217" s="53" t="n"/>
      <c r="AG217" s="53" t="n"/>
      <c r="AH217" s="53" t="n"/>
      <c r="AI217" s="53" t="n"/>
      <c r="AJ217" s="53" t="n"/>
      <c r="AK217" s="53" t="n"/>
      <c r="AL217" s="53" t="n"/>
      <c r="AM217" s="53" t="n"/>
      <c r="AN217" s="53" t="n"/>
      <c r="AO217" s="53" t="n"/>
      <c r="AP217" s="53" t="n"/>
      <c r="AQ217" s="53" t="n"/>
      <c r="AR217" s="53" t="n"/>
      <c r="AS217" s="53" t="n"/>
      <c r="AT217" s="53" t="n"/>
      <c r="AU217" s="53" t="n"/>
      <c r="AV217" s="53" t="n"/>
      <c r="AW217" s="53" t="n"/>
      <c r="AX217" s="53" t="n"/>
      <c r="AY217" s="53" t="n"/>
    </row>
    <row r="218" ht="15" customHeight="1">
      <c r="A218" s="62" t="n"/>
      <c r="B218" s="55">
        <f>IF($B$216="","",$B$216)</f>
        <v/>
      </c>
      <c r="C218" s="63" t="inlineStr">
        <is>
          <t>마케팅4팀</t>
        </is>
      </c>
      <c r="D218" s="55">
        <f>IF($D$216="","",$D$216)</f>
        <v/>
      </c>
      <c r="E218" s="64" t="inlineStr">
        <is>
          <t>영상</t>
        </is>
      </c>
      <c r="F218" s="44" t="n"/>
      <c r="G218" s="58">
        <f>IF($G$216="","",$G$216)</f>
        <v/>
      </c>
      <c r="H218" s="59" t="n"/>
      <c r="I218" s="59" t="n"/>
      <c r="J218" s="59" t="n"/>
      <c r="K218" s="59" t="n"/>
      <c r="L218" s="65">
        <f>IF(SUM(U218:AY218)=0,"",SUM(U218:AY218))</f>
        <v/>
      </c>
      <c r="M218" s="66">
        <f>IFERROR(INDEX(U$2:AY$2,MATCH(TRUE,INDEX(U218:AY218&lt;&gt;"",0),0)),"")</f>
        <v/>
      </c>
      <c r="N218" s="66">
        <f>IFERROR(LOOKUP(2,1/(U218:AY218&lt;&gt;""),U$2:AY$2),"")</f>
        <v/>
      </c>
      <c r="O218" s="59" t="n"/>
      <c r="P218" s="59" t="n"/>
      <c r="Q218" s="59" t="n"/>
      <c r="R218" s="59" t="n"/>
      <c r="S218" s="14" t="n"/>
      <c r="U218" s="53" t="n"/>
      <c r="V218" s="53" t="n"/>
      <c r="W218" s="53" t="n"/>
      <c r="X218" s="53" t="n"/>
      <c r="Y218" s="53" t="n"/>
      <c r="Z218" s="53" t="n"/>
      <c r="AA218" s="53" t="n"/>
      <c r="AB218" s="53" t="n"/>
      <c r="AC218" s="53" t="n"/>
      <c r="AD218" s="53" t="n"/>
      <c r="AE218" s="53" t="n"/>
      <c r="AF218" s="53" t="n"/>
      <c r="AG218" s="53" t="n"/>
      <c r="AH218" s="53" t="n"/>
      <c r="AI218" s="53" t="n"/>
      <c r="AJ218" s="53" t="n"/>
      <c r="AK218" s="53" t="n"/>
      <c r="AL218" s="53" t="n"/>
      <c r="AM218" s="53" t="n"/>
      <c r="AN218" s="53" t="n"/>
      <c r="AO218" s="53" t="n"/>
      <c r="AP218" s="53" t="n"/>
      <c r="AQ218" s="53" t="n"/>
      <c r="AR218" s="53" t="n"/>
      <c r="AS218" s="53" t="n"/>
      <c r="AT218" s="53" t="n"/>
      <c r="AU218" s="53" t="n"/>
      <c r="AV218" s="53" t="n"/>
      <c r="AW218" s="53" t="n"/>
      <c r="AX218" s="53" t="n"/>
      <c r="AY218" s="53" t="n"/>
    </row>
    <row r="219" ht="15" customHeight="1">
      <c r="A219" s="40">
        <f>IF($D$219="","",70)</f>
        <v/>
      </c>
      <c r="B219" s="10" t="n"/>
      <c r="C219" s="41" t="inlineStr">
        <is>
          <t>마케팅4팀</t>
        </is>
      </c>
      <c r="D219" s="42" t="n"/>
      <c r="E219" s="43" t="inlineStr">
        <is>
          <t>기획</t>
        </is>
      </c>
      <c r="F219" s="44" t="n"/>
      <c r="G219" s="45" t="n"/>
      <c r="H219" s="46">
        <f>IF($I$219="","",IF($I$219&lt;0,"🔴지연",IF($I$219&lt;=1,"🟡임박","🟢여유")))</f>
        <v/>
      </c>
      <c r="I219" s="47">
        <f>IF(OR($G$219="",$K$219=""),"",$G$219-$K$219)</f>
        <v/>
      </c>
      <c r="J219" s="48">
        <f>IF(SUM($L$219:$L$221)=0,"",SUM($L$219:$L$221))</f>
        <v/>
      </c>
      <c r="K219" s="49">
        <f>IF($J$219="","",MAX($N$219:$N$221))</f>
        <v/>
      </c>
      <c r="L219" s="50">
        <f>IF(SUM(U219:AY219)=0,"",SUM(U219:AY219))</f>
        <v/>
      </c>
      <c r="M219" s="51">
        <f>IFERROR(INDEX(U$2:AY$2,MATCH(TRUE,INDEX(U219:AY219&lt;&gt;"",0),0)),"")</f>
        <v/>
      </c>
      <c r="N219" s="51">
        <f>IFERROR(LOOKUP(2,1/(U219:AY219&lt;&gt;""),U$2:AY$2),"")</f>
        <v/>
      </c>
      <c r="O219" s="52" t="n"/>
      <c r="P219" s="52" t="n"/>
      <c r="Q219" s="52" t="n"/>
      <c r="R219" s="44" t="n"/>
      <c r="S219" s="14" t="n"/>
      <c r="U219" s="53" t="n"/>
      <c r="V219" s="53" t="n"/>
      <c r="W219" s="53" t="n"/>
      <c r="X219" s="53" t="n"/>
      <c r="Y219" s="53" t="n"/>
      <c r="Z219" s="53" t="n"/>
      <c r="AA219" s="53" t="n"/>
      <c r="AB219" s="53" t="n"/>
      <c r="AC219" s="53" t="n"/>
      <c r="AD219" s="53" t="n"/>
      <c r="AE219" s="53" t="n"/>
      <c r="AF219" s="53" t="n"/>
      <c r="AG219" s="53" t="n"/>
      <c r="AH219" s="53" t="n"/>
      <c r="AI219" s="53" t="n"/>
      <c r="AJ219" s="53" t="n"/>
      <c r="AK219" s="53" t="n"/>
      <c r="AL219" s="53" t="n"/>
      <c r="AM219" s="53" t="n"/>
      <c r="AN219" s="53" t="n"/>
      <c r="AO219" s="53" t="n"/>
      <c r="AP219" s="53" t="n"/>
      <c r="AQ219" s="53" t="n"/>
      <c r="AR219" s="53" t="n"/>
      <c r="AS219" s="53" t="n"/>
      <c r="AT219" s="53" t="n"/>
      <c r="AU219" s="53" t="n"/>
      <c r="AV219" s="53" t="n"/>
      <c r="AW219" s="53" t="n"/>
      <c r="AX219" s="53" t="n"/>
      <c r="AY219" s="53" t="n"/>
    </row>
    <row r="220" ht="15" customHeight="1">
      <c r="A220" s="54" t="n"/>
      <c r="B220" s="55">
        <f>IF($B$219="","",$B$219)</f>
        <v/>
      </c>
      <c r="C220" s="56" t="inlineStr">
        <is>
          <t>마케팅4팀</t>
        </is>
      </c>
      <c r="D220" s="55">
        <f>IF($D$219="","",$D$219)</f>
        <v/>
      </c>
      <c r="E220" s="57" t="inlineStr">
        <is>
          <t>이미지</t>
        </is>
      </c>
      <c r="F220" s="44" t="n"/>
      <c r="G220" s="58">
        <f>IF($G$219="","",$G$219)</f>
        <v/>
      </c>
      <c r="H220" s="59" t="n"/>
      <c r="I220" s="59" t="n"/>
      <c r="J220" s="59" t="n"/>
      <c r="K220" s="59" t="n"/>
      <c r="L220" s="60">
        <f>IF(SUM(U220:AY220)=0,"",SUM(U220:AY220))</f>
        <v/>
      </c>
      <c r="M220" s="61">
        <f>IFERROR(INDEX(U$2:AY$2,MATCH(TRUE,INDEX(U220:AY220&lt;&gt;"",0),0)),"")</f>
        <v/>
      </c>
      <c r="N220" s="61">
        <f>IFERROR(LOOKUP(2,1/(U220:AY220&lt;&gt;""),U$2:AY$2),"")</f>
        <v/>
      </c>
      <c r="O220" s="59" t="n"/>
      <c r="P220" s="59" t="n"/>
      <c r="Q220" s="59" t="n"/>
      <c r="R220" s="59" t="n"/>
      <c r="S220" s="14" t="n"/>
      <c r="U220" s="53" t="n"/>
      <c r="V220" s="53" t="n"/>
      <c r="W220" s="53" t="n"/>
      <c r="X220" s="53" t="n"/>
      <c r="Y220" s="53" t="n"/>
      <c r="Z220" s="53" t="n"/>
      <c r="AA220" s="53" t="n"/>
      <c r="AB220" s="53" t="n"/>
      <c r="AC220" s="53" t="n"/>
      <c r="AD220" s="53" t="n"/>
      <c r="AE220" s="53" t="n"/>
      <c r="AF220" s="53" t="n"/>
      <c r="AG220" s="53" t="n"/>
      <c r="AH220" s="53" t="n"/>
      <c r="AI220" s="53" t="n"/>
      <c r="AJ220" s="53" t="n"/>
      <c r="AK220" s="53" t="n"/>
      <c r="AL220" s="53" t="n"/>
      <c r="AM220" s="53" t="n"/>
      <c r="AN220" s="53" t="n"/>
      <c r="AO220" s="53" t="n"/>
      <c r="AP220" s="53" t="n"/>
      <c r="AQ220" s="53" t="n"/>
      <c r="AR220" s="53" t="n"/>
      <c r="AS220" s="53" t="n"/>
      <c r="AT220" s="53" t="n"/>
      <c r="AU220" s="53" t="n"/>
      <c r="AV220" s="53" t="n"/>
      <c r="AW220" s="53" t="n"/>
      <c r="AX220" s="53" t="n"/>
      <c r="AY220" s="53" t="n"/>
    </row>
    <row r="221" ht="15" customHeight="1">
      <c r="A221" s="62" t="n"/>
      <c r="B221" s="55">
        <f>IF($B$219="","",$B$219)</f>
        <v/>
      </c>
      <c r="C221" s="63" t="inlineStr">
        <is>
          <t>마케팅4팀</t>
        </is>
      </c>
      <c r="D221" s="55">
        <f>IF($D$219="","",$D$219)</f>
        <v/>
      </c>
      <c r="E221" s="64" t="inlineStr">
        <is>
          <t>영상</t>
        </is>
      </c>
      <c r="F221" s="44" t="n"/>
      <c r="G221" s="58">
        <f>IF($G$219="","",$G$219)</f>
        <v/>
      </c>
      <c r="H221" s="59" t="n"/>
      <c r="I221" s="59" t="n"/>
      <c r="J221" s="59" t="n"/>
      <c r="K221" s="59" t="n"/>
      <c r="L221" s="65">
        <f>IF(SUM(U221:AY221)=0,"",SUM(U221:AY221))</f>
        <v/>
      </c>
      <c r="M221" s="66">
        <f>IFERROR(INDEX(U$2:AY$2,MATCH(TRUE,INDEX(U221:AY221&lt;&gt;"",0),0)),"")</f>
        <v/>
      </c>
      <c r="N221" s="66">
        <f>IFERROR(LOOKUP(2,1/(U221:AY221&lt;&gt;""),U$2:AY$2),"")</f>
        <v/>
      </c>
      <c r="O221" s="59" t="n"/>
      <c r="P221" s="59" t="n"/>
      <c r="Q221" s="59" t="n"/>
      <c r="R221" s="59" t="n"/>
      <c r="S221" s="14" t="n"/>
      <c r="U221" s="53" t="n"/>
      <c r="V221" s="53" t="n"/>
      <c r="W221" s="53" t="n"/>
      <c r="X221" s="53" t="n"/>
      <c r="Y221" s="53" t="n"/>
      <c r="Z221" s="53" t="n"/>
      <c r="AA221" s="53" t="n"/>
      <c r="AB221" s="53" t="n"/>
      <c r="AC221" s="53" t="n"/>
      <c r="AD221" s="53" t="n"/>
      <c r="AE221" s="53" t="n"/>
      <c r="AF221" s="53" t="n"/>
      <c r="AG221" s="53" t="n"/>
      <c r="AH221" s="53" t="n"/>
      <c r="AI221" s="53" t="n"/>
      <c r="AJ221" s="53" t="n"/>
      <c r="AK221" s="53" t="n"/>
      <c r="AL221" s="53" t="n"/>
      <c r="AM221" s="53" t="n"/>
      <c r="AN221" s="53" t="n"/>
      <c r="AO221" s="53" t="n"/>
      <c r="AP221" s="53" t="n"/>
      <c r="AQ221" s="53" t="n"/>
      <c r="AR221" s="53" t="n"/>
      <c r="AS221" s="53" t="n"/>
      <c r="AT221" s="53" t="n"/>
      <c r="AU221" s="53" t="n"/>
      <c r="AV221" s="53" t="n"/>
      <c r="AW221" s="53" t="n"/>
      <c r="AX221" s="53" t="n"/>
      <c r="AY221" s="53" t="n"/>
    </row>
    <row r="222" ht="15" customHeight="1">
      <c r="A222" s="40">
        <f>IF($D$222="","",71)</f>
        <v/>
      </c>
      <c r="B222" s="10" t="n"/>
      <c r="C222" s="41" t="inlineStr">
        <is>
          <t>마케팅4팀</t>
        </is>
      </c>
      <c r="D222" s="42" t="n"/>
      <c r="E222" s="43" t="inlineStr">
        <is>
          <t>기획</t>
        </is>
      </c>
      <c r="F222" s="44" t="n"/>
      <c r="G222" s="45" t="n"/>
      <c r="H222" s="46">
        <f>IF($I$222="","",IF($I$222&lt;0,"🔴지연",IF($I$222&lt;=1,"🟡임박","🟢여유")))</f>
        <v/>
      </c>
      <c r="I222" s="47">
        <f>IF(OR($G$222="",$K$222=""),"",$G$222-$K$222)</f>
        <v/>
      </c>
      <c r="J222" s="48">
        <f>IF(SUM($L$222:$L$224)=0,"",SUM($L$222:$L$224))</f>
        <v/>
      </c>
      <c r="K222" s="49">
        <f>IF($J$222="","",MAX($N$222:$N$224))</f>
        <v/>
      </c>
      <c r="L222" s="50">
        <f>IF(SUM(U222:AY222)=0,"",SUM(U222:AY222))</f>
        <v/>
      </c>
      <c r="M222" s="51">
        <f>IFERROR(INDEX(U$2:AY$2,MATCH(TRUE,INDEX(U222:AY222&lt;&gt;"",0),0)),"")</f>
        <v/>
      </c>
      <c r="N222" s="51">
        <f>IFERROR(LOOKUP(2,1/(U222:AY222&lt;&gt;""),U$2:AY$2),"")</f>
        <v/>
      </c>
      <c r="O222" s="52" t="n"/>
      <c r="P222" s="52" t="n"/>
      <c r="Q222" s="52" t="n"/>
      <c r="R222" s="44" t="n"/>
      <c r="S222" s="14" t="n"/>
      <c r="U222" s="53" t="n"/>
      <c r="V222" s="53" t="n"/>
      <c r="W222" s="53" t="n"/>
      <c r="X222" s="53" t="n"/>
      <c r="Y222" s="53" t="n"/>
      <c r="Z222" s="53" t="n"/>
      <c r="AA222" s="53" t="n"/>
      <c r="AB222" s="53" t="n"/>
      <c r="AC222" s="53" t="n"/>
      <c r="AD222" s="53" t="n"/>
      <c r="AE222" s="53" t="n"/>
      <c r="AF222" s="53" t="n"/>
      <c r="AG222" s="53" t="n"/>
      <c r="AH222" s="53" t="n"/>
      <c r="AI222" s="53" t="n"/>
      <c r="AJ222" s="53" t="n"/>
      <c r="AK222" s="53" t="n"/>
      <c r="AL222" s="53" t="n"/>
      <c r="AM222" s="53" t="n"/>
      <c r="AN222" s="53" t="n"/>
      <c r="AO222" s="53" t="n"/>
      <c r="AP222" s="53" t="n"/>
      <c r="AQ222" s="53" t="n"/>
      <c r="AR222" s="53" t="n"/>
      <c r="AS222" s="53" t="n"/>
      <c r="AT222" s="53" t="n"/>
      <c r="AU222" s="53" t="n"/>
      <c r="AV222" s="53" t="n"/>
      <c r="AW222" s="53" t="n"/>
      <c r="AX222" s="53" t="n"/>
      <c r="AY222" s="53" t="n"/>
    </row>
    <row r="223" ht="15" customHeight="1">
      <c r="A223" s="54" t="n"/>
      <c r="B223" s="55">
        <f>IF($B$222="","",$B$222)</f>
        <v/>
      </c>
      <c r="C223" s="56" t="inlineStr">
        <is>
          <t>마케팅4팀</t>
        </is>
      </c>
      <c r="D223" s="55">
        <f>IF($D$222="","",$D$222)</f>
        <v/>
      </c>
      <c r="E223" s="57" t="inlineStr">
        <is>
          <t>이미지</t>
        </is>
      </c>
      <c r="F223" s="44" t="n"/>
      <c r="G223" s="58">
        <f>IF($G$222="","",$G$222)</f>
        <v/>
      </c>
      <c r="H223" s="59" t="n"/>
      <c r="I223" s="59" t="n"/>
      <c r="J223" s="59" t="n"/>
      <c r="K223" s="59" t="n"/>
      <c r="L223" s="60">
        <f>IF(SUM(U223:AY223)=0,"",SUM(U223:AY223))</f>
        <v/>
      </c>
      <c r="M223" s="61">
        <f>IFERROR(INDEX(U$2:AY$2,MATCH(TRUE,INDEX(U223:AY223&lt;&gt;"",0),0)),"")</f>
        <v/>
      </c>
      <c r="N223" s="61">
        <f>IFERROR(LOOKUP(2,1/(U223:AY223&lt;&gt;""),U$2:AY$2),"")</f>
        <v/>
      </c>
      <c r="O223" s="59" t="n"/>
      <c r="P223" s="59" t="n"/>
      <c r="Q223" s="59" t="n"/>
      <c r="R223" s="59" t="n"/>
      <c r="S223" s="14" t="n"/>
      <c r="U223" s="53" t="n"/>
      <c r="V223" s="53" t="n"/>
      <c r="W223" s="53" t="n"/>
      <c r="X223" s="53" t="n"/>
      <c r="Y223" s="53" t="n"/>
      <c r="Z223" s="53" t="n"/>
      <c r="AA223" s="53" t="n"/>
      <c r="AB223" s="53" t="n"/>
      <c r="AC223" s="53" t="n"/>
      <c r="AD223" s="53" t="n"/>
      <c r="AE223" s="53" t="n"/>
      <c r="AF223" s="53" t="n"/>
      <c r="AG223" s="53" t="n"/>
      <c r="AH223" s="53" t="n"/>
      <c r="AI223" s="53" t="n"/>
      <c r="AJ223" s="53" t="n"/>
      <c r="AK223" s="53" t="n"/>
      <c r="AL223" s="53" t="n"/>
      <c r="AM223" s="53" t="n"/>
      <c r="AN223" s="53" t="n"/>
      <c r="AO223" s="53" t="n"/>
      <c r="AP223" s="53" t="n"/>
      <c r="AQ223" s="53" t="n"/>
      <c r="AR223" s="53" t="n"/>
      <c r="AS223" s="53" t="n"/>
      <c r="AT223" s="53" t="n"/>
      <c r="AU223" s="53" t="n"/>
      <c r="AV223" s="53" t="n"/>
      <c r="AW223" s="53" t="n"/>
      <c r="AX223" s="53" t="n"/>
      <c r="AY223" s="53" t="n"/>
    </row>
    <row r="224" ht="15" customHeight="1">
      <c r="A224" s="62" t="n"/>
      <c r="B224" s="55">
        <f>IF($B$222="","",$B$222)</f>
        <v/>
      </c>
      <c r="C224" s="63" t="inlineStr">
        <is>
          <t>마케팅4팀</t>
        </is>
      </c>
      <c r="D224" s="55">
        <f>IF($D$222="","",$D$222)</f>
        <v/>
      </c>
      <c r="E224" s="64" t="inlineStr">
        <is>
          <t>영상</t>
        </is>
      </c>
      <c r="F224" s="44" t="n"/>
      <c r="G224" s="58">
        <f>IF($G$222="","",$G$222)</f>
        <v/>
      </c>
      <c r="H224" s="59" t="n"/>
      <c r="I224" s="59" t="n"/>
      <c r="J224" s="59" t="n"/>
      <c r="K224" s="59" t="n"/>
      <c r="L224" s="65">
        <f>IF(SUM(U224:AY224)=0,"",SUM(U224:AY224))</f>
        <v/>
      </c>
      <c r="M224" s="66">
        <f>IFERROR(INDEX(U$2:AY$2,MATCH(TRUE,INDEX(U224:AY224&lt;&gt;"",0),0)),"")</f>
        <v/>
      </c>
      <c r="N224" s="66">
        <f>IFERROR(LOOKUP(2,1/(U224:AY224&lt;&gt;""),U$2:AY$2),"")</f>
        <v/>
      </c>
      <c r="O224" s="59" t="n"/>
      <c r="P224" s="59" t="n"/>
      <c r="Q224" s="59" t="n"/>
      <c r="R224" s="59" t="n"/>
      <c r="S224" s="14" t="n"/>
      <c r="U224" s="53" t="n"/>
      <c r="V224" s="53" t="n"/>
      <c r="W224" s="53" t="n"/>
      <c r="X224" s="53" t="n"/>
      <c r="Y224" s="53" t="n"/>
      <c r="Z224" s="53" t="n"/>
      <c r="AA224" s="53" t="n"/>
      <c r="AB224" s="53" t="n"/>
      <c r="AC224" s="53" t="n"/>
      <c r="AD224" s="53" t="n"/>
      <c r="AE224" s="53" t="n"/>
      <c r="AF224" s="53" t="n"/>
      <c r="AG224" s="53" t="n"/>
      <c r="AH224" s="53" t="n"/>
      <c r="AI224" s="53" t="n"/>
      <c r="AJ224" s="53" t="n"/>
      <c r="AK224" s="53" t="n"/>
      <c r="AL224" s="53" t="n"/>
      <c r="AM224" s="53" t="n"/>
      <c r="AN224" s="53" t="n"/>
      <c r="AO224" s="53" t="n"/>
      <c r="AP224" s="53" t="n"/>
      <c r="AQ224" s="53" t="n"/>
      <c r="AR224" s="53" t="n"/>
      <c r="AS224" s="53" t="n"/>
      <c r="AT224" s="53" t="n"/>
      <c r="AU224" s="53" t="n"/>
      <c r="AV224" s="53" t="n"/>
      <c r="AW224" s="53" t="n"/>
      <c r="AX224" s="53" t="n"/>
      <c r="AY224" s="53" t="n"/>
    </row>
    <row r="225" ht="15" customHeight="1">
      <c r="A225" s="40">
        <f>IF($D$225="","",72)</f>
        <v/>
      </c>
      <c r="B225" s="10" t="n"/>
      <c r="C225" s="41" t="inlineStr">
        <is>
          <t>마케팅4팀</t>
        </is>
      </c>
      <c r="D225" s="42" t="n"/>
      <c r="E225" s="43" t="inlineStr">
        <is>
          <t>기획</t>
        </is>
      </c>
      <c r="F225" s="44" t="n"/>
      <c r="G225" s="45" t="n"/>
      <c r="H225" s="46">
        <f>IF($I$225="","",IF($I$225&lt;0,"🔴지연",IF($I$225&lt;=1,"🟡임박","🟢여유")))</f>
        <v/>
      </c>
      <c r="I225" s="47">
        <f>IF(OR($G$225="",$K$225=""),"",$G$225-$K$225)</f>
        <v/>
      </c>
      <c r="J225" s="48">
        <f>IF(SUM($L$225:$L$227)=0,"",SUM($L$225:$L$227))</f>
        <v/>
      </c>
      <c r="K225" s="49">
        <f>IF($J$225="","",MAX($N$225:$N$227))</f>
        <v/>
      </c>
      <c r="L225" s="50">
        <f>IF(SUM(U225:AY225)=0,"",SUM(U225:AY225))</f>
        <v/>
      </c>
      <c r="M225" s="51">
        <f>IFERROR(INDEX(U$2:AY$2,MATCH(TRUE,INDEX(U225:AY225&lt;&gt;"",0),0)),"")</f>
        <v/>
      </c>
      <c r="N225" s="51">
        <f>IFERROR(LOOKUP(2,1/(U225:AY225&lt;&gt;""),U$2:AY$2),"")</f>
        <v/>
      </c>
      <c r="O225" s="52" t="n"/>
      <c r="P225" s="52" t="n"/>
      <c r="Q225" s="52" t="n"/>
      <c r="R225" s="44" t="n"/>
      <c r="S225" s="14" t="n"/>
      <c r="U225" s="53" t="n"/>
      <c r="V225" s="53" t="n"/>
      <c r="W225" s="53" t="n"/>
      <c r="X225" s="53" t="n"/>
      <c r="Y225" s="53" t="n"/>
      <c r="Z225" s="53" t="n"/>
      <c r="AA225" s="53" t="n"/>
      <c r="AB225" s="53" t="n"/>
      <c r="AC225" s="53" t="n"/>
      <c r="AD225" s="53" t="n"/>
      <c r="AE225" s="53" t="n"/>
      <c r="AF225" s="53" t="n"/>
      <c r="AG225" s="53" t="n"/>
      <c r="AH225" s="53" t="n"/>
      <c r="AI225" s="53" t="n"/>
      <c r="AJ225" s="53" t="n"/>
      <c r="AK225" s="53" t="n"/>
      <c r="AL225" s="53" t="n"/>
      <c r="AM225" s="53" t="n"/>
      <c r="AN225" s="53" t="n"/>
      <c r="AO225" s="53" t="n"/>
      <c r="AP225" s="53" t="n"/>
      <c r="AQ225" s="53" t="n"/>
      <c r="AR225" s="53" t="n"/>
      <c r="AS225" s="53" t="n"/>
      <c r="AT225" s="53" t="n"/>
      <c r="AU225" s="53" t="n"/>
      <c r="AV225" s="53" t="n"/>
      <c r="AW225" s="53" t="n"/>
      <c r="AX225" s="53" t="n"/>
      <c r="AY225" s="53" t="n"/>
    </row>
    <row r="226" ht="15" customHeight="1">
      <c r="A226" s="54" t="n"/>
      <c r="B226" s="55">
        <f>IF($B$225="","",$B$225)</f>
        <v/>
      </c>
      <c r="C226" s="56" t="inlineStr">
        <is>
          <t>마케팅4팀</t>
        </is>
      </c>
      <c r="D226" s="55">
        <f>IF($D$225="","",$D$225)</f>
        <v/>
      </c>
      <c r="E226" s="57" t="inlineStr">
        <is>
          <t>이미지</t>
        </is>
      </c>
      <c r="F226" s="44" t="n"/>
      <c r="G226" s="58">
        <f>IF($G$225="","",$G$225)</f>
        <v/>
      </c>
      <c r="H226" s="59" t="n"/>
      <c r="I226" s="59" t="n"/>
      <c r="J226" s="59" t="n"/>
      <c r="K226" s="59" t="n"/>
      <c r="L226" s="60">
        <f>IF(SUM(U226:AY226)=0,"",SUM(U226:AY226))</f>
        <v/>
      </c>
      <c r="M226" s="61">
        <f>IFERROR(INDEX(U$2:AY$2,MATCH(TRUE,INDEX(U226:AY226&lt;&gt;"",0),0)),"")</f>
        <v/>
      </c>
      <c r="N226" s="61">
        <f>IFERROR(LOOKUP(2,1/(U226:AY226&lt;&gt;""),U$2:AY$2),"")</f>
        <v/>
      </c>
      <c r="O226" s="59" t="n"/>
      <c r="P226" s="59" t="n"/>
      <c r="Q226" s="59" t="n"/>
      <c r="R226" s="59" t="n"/>
      <c r="S226" s="14" t="n"/>
      <c r="U226" s="53" t="n"/>
      <c r="V226" s="53" t="n"/>
      <c r="W226" s="53" t="n"/>
      <c r="X226" s="53" t="n"/>
      <c r="Y226" s="53" t="n"/>
      <c r="Z226" s="53" t="n"/>
      <c r="AA226" s="53" t="n"/>
      <c r="AB226" s="53" t="n"/>
      <c r="AC226" s="53" t="n"/>
      <c r="AD226" s="53" t="n"/>
      <c r="AE226" s="53" t="n"/>
      <c r="AF226" s="53" t="n"/>
      <c r="AG226" s="53" t="n"/>
      <c r="AH226" s="53" t="n"/>
      <c r="AI226" s="53" t="n"/>
      <c r="AJ226" s="53" t="n"/>
      <c r="AK226" s="53" t="n"/>
      <c r="AL226" s="53" t="n"/>
      <c r="AM226" s="53" t="n"/>
      <c r="AN226" s="53" t="n"/>
      <c r="AO226" s="53" t="n"/>
      <c r="AP226" s="53" t="n"/>
      <c r="AQ226" s="53" t="n"/>
      <c r="AR226" s="53" t="n"/>
      <c r="AS226" s="53" t="n"/>
      <c r="AT226" s="53" t="n"/>
      <c r="AU226" s="53" t="n"/>
      <c r="AV226" s="53" t="n"/>
      <c r="AW226" s="53" t="n"/>
      <c r="AX226" s="53" t="n"/>
      <c r="AY226" s="53" t="n"/>
    </row>
    <row r="227" ht="15" customHeight="1">
      <c r="A227" s="62" t="n"/>
      <c r="B227" s="55">
        <f>IF($B$225="","",$B$225)</f>
        <v/>
      </c>
      <c r="C227" s="63" t="inlineStr">
        <is>
          <t>마케팅4팀</t>
        </is>
      </c>
      <c r="D227" s="55">
        <f>IF($D$225="","",$D$225)</f>
        <v/>
      </c>
      <c r="E227" s="64" t="inlineStr">
        <is>
          <t>영상</t>
        </is>
      </c>
      <c r="F227" s="44" t="n"/>
      <c r="G227" s="58">
        <f>IF($G$225="","",$G$225)</f>
        <v/>
      </c>
      <c r="H227" s="59" t="n"/>
      <c r="I227" s="59" t="n"/>
      <c r="J227" s="59" t="n"/>
      <c r="K227" s="59" t="n"/>
      <c r="L227" s="65">
        <f>IF(SUM(U227:AY227)=0,"",SUM(U227:AY227))</f>
        <v/>
      </c>
      <c r="M227" s="66">
        <f>IFERROR(INDEX(U$2:AY$2,MATCH(TRUE,INDEX(U227:AY227&lt;&gt;"",0),0)),"")</f>
        <v/>
      </c>
      <c r="N227" s="66">
        <f>IFERROR(LOOKUP(2,1/(U227:AY227&lt;&gt;""),U$2:AY$2),"")</f>
        <v/>
      </c>
      <c r="O227" s="59" t="n"/>
      <c r="P227" s="59" t="n"/>
      <c r="Q227" s="59" t="n"/>
      <c r="R227" s="59" t="n"/>
      <c r="S227" s="14" t="n"/>
      <c r="U227" s="53" t="n"/>
      <c r="V227" s="53" t="n"/>
      <c r="W227" s="53" t="n"/>
      <c r="X227" s="53" t="n"/>
      <c r="Y227" s="53" t="n"/>
      <c r="Z227" s="53" t="n"/>
      <c r="AA227" s="53" t="n"/>
      <c r="AB227" s="53" t="n"/>
      <c r="AC227" s="53" t="n"/>
      <c r="AD227" s="53" t="n"/>
      <c r="AE227" s="53" t="n"/>
      <c r="AF227" s="53" t="n"/>
      <c r="AG227" s="53" t="n"/>
      <c r="AH227" s="53" t="n"/>
      <c r="AI227" s="53" t="n"/>
      <c r="AJ227" s="53" t="n"/>
      <c r="AK227" s="53" t="n"/>
      <c r="AL227" s="53" t="n"/>
      <c r="AM227" s="53" t="n"/>
      <c r="AN227" s="53" t="n"/>
      <c r="AO227" s="53" t="n"/>
      <c r="AP227" s="53" t="n"/>
      <c r="AQ227" s="53" t="n"/>
      <c r="AR227" s="53" t="n"/>
      <c r="AS227" s="53" t="n"/>
      <c r="AT227" s="53" t="n"/>
      <c r="AU227" s="53" t="n"/>
      <c r="AV227" s="53" t="n"/>
      <c r="AW227" s="53" t="n"/>
      <c r="AX227" s="53" t="n"/>
      <c r="AY227" s="53" t="n"/>
    </row>
    <row r="228" ht="15" customHeight="1">
      <c r="A228" s="40">
        <f>IF($D$228="","",73)</f>
        <v/>
      </c>
      <c r="B228" s="10" t="n"/>
      <c r="C228" s="41" t="inlineStr">
        <is>
          <t>마케팅4팀</t>
        </is>
      </c>
      <c r="D228" s="42" t="n"/>
      <c r="E228" s="43" t="inlineStr">
        <is>
          <t>기획</t>
        </is>
      </c>
      <c r="F228" s="44" t="n"/>
      <c r="G228" s="45" t="n"/>
      <c r="H228" s="46">
        <f>IF($I$228="","",IF($I$228&lt;0,"🔴지연",IF($I$228&lt;=1,"🟡임박","🟢여유")))</f>
        <v/>
      </c>
      <c r="I228" s="47">
        <f>IF(OR($G$228="",$K$228=""),"",$G$228-$K$228)</f>
        <v/>
      </c>
      <c r="J228" s="48">
        <f>IF(SUM($L$228:$L$230)=0,"",SUM($L$228:$L$230))</f>
        <v/>
      </c>
      <c r="K228" s="49">
        <f>IF($J$228="","",MAX($N$228:$N$230))</f>
        <v/>
      </c>
      <c r="L228" s="50">
        <f>IF(SUM(U228:AY228)=0,"",SUM(U228:AY228))</f>
        <v/>
      </c>
      <c r="M228" s="51">
        <f>IFERROR(INDEX(U$2:AY$2,MATCH(TRUE,INDEX(U228:AY228&lt;&gt;"",0),0)),"")</f>
        <v/>
      </c>
      <c r="N228" s="51">
        <f>IFERROR(LOOKUP(2,1/(U228:AY228&lt;&gt;""),U$2:AY$2),"")</f>
        <v/>
      </c>
      <c r="O228" s="52" t="n"/>
      <c r="P228" s="52" t="n"/>
      <c r="Q228" s="52" t="n"/>
      <c r="R228" s="44" t="n"/>
      <c r="S228" s="14" t="n"/>
      <c r="U228" s="53" t="n"/>
      <c r="V228" s="53" t="n"/>
      <c r="W228" s="53" t="n"/>
      <c r="X228" s="53" t="n"/>
      <c r="Y228" s="53" t="n"/>
      <c r="Z228" s="53" t="n"/>
      <c r="AA228" s="53" t="n"/>
      <c r="AB228" s="53" t="n"/>
      <c r="AC228" s="53" t="n"/>
      <c r="AD228" s="53" t="n"/>
      <c r="AE228" s="53" t="n"/>
      <c r="AF228" s="53" t="n"/>
      <c r="AG228" s="53" t="n"/>
      <c r="AH228" s="53" t="n"/>
      <c r="AI228" s="53" t="n"/>
      <c r="AJ228" s="53" t="n"/>
      <c r="AK228" s="53" t="n"/>
      <c r="AL228" s="53" t="n"/>
      <c r="AM228" s="53" t="n"/>
      <c r="AN228" s="53" t="n"/>
      <c r="AO228" s="53" t="n"/>
      <c r="AP228" s="53" t="n"/>
      <c r="AQ228" s="53" t="n"/>
      <c r="AR228" s="53" t="n"/>
      <c r="AS228" s="53" t="n"/>
      <c r="AT228" s="53" t="n"/>
      <c r="AU228" s="53" t="n"/>
      <c r="AV228" s="53" t="n"/>
      <c r="AW228" s="53" t="n"/>
      <c r="AX228" s="53" t="n"/>
      <c r="AY228" s="53" t="n"/>
    </row>
    <row r="229" ht="15" customHeight="1">
      <c r="A229" s="54" t="n"/>
      <c r="B229" s="55">
        <f>IF($B$228="","",$B$228)</f>
        <v/>
      </c>
      <c r="C229" s="56" t="inlineStr">
        <is>
          <t>마케팅4팀</t>
        </is>
      </c>
      <c r="D229" s="55">
        <f>IF($D$228="","",$D$228)</f>
        <v/>
      </c>
      <c r="E229" s="57" t="inlineStr">
        <is>
          <t>이미지</t>
        </is>
      </c>
      <c r="F229" s="44" t="n"/>
      <c r="G229" s="58">
        <f>IF($G$228="","",$G$228)</f>
        <v/>
      </c>
      <c r="H229" s="59" t="n"/>
      <c r="I229" s="59" t="n"/>
      <c r="J229" s="59" t="n"/>
      <c r="K229" s="59" t="n"/>
      <c r="L229" s="60">
        <f>IF(SUM(U229:AY229)=0,"",SUM(U229:AY229))</f>
        <v/>
      </c>
      <c r="M229" s="61">
        <f>IFERROR(INDEX(U$2:AY$2,MATCH(TRUE,INDEX(U229:AY229&lt;&gt;"",0),0)),"")</f>
        <v/>
      </c>
      <c r="N229" s="61">
        <f>IFERROR(LOOKUP(2,1/(U229:AY229&lt;&gt;""),U$2:AY$2),"")</f>
        <v/>
      </c>
      <c r="O229" s="59" t="n"/>
      <c r="P229" s="59" t="n"/>
      <c r="Q229" s="59" t="n"/>
      <c r="R229" s="59" t="n"/>
      <c r="S229" s="14" t="n"/>
      <c r="U229" s="53" t="n"/>
      <c r="V229" s="53" t="n"/>
      <c r="W229" s="53" t="n"/>
      <c r="X229" s="53" t="n"/>
      <c r="Y229" s="53" t="n"/>
      <c r="Z229" s="53" t="n"/>
      <c r="AA229" s="53" t="n"/>
      <c r="AB229" s="53" t="n"/>
      <c r="AC229" s="53" t="n"/>
      <c r="AD229" s="53" t="n"/>
      <c r="AE229" s="53" t="n"/>
      <c r="AF229" s="53" t="n"/>
      <c r="AG229" s="53" t="n"/>
      <c r="AH229" s="53" t="n"/>
      <c r="AI229" s="53" t="n"/>
      <c r="AJ229" s="53" t="n"/>
      <c r="AK229" s="53" t="n"/>
      <c r="AL229" s="53" t="n"/>
      <c r="AM229" s="53" t="n"/>
      <c r="AN229" s="53" t="n"/>
      <c r="AO229" s="53" t="n"/>
      <c r="AP229" s="53" t="n"/>
      <c r="AQ229" s="53" t="n"/>
      <c r="AR229" s="53" t="n"/>
      <c r="AS229" s="53" t="n"/>
      <c r="AT229" s="53" t="n"/>
      <c r="AU229" s="53" t="n"/>
      <c r="AV229" s="53" t="n"/>
      <c r="AW229" s="53" t="n"/>
      <c r="AX229" s="53" t="n"/>
      <c r="AY229" s="53" t="n"/>
    </row>
    <row r="230" ht="15" customHeight="1">
      <c r="A230" s="62" t="n"/>
      <c r="B230" s="55">
        <f>IF($B$228="","",$B$228)</f>
        <v/>
      </c>
      <c r="C230" s="63" t="inlineStr">
        <is>
          <t>마케팅4팀</t>
        </is>
      </c>
      <c r="D230" s="55">
        <f>IF($D$228="","",$D$228)</f>
        <v/>
      </c>
      <c r="E230" s="64" t="inlineStr">
        <is>
          <t>영상</t>
        </is>
      </c>
      <c r="F230" s="44" t="n"/>
      <c r="G230" s="58">
        <f>IF($G$228="","",$G$228)</f>
        <v/>
      </c>
      <c r="H230" s="59" t="n"/>
      <c r="I230" s="59" t="n"/>
      <c r="J230" s="59" t="n"/>
      <c r="K230" s="59" t="n"/>
      <c r="L230" s="65">
        <f>IF(SUM(U230:AY230)=0,"",SUM(U230:AY230))</f>
        <v/>
      </c>
      <c r="M230" s="66">
        <f>IFERROR(INDEX(U$2:AY$2,MATCH(TRUE,INDEX(U230:AY230&lt;&gt;"",0),0)),"")</f>
        <v/>
      </c>
      <c r="N230" s="66">
        <f>IFERROR(LOOKUP(2,1/(U230:AY230&lt;&gt;""),U$2:AY$2),"")</f>
        <v/>
      </c>
      <c r="O230" s="59" t="n"/>
      <c r="P230" s="59" t="n"/>
      <c r="Q230" s="59" t="n"/>
      <c r="R230" s="59" t="n"/>
      <c r="S230" s="14" t="n"/>
      <c r="U230" s="53" t="n"/>
      <c r="V230" s="53" t="n"/>
      <c r="W230" s="53" t="n"/>
      <c r="X230" s="53" t="n"/>
      <c r="Y230" s="53" t="n"/>
      <c r="Z230" s="53" t="n"/>
      <c r="AA230" s="53" t="n"/>
      <c r="AB230" s="53" t="n"/>
      <c r="AC230" s="53" t="n"/>
      <c r="AD230" s="53" t="n"/>
      <c r="AE230" s="53" t="n"/>
      <c r="AF230" s="53" t="n"/>
      <c r="AG230" s="53" t="n"/>
      <c r="AH230" s="53" t="n"/>
      <c r="AI230" s="53" t="n"/>
      <c r="AJ230" s="53" t="n"/>
      <c r="AK230" s="53" t="n"/>
      <c r="AL230" s="53" t="n"/>
      <c r="AM230" s="53" t="n"/>
      <c r="AN230" s="53" t="n"/>
      <c r="AO230" s="53" t="n"/>
      <c r="AP230" s="53" t="n"/>
      <c r="AQ230" s="53" t="n"/>
      <c r="AR230" s="53" t="n"/>
      <c r="AS230" s="53" t="n"/>
      <c r="AT230" s="53" t="n"/>
      <c r="AU230" s="53" t="n"/>
      <c r="AV230" s="53" t="n"/>
      <c r="AW230" s="53" t="n"/>
      <c r="AX230" s="53" t="n"/>
      <c r="AY230" s="53" t="n"/>
    </row>
    <row r="231" ht="15" customHeight="1">
      <c r="A231" s="40">
        <f>IF($D$231="","",74)</f>
        <v/>
      </c>
      <c r="B231" s="10" t="n"/>
      <c r="C231" s="41" t="inlineStr">
        <is>
          <t>마케팅4팀</t>
        </is>
      </c>
      <c r="D231" s="42" t="n"/>
      <c r="E231" s="43" t="inlineStr">
        <is>
          <t>기획</t>
        </is>
      </c>
      <c r="F231" s="44" t="n"/>
      <c r="G231" s="45" t="n"/>
      <c r="H231" s="46">
        <f>IF($I$231="","",IF($I$231&lt;0,"🔴지연",IF($I$231&lt;=1,"🟡임박","🟢여유")))</f>
        <v/>
      </c>
      <c r="I231" s="47">
        <f>IF(OR($G$231="",$K$231=""),"",$G$231-$K$231)</f>
        <v/>
      </c>
      <c r="J231" s="48">
        <f>IF(SUM($L$231:$L$233)=0,"",SUM($L$231:$L$233))</f>
        <v/>
      </c>
      <c r="K231" s="49">
        <f>IF($J$231="","",MAX($N$231:$N$233))</f>
        <v/>
      </c>
      <c r="L231" s="50">
        <f>IF(SUM(U231:AY231)=0,"",SUM(U231:AY231))</f>
        <v/>
      </c>
      <c r="M231" s="51">
        <f>IFERROR(INDEX(U$2:AY$2,MATCH(TRUE,INDEX(U231:AY231&lt;&gt;"",0),0)),"")</f>
        <v/>
      </c>
      <c r="N231" s="51">
        <f>IFERROR(LOOKUP(2,1/(U231:AY231&lt;&gt;""),U$2:AY$2),"")</f>
        <v/>
      </c>
      <c r="O231" s="52" t="n"/>
      <c r="P231" s="52" t="n"/>
      <c r="Q231" s="52" t="n"/>
      <c r="R231" s="44" t="n"/>
      <c r="S231" s="14" t="n"/>
      <c r="U231" s="53" t="n"/>
      <c r="V231" s="53" t="n"/>
      <c r="W231" s="53" t="n"/>
      <c r="X231" s="53" t="n"/>
      <c r="Y231" s="53" t="n"/>
      <c r="Z231" s="53" t="n"/>
      <c r="AA231" s="53" t="n"/>
      <c r="AB231" s="53" t="n"/>
      <c r="AC231" s="53" t="n"/>
      <c r="AD231" s="53" t="n"/>
      <c r="AE231" s="53" t="n"/>
      <c r="AF231" s="53" t="n"/>
      <c r="AG231" s="53" t="n"/>
      <c r="AH231" s="53" t="n"/>
      <c r="AI231" s="53" t="n"/>
      <c r="AJ231" s="53" t="n"/>
      <c r="AK231" s="53" t="n"/>
      <c r="AL231" s="53" t="n"/>
      <c r="AM231" s="53" t="n"/>
      <c r="AN231" s="53" t="n"/>
      <c r="AO231" s="53" t="n"/>
      <c r="AP231" s="53" t="n"/>
      <c r="AQ231" s="53" t="n"/>
      <c r="AR231" s="53" t="n"/>
      <c r="AS231" s="53" t="n"/>
      <c r="AT231" s="53" t="n"/>
      <c r="AU231" s="53" t="n"/>
      <c r="AV231" s="53" t="n"/>
      <c r="AW231" s="53" t="n"/>
      <c r="AX231" s="53" t="n"/>
      <c r="AY231" s="53" t="n"/>
    </row>
    <row r="232" ht="15" customHeight="1">
      <c r="A232" s="54" t="n"/>
      <c r="B232" s="55">
        <f>IF($B$231="","",$B$231)</f>
        <v/>
      </c>
      <c r="C232" s="56" t="inlineStr">
        <is>
          <t>마케팅4팀</t>
        </is>
      </c>
      <c r="D232" s="55">
        <f>IF($D$231="","",$D$231)</f>
        <v/>
      </c>
      <c r="E232" s="57" t="inlineStr">
        <is>
          <t>이미지</t>
        </is>
      </c>
      <c r="F232" s="44" t="n"/>
      <c r="G232" s="58">
        <f>IF($G$231="","",$G$231)</f>
        <v/>
      </c>
      <c r="H232" s="59" t="n"/>
      <c r="I232" s="59" t="n"/>
      <c r="J232" s="59" t="n"/>
      <c r="K232" s="59" t="n"/>
      <c r="L232" s="60">
        <f>IF(SUM(U232:AY232)=0,"",SUM(U232:AY232))</f>
        <v/>
      </c>
      <c r="M232" s="61">
        <f>IFERROR(INDEX(U$2:AY$2,MATCH(TRUE,INDEX(U232:AY232&lt;&gt;"",0),0)),"")</f>
        <v/>
      </c>
      <c r="N232" s="61">
        <f>IFERROR(LOOKUP(2,1/(U232:AY232&lt;&gt;""),U$2:AY$2),"")</f>
        <v/>
      </c>
      <c r="O232" s="59" t="n"/>
      <c r="P232" s="59" t="n"/>
      <c r="Q232" s="59" t="n"/>
      <c r="R232" s="59" t="n"/>
      <c r="S232" s="14" t="n"/>
      <c r="U232" s="53" t="n"/>
      <c r="V232" s="53" t="n"/>
      <c r="W232" s="53" t="n"/>
      <c r="X232" s="53" t="n"/>
      <c r="Y232" s="53" t="n"/>
      <c r="Z232" s="53" t="n"/>
      <c r="AA232" s="53" t="n"/>
      <c r="AB232" s="53" t="n"/>
      <c r="AC232" s="53" t="n"/>
      <c r="AD232" s="53" t="n"/>
      <c r="AE232" s="53" t="n"/>
      <c r="AF232" s="53" t="n"/>
      <c r="AG232" s="53" t="n"/>
      <c r="AH232" s="53" t="n"/>
      <c r="AI232" s="53" t="n"/>
      <c r="AJ232" s="53" t="n"/>
      <c r="AK232" s="53" t="n"/>
      <c r="AL232" s="53" t="n"/>
      <c r="AM232" s="53" t="n"/>
      <c r="AN232" s="53" t="n"/>
      <c r="AO232" s="53" t="n"/>
      <c r="AP232" s="53" t="n"/>
      <c r="AQ232" s="53" t="n"/>
      <c r="AR232" s="53" t="n"/>
      <c r="AS232" s="53" t="n"/>
      <c r="AT232" s="53" t="n"/>
      <c r="AU232" s="53" t="n"/>
      <c r="AV232" s="53" t="n"/>
      <c r="AW232" s="53" t="n"/>
      <c r="AX232" s="53" t="n"/>
      <c r="AY232" s="53" t="n"/>
    </row>
    <row r="233" ht="15" customHeight="1">
      <c r="A233" s="62" t="n"/>
      <c r="B233" s="55">
        <f>IF($B$231="","",$B$231)</f>
        <v/>
      </c>
      <c r="C233" s="63" t="inlineStr">
        <is>
          <t>마케팅4팀</t>
        </is>
      </c>
      <c r="D233" s="55">
        <f>IF($D$231="","",$D$231)</f>
        <v/>
      </c>
      <c r="E233" s="64" t="inlineStr">
        <is>
          <t>영상</t>
        </is>
      </c>
      <c r="F233" s="44" t="n"/>
      <c r="G233" s="58">
        <f>IF($G$231="","",$G$231)</f>
        <v/>
      </c>
      <c r="H233" s="59" t="n"/>
      <c r="I233" s="59" t="n"/>
      <c r="J233" s="59" t="n"/>
      <c r="K233" s="59" t="n"/>
      <c r="L233" s="65">
        <f>IF(SUM(U233:AY233)=0,"",SUM(U233:AY233))</f>
        <v/>
      </c>
      <c r="M233" s="66">
        <f>IFERROR(INDEX(U$2:AY$2,MATCH(TRUE,INDEX(U233:AY233&lt;&gt;"",0),0)),"")</f>
        <v/>
      </c>
      <c r="N233" s="66">
        <f>IFERROR(LOOKUP(2,1/(U233:AY233&lt;&gt;""),U$2:AY$2),"")</f>
        <v/>
      </c>
      <c r="O233" s="59" t="n"/>
      <c r="P233" s="59" t="n"/>
      <c r="Q233" s="59" t="n"/>
      <c r="R233" s="59" t="n"/>
      <c r="S233" s="14" t="n"/>
      <c r="U233" s="53" t="n"/>
      <c r="V233" s="53" t="n"/>
      <c r="W233" s="53" t="n"/>
      <c r="X233" s="53" t="n"/>
      <c r="Y233" s="53" t="n"/>
      <c r="Z233" s="53" t="n"/>
      <c r="AA233" s="53" t="n"/>
      <c r="AB233" s="53" t="n"/>
      <c r="AC233" s="53" t="n"/>
      <c r="AD233" s="53" t="n"/>
      <c r="AE233" s="53" t="n"/>
      <c r="AF233" s="53" t="n"/>
      <c r="AG233" s="53" t="n"/>
      <c r="AH233" s="53" t="n"/>
      <c r="AI233" s="53" t="n"/>
      <c r="AJ233" s="53" t="n"/>
      <c r="AK233" s="53" t="n"/>
      <c r="AL233" s="53" t="n"/>
      <c r="AM233" s="53" t="n"/>
      <c r="AN233" s="53" t="n"/>
      <c r="AO233" s="53" t="n"/>
      <c r="AP233" s="53" t="n"/>
      <c r="AQ233" s="53" t="n"/>
      <c r="AR233" s="53" t="n"/>
      <c r="AS233" s="53" t="n"/>
      <c r="AT233" s="53" t="n"/>
      <c r="AU233" s="53" t="n"/>
      <c r="AV233" s="53" t="n"/>
      <c r="AW233" s="53" t="n"/>
      <c r="AX233" s="53" t="n"/>
      <c r="AY233" s="53" t="n"/>
    </row>
    <row r="234" ht="15" customHeight="1">
      <c r="A234" s="40">
        <f>IF($D$234="","",75)</f>
        <v/>
      </c>
      <c r="B234" s="10" t="n"/>
      <c r="C234" s="41" t="inlineStr">
        <is>
          <t>마케팅4팀</t>
        </is>
      </c>
      <c r="D234" s="42" t="n"/>
      <c r="E234" s="43" t="inlineStr">
        <is>
          <t>기획</t>
        </is>
      </c>
      <c r="F234" s="44" t="n"/>
      <c r="G234" s="45" t="n"/>
      <c r="H234" s="46">
        <f>IF($I$234="","",IF($I$234&lt;0,"🔴지연",IF($I$234&lt;=1,"🟡임박","🟢여유")))</f>
        <v/>
      </c>
      <c r="I234" s="47">
        <f>IF(OR($G$234="",$K$234=""),"",$G$234-$K$234)</f>
        <v/>
      </c>
      <c r="J234" s="48">
        <f>IF(SUM($L$234:$L$236)=0,"",SUM($L$234:$L$236))</f>
        <v/>
      </c>
      <c r="K234" s="49">
        <f>IF($J$234="","",MAX($N$234:$N$236))</f>
        <v/>
      </c>
      <c r="L234" s="50">
        <f>IF(SUM(U234:AY234)=0,"",SUM(U234:AY234))</f>
        <v/>
      </c>
      <c r="M234" s="51">
        <f>IFERROR(INDEX(U$2:AY$2,MATCH(TRUE,INDEX(U234:AY234&lt;&gt;"",0),0)),"")</f>
        <v/>
      </c>
      <c r="N234" s="51">
        <f>IFERROR(LOOKUP(2,1/(U234:AY234&lt;&gt;""),U$2:AY$2),"")</f>
        <v/>
      </c>
      <c r="O234" s="52" t="n"/>
      <c r="P234" s="52" t="n"/>
      <c r="Q234" s="52" t="n"/>
      <c r="R234" s="44" t="n"/>
      <c r="S234" s="14" t="n"/>
      <c r="U234" s="53" t="n"/>
      <c r="V234" s="53" t="n"/>
      <c r="W234" s="53" t="n"/>
      <c r="X234" s="53" t="n"/>
      <c r="Y234" s="53" t="n"/>
      <c r="Z234" s="53" t="n"/>
      <c r="AA234" s="53" t="n"/>
      <c r="AB234" s="53" t="n"/>
      <c r="AC234" s="53" t="n"/>
      <c r="AD234" s="53" t="n"/>
      <c r="AE234" s="53" t="n"/>
      <c r="AF234" s="53" t="n"/>
      <c r="AG234" s="53" t="n"/>
      <c r="AH234" s="53" t="n"/>
      <c r="AI234" s="53" t="n"/>
      <c r="AJ234" s="53" t="n"/>
      <c r="AK234" s="53" t="n"/>
      <c r="AL234" s="53" t="n"/>
      <c r="AM234" s="53" t="n"/>
      <c r="AN234" s="53" t="n"/>
      <c r="AO234" s="53" t="n"/>
      <c r="AP234" s="53" t="n"/>
      <c r="AQ234" s="53" t="n"/>
      <c r="AR234" s="53" t="n"/>
      <c r="AS234" s="53" t="n"/>
      <c r="AT234" s="53" t="n"/>
      <c r="AU234" s="53" t="n"/>
      <c r="AV234" s="53" t="n"/>
      <c r="AW234" s="53" t="n"/>
      <c r="AX234" s="53" t="n"/>
      <c r="AY234" s="53" t="n"/>
    </row>
    <row r="235" ht="15" customHeight="1">
      <c r="A235" s="54" t="n"/>
      <c r="B235" s="55">
        <f>IF($B$234="","",$B$234)</f>
        <v/>
      </c>
      <c r="C235" s="56" t="inlineStr">
        <is>
          <t>마케팅4팀</t>
        </is>
      </c>
      <c r="D235" s="55">
        <f>IF($D$234="","",$D$234)</f>
        <v/>
      </c>
      <c r="E235" s="57" t="inlineStr">
        <is>
          <t>이미지</t>
        </is>
      </c>
      <c r="F235" s="44" t="n"/>
      <c r="G235" s="58">
        <f>IF($G$234="","",$G$234)</f>
        <v/>
      </c>
      <c r="H235" s="59" t="n"/>
      <c r="I235" s="59" t="n"/>
      <c r="J235" s="59" t="n"/>
      <c r="K235" s="59" t="n"/>
      <c r="L235" s="60">
        <f>IF(SUM(U235:AY235)=0,"",SUM(U235:AY235))</f>
        <v/>
      </c>
      <c r="M235" s="61">
        <f>IFERROR(INDEX(U$2:AY$2,MATCH(TRUE,INDEX(U235:AY235&lt;&gt;"",0),0)),"")</f>
        <v/>
      </c>
      <c r="N235" s="61">
        <f>IFERROR(LOOKUP(2,1/(U235:AY235&lt;&gt;""),U$2:AY$2),"")</f>
        <v/>
      </c>
      <c r="O235" s="59" t="n"/>
      <c r="P235" s="59" t="n"/>
      <c r="Q235" s="59" t="n"/>
      <c r="R235" s="59" t="n"/>
      <c r="S235" s="14" t="n"/>
      <c r="U235" s="53" t="n"/>
      <c r="V235" s="53" t="n"/>
      <c r="W235" s="53" t="n"/>
      <c r="X235" s="53" t="n"/>
      <c r="Y235" s="53" t="n"/>
      <c r="Z235" s="53" t="n"/>
      <c r="AA235" s="53" t="n"/>
      <c r="AB235" s="53" t="n"/>
      <c r="AC235" s="53" t="n"/>
      <c r="AD235" s="53" t="n"/>
      <c r="AE235" s="53" t="n"/>
      <c r="AF235" s="53" t="n"/>
      <c r="AG235" s="53" t="n"/>
      <c r="AH235" s="53" t="n"/>
      <c r="AI235" s="53" t="n"/>
      <c r="AJ235" s="53" t="n"/>
      <c r="AK235" s="53" t="n"/>
      <c r="AL235" s="53" t="n"/>
      <c r="AM235" s="53" t="n"/>
      <c r="AN235" s="53" t="n"/>
      <c r="AO235" s="53" t="n"/>
      <c r="AP235" s="53" t="n"/>
      <c r="AQ235" s="53" t="n"/>
      <c r="AR235" s="53" t="n"/>
      <c r="AS235" s="53" t="n"/>
      <c r="AT235" s="53" t="n"/>
      <c r="AU235" s="53" t="n"/>
      <c r="AV235" s="53" t="n"/>
      <c r="AW235" s="53" t="n"/>
      <c r="AX235" s="53" t="n"/>
      <c r="AY235" s="53" t="n"/>
    </row>
    <row r="236" ht="15" customHeight="1">
      <c r="A236" s="62" t="n"/>
      <c r="B236" s="55">
        <f>IF($B$234="","",$B$234)</f>
        <v/>
      </c>
      <c r="C236" s="63" t="inlineStr">
        <is>
          <t>마케팅4팀</t>
        </is>
      </c>
      <c r="D236" s="55">
        <f>IF($D$234="","",$D$234)</f>
        <v/>
      </c>
      <c r="E236" s="64" t="inlineStr">
        <is>
          <t>영상</t>
        </is>
      </c>
      <c r="F236" s="44" t="n"/>
      <c r="G236" s="58">
        <f>IF($G$234="","",$G$234)</f>
        <v/>
      </c>
      <c r="H236" s="59" t="n"/>
      <c r="I236" s="59" t="n"/>
      <c r="J236" s="59" t="n"/>
      <c r="K236" s="59" t="n"/>
      <c r="L236" s="65">
        <f>IF(SUM(U236:AY236)=0,"",SUM(U236:AY236))</f>
        <v/>
      </c>
      <c r="M236" s="66">
        <f>IFERROR(INDEX(U$2:AY$2,MATCH(TRUE,INDEX(U236:AY236&lt;&gt;"",0),0)),"")</f>
        <v/>
      </c>
      <c r="N236" s="66">
        <f>IFERROR(LOOKUP(2,1/(U236:AY236&lt;&gt;""),U$2:AY$2),"")</f>
        <v/>
      </c>
      <c r="O236" s="59" t="n"/>
      <c r="P236" s="59" t="n"/>
      <c r="Q236" s="59" t="n"/>
      <c r="R236" s="59" t="n"/>
      <c r="S236" s="14" t="n"/>
      <c r="U236" s="53" t="n"/>
      <c r="V236" s="53" t="n"/>
      <c r="W236" s="53" t="n"/>
      <c r="X236" s="53" t="n"/>
      <c r="Y236" s="53" t="n"/>
      <c r="Z236" s="53" t="n"/>
      <c r="AA236" s="53" t="n"/>
      <c r="AB236" s="53" t="n"/>
      <c r="AC236" s="53" t="n"/>
      <c r="AD236" s="53" t="n"/>
      <c r="AE236" s="53" t="n"/>
      <c r="AF236" s="53" t="n"/>
      <c r="AG236" s="53" t="n"/>
      <c r="AH236" s="53" t="n"/>
      <c r="AI236" s="53" t="n"/>
      <c r="AJ236" s="53" t="n"/>
      <c r="AK236" s="53" t="n"/>
      <c r="AL236" s="53" t="n"/>
      <c r="AM236" s="53" t="n"/>
      <c r="AN236" s="53" t="n"/>
      <c r="AO236" s="53" t="n"/>
      <c r="AP236" s="53" t="n"/>
      <c r="AQ236" s="53" t="n"/>
      <c r="AR236" s="53" t="n"/>
      <c r="AS236" s="53" t="n"/>
      <c r="AT236" s="53" t="n"/>
      <c r="AU236" s="53" t="n"/>
      <c r="AV236" s="53" t="n"/>
      <c r="AW236" s="53" t="n"/>
      <c r="AX236" s="53" t="n"/>
      <c r="AY236" s="53" t="n"/>
    </row>
    <row r="237" ht="15" customHeight="1">
      <c r="A237" s="40">
        <f>IF($D$237="","",76)</f>
        <v/>
      </c>
      <c r="B237" s="10" t="n"/>
      <c r="C237" s="41" t="inlineStr">
        <is>
          <t>마케팅4팀</t>
        </is>
      </c>
      <c r="D237" s="42" t="n"/>
      <c r="E237" s="43" t="inlineStr">
        <is>
          <t>기획</t>
        </is>
      </c>
      <c r="F237" s="44" t="n"/>
      <c r="G237" s="45" t="n"/>
      <c r="H237" s="46">
        <f>IF($I$237="","",IF($I$237&lt;0,"🔴지연",IF($I$237&lt;=1,"🟡임박","🟢여유")))</f>
        <v/>
      </c>
      <c r="I237" s="47">
        <f>IF(OR($G$237="",$K$237=""),"",$G$237-$K$237)</f>
        <v/>
      </c>
      <c r="J237" s="48">
        <f>IF(SUM($L$237:$L$239)=0,"",SUM($L$237:$L$239))</f>
        <v/>
      </c>
      <c r="K237" s="49">
        <f>IF($J$237="","",MAX($N$237:$N$239))</f>
        <v/>
      </c>
      <c r="L237" s="50">
        <f>IF(SUM(U237:AY237)=0,"",SUM(U237:AY237))</f>
        <v/>
      </c>
      <c r="M237" s="51">
        <f>IFERROR(INDEX(U$2:AY$2,MATCH(TRUE,INDEX(U237:AY237&lt;&gt;"",0),0)),"")</f>
        <v/>
      </c>
      <c r="N237" s="51">
        <f>IFERROR(LOOKUP(2,1/(U237:AY237&lt;&gt;""),U$2:AY$2),"")</f>
        <v/>
      </c>
      <c r="O237" s="52" t="n"/>
      <c r="P237" s="52" t="n"/>
      <c r="Q237" s="52" t="n"/>
      <c r="R237" s="44" t="n"/>
      <c r="S237" s="14" t="n"/>
      <c r="U237" s="53" t="n"/>
      <c r="V237" s="53" t="n"/>
      <c r="W237" s="53" t="n"/>
      <c r="X237" s="53" t="n"/>
      <c r="Y237" s="53" t="n"/>
      <c r="Z237" s="53" t="n"/>
      <c r="AA237" s="53" t="n"/>
      <c r="AB237" s="53" t="n"/>
      <c r="AC237" s="53" t="n"/>
      <c r="AD237" s="53" t="n"/>
      <c r="AE237" s="53" t="n"/>
      <c r="AF237" s="53" t="n"/>
      <c r="AG237" s="53" t="n"/>
      <c r="AH237" s="53" t="n"/>
      <c r="AI237" s="53" t="n"/>
      <c r="AJ237" s="53" t="n"/>
      <c r="AK237" s="53" t="n"/>
      <c r="AL237" s="53" t="n"/>
      <c r="AM237" s="53" t="n"/>
      <c r="AN237" s="53" t="n"/>
      <c r="AO237" s="53" t="n"/>
      <c r="AP237" s="53" t="n"/>
      <c r="AQ237" s="53" t="n"/>
      <c r="AR237" s="53" t="n"/>
      <c r="AS237" s="53" t="n"/>
      <c r="AT237" s="53" t="n"/>
      <c r="AU237" s="53" t="n"/>
      <c r="AV237" s="53" t="n"/>
      <c r="AW237" s="53" t="n"/>
      <c r="AX237" s="53" t="n"/>
      <c r="AY237" s="53" t="n"/>
    </row>
    <row r="238" ht="15" customHeight="1">
      <c r="A238" s="54" t="n"/>
      <c r="B238" s="55">
        <f>IF($B$237="","",$B$237)</f>
        <v/>
      </c>
      <c r="C238" s="56" t="inlineStr">
        <is>
          <t>마케팅4팀</t>
        </is>
      </c>
      <c r="D238" s="55">
        <f>IF($D$237="","",$D$237)</f>
        <v/>
      </c>
      <c r="E238" s="57" t="inlineStr">
        <is>
          <t>이미지</t>
        </is>
      </c>
      <c r="F238" s="44" t="n"/>
      <c r="G238" s="58">
        <f>IF($G$237="","",$G$237)</f>
        <v/>
      </c>
      <c r="H238" s="59" t="n"/>
      <c r="I238" s="59" t="n"/>
      <c r="J238" s="59" t="n"/>
      <c r="K238" s="59" t="n"/>
      <c r="L238" s="60">
        <f>IF(SUM(U238:AY238)=0,"",SUM(U238:AY238))</f>
        <v/>
      </c>
      <c r="M238" s="61">
        <f>IFERROR(INDEX(U$2:AY$2,MATCH(TRUE,INDEX(U238:AY238&lt;&gt;"",0),0)),"")</f>
        <v/>
      </c>
      <c r="N238" s="61">
        <f>IFERROR(LOOKUP(2,1/(U238:AY238&lt;&gt;""),U$2:AY$2),"")</f>
        <v/>
      </c>
      <c r="O238" s="59" t="n"/>
      <c r="P238" s="59" t="n"/>
      <c r="Q238" s="59" t="n"/>
      <c r="R238" s="59" t="n"/>
      <c r="S238" s="14" t="n"/>
      <c r="U238" s="53" t="n"/>
      <c r="V238" s="53" t="n"/>
      <c r="W238" s="53" t="n"/>
      <c r="X238" s="53" t="n"/>
      <c r="Y238" s="53" t="n"/>
      <c r="Z238" s="53" t="n"/>
      <c r="AA238" s="53" t="n"/>
      <c r="AB238" s="53" t="n"/>
      <c r="AC238" s="53" t="n"/>
      <c r="AD238" s="53" t="n"/>
      <c r="AE238" s="53" t="n"/>
      <c r="AF238" s="53" t="n"/>
      <c r="AG238" s="53" t="n"/>
      <c r="AH238" s="53" t="n"/>
      <c r="AI238" s="53" t="n"/>
      <c r="AJ238" s="53" t="n"/>
      <c r="AK238" s="53" t="n"/>
      <c r="AL238" s="53" t="n"/>
      <c r="AM238" s="53" t="n"/>
      <c r="AN238" s="53" t="n"/>
      <c r="AO238" s="53" t="n"/>
      <c r="AP238" s="53" t="n"/>
      <c r="AQ238" s="53" t="n"/>
      <c r="AR238" s="53" t="n"/>
      <c r="AS238" s="53" t="n"/>
      <c r="AT238" s="53" t="n"/>
      <c r="AU238" s="53" t="n"/>
      <c r="AV238" s="53" t="n"/>
      <c r="AW238" s="53" t="n"/>
      <c r="AX238" s="53" t="n"/>
      <c r="AY238" s="53" t="n"/>
    </row>
    <row r="239" ht="15" customHeight="1">
      <c r="A239" s="62" t="n"/>
      <c r="B239" s="55">
        <f>IF($B$237="","",$B$237)</f>
        <v/>
      </c>
      <c r="C239" s="63" t="inlineStr">
        <is>
          <t>마케팅4팀</t>
        </is>
      </c>
      <c r="D239" s="55">
        <f>IF($D$237="","",$D$237)</f>
        <v/>
      </c>
      <c r="E239" s="64" t="inlineStr">
        <is>
          <t>영상</t>
        </is>
      </c>
      <c r="F239" s="44" t="n"/>
      <c r="G239" s="58">
        <f>IF($G$237="","",$G$237)</f>
        <v/>
      </c>
      <c r="H239" s="59" t="n"/>
      <c r="I239" s="59" t="n"/>
      <c r="J239" s="59" t="n"/>
      <c r="K239" s="59" t="n"/>
      <c r="L239" s="65">
        <f>IF(SUM(U239:AY239)=0,"",SUM(U239:AY239))</f>
        <v/>
      </c>
      <c r="M239" s="66">
        <f>IFERROR(INDEX(U$2:AY$2,MATCH(TRUE,INDEX(U239:AY239&lt;&gt;"",0),0)),"")</f>
        <v/>
      </c>
      <c r="N239" s="66">
        <f>IFERROR(LOOKUP(2,1/(U239:AY239&lt;&gt;""),U$2:AY$2),"")</f>
        <v/>
      </c>
      <c r="O239" s="59" t="n"/>
      <c r="P239" s="59" t="n"/>
      <c r="Q239" s="59" t="n"/>
      <c r="R239" s="59" t="n"/>
      <c r="S239" s="14" t="n"/>
      <c r="U239" s="53" t="n"/>
      <c r="V239" s="53" t="n"/>
      <c r="W239" s="53" t="n"/>
      <c r="X239" s="53" t="n"/>
      <c r="Y239" s="53" t="n"/>
      <c r="Z239" s="53" t="n"/>
      <c r="AA239" s="53" t="n"/>
      <c r="AB239" s="53" t="n"/>
      <c r="AC239" s="53" t="n"/>
      <c r="AD239" s="53" t="n"/>
      <c r="AE239" s="53" t="n"/>
      <c r="AF239" s="53" t="n"/>
      <c r="AG239" s="53" t="n"/>
      <c r="AH239" s="53" t="n"/>
      <c r="AI239" s="53" t="n"/>
      <c r="AJ239" s="53" t="n"/>
      <c r="AK239" s="53" t="n"/>
      <c r="AL239" s="53" t="n"/>
      <c r="AM239" s="53" t="n"/>
      <c r="AN239" s="53" t="n"/>
      <c r="AO239" s="53" t="n"/>
      <c r="AP239" s="53" t="n"/>
      <c r="AQ239" s="53" t="n"/>
      <c r="AR239" s="53" t="n"/>
      <c r="AS239" s="53" t="n"/>
      <c r="AT239" s="53" t="n"/>
      <c r="AU239" s="53" t="n"/>
      <c r="AV239" s="53" t="n"/>
      <c r="AW239" s="53" t="n"/>
      <c r="AX239" s="53" t="n"/>
      <c r="AY239" s="53" t="n"/>
    </row>
    <row r="240" ht="15" customHeight="1">
      <c r="A240" s="40">
        <f>IF($D$240="","",77)</f>
        <v/>
      </c>
      <c r="B240" s="10" t="n"/>
      <c r="C240" s="41" t="inlineStr">
        <is>
          <t>마케팅4팀</t>
        </is>
      </c>
      <c r="D240" s="42" t="n"/>
      <c r="E240" s="43" t="inlineStr">
        <is>
          <t>기획</t>
        </is>
      </c>
      <c r="F240" s="44" t="n"/>
      <c r="G240" s="45" t="n"/>
      <c r="H240" s="46">
        <f>IF($I$240="","",IF($I$240&lt;0,"🔴지연",IF($I$240&lt;=1,"🟡임박","🟢여유")))</f>
        <v/>
      </c>
      <c r="I240" s="47">
        <f>IF(OR($G$240="",$K$240=""),"",$G$240-$K$240)</f>
        <v/>
      </c>
      <c r="J240" s="48">
        <f>IF(SUM($L$240:$L$242)=0,"",SUM($L$240:$L$242))</f>
        <v/>
      </c>
      <c r="K240" s="49">
        <f>IF($J$240="","",MAX($N$240:$N$242))</f>
        <v/>
      </c>
      <c r="L240" s="50">
        <f>IF(SUM(U240:AY240)=0,"",SUM(U240:AY240))</f>
        <v/>
      </c>
      <c r="M240" s="51">
        <f>IFERROR(INDEX(U$2:AY$2,MATCH(TRUE,INDEX(U240:AY240&lt;&gt;"",0),0)),"")</f>
        <v/>
      </c>
      <c r="N240" s="51">
        <f>IFERROR(LOOKUP(2,1/(U240:AY240&lt;&gt;""),U$2:AY$2),"")</f>
        <v/>
      </c>
      <c r="O240" s="52" t="n"/>
      <c r="P240" s="52" t="n"/>
      <c r="Q240" s="52" t="n"/>
      <c r="R240" s="44" t="n"/>
      <c r="S240" s="14" t="n"/>
      <c r="U240" s="53" t="n"/>
      <c r="V240" s="53" t="n"/>
      <c r="W240" s="53" t="n"/>
      <c r="X240" s="53" t="n"/>
      <c r="Y240" s="53" t="n"/>
      <c r="Z240" s="53" t="n"/>
      <c r="AA240" s="53" t="n"/>
      <c r="AB240" s="53" t="n"/>
      <c r="AC240" s="53" t="n"/>
      <c r="AD240" s="53" t="n"/>
      <c r="AE240" s="53" t="n"/>
      <c r="AF240" s="53" t="n"/>
      <c r="AG240" s="53" t="n"/>
      <c r="AH240" s="53" t="n"/>
      <c r="AI240" s="53" t="n"/>
      <c r="AJ240" s="53" t="n"/>
      <c r="AK240" s="53" t="n"/>
      <c r="AL240" s="53" t="n"/>
      <c r="AM240" s="53" t="n"/>
      <c r="AN240" s="53" t="n"/>
      <c r="AO240" s="53" t="n"/>
      <c r="AP240" s="53" t="n"/>
      <c r="AQ240" s="53" t="n"/>
      <c r="AR240" s="53" t="n"/>
      <c r="AS240" s="53" t="n"/>
      <c r="AT240" s="53" t="n"/>
      <c r="AU240" s="53" t="n"/>
      <c r="AV240" s="53" t="n"/>
      <c r="AW240" s="53" t="n"/>
      <c r="AX240" s="53" t="n"/>
      <c r="AY240" s="53" t="n"/>
    </row>
    <row r="241" ht="15" customHeight="1">
      <c r="A241" s="54" t="n"/>
      <c r="B241" s="55">
        <f>IF($B$240="","",$B$240)</f>
        <v/>
      </c>
      <c r="C241" s="56" t="inlineStr">
        <is>
          <t>마케팅4팀</t>
        </is>
      </c>
      <c r="D241" s="55">
        <f>IF($D$240="","",$D$240)</f>
        <v/>
      </c>
      <c r="E241" s="57" t="inlineStr">
        <is>
          <t>이미지</t>
        </is>
      </c>
      <c r="F241" s="44" t="n"/>
      <c r="G241" s="58">
        <f>IF($G$240="","",$G$240)</f>
        <v/>
      </c>
      <c r="H241" s="59" t="n"/>
      <c r="I241" s="59" t="n"/>
      <c r="J241" s="59" t="n"/>
      <c r="K241" s="59" t="n"/>
      <c r="L241" s="60">
        <f>IF(SUM(U241:AY241)=0,"",SUM(U241:AY241))</f>
        <v/>
      </c>
      <c r="M241" s="61">
        <f>IFERROR(INDEX(U$2:AY$2,MATCH(TRUE,INDEX(U241:AY241&lt;&gt;"",0),0)),"")</f>
        <v/>
      </c>
      <c r="N241" s="61">
        <f>IFERROR(LOOKUP(2,1/(U241:AY241&lt;&gt;""),U$2:AY$2),"")</f>
        <v/>
      </c>
      <c r="O241" s="59" t="n"/>
      <c r="P241" s="59" t="n"/>
      <c r="Q241" s="59" t="n"/>
      <c r="R241" s="59" t="n"/>
      <c r="S241" s="14" t="n"/>
      <c r="U241" s="53" t="n"/>
      <c r="V241" s="53" t="n"/>
      <c r="W241" s="53" t="n"/>
      <c r="X241" s="53" t="n"/>
      <c r="Y241" s="53" t="n"/>
      <c r="Z241" s="53" t="n"/>
      <c r="AA241" s="53" t="n"/>
      <c r="AB241" s="53" t="n"/>
      <c r="AC241" s="53" t="n"/>
      <c r="AD241" s="53" t="n"/>
      <c r="AE241" s="53" t="n"/>
      <c r="AF241" s="53" t="n"/>
      <c r="AG241" s="53" t="n"/>
      <c r="AH241" s="53" t="n"/>
      <c r="AI241" s="53" t="n"/>
      <c r="AJ241" s="53" t="n"/>
      <c r="AK241" s="53" t="n"/>
      <c r="AL241" s="53" t="n"/>
      <c r="AM241" s="53" t="n"/>
      <c r="AN241" s="53" t="n"/>
      <c r="AO241" s="53" t="n"/>
      <c r="AP241" s="53" t="n"/>
      <c r="AQ241" s="53" t="n"/>
      <c r="AR241" s="53" t="n"/>
      <c r="AS241" s="53" t="n"/>
      <c r="AT241" s="53" t="n"/>
      <c r="AU241" s="53" t="n"/>
      <c r="AV241" s="53" t="n"/>
      <c r="AW241" s="53" t="n"/>
      <c r="AX241" s="53" t="n"/>
      <c r="AY241" s="53" t="n"/>
    </row>
    <row r="242" ht="15" customHeight="1">
      <c r="A242" s="62" t="n"/>
      <c r="B242" s="55">
        <f>IF($B$240="","",$B$240)</f>
        <v/>
      </c>
      <c r="C242" s="63" t="inlineStr">
        <is>
          <t>마케팅4팀</t>
        </is>
      </c>
      <c r="D242" s="55">
        <f>IF($D$240="","",$D$240)</f>
        <v/>
      </c>
      <c r="E242" s="64" t="inlineStr">
        <is>
          <t>영상</t>
        </is>
      </c>
      <c r="F242" s="44" t="n"/>
      <c r="G242" s="58">
        <f>IF($G$240="","",$G$240)</f>
        <v/>
      </c>
      <c r="H242" s="59" t="n"/>
      <c r="I242" s="59" t="n"/>
      <c r="J242" s="59" t="n"/>
      <c r="K242" s="59" t="n"/>
      <c r="L242" s="65">
        <f>IF(SUM(U242:AY242)=0,"",SUM(U242:AY242))</f>
        <v/>
      </c>
      <c r="M242" s="66">
        <f>IFERROR(INDEX(U$2:AY$2,MATCH(TRUE,INDEX(U242:AY242&lt;&gt;"",0),0)),"")</f>
        <v/>
      </c>
      <c r="N242" s="66">
        <f>IFERROR(LOOKUP(2,1/(U242:AY242&lt;&gt;""),U$2:AY$2),"")</f>
        <v/>
      </c>
      <c r="O242" s="59" t="n"/>
      <c r="P242" s="59" t="n"/>
      <c r="Q242" s="59" t="n"/>
      <c r="R242" s="59" t="n"/>
      <c r="S242" s="14" t="n"/>
      <c r="U242" s="53" t="n"/>
      <c r="V242" s="53" t="n"/>
      <c r="W242" s="53" t="n"/>
      <c r="X242" s="53" t="n"/>
      <c r="Y242" s="53" t="n"/>
      <c r="Z242" s="53" t="n"/>
      <c r="AA242" s="53" t="n"/>
      <c r="AB242" s="53" t="n"/>
      <c r="AC242" s="53" t="n"/>
      <c r="AD242" s="53" t="n"/>
      <c r="AE242" s="53" t="n"/>
      <c r="AF242" s="53" t="n"/>
      <c r="AG242" s="53" t="n"/>
      <c r="AH242" s="53" t="n"/>
      <c r="AI242" s="53" t="n"/>
      <c r="AJ242" s="53" t="n"/>
      <c r="AK242" s="53" t="n"/>
      <c r="AL242" s="53" t="n"/>
      <c r="AM242" s="53" t="n"/>
      <c r="AN242" s="53" t="n"/>
      <c r="AO242" s="53" t="n"/>
      <c r="AP242" s="53" t="n"/>
      <c r="AQ242" s="53" t="n"/>
      <c r="AR242" s="53" t="n"/>
      <c r="AS242" s="53" t="n"/>
      <c r="AT242" s="53" t="n"/>
      <c r="AU242" s="53" t="n"/>
      <c r="AV242" s="53" t="n"/>
      <c r="AW242" s="53" t="n"/>
      <c r="AX242" s="53" t="n"/>
      <c r="AY242" s="53" t="n"/>
    </row>
    <row r="243" ht="15" customHeight="1">
      <c r="A243" s="40">
        <f>IF($D$243="","",78)</f>
        <v/>
      </c>
      <c r="B243" s="10" t="n"/>
      <c r="C243" s="41" t="inlineStr">
        <is>
          <t>마케팅4팀</t>
        </is>
      </c>
      <c r="D243" s="42" t="n"/>
      <c r="E243" s="43" t="inlineStr">
        <is>
          <t>기획</t>
        </is>
      </c>
      <c r="F243" s="44" t="n"/>
      <c r="G243" s="45" t="n"/>
      <c r="H243" s="46">
        <f>IF($I$243="","",IF($I$243&lt;0,"🔴지연",IF($I$243&lt;=1,"🟡임박","🟢여유")))</f>
        <v/>
      </c>
      <c r="I243" s="47">
        <f>IF(OR($G$243="",$K$243=""),"",$G$243-$K$243)</f>
        <v/>
      </c>
      <c r="J243" s="48">
        <f>IF(SUM($L$243:$L$245)=0,"",SUM($L$243:$L$245))</f>
        <v/>
      </c>
      <c r="K243" s="49">
        <f>IF($J$243="","",MAX($N$243:$N$245))</f>
        <v/>
      </c>
      <c r="L243" s="50">
        <f>IF(SUM(U243:AY243)=0,"",SUM(U243:AY243))</f>
        <v/>
      </c>
      <c r="M243" s="51">
        <f>IFERROR(INDEX(U$2:AY$2,MATCH(TRUE,INDEX(U243:AY243&lt;&gt;"",0),0)),"")</f>
        <v/>
      </c>
      <c r="N243" s="51">
        <f>IFERROR(LOOKUP(2,1/(U243:AY243&lt;&gt;""),U$2:AY$2),"")</f>
        <v/>
      </c>
      <c r="O243" s="52" t="n"/>
      <c r="P243" s="52" t="n"/>
      <c r="Q243" s="52" t="n"/>
      <c r="R243" s="44" t="n"/>
      <c r="S243" s="14" t="n"/>
      <c r="U243" s="53" t="n"/>
      <c r="V243" s="53" t="n"/>
      <c r="W243" s="53" t="n"/>
      <c r="X243" s="53" t="n"/>
      <c r="Y243" s="53" t="n"/>
      <c r="Z243" s="53" t="n"/>
      <c r="AA243" s="53" t="n"/>
      <c r="AB243" s="53" t="n"/>
      <c r="AC243" s="53" t="n"/>
      <c r="AD243" s="53" t="n"/>
      <c r="AE243" s="53" t="n"/>
      <c r="AF243" s="53" t="n"/>
      <c r="AG243" s="53" t="n"/>
      <c r="AH243" s="53" t="n"/>
      <c r="AI243" s="53" t="n"/>
      <c r="AJ243" s="53" t="n"/>
      <c r="AK243" s="53" t="n"/>
      <c r="AL243" s="53" t="n"/>
      <c r="AM243" s="53" t="n"/>
      <c r="AN243" s="53" t="n"/>
      <c r="AO243" s="53" t="n"/>
      <c r="AP243" s="53" t="n"/>
      <c r="AQ243" s="53" t="n"/>
      <c r="AR243" s="53" t="n"/>
      <c r="AS243" s="53" t="n"/>
      <c r="AT243" s="53" t="n"/>
      <c r="AU243" s="53" t="n"/>
      <c r="AV243" s="53" t="n"/>
      <c r="AW243" s="53" t="n"/>
      <c r="AX243" s="53" t="n"/>
      <c r="AY243" s="53" t="n"/>
    </row>
    <row r="244" ht="15" customHeight="1">
      <c r="A244" s="54" t="n"/>
      <c r="B244" s="55">
        <f>IF($B$243="","",$B$243)</f>
        <v/>
      </c>
      <c r="C244" s="56" t="inlineStr">
        <is>
          <t>마케팅4팀</t>
        </is>
      </c>
      <c r="D244" s="55">
        <f>IF($D$243="","",$D$243)</f>
        <v/>
      </c>
      <c r="E244" s="57" t="inlineStr">
        <is>
          <t>이미지</t>
        </is>
      </c>
      <c r="F244" s="44" t="n"/>
      <c r="G244" s="58">
        <f>IF($G$243="","",$G$243)</f>
        <v/>
      </c>
      <c r="H244" s="59" t="n"/>
      <c r="I244" s="59" t="n"/>
      <c r="J244" s="59" t="n"/>
      <c r="K244" s="59" t="n"/>
      <c r="L244" s="60">
        <f>IF(SUM(U244:AY244)=0,"",SUM(U244:AY244))</f>
        <v/>
      </c>
      <c r="M244" s="61">
        <f>IFERROR(INDEX(U$2:AY$2,MATCH(TRUE,INDEX(U244:AY244&lt;&gt;"",0),0)),"")</f>
        <v/>
      </c>
      <c r="N244" s="61">
        <f>IFERROR(LOOKUP(2,1/(U244:AY244&lt;&gt;""),U$2:AY$2),"")</f>
        <v/>
      </c>
      <c r="O244" s="59" t="n"/>
      <c r="P244" s="59" t="n"/>
      <c r="Q244" s="59" t="n"/>
      <c r="R244" s="59" t="n"/>
      <c r="S244" s="14" t="n"/>
      <c r="U244" s="53" t="n"/>
      <c r="V244" s="53" t="n"/>
      <c r="W244" s="53" t="n"/>
      <c r="X244" s="53" t="n"/>
      <c r="Y244" s="53" t="n"/>
      <c r="Z244" s="53" t="n"/>
      <c r="AA244" s="53" t="n"/>
      <c r="AB244" s="53" t="n"/>
      <c r="AC244" s="53" t="n"/>
      <c r="AD244" s="53" t="n"/>
      <c r="AE244" s="53" t="n"/>
      <c r="AF244" s="53" t="n"/>
      <c r="AG244" s="53" t="n"/>
      <c r="AH244" s="53" t="n"/>
      <c r="AI244" s="53" t="n"/>
      <c r="AJ244" s="53" t="n"/>
      <c r="AK244" s="53" t="n"/>
      <c r="AL244" s="53" t="n"/>
      <c r="AM244" s="53" t="n"/>
      <c r="AN244" s="53" t="n"/>
      <c r="AO244" s="53" t="n"/>
      <c r="AP244" s="53" t="n"/>
      <c r="AQ244" s="53" t="n"/>
      <c r="AR244" s="53" t="n"/>
      <c r="AS244" s="53" t="n"/>
      <c r="AT244" s="53" t="n"/>
      <c r="AU244" s="53" t="n"/>
      <c r="AV244" s="53" t="n"/>
      <c r="AW244" s="53" t="n"/>
      <c r="AX244" s="53" t="n"/>
      <c r="AY244" s="53" t="n"/>
    </row>
    <row r="245" ht="15" customHeight="1">
      <c r="A245" s="62" t="n"/>
      <c r="B245" s="55">
        <f>IF($B$243="","",$B$243)</f>
        <v/>
      </c>
      <c r="C245" s="63" t="inlineStr">
        <is>
          <t>마케팅4팀</t>
        </is>
      </c>
      <c r="D245" s="55">
        <f>IF($D$243="","",$D$243)</f>
        <v/>
      </c>
      <c r="E245" s="64" t="inlineStr">
        <is>
          <t>영상</t>
        </is>
      </c>
      <c r="F245" s="44" t="n"/>
      <c r="G245" s="58">
        <f>IF($G$243="","",$G$243)</f>
        <v/>
      </c>
      <c r="H245" s="59" t="n"/>
      <c r="I245" s="59" t="n"/>
      <c r="J245" s="59" t="n"/>
      <c r="K245" s="59" t="n"/>
      <c r="L245" s="65">
        <f>IF(SUM(U245:AY245)=0,"",SUM(U245:AY245))</f>
        <v/>
      </c>
      <c r="M245" s="66">
        <f>IFERROR(INDEX(U$2:AY$2,MATCH(TRUE,INDEX(U245:AY245&lt;&gt;"",0),0)),"")</f>
        <v/>
      </c>
      <c r="N245" s="66">
        <f>IFERROR(LOOKUP(2,1/(U245:AY245&lt;&gt;""),U$2:AY$2),"")</f>
        <v/>
      </c>
      <c r="O245" s="59" t="n"/>
      <c r="P245" s="59" t="n"/>
      <c r="Q245" s="59" t="n"/>
      <c r="R245" s="59" t="n"/>
      <c r="S245" s="14" t="n"/>
      <c r="U245" s="53" t="n"/>
      <c r="V245" s="53" t="n"/>
      <c r="W245" s="53" t="n"/>
      <c r="X245" s="53" t="n"/>
      <c r="Y245" s="53" t="n"/>
      <c r="Z245" s="53" t="n"/>
      <c r="AA245" s="53" t="n"/>
      <c r="AB245" s="53" t="n"/>
      <c r="AC245" s="53" t="n"/>
      <c r="AD245" s="53" t="n"/>
      <c r="AE245" s="53" t="n"/>
      <c r="AF245" s="53" t="n"/>
      <c r="AG245" s="53" t="n"/>
      <c r="AH245" s="53" t="n"/>
      <c r="AI245" s="53" t="n"/>
      <c r="AJ245" s="53" t="n"/>
      <c r="AK245" s="53" t="n"/>
      <c r="AL245" s="53" t="n"/>
      <c r="AM245" s="53" t="n"/>
      <c r="AN245" s="53" t="n"/>
      <c r="AO245" s="53" t="n"/>
      <c r="AP245" s="53" t="n"/>
      <c r="AQ245" s="53" t="n"/>
      <c r="AR245" s="53" t="n"/>
      <c r="AS245" s="53" t="n"/>
      <c r="AT245" s="53" t="n"/>
      <c r="AU245" s="53" t="n"/>
      <c r="AV245" s="53" t="n"/>
      <c r="AW245" s="53" t="n"/>
      <c r="AX245" s="53" t="n"/>
      <c r="AY245" s="53" t="n"/>
    </row>
    <row r="246" ht="15" customHeight="1">
      <c r="A246" s="40">
        <f>IF($D$246="","",79)</f>
        <v/>
      </c>
      <c r="B246" s="10" t="n"/>
      <c r="C246" s="41" t="inlineStr">
        <is>
          <t>마케팅4팀</t>
        </is>
      </c>
      <c r="D246" s="42" t="n"/>
      <c r="E246" s="43" t="inlineStr">
        <is>
          <t>기획</t>
        </is>
      </c>
      <c r="F246" s="44" t="n"/>
      <c r="G246" s="45" t="n"/>
      <c r="H246" s="46">
        <f>IF($I$246="","",IF($I$246&lt;0,"🔴지연",IF($I$246&lt;=1,"🟡임박","🟢여유")))</f>
        <v/>
      </c>
      <c r="I246" s="47">
        <f>IF(OR($G$246="",$K$246=""),"",$G$246-$K$246)</f>
        <v/>
      </c>
      <c r="J246" s="48">
        <f>IF(SUM($L$246:$L$248)=0,"",SUM($L$246:$L$248))</f>
        <v/>
      </c>
      <c r="K246" s="49">
        <f>IF($J$246="","",MAX($N$246:$N$248))</f>
        <v/>
      </c>
      <c r="L246" s="50">
        <f>IF(SUM(U246:AY246)=0,"",SUM(U246:AY246))</f>
        <v/>
      </c>
      <c r="M246" s="51">
        <f>IFERROR(INDEX(U$2:AY$2,MATCH(TRUE,INDEX(U246:AY246&lt;&gt;"",0),0)),"")</f>
        <v/>
      </c>
      <c r="N246" s="51">
        <f>IFERROR(LOOKUP(2,1/(U246:AY246&lt;&gt;""),U$2:AY$2),"")</f>
        <v/>
      </c>
      <c r="O246" s="52" t="n"/>
      <c r="P246" s="52" t="n"/>
      <c r="Q246" s="52" t="n"/>
      <c r="R246" s="44" t="n"/>
      <c r="S246" s="14" t="n"/>
      <c r="U246" s="53" t="n"/>
      <c r="V246" s="53" t="n"/>
      <c r="W246" s="53" t="n"/>
      <c r="X246" s="53" t="n"/>
      <c r="Y246" s="53" t="n"/>
      <c r="Z246" s="53" t="n"/>
      <c r="AA246" s="53" t="n"/>
      <c r="AB246" s="53" t="n"/>
      <c r="AC246" s="53" t="n"/>
      <c r="AD246" s="53" t="n"/>
      <c r="AE246" s="53" t="n"/>
      <c r="AF246" s="53" t="n"/>
      <c r="AG246" s="53" t="n"/>
      <c r="AH246" s="53" t="n"/>
      <c r="AI246" s="53" t="n"/>
      <c r="AJ246" s="53" t="n"/>
      <c r="AK246" s="53" t="n"/>
      <c r="AL246" s="53" t="n"/>
      <c r="AM246" s="53" t="n"/>
      <c r="AN246" s="53" t="n"/>
      <c r="AO246" s="53" t="n"/>
      <c r="AP246" s="53" t="n"/>
      <c r="AQ246" s="53" t="n"/>
      <c r="AR246" s="53" t="n"/>
      <c r="AS246" s="53" t="n"/>
      <c r="AT246" s="53" t="n"/>
      <c r="AU246" s="53" t="n"/>
      <c r="AV246" s="53" t="n"/>
      <c r="AW246" s="53" t="n"/>
      <c r="AX246" s="53" t="n"/>
      <c r="AY246" s="53" t="n"/>
    </row>
    <row r="247" ht="15" customHeight="1">
      <c r="A247" s="54" t="n"/>
      <c r="B247" s="55">
        <f>IF($B$246="","",$B$246)</f>
        <v/>
      </c>
      <c r="C247" s="56" t="inlineStr">
        <is>
          <t>마케팅4팀</t>
        </is>
      </c>
      <c r="D247" s="55">
        <f>IF($D$246="","",$D$246)</f>
        <v/>
      </c>
      <c r="E247" s="57" t="inlineStr">
        <is>
          <t>이미지</t>
        </is>
      </c>
      <c r="F247" s="44" t="n"/>
      <c r="G247" s="58">
        <f>IF($G$246="","",$G$246)</f>
        <v/>
      </c>
      <c r="H247" s="59" t="n"/>
      <c r="I247" s="59" t="n"/>
      <c r="J247" s="59" t="n"/>
      <c r="K247" s="59" t="n"/>
      <c r="L247" s="60">
        <f>IF(SUM(U247:AY247)=0,"",SUM(U247:AY247))</f>
        <v/>
      </c>
      <c r="M247" s="61">
        <f>IFERROR(INDEX(U$2:AY$2,MATCH(TRUE,INDEX(U247:AY247&lt;&gt;"",0),0)),"")</f>
        <v/>
      </c>
      <c r="N247" s="61">
        <f>IFERROR(LOOKUP(2,1/(U247:AY247&lt;&gt;""),U$2:AY$2),"")</f>
        <v/>
      </c>
      <c r="O247" s="59" t="n"/>
      <c r="P247" s="59" t="n"/>
      <c r="Q247" s="59" t="n"/>
      <c r="R247" s="59" t="n"/>
      <c r="S247" s="14" t="n"/>
      <c r="U247" s="53" t="n"/>
      <c r="V247" s="53" t="n"/>
      <c r="W247" s="53" t="n"/>
      <c r="X247" s="53" t="n"/>
      <c r="Y247" s="53" t="n"/>
      <c r="Z247" s="53" t="n"/>
      <c r="AA247" s="53" t="n"/>
      <c r="AB247" s="53" t="n"/>
      <c r="AC247" s="53" t="n"/>
      <c r="AD247" s="53" t="n"/>
      <c r="AE247" s="53" t="n"/>
      <c r="AF247" s="53" t="n"/>
      <c r="AG247" s="53" t="n"/>
      <c r="AH247" s="53" t="n"/>
      <c r="AI247" s="53" t="n"/>
      <c r="AJ247" s="53" t="n"/>
      <c r="AK247" s="53" t="n"/>
      <c r="AL247" s="53" t="n"/>
      <c r="AM247" s="53" t="n"/>
      <c r="AN247" s="53" t="n"/>
      <c r="AO247" s="53" t="n"/>
      <c r="AP247" s="53" t="n"/>
      <c r="AQ247" s="53" t="n"/>
      <c r="AR247" s="53" t="n"/>
      <c r="AS247" s="53" t="n"/>
      <c r="AT247" s="53" t="n"/>
      <c r="AU247" s="53" t="n"/>
      <c r="AV247" s="53" t="n"/>
      <c r="AW247" s="53" t="n"/>
      <c r="AX247" s="53" t="n"/>
      <c r="AY247" s="53" t="n"/>
    </row>
    <row r="248" ht="15" customHeight="1">
      <c r="A248" s="62" t="n"/>
      <c r="B248" s="55">
        <f>IF($B$246="","",$B$246)</f>
        <v/>
      </c>
      <c r="C248" s="63" t="inlineStr">
        <is>
          <t>마케팅4팀</t>
        </is>
      </c>
      <c r="D248" s="55">
        <f>IF($D$246="","",$D$246)</f>
        <v/>
      </c>
      <c r="E248" s="64" t="inlineStr">
        <is>
          <t>영상</t>
        </is>
      </c>
      <c r="F248" s="44" t="n"/>
      <c r="G248" s="58">
        <f>IF($G$246="","",$G$246)</f>
        <v/>
      </c>
      <c r="H248" s="59" t="n"/>
      <c r="I248" s="59" t="n"/>
      <c r="J248" s="59" t="n"/>
      <c r="K248" s="59" t="n"/>
      <c r="L248" s="65">
        <f>IF(SUM(U248:AY248)=0,"",SUM(U248:AY248))</f>
        <v/>
      </c>
      <c r="M248" s="66">
        <f>IFERROR(INDEX(U$2:AY$2,MATCH(TRUE,INDEX(U248:AY248&lt;&gt;"",0),0)),"")</f>
        <v/>
      </c>
      <c r="N248" s="66">
        <f>IFERROR(LOOKUP(2,1/(U248:AY248&lt;&gt;""),U$2:AY$2),"")</f>
        <v/>
      </c>
      <c r="O248" s="59" t="n"/>
      <c r="P248" s="59" t="n"/>
      <c r="Q248" s="59" t="n"/>
      <c r="R248" s="59" t="n"/>
      <c r="S248" s="14" t="n"/>
      <c r="U248" s="53" t="n"/>
      <c r="V248" s="53" t="n"/>
      <c r="W248" s="53" t="n"/>
      <c r="X248" s="53" t="n"/>
      <c r="Y248" s="53" t="n"/>
      <c r="Z248" s="53" t="n"/>
      <c r="AA248" s="53" t="n"/>
      <c r="AB248" s="53" t="n"/>
      <c r="AC248" s="53" t="n"/>
      <c r="AD248" s="53" t="n"/>
      <c r="AE248" s="53" t="n"/>
      <c r="AF248" s="53" t="n"/>
      <c r="AG248" s="53" t="n"/>
      <c r="AH248" s="53" t="n"/>
      <c r="AI248" s="53" t="n"/>
      <c r="AJ248" s="53" t="n"/>
      <c r="AK248" s="53" t="n"/>
      <c r="AL248" s="53" t="n"/>
      <c r="AM248" s="53" t="n"/>
      <c r="AN248" s="53" t="n"/>
      <c r="AO248" s="53" t="n"/>
      <c r="AP248" s="53" t="n"/>
      <c r="AQ248" s="53" t="n"/>
      <c r="AR248" s="53" t="n"/>
      <c r="AS248" s="53" t="n"/>
      <c r="AT248" s="53" t="n"/>
      <c r="AU248" s="53" t="n"/>
      <c r="AV248" s="53" t="n"/>
      <c r="AW248" s="53" t="n"/>
      <c r="AX248" s="53" t="n"/>
      <c r="AY248" s="53" t="n"/>
    </row>
    <row r="249" ht="15" customHeight="1">
      <c r="A249" s="40">
        <f>IF($D$249="","",80)</f>
        <v/>
      </c>
      <c r="B249" s="10" t="n"/>
      <c r="C249" s="41" t="inlineStr">
        <is>
          <t>마케팅4팀</t>
        </is>
      </c>
      <c r="D249" s="42" t="n"/>
      <c r="E249" s="43" t="inlineStr">
        <is>
          <t>기획</t>
        </is>
      </c>
      <c r="F249" s="44" t="n"/>
      <c r="G249" s="45" t="n"/>
      <c r="H249" s="46">
        <f>IF($I$249="","",IF($I$249&lt;0,"🔴지연",IF($I$249&lt;=1,"🟡임박","🟢여유")))</f>
        <v/>
      </c>
      <c r="I249" s="47">
        <f>IF(OR($G$249="",$K$249=""),"",$G$249-$K$249)</f>
        <v/>
      </c>
      <c r="J249" s="48">
        <f>IF(SUM($L$249:$L$251)=0,"",SUM($L$249:$L$251))</f>
        <v/>
      </c>
      <c r="K249" s="49">
        <f>IF($J$249="","",MAX($N$249:$N$251))</f>
        <v/>
      </c>
      <c r="L249" s="50">
        <f>IF(SUM(U249:AY249)=0,"",SUM(U249:AY249))</f>
        <v/>
      </c>
      <c r="M249" s="51">
        <f>IFERROR(INDEX(U$2:AY$2,MATCH(TRUE,INDEX(U249:AY249&lt;&gt;"",0),0)),"")</f>
        <v/>
      </c>
      <c r="N249" s="51">
        <f>IFERROR(LOOKUP(2,1/(U249:AY249&lt;&gt;""),U$2:AY$2),"")</f>
        <v/>
      </c>
      <c r="O249" s="52" t="n"/>
      <c r="P249" s="52" t="n"/>
      <c r="Q249" s="52" t="n"/>
      <c r="R249" s="44" t="n"/>
      <c r="S249" s="14" t="n"/>
      <c r="U249" s="53" t="n"/>
      <c r="V249" s="53" t="n"/>
      <c r="W249" s="53" t="n"/>
      <c r="X249" s="53" t="n"/>
      <c r="Y249" s="53" t="n"/>
      <c r="Z249" s="53" t="n"/>
      <c r="AA249" s="53" t="n"/>
      <c r="AB249" s="53" t="n"/>
      <c r="AC249" s="53" t="n"/>
      <c r="AD249" s="53" t="n"/>
      <c r="AE249" s="53" t="n"/>
      <c r="AF249" s="53" t="n"/>
      <c r="AG249" s="53" t="n"/>
      <c r="AH249" s="53" t="n"/>
      <c r="AI249" s="53" t="n"/>
      <c r="AJ249" s="53" t="n"/>
      <c r="AK249" s="53" t="n"/>
      <c r="AL249" s="53" t="n"/>
      <c r="AM249" s="53" t="n"/>
      <c r="AN249" s="53" t="n"/>
      <c r="AO249" s="53" t="n"/>
      <c r="AP249" s="53" t="n"/>
      <c r="AQ249" s="53" t="n"/>
      <c r="AR249" s="53" t="n"/>
      <c r="AS249" s="53" t="n"/>
      <c r="AT249" s="53" t="n"/>
      <c r="AU249" s="53" t="n"/>
      <c r="AV249" s="53" t="n"/>
      <c r="AW249" s="53" t="n"/>
      <c r="AX249" s="53" t="n"/>
      <c r="AY249" s="53" t="n"/>
    </row>
    <row r="250" ht="15" customHeight="1">
      <c r="A250" s="54" t="n"/>
      <c r="B250" s="55">
        <f>IF($B$249="","",$B$249)</f>
        <v/>
      </c>
      <c r="C250" s="56" t="inlineStr">
        <is>
          <t>마케팅4팀</t>
        </is>
      </c>
      <c r="D250" s="55">
        <f>IF($D$249="","",$D$249)</f>
        <v/>
      </c>
      <c r="E250" s="57" t="inlineStr">
        <is>
          <t>이미지</t>
        </is>
      </c>
      <c r="F250" s="44" t="n"/>
      <c r="G250" s="58">
        <f>IF($G$249="","",$G$249)</f>
        <v/>
      </c>
      <c r="H250" s="59" t="n"/>
      <c r="I250" s="59" t="n"/>
      <c r="J250" s="59" t="n"/>
      <c r="K250" s="59" t="n"/>
      <c r="L250" s="60">
        <f>IF(SUM(U250:AY250)=0,"",SUM(U250:AY250))</f>
        <v/>
      </c>
      <c r="M250" s="61">
        <f>IFERROR(INDEX(U$2:AY$2,MATCH(TRUE,INDEX(U250:AY250&lt;&gt;"",0),0)),"")</f>
        <v/>
      </c>
      <c r="N250" s="61">
        <f>IFERROR(LOOKUP(2,1/(U250:AY250&lt;&gt;""),U$2:AY$2),"")</f>
        <v/>
      </c>
      <c r="O250" s="59" t="n"/>
      <c r="P250" s="59" t="n"/>
      <c r="Q250" s="59" t="n"/>
      <c r="R250" s="59" t="n"/>
      <c r="S250" s="14" t="n"/>
      <c r="U250" s="53" t="n"/>
      <c r="V250" s="53" t="n"/>
      <c r="W250" s="53" t="n"/>
      <c r="X250" s="53" t="n"/>
      <c r="Y250" s="53" t="n"/>
      <c r="Z250" s="53" t="n"/>
      <c r="AA250" s="53" t="n"/>
      <c r="AB250" s="53" t="n"/>
      <c r="AC250" s="53" t="n"/>
      <c r="AD250" s="53" t="n"/>
      <c r="AE250" s="53" t="n"/>
      <c r="AF250" s="53" t="n"/>
      <c r="AG250" s="53" t="n"/>
      <c r="AH250" s="53" t="n"/>
      <c r="AI250" s="53" t="n"/>
      <c r="AJ250" s="53" t="n"/>
      <c r="AK250" s="53" t="n"/>
      <c r="AL250" s="53" t="n"/>
      <c r="AM250" s="53" t="n"/>
      <c r="AN250" s="53" t="n"/>
      <c r="AO250" s="53" t="n"/>
      <c r="AP250" s="53" t="n"/>
      <c r="AQ250" s="53" t="n"/>
      <c r="AR250" s="53" t="n"/>
      <c r="AS250" s="53" t="n"/>
      <c r="AT250" s="53" t="n"/>
      <c r="AU250" s="53" t="n"/>
      <c r="AV250" s="53" t="n"/>
      <c r="AW250" s="53" t="n"/>
      <c r="AX250" s="53" t="n"/>
      <c r="AY250" s="53" t="n"/>
    </row>
    <row r="251" ht="15" customHeight="1">
      <c r="A251" s="62" t="n"/>
      <c r="B251" s="55">
        <f>IF($B$249="","",$B$249)</f>
        <v/>
      </c>
      <c r="C251" s="63" t="inlineStr">
        <is>
          <t>마케팅4팀</t>
        </is>
      </c>
      <c r="D251" s="55">
        <f>IF($D$249="","",$D$249)</f>
        <v/>
      </c>
      <c r="E251" s="64" t="inlineStr">
        <is>
          <t>영상</t>
        </is>
      </c>
      <c r="F251" s="44" t="n"/>
      <c r="G251" s="58">
        <f>IF($G$249="","",$G$249)</f>
        <v/>
      </c>
      <c r="H251" s="59" t="n"/>
      <c r="I251" s="59" t="n"/>
      <c r="J251" s="59" t="n"/>
      <c r="K251" s="59" t="n"/>
      <c r="L251" s="65">
        <f>IF(SUM(U251:AY251)=0,"",SUM(U251:AY251))</f>
        <v/>
      </c>
      <c r="M251" s="66">
        <f>IFERROR(INDEX(U$2:AY$2,MATCH(TRUE,INDEX(U251:AY251&lt;&gt;"",0),0)),"")</f>
        <v/>
      </c>
      <c r="N251" s="66">
        <f>IFERROR(LOOKUP(2,1/(U251:AY251&lt;&gt;""),U$2:AY$2),"")</f>
        <v/>
      </c>
      <c r="O251" s="59" t="n"/>
      <c r="P251" s="59" t="n"/>
      <c r="Q251" s="59" t="n"/>
      <c r="R251" s="59" t="n"/>
      <c r="S251" s="14" t="n"/>
      <c r="U251" s="53" t="n"/>
      <c r="V251" s="53" t="n"/>
      <c r="W251" s="53" t="n"/>
      <c r="X251" s="53" t="n"/>
      <c r="Y251" s="53" t="n"/>
      <c r="Z251" s="53" t="n"/>
      <c r="AA251" s="53" t="n"/>
      <c r="AB251" s="53" t="n"/>
      <c r="AC251" s="53" t="n"/>
      <c r="AD251" s="53" t="n"/>
      <c r="AE251" s="53" t="n"/>
      <c r="AF251" s="53" t="n"/>
      <c r="AG251" s="53" t="n"/>
      <c r="AH251" s="53" t="n"/>
      <c r="AI251" s="53" t="n"/>
      <c r="AJ251" s="53" t="n"/>
      <c r="AK251" s="53" t="n"/>
      <c r="AL251" s="53" t="n"/>
      <c r="AM251" s="53" t="n"/>
      <c r="AN251" s="53" t="n"/>
      <c r="AO251" s="53" t="n"/>
      <c r="AP251" s="53" t="n"/>
      <c r="AQ251" s="53" t="n"/>
      <c r="AR251" s="53" t="n"/>
      <c r="AS251" s="53" t="n"/>
      <c r="AT251" s="53" t="n"/>
      <c r="AU251" s="53" t="n"/>
      <c r="AV251" s="53" t="n"/>
      <c r="AW251" s="53" t="n"/>
      <c r="AX251" s="53" t="n"/>
      <c r="AY251" s="53" t="n"/>
    </row>
    <row r="252" ht="18" customHeight="1">
      <c r="A252" s="39" t="inlineStr">
        <is>
          <t>기타   (253~312행 · 소재 20개)</t>
        </is>
      </c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  <c r="AA252" s="8" t="n"/>
      <c r="AB252" s="8" t="n"/>
      <c r="AC252" s="8" t="n"/>
      <c r="AD252" s="8" t="n"/>
      <c r="AE252" s="8" t="n"/>
      <c r="AF252" s="8" t="n"/>
      <c r="AG252" s="8" t="n"/>
      <c r="AH252" s="8" t="n"/>
      <c r="AI252" s="8" t="n"/>
      <c r="AJ252" s="8" t="n"/>
      <c r="AK252" s="8" t="n"/>
      <c r="AL252" s="8" t="n"/>
      <c r="AM252" s="8" t="n"/>
      <c r="AN252" s="8" t="n"/>
      <c r="AO252" s="8" t="n"/>
      <c r="AP252" s="8" t="n"/>
      <c r="AQ252" s="8" t="n"/>
      <c r="AR252" s="8" t="n"/>
      <c r="AS252" s="8" t="n"/>
      <c r="AT252" s="8" t="n"/>
      <c r="AU252" s="8" t="n"/>
      <c r="AV252" s="8" t="n"/>
      <c r="AW252" s="8" t="n"/>
      <c r="AX252" s="8" t="n"/>
      <c r="AY252" s="4" t="n"/>
    </row>
    <row r="253" ht="15" customHeight="1">
      <c r="A253" s="40">
        <f>IF($D$253="","",81)</f>
        <v/>
      </c>
      <c r="B253" s="10" t="n"/>
      <c r="C253" s="41" t="inlineStr">
        <is>
          <t>기타</t>
        </is>
      </c>
      <c r="D253" s="42" t="n"/>
      <c r="E253" s="43" t="inlineStr">
        <is>
          <t>기획</t>
        </is>
      </c>
      <c r="F253" s="44" t="n"/>
      <c r="G253" s="45" t="n"/>
      <c r="H253" s="46">
        <f>IF($I$253="","",IF($I$253&lt;0,"🔴지연",IF($I$253&lt;=1,"🟡임박","🟢여유")))</f>
        <v/>
      </c>
      <c r="I253" s="47">
        <f>IF(OR($G$253="",$K$253=""),"",$G$253-$K$253)</f>
        <v/>
      </c>
      <c r="J253" s="48">
        <f>IF(SUM($L$253:$L$255)=0,"",SUM($L$253:$L$255))</f>
        <v/>
      </c>
      <c r="K253" s="49">
        <f>IF($J$253="","",MAX($N$253:$N$255))</f>
        <v/>
      </c>
      <c r="L253" s="50">
        <f>IF(SUM(U253:AY253)=0,"",SUM(U253:AY253))</f>
        <v/>
      </c>
      <c r="M253" s="51">
        <f>IFERROR(INDEX(U$2:AY$2,MATCH(TRUE,INDEX(U253:AY253&lt;&gt;"",0),0)),"")</f>
        <v/>
      </c>
      <c r="N253" s="51">
        <f>IFERROR(LOOKUP(2,1/(U253:AY253&lt;&gt;""),U$2:AY$2),"")</f>
        <v/>
      </c>
      <c r="O253" s="52" t="n"/>
      <c r="P253" s="52" t="n"/>
      <c r="Q253" s="52" t="n"/>
      <c r="R253" s="44" t="n"/>
      <c r="S253" s="14" t="n"/>
      <c r="U253" s="53" t="n"/>
      <c r="V253" s="53" t="n"/>
      <c r="W253" s="53" t="n"/>
      <c r="X253" s="53" t="n"/>
      <c r="Y253" s="53" t="n"/>
      <c r="Z253" s="53" t="n"/>
      <c r="AA253" s="53" t="n"/>
      <c r="AB253" s="53" t="n"/>
      <c r="AC253" s="53" t="n"/>
      <c r="AD253" s="53" t="n"/>
      <c r="AE253" s="53" t="n"/>
      <c r="AF253" s="53" t="n"/>
      <c r="AG253" s="53" t="n"/>
      <c r="AH253" s="53" t="n"/>
      <c r="AI253" s="53" t="n"/>
      <c r="AJ253" s="53" t="n"/>
      <c r="AK253" s="53" t="n"/>
      <c r="AL253" s="53" t="n"/>
      <c r="AM253" s="53" t="n"/>
      <c r="AN253" s="53" t="n"/>
      <c r="AO253" s="53" t="n"/>
      <c r="AP253" s="53" t="n"/>
      <c r="AQ253" s="53" t="n"/>
      <c r="AR253" s="53" t="n"/>
      <c r="AS253" s="53" t="n"/>
      <c r="AT253" s="53" t="n"/>
      <c r="AU253" s="53" t="n"/>
      <c r="AV253" s="53" t="n"/>
      <c r="AW253" s="53" t="n"/>
      <c r="AX253" s="53" t="n"/>
      <c r="AY253" s="53" t="n"/>
    </row>
    <row r="254" ht="15" customHeight="1">
      <c r="A254" s="54" t="n"/>
      <c r="B254" s="55">
        <f>IF($B$253="","",$B$253)</f>
        <v/>
      </c>
      <c r="C254" s="56" t="inlineStr">
        <is>
          <t>기타</t>
        </is>
      </c>
      <c r="D254" s="55">
        <f>IF($D$253="","",$D$253)</f>
        <v/>
      </c>
      <c r="E254" s="57" t="inlineStr">
        <is>
          <t>이미지</t>
        </is>
      </c>
      <c r="F254" s="44" t="n"/>
      <c r="G254" s="58">
        <f>IF($G$253="","",$G$253)</f>
        <v/>
      </c>
      <c r="H254" s="59" t="n"/>
      <c r="I254" s="59" t="n"/>
      <c r="J254" s="59" t="n"/>
      <c r="K254" s="59" t="n"/>
      <c r="L254" s="60">
        <f>IF(SUM(U254:AY254)=0,"",SUM(U254:AY254))</f>
        <v/>
      </c>
      <c r="M254" s="61">
        <f>IFERROR(INDEX(U$2:AY$2,MATCH(TRUE,INDEX(U254:AY254&lt;&gt;"",0),0)),"")</f>
        <v/>
      </c>
      <c r="N254" s="61">
        <f>IFERROR(LOOKUP(2,1/(U254:AY254&lt;&gt;""),U$2:AY$2),"")</f>
        <v/>
      </c>
      <c r="O254" s="59" t="n"/>
      <c r="P254" s="59" t="n"/>
      <c r="Q254" s="59" t="n"/>
      <c r="R254" s="59" t="n"/>
      <c r="S254" s="14" t="n"/>
      <c r="U254" s="53" t="n"/>
      <c r="V254" s="53" t="n"/>
      <c r="W254" s="53" t="n"/>
      <c r="X254" s="53" t="n"/>
      <c r="Y254" s="53" t="n"/>
      <c r="Z254" s="53" t="n"/>
      <c r="AA254" s="53" t="n"/>
      <c r="AB254" s="53" t="n"/>
      <c r="AC254" s="53" t="n"/>
      <c r="AD254" s="53" t="n"/>
      <c r="AE254" s="53" t="n"/>
      <c r="AF254" s="53" t="n"/>
      <c r="AG254" s="53" t="n"/>
      <c r="AH254" s="53" t="n"/>
      <c r="AI254" s="53" t="n"/>
      <c r="AJ254" s="53" t="n"/>
      <c r="AK254" s="53" t="n"/>
      <c r="AL254" s="53" t="n"/>
      <c r="AM254" s="53" t="n"/>
      <c r="AN254" s="53" t="n"/>
      <c r="AO254" s="53" t="n"/>
      <c r="AP254" s="53" t="n"/>
      <c r="AQ254" s="53" t="n"/>
      <c r="AR254" s="53" t="n"/>
      <c r="AS254" s="53" t="n"/>
      <c r="AT254" s="53" t="n"/>
      <c r="AU254" s="53" t="n"/>
      <c r="AV254" s="53" t="n"/>
      <c r="AW254" s="53" t="n"/>
      <c r="AX254" s="53" t="n"/>
      <c r="AY254" s="53" t="n"/>
    </row>
    <row r="255" ht="15" customHeight="1">
      <c r="A255" s="62" t="n"/>
      <c r="B255" s="55">
        <f>IF($B$253="","",$B$253)</f>
        <v/>
      </c>
      <c r="C255" s="63" t="inlineStr">
        <is>
          <t>기타</t>
        </is>
      </c>
      <c r="D255" s="55">
        <f>IF($D$253="","",$D$253)</f>
        <v/>
      </c>
      <c r="E255" s="64" t="inlineStr">
        <is>
          <t>영상</t>
        </is>
      </c>
      <c r="F255" s="44" t="n"/>
      <c r="G255" s="58">
        <f>IF($G$253="","",$G$253)</f>
        <v/>
      </c>
      <c r="H255" s="59" t="n"/>
      <c r="I255" s="59" t="n"/>
      <c r="J255" s="59" t="n"/>
      <c r="K255" s="59" t="n"/>
      <c r="L255" s="65">
        <f>IF(SUM(U255:AY255)=0,"",SUM(U255:AY255))</f>
        <v/>
      </c>
      <c r="M255" s="66">
        <f>IFERROR(INDEX(U$2:AY$2,MATCH(TRUE,INDEX(U255:AY255&lt;&gt;"",0),0)),"")</f>
        <v/>
      </c>
      <c r="N255" s="66">
        <f>IFERROR(LOOKUP(2,1/(U255:AY255&lt;&gt;""),U$2:AY$2),"")</f>
        <v/>
      </c>
      <c r="O255" s="59" t="n"/>
      <c r="P255" s="59" t="n"/>
      <c r="Q255" s="59" t="n"/>
      <c r="R255" s="59" t="n"/>
      <c r="S255" s="14" t="n"/>
      <c r="U255" s="53" t="n"/>
      <c r="V255" s="53" t="n"/>
      <c r="W255" s="53" t="n"/>
      <c r="X255" s="53" t="n"/>
      <c r="Y255" s="53" t="n"/>
      <c r="Z255" s="53" t="n"/>
      <c r="AA255" s="53" t="n"/>
      <c r="AB255" s="53" t="n"/>
      <c r="AC255" s="53" t="n"/>
      <c r="AD255" s="53" t="n"/>
      <c r="AE255" s="53" t="n"/>
      <c r="AF255" s="53" t="n"/>
      <c r="AG255" s="53" t="n"/>
      <c r="AH255" s="53" t="n"/>
      <c r="AI255" s="53" t="n"/>
      <c r="AJ255" s="53" t="n"/>
      <c r="AK255" s="53" t="n"/>
      <c r="AL255" s="53" t="n"/>
      <c r="AM255" s="53" t="n"/>
      <c r="AN255" s="53" t="n"/>
      <c r="AO255" s="53" t="n"/>
      <c r="AP255" s="53" t="n"/>
      <c r="AQ255" s="53" t="n"/>
      <c r="AR255" s="53" t="n"/>
      <c r="AS255" s="53" t="n"/>
      <c r="AT255" s="53" t="n"/>
      <c r="AU255" s="53" t="n"/>
      <c r="AV255" s="53" t="n"/>
      <c r="AW255" s="53" t="n"/>
      <c r="AX255" s="53" t="n"/>
      <c r="AY255" s="53" t="n"/>
    </row>
    <row r="256" ht="15" customHeight="1">
      <c r="A256" s="40">
        <f>IF($D$256="","",82)</f>
        <v/>
      </c>
      <c r="B256" s="10" t="n"/>
      <c r="C256" s="41" t="inlineStr">
        <is>
          <t>기타</t>
        </is>
      </c>
      <c r="D256" s="42" t="n"/>
      <c r="E256" s="43" t="inlineStr">
        <is>
          <t>기획</t>
        </is>
      </c>
      <c r="F256" s="44" t="n"/>
      <c r="G256" s="45" t="n"/>
      <c r="H256" s="46">
        <f>IF($I$256="","",IF($I$256&lt;0,"🔴지연",IF($I$256&lt;=1,"🟡임박","🟢여유")))</f>
        <v/>
      </c>
      <c r="I256" s="47">
        <f>IF(OR($G$256="",$K$256=""),"",$G$256-$K$256)</f>
        <v/>
      </c>
      <c r="J256" s="48">
        <f>IF(SUM($L$256:$L$258)=0,"",SUM($L$256:$L$258))</f>
        <v/>
      </c>
      <c r="K256" s="49">
        <f>IF($J$256="","",MAX($N$256:$N$258))</f>
        <v/>
      </c>
      <c r="L256" s="50">
        <f>IF(SUM(U256:AY256)=0,"",SUM(U256:AY256))</f>
        <v/>
      </c>
      <c r="M256" s="51">
        <f>IFERROR(INDEX(U$2:AY$2,MATCH(TRUE,INDEX(U256:AY256&lt;&gt;"",0),0)),"")</f>
        <v/>
      </c>
      <c r="N256" s="51">
        <f>IFERROR(LOOKUP(2,1/(U256:AY256&lt;&gt;""),U$2:AY$2),"")</f>
        <v/>
      </c>
      <c r="O256" s="52" t="n"/>
      <c r="P256" s="52" t="n"/>
      <c r="Q256" s="52" t="n"/>
      <c r="R256" s="44" t="n"/>
      <c r="S256" s="14" t="n"/>
      <c r="U256" s="53" t="n"/>
      <c r="V256" s="53" t="n"/>
      <c r="W256" s="53" t="n"/>
      <c r="X256" s="53" t="n"/>
      <c r="Y256" s="53" t="n"/>
      <c r="Z256" s="53" t="n"/>
      <c r="AA256" s="53" t="n"/>
      <c r="AB256" s="53" t="n"/>
      <c r="AC256" s="53" t="n"/>
      <c r="AD256" s="53" t="n"/>
      <c r="AE256" s="53" t="n"/>
      <c r="AF256" s="53" t="n"/>
      <c r="AG256" s="53" t="n"/>
      <c r="AH256" s="53" t="n"/>
      <c r="AI256" s="53" t="n"/>
      <c r="AJ256" s="53" t="n"/>
      <c r="AK256" s="53" t="n"/>
      <c r="AL256" s="53" t="n"/>
      <c r="AM256" s="53" t="n"/>
      <c r="AN256" s="53" t="n"/>
      <c r="AO256" s="53" t="n"/>
      <c r="AP256" s="53" t="n"/>
      <c r="AQ256" s="53" t="n"/>
      <c r="AR256" s="53" t="n"/>
      <c r="AS256" s="53" t="n"/>
      <c r="AT256" s="53" t="n"/>
      <c r="AU256" s="53" t="n"/>
      <c r="AV256" s="53" t="n"/>
      <c r="AW256" s="53" t="n"/>
      <c r="AX256" s="53" t="n"/>
      <c r="AY256" s="53" t="n"/>
    </row>
    <row r="257" ht="15" customHeight="1">
      <c r="A257" s="54" t="n"/>
      <c r="B257" s="55">
        <f>IF($B$256="","",$B$256)</f>
        <v/>
      </c>
      <c r="C257" s="56" t="inlineStr">
        <is>
          <t>기타</t>
        </is>
      </c>
      <c r="D257" s="55">
        <f>IF($D$256="","",$D$256)</f>
        <v/>
      </c>
      <c r="E257" s="57" t="inlineStr">
        <is>
          <t>이미지</t>
        </is>
      </c>
      <c r="F257" s="44" t="n"/>
      <c r="G257" s="58">
        <f>IF($G$256="","",$G$256)</f>
        <v/>
      </c>
      <c r="H257" s="59" t="n"/>
      <c r="I257" s="59" t="n"/>
      <c r="J257" s="59" t="n"/>
      <c r="K257" s="59" t="n"/>
      <c r="L257" s="60">
        <f>IF(SUM(U257:AY257)=0,"",SUM(U257:AY257))</f>
        <v/>
      </c>
      <c r="M257" s="61">
        <f>IFERROR(INDEX(U$2:AY$2,MATCH(TRUE,INDEX(U257:AY257&lt;&gt;"",0),0)),"")</f>
        <v/>
      </c>
      <c r="N257" s="61">
        <f>IFERROR(LOOKUP(2,1/(U257:AY257&lt;&gt;""),U$2:AY$2),"")</f>
        <v/>
      </c>
      <c r="O257" s="59" t="n"/>
      <c r="P257" s="59" t="n"/>
      <c r="Q257" s="59" t="n"/>
      <c r="R257" s="59" t="n"/>
      <c r="S257" s="14" t="n"/>
      <c r="U257" s="53" t="n"/>
      <c r="V257" s="53" t="n"/>
      <c r="W257" s="53" t="n"/>
      <c r="X257" s="53" t="n"/>
      <c r="Y257" s="53" t="n"/>
      <c r="Z257" s="53" t="n"/>
      <c r="AA257" s="53" t="n"/>
      <c r="AB257" s="53" t="n"/>
      <c r="AC257" s="53" t="n"/>
      <c r="AD257" s="53" t="n"/>
      <c r="AE257" s="53" t="n"/>
      <c r="AF257" s="53" t="n"/>
      <c r="AG257" s="53" t="n"/>
      <c r="AH257" s="53" t="n"/>
      <c r="AI257" s="53" t="n"/>
      <c r="AJ257" s="53" t="n"/>
      <c r="AK257" s="53" t="n"/>
      <c r="AL257" s="53" t="n"/>
      <c r="AM257" s="53" t="n"/>
      <c r="AN257" s="53" t="n"/>
      <c r="AO257" s="53" t="n"/>
      <c r="AP257" s="53" t="n"/>
      <c r="AQ257" s="53" t="n"/>
      <c r="AR257" s="53" t="n"/>
      <c r="AS257" s="53" t="n"/>
      <c r="AT257" s="53" t="n"/>
      <c r="AU257" s="53" t="n"/>
      <c r="AV257" s="53" t="n"/>
      <c r="AW257" s="53" t="n"/>
      <c r="AX257" s="53" t="n"/>
      <c r="AY257" s="53" t="n"/>
    </row>
    <row r="258" ht="15" customHeight="1">
      <c r="A258" s="62" t="n"/>
      <c r="B258" s="55">
        <f>IF($B$256="","",$B$256)</f>
        <v/>
      </c>
      <c r="C258" s="63" t="inlineStr">
        <is>
          <t>기타</t>
        </is>
      </c>
      <c r="D258" s="55">
        <f>IF($D$256="","",$D$256)</f>
        <v/>
      </c>
      <c r="E258" s="64" t="inlineStr">
        <is>
          <t>영상</t>
        </is>
      </c>
      <c r="F258" s="44" t="n"/>
      <c r="G258" s="58">
        <f>IF($G$256="","",$G$256)</f>
        <v/>
      </c>
      <c r="H258" s="59" t="n"/>
      <c r="I258" s="59" t="n"/>
      <c r="J258" s="59" t="n"/>
      <c r="K258" s="59" t="n"/>
      <c r="L258" s="65">
        <f>IF(SUM(U258:AY258)=0,"",SUM(U258:AY258))</f>
        <v/>
      </c>
      <c r="M258" s="66">
        <f>IFERROR(INDEX(U$2:AY$2,MATCH(TRUE,INDEX(U258:AY258&lt;&gt;"",0),0)),"")</f>
        <v/>
      </c>
      <c r="N258" s="66">
        <f>IFERROR(LOOKUP(2,1/(U258:AY258&lt;&gt;""),U$2:AY$2),"")</f>
        <v/>
      </c>
      <c r="O258" s="59" t="n"/>
      <c r="P258" s="59" t="n"/>
      <c r="Q258" s="59" t="n"/>
      <c r="R258" s="59" t="n"/>
      <c r="S258" s="14" t="n"/>
      <c r="U258" s="53" t="n"/>
      <c r="V258" s="53" t="n"/>
      <c r="W258" s="53" t="n"/>
      <c r="X258" s="53" t="n"/>
      <c r="Y258" s="53" t="n"/>
      <c r="Z258" s="53" t="n"/>
      <c r="AA258" s="53" t="n"/>
      <c r="AB258" s="53" t="n"/>
      <c r="AC258" s="53" t="n"/>
      <c r="AD258" s="53" t="n"/>
      <c r="AE258" s="53" t="n"/>
      <c r="AF258" s="53" t="n"/>
      <c r="AG258" s="53" t="n"/>
      <c r="AH258" s="53" t="n"/>
      <c r="AI258" s="53" t="n"/>
      <c r="AJ258" s="53" t="n"/>
      <c r="AK258" s="53" t="n"/>
      <c r="AL258" s="53" t="n"/>
      <c r="AM258" s="53" t="n"/>
      <c r="AN258" s="53" t="n"/>
      <c r="AO258" s="53" t="n"/>
      <c r="AP258" s="53" t="n"/>
      <c r="AQ258" s="53" t="n"/>
      <c r="AR258" s="53" t="n"/>
      <c r="AS258" s="53" t="n"/>
      <c r="AT258" s="53" t="n"/>
      <c r="AU258" s="53" t="n"/>
      <c r="AV258" s="53" t="n"/>
      <c r="AW258" s="53" t="n"/>
      <c r="AX258" s="53" t="n"/>
      <c r="AY258" s="53" t="n"/>
    </row>
    <row r="259" ht="15" customHeight="1">
      <c r="A259" s="40">
        <f>IF($D$259="","",83)</f>
        <v/>
      </c>
      <c r="B259" s="10" t="n"/>
      <c r="C259" s="41" t="inlineStr">
        <is>
          <t>기타</t>
        </is>
      </c>
      <c r="D259" s="42" t="n"/>
      <c r="E259" s="43" t="inlineStr">
        <is>
          <t>기획</t>
        </is>
      </c>
      <c r="F259" s="44" t="n"/>
      <c r="G259" s="45" t="n"/>
      <c r="H259" s="46">
        <f>IF($I$259="","",IF($I$259&lt;0,"🔴지연",IF($I$259&lt;=1,"🟡임박","🟢여유")))</f>
        <v/>
      </c>
      <c r="I259" s="47">
        <f>IF(OR($G$259="",$K$259=""),"",$G$259-$K$259)</f>
        <v/>
      </c>
      <c r="J259" s="48">
        <f>IF(SUM($L$259:$L$261)=0,"",SUM($L$259:$L$261))</f>
        <v/>
      </c>
      <c r="K259" s="49">
        <f>IF($J$259="","",MAX($N$259:$N$261))</f>
        <v/>
      </c>
      <c r="L259" s="50">
        <f>IF(SUM(U259:AY259)=0,"",SUM(U259:AY259))</f>
        <v/>
      </c>
      <c r="M259" s="51">
        <f>IFERROR(INDEX(U$2:AY$2,MATCH(TRUE,INDEX(U259:AY259&lt;&gt;"",0),0)),"")</f>
        <v/>
      </c>
      <c r="N259" s="51">
        <f>IFERROR(LOOKUP(2,1/(U259:AY259&lt;&gt;""),U$2:AY$2),"")</f>
        <v/>
      </c>
      <c r="O259" s="52" t="n"/>
      <c r="P259" s="52" t="n"/>
      <c r="Q259" s="52" t="n"/>
      <c r="R259" s="44" t="n"/>
      <c r="S259" s="14" t="n"/>
      <c r="U259" s="53" t="n"/>
      <c r="V259" s="53" t="n"/>
      <c r="W259" s="53" t="n"/>
      <c r="X259" s="53" t="n"/>
      <c r="Y259" s="53" t="n"/>
      <c r="Z259" s="53" t="n"/>
      <c r="AA259" s="53" t="n"/>
      <c r="AB259" s="53" t="n"/>
      <c r="AC259" s="53" t="n"/>
      <c r="AD259" s="53" t="n"/>
      <c r="AE259" s="53" t="n"/>
      <c r="AF259" s="53" t="n"/>
      <c r="AG259" s="53" t="n"/>
      <c r="AH259" s="53" t="n"/>
      <c r="AI259" s="53" t="n"/>
      <c r="AJ259" s="53" t="n"/>
      <c r="AK259" s="53" t="n"/>
      <c r="AL259" s="53" t="n"/>
      <c r="AM259" s="53" t="n"/>
      <c r="AN259" s="53" t="n"/>
      <c r="AO259" s="53" t="n"/>
      <c r="AP259" s="53" t="n"/>
      <c r="AQ259" s="53" t="n"/>
      <c r="AR259" s="53" t="n"/>
      <c r="AS259" s="53" t="n"/>
      <c r="AT259" s="53" t="n"/>
      <c r="AU259" s="53" t="n"/>
      <c r="AV259" s="53" t="n"/>
      <c r="AW259" s="53" t="n"/>
      <c r="AX259" s="53" t="n"/>
      <c r="AY259" s="53" t="n"/>
    </row>
    <row r="260" ht="15" customHeight="1">
      <c r="A260" s="54" t="n"/>
      <c r="B260" s="55">
        <f>IF($B$259="","",$B$259)</f>
        <v/>
      </c>
      <c r="C260" s="56" t="inlineStr">
        <is>
          <t>기타</t>
        </is>
      </c>
      <c r="D260" s="55">
        <f>IF($D$259="","",$D$259)</f>
        <v/>
      </c>
      <c r="E260" s="57" t="inlineStr">
        <is>
          <t>이미지</t>
        </is>
      </c>
      <c r="F260" s="44" t="n"/>
      <c r="G260" s="58">
        <f>IF($G$259="","",$G$259)</f>
        <v/>
      </c>
      <c r="H260" s="59" t="n"/>
      <c r="I260" s="59" t="n"/>
      <c r="J260" s="59" t="n"/>
      <c r="K260" s="59" t="n"/>
      <c r="L260" s="60">
        <f>IF(SUM(U260:AY260)=0,"",SUM(U260:AY260))</f>
        <v/>
      </c>
      <c r="M260" s="61">
        <f>IFERROR(INDEX(U$2:AY$2,MATCH(TRUE,INDEX(U260:AY260&lt;&gt;"",0),0)),"")</f>
        <v/>
      </c>
      <c r="N260" s="61">
        <f>IFERROR(LOOKUP(2,1/(U260:AY260&lt;&gt;""),U$2:AY$2),"")</f>
        <v/>
      </c>
      <c r="O260" s="59" t="n"/>
      <c r="P260" s="59" t="n"/>
      <c r="Q260" s="59" t="n"/>
      <c r="R260" s="59" t="n"/>
      <c r="S260" s="14" t="n"/>
      <c r="U260" s="53" t="n"/>
      <c r="V260" s="53" t="n"/>
      <c r="W260" s="53" t="n"/>
      <c r="X260" s="53" t="n"/>
      <c r="Y260" s="53" t="n"/>
      <c r="Z260" s="53" t="n"/>
      <c r="AA260" s="53" t="n"/>
      <c r="AB260" s="53" t="n"/>
      <c r="AC260" s="53" t="n"/>
      <c r="AD260" s="53" t="n"/>
      <c r="AE260" s="53" t="n"/>
      <c r="AF260" s="53" t="n"/>
      <c r="AG260" s="53" t="n"/>
      <c r="AH260" s="53" t="n"/>
      <c r="AI260" s="53" t="n"/>
      <c r="AJ260" s="53" t="n"/>
      <c r="AK260" s="53" t="n"/>
      <c r="AL260" s="53" t="n"/>
      <c r="AM260" s="53" t="n"/>
      <c r="AN260" s="53" t="n"/>
      <c r="AO260" s="53" t="n"/>
      <c r="AP260" s="53" t="n"/>
      <c r="AQ260" s="53" t="n"/>
      <c r="AR260" s="53" t="n"/>
      <c r="AS260" s="53" t="n"/>
      <c r="AT260" s="53" t="n"/>
      <c r="AU260" s="53" t="n"/>
      <c r="AV260" s="53" t="n"/>
      <c r="AW260" s="53" t="n"/>
      <c r="AX260" s="53" t="n"/>
      <c r="AY260" s="53" t="n"/>
    </row>
    <row r="261" ht="15" customHeight="1">
      <c r="A261" s="62" t="n"/>
      <c r="B261" s="55">
        <f>IF($B$259="","",$B$259)</f>
        <v/>
      </c>
      <c r="C261" s="63" t="inlineStr">
        <is>
          <t>기타</t>
        </is>
      </c>
      <c r="D261" s="55">
        <f>IF($D$259="","",$D$259)</f>
        <v/>
      </c>
      <c r="E261" s="64" t="inlineStr">
        <is>
          <t>영상</t>
        </is>
      </c>
      <c r="F261" s="44" t="n"/>
      <c r="G261" s="58">
        <f>IF($G$259="","",$G$259)</f>
        <v/>
      </c>
      <c r="H261" s="59" t="n"/>
      <c r="I261" s="59" t="n"/>
      <c r="J261" s="59" t="n"/>
      <c r="K261" s="59" t="n"/>
      <c r="L261" s="65">
        <f>IF(SUM(U261:AY261)=0,"",SUM(U261:AY261))</f>
        <v/>
      </c>
      <c r="M261" s="66">
        <f>IFERROR(INDEX(U$2:AY$2,MATCH(TRUE,INDEX(U261:AY261&lt;&gt;"",0),0)),"")</f>
        <v/>
      </c>
      <c r="N261" s="66">
        <f>IFERROR(LOOKUP(2,1/(U261:AY261&lt;&gt;""),U$2:AY$2),"")</f>
        <v/>
      </c>
      <c r="O261" s="59" t="n"/>
      <c r="P261" s="59" t="n"/>
      <c r="Q261" s="59" t="n"/>
      <c r="R261" s="59" t="n"/>
      <c r="S261" s="14" t="n"/>
      <c r="U261" s="53" t="n"/>
      <c r="V261" s="53" t="n"/>
      <c r="W261" s="53" t="n"/>
      <c r="X261" s="53" t="n"/>
      <c r="Y261" s="53" t="n"/>
      <c r="Z261" s="53" t="n"/>
      <c r="AA261" s="53" t="n"/>
      <c r="AB261" s="53" t="n"/>
      <c r="AC261" s="53" t="n"/>
      <c r="AD261" s="53" t="n"/>
      <c r="AE261" s="53" t="n"/>
      <c r="AF261" s="53" t="n"/>
      <c r="AG261" s="53" t="n"/>
      <c r="AH261" s="53" t="n"/>
      <c r="AI261" s="53" t="n"/>
      <c r="AJ261" s="53" t="n"/>
      <c r="AK261" s="53" t="n"/>
      <c r="AL261" s="53" t="n"/>
      <c r="AM261" s="53" t="n"/>
      <c r="AN261" s="53" t="n"/>
      <c r="AO261" s="53" t="n"/>
      <c r="AP261" s="53" t="n"/>
      <c r="AQ261" s="53" t="n"/>
      <c r="AR261" s="53" t="n"/>
      <c r="AS261" s="53" t="n"/>
      <c r="AT261" s="53" t="n"/>
      <c r="AU261" s="53" t="n"/>
      <c r="AV261" s="53" t="n"/>
      <c r="AW261" s="53" t="n"/>
      <c r="AX261" s="53" t="n"/>
      <c r="AY261" s="53" t="n"/>
    </row>
    <row r="262" ht="15" customHeight="1">
      <c r="A262" s="40">
        <f>IF($D$262="","",84)</f>
        <v/>
      </c>
      <c r="B262" s="10" t="n"/>
      <c r="C262" s="41" t="inlineStr">
        <is>
          <t>기타</t>
        </is>
      </c>
      <c r="D262" s="42" t="n"/>
      <c r="E262" s="43" t="inlineStr">
        <is>
          <t>기획</t>
        </is>
      </c>
      <c r="F262" s="44" t="n"/>
      <c r="G262" s="45" t="n"/>
      <c r="H262" s="46">
        <f>IF($I$262="","",IF($I$262&lt;0,"🔴지연",IF($I$262&lt;=1,"🟡임박","🟢여유")))</f>
        <v/>
      </c>
      <c r="I262" s="47">
        <f>IF(OR($G$262="",$K$262=""),"",$G$262-$K$262)</f>
        <v/>
      </c>
      <c r="J262" s="48">
        <f>IF(SUM($L$262:$L$264)=0,"",SUM($L$262:$L$264))</f>
        <v/>
      </c>
      <c r="K262" s="49">
        <f>IF($J$262="","",MAX($N$262:$N$264))</f>
        <v/>
      </c>
      <c r="L262" s="50">
        <f>IF(SUM(U262:AY262)=0,"",SUM(U262:AY262))</f>
        <v/>
      </c>
      <c r="M262" s="51">
        <f>IFERROR(INDEX(U$2:AY$2,MATCH(TRUE,INDEX(U262:AY262&lt;&gt;"",0),0)),"")</f>
        <v/>
      </c>
      <c r="N262" s="51">
        <f>IFERROR(LOOKUP(2,1/(U262:AY262&lt;&gt;""),U$2:AY$2),"")</f>
        <v/>
      </c>
      <c r="O262" s="52" t="n"/>
      <c r="P262" s="52" t="n"/>
      <c r="Q262" s="52" t="n"/>
      <c r="R262" s="44" t="n"/>
      <c r="S262" s="14" t="n"/>
      <c r="U262" s="53" t="n"/>
      <c r="V262" s="53" t="n"/>
      <c r="W262" s="53" t="n"/>
      <c r="X262" s="53" t="n"/>
      <c r="Y262" s="53" t="n"/>
      <c r="Z262" s="53" t="n"/>
      <c r="AA262" s="53" t="n"/>
      <c r="AB262" s="53" t="n"/>
      <c r="AC262" s="53" t="n"/>
      <c r="AD262" s="53" t="n"/>
      <c r="AE262" s="53" t="n"/>
      <c r="AF262" s="53" t="n"/>
      <c r="AG262" s="53" t="n"/>
      <c r="AH262" s="53" t="n"/>
      <c r="AI262" s="53" t="n"/>
      <c r="AJ262" s="53" t="n"/>
      <c r="AK262" s="53" t="n"/>
      <c r="AL262" s="53" t="n"/>
      <c r="AM262" s="53" t="n"/>
      <c r="AN262" s="53" t="n"/>
      <c r="AO262" s="53" t="n"/>
      <c r="AP262" s="53" t="n"/>
      <c r="AQ262" s="53" t="n"/>
      <c r="AR262" s="53" t="n"/>
      <c r="AS262" s="53" t="n"/>
      <c r="AT262" s="53" t="n"/>
      <c r="AU262" s="53" t="n"/>
      <c r="AV262" s="53" t="n"/>
      <c r="AW262" s="53" t="n"/>
      <c r="AX262" s="53" t="n"/>
      <c r="AY262" s="53" t="n"/>
    </row>
    <row r="263" ht="15" customHeight="1">
      <c r="A263" s="54" t="n"/>
      <c r="B263" s="55">
        <f>IF($B$262="","",$B$262)</f>
        <v/>
      </c>
      <c r="C263" s="56" t="inlineStr">
        <is>
          <t>기타</t>
        </is>
      </c>
      <c r="D263" s="55">
        <f>IF($D$262="","",$D$262)</f>
        <v/>
      </c>
      <c r="E263" s="57" t="inlineStr">
        <is>
          <t>이미지</t>
        </is>
      </c>
      <c r="F263" s="44" t="n"/>
      <c r="G263" s="58">
        <f>IF($G$262="","",$G$262)</f>
        <v/>
      </c>
      <c r="H263" s="59" t="n"/>
      <c r="I263" s="59" t="n"/>
      <c r="J263" s="59" t="n"/>
      <c r="K263" s="59" t="n"/>
      <c r="L263" s="60">
        <f>IF(SUM(U263:AY263)=0,"",SUM(U263:AY263))</f>
        <v/>
      </c>
      <c r="M263" s="61">
        <f>IFERROR(INDEX(U$2:AY$2,MATCH(TRUE,INDEX(U263:AY263&lt;&gt;"",0),0)),"")</f>
        <v/>
      </c>
      <c r="N263" s="61">
        <f>IFERROR(LOOKUP(2,1/(U263:AY263&lt;&gt;""),U$2:AY$2),"")</f>
        <v/>
      </c>
      <c r="O263" s="59" t="n"/>
      <c r="P263" s="59" t="n"/>
      <c r="Q263" s="59" t="n"/>
      <c r="R263" s="59" t="n"/>
      <c r="S263" s="14" t="n"/>
      <c r="U263" s="53" t="n"/>
      <c r="V263" s="53" t="n"/>
      <c r="W263" s="53" t="n"/>
      <c r="X263" s="53" t="n"/>
      <c r="Y263" s="53" t="n"/>
      <c r="Z263" s="53" t="n"/>
      <c r="AA263" s="53" t="n"/>
      <c r="AB263" s="53" t="n"/>
      <c r="AC263" s="53" t="n"/>
      <c r="AD263" s="53" t="n"/>
      <c r="AE263" s="53" t="n"/>
      <c r="AF263" s="53" t="n"/>
      <c r="AG263" s="53" t="n"/>
      <c r="AH263" s="53" t="n"/>
      <c r="AI263" s="53" t="n"/>
      <c r="AJ263" s="53" t="n"/>
      <c r="AK263" s="53" t="n"/>
      <c r="AL263" s="53" t="n"/>
      <c r="AM263" s="53" t="n"/>
      <c r="AN263" s="53" t="n"/>
      <c r="AO263" s="53" t="n"/>
      <c r="AP263" s="53" t="n"/>
      <c r="AQ263" s="53" t="n"/>
      <c r="AR263" s="53" t="n"/>
      <c r="AS263" s="53" t="n"/>
      <c r="AT263" s="53" t="n"/>
      <c r="AU263" s="53" t="n"/>
      <c r="AV263" s="53" t="n"/>
      <c r="AW263" s="53" t="n"/>
      <c r="AX263" s="53" t="n"/>
      <c r="AY263" s="53" t="n"/>
    </row>
    <row r="264" ht="15" customHeight="1">
      <c r="A264" s="62" t="n"/>
      <c r="B264" s="55">
        <f>IF($B$262="","",$B$262)</f>
        <v/>
      </c>
      <c r="C264" s="63" t="inlineStr">
        <is>
          <t>기타</t>
        </is>
      </c>
      <c r="D264" s="55">
        <f>IF($D$262="","",$D$262)</f>
        <v/>
      </c>
      <c r="E264" s="64" t="inlineStr">
        <is>
          <t>영상</t>
        </is>
      </c>
      <c r="F264" s="44" t="n"/>
      <c r="G264" s="58">
        <f>IF($G$262="","",$G$262)</f>
        <v/>
      </c>
      <c r="H264" s="59" t="n"/>
      <c r="I264" s="59" t="n"/>
      <c r="J264" s="59" t="n"/>
      <c r="K264" s="59" t="n"/>
      <c r="L264" s="65">
        <f>IF(SUM(U264:AY264)=0,"",SUM(U264:AY264))</f>
        <v/>
      </c>
      <c r="M264" s="66">
        <f>IFERROR(INDEX(U$2:AY$2,MATCH(TRUE,INDEX(U264:AY264&lt;&gt;"",0),0)),"")</f>
        <v/>
      </c>
      <c r="N264" s="66">
        <f>IFERROR(LOOKUP(2,1/(U264:AY264&lt;&gt;""),U$2:AY$2),"")</f>
        <v/>
      </c>
      <c r="O264" s="59" t="n"/>
      <c r="P264" s="59" t="n"/>
      <c r="Q264" s="59" t="n"/>
      <c r="R264" s="59" t="n"/>
      <c r="S264" s="14" t="n"/>
      <c r="U264" s="53" t="n"/>
      <c r="V264" s="53" t="n"/>
      <c r="W264" s="53" t="n"/>
      <c r="X264" s="53" t="n"/>
      <c r="Y264" s="53" t="n"/>
      <c r="Z264" s="53" t="n"/>
      <c r="AA264" s="53" t="n"/>
      <c r="AB264" s="53" t="n"/>
      <c r="AC264" s="53" t="n"/>
      <c r="AD264" s="53" t="n"/>
      <c r="AE264" s="53" t="n"/>
      <c r="AF264" s="53" t="n"/>
      <c r="AG264" s="53" t="n"/>
      <c r="AH264" s="53" t="n"/>
      <c r="AI264" s="53" t="n"/>
      <c r="AJ264" s="53" t="n"/>
      <c r="AK264" s="53" t="n"/>
      <c r="AL264" s="53" t="n"/>
      <c r="AM264" s="53" t="n"/>
      <c r="AN264" s="53" t="n"/>
      <c r="AO264" s="53" t="n"/>
      <c r="AP264" s="53" t="n"/>
      <c r="AQ264" s="53" t="n"/>
      <c r="AR264" s="53" t="n"/>
      <c r="AS264" s="53" t="n"/>
      <c r="AT264" s="53" t="n"/>
      <c r="AU264" s="53" t="n"/>
      <c r="AV264" s="53" t="n"/>
      <c r="AW264" s="53" t="n"/>
      <c r="AX264" s="53" t="n"/>
      <c r="AY264" s="53" t="n"/>
    </row>
    <row r="265" ht="15" customHeight="1">
      <c r="A265" s="40">
        <f>IF($D$265="","",85)</f>
        <v/>
      </c>
      <c r="B265" s="10" t="n"/>
      <c r="C265" s="41" t="inlineStr">
        <is>
          <t>기타</t>
        </is>
      </c>
      <c r="D265" s="42" t="n"/>
      <c r="E265" s="43" t="inlineStr">
        <is>
          <t>기획</t>
        </is>
      </c>
      <c r="F265" s="44" t="n"/>
      <c r="G265" s="45" t="n"/>
      <c r="H265" s="46">
        <f>IF($I$265="","",IF($I$265&lt;0,"🔴지연",IF($I$265&lt;=1,"🟡임박","🟢여유")))</f>
        <v/>
      </c>
      <c r="I265" s="47">
        <f>IF(OR($G$265="",$K$265=""),"",$G$265-$K$265)</f>
        <v/>
      </c>
      <c r="J265" s="48">
        <f>IF(SUM($L$265:$L$267)=0,"",SUM($L$265:$L$267))</f>
        <v/>
      </c>
      <c r="K265" s="49">
        <f>IF($J$265="","",MAX($N$265:$N$267))</f>
        <v/>
      </c>
      <c r="L265" s="50">
        <f>IF(SUM(U265:AY265)=0,"",SUM(U265:AY265))</f>
        <v/>
      </c>
      <c r="M265" s="51">
        <f>IFERROR(INDEX(U$2:AY$2,MATCH(TRUE,INDEX(U265:AY265&lt;&gt;"",0),0)),"")</f>
        <v/>
      </c>
      <c r="N265" s="51">
        <f>IFERROR(LOOKUP(2,1/(U265:AY265&lt;&gt;""),U$2:AY$2),"")</f>
        <v/>
      </c>
      <c r="O265" s="52" t="n"/>
      <c r="P265" s="52" t="n"/>
      <c r="Q265" s="52" t="n"/>
      <c r="R265" s="44" t="n"/>
      <c r="S265" s="14" t="n"/>
      <c r="U265" s="53" t="n"/>
      <c r="V265" s="53" t="n"/>
      <c r="W265" s="53" t="n"/>
      <c r="X265" s="53" t="n"/>
      <c r="Y265" s="53" t="n"/>
      <c r="Z265" s="53" t="n"/>
      <c r="AA265" s="53" t="n"/>
      <c r="AB265" s="53" t="n"/>
      <c r="AC265" s="53" t="n"/>
      <c r="AD265" s="53" t="n"/>
      <c r="AE265" s="53" t="n"/>
      <c r="AF265" s="53" t="n"/>
      <c r="AG265" s="53" t="n"/>
      <c r="AH265" s="53" t="n"/>
      <c r="AI265" s="53" t="n"/>
      <c r="AJ265" s="53" t="n"/>
      <c r="AK265" s="53" t="n"/>
      <c r="AL265" s="53" t="n"/>
      <c r="AM265" s="53" t="n"/>
      <c r="AN265" s="53" t="n"/>
      <c r="AO265" s="53" t="n"/>
      <c r="AP265" s="53" t="n"/>
      <c r="AQ265" s="53" t="n"/>
      <c r="AR265" s="53" t="n"/>
      <c r="AS265" s="53" t="n"/>
      <c r="AT265" s="53" t="n"/>
      <c r="AU265" s="53" t="n"/>
      <c r="AV265" s="53" t="n"/>
      <c r="AW265" s="53" t="n"/>
      <c r="AX265" s="53" t="n"/>
      <c r="AY265" s="53" t="n"/>
    </row>
    <row r="266" ht="15" customHeight="1">
      <c r="A266" s="54" t="n"/>
      <c r="B266" s="55">
        <f>IF($B$265="","",$B$265)</f>
        <v/>
      </c>
      <c r="C266" s="56" t="inlineStr">
        <is>
          <t>기타</t>
        </is>
      </c>
      <c r="D266" s="55">
        <f>IF($D$265="","",$D$265)</f>
        <v/>
      </c>
      <c r="E266" s="57" t="inlineStr">
        <is>
          <t>이미지</t>
        </is>
      </c>
      <c r="F266" s="44" t="n"/>
      <c r="G266" s="58">
        <f>IF($G$265="","",$G$265)</f>
        <v/>
      </c>
      <c r="H266" s="59" t="n"/>
      <c r="I266" s="59" t="n"/>
      <c r="J266" s="59" t="n"/>
      <c r="K266" s="59" t="n"/>
      <c r="L266" s="60">
        <f>IF(SUM(U266:AY266)=0,"",SUM(U266:AY266))</f>
        <v/>
      </c>
      <c r="M266" s="61">
        <f>IFERROR(INDEX(U$2:AY$2,MATCH(TRUE,INDEX(U266:AY266&lt;&gt;"",0),0)),"")</f>
        <v/>
      </c>
      <c r="N266" s="61">
        <f>IFERROR(LOOKUP(2,1/(U266:AY266&lt;&gt;""),U$2:AY$2),"")</f>
        <v/>
      </c>
      <c r="O266" s="59" t="n"/>
      <c r="P266" s="59" t="n"/>
      <c r="Q266" s="59" t="n"/>
      <c r="R266" s="59" t="n"/>
      <c r="S266" s="14" t="n"/>
      <c r="U266" s="53" t="n"/>
      <c r="V266" s="53" t="n"/>
      <c r="W266" s="53" t="n"/>
      <c r="X266" s="53" t="n"/>
      <c r="Y266" s="53" t="n"/>
      <c r="Z266" s="53" t="n"/>
      <c r="AA266" s="53" t="n"/>
      <c r="AB266" s="53" t="n"/>
      <c r="AC266" s="53" t="n"/>
      <c r="AD266" s="53" t="n"/>
      <c r="AE266" s="53" t="n"/>
      <c r="AF266" s="53" t="n"/>
      <c r="AG266" s="53" t="n"/>
      <c r="AH266" s="53" t="n"/>
      <c r="AI266" s="53" t="n"/>
      <c r="AJ266" s="53" t="n"/>
      <c r="AK266" s="53" t="n"/>
      <c r="AL266" s="53" t="n"/>
      <c r="AM266" s="53" t="n"/>
      <c r="AN266" s="53" t="n"/>
      <c r="AO266" s="53" t="n"/>
      <c r="AP266" s="53" t="n"/>
      <c r="AQ266" s="53" t="n"/>
      <c r="AR266" s="53" t="n"/>
      <c r="AS266" s="53" t="n"/>
      <c r="AT266" s="53" t="n"/>
      <c r="AU266" s="53" t="n"/>
      <c r="AV266" s="53" t="n"/>
      <c r="AW266" s="53" t="n"/>
      <c r="AX266" s="53" t="n"/>
      <c r="AY266" s="53" t="n"/>
    </row>
    <row r="267" ht="15" customHeight="1">
      <c r="A267" s="62" t="n"/>
      <c r="B267" s="55">
        <f>IF($B$265="","",$B$265)</f>
        <v/>
      </c>
      <c r="C267" s="63" t="inlineStr">
        <is>
          <t>기타</t>
        </is>
      </c>
      <c r="D267" s="55">
        <f>IF($D$265="","",$D$265)</f>
        <v/>
      </c>
      <c r="E267" s="64" t="inlineStr">
        <is>
          <t>영상</t>
        </is>
      </c>
      <c r="F267" s="44" t="n"/>
      <c r="G267" s="58">
        <f>IF($G$265="","",$G$265)</f>
        <v/>
      </c>
      <c r="H267" s="59" t="n"/>
      <c r="I267" s="59" t="n"/>
      <c r="J267" s="59" t="n"/>
      <c r="K267" s="59" t="n"/>
      <c r="L267" s="65">
        <f>IF(SUM(U267:AY267)=0,"",SUM(U267:AY267))</f>
        <v/>
      </c>
      <c r="M267" s="66">
        <f>IFERROR(INDEX(U$2:AY$2,MATCH(TRUE,INDEX(U267:AY267&lt;&gt;"",0),0)),"")</f>
        <v/>
      </c>
      <c r="N267" s="66">
        <f>IFERROR(LOOKUP(2,1/(U267:AY267&lt;&gt;""),U$2:AY$2),"")</f>
        <v/>
      </c>
      <c r="O267" s="59" t="n"/>
      <c r="P267" s="59" t="n"/>
      <c r="Q267" s="59" t="n"/>
      <c r="R267" s="59" t="n"/>
      <c r="S267" s="14" t="n"/>
      <c r="U267" s="53" t="n"/>
      <c r="V267" s="53" t="n"/>
      <c r="W267" s="53" t="n"/>
      <c r="X267" s="53" t="n"/>
      <c r="Y267" s="53" t="n"/>
      <c r="Z267" s="53" t="n"/>
      <c r="AA267" s="53" t="n"/>
      <c r="AB267" s="53" t="n"/>
      <c r="AC267" s="53" t="n"/>
      <c r="AD267" s="53" t="n"/>
      <c r="AE267" s="53" t="n"/>
      <c r="AF267" s="53" t="n"/>
      <c r="AG267" s="53" t="n"/>
      <c r="AH267" s="53" t="n"/>
      <c r="AI267" s="53" t="n"/>
      <c r="AJ267" s="53" t="n"/>
      <c r="AK267" s="53" t="n"/>
      <c r="AL267" s="53" t="n"/>
      <c r="AM267" s="53" t="n"/>
      <c r="AN267" s="53" t="n"/>
      <c r="AO267" s="53" t="n"/>
      <c r="AP267" s="53" t="n"/>
      <c r="AQ267" s="53" t="n"/>
      <c r="AR267" s="53" t="n"/>
      <c r="AS267" s="53" t="n"/>
      <c r="AT267" s="53" t="n"/>
      <c r="AU267" s="53" t="n"/>
      <c r="AV267" s="53" t="n"/>
      <c r="AW267" s="53" t="n"/>
      <c r="AX267" s="53" t="n"/>
      <c r="AY267" s="53" t="n"/>
    </row>
    <row r="268" ht="15" customHeight="1">
      <c r="A268" s="40">
        <f>IF($D$268="","",86)</f>
        <v/>
      </c>
      <c r="B268" s="10" t="n"/>
      <c r="C268" s="41" t="inlineStr">
        <is>
          <t>기타</t>
        </is>
      </c>
      <c r="D268" s="42" t="n"/>
      <c r="E268" s="43" t="inlineStr">
        <is>
          <t>기획</t>
        </is>
      </c>
      <c r="F268" s="44" t="n"/>
      <c r="G268" s="45" t="n"/>
      <c r="H268" s="46">
        <f>IF($I$268="","",IF($I$268&lt;0,"🔴지연",IF($I$268&lt;=1,"🟡임박","🟢여유")))</f>
        <v/>
      </c>
      <c r="I268" s="47">
        <f>IF(OR($G$268="",$K$268=""),"",$G$268-$K$268)</f>
        <v/>
      </c>
      <c r="J268" s="48">
        <f>IF(SUM($L$268:$L$270)=0,"",SUM($L$268:$L$270))</f>
        <v/>
      </c>
      <c r="K268" s="49">
        <f>IF($J$268="","",MAX($N$268:$N$270))</f>
        <v/>
      </c>
      <c r="L268" s="50">
        <f>IF(SUM(U268:AY268)=0,"",SUM(U268:AY268))</f>
        <v/>
      </c>
      <c r="M268" s="51">
        <f>IFERROR(INDEX(U$2:AY$2,MATCH(TRUE,INDEX(U268:AY268&lt;&gt;"",0),0)),"")</f>
        <v/>
      </c>
      <c r="N268" s="51">
        <f>IFERROR(LOOKUP(2,1/(U268:AY268&lt;&gt;""),U$2:AY$2),"")</f>
        <v/>
      </c>
      <c r="O268" s="52" t="n"/>
      <c r="P268" s="52" t="n"/>
      <c r="Q268" s="52" t="n"/>
      <c r="R268" s="44" t="n"/>
      <c r="S268" s="14" t="n"/>
      <c r="U268" s="53" t="n"/>
      <c r="V268" s="53" t="n"/>
      <c r="W268" s="53" t="n"/>
      <c r="X268" s="53" t="n"/>
      <c r="Y268" s="53" t="n"/>
      <c r="Z268" s="53" t="n"/>
      <c r="AA268" s="53" t="n"/>
      <c r="AB268" s="53" t="n"/>
      <c r="AC268" s="53" t="n"/>
      <c r="AD268" s="53" t="n"/>
      <c r="AE268" s="53" t="n"/>
      <c r="AF268" s="53" t="n"/>
      <c r="AG268" s="53" t="n"/>
      <c r="AH268" s="53" t="n"/>
      <c r="AI268" s="53" t="n"/>
      <c r="AJ268" s="53" t="n"/>
      <c r="AK268" s="53" t="n"/>
      <c r="AL268" s="53" t="n"/>
      <c r="AM268" s="53" t="n"/>
      <c r="AN268" s="53" t="n"/>
      <c r="AO268" s="53" t="n"/>
      <c r="AP268" s="53" t="n"/>
      <c r="AQ268" s="53" t="n"/>
      <c r="AR268" s="53" t="n"/>
      <c r="AS268" s="53" t="n"/>
      <c r="AT268" s="53" t="n"/>
      <c r="AU268" s="53" t="n"/>
      <c r="AV268" s="53" t="n"/>
      <c r="AW268" s="53" t="n"/>
      <c r="AX268" s="53" t="n"/>
      <c r="AY268" s="53" t="n"/>
    </row>
    <row r="269" ht="15" customHeight="1">
      <c r="A269" s="54" t="n"/>
      <c r="B269" s="55">
        <f>IF($B$268="","",$B$268)</f>
        <v/>
      </c>
      <c r="C269" s="56" t="inlineStr">
        <is>
          <t>기타</t>
        </is>
      </c>
      <c r="D269" s="55">
        <f>IF($D$268="","",$D$268)</f>
        <v/>
      </c>
      <c r="E269" s="57" t="inlineStr">
        <is>
          <t>이미지</t>
        </is>
      </c>
      <c r="F269" s="44" t="n"/>
      <c r="G269" s="58">
        <f>IF($G$268="","",$G$268)</f>
        <v/>
      </c>
      <c r="H269" s="59" t="n"/>
      <c r="I269" s="59" t="n"/>
      <c r="J269" s="59" t="n"/>
      <c r="K269" s="59" t="n"/>
      <c r="L269" s="60">
        <f>IF(SUM(U269:AY269)=0,"",SUM(U269:AY269))</f>
        <v/>
      </c>
      <c r="M269" s="61">
        <f>IFERROR(INDEX(U$2:AY$2,MATCH(TRUE,INDEX(U269:AY269&lt;&gt;"",0),0)),"")</f>
        <v/>
      </c>
      <c r="N269" s="61">
        <f>IFERROR(LOOKUP(2,1/(U269:AY269&lt;&gt;""),U$2:AY$2),"")</f>
        <v/>
      </c>
      <c r="O269" s="59" t="n"/>
      <c r="P269" s="59" t="n"/>
      <c r="Q269" s="59" t="n"/>
      <c r="R269" s="59" t="n"/>
      <c r="S269" s="14" t="n"/>
      <c r="U269" s="53" t="n"/>
      <c r="V269" s="53" t="n"/>
      <c r="W269" s="53" t="n"/>
      <c r="X269" s="53" t="n"/>
      <c r="Y269" s="53" t="n"/>
      <c r="Z269" s="53" t="n"/>
      <c r="AA269" s="53" t="n"/>
      <c r="AB269" s="53" t="n"/>
      <c r="AC269" s="53" t="n"/>
      <c r="AD269" s="53" t="n"/>
      <c r="AE269" s="53" t="n"/>
      <c r="AF269" s="53" t="n"/>
      <c r="AG269" s="53" t="n"/>
      <c r="AH269" s="53" t="n"/>
      <c r="AI269" s="53" t="n"/>
      <c r="AJ269" s="53" t="n"/>
      <c r="AK269" s="53" t="n"/>
      <c r="AL269" s="53" t="n"/>
      <c r="AM269" s="53" t="n"/>
      <c r="AN269" s="53" t="n"/>
      <c r="AO269" s="53" t="n"/>
      <c r="AP269" s="53" t="n"/>
      <c r="AQ269" s="53" t="n"/>
      <c r="AR269" s="53" t="n"/>
      <c r="AS269" s="53" t="n"/>
      <c r="AT269" s="53" t="n"/>
      <c r="AU269" s="53" t="n"/>
      <c r="AV269" s="53" t="n"/>
      <c r="AW269" s="53" t="n"/>
      <c r="AX269" s="53" t="n"/>
      <c r="AY269" s="53" t="n"/>
    </row>
    <row r="270" ht="15" customHeight="1">
      <c r="A270" s="62" t="n"/>
      <c r="B270" s="55">
        <f>IF($B$268="","",$B$268)</f>
        <v/>
      </c>
      <c r="C270" s="63" t="inlineStr">
        <is>
          <t>기타</t>
        </is>
      </c>
      <c r="D270" s="55">
        <f>IF($D$268="","",$D$268)</f>
        <v/>
      </c>
      <c r="E270" s="64" t="inlineStr">
        <is>
          <t>영상</t>
        </is>
      </c>
      <c r="F270" s="44" t="n"/>
      <c r="G270" s="58">
        <f>IF($G$268="","",$G$268)</f>
        <v/>
      </c>
      <c r="H270" s="59" t="n"/>
      <c r="I270" s="59" t="n"/>
      <c r="J270" s="59" t="n"/>
      <c r="K270" s="59" t="n"/>
      <c r="L270" s="65">
        <f>IF(SUM(U270:AY270)=0,"",SUM(U270:AY270))</f>
        <v/>
      </c>
      <c r="M270" s="66">
        <f>IFERROR(INDEX(U$2:AY$2,MATCH(TRUE,INDEX(U270:AY270&lt;&gt;"",0),0)),"")</f>
        <v/>
      </c>
      <c r="N270" s="66">
        <f>IFERROR(LOOKUP(2,1/(U270:AY270&lt;&gt;""),U$2:AY$2),"")</f>
        <v/>
      </c>
      <c r="O270" s="59" t="n"/>
      <c r="P270" s="59" t="n"/>
      <c r="Q270" s="59" t="n"/>
      <c r="R270" s="59" t="n"/>
      <c r="S270" s="14" t="n"/>
      <c r="U270" s="53" t="n"/>
      <c r="V270" s="53" t="n"/>
      <c r="W270" s="53" t="n"/>
      <c r="X270" s="53" t="n"/>
      <c r="Y270" s="53" t="n"/>
      <c r="Z270" s="53" t="n"/>
      <c r="AA270" s="53" t="n"/>
      <c r="AB270" s="53" t="n"/>
      <c r="AC270" s="53" t="n"/>
      <c r="AD270" s="53" t="n"/>
      <c r="AE270" s="53" t="n"/>
      <c r="AF270" s="53" t="n"/>
      <c r="AG270" s="53" t="n"/>
      <c r="AH270" s="53" t="n"/>
      <c r="AI270" s="53" t="n"/>
      <c r="AJ270" s="53" t="n"/>
      <c r="AK270" s="53" t="n"/>
      <c r="AL270" s="53" t="n"/>
      <c r="AM270" s="53" t="n"/>
      <c r="AN270" s="53" t="n"/>
      <c r="AO270" s="53" t="n"/>
      <c r="AP270" s="53" t="n"/>
      <c r="AQ270" s="53" t="n"/>
      <c r="AR270" s="53" t="n"/>
      <c r="AS270" s="53" t="n"/>
      <c r="AT270" s="53" t="n"/>
      <c r="AU270" s="53" t="n"/>
      <c r="AV270" s="53" t="n"/>
      <c r="AW270" s="53" t="n"/>
      <c r="AX270" s="53" t="n"/>
      <c r="AY270" s="53" t="n"/>
    </row>
    <row r="271" ht="15" customHeight="1">
      <c r="A271" s="40">
        <f>IF($D$271="","",87)</f>
        <v/>
      </c>
      <c r="B271" s="10" t="n"/>
      <c r="C271" s="41" t="inlineStr">
        <is>
          <t>기타</t>
        </is>
      </c>
      <c r="D271" s="42" t="n"/>
      <c r="E271" s="43" t="inlineStr">
        <is>
          <t>기획</t>
        </is>
      </c>
      <c r="F271" s="44" t="n"/>
      <c r="G271" s="45" t="n"/>
      <c r="H271" s="46">
        <f>IF($I$271="","",IF($I$271&lt;0,"🔴지연",IF($I$271&lt;=1,"🟡임박","🟢여유")))</f>
        <v/>
      </c>
      <c r="I271" s="47">
        <f>IF(OR($G$271="",$K$271=""),"",$G$271-$K$271)</f>
        <v/>
      </c>
      <c r="J271" s="48">
        <f>IF(SUM($L$271:$L$273)=0,"",SUM($L$271:$L$273))</f>
        <v/>
      </c>
      <c r="K271" s="49">
        <f>IF($J$271="","",MAX($N$271:$N$273))</f>
        <v/>
      </c>
      <c r="L271" s="50">
        <f>IF(SUM(U271:AY271)=0,"",SUM(U271:AY271))</f>
        <v/>
      </c>
      <c r="M271" s="51">
        <f>IFERROR(INDEX(U$2:AY$2,MATCH(TRUE,INDEX(U271:AY271&lt;&gt;"",0),0)),"")</f>
        <v/>
      </c>
      <c r="N271" s="51">
        <f>IFERROR(LOOKUP(2,1/(U271:AY271&lt;&gt;""),U$2:AY$2),"")</f>
        <v/>
      </c>
      <c r="O271" s="52" t="n"/>
      <c r="P271" s="52" t="n"/>
      <c r="Q271" s="52" t="n"/>
      <c r="R271" s="44" t="n"/>
      <c r="S271" s="14" t="n"/>
      <c r="U271" s="53" t="n"/>
      <c r="V271" s="53" t="n"/>
      <c r="W271" s="53" t="n"/>
      <c r="X271" s="53" t="n"/>
      <c r="Y271" s="53" t="n"/>
      <c r="Z271" s="53" t="n"/>
      <c r="AA271" s="53" t="n"/>
      <c r="AB271" s="53" t="n"/>
      <c r="AC271" s="53" t="n"/>
      <c r="AD271" s="53" t="n"/>
      <c r="AE271" s="53" t="n"/>
      <c r="AF271" s="53" t="n"/>
      <c r="AG271" s="53" t="n"/>
      <c r="AH271" s="53" t="n"/>
      <c r="AI271" s="53" t="n"/>
      <c r="AJ271" s="53" t="n"/>
      <c r="AK271" s="53" t="n"/>
      <c r="AL271" s="53" t="n"/>
      <c r="AM271" s="53" t="n"/>
      <c r="AN271" s="53" t="n"/>
      <c r="AO271" s="53" t="n"/>
      <c r="AP271" s="53" t="n"/>
      <c r="AQ271" s="53" t="n"/>
      <c r="AR271" s="53" t="n"/>
      <c r="AS271" s="53" t="n"/>
      <c r="AT271" s="53" t="n"/>
      <c r="AU271" s="53" t="n"/>
      <c r="AV271" s="53" t="n"/>
      <c r="AW271" s="53" t="n"/>
      <c r="AX271" s="53" t="n"/>
      <c r="AY271" s="53" t="n"/>
    </row>
    <row r="272" ht="15" customHeight="1">
      <c r="A272" s="54" t="n"/>
      <c r="B272" s="55">
        <f>IF($B$271="","",$B$271)</f>
        <v/>
      </c>
      <c r="C272" s="56" t="inlineStr">
        <is>
          <t>기타</t>
        </is>
      </c>
      <c r="D272" s="55">
        <f>IF($D$271="","",$D$271)</f>
        <v/>
      </c>
      <c r="E272" s="57" t="inlineStr">
        <is>
          <t>이미지</t>
        </is>
      </c>
      <c r="F272" s="44" t="n"/>
      <c r="G272" s="58">
        <f>IF($G$271="","",$G$271)</f>
        <v/>
      </c>
      <c r="H272" s="59" t="n"/>
      <c r="I272" s="59" t="n"/>
      <c r="J272" s="59" t="n"/>
      <c r="K272" s="59" t="n"/>
      <c r="L272" s="60">
        <f>IF(SUM(U272:AY272)=0,"",SUM(U272:AY272))</f>
        <v/>
      </c>
      <c r="M272" s="61">
        <f>IFERROR(INDEX(U$2:AY$2,MATCH(TRUE,INDEX(U272:AY272&lt;&gt;"",0),0)),"")</f>
        <v/>
      </c>
      <c r="N272" s="61">
        <f>IFERROR(LOOKUP(2,1/(U272:AY272&lt;&gt;""),U$2:AY$2),"")</f>
        <v/>
      </c>
      <c r="O272" s="59" t="n"/>
      <c r="P272" s="59" t="n"/>
      <c r="Q272" s="59" t="n"/>
      <c r="R272" s="59" t="n"/>
      <c r="S272" s="14" t="n"/>
      <c r="U272" s="53" t="n"/>
      <c r="V272" s="53" t="n"/>
      <c r="W272" s="53" t="n"/>
      <c r="X272" s="53" t="n"/>
      <c r="Y272" s="53" t="n"/>
      <c r="Z272" s="53" t="n"/>
      <c r="AA272" s="53" t="n"/>
      <c r="AB272" s="53" t="n"/>
      <c r="AC272" s="53" t="n"/>
      <c r="AD272" s="53" t="n"/>
      <c r="AE272" s="53" t="n"/>
      <c r="AF272" s="53" t="n"/>
      <c r="AG272" s="53" t="n"/>
      <c r="AH272" s="53" t="n"/>
      <c r="AI272" s="53" t="n"/>
      <c r="AJ272" s="53" t="n"/>
      <c r="AK272" s="53" t="n"/>
      <c r="AL272" s="53" t="n"/>
      <c r="AM272" s="53" t="n"/>
      <c r="AN272" s="53" t="n"/>
      <c r="AO272" s="53" t="n"/>
      <c r="AP272" s="53" t="n"/>
      <c r="AQ272" s="53" t="n"/>
      <c r="AR272" s="53" t="n"/>
      <c r="AS272" s="53" t="n"/>
      <c r="AT272" s="53" t="n"/>
      <c r="AU272" s="53" t="n"/>
      <c r="AV272" s="53" t="n"/>
      <c r="AW272" s="53" t="n"/>
      <c r="AX272" s="53" t="n"/>
      <c r="AY272" s="53" t="n"/>
    </row>
    <row r="273" ht="15" customHeight="1">
      <c r="A273" s="62" t="n"/>
      <c r="B273" s="55">
        <f>IF($B$271="","",$B$271)</f>
        <v/>
      </c>
      <c r="C273" s="63" t="inlineStr">
        <is>
          <t>기타</t>
        </is>
      </c>
      <c r="D273" s="55">
        <f>IF($D$271="","",$D$271)</f>
        <v/>
      </c>
      <c r="E273" s="64" t="inlineStr">
        <is>
          <t>영상</t>
        </is>
      </c>
      <c r="F273" s="44" t="n"/>
      <c r="G273" s="58">
        <f>IF($G$271="","",$G$271)</f>
        <v/>
      </c>
      <c r="H273" s="59" t="n"/>
      <c r="I273" s="59" t="n"/>
      <c r="J273" s="59" t="n"/>
      <c r="K273" s="59" t="n"/>
      <c r="L273" s="65">
        <f>IF(SUM(U273:AY273)=0,"",SUM(U273:AY273))</f>
        <v/>
      </c>
      <c r="M273" s="66">
        <f>IFERROR(INDEX(U$2:AY$2,MATCH(TRUE,INDEX(U273:AY273&lt;&gt;"",0),0)),"")</f>
        <v/>
      </c>
      <c r="N273" s="66">
        <f>IFERROR(LOOKUP(2,1/(U273:AY273&lt;&gt;""),U$2:AY$2),"")</f>
        <v/>
      </c>
      <c r="O273" s="59" t="n"/>
      <c r="P273" s="59" t="n"/>
      <c r="Q273" s="59" t="n"/>
      <c r="R273" s="59" t="n"/>
      <c r="S273" s="14" t="n"/>
      <c r="U273" s="53" t="n"/>
      <c r="V273" s="53" t="n"/>
      <c r="W273" s="53" t="n"/>
      <c r="X273" s="53" t="n"/>
      <c r="Y273" s="53" t="n"/>
      <c r="Z273" s="53" t="n"/>
      <c r="AA273" s="53" t="n"/>
      <c r="AB273" s="53" t="n"/>
      <c r="AC273" s="53" t="n"/>
      <c r="AD273" s="53" t="n"/>
      <c r="AE273" s="53" t="n"/>
      <c r="AF273" s="53" t="n"/>
      <c r="AG273" s="53" t="n"/>
      <c r="AH273" s="53" t="n"/>
      <c r="AI273" s="53" t="n"/>
      <c r="AJ273" s="53" t="n"/>
      <c r="AK273" s="53" t="n"/>
      <c r="AL273" s="53" t="n"/>
      <c r="AM273" s="53" t="n"/>
      <c r="AN273" s="53" t="n"/>
      <c r="AO273" s="53" t="n"/>
      <c r="AP273" s="53" t="n"/>
      <c r="AQ273" s="53" t="n"/>
      <c r="AR273" s="53" t="n"/>
      <c r="AS273" s="53" t="n"/>
      <c r="AT273" s="53" t="n"/>
      <c r="AU273" s="53" t="n"/>
      <c r="AV273" s="53" t="n"/>
      <c r="AW273" s="53" t="n"/>
      <c r="AX273" s="53" t="n"/>
      <c r="AY273" s="53" t="n"/>
    </row>
    <row r="274" ht="15" customHeight="1">
      <c r="A274" s="40">
        <f>IF($D$274="","",88)</f>
        <v/>
      </c>
      <c r="B274" s="10" t="n"/>
      <c r="C274" s="41" t="inlineStr">
        <is>
          <t>기타</t>
        </is>
      </c>
      <c r="D274" s="42" t="n"/>
      <c r="E274" s="43" t="inlineStr">
        <is>
          <t>기획</t>
        </is>
      </c>
      <c r="F274" s="44" t="n"/>
      <c r="G274" s="45" t="n"/>
      <c r="H274" s="46">
        <f>IF($I$274="","",IF($I$274&lt;0,"🔴지연",IF($I$274&lt;=1,"🟡임박","🟢여유")))</f>
        <v/>
      </c>
      <c r="I274" s="47">
        <f>IF(OR($G$274="",$K$274=""),"",$G$274-$K$274)</f>
        <v/>
      </c>
      <c r="J274" s="48">
        <f>IF(SUM($L$274:$L$276)=0,"",SUM($L$274:$L$276))</f>
        <v/>
      </c>
      <c r="K274" s="49">
        <f>IF($J$274="","",MAX($N$274:$N$276))</f>
        <v/>
      </c>
      <c r="L274" s="50">
        <f>IF(SUM(U274:AY274)=0,"",SUM(U274:AY274))</f>
        <v/>
      </c>
      <c r="M274" s="51">
        <f>IFERROR(INDEX(U$2:AY$2,MATCH(TRUE,INDEX(U274:AY274&lt;&gt;"",0),0)),"")</f>
        <v/>
      </c>
      <c r="N274" s="51">
        <f>IFERROR(LOOKUP(2,1/(U274:AY274&lt;&gt;""),U$2:AY$2),"")</f>
        <v/>
      </c>
      <c r="O274" s="52" t="n"/>
      <c r="P274" s="52" t="n"/>
      <c r="Q274" s="52" t="n"/>
      <c r="R274" s="44" t="n"/>
      <c r="S274" s="14" t="n"/>
      <c r="U274" s="53" t="n"/>
      <c r="V274" s="53" t="n"/>
      <c r="W274" s="53" t="n"/>
      <c r="X274" s="53" t="n"/>
      <c r="Y274" s="53" t="n"/>
      <c r="Z274" s="53" t="n"/>
      <c r="AA274" s="53" t="n"/>
      <c r="AB274" s="53" t="n"/>
      <c r="AC274" s="53" t="n"/>
      <c r="AD274" s="53" t="n"/>
      <c r="AE274" s="53" t="n"/>
      <c r="AF274" s="53" t="n"/>
      <c r="AG274" s="53" t="n"/>
      <c r="AH274" s="53" t="n"/>
      <c r="AI274" s="53" t="n"/>
      <c r="AJ274" s="53" t="n"/>
      <c r="AK274" s="53" t="n"/>
      <c r="AL274" s="53" t="n"/>
      <c r="AM274" s="53" t="n"/>
      <c r="AN274" s="53" t="n"/>
      <c r="AO274" s="53" t="n"/>
      <c r="AP274" s="53" t="n"/>
      <c r="AQ274" s="53" t="n"/>
      <c r="AR274" s="53" t="n"/>
      <c r="AS274" s="53" t="n"/>
      <c r="AT274" s="53" t="n"/>
      <c r="AU274" s="53" t="n"/>
      <c r="AV274" s="53" t="n"/>
      <c r="AW274" s="53" t="n"/>
      <c r="AX274" s="53" t="n"/>
      <c r="AY274" s="53" t="n"/>
    </row>
    <row r="275" ht="15" customHeight="1">
      <c r="A275" s="54" t="n"/>
      <c r="B275" s="55">
        <f>IF($B$274="","",$B$274)</f>
        <v/>
      </c>
      <c r="C275" s="56" t="inlineStr">
        <is>
          <t>기타</t>
        </is>
      </c>
      <c r="D275" s="55">
        <f>IF($D$274="","",$D$274)</f>
        <v/>
      </c>
      <c r="E275" s="57" t="inlineStr">
        <is>
          <t>이미지</t>
        </is>
      </c>
      <c r="F275" s="44" t="n"/>
      <c r="G275" s="58">
        <f>IF($G$274="","",$G$274)</f>
        <v/>
      </c>
      <c r="H275" s="59" t="n"/>
      <c r="I275" s="59" t="n"/>
      <c r="J275" s="59" t="n"/>
      <c r="K275" s="59" t="n"/>
      <c r="L275" s="60">
        <f>IF(SUM(U275:AY275)=0,"",SUM(U275:AY275))</f>
        <v/>
      </c>
      <c r="M275" s="61">
        <f>IFERROR(INDEX(U$2:AY$2,MATCH(TRUE,INDEX(U275:AY275&lt;&gt;"",0),0)),"")</f>
        <v/>
      </c>
      <c r="N275" s="61">
        <f>IFERROR(LOOKUP(2,1/(U275:AY275&lt;&gt;""),U$2:AY$2),"")</f>
        <v/>
      </c>
      <c r="O275" s="59" t="n"/>
      <c r="P275" s="59" t="n"/>
      <c r="Q275" s="59" t="n"/>
      <c r="R275" s="59" t="n"/>
      <c r="S275" s="14" t="n"/>
      <c r="U275" s="53" t="n"/>
      <c r="V275" s="53" t="n"/>
      <c r="W275" s="53" t="n"/>
      <c r="X275" s="53" t="n"/>
      <c r="Y275" s="53" t="n"/>
      <c r="Z275" s="53" t="n"/>
      <c r="AA275" s="53" t="n"/>
      <c r="AB275" s="53" t="n"/>
      <c r="AC275" s="53" t="n"/>
      <c r="AD275" s="53" t="n"/>
      <c r="AE275" s="53" t="n"/>
      <c r="AF275" s="53" t="n"/>
      <c r="AG275" s="53" t="n"/>
      <c r="AH275" s="53" t="n"/>
      <c r="AI275" s="53" t="n"/>
      <c r="AJ275" s="53" t="n"/>
      <c r="AK275" s="53" t="n"/>
      <c r="AL275" s="53" t="n"/>
      <c r="AM275" s="53" t="n"/>
      <c r="AN275" s="53" t="n"/>
      <c r="AO275" s="53" t="n"/>
      <c r="AP275" s="53" t="n"/>
      <c r="AQ275" s="53" t="n"/>
      <c r="AR275" s="53" t="n"/>
      <c r="AS275" s="53" t="n"/>
      <c r="AT275" s="53" t="n"/>
      <c r="AU275" s="53" t="n"/>
      <c r="AV275" s="53" t="n"/>
      <c r="AW275" s="53" t="n"/>
      <c r="AX275" s="53" t="n"/>
      <c r="AY275" s="53" t="n"/>
    </row>
    <row r="276" ht="15" customHeight="1">
      <c r="A276" s="62" t="n"/>
      <c r="B276" s="55">
        <f>IF($B$274="","",$B$274)</f>
        <v/>
      </c>
      <c r="C276" s="63" t="inlineStr">
        <is>
          <t>기타</t>
        </is>
      </c>
      <c r="D276" s="55">
        <f>IF($D$274="","",$D$274)</f>
        <v/>
      </c>
      <c r="E276" s="64" t="inlineStr">
        <is>
          <t>영상</t>
        </is>
      </c>
      <c r="F276" s="44" t="n"/>
      <c r="G276" s="58">
        <f>IF($G$274="","",$G$274)</f>
        <v/>
      </c>
      <c r="H276" s="59" t="n"/>
      <c r="I276" s="59" t="n"/>
      <c r="J276" s="59" t="n"/>
      <c r="K276" s="59" t="n"/>
      <c r="L276" s="65">
        <f>IF(SUM(U276:AY276)=0,"",SUM(U276:AY276))</f>
        <v/>
      </c>
      <c r="M276" s="66">
        <f>IFERROR(INDEX(U$2:AY$2,MATCH(TRUE,INDEX(U276:AY276&lt;&gt;"",0),0)),"")</f>
        <v/>
      </c>
      <c r="N276" s="66">
        <f>IFERROR(LOOKUP(2,1/(U276:AY276&lt;&gt;""),U$2:AY$2),"")</f>
        <v/>
      </c>
      <c r="O276" s="59" t="n"/>
      <c r="P276" s="59" t="n"/>
      <c r="Q276" s="59" t="n"/>
      <c r="R276" s="59" t="n"/>
      <c r="S276" s="14" t="n"/>
      <c r="U276" s="53" t="n"/>
      <c r="V276" s="53" t="n"/>
      <c r="W276" s="53" t="n"/>
      <c r="X276" s="53" t="n"/>
      <c r="Y276" s="53" t="n"/>
      <c r="Z276" s="53" t="n"/>
      <c r="AA276" s="53" t="n"/>
      <c r="AB276" s="53" t="n"/>
      <c r="AC276" s="53" t="n"/>
      <c r="AD276" s="53" t="n"/>
      <c r="AE276" s="53" t="n"/>
      <c r="AF276" s="53" t="n"/>
      <c r="AG276" s="53" t="n"/>
      <c r="AH276" s="53" t="n"/>
      <c r="AI276" s="53" t="n"/>
      <c r="AJ276" s="53" t="n"/>
      <c r="AK276" s="53" t="n"/>
      <c r="AL276" s="53" t="n"/>
      <c r="AM276" s="53" t="n"/>
      <c r="AN276" s="53" t="n"/>
      <c r="AO276" s="53" t="n"/>
      <c r="AP276" s="53" t="n"/>
      <c r="AQ276" s="53" t="n"/>
      <c r="AR276" s="53" t="n"/>
      <c r="AS276" s="53" t="n"/>
      <c r="AT276" s="53" t="n"/>
      <c r="AU276" s="53" t="n"/>
      <c r="AV276" s="53" t="n"/>
      <c r="AW276" s="53" t="n"/>
      <c r="AX276" s="53" t="n"/>
      <c r="AY276" s="53" t="n"/>
    </row>
    <row r="277" ht="15" customHeight="1">
      <c r="A277" s="40">
        <f>IF($D$277="","",89)</f>
        <v/>
      </c>
      <c r="B277" s="10" t="n"/>
      <c r="C277" s="41" t="inlineStr">
        <is>
          <t>기타</t>
        </is>
      </c>
      <c r="D277" s="42" t="n"/>
      <c r="E277" s="43" t="inlineStr">
        <is>
          <t>기획</t>
        </is>
      </c>
      <c r="F277" s="44" t="n"/>
      <c r="G277" s="45" t="n"/>
      <c r="H277" s="46">
        <f>IF($I$277="","",IF($I$277&lt;0,"🔴지연",IF($I$277&lt;=1,"🟡임박","🟢여유")))</f>
        <v/>
      </c>
      <c r="I277" s="47">
        <f>IF(OR($G$277="",$K$277=""),"",$G$277-$K$277)</f>
        <v/>
      </c>
      <c r="J277" s="48">
        <f>IF(SUM($L$277:$L$279)=0,"",SUM($L$277:$L$279))</f>
        <v/>
      </c>
      <c r="K277" s="49">
        <f>IF($J$277="","",MAX($N$277:$N$279))</f>
        <v/>
      </c>
      <c r="L277" s="50">
        <f>IF(SUM(U277:AY277)=0,"",SUM(U277:AY277))</f>
        <v/>
      </c>
      <c r="M277" s="51">
        <f>IFERROR(INDEX(U$2:AY$2,MATCH(TRUE,INDEX(U277:AY277&lt;&gt;"",0),0)),"")</f>
        <v/>
      </c>
      <c r="N277" s="51">
        <f>IFERROR(LOOKUP(2,1/(U277:AY277&lt;&gt;""),U$2:AY$2),"")</f>
        <v/>
      </c>
      <c r="O277" s="52" t="n"/>
      <c r="P277" s="52" t="n"/>
      <c r="Q277" s="52" t="n"/>
      <c r="R277" s="44" t="n"/>
      <c r="S277" s="14" t="n"/>
      <c r="U277" s="53" t="n"/>
      <c r="V277" s="53" t="n"/>
      <c r="W277" s="53" t="n"/>
      <c r="X277" s="53" t="n"/>
      <c r="Y277" s="53" t="n"/>
      <c r="Z277" s="53" t="n"/>
      <c r="AA277" s="53" t="n"/>
      <c r="AB277" s="53" t="n"/>
      <c r="AC277" s="53" t="n"/>
      <c r="AD277" s="53" t="n"/>
      <c r="AE277" s="53" t="n"/>
      <c r="AF277" s="53" t="n"/>
      <c r="AG277" s="53" t="n"/>
      <c r="AH277" s="53" t="n"/>
      <c r="AI277" s="53" t="n"/>
      <c r="AJ277" s="53" t="n"/>
      <c r="AK277" s="53" t="n"/>
      <c r="AL277" s="53" t="n"/>
      <c r="AM277" s="53" t="n"/>
      <c r="AN277" s="53" t="n"/>
      <c r="AO277" s="53" t="n"/>
      <c r="AP277" s="53" t="n"/>
      <c r="AQ277" s="53" t="n"/>
      <c r="AR277" s="53" t="n"/>
      <c r="AS277" s="53" t="n"/>
      <c r="AT277" s="53" t="n"/>
      <c r="AU277" s="53" t="n"/>
      <c r="AV277" s="53" t="n"/>
      <c r="AW277" s="53" t="n"/>
      <c r="AX277" s="53" t="n"/>
      <c r="AY277" s="53" t="n"/>
    </row>
    <row r="278" ht="15" customHeight="1">
      <c r="A278" s="54" t="n"/>
      <c r="B278" s="55">
        <f>IF($B$277="","",$B$277)</f>
        <v/>
      </c>
      <c r="C278" s="56" t="inlineStr">
        <is>
          <t>기타</t>
        </is>
      </c>
      <c r="D278" s="55">
        <f>IF($D$277="","",$D$277)</f>
        <v/>
      </c>
      <c r="E278" s="57" t="inlineStr">
        <is>
          <t>이미지</t>
        </is>
      </c>
      <c r="F278" s="44" t="n"/>
      <c r="G278" s="58">
        <f>IF($G$277="","",$G$277)</f>
        <v/>
      </c>
      <c r="H278" s="59" t="n"/>
      <c r="I278" s="59" t="n"/>
      <c r="J278" s="59" t="n"/>
      <c r="K278" s="59" t="n"/>
      <c r="L278" s="60">
        <f>IF(SUM(U278:AY278)=0,"",SUM(U278:AY278))</f>
        <v/>
      </c>
      <c r="M278" s="61">
        <f>IFERROR(INDEX(U$2:AY$2,MATCH(TRUE,INDEX(U278:AY278&lt;&gt;"",0),0)),"")</f>
        <v/>
      </c>
      <c r="N278" s="61">
        <f>IFERROR(LOOKUP(2,1/(U278:AY278&lt;&gt;""),U$2:AY$2),"")</f>
        <v/>
      </c>
      <c r="O278" s="59" t="n"/>
      <c r="P278" s="59" t="n"/>
      <c r="Q278" s="59" t="n"/>
      <c r="R278" s="59" t="n"/>
      <c r="S278" s="14" t="n"/>
      <c r="U278" s="53" t="n"/>
      <c r="V278" s="53" t="n"/>
      <c r="W278" s="53" t="n"/>
      <c r="X278" s="53" t="n"/>
      <c r="Y278" s="53" t="n"/>
      <c r="Z278" s="53" t="n"/>
      <c r="AA278" s="53" t="n"/>
      <c r="AB278" s="53" t="n"/>
      <c r="AC278" s="53" t="n"/>
      <c r="AD278" s="53" t="n"/>
      <c r="AE278" s="53" t="n"/>
      <c r="AF278" s="53" t="n"/>
      <c r="AG278" s="53" t="n"/>
      <c r="AH278" s="53" t="n"/>
      <c r="AI278" s="53" t="n"/>
      <c r="AJ278" s="53" t="n"/>
      <c r="AK278" s="53" t="n"/>
      <c r="AL278" s="53" t="n"/>
      <c r="AM278" s="53" t="n"/>
      <c r="AN278" s="53" t="n"/>
      <c r="AO278" s="53" t="n"/>
      <c r="AP278" s="53" t="n"/>
      <c r="AQ278" s="53" t="n"/>
      <c r="AR278" s="53" t="n"/>
      <c r="AS278" s="53" t="n"/>
      <c r="AT278" s="53" t="n"/>
      <c r="AU278" s="53" t="n"/>
      <c r="AV278" s="53" t="n"/>
      <c r="AW278" s="53" t="n"/>
      <c r="AX278" s="53" t="n"/>
      <c r="AY278" s="53" t="n"/>
    </row>
    <row r="279" ht="15" customHeight="1">
      <c r="A279" s="62" t="n"/>
      <c r="B279" s="55">
        <f>IF($B$277="","",$B$277)</f>
        <v/>
      </c>
      <c r="C279" s="63" t="inlineStr">
        <is>
          <t>기타</t>
        </is>
      </c>
      <c r="D279" s="55">
        <f>IF($D$277="","",$D$277)</f>
        <v/>
      </c>
      <c r="E279" s="64" t="inlineStr">
        <is>
          <t>영상</t>
        </is>
      </c>
      <c r="F279" s="44" t="n"/>
      <c r="G279" s="58">
        <f>IF($G$277="","",$G$277)</f>
        <v/>
      </c>
      <c r="H279" s="59" t="n"/>
      <c r="I279" s="59" t="n"/>
      <c r="J279" s="59" t="n"/>
      <c r="K279" s="59" t="n"/>
      <c r="L279" s="65">
        <f>IF(SUM(U279:AY279)=0,"",SUM(U279:AY279))</f>
        <v/>
      </c>
      <c r="M279" s="66">
        <f>IFERROR(INDEX(U$2:AY$2,MATCH(TRUE,INDEX(U279:AY279&lt;&gt;"",0),0)),"")</f>
        <v/>
      </c>
      <c r="N279" s="66">
        <f>IFERROR(LOOKUP(2,1/(U279:AY279&lt;&gt;""),U$2:AY$2),"")</f>
        <v/>
      </c>
      <c r="O279" s="59" t="n"/>
      <c r="P279" s="59" t="n"/>
      <c r="Q279" s="59" t="n"/>
      <c r="R279" s="59" t="n"/>
      <c r="S279" s="14" t="n"/>
      <c r="U279" s="53" t="n"/>
      <c r="V279" s="53" t="n"/>
      <c r="W279" s="53" t="n"/>
      <c r="X279" s="53" t="n"/>
      <c r="Y279" s="53" t="n"/>
      <c r="Z279" s="53" t="n"/>
      <c r="AA279" s="53" t="n"/>
      <c r="AB279" s="53" t="n"/>
      <c r="AC279" s="53" t="n"/>
      <c r="AD279" s="53" t="n"/>
      <c r="AE279" s="53" t="n"/>
      <c r="AF279" s="53" t="n"/>
      <c r="AG279" s="53" t="n"/>
      <c r="AH279" s="53" t="n"/>
      <c r="AI279" s="53" t="n"/>
      <c r="AJ279" s="53" t="n"/>
      <c r="AK279" s="53" t="n"/>
      <c r="AL279" s="53" t="n"/>
      <c r="AM279" s="53" t="n"/>
      <c r="AN279" s="53" t="n"/>
      <c r="AO279" s="53" t="n"/>
      <c r="AP279" s="53" t="n"/>
      <c r="AQ279" s="53" t="n"/>
      <c r="AR279" s="53" t="n"/>
      <c r="AS279" s="53" t="n"/>
      <c r="AT279" s="53" t="n"/>
      <c r="AU279" s="53" t="n"/>
      <c r="AV279" s="53" t="n"/>
      <c r="AW279" s="53" t="n"/>
      <c r="AX279" s="53" t="n"/>
      <c r="AY279" s="53" t="n"/>
    </row>
    <row r="280" ht="15" customHeight="1">
      <c r="A280" s="40">
        <f>IF($D$280="","",90)</f>
        <v/>
      </c>
      <c r="B280" s="10" t="n"/>
      <c r="C280" s="41" t="inlineStr">
        <is>
          <t>기타</t>
        </is>
      </c>
      <c r="D280" s="42" t="n"/>
      <c r="E280" s="43" t="inlineStr">
        <is>
          <t>기획</t>
        </is>
      </c>
      <c r="F280" s="44" t="n"/>
      <c r="G280" s="45" t="n"/>
      <c r="H280" s="46">
        <f>IF($I$280="","",IF($I$280&lt;0,"🔴지연",IF($I$280&lt;=1,"🟡임박","🟢여유")))</f>
        <v/>
      </c>
      <c r="I280" s="47">
        <f>IF(OR($G$280="",$K$280=""),"",$G$280-$K$280)</f>
        <v/>
      </c>
      <c r="J280" s="48">
        <f>IF(SUM($L$280:$L$282)=0,"",SUM($L$280:$L$282))</f>
        <v/>
      </c>
      <c r="K280" s="49">
        <f>IF($J$280="","",MAX($N$280:$N$282))</f>
        <v/>
      </c>
      <c r="L280" s="50">
        <f>IF(SUM(U280:AY280)=0,"",SUM(U280:AY280))</f>
        <v/>
      </c>
      <c r="M280" s="51">
        <f>IFERROR(INDEX(U$2:AY$2,MATCH(TRUE,INDEX(U280:AY280&lt;&gt;"",0),0)),"")</f>
        <v/>
      </c>
      <c r="N280" s="51">
        <f>IFERROR(LOOKUP(2,1/(U280:AY280&lt;&gt;""),U$2:AY$2),"")</f>
        <v/>
      </c>
      <c r="O280" s="52" t="n"/>
      <c r="P280" s="52" t="n"/>
      <c r="Q280" s="52" t="n"/>
      <c r="R280" s="44" t="n"/>
      <c r="S280" s="14" t="n"/>
      <c r="U280" s="53" t="n"/>
      <c r="V280" s="53" t="n"/>
      <c r="W280" s="53" t="n"/>
      <c r="X280" s="53" t="n"/>
      <c r="Y280" s="53" t="n"/>
      <c r="Z280" s="53" t="n"/>
      <c r="AA280" s="53" t="n"/>
      <c r="AB280" s="53" t="n"/>
      <c r="AC280" s="53" t="n"/>
      <c r="AD280" s="53" t="n"/>
      <c r="AE280" s="53" t="n"/>
      <c r="AF280" s="53" t="n"/>
      <c r="AG280" s="53" t="n"/>
      <c r="AH280" s="53" t="n"/>
      <c r="AI280" s="53" t="n"/>
      <c r="AJ280" s="53" t="n"/>
      <c r="AK280" s="53" t="n"/>
      <c r="AL280" s="53" t="n"/>
      <c r="AM280" s="53" t="n"/>
      <c r="AN280" s="53" t="n"/>
      <c r="AO280" s="53" t="n"/>
      <c r="AP280" s="53" t="n"/>
      <c r="AQ280" s="53" t="n"/>
      <c r="AR280" s="53" t="n"/>
      <c r="AS280" s="53" t="n"/>
      <c r="AT280" s="53" t="n"/>
      <c r="AU280" s="53" t="n"/>
      <c r="AV280" s="53" t="n"/>
      <c r="AW280" s="53" t="n"/>
      <c r="AX280" s="53" t="n"/>
      <c r="AY280" s="53" t="n"/>
    </row>
    <row r="281" ht="15" customHeight="1">
      <c r="A281" s="54" t="n"/>
      <c r="B281" s="55">
        <f>IF($B$280="","",$B$280)</f>
        <v/>
      </c>
      <c r="C281" s="56" t="inlineStr">
        <is>
          <t>기타</t>
        </is>
      </c>
      <c r="D281" s="55">
        <f>IF($D$280="","",$D$280)</f>
        <v/>
      </c>
      <c r="E281" s="57" t="inlineStr">
        <is>
          <t>이미지</t>
        </is>
      </c>
      <c r="F281" s="44" t="n"/>
      <c r="G281" s="58">
        <f>IF($G$280="","",$G$280)</f>
        <v/>
      </c>
      <c r="H281" s="59" t="n"/>
      <c r="I281" s="59" t="n"/>
      <c r="J281" s="59" t="n"/>
      <c r="K281" s="59" t="n"/>
      <c r="L281" s="60">
        <f>IF(SUM(U281:AY281)=0,"",SUM(U281:AY281))</f>
        <v/>
      </c>
      <c r="M281" s="61">
        <f>IFERROR(INDEX(U$2:AY$2,MATCH(TRUE,INDEX(U281:AY281&lt;&gt;"",0),0)),"")</f>
        <v/>
      </c>
      <c r="N281" s="61">
        <f>IFERROR(LOOKUP(2,1/(U281:AY281&lt;&gt;""),U$2:AY$2),"")</f>
        <v/>
      </c>
      <c r="O281" s="59" t="n"/>
      <c r="P281" s="59" t="n"/>
      <c r="Q281" s="59" t="n"/>
      <c r="R281" s="59" t="n"/>
      <c r="S281" s="14" t="n"/>
      <c r="U281" s="53" t="n"/>
      <c r="V281" s="53" t="n"/>
      <c r="W281" s="53" t="n"/>
      <c r="X281" s="53" t="n"/>
      <c r="Y281" s="53" t="n"/>
      <c r="Z281" s="53" t="n"/>
      <c r="AA281" s="53" t="n"/>
      <c r="AB281" s="53" t="n"/>
      <c r="AC281" s="53" t="n"/>
      <c r="AD281" s="53" t="n"/>
      <c r="AE281" s="53" t="n"/>
      <c r="AF281" s="53" t="n"/>
      <c r="AG281" s="53" t="n"/>
      <c r="AH281" s="53" t="n"/>
      <c r="AI281" s="53" t="n"/>
      <c r="AJ281" s="53" t="n"/>
      <c r="AK281" s="53" t="n"/>
      <c r="AL281" s="53" t="n"/>
      <c r="AM281" s="53" t="n"/>
      <c r="AN281" s="53" t="n"/>
      <c r="AO281" s="53" t="n"/>
      <c r="AP281" s="53" t="n"/>
      <c r="AQ281" s="53" t="n"/>
      <c r="AR281" s="53" t="n"/>
      <c r="AS281" s="53" t="n"/>
      <c r="AT281" s="53" t="n"/>
      <c r="AU281" s="53" t="n"/>
      <c r="AV281" s="53" t="n"/>
      <c r="AW281" s="53" t="n"/>
      <c r="AX281" s="53" t="n"/>
      <c r="AY281" s="53" t="n"/>
    </row>
    <row r="282" ht="15" customHeight="1">
      <c r="A282" s="62" t="n"/>
      <c r="B282" s="55">
        <f>IF($B$280="","",$B$280)</f>
        <v/>
      </c>
      <c r="C282" s="63" t="inlineStr">
        <is>
          <t>기타</t>
        </is>
      </c>
      <c r="D282" s="55">
        <f>IF($D$280="","",$D$280)</f>
        <v/>
      </c>
      <c r="E282" s="64" t="inlineStr">
        <is>
          <t>영상</t>
        </is>
      </c>
      <c r="F282" s="44" t="n"/>
      <c r="G282" s="58">
        <f>IF($G$280="","",$G$280)</f>
        <v/>
      </c>
      <c r="H282" s="59" t="n"/>
      <c r="I282" s="59" t="n"/>
      <c r="J282" s="59" t="n"/>
      <c r="K282" s="59" t="n"/>
      <c r="L282" s="65">
        <f>IF(SUM(U282:AY282)=0,"",SUM(U282:AY282))</f>
        <v/>
      </c>
      <c r="M282" s="66">
        <f>IFERROR(INDEX(U$2:AY$2,MATCH(TRUE,INDEX(U282:AY282&lt;&gt;"",0),0)),"")</f>
        <v/>
      </c>
      <c r="N282" s="66">
        <f>IFERROR(LOOKUP(2,1/(U282:AY282&lt;&gt;""),U$2:AY$2),"")</f>
        <v/>
      </c>
      <c r="O282" s="59" t="n"/>
      <c r="P282" s="59" t="n"/>
      <c r="Q282" s="59" t="n"/>
      <c r="R282" s="59" t="n"/>
      <c r="S282" s="14" t="n"/>
      <c r="U282" s="53" t="n"/>
      <c r="V282" s="53" t="n"/>
      <c r="W282" s="53" t="n"/>
      <c r="X282" s="53" t="n"/>
      <c r="Y282" s="53" t="n"/>
      <c r="Z282" s="53" t="n"/>
      <c r="AA282" s="53" t="n"/>
      <c r="AB282" s="53" t="n"/>
      <c r="AC282" s="53" t="n"/>
      <c r="AD282" s="53" t="n"/>
      <c r="AE282" s="53" t="n"/>
      <c r="AF282" s="53" t="n"/>
      <c r="AG282" s="53" t="n"/>
      <c r="AH282" s="53" t="n"/>
      <c r="AI282" s="53" t="n"/>
      <c r="AJ282" s="53" t="n"/>
      <c r="AK282" s="53" t="n"/>
      <c r="AL282" s="53" t="n"/>
      <c r="AM282" s="53" t="n"/>
      <c r="AN282" s="53" t="n"/>
      <c r="AO282" s="53" t="n"/>
      <c r="AP282" s="53" t="n"/>
      <c r="AQ282" s="53" t="n"/>
      <c r="AR282" s="53" t="n"/>
      <c r="AS282" s="53" t="n"/>
      <c r="AT282" s="53" t="n"/>
      <c r="AU282" s="53" t="n"/>
      <c r="AV282" s="53" t="n"/>
      <c r="AW282" s="53" t="n"/>
      <c r="AX282" s="53" t="n"/>
      <c r="AY282" s="53" t="n"/>
    </row>
    <row r="283" ht="15" customHeight="1">
      <c r="A283" s="40">
        <f>IF($D$283="","",91)</f>
        <v/>
      </c>
      <c r="B283" s="10" t="n"/>
      <c r="C283" s="41" t="inlineStr">
        <is>
          <t>기타</t>
        </is>
      </c>
      <c r="D283" s="42" t="n"/>
      <c r="E283" s="43" t="inlineStr">
        <is>
          <t>기획</t>
        </is>
      </c>
      <c r="F283" s="44" t="n"/>
      <c r="G283" s="45" t="n"/>
      <c r="H283" s="46">
        <f>IF($I$283="","",IF($I$283&lt;0,"🔴지연",IF($I$283&lt;=1,"🟡임박","🟢여유")))</f>
        <v/>
      </c>
      <c r="I283" s="47">
        <f>IF(OR($G$283="",$K$283=""),"",$G$283-$K$283)</f>
        <v/>
      </c>
      <c r="J283" s="48">
        <f>IF(SUM($L$283:$L$285)=0,"",SUM($L$283:$L$285))</f>
        <v/>
      </c>
      <c r="K283" s="49">
        <f>IF($J$283="","",MAX($N$283:$N$285))</f>
        <v/>
      </c>
      <c r="L283" s="50">
        <f>IF(SUM(U283:AY283)=0,"",SUM(U283:AY283))</f>
        <v/>
      </c>
      <c r="M283" s="51">
        <f>IFERROR(INDEX(U$2:AY$2,MATCH(TRUE,INDEX(U283:AY283&lt;&gt;"",0),0)),"")</f>
        <v/>
      </c>
      <c r="N283" s="51">
        <f>IFERROR(LOOKUP(2,1/(U283:AY283&lt;&gt;""),U$2:AY$2),"")</f>
        <v/>
      </c>
      <c r="O283" s="52" t="n"/>
      <c r="P283" s="52" t="n"/>
      <c r="Q283" s="52" t="n"/>
      <c r="R283" s="44" t="n"/>
      <c r="S283" s="14" t="n"/>
      <c r="U283" s="53" t="n"/>
      <c r="V283" s="53" t="n"/>
      <c r="W283" s="53" t="n"/>
      <c r="X283" s="53" t="n"/>
      <c r="Y283" s="53" t="n"/>
      <c r="Z283" s="53" t="n"/>
      <c r="AA283" s="53" t="n"/>
      <c r="AB283" s="53" t="n"/>
      <c r="AC283" s="53" t="n"/>
      <c r="AD283" s="53" t="n"/>
      <c r="AE283" s="53" t="n"/>
      <c r="AF283" s="53" t="n"/>
      <c r="AG283" s="53" t="n"/>
      <c r="AH283" s="53" t="n"/>
      <c r="AI283" s="53" t="n"/>
      <c r="AJ283" s="53" t="n"/>
      <c r="AK283" s="53" t="n"/>
      <c r="AL283" s="53" t="n"/>
      <c r="AM283" s="53" t="n"/>
      <c r="AN283" s="53" t="n"/>
      <c r="AO283" s="53" t="n"/>
      <c r="AP283" s="53" t="n"/>
      <c r="AQ283" s="53" t="n"/>
      <c r="AR283" s="53" t="n"/>
      <c r="AS283" s="53" t="n"/>
      <c r="AT283" s="53" t="n"/>
      <c r="AU283" s="53" t="n"/>
      <c r="AV283" s="53" t="n"/>
      <c r="AW283" s="53" t="n"/>
      <c r="AX283" s="53" t="n"/>
      <c r="AY283" s="53" t="n"/>
    </row>
    <row r="284" ht="15" customHeight="1">
      <c r="A284" s="54" t="n"/>
      <c r="B284" s="55">
        <f>IF($B$283="","",$B$283)</f>
        <v/>
      </c>
      <c r="C284" s="56" t="inlineStr">
        <is>
          <t>기타</t>
        </is>
      </c>
      <c r="D284" s="55">
        <f>IF($D$283="","",$D$283)</f>
        <v/>
      </c>
      <c r="E284" s="57" t="inlineStr">
        <is>
          <t>이미지</t>
        </is>
      </c>
      <c r="F284" s="44" t="n"/>
      <c r="G284" s="58">
        <f>IF($G$283="","",$G$283)</f>
        <v/>
      </c>
      <c r="H284" s="59" t="n"/>
      <c r="I284" s="59" t="n"/>
      <c r="J284" s="59" t="n"/>
      <c r="K284" s="59" t="n"/>
      <c r="L284" s="60">
        <f>IF(SUM(U284:AY284)=0,"",SUM(U284:AY284))</f>
        <v/>
      </c>
      <c r="M284" s="61">
        <f>IFERROR(INDEX(U$2:AY$2,MATCH(TRUE,INDEX(U284:AY284&lt;&gt;"",0),0)),"")</f>
        <v/>
      </c>
      <c r="N284" s="61">
        <f>IFERROR(LOOKUP(2,1/(U284:AY284&lt;&gt;""),U$2:AY$2),"")</f>
        <v/>
      </c>
      <c r="O284" s="59" t="n"/>
      <c r="P284" s="59" t="n"/>
      <c r="Q284" s="59" t="n"/>
      <c r="R284" s="59" t="n"/>
      <c r="S284" s="14" t="n"/>
      <c r="U284" s="53" t="n"/>
      <c r="V284" s="53" t="n"/>
      <c r="W284" s="53" t="n"/>
      <c r="X284" s="53" t="n"/>
      <c r="Y284" s="53" t="n"/>
      <c r="Z284" s="53" t="n"/>
      <c r="AA284" s="53" t="n"/>
      <c r="AB284" s="53" t="n"/>
      <c r="AC284" s="53" t="n"/>
      <c r="AD284" s="53" t="n"/>
      <c r="AE284" s="53" t="n"/>
      <c r="AF284" s="53" t="n"/>
      <c r="AG284" s="53" t="n"/>
      <c r="AH284" s="53" t="n"/>
      <c r="AI284" s="53" t="n"/>
      <c r="AJ284" s="53" t="n"/>
      <c r="AK284" s="53" t="n"/>
      <c r="AL284" s="53" t="n"/>
      <c r="AM284" s="53" t="n"/>
      <c r="AN284" s="53" t="n"/>
      <c r="AO284" s="53" t="n"/>
      <c r="AP284" s="53" t="n"/>
      <c r="AQ284" s="53" t="n"/>
      <c r="AR284" s="53" t="n"/>
      <c r="AS284" s="53" t="n"/>
      <c r="AT284" s="53" t="n"/>
      <c r="AU284" s="53" t="n"/>
      <c r="AV284" s="53" t="n"/>
      <c r="AW284" s="53" t="n"/>
      <c r="AX284" s="53" t="n"/>
      <c r="AY284" s="53" t="n"/>
    </row>
    <row r="285" ht="15" customHeight="1">
      <c r="A285" s="62" t="n"/>
      <c r="B285" s="55">
        <f>IF($B$283="","",$B$283)</f>
        <v/>
      </c>
      <c r="C285" s="63" t="inlineStr">
        <is>
          <t>기타</t>
        </is>
      </c>
      <c r="D285" s="55">
        <f>IF($D$283="","",$D$283)</f>
        <v/>
      </c>
      <c r="E285" s="64" t="inlineStr">
        <is>
          <t>영상</t>
        </is>
      </c>
      <c r="F285" s="44" t="n"/>
      <c r="G285" s="58">
        <f>IF($G$283="","",$G$283)</f>
        <v/>
      </c>
      <c r="H285" s="59" t="n"/>
      <c r="I285" s="59" t="n"/>
      <c r="J285" s="59" t="n"/>
      <c r="K285" s="59" t="n"/>
      <c r="L285" s="65">
        <f>IF(SUM(U285:AY285)=0,"",SUM(U285:AY285))</f>
        <v/>
      </c>
      <c r="M285" s="66">
        <f>IFERROR(INDEX(U$2:AY$2,MATCH(TRUE,INDEX(U285:AY285&lt;&gt;"",0),0)),"")</f>
        <v/>
      </c>
      <c r="N285" s="66">
        <f>IFERROR(LOOKUP(2,1/(U285:AY285&lt;&gt;""),U$2:AY$2),"")</f>
        <v/>
      </c>
      <c r="O285" s="59" t="n"/>
      <c r="P285" s="59" t="n"/>
      <c r="Q285" s="59" t="n"/>
      <c r="R285" s="59" t="n"/>
      <c r="S285" s="14" t="n"/>
      <c r="U285" s="53" t="n"/>
      <c r="V285" s="53" t="n"/>
      <c r="W285" s="53" t="n"/>
      <c r="X285" s="53" t="n"/>
      <c r="Y285" s="53" t="n"/>
      <c r="Z285" s="53" t="n"/>
      <c r="AA285" s="53" t="n"/>
      <c r="AB285" s="53" t="n"/>
      <c r="AC285" s="53" t="n"/>
      <c r="AD285" s="53" t="n"/>
      <c r="AE285" s="53" t="n"/>
      <c r="AF285" s="53" t="n"/>
      <c r="AG285" s="53" t="n"/>
      <c r="AH285" s="53" t="n"/>
      <c r="AI285" s="53" t="n"/>
      <c r="AJ285" s="53" t="n"/>
      <c r="AK285" s="53" t="n"/>
      <c r="AL285" s="53" t="n"/>
      <c r="AM285" s="53" t="n"/>
      <c r="AN285" s="53" t="n"/>
      <c r="AO285" s="53" t="n"/>
      <c r="AP285" s="53" t="n"/>
      <c r="AQ285" s="53" t="n"/>
      <c r="AR285" s="53" t="n"/>
      <c r="AS285" s="53" t="n"/>
      <c r="AT285" s="53" t="n"/>
      <c r="AU285" s="53" t="n"/>
      <c r="AV285" s="53" t="n"/>
      <c r="AW285" s="53" t="n"/>
      <c r="AX285" s="53" t="n"/>
      <c r="AY285" s="53" t="n"/>
    </row>
    <row r="286" ht="15" customHeight="1">
      <c r="A286" s="40">
        <f>IF($D$286="","",92)</f>
        <v/>
      </c>
      <c r="B286" s="10" t="n"/>
      <c r="C286" s="41" t="inlineStr">
        <is>
          <t>기타</t>
        </is>
      </c>
      <c r="D286" s="42" t="n"/>
      <c r="E286" s="43" t="inlineStr">
        <is>
          <t>기획</t>
        </is>
      </c>
      <c r="F286" s="44" t="n"/>
      <c r="G286" s="45" t="n"/>
      <c r="H286" s="46">
        <f>IF($I$286="","",IF($I$286&lt;0,"🔴지연",IF($I$286&lt;=1,"🟡임박","🟢여유")))</f>
        <v/>
      </c>
      <c r="I286" s="47">
        <f>IF(OR($G$286="",$K$286=""),"",$G$286-$K$286)</f>
        <v/>
      </c>
      <c r="J286" s="48">
        <f>IF(SUM($L$286:$L$288)=0,"",SUM($L$286:$L$288))</f>
        <v/>
      </c>
      <c r="K286" s="49">
        <f>IF($J$286="","",MAX($N$286:$N$288))</f>
        <v/>
      </c>
      <c r="L286" s="50">
        <f>IF(SUM(U286:AY286)=0,"",SUM(U286:AY286))</f>
        <v/>
      </c>
      <c r="M286" s="51">
        <f>IFERROR(INDEX(U$2:AY$2,MATCH(TRUE,INDEX(U286:AY286&lt;&gt;"",0),0)),"")</f>
        <v/>
      </c>
      <c r="N286" s="51">
        <f>IFERROR(LOOKUP(2,1/(U286:AY286&lt;&gt;""),U$2:AY$2),"")</f>
        <v/>
      </c>
      <c r="O286" s="52" t="n"/>
      <c r="P286" s="52" t="n"/>
      <c r="Q286" s="52" t="n"/>
      <c r="R286" s="44" t="n"/>
      <c r="S286" s="14" t="n"/>
      <c r="U286" s="53" t="n"/>
      <c r="V286" s="53" t="n"/>
      <c r="W286" s="53" t="n"/>
      <c r="X286" s="53" t="n"/>
      <c r="Y286" s="53" t="n"/>
      <c r="Z286" s="53" t="n"/>
      <c r="AA286" s="53" t="n"/>
      <c r="AB286" s="53" t="n"/>
      <c r="AC286" s="53" t="n"/>
      <c r="AD286" s="53" t="n"/>
      <c r="AE286" s="53" t="n"/>
      <c r="AF286" s="53" t="n"/>
      <c r="AG286" s="53" t="n"/>
      <c r="AH286" s="53" t="n"/>
      <c r="AI286" s="53" t="n"/>
      <c r="AJ286" s="53" t="n"/>
      <c r="AK286" s="53" t="n"/>
      <c r="AL286" s="53" t="n"/>
      <c r="AM286" s="53" t="n"/>
      <c r="AN286" s="53" t="n"/>
      <c r="AO286" s="53" t="n"/>
      <c r="AP286" s="53" t="n"/>
      <c r="AQ286" s="53" t="n"/>
      <c r="AR286" s="53" t="n"/>
      <c r="AS286" s="53" t="n"/>
      <c r="AT286" s="53" t="n"/>
      <c r="AU286" s="53" t="n"/>
      <c r="AV286" s="53" t="n"/>
      <c r="AW286" s="53" t="n"/>
      <c r="AX286" s="53" t="n"/>
      <c r="AY286" s="53" t="n"/>
    </row>
    <row r="287" ht="15" customHeight="1">
      <c r="A287" s="54" t="n"/>
      <c r="B287" s="55">
        <f>IF($B$286="","",$B$286)</f>
        <v/>
      </c>
      <c r="C287" s="56" t="inlineStr">
        <is>
          <t>기타</t>
        </is>
      </c>
      <c r="D287" s="55">
        <f>IF($D$286="","",$D$286)</f>
        <v/>
      </c>
      <c r="E287" s="57" t="inlineStr">
        <is>
          <t>이미지</t>
        </is>
      </c>
      <c r="F287" s="44" t="n"/>
      <c r="G287" s="58">
        <f>IF($G$286="","",$G$286)</f>
        <v/>
      </c>
      <c r="H287" s="59" t="n"/>
      <c r="I287" s="59" t="n"/>
      <c r="J287" s="59" t="n"/>
      <c r="K287" s="59" t="n"/>
      <c r="L287" s="60">
        <f>IF(SUM(U287:AY287)=0,"",SUM(U287:AY287))</f>
        <v/>
      </c>
      <c r="M287" s="61">
        <f>IFERROR(INDEX(U$2:AY$2,MATCH(TRUE,INDEX(U287:AY287&lt;&gt;"",0),0)),"")</f>
        <v/>
      </c>
      <c r="N287" s="61">
        <f>IFERROR(LOOKUP(2,1/(U287:AY287&lt;&gt;""),U$2:AY$2),"")</f>
        <v/>
      </c>
      <c r="O287" s="59" t="n"/>
      <c r="P287" s="59" t="n"/>
      <c r="Q287" s="59" t="n"/>
      <c r="R287" s="59" t="n"/>
      <c r="S287" s="14" t="n"/>
      <c r="U287" s="53" t="n"/>
      <c r="V287" s="53" t="n"/>
      <c r="W287" s="53" t="n"/>
      <c r="X287" s="53" t="n"/>
      <c r="Y287" s="53" t="n"/>
      <c r="Z287" s="53" t="n"/>
      <c r="AA287" s="53" t="n"/>
      <c r="AB287" s="53" t="n"/>
      <c r="AC287" s="53" t="n"/>
      <c r="AD287" s="53" t="n"/>
      <c r="AE287" s="53" t="n"/>
      <c r="AF287" s="53" t="n"/>
      <c r="AG287" s="53" t="n"/>
      <c r="AH287" s="53" t="n"/>
      <c r="AI287" s="53" t="n"/>
      <c r="AJ287" s="53" t="n"/>
      <c r="AK287" s="53" t="n"/>
      <c r="AL287" s="53" t="n"/>
      <c r="AM287" s="53" t="n"/>
      <c r="AN287" s="53" t="n"/>
      <c r="AO287" s="53" t="n"/>
      <c r="AP287" s="53" t="n"/>
      <c r="AQ287" s="53" t="n"/>
      <c r="AR287" s="53" t="n"/>
      <c r="AS287" s="53" t="n"/>
      <c r="AT287" s="53" t="n"/>
      <c r="AU287" s="53" t="n"/>
      <c r="AV287" s="53" t="n"/>
      <c r="AW287" s="53" t="n"/>
      <c r="AX287" s="53" t="n"/>
      <c r="AY287" s="53" t="n"/>
    </row>
    <row r="288" ht="15" customHeight="1">
      <c r="A288" s="62" t="n"/>
      <c r="B288" s="55">
        <f>IF($B$286="","",$B$286)</f>
        <v/>
      </c>
      <c r="C288" s="63" t="inlineStr">
        <is>
          <t>기타</t>
        </is>
      </c>
      <c r="D288" s="55">
        <f>IF($D$286="","",$D$286)</f>
        <v/>
      </c>
      <c r="E288" s="64" t="inlineStr">
        <is>
          <t>영상</t>
        </is>
      </c>
      <c r="F288" s="44" t="n"/>
      <c r="G288" s="58">
        <f>IF($G$286="","",$G$286)</f>
        <v/>
      </c>
      <c r="H288" s="59" t="n"/>
      <c r="I288" s="59" t="n"/>
      <c r="J288" s="59" t="n"/>
      <c r="K288" s="59" t="n"/>
      <c r="L288" s="65">
        <f>IF(SUM(U288:AY288)=0,"",SUM(U288:AY288))</f>
        <v/>
      </c>
      <c r="M288" s="66">
        <f>IFERROR(INDEX(U$2:AY$2,MATCH(TRUE,INDEX(U288:AY288&lt;&gt;"",0),0)),"")</f>
        <v/>
      </c>
      <c r="N288" s="66">
        <f>IFERROR(LOOKUP(2,1/(U288:AY288&lt;&gt;""),U$2:AY$2),"")</f>
        <v/>
      </c>
      <c r="O288" s="59" t="n"/>
      <c r="P288" s="59" t="n"/>
      <c r="Q288" s="59" t="n"/>
      <c r="R288" s="59" t="n"/>
      <c r="S288" s="14" t="n"/>
      <c r="U288" s="53" t="n"/>
      <c r="V288" s="53" t="n"/>
      <c r="W288" s="53" t="n"/>
      <c r="X288" s="53" t="n"/>
      <c r="Y288" s="53" t="n"/>
      <c r="Z288" s="53" t="n"/>
      <c r="AA288" s="53" t="n"/>
      <c r="AB288" s="53" t="n"/>
      <c r="AC288" s="53" t="n"/>
      <c r="AD288" s="53" t="n"/>
      <c r="AE288" s="53" t="n"/>
      <c r="AF288" s="53" t="n"/>
      <c r="AG288" s="53" t="n"/>
      <c r="AH288" s="53" t="n"/>
      <c r="AI288" s="53" t="n"/>
      <c r="AJ288" s="53" t="n"/>
      <c r="AK288" s="53" t="n"/>
      <c r="AL288" s="53" t="n"/>
      <c r="AM288" s="53" t="n"/>
      <c r="AN288" s="53" t="n"/>
      <c r="AO288" s="53" t="n"/>
      <c r="AP288" s="53" t="n"/>
      <c r="AQ288" s="53" t="n"/>
      <c r="AR288" s="53" t="n"/>
      <c r="AS288" s="53" t="n"/>
      <c r="AT288" s="53" t="n"/>
      <c r="AU288" s="53" t="n"/>
      <c r="AV288" s="53" t="n"/>
      <c r="AW288" s="53" t="n"/>
      <c r="AX288" s="53" t="n"/>
      <c r="AY288" s="53" t="n"/>
    </row>
    <row r="289" ht="15" customHeight="1">
      <c r="A289" s="40">
        <f>IF($D$289="","",93)</f>
        <v/>
      </c>
      <c r="B289" s="10" t="n"/>
      <c r="C289" s="41" t="inlineStr">
        <is>
          <t>기타</t>
        </is>
      </c>
      <c r="D289" s="42" t="n"/>
      <c r="E289" s="43" t="inlineStr">
        <is>
          <t>기획</t>
        </is>
      </c>
      <c r="F289" s="44" t="n"/>
      <c r="G289" s="45" t="n"/>
      <c r="H289" s="46">
        <f>IF($I$289="","",IF($I$289&lt;0,"🔴지연",IF($I$289&lt;=1,"🟡임박","🟢여유")))</f>
        <v/>
      </c>
      <c r="I289" s="47">
        <f>IF(OR($G$289="",$K$289=""),"",$G$289-$K$289)</f>
        <v/>
      </c>
      <c r="J289" s="48">
        <f>IF(SUM($L$289:$L$291)=0,"",SUM($L$289:$L$291))</f>
        <v/>
      </c>
      <c r="K289" s="49">
        <f>IF($J$289="","",MAX($N$289:$N$291))</f>
        <v/>
      </c>
      <c r="L289" s="50">
        <f>IF(SUM(U289:AY289)=0,"",SUM(U289:AY289))</f>
        <v/>
      </c>
      <c r="M289" s="51">
        <f>IFERROR(INDEX(U$2:AY$2,MATCH(TRUE,INDEX(U289:AY289&lt;&gt;"",0),0)),"")</f>
        <v/>
      </c>
      <c r="N289" s="51">
        <f>IFERROR(LOOKUP(2,1/(U289:AY289&lt;&gt;""),U$2:AY$2),"")</f>
        <v/>
      </c>
      <c r="O289" s="52" t="n"/>
      <c r="P289" s="52" t="n"/>
      <c r="Q289" s="52" t="n"/>
      <c r="R289" s="44" t="n"/>
      <c r="S289" s="14" t="n"/>
      <c r="U289" s="53" t="n"/>
      <c r="V289" s="53" t="n"/>
      <c r="W289" s="53" t="n"/>
      <c r="X289" s="53" t="n"/>
      <c r="Y289" s="53" t="n"/>
      <c r="Z289" s="53" t="n"/>
      <c r="AA289" s="53" t="n"/>
      <c r="AB289" s="53" t="n"/>
      <c r="AC289" s="53" t="n"/>
      <c r="AD289" s="53" t="n"/>
      <c r="AE289" s="53" t="n"/>
      <c r="AF289" s="53" t="n"/>
      <c r="AG289" s="53" t="n"/>
      <c r="AH289" s="53" t="n"/>
      <c r="AI289" s="53" t="n"/>
      <c r="AJ289" s="53" t="n"/>
      <c r="AK289" s="53" t="n"/>
      <c r="AL289" s="53" t="n"/>
      <c r="AM289" s="53" t="n"/>
      <c r="AN289" s="53" t="n"/>
      <c r="AO289" s="53" t="n"/>
      <c r="AP289" s="53" t="n"/>
      <c r="AQ289" s="53" t="n"/>
      <c r="AR289" s="53" t="n"/>
      <c r="AS289" s="53" t="n"/>
      <c r="AT289" s="53" t="n"/>
      <c r="AU289" s="53" t="n"/>
      <c r="AV289" s="53" t="n"/>
      <c r="AW289" s="53" t="n"/>
      <c r="AX289" s="53" t="n"/>
      <c r="AY289" s="53" t="n"/>
    </row>
    <row r="290" ht="15" customHeight="1">
      <c r="A290" s="54" t="n"/>
      <c r="B290" s="55">
        <f>IF($B$289="","",$B$289)</f>
        <v/>
      </c>
      <c r="C290" s="56" t="inlineStr">
        <is>
          <t>기타</t>
        </is>
      </c>
      <c r="D290" s="55">
        <f>IF($D$289="","",$D$289)</f>
        <v/>
      </c>
      <c r="E290" s="57" t="inlineStr">
        <is>
          <t>이미지</t>
        </is>
      </c>
      <c r="F290" s="44" t="n"/>
      <c r="G290" s="58">
        <f>IF($G$289="","",$G$289)</f>
        <v/>
      </c>
      <c r="H290" s="59" t="n"/>
      <c r="I290" s="59" t="n"/>
      <c r="J290" s="59" t="n"/>
      <c r="K290" s="59" t="n"/>
      <c r="L290" s="60">
        <f>IF(SUM(U290:AY290)=0,"",SUM(U290:AY290))</f>
        <v/>
      </c>
      <c r="M290" s="61">
        <f>IFERROR(INDEX(U$2:AY$2,MATCH(TRUE,INDEX(U290:AY290&lt;&gt;"",0),0)),"")</f>
        <v/>
      </c>
      <c r="N290" s="61">
        <f>IFERROR(LOOKUP(2,1/(U290:AY290&lt;&gt;""),U$2:AY$2),"")</f>
        <v/>
      </c>
      <c r="O290" s="59" t="n"/>
      <c r="P290" s="59" t="n"/>
      <c r="Q290" s="59" t="n"/>
      <c r="R290" s="59" t="n"/>
      <c r="S290" s="14" t="n"/>
      <c r="U290" s="53" t="n"/>
      <c r="V290" s="53" t="n"/>
      <c r="W290" s="53" t="n"/>
      <c r="X290" s="53" t="n"/>
      <c r="Y290" s="53" t="n"/>
      <c r="Z290" s="53" t="n"/>
      <c r="AA290" s="53" t="n"/>
      <c r="AB290" s="53" t="n"/>
      <c r="AC290" s="53" t="n"/>
      <c r="AD290" s="53" t="n"/>
      <c r="AE290" s="53" t="n"/>
      <c r="AF290" s="53" t="n"/>
      <c r="AG290" s="53" t="n"/>
      <c r="AH290" s="53" t="n"/>
      <c r="AI290" s="53" t="n"/>
      <c r="AJ290" s="53" t="n"/>
      <c r="AK290" s="53" t="n"/>
      <c r="AL290" s="53" t="n"/>
      <c r="AM290" s="53" t="n"/>
      <c r="AN290" s="53" t="n"/>
      <c r="AO290" s="53" t="n"/>
      <c r="AP290" s="53" t="n"/>
      <c r="AQ290" s="53" t="n"/>
      <c r="AR290" s="53" t="n"/>
      <c r="AS290" s="53" t="n"/>
      <c r="AT290" s="53" t="n"/>
      <c r="AU290" s="53" t="n"/>
      <c r="AV290" s="53" t="n"/>
      <c r="AW290" s="53" t="n"/>
      <c r="AX290" s="53" t="n"/>
      <c r="AY290" s="53" t="n"/>
    </row>
    <row r="291" ht="15" customHeight="1">
      <c r="A291" s="62" t="n"/>
      <c r="B291" s="55">
        <f>IF($B$289="","",$B$289)</f>
        <v/>
      </c>
      <c r="C291" s="63" t="inlineStr">
        <is>
          <t>기타</t>
        </is>
      </c>
      <c r="D291" s="55">
        <f>IF($D$289="","",$D$289)</f>
        <v/>
      </c>
      <c r="E291" s="64" t="inlineStr">
        <is>
          <t>영상</t>
        </is>
      </c>
      <c r="F291" s="44" t="n"/>
      <c r="G291" s="58">
        <f>IF($G$289="","",$G$289)</f>
        <v/>
      </c>
      <c r="H291" s="59" t="n"/>
      <c r="I291" s="59" t="n"/>
      <c r="J291" s="59" t="n"/>
      <c r="K291" s="59" t="n"/>
      <c r="L291" s="65">
        <f>IF(SUM(U291:AY291)=0,"",SUM(U291:AY291))</f>
        <v/>
      </c>
      <c r="M291" s="66">
        <f>IFERROR(INDEX(U$2:AY$2,MATCH(TRUE,INDEX(U291:AY291&lt;&gt;"",0),0)),"")</f>
        <v/>
      </c>
      <c r="N291" s="66">
        <f>IFERROR(LOOKUP(2,1/(U291:AY291&lt;&gt;""),U$2:AY$2),"")</f>
        <v/>
      </c>
      <c r="O291" s="59" t="n"/>
      <c r="P291" s="59" t="n"/>
      <c r="Q291" s="59" t="n"/>
      <c r="R291" s="59" t="n"/>
      <c r="S291" s="14" t="n"/>
      <c r="U291" s="53" t="n"/>
      <c r="V291" s="53" t="n"/>
      <c r="W291" s="53" t="n"/>
      <c r="X291" s="53" t="n"/>
      <c r="Y291" s="53" t="n"/>
      <c r="Z291" s="53" t="n"/>
      <c r="AA291" s="53" t="n"/>
      <c r="AB291" s="53" t="n"/>
      <c r="AC291" s="53" t="n"/>
      <c r="AD291" s="53" t="n"/>
      <c r="AE291" s="53" t="n"/>
      <c r="AF291" s="53" t="n"/>
      <c r="AG291" s="53" t="n"/>
      <c r="AH291" s="53" t="n"/>
      <c r="AI291" s="53" t="n"/>
      <c r="AJ291" s="53" t="n"/>
      <c r="AK291" s="53" t="n"/>
      <c r="AL291" s="53" t="n"/>
      <c r="AM291" s="53" t="n"/>
      <c r="AN291" s="53" t="n"/>
      <c r="AO291" s="53" t="n"/>
      <c r="AP291" s="53" t="n"/>
      <c r="AQ291" s="53" t="n"/>
      <c r="AR291" s="53" t="n"/>
      <c r="AS291" s="53" t="n"/>
      <c r="AT291" s="53" t="n"/>
      <c r="AU291" s="53" t="n"/>
      <c r="AV291" s="53" t="n"/>
      <c r="AW291" s="53" t="n"/>
      <c r="AX291" s="53" t="n"/>
      <c r="AY291" s="53" t="n"/>
    </row>
    <row r="292" ht="15" customHeight="1">
      <c r="A292" s="40">
        <f>IF($D$292="","",94)</f>
        <v/>
      </c>
      <c r="B292" s="10" t="n"/>
      <c r="C292" s="41" t="inlineStr">
        <is>
          <t>기타</t>
        </is>
      </c>
      <c r="D292" s="42" t="n"/>
      <c r="E292" s="43" t="inlineStr">
        <is>
          <t>기획</t>
        </is>
      </c>
      <c r="F292" s="44" t="n"/>
      <c r="G292" s="45" t="n"/>
      <c r="H292" s="46">
        <f>IF($I$292="","",IF($I$292&lt;0,"🔴지연",IF($I$292&lt;=1,"🟡임박","🟢여유")))</f>
        <v/>
      </c>
      <c r="I292" s="47">
        <f>IF(OR($G$292="",$K$292=""),"",$G$292-$K$292)</f>
        <v/>
      </c>
      <c r="J292" s="48">
        <f>IF(SUM($L$292:$L$294)=0,"",SUM($L$292:$L$294))</f>
        <v/>
      </c>
      <c r="K292" s="49">
        <f>IF($J$292="","",MAX($N$292:$N$294))</f>
        <v/>
      </c>
      <c r="L292" s="50">
        <f>IF(SUM(U292:AY292)=0,"",SUM(U292:AY292))</f>
        <v/>
      </c>
      <c r="M292" s="51">
        <f>IFERROR(INDEX(U$2:AY$2,MATCH(TRUE,INDEX(U292:AY292&lt;&gt;"",0),0)),"")</f>
        <v/>
      </c>
      <c r="N292" s="51">
        <f>IFERROR(LOOKUP(2,1/(U292:AY292&lt;&gt;""),U$2:AY$2),"")</f>
        <v/>
      </c>
      <c r="O292" s="52" t="n"/>
      <c r="P292" s="52" t="n"/>
      <c r="Q292" s="52" t="n"/>
      <c r="R292" s="44" t="n"/>
      <c r="S292" s="14" t="n"/>
      <c r="U292" s="53" t="n"/>
      <c r="V292" s="53" t="n"/>
      <c r="W292" s="53" t="n"/>
      <c r="X292" s="53" t="n"/>
      <c r="Y292" s="53" t="n"/>
      <c r="Z292" s="53" t="n"/>
      <c r="AA292" s="53" t="n"/>
      <c r="AB292" s="53" t="n"/>
      <c r="AC292" s="53" t="n"/>
      <c r="AD292" s="53" t="n"/>
      <c r="AE292" s="53" t="n"/>
      <c r="AF292" s="53" t="n"/>
      <c r="AG292" s="53" t="n"/>
      <c r="AH292" s="53" t="n"/>
      <c r="AI292" s="53" t="n"/>
      <c r="AJ292" s="53" t="n"/>
      <c r="AK292" s="53" t="n"/>
      <c r="AL292" s="53" t="n"/>
      <c r="AM292" s="53" t="n"/>
      <c r="AN292" s="53" t="n"/>
      <c r="AO292" s="53" t="n"/>
      <c r="AP292" s="53" t="n"/>
      <c r="AQ292" s="53" t="n"/>
      <c r="AR292" s="53" t="n"/>
      <c r="AS292" s="53" t="n"/>
      <c r="AT292" s="53" t="n"/>
      <c r="AU292" s="53" t="n"/>
      <c r="AV292" s="53" t="n"/>
      <c r="AW292" s="53" t="n"/>
      <c r="AX292" s="53" t="n"/>
      <c r="AY292" s="53" t="n"/>
    </row>
    <row r="293" ht="15" customHeight="1">
      <c r="A293" s="54" t="n"/>
      <c r="B293" s="55">
        <f>IF($B$292="","",$B$292)</f>
        <v/>
      </c>
      <c r="C293" s="56" t="inlineStr">
        <is>
          <t>기타</t>
        </is>
      </c>
      <c r="D293" s="55">
        <f>IF($D$292="","",$D$292)</f>
        <v/>
      </c>
      <c r="E293" s="57" t="inlineStr">
        <is>
          <t>이미지</t>
        </is>
      </c>
      <c r="F293" s="44" t="n"/>
      <c r="G293" s="58">
        <f>IF($G$292="","",$G$292)</f>
        <v/>
      </c>
      <c r="H293" s="59" t="n"/>
      <c r="I293" s="59" t="n"/>
      <c r="J293" s="59" t="n"/>
      <c r="K293" s="59" t="n"/>
      <c r="L293" s="60">
        <f>IF(SUM(U293:AY293)=0,"",SUM(U293:AY293))</f>
        <v/>
      </c>
      <c r="M293" s="61">
        <f>IFERROR(INDEX(U$2:AY$2,MATCH(TRUE,INDEX(U293:AY293&lt;&gt;"",0),0)),"")</f>
        <v/>
      </c>
      <c r="N293" s="61">
        <f>IFERROR(LOOKUP(2,1/(U293:AY293&lt;&gt;""),U$2:AY$2),"")</f>
        <v/>
      </c>
      <c r="O293" s="59" t="n"/>
      <c r="P293" s="59" t="n"/>
      <c r="Q293" s="59" t="n"/>
      <c r="R293" s="59" t="n"/>
      <c r="S293" s="14" t="n"/>
      <c r="U293" s="53" t="n"/>
      <c r="V293" s="53" t="n"/>
      <c r="W293" s="53" t="n"/>
      <c r="X293" s="53" t="n"/>
      <c r="Y293" s="53" t="n"/>
      <c r="Z293" s="53" t="n"/>
      <c r="AA293" s="53" t="n"/>
      <c r="AB293" s="53" t="n"/>
      <c r="AC293" s="53" t="n"/>
      <c r="AD293" s="53" t="n"/>
      <c r="AE293" s="53" t="n"/>
      <c r="AF293" s="53" t="n"/>
      <c r="AG293" s="53" t="n"/>
      <c r="AH293" s="53" t="n"/>
      <c r="AI293" s="53" t="n"/>
      <c r="AJ293" s="53" t="n"/>
      <c r="AK293" s="53" t="n"/>
      <c r="AL293" s="53" t="n"/>
      <c r="AM293" s="53" t="n"/>
      <c r="AN293" s="53" t="n"/>
      <c r="AO293" s="53" t="n"/>
      <c r="AP293" s="53" t="n"/>
      <c r="AQ293" s="53" t="n"/>
      <c r="AR293" s="53" t="n"/>
      <c r="AS293" s="53" t="n"/>
      <c r="AT293" s="53" t="n"/>
      <c r="AU293" s="53" t="n"/>
      <c r="AV293" s="53" t="n"/>
      <c r="AW293" s="53" t="n"/>
      <c r="AX293" s="53" t="n"/>
      <c r="AY293" s="53" t="n"/>
    </row>
    <row r="294" ht="15" customHeight="1">
      <c r="A294" s="62" t="n"/>
      <c r="B294" s="55">
        <f>IF($B$292="","",$B$292)</f>
        <v/>
      </c>
      <c r="C294" s="63" t="inlineStr">
        <is>
          <t>기타</t>
        </is>
      </c>
      <c r="D294" s="55">
        <f>IF($D$292="","",$D$292)</f>
        <v/>
      </c>
      <c r="E294" s="64" t="inlineStr">
        <is>
          <t>영상</t>
        </is>
      </c>
      <c r="F294" s="44" t="n"/>
      <c r="G294" s="58">
        <f>IF($G$292="","",$G$292)</f>
        <v/>
      </c>
      <c r="H294" s="59" t="n"/>
      <c r="I294" s="59" t="n"/>
      <c r="J294" s="59" t="n"/>
      <c r="K294" s="59" t="n"/>
      <c r="L294" s="65">
        <f>IF(SUM(U294:AY294)=0,"",SUM(U294:AY294))</f>
        <v/>
      </c>
      <c r="M294" s="66">
        <f>IFERROR(INDEX(U$2:AY$2,MATCH(TRUE,INDEX(U294:AY294&lt;&gt;"",0),0)),"")</f>
        <v/>
      </c>
      <c r="N294" s="66">
        <f>IFERROR(LOOKUP(2,1/(U294:AY294&lt;&gt;""),U$2:AY$2),"")</f>
        <v/>
      </c>
      <c r="O294" s="59" t="n"/>
      <c r="P294" s="59" t="n"/>
      <c r="Q294" s="59" t="n"/>
      <c r="R294" s="59" t="n"/>
      <c r="S294" s="14" t="n"/>
      <c r="U294" s="53" t="n"/>
      <c r="V294" s="53" t="n"/>
      <c r="W294" s="53" t="n"/>
      <c r="X294" s="53" t="n"/>
      <c r="Y294" s="53" t="n"/>
      <c r="Z294" s="53" t="n"/>
      <c r="AA294" s="53" t="n"/>
      <c r="AB294" s="53" t="n"/>
      <c r="AC294" s="53" t="n"/>
      <c r="AD294" s="53" t="n"/>
      <c r="AE294" s="53" t="n"/>
      <c r="AF294" s="53" t="n"/>
      <c r="AG294" s="53" t="n"/>
      <c r="AH294" s="53" t="n"/>
      <c r="AI294" s="53" t="n"/>
      <c r="AJ294" s="53" t="n"/>
      <c r="AK294" s="53" t="n"/>
      <c r="AL294" s="53" t="n"/>
      <c r="AM294" s="53" t="n"/>
      <c r="AN294" s="53" t="n"/>
      <c r="AO294" s="53" t="n"/>
      <c r="AP294" s="53" t="n"/>
      <c r="AQ294" s="53" t="n"/>
      <c r="AR294" s="53" t="n"/>
      <c r="AS294" s="53" t="n"/>
      <c r="AT294" s="53" t="n"/>
      <c r="AU294" s="53" t="n"/>
      <c r="AV294" s="53" t="n"/>
      <c r="AW294" s="53" t="n"/>
      <c r="AX294" s="53" t="n"/>
      <c r="AY294" s="53" t="n"/>
    </row>
    <row r="295" ht="15" customHeight="1">
      <c r="A295" s="40">
        <f>IF($D$295="","",95)</f>
        <v/>
      </c>
      <c r="B295" s="10" t="n"/>
      <c r="C295" s="41" t="inlineStr">
        <is>
          <t>기타</t>
        </is>
      </c>
      <c r="D295" s="42" t="n"/>
      <c r="E295" s="43" t="inlineStr">
        <is>
          <t>기획</t>
        </is>
      </c>
      <c r="F295" s="44" t="n"/>
      <c r="G295" s="45" t="n"/>
      <c r="H295" s="46">
        <f>IF($I$295="","",IF($I$295&lt;0,"🔴지연",IF($I$295&lt;=1,"🟡임박","🟢여유")))</f>
        <v/>
      </c>
      <c r="I295" s="47">
        <f>IF(OR($G$295="",$K$295=""),"",$G$295-$K$295)</f>
        <v/>
      </c>
      <c r="J295" s="48">
        <f>IF(SUM($L$295:$L$297)=0,"",SUM($L$295:$L$297))</f>
        <v/>
      </c>
      <c r="K295" s="49">
        <f>IF($J$295="","",MAX($N$295:$N$297))</f>
        <v/>
      </c>
      <c r="L295" s="50">
        <f>IF(SUM(U295:AY295)=0,"",SUM(U295:AY295))</f>
        <v/>
      </c>
      <c r="M295" s="51">
        <f>IFERROR(INDEX(U$2:AY$2,MATCH(TRUE,INDEX(U295:AY295&lt;&gt;"",0),0)),"")</f>
        <v/>
      </c>
      <c r="N295" s="51">
        <f>IFERROR(LOOKUP(2,1/(U295:AY295&lt;&gt;""),U$2:AY$2),"")</f>
        <v/>
      </c>
      <c r="O295" s="52" t="n"/>
      <c r="P295" s="52" t="n"/>
      <c r="Q295" s="52" t="n"/>
      <c r="R295" s="44" t="n"/>
      <c r="S295" s="14" t="n"/>
      <c r="U295" s="53" t="n"/>
      <c r="V295" s="53" t="n"/>
      <c r="W295" s="53" t="n"/>
      <c r="X295" s="53" t="n"/>
      <c r="Y295" s="53" t="n"/>
      <c r="Z295" s="53" t="n"/>
      <c r="AA295" s="53" t="n"/>
      <c r="AB295" s="53" t="n"/>
      <c r="AC295" s="53" t="n"/>
      <c r="AD295" s="53" t="n"/>
      <c r="AE295" s="53" t="n"/>
      <c r="AF295" s="53" t="n"/>
      <c r="AG295" s="53" t="n"/>
      <c r="AH295" s="53" t="n"/>
      <c r="AI295" s="53" t="n"/>
      <c r="AJ295" s="53" t="n"/>
      <c r="AK295" s="53" t="n"/>
      <c r="AL295" s="53" t="n"/>
      <c r="AM295" s="53" t="n"/>
      <c r="AN295" s="53" t="n"/>
      <c r="AO295" s="53" t="n"/>
      <c r="AP295" s="53" t="n"/>
      <c r="AQ295" s="53" t="n"/>
      <c r="AR295" s="53" t="n"/>
      <c r="AS295" s="53" t="n"/>
      <c r="AT295" s="53" t="n"/>
      <c r="AU295" s="53" t="n"/>
      <c r="AV295" s="53" t="n"/>
      <c r="AW295" s="53" t="n"/>
      <c r="AX295" s="53" t="n"/>
      <c r="AY295" s="53" t="n"/>
    </row>
    <row r="296" ht="15" customHeight="1">
      <c r="A296" s="54" t="n"/>
      <c r="B296" s="55">
        <f>IF($B$295="","",$B$295)</f>
        <v/>
      </c>
      <c r="C296" s="56" t="inlineStr">
        <is>
          <t>기타</t>
        </is>
      </c>
      <c r="D296" s="55">
        <f>IF($D$295="","",$D$295)</f>
        <v/>
      </c>
      <c r="E296" s="57" t="inlineStr">
        <is>
          <t>이미지</t>
        </is>
      </c>
      <c r="F296" s="44" t="n"/>
      <c r="G296" s="58">
        <f>IF($G$295="","",$G$295)</f>
        <v/>
      </c>
      <c r="H296" s="59" t="n"/>
      <c r="I296" s="59" t="n"/>
      <c r="J296" s="59" t="n"/>
      <c r="K296" s="59" t="n"/>
      <c r="L296" s="60">
        <f>IF(SUM(U296:AY296)=0,"",SUM(U296:AY296))</f>
        <v/>
      </c>
      <c r="M296" s="61">
        <f>IFERROR(INDEX(U$2:AY$2,MATCH(TRUE,INDEX(U296:AY296&lt;&gt;"",0),0)),"")</f>
        <v/>
      </c>
      <c r="N296" s="61">
        <f>IFERROR(LOOKUP(2,1/(U296:AY296&lt;&gt;""),U$2:AY$2),"")</f>
        <v/>
      </c>
      <c r="O296" s="59" t="n"/>
      <c r="P296" s="59" t="n"/>
      <c r="Q296" s="59" t="n"/>
      <c r="R296" s="59" t="n"/>
      <c r="S296" s="14" t="n"/>
      <c r="U296" s="53" t="n"/>
      <c r="V296" s="53" t="n"/>
      <c r="W296" s="53" t="n"/>
      <c r="X296" s="53" t="n"/>
      <c r="Y296" s="53" t="n"/>
      <c r="Z296" s="53" t="n"/>
      <c r="AA296" s="53" t="n"/>
      <c r="AB296" s="53" t="n"/>
      <c r="AC296" s="53" t="n"/>
      <c r="AD296" s="53" t="n"/>
      <c r="AE296" s="53" t="n"/>
      <c r="AF296" s="53" t="n"/>
      <c r="AG296" s="53" t="n"/>
      <c r="AH296" s="53" t="n"/>
      <c r="AI296" s="53" t="n"/>
      <c r="AJ296" s="53" t="n"/>
      <c r="AK296" s="53" t="n"/>
      <c r="AL296" s="53" t="n"/>
      <c r="AM296" s="53" t="n"/>
      <c r="AN296" s="53" t="n"/>
      <c r="AO296" s="53" t="n"/>
      <c r="AP296" s="53" t="n"/>
      <c r="AQ296" s="53" t="n"/>
      <c r="AR296" s="53" t="n"/>
      <c r="AS296" s="53" t="n"/>
      <c r="AT296" s="53" t="n"/>
      <c r="AU296" s="53" t="n"/>
      <c r="AV296" s="53" t="n"/>
      <c r="AW296" s="53" t="n"/>
      <c r="AX296" s="53" t="n"/>
      <c r="AY296" s="53" t="n"/>
    </row>
    <row r="297" ht="15" customHeight="1">
      <c r="A297" s="62" t="n"/>
      <c r="B297" s="55">
        <f>IF($B$295="","",$B$295)</f>
        <v/>
      </c>
      <c r="C297" s="63" t="inlineStr">
        <is>
          <t>기타</t>
        </is>
      </c>
      <c r="D297" s="55">
        <f>IF($D$295="","",$D$295)</f>
        <v/>
      </c>
      <c r="E297" s="64" t="inlineStr">
        <is>
          <t>영상</t>
        </is>
      </c>
      <c r="F297" s="44" t="n"/>
      <c r="G297" s="58">
        <f>IF($G$295="","",$G$295)</f>
        <v/>
      </c>
      <c r="H297" s="59" t="n"/>
      <c r="I297" s="59" t="n"/>
      <c r="J297" s="59" t="n"/>
      <c r="K297" s="59" t="n"/>
      <c r="L297" s="65">
        <f>IF(SUM(U297:AY297)=0,"",SUM(U297:AY297))</f>
        <v/>
      </c>
      <c r="M297" s="66">
        <f>IFERROR(INDEX(U$2:AY$2,MATCH(TRUE,INDEX(U297:AY297&lt;&gt;"",0),0)),"")</f>
        <v/>
      </c>
      <c r="N297" s="66">
        <f>IFERROR(LOOKUP(2,1/(U297:AY297&lt;&gt;""),U$2:AY$2),"")</f>
        <v/>
      </c>
      <c r="O297" s="59" t="n"/>
      <c r="P297" s="59" t="n"/>
      <c r="Q297" s="59" t="n"/>
      <c r="R297" s="59" t="n"/>
      <c r="S297" s="14" t="n"/>
      <c r="U297" s="53" t="n"/>
      <c r="V297" s="53" t="n"/>
      <c r="W297" s="53" t="n"/>
      <c r="X297" s="53" t="n"/>
      <c r="Y297" s="53" t="n"/>
      <c r="Z297" s="53" t="n"/>
      <c r="AA297" s="53" t="n"/>
      <c r="AB297" s="53" t="n"/>
      <c r="AC297" s="53" t="n"/>
      <c r="AD297" s="53" t="n"/>
      <c r="AE297" s="53" t="n"/>
      <c r="AF297" s="53" t="n"/>
      <c r="AG297" s="53" t="n"/>
      <c r="AH297" s="53" t="n"/>
      <c r="AI297" s="53" t="n"/>
      <c r="AJ297" s="53" t="n"/>
      <c r="AK297" s="53" t="n"/>
      <c r="AL297" s="53" t="n"/>
      <c r="AM297" s="53" t="n"/>
      <c r="AN297" s="53" t="n"/>
      <c r="AO297" s="53" t="n"/>
      <c r="AP297" s="53" t="n"/>
      <c r="AQ297" s="53" t="n"/>
      <c r="AR297" s="53" t="n"/>
      <c r="AS297" s="53" t="n"/>
      <c r="AT297" s="53" t="n"/>
      <c r="AU297" s="53" t="n"/>
      <c r="AV297" s="53" t="n"/>
      <c r="AW297" s="53" t="n"/>
      <c r="AX297" s="53" t="n"/>
      <c r="AY297" s="53" t="n"/>
    </row>
    <row r="298" ht="15" customHeight="1">
      <c r="A298" s="40">
        <f>IF($D$298="","",96)</f>
        <v/>
      </c>
      <c r="B298" s="10" t="n"/>
      <c r="C298" s="41" t="inlineStr">
        <is>
          <t>기타</t>
        </is>
      </c>
      <c r="D298" s="42" t="n"/>
      <c r="E298" s="43" t="inlineStr">
        <is>
          <t>기획</t>
        </is>
      </c>
      <c r="F298" s="44" t="n"/>
      <c r="G298" s="45" t="n"/>
      <c r="H298" s="46">
        <f>IF($I$298="","",IF($I$298&lt;0,"🔴지연",IF($I$298&lt;=1,"🟡임박","🟢여유")))</f>
        <v/>
      </c>
      <c r="I298" s="47">
        <f>IF(OR($G$298="",$K$298=""),"",$G$298-$K$298)</f>
        <v/>
      </c>
      <c r="J298" s="48">
        <f>IF(SUM($L$298:$L$300)=0,"",SUM($L$298:$L$300))</f>
        <v/>
      </c>
      <c r="K298" s="49">
        <f>IF($J$298="","",MAX($N$298:$N$300))</f>
        <v/>
      </c>
      <c r="L298" s="50">
        <f>IF(SUM(U298:AY298)=0,"",SUM(U298:AY298))</f>
        <v/>
      </c>
      <c r="M298" s="51">
        <f>IFERROR(INDEX(U$2:AY$2,MATCH(TRUE,INDEX(U298:AY298&lt;&gt;"",0),0)),"")</f>
        <v/>
      </c>
      <c r="N298" s="51">
        <f>IFERROR(LOOKUP(2,1/(U298:AY298&lt;&gt;""),U$2:AY$2),"")</f>
        <v/>
      </c>
      <c r="O298" s="52" t="n"/>
      <c r="P298" s="52" t="n"/>
      <c r="Q298" s="52" t="n"/>
      <c r="R298" s="44" t="n"/>
      <c r="S298" s="14" t="n"/>
      <c r="U298" s="53" t="n"/>
      <c r="V298" s="53" t="n"/>
      <c r="W298" s="53" t="n"/>
      <c r="X298" s="53" t="n"/>
      <c r="Y298" s="53" t="n"/>
      <c r="Z298" s="53" t="n"/>
      <c r="AA298" s="53" t="n"/>
      <c r="AB298" s="53" t="n"/>
      <c r="AC298" s="53" t="n"/>
      <c r="AD298" s="53" t="n"/>
      <c r="AE298" s="53" t="n"/>
      <c r="AF298" s="53" t="n"/>
      <c r="AG298" s="53" t="n"/>
      <c r="AH298" s="53" t="n"/>
      <c r="AI298" s="53" t="n"/>
      <c r="AJ298" s="53" t="n"/>
      <c r="AK298" s="53" t="n"/>
      <c r="AL298" s="53" t="n"/>
      <c r="AM298" s="53" t="n"/>
      <c r="AN298" s="53" t="n"/>
      <c r="AO298" s="53" t="n"/>
      <c r="AP298" s="53" t="n"/>
      <c r="AQ298" s="53" t="n"/>
      <c r="AR298" s="53" t="n"/>
      <c r="AS298" s="53" t="n"/>
      <c r="AT298" s="53" t="n"/>
      <c r="AU298" s="53" t="n"/>
      <c r="AV298" s="53" t="n"/>
      <c r="AW298" s="53" t="n"/>
      <c r="AX298" s="53" t="n"/>
      <c r="AY298" s="53" t="n"/>
    </row>
    <row r="299" ht="15" customHeight="1">
      <c r="A299" s="54" t="n"/>
      <c r="B299" s="55">
        <f>IF($B$298="","",$B$298)</f>
        <v/>
      </c>
      <c r="C299" s="56" t="inlineStr">
        <is>
          <t>기타</t>
        </is>
      </c>
      <c r="D299" s="55">
        <f>IF($D$298="","",$D$298)</f>
        <v/>
      </c>
      <c r="E299" s="57" t="inlineStr">
        <is>
          <t>이미지</t>
        </is>
      </c>
      <c r="F299" s="44" t="n"/>
      <c r="G299" s="58">
        <f>IF($G$298="","",$G$298)</f>
        <v/>
      </c>
      <c r="H299" s="59" t="n"/>
      <c r="I299" s="59" t="n"/>
      <c r="J299" s="59" t="n"/>
      <c r="K299" s="59" t="n"/>
      <c r="L299" s="60">
        <f>IF(SUM(U299:AY299)=0,"",SUM(U299:AY299))</f>
        <v/>
      </c>
      <c r="M299" s="61">
        <f>IFERROR(INDEX(U$2:AY$2,MATCH(TRUE,INDEX(U299:AY299&lt;&gt;"",0),0)),"")</f>
        <v/>
      </c>
      <c r="N299" s="61">
        <f>IFERROR(LOOKUP(2,1/(U299:AY299&lt;&gt;""),U$2:AY$2),"")</f>
        <v/>
      </c>
      <c r="O299" s="59" t="n"/>
      <c r="P299" s="59" t="n"/>
      <c r="Q299" s="59" t="n"/>
      <c r="R299" s="59" t="n"/>
      <c r="S299" s="14" t="n"/>
      <c r="U299" s="53" t="n"/>
      <c r="V299" s="53" t="n"/>
      <c r="W299" s="53" t="n"/>
      <c r="X299" s="53" t="n"/>
      <c r="Y299" s="53" t="n"/>
      <c r="Z299" s="53" t="n"/>
      <c r="AA299" s="53" t="n"/>
      <c r="AB299" s="53" t="n"/>
      <c r="AC299" s="53" t="n"/>
      <c r="AD299" s="53" t="n"/>
      <c r="AE299" s="53" t="n"/>
      <c r="AF299" s="53" t="n"/>
      <c r="AG299" s="53" t="n"/>
      <c r="AH299" s="53" t="n"/>
      <c r="AI299" s="53" t="n"/>
      <c r="AJ299" s="53" t="n"/>
      <c r="AK299" s="53" t="n"/>
      <c r="AL299" s="53" t="n"/>
      <c r="AM299" s="53" t="n"/>
      <c r="AN299" s="53" t="n"/>
      <c r="AO299" s="53" t="n"/>
      <c r="AP299" s="53" t="n"/>
      <c r="AQ299" s="53" t="n"/>
      <c r="AR299" s="53" t="n"/>
      <c r="AS299" s="53" t="n"/>
      <c r="AT299" s="53" t="n"/>
      <c r="AU299" s="53" t="n"/>
      <c r="AV299" s="53" t="n"/>
      <c r="AW299" s="53" t="n"/>
      <c r="AX299" s="53" t="n"/>
      <c r="AY299" s="53" t="n"/>
    </row>
    <row r="300" ht="15" customHeight="1">
      <c r="A300" s="62" t="n"/>
      <c r="B300" s="55">
        <f>IF($B$298="","",$B$298)</f>
        <v/>
      </c>
      <c r="C300" s="63" t="inlineStr">
        <is>
          <t>기타</t>
        </is>
      </c>
      <c r="D300" s="55">
        <f>IF($D$298="","",$D$298)</f>
        <v/>
      </c>
      <c r="E300" s="64" t="inlineStr">
        <is>
          <t>영상</t>
        </is>
      </c>
      <c r="F300" s="44" t="n"/>
      <c r="G300" s="58">
        <f>IF($G$298="","",$G$298)</f>
        <v/>
      </c>
      <c r="H300" s="59" t="n"/>
      <c r="I300" s="59" t="n"/>
      <c r="J300" s="59" t="n"/>
      <c r="K300" s="59" t="n"/>
      <c r="L300" s="65">
        <f>IF(SUM(U300:AY300)=0,"",SUM(U300:AY300))</f>
        <v/>
      </c>
      <c r="M300" s="66">
        <f>IFERROR(INDEX(U$2:AY$2,MATCH(TRUE,INDEX(U300:AY300&lt;&gt;"",0),0)),"")</f>
        <v/>
      </c>
      <c r="N300" s="66">
        <f>IFERROR(LOOKUP(2,1/(U300:AY300&lt;&gt;""),U$2:AY$2),"")</f>
        <v/>
      </c>
      <c r="O300" s="59" t="n"/>
      <c r="P300" s="59" t="n"/>
      <c r="Q300" s="59" t="n"/>
      <c r="R300" s="59" t="n"/>
      <c r="S300" s="14" t="n"/>
      <c r="U300" s="53" t="n"/>
      <c r="V300" s="53" t="n"/>
      <c r="W300" s="53" t="n"/>
      <c r="X300" s="53" t="n"/>
      <c r="Y300" s="53" t="n"/>
      <c r="Z300" s="53" t="n"/>
      <c r="AA300" s="53" t="n"/>
      <c r="AB300" s="53" t="n"/>
      <c r="AC300" s="53" t="n"/>
      <c r="AD300" s="53" t="n"/>
      <c r="AE300" s="53" t="n"/>
      <c r="AF300" s="53" t="n"/>
      <c r="AG300" s="53" t="n"/>
      <c r="AH300" s="53" t="n"/>
      <c r="AI300" s="53" t="n"/>
      <c r="AJ300" s="53" t="n"/>
      <c r="AK300" s="53" t="n"/>
      <c r="AL300" s="53" t="n"/>
      <c r="AM300" s="53" t="n"/>
      <c r="AN300" s="53" t="n"/>
      <c r="AO300" s="53" t="n"/>
      <c r="AP300" s="53" t="n"/>
      <c r="AQ300" s="53" t="n"/>
      <c r="AR300" s="53" t="n"/>
      <c r="AS300" s="53" t="n"/>
      <c r="AT300" s="53" t="n"/>
      <c r="AU300" s="53" t="n"/>
      <c r="AV300" s="53" t="n"/>
      <c r="AW300" s="53" t="n"/>
      <c r="AX300" s="53" t="n"/>
      <c r="AY300" s="53" t="n"/>
    </row>
    <row r="301" ht="15" customHeight="1">
      <c r="A301" s="40">
        <f>IF($D$301="","",97)</f>
        <v/>
      </c>
      <c r="B301" s="10" t="n"/>
      <c r="C301" s="41" t="inlineStr">
        <is>
          <t>기타</t>
        </is>
      </c>
      <c r="D301" s="42" t="n"/>
      <c r="E301" s="43" t="inlineStr">
        <is>
          <t>기획</t>
        </is>
      </c>
      <c r="F301" s="44" t="n"/>
      <c r="G301" s="45" t="n"/>
      <c r="H301" s="46">
        <f>IF($I$301="","",IF($I$301&lt;0,"🔴지연",IF($I$301&lt;=1,"🟡임박","🟢여유")))</f>
        <v/>
      </c>
      <c r="I301" s="47">
        <f>IF(OR($G$301="",$K$301=""),"",$G$301-$K$301)</f>
        <v/>
      </c>
      <c r="J301" s="48">
        <f>IF(SUM($L$301:$L$303)=0,"",SUM($L$301:$L$303))</f>
        <v/>
      </c>
      <c r="K301" s="49">
        <f>IF($J$301="","",MAX($N$301:$N$303))</f>
        <v/>
      </c>
      <c r="L301" s="50">
        <f>IF(SUM(U301:AY301)=0,"",SUM(U301:AY301))</f>
        <v/>
      </c>
      <c r="M301" s="51">
        <f>IFERROR(INDEX(U$2:AY$2,MATCH(TRUE,INDEX(U301:AY301&lt;&gt;"",0),0)),"")</f>
        <v/>
      </c>
      <c r="N301" s="51">
        <f>IFERROR(LOOKUP(2,1/(U301:AY301&lt;&gt;""),U$2:AY$2),"")</f>
        <v/>
      </c>
      <c r="O301" s="52" t="n"/>
      <c r="P301" s="52" t="n"/>
      <c r="Q301" s="52" t="n"/>
      <c r="R301" s="44" t="n"/>
      <c r="S301" s="14" t="n"/>
      <c r="U301" s="53" t="n"/>
      <c r="V301" s="53" t="n"/>
      <c r="W301" s="53" t="n"/>
      <c r="X301" s="53" t="n"/>
      <c r="Y301" s="53" t="n"/>
      <c r="Z301" s="53" t="n"/>
      <c r="AA301" s="53" t="n"/>
      <c r="AB301" s="53" t="n"/>
      <c r="AC301" s="53" t="n"/>
      <c r="AD301" s="53" t="n"/>
      <c r="AE301" s="53" t="n"/>
      <c r="AF301" s="53" t="n"/>
      <c r="AG301" s="53" t="n"/>
      <c r="AH301" s="53" t="n"/>
      <c r="AI301" s="53" t="n"/>
      <c r="AJ301" s="53" t="n"/>
      <c r="AK301" s="53" t="n"/>
      <c r="AL301" s="53" t="n"/>
      <c r="AM301" s="53" t="n"/>
      <c r="AN301" s="53" t="n"/>
      <c r="AO301" s="53" t="n"/>
      <c r="AP301" s="53" t="n"/>
      <c r="AQ301" s="53" t="n"/>
      <c r="AR301" s="53" t="n"/>
      <c r="AS301" s="53" t="n"/>
      <c r="AT301" s="53" t="n"/>
      <c r="AU301" s="53" t="n"/>
      <c r="AV301" s="53" t="n"/>
      <c r="AW301" s="53" t="n"/>
      <c r="AX301" s="53" t="n"/>
      <c r="AY301" s="53" t="n"/>
    </row>
    <row r="302" ht="15" customHeight="1">
      <c r="A302" s="54" t="n"/>
      <c r="B302" s="55">
        <f>IF($B$301="","",$B$301)</f>
        <v/>
      </c>
      <c r="C302" s="56" t="inlineStr">
        <is>
          <t>기타</t>
        </is>
      </c>
      <c r="D302" s="55">
        <f>IF($D$301="","",$D$301)</f>
        <v/>
      </c>
      <c r="E302" s="57" t="inlineStr">
        <is>
          <t>이미지</t>
        </is>
      </c>
      <c r="F302" s="44" t="n"/>
      <c r="G302" s="58">
        <f>IF($G$301="","",$G$301)</f>
        <v/>
      </c>
      <c r="H302" s="59" t="n"/>
      <c r="I302" s="59" t="n"/>
      <c r="J302" s="59" t="n"/>
      <c r="K302" s="59" t="n"/>
      <c r="L302" s="60">
        <f>IF(SUM(U302:AY302)=0,"",SUM(U302:AY302))</f>
        <v/>
      </c>
      <c r="M302" s="61">
        <f>IFERROR(INDEX(U$2:AY$2,MATCH(TRUE,INDEX(U302:AY302&lt;&gt;"",0),0)),"")</f>
        <v/>
      </c>
      <c r="N302" s="61">
        <f>IFERROR(LOOKUP(2,1/(U302:AY302&lt;&gt;""),U$2:AY$2),"")</f>
        <v/>
      </c>
      <c r="O302" s="59" t="n"/>
      <c r="P302" s="59" t="n"/>
      <c r="Q302" s="59" t="n"/>
      <c r="R302" s="59" t="n"/>
      <c r="S302" s="14" t="n"/>
      <c r="U302" s="53" t="n"/>
      <c r="V302" s="53" t="n"/>
      <c r="W302" s="53" t="n"/>
      <c r="X302" s="53" t="n"/>
      <c r="Y302" s="53" t="n"/>
      <c r="Z302" s="53" t="n"/>
      <c r="AA302" s="53" t="n"/>
      <c r="AB302" s="53" t="n"/>
      <c r="AC302" s="53" t="n"/>
      <c r="AD302" s="53" t="n"/>
      <c r="AE302" s="53" t="n"/>
      <c r="AF302" s="53" t="n"/>
      <c r="AG302" s="53" t="n"/>
      <c r="AH302" s="53" t="n"/>
      <c r="AI302" s="53" t="n"/>
      <c r="AJ302" s="53" t="n"/>
      <c r="AK302" s="53" t="n"/>
      <c r="AL302" s="53" t="n"/>
      <c r="AM302" s="53" t="n"/>
      <c r="AN302" s="53" t="n"/>
      <c r="AO302" s="53" t="n"/>
      <c r="AP302" s="53" t="n"/>
      <c r="AQ302" s="53" t="n"/>
      <c r="AR302" s="53" t="n"/>
      <c r="AS302" s="53" t="n"/>
      <c r="AT302" s="53" t="n"/>
      <c r="AU302" s="53" t="n"/>
      <c r="AV302" s="53" t="n"/>
      <c r="AW302" s="53" t="n"/>
      <c r="AX302" s="53" t="n"/>
      <c r="AY302" s="53" t="n"/>
    </row>
    <row r="303" ht="15" customHeight="1">
      <c r="A303" s="62" t="n"/>
      <c r="B303" s="55">
        <f>IF($B$301="","",$B$301)</f>
        <v/>
      </c>
      <c r="C303" s="63" t="inlineStr">
        <is>
          <t>기타</t>
        </is>
      </c>
      <c r="D303" s="55">
        <f>IF($D$301="","",$D$301)</f>
        <v/>
      </c>
      <c r="E303" s="64" t="inlineStr">
        <is>
          <t>영상</t>
        </is>
      </c>
      <c r="F303" s="44" t="n"/>
      <c r="G303" s="58">
        <f>IF($G$301="","",$G$301)</f>
        <v/>
      </c>
      <c r="H303" s="59" t="n"/>
      <c r="I303" s="59" t="n"/>
      <c r="J303" s="59" t="n"/>
      <c r="K303" s="59" t="n"/>
      <c r="L303" s="65">
        <f>IF(SUM(U303:AY303)=0,"",SUM(U303:AY303))</f>
        <v/>
      </c>
      <c r="M303" s="66">
        <f>IFERROR(INDEX(U$2:AY$2,MATCH(TRUE,INDEX(U303:AY303&lt;&gt;"",0),0)),"")</f>
        <v/>
      </c>
      <c r="N303" s="66">
        <f>IFERROR(LOOKUP(2,1/(U303:AY303&lt;&gt;""),U$2:AY$2),"")</f>
        <v/>
      </c>
      <c r="O303" s="59" t="n"/>
      <c r="P303" s="59" t="n"/>
      <c r="Q303" s="59" t="n"/>
      <c r="R303" s="59" t="n"/>
      <c r="S303" s="14" t="n"/>
      <c r="U303" s="53" t="n"/>
      <c r="V303" s="53" t="n"/>
      <c r="W303" s="53" t="n"/>
      <c r="X303" s="53" t="n"/>
      <c r="Y303" s="53" t="n"/>
      <c r="Z303" s="53" t="n"/>
      <c r="AA303" s="53" t="n"/>
      <c r="AB303" s="53" t="n"/>
      <c r="AC303" s="53" t="n"/>
      <c r="AD303" s="53" t="n"/>
      <c r="AE303" s="53" t="n"/>
      <c r="AF303" s="53" t="n"/>
      <c r="AG303" s="53" t="n"/>
      <c r="AH303" s="53" t="n"/>
      <c r="AI303" s="53" t="n"/>
      <c r="AJ303" s="53" t="n"/>
      <c r="AK303" s="53" t="n"/>
      <c r="AL303" s="53" t="n"/>
      <c r="AM303" s="53" t="n"/>
      <c r="AN303" s="53" t="n"/>
      <c r="AO303" s="53" t="n"/>
      <c r="AP303" s="53" t="n"/>
      <c r="AQ303" s="53" t="n"/>
      <c r="AR303" s="53" t="n"/>
      <c r="AS303" s="53" t="n"/>
      <c r="AT303" s="53" t="n"/>
      <c r="AU303" s="53" t="n"/>
      <c r="AV303" s="53" t="n"/>
      <c r="AW303" s="53" t="n"/>
      <c r="AX303" s="53" t="n"/>
      <c r="AY303" s="53" t="n"/>
    </row>
    <row r="304" ht="15" customHeight="1">
      <c r="A304" s="40">
        <f>IF($D$304="","",98)</f>
        <v/>
      </c>
      <c r="B304" s="10" t="n"/>
      <c r="C304" s="41" t="inlineStr">
        <is>
          <t>기타</t>
        </is>
      </c>
      <c r="D304" s="42" t="n"/>
      <c r="E304" s="43" t="inlineStr">
        <is>
          <t>기획</t>
        </is>
      </c>
      <c r="F304" s="44" t="n"/>
      <c r="G304" s="45" t="n"/>
      <c r="H304" s="46">
        <f>IF($I$304="","",IF($I$304&lt;0,"🔴지연",IF($I$304&lt;=1,"🟡임박","🟢여유")))</f>
        <v/>
      </c>
      <c r="I304" s="47">
        <f>IF(OR($G$304="",$K$304=""),"",$G$304-$K$304)</f>
        <v/>
      </c>
      <c r="J304" s="48">
        <f>IF(SUM($L$304:$L$306)=0,"",SUM($L$304:$L$306))</f>
        <v/>
      </c>
      <c r="K304" s="49">
        <f>IF($J$304="","",MAX($N$304:$N$306))</f>
        <v/>
      </c>
      <c r="L304" s="50">
        <f>IF(SUM(U304:AY304)=0,"",SUM(U304:AY304))</f>
        <v/>
      </c>
      <c r="M304" s="51">
        <f>IFERROR(INDEX(U$2:AY$2,MATCH(TRUE,INDEX(U304:AY304&lt;&gt;"",0),0)),"")</f>
        <v/>
      </c>
      <c r="N304" s="51">
        <f>IFERROR(LOOKUP(2,1/(U304:AY304&lt;&gt;""),U$2:AY$2),"")</f>
        <v/>
      </c>
      <c r="O304" s="52" t="n"/>
      <c r="P304" s="52" t="n"/>
      <c r="Q304" s="52" t="n"/>
      <c r="R304" s="44" t="n"/>
      <c r="S304" s="14" t="n"/>
      <c r="U304" s="53" t="n"/>
      <c r="V304" s="53" t="n"/>
      <c r="W304" s="53" t="n"/>
      <c r="X304" s="53" t="n"/>
      <c r="Y304" s="53" t="n"/>
      <c r="Z304" s="53" t="n"/>
      <c r="AA304" s="53" t="n"/>
      <c r="AB304" s="53" t="n"/>
      <c r="AC304" s="53" t="n"/>
      <c r="AD304" s="53" t="n"/>
      <c r="AE304" s="53" t="n"/>
      <c r="AF304" s="53" t="n"/>
      <c r="AG304" s="53" t="n"/>
      <c r="AH304" s="53" t="n"/>
      <c r="AI304" s="53" t="n"/>
      <c r="AJ304" s="53" t="n"/>
      <c r="AK304" s="53" t="n"/>
      <c r="AL304" s="53" t="n"/>
      <c r="AM304" s="53" t="n"/>
      <c r="AN304" s="53" t="n"/>
      <c r="AO304" s="53" t="n"/>
      <c r="AP304" s="53" t="n"/>
      <c r="AQ304" s="53" t="n"/>
      <c r="AR304" s="53" t="n"/>
      <c r="AS304" s="53" t="n"/>
      <c r="AT304" s="53" t="n"/>
      <c r="AU304" s="53" t="n"/>
      <c r="AV304" s="53" t="n"/>
      <c r="AW304" s="53" t="n"/>
      <c r="AX304" s="53" t="n"/>
      <c r="AY304" s="53" t="n"/>
    </row>
    <row r="305" ht="15" customHeight="1">
      <c r="A305" s="54" t="n"/>
      <c r="B305" s="55">
        <f>IF($B$304="","",$B$304)</f>
        <v/>
      </c>
      <c r="C305" s="56" t="inlineStr">
        <is>
          <t>기타</t>
        </is>
      </c>
      <c r="D305" s="55">
        <f>IF($D$304="","",$D$304)</f>
        <v/>
      </c>
      <c r="E305" s="57" t="inlineStr">
        <is>
          <t>이미지</t>
        </is>
      </c>
      <c r="F305" s="44" t="n"/>
      <c r="G305" s="58">
        <f>IF($G$304="","",$G$304)</f>
        <v/>
      </c>
      <c r="H305" s="59" t="n"/>
      <c r="I305" s="59" t="n"/>
      <c r="J305" s="59" t="n"/>
      <c r="K305" s="59" t="n"/>
      <c r="L305" s="60">
        <f>IF(SUM(U305:AY305)=0,"",SUM(U305:AY305))</f>
        <v/>
      </c>
      <c r="M305" s="61">
        <f>IFERROR(INDEX(U$2:AY$2,MATCH(TRUE,INDEX(U305:AY305&lt;&gt;"",0),0)),"")</f>
        <v/>
      </c>
      <c r="N305" s="61">
        <f>IFERROR(LOOKUP(2,1/(U305:AY305&lt;&gt;""),U$2:AY$2),"")</f>
        <v/>
      </c>
      <c r="O305" s="59" t="n"/>
      <c r="P305" s="59" t="n"/>
      <c r="Q305" s="59" t="n"/>
      <c r="R305" s="59" t="n"/>
      <c r="S305" s="14" t="n"/>
      <c r="U305" s="53" t="n"/>
      <c r="V305" s="53" t="n"/>
      <c r="W305" s="53" t="n"/>
      <c r="X305" s="53" t="n"/>
      <c r="Y305" s="53" t="n"/>
      <c r="Z305" s="53" t="n"/>
      <c r="AA305" s="53" t="n"/>
      <c r="AB305" s="53" t="n"/>
      <c r="AC305" s="53" t="n"/>
      <c r="AD305" s="53" t="n"/>
      <c r="AE305" s="53" t="n"/>
      <c r="AF305" s="53" t="n"/>
      <c r="AG305" s="53" t="n"/>
      <c r="AH305" s="53" t="n"/>
      <c r="AI305" s="53" t="n"/>
      <c r="AJ305" s="53" t="n"/>
      <c r="AK305" s="53" t="n"/>
      <c r="AL305" s="53" t="n"/>
      <c r="AM305" s="53" t="n"/>
      <c r="AN305" s="53" t="n"/>
      <c r="AO305" s="53" t="n"/>
      <c r="AP305" s="53" t="n"/>
      <c r="AQ305" s="53" t="n"/>
      <c r="AR305" s="53" t="n"/>
      <c r="AS305" s="53" t="n"/>
      <c r="AT305" s="53" t="n"/>
      <c r="AU305" s="53" t="n"/>
      <c r="AV305" s="53" t="n"/>
      <c r="AW305" s="53" t="n"/>
      <c r="AX305" s="53" t="n"/>
      <c r="AY305" s="53" t="n"/>
    </row>
    <row r="306" ht="15" customHeight="1">
      <c r="A306" s="62" t="n"/>
      <c r="B306" s="55">
        <f>IF($B$304="","",$B$304)</f>
        <v/>
      </c>
      <c r="C306" s="63" t="inlineStr">
        <is>
          <t>기타</t>
        </is>
      </c>
      <c r="D306" s="55">
        <f>IF($D$304="","",$D$304)</f>
        <v/>
      </c>
      <c r="E306" s="64" t="inlineStr">
        <is>
          <t>영상</t>
        </is>
      </c>
      <c r="F306" s="44" t="n"/>
      <c r="G306" s="58">
        <f>IF($G$304="","",$G$304)</f>
        <v/>
      </c>
      <c r="H306" s="59" t="n"/>
      <c r="I306" s="59" t="n"/>
      <c r="J306" s="59" t="n"/>
      <c r="K306" s="59" t="n"/>
      <c r="L306" s="65">
        <f>IF(SUM(U306:AY306)=0,"",SUM(U306:AY306))</f>
        <v/>
      </c>
      <c r="M306" s="66">
        <f>IFERROR(INDEX(U$2:AY$2,MATCH(TRUE,INDEX(U306:AY306&lt;&gt;"",0),0)),"")</f>
        <v/>
      </c>
      <c r="N306" s="66">
        <f>IFERROR(LOOKUP(2,1/(U306:AY306&lt;&gt;""),U$2:AY$2),"")</f>
        <v/>
      </c>
      <c r="O306" s="59" t="n"/>
      <c r="P306" s="59" t="n"/>
      <c r="Q306" s="59" t="n"/>
      <c r="R306" s="59" t="n"/>
      <c r="S306" s="14" t="n"/>
      <c r="U306" s="53" t="n"/>
      <c r="V306" s="53" t="n"/>
      <c r="W306" s="53" t="n"/>
      <c r="X306" s="53" t="n"/>
      <c r="Y306" s="53" t="n"/>
      <c r="Z306" s="53" t="n"/>
      <c r="AA306" s="53" t="n"/>
      <c r="AB306" s="53" t="n"/>
      <c r="AC306" s="53" t="n"/>
      <c r="AD306" s="53" t="n"/>
      <c r="AE306" s="53" t="n"/>
      <c r="AF306" s="53" t="n"/>
      <c r="AG306" s="53" t="n"/>
      <c r="AH306" s="53" t="n"/>
      <c r="AI306" s="53" t="n"/>
      <c r="AJ306" s="53" t="n"/>
      <c r="AK306" s="53" t="n"/>
      <c r="AL306" s="53" t="n"/>
      <c r="AM306" s="53" t="n"/>
      <c r="AN306" s="53" t="n"/>
      <c r="AO306" s="53" t="n"/>
      <c r="AP306" s="53" t="n"/>
      <c r="AQ306" s="53" t="n"/>
      <c r="AR306" s="53" t="n"/>
      <c r="AS306" s="53" t="n"/>
      <c r="AT306" s="53" t="n"/>
      <c r="AU306" s="53" t="n"/>
      <c r="AV306" s="53" t="n"/>
      <c r="AW306" s="53" t="n"/>
      <c r="AX306" s="53" t="n"/>
      <c r="AY306" s="53" t="n"/>
    </row>
    <row r="307" ht="15" customHeight="1">
      <c r="A307" s="40">
        <f>IF($D$307="","",99)</f>
        <v/>
      </c>
      <c r="B307" s="10" t="n"/>
      <c r="C307" s="41" t="inlineStr">
        <is>
          <t>기타</t>
        </is>
      </c>
      <c r="D307" s="42" t="n"/>
      <c r="E307" s="43" t="inlineStr">
        <is>
          <t>기획</t>
        </is>
      </c>
      <c r="F307" s="44" t="n"/>
      <c r="G307" s="45" t="n"/>
      <c r="H307" s="46">
        <f>IF($I$307="","",IF($I$307&lt;0,"🔴지연",IF($I$307&lt;=1,"🟡임박","🟢여유")))</f>
        <v/>
      </c>
      <c r="I307" s="47">
        <f>IF(OR($G$307="",$K$307=""),"",$G$307-$K$307)</f>
        <v/>
      </c>
      <c r="J307" s="48">
        <f>IF(SUM($L$307:$L$309)=0,"",SUM($L$307:$L$309))</f>
        <v/>
      </c>
      <c r="K307" s="49">
        <f>IF($J$307="","",MAX($N$307:$N$309))</f>
        <v/>
      </c>
      <c r="L307" s="50">
        <f>IF(SUM(U307:AY307)=0,"",SUM(U307:AY307))</f>
        <v/>
      </c>
      <c r="M307" s="51">
        <f>IFERROR(INDEX(U$2:AY$2,MATCH(TRUE,INDEX(U307:AY307&lt;&gt;"",0),0)),"")</f>
        <v/>
      </c>
      <c r="N307" s="51">
        <f>IFERROR(LOOKUP(2,1/(U307:AY307&lt;&gt;""),U$2:AY$2),"")</f>
        <v/>
      </c>
      <c r="O307" s="52" t="n"/>
      <c r="P307" s="52" t="n"/>
      <c r="Q307" s="52" t="n"/>
      <c r="R307" s="44" t="n"/>
      <c r="S307" s="14" t="n"/>
      <c r="U307" s="53" t="n"/>
      <c r="V307" s="53" t="n"/>
      <c r="W307" s="53" t="n"/>
      <c r="X307" s="53" t="n"/>
      <c r="Y307" s="53" t="n"/>
      <c r="Z307" s="53" t="n"/>
      <c r="AA307" s="53" t="n"/>
      <c r="AB307" s="53" t="n"/>
      <c r="AC307" s="53" t="n"/>
      <c r="AD307" s="53" t="n"/>
      <c r="AE307" s="53" t="n"/>
      <c r="AF307" s="53" t="n"/>
      <c r="AG307" s="53" t="n"/>
      <c r="AH307" s="53" t="n"/>
      <c r="AI307" s="53" t="n"/>
      <c r="AJ307" s="53" t="n"/>
      <c r="AK307" s="53" t="n"/>
      <c r="AL307" s="53" t="n"/>
      <c r="AM307" s="53" t="n"/>
      <c r="AN307" s="53" t="n"/>
      <c r="AO307" s="53" t="n"/>
      <c r="AP307" s="53" t="n"/>
      <c r="AQ307" s="53" t="n"/>
      <c r="AR307" s="53" t="n"/>
      <c r="AS307" s="53" t="n"/>
      <c r="AT307" s="53" t="n"/>
      <c r="AU307" s="53" t="n"/>
      <c r="AV307" s="53" t="n"/>
      <c r="AW307" s="53" t="n"/>
      <c r="AX307" s="53" t="n"/>
      <c r="AY307" s="53" t="n"/>
    </row>
    <row r="308" ht="15" customHeight="1">
      <c r="A308" s="54" t="n"/>
      <c r="B308" s="55">
        <f>IF($B$307="","",$B$307)</f>
        <v/>
      </c>
      <c r="C308" s="56" t="inlineStr">
        <is>
          <t>기타</t>
        </is>
      </c>
      <c r="D308" s="55">
        <f>IF($D$307="","",$D$307)</f>
        <v/>
      </c>
      <c r="E308" s="57" t="inlineStr">
        <is>
          <t>이미지</t>
        </is>
      </c>
      <c r="F308" s="44" t="n"/>
      <c r="G308" s="58">
        <f>IF($G$307="","",$G$307)</f>
        <v/>
      </c>
      <c r="H308" s="59" t="n"/>
      <c r="I308" s="59" t="n"/>
      <c r="J308" s="59" t="n"/>
      <c r="K308" s="59" t="n"/>
      <c r="L308" s="60">
        <f>IF(SUM(U308:AY308)=0,"",SUM(U308:AY308))</f>
        <v/>
      </c>
      <c r="M308" s="61">
        <f>IFERROR(INDEX(U$2:AY$2,MATCH(TRUE,INDEX(U308:AY308&lt;&gt;"",0),0)),"")</f>
        <v/>
      </c>
      <c r="N308" s="61">
        <f>IFERROR(LOOKUP(2,1/(U308:AY308&lt;&gt;""),U$2:AY$2),"")</f>
        <v/>
      </c>
      <c r="O308" s="59" t="n"/>
      <c r="P308" s="59" t="n"/>
      <c r="Q308" s="59" t="n"/>
      <c r="R308" s="59" t="n"/>
      <c r="S308" s="14" t="n"/>
      <c r="U308" s="53" t="n"/>
      <c r="V308" s="53" t="n"/>
      <c r="W308" s="53" t="n"/>
      <c r="X308" s="53" t="n"/>
      <c r="Y308" s="53" t="n"/>
      <c r="Z308" s="53" t="n"/>
      <c r="AA308" s="53" t="n"/>
      <c r="AB308" s="53" t="n"/>
      <c r="AC308" s="53" t="n"/>
      <c r="AD308" s="53" t="n"/>
      <c r="AE308" s="53" t="n"/>
      <c r="AF308" s="53" t="n"/>
      <c r="AG308" s="53" t="n"/>
      <c r="AH308" s="53" t="n"/>
      <c r="AI308" s="53" t="n"/>
      <c r="AJ308" s="53" t="n"/>
      <c r="AK308" s="53" t="n"/>
      <c r="AL308" s="53" t="n"/>
      <c r="AM308" s="53" t="n"/>
      <c r="AN308" s="53" t="n"/>
      <c r="AO308" s="53" t="n"/>
      <c r="AP308" s="53" t="n"/>
      <c r="AQ308" s="53" t="n"/>
      <c r="AR308" s="53" t="n"/>
      <c r="AS308" s="53" t="n"/>
      <c r="AT308" s="53" t="n"/>
      <c r="AU308" s="53" t="n"/>
      <c r="AV308" s="53" t="n"/>
      <c r="AW308" s="53" t="n"/>
      <c r="AX308" s="53" t="n"/>
      <c r="AY308" s="53" t="n"/>
    </row>
    <row r="309" ht="15" customHeight="1">
      <c r="A309" s="62" t="n"/>
      <c r="B309" s="55">
        <f>IF($B$307="","",$B$307)</f>
        <v/>
      </c>
      <c r="C309" s="63" t="inlineStr">
        <is>
          <t>기타</t>
        </is>
      </c>
      <c r="D309" s="55">
        <f>IF($D$307="","",$D$307)</f>
        <v/>
      </c>
      <c r="E309" s="64" t="inlineStr">
        <is>
          <t>영상</t>
        </is>
      </c>
      <c r="F309" s="44" t="n"/>
      <c r="G309" s="58">
        <f>IF($G$307="","",$G$307)</f>
        <v/>
      </c>
      <c r="H309" s="59" t="n"/>
      <c r="I309" s="59" t="n"/>
      <c r="J309" s="59" t="n"/>
      <c r="K309" s="59" t="n"/>
      <c r="L309" s="65">
        <f>IF(SUM(U309:AY309)=0,"",SUM(U309:AY309))</f>
        <v/>
      </c>
      <c r="M309" s="66">
        <f>IFERROR(INDEX(U$2:AY$2,MATCH(TRUE,INDEX(U309:AY309&lt;&gt;"",0),0)),"")</f>
        <v/>
      </c>
      <c r="N309" s="66">
        <f>IFERROR(LOOKUP(2,1/(U309:AY309&lt;&gt;""),U$2:AY$2),"")</f>
        <v/>
      </c>
      <c r="O309" s="59" t="n"/>
      <c r="P309" s="59" t="n"/>
      <c r="Q309" s="59" t="n"/>
      <c r="R309" s="59" t="n"/>
      <c r="S309" s="14" t="n"/>
      <c r="U309" s="53" t="n"/>
      <c r="V309" s="53" t="n"/>
      <c r="W309" s="53" t="n"/>
      <c r="X309" s="53" t="n"/>
      <c r="Y309" s="53" t="n"/>
      <c r="Z309" s="53" t="n"/>
      <c r="AA309" s="53" t="n"/>
      <c r="AB309" s="53" t="n"/>
      <c r="AC309" s="53" t="n"/>
      <c r="AD309" s="53" t="n"/>
      <c r="AE309" s="53" t="n"/>
      <c r="AF309" s="53" t="n"/>
      <c r="AG309" s="53" t="n"/>
      <c r="AH309" s="53" t="n"/>
      <c r="AI309" s="53" t="n"/>
      <c r="AJ309" s="53" t="n"/>
      <c r="AK309" s="53" t="n"/>
      <c r="AL309" s="53" t="n"/>
      <c r="AM309" s="53" t="n"/>
      <c r="AN309" s="53" t="n"/>
      <c r="AO309" s="53" t="n"/>
      <c r="AP309" s="53" t="n"/>
      <c r="AQ309" s="53" t="n"/>
      <c r="AR309" s="53" t="n"/>
      <c r="AS309" s="53" t="n"/>
      <c r="AT309" s="53" t="n"/>
      <c r="AU309" s="53" t="n"/>
      <c r="AV309" s="53" t="n"/>
      <c r="AW309" s="53" t="n"/>
      <c r="AX309" s="53" t="n"/>
      <c r="AY309" s="53" t="n"/>
    </row>
    <row r="310" ht="15" customHeight="1">
      <c r="A310" s="40">
        <f>IF($D$310="","",100)</f>
        <v/>
      </c>
      <c r="B310" s="10" t="n"/>
      <c r="C310" s="41" t="inlineStr">
        <is>
          <t>기타</t>
        </is>
      </c>
      <c r="D310" s="42" t="n"/>
      <c r="E310" s="43" t="inlineStr">
        <is>
          <t>기획</t>
        </is>
      </c>
      <c r="F310" s="44" t="n"/>
      <c r="G310" s="45" t="n"/>
      <c r="H310" s="46">
        <f>IF($I$310="","",IF($I$310&lt;0,"🔴지연",IF($I$310&lt;=1,"🟡임박","🟢여유")))</f>
        <v/>
      </c>
      <c r="I310" s="47">
        <f>IF(OR($G$310="",$K$310=""),"",$G$310-$K$310)</f>
        <v/>
      </c>
      <c r="J310" s="48">
        <f>IF(SUM($L$310:$L$312)=0,"",SUM($L$310:$L$312))</f>
        <v/>
      </c>
      <c r="K310" s="49">
        <f>IF($J$310="","",MAX($N$310:$N$312))</f>
        <v/>
      </c>
      <c r="L310" s="50">
        <f>IF(SUM(U310:AY310)=0,"",SUM(U310:AY310))</f>
        <v/>
      </c>
      <c r="M310" s="51">
        <f>IFERROR(INDEX(U$2:AY$2,MATCH(TRUE,INDEX(U310:AY310&lt;&gt;"",0),0)),"")</f>
        <v/>
      </c>
      <c r="N310" s="51">
        <f>IFERROR(LOOKUP(2,1/(U310:AY310&lt;&gt;""),U$2:AY$2),"")</f>
        <v/>
      </c>
      <c r="O310" s="52" t="n"/>
      <c r="P310" s="52" t="n"/>
      <c r="Q310" s="52" t="n"/>
      <c r="R310" s="44" t="n"/>
      <c r="S310" s="14" t="n"/>
      <c r="U310" s="53" t="n"/>
      <c r="V310" s="53" t="n"/>
      <c r="W310" s="53" t="n"/>
      <c r="X310" s="53" t="n"/>
      <c r="Y310" s="53" t="n"/>
      <c r="Z310" s="53" t="n"/>
      <c r="AA310" s="53" t="n"/>
      <c r="AB310" s="53" t="n"/>
      <c r="AC310" s="53" t="n"/>
      <c r="AD310" s="53" t="n"/>
      <c r="AE310" s="53" t="n"/>
      <c r="AF310" s="53" t="n"/>
      <c r="AG310" s="53" t="n"/>
      <c r="AH310" s="53" t="n"/>
      <c r="AI310" s="53" t="n"/>
      <c r="AJ310" s="53" t="n"/>
      <c r="AK310" s="53" t="n"/>
      <c r="AL310" s="53" t="n"/>
      <c r="AM310" s="53" t="n"/>
      <c r="AN310" s="53" t="n"/>
      <c r="AO310" s="53" t="n"/>
      <c r="AP310" s="53" t="n"/>
      <c r="AQ310" s="53" t="n"/>
      <c r="AR310" s="53" t="n"/>
      <c r="AS310" s="53" t="n"/>
      <c r="AT310" s="53" t="n"/>
      <c r="AU310" s="53" t="n"/>
      <c r="AV310" s="53" t="n"/>
      <c r="AW310" s="53" t="n"/>
      <c r="AX310" s="53" t="n"/>
      <c r="AY310" s="53" t="n"/>
    </row>
    <row r="311" ht="15" customHeight="1">
      <c r="A311" s="54" t="n"/>
      <c r="B311" s="55">
        <f>IF($B$310="","",$B$310)</f>
        <v/>
      </c>
      <c r="C311" s="56" t="inlineStr">
        <is>
          <t>기타</t>
        </is>
      </c>
      <c r="D311" s="55">
        <f>IF($D$310="","",$D$310)</f>
        <v/>
      </c>
      <c r="E311" s="57" t="inlineStr">
        <is>
          <t>이미지</t>
        </is>
      </c>
      <c r="F311" s="44" t="n"/>
      <c r="G311" s="58">
        <f>IF($G$310="","",$G$310)</f>
        <v/>
      </c>
      <c r="H311" s="59" t="n"/>
      <c r="I311" s="59" t="n"/>
      <c r="J311" s="59" t="n"/>
      <c r="K311" s="59" t="n"/>
      <c r="L311" s="60">
        <f>IF(SUM(U311:AY311)=0,"",SUM(U311:AY311))</f>
        <v/>
      </c>
      <c r="M311" s="61">
        <f>IFERROR(INDEX(U$2:AY$2,MATCH(TRUE,INDEX(U311:AY311&lt;&gt;"",0),0)),"")</f>
        <v/>
      </c>
      <c r="N311" s="61">
        <f>IFERROR(LOOKUP(2,1/(U311:AY311&lt;&gt;""),U$2:AY$2),"")</f>
        <v/>
      </c>
      <c r="O311" s="59" t="n"/>
      <c r="P311" s="59" t="n"/>
      <c r="Q311" s="59" t="n"/>
      <c r="R311" s="59" t="n"/>
      <c r="S311" s="14" t="n"/>
      <c r="U311" s="53" t="n"/>
      <c r="V311" s="53" t="n"/>
      <c r="W311" s="53" t="n"/>
      <c r="X311" s="53" t="n"/>
      <c r="Y311" s="53" t="n"/>
      <c r="Z311" s="53" t="n"/>
      <c r="AA311" s="53" t="n"/>
      <c r="AB311" s="53" t="n"/>
      <c r="AC311" s="53" t="n"/>
      <c r="AD311" s="53" t="n"/>
      <c r="AE311" s="53" t="n"/>
      <c r="AF311" s="53" t="n"/>
      <c r="AG311" s="53" t="n"/>
      <c r="AH311" s="53" t="n"/>
      <c r="AI311" s="53" t="n"/>
      <c r="AJ311" s="53" t="n"/>
      <c r="AK311" s="53" t="n"/>
      <c r="AL311" s="53" t="n"/>
      <c r="AM311" s="53" t="n"/>
      <c r="AN311" s="53" t="n"/>
      <c r="AO311" s="53" t="n"/>
      <c r="AP311" s="53" t="n"/>
      <c r="AQ311" s="53" t="n"/>
      <c r="AR311" s="53" t="n"/>
      <c r="AS311" s="53" t="n"/>
      <c r="AT311" s="53" t="n"/>
      <c r="AU311" s="53" t="n"/>
      <c r="AV311" s="53" t="n"/>
      <c r="AW311" s="53" t="n"/>
      <c r="AX311" s="53" t="n"/>
      <c r="AY311" s="53" t="n"/>
    </row>
    <row r="312" ht="15" customHeight="1">
      <c r="A312" s="62" t="n"/>
      <c r="B312" s="55">
        <f>IF($B$310="","",$B$310)</f>
        <v/>
      </c>
      <c r="C312" s="63" t="inlineStr">
        <is>
          <t>기타</t>
        </is>
      </c>
      <c r="D312" s="55">
        <f>IF($D$310="","",$D$310)</f>
        <v/>
      </c>
      <c r="E312" s="64" t="inlineStr">
        <is>
          <t>영상</t>
        </is>
      </c>
      <c r="F312" s="44" t="n"/>
      <c r="G312" s="58">
        <f>IF($G$310="","",$G$310)</f>
        <v/>
      </c>
      <c r="H312" s="59" t="n"/>
      <c r="I312" s="59" t="n"/>
      <c r="J312" s="59" t="n"/>
      <c r="K312" s="59" t="n"/>
      <c r="L312" s="65">
        <f>IF(SUM(U312:AY312)=0,"",SUM(U312:AY312))</f>
        <v/>
      </c>
      <c r="M312" s="66">
        <f>IFERROR(INDEX(U$2:AY$2,MATCH(TRUE,INDEX(U312:AY312&lt;&gt;"",0),0)),"")</f>
        <v/>
      </c>
      <c r="N312" s="66">
        <f>IFERROR(LOOKUP(2,1/(U312:AY312&lt;&gt;""),U$2:AY$2),"")</f>
        <v/>
      </c>
      <c r="O312" s="59" t="n"/>
      <c r="P312" s="59" t="n"/>
      <c r="Q312" s="59" t="n"/>
      <c r="R312" s="59" t="n"/>
      <c r="S312" s="14" t="n"/>
      <c r="U312" s="53" t="n"/>
      <c r="V312" s="53" t="n"/>
      <c r="W312" s="53" t="n"/>
      <c r="X312" s="53" t="n"/>
      <c r="Y312" s="53" t="n"/>
      <c r="Z312" s="53" t="n"/>
      <c r="AA312" s="53" t="n"/>
      <c r="AB312" s="53" t="n"/>
      <c r="AC312" s="53" t="n"/>
      <c r="AD312" s="53" t="n"/>
      <c r="AE312" s="53" t="n"/>
      <c r="AF312" s="53" t="n"/>
      <c r="AG312" s="53" t="n"/>
      <c r="AH312" s="53" t="n"/>
      <c r="AI312" s="53" t="n"/>
      <c r="AJ312" s="53" t="n"/>
      <c r="AK312" s="53" t="n"/>
      <c r="AL312" s="53" t="n"/>
      <c r="AM312" s="53" t="n"/>
      <c r="AN312" s="53" t="n"/>
      <c r="AO312" s="53" t="n"/>
      <c r="AP312" s="53" t="n"/>
      <c r="AQ312" s="53" t="n"/>
      <c r="AR312" s="53" t="n"/>
      <c r="AS312" s="53" t="n"/>
      <c r="AT312" s="53" t="n"/>
      <c r="AU312" s="53" t="n"/>
      <c r="AV312" s="53" t="n"/>
      <c r="AW312" s="53" t="n"/>
      <c r="AX312" s="53" t="n"/>
      <c r="AY312" s="53" t="n"/>
    </row>
    <row r="315">
      <c r="A315" s="67" t="inlineStr">
        <is>
          <t>담당자 1일 캐파(MD)</t>
        </is>
      </c>
      <c r="B315" s="68">
        <f>'마스터'!$J$5</f>
        <v/>
      </c>
    </row>
    <row r="316">
      <c r="A316" s="67" t="inlineStr">
        <is>
          <t>공휴일(자동 연동)</t>
        </is>
      </c>
    </row>
    <row r="317">
      <c r="A317" s="67">
        <f>'마스터'!$I$13</f>
        <v/>
      </c>
      <c r="B317" s="69">
        <f>'마스터'!$J$13</f>
        <v/>
      </c>
    </row>
    <row r="318">
      <c r="A318" s="67">
        <f>'마스터'!$I$14</f>
        <v/>
      </c>
      <c r="B318" s="69">
        <f>'마스터'!$J$14</f>
        <v/>
      </c>
    </row>
    <row r="319">
      <c r="A319" s="67">
        <f>'마스터'!$I$15</f>
        <v/>
      </c>
      <c r="B319" s="69">
        <f>'마스터'!$J$15</f>
        <v/>
      </c>
    </row>
    <row r="320">
      <c r="A320" s="67">
        <f>'마스터'!$I$16</f>
        <v/>
      </c>
      <c r="B320" s="69">
        <f>'마스터'!$J$16</f>
        <v/>
      </c>
    </row>
    <row r="321">
      <c r="A321" s="67">
        <f>'마스터'!$I$17</f>
        <v/>
      </c>
      <c r="B321" s="69">
        <f>'마스터'!$J$17</f>
        <v/>
      </c>
    </row>
    <row r="322">
      <c r="A322" s="67">
        <f>'마스터'!$I$18</f>
        <v/>
      </c>
      <c r="B322" s="69">
        <f>'마스터'!$J$18</f>
        <v/>
      </c>
    </row>
    <row r="323">
      <c r="A323" s="67">
        <f>'마스터'!$I$19</f>
        <v/>
      </c>
      <c r="B323" s="69">
        <f>'마스터'!$J$19</f>
        <v/>
      </c>
    </row>
    <row r="324">
      <c r="A324" s="67">
        <f>'마스터'!$I$20</f>
        <v/>
      </c>
      <c r="B324" s="69">
        <f>'마스터'!$J$20</f>
        <v/>
      </c>
    </row>
    <row r="325">
      <c r="A325" s="67">
        <f>'마스터'!$I$21</f>
        <v/>
      </c>
      <c r="B325" s="69">
        <f>'마스터'!$J$21</f>
        <v/>
      </c>
    </row>
    <row r="326">
      <c r="A326" s="67">
        <f>'마스터'!$I$22</f>
        <v/>
      </c>
      <c r="B326" s="69">
        <f>'마스터'!$J$22</f>
        <v/>
      </c>
    </row>
    <row r="327">
      <c r="A327" s="67">
        <f>'마스터'!$I$23</f>
        <v/>
      </c>
      <c r="B327" s="69">
        <f>'마스터'!$J$23</f>
        <v/>
      </c>
    </row>
    <row r="328">
      <c r="A328" s="67">
        <f>'마스터'!$I$24</f>
        <v/>
      </c>
      <c r="B328" s="69">
        <f>'마스터'!$J$24</f>
        <v/>
      </c>
    </row>
    <row r="329">
      <c r="A329" s="67">
        <f>'마스터'!$I$25</f>
        <v/>
      </c>
      <c r="B329" s="69">
        <f>'마스터'!$J$25</f>
        <v/>
      </c>
    </row>
    <row r="330">
      <c r="A330" s="67">
        <f>'마스터'!$I$26</f>
        <v/>
      </c>
      <c r="B330" s="69">
        <f>'마스터'!$J$26</f>
        <v/>
      </c>
    </row>
    <row r="331">
      <c r="A331" s="67">
        <f>'마스터'!$I$27</f>
        <v/>
      </c>
      <c r="B331" s="69">
        <f>'마스터'!$J$27</f>
        <v/>
      </c>
    </row>
  </sheetData>
  <mergeCells count="16">
    <mergeCell ref="L1:N1"/>
    <mergeCell ref="A252:AY252"/>
    <mergeCell ref="O1:Q1"/>
    <mergeCell ref="A191:AY191"/>
    <mergeCell ref="A1:F1"/>
    <mergeCell ref="A5:F5"/>
    <mergeCell ref="A130:AY130"/>
    <mergeCell ref="G1:K1"/>
    <mergeCell ref="A8:AY8"/>
    <mergeCell ref="U1:AY1"/>
    <mergeCell ref="A6:F6"/>
    <mergeCell ref="A4:F4"/>
    <mergeCell ref="A3:F3"/>
    <mergeCell ref="A7:AY7"/>
    <mergeCell ref="A69:AY69"/>
    <mergeCell ref="R1:S1"/>
  </mergeCells>
  <conditionalFormatting sqref="U3:AY6">
    <cfRule type="expression" priority="1" dxfId="3">
      <formula>AND(U3&lt;&gt;"",U3&gt;$H3)</formula>
    </cfRule>
    <cfRule type="expression" priority="2" dxfId="4">
      <formula>AND(U3&gt;0,U3&gt;=$H3*0.8)</formula>
    </cfRule>
  </conditionalFormatting>
  <conditionalFormatting sqref="U3:AY312">
    <cfRule type="expression" priority="3" dxfId="5">
      <formula>U$2=""</formula>
    </cfRule>
    <cfRule type="expression" priority="4" dxfId="6">
      <formula>AND(U$2&lt;&gt;"",OR(WEEKDAY(U$2,2)&gt;5,COUNTIF($B$317:$B$331,U$2)&gt;0))</formula>
    </cfRule>
  </conditionalFormatting>
  <conditionalFormatting sqref="U9:AY312">
    <cfRule type="expression" priority="5" dxfId="7">
      <formula>AND(U9&lt;&gt;"",$G9&lt;&gt;"",U$2&lt;&gt;"",U$2&gt;$G9)</formula>
    </cfRule>
    <cfRule type="expression" priority="6" dxfId="8">
      <formula>AND($F9&lt;&gt;"",U9&lt;&gt;"",SUMIF($F$9:$F$312,$F9,U$9:U$312)&gt;$B$315)</formula>
    </cfRule>
    <cfRule type="expression" priority="7" dxfId="9">
      <formula>AND($E9="기획",U9&lt;&gt;"")</formula>
    </cfRule>
    <cfRule type="expression" priority="8" dxfId="10">
      <formula>AND($E9="이미지",U9&lt;&gt;"")</formula>
    </cfRule>
    <cfRule type="expression" priority="9" dxfId="11">
      <formula>AND($E9="영상",U9&lt;&gt;"")</formula>
    </cfRule>
  </conditionalFormatting>
  <conditionalFormatting sqref="H9:I312">
    <cfRule type="expression" priority="10" dxfId="12">
      <formula>AND($I9&lt;&gt;"",$I9&lt;0)</formula>
    </cfRule>
    <cfRule type="expression" priority="11" dxfId="13">
      <formula>AND($I9&lt;&gt;"",$I9&lt;=1)</formula>
    </cfRule>
    <cfRule type="expression" priority="12" dxfId="14">
      <formula>$I9&lt;&gt;""</formula>
    </cfRule>
  </conditionalFormatting>
  <dataValidations count="2">
    <dataValidation sqref="B9:B312" showDropDown="0" showInputMessage="0" showErrorMessage="0" allowBlank="1" type="list">
      <formula1>'마스터'!$A$3:$A$12</formula1>
    </dataValidation>
    <dataValidation sqref="R9:R312" showDropDown="0" showInputMessage="0" showErrorMessage="0" allowBlank="1" type="list">
      <formula1>'마스터'!$G$3:$G$6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F2A44"/>
    <outlinePr summaryBelow="1" summaryRight="1"/>
    <pageSetUpPr/>
  </sheetPr>
  <dimension ref="A1:AY331"/>
  <sheetViews>
    <sheetView workbookViewId="0">
      <pane xSplit="8" ySplit="8" topLeftCell="I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28" customWidth="1" min="4" max="4"/>
    <col width="8" customWidth="1" min="5" max="5"/>
    <col width="10" customWidth="1" min="6" max="6"/>
    <col width="11" customWidth="1" min="7" max="7"/>
    <col width="9" customWidth="1" min="8" max="8"/>
    <col width="8" customWidth="1" min="9" max="9"/>
    <col width="8" customWidth="1" min="10" max="10"/>
    <col width="11" customWidth="1" min="11" max="11"/>
    <col width="8" customWidth="1" min="12" max="12"/>
    <col width="10" customWidth="1" min="13" max="13"/>
    <col width="10" customWidth="1" min="14" max="14"/>
    <col width="6" customWidth="1" min="15" max="15"/>
    <col width="6" customWidth="1" min="16" max="16"/>
    <col width="6" customWidth="1" min="17" max="17"/>
    <col width="8" customWidth="1" min="18" max="18"/>
    <col width="16" customWidth="1" min="19" max="19"/>
    <col width="2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3.6" customWidth="1" min="33" max="33"/>
    <col width="3.6" customWidth="1" min="34" max="34"/>
    <col width="3.6" customWidth="1" min="35" max="35"/>
    <col width="3.6" customWidth="1" min="36" max="36"/>
    <col width="3.6" customWidth="1" min="37" max="37"/>
    <col width="3.6" customWidth="1" min="38" max="38"/>
    <col width="3.6" customWidth="1" min="39" max="39"/>
    <col width="3.6" customWidth="1" min="40" max="40"/>
    <col width="3.6" customWidth="1" min="41" max="41"/>
    <col width="3.6" customWidth="1" min="42" max="42"/>
    <col width="3.6" customWidth="1" min="43" max="43"/>
    <col width="3.6" customWidth="1" min="44" max="44"/>
    <col width="3.6" customWidth="1" min="45" max="45"/>
    <col width="3.6" customWidth="1" min="46" max="46"/>
    <col width="3.6" customWidth="1" min="47" max="47"/>
    <col width="3.6" customWidth="1" min="48" max="48"/>
    <col width="3.6" customWidth="1" min="49" max="49"/>
    <col width="3.6" customWidth="1" min="50" max="50"/>
    <col width="3.6" customWidth="1" min="51" max="51"/>
  </cols>
  <sheetData>
    <row r="1" ht="22" customHeight="1">
      <c r="A1" s="27" t="inlineStr">
        <is>
          <t>10월 소재 정보  (소재 1개 = 기획/이미지/영상 3줄)</t>
        </is>
      </c>
      <c r="B1" s="8" t="n"/>
      <c r="C1" s="8" t="n"/>
      <c r="D1" s="8" t="n"/>
      <c r="E1" s="8" t="n"/>
      <c r="F1" s="4" t="n"/>
      <c r="G1" s="28" t="inlineStr">
        <is>
          <t>고객사 전달일 기준 (자동)</t>
        </is>
      </c>
      <c r="H1" s="8" t="n"/>
      <c r="I1" s="8" t="n"/>
      <c r="J1" s="8" t="n"/>
      <c r="K1" s="4" t="n"/>
      <c r="L1" s="29" t="inlineStr">
        <is>
          <t>직군별 집계 (자동)</t>
        </is>
      </c>
      <c r="M1" s="8" t="n"/>
      <c r="N1" s="4" t="n"/>
      <c r="O1" s="30" t="inlineStr">
        <is>
          <t>수량 (소재당 1번)</t>
        </is>
      </c>
      <c r="P1" s="8" t="n"/>
      <c r="Q1" s="4" t="n"/>
      <c r="R1" s="31" t="inlineStr">
        <is>
          <t>관리</t>
        </is>
      </c>
      <c r="S1" s="4" t="n"/>
      <c r="U1" s="32" t="inlineStr">
        <is>
          <t>10월 간트 - 날짜 칸에 실제 MD 직접 입력   |   상단 4줄 = 일자별 직군 TO 상태</t>
        </is>
      </c>
      <c r="V1" s="8" t="n"/>
      <c r="W1" s="8" t="n"/>
      <c r="X1" s="8" t="n"/>
      <c r="Y1" s="8" t="n"/>
      <c r="Z1" s="8" t="n"/>
      <c r="AA1" s="8" t="n"/>
      <c r="AB1" s="8" t="n"/>
      <c r="AC1" s="8" t="n"/>
      <c r="AD1" s="8" t="n"/>
      <c r="AE1" s="8" t="n"/>
      <c r="AF1" s="8" t="n"/>
      <c r="AG1" s="8" t="n"/>
      <c r="AH1" s="8" t="n"/>
      <c r="AI1" s="8" t="n"/>
      <c r="AJ1" s="8" t="n"/>
      <c r="AK1" s="8" t="n"/>
      <c r="AL1" s="8" t="n"/>
      <c r="AM1" s="8" t="n"/>
      <c r="AN1" s="8" t="n"/>
      <c r="AO1" s="8" t="n"/>
      <c r="AP1" s="8" t="n"/>
      <c r="AQ1" s="8" t="n"/>
      <c r="AR1" s="8" t="n"/>
      <c r="AS1" s="8" t="n"/>
      <c r="AT1" s="8" t="n"/>
      <c r="AU1" s="8" t="n"/>
      <c r="AV1" s="8" t="n"/>
      <c r="AW1" s="8" t="n"/>
      <c r="AX1" s="8" t="n"/>
      <c r="AY1" s="4" t="n"/>
    </row>
    <row r="2" ht="30" customHeight="1">
      <c r="A2" s="17" t="inlineStr">
        <is>
          <t>No</t>
        </is>
      </c>
      <c r="B2" s="17" t="inlineStr">
        <is>
          <t>게임 타이틀</t>
        </is>
      </c>
      <c r="C2" s="17" t="inlineStr">
        <is>
          <t>고객팀</t>
        </is>
      </c>
      <c r="D2" s="17" t="inlineStr">
        <is>
          <t>소재명(업무명)</t>
        </is>
      </c>
      <c r="E2" s="17" t="inlineStr">
        <is>
          <t>직군</t>
        </is>
      </c>
      <c r="F2" s="17" t="inlineStr">
        <is>
          <t>담당자</t>
        </is>
      </c>
      <c r="G2" s="17" t="inlineStr">
        <is>
          <t>고객사
전달일</t>
        </is>
      </c>
      <c r="H2" s="17" t="inlineStr">
        <is>
          <t>신호</t>
        </is>
      </c>
      <c r="I2" s="17" t="inlineStr">
        <is>
          <t>전달일
여유</t>
        </is>
      </c>
      <c r="J2" s="17" t="inlineStr">
        <is>
          <t>소재
총MD</t>
        </is>
      </c>
      <c r="K2" s="17" t="inlineStr">
        <is>
          <t>소재
최종완료</t>
        </is>
      </c>
      <c r="L2" s="17" t="inlineStr">
        <is>
          <t>직군
MD</t>
        </is>
      </c>
      <c r="M2" s="17" t="inlineStr">
        <is>
          <t>직군
시작일</t>
        </is>
      </c>
      <c r="N2" s="17" t="inlineStr">
        <is>
          <t>직군
완료일</t>
        </is>
      </c>
      <c r="O2" s="17" t="inlineStr">
        <is>
          <t>영상
수</t>
        </is>
      </c>
      <c r="P2" s="17" t="inlineStr">
        <is>
          <t>사이즈
베리</t>
        </is>
      </c>
      <c r="Q2" s="17" t="inlineStr">
        <is>
          <t>다국어
베리</t>
        </is>
      </c>
      <c r="R2" s="17" t="inlineStr">
        <is>
          <t>상태</t>
        </is>
      </c>
      <c r="S2" s="17" t="inlineStr">
        <is>
          <t>비고</t>
        </is>
      </c>
      <c r="U2" s="33">
        <f>IF(MONTH(DATE('마스터'!$J$3,10,1)+0)=10,DATE('마스터'!$J$3,10,1)+0,"")</f>
        <v/>
      </c>
      <c r="V2" s="33">
        <f>IF(MONTH(DATE('마스터'!$J$3,10,1)+1)=10,DATE('마스터'!$J$3,10,1)+1,"")</f>
        <v/>
      </c>
      <c r="W2" s="33">
        <f>IF(MONTH(DATE('마스터'!$J$3,10,1)+2)=10,DATE('마스터'!$J$3,10,1)+2,"")</f>
        <v/>
      </c>
      <c r="X2" s="33">
        <f>IF(MONTH(DATE('마스터'!$J$3,10,1)+3)=10,DATE('마스터'!$J$3,10,1)+3,"")</f>
        <v/>
      </c>
      <c r="Y2" s="33">
        <f>IF(MONTH(DATE('마스터'!$J$3,10,1)+4)=10,DATE('마스터'!$J$3,10,1)+4,"")</f>
        <v/>
      </c>
      <c r="Z2" s="33">
        <f>IF(MONTH(DATE('마스터'!$J$3,10,1)+5)=10,DATE('마스터'!$J$3,10,1)+5,"")</f>
        <v/>
      </c>
      <c r="AA2" s="33">
        <f>IF(MONTH(DATE('마스터'!$J$3,10,1)+6)=10,DATE('마스터'!$J$3,10,1)+6,"")</f>
        <v/>
      </c>
      <c r="AB2" s="33">
        <f>IF(MONTH(DATE('마스터'!$J$3,10,1)+7)=10,DATE('마스터'!$J$3,10,1)+7,"")</f>
        <v/>
      </c>
      <c r="AC2" s="33">
        <f>IF(MONTH(DATE('마스터'!$J$3,10,1)+8)=10,DATE('마스터'!$J$3,10,1)+8,"")</f>
        <v/>
      </c>
      <c r="AD2" s="33">
        <f>IF(MONTH(DATE('마스터'!$J$3,10,1)+9)=10,DATE('마스터'!$J$3,10,1)+9,"")</f>
        <v/>
      </c>
      <c r="AE2" s="33">
        <f>IF(MONTH(DATE('마스터'!$J$3,10,1)+10)=10,DATE('마스터'!$J$3,10,1)+10,"")</f>
        <v/>
      </c>
      <c r="AF2" s="33">
        <f>IF(MONTH(DATE('마스터'!$J$3,10,1)+11)=10,DATE('마스터'!$J$3,10,1)+11,"")</f>
        <v/>
      </c>
      <c r="AG2" s="33">
        <f>IF(MONTH(DATE('마스터'!$J$3,10,1)+12)=10,DATE('마스터'!$J$3,10,1)+12,"")</f>
        <v/>
      </c>
      <c r="AH2" s="33">
        <f>IF(MONTH(DATE('마스터'!$J$3,10,1)+13)=10,DATE('마스터'!$J$3,10,1)+13,"")</f>
        <v/>
      </c>
      <c r="AI2" s="33">
        <f>IF(MONTH(DATE('마스터'!$J$3,10,1)+14)=10,DATE('마스터'!$J$3,10,1)+14,"")</f>
        <v/>
      </c>
      <c r="AJ2" s="33">
        <f>IF(MONTH(DATE('마스터'!$J$3,10,1)+15)=10,DATE('마스터'!$J$3,10,1)+15,"")</f>
        <v/>
      </c>
      <c r="AK2" s="33">
        <f>IF(MONTH(DATE('마스터'!$J$3,10,1)+16)=10,DATE('마스터'!$J$3,10,1)+16,"")</f>
        <v/>
      </c>
      <c r="AL2" s="33">
        <f>IF(MONTH(DATE('마스터'!$J$3,10,1)+17)=10,DATE('마스터'!$J$3,10,1)+17,"")</f>
        <v/>
      </c>
      <c r="AM2" s="33">
        <f>IF(MONTH(DATE('마스터'!$J$3,10,1)+18)=10,DATE('마스터'!$J$3,10,1)+18,"")</f>
        <v/>
      </c>
      <c r="AN2" s="33">
        <f>IF(MONTH(DATE('마스터'!$J$3,10,1)+19)=10,DATE('마스터'!$J$3,10,1)+19,"")</f>
        <v/>
      </c>
      <c r="AO2" s="33">
        <f>IF(MONTH(DATE('마스터'!$J$3,10,1)+20)=10,DATE('마스터'!$J$3,10,1)+20,"")</f>
        <v/>
      </c>
      <c r="AP2" s="33">
        <f>IF(MONTH(DATE('마스터'!$J$3,10,1)+21)=10,DATE('마스터'!$J$3,10,1)+21,"")</f>
        <v/>
      </c>
      <c r="AQ2" s="33">
        <f>IF(MONTH(DATE('마스터'!$J$3,10,1)+22)=10,DATE('마스터'!$J$3,10,1)+22,"")</f>
        <v/>
      </c>
      <c r="AR2" s="33">
        <f>IF(MONTH(DATE('마스터'!$J$3,10,1)+23)=10,DATE('마스터'!$J$3,10,1)+23,"")</f>
        <v/>
      </c>
      <c r="AS2" s="33">
        <f>IF(MONTH(DATE('마스터'!$J$3,10,1)+24)=10,DATE('마스터'!$J$3,10,1)+24,"")</f>
        <v/>
      </c>
      <c r="AT2" s="33">
        <f>IF(MONTH(DATE('마스터'!$J$3,10,1)+25)=10,DATE('마스터'!$J$3,10,1)+25,"")</f>
        <v/>
      </c>
      <c r="AU2" s="33">
        <f>IF(MONTH(DATE('마스터'!$J$3,10,1)+26)=10,DATE('마스터'!$J$3,10,1)+26,"")</f>
        <v/>
      </c>
      <c r="AV2" s="33">
        <f>IF(MONTH(DATE('마스터'!$J$3,10,1)+27)=10,DATE('마스터'!$J$3,10,1)+27,"")</f>
        <v/>
      </c>
      <c r="AW2" s="33">
        <f>IF(MONTH(DATE('마스터'!$J$3,10,1)+28)=10,DATE('마스터'!$J$3,10,1)+28,"")</f>
        <v/>
      </c>
      <c r="AX2" s="33">
        <f>IF(MONTH(DATE('마스터'!$J$3,10,1)+29)=10,DATE('마스터'!$J$3,10,1)+29,"")</f>
        <v/>
      </c>
      <c r="AY2" s="33">
        <f>IF(MONTH(DATE('마스터'!$J$3,10,1)+30)=10,DATE('마스터'!$J$3,10,1)+30,"")</f>
        <v/>
      </c>
    </row>
    <row r="3" ht="15" customHeight="1">
      <c r="A3" s="5" t="inlineStr">
        <is>
          <t>전체 TO (일자별 부하)</t>
        </is>
      </c>
      <c r="B3" s="8" t="n"/>
      <c r="C3" s="8" t="n"/>
      <c r="D3" s="8" t="n"/>
      <c r="E3" s="8" t="n"/>
      <c r="F3" s="4" t="n"/>
      <c r="G3" s="34" t="inlineStr">
        <is>
          <t>정원</t>
        </is>
      </c>
      <c r="H3" s="35">
        <f>SUM('마스터'!$J$8:$J$10)</f>
        <v/>
      </c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U3" s="37">
        <f>SUM(U$9:U$312)</f>
        <v/>
      </c>
      <c r="V3" s="37">
        <f>SUM(V$9:V$312)</f>
        <v/>
      </c>
      <c r="W3" s="37">
        <f>SUM(W$9:W$312)</f>
        <v/>
      </c>
      <c r="X3" s="37">
        <f>SUM(X$9:X$312)</f>
        <v/>
      </c>
      <c r="Y3" s="37">
        <f>SUM(Y$9:Y$312)</f>
        <v/>
      </c>
      <c r="Z3" s="37">
        <f>SUM(Z$9:Z$312)</f>
        <v/>
      </c>
      <c r="AA3" s="37">
        <f>SUM(AA$9:AA$312)</f>
        <v/>
      </c>
      <c r="AB3" s="37">
        <f>SUM(AB$9:AB$312)</f>
        <v/>
      </c>
      <c r="AC3" s="37">
        <f>SUM(AC$9:AC$312)</f>
        <v/>
      </c>
      <c r="AD3" s="37">
        <f>SUM(AD$9:AD$312)</f>
        <v/>
      </c>
      <c r="AE3" s="37">
        <f>SUM(AE$9:AE$312)</f>
        <v/>
      </c>
      <c r="AF3" s="37">
        <f>SUM(AF$9:AF$312)</f>
        <v/>
      </c>
      <c r="AG3" s="37">
        <f>SUM(AG$9:AG$312)</f>
        <v/>
      </c>
      <c r="AH3" s="37">
        <f>SUM(AH$9:AH$312)</f>
        <v/>
      </c>
      <c r="AI3" s="37">
        <f>SUM(AI$9:AI$312)</f>
        <v/>
      </c>
      <c r="AJ3" s="37">
        <f>SUM(AJ$9:AJ$312)</f>
        <v/>
      </c>
      <c r="AK3" s="37">
        <f>SUM(AK$9:AK$312)</f>
        <v/>
      </c>
      <c r="AL3" s="37">
        <f>SUM(AL$9:AL$312)</f>
        <v/>
      </c>
      <c r="AM3" s="37">
        <f>SUM(AM$9:AM$312)</f>
        <v/>
      </c>
      <c r="AN3" s="37">
        <f>SUM(AN$9:AN$312)</f>
        <v/>
      </c>
      <c r="AO3" s="37">
        <f>SUM(AO$9:AO$312)</f>
        <v/>
      </c>
      <c r="AP3" s="37">
        <f>SUM(AP$9:AP$312)</f>
        <v/>
      </c>
      <c r="AQ3" s="37">
        <f>SUM(AQ$9:AQ$312)</f>
        <v/>
      </c>
      <c r="AR3" s="37">
        <f>SUM(AR$9:AR$312)</f>
        <v/>
      </c>
      <c r="AS3" s="37">
        <f>SUM(AS$9:AS$312)</f>
        <v/>
      </c>
      <c r="AT3" s="37">
        <f>SUM(AT$9:AT$312)</f>
        <v/>
      </c>
      <c r="AU3" s="37">
        <f>SUM(AU$9:AU$312)</f>
        <v/>
      </c>
      <c r="AV3" s="37">
        <f>SUM(AV$9:AV$312)</f>
        <v/>
      </c>
      <c r="AW3" s="37">
        <f>SUM(AW$9:AW$312)</f>
        <v/>
      </c>
      <c r="AX3" s="37">
        <f>SUM(AX$9:AX$312)</f>
        <v/>
      </c>
      <c r="AY3" s="37">
        <f>SUM(AY$9:AY$312)</f>
        <v/>
      </c>
    </row>
    <row r="4" ht="15" customHeight="1">
      <c r="A4" s="5" t="inlineStr">
        <is>
          <t>영상 TO</t>
        </is>
      </c>
      <c r="B4" s="8" t="n"/>
      <c r="C4" s="8" t="n"/>
      <c r="D4" s="8" t="n"/>
      <c r="E4" s="8" t="n"/>
      <c r="F4" s="4" t="n"/>
      <c r="G4" s="34" t="inlineStr">
        <is>
          <t>정원</t>
        </is>
      </c>
      <c r="H4" s="35">
        <f>'마스터'!$J$8</f>
        <v/>
      </c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U4" s="37">
        <f>SUMIF($E$9:$E$312,"영상",U$9:U$312)</f>
        <v/>
      </c>
      <c r="V4" s="37">
        <f>SUMIF($E$9:$E$312,"영상",V$9:V$312)</f>
        <v/>
      </c>
      <c r="W4" s="37">
        <f>SUMIF($E$9:$E$312,"영상",W$9:W$312)</f>
        <v/>
      </c>
      <c r="X4" s="37">
        <f>SUMIF($E$9:$E$312,"영상",X$9:X$312)</f>
        <v/>
      </c>
      <c r="Y4" s="37">
        <f>SUMIF($E$9:$E$312,"영상",Y$9:Y$312)</f>
        <v/>
      </c>
      <c r="Z4" s="37">
        <f>SUMIF($E$9:$E$312,"영상",Z$9:Z$312)</f>
        <v/>
      </c>
      <c r="AA4" s="37">
        <f>SUMIF($E$9:$E$312,"영상",AA$9:AA$312)</f>
        <v/>
      </c>
      <c r="AB4" s="37">
        <f>SUMIF($E$9:$E$312,"영상",AB$9:AB$312)</f>
        <v/>
      </c>
      <c r="AC4" s="37">
        <f>SUMIF($E$9:$E$312,"영상",AC$9:AC$312)</f>
        <v/>
      </c>
      <c r="AD4" s="37">
        <f>SUMIF($E$9:$E$312,"영상",AD$9:AD$312)</f>
        <v/>
      </c>
      <c r="AE4" s="37">
        <f>SUMIF($E$9:$E$312,"영상",AE$9:AE$312)</f>
        <v/>
      </c>
      <c r="AF4" s="37">
        <f>SUMIF($E$9:$E$312,"영상",AF$9:AF$312)</f>
        <v/>
      </c>
      <c r="AG4" s="37">
        <f>SUMIF($E$9:$E$312,"영상",AG$9:AG$312)</f>
        <v/>
      </c>
      <c r="AH4" s="37">
        <f>SUMIF($E$9:$E$312,"영상",AH$9:AH$312)</f>
        <v/>
      </c>
      <c r="AI4" s="37">
        <f>SUMIF($E$9:$E$312,"영상",AI$9:AI$312)</f>
        <v/>
      </c>
      <c r="AJ4" s="37">
        <f>SUMIF($E$9:$E$312,"영상",AJ$9:AJ$312)</f>
        <v/>
      </c>
      <c r="AK4" s="37">
        <f>SUMIF($E$9:$E$312,"영상",AK$9:AK$312)</f>
        <v/>
      </c>
      <c r="AL4" s="37">
        <f>SUMIF($E$9:$E$312,"영상",AL$9:AL$312)</f>
        <v/>
      </c>
      <c r="AM4" s="37">
        <f>SUMIF($E$9:$E$312,"영상",AM$9:AM$312)</f>
        <v/>
      </c>
      <c r="AN4" s="37">
        <f>SUMIF($E$9:$E$312,"영상",AN$9:AN$312)</f>
        <v/>
      </c>
      <c r="AO4" s="37">
        <f>SUMIF($E$9:$E$312,"영상",AO$9:AO$312)</f>
        <v/>
      </c>
      <c r="AP4" s="37">
        <f>SUMIF($E$9:$E$312,"영상",AP$9:AP$312)</f>
        <v/>
      </c>
      <c r="AQ4" s="37">
        <f>SUMIF($E$9:$E$312,"영상",AQ$9:AQ$312)</f>
        <v/>
      </c>
      <c r="AR4" s="37">
        <f>SUMIF($E$9:$E$312,"영상",AR$9:AR$312)</f>
        <v/>
      </c>
      <c r="AS4" s="37">
        <f>SUMIF($E$9:$E$312,"영상",AS$9:AS$312)</f>
        <v/>
      </c>
      <c r="AT4" s="37">
        <f>SUMIF($E$9:$E$312,"영상",AT$9:AT$312)</f>
        <v/>
      </c>
      <c r="AU4" s="37">
        <f>SUMIF($E$9:$E$312,"영상",AU$9:AU$312)</f>
        <v/>
      </c>
      <c r="AV4" s="37">
        <f>SUMIF($E$9:$E$312,"영상",AV$9:AV$312)</f>
        <v/>
      </c>
      <c r="AW4" s="37">
        <f>SUMIF($E$9:$E$312,"영상",AW$9:AW$312)</f>
        <v/>
      </c>
      <c r="AX4" s="37">
        <f>SUMIF($E$9:$E$312,"영상",AX$9:AX$312)</f>
        <v/>
      </c>
      <c r="AY4" s="37">
        <f>SUMIF($E$9:$E$312,"영상",AY$9:AY$312)</f>
        <v/>
      </c>
    </row>
    <row r="5" ht="15" customHeight="1">
      <c r="A5" s="5" t="inlineStr">
        <is>
          <t>이미지 TO</t>
        </is>
      </c>
      <c r="B5" s="8" t="n"/>
      <c r="C5" s="8" t="n"/>
      <c r="D5" s="8" t="n"/>
      <c r="E5" s="8" t="n"/>
      <c r="F5" s="4" t="n"/>
      <c r="G5" s="34" t="inlineStr">
        <is>
          <t>정원</t>
        </is>
      </c>
      <c r="H5" s="35">
        <f>'마스터'!$J$9</f>
        <v/>
      </c>
      <c r="I5" s="36" t="n"/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  <c r="S5" s="36" t="n"/>
      <c r="U5" s="37">
        <f>SUMIF($E$9:$E$312,"이미지",U$9:U$312)</f>
        <v/>
      </c>
      <c r="V5" s="37">
        <f>SUMIF($E$9:$E$312,"이미지",V$9:V$312)</f>
        <v/>
      </c>
      <c r="W5" s="37">
        <f>SUMIF($E$9:$E$312,"이미지",W$9:W$312)</f>
        <v/>
      </c>
      <c r="X5" s="37">
        <f>SUMIF($E$9:$E$312,"이미지",X$9:X$312)</f>
        <v/>
      </c>
      <c r="Y5" s="37">
        <f>SUMIF($E$9:$E$312,"이미지",Y$9:Y$312)</f>
        <v/>
      </c>
      <c r="Z5" s="37">
        <f>SUMIF($E$9:$E$312,"이미지",Z$9:Z$312)</f>
        <v/>
      </c>
      <c r="AA5" s="37">
        <f>SUMIF($E$9:$E$312,"이미지",AA$9:AA$312)</f>
        <v/>
      </c>
      <c r="AB5" s="37">
        <f>SUMIF($E$9:$E$312,"이미지",AB$9:AB$312)</f>
        <v/>
      </c>
      <c r="AC5" s="37">
        <f>SUMIF($E$9:$E$312,"이미지",AC$9:AC$312)</f>
        <v/>
      </c>
      <c r="AD5" s="37">
        <f>SUMIF($E$9:$E$312,"이미지",AD$9:AD$312)</f>
        <v/>
      </c>
      <c r="AE5" s="37">
        <f>SUMIF($E$9:$E$312,"이미지",AE$9:AE$312)</f>
        <v/>
      </c>
      <c r="AF5" s="37">
        <f>SUMIF($E$9:$E$312,"이미지",AF$9:AF$312)</f>
        <v/>
      </c>
      <c r="AG5" s="37">
        <f>SUMIF($E$9:$E$312,"이미지",AG$9:AG$312)</f>
        <v/>
      </c>
      <c r="AH5" s="37">
        <f>SUMIF($E$9:$E$312,"이미지",AH$9:AH$312)</f>
        <v/>
      </c>
      <c r="AI5" s="37">
        <f>SUMIF($E$9:$E$312,"이미지",AI$9:AI$312)</f>
        <v/>
      </c>
      <c r="AJ5" s="37">
        <f>SUMIF($E$9:$E$312,"이미지",AJ$9:AJ$312)</f>
        <v/>
      </c>
      <c r="AK5" s="37">
        <f>SUMIF($E$9:$E$312,"이미지",AK$9:AK$312)</f>
        <v/>
      </c>
      <c r="AL5" s="37">
        <f>SUMIF($E$9:$E$312,"이미지",AL$9:AL$312)</f>
        <v/>
      </c>
      <c r="AM5" s="37">
        <f>SUMIF($E$9:$E$312,"이미지",AM$9:AM$312)</f>
        <v/>
      </c>
      <c r="AN5" s="37">
        <f>SUMIF($E$9:$E$312,"이미지",AN$9:AN$312)</f>
        <v/>
      </c>
      <c r="AO5" s="37">
        <f>SUMIF($E$9:$E$312,"이미지",AO$9:AO$312)</f>
        <v/>
      </c>
      <c r="AP5" s="37">
        <f>SUMIF($E$9:$E$312,"이미지",AP$9:AP$312)</f>
        <v/>
      </c>
      <c r="AQ5" s="37">
        <f>SUMIF($E$9:$E$312,"이미지",AQ$9:AQ$312)</f>
        <v/>
      </c>
      <c r="AR5" s="37">
        <f>SUMIF($E$9:$E$312,"이미지",AR$9:AR$312)</f>
        <v/>
      </c>
      <c r="AS5" s="37">
        <f>SUMIF($E$9:$E$312,"이미지",AS$9:AS$312)</f>
        <v/>
      </c>
      <c r="AT5" s="37">
        <f>SUMIF($E$9:$E$312,"이미지",AT$9:AT$312)</f>
        <v/>
      </c>
      <c r="AU5" s="37">
        <f>SUMIF($E$9:$E$312,"이미지",AU$9:AU$312)</f>
        <v/>
      </c>
      <c r="AV5" s="37">
        <f>SUMIF($E$9:$E$312,"이미지",AV$9:AV$312)</f>
        <v/>
      </c>
      <c r="AW5" s="37">
        <f>SUMIF($E$9:$E$312,"이미지",AW$9:AW$312)</f>
        <v/>
      </c>
      <c r="AX5" s="37">
        <f>SUMIF($E$9:$E$312,"이미지",AX$9:AX$312)</f>
        <v/>
      </c>
      <c r="AY5" s="37">
        <f>SUMIF($E$9:$E$312,"이미지",AY$9:AY$312)</f>
        <v/>
      </c>
    </row>
    <row r="6" ht="15" customHeight="1">
      <c r="A6" s="5" t="inlineStr">
        <is>
          <t>기획 TO</t>
        </is>
      </c>
      <c r="B6" s="8" t="n"/>
      <c r="C6" s="8" t="n"/>
      <c r="D6" s="8" t="n"/>
      <c r="E6" s="8" t="n"/>
      <c r="F6" s="4" t="n"/>
      <c r="G6" s="34" t="inlineStr">
        <is>
          <t>정원</t>
        </is>
      </c>
      <c r="H6" s="35">
        <f>'마스터'!$J$10</f>
        <v/>
      </c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6" t="n"/>
      <c r="S6" s="36" t="n"/>
      <c r="U6" s="37">
        <f>SUMIF($E$9:$E$312,"기획",U$9:U$312)</f>
        <v/>
      </c>
      <c r="V6" s="37">
        <f>SUMIF($E$9:$E$312,"기획",V$9:V$312)</f>
        <v/>
      </c>
      <c r="W6" s="37">
        <f>SUMIF($E$9:$E$312,"기획",W$9:W$312)</f>
        <v/>
      </c>
      <c r="X6" s="37">
        <f>SUMIF($E$9:$E$312,"기획",X$9:X$312)</f>
        <v/>
      </c>
      <c r="Y6" s="37">
        <f>SUMIF($E$9:$E$312,"기획",Y$9:Y$312)</f>
        <v/>
      </c>
      <c r="Z6" s="37">
        <f>SUMIF($E$9:$E$312,"기획",Z$9:Z$312)</f>
        <v/>
      </c>
      <c r="AA6" s="37">
        <f>SUMIF($E$9:$E$312,"기획",AA$9:AA$312)</f>
        <v/>
      </c>
      <c r="AB6" s="37">
        <f>SUMIF($E$9:$E$312,"기획",AB$9:AB$312)</f>
        <v/>
      </c>
      <c r="AC6" s="37">
        <f>SUMIF($E$9:$E$312,"기획",AC$9:AC$312)</f>
        <v/>
      </c>
      <c r="AD6" s="37">
        <f>SUMIF($E$9:$E$312,"기획",AD$9:AD$312)</f>
        <v/>
      </c>
      <c r="AE6" s="37">
        <f>SUMIF($E$9:$E$312,"기획",AE$9:AE$312)</f>
        <v/>
      </c>
      <c r="AF6" s="37">
        <f>SUMIF($E$9:$E$312,"기획",AF$9:AF$312)</f>
        <v/>
      </c>
      <c r="AG6" s="37">
        <f>SUMIF($E$9:$E$312,"기획",AG$9:AG$312)</f>
        <v/>
      </c>
      <c r="AH6" s="37">
        <f>SUMIF($E$9:$E$312,"기획",AH$9:AH$312)</f>
        <v/>
      </c>
      <c r="AI6" s="37">
        <f>SUMIF($E$9:$E$312,"기획",AI$9:AI$312)</f>
        <v/>
      </c>
      <c r="AJ6" s="37">
        <f>SUMIF($E$9:$E$312,"기획",AJ$9:AJ$312)</f>
        <v/>
      </c>
      <c r="AK6" s="37">
        <f>SUMIF($E$9:$E$312,"기획",AK$9:AK$312)</f>
        <v/>
      </c>
      <c r="AL6" s="37">
        <f>SUMIF($E$9:$E$312,"기획",AL$9:AL$312)</f>
        <v/>
      </c>
      <c r="AM6" s="37">
        <f>SUMIF($E$9:$E$312,"기획",AM$9:AM$312)</f>
        <v/>
      </c>
      <c r="AN6" s="37">
        <f>SUMIF($E$9:$E$312,"기획",AN$9:AN$312)</f>
        <v/>
      </c>
      <c r="AO6" s="37">
        <f>SUMIF($E$9:$E$312,"기획",AO$9:AO$312)</f>
        <v/>
      </c>
      <c r="AP6" s="37">
        <f>SUMIF($E$9:$E$312,"기획",AP$9:AP$312)</f>
        <v/>
      </c>
      <c r="AQ6" s="37">
        <f>SUMIF($E$9:$E$312,"기획",AQ$9:AQ$312)</f>
        <v/>
      </c>
      <c r="AR6" s="37">
        <f>SUMIF($E$9:$E$312,"기획",AR$9:AR$312)</f>
        <v/>
      </c>
      <c r="AS6" s="37">
        <f>SUMIF($E$9:$E$312,"기획",AS$9:AS$312)</f>
        <v/>
      </c>
      <c r="AT6" s="37">
        <f>SUMIF($E$9:$E$312,"기획",AT$9:AT$312)</f>
        <v/>
      </c>
      <c r="AU6" s="37">
        <f>SUMIF($E$9:$E$312,"기획",AU$9:AU$312)</f>
        <v/>
      </c>
      <c r="AV6" s="37">
        <f>SUMIF($E$9:$E$312,"기획",AV$9:AV$312)</f>
        <v/>
      </c>
      <c r="AW6" s="37">
        <f>SUMIF($E$9:$E$312,"기획",AW$9:AW$312)</f>
        <v/>
      </c>
      <c r="AX6" s="37">
        <f>SUMIF($E$9:$E$312,"기획",AX$9:AX$312)</f>
        <v/>
      </c>
      <c r="AY6" s="37">
        <f>SUMIF($E$9:$E$312,"기획",AY$9:AY$312)</f>
        <v/>
      </c>
    </row>
    <row r="7">
      <c r="A7" s="38" t="inlineStr">
        <is>
          <t>▼ 아래부터 입력. 노란칸=직접 입력 / 회색칸=자동(건드리지 마세요)</t>
        </is>
      </c>
    </row>
    <row r="8" ht="18" customHeight="1">
      <c r="A8" s="39" t="inlineStr">
        <is>
          <t>마케팅1팀   (9~68행 · 소재 20개)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4" t="n"/>
    </row>
    <row r="9" ht="15" customHeight="1">
      <c r="A9" s="40">
        <f>IF($D$9="","",1)</f>
        <v/>
      </c>
      <c r="B9" s="10" t="n"/>
      <c r="C9" s="41" t="inlineStr">
        <is>
          <t>마케팅1팀</t>
        </is>
      </c>
      <c r="D9" s="42" t="n"/>
      <c r="E9" s="43" t="inlineStr">
        <is>
          <t>기획</t>
        </is>
      </c>
      <c r="F9" s="44" t="n"/>
      <c r="G9" s="45" t="n"/>
      <c r="H9" s="46">
        <f>IF($I$9="","",IF($I$9&lt;0,"🔴지연",IF($I$9&lt;=1,"🟡임박","🟢여유")))</f>
        <v/>
      </c>
      <c r="I9" s="47">
        <f>IF(OR($G$9="",$K$9=""),"",$G$9-$K$9)</f>
        <v/>
      </c>
      <c r="J9" s="48">
        <f>IF(SUM($L$9:$L$11)=0,"",SUM($L$9:$L$11))</f>
        <v/>
      </c>
      <c r="K9" s="49">
        <f>IF($J$9="","",MAX($N$9:$N$11))</f>
        <v/>
      </c>
      <c r="L9" s="50">
        <f>IF(SUM(U9:AY9)=0,"",SUM(U9:AY9))</f>
        <v/>
      </c>
      <c r="M9" s="51">
        <f>IFERROR(INDEX(U$2:AY$2,MATCH(TRUE,INDEX(U9:AY9&lt;&gt;"",0),0)),"")</f>
        <v/>
      </c>
      <c r="N9" s="51">
        <f>IFERROR(LOOKUP(2,1/(U9:AY9&lt;&gt;""),U$2:AY$2),"")</f>
        <v/>
      </c>
      <c r="O9" s="52" t="n"/>
      <c r="P9" s="52" t="n"/>
      <c r="Q9" s="52" t="n"/>
      <c r="R9" s="44" t="n"/>
      <c r="S9" s="14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</row>
    <row r="10" ht="15" customHeight="1">
      <c r="A10" s="54" t="n"/>
      <c r="B10" s="55">
        <f>IF($B$9="","",$B$9)</f>
        <v/>
      </c>
      <c r="C10" s="56" t="inlineStr">
        <is>
          <t>마케팅1팀</t>
        </is>
      </c>
      <c r="D10" s="55">
        <f>IF($D$9="","",$D$9)</f>
        <v/>
      </c>
      <c r="E10" s="57" t="inlineStr">
        <is>
          <t>이미지</t>
        </is>
      </c>
      <c r="F10" s="44" t="n"/>
      <c r="G10" s="58">
        <f>IF($G$9="","",$G$9)</f>
        <v/>
      </c>
      <c r="H10" s="59" t="n"/>
      <c r="I10" s="59" t="n"/>
      <c r="J10" s="59" t="n"/>
      <c r="K10" s="59" t="n"/>
      <c r="L10" s="60">
        <f>IF(SUM(U10:AY10)=0,"",SUM(U10:AY10))</f>
        <v/>
      </c>
      <c r="M10" s="61">
        <f>IFERROR(INDEX(U$2:AY$2,MATCH(TRUE,INDEX(U10:AY10&lt;&gt;"",0),0)),"")</f>
        <v/>
      </c>
      <c r="N10" s="61">
        <f>IFERROR(LOOKUP(2,1/(U10:AY10&lt;&gt;""),U$2:AY$2),"")</f>
        <v/>
      </c>
      <c r="O10" s="59" t="n"/>
      <c r="P10" s="59" t="n"/>
      <c r="Q10" s="59" t="n"/>
      <c r="R10" s="59" t="n"/>
      <c r="S10" s="14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</row>
    <row r="11" ht="15" customHeight="1">
      <c r="A11" s="62" t="n"/>
      <c r="B11" s="55">
        <f>IF($B$9="","",$B$9)</f>
        <v/>
      </c>
      <c r="C11" s="63" t="inlineStr">
        <is>
          <t>마케팅1팀</t>
        </is>
      </c>
      <c r="D11" s="55">
        <f>IF($D$9="","",$D$9)</f>
        <v/>
      </c>
      <c r="E11" s="64" t="inlineStr">
        <is>
          <t>영상</t>
        </is>
      </c>
      <c r="F11" s="44" t="n"/>
      <c r="G11" s="58">
        <f>IF($G$9="","",$G$9)</f>
        <v/>
      </c>
      <c r="H11" s="59" t="n"/>
      <c r="I11" s="59" t="n"/>
      <c r="J11" s="59" t="n"/>
      <c r="K11" s="59" t="n"/>
      <c r="L11" s="65">
        <f>IF(SUM(U11:AY11)=0,"",SUM(U11:AY11))</f>
        <v/>
      </c>
      <c r="M11" s="66">
        <f>IFERROR(INDEX(U$2:AY$2,MATCH(TRUE,INDEX(U11:AY11&lt;&gt;"",0),0)),"")</f>
        <v/>
      </c>
      <c r="N11" s="66">
        <f>IFERROR(LOOKUP(2,1/(U11:AY11&lt;&gt;""),U$2:AY$2),"")</f>
        <v/>
      </c>
      <c r="O11" s="59" t="n"/>
      <c r="P11" s="59" t="n"/>
      <c r="Q11" s="59" t="n"/>
      <c r="R11" s="59" t="n"/>
      <c r="S11" s="14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</row>
    <row r="12" ht="15" customHeight="1">
      <c r="A12" s="40">
        <f>IF($D$12="","",2)</f>
        <v/>
      </c>
      <c r="B12" s="10" t="n"/>
      <c r="C12" s="41" t="inlineStr">
        <is>
          <t>마케팅1팀</t>
        </is>
      </c>
      <c r="D12" s="42" t="n"/>
      <c r="E12" s="43" t="inlineStr">
        <is>
          <t>기획</t>
        </is>
      </c>
      <c r="F12" s="44" t="n"/>
      <c r="G12" s="45" t="n"/>
      <c r="H12" s="46">
        <f>IF($I$12="","",IF($I$12&lt;0,"🔴지연",IF($I$12&lt;=1,"🟡임박","🟢여유")))</f>
        <v/>
      </c>
      <c r="I12" s="47">
        <f>IF(OR($G$12="",$K$12=""),"",$G$12-$K$12)</f>
        <v/>
      </c>
      <c r="J12" s="48">
        <f>IF(SUM($L$12:$L$14)=0,"",SUM($L$12:$L$14))</f>
        <v/>
      </c>
      <c r="K12" s="49">
        <f>IF($J$12="","",MAX($N$12:$N$14))</f>
        <v/>
      </c>
      <c r="L12" s="50">
        <f>IF(SUM(U12:AY12)=0,"",SUM(U12:AY12))</f>
        <v/>
      </c>
      <c r="M12" s="51">
        <f>IFERROR(INDEX(U$2:AY$2,MATCH(TRUE,INDEX(U12:AY12&lt;&gt;"",0),0)),"")</f>
        <v/>
      </c>
      <c r="N12" s="51">
        <f>IFERROR(LOOKUP(2,1/(U12:AY12&lt;&gt;""),U$2:AY$2),"")</f>
        <v/>
      </c>
      <c r="O12" s="52" t="n"/>
      <c r="P12" s="52" t="n"/>
      <c r="Q12" s="52" t="n"/>
      <c r="R12" s="44" t="n"/>
      <c r="S12" s="14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</row>
    <row r="13" ht="15" customHeight="1">
      <c r="A13" s="54" t="n"/>
      <c r="B13" s="55">
        <f>IF($B$12="","",$B$12)</f>
        <v/>
      </c>
      <c r="C13" s="56" t="inlineStr">
        <is>
          <t>마케팅1팀</t>
        </is>
      </c>
      <c r="D13" s="55">
        <f>IF($D$12="","",$D$12)</f>
        <v/>
      </c>
      <c r="E13" s="57" t="inlineStr">
        <is>
          <t>이미지</t>
        </is>
      </c>
      <c r="F13" s="44" t="n"/>
      <c r="G13" s="58">
        <f>IF($G$12="","",$G$12)</f>
        <v/>
      </c>
      <c r="H13" s="59" t="n"/>
      <c r="I13" s="59" t="n"/>
      <c r="J13" s="59" t="n"/>
      <c r="K13" s="59" t="n"/>
      <c r="L13" s="60">
        <f>IF(SUM(U13:AY13)=0,"",SUM(U13:AY13))</f>
        <v/>
      </c>
      <c r="M13" s="61">
        <f>IFERROR(INDEX(U$2:AY$2,MATCH(TRUE,INDEX(U13:AY13&lt;&gt;"",0),0)),"")</f>
        <v/>
      </c>
      <c r="N13" s="61">
        <f>IFERROR(LOOKUP(2,1/(U13:AY13&lt;&gt;""),U$2:AY$2),"")</f>
        <v/>
      </c>
      <c r="O13" s="59" t="n"/>
      <c r="P13" s="59" t="n"/>
      <c r="Q13" s="59" t="n"/>
      <c r="R13" s="59" t="n"/>
      <c r="S13" s="14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</row>
    <row r="14" ht="15" customHeight="1">
      <c r="A14" s="62" t="n"/>
      <c r="B14" s="55">
        <f>IF($B$12="","",$B$12)</f>
        <v/>
      </c>
      <c r="C14" s="63" t="inlineStr">
        <is>
          <t>마케팅1팀</t>
        </is>
      </c>
      <c r="D14" s="55">
        <f>IF($D$12="","",$D$12)</f>
        <v/>
      </c>
      <c r="E14" s="64" t="inlineStr">
        <is>
          <t>영상</t>
        </is>
      </c>
      <c r="F14" s="44" t="n"/>
      <c r="G14" s="58">
        <f>IF($G$12="","",$G$12)</f>
        <v/>
      </c>
      <c r="H14" s="59" t="n"/>
      <c r="I14" s="59" t="n"/>
      <c r="J14" s="59" t="n"/>
      <c r="K14" s="59" t="n"/>
      <c r="L14" s="65">
        <f>IF(SUM(U14:AY14)=0,"",SUM(U14:AY14))</f>
        <v/>
      </c>
      <c r="M14" s="66">
        <f>IFERROR(INDEX(U$2:AY$2,MATCH(TRUE,INDEX(U14:AY14&lt;&gt;"",0),0)),"")</f>
        <v/>
      </c>
      <c r="N14" s="66">
        <f>IFERROR(LOOKUP(2,1/(U14:AY14&lt;&gt;""),U$2:AY$2),"")</f>
        <v/>
      </c>
      <c r="O14" s="59" t="n"/>
      <c r="P14" s="59" t="n"/>
      <c r="Q14" s="59" t="n"/>
      <c r="R14" s="59" t="n"/>
      <c r="S14" s="14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</row>
    <row r="15" ht="15" customHeight="1">
      <c r="A15" s="40">
        <f>IF($D$15="","",3)</f>
        <v/>
      </c>
      <c r="B15" s="10" t="n"/>
      <c r="C15" s="41" t="inlineStr">
        <is>
          <t>마케팅1팀</t>
        </is>
      </c>
      <c r="D15" s="42" t="n"/>
      <c r="E15" s="43" t="inlineStr">
        <is>
          <t>기획</t>
        </is>
      </c>
      <c r="F15" s="44" t="n"/>
      <c r="G15" s="45" t="n"/>
      <c r="H15" s="46">
        <f>IF($I$15="","",IF($I$15&lt;0,"🔴지연",IF($I$15&lt;=1,"🟡임박","🟢여유")))</f>
        <v/>
      </c>
      <c r="I15" s="47">
        <f>IF(OR($G$15="",$K$15=""),"",$G$15-$K$15)</f>
        <v/>
      </c>
      <c r="J15" s="48">
        <f>IF(SUM($L$15:$L$17)=0,"",SUM($L$15:$L$17))</f>
        <v/>
      </c>
      <c r="K15" s="49">
        <f>IF($J$15="","",MAX($N$15:$N$17))</f>
        <v/>
      </c>
      <c r="L15" s="50">
        <f>IF(SUM(U15:AY15)=0,"",SUM(U15:AY15))</f>
        <v/>
      </c>
      <c r="M15" s="51">
        <f>IFERROR(INDEX(U$2:AY$2,MATCH(TRUE,INDEX(U15:AY15&lt;&gt;"",0),0)),"")</f>
        <v/>
      </c>
      <c r="N15" s="51">
        <f>IFERROR(LOOKUP(2,1/(U15:AY15&lt;&gt;""),U$2:AY$2),"")</f>
        <v/>
      </c>
      <c r="O15" s="52" t="n"/>
      <c r="P15" s="52" t="n"/>
      <c r="Q15" s="52" t="n"/>
      <c r="R15" s="44" t="n"/>
      <c r="S15" s="14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</row>
    <row r="16" ht="15" customHeight="1">
      <c r="A16" s="54" t="n"/>
      <c r="B16" s="55">
        <f>IF($B$15="","",$B$15)</f>
        <v/>
      </c>
      <c r="C16" s="56" t="inlineStr">
        <is>
          <t>마케팅1팀</t>
        </is>
      </c>
      <c r="D16" s="55">
        <f>IF($D$15="","",$D$15)</f>
        <v/>
      </c>
      <c r="E16" s="57" t="inlineStr">
        <is>
          <t>이미지</t>
        </is>
      </c>
      <c r="F16" s="44" t="n"/>
      <c r="G16" s="58">
        <f>IF($G$15="","",$G$15)</f>
        <v/>
      </c>
      <c r="H16" s="59" t="n"/>
      <c r="I16" s="59" t="n"/>
      <c r="J16" s="59" t="n"/>
      <c r="K16" s="59" t="n"/>
      <c r="L16" s="60">
        <f>IF(SUM(U16:AY16)=0,"",SUM(U16:AY16))</f>
        <v/>
      </c>
      <c r="M16" s="61">
        <f>IFERROR(INDEX(U$2:AY$2,MATCH(TRUE,INDEX(U16:AY16&lt;&gt;"",0),0)),"")</f>
        <v/>
      </c>
      <c r="N16" s="61">
        <f>IFERROR(LOOKUP(2,1/(U16:AY16&lt;&gt;""),U$2:AY$2),"")</f>
        <v/>
      </c>
      <c r="O16" s="59" t="n"/>
      <c r="P16" s="59" t="n"/>
      <c r="Q16" s="59" t="n"/>
      <c r="R16" s="59" t="n"/>
      <c r="S16" s="14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</row>
    <row r="17" ht="15" customHeight="1">
      <c r="A17" s="62" t="n"/>
      <c r="B17" s="55">
        <f>IF($B$15="","",$B$15)</f>
        <v/>
      </c>
      <c r="C17" s="63" t="inlineStr">
        <is>
          <t>마케팅1팀</t>
        </is>
      </c>
      <c r="D17" s="55">
        <f>IF($D$15="","",$D$15)</f>
        <v/>
      </c>
      <c r="E17" s="64" t="inlineStr">
        <is>
          <t>영상</t>
        </is>
      </c>
      <c r="F17" s="44" t="n"/>
      <c r="G17" s="58">
        <f>IF($G$15="","",$G$15)</f>
        <v/>
      </c>
      <c r="H17" s="59" t="n"/>
      <c r="I17" s="59" t="n"/>
      <c r="J17" s="59" t="n"/>
      <c r="K17" s="59" t="n"/>
      <c r="L17" s="65">
        <f>IF(SUM(U17:AY17)=0,"",SUM(U17:AY17))</f>
        <v/>
      </c>
      <c r="M17" s="66">
        <f>IFERROR(INDEX(U$2:AY$2,MATCH(TRUE,INDEX(U17:AY17&lt;&gt;"",0),0)),"")</f>
        <v/>
      </c>
      <c r="N17" s="66">
        <f>IFERROR(LOOKUP(2,1/(U17:AY17&lt;&gt;""),U$2:AY$2),"")</f>
        <v/>
      </c>
      <c r="O17" s="59" t="n"/>
      <c r="P17" s="59" t="n"/>
      <c r="Q17" s="59" t="n"/>
      <c r="R17" s="59" t="n"/>
      <c r="S17" s="14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</row>
    <row r="18" ht="15" customHeight="1">
      <c r="A18" s="40">
        <f>IF($D$18="","",4)</f>
        <v/>
      </c>
      <c r="B18" s="10" t="n"/>
      <c r="C18" s="41" t="inlineStr">
        <is>
          <t>마케팅1팀</t>
        </is>
      </c>
      <c r="D18" s="42" t="n"/>
      <c r="E18" s="43" t="inlineStr">
        <is>
          <t>기획</t>
        </is>
      </c>
      <c r="F18" s="44" t="n"/>
      <c r="G18" s="45" t="n"/>
      <c r="H18" s="46">
        <f>IF($I$18="","",IF($I$18&lt;0,"🔴지연",IF($I$18&lt;=1,"🟡임박","🟢여유")))</f>
        <v/>
      </c>
      <c r="I18" s="47">
        <f>IF(OR($G$18="",$K$18=""),"",$G$18-$K$18)</f>
        <v/>
      </c>
      <c r="J18" s="48">
        <f>IF(SUM($L$18:$L$20)=0,"",SUM($L$18:$L$20))</f>
        <v/>
      </c>
      <c r="K18" s="49">
        <f>IF($J$18="","",MAX($N$18:$N$20))</f>
        <v/>
      </c>
      <c r="L18" s="50">
        <f>IF(SUM(U18:AY18)=0,"",SUM(U18:AY18))</f>
        <v/>
      </c>
      <c r="M18" s="51">
        <f>IFERROR(INDEX(U$2:AY$2,MATCH(TRUE,INDEX(U18:AY18&lt;&gt;"",0),0)),"")</f>
        <v/>
      </c>
      <c r="N18" s="51">
        <f>IFERROR(LOOKUP(2,1/(U18:AY18&lt;&gt;""),U$2:AY$2),"")</f>
        <v/>
      </c>
      <c r="O18" s="52" t="n"/>
      <c r="P18" s="52" t="n"/>
      <c r="Q18" s="52" t="n"/>
      <c r="R18" s="44" t="n"/>
      <c r="S18" s="14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</row>
    <row r="19" ht="15" customHeight="1">
      <c r="A19" s="54" t="n"/>
      <c r="B19" s="55">
        <f>IF($B$18="","",$B$18)</f>
        <v/>
      </c>
      <c r="C19" s="56" t="inlineStr">
        <is>
          <t>마케팅1팀</t>
        </is>
      </c>
      <c r="D19" s="55">
        <f>IF($D$18="","",$D$18)</f>
        <v/>
      </c>
      <c r="E19" s="57" t="inlineStr">
        <is>
          <t>이미지</t>
        </is>
      </c>
      <c r="F19" s="44" t="n"/>
      <c r="G19" s="58">
        <f>IF($G$18="","",$G$18)</f>
        <v/>
      </c>
      <c r="H19" s="59" t="n"/>
      <c r="I19" s="59" t="n"/>
      <c r="J19" s="59" t="n"/>
      <c r="K19" s="59" t="n"/>
      <c r="L19" s="60">
        <f>IF(SUM(U19:AY19)=0,"",SUM(U19:AY19))</f>
        <v/>
      </c>
      <c r="M19" s="61">
        <f>IFERROR(INDEX(U$2:AY$2,MATCH(TRUE,INDEX(U19:AY19&lt;&gt;"",0),0)),"")</f>
        <v/>
      </c>
      <c r="N19" s="61">
        <f>IFERROR(LOOKUP(2,1/(U19:AY19&lt;&gt;""),U$2:AY$2),"")</f>
        <v/>
      </c>
      <c r="O19" s="59" t="n"/>
      <c r="P19" s="59" t="n"/>
      <c r="Q19" s="59" t="n"/>
      <c r="R19" s="59" t="n"/>
      <c r="S19" s="14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</row>
    <row r="20" ht="15" customHeight="1">
      <c r="A20" s="62" t="n"/>
      <c r="B20" s="55">
        <f>IF($B$18="","",$B$18)</f>
        <v/>
      </c>
      <c r="C20" s="63" t="inlineStr">
        <is>
          <t>마케팅1팀</t>
        </is>
      </c>
      <c r="D20" s="55">
        <f>IF($D$18="","",$D$18)</f>
        <v/>
      </c>
      <c r="E20" s="64" t="inlineStr">
        <is>
          <t>영상</t>
        </is>
      </c>
      <c r="F20" s="44" t="n"/>
      <c r="G20" s="58">
        <f>IF($G$18="","",$G$18)</f>
        <v/>
      </c>
      <c r="H20" s="59" t="n"/>
      <c r="I20" s="59" t="n"/>
      <c r="J20" s="59" t="n"/>
      <c r="K20" s="59" t="n"/>
      <c r="L20" s="65">
        <f>IF(SUM(U20:AY20)=0,"",SUM(U20:AY20))</f>
        <v/>
      </c>
      <c r="M20" s="66">
        <f>IFERROR(INDEX(U$2:AY$2,MATCH(TRUE,INDEX(U20:AY20&lt;&gt;"",0),0)),"")</f>
        <v/>
      </c>
      <c r="N20" s="66">
        <f>IFERROR(LOOKUP(2,1/(U20:AY20&lt;&gt;""),U$2:AY$2),"")</f>
        <v/>
      </c>
      <c r="O20" s="59" t="n"/>
      <c r="P20" s="59" t="n"/>
      <c r="Q20" s="59" t="n"/>
      <c r="R20" s="59" t="n"/>
      <c r="S20" s="14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</row>
    <row r="21" ht="15" customHeight="1">
      <c r="A21" s="40">
        <f>IF($D$21="","",5)</f>
        <v/>
      </c>
      <c r="B21" s="10" t="n"/>
      <c r="C21" s="41" t="inlineStr">
        <is>
          <t>마케팅1팀</t>
        </is>
      </c>
      <c r="D21" s="42" t="n"/>
      <c r="E21" s="43" t="inlineStr">
        <is>
          <t>기획</t>
        </is>
      </c>
      <c r="F21" s="44" t="n"/>
      <c r="G21" s="45" t="n"/>
      <c r="H21" s="46">
        <f>IF($I$21="","",IF($I$21&lt;0,"🔴지연",IF($I$21&lt;=1,"🟡임박","🟢여유")))</f>
        <v/>
      </c>
      <c r="I21" s="47">
        <f>IF(OR($G$21="",$K$21=""),"",$G$21-$K$21)</f>
        <v/>
      </c>
      <c r="J21" s="48">
        <f>IF(SUM($L$21:$L$23)=0,"",SUM($L$21:$L$23))</f>
        <v/>
      </c>
      <c r="K21" s="49">
        <f>IF($J$21="","",MAX($N$21:$N$23))</f>
        <v/>
      </c>
      <c r="L21" s="50">
        <f>IF(SUM(U21:AY21)=0,"",SUM(U21:AY21))</f>
        <v/>
      </c>
      <c r="M21" s="51">
        <f>IFERROR(INDEX(U$2:AY$2,MATCH(TRUE,INDEX(U21:AY21&lt;&gt;"",0),0)),"")</f>
        <v/>
      </c>
      <c r="N21" s="51">
        <f>IFERROR(LOOKUP(2,1/(U21:AY21&lt;&gt;""),U$2:AY$2),"")</f>
        <v/>
      </c>
      <c r="O21" s="52" t="n"/>
      <c r="P21" s="52" t="n"/>
      <c r="Q21" s="52" t="n"/>
      <c r="R21" s="44" t="n"/>
      <c r="S21" s="14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</row>
    <row r="22" ht="15" customHeight="1">
      <c r="A22" s="54" t="n"/>
      <c r="B22" s="55">
        <f>IF($B$21="","",$B$21)</f>
        <v/>
      </c>
      <c r="C22" s="56" t="inlineStr">
        <is>
          <t>마케팅1팀</t>
        </is>
      </c>
      <c r="D22" s="55">
        <f>IF($D$21="","",$D$21)</f>
        <v/>
      </c>
      <c r="E22" s="57" t="inlineStr">
        <is>
          <t>이미지</t>
        </is>
      </c>
      <c r="F22" s="44" t="n"/>
      <c r="G22" s="58">
        <f>IF($G$21="","",$G$21)</f>
        <v/>
      </c>
      <c r="H22" s="59" t="n"/>
      <c r="I22" s="59" t="n"/>
      <c r="J22" s="59" t="n"/>
      <c r="K22" s="59" t="n"/>
      <c r="L22" s="60">
        <f>IF(SUM(U22:AY22)=0,"",SUM(U22:AY22))</f>
        <v/>
      </c>
      <c r="M22" s="61">
        <f>IFERROR(INDEX(U$2:AY$2,MATCH(TRUE,INDEX(U22:AY22&lt;&gt;"",0),0)),"")</f>
        <v/>
      </c>
      <c r="N22" s="61">
        <f>IFERROR(LOOKUP(2,1/(U22:AY22&lt;&gt;""),U$2:AY$2),"")</f>
        <v/>
      </c>
      <c r="O22" s="59" t="n"/>
      <c r="P22" s="59" t="n"/>
      <c r="Q22" s="59" t="n"/>
      <c r="R22" s="59" t="n"/>
      <c r="S22" s="14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</row>
    <row r="23" ht="15" customHeight="1">
      <c r="A23" s="62" t="n"/>
      <c r="B23" s="55">
        <f>IF($B$21="","",$B$21)</f>
        <v/>
      </c>
      <c r="C23" s="63" t="inlineStr">
        <is>
          <t>마케팅1팀</t>
        </is>
      </c>
      <c r="D23" s="55">
        <f>IF($D$21="","",$D$21)</f>
        <v/>
      </c>
      <c r="E23" s="64" t="inlineStr">
        <is>
          <t>영상</t>
        </is>
      </c>
      <c r="F23" s="44" t="n"/>
      <c r="G23" s="58">
        <f>IF($G$21="","",$G$21)</f>
        <v/>
      </c>
      <c r="H23" s="59" t="n"/>
      <c r="I23" s="59" t="n"/>
      <c r="J23" s="59" t="n"/>
      <c r="K23" s="59" t="n"/>
      <c r="L23" s="65">
        <f>IF(SUM(U23:AY23)=0,"",SUM(U23:AY23))</f>
        <v/>
      </c>
      <c r="M23" s="66">
        <f>IFERROR(INDEX(U$2:AY$2,MATCH(TRUE,INDEX(U23:AY23&lt;&gt;"",0),0)),"")</f>
        <v/>
      </c>
      <c r="N23" s="66">
        <f>IFERROR(LOOKUP(2,1/(U23:AY23&lt;&gt;""),U$2:AY$2),"")</f>
        <v/>
      </c>
      <c r="O23" s="59" t="n"/>
      <c r="P23" s="59" t="n"/>
      <c r="Q23" s="59" t="n"/>
      <c r="R23" s="59" t="n"/>
      <c r="S23" s="14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</row>
    <row r="24" ht="15" customHeight="1">
      <c r="A24" s="40">
        <f>IF($D$24="","",6)</f>
        <v/>
      </c>
      <c r="B24" s="10" t="n"/>
      <c r="C24" s="41" t="inlineStr">
        <is>
          <t>마케팅1팀</t>
        </is>
      </c>
      <c r="D24" s="42" t="n"/>
      <c r="E24" s="43" t="inlineStr">
        <is>
          <t>기획</t>
        </is>
      </c>
      <c r="F24" s="44" t="n"/>
      <c r="G24" s="45" t="n"/>
      <c r="H24" s="46">
        <f>IF($I$24="","",IF($I$24&lt;0,"🔴지연",IF($I$24&lt;=1,"🟡임박","🟢여유")))</f>
        <v/>
      </c>
      <c r="I24" s="47">
        <f>IF(OR($G$24="",$K$24=""),"",$G$24-$K$24)</f>
        <v/>
      </c>
      <c r="J24" s="48">
        <f>IF(SUM($L$24:$L$26)=0,"",SUM($L$24:$L$26))</f>
        <v/>
      </c>
      <c r="K24" s="49">
        <f>IF($J$24="","",MAX($N$24:$N$26))</f>
        <v/>
      </c>
      <c r="L24" s="50">
        <f>IF(SUM(U24:AY24)=0,"",SUM(U24:AY24))</f>
        <v/>
      </c>
      <c r="M24" s="51">
        <f>IFERROR(INDEX(U$2:AY$2,MATCH(TRUE,INDEX(U24:AY24&lt;&gt;"",0),0)),"")</f>
        <v/>
      </c>
      <c r="N24" s="51">
        <f>IFERROR(LOOKUP(2,1/(U24:AY24&lt;&gt;""),U$2:AY$2),"")</f>
        <v/>
      </c>
      <c r="O24" s="52" t="n"/>
      <c r="P24" s="52" t="n"/>
      <c r="Q24" s="52" t="n"/>
      <c r="R24" s="44" t="n"/>
      <c r="S24" s="14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</row>
    <row r="25" ht="15" customHeight="1">
      <c r="A25" s="54" t="n"/>
      <c r="B25" s="55">
        <f>IF($B$24="","",$B$24)</f>
        <v/>
      </c>
      <c r="C25" s="56" t="inlineStr">
        <is>
          <t>마케팅1팀</t>
        </is>
      </c>
      <c r="D25" s="55">
        <f>IF($D$24="","",$D$24)</f>
        <v/>
      </c>
      <c r="E25" s="57" t="inlineStr">
        <is>
          <t>이미지</t>
        </is>
      </c>
      <c r="F25" s="44" t="n"/>
      <c r="G25" s="58">
        <f>IF($G$24="","",$G$24)</f>
        <v/>
      </c>
      <c r="H25" s="59" t="n"/>
      <c r="I25" s="59" t="n"/>
      <c r="J25" s="59" t="n"/>
      <c r="K25" s="59" t="n"/>
      <c r="L25" s="60">
        <f>IF(SUM(U25:AY25)=0,"",SUM(U25:AY25))</f>
        <v/>
      </c>
      <c r="M25" s="61">
        <f>IFERROR(INDEX(U$2:AY$2,MATCH(TRUE,INDEX(U25:AY25&lt;&gt;"",0),0)),"")</f>
        <v/>
      </c>
      <c r="N25" s="61">
        <f>IFERROR(LOOKUP(2,1/(U25:AY25&lt;&gt;""),U$2:AY$2),"")</f>
        <v/>
      </c>
      <c r="O25" s="59" t="n"/>
      <c r="P25" s="59" t="n"/>
      <c r="Q25" s="59" t="n"/>
      <c r="R25" s="59" t="n"/>
      <c r="S25" s="14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</row>
    <row r="26" ht="15" customHeight="1">
      <c r="A26" s="62" t="n"/>
      <c r="B26" s="55">
        <f>IF($B$24="","",$B$24)</f>
        <v/>
      </c>
      <c r="C26" s="63" t="inlineStr">
        <is>
          <t>마케팅1팀</t>
        </is>
      </c>
      <c r="D26" s="55">
        <f>IF($D$24="","",$D$24)</f>
        <v/>
      </c>
      <c r="E26" s="64" t="inlineStr">
        <is>
          <t>영상</t>
        </is>
      </c>
      <c r="F26" s="44" t="n"/>
      <c r="G26" s="58">
        <f>IF($G$24="","",$G$24)</f>
        <v/>
      </c>
      <c r="H26" s="59" t="n"/>
      <c r="I26" s="59" t="n"/>
      <c r="J26" s="59" t="n"/>
      <c r="K26" s="59" t="n"/>
      <c r="L26" s="65">
        <f>IF(SUM(U26:AY26)=0,"",SUM(U26:AY26))</f>
        <v/>
      </c>
      <c r="M26" s="66">
        <f>IFERROR(INDEX(U$2:AY$2,MATCH(TRUE,INDEX(U26:AY26&lt;&gt;"",0),0)),"")</f>
        <v/>
      </c>
      <c r="N26" s="66">
        <f>IFERROR(LOOKUP(2,1/(U26:AY26&lt;&gt;""),U$2:AY$2),"")</f>
        <v/>
      </c>
      <c r="O26" s="59" t="n"/>
      <c r="P26" s="59" t="n"/>
      <c r="Q26" s="59" t="n"/>
      <c r="R26" s="59" t="n"/>
      <c r="S26" s="14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</row>
    <row r="27" ht="15" customHeight="1">
      <c r="A27" s="40">
        <f>IF($D$27="","",7)</f>
        <v/>
      </c>
      <c r="B27" s="10" t="n"/>
      <c r="C27" s="41" t="inlineStr">
        <is>
          <t>마케팅1팀</t>
        </is>
      </c>
      <c r="D27" s="42" t="n"/>
      <c r="E27" s="43" t="inlineStr">
        <is>
          <t>기획</t>
        </is>
      </c>
      <c r="F27" s="44" t="n"/>
      <c r="G27" s="45" t="n"/>
      <c r="H27" s="46">
        <f>IF($I$27="","",IF($I$27&lt;0,"🔴지연",IF($I$27&lt;=1,"🟡임박","🟢여유")))</f>
        <v/>
      </c>
      <c r="I27" s="47">
        <f>IF(OR($G$27="",$K$27=""),"",$G$27-$K$27)</f>
        <v/>
      </c>
      <c r="J27" s="48">
        <f>IF(SUM($L$27:$L$29)=0,"",SUM($L$27:$L$29))</f>
        <v/>
      </c>
      <c r="K27" s="49">
        <f>IF($J$27="","",MAX($N$27:$N$29))</f>
        <v/>
      </c>
      <c r="L27" s="50">
        <f>IF(SUM(U27:AY27)=0,"",SUM(U27:AY27))</f>
        <v/>
      </c>
      <c r="M27" s="51">
        <f>IFERROR(INDEX(U$2:AY$2,MATCH(TRUE,INDEX(U27:AY27&lt;&gt;"",0),0)),"")</f>
        <v/>
      </c>
      <c r="N27" s="51">
        <f>IFERROR(LOOKUP(2,1/(U27:AY27&lt;&gt;""),U$2:AY$2),"")</f>
        <v/>
      </c>
      <c r="O27" s="52" t="n"/>
      <c r="P27" s="52" t="n"/>
      <c r="Q27" s="52" t="n"/>
      <c r="R27" s="44" t="n"/>
      <c r="S27" s="14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</row>
    <row r="28" ht="15" customHeight="1">
      <c r="A28" s="54" t="n"/>
      <c r="B28" s="55">
        <f>IF($B$27="","",$B$27)</f>
        <v/>
      </c>
      <c r="C28" s="56" t="inlineStr">
        <is>
          <t>마케팅1팀</t>
        </is>
      </c>
      <c r="D28" s="55">
        <f>IF($D$27="","",$D$27)</f>
        <v/>
      </c>
      <c r="E28" s="57" t="inlineStr">
        <is>
          <t>이미지</t>
        </is>
      </c>
      <c r="F28" s="44" t="n"/>
      <c r="G28" s="58">
        <f>IF($G$27="","",$G$27)</f>
        <v/>
      </c>
      <c r="H28" s="59" t="n"/>
      <c r="I28" s="59" t="n"/>
      <c r="J28" s="59" t="n"/>
      <c r="K28" s="59" t="n"/>
      <c r="L28" s="60">
        <f>IF(SUM(U28:AY28)=0,"",SUM(U28:AY28))</f>
        <v/>
      </c>
      <c r="M28" s="61">
        <f>IFERROR(INDEX(U$2:AY$2,MATCH(TRUE,INDEX(U28:AY28&lt;&gt;"",0),0)),"")</f>
        <v/>
      </c>
      <c r="N28" s="61">
        <f>IFERROR(LOOKUP(2,1/(U28:AY28&lt;&gt;""),U$2:AY$2),"")</f>
        <v/>
      </c>
      <c r="O28" s="59" t="n"/>
      <c r="P28" s="59" t="n"/>
      <c r="Q28" s="59" t="n"/>
      <c r="R28" s="59" t="n"/>
      <c r="S28" s="14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3" t="n"/>
      <c r="AQ28" s="53" t="n"/>
      <c r="AR28" s="53" t="n"/>
      <c r="AS28" s="53" t="n"/>
      <c r="AT28" s="53" t="n"/>
      <c r="AU28" s="53" t="n"/>
      <c r="AV28" s="53" t="n"/>
      <c r="AW28" s="53" t="n"/>
      <c r="AX28" s="53" t="n"/>
      <c r="AY28" s="53" t="n"/>
    </row>
    <row r="29" ht="15" customHeight="1">
      <c r="A29" s="62" t="n"/>
      <c r="B29" s="55">
        <f>IF($B$27="","",$B$27)</f>
        <v/>
      </c>
      <c r="C29" s="63" t="inlineStr">
        <is>
          <t>마케팅1팀</t>
        </is>
      </c>
      <c r="D29" s="55">
        <f>IF($D$27="","",$D$27)</f>
        <v/>
      </c>
      <c r="E29" s="64" t="inlineStr">
        <is>
          <t>영상</t>
        </is>
      </c>
      <c r="F29" s="44" t="n"/>
      <c r="G29" s="58">
        <f>IF($G$27="","",$G$27)</f>
        <v/>
      </c>
      <c r="H29" s="59" t="n"/>
      <c r="I29" s="59" t="n"/>
      <c r="J29" s="59" t="n"/>
      <c r="K29" s="59" t="n"/>
      <c r="L29" s="65">
        <f>IF(SUM(U29:AY29)=0,"",SUM(U29:AY29))</f>
        <v/>
      </c>
      <c r="M29" s="66">
        <f>IFERROR(INDEX(U$2:AY$2,MATCH(TRUE,INDEX(U29:AY29&lt;&gt;"",0),0)),"")</f>
        <v/>
      </c>
      <c r="N29" s="66">
        <f>IFERROR(LOOKUP(2,1/(U29:AY29&lt;&gt;""),U$2:AY$2),"")</f>
        <v/>
      </c>
      <c r="O29" s="59" t="n"/>
      <c r="P29" s="59" t="n"/>
      <c r="Q29" s="59" t="n"/>
      <c r="R29" s="59" t="n"/>
      <c r="S29" s="14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</row>
    <row r="30" ht="15" customHeight="1">
      <c r="A30" s="40">
        <f>IF($D$30="","",8)</f>
        <v/>
      </c>
      <c r="B30" s="10" t="n"/>
      <c r="C30" s="41" t="inlineStr">
        <is>
          <t>마케팅1팀</t>
        </is>
      </c>
      <c r="D30" s="42" t="n"/>
      <c r="E30" s="43" t="inlineStr">
        <is>
          <t>기획</t>
        </is>
      </c>
      <c r="F30" s="44" t="n"/>
      <c r="G30" s="45" t="n"/>
      <c r="H30" s="46">
        <f>IF($I$30="","",IF($I$30&lt;0,"🔴지연",IF($I$30&lt;=1,"🟡임박","🟢여유")))</f>
        <v/>
      </c>
      <c r="I30" s="47">
        <f>IF(OR($G$30="",$K$30=""),"",$G$30-$K$30)</f>
        <v/>
      </c>
      <c r="J30" s="48">
        <f>IF(SUM($L$30:$L$32)=0,"",SUM($L$30:$L$32))</f>
        <v/>
      </c>
      <c r="K30" s="49">
        <f>IF($J$30="","",MAX($N$30:$N$32))</f>
        <v/>
      </c>
      <c r="L30" s="50">
        <f>IF(SUM(U30:AY30)=0,"",SUM(U30:AY30))</f>
        <v/>
      </c>
      <c r="M30" s="51">
        <f>IFERROR(INDEX(U$2:AY$2,MATCH(TRUE,INDEX(U30:AY30&lt;&gt;"",0),0)),"")</f>
        <v/>
      </c>
      <c r="N30" s="51">
        <f>IFERROR(LOOKUP(2,1/(U30:AY30&lt;&gt;""),U$2:AY$2),"")</f>
        <v/>
      </c>
      <c r="O30" s="52" t="n"/>
      <c r="P30" s="52" t="n"/>
      <c r="Q30" s="52" t="n"/>
      <c r="R30" s="44" t="n"/>
      <c r="S30" s="14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53" t="n"/>
      <c r="AH30" s="53" t="n"/>
      <c r="AI30" s="53" t="n"/>
      <c r="AJ30" s="53" t="n"/>
      <c r="AK30" s="53" t="n"/>
      <c r="AL30" s="53" t="n"/>
      <c r="AM30" s="53" t="n"/>
      <c r="AN30" s="53" t="n"/>
      <c r="AO30" s="53" t="n"/>
      <c r="AP30" s="53" t="n"/>
      <c r="AQ30" s="53" t="n"/>
      <c r="AR30" s="53" t="n"/>
      <c r="AS30" s="53" t="n"/>
      <c r="AT30" s="53" t="n"/>
      <c r="AU30" s="53" t="n"/>
      <c r="AV30" s="53" t="n"/>
      <c r="AW30" s="53" t="n"/>
      <c r="AX30" s="53" t="n"/>
      <c r="AY30" s="53" t="n"/>
    </row>
    <row r="31" ht="15" customHeight="1">
      <c r="A31" s="54" t="n"/>
      <c r="B31" s="55">
        <f>IF($B$30="","",$B$30)</f>
        <v/>
      </c>
      <c r="C31" s="56" t="inlineStr">
        <is>
          <t>마케팅1팀</t>
        </is>
      </c>
      <c r="D31" s="55">
        <f>IF($D$30="","",$D$30)</f>
        <v/>
      </c>
      <c r="E31" s="57" t="inlineStr">
        <is>
          <t>이미지</t>
        </is>
      </c>
      <c r="F31" s="44" t="n"/>
      <c r="G31" s="58">
        <f>IF($G$30="","",$G$30)</f>
        <v/>
      </c>
      <c r="H31" s="59" t="n"/>
      <c r="I31" s="59" t="n"/>
      <c r="J31" s="59" t="n"/>
      <c r="K31" s="59" t="n"/>
      <c r="L31" s="60">
        <f>IF(SUM(U31:AY31)=0,"",SUM(U31:AY31))</f>
        <v/>
      </c>
      <c r="M31" s="61">
        <f>IFERROR(INDEX(U$2:AY$2,MATCH(TRUE,INDEX(U31:AY31&lt;&gt;"",0),0)),"")</f>
        <v/>
      </c>
      <c r="N31" s="61">
        <f>IFERROR(LOOKUP(2,1/(U31:AY31&lt;&gt;""),U$2:AY$2),"")</f>
        <v/>
      </c>
      <c r="O31" s="59" t="n"/>
      <c r="P31" s="59" t="n"/>
      <c r="Q31" s="59" t="n"/>
      <c r="R31" s="59" t="n"/>
      <c r="S31" s="14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53" t="n"/>
      <c r="AH31" s="53" t="n"/>
      <c r="AI31" s="53" t="n"/>
      <c r="AJ31" s="53" t="n"/>
      <c r="AK31" s="53" t="n"/>
      <c r="AL31" s="53" t="n"/>
      <c r="AM31" s="53" t="n"/>
      <c r="AN31" s="53" t="n"/>
      <c r="AO31" s="53" t="n"/>
      <c r="AP31" s="53" t="n"/>
      <c r="AQ31" s="53" t="n"/>
      <c r="AR31" s="53" t="n"/>
      <c r="AS31" s="53" t="n"/>
      <c r="AT31" s="53" t="n"/>
      <c r="AU31" s="53" t="n"/>
      <c r="AV31" s="53" t="n"/>
      <c r="AW31" s="53" t="n"/>
      <c r="AX31" s="53" t="n"/>
      <c r="AY31" s="53" t="n"/>
    </row>
    <row r="32" ht="15" customHeight="1">
      <c r="A32" s="62" t="n"/>
      <c r="B32" s="55">
        <f>IF($B$30="","",$B$30)</f>
        <v/>
      </c>
      <c r="C32" s="63" t="inlineStr">
        <is>
          <t>마케팅1팀</t>
        </is>
      </c>
      <c r="D32" s="55">
        <f>IF($D$30="","",$D$30)</f>
        <v/>
      </c>
      <c r="E32" s="64" t="inlineStr">
        <is>
          <t>영상</t>
        </is>
      </c>
      <c r="F32" s="44" t="n"/>
      <c r="G32" s="58">
        <f>IF($G$30="","",$G$30)</f>
        <v/>
      </c>
      <c r="H32" s="59" t="n"/>
      <c r="I32" s="59" t="n"/>
      <c r="J32" s="59" t="n"/>
      <c r="K32" s="59" t="n"/>
      <c r="L32" s="65">
        <f>IF(SUM(U32:AY32)=0,"",SUM(U32:AY32))</f>
        <v/>
      </c>
      <c r="M32" s="66">
        <f>IFERROR(INDEX(U$2:AY$2,MATCH(TRUE,INDEX(U32:AY32&lt;&gt;"",0),0)),"")</f>
        <v/>
      </c>
      <c r="N32" s="66">
        <f>IFERROR(LOOKUP(2,1/(U32:AY32&lt;&gt;""),U$2:AY$2),"")</f>
        <v/>
      </c>
      <c r="O32" s="59" t="n"/>
      <c r="P32" s="59" t="n"/>
      <c r="Q32" s="59" t="n"/>
      <c r="R32" s="59" t="n"/>
      <c r="S32" s="14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53" t="n"/>
      <c r="AK32" s="53" t="n"/>
      <c r="AL32" s="53" t="n"/>
      <c r="AM32" s="53" t="n"/>
      <c r="AN32" s="53" t="n"/>
      <c r="AO32" s="53" t="n"/>
      <c r="AP32" s="53" t="n"/>
      <c r="AQ32" s="53" t="n"/>
      <c r="AR32" s="53" t="n"/>
      <c r="AS32" s="53" t="n"/>
      <c r="AT32" s="53" t="n"/>
      <c r="AU32" s="53" t="n"/>
      <c r="AV32" s="53" t="n"/>
      <c r="AW32" s="53" t="n"/>
      <c r="AX32" s="53" t="n"/>
      <c r="AY32" s="53" t="n"/>
    </row>
    <row r="33" ht="15" customHeight="1">
      <c r="A33" s="40">
        <f>IF($D$33="","",9)</f>
        <v/>
      </c>
      <c r="B33" s="10" t="n"/>
      <c r="C33" s="41" t="inlineStr">
        <is>
          <t>마케팅1팀</t>
        </is>
      </c>
      <c r="D33" s="42" t="n"/>
      <c r="E33" s="43" t="inlineStr">
        <is>
          <t>기획</t>
        </is>
      </c>
      <c r="F33" s="44" t="n"/>
      <c r="G33" s="45" t="n"/>
      <c r="H33" s="46">
        <f>IF($I$33="","",IF($I$33&lt;0,"🔴지연",IF($I$33&lt;=1,"🟡임박","🟢여유")))</f>
        <v/>
      </c>
      <c r="I33" s="47">
        <f>IF(OR($G$33="",$K$33=""),"",$G$33-$K$33)</f>
        <v/>
      </c>
      <c r="J33" s="48">
        <f>IF(SUM($L$33:$L$35)=0,"",SUM($L$33:$L$35))</f>
        <v/>
      </c>
      <c r="K33" s="49">
        <f>IF($J$33="","",MAX($N$33:$N$35))</f>
        <v/>
      </c>
      <c r="L33" s="50">
        <f>IF(SUM(U33:AY33)=0,"",SUM(U33:AY33))</f>
        <v/>
      </c>
      <c r="M33" s="51">
        <f>IFERROR(INDEX(U$2:AY$2,MATCH(TRUE,INDEX(U33:AY33&lt;&gt;"",0),0)),"")</f>
        <v/>
      </c>
      <c r="N33" s="51">
        <f>IFERROR(LOOKUP(2,1/(U33:AY33&lt;&gt;""),U$2:AY$2),"")</f>
        <v/>
      </c>
      <c r="O33" s="52" t="n"/>
      <c r="P33" s="52" t="n"/>
      <c r="Q33" s="52" t="n"/>
      <c r="R33" s="44" t="n"/>
      <c r="S33" s="14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53" t="n"/>
    </row>
    <row r="34" ht="15" customHeight="1">
      <c r="A34" s="54" t="n"/>
      <c r="B34" s="55">
        <f>IF($B$33="","",$B$33)</f>
        <v/>
      </c>
      <c r="C34" s="56" t="inlineStr">
        <is>
          <t>마케팅1팀</t>
        </is>
      </c>
      <c r="D34" s="55">
        <f>IF($D$33="","",$D$33)</f>
        <v/>
      </c>
      <c r="E34" s="57" t="inlineStr">
        <is>
          <t>이미지</t>
        </is>
      </c>
      <c r="F34" s="44" t="n"/>
      <c r="G34" s="58">
        <f>IF($G$33="","",$G$33)</f>
        <v/>
      </c>
      <c r="H34" s="59" t="n"/>
      <c r="I34" s="59" t="n"/>
      <c r="J34" s="59" t="n"/>
      <c r="K34" s="59" t="n"/>
      <c r="L34" s="60">
        <f>IF(SUM(U34:AY34)=0,"",SUM(U34:AY34))</f>
        <v/>
      </c>
      <c r="M34" s="61">
        <f>IFERROR(INDEX(U$2:AY$2,MATCH(TRUE,INDEX(U34:AY34&lt;&gt;"",0),0)),"")</f>
        <v/>
      </c>
      <c r="N34" s="61">
        <f>IFERROR(LOOKUP(2,1/(U34:AY34&lt;&gt;""),U$2:AY$2),"")</f>
        <v/>
      </c>
      <c r="O34" s="59" t="n"/>
      <c r="P34" s="59" t="n"/>
      <c r="Q34" s="59" t="n"/>
      <c r="R34" s="59" t="n"/>
      <c r="S34" s="14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  <c r="AD34" s="53" t="n"/>
      <c r="AE34" s="53" t="n"/>
      <c r="AF34" s="53" t="n"/>
      <c r="AG34" s="53" t="n"/>
      <c r="AH34" s="53" t="n"/>
      <c r="AI34" s="53" t="n"/>
      <c r="AJ34" s="53" t="n"/>
      <c r="AK34" s="53" t="n"/>
      <c r="AL34" s="53" t="n"/>
      <c r="AM34" s="53" t="n"/>
      <c r="AN34" s="53" t="n"/>
      <c r="AO34" s="53" t="n"/>
      <c r="AP34" s="53" t="n"/>
      <c r="AQ34" s="53" t="n"/>
      <c r="AR34" s="53" t="n"/>
      <c r="AS34" s="53" t="n"/>
      <c r="AT34" s="53" t="n"/>
      <c r="AU34" s="53" t="n"/>
      <c r="AV34" s="53" t="n"/>
      <c r="AW34" s="53" t="n"/>
      <c r="AX34" s="53" t="n"/>
      <c r="AY34" s="53" t="n"/>
    </row>
    <row r="35" ht="15" customHeight="1">
      <c r="A35" s="62" t="n"/>
      <c r="B35" s="55">
        <f>IF($B$33="","",$B$33)</f>
        <v/>
      </c>
      <c r="C35" s="63" t="inlineStr">
        <is>
          <t>마케팅1팀</t>
        </is>
      </c>
      <c r="D35" s="55">
        <f>IF($D$33="","",$D$33)</f>
        <v/>
      </c>
      <c r="E35" s="64" t="inlineStr">
        <is>
          <t>영상</t>
        </is>
      </c>
      <c r="F35" s="44" t="n"/>
      <c r="G35" s="58">
        <f>IF($G$33="","",$G$33)</f>
        <v/>
      </c>
      <c r="H35" s="59" t="n"/>
      <c r="I35" s="59" t="n"/>
      <c r="J35" s="59" t="n"/>
      <c r="K35" s="59" t="n"/>
      <c r="L35" s="65">
        <f>IF(SUM(U35:AY35)=0,"",SUM(U35:AY35))</f>
        <v/>
      </c>
      <c r="M35" s="66">
        <f>IFERROR(INDEX(U$2:AY$2,MATCH(TRUE,INDEX(U35:AY35&lt;&gt;"",0),0)),"")</f>
        <v/>
      </c>
      <c r="N35" s="66">
        <f>IFERROR(LOOKUP(2,1/(U35:AY35&lt;&gt;""),U$2:AY$2),"")</f>
        <v/>
      </c>
      <c r="O35" s="59" t="n"/>
      <c r="P35" s="59" t="n"/>
      <c r="Q35" s="59" t="n"/>
      <c r="R35" s="59" t="n"/>
      <c r="S35" s="14" t="n"/>
      <c r="U35" s="53" t="n"/>
      <c r="V35" s="53" t="n"/>
      <c r="W35" s="53" t="n"/>
      <c r="X35" s="53" t="n"/>
      <c r="Y35" s="53" t="n"/>
      <c r="Z35" s="53" t="n"/>
      <c r="AA35" s="53" t="n"/>
      <c r="AB35" s="53" t="n"/>
      <c r="AC35" s="53" t="n"/>
      <c r="AD35" s="53" t="n"/>
      <c r="AE35" s="53" t="n"/>
      <c r="AF35" s="53" t="n"/>
      <c r="AG35" s="53" t="n"/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</row>
    <row r="36" ht="15" customHeight="1">
      <c r="A36" s="40">
        <f>IF($D$36="","",10)</f>
        <v/>
      </c>
      <c r="B36" s="10" t="n"/>
      <c r="C36" s="41" t="inlineStr">
        <is>
          <t>마케팅1팀</t>
        </is>
      </c>
      <c r="D36" s="42" t="n"/>
      <c r="E36" s="43" t="inlineStr">
        <is>
          <t>기획</t>
        </is>
      </c>
      <c r="F36" s="44" t="n"/>
      <c r="G36" s="45" t="n"/>
      <c r="H36" s="46">
        <f>IF($I$36="","",IF($I$36&lt;0,"🔴지연",IF($I$36&lt;=1,"🟡임박","🟢여유")))</f>
        <v/>
      </c>
      <c r="I36" s="47">
        <f>IF(OR($G$36="",$K$36=""),"",$G$36-$K$36)</f>
        <v/>
      </c>
      <c r="J36" s="48">
        <f>IF(SUM($L$36:$L$38)=0,"",SUM($L$36:$L$38))</f>
        <v/>
      </c>
      <c r="K36" s="49">
        <f>IF($J$36="","",MAX($N$36:$N$38))</f>
        <v/>
      </c>
      <c r="L36" s="50">
        <f>IF(SUM(U36:AY36)=0,"",SUM(U36:AY36))</f>
        <v/>
      </c>
      <c r="M36" s="51">
        <f>IFERROR(INDEX(U$2:AY$2,MATCH(TRUE,INDEX(U36:AY36&lt;&gt;"",0),0)),"")</f>
        <v/>
      </c>
      <c r="N36" s="51">
        <f>IFERROR(LOOKUP(2,1/(U36:AY36&lt;&gt;""),U$2:AY$2),"")</f>
        <v/>
      </c>
      <c r="O36" s="52" t="n"/>
      <c r="P36" s="52" t="n"/>
      <c r="Q36" s="52" t="n"/>
      <c r="R36" s="44" t="n"/>
      <c r="S36" s="14" t="n"/>
      <c r="U36" s="53" t="n"/>
      <c r="V36" s="53" t="n"/>
      <c r="W36" s="53" t="n"/>
      <c r="X36" s="53" t="n"/>
      <c r="Y36" s="53" t="n"/>
      <c r="Z36" s="53" t="n"/>
      <c r="AA36" s="53" t="n"/>
      <c r="AB36" s="53" t="n"/>
      <c r="AC36" s="53" t="n"/>
      <c r="AD36" s="53" t="n"/>
      <c r="AE36" s="53" t="n"/>
      <c r="AF36" s="53" t="n"/>
      <c r="AG36" s="53" t="n"/>
      <c r="AH36" s="53" t="n"/>
      <c r="AI36" s="53" t="n"/>
      <c r="AJ36" s="53" t="n"/>
      <c r="AK36" s="53" t="n"/>
      <c r="AL36" s="53" t="n"/>
      <c r="AM36" s="53" t="n"/>
      <c r="AN36" s="53" t="n"/>
      <c r="AO36" s="53" t="n"/>
      <c r="AP36" s="53" t="n"/>
      <c r="AQ36" s="53" t="n"/>
      <c r="AR36" s="53" t="n"/>
      <c r="AS36" s="53" t="n"/>
      <c r="AT36" s="53" t="n"/>
      <c r="AU36" s="53" t="n"/>
      <c r="AV36" s="53" t="n"/>
      <c r="AW36" s="53" t="n"/>
      <c r="AX36" s="53" t="n"/>
      <c r="AY36" s="53" t="n"/>
    </row>
    <row r="37" ht="15" customHeight="1">
      <c r="A37" s="54" t="n"/>
      <c r="B37" s="55">
        <f>IF($B$36="","",$B$36)</f>
        <v/>
      </c>
      <c r="C37" s="56" t="inlineStr">
        <is>
          <t>마케팅1팀</t>
        </is>
      </c>
      <c r="D37" s="55">
        <f>IF($D$36="","",$D$36)</f>
        <v/>
      </c>
      <c r="E37" s="57" t="inlineStr">
        <is>
          <t>이미지</t>
        </is>
      </c>
      <c r="F37" s="44" t="n"/>
      <c r="G37" s="58">
        <f>IF($G$36="","",$G$36)</f>
        <v/>
      </c>
      <c r="H37" s="59" t="n"/>
      <c r="I37" s="59" t="n"/>
      <c r="J37" s="59" t="n"/>
      <c r="K37" s="59" t="n"/>
      <c r="L37" s="60">
        <f>IF(SUM(U37:AY37)=0,"",SUM(U37:AY37))</f>
        <v/>
      </c>
      <c r="M37" s="61">
        <f>IFERROR(INDEX(U$2:AY$2,MATCH(TRUE,INDEX(U37:AY37&lt;&gt;"",0),0)),"")</f>
        <v/>
      </c>
      <c r="N37" s="61">
        <f>IFERROR(LOOKUP(2,1/(U37:AY37&lt;&gt;""),U$2:AY$2),"")</f>
        <v/>
      </c>
      <c r="O37" s="59" t="n"/>
      <c r="P37" s="59" t="n"/>
      <c r="Q37" s="59" t="n"/>
      <c r="R37" s="59" t="n"/>
      <c r="S37" s="14" t="n"/>
      <c r="U37" s="53" t="n"/>
      <c r="V37" s="53" t="n"/>
      <c r="W37" s="53" t="n"/>
      <c r="X37" s="53" t="n"/>
      <c r="Y37" s="53" t="n"/>
      <c r="Z37" s="53" t="n"/>
      <c r="AA37" s="53" t="n"/>
      <c r="AB37" s="53" t="n"/>
      <c r="AC37" s="53" t="n"/>
      <c r="AD37" s="53" t="n"/>
      <c r="AE37" s="53" t="n"/>
      <c r="AF37" s="53" t="n"/>
      <c r="AG37" s="53" t="n"/>
      <c r="AH37" s="53" t="n"/>
      <c r="AI37" s="53" t="n"/>
      <c r="AJ37" s="53" t="n"/>
      <c r="AK37" s="53" t="n"/>
      <c r="AL37" s="53" t="n"/>
      <c r="AM37" s="53" t="n"/>
      <c r="AN37" s="53" t="n"/>
      <c r="AO37" s="53" t="n"/>
      <c r="AP37" s="53" t="n"/>
      <c r="AQ37" s="53" t="n"/>
      <c r="AR37" s="53" t="n"/>
      <c r="AS37" s="53" t="n"/>
      <c r="AT37" s="53" t="n"/>
      <c r="AU37" s="53" t="n"/>
      <c r="AV37" s="53" t="n"/>
      <c r="AW37" s="53" t="n"/>
      <c r="AX37" s="53" t="n"/>
      <c r="AY37" s="53" t="n"/>
    </row>
    <row r="38" ht="15" customHeight="1">
      <c r="A38" s="62" t="n"/>
      <c r="B38" s="55">
        <f>IF($B$36="","",$B$36)</f>
        <v/>
      </c>
      <c r="C38" s="63" t="inlineStr">
        <is>
          <t>마케팅1팀</t>
        </is>
      </c>
      <c r="D38" s="55">
        <f>IF($D$36="","",$D$36)</f>
        <v/>
      </c>
      <c r="E38" s="64" t="inlineStr">
        <is>
          <t>영상</t>
        </is>
      </c>
      <c r="F38" s="44" t="n"/>
      <c r="G38" s="58">
        <f>IF($G$36="","",$G$36)</f>
        <v/>
      </c>
      <c r="H38" s="59" t="n"/>
      <c r="I38" s="59" t="n"/>
      <c r="J38" s="59" t="n"/>
      <c r="K38" s="59" t="n"/>
      <c r="L38" s="65">
        <f>IF(SUM(U38:AY38)=0,"",SUM(U38:AY38))</f>
        <v/>
      </c>
      <c r="M38" s="66">
        <f>IFERROR(INDEX(U$2:AY$2,MATCH(TRUE,INDEX(U38:AY38&lt;&gt;"",0),0)),"")</f>
        <v/>
      </c>
      <c r="N38" s="66">
        <f>IFERROR(LOOKUP(2,1/(U38:AY38&lt;&gt;""),U$2:AY$2),"")</f>
        <v/>
      </c>
      <c r="O38" s="59" t="n"/>
      <c r="P38" s="59" t="n"/>
      <c r="Q38" s="59" t="n"/>
      <c r="R38" s="59" t="n"/>
      <c r="S38" s="14" t="n"/>
      <c r="U38" s="53" t="n"/>
      <c r="V38" s="53" t="n"/>
      <c r="W38" s="53" t="n"/>
      <c r="X38" s="53" t="n"/>
      <c r="Y38" s="53" t="n"/>
      <c r="Z38" s="53" t="n"/>
      <c r="AA38" s="53" t="n"/>
      <c r="AB38" s="53" t="n"/>
      <c r="AC38" s="53" t="n"/>
      <c r="AD38" s="53" t="n"/>
      <c r="AE38" s="53" t="n"/>
      <c r="AF38" s="53" t="n"/>
      <c r="AG38" s="53" t="n"/>
      <c r="AH38" s="53" t="n"/>
      <c r="AI38" s="53" t="n"/>
      <c r="AJ38" s="53" t="n"/>
      <c r="AK38" s="53" t="n"/>
      <c r="AL38" s="53" t="n"/>
      <c r="AM38" s="53" t="n"/>
      <c r="AN38" s="53" t="n"/>
      <c r="AO38" s="53" t="n"/>
      <c r="AP38" s="53" t="n"/>
      <c r="AQ38" s="53" t="n"/>
      <c r="AR38" s="53" t="n"/>
      <c r="AS38" s="53" t="n"/>
      <c r="AT38" s="53" t="n"/>
      <c r="AU38" s="53" t="n"/>
      <c r="AV38" s="53" t="n"/>
      <c r="AW38" s="53" t="n"/>
      <c r="AX38" s="53" t="n"/>
      <c r="AY38" s="53" t="n"/>
    </row>
    <row r="39" ht="15" customHeight="1">
      <c r="A39" s="40">
        <f>IF($D$39="","",11)</f>
        <v/>
      </c>
      <c r="B39" s="10" t="n"/>
      <c r="C39" s="41" t="inlineStr">
        <is>
          <t>마케팅1팀</t>
        </is>
      </c>
      <c r="D39" s="42" t="n"/>
      <c r="E39" s="43" t="inlineStr">
        <is>
          <t>기획</t>
        </is>
      </c>
      <c r="F39" s="44" t="n"/>
      <c r="G39" s="45" t="n"/>
      <c r="H39" s="46">
        <f>IF($I$39="","",IF($I$39&lt;0,"🔴지연",IF($I$39&lt;=1,"🟡임박","🟢여유")))</f>
        <v/>
      </c>
      <c r="I39" s="47">
        <f>IF(OR($G$39="",$K$39=""),"",$G$39-$K$39)</f>
        <v/>
      </c>
      <c r="J39" s="48">
        <f>IF(SUM($L$39:$L$41)=0,"",SUM($L$39:$L$41))</f>
        <v/>
      </c>
      <c r="K39" s="49">
        <f>IF($J$39="","",MAX($N$39:$N$41))</f>
        <v/>
      </c>
      <c r="L39" s="50">
        <f>IF(SUM(U39:AY39)=0,"",SUM(U39:AY39))</f>
        <v/>
      </c>
      <c r="M39" s="51">
        <f>IFERROR(INDEX(U$2:AY$2,MATCH(TRUE,INDEX(U39:AY39&lt;&gt;"",0),0)),"")</f>
        <v/>
      </c>
      <c r="N39" s="51">
        <f>IFERROR(LOOKUP(2,1/(U39:AY39&lt;&gt;""),U$2:AY$2),"")</f>
        <v/>
      </c>
      <c r="O39" s="52" t="n"/>
      <c r="P39" s="52" t="n"/>
      <c r="Q39" s="52" t="n"/>
      <c r="R39" s="44" t="n"/>
      <c r="S39" s="14" t="n"/>
      <c r="U39" s="53" t="n"/>
      <c r="V39" s="53" t="n"/>
      <c r="W39" s="53" t="n"/>
      <c r="X39" s="53" t="n"/>
      <c r="Y39" s="53" t="n"/>
      <c r="Z39" s="53" t="n"/>
      <c r="AA39" s="53" t="n"/>
      <c r="AB39" s="53" t="n"/>
      <c r="AC39" s="53" t="n"/>
      <c r="AD39" s="53" t="n"/>
      <c r="AE39" s="53" t="n"/>
      <c r="AF39" s="53" t="n"/>
      <c r="AG39" s="53" t="n"/>
      <c r="AH39" s="53" t="n"/>
      <c r="AI39" s="53" t="n"/>
      <c r="AJ39" s="53" t="n"/>
      <c r="AK39" s="53" t="n"/>
      <c r="AL39" s="53" t="n"/>
      <c r="AM39" s="53" t="n"/>
      <c r="AN39" s="53" t="n"/>
      <c r="AO39" s="53" t="n"/>
      <c r="AP39" s="53" t="n"/>
      <c r="AQ39" s="53" t="n"/>
      <c r="AR39" s="53" t="n"/>
      <c r="AS39" s="53" t="n"/>
      <c r="AT39" s="53" t="n"/>
      <c r="AU39" s="53" t="n"/>
      <c r="AV39" s="53" t="n"/>
      <c r="AW39" s="53" t="n"/>
      <c r="AX39" s="53" t="n"/>
      <c r="AY39" s="53" t="n"/>
    </row>
    <row r="40" ht="15" customHeight="1">
      <c r="A40" s="54" t="n"/>
      <c r="B40" s="55">
        <f>IF($B$39="","",$B$39)</f>
        <v/>
      </c>
      <c r="C40" s="56" t="inlineStr">
        <is>
          <t>마케팅1팀</t>
        </is>
      </c>
      <c r="D40" s="55">
        <f>IF($D$39="","",$D$39)</f>
        <v/>
      </c>
      <c r="E40" s="57" t="inlineStr">
        <is>
          <t>이미지</t>
        </is>
      </c>
      <c r="F40" s="44" t="n"/>
      <c r="G40" s="58">
        <f>IF($G$39="","",$G$39)</f>
        <v/>
      </c>
      <c r="H40" s="59" t="n"/>
      <c r="I40" s="59" t="n"/>
      <c r="J40" s="59" t="n"/>
      <c r="K40" s="59" t="n"/>
      <c r="L40" s="60">
        <f>IF(SUM(U40:AY40)=0,"",SUM(U40:AY40))</f>
        <v/>
      </c>
      <c r="M40" s="61">
        <f>IFERROR(INDEX(U$2:AY$2,MATCH(TRUE,INDEX(U40:AY40&lt;&gt;"",0),0)),"")</f>
        <v/>
      </c>
      <c r="N40" s="61">
        <f>IFERROR(LOOKUP(2,1/(U40:AY40&lt;&gt;""),U$2:AY$2),"")</f>
        <v/>
      </c>
      <c r="O40" s="59" t="n"/>
      <c r="P40" s="59" t="n"/>
      <c r="Q40" s="59" t="n"/>
      <c r="R40" s="59" t="n"/>
      <c r="S40" s="14" t="n"/>
      <c r="U40" s="53" t="n"/>
      <c r="V40" s="53" t="n"/>
      <c r="W40" s="53" t="n"/>
      <c r="X40" s="53" t="n"/>
      <c r="Y40" s="53" t="n"/>
      <c r="Z40" s="53" t="n"/>
      <c r="AA40" s="53" t="n"/>
      <c r="AB40" s="53" t="n"/>
      <c r="AC40" s="53" t="n"/>
      <c r="AD40" s="53" t="n"/>
      <c r="AE40" s="53" t="n"/>
      <c r="AF40" s="53" t="n"/>
      <c r="AG40" s="53" t="n"/>
      <c r="AH40" s="53" t="n"/>
      <c r="AI40" s="53" t="n"/>
      <c r="AJ40" s="53" t="n"/>
      <c r="AK40" s="53" t="n"/>
      <c r="AL40" s="53" t="n"/>
      <c r="AM40" s="53" t="n"/>
      <c r="AN40" s="53" t="n"/>
      <c r="AO40" s="53" t="n"/>
      <c r="AP40" s="53" t="n"/>
      <c r="AQ40" s="53" t="n"/>
      <c r="AR40" s="53" t="n"/>
      <c r="AS40" s="53" t="n"/>
      <c r="AT40" s="53" t="n"/>
      <c r="AU40" s="53" t="n"/>
      <c r="AV40" s="53" t="n"/>
      <c r="AW40" s="53" t="n"/>
      <c r="AX40" s="53" t="n"/>
      <c r="AY40" s="53" t="n"/>
    </row>
    <row r="41" ht="15" customHeight="1">
      <c r="A41" s="62" t="n"/>
      <c r="B41" s="55">
        <f>IF($B$39="","",$B$39)</f>
        <v/>
      </c>
      <c r="C41" s="63" t="inlineStr">
        <is>
          <t>마케팅1팀</t>
        </is>
      </c>
      <c r="D41" s="55">
        <f>IF($D$39="","",$D$39)</f>
        <v/>
      </c>
      <c r="E41" s="64" t="inlineStr">
        <is>
          <t>영상</t>
        </is>
      </c>
      <c r="F41" s="44" t="n"/>
      <c r="G41" s="58">
        <f>IF($G$39="","",$G$39)</f>
        <v/>
      </c>
      <c r="H41" s="59" t="n"/>
      <c r="I41" s="59" t="n"/>
      <c r="J41" s="59" t="n"/>
      <c r="K41" s="59" t="n"/>
      <c r="L41" s="65">
        <f>IF(SUM(U41:AY41)=0,"",SUM(U41:AY41))</f>
        <v/>
      </c>
      <c r="M41" s="66">
        <f>IFERROR(INDEX(U$2:AY$2,MATCH(TRUE,INDEX(U41:AY41&lt;&gt;"",0),0)),"")</f>
        <v/>
      </c>
      <c r="N41" s="66">
        <f>IFERROR(LOOKUP(2,1/(U41:AY41&lt;&gt;""),U$2:AY$2),"")</f>
        <v/>
      </c>
      <c r="O41" s="59" t="n"/>
      <c r="P41" s="59" t="n"/>
      <c r="Q41" s="59" t="n"/>
      <c r="R41" s="59" t="n"/>
      <c r="S41" s="14" t="n"/>
      <c r="U41" s="53" t="n"/>
      <c r="V41" s="53" t="n"/>
      <c r="W41" s="53" t="n"/>
      <c r="X41" s="53" t="n"/>
      <c r="Y41" s="53" t="n"/>
      <c r="Z41" s="53" t="n"/>
      <c r="AA41" s="53" t="n"/>
      <c r="AB41" s="53" t="n"/>
      <c r="AC41" s="53" t="n"/>
      <c r="AD41" s="53" t="n"/>
      <c r="AE41" s="53" t="n"/>
      <c r="AF41" s="53" t="n"/>
      <c r="AG41" s="53" t="n"/>
      <c r="AH41" s="53" t="n"/>
      <c r="AI41" s="53" t="n"/>
      <c r="AJ41" s="53" t="n"/>
      <c r="AK41" s="53" t="n"/>
      <c r="AL41" s="53" t="n"/>
      <c r="AM41" s="53" t="n"/>
      <c r="AN41" s="53" t="n"/>
      <c r="AO41" s="53" t="n"/>
      <c r="AP41" s="53" t="n"/>
      <c r="AQ41" s="53" t="n"/>
      <c r="AR41" s="53" t="n"/>
      <c r="AS41" s="53" t="n"/>
      <c r="AT41" s="53" t="n"/>
      <c r="AU41" s="53" t="n"/>
      <c r="AV41" s="53" t="n"/>
      <c r="AW41" s="53" t="n"/>
      <c r="AX41" s="53" t="n"/>
      <c r="AY41" s="53" t="n"/>
    </row>
    <row r="42" ht="15" customHeight="1">
      <c r="A42" s="40">
        <f>IF($D$42="","",12)</f>
        <v/>
      </c>
      <c r="B42" s="10" t="n"/>
      <c r="C42" s="41" t="inlineStr">
        <is>
          <t>마케팅1팀</t>
        </is>
      </c>
      <c r="D42" s="42" t="n"/>
      <c r="E42" s="43" t="inlineStr">
        <is>
          <t>기획</t>
        </is>
      </c>
      <c r="F42" s="44" t="n"/>
      <c r="G42" s="45" t="n"/>
      <c r="H42" s="46">
        <f>IF($I$42="","",IF($I$42&lt;0,"🔴지연",IF($I$42&lt;=1,"🟡임박","🟢여유")))</f>
        <v/>
      </c>
      <c r="I42" s="47">
        <f>IF(OR($G$42="",$K$42=""),"",$G$42-$K$42)</f>
        <v/>
      </c>
      <c r="J42" s="48">
        <f>IF(SUM($L$42:$L$44)=0,"",SUM($L$42:$L$44))</f>
        <v/>
      </c>
      <c r="K42" s="49">
        <f>IF($J$42="","",MAX($N$42:$N$44))</f>
        <v/>
      </c>
      <c r="L42" s="50">
        <f>IF(SUM(U42:AY42)=0,"",SUM(U42:AY42))</f>
        <v/>
      </c>
      <c r="M42" s="51">
        <f>IFERROR(INDEX(U$2:AY$2,MATCH(TRUE,INDEX(U42:AY42&lt;&gt;"",0),0)),"")</f>
        <v/>
      </c>
      <c r="N42" s="51">
        <f>IFERROR(LOOKUP(2,1/(U42:AY42&lt;&gt;""),U$2:AY$2),"")</f>
        <v/>
      </c>
      <c r="O42" s="52" t="n"/>
      <c r="P42" s="52" t="n"/>
      <c r="Q42" s="52" t="n"/>
      <c r="R42" s="44" t="n"/>
      <c r="S42" s="14" t="n"/>
      <c r="U42" s="53" t="n"/>
      <c r="V42" s="53" t="n"/>
      <c r="W42" s="53" t="n"/>
      <c r="X42" s="53" t="n"/>
      <c r="Y42" s="53" t="n"/>
      <c r="Z42" s="53" t="n"/>
      <c r="AA42" s="53" t="n"/>
      <c r="AB42" s="53" t="n"/>
      <c r="AC42" s="53" t="n"/>
      <c r="AD42" s="53" t="n"/>
      <c r="AE42" s="53" t="n"/>
      <c r="AF42" s="53" t="n"/>
      <c r="AG42" s="53" t="n"/>
      <c r="AH42" s="53" t="n"/>
      <c r="AI42" s="53" t="n"/>
      <c r="AJ42" s="53" t="n"/>
      <c r="AK42" s="53" t="n"/>
      <c r="AL42" s="53" t="n"/>
      <c r="AM42" s="53" t="n"/>
      <c r="AN42" s="53" t="n"/>
      <c r="AO42" s="53" t="n"/>
      <c r="AP42" s="53" t="n"/>
      <c r="AQ42" s="53" t="n"/>
      <c r="AR42" s="53" t="n"/>
      <c r="AS42" s="53" t="n"/>
      <c r="AT42" s="53" t="n"/>
      <c r="AU42" s="53" t="n"/>
      <c r="AV42" s="53" t="n"/>
      <c r="AW42" s="53" t="n"/>
      <c r="AX42" s="53" t="n"/>
      <c r="AY42" s="53" t="n"/>
    </row>
    <row r="43" ht="15" customHeight="1">
      <c r="A43" s="54" t="n"/>
      <c r="B43" s="55">
        <f>IF($B$42="","",$B$42)</f>
        <v/>
      </c>
      <c r="C43" s="56" t="inlineStr">
        <is>
          <t>마케팅1팀</t>
        </is>
      </c>
      <c r="D43" s="55">
        <f>IF($D$42="","",$D$42)</f>
        <v/>
      </c>
      <c r="E43" s="57" t="inlineStr">
        <is>
          <t>이미지</t>
        </is>
      </c>
      <c r="F43" s="44" t="n"/>
      <c r="G43" s="58">
        <f>IF($G$42="","",$G$42)</f>
        <v/>
      </c>
      <c r="H43" s="59" t="n"/>
      <c r="I43" s="59" t="n"/>
      <c r="J43" s="59" t="n"/>
      <c r="K43" s="59" t="n"/>
      <c r="L43" s="60">
        <f>IF(SUM(U43:AY43)=0,"",SUM(U43:AY43))</f>
        <v/>
      </c>
      <c r="M43" s="61">
        <f>IFERROR(INDEX(U$2:AY$2,MATCH(TRUE,INDEX(U43:AY43&lt;&gt;"",0),0)),"")</f>
        <v/>
      </c>
      <c r="N43" s="61">
        <f>IFERROR(LOOKUP(2,1/(U43:AY43&lt;&gt;""),U$2:AY$2),"")</f>
        <v/>
      </c>
      <c r="O43" s="59" t="n"/>
      <c r="P43" s="59" t="n"/>
      <c r="Q43" s="59" t="n"/>
      <c r="R43" s="59" t="n"/>
      <c r="S43" s="14" t="n"/>
      <c r="U43" s="53" t="n"/>
      <c r="V43" s="53" t="n"/>
      <c r="W43" s="53" t="n"/>
      <c r="X43" s="53" t="n"/>
      <c r="Y43" s="53" t="n"/>
      <c r="Z43" s="53" t="n"/>
      <c r="AA43" s="53" t="n"/>
      <c r="AB43" s="53" t="n"/>
      <c r="AC43" s="53" t="n"/>
      <c r="AD43" s="53" t="n"/>
      <c r="AE43" s="53" t="n"/>
      <c r="AF43" s="53" t="n"/>
      <c r="AG43" s="53" t="n"/>
      <c r="AH43" s="53" t="n"/>
      <c r="AI43" s="53" t="n"/>
      <c r="AJ43" s="53" t="n"/>
      <c r="AK43" s="53" t="n"/>
      <c r="AL43" s="53" t="n"/>
      <c r="AM43" s="53" t="n"/>
      <c r="AN43" s="53" t="n"/>
      <c r="AO43" s="53" t="n"/>
      <c r="AP43" s="53" t="n"/>
      <c r="AQ43" s="53" t="n"/>
      <c r="AR43" s="53" t="n"/>
      <c r="AS43" s="53" t="n"/>
      <c r="AT43" s="53" t="n"/>
      <c r="AU43" s="53" t="n"/>
      <c r="AV43" s="53" t="n"/>
      <c r="AW43" s="53" t="n"/>
      <c r="AX43" s="53" t="n"/>
      <c r="AY43" s="53" t="n"/>
    </row>
    <row r="44" ht="15" customHeight="1">
      <c r="A44" s="62" t="n"/>
      <c r="B44" s="55">
        <f>IF($B$42="","",$B$42)</f>
        <v/>
      </c>
      <c r="C44" s="63" t="inlineStr">
        <is>
          <t>마케팅1팀</t>
        </is>
      </c>
      <c r="D44" s="55">
        <f>IF($D$42="","",$D$42)</f>
        <v/>
      </c>
      <c r="E44" s="64" t="inlineStr">
        <is>
          <t>영상</t>
        </is>
      </c>
      <c r="F44" s="44" t="n"/>
      <c r="G44" s="58">
        <f>IF($G$42="","",$G$42)</f>
        <v/>
      </c>
      <c r="H44" s="59" t="n"/>
      <c r="I44" s="59" t="n"/>
      <c r="J44" s="59" t="n"/>
      <c r="K44" s="59" t="n"/>
      <c r="L44" s="65">
        <f>IF(SUM(U44:AY44)=0,"",SUM(U44:AY44))</f>
        <v/>
      </c>
      <c r="M44" s="66">
        <f>IFERROR(INDEX(U$2:AY$2,MATCH(TRUE,INDEX(U44:AY44&lt;&gt;"",0),0)),"")</f>
        <v/>
      </c>
      <c r="N44" s="66">
        <f>IFERROR(LOOKUP(2,1/(U44:AY44&lt;&gt;""),U$2:AY$2),"")</f>
        <v/>
      </c>
      <c r="O44" s="59" t="n"/>
      <c r="P44" s="59" t="n"/>
      <c r="Q44" s="59" t="n"/>
      <c r="R44" s="59" t="n"/>
      <c r="S44" s="14" t="n"/>
      <c r="U44" s="53" t="n"/>
      <c r="V44" s="53" t="n"/>
      <c r="W44" s="53" t="n"/>
      <c r="X44" s="53" t="n"/>
      <c r="Y44" s="53" t="n"/>
      <c r="Z44" s="53" t="n"/>
      <c r="AA44" s="53" t="n"/>
      <c r="AB44" s="53" t="n"/>
      <c r="AC44" s="53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53" t="n"/>
      <c r="AN44" s="53" t="n"/>
      <c r="AO44" s="53" t="n"/>
      <c r="AP44" s="53" t="n"/>
      <c r="AQ44" s="53" t="n"/>
      <c r="AR44" s="53" t="n"/>
      <c r="AS44" s="53" t="n"/>
      <c r="AT44" s="53" t="n"/>
      <c r="AU44" s="53" t="n"/>
      <c r="AV44" s="53" t="n"/>
      <c r="AW44" s="53" t="n"/>
      <c r="AX44" s="53" t="n"/>
      <c r="AY44" s="53" t="n"/>
    </row>
    <row r="45" ht="15" customHeight="1">
      <c r="A45" s="40">
        <f>IF($D$45="","",13)</f>
        <v/>
      </c>
      <c r="B45" s="10" t="n"/>
      <c r="C45" s="41" t="inlineStr">
        <is>
          <t>마케팅1팀</t>
        </is>
      </c>
      <c r="D45" s="42" t="n"/>
      <c r="E45" s="43" t="inlineStr">
        <is>
          <t>기획</t>
        </is>
      </c>
      <c r="F45" s="44" t="n"/>
      <c r="G45" s="45" t="n"/>
      <c r="H45" s="46">
        <f>IF($I$45="","",IF($I$45&lt;0,"🔴지연",IF($I$45&lt;=1,"🟡임박","🟢여유")))</f>
        <v/>
      </c>
      <c r="I45" s="47">
        <f>IF(OR($G$45="",$K$45=""),"",$G$45-$K$45)</f>
        <v/>
      </c>
      <c r="J45" s="48">
        <f>IF(SUM($L$45:$L$47)=0,"",SUM($L$45:$L$47))</f>
        <v/>
      </c>
      <c r="K45" s="49">
        <f>IF($J$45="","",MAX($N$45:$N$47))</f>
        <v/>
      </c>
      <c r="L45" s="50">
        <f>IF(SUM(U45:AY45)=0,"",SUM(U45:AY45))</f>
        <v/>
      </c>
      <c r="M45" s="51">
        <f>IFERROR(INDEX(U$2:AY$2,MATCH(TRUE,INDEX(U45:AY45&lt;&gt;"",0),0)),"")</f>
        <v/>
      </c>
      <c r="N45" s="51">
        <f>IFERROR(LOOKUP(2,1/(U45:AY45&lt;&gt;""),U$2:AY$2),"")</f>
        <v/>
      </c>
      <c r="O45" s="52" t="n"/>
      <c r="P45" s="52" t="n"/>
      <c r="Q45" s="52" t="n"/>
      <c r="R45" s="44" t="n"/>
      <c r="S45" s="14" t="n"/>
      <c r="U45" s="53" t="n"/>
      <c r="V45" s="53" t="n"/>
      <c r="W45" s="53" t="n"/>
      <c r="X45" s="53" t="n"/>
      <c r="Y45" s="53" t="n"/>
      <c r="Z45" s="53" t="n"/>
      <c r="AA45" s="53" t="n"/>
      <c r="AB45" s="53" t="n"/>
      <c r="AC45" s="53" t="n"/>
      <c r="AD45" s="53" t="n"/>
      <c r="AE45" s="53" t="n"/>
      <c r="AF45" s="53" t="n"/>
      <c r="AG45" s="53" t="n"/>
      <c r="AH45" s="53" t="n"/>
      <c r="AI45" s="53" t="n"/>
      <c r="AJ45" s="53" t="n"/>
      <c r="AK45" s="53" t="n"/>
      <c r="AL45" s="53" t="n"/>
      <c r="AM45" s="53" t="n"/>
      <c r="AN45" s="53" t="n"/>
      <c r="AO45" s="53" t="n"/>
      <c r="AP45" s="53" t="n"/>
      <c r="AQ45" s="53" t="n"/>
      <c r="AR45" s="53" t="n"/>
      <c r="AS45" s="53" t="n"/>
      <c r="AT45" s="53" t="n"/>
      <c r="AU45" s="53" t="n"/>
      <c r="AV45" s="53" t="n"/>
      <c r="AW45" s="53" t="n"/>
      <c r="AX45" s="53" t="n"/>
      <c r="AY45" s="53" t="n"/>
    </row>
    <row r="46" ht="15" customHeight="1">
      <c r="A46" s="54" t="n"/>
      <c r="B46" s="55">
        <f>IF($B$45="","",$B$45)</f>
        <v/>
      </c>
      <c r="C46" s="56" t="inlineStr">
        <is>
          <t>마케팅1팀</t>
        </is>
      </c>
      <c r="D46" s="55">
        <f>IF($D$45="","",$D$45)</f>
        <v/>
      </c>
      <c r="E46" s="57" t="inlineStr">
        <is>
          <t>이미지</t>
        </is>
      </c>
      <c r="F46" s="44" t="n"/>
      <c r="G46" s="58">
        <f>IF($G$45="","",$G$45)</f>
        <v/>
      </c>
      <c r="H46" s="59" t="n"/>
      <c r="I46" s="59" t="n"/>
      <c r="J46" s="59" t="n"/>
      <c r="K46" s="59" t="n"/>
      <c r="L46" s="60">
        <f>IF(SUM(U46:AY46)=0,"",SUM(U46:AY46))</f>
        <v/>
      </c>
      <c r="M46" s="61">
        <f>IFERROR(INDEX(U$2:AY$2,MATCH(TRUE,INDEX(U46:AY46&lt;&gt;"",0),0)),"")</f>
        <v/>
      </c>
      <c r="N46" s="61">
        <f>IFERROR(LOOKUP(2,1/(U46:AY46&lt;&gt;""),U$2:AY$2),"")</f>
        <v/>
      </c>
      <c r="O46" s="59" t="n"/>
      <c r="P46" s="59" t="n"/>
      <c r="Q46" s="59" t="n"/>
      <c r="R46" s="59" t="n"/>
      <c r="S46" s="14" t="n"/>
      <c r="U46" s="53" t="n"/>
      <c r="V46" s="53" t="n"/>
      <c r="W46" s="53" t="n"/>
      <c r="X46" s="53" t="n"/>
      <c r="Y46" s="53" t="n"/>
      <c r="Z46" s="53" t="n"/>
      <c r="AA46" s="53" t="n"/>
      <c r="AB46" s="53" t="n"/>
      <c r="AC46" s="53" t="n"/>
      <c r="AD46" s="53" t="n"/>
      <c r="AE46" s="53" t="n"/>
      <c r="AF46" s="53" t="n"/>
      <c r="AG46" s="53" t="n"/>
      <c r="AH46" s="53" t="n"/>
      <c r="AI46" s="53" t="n"/>
      <c r="AJ46" s="53" t="n"/>
      <c r="AK46" s="53" t="n"/>
      <c r="AL46" s="53" t="n"/>
      <c r="AM46" s="53" t="n"/>
      <c r="AN46" s="53" t="n"/>
      <c r="AO46" s="53" t="n"/>
      <c r="AP46" s="53" t="n"/>
      <c r="AQ46" s="53" t="n"/>
      <c r="AR46" s="53" t="n"/>
      <c r="AS46" s="53" t="n"/>
      <c r="AT46" s="53" t="n"/>
      <c r="AU46" s="53" t="n"/>
      <c r="AV46" s="53" t="n"/>
      <c r="AW46" s="53" t="n"/>
      <c r="AX46" s="53" t="n"/>
      <c r="AY46" s="53" t="n"/>
    </row>
    <row r="47" ht="15" customHeight="1">
      <c r="A47" s="62" t="n"/>
      <c r="B47" s="55">
        <f>IF($B$45="","",$B$45)</f>
        <v/>
      </c>
      <c r="C47" s="63" t="inlineStr">
        <is>
          <t>마케팅1팀</t>
        </is>
      </c>
      <c r="D47" s="55">
        <f>IF($D$45="","",$D$45)</f>
        <v/>
      </c>
      <c r="E47" s="64" t="inlineStr">
        <is>
          <t>영상</t>
        </is>
      </c>
      <c r="F47" s="44" t="n"/>
      <c r="G47" s="58">
        <f>IF($G$45="","",$G$45)</f>
        <v/>
      </c>
      <c r="H47" s="59" t="n"/>
      <c r="I47" s="59" t="n"/>
      <c r="J47" s="59" t="n"/>
      <c r="K47" s="59" t="n"/>
      <c r="L47" s="65">
        <f>IF(SUM(U47:AY47)=0,"",SUM(U47:AY47))</f>
        <v/>
      </c>
      <c r="M47" s="66">
        <f>IFERROR(INDEX(U$2:AY$2,MATCH(TRUE,INDEX(U47:AY47&lt;&gt;"",0),0)),"")</f>
        <v/>
      </c>
      <c r="N47" s="66">
        <f>IFERROR(LOOKUP(2,1/(U47:AY47&lt;&gt;""),U$2:AY$2),"")</f>
        <v/>
      </c>
      <c r="O47" s="59" t="n"/>
      <c r="P47" s="59" t="n"/>
      <c r="Q47" s="59" t="n"/>
      <c r="R47" s="59" t="n"/>
      <c r="S47" s="14" t="n"/>
      <c r="U47" s="53" t="n"/>
      <c r="V47" s="53" t="n"/>
      <c r="W47" s="53" t="n"/>
      <c r="X47" s="53" t="n"/>
      <c r="Y47" s="53" t="n"/>
      <c r="Z47" s="53" t="n"/>
      <c r="AA47" s="53" t="n"/>
      <c r="AB47" s="53" t="n"/>
      <c r="AC47" s="53" t="n"/>
      <c r="AD47" s="53" t="n"/>
      <c r="AE47" s="53" t="n"/>
      <c r="AF47" s="53" t="n"/>
      <c r="AG47" s="53" t="n"/>
      <c r="AH47" s="53" t="n"/>
      <c r="AI47" s="53" t="n"/>
      <c r="AJ47" s="53" t="n"/>
      <c r="AK47" s="53" t="n"/>
      <c r="AL47" s="53" t="n"/>
      <c r="AM47" s="53" t="n"/>
      <c r="AN47" s="53" t="n"/>
      <c r="AO47" s="53" t="n"/>
      <c r="AP47" s="53" t="n"/>
      <c r="AQ47" s="53" t="n"/>
      <c r="AR47" s="53" t="n"/>
      <c r="AS47" s="53" t="n"/>
      <c r="AT47" s="53" t="n"/>
      <c r="AU47" s="53" t="n"/>
      <c r="AV47" s="53" t="n"/>
      <c r="AW47" s="53" t="n"/>
      <c r="AX47" s="53" t="n"/>
      <c r="AY47" s="53" t="n"/>
    </row>
    <row r="48" ht="15" customHeight="1">
      <c r="A48" s="40">
        <f>IF($D$48="","",14)</f>
        <v/>
      </c>
      <c r="B48" s="10" t="n"/>
      <c r="C48" s="41" t="inlineStr">
        <is>
          <t>마케팅1팀</t>
        </is>
      </c>
      <c r="D48" s="42" t="n"/>
      <c r="E48" s="43" t="inlineStr">
        <is>
          <t>기획</t>
        </is>
      </c>
      <c r="F48" s="44" t="n"/>
      <c r="G48" s="45" t="n"/>
      <c r="H48" s="46">
        <f>IF($I$48="","",IF($I$48&lt;0,"🔴지연",IF($I$48&lt;=1,"🟡임박","🟢여유")))</f>
        <v/>
      </c>
      <c r="I48" s="47">
        <f>IF(OR($G$48="",$K$48=""),"",$G$48-$K$48)</f>
        <v/>
      </c>
      <c r="J48" s="48">
        <f>IF(SUM($L$48:$L$50)=0,"",SUM($L$48:$L$50))</f>
        <v/>
      </c>
      <c r="K48" s="49">
        <f>IF($J$48="","",MAX($N$48:$N$50))</f>
        <v/>
      </c>
      <c r="L48" s="50">
        <f>IF(SUM(U48:AY48)=0,"",SUM(U48:AY48))</f>
        <v/>
      </c>
      <c r="M48" s="51">
        <f>IFERROR(INDEX(U$2:AY$2,MATCH(TRUE,INDEX(U48:AY48&lt;&gt;"",0),0)),"")</f>
        <v/>
      </c>
      <c r="N48" s="51">
        <f>IFERROR(LOOKUP(2,1/(U48:AY48&lt;&gt;""),U$2:AY$2),"")</f>
        <v/>
      </c>
      <c r="O48" s="52" t="n"/>
      <c r="P48" s="52" t="n"/>
      <c r="Q48" s="52" t="n"/>
      <c r="R48" s="44" t="n"/>
      <c r="S48" s="14" t="n"/>
      <c r="U48" s="53" t="n"/>
      <c r="V48" s="53" t="n"/>
      <c r="W48" s="53" t="n"/>
      <c r="X48" s="53" t="n"/>
      <c r="Y48" s="53" t="n"/>
      <c r="Z48" s="53" t="n"/>
      <c r="AA48" s="53" t="n"/>
      <c r="AB48" s="53" t="n"/>
      <c r="AC48" s="53" t="n"/>
      <c r="AD48" s="53" t="n"/>
      <c r="AE48" s="53" t="n"/>
      <c r="AF48" s="53" t="n"/>
      <c r="AG48" s="53" t="n"/>
      <c r="AH48" s="53" t="n"/>
      <c r="AI48" s="53" t="n"/>
      <c r="AJ48" s="53" t="n"/>
      <c r="AK48" s="53" t="n"/>
      <c r="AL48" s="53" t="n"/>
      <c r="AM48" s="53" t="n"/>
      <c r="AN48" s="53" t="n"/>
      <c r="AO48" s="53" t="n"/>
      <c r="AP48" s="53" t="n"/>
      <c r="AQ48" s="53" t="n"/>
      <c r="AR48" s="53" t="n"/>
      <c r="AS48" s="53" t="n"/>
      <c r="AT48" s="53" t="n"/>
      <c r="AU48" s="53" t="n"/>
      <c r="AV48" s="53" t="n"/>
      <c r="AW48" s="53" t="n"/>
      <c r="AX48" s="53" t="n"/>
      <c r="AY48" s="53" t="n"/>
    </row>
    <row r="49" ht="15" customHeight="1">
      <c r="A49" s="54" t="n"/>
      <c r="B49" s="55">
        <f>IF($B$48="","",$B$48)</f>
        <v/>
      </c>
      <c r="C49" s="56" t="inlineStr">
        <is>
          <t>마케팅1팀</t>
        </is>
      </c>
      <c r="D49" s="55">
        <f>IF($D$48="","",$D$48)</f>
        <v/>
      </c>
      <c r="E49" s="57" t="inlineStr">
        <is>
          <t>이미지</t>
        </is>
      </c>
      <c r="F49" s="44" t="n"/>
      <c r="G49" s="58">
        <f>IF($G$48="","",$G$48)</f>
        <v/>
      </c>
      <c r="H49" s="59" t="n"/>
      <c r="I49" s="59" t="n"/>
      <c r="J49" s="59" t="n"/>
      <c r="K49" s="59" t="n"/>
      <c r="L49" s="60">
        <f>IF(SUM(U49:AY49)=0,"",SUM(U49:AY49))</f>
        <v/>
      </c>
      <c r="M49" s="61">
        <f>IFERROR(INDEX(U$2:AY$2,MATCH(TRUE,INDEX(U49:AY49&lt;&gt;"",0),0)),"")</f>
        <v/>
      </c>
      <c r="N49" s="61">
        <f>IFERROR(LOOKUP(2,1/(U49:AY49&lt;&gt;""),U$2:AY$2),"")</f>
        <v/>
      </c>
      <c r="O49" s="59" t="n"/>
      <c r="P49" s="59" t="n"/>
      <c r="Q49" s="59" t="n"/>
      <c r="R49" s="59" t="n"/>
      <c r="S49" s="14" t="n"/>
      <c r="U49" s="53" t="n"/>
      <c r="V49" s="53" t="n"/>
      <c r="W49" s="53" t="n"/>
      <c r="X49" s="53" t="n"/>
      <c r="Y49" s="53" t="n"/>
      <c r="Z49" s="53" t="n"/>
      <c r="AA49" s="53" t="n"/>
      <c r="AB49" s="53" t="n"/>
      <c r="AC49" s="53" t="n"/>
      <c r="AD49" s="53" t="n"/>
      <c r="AE49" s="53" t="n"/>
      <c r="AF49" s="53" t="n"/>
      <c r="AG49" s="53" t="n"/>
      <c r="AH49" s="53" t="n"/>
      <c r="AI49" s="53" t="n"/>
      <c r="AJ49" s="53" t="n"/>
      <c r="AK49" s="53" t="n"/>
      <c r="AL49" s="53" t="n"/>
      <c r="AM49" s="53" t="n"/>
      <c r="AN49" s="53" t="n"/>
      <c r="AO49" s="53" t="n"/>
      <c r="AP49" s="53" t="n"/>
      <c r="AQ49" s="53" t="n"/>
      <c r="AR49" s="53" t="n"/>
      <c r="AS49" s="53" t="n"/>
      <c r="AT49" s="53" t="n"/>
      <c r="AU49" s="53" t="n"/>
      <c r="AV49" s="53" t="n"/>
      <c r="AW49" s="53" t="n"/>
      <c r="AX49" s="53" t="n"/>
      <c r="AY49" s="53" t="n"/>
    </row>
    <row r="50" ht="15" customHeight="1">
      <c r="A50" s="62" t="n"/>
      <c r="B50" s="55">
        <f>IF($B$48="","",$B$48)</f>
        <v/>
      </c>
      <c r="C50" s="63" t="inlineStr">
        <is>
          <t>마케팅1팀</t>
        </is>
      </c>
      <c r="D50" s="55">
        <f>IF($D$48="","",$D$48)</f>
        <v/>
      </c>
      <c r="E50" s="64" t="inlineStr">
        <is>
          <t>영상</t>
        </is>
      </c>
      <c r="F50" s="44" t="n"/>
      <c r="G50" s="58">
        <f>IF($G$48="","",$G$48)</f>
        <v/>
      </c>
      <c r="H50" s="59" t="n"/>
      <c r="I50" s="59" t="n"/>
      <c r="J50" s="59" t="n"/>
      <c r="K50" s="59" t="n"/>
      <c r="L50" s="65">
        <f>IF(SUM(U50:AY50)=0,"",SUM(U50:AY50))</f>
        <v/>
      </c>
      <c r="M50" s="66">
        <f>IFERROR(INDEX(U$2:AY$2,MATCH(TRUE,INDEX(U50:AY50&lt;&gt;"",0),0)),"")</f>
        <v/>
      </c>
      <c r="N50" s="66">
        <f>IFERROR(LOOKUP(2,1/(U50:AY50&lt;&gt;""),U$2:AY$2),"")</f>
        <v/>
      </c>
      <c r="O50" s="59" t="n"/>
      <c r="P50" s="59" t="n"/>
      <c r="Q50" s="59" t="n"/>
      <c r="R50" s="59" t="n"/>
      <c r="S50" s="14" t="n"/>
      <c r="U50" s="53" t="n"/>
      <c r="V50" s="53" t="n"/>
      <c r="W50" s="53" t="n"/>
      <c r="X50" s="53" t="n"/>
      <c r="Y50" s="53" t="n"/>
      <c r="Z50" s="53" t="n"/>
      <c r="AA50" s="53" t="n"/>
      <c r="AB50" s="53" t="n"/>
      <c r="AC50" s="53" t="n"/>
      <c r="AD50" s="53" t="n"/>
      <c r="AE50" s="53" t="n"/>
      <c r="AF50" s="53" t="n"/>
      <c r="AG50" s="53" t="n"/>
      <c r="AH50" s="53" t="n"/>
      <c r="AI50" s="53" t="n"/>
      <c r="AJ50" s="53" t="n"/>
      <c r="AK50" s="53" t="n"/>
      <c r="AL50" s="53" t="n"/>
      <c r="AM50" s="53" t="n"/>
      <c r="AN50" s="53" t="n"/>
      <c r="AO50" s="53" t="n"/>
      <c r="AP50" s="53" t="n"/>
      <c r="AQ50" s="53" t="n"/>
      <c r="AR50" s="53" t="n"/>
      <c r="AS50" s="53" t="n"/>
      <c r="AT50" s="53" t="n"/>
      <c r="AU50" s="53" t="n"/>
      <c r="AV50" s="53" t="n"/>
      <c r="AW50" s="53" t="n"/>
      <c r="AX50" s="53" t="n"/>
      <c r="AY50" s="53" t="n"/>
    </row>
    <row r="51" ht="15" customHeight="1">
      <c r="A51" s="40">
        <f>IF($D$51="","",15)</f>
        <v/>
      </c>
      <c r="B51" s="10" t="n"/>
      <c r="C51" s="41" t="inlineStr">
        <is>
          <t>마케팅1팀</t>
        </is>
      </c>
      <c r="D51" s="42" t="n"/>
      <c r="E51" s="43" t="inlineStr">
        <is>
          <t>기획</t>
        </is>
      </c>
      <c r="F51" s="44" t="n"/>
      <c r="G51" s="45" t="n"/>
      <c r="H51" s="46">
        <f>IF($I$51="","",IF($I$51&lt;0,"🔴지연",IF($I$51&lt;=1,"🟡임박","🟢여유")))</f>
        <v/>
      </c>
      <c r="I51" s="47">
        <f>IF(OR($G$51="",$K$51=""),"",$G$51-$K$51)</f>
        <v/>
      </c>
      <c r="J51" s="48">
        <f>IF(SUM($L$51:$L$53)=0,"",SUM($L$51:$L$53))</f>
        <v/>
      </c>
      <c r="K51" s="49">
        <f>IF($J$51="","",MAX($N$51:$N$53))</f>
        <v/>
      </c>
      <c r="L51" s="50">
        <f>IF(SUM(U51:AY51)=0,"",SUM(U51:AY51))</f>
        <v/>
      </c>
      <c r="M51" s="51">
        <f>IFERROR(INDEX(U$2:AY$2,MATCH(TRUE,INDEX(U51:AY51&lt;&gt;"",0),0)),"")</f>
        <v/>
      </c>
      <c r="N51" s="51">
        <f>IFERROR(LOOKUP(2,1/(U51:AY51&lt;&gt;""),U$2:AY$2),"")</f>
        <v/>
      </c>
      <c r="O51" s="52" t="n"/>
      <c r="P51" s="52" t="n"/>
      <c r="Q51" s="52" t="n"/>
      <c r="R51" s="44" t="n"/>
      <c r="S51" s="14" t="n"/>
      <c r="U51" s="53" t="n"/>
      <c r="V51" s="53" t="n"/>
      <c r="W51" s="53" t="n"/>
      <c r="X51" s="53" t="n"/>
      <c r="Y51" s="53" t="n"/>
      <c r="Z51" s="53" t="n"/>
      <c r="AA51" s="53" t="n"/>
      <c r="AB51" s="53" t="n"/>
      <c r="AC51" s="53" t="n"/>
      <c r="AD51" s="53" t="n"/>
      <c r="AE51" s="53" t="n"/>
      <c r="AF51" s="53" t="n"/>
      <c r="AG51" s="53" t="n"/>
      <c r="AH51" s="53" t="n"/>
      <c r="AI51" s="53" t="n"/>
      <c r="AJ51" s="53" t="n"/>
      <c r="AK51" s="53" t="n"/>
      <c r="AL51" s="53" t="n"/>
      <c r="AM51" s="53" t="n"/>
      <c r="AN51" s="53" t="n"/>
      <c r="AO51" s="53" t="n"/>
      <c r="AP51" s="53" t="n"/>
      <c r="AQ51" s="53" t="n"/>
      <c r="AR51" s="53" t="n"/>
      <c r="AS51" s="53" t="n"/>
      <c r="AT51" s="53" t="n"/>
      <c r="AU51" s="53" t="n"/>
      <c r="AV51" s="53" t="n"/>
      <c r="AW51" s="53" t="n"/>
      <c r="AX51" s="53" t="n"/>
      <c r="AY51" s="53" t="n"/>
    </row>
    <row r="52" ht="15" customHeight="1">
      <c r="A52" s="54" t="n"/>
      <c r="B52" s="55">
        <f>IF($B$51="","",$B$51)</f>
        <v/>
      </c>
      <c r="C52" s="56" t="inlineStr">
        <is>
          <t>마케팅1팀</t>
        </is>
      </c>
      <c r="D52" s="55">
        <f>IF($D$51="","",$D$51)</f>
        <v/>
      </c>
      <c r="E52" s="57" t="inlineStr">
        <is>
          <t>이미지</t>
        </is>
      </c>
      <c r="F52" s="44" t="n"/>
      <c r="G52" s="58">
        <f>IF($G$51="","",$G$51)</f>
        <v/>
      </c>
      <c r="H52" s="59" t="n"/>
      <c r="I52" s="59" t="n"/>
      <c r="J52" s="59" t="n"/>
      <c r="K52" s="59" t="n"/>
      <c r="L52" s="60">
        <f>IF(SUM(U52:AY52)=0,"",SUM(U52:AY52))</f>
        <v/>
      </c>
      <c r="M52" s="61">
        <f>IFERROR(INDEX(U$2:AY$2,MATCH(TRUE,INDEX(U52:AY52&lt;&gt;"",0),0)),"")</f>
        <v/>
      </c>
      <c r="N52" s="61">
        <f>IFERROR(LOOKUP(2,1/(U52:AY52&lt;&gt;""),U$2:AY$2),"")</f>
        <v/>
      </c>
      <c r="O52" s="59" t="n"/>
      <c r="P52" s="59" t="n"/>
      <c r="Q52" s="59" t="n"/>
      <c r="R52" s="59" t="n"/>
      <c r="S52" s="14" t="n"/>
      <c r="U52" s="53" t="n"/>
      <c r="V52" s="53" t="n"/>
      <c r="W52" s="53" t="n"/>
      <c r="X52" s="53" t="n"/>
      <c r="Y52" s="53" t="n"/>
      <c r="Z52" s="53" t="n"/>
      <c r="AA52" s="53" t="n"/>
      <c r="AB52" s="53" t="n"/>
      <c r="AC52" s="53" t="n"/>
      <c r="AD52" s="53" t="n"/>
      <c r="AE52" s="53" t="n"/>
      <c r="AF52" s="53" t="n"/>
      <c r="AG52" s="53" t="n"/>
      <c r="AH52" s="53" t="n"/>
      <c r="AI52" s="53" t="n"/>
      <c r="AJ52" s="53" t="n"/>
      <c r="AK52" s="53" t="n"/>
      <c r="AL52" s="53" t="n"/>
      <c r="AM52" s="53" t="n"/>
      <c r="AN52" s="53" t="n"/>
      <c r="AO52" s="53" t="n"/>
      <c r="AP52" s="53" t="n"/>
      <c r="AQ52" s="53" t="n"/>
      <c r="AR52" s="53" t="n"/>
      <c r="AS52" s="53" t="n"/>
      <c r="AT52" s="53" t="n"/>
      <c r="AU52" s="53" t="n"/>
      <c r="AV52" s="53" t="n"/>
      <c r="AW52" s="53" t="n"/>
      <c r="AX52" s="53" t="n"/>
      <c r="AY52" s="53" t="n"/>
    </row>
    <row r="53" ht="15" customHeight="1">
      <c r="A53" s="62" t="n"/>
      <c r="B53" s="55">
        <f>IF($B$51="","",$B$51)</f>
        <v/>
      </c>
      <c r="C53" s="63" t="inlineStr">
        <is>
          <t>마케팅1팀</t>
        </is>
      </c>
      <c r="D53" s="55">
        <f>IF($D$51="","",$D$51)</f>
        <v/>
      </c>
      <c r="E53" s="64" t="inlineStr">
        <is>
          <t>영상</t>
        </is>
      </c>
      <c r="F53" s="44" t="n"/>
      <c r="G53" s="58">
        <f>IF($G$51="","",$G$51)</f>
        <v/>
      </c>
      <c r="H53" s="59" t="n"/>
      <c r="I53" s="59" t="n"/>
      <c r="J53" s="59" t="n"/>
      <c r="K53" s="59" t="n"/>
      <c r="L53" s="65">
        <f>IF(SUM(U53:AY53)=0,"",SUM(U53:AY53))</f>
        <v/>
      </c>
      <c r="M53" s="66">
        <f>IFERROR(INDEX(U$2:AY$2,MATCH(TRUE,INDEX(U53:AY53&lt;&gt;"",0),0)),"")</f>
        <v/>
      </c>
      <c r="N53" s="66">
        <f>IFERROR(LOOKUP(2,1/(U53:AY53&lt;&gt;""),U$2:AY$2),"")</f>
        <v/>
      </c>
      <c r="O53" s="59" t="n"/>
      <c r="P53" s="59" t="n"/>
      <c r="Q53" s="59" t="n"/>
      <c r="R53" s="59" t="n"/>
      <c r="S53" s="14" t="n"/>
      <c r="U53" s="53" t="n"/>
      <c r="V53" s="53" t="n"/>
      <c r="W53" s="53" t="n"/>
      <c r="X53" s="53" t="n"/>
      <c r="Y53" s="53" t="n"/>
      <c r="Z53" s="53" t="n"/>
      <c r="AA53" s="53" t="n"/>
      <c r="AB53" s="53" t="n"/>
      <c r="AC53" s="53" t="n"/>
      <c r="AD53" s="53" t="n"/>
      <c r="AE53" s="53" t="n"/>
      <c r="AF53" s="53" t="n"/>
      <c r="AG53" s="53" t="n"/>
      <c r="AH53" s="53" t="n"/>
      <c r="AI53" s="53" t="n"/>
      <c r="AJ53" s="53" t="n"/>
      <c r="AK53" s="53" t="n"/>
      <c r="AL53" s="53" t="n"/>
      <c r="AM53" s="53" t="n"/>
      <c r="AN53" s="53" t="n"/>
      <c r="AO53" s="53" t="n"/>
      <c r="AP53" s="53" t="n"/>
      <c r="AQ53" s="53" t="n"/>
      <c r="AR53" s="53" t="n"/>
      <c r="AS53" s="53" t="n"/>
      <c r="AT53" s="53" t="n"/>
      <c r="AU53" s="53" t="n"/>
      <c r="AV53" s="53" t="n"/>
      <c r="AW53" s="53" t="n"/>
      <c r="AX53" s="53" t="n"/>
      <c r="AY53" s="53" t="n"/>
    </row>
    <row r="54" ht="15" customHeight="1">
      <c r="A54" s="40">
        <f>IF($D$54="","",16)</f>
        <v/>
      </c>
      <c r="B54" s="10" t="n"/>
      <c r="C54" s="41" t="inlineStr">
        <is>
          <t>마케팅1팀</t>
        </is>
      </c>
      <c r="D54" s="42" t="n"/>
      <c r="E54" s="43" t="inlineStr">
        <is>
          <t>기획</t>
        </is>
      </c>
      <c r="F54" s="44" t="n"/>
      <c r="G54" s="45" t="n"/>
      <c r="H54" s="46">
        <f>IF($I$54="","",IF($I$54&lt;0,"🔴지연",IF($I$54&lt;=1,"🟡임박","🟢여유")))</f>
        <v/>
      </c>
      <c r="I54" s="47">
        <f>IF(OR($G$54="",$K$54=""),"",$G$54-$K$54)</f>
        <v/>
      </c>
      <c r="J54" s="48">
        <f>IF(SUM($L$54:$L$56)=0,"",SUM($L$54:$L$56))</f>
        <v/>
      </c>
      <c r="K54" s="49">
        <f>IF($J$54="","",MAX($N$54:$N$56))</f>
        <v/>
      </c>
      <c r="L54" s="50">
        <f>IF(SUM(U54:AY54)=0,"",SUM(U54:AY54))</f>
        <v/>
      </c>
      <c r="M54" s="51">
        <f>IFERROR(INDEX(U$2:AY$2,MATCH(TRUE,INDEX(U54:AY54&lt;&gt;"",0),0)),"")</f>
        <v/>
      </c>
      <c r="N54" s="51">
        <f>IFERROR(LOOKUP(2,1/(U54:AY54&lt;&gt;""),U$2:AY$2),"")</f>
        <v/>
      </c>
      <c r="O54" s="52" t="n"/>
      <c r="P54" s="52" t="n"/>
      <c r="Q54" s="52" t="n"/>
      <c r="R54" s="44" t="n"/>
      <c r="S54" s="14" t="n"/>
      <c r="U54" s="53" t="n"/>
      <c r="V54" s="53" t="n"/>
      <c r="W54" s="53" t="n"/>
      <c r="X54" s="53" t="n"/>
      <c r="Y54" s="53" t="n"/>
      <c r="Z54" s="53" t="n"/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s="53" t="n"/>
      <c r="AJ54" s="53" t="n"/>
      <c r="AK54" s="53" t="n"/>
      <c r="AL54" s="53" t="n"/>
      <c r="AM54" s="53" t="n"/>
      <c r="AN54" s="53" t="n"/>
      <c r="AO54" s="53" t="n"/>
      <c r="AP54" s="53" t="n"/>
      <c r="AQ54" s="53" t="n"/>
      <c r="AR54" s="53" t="n"/>
      <c r="AS54" s="53" t="n"/>
      <c r="AT54" s="53" t="n"/>
      <c r="AU54" s="53" t="n"/>
      <c r="AV54" s="53" t="n"/>
      <c r="AW54" s="53" t="n"/>
      <c r="AX54" s="53" t="n"/>
      <c r="AY54" s="53" t="n"/>
    </row>
    <row r="55" ht="15" customHeight="1">
      <c r="A55" s="54" t="n"/>
      <c r="B55" s="55">
        <f>IF($B$54="","",$B$54)</f>
        <v/>
      </c>
      <c r="C55" s="56" t="inlineStr">
        <is>
          <t>마케팅1팀</t>
        </is>
      </c>
      <c r="D55" s="55">
        <f>IF($D$54="","",$D$54)</f>
        <v/>
      </c>
      <c r="E55" s="57" t="inlineStr">
        <is>
          <t>이미지</t>
        </is>
      </c>
      <c r="F55" s="44" t="n"/>
      <c r="G55" s="58">
        <f>IF($G$54="","",$G$54)</f>
        <v/>
      </c>
      <c r="H55" s="59" t="n"/>
      <c r="I55" s="59" t="n"/>
      <c r="J55" s="59" t="n"/>
      <c r="K55" s="59" t="n"/>
      <c r="L55" s="60">
        <f>IF(SUM(U55:AY55)=0,"",SUM(U55:AY55))</f>
        <v/>
      </c>
      <c r="M55" s="61">
        <f>IFERROR(INDEX(U$2:AY$2,MATCH(TRUE,INDEX(U55:AY55&lt;&gt;"",0),0)),"")</f>
        <v/>
      </c>
      <c r="N55" s="61">
        <f>IFERROR(LOOKUP(2,1/(U55:AY55&lt;&gt;""),U$2:AY$2),"")</f>
        <v/>
      </c>
      <c r="O55" s="59" t="n"/>
      <c r="P55" s="59" t="n"/>
      <c r="Q55" s="59" t="n"/>
      <c r="R55" s="59" t="n"/>
      <c r="S55" s="14" t="n"/>
      <c r="U55" s="53" t="n"/>
      <c r="V55" s="53" t="n"/>
      <c r="W55" s="53" t="n"/>
      <c r="X55" s="53" t="n"/>
      <c r="Y55" s="53" t="n"/>
      <c r="Z55" s="53" t="n"/>
      <c r="AA55" s="53" t="n"/>
      <c r="AB55" s="53" t="n"/>
      <c r="AC55" s="53" t="n"/>
      <c r="AD55" s="53" t="n"/>
      <c r="AE55" s="53" t="n"/>
      <c r="AF55" s="53" t="n"/>
      <c r="AG55" s="53" t="n"/>
      <c r="AH55" s="53" t="n"/>
      <c r="AI55" s="53" t="n"/>
      <c r="AJ55" s="53" t="n"/>
      <c r="AK55" s="53" t="n"/>
      <c r="AL55" s="53" t="n"/>
      <c r="AM55" s="53" t="n"/>
      <c r="AN55" s="53" t="n"/>
      <c r="AO55" s="53" t="n"/>
      <c r="AP55" s="53" t="n"/>
      <c r="AQ55" s="53" t="n"/>
      <c r="AR55" s="53" t="n"/>
      <c r="AS55" s="53" t="n"/>
      <c r="AT55" s="53" t="n"/>
      <c r="AU55" s="53" t="n"/>
      <c r="AV55" s="53" t="n"/>
      <c r="AW55" s="53" t="n"/>
      <c r="AX55" s="53" t="n"/>
      <c r="AY55" s="53" t="n"/>
    </row>
    <row r="56" ht="15" customHeight="1">
      <c r="A56" s="62" t="n"/>
      <c r="B56" s="55">
        <f>IF($B$54="","",$B$54)</f>
        <v/>
      </c>
      <c r="C56" s="63" t="inlineStr">
        <is>
          <t>마케팅1팀</t>
        </is>
      </c>
      <c r="D56" s="55">
        <f>IF($D$54="","",$D$54)</f>
        <v/>
      </c>
      <c r="E56" s="64" t="inlineStr">
        <is>
          <t>영상</t>
        </is>
      </c>
      <c r="F56" s="44" t="n"/>
      <c r="G56" s="58">
        <f>IF($G$54="","",$G$54)</f>
        <v/>
      </c>
      <c r="H56" s="59" t="n"/>
      <c r="I56" s="59" t="n"/>
      <c r="J56" s="59" t="n"/>
      <c r="K56" s="59" t="n"/>
      <c r="L56" s="65">
        <f>IF(SUM(U56:AY56)=0,"",SUM(U56:AY56))</f>
        <v/>
      </c>
      <c r="M56" s="66">
        <f>IFERROR(INDEX(U$2:AY$2,MATCH(TRUE,INDEX(U56:AY56&lt;&gt;"",0),0)),"")</f>
        <v/>
      </c>
      <c r="N56" s="66">
        <f>IFERROR(LOOKUP(2,1/(U56:AY56&lt;&gt;""),U$2:AY$2),"")</f>
        <v/>
      </c>
      <c r="O56" s="59" t="n"/>
      <c r="P56" s="59" t="n"/>
      <c r="Q56" s="59" t="n"/>
      <c r="R56" s="59" t="n"/>
      <c r="S56" s="14" t="n"/>
      <c r="U56" s="53" t="n"/>
      <c r="V56" s="53" t="n"/>
      <c r="W56" s="53" t="n"/>
      <c r="X56" s="5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s="53" t="n"/>
      <c r="AJ56" s="53" t="n"/>
      <c r="AK56" s="53" t="n"/>
      <c r="AL56" s="53" t="n"/>
      <c r="AM56" s="53" t="n"/>
      <c r="AN56" s="53" t="n"/>
      <c r="AO56" s="53" t="n"/>
      <c r="AP56" s="53" t="n"/>
      <c r="AQ56" s="53" t="n"/>
      <c r="AR56" s="53" t="n"/>
      <c r="AS56" s="53" t="n"/>
      <c r="AT56" s="53" t="n"/>
      <c r="AU56" s="53" t="n"/>
      <c r="AV56" s="53" t="n"/>
      <c r="AW56" s="53" t="n"/>
      <c r="AX56" s="53" t="n"/>
      <c r="AY56" s="53" t="n"/>
    </row>
    <row r="57" ht="15" customHeight="1">
      <c r="A57" s="40">
        <f>IF($D$57="","",17)</f>
        <v/>
      </c>
      <c r="B57" s="10" t="n"/>
      <c r="C57" s="41" t="inlineStr">
        <is>
          <t>마케팅1팀</t>
        </is>
      </c>
      <c r="D57" s="42" t="n"/>
      <c r="E57" s="43" t="inlineStr">
        <is>
          <t>기획</t>
        </is>
      </c>
      <c r="F57" s="44" t="n"/>
      <c r="G57" s="45" t="n"/>
      <c r="H57" s="46">
        <f>IF($I$57="","",IF($I$57&lt;0,"🔴지연",IF($I$57&lt;=1,"🟡임박","🟢여유")))</f>
        <v/>
      </c>
      <c r="I57" s="47">
        <f>IF(OR($G$57="",$K$57=""),"",$G$57-$K$57)</f>
        <v/>
      </c>
      <c r="J57" s="48">
        <f>IF(SUM($L$57:$L$59)=0,"",SUM($L$57:$L$59))</f>
        <v/>
      </c>
      <c r="K57" s="49">
        <f>IF($J$57="","",MAX($N$57:$N$59))</f>
        <v/>
      </c>
      <c r="L57" s="50">
        <f>IF(SUM(U57:AY57)=0,"",SUM(U57:AY57))</f>
        <v/>
      </c>
      <c r="M57" s="51">
        <f>IFERROR(INDEX(U$2:AY$2,MATCH(TRUE,INDEX(U57:AY57&lt;&gt;"",0),0)),"")</f>
        <v/>
      </c>
      <c r="N57" s="51">
        <f>IFERROR(LOOKUP(2,1/(U57:AY57&lt;&gt;""),U$2:AY$2),"")</f>
        <v/>
      </c>
      <c r="O57" s="52" t="n"/>
      <c r="P57" s="52" t="n"/>
      <c r="Q57" s="52" t="n"/>
      <c r="R57" s="44" t="n"/>
      <c r="S57" s="14" t="n"/>
      <c r="U57" s="53" t="n"/>
      <c r="V57" s="53" t="n"/>
      <c r="W57" s="53" t="n"/>
      <c r="X57" s="53" t="n"/>
      <c r="Y57" s="53" t="n"/>
      <c r="Z57" s="53" t="n"/>
      <c r="AA57" s="53" t="n"/>
      <c r="AB57" s="53" t="n"/>
      <c r="AC57" s="53" t="n"/>
      <c r="AD57" s="53" t="n"/>
      <c r="AE57" s="53" t="n"/>
      <c r="AF57" s="53" t="n"/>
      <c r="AG57" s="53" t="n"/>
      <c r="AH57" s="53" t="n"/>
      <c r="AI57" s="53" t="n"/>
      <c r="AJ57" s="53" t="n"/>
      <c r="AK57" s="53" t="n"/>
      <c r="AL57" s="53" t="n"/>
      <c r="AM57" s="53" t="n"/>
      <c r="AN57" s="53" t="n"/>
      <c r="AO57" s="53" t="n"/>
      <c r="AP57" s="53" t="n"/>
      <c r="AQ57" s="53" t="n"/>
      <c r="AR57" s="53" t="n"/>
      <c r="AS57" s="53" t="n"/>
      <c r="AT57" s="53" t="n"/>
      <c r="AU57" s="53" t="n"/>
      <c r="AV57" s="53" t="n"/>
      <c r="AW57" s="53" t="n"/>
      <c r="AX57" s="53" t="n"/>
      <c r="AY57" s="53" t="n"/>
    </row>
    <row r="58" ht="15" customHeight="1">
      <c r="A58" s="54" t="n"/>
      <c r="B58" s="55">
        <f>IF($B$57="","",$B$57)</f>
        <v/>
      </c>
      <c r="C58" s="56" t="inlineStr">
        <is>
          <t>마케팅1팀</t>
        </is>
      </c>
      <c r="D58" s="55">
        <f>IF($D$57="","",$D$57)</f>
        <v/>
      </c>
      <c r="E58" s="57" t="inlineStr">
        <is>
          <t>이미지</t>
        </is>
      </c>
      <c r="F58" s="44" t="n"/>
      <c r="G58" s="58">
        <f>IF($G$57="","",$G$57)</f>
        <v/>
      </c>
      <c r="H58" s="59" t="n"/>
      <c r="I58" s="59" t="n"/>
      <c r="J58" s="59" t="n"/>
      <c r="K58" s="59" t="n"/>
      <c r="L58" s="60">
        <f>IF(SUM(U58:AY58)=0,"",SUM(U58:AY58))</f>
        <v/>
      </c>
      <c r="M58" s="61">
        <f>IFERROR(INDEX(U$2:AY$2,MATCH(TRUE,INDEX(U58:AY58&lt;&gt;"",0),0)),"")</f>
        <v/>
      </c>
      <c r="N58" s="61">
        <f>IFERROR(LOOKUP(2,1/(U58:AY58&lt;&gt;""),U$2:AY$2),"")</f>
        <v/>
      </c>
      <c r="O58" s="59" t="n"/>
      <c r="P58" s="59" t="n"/>
      <c r="Q58" s="59" t="n"/>
      <c r="R58" s="59" t="n"/>
      <c r="S58" s="14" t="n"/>
      <c r="U58" s="53" t="n"/>
      <c r="V58" s="53" t="n"/>
      <c r="W58" s="53" t="n"/>
      <c r="X58" s="53" t="n"/>
      <c r="Y58" s="53" t="n"/>
      <c r="Z58" s="53" t="n"/>
      <c r="AA58" s="53" t="n"/>
      <c r="AB58" s="53" t="n"/>
      <c r="AC58" s="53" t="n"/>
      <c r="AD58" s="53" t="n"/>
      <c r="AE58" s="53" t="n"/>
      <c r="AF58" s="53" t="n"/>
      <c r="AG58" s="53" t="n"/>
      <c r="AH58" s="53" t="n"/>
      <c r="AI58" s="53" t="n"/>
      <c r="AJ58" s="53" t="n"/>
      <c r="AK58" s="53" t="n"/>
      <c r="AL58" s="53" t="n"/>
      <c r="AM58" s="53" t="n"/>
      <c r="AN58" s="53" t="n"/>
      <c r="AO58" s="53" t="n"/>
      <c r="AP58" s="53" t="n"/>
      <c r="AQ58" s="53" t="n"/>
      <c r="AR58" s="53" t="n"/>
      <c r="AS58" s="53" t="n"/>
      <c r="AT58" s="53" t="n"/>
      <c r="AU58" s="53" t="n"/>
      <c r="AV58" s="53" t="n"/>
      <c r="AW58" s="53" t="n"/>
      <c r="AX58" s="53" t="n"/>
      <c r="AY58" s="53" t="n"/>
    </row>
    <row r="59" ht="15" customHeight="1">
      <c r="A59" s="62" t="n"/>
      <c r="B59" s="55">
        <f>IF($B$57="","",$B$57)</f>
        <v/>
      </c>
      <c r="C59" s="63" t="inlineStr">
        <is>
          <t>마케팅1팀</t>
        </is>
      </c>
      <c r="D59" s="55">
        <f>IF($D$57="","",$D$57)</f>
        <v/>
      </c>
      <c r="E59" s="64" t="inlineStr">
        <is>
          <t>영상</t>
        </is>
      </c>
      <c r="F59" s="44" t="n"/>
      <c r="G59" s="58">
        <f>IF($G$57="","",$G$57)</f>
        <v/>
      </c>
      <c r="H59" s="59" t="n"/>
      <c r="I59" s="59" t="n"/>
      <c r="J59" s="59" t="n"/>
      <c r="K59" s="59" t="n"/>
      <c r="L59" s="65">
        <f>IF(SUM(U59:AY59)=0,"",SUM(U59:AY59))</f>
        <v/>
      </c>
      <c r="M59" s="66">
        <f>IFERROR(INDEX(U$2:AY$2,MATCH(TRUE,INDEX(U59:AY59&lt;&gt;"",0),0)),"")</f>
        <v/>
      </c>
      <c r="N59" s="66">
        <f>IFERROR(LOOKUP(2,1/(U59:AY59&lt;&gt;""),U$2:AY$2),"")</f>
        <v/>
      </c>
      <c r="O59" s="59" t="n"/>
      <c r="P59" s="59" t="n"/>
      <c r="Q59" s="59" t="n"/>
      <c r="R59" s="59" t="n"/>
      <c r="S59" s="14" t="n"/>
      <c r="U59" s="53" t="n"/>
      <c r="V59" s="53" t="n"/>
      <c r="W59" s="53" t="n"/>
      <c r="X59" s="53" t="n"/>
      <c r="Y59" s="53" t="n"/>
      <c r="Z59" s="53" t="n"/>
      <c r="AA59" s="53" t="n"/>
      <c r="AB59" s="53" t="n"/>
      <c r="AC59" s="53" t="n"/>
      <c r="AD59" s="53" t="n"/>
      <c r="AE59" s="53" t="n"/>
      <c r="AF59" s="53" t="n"/>
      <c r="AG59" s="53" t="n"/>
      <c r="AH59" s="53" t="n"/>
      <c r="AI59" s="53" t="n"/>
      <c r="AJ59" s="53" t="n"/>
      <c r="AK59" s="53" t="n"/>
      <c r="AL59" s="53" t="n"/>
      <c r="AM59" s="53" t="n"/>
      <c r="AN59" s="53" t="n"/>
      <c r="AO59" s="53" t="n"/>
      <c r="AP59" s="53" t="n"/>
      <c r="AQ59" s="53" t="n"/>
      <c r="AR59" s="53" t="n"/>
      <c r="AS59" s="53" t="n"/>
      <c r="AT59" s="53" t="n"/>
      <c r="AU59" s="53" t="n"/>
      <c r="AV59" s="53" t="n"/>
      <c r="AW59" s="53" t="n"/>
      <c r="AX59" s="53" t="n"/>
      <c r="AY59" s="53" t="n"/>
    </row>
    <row r="60" ht="15" customHeight="1">
      <c r="A60" s="40">
        <f>IF($D$60="","",18)</f>
        <v/>
      </c>
      <c r="B60" s="10" t="n"/>
      <c r="C60" s="41" t="inlineStr">
        <is>
          <t>마케팅1팀</t>
        </is>
      </c>
      <c r="D60" s="42" t="n"/>
      <c r="E60" s="43" t="inlineStr">
        <is>
          <t>기획</t>
        </is>
      </c>
      <c r="F60" s="44" t="n"/>
      <c r="G60" s="45" t="n"/>
      <c r="H60" s="46">
        <f>IF($I$60="","",IF($I$60&lt;0,"🔴지연",IF($I$60&lt;=1,"🟡임박","🟢여유")))</f>
        <v/>
      </c>
      <c r="I60" s="47">
        <f>IF(OR($G$60="",$K$60=""),"",$G$60-$K$60)</f>
        <v/>
      </c>
      <c r="J60" s="48">
        <f>IF(SUM($L$60:$L$62)=0,"",SUM($L$60:$L$62))</f>
        <v/>
      </c>
      <c r="K60" s="49">
        <f>IF($J$60="","",MAX($N$60:$N$62))</f>
        <v/>
      </c>
      <c r="L60" s="50">
        <f>IF(SUM(U60:AY60)=0,"",SUM(U60:AY60))</f>
        <v/>
      </c>
      <c r="M60" s="51">
        <f>IFERROR(INDEX(U$2:AY$2,MATCH(TRUE,INDEX(U60:AY60&lt;&gt;"",0),0)),"")</f>
        <v/>
      </c>
      <c r="N60" s="51">
        <f>IFERROR(LOOKUP(2,1/(U60:AY60&lt;&gt;""),U$2:AY$2),"")</f>
        <v/>
      </c>
      <c r="O60" s="52" t="n"/>
      <c r="P60" s="52" t="n"/>
      <c r="Q60" s="52" t="n"/>
      <c r="R60" s="44" t="n"/>
      <c r="S60" s="14" t="n"/>
      <c r="U60" s="53" t="n"/>
      <c r="V60" s="53" t="n"/>
      <c r="W60" s="53" t="n"/>
      <c r="X60" s="53" t="n"/>
      <c r="Y60" s="53" t="n"/>
      <c r="Z60" s="53" t="n"/>
      <c r="AA60" s="53" t="n"/>
      <c r="AB60" s="53" t="n"/>
      <c r="AC60" s="53" t="n"/>
      <c r="AD60" s="53" t="n"/>
      <c r="AE60" s="53" t="n"/>
      <c r="AF60" s="53" t="n"/>
      <c r="AG60" s="53" t="n"/>
      <c r="AH60" s="53" t="n"/>
      <c r="AI60" s="53" t="n"/>
      <c r="AJ60" s="53" t="n"/>
      <c r="AK60" s="53" t="n"/>
      <c r="AL60" s="53" t="n"/>
      <c r="AM60" s="53" t="n"/>
      <c r="AN60" s="53" t="n"/>
      <c r="AO60" s="53" t="n"/>
      <c r="AP60" s="53" t="n"/>
      <c r="AQ60" s="53" t="n"/>
      <c r="AR60" s="53" t="n"/>
      <c r="AS60" s="53" t="n"/>
      <c r="AT60" s="53" t="n"/>
      <c r="AU60" s="53" t="n"/>
      <c r="AV60" s="53" t="n"/>
      <c r="AW60" s="53" t="n"/>
      <c r="AX60" s="53" t="n"/>
      <c r="AY60" s="53" t="n"/>
    </row>
    <row r="61" ht="15" customHeight="1">
      <c r="A61" s="54" t="n"/>
      <c r="B61" s="55">
        <f>IF($B$60="","",$B$60)</f>
        <v/>
      </c>
      <c r="C61" s="56" t="inlineStr">
        <is>
          <t>마케팅1팀</t>
        </is>
      </c>
      <c r="D61" s="55">
        <f>IF($D$60="","",$D$60)</f>
        <v/>
      </c>
      <c r="E61" s="57" t="inlineStr">
        <is>
          <t>이미지</t>
        </is>
      </c>
      <c r="F61" s="44" t="n"/>
      <c r="G61" s="58">
        <f>IF($G$60="","",$G$60)</f>
        <v/>
      </c>
      <c r="H61" s="59" t="n"/>
      <c r="I61" s="59" t="n"/>
      <c r="J61" s="59" t="n"/>
      <c r="K61" s="59" t="n"/>
      <c r="L61" s="60">
        <f>IF(SUM(U61:AY61)=0,"",SUM(U61:AY61))</f>
        <v/>
      </c>
      <c r="M61" s="61">
        <f>IFERROR(INDEX(U$2:AY$2,MATCH(TRUE,INDEX(U61:AY61&lt;&gt;"",0),0)),"")</f>
        <v/>
      </c>
      <c r="N61" s="61">
        <f>IFERROR(LOOKUP(2,1/(U61:AY61&lt;&gt;""),U$2:AY$2),"")</f>
        <v/>
      </c>
      <c r="O61" s="59" t="n"/>
      <c r="P61" s="59" t="n"/>
      <c r="Q61" s="59" t="n"/>
      <c r="R61" s="59" t="n"/>
      <c r="S61" s="14" t="n"/>
      <c r="U61" s="53" t="n"/>
      <c r="V61" s="53" t="n"/>
      <c r="W61" s="53" t="n"/>
      <c r="X61" s="53" t="n"/>
      <c r="Y61" s="53" t="n"/>
      <c r="Z61" s="53" t="n"/>
      <c r="AA61" s="53" t="n"/>
      <c r="AB61" s="53" t="n"/>
      <c r="AC61" s="53" t="n"/>
      <c r="AD61" s="53" t="n"/>
      <c r="AE61" s="53" t="n"/>
      <c r="AF61" s="53" t="n"/>
      <c r="AG61" s="53" t="n"/>
      <c r="AH61" s="53" t="n"/>
      <c r="AI61" s="53" t="n"/>
      <c r="AJ61" s="53" t="n"/>
      <c r="AK61" s="53" t="n"/>
      <c r="AL61" s="53" t="n"/>
      <c r="AM61" s="53" t="n"/>
      <c r="AN61" s="53" t="n"/>
      <c r="AO61" s="53" t="n"/>
      <c r="AP61" s="53" t="n"/>
      <c r="AQ61" s="53" t="n"/>
      <c r="AR61" s="53" t="n"/>
      <c r="AS61" s="53" t="n"/>
      <c r="AT61" s="53" t="n"/>
      <c r="AU61" s="53" t="n"/>
      <c r="AV61" s="53" t="n"/>
      <c r="AW61" s="53" t="n"/>
      <c r="AX61" s="53" t="n"/>
      <c r="AY61" s="53" t="n"/>
    </row>
    <row r="62" ht="15" customHeight="1">
      <c r="A62" s="62" t="n"/>
      <c r="B62" s="55">
        <f>IF($B$60="","",$B$60)</f>
        <v/>
      </c>
      <c r="C62" s="63" t="inlineStr">
        <is>
          <t>마케팅1팀</t>
        </is>
      </c>
      <c r="D62" s="55">
        <f>IF($D$60="","",$D$60)</f>
        <v/>
      </c>
      <c r="E62" s="64" t="inlineStr">
        <is>
          <t>영상</t>
        </is>
      </c>
      <c r="F62" s="44" t="n"/>
      <c r="G62" s="58">
        <f>IF($G$60="","",$G$60)</f>
        <v/>
      </c>
      <c r="H62" s="59" t="n"/>
      <c r="I62" s="59" t="n"/>
      <c r="J62" s="59" t="n"/>
      <c r="K62" s="59" t="n"/>
      <c r="L62" s="65">
        <f>IF(SUM(U62:AY62)=0,"",SUM(U62:AY62))</f>
        <v/>
      </c>
      <c r="M62" s="66">
        <f>IFERROR(INDEX(U$2:AY$2,MATCH(TRUE,INDEX(U62:AY62&lt;&gt;"",0),0)),"")</f>
        <v/>
      </c>
      <c r="N62" s="66">
        <f>IFERROR(LOOKUP(2,1/(U62:AY62&lt;&gt;""),U$2:AY$2),"")</f>
        <v/>
      </c>
      <c r="O62" s="59" t="n"/>
      <c r="P62" s="59" t="n"/>
      <c r="Q62" s="59" t="n"/>
      <c r="R62" s="59" t="n"/>
      <c r="S62" s="14" t="n"/>
      <c r="U62" s="53" t="n"/>
      <c r="V62" s="53" t="n"/>
      <c r="W62" s="53" t="n"/>
      <c r="X62" s="53" t="n"/>
      <c r="Y62" s="53" t="n"/>
      <c r="Z62" s="53" t="n"/>
      <c r="AA62" s="53" t="n"/>
      <c r="AB62" s="53" t="n"/>
      <c r="AC62" s="53" t="n"/>
      <c r="AD62" s="53" t="n"/>
      <c r="AE62" s="53" t="n"/>
      <c r="AF62" s="53" t="n"/>
      <c r="AG62" s="53" t="n"/>
      <c r="AH62" s="53" t="n"/>
      <c r="AI62" s="53" t="n"/>
      <c r="AJ62" s="53" t="n"/>
      <c r="AK62" s="53" t="n"/>
      <c r="AL62" s="53" t="n"/>
      <c r="AM62" s="53" t="n"/>
      <c r="AN62" s="53" t="n"/>
      <c r="AO62" s="53" t="n"/>
      <c r="AP62" s="53" t="n"/>
      <c r="AQ62" s="53" t="n"/>
      <c r="AR62" s="53" t="n"/>
      <c r="AS62" s="53" t="n"/>
      <c r="AT62" s="53" t="n"/>
      <c r="AU62" s="53" t="n"/>
      <c r="AV62" s="53" t="n"/>
      <c r="AW62" s="53" t="n"/>
      <c r="AX62" s="53" t="n"/>
      <c r="AY62" s="53" t="n"/>
    </row>
    <row r="63" ht="15" customHeight="1">
      <c r="A63" s="40">
        <f>IF($D$63="","",19)</f>
        <v/>
      </c>
      <c r="B63" s="10" t="n"/>
      <c r="C63" s="41" t="inlineStr">
        <is>
          <t>마케팅1팀</t>
        </is>
      </c>
      <c r="D63" s="42" t="n"/>
      <c r="E63" s="43" t="inlineStr">
        <is>
          <t>기획</t>
        </is>
      </c>
      <c r="F63" s="44" t="n"/>
      <c r="G63" s="45" t="n"/>
      <c r="H63" s="46">
        <f>IF($I$63="","",IF($I$63&lt;0,"🔴지연",IF($I$63&lt;=1,"🟡임박","🟢여유")))</f>
        <v/>
      </c>
      <c r="I63" s="47">
        <f>IF(OR($G$63="",$K$63=""),"",$G$63-$K$63)</f>
        <v/>
      </c>
      <c r="J63" s="48">
        <f>IF(SUM($L$63:$L$65)=0,"",SUM($L$63:$L$65))</f>
        <v/>
      </c>
      <c r="K63" s="49">
        <f>IF($J$63="","",MAX($N$63:$N$65))</f>
        <v/>
      </c>
      <c r="L63" s="50">
        <f>IF(SUM(U63:AY63)=0,"",SUM(U63:AY63))</f>
        <v/>
      </c>
      <c r="M63" s="51">
        <f>IFERROR(INDEX(U$2:AY$2,MATCH(TRUE,INDEX(U63:AY63&lt;&gt;"",0),0)),"")</f>
        <v/>
      </c>
      <c r="N63" s="51">
        <f>IFERROR(LOOKUP(2,1/(U63:AY63&lt;&gt;""),U$2:AY$2),"")</f>
        <v/>
      </c>
      <c r="O63" s="52" t="n"/>
      <c r="P63" s="52" t="n"/>
      <c r="Q63" s="52" t="n"/>
      <c r="R63" s="44" t="n"/>
      <c r="S63" s="14" t="n"/>
      <c r="U63" s="53" t="n"/>
      <c r="V63" s="53" t="n"/>
      <c r="W63" s="53" t="n"/>
      <c r="X63" s="53" t="n"/>
      <c r="Y63" s="53" t="n"/>
      <c r="Z63" s="53" t="n"/>
      <c r="AA63" s="53" t="n"/>
      <c r="AB63" s="53" t="n"/>
      <c r="AC63" s="53" t="n"/>
      <c r="AD63" s="53" t="n"/>
      <c r="AE63" s="53" t="n"/>
      <c r="AF63" s="53" t="n"/>
      <c r="AG63" s="53" t="n"/>
      <c r="AH63" s="53" t="n"/>
      <c r="AI63" s="53" t="n"/>
      <c r="AJ63" s="53" t="n"/>
      <c r="AK63" s="53" t="n"/>
      <c r="AL63" s="53" t="n"/>
      <c r="AM63" s="53" t="n"/>
      <c r="AN63" s="53" t="n"/>
      <c r="AO63" s="53" t="n"/>
      <c r="AP63" s="53" t="n"/>
      <c r="AQ63" s="53" t="n"/>
      <c r="AR63" s="53" t="n"/>
      <c r="AS63" s="53" t="n"/>
      <c r="AT63" s="53" t="n"/>
      <c r="AU63" s="53" t="n"/>
      <c r="AV63" s="53" t="n"/>
      <c r="AW63" s="53" t="n"/>
      <c r="AX63" s="53" t="n"/>
      <c r="AY63" s="53" t="n"/>
    </row>
    <row r="64" ht="15" customHeight="1">
      <c r="A64" s="54" t="n"/>
      <c r="B64" s="55">
        <f>IF($B$63="","",$B$63)</f>
        <v/>
      </c>
      <c r="C64" s="56" t="inlineStr">
        <is>
          <t>마케팅1팀</t>
        </is>
      </c>
      <c r="D64" s="55">
        <f>IF($D$63="","",$D$63)</f>
        <v/>
      </c>
      <c r="E64" s="57" t="inlineStr">
        <is>
          <t>이미지</t>
        </is>
      </c>
      <c r="F64" s="44" t="n"/>
      <c r="G64" s="58">
        <f>IF($G$63="","",$G$63)</f>
        <v/>
      </c>
      <c r="H64" s="59" t="n"/>
      <c r="I64" s="59" t="n"/>
      <c r="J64" s="59" t="n"/>
      <c r="K64" s="59" t="n"/>
      <c r="L64" s="60">
        <f>IF(SUM(U64:AY64)=0,"",SUM(U64:AY64))</f>
        <v/>
      </c>
      <c r="M64" s="61">
        <f>IFERROR(INDEX(U$2:AY$2,MATCH(TRUE,INDEX(U64:AY64&lt;&gt;"",0),0)),"")</f>
        <v/>
      </c>
      <c r="N64" s="61">
        <f>IFERROR(LOOKUP(2,1/(U64:AY64&lt;&gt;""),U$2:AY$2),"")</f>
        <v/>
      </c>
      <c r="O64" s="59" t="n"/>
      <c r="P64" s="59" t="n"/>
      <c r="Q64" s="59" t="n"/>
      <c r="R64" s="59" t="n"/>
      <c r="S64" s="14" t="n"/>
      <c r="U64" s="53" t="n"/>
      <c r="V64" s="53" t="n"/>
      <c r="W64" s="53" t="n"/>
      <c r="X64" s="53" t="n"/>
      <c r="Y64" s="53" t="n"/>
      <c r="Z64" s="53" t="n"/>
      <c r="AA64" s="53" t="n"/>
      <c r="AB64" s="53" t="n"/>
      <c r="AC64" s="53" t="n"/>
      <c r="AD64" s="53" t="n"/>
      <c r="AE64" s="53" t="n"/>
      <c r="AF64" s="53" t="n"/>
      <c r="AG64" s="53" t="n"/>
      <c r="AH64" s="53" t="n"/>
      <c r="AI64" s="53" t="n"/>
      <c r="AJ64" s="53" t="n"/>
      <c r="AK64" s="53" t="n"/>
      <c r="AL64" s="53" t="n"/>
      <c r="AM64" s="53" t="n"/>
      <c r="AN64" s="53" t="n"/>
      <c r="AO64" s="53" t="n"/>
      <c r="AP64" s="53" t="n"/>
      <c r="AQ64" s="53" t="n"/>
      <c r="AR64" s="53" t="n"/>
      <c r="AS64" s="53" t="n"/>
      <c r="AT64" s="53" t="n"/>
      <c r="AU64" s="53" t="n"/>
      <c r="AV64" s="53" t="n"/>
      <c r="AW64" s="53" t="n"/>
      <c r="AX64" s="53" t="n"/>
      <c r="AY64" s="53" t="n"/>
    </row>
    <row r="65" ht="15" customHeight="1">
      <c r="A65" s="62" t="n"/>
      <c r="B65" s="55">
        <f>IF($B$63="","",$B$63)</f>
        <v/>
      </c>
      <c r="C65" s="63" t="inlineStr">
        <is>
          <t>마케팅1팀</t>
        </is>
      </c>
      <c r="D65" s="55">
        <f>IF($D$63="","",$D$63)</f>
        <v/>
      </c>
      <c r="E65" s="64" t="inlineStr">
        <is>
          <t>영상</t>
        </is>
      </c>
      <c r="F65" s="44" t="n"/>
      <c r="G65" s="58">
        <f>IF($G$63="","",$G$63)</f>
        <v/>
      </c>
      <c r="H65" s="59" t="n"/>
      <c r="I65" s="59" t="n"/>
      <c r="J65" s="59" t="n"/>
      <c r="K65" s="59" t="n"/>
      <c r="L65" s="65">
        <f>IF(SUM(U65:AY65)=0,"",SUM(U65:AY65))</f>
        <v/>
      </c>
      <c r="M65" s="66">
        <f>IFERROR(INDEX(U$2:AY$2,MATCH(TRUE,INDEX(U65:AY65&lt;&gt;"",0),0)),"")</f>
        <v/>
      </c>
      <c r="N65" s="66">
        <f>IFERROR(LOOKUP(2,1/(U65:AY65&lt;&gt;""),U$2:AY$2),"")</f>
        <v/>
      </c>
      <c r="O65" s="59" t="n"/>
      <c r="P65" s="59" t="n"/>
      <c r="Q65" s="59" t="n"/>
      <c r="R65" s="59" t="n"/>
      <c r="S65" s="14" t="n"/>
      <c r="U65" s="53" t="n"/>
      <c r="V65" s="53" t="n"/>
      <c r="W65" s="53" t="n"/>
      <c r="X65" s="53" t="n"/>
      <c r="Y65" s="53" t="n"/>
      <c r="Z65" s="53" t="n"/>
      <c r="AA65" s="53" t="n"/>
      <c r="AB65" s="53" t="n"/>
      <c r="AC65" s="53" t="n"/>
      <c r="AD65" s="53" t="n"/>
      <c r="AE65" s="53" t="n"/>
      <c r="AF65" s="53" t="n"/>
      <c r="AG65" s="53" t="n"/>
      <c r="AH65" s="53" t="n"/>
      <c r="AI65" s="53" t="n"/>
      <c r="AJ65" s="53" t="n"/>
      <c r="AK65" s="53" t="n"/>
      <c r="AL65" s="53" t="n"/>
      <c r="AM65" s="53" t="n"/>
      <c r="AN65" s="53" t="n"/>
      <c r="AO65" s="53" t="n"/>
      <c r="AP65" s="53" t="n"/>
      <c r="AQ65" s="53" t="n"/>
      <c r="AR65" s="53" t="n"/>
      <c r="AS65" s="53" t="n"/>
      <c r="AT65" s="53" t="n"/>
      <c r="AU65" s="53" t="n"/>
      <c r="AV65" s="53" t="n"/>
      <c r="AW65" s="53" t="n"/>
      <c r="AX65" s="53" t="n"/>
      <c r="AY65" s="53" t="n"/>
    </row>
    <row r="66" ht="15" customHeight="1">
      <c r="A66" s="40">
        <f>IF($D$66="","",20)</f>
        <v/>
      </c>
      <c r="B66" s="10" t="n"/>
      <c r="C66" s="41" t="inlineStr">
        <is>
          <t>마케팅1팀</t>
        </is>
      </c>
      <c r="D66" s="42" t="n"/>
      <c r="E66" s="43" t="inlineStr">
        <is>
          <t>기획</t>
        </is>
      </c>
      <c r="F66" s="44" t="n"/>
      <c r="G66" s="45" t="n"/>
      <c r="H66" s="46">
        <f>IF($I$66="","",IF($I$66&lt;0,"🔴지연",IF($I$66&lt;=1,"🟡임박","🟢여유")))</f>
        <v/>
      </c>
      <c r="I66" s="47">
        <f>IF(OR($G$66="",$K$66=""),"",$G$66-$K$66)</f>
        <v/>
      </c>
      <c r="J66" s="48">
        <f>IF(SUM($L$66:$L$68)=0,"",SUM($L$66:$L$68))</f>
        <v/>
      </c>
      <c r="K66" s="49">
        <f>IF($J$66="","",MAX($N$66:$N$68))</f>
        <v/>
      </c>
      <c r="L66" s="50">
        <f>IF(SUM(U66:AY66)=0,"",SUM(U66:AY66))</f>
        <v/>
      </c>
      <c r="M66" s="51">
        <f>IFERROR(INDEX(U$2:AY$2,MATCH(TRUE,INDEX(U66:AY66&lt;&gt;"",0),0)),"")</f>
        <v/>
      </c>
      <c r="N66" s="51">
        <f>IFERROR(LOOKUP(2,1/(U66:AY66&lt;&gt;""),U$2:AY$2),"")</f>
        <v/>
      </c>
      <c r="O66" s="52" t="n"/>
      <c r="P66" s="52" t="n"/>
      <c r="Q66" s="52" t="n"/>
      <c r="R66" s="44" t="n"/>
      <c r="S66" s="14" t="n"/>
      <c r="U66" s="53" t="n"/>
      <c r="V66" s="53" t="n"/>
      <c r="W66" s="53" t="n"/>
      <c r="X66" s="53" t="n"/>
      <c r="Y66" s="53" t="n"/>
      <c r="Z66" s="53" t="n"/>
      <c r="AA66" s="53" t="n"/>
      <c r="AB66" s="53" t="n"/>
      <c r="AC66" s="53" t="n"/>
      <c r="AD66" s="53" t="n"/>
      <c r="AE66" s="53" t="n"/>
      <c r="AF66" s="53" t="n"/>
      <c r="AG66" s="53" t="n"/>
      <c r="AH66" s="53" t="n"/>
      <c r="AI66" s="53" t="n"/>
      <c r="AJ66" s="53" t="n"/>
      <c r="AK66" s="53" t="n"/>
      <c r="AL66" s="53" t="n"/>
      <c r="AM66" s="53" t="n"/>
      <c r="AN66" s="53" t="n"/>
      <c r="AO66" s="53" t="n"/>
      <c r="AP66" s="53" t="n"/>
      <c r="AQ66" s="53" t="n"/>
      <c r="AR66" s="53" t="n"/>
      <c r="AS66" s="53" t="n"/>
      <c r="AT66" s="53" t="n"/>
      <c r="AU66" s="53" t="n"/>
      <c r="AV66" s="53" t="n"/>
      <c r="AW66" s="53" t="n"/>
      <c r="AX66" s="53" t="n"/>
      <c r="AY66" s="53" t="n"/>
    </row>
    <row r="67" ht="15" customHeight="1">
      <c r="A67" s="54" t="n"/>
      <c r="B67" s="55">
        <f>IF($B$66="","",$B$66)</f>
        <v/>
      </c>
      <c r="C67" s="56" t="inlineStr">
        <is>
          <t>마케팅1팀</t>
        </is>
      </c>
      <c r="D67" s="55">
        <f>IF($D$66="","",$D$66)</f>
        <v/>
      </c>
      <c r="E67" s="57" t="inlineStr">
        <is>
          <t>이미지</t>
        </is>
      </c>
      <c r="F67" s="44" t="n"/>
      <c r="G67" s="58">
        <f>IF($G$66="","",$G$66)</f>
        <v/>
      </c>
      <c r="H67" s="59" t="n"/>
      <c r="I67" s="59" t="n"/>
      <c r="J67" s="59" t="n"/>
      <c r="K67" s="59" t="n"/>
      <c r="L67" s="60">
        <f>IF(SUM(U67:AY67)=0,"",SUM(U67:AY67))</f>
        <v/>
      </c>
      <c r="M67" s="61">
        <f>IFERROR(INDEX(U$2:AY$2,MATCH(TRUE,INDEX(U67:AY67&lt;&gt;"",0),0)),"")</f>
        <v/>
      </c>
      <c r="N67" s="61">
        <f>IFERROR(LOOKUP(2,1/(U67:AY67&lt;&gt;""),U$2:AY$2),"")</f>
        <v/>
      </c>
      <c r="O67" s="59" t="n"/>
      <c r="P67" s="59" t="n"/>
      <c r="Q67" s="59" t="n"/>
      <c r="R67" s="59" t="n"/>
      <c r="S67" s="14" t="n"/>
      <c r="U67" s="53" t="n"/>
      <c r="V67" s="53" t="n"/>
      <c r="W67" s="53" t="n"/>
      <c r="X67" s="53" t="n"/>
      <c r="Y67" s="53" t="n"/>
      <c r="Z67" s="53" t="n"/>
      <c r="AA67" s="53" t="n"/>
      <c r="AB67" s="53" t="n"/>
      <c r="AC67" s="53" t="n"/>
      <c r="AD67" s="53" t="n"/>
      <c r="AE67" s="53" t="n"/>
      <c r="AF67" s="53" t="n"/>
      <c r="AG67" s="53" t="n"/>
      <c r="AH67" s="53" t="n"/>
      <c r="AI67" s="53" t="n"/>
      <c r="AJ67" s="53" t="n"/>
      <c r="AK67" s="53" t="n"/>
      <c r="AL67" s="53" t="n"/>
      <c r="AM67" s="53" t="n"/>
      <c r="AN67" s="53" t="n"/>
      <c r="AO67" s="53" t="n"/>
      <c r="AP67" s="53" t="n"/>
      <c r="AQ67" s="53" t="n"/>
      <c r="AR67" s="53" t="n"/>
      <c r="AS67" s="53" t="n"/>
      <c r="AT67" s="53" t="n"/>
      <c r="AU67" s="53" t="n"/>
      <c r="AV67" s="53" t="n"/>
      <c r="AW67" s="53" t="n"/>
      <c r="AX67" s="53" t="n"/>
      <c r="AY67" s="53" t="n"/>
    </row>
    <row r="68" ht="15" customHeight="1">
      <c r="A68" s="62" t="n"/>
      <c r="B68" s="55">
        <f>IF($B$66="","",$B$66)</f>
        <v/>
      </c>
      <c r="C68" s="63" t="inlineStr">
        <is>
          <t>마케팅1팀</t>
        </is>
      </c>
      <c r="D68" s="55">
        <f>IF($D$66="","",$D$66)</f>
        <v/>
      </c>
      <c r="E68" s="64" t="inlineStr">
        <is>
          <t>영상</t>
        </is>
      </c>
      <c r="F68" s="44" t="n"/>
      <c r="G68" s="58">
        <f>IF($G$66="","",$G$66)</f>
        <v/>
      </c>
      <c r="H68" s="59" t="n"/>
      <c r="I68" s="59" t="n"/>
      <c r="J68" s="59" t="n"/>
      <c r="K68" s="59" t="n"/>
      <c r="L68" s="65">
        <f>IF(SUM(U68:AY68)=0,"",SUM(U68:AY68))</f>
        <v/>
      </c>
      <c r="M68" s="66">
        <f>IFERROR(INDEX(U$2:AY$2,MATCH(TRUE,INDEX(U68:AY68&lt;&gt;"",0),0)),"")</f>
        <v/>
      </c>
      <c r="N68" s="66">
        <f>IFERROR(LOOKUP(2,1/(U68:AY68&lt;&gt;""),U$2:AY$2),"")</f>
        <v/>
      </c>
      <c r="O68" s="59" t="n"/>
      <c r="P68" s="59" t="n"/>
      <c r="Q68" s="59" t="n"/>
      <c r="R68" s="59" t="n"/>
      <c r="S68" s="14" t="n"/>
      <c r="U68" s="53" t="n"/>
      <c r="V68" s="53" t="n"/>
      <c r="W68" s="53" t="n"/>
      <c r="X68" s="53" t="n"/>
      <c r="Y68" s="53" t="n"/>
      <c r="Z68" s="53" t="n"/>
      <c r="AA68" s="53" t="n"/>
      <c r="AB68" s="53" t="n"/>
      <c r="AC68" s="53" t="n"/>
      <c r="AD68" s="53" t="n"/>
      <c r="AE68" s="53" t="n"/>
      <c r="AF68" s="53" t="n"/>
      <c r="AG68" s="53" t="n"/>
      <c r="AH68" s="53" t="n"/>
      <c r="AI68" s="53" t="n"/>
      <c r="AJ68" s="53" t="n"/>
      <c r="AK68" s="53" t="n"/>
      <c r="AL68" s="53" t="n"/>
      <c r="AM68" s="53" t="n"/>
      <c r="AN68" s="53" t="n"/>
      <c r="AO68" s="53" t="n"/>
      <c r="AP68" s="53" t="n"/>
      <c r="AQ68" s="53" t="n"/>
      <c r="AR68" s="53" t="n"/>
      <c r="AS68" s="53" t="n"/>
      <c r="AT68" s="53" t="n"/>
      <c r="AU68" s="53" t="n"/>
      <c r="AV68" s="53" t="n"/>
      <c r="AW68" s="53" t="n"/>
      <c r="AX68" s="53" t="n"/>
      <c r="AY68" s="53" t="n"/>
    </row>
    <row r="69" ht="18" customHeight="1">
      <c r="A69" s="39" t="inlineStr">
        <is>
          <t>마케팅2팀   (70~129행 · 소재 20개)</t>
        </is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4" t="n"/>
    </row>
    <row r="70" ht="15" customHeight="1">
      <c r="A70" s="40">
        <f>IF($D$70="","",21)</f>
        <v/>
      </c>
      <c r="B70" s="10" t="n"/>
      <c r="C70" s="41" t="inlineStr">
        <is>
          <t>마케팅2팀</t>
        </is>
      </c>
      <c r="D70" s="42" t="n"/>
      <c r="E70" s="43" t="inlineStr">
        <is>
          <t>기획</t>
        </is>
      </c>
      <c r="F70" s="44" t="n"/>
      <c r="G70" s="45" t="n"/>
      <c r="H70" s="46">
        <f>IF($I$70="","",IF($I$70&lt;0,"🔴지연",IF($I$70&lt;=1,"🟡임박","🟢여유")))</f>
        <v/>
      </c>
      <c r="I70" s="47">
        <f>IF(OR($G$70="",$K$70=""),"",$G$70-$K$70)</f>
        <v/>
      </c>
      <c r="J70" s="48">
        <f>IF(SUM($L$70:$L$72)=0,"",SUM($L$70:$L$72))</f>
        <v/>
      </c>
      <c r="K70" s="49">
        <f>IF($J$70="","",MAX($N$70:$N$72))</f>
        <v/>
      </c>
      <c r="L70" s="50">
        <f>IF(SUM(U70:AY70)=0,"",SUM(U70:AY70))</f>
        <v/>
      </c>
      <c r="M70" s="51">
        <f>IFERROR(INDEX(U$2:AY$2,MATCH(TRUE,INDEX(U70:AY70&lt;&gt;"",0),0)),"")</f>
        <v/>
      </c>
      <c r="N70" s="51">
        <f>IFERROR(LOOKUP(2,1/(U70:AY70&lt;&gt;""),U$2:AY$2),"")</f>
        <v/>
      </c>
      <c r="O70" s="52" t="n"/>
      <c r="P70" s="52" t="n"/>
      <c r="Q70" s="52" t="n"/>
      <c r="R70" s="44" t="n"/>
      <c r="S70" s="14" t="n"/>
      <c r="U70" s="53" t="n"/>
      <c r="V70" s="53" t="n"/>
      <c r="W70" s="53" t="n"/>
      <c r="X70" s="53" t="n"/>
      <c r="Y70" s="53" t="n"/>
      <c r="Z70" s="53" t="n"/>
      <c r="AA70" s="53" t="n"/>
      <c r="AB70" s="53" t="n"/>
      <c r="AC70" s="53" t="n"/>
      <c r="AD70" s="53" t="n"/>
      <c r="AE70" s="53" t="n"/>
      <c r="AF70" s="53" t="n"/>
      <c r="AG70" s="53" t="n"/>
      <c r="AH70" s="53" t="n"/>
      <c r="AI70" s="53" t="n"/>
      <c r="AJ70" s="53" t="n"/>
      <c r="AK70" s="53" t="n"/>
      <c r="AL70" s="53" t="n"/>
      <c r="AM70" s="53" t="n"/>
      <c r="AN70" s="53" t="n"/>
      <c r="AO70" s="53" t="n"/>
      <c r="AP70" s="53" t="n"/>
      <c r="AQ70" s="53" t="n"/>
      <c r="AR70" s="53" t="n"/>
      <c r="AS70" s="53" t="n"/>
      <c r="AT70" s="53" t="n"/>
      <c r="AU70" s="53" t="n"/>
      <c r="AV70" s="53" t="n"/>
      <c r="AW70" s="53" t="n"/>
      <c r="AX70" s="53" t="n"/>
      <c r="AY70" s="53" t="n"/>
    </row>
    <row r="71" ht="15" customHeight="1">
      <c r="A71" s="54" t="n"/>
      <c r="B71" s="55">
        <f>IF($B$70="","",$B$70)</f>
        <v/>
      </c>
      <c r="C71" s="56" t="inlineStr">
        <is>
          <t>마케팅2팀</t>
        </is>
      </c>
      <c r="D71" s="55">
        <f>IF($D$70="","",$D$70)</f>
        <v/>
      </c>
      <c r="E71" s="57" t="inlineStr">
        <is>
          <t>이미지</t>
        </is>
      </c>
      <c r="F71" s="44" t="n"/>
      <c r="G71" s="58">
        <f>IF($G$70="","",$G$70)</f>
        <v/>
      </c>
      <c r="H71" s="59" t="n"/>
      <c r="I71" s="59" t="n"/>
      <c r="J71" s="59" t="n"/>
      <c r="K71" s="59" t="n"/>
      <c r="L71" s="60">
        <f>IF(SUM(U71:AY71)=0,"",SUM(U71:AY71))</f>
        <v/>
      </c>
      <c r="M71" s="61">
        <f>IFERROR(INDEX(U$2:AY$2,MATCH(TRUE,INDEX(U71:AY71&lt;&gt;"",0),0)),"")</f>
        <v/>
      </c>
      <c r="N71" s="61">
        <f>IFERROR(LOOKUP(2,1/(U71:AY71&lt;&gt;""),U$2:AY$2),"")</f>
        <v/>
      </c>
      <c r="O71" s="59" t="n"/>
      <c r="P71" s="59" t="n"/>
      <c r="Q71" s="59" t="n"/>
      <c r="R71" s="59" t="n"/>
      <c r="S71" s="14" t="n"/>
      <c r="U71" s="53" t="n"/>
      <c r="V71" s="53" t="n"/>
      <c r="W71" s="53" t="n"/>
      <c r="X71" s="53" t="n"/>
      <c r="Y71" s="53" t="n"/>
      <c r="Z71" s="53" t="n"/>
      <c r="AA71" s="53" t="n"/>
      <c r="AB71" s="53" t="n"/>
      <c r="AC71" s="53" t="n"/>
      <c r="AD71" s="53" t="n"/>
      <c r="AE71" s="53" t="n"/>
      <c r="AF71" s="53" t="n"/>
      <c r="AG71" s="53" t="n"/>
      <c r="AH71" s="53" t="n"/>
      <c r="AI71" s="53" t="n"/>
      <c r="AJ71" s="53" t="n"/>
      <c r="AK71" s="53" t="n"/>
      <c r="AL71" s="53" t="n"/>
      <c r="AM71" s="53" t="n"/>
      <c r="AN71" s="53" t="n"/>
      <c r="AO71" s="53" t="n"/>
      <c r="AP71" s="53" t="n"/>
      <c r="AQ71" s="53" t="n"/>
      <c r="AR71" s="53" t="n"/>
      <c r="AS71" s="53" t="n"/>
      <c r="AT71" s="53" t="n"/>
      <c r="AU71" s="53" t="n"/>
      <c r="AV71" s="53" t="n"/>
      <c r="AW71" s="53" t="n"/>
      <c r="AX71" s="53" t="n"/>
      <c r="AY71" s="53" t="n"/>
    </row>
    <row r="72" ht="15" customHeight="1">
      <c r="A72" s="62" t="n"/>
      <c r="B72" s="55">
        <f>IF($B$70="","",$B$70)</f>
        <v/>
      </c>
      <c r="C72" s="63" t="inlineStr">
        <is>
          <t>마케팅2팀</t>
        </is>
      </c>
      <c r="D72" s="55">
        <f>IF($D$70="","",$D$70)</f>
        <v/>
      </c>
      <c r="E72" s="64" t="inlineStr">
        <is>
          <t>영상</t>
        </is>
      </c>
      <c r="F72" s="44" t="n"/>
      <c r="G72" s="58">
        <f>IF($G$70="","",$G$70)</f>
        <v/>
      </c>
      <c r="H72" s="59" t="n"/>
      <c r="I72" s="59" t="n"/>
      <c r="J72" s="59" t="n"/>
      <c r="K72" s="59" t="n"/>
      <c r="L72" s="65">
        <f>IF(SUM(U72:AY72)=0,"",SUM(U72:AY72))</f>
        <v/>
      </c>
      <c r="M72" s="66">
        <f>IFERROR(INDEX(U$2:AY$2,MATCH(TRUE,INDEX(U72:AY72&lt;&gt;"",0),0)),"")</f>
        <v/>
      </c>
      <c r="N72" s="66">
        <f>IFERROR(LOOKUP(2,1/(U72:AY72&lt;&gt;""),U$2:AY$2),"")</f>
        <v/>
      </c>
      <c r="O72" s="59" t="n"/>
      <c r="P72" s="59" t="n"/>
      <c r="Q72" s="59" t="n"/>
      <c r="R72" s="59" t="n"/>
      <c r="S72" s="14" t="n"/>
      <c r="U72" s="53" t="n"/>
      <c r="V72" s="53" t="n"/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53" t="n"/>
      <c r="AF72" s="53" t="n"/>
      <c r="AG72" s="53" t="n"/>
      <c r="AH72" s="53" t="n"/>
      <c r="AI72" s="53" t="n"/>
      <c r="AJ72" s="53" t="n"/>
      <c r="AK72" s="53" t="n"/>
      <c r="AL72" s="53" t="n"/>
      <c r="AM72" s="53" t="n"/>
      <c r="AN72" s="53" t="n"/>
      <c r="AO72" s="53" t="n"/>
      <c r="AP72" s="53" t="n"/>
      <c r="AQ72" s="53" t="n"/>
      <c r="AR72" s="53" t="n"/>
      <c r="AS72" s="53" t="n"/>
      <c r="AT72" s="53" t="n"/>
      <c r="AU72" s="53" t="n"/>
      <c r="AV72" s="53" t="n"/>
      <c r="AW72" s="53" t="n"/>
      <c r="AX72" s="53" t="n"/>
      <c r="AY72" s="53" t="n"/>
    </row>
    <row r="73" ht="15" customHeight="1">
      <c r="A73" s="40">
        <f>IF($D$73="","",22)</f>
        <v/>
      </c>
      <c r="B73" s="10" t="n"/>
      <c r="C73" s="41" t="inlineStr">
        <is>
          <t>마케팅2팀</t>
        </is>
      </c>
      <c r="D73" s="42" t="n"/>
      <c r="E73" s="43" t="inlineStr">
        <is>
          <t>기획</t>
        </is>
      </c>
      <c r="F73" s="44" t="n"/>
      <c r="G73" s="45" t="n"/>
      <c r="H73" s="46">
        <f>IF($I$73="","",IF($I$73&lt;0,"🔴지연",IF($I$73&lt;=1,"🟡임박","🟢여유")))</f>
        <v/>
      </c>
      <c r="I73" s="47">
        <f>IF(OR($G$73="",$K$73=""),"",$G$73-$K$73)</f>
        <v/>
      </c>
      <c r="J73" s="48">
        <f>IF(SUM($L$73:$L$75)=0,"",SUM($L$73:$L$75))</f>
        <v/>
      </c>
      <c r="K73" s="49">
        <f>IF($J$73="","",MAX($N$73:$N$75))</f>
        <v/>
      </c>
      <c r="L73" s="50">
        <f>IF(SUM(U73:AY73)=0,"",SUM(U73:AY73))</f>
        <v/>
      </c>
      <c r="M73" s="51">
        <f>IFERROR(INDEX(U$2:AY$2,MATCH(TRUE,INDEX(U73:AY73&lt;&gt;"",0),0)),"")</f>
        <v/>
      </c>
      <c r="N73" s="51">
        <f>IFERROR(LOOKUP(2,1/(U73:AY73&lt;&gt;""),U$2:AY$2),"")</f>
        <v/>
      </c>
      <c r="O73" s="52" t="n"/>
      <c r="P73" s="52" t="n"/>
      <c r="Q73" s="52" t="n"/>
      <c r="R73" s="44" t="n"/>
      <c r="S73" s="14" t="n"/>
      <c r="U73" s="53" t="n"/>
      <c r="V73" s="53" t="n"/>
      <c r="W73" s="53" t="n"/>
      <c r="X73" s="53" t="n"/>
      <c r="Y73" s="53" t="n"/>
      <c r="Z73" s="53" t="n"/>
      <c r="AA73" s="53" t="n"/>
      <c r="AB73" s="53" t="n"/>
      <c r="AC73" s="53" t="n"/>
      <c r="AD73" s="53" t="n"/>
      <c r="AE73" s="53" t="n"/>
      <c r="AF73" s="53" t="n"/>
      <c r="AG73" s="53" t="n"/>
      <c r="AH73" s="53" t="n"/>
      <c r="AI73" s="53" t="n"/>
      <c r="AJ73" s="53" t="n"/>
      <c r="AK73" s="53" t="n"/>
      <c r="AL73" s="53" t="n"/>
      <c r="AM73" s="53" t="n"/>
      <c r="AN73" s="53" t="n"/>
      <c r="AO73" s="53" t="n"/>
      <c r="AP73" s="53" t="n"/>
      <c r="AQ73" s="53" t="n"/>
      <c r="AR73" s="53" t="n"/>
      <c r="AS73" s="53" t="n"/>
      <c r="AT73" s="53" t="n"/>
      <c r="AU73" s="53" t="n"/>
      <c r="AV73" s="53" t="n"/>
      <c r="AW73" s="53" t="n"/>
      <c r="AX73" s="53" t="n"/>
      <c r="AY73" s="53" t="n"/>
    </row>
    <row r="74" ht="15" customHeight="1">
      <c r="A74" s="54" t="n"/>
      <c r="B74" s="55">
        <f>IF($B$73="","",$B$73)</f>
        <v/>
      </c>
      <c r="C74" s="56" t="inlineStr">
        <is>
          <t>마케팅2팀</t>
        </is>
      </c>
      <c r="D74" s="55">
        <f>IF($D$73="","",$D$73)</f>
        <v/>
      </c>
      <c r="E74" s="57" t="inlineStr">
        <is>
          <t>이미지</t>
        </is>
      </c>
      <c r="F74" s="44" t="n"/>
      <c r="G74" s="58">
        <f>IF($G$73="","",$G$73)</f>
        <v/>
      </c>
      <c r="H74" s="59" t="n"/>
      <c r="I74" s="59" t="n"/>
      <c r="J74" s="59" t="n"/>
      <c r="K74" s="59" t="n"/>
      <c r="L74" s="60">
        <f>IF(SUM(U74:AY74)=0,"",SUM(U74:AY74))</f>
        <v/>
      </c>
      <c r="M74" s="61">
        <f>IFERROR(INDEX(U$2:AY$2,MATCH(TRUE,INDEX(U74:AY74&lt;&gt;"",0),0)),"")</f>
        <v/>
      </c>
      <c r="N74" s="61">
        <f>IFERROR(LOOKUP(2,1/(U74:AY74&lt;&gt;""),U$2:AY$2),"")</f>
        <v/>
      </c>
      <c r="O74" s="59" t="n"/>
      <c r="P74" s="59" t="n"/>
      <c r="Q74" s="59" t="n"/>
      <c r="R74" s="59" t="n"/>
      <c r="S74" s="14" t="n"/>
      <c r="U74" s="53" t="n"/>
      <c r="V74" s="53" t="n"/>
      <c r="W74" s="53" t="n"/>
      <c r="X74" s="53" t="n"/>
      <c r="Y74" s="53" t="n"/>
      <c r="Z74" s="53" t="n"/>
      <c r="AA74" s="53" t="n"/>
      <c r="AB74" s="53" t="n"/>
      <c r="AC74" s="53" t="n"/>
      <c r="AD74" s="53" t="n"/>
      <c r="AE74" s="53" t="n"/>
      <c r="AF74" s="53" t="n"/>
      <c r="AG74" s="53" t="n"/>
      <c r="AH74" s="53" t="n"/>
      <c r="AI74" s="53" t="n"/>
      <c r="AJ74" s="53" t="n"/>
      <c r="AK74" s="53" t="n"/>
      <c r="AL74" s="53" t="n"/>
      <c r="AM74" s="53" t="n"/>
      <c r="AN74" s="53" t="n"/>
      <c r="AO74" s="53" t="n"/>
      <c r="AP74" s="53" t="n"/>
      <c r="AQ74" s="53" t="n"/>
      <c r="AR74" s="53" t="n"/>
      <c r="AS74" s="53" t="n"/>
      <c r="AT74" s="53" t="n"/>
      <c r="AU74" s="53" t="n"/>
      <c r="AV74" s="53" t="n"/>
      <c r="AW74" s="53" t="n"/>
      <c r="AX74" s="53" t="n"/>
      <c r="AY74" s="53" t="n"/>
    </row>
    <row r="75" ht="15" customHeight="1">
      <c r="A75" s="62" t="n"/>
      <c r="B75" s="55">
        <f>IF($B$73="","",$B$73)</f>
        <v/>
      </c>
      <c r="C75" s="63" t="inlineStr">
        <is>
          <t>마케팅2팀</t>
        </is>
      </c>
      <c r="D75" s="55">
        <f>IF($D$73="","",$D$73)</f>
        <v/>
      </c>
      <c r="E75" s="64" t="inlineStr">
        <is>
          <t>영상</t>
        </is>
      </c>
      <c r="F75" s="44" t="n"/>
      <c r="G75" s="58">
        <f>IF($G$73="","",$G$73)</f>
        <v/>
      </c>
      <c r="H75" s="59" t="n"/>
      <c r="I75" s="59" t="n"/>
      <c r="J75" s="59" t="n"/>
      <c r="K75" s="59" t="n"/>
      <c r="L75" s="65">
        <f>IF(SUM(U75:AY75)=0,"",SUM(U75:AY75))</f>
        <v/>
      </c>
      <c r="M75" s="66">
        <f>IFERROR(INDEX(U$2:AY$2,MATCH(TRUE,INDEX(U75:AY75&lt;&gt;"",0),0)),"")</f>
        <v/>
      </c>
      <c r="N75" s="66">
        <f>IFERROR(LOOKUP(2,1/(U75:AY75&lt;&gt;""),U$2:AY$2),"")</f>
        <v/>
      </c>
      <c r="O75" s="59" t="n"/>
      <c r="P75" s="59" t="n"/>
      <c r="Q75" s="59" t="n"/>
      <c r="R75" s="59" t="n"/>
      <c r="S75" s="14" t="n"/>
      <c r="U75" s="53" t="n"/>
      <c r="V75" s="53" t="n"/>
      <c r="W75" s="53" t="n"/>
      <c r="X75" s="53" t="n"/>
      <c r="Y75" s="53" t="n"/>
      <c r="Z75" s="53" t="n"/>
      <c r="AA75" s="53" t="n"/>
      <c r="AB75" s="53" t="n"/>
      <c r="AC75" s="53" t="n"/>
      <c r="AD75" s="53" t="n"/>
      <c r="AE75" s="53" t="n"/>
      <c r="AF75" s="53" t="n"/>
      <c r="AG75" s="53" t="n"/>
      <c r="AH75" s="53" t="n"/>
      <c r="AI75" s="53" t="n"/>
      <c r="AJ75" s="53" t="n"/>
      <c r="AK75" s="53" t="n"/>
      <c r="AL75" s="53" t="n"/>
      <c r="AM75" s="53" t="n"/>
      <c r="AN75" s="53" t="n"/>
      <c r="AO75" s="53" t="n"/>
      <c r="AP75" s="53" t="n"/>
      <c r="AQ75" s="53" t="n"/>
      <c r="AR75" s="53" t="n"/>
      <c r="AS75" s="53" t="n"/>
      <c r="AT75" s="53" t="n"/>
      <c r="AU75" s="53" t="n"/>
      <c r="AV75" s="53" t="n"/>
      <c r="AW75" s="53" t="n"/>
      <c r="AX75" s="53" t="n"/>
      <c r="AY75" s="53" t="n"/>
    </row>
    <row r="76" ht="15" customHeight="1">
      <c r="A76" s="40">
        <f>IF($D$76="","",23)</f>
        <v/>
      </c>
      <c r="B76" s="10" t="n"/>
      <c r="C76" s="41" t="inlineStr">
        <is>
          <t>마케팅2팀</t>
        </is>
      </c>
      <c r="D76" s="42" t="n"/>
      <c r="E76" s="43" t="inlineStr">
        <is>
          <t>기획</t>
        </is>
      </c>
      <c r="F76" s="44" t="n"/>
      <c r="G76" s="45" t="n"/>
      <c r="H76" s="46">
        <f>IF($I$76="","",IF($I$76&lt;0,"🔴지연",IF($I$76&lt;=1,"🟡임박","🟢여유")))</f>
        <v/>
      </c>
      <c r="I76" s="47">
        <f>IF(OR($G$76="",$K$76=""),"",$G$76-$K$76)</f>
        <v/>
      </c>
      <c r="J76" s="48">
        <f>IF(SUM($L$76:$L$78)=0,"",SUM($L$76:$L$78))</f>
        <v/>
      </c>
      <c r="K76" s="49">
        <f>IF($J$76="","",MAX($N$76:$N$78))</f>
        <v/>
      </c>
      <c r="L76" s="50">
        <f>IF(SUM(U76:AY76)=0,"",SUM(U76:AY76))</f>
        <v/>
      </c>
      <c r="M76" s="51">
        <f>IFERROR(INDEX(U$2:AY$2,MATCH(TRUE,INDEX(U76:AY76&lt;&gt;"",0),0)),"")</f>
        <v/>
      </c>
      <c r="N76" s="51">
        <f>IFERROR(LOOKUP(2,1/(U76:AY76&lt;&gt;""),U$2:AY$2),"")</f>
        <v/>
      </c>
      <c r="O76" s="52" t="n"/>
      <c r="P76" s="52" t="n"/>
      <c r="Q76" s="52" t="n"/>
      <c r="R76" s="44" t="n"/>
      <c r="S76" s="14" t="n"/>
      <c r="U76" s="53" t="n"/>
      <c r="V76" s="53" t="n"/>
      <c r="W76" s="53" t="n"/>
      <c r="X76" s="53" t="n"/>
      <c r="Y76" s="53" t="n"/>
      <c r="Z76" s="53" t="n"/>
      <c r="AA76" s="53" t="n"/>
      <c r="AB76" s="53" t="n"/>
      <c r="AC76" s="53" t="n"/>
      <c r="AD76" s="53" t="n"/>
      <c r="AE76" s="53" t="n"/>
      <c r="AF76" s="53" t="n"/>
      <c r="AG76" s="53" t="n"/>
      <c r="AH76" s="53" t="n"/>
      <c r="AI76" s="53" t="n"/>
      <c r="AJ76" s="53" t="n"/>
      <c r="AK76" s="53" t="n"/>
      <c r="AL76" s="53" t="n"/>
      <c r="AM76" s="53" t="n"/>
      <c r="AN76" s="53" t="n"/>
      <c r="AO76" s="53" t="n"/>
      <c r="AP76" s="53" t="n"/>
      <c r="AQ76" s="53" t="n"/>
      <c r="AR76" s="53" t="n"/>
      <c r="AS76" s="53" t="n"/>
      <c r="AT76" s="53" t="n"/>
      <c r="AU76" s="53" t="n"/>
      <c r="AV76" s="53" t="n"/>
      <c r="AW76" s="53" t="n"/>
      <c r="AX76" s="53" t="n"/>
      <c r="AY76" s="53" t="n"/>
    </row>
    <row r="77" ht="15" customHeight="1">
      <c r="A77" s="54" t="n"/>
      <c r="B77" s="55">
        <f>IF($B$76="","",$B$76)</f>
        <v/>
      </c>
      <c r="C77" s="56" t="inlineStr">
        <is>
          <t>마케팅2팀</t>
        </is>
      </c>
      <c r="D77" s="55">
        <f>IF($D$76="","",$D$76)</f>
        <v/>
      </c>
      <c r="E77" s="57" t="inlineStr">
        <is>
          <t>이미지</t>
        </is>
      </c>
      <c r="F77" s="44" t="n"/>
      <c r="G77" s="58">
        <f>IF($G$76="","",$G$76)</f>
        <v/>
      </c>
      <c r="H77" s="59" t="n"/>
      <c r="I77" s="59" t="n"/>
      <c r="J77" s="59" t="n"/>
      <c r="K77" s="59" t="n"/>
      <c r="L77" s="60">
        <f>IF(SUM(U77:AY77)=0,"",SUM(U77:AY77))</f>
        <v/>
      </c>
      <c r="M77" s="61">
        <f>IFERROR(INDEX(U$2:AY$2,MATCH(TRUE,INDEX(U77:AY77&lt;&gt;"",0),0)),"")</f>
        <v/>
      </c>
      <c r="N77" s="61">
        <f>IFERROR(LOOKUP(2,1/(U77:AY77&lt;&gt;""),U$2:AY$2),"")</f>
        <v/>
      </c>
      <c r="O77" s="59" t="n"/>
      <c r="P77" s="59" t="n"/>
      <c r="Q77" s="59" t="n"/>
      <c r="R77" s="59" t="n"/>
      <c r="S77" s="14" t="n"/>
      <c r="U77" s="53" t="n"/>
      <c r="V77" s="53" t="n"/>
      <c r="W77" s="53" t="n"/>
      <c r="X77" s="53" t="n"/>
      <c r="Y77" s="53" t="n"/>
      <c r="Z77" s="53" t="n"/>
      <c r="AA77" s="53" t="n"/>
      <c r="AB77" s="53" t="n"/>
      <c r="AC77" s="53" t="n"/>
      <c r="AD77" s="53" t="n"/>
      <c r="AE77" s="53" t="n"/>
      <c r="AF77" s="53" t="n"/>
      <c r="AG77" s="53" t="n"/>
      <c r="AH77" s="53" t="n"/>
      <c r="AI77" s="53" t="n"/>
      <c r="AJ77" s="53" t="n"/>
      <c r="AK77" s="53" t="n"/>
      <c r="AL77" s="53" t="n"/>
      <c r="AM77" s="53" t="n"/>
      <c r="AN77" s="53" t="n"/>
      <c r="AO77" s="53" t="n"/>
      <c r="AP77" s="53" t="n"/>
      <c r="AQ77" s="53" t="n"/>
      <c r="AR77" s="53" t="n"/>
      <c r="AS77" s="53" t="n"/>
      <c r="AT77" s="53" t="n"/>
      <c r="AU77" s="53" t="n"/>
      <c r="AV77" s="53" t="n"/>
      <c r="AW77" s="53" t="n"/>
      <c r="AX77" s="53" t="n"/>
      <c r="AY77" s="53" t="n"/>
    </row>
    <row r="78" ht="15" customHeight="1">
      <c r="A78" s="62" t="n"/>
      <c r="B78" s="55">
        <f>IF($B$76="","",$B$76)</f>
        <v/>
      </c>
      <c r="C78" s="63" t="inlineStr">
        <is>
          <t>마케팅2팀</t>
        </is>
      </c>
      <c r="D78" s="55">
        <f>IF($D$76="","",$D$76)</f>
        <v/>
      </c>
      <c r="E78" s="64" t="inlineStr">
        <is>
          <t>영상</t>
        </is>
      </c>
      <c r="F78" s="44" t="n"/>
      <c r="G78" s="58">
        <f>IF($G$76="","",$G$76)</f>
        <v/>
      </c>
      <c r="H78" s="59" t="n"/>
      <c r="I78" s="59" t="n"/>
      <c r="J78" s="59" t="n"/>
      <c r="K78" s="59" t="n"/>
      <c r="L78" s="65">
        <f>IF(SUM(U78:AY78)=0,"",SUM(U78:AY78))</f>
        <v/>
      </c>
      <c r="M78" s="66">
        <f>IFERROR(INDEX(U$2:AY$2,MATCH(TRUE,INDEX(U78:AY78&lt;&gt;"",0),0)),"")</f>
        <v/>
      </c>
      <c r="N78" s="66">
        <f>IFERROR(LOOKUP(2,1/(U78:AY78&lt;&gt;""),U$2:AY$2),"")</f>
        <v/>
      </c>
      <c r="O78" s="59" t="n"/>
      <c r="P78" s="59" t="n"/>
      <c r="Q78" s="59" t="n"/>
      <c r="R78" s="59" t="n"/>
      <c r="S78" s="14" t="n"/>
      <c r="U78" s="53" t="n"/>
      <c r="V78" s="53" t="n"/>
      <c r="W78" s="53" t="n"/>
      <c r="X78" s="53" t="n"/>
      <c r="Y78" s="53" t="n"/>
      <c r="Z78" s="53" t="n"/>
      <c r="AA78" s="53" t="n"/>
      <c r="AB78" s="53" t="n"/>
      <c r="AC78" s="53" t="n"/>
      <c r="AD78" s="53" t="n"/>
      <c r="AE78" s="53" t="n"/>
      <c r="AF78" s="53" t="n"/>
      <c r="AG78" s="53" t="n"/>
      <c r="AH78" s="53" t="n"/>
      <c r="AI78" s="53" t="n"/>
      <c r="AJ78" s="53" t="n"/>
      <c r="AK78" s="53" t="n"/>
      <c r="AL78" s="53" t="n"/>
      <c r="AM78" s="53" t="n"/>
      <c r="AN78" s="53" t="n"/>
      <c r="AO78" s="53" t="n"/>
      <c r="AP78" s="53" t="n"/>
      <c r="AQ78" s="53" t="n"/>
      <c r="AR78" s="53" t="n"/>
      <c r="AS78" s="53" t="n"/>
      <c r="AT78" s="53" t="n"/>
      <c r="AU78" s="53" t="n"/>
      <c r="AV78" s="53" t="n"/>
      <c r="AW78" s="53" t="n"/>
      <c r="AX78" s="53" t="n"/>
      <c r="AY78" s="53" t="n"/>
    </row>
    <row r="79" ht="15" customHeight="1">
      <c r="A79" s="40">
        <f>IF($D$79="","",24)</f>
        <v/>
      </c>
      <c r="B79" s="10" t="n"/>
      <c r="C79" s="41" t="inlineStr">
        <is>
          <t>마케팅2팀</t>
        </is>
      </c>
      <c r="D79" s="42" t="n"/>
      <c r="E79" s="43" t="inlineStr">
        <is>
          <t>기획</t>
        </is>
      </c>
      <c r="F79" s="44" t="n"/>
      <c r="G79" s="45" t="n"/>
      <c r="H79" s="46">
        <f>IF($I$79="","",IF($I$79&lt;0,"🔴지연",IF($I$79&lt;=1,"🟡임박","🟢여유")))</f>
        <v/>
      </c>
      <c r="I79" s="47">
        <f>IF(OR($G$79="",$K$79=""),"",$G$79-$K$79)</f>
        <v/>
      </c>
      <c r="J79" s="48">
        <f>IF(SUM($L$79:$L$81)=0,"",SUM($L$79:$L$81))</f>
        <v/>
      </c>
      <c r="K79" s="49">
        <f>IF($J$79="","",MAX($N$79:$N$81))</f>
        <v/>
      </c>
      <c r="L79" s="50">
        <f>IF(SUM(U79:AY79)=0,"",SUM(U79:AY79))</f>
        <v/>
      </c>
      <c r="M79" s="51">
        <f>IFERROR(INDEX(U$2:AY$2,MATCH(TRUE,INDEX(U79:AY79&lt;&gt;"",0),0)),"")</f>
        <v/>
      </c>
      <c r="N79" s="51">
        <f>IFERROR(LOOKUP(2,1/(U79:AY79&lt;&gt;""),U$2:AY$2),"")</f>
        <v/>
      </c>
      <c r="O79" s="52" t="n"/>
      <c r="P79" s="52" t="n"/>
      <c r="Q79" s="52" t="n"/>
      <c r="R79" s="44" t="n"/>
      <c r="S79" s="14" t="n"/>
      <c r="U79" s="53" t="n"/>
      <c r="V79" s="53" t="n"/>
      <c r="W79" s="53" t="n"/>
      <c r="X79" s="53" t="n"/>
      <c r="Y79" s="53" t="n"/>
      <c r="Z79" s="53" t="n"/>
      <c r="AA79" s="53" t="n"/>
      <c r="AB79" s="53" t="n"/>
      <c r="AC79" s="53" t="n"/>
      <c r="AD79" s="53" t="n"/>
      <c r="AE79" s="53" t="n"/>
      <c r="AF79" s="53" t="n"/>
      <c r="AG79" s="53" t="n"/>
      <c r="AH79" s="53" t="n"/>
      <c r="AI79" s="53" t="n"/>
      <c r="AJ79" s="53" t="n"/>
      <c r="AK79" s="53" t="n"/>
      <c r="AL79" s="53" t="n"/>
      <c r="AM79" s="53" t="n"/>
      <c r="AN79" s="53" t="n"/>
      <c r="AO79" s="53" t="n"/>
      <c r="AP79" s="53" t="n"/>
      <c r="AQ79" s="53" t="n"/>
      <c r="AR79" s="53" t="n"/>
      <c r="AS79" s="53" t="n"/>
      <c r="AT79" s="53" t="n"/>
      <c r="AU79" s="53" t="n"/>
      <c r="AV79" s="53" t="n"/>
      <c r="AW79" s="53" t="n"/>
      <c r="AX79" s="53" t="n"/>
      <c r="AY79" s="53" t="n"/>
    </row>
    <row r="80" ht="15" customHeight="1">
      <c r="A80" s="54" t="n"/>
      <c r="B80" s="55">
        <f>IF($B$79="","",$B$79)</f>
        <v/>
      </c>
      <c r="C80" s="56" t="inlineStr">
        <is>
          <t>마케팅2팀</t>
        </is>
      </c>
      <c r="D80" s="55">
        <f>IF($D$79="","",$D$79)</f>
        <v/>
      </c>
      <c r="E80" s="57" t="inlineStr">
        <is>
          <t>이미지</t>
        </is>
      </c>
      <c r="F80" s="44" t="n"/>
      <c r="G80" s="58">
        <f>IF($G$79="","",$G$79)</f>
        <v/>
      </c>
      <c r="H80" s="59" t="n"/>
      <c r="I80" s="59" t="n"/>
      <c r="J80" s="59" t="n"/>
      <c r="K80" s="59" t="n"/>
      <c r="L80" s="60">
        <f>IF(SUM(U80:AY80)=0,"",SUM(U80:AY80))</f>
        <v/>
      </c>
      <c r="M80" s="61">
        <f>IFERROR(INDEX(U$2:AY$2,MATCH(TRUE,INDEX(U80:AY80&lt;&gt;"",0),0)),"")</f>
        <v/>
      </c>
      <c r="N80" s="61">
        <f>IFERROR(LOOKUP(2,1/(U80:AY80&lt;&gt;""),U$2:AY$2),"")</f>
        <v/>
      </c>
      <c r="O80" s="59" t="n"/>
      <c r="P80" s="59" t="n"/>
      <c r="Q80" s="59" t="n"/>
      <c r="R80" s="59" t="n"/>
      <c r="S80" s="14" t="n"/>
      <c r="U80" s="53" t="n"/>
      <c r="V80" s="53" t="n"/>
      <c r="W80" s="53" t="n"/>
      <c r="X80" s="53" t="n"/>
      <c r="Y80" s="53" t="n"/>
      <c r="Z80" s="53" t="n"/>
      <c r="AA80" s="53" t="n"/>
      <c r="AB80" s="53" t="n"/>
      <c r="AC80" s="53" t="n"/>
      <c r="AD80" s="53" t="n"/>
      <c r="AE80" s="53" t="n"/>
      <c r="AF80" s="53" t="n"/>
      <c r="AG80" s="53" t="n"/>
      <c r="AH80" s="53" t="n"/>
      <c r="AI80" s="53" t="n"/>
      <c r="AJ80" s="53" t="n"/>
      <c r="AK80" s="53" t="n"/>
      <c r="AL80" s="53" t="n"/>
      <c r="AM80" s="53" t="n"/>
      <c r="AN80" s="53" t="n"/>
      <c r="AO80" s="53" t="n"/>
      <c r="AP80" s="53" t="n"/>
      <c r="AQ80" s="53" t="n"/>
      <c r="AR80" s="53" t="n"/>
      <c r="AS80" s="53" t="n"/>
      <c r="AT80" s="53" t="n"/>
      <c r="AU80" s="53" t="n"/>
      <c r="AV80" s="53" t="n"/>
      <c r="AW80" s="53" t="n"/>
      <c r="AX80" s="53" t="n"/>
      <c r="AY80" s="53" t="n"/>
    </row>
    <row r="81" ht="15" customHeight="1">
      <c r="A81" s="62" t="n"/>
      <c r="B81" s="55">
        <f>IF($B$79="","",$B$79)</f>
        <v/>
      </c>
      <c r="C81" s="63" t="inlineStr">
        <is>
          <t>마케팅2팀</t>
        </is>
      </c>
      <c r="D81" s="55">
        <f>IF($D$79="","",$D$79)</f>
        <v/>
      </c>
      <c r="E81" s="64" t="inlineStr">
        <is>
          <t>영상</t>
        </is>
      </c>
      <c r="F81" s="44" t="n"/>
      <c r="G81" s="58">
        <f>IF($G$79="","",$G$79)</f>
        <v/>
      </c>
      <c r="H81" s="59" t="n"/>
      <c r="I81" s="59" t="n"/>
      <c r="J81" s="59" t="n"/>
      <c r="K81" s="59" t="n"/>
      <c r="L81" s="65">
        <f>IF(SUM(U81:AY81)=0,"",SUM(U81:AY81))</f>
        <v/>
      </c>
      <c r="M81" s="66">
        <f>IFERROR(INDEX(U$2:AY$2,MATCH(TRUE,INDEX(U81:AY81&lt;&gt;"",0),0)),"")</f>
        <v/>
      </c>
      <c r="N81" s="66">
        <f>IFERROR(LOOKUP(2,1/(U81:AY81&lt;&gt;""),U$2:AY$2),"")</f>
        <v/>
      </c>
      <c r="O81" s="59" t="n"/>
      <c r="P81" s="59" t="n"/>
      <c r="Q81" s="59" t="n"/>
      <c r="R81" s="59" t="n"/>
      <c r="S81" s="14" t="n"/>
      <c r="U81" s="53" t="n"/>
      <c r="V81" s="53" t="n"/>
      <c r="W81" s="53" t="n"/>
      <c r="X81" s="53" t="n"/>
      <c r="Y81" s="53" t="n"/>
      <c r="Z81" s="53" t="n"/>
      <c r="AA81" s="53" t="n"/>
      <c r="AB81" s="53" t="n"/>
      <c r="AC81" s="53" t="n"/>
      <c r="AD81" s="53" t="n"/>
      <c r="AE81" s="53" t="n"/>
      <c r="AF81" s="53" t="n"/>
      <c r="AG81" s="53" t="n"/>
      <c r="AH81" s="53" t="n"/>
      <c r="AI81" s="53" t="n"/>
      <c r="AJ81" s="53" t="n"/>
      <c r="AK81" s="53" t="n"/>
      <c r="AL81" s="53" t="n"/>
      <c r="AM81" s="53" t="n"/>
      <c r="AN81" s="53" t="n"/>
      <c r="AO81" s="53" t="n"/>
      <c r="AP81" s="53" t="n"/>
      <c r="AQ81" s="53" t="n"/>
      <c r="AR81" s="53" t="n"/>
      <c r="AS81" s="53" t="n"/>
      <c r="AT81" s="53" t="n"/>
      <c r="AU81" s="53" t="n"/>
      <c r="AV81" s="53" t="n"/>
      <c r="AW81" s="53" t="n"/>
      <c r="AX81" s="53" t="n"/>
      <c r="AY81" s="53" t="n"/>
    </row>
    <row r="82" ht="15" customHeight="1">
      <c r="A82" s="40">
        <f>IF($D$82="","",25)</f>
        <v/>
      </c>
      <c r="B82" s="10" t="n"/>
      <c r="C82" s="41" t="inlineStr">
        <is>
          <t>마케팅2팀</t>
        </is>
      </c>
      <c r="D82" s="42" t="n"/>
      <c r="E82" s="43" t="inlineStr">
        <is>
          <t>기획</t>
        </is>
      </c>
      <c r="F82" s="44" t="n"/>
      <c r="G82" s="45" t="n"/>
      <c r="H82" s="46">
        <f>IF($I$82="","",IF($I$82&lt;0,"🔴지연",IF($I$82&lt;=1,"🟡임박","🟢여유")))</f>
        <v/>
      </c>
      <c r="I82" s="47">
        <f>IF(OR($G$82="",$K$82=""),"",$G$82-$K$82)</f>
        <v/>
      </c>
      <c r="J82" s="48">
        <f>IF(SUM($L$82:$L$84)=0,"",SUM($L$82:$L$84))</f>
        <v/>
      </c>
      <c r="K82" s="49">
        <f>IF($J$82="","",MAX($N$82:$N$84))</f>
        <v/>
      </c>
      <c r="L82" s="50">
        <f>IF(SUM(U82:AY82)=0,"",SUM(U82:AY82))</f>
        <v/>
      </c>
      <c r="M82" s="51">
        <f>IFERROR(INDEX(U$2:AY$2,MATCH(TRUE,INDEX(U82:AY82&lt;&gt;"",0),0)),"")</f>
        <v/>
      </c>
      <c r="N82" s="51">
        <f>IFERROR(LOOKUP(2,1/(U82:AY82&lt;&gt;""),U$2:AY$2),"")</f>
        <v/>
      </c>
      <c r="O82" s="52" t="n"/>
      <c r="P82" s="52" t="n"/>
      <c r="Q82" s="52" t="n"/>
      <c r="R82" s="44" t="n"/>
      <c r="S82" s="14" t="n"/>
      <c r="U82" s="53" t="n"/>
      <c r="V82" s="53" t="n"/>
      <c r="W82" s="53" t="n"/>
      <c r="X82" s="53" t="n"/>
      <c r="Y82" s="53" t="n"/>
      <c r="Z82" s="53" t="n"/>
      <c r="AA82" s="53" t="n"/>
      <c r="AB82" s="53" t="n"/>
      <c r="AC82" s="53" t="n"/>
      <c r="AD82" s="53" t="n"/>
      <c r="AE82" s="53" t="n"/>
      <c r="AF82" s="53" t="n"/>
      <c r="AG82" s="53" t="n"/>
      <c r="AH82" s="53" t="n"/>
      <c r="AI82" s="53" t="n"/>
      <c r="AJ82" s="53" t="n"/>
      <c r="AK82" s="53" t="n"/>
      <c r="AL82" s="53" t="n"/>
      <c r="AM82" s="53" t="n"/>
      <c r="AN82" s="53" t="n"/>
      <c r="AO82" s="53" t="n"/>
      <c r="AP82" s="53" t="n"/>
      <c r="AQ82" s="53" t="n"/>
      <c r="AR82" s="53" t="n"/>
      <c r="AS82" s="53" t="n"/>
      <c r="AT82" s="53" t="n"/>
      <c r="AU82" s="53" t="n"/>
      <c r="AV82" s="53" t="n"/>
      <c r="AW82" s="53" t="n"/>
      <c r="AX82" s="53" t="n"/>
      <c r="AY82" s="53" t="n"/>
    </row>
    <row r="83" ht="15" customHeight="1">
      <c r="A83" s="54" t="n"/>
      <c r="B83" s="55">
        <f>IF($B$82="","",$B$82)</f>
        <v/>
      </c>
      <c r="C83" s="56" t="inlineStr">
        <is>
          <t>마케팅2팀</t>
        </is>
      </c>
      <c r="D83" s="55">
        <f>IF($D$82="","",$D$82)</f>
        <v/>
      </c>
      <c r="E83" s="57" t="inlineStr">
        <is>
          <t>이미지</t>
        </is>
      </c>
      <c r="F83" s="44" t="n"/>
      <c r="G83" s="58">
        <f>IF($G$82="","",$G$82)</f>
        <v/>
      </c>
      <c r="H83" s="59" t="n"/>
      <c r="I83" s="59" t="n"/>
      <c r="J83" s="59" t="n"/>
      <c r="K83" s="59" t="n"/>
      <c r="L83" s="60">
        <f>IF(SUM(U83:AY83)=0,"",SUM(U83:AY83))</f>
        <v/>
      </c>
      <c r="M83" s="61">
        <f>IFERROR(INDEX(U$2:AY$2,MATCH(TRUE,INDEX(U83:AY83&lt;&gt;"",0),0)),"")</f>
        <v/>
      </c>
      <c r="N83" s="61">
        <f>IFERROR(LOOKUP(2,1/(U83:AY83&lt;&gt;""),U$2:AY$2),"")</f>
        <v/>
      </c>
      <c r="O83" s="59" t="n"/>
      <c r="P83" s="59" t="n"/>
      <c r="Q83" s="59" t="n"/>
      <c r="R83" s="59" t="n"/>
      <c r="S83" s="14" t="n"/>
      <c r="U83" s="53" t="n"/>
      <c r="V83" s="53" t="n"/>
      <c r="W83" s="53" t="n"/>
      <c r="X83" s="53" t="n"/>
      <c r="Y83" s="53" t="n"/>
      <c r="Z83" s="53" t="n"/>
      <c r="AA83" s="53" t="n"/>
      <c r="AB83" s="53" t="n"/>
      <c r="AC83" s="53" t="n"/>
      <c r="AD83" s="53" t="n"/>
      <c r="AE83" s="53" t="n"/>
      <c r="AF83" s="53" t="n"/>
      <c r="AG83" s="53" t="n"/>
      <c r="AH83" s="53" t="n"/>
      <c r="AI83" s="53" t="n"/>
      <c r="AJ83" s="53" t="n"/>
      <c r="AK83" s="53" t="n"/>
      <c r="AL83" s="53" t="n"/>
      <c r="AM83" s="53" t="n"/>
      <c r="AN83" s="53" t="n"/>
      <c r="AO83" s="53" t="n"/>
      <c r="AP83" s="53" t="n"/>
      <c r="AQ83" s="53" t="n"/>
      <c r="AR83" s="53" t="n"/>
      <c r="AS83" s="53" t="n"/>
      <c r="AT83" s="53" t="n"/>
      <c r="AU83" s="53" t="n"/>
      <c r="AV83" s="53" t="n"/>
      <c r="AW83" s="53" t="n"/>
      <c r="AX83" s="53" t="n"/>
      <c r="AY83" s="53" t="n"/>
    </row>
    <row r="84" ht="15" customHeight="1">
      <c r="A84" s="62" t="n"/>
      <c r="B84" s="55">
        <f>IF($B$82="","",$B$82)</f>
        <v/>
      </c>
      <c r="C84" s="63" t="inlineStr">
        <is>
          <t>마케팅2팀</t>
        </is>
      </c>
      <c r="D84" s="55">
        <f>IF($D$82="","",$D$82)</f>
        <v/>
      </c>
      <c r="E84" s="64" t="inlineStr">
        <is>
          <t>영상</t>
        </is>
      </c>
      <c r="F84" s="44" t="n"/>
      <c r="G84" s="58">
        <f>IF($G$82="","",$G$82)</f>
        <v/>
      </c>
      <c r="H84" s="59" t="n"/>
      <c r="I84" s="59" t="n"/>
      <c r="J84" s="59" t="n"/>
      <c r="K84" s="59" t="n"/>
      <c r="L84" s="65">
        <f>IF(SUM(U84:AY84)=0,"",SUM(U84:AY84))</f>
        <v/>
      </c>
      <c r="M84" s="66">
        <f>IFERROR(INDEX(U$2:AY$2,MATCH(TRUE,INDEX(U84:AY84&lt;&gt;"",0),0)),"")</f>
        <v/>
      </c>
      <c r="N84" s="66">
        <f>IFERROR(LOOKUP(2,1/(U84:AY84&lt;&gt;""),U$2:AY$2),"")</f>
        <v/>
      </c>
      <c r="O84" s="59" t="n"/>
      <c r="P84" s="59" t="n"/>
      <c r="Q84" s="59" t="n"/>
      <c r="R84" s="59" t="n"/>
      <c r="S84" s="14" t="n"/>
      <c r="U84" s="53" t="n"/>
      <c r="V84" s="53" t="n"/>
      <c r="W84" s="53" t="n"/>
      <c r="X84" s="53" t="n"/>
      <c r="Y84" s="53" t="n"/>
      <c r="Z84" s="53" t="n"/>
      <c r="AA84" s="53" t="n"/>
      <c r="AB84" s="53" t="n"/>
      <c r="AC84" s="53" t="n"/>
      <c r="AD84" s="53" t="n"/>
      <c r="AE84" s="53" t="n"/>
      <c r="AF84" s="53" t="n"/>
      <c r="AG84" s="53" t="n"/>
      <c r="AH84" s="53" t="n"/>
      <c r="AI84" s="53" t="n"/>
      <c r="AJ84" s="53" t="n"/>
      <c r="AK84" s="53" t="n"/>
      <c r="AL84" s="53" t="n"/>
      <c r="AM84" s="53" t="n"/>
      <c r="AN84" s="53" t="n"/>
      <c r="AO84" s="53" t="n"/>
      <c r="AP84" s="53" t="n"/>
      <c r="AQ84" s="53" t="n"/>
      <c r="AR84" s="53" t="n"/>
      <c r="AS84" s="53" t="n"/>
      <c r="AT84" s="53" t="n"/>
      <c r="AU84" s="53" t="n"/>
      <c r="AV84" s="53" t="n"/>
      <c r="AW84" s="53" t="n"/>
      <c r="AX84" s="53" t="n"/>
      <c r="AY84" s="53" t="n"/>
    </row>
    <row r="85" ht="15" customHeight="1">
      <c r="A85" s="40">
        <f>IF($D$85="","",26)</f>
        <v/>
      </c>
      <c r="B85" s="10" t="n"/>
      <c r="C85" s="41" t="inlineStr">
        <is>
          <t>마케팅2팀</t>
        </is>
      </c>
      <c r="D85" s="42" t="n"/>
      <c r="E85" s="43" t="inlineStr">
        <is>
          <t>기획</t>
        </is>
      </c>
      <c r="F85" s="44" t="n"/>
      <c r="G85" s="45" t="n"/>
      <c r="H85" s="46">
        <f>IF($I$85="","",IF($I$85&lt;0,"🔴지연",IF($I$85&lt;=1,"🟡임박","🟢여유")))</f>
        <v/>
      </c>
      <c r="I85" s="47">
        <f>IF(OR($G$85="",$K$85=""),"",$G$85-$K$85)</f>
        <v/>
      </c>
      <c r="J85" s="48">
        <f>IF(SUM($L$85:$L$87)=0,"",SUM($L$85:$L$87))</f>
        <v/>
      </c>
      <c r="K85" s="49">
        <f>IF($J$85="","",MAX($N$85:$N$87))</f>
        <v/>
      </c>
      <c r="L85" s="50">
        <f>IF(SUM(U85:AY85)=0,"",SUM(U85:AY85))</f>
        <v/>
      </c>
      <c r="M85" s="51">
        <f>IFERROR(INDEX(U$2:AY$2,MATCH(TRUE,INDEX(U85:AY85&lt;&gt;"",0),0)),"")</f>
        <v/>
      </c>
      <c r="N85" s="51">
        <f>IFERROR(LOOKUP(2,1/(U85:AY85&lt;&gt;""),U$2:AY$2),"")</f>
        <v/>
      </c>
      <c r="O85" s="52" t="n"/>
      <c r="P85" s="52" t="n"/>
      <c r="Q85" s="52" t="n"/>
      <c r="R85" s="44" t="n"/>
      <c r="S85" s="14" t="n"/>
      <c r="U85" s="53" t="n"/>
      <c r="V85" s="53" t="n"/>
      <c r="W85" s="53" t="n"/>
      <c r="X85" s="53" t="n"/>
      <c r="Y85" s="53" t="n"/>
      <c r="Z85" s="53" t="n"/>
      <c r="AA85" s="53" t="n"/>
      <c r="AB85" s="53" t="n"/>
      <c r="AC85" s="53" t="n"/>
      <c r="AD85" s="53" t="n"/>
      <c r="AE85" s="53" t="n"/>
      <c r="AF85" s="53" t="n"/>
      <c r="AG85" s="53" t="n"/>
      <c r="AH85" s="53" t="n"/>
      <c r="AI85" s="53" t="n"/>
      <c r="AJ85" s="53" t="n"/>
      <c r="AK85" s="53" t="n"/>
      <c r="AL85" s="53" t="n"/>
      <c r="AM85" s="53" t="n"/>
      <c r="AN85" s="53" t="n"/>
      <c r="AO85" s="53" t="n"/>
      <c r="AP85" s="53" t="n"/>
      <c r="AQ85" s="53" t="n"/>
      <c r="AR85" s="53" t="n"/>
      <c r="AS85" s="53" t="n"/>
      <c r="AT85" s="53" t="n"/>
      <c r="AU85" s="53" t="n"/>
      <c r="AV85" s="53" t="n"/>
      <c r="AW85" s="53" t="n"/>
      <c r="AX85" s="53" t="n"/>
      <c r="AY85" s="53" t="n"/>
    </row>
    <row r="86" ht="15" customHeight="1">
      <c r="A86" s="54" t="n"/>
      <c r="B86" s="55">
        <f>IF($B$85="","",$B$85)</f>
        <v/>
      </c>
      <c r="C86" s="56" t="inlineStr">
        <is>
          <t>마케팅2팀</t>
        </is>
      </c>
      <c r="D86" s="55">
        <f>IF($D$85="","",$D$85)</f>
        <v/>
      </c>
      <c r="E86" s="57" t="inlineStr">
        <is>
          <t>이미지</t>
        </is>
      </c>
      <c r="F86" s="44" t="n"/>
      <c r="G86" s="58">
        <f>IF($G$85="","",$G$85)</f>
        <v/>
      </c>
      <c r="H86" s="59" t="n"/>
      <c r="I86" s="59" t="n"/>
      <c r="J86" s="59" t="n"/>
      <c r="K86" s="59" t="n"/>
      <c r="L86" s="60">
        <f>IF(SUM(U86:AY86)=0,"",SUM(U86:AY86))</f>
        <v/>
      </c>
      <c r="M86" s="61">
        <f>IFERROR(INDEX(U$2:AY$2,MATCH(TRUE,INDEX(U86:AY86&lt;&gt;"",0),0)),"")</f>
        <v/>
      </c>
      <c r="N86" s="61">
        <f>IFERROR(LOOKUP(2,1/(U86:AY86&lt;&gt;""),U$2:AY$2),"")</f>
        <v/>
      </c>
      <c r="O86" s="59" t="n"/>
      <c r="P86" s="59" t="n"/>
      <c r="Q86" s="59" t="n"/>
      <c r="R86" s="59" t="n"/>
      <c r="S86" s="14" t="n"/>
      <c r="U86" s="53" t="n"/>
      <c r="V86" s="53" t="n"/>
      <c r="W86" s="53" t="n"/>
      <c r="X86" s="53" t="n"/>
      <c r="Y86" s="53" t="n"/>
      <c r="Z86" s="53" t="n"/>
      <c r="AA86" s="53" t="n"/>
      <c r="AB86" s="53" t="n"/>
      <c r="AC86" s="53" t="n"/>
      <c r="AD86" s="53" t="n"/>
      <c r="AE86" s="53" t="n"/>
      <c r="AF86" s="53" t="n"/>
      <c r="AG86" s="53" t="n"/>
      <c r="AH86" s="53" t="n"/>
      <c r="AI86" s="53" t="n"/>
      <c r="AJ86" s="53" t="n"/>
      <c r="AK86" s="53" t="n"/>
      <c r="AL86" s="53" t="n"/>
      <c r="AM86" s="53" t="n"/>
      <c r="AN86" s="53" t="n"/>
      <c r="AO86" s="53" t="n"/>
      <c r="AP86" s="53" t="n"/>
      <c r="AQ86" s="53" t="n"/>
      <c r="AR86" s="53" t="n"/>
      <c r="AS86" s="53" t="n"/>
      <c r="AT86" s="53" t="n"/>
      <c r="AU86" s="53" t="n"/>
      <c r="AV86" s="53" t="n"/>
      <c r="AW86" s="53" t="n"/>
      <c r="AX86" s="53" t="n"/>
      <c r="AY86" s="53" t="n"/>
    </row>
    <row r="87" ht="15" customHeight="1">
      <c r="A87" s="62" t="n"/>
      <c r="B87" s="55">
        <f>IF($B$85="","",$B$85)</f>
        <v/>
      </c>
      <c r="C87" s="63" t="inlineStr">
        <is>
          <t>마케팅2팀</t>
        </is>
      </c>
      <c r="D87" s="55">
        <f>IF($D$85="","",$D$85)</f>
        <v/>
      </c>
      <c r="E87" s="64" t="inlineStr">
        <is>
          <t>영상</t>
        </is>
      </c>
      <c r="F87" s="44" t="n"/>
      <c r="G87" s="58">
        <f>IF($G$85="","",$G$85)</f>
        <v/>
      </c>
      <c r="H87" s="59" t="n"/>
      <c r="I87" s="59" t="n"/>
      <c r="J87" s="59" t="n"/>
      <c r="K87" s="59" t="n"/>
      <c r="L87" s="65">
        <f>IF(SUM(U87:AY87)=0,"",SUM(U87:AY87))</f>
        <v/>
      </c>
      <c r="M87" s="66">
        <f>IFERROR(INDEX(U$2:AY$2,MATCH(TRUE,INDEX(U87:AY87&lt;&gt;"",0),0)),"")</f>
        <v/>
      </c>
      <c r="N87" s="66">
        <f>IFERROR(LOOKUP(2,1/(U87:AY87&lt;&gt;""),U$2:AY$2),"")</f>
        <v/>
      </c>
      <c r="O87" s="59" t="n"/>
      <c r="P87" s="59" t="n"/>
      <c r="Q87" s="59" t="n"/>
      <c r="R87" s="59" t="n"/>
      <c r="S87" s="14" t="n"/>
      <c r="U87" s="53" t="n"/>
      <c r="V87" s="53" t="n"/>
      <c r="W87" s="53" t="n"/>
      <c r="X87" s="53" t="n"/>
      <c r="Y87" s="53" t="n"/>
      <c r="Z87" s="53" t="n"/>
      <c r="AA87" s="53" t="n"/>
      <c r="AB87" s="53" t="n"/>
      <c r="AC87" s="53" t="n"/>
      <c r="AD87" s="53" t="n"/>
      <c r="AE87" s="53" t="n"/>
      <c r="AF87" s="53" t="n"/>
      <c r="AG87" s="53" t="n"/>
      <c r="AH87" s="53" t="n"/>
      <c r="AI87" s="53" t="n"/>
      <c r="AJ87" s="53" t="n"/>
      <c r="AK87" s="53" t="n"/>
      <c r="AL87" s="53" t="n"/>
      <c r="AM87" s="53" t="n"/>
      <c r="AN87" s="53" t="n"/>
      <c r="AO87" s="53" t="n"/>
      <c r="AP87" s="53" t="n"/>
      <c r="AQ87" s="53" t="n"/>
      <c r="AR87" s="53" t="n"/>
      <c r="AS87" s="53" t="n"/>
      <c r="AT87" s="53" t="n"/>
      <c r="AU87" s="53" t="n"/>
      <c r="AV87" s="53" t="n"/>
      <c r="AW87" s="53" t="n"/>
      <c r="AX87" s="53" t="n"/>
      <c r="AY87" s="53" t="n"/>
    </row>
    <row r="88" ht="15" customHeight="1">
      <c r="A88" s="40">
        <f>IF($D$88="","",27)</f>
        <v/>
      </c>
      <c r="B88" s="10" t="n"/>
      <c r="C88" s="41" t="inlineStr">
        <is>
          <t>마케팅2팀</t>
        </is>
      </c>
      <c r="D88" s="42" t="n"/>
      <c r="E88" s="43" t="inlineStr">
        <is>
          <t>기획</t>
        </is>
      </c>
      <c r="F88" s="44" t="n"/>
      <c r="G88" s="45" t="n"/>
      <c r="H88" s="46">
        <f>IF($I$88="","",IF($I$88&lt;0,"🔴지연",IF($I$88&lt;=1,"🟡임박","🟢여유")))</f>
        <v/>
      </c>
      <c r="I88" s="47">
        <f>IF(OR($G$88="",$K$88=""),"",$G$88-$K$88)</f>
        <v/>
      </c>
      <c r="J88" s="48">
        <f>IF(SUM($L$88:$L$90)=0,"",SUM($L$88:$L$90))</f>
        <v/>
      </c>
      <c r="K88" s="49">
        <f>IF($J$88="","",MAX($N$88:$N$90))</f>
        <v/>
      </c>
      <c r="L88" s="50">
        <f>IF(SUM(U88:AY88)=0,"",SUM(U88:AY88))</f>
        <v/>
      </c>
      <c r="M88" s="51">
        <f>IFERROR(INDEX(U$2:AY$2,MATCH(TRUE,INDEX(U88:AY88&lt;&gt;"",0),0)),"")</f>
        <v/>
      </c>
      <c r="N88" s="51">
        <f>IFERROR(LOOKUP(2,1/(U88:AY88&lt;&gt;""),U$2:AY$2),"")</f>
        <v/>
      </c>
      <c r="O88" s="52" t="n"/>
      <c r="P88" s="52" t="n"/>
      <c r="Q88" s="52" t="n"/>
      <c r="R88" s="44" t="n"/>
      <c r="S88" s="14" t="n"/>
      <c r="U88" s="53" t="n"/>
      <c r="V88" s="53" t="n"/>
      <c r="W88" s="53" t="n"/>
      <c r="X88" s="53" t="n"/>
      <c r="Y88" s="53" t="n"/>
      <c r="Z88" s="53" t="n"/>
      <c r="AA88" s="53" t="n"/>
      <c r="AB88" s="53" t="n"/>
      <c r="AC88" s="53" t="n"/>
      <c r="AD88" s="53" t="n"/>
      <c r="AE88" s="53" t="n"/>
      <c r="AF88" s="53" t="n"/>
      <c r="AG88" s="53" t="n"/>
      <c r="AH88" s="53" t="n"/>
      <c r="AI88" s="53" t="n"/>
      <c r="AJ88" s="53" t="n"/>
      <c r="AK88" s="53" t="n"/>
      <c r="AL88" s="53" t="n"/>
      <c r="AM88" s="53" t="n"/>
      <c r="AN88" s="53" t="n"/>
      <c r="AO88" s="53" t="n"/>
      <c r="AP88" s="53" t="n"/>
      <c r="AQ88" s="53" t="n"/>
      <c r="AR88" s="53" t="n"/>
      <c r="AS88" s="53" t="n"/>
      <c r="AT88" s="53" t="n"/>
      <c r="AU88" s="53" t="n"/>
      <c r="AV88" s="53" t="n"/>
      <c r="AW88" s="53" t="n"/>
      <c r="AX88" s="53" t="n"/>
      <c r="AY88" s="53" t="n"/>
    </row>
    <row r="89" ht="15" customHeight="1">
      <c r="A89" s="54" t="n"/>
      <c r="B89" s="55">
        <f>IF($B$88="","",$B$88)</f>
        <v/>
      </c>
      <c r="C89" s="56" t="inlineStr">
        <is>
          <t>마케팅2팀</t>
        </is>
      </c>
      <c r="D89" s="55">
        <f>IF($D$88="","",$D$88)</f>
        <v/>
      </c>
      <c r="E89" s="57" t="inlineStr">
        <is>
          <t>이미지</t>
        </is>
      </c>
      <c r="F89" s="44" t="n"/>
      <c r="G89" s="58">
        <f>IF($G$88="","",$G$88)</f>
        <v/>
      </c>
      <c r="H89" s="59" t="n"/>
      <c r="I89" s="59" t="n"/>
      <c r="J89" s="59" t="n"/>
      <c r="K89" s="59" t="n"/>
      <c r="L89" s="60">
        <f>IF(SUM(U89:AY89)=0,"",SUM(U89:AY89))</f>
        <v/>
      </c>
      <c r="M89" s="61">
        <f>IFERROR(INDEX(U$2:AY$2,MATCH(TRUE,INDEX(U89:AY89&lt;&gt;"",0),0)),"")</f>
        <v/>
      </c>
      <c r="N89" s="61">
        <f>IFERROR(LOOKUP(2,1/(U89:AY89&lt;&gt;""),U$2:AY$2),"")</f>
        <v/>
      </c>
      <c r="O89" s="59" t="n"/>
      <c r="P89" s="59" t="n"/>
      <c r="Q89" s="59" t="n"/>
      <c r="R89" s="59" t="n"/>
      <c r="S89" s="14" t="n"/>
      <c r="U89" s="53" t="n"/>
      <c r="V89" s="53" t="n"/>
      <c r="W89" s="53" t="n"/>
      <c r="X89" s="53" t="n"/>
      <c r="Y89" s="53" t="n"/>
      <c r="Z89" s="53" t="n"/>
      <c r="AA89" s="53" t="n"/>
      <c r="AB89" s="53" t="n"/>
      <c r="AC89" s="53" t="n"/>
      <c r="AD89" s="53" t="n"/>
      <c r="AE89" s="53" t="n"/>
      <c r="AF89" s="53" t="n"/>
      <c r="AG89" s="53" t="n"/>
      <c r="AH89" s="53" t="n"/>
      <c r="AI89" s="53" t="n"/>
      <c r="AJ89" s="53" t="n"/>
      <c r="AK89" s="53" t="n"/>
      <c r="AL89" s="53" t="n"/>
      <c r="AM89" s="53" t="n"/>
      <c r="AN89" s="53" t="n"/>
      <c r="AO89" s="53" t="n"/>
      <c r="AP89" s="53" t="n"/>
      <c r="AQ89" s="53" t="n"/>
      <c r="AR89" s="53" t="n"/>
      <c r="AS89" s="53" t="n"/>
      <c r="AT89" s="53" t="n"/>
      <c r="AU89" s="53" t="n"/>
      <c r="AV89" s="53" t="n"/>
      <c r="AW89" s="53" t="n"/>
      <c r="AX89" s="53" t="n"/>
      <c r="AY89" s="53" t="n"/>
    </row>
    <row r="90" ht="15" customHeight="1">
      <c r="A90" s="62" t="n"/>
      <c r="B90" s="55">
        <f>IF($B$88="","",$B$88)</f>
        <v/>
      </c>
      <c r="C90" s="63" t="inlineStr">
        <is>
          <t>마케팅2팀</t>
        </is>
      </c>
      <c r="D90" s="55">
        <f>IF($D$88="","",$D$88)</f>
        <v/>
      </c>
      <c r="E90" s="64" t="inlineStr">
        <is>
          <t>영상</t>
        </is>
      </c>
      <c r="F90" s="44" t="n"/>
      <c r="G90" s="58">
        <f>IF($G$88="","",$G$88)</f>
        <v/>
      </c>
      <c r="H90" s="59" t="n"/>
      <c r="I90" s="59" t="n"/>
      <c r="J90" s="59" t="n"/>
      <c r="K90" s="59" t="n"/>
      <c r="L90" s="65">
        <f>IF(SUM(U90:AY90)=0,"",SUM(U90:AY90))</f>
        <v/>
      </c>
      <c r="M90" s="66">
        <f>IFERROR(INDEX(U$2:AY$2,MATCH(TRUE,INDEX(U90:AY90&lt;&gt;"",0),0)),"")</f>
        <v/>
      </c>
      <c r="N90" s="66">
        <f>IFERROR(LOOKUP(2,1/(U90:AY90&lt;&gt;""),U$2:AY$2),"")</f>
        <v/>
      </c>
      <c r="O90" s="59" t="n"/>
      <c r="P90" s="59" t="n"/>
      <c r="Q90" s="59" t="n"/>
      <c r="R90" s="59" t="n"/>
      <c r="S90" s="14" t="n"/>
      <c r="U90" s="53" t="n"/>
      <c r="V90" s="53" t="n"/>
      <c r="W90" s="53" t="n"/>
      <c r="X90" s="53" t="n"/>
      <c r="Y90" s="53" t="n"/>
      <c r="Z90" s="53" t="n"/>
      <c r="AA90" s="53" t="n"/>
      <c r="AB90" s="53" t="n"/>
      <c r="AC90" s="53" t="n"/>
      <c r="AD90" s="53" t="n"/>
      <c r="AE90" s="53" t="n"/>
      <c r="AF90" s="53" t="n"/>
      <c r="AG90" s="53" t="n"/>
      <c r="AH90" s="53" t="n"/>
      <c r="AI90" s="53" t="n"/>
      <c r="AJ90" s="53" t="n"/>
      <c r="AK90" s="53" t="n"/>
      <c r="AL90" s="53" t="n"/>
      <c r="AM90" s="53" t="n"/>
      <c r="AN90" s="53" t="n"/>
      <c r="AO90" s="53" t="n"/>
      <c r="AP90" s="53" t="n"/>
      <c r="AQ90" s="53" t="n"/>
      <c r="AR90" s="53" t="n"/>
      <c r="AS90" s="53" t="n"/>
      <c r="AT90" s="53" t="n"/>
      <c r="AU90" s="53" t="n"/>
      <c r="AV90" s="53" t="n"/>
      <c r="AW90" s="53" t="n"/>
      <c r="AX90" s="53" t="n"/>
      <c r="AY90" s="53" t="n"/>
    </row>
    <row r="91" ht="15" customHeight="1">
      <c r="A91" s="40">
        <f>IF($D$91="","",28)</f>
        <v/>
      </c>
      <c r="B91" s="10" t="n"/>
      <c r="C91" s="41" t="inlineStr">
        <is>
          <t>마케팅2팀</t>
        </is>
      </c>
      <c r="D91" s="42" t="n"/>
      <c r="E91" s="43" t="inlineStr">
        <is>
          <t>기획</t>
        </is>
      </c>
      <c r="F91" s="44" t="n"/>
      <c r="G91" s="45" t="n"/>
      <c r="H91" s="46">
        <f>IF($I$91="","",IF($I$91&lt;0,"🔴지연",IF($I$91&lt;=1,"🟡임박","🟢여유")))</f>
        <v/>
      </c>
      <c r="I91" s="47">
        <f>IF(OR($G$91="",$K$91=""),"",$G$91-$K$91)</f>
        <v/>
      </c>
      <c r="J91" s="48">
        <f>IF(SUM($L$91:$L$93)=0,"",SUM($L$91:$L$93))</f>
        <v/>
      </c>
      <c r="K91" s="49">
        <f>IF($J$91="","",MAX($N$91:$N$93))</f>
        <v/>
      </c>
      <c r="L91" s="50">
        <f>IF(SUM(U91:AY91)=0,"",SUM(U91:AY91))</f>
        <v/>
      </c>
      <c r="M91" s="51">
        <f>IFERROR(INDEX(U$2:AY$2,MATCH(TRUE,INDEX(U91:AY91&lt;&gt;"",0),0)),"")</f>
        <v/>
      </c>
      <c r="N91" s="51">
        <f>IFERROR(LOOKUP(2,1/(U91:AY91&lt;&gt;""),U$2:AY$2),"")</f>
        <v/>
      </c>
      <c r="O91" s="52" t="n"/>
      <c r="P91" s="52" t="n"/>
      <c r="Q91" s="52" t="n"/>
      <c r="R91" s="44" t="n"/>
      <c r="S91" s="14" t="n"/>
      <c r="U91" s="53" t="n"/>
      <c r="V91" s="53" t="n"/>
      <c r="W91" s="53" t="n"/>
      <c r="X91" s="53" t="n"/>
      <c r="Y91" s="53" t="n"/>
      <c r="Z91" s="53" t="n"/>
      <c r="AA91" s="53" t="n"/>
      <c r="AB91" s="53" t="n"/>
      <c r="AC91" s="53" t="n"/>
      <c r="AD91" s="53" t="n"/>
      <c r="AE91" s="53" t="n"/>
      <c r="AF91" s="53" t="n"/>
      <c r="AG91" s="53" t="n"/>
      <c r="AH91" s="53" t="n"/>
      <c r="AI91" s="53" t="n"/>
      <c r="AJ91" s="53" t="n"/>
      <c r="AK91" s="53" t="n"/>
      <c r="AL91" s="53" t="n"/>
      <c r="AM91" s="53" t="n"/>
      <c r="AN91" s="53" t="n"/>
      <c r="AO91" s="53" t="n"/>
      <c r="AP91" s="53" t="n"/>
      <c r="AQ91" s="53" t="n"/>
      <c r="AR91" s="53" t="n"/>
      <c r="AS91" s="53" t="n"/>
      <c r="AT91" s="53" t="n"/>
      <c r="AU91" s="53" t="n"/>
      <c r="AV91" s="53" t="n"/>
      <c r="AW91" s="53" t="n"/>
      <c r="AX91" s="53" t="n"/>
      <c r="AY91" s="53" t="n"/>
    </row>
    <row r="92" ht="15" customHeight="1">
      <c r="A92" s="54" t="n"/>
      <c r="B92" s="55">
        <f>IF($B$91="","",$B$91)</f>
        <v/>
      </c>
      <c r="C92" s="56" t="inlineStr">
        <is>
          <t>마케팅2팀</t>
        </is>
      </c>
      <c r="D92" s="55">
        <f>IF($D$91="","",$D$91)</f>
        <v/>
      </c>
      <c r="E92" s="57" t="inlineStr">
        <is>
          <t>이미지</t>
        </is>
      </c>
      <c r="F92" s="44" t="n"/>
      <c r="G92" s="58">
        <f>IF($G$91="","",$G$91)</f>
        <v/>
      </c>
      <c r="H92" s="59" t="n"/>
      <c r="I92" s="59" t="n"/>
      <c r="J92" s="59" t="n"/>
      <c r="K92" s="59" t="n"/>
      <c r="L92" s="60">
        <f>IF(SUM(U92:AY92)=0,"",SUM(U92:AY92))</f>
        <v/>
      </c>
      <c r="M92" s="61">
        <f>IFERROR(INDEX(U$2:AY$2,MATCH(TRUE,INDEX(U92:AY92&lt;&gt;"",0),0)),"")</f>
        <v/>
      </c>
      <c r="N92" s="61">
        <f>IFERROR(LOOKUP(2,1/(U92:AY92&lt;&gt;""),U$2:AY$2),"")</f>
        <v/>
      </c>
      <c r="O92" s="59" t="n"/>
      <c r="P92" s="59" t="n"/>
      <c r="Q92" s="59" t="n"/>
      <c r="R92" s="59" t="n"/>
      <c r="S92" s="14" t="n"/>
      <c r="U92" s="53" t="n"/>
      <c r="V92" s="53" t="n"/>
      <c r="W92" s="53" t="n"/>
      <c r="X92" s="53" t="n"/>
      <c r="Y92" s="53" t="n"/>
      <c r="Z92" s="53" t="n"/>
      <c r="AA92" s="53" t="n"/>
      <c r="AB92" s="53" t="n"/>
      <c r="AC92" s="53" t="n"/>
      <c r="AD92" s="53" t="n"/>
      <c r="AE92" s="53" t="n"/>
      <c r="AF92" s="53" t="n"/>
      <c r="AG92" s="53" t="n"/>
      <c r="AH92" s="53" t="n"/>
      <c r="AI92" s="53" t="n"/>
      <c r="AJ92" s="53" t="n"/>
      <c r="AK92" s="53" t="n"/>
      <c r="AL92" s="53" t="n"/>
      <c r="AM92" s="53" t="n"/>
      <c r="AN92" s="53" t="n"/>
      <c r="AO92" s="53" t="n"/>
      <c r="AP92" s="53" t="n"/>
      <c r="AQ92" s="53" t="n"/>
      <c r="AR92" s="53" t="n"/>
      <c r="AS92" s="53" t="n"/>
      <c r="AT92" s="53" t="n"/>
      <c r="AU92" s="53" t="n"/>
      <c r="AV92" s="53" t="n"/>
      <c r="AW92" s="53" t="n"/>
      <c r="AX92" s="53" t="n"/>
      <c r="AY92" s="53" t="n"/>
    </row>
    <row r="93" ht="15" customHeight="1">
      <c r="A93" s="62" t="n"/>
      <c r="B93" s="55">
        <f>IF($B$91="","",$B$91)</f>
        <v/>
      </c>
      <c r="C93" s="63" t="inlineStr">
        <is>
          <t>마케팅2팀</t>
        </is>
      </c>
      <c r="D93" s="55">
        <f>IF($D$91="","",$D$91)</f>
        <v/>
      </c>
      <c r="E93" s="64" t="inlineStr">
        <is>
          <t>영상</t>
        </is>
      </c>
      <c r="F93" s="44" t="n"/>
      <c r="G93" s="58">
        <f>IF($G$91="","",$G$91)</f>
        <v/>
      </c>
      <c r="H93" s="59" t="n"/>
      <c r="I93" s="59" t="n"/>
      <c r="J93" s="59" t="n"/>
      <c r="K93" s="59" t="n"/>
      <c r="L93" s="65">
        <f>IF(SUM(U93:AY93)=0,"",SUM(U93:AY93))</f>
        <v/>
      </c>
      <c r="M93" s="66">
        <f>IFERROR(INDEX(U$2:AY$2,MATCH(TRUE,INDEX(U93:AY93&lt;&gt;"",0),0)),"")</f>
        <v/>
      </c>
      <c r="N93" s="66">
        <f>IFERROR(LOOKUP(2,1/(U93:AY93&lt;&gt;""),U$2:AY$2),"")</f>
        <v/>
      </c>
      <c r="O93" s="59" t="n"/>
      <c r="P93" s="59" t="n"/>
      <c r="Q93" s="59" t="n"/>
      <c r="R93" s="59" t="n"/>
      <c r="S93" s="14" t="n"/>
      <c r="U93" s="53" t="n"/>
      <c r="V93" s="53" t="n"/>
      <c r="W93" s="53" t="n"/>
      <c r="X93" s="53" t="n"/>
      <c r="Y93" s="53" t="n"/>
      <c r="Z93" s="53" t="n"/>
      <c r="AA93" s="53" t="n"/>
      <c r="AB93" s="53" t="n"/>
      <c r="AC93" s="53" t="n"/>
      <c r="AD93" s="53" t="n"/>
      <c r="AE93" s="53" t="n"/>
      <c r="AF93" s="53" t="n"/>
      <c r="AG93" s="53" t="n"/>
      <c r="AH93" s="53" t="n"/>
      <c r="AI93" s="53" t="n"/>
      <c r="AJ93" s="53" t="n"/>
      <c r="AK93" s="53" t="n"/>
      <c r="AL93" s="53" t="n"/>
      <c r="AM93" s="53" t="n"/>
      <c r="AN93" s="53" t="n"/>
      <c r="AO93" s="53" t="n"/>
      <c r="AP93" s="53" t="n"/>
      <c r="AQ93" s="53" t="n"/>
      <c r="AR93" s="53" t="n"/>
      <c r="AS93" s="53" t="n"/>
      <c r="AT93" s="53" t="n"/>
      <c r="AU93" s="53" t="n"/>
      <c r="AV93" s="53" t="n"/>
      <c r="AW93" s="53" t="n"/>
      <c r="AX93" s="53" t="n"/>
      <c r="AY93" s="53" t="n"/>
    </row>
    <row r="94" ht="15" customHeight="1">
      <c r="A94" s="40">
        <f>IF($D$94="","",29)</f>
        <v/>
      </c>
      <c r="B94" s="10" t="n"/>
      <c r="C94" s="41" t="inlineStr">
        <is>
          <t>마케팅2팀</t>
        </is>
      </c>
      <c r="D94" s="42" t="n"/>
      <c r="E94" s="43" t="inlineStr">
        <is>
          <t>기획</t>
        </is>
      </c>
      <c r="F94" s="44" t="n"/>
      <c r="G94" s="45" t="n"/>
      <c r="H94" s="46">
        <f>IF($I$94="","",IF($I$94&lt;0,"🔴지연",IF($I$94&lt;=1,"🟡임박","🟢여유")))</f>
        <v/>
      </c>
      <c r="I94" s="47">
        <f>IF(OR($G$94="",$K$94=""),"",$G$94-$K$94)</f>
        <v/>
      </c>
      <c r="J94" s="48">
        <f>IF(SUM($L$94:$L$96)=0,"",SUM($L$94:$L$96))</f>
        <v/>
      </c>
      <c r="K94" s="49">
        <f>IF($J$94="","",MAX($N$94:$N$96))</f>
        <v/>
      </c>
      <c r="L94" s="50">
        <f>IF(SUM(U94:AY94)=0,"",SUM(U94:AY94))</f>
        <v/>
      </c>
      <c r="M94" s="51">
        <f>IFERROR(INDEX(U$2:AY$2,MATCH(TRUE,INDEX(U94:AY94&lt;&gt;"",0),0)),"")</f>
        <v/>
      </c>
      <c r="N94" s="51">
        <f>IFERROR(LOOKUP(2,1/(U94:AY94&lt;&gt;""),U$2:AY$2),"")</f>
        <v/>
      </c>
      <c r="O94" s="52" t="n"/>
      <c r="P94" s="52" t="n"/>
      <c r="Q94" s="52" t="n"/>
      <c r="R94" s="44" t="n"/>
      <c r="S94" s="14" t="n"/>
      <c r="U94" s="53" t="n"/>
      <c r="V94" s="53" t="n"/>
      <c r="W94" s="53" t="n"/>
      <c r="X94" s="53" t="n"/>
      <c r="Y94" s="53" t="n"/>
      <c r="Z94" s="53" t="n"/>
      <c r="AA94" s="53" t="n"/>
      <c r="AB94" s="53" t="n"/>
      <c r="AC94" s="53" t="n"/>
      <c r="AD94" s="53" t="n"/>
      <c r="AE94" s="53" t="n"/>
      <c r="AF94" s="53" t="n"/>
      <c r="AG94" s="53" t="n"/>
      <c r="AH94" s="53" t="n"/>
      <c r="AI94" s="53" t="n"/>
      <c r="AJ94" s="53" t="n"/>
      <c r="AK94" s="53" t="n"/>
      <c r="AL94" s="53" t="n"/>
      <c r="AM94" s="53" t="n"/>
      <c r="AN94" s="53" t="n"/>
      <c r="AO94" s="53" t="n"/>
      <c r="AP94" s="53" t="n"/>
      <c r="AQ94" s="53" t="n"/>
      <c r="AR94" s="53" t="n"/>
      <c r="AS94" s="53" t="n"/>
      <c r="AT94" s="53" t="n"/>
      <c r="AU94" s="53" t="n"/>
      <c r="AV94" s="53" t="n"/>
      <c r="AW94" s="53" t="n"/>
      <c r="AX94" s="53" t="n"/>
      <c r="AY94" s="53" t="n"/>
    </row>
    <row r="95" ht="15" customHeight="1">
      <c r="A95" s="54" t="n"/>
      <c r="B95" s="55">
        <f>IF($B$94="","",$B$94)</f>
        <v/>
      </c>
      <c r="C95" s="56" t="inlineStr">
        <is>
          <t>마케팅2팀</t>
        </is>
      </c>
      <c r="D95" s="55">
        <f>IF($D$94="","",$D$94)</f>
        <v/>
      </c>
      <c r="E95" s="57" t="inlineStr">
        <is>
          <t>이미지</t>
        </is>
      </c>
      <c r="F95" s="44" t="n"/>
      <c r="G95" s="58">
        <f>IF($G$94="","",$G$94)</f>
        <v/>
      </c>
      <c r="H95" s="59" t="n"/>
      <c r="I95" s="59" t="n"/>
      <c r="J95" s="59" t="n"/>
      <c r="K95" s="59" t="n"/>
      <c r="L95" s="60">
        <f>IF(SUM(U95:AY95)=0,"",SUM(U95:AY95))</f>
        <v/>
      </c>
      <c r="M95" s="61">
        <f>IFERROR(INDEX(U$2:AY$2,MATCH(TRUE,INDEX(U95:AY95&lt;&gt;"",0),0)),"")</f>
        <v/>
      </c>
      <c r="N95" s="61">
        <f>IFERROR(LOOKUP(2,1/(U95:AY95&lt;&gt;""),U$2:AY$2),"")</f>
        <v/>
      </c>
      <c r="O95" s="59" t="n"/>
      <c r="P95" s="59" t="n"/>
      <c r="Q95" s="59" t="n"/>
      <c r="R95" s="59" t="n"/>
      <c r="S95" s="14" t="n"/>
      <c r="U95" s="53" t="n"/>
      <c r="V95" s="53" t="n"/>
      <c r="W95" s="53" t="n"/>
      <c r="X95" s="53" t="n"/>
      <c r="Y95" s="53" t="n"/>
      <c r="Z95" s="53" t="n"/>
      <c r="AA95" s="53" t="n"/>
      <c r="AB95" s="53" t="n"/>
      <c r="AC95" s="53" t="n"/>
      <c r="AD95" s="53" t="n"/>
      <c r="AE95" s="53" t="n"/>
      <c r="AF95" s="53" t="n"/>
      <c r="AG95" s="53" t="n"/>
      <c r="AH95" s="53" t="n"/>
      <c r="AI95" s="53" t="n"/>
      <c r="AJ95" s="53" t="n"/>
      <c r="AK95" s="53" t="n"/>
      <c r="AL95" s="53" t="n"/>
      <c r="AM95" s="53" t="n"/>
      <c r="AN95" s="53" t="n"/>
      <c r="AO95" s="53" t="n"/>
      <c r="AP95" s="53" t="n"/>
      <c r="AQ95" s="53" t="n"/>
      <c r="AR95" s="53" t="n"/>
      <c r="AS95" s="53" t="n"/>
      <c r="AT95" s="53" t="n"/>
      <c r="AU95" s="53" t="n"/>
      <c r="AV95" s="53" t="n"/>
      <c r="AW95" s="53" t="n"/>
      <c r="AX95" s="53" t="n"/>
      <c r="AY95" s="53" t="n"/>
    </row>
    <row r="96" ht="15" customHeight="1">
      <c r="A96" s="62" t="n"/>
      <c r="B96" s="55">
        <f>IF($B$94="","",$B$94)</f>
        <v/>
      </c>
      <c r="C96" s="63" t="inlineStr">
        <is>
          <t>마케팅2팀</t>
        </is>
      </c>
      <c r="D96" s="55">
        <f>IF($D$94="","",$D$94)</f>
        <v/>
      </c>
      <c r="E96" s="64" t="inlineStr">
        <is>
          <t>영상</t>
        </is>
      </c>
      <c r="F96" s="44" t="n"/>
      <c r="G96" s="58">
        <f>IF($G$94="","",$G$94)</f>
        <v/>
      </c>
      <c r="H96" s="59" t="n"/>
      <c r="I96" s="59" t="n"/>
      <c r="J96" s="59" t="n"/>
      <c r="K96" s="59" t="n"/>
      <c r="L96" s="65">
        <f>IF(SUM(U96:AY96)=0,"",SUM(U96:AY96))</f>
        <v/>
      </c>
      <c r="M96" s="66">
        <f>IFERROR(INDEX(U$2:AY$2,MATCH(TRUE,INDEX(U96:AY96&lt;&gt;"",0),0)),"")</f>
        <v/>
      </c>
      <c r="N96" s="66">
        <f>IFERROR(LOOKUP(2,1/(U96:AY96&lt;&gt;""),U$2:AY$2),"")</f>
        <v/>
      </c>
      <c r="O96" s="59" t="n"/>
      <c r="P96" s="59" t="n"/>
      <c r="Q96" s="59" t="n"/>
      <c r="R96" s="59" t="n"/>
      <c r="S96" s="14" t="n"/>
      <c r="U96" s="53" t="n"/>
      <c r="V96" s="53" t="n"/>
      <c r="W96" s="53" t="n"/>
      <c r="X96" s="53" t="n"/>
      <c r="Y96" s="53" t="n"/>
      <c r="Z96" s="53" t="n"/>
      <c r="AA96" s="53" t="n"/>
      <c r="AB96" s="53" t="n"/>
      <c r="AC96" s="53" t="n"/>
      <c r="AD96" s="53" t="n"/>
      <c r="AE96" s="53" t="n"/>
      <c r="AF96" s="53" t="n"/>
      <c r="AG96" s="53" t="n"/>
      <c r="AH96" s="53" t="n"/>
      <c r="AI96" s="53" t="n"/>
      <c r="AJ96" s="53" t="n"/>
      <c r="AK96" s="53" t="n"/>
      <c r="AL96" s="53" t="n"/>
      <c r="AM96" s="53" t="n"/>
      <c r="AN96" s="53" t="n"/>
      <c r="AO96" s="53" t="n"/>
      <c r="AP96" s="53" t="n"/>
      <c r="AQ96" s="53" t="n"/>
      <c r="AR96" s="53" t="n"/>
      <c r="AS96" s="53" t="n"/>
      <c r="AT96" s="53" t="n"/>
      <c r="AU96" s="53" t="n"/>
      <c r="AV96" s="53" t="n"/>
      <c r="AW96" s="53" t="n"/>
      <c r="AX96" s="53" t="n"/>
      <c r="AY96" s="53" t="n"/>
    </row>
    <row r="97" ht="15" customHeight="1">
      <c r="A97" s="40">
        <f>IF($D$97="","",30)</f>
        <v/>
      </c>
      <c r="B97" s="10" t="n"/>
      <c r="C97" s="41" t="inlineStr">
        <is>
          <t>마케팅2팀</t>
        </is>
      </c>
      <c r="D97" s="42" t="n"/>
      <c r="E97" s="43" t="inlineStr">
        <is>
          <t>기획</t>
        </is>
      </c>
      <c r="F97" s="44" t="n"/>
      <c r="G97" s="45" t="n"/>
      <c r="H97" s="46">
        <f>IF($I$97="","",IF($I$97&lt;0,"🔴지연",IF($I$97&lt;=1,"🟡임박","🟢여유")))</f>
        <v/>
      </c>
      <c r="I97" s="47">
        <f>IF(OR($G$97="",$K$97=""),"",$G$97-$K$97)</f>
        <v/>
      </c>
      <c r="J97" s="48">
        <f>IF(SUM($L$97:$L$99)=0,"",SUM($L$97:$L$99))</f>
        <v/>
      </c>
      <c r="K97" s="49">
        <f>IF($J$97="","",MAX($N$97:$N$99))</f>
        <v/>
      </c>
      <c r="L97" s="50">
        <f>IF(SUM(U97:AY97)=0,"",SUM(U97:AY97))</f>
        <v/>
      </c>
      <c r="M97" s="51">
        <f>IFERROR(INDEX(U$2:AY$2,MATCH(TRUE,INDEX(U97:AY97&lt;&gt;"",0),0)),"")</f>
        <v/>
      </c>
      <c r="N97" s="51">
        <f>IFERROR(LOOKUP(2,1/(U97:AY97&lt;&gt;""),U$2:AY$2),"")</f>
        <v/>
      </c>
      <c r="O97" s="52" t="n"/>
      <c r="P97" s="52" t="n"/>
      <c r="Q97" s="52" t="n"/>
      <c r="R97" s="44" t="n"/>
      <c r="S97" s="14" t="n"/>
      <c r="U97" s="53" t="n"/>
      <c r="V97" s="53" t="n"/>
      <c r="W97" s="53" t="n"/>
      <c r="X97" s="53" t="n"/>
      <c r="Y97" s="53" t="n"/>
      <c r="Z97" s="53" t="n"/>
      <c r="AA97" s="53" t="n"/>
      <c r="AB97" s="53" t="n"/>
      <c r="AC97" s="53" t="n"/>
      <c r="AD97" s="53" t="n"/>
      <c r="AE97" s="53" t="n"/>
      <c r="AF97" s="53" t="n"/>
      <c r="AG97" s="53" t="n"/>
      <c r="AH97" s="53" t="n"/>
      <c r="AI97" s="53" t="n"/>
      <c r="AJ97" s="53" t="n"/>
      <c r="AK97" s="53" t="n"/>
      <c r="AL97" s="53" t="n"/>
      <c r="AM97" s="53" t="n"/>
      <c r="AN97" s="53" t="n"/>
      <c r="AO97" s="53" t="n"/>
      <c r="AP97" s="53" t="n"/>
      <c r="AQ97" s="53" t="n"/>
      <c r="AR97" s="53" t="n"/>
      <c r="AS97" s="53" t="n"/>
      <c r="AT97" s="53" t="n"/>
      <c r="AU97" s="53" t="n"/>
      <c r="AV97" s="53" t="n"/>
      <c r="AW97" s="53" t="n"/>
      <c r="AX97" s="53" t="n"/>
      <c r="AY97" s="53" t="n"/>
    </row>
    <row r="98" ht="15" customHeight="1">
      <c r="A98" s="54" t="n"/>
      <c r="B98" s="55">
        <f>IF($B$97="","",$B$97)</f>
        <v/>
      </c>
      <c r="C98" s="56" t="inlineStr">
        <is>
          <t>마케팅2팀</t>
        </is>
      </c>
      <c r="D98" s="55">
        <f>IF($D$97="","",$D$97)</f>
        <v/>
      </c>
      <c r="E98" s="57" t="inlineStr">
        <is>
          <t>이미지</t>
        </is>
      </c>
      <c r="F98" s="44" t="n"/>
      <c r="G98" s="58">
        <f>IF($G$97="","",$G$97)</f>
        <v/>
      </c>
      <c r="H98" s="59" t="n"/>
      <c r="I98" s="59" t="n"/>
      <c r="J98" s="59" t="n"/>
      <c r="K98" s="59" t="n"/>
      <c r="L98" s="60">
        <f>IF(SUM(U98:AY98)=0,"",SUM(U98:AY98))</f>
        <v/>
      </c>
      <c r="M98" s="61">
        <f>IFERROR(INDEX(U$2:AY$2,MATCH(TRUE,INDEX(U98:AY98&lt;&gt;"",0),0)),"")</f>
        <v/>
      </c>
      <c r="N98" s="61">
        <f>IFERROR(LOOKUP(2,1/(U98:AY98&lt;&gt;""),U$2:AY$2),"")</f>
        <v/>
      </c>
      <c r="O98" s="59" t="n"/>
      <c r="P98" s="59" t="n"/>
      <c r="Q98" s="59" t="n"/>
      <c r="R98" s="59" t="n"/>
      <c r="S98" s="14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3" t="n"/>
      <c r="AN98" s="53" t="n"/>
      <c r="AO98" s="53" t="n"/>
      <c r="AP98" s="53" t="n"/>
      <c r="AQ98" s="53" t="n"/>
      <c r="AR98" s="53" t="n"/>
      <c r="AS98" s="53" t="n"/>
      <c r="AT98" s="53" t="n"/>
      <c r="AU98" s="53" t="n"/>
      <c r="AV98" s="53" t="n"/>
      <c r="AW98" s="53" t="n"/>
      <c r="AX98" s="53" t="n"/>
      <c r="AY98" s="53" t="n"/>
    </row>
    <row r="99" ht="15" customHeight="1">
      <c r="A99" s="62" t="n"/>
      <c r="B99" s="55">
        <f>IF($B$97="","",$B$97)</f>
        <v/>
      </c>
      <c r="C99" s="63" t="inlineStr">
        <is>
          <t>마케팅2팀</t>
        </is>
      </c>
      <c r="D99" s="55">
        <f>IF($D$97="","",$D$97)</f>
        <v/>
      </c>
      <c r="E99" s="64" t="inlineStr">
        <is>
          <t>영상</t>
        </is>
      </c>
      <c r="F99" s="44" t="n"/>
      <c r="G99" s="58">
        <f>IF($G$97="","",$G$97)</f>
        <v/>
      </c>
      <c r="H99" s="59" t="n"/>
      <c r="I99" s="59" t="n"/>
      <c r="J99" s="59" t="n"/>
      <c r="K99" s="59" t="n"/>
      <c r="L99" s="65">
        <f>IF(SUM(U99:AY99)=0,"",SUM(U99:AY99))</f>
        <v/>
      </c>
      <c r="M99" s="66">
        <f>IFERROR(INDEX(U$2:AY$2,MATCH(TRUE,INDEX(U99:AY99&lt;&gt;"",0),0)),"")</f>
        <v/>
      </c>
      <c r="N99" s="66">
        <f>IFERROR(LOOKUP(2,1/(U99:AY99&lt;&gt;""),U$2:AY$2),"")</f>
        <v/>
      </c>
      <c r="O99" s="59" t="n"/>
      <c r="P99" s="59" t="n"/>
      <c r="Q99" s="59" t="n"/>
      <c r="R99" s="59" t="n"/>
      <c r="S99" s="14" t="n"/>
      <c r="U99" s="53" t="n"/>
      <c r="V99" s="53" t="n"/>
      <c r="W99" s="53" t="n"/>
      <c r="X99" s="53" t="n"/>
      <c r="Y99" s="53" t="n"/>
      <c r="Z99" s="53" t="n"/>
      <c r="AA99" s="53" t="n"/>
      <c r="AB99" s="53" t="n"/>
      <c r="AC99" s="53" t="n"/>
      <c r="AD99" s="53" t="n"/>
      <c r="AE99" s="53" t="n"/>
      <c r="AF99" s="53" t="n"/>
      <c r="AG99" s="53" t="n"/>
      <c r="AH99" s="53" t="n"/>
      <c r="AI99" s="53" t="n"/>
      <c r="AJ99" s="53" t="n"/>
      <c r="AK99" s="53" t="n"/>
      <c r="AL99" s="53" t="n"/>
      <c r="AM99" s="53" t="n"/>
      <c r="AN99" s="53" t="n"/>
      <c r="AO99" s="53" t="n"/>
      <c r="AP99" s="53" t="n"/>
      <c r="AQ99" s="53" t="n"/>
      <c r="AR99" s="53" t="n"/>
      <c r="AS99" s="53" t="n"/>
      <c r="AT99" s="53" t="n"/>
      <c r="AU99" s="53" t="n"/>
      <c r="AV99" s="53" t="n"/>
      <c r="AW99" s="53" t="n"/>
      <c r="AX99" s="53" t="n"/>
      <c r="AY99" s="53" t="n"/>
    </row>
    <row r="100" ht="15" customHeight="1">
      <c r="A100" s="40">
        <f>IF($D$100="","",31)</f>
        <v/>
      </c>
      <c r="B100" s="10" t="n"/>
      <c r="C100" s="41" t="inlineStr">
        <is>
          <t>마케팅2팀</t>
        </is>
      </c>
      <c r="D100" s="42" t="n"/>
      <c r="E100" s="43" t="inlineStr">
        <is>
          <t>기획</t>
        </is>
      </c>
      <c r="F100" s="44" t="n"/>
      <c r="G100" s="45" t="n"/>
      <c r="H100" s="46">
        <f>IF($I$100="","",IF($I$100&lt;0,"🔴지연",IF($I$100&lt;=1,"🟡임박","🟢여유")))</f>
        <v/>
      </c>
      <c r="I100" s="47">
        <f>IF(OR($G$100="",$K$100=""),"",$G$100-$K$100)</f>
        <v/>
      </c>
      <c r="J100" s="48">
        <f>IF(SUM($L$100:$L$102)=0,"",SUM($L$100:$L$102))</f>
        <v/>
      </c>
      <c r="K100" s="49">
        <f>IF($J$100="","",MAX($N$100:$N$102))</f>
        <v/>
      </c>
      <c r="L100" s="50">
        <f>IF(SUM(U100:AY100)=0,"",SUM(U100:AY100))</f>
        <v/>
      </c>
      <c r="M100" s="51">
        <f>IFERROR(INDEX(U$2:AY$2,MATCH(TRUE,INDEX(U100:AY100&lt;&gt;"",0),0)),"")</f>
        <v/>
      </c>
      <c r="N100" s="51">
        <f>IFERROR(LOOKUP(2,1/(U100:AY100&lt;&gt;""),U$2:AY$2),"")</f>
        <v/>
      </c>
      <c r="O100" s="52" t="n"/>
      <c r="P100" s="52" t="n"/>
      <c r="Q100" s="52" t="n"/>
      <c r="R100" s="44" t="n"/>
      <c r="S100" s="14" t="n"/>
      <c r="U100" s="53" t="n"/>
      <c r="V100" s="53" t="n"/>
      <c r="W100" s="53" t="n"/>
      <c r="X100" s="53" t="n"/>
      <c r="Y100" s="53" t="n"/>
      <c r="Z100" s="53" t="n"/>
      <c r="AA100" s="53" t="n"/>
      <c r="AB100" s="53" t="n"/>
      <c r="AC100" s="53" t="n"/>
      <c r="AD100" s="53" t="n"/>
      <c r="AE100" s="53" t="n"/>
      <c r="AF100" s="53" t="n"/>
      <c r="AG100" s="53" t="n"/>
      <c r="AH100" s="53" t="n"/>
      <c r="AI100" s="53" t="n"/>
      <c r="AJ100" s="53" t="n"/>
      <c r="AK100" s="53" t="n"/>
      <c r="AL100" s="53" t="n"/>
      <c r="AM100" s="53" t="n"/>
      <c r="AN100" s="53" t="n"/>
      <c r="AO100" s="53" t="n"/>
      <c r="AP100" s="53" t="n"/>
      <c r="AQ100" s="53" t="n"/>
      <c r="AR100" s="53" t="n"/>
      <c r="AS100" s="53" t="n"/>
      <c r="AT100" s="53" t="n"/>
      <c r="AU100" s="53" t="n"/>
      <c r="AV100" s="53" t="n"/>
      <c r="AW100" s="53" t="n"/>
      <c r="AX100" s="53" t="n"/>
      <c r="AY100" s="53" t="n"/>
    </row>
    <row r="101" ht="15" customHeight="1">
      <c r="A101" s="54" t="n"/>
      <c r="B101" s="55">
        <f>IF($B$100="","",$B$100)</f>
        <v/>
      </c>
      <c r="C101" s="56" t="inlineStr">
        <is>
          <t>마케팅2팀</t>
        </is>
      </c>
      <c r="D101" s="55">
        <f>IF($D$100="","",$D$100)</f>
        <v/>
      </c>
      <c r="E101" s="57" t="inlineStr">
        <is>
          <t>이미지</t>
        </is>
      </c>
      <c r="F101" s="44" t="n"/>
      <c r="G101" s="58">
        <f>IF($G$100="","",$G$100)</f>
        <v/>
      </c>
      <c r="H101" s="59" t="n"/>
      <c r="I101" s="59" t="n"/>
      <c r="J101" s="59" t="n"/>
      <c r="K101" s="59" t="n"/>
      <c r="L101" s="60">
        <f>IF(SUM(U101:AY101)=0,"",SUM(U101:AY101))</f>
        <v/>
      </c>
      <c r="M101" s="61">
        <f>IFERROR(INDEX(U$2:AY$2,MATCH(TRUE,INDEX(U101:AY101&lt;&gt;"",0),0)),"")</f>
        <v/>
      </c>
      <c r="N101" s="61">
        <f>IFERROR(LOOKUP(2,1/(U101:AY101&lt;&gt;""),U$2:AY$2),"")</f>
        <v/>
      </c>
      <c r="O101" s="59" t="n"/>
      <c r="P101" s="59" t="n"/>
      <c r="Q101" s="59" t="n"/>
      <c r="R101" s="59" t="n"/>
      <c r="S101" s="14" t="n"/>
      <c r="U101" s="53" t="n"/>
      <c r="V101" s="53" t="n"/>
      <c r="W101" s="53" t="n"/>
      <c r="X101" s="53" t="n"/>
      <c r="Y101" s="53" t="n"/>
      <c r="Z101" s="53" t="n"/>
      <c r="AA101" s="53" t="n"/>
      <c r="AB101" s="53" t="n"/>
      <c r="AC101" s="53" t="n"/>
      <c r="AD101" s="53" t="n"/>
      <c r="AE101" s="53" t="n"/>
      <c r="AF101" s="53" t="n"/>
      <c r="AG101" s="53" t="n"/>
      <c r="AH101" s="53" t="n"/>
      <c r="AI101" s="53" t="n"/>
      <c r="AJ101" s="53" t="n"/>
      <c r="AK101" s="53" t="n"/>
      <c r="AL101" s="53" t="n"/>
      <c r="AM101" s="53" t="n"/>
      <c r="AN101" s="53" t="n"/>
      <c r="AO101" s="53" t="n"/>
      <c r="AP101" s="53" t="n"/>
      <c r="AQ101" s="53" t="n"/>
      <c r="AR101" s="53" t="n"/>
      <c r="AS101" s="53" t="n"/>
      <c r="AT101" s="53" t="n"/>
      <c r="AU101" s="53" t="n"/>
      <c r="AV101" s="53" t="n"/>
      <c r="AW101" s="53" t="n"/>
      <c r="AX101" s="53" t="n"/>
      <c r="AY101" s="53" t="n"/>
    </row>
    <row r="102" ht="15" customHeight="1">
      <c r="A102" s="62" t="n"/>
      <c r="B102" s="55">
        <f>IF($B$100="","",$B$100)</f>
        <v/>
      </c>
      <c r="C102" s="63" t="inlineStr">
        <is>
          <t>마케팅2팀</t>
        </is>
      </c>
      <c r="D102" s="55">
        <f>IF($D$100="","",$D$100)</f>
        <v/>
      </c>
      <c r="E102" s="64" t="inlineStr">
        <is>
          <t>영상</t>
        </is>
      </c>
      <c r="F102" s="44" t="n"/>
      <c r="G102" s="58">
        <f>IF($G$100="","",$G$100)</f>
        <v/>
      </c>
      <c r="H102" s="59" t="n"/>
      <c r="I102" s="59" t="n"/>
      <c r="J102" s="59" t="n"/>
      <c r="K102" s="59" t="n"/>
      <c r="L102" s="65">
        <f>IF(SUM(U102:AY102)=0,"",SUM(U102:AY102))</f>
        <v/>
      </c>
      <c r="M102" s="66">
        <f>IFERROR(INDEX(U$2:AY$2,MATCH(TRUE,INDEX(U102:AY102&lt;&gt;"",0),0)),"")</f>
        <v/>
      </c>
      <c r="N102" s="66">
        <f>IFERROR(LOOKUP(2,1/(U102:AY102&lt;&gt;""),U$2:AY$2),"")</f>
        <v/>
      </c>
      <c r="O102" s="59" t="n"/>
      <c r="P102" s="59" t="n"/>
      <c r="Q102" s="59" t="n"/>
      <c r="R102" s="59" t="n"/>
      <c r="S102" s="14" t="n"/>
      <c r="U102" s="53" t="n"/>
      <c r="V102" s="53" t="n"/>
      <c r="W102" s="53" t="n"/>
      <c r="X102" s="53" t="n"/>
      <c r="Y102" s="53" t="n"/>
      <c r="Z102" s="53" t="n"/>
      <c r="AA102" s="53" t="n"/>
      <c r="AB102" s="53" t="n"/>
      <c r="AC102" s="53" t="n"/>
      <c r="AD102" s="53" t="n"/>
      <c r="AE102" s="53" t="n"/>
      <c r="AF102" s="53" t="n"/>
      <c r="AG102" s="53" t="n"/>
      <c r="AH102" s="53" t="n"/>
      <c r="AI102" s="53" t="n"/>
      <c r="AJ102" s="53" t="n"/>
      <c r="AK102" s="53" t="n"/>
      <c r="AL102" s="53" t="n"/>
      <c r="AM102" s="53" t="n"/>
      <c r="AN102" s="53" t="n"/>
      <c r="AO102" s="53" t="n"/>
      <c r="AP102" s="53" t="n"/>
      <c r="AQ102" s="53" t="n"/>
      <c r="AR102" s="53" t="n"/>
      <c r="AS102" s="53" t="n"/>
      <c r="AT102" s="53" t="n"/>
      <c r="AU102" s="53" t="n"/>
      <c r="AV102" s="53" t="n"/>
      <c r="AW102" s="53" t="n"/>
      <c r="AX102" s="53" t="n"/>
      <c r="AY102" s="53" t="n"/>
    </row>
    <row r="103" ht="15" customHeight="1">
      <c r="A103" s="40">
        <f>IF($D$103="","",32)</f>
        <v/>
      </c>
      <c r="B103" s="10" t="n"/>
      <c r="C103" s="41" t="inlineStr">
        <is>
          <t>마케팅2팀</t>
        </is>
      </c>
      <c r="D103" s="42" t="n"/>
      <c r="E103" s="43" t="inlineStr">
        <is>
          <t>기획</t>
        </is>
      </c>
      <c r="F103" s="44" t="n"/>
      <c r="G103" s="45" t="n"/>
      <c r="H103" s="46">
        <f>IF($I$103="","",IF($I$103&lt;0,"🔴지연",IF($I$103&lt;=1,"🟡임박","🟢여유")))</f>
        <v/>
      </c>
      <c r="I103" s="47">
        <f>IF(OR($G$103="",$K$103=""),"",$G$103-$K$103)</f>
        <v/>
      </c>
      <c r="J103" s="48">
        <f>IF(SUM($L$103:$L$105)=0,"",SUM($L$103:$L$105))</f>
        <v/>
      </c>
      <c r="K103" s="49">
        <f>IF($J$103="","",MAX($N$103:$N$105))</f>
        <v/>
      </c>
      <c r="L103" s="50">
        <f>IF(SUM(U103:AY103)=0,"",SUM(U103:AY103))</f>
        <v/>
      </c>
      <c r="M103" s="51">
        <f>IFERROR(INDEX(U$2:AY$2,MATCH(TRUE,INDEX(U103:AY103&lt;&gt;"",0),0)),"")</f>
        <v/>
      </c>
      <c r="N103" s="51">
        <f>IFERROR(LOOKUP(2,1/(U103:AY103&lt;&gt;""),U$2:AY$2),"")</f>
        <v/>
      </c>
      <c r="O103" s="52" t="n"/>
      <c r="P103" s="52" t="n"/>
      <c r="Q103" s="52" t="n"/>
      <c r="R103" s="44" t="n"/>
      <c r="S103" s="14" t="n"/>
      <c r="U103" s="53" t="n"/>
      <c r="V103" s="53" t="n"/>
      <c r="W103" s="53" t="n"/>
      <c r="X103" s="53" t="n"/>
      <c r="Y103" s="53" t="n"/>
      <c r="Z103" s="53" t="n"/>
      <c r="AA103" s="53" t="n"/>
      <c r="AB103" s="53" t="n"/>
      <c r="AC103" s="53" t="n"/>
      <c r="AD103" s="53" t="n"/>
      <c r="AE103" s="53" t="n"/>
      <c r="AF103" s="53" t="n"/>
      <c r="AG103" s="53" t="n"/>
      <c r="AH103" s="53" t="n"/>
      <c r="AI103" s="53" t="n"/>
      <c r="AJ103" s="53" t="n"/>
      <c r="AK103" s="53" t="n"/>
      <c r="AL103" s="53" t="n"/>
      <c r="AM103" s="53" t="n"/>
      <c r="AN103" s="53" t="n"/>
      <c r="AO103" s="53" t="n"/>
      <c r="AP103" s="53" t="n"/>
      <c r="AQ103" s="53" t="n"/>
      <c r="AR103" s="53" t="n"/>
      <c r="AS103" s="53" t="n"/>
      <c r="AT103" s="53" t="n"/>
      <c r="AU103" s="53" t="n"/>
      <c r="AV103" s="53" t="n"/>
      <c r="AW103" s="53" t="n"/>
      <c r="AX103" s="53" t="n"/>
      <c r="AY103" s="53" t="n"/>
    </row>
    <row r="104" ht="15" customHeight="1">
      <c r="A104" s="54" t="n"/>
      <c r="B104" s="55">
        <f>IF($B$103="","",$B$103)</f>
        <v/>
      </c>
      <c r="C104" s="56" t="inlineStr">
        <is>
          <t>마케팅2팀</t>
        </is>
      </c>
      <c r="D104" s="55">
        <f>IF($D$103="","",$D$103)</f>
        <v/>
      </c>
      <c r="E104" s="57" t="inlineStr">
        <is>
          <t>이미지</t>
        </is>
      </c>
      <c r="F104" s="44" t="n"/>
      <c r="G104" s="58">
        <f>IF($G$103="","",$G$103)</f>
        <v/>
      </c>
      <c r="H104" s="59" t="n"/>
      <c r="I104" s="59" t="n"/>
      <c r="J104" s="59" t="n"/>
      <c r="K104" s="59" t="n"/>
      <c r="L104" s="60">
        <f>IF(SUM(U104:AY104)=0,"",SUM(U104:AY104))</f>
        <v/>
      </c>
      <c r="M104" s="61">
        <f>IFERROR(INDEX(U$2:AY$2,MATCH(TRUE,INDEX(U104:AY104&lt;&gt;"",0),0)),"")</f>
        <v/>
      </c>
      <c r="N104" s="61">
        <f>IFERROR(LOOKUP(2,1/(U104:AY104&lt;&gt;""),U$2:AY$2),"")</f>
        <v/>
      </c>
      <c r="O104" s="59" t="n"/>
      <c r="P104" s="59" t="n"/>
      <c r="Q104" s="59" t="n"/>
      <c r="R104" s="59" t="n"/>
      <c r="S104" s="14" t="n"/>
      <c r="U104" s="53" t="n"/>
      <c r="V104" s="53" t="n"/>
      <c r="W104" s="53" t="n"/>
      <c r="X104" s="53" t="n"/>
      <c r="Y104" s="53" t="n"/>
      <c r="Z104" s="53" t="n"/>
      <c r="AA104" s="53" t="n"/>
      <c r="AB104" s="53" t="n"/>
      <c r="AC104" s="53" t="n"/>
      <c r="AD104" s="53" t="n"/>
      <c r="AE104" s="53" t="n"/>
      <c r="AF104" s="53" t="n"/>
      <c r="AG104" s="53" t="n"/>
      <c r="AH104" s="53" t="n"/>
      <c r="AI104" s="53" t="n"/>
      <c r="AJ104" s="53" t="n"/>
      <c r="AK104" s="53" t="n"/>
      <c r="AL104" s="53" t="n"/>
      <c r="AM104" s="53" t="n"/>
      <c r="AN104" s="53" t="n"/>
      <c r="AO104" s="53" t="n"/>
      <c r="AP104" s="53" t="n"/>
      <c r="AQ104" s="53" t="n"/>
      <c r="AR104" s="53" t="n"/>
      <c r="AS104" s="53" t="n"/>
      <c r="AT104" s="53" t="n"/>
      <c r="AU104" s="53" t="n"/>
      <c r="AV104" s="53" t="n"/>
      <c r="AW104" s="53" t="n"/>
      <c r="AX104" s="53" t="n"/>
      <c r="AY104" s="53" t="n"/>
    </row>
    <row r="105" ht="15" customHeight="1">
      <c r="A105" s="62" t="n"/>
      <c r="B105" s="55">
        <f>IF($B$103="","",$B$103)</f>
        <v/>
      </c>
      <c r="C105" s="63" t="inlineStr">
        <is>
          <t>마케팅2팀</t>
        </is>
      </c>
      <c r="D105" s="55">
        <f>IF($D$103="","",$D$103)</f>
        <v/>
      </c>
      <c r="E105" s="64" t="inlineStr">
        <is>
          <t>영상</t>
        </is>
      </c>
      <c r="F105" s="44" t="n"/>
      <c r="G105" s="58">
        <f>IF($G$103="","",$G$103)</f>
        <v/>
      </c>
      <c r="H105" s="59" t="n"/>
      <c r="I105" s="59" t="n"/>
      <c r="J105" s="59" t="n"/>
      <c r="K105" s="59" t="n"/>
      <c r="L105" s="65">
        <f>IF(SUM(U105:AY105)=0,"",SUM(U105:AY105))</f>
        <v/>
      </c>
      <c r="M105" s="66">
        <f>IFERROR(INDEX(U$2:AY$2,MATCH(TRUE,INDEX(U105:AY105&lt;&gt;"",0),0)),"")</f>
        <v/>
      </c>
      <c r="N105" s="66">
        <f>IFERROR(LOOKUP(2,1/(U105:AY105&lt;&gt;""),U$2:AY$2),"")</f>
        <v/>
      </c>
      <c r="O105" s="59" t="n"/>
      <c r="P105" s="59" t="n"/>
      <c r="Q105" s="59" t="n"/>
      <c r="R105" s="59" t="n"/>
      <c r="S105" s="14" t="n"/>
      <c r="U105" s="53" t="n"/>
      <c r="V105" s="53" t="n"/>
      <c r="W105" s="53" t="n"/>
      <c r="X105" s="53" t="n"/>
      <c r="Y105" s="53" t="n"/>
      <c r="Z105" s="53" t="n"/>
      <c r="AA105" s="53" t="n"/>
      <c r="AB105" s="53" t="n"/>
      <c r="AC105" s="53" t="n"/>
      <c r="AD105" s="53" t="n"/>
      <c r="AE105" s="53" t="n"/>
      <c r="AF105" s="53" t="n"/>
      <c r="AG105" s="53" t="n"/>
      <c r="AH105" s="53" t="n"/>
      <c r="AI105" s="53" t="n"/>
      <c r="AJ105" s="53" t="n"/>
      <c r="AK105" s="53" t="n"/>
      <c r="AL105" s="53" t="n"/>
      <c r="AM105" s="53" t="n"/>
      <c r="AN105" s="53" t="n"/>
      <c r="AO105" s="53" t="n"/>
      <c r="AP105" s="53" t="n"/>
      <c r="AQ105" s="53" t="n"/>
      <c r="AR105" s="53" t="n"/>
      <c r="AS105" s="53" t="n"/>
      <c r="AT105" s="53" t="n"/>
      <c r="AU105" s="53" t="n"/>
      <c r="AV105" s="53" t="n"/>
      <c r="AW105" s="53" t="n"/>
      <c r="AX105" s="53" t="n"/>
      <c r="AY105" s="53" t="n"/>
    </row>
    <row r="106" ht="15" customHeight="1">
      <c r="A106" s="40">
        <f>IF($D$106="","",33)</f>
        <v/>
      </c>
      <c r="B106" s="10" t="n"/>
      <c r="C106" s="41" t="inlineStr">
        <is>
          <t>마케팅2팀</t>
        </is>
      </c>
      <c r="D106" s="42" t="n"/>
      <c r="E106" s="43" t="inlineStr">
        <is>
          <t>기획</t>
        </is>
      </c>
      <c r="F106" s="44" t="n"/>
      <c r="G106" s="45" t="n"/>
      <c r="H106" s="46">
        <f>IF($I$106="","",IF($I$106&lt;0,"🔴지연",IF($I$106&lt;=1,"🟡임박","🟢여유")))</f>
        <v/>
      </c>
      <c r="I106" s="47">
        <f>IF(OR($G$106="",$K$106=""),"",$G$106-$K$106)</f>
        <v/>
      </c>
      <c r="J106" s="48">
        <f>IF(SUM($L$106:$L$108)=0,"",SUM($L$106:$L$108))</f>
        <v/>
      </c>
      <c r="K106" s="49">
        <f>IF($J$106="","",MAX($N$106:$N$108))</f>
        <v/>
      </c>
      <c r="L106" s="50">
        <f>IF(SUM(U106:AY106)=0,"",SUM(U106:AY106))</f>
        <v/>
      </c>
      <c r="M106" s="51">
        <f>IFERROR(INDEX(U$2:AY$2,MATCH(TRUE,INDEX(U106:AY106&lt;&gt;"",0),0)),"")</f>
        <v/>
      </c>
      <c r="N106" s="51">
        <f>IFERROR(LOOKUP(2,1/(U106:AY106&lt;&gt;""),U$2:AY$2),"")</f>
        <v/>
      </c>
      <c r="O106" s="52" t="n"/>
      <c r="P106" s="52" t="n"/>
      <c r="Q106" s="52" t="n"/>
      <c r="R106" s="44" t="n"/>
      <c r="S106" s="14" t="n"/>
      <c r="U106" s="53" t="n"/>
      <c r="V106" s="53" t="n"/>
      <c r="W106" s="53" t="n"/>
      <c r="X106" s="53" t="n"/>
      <c r="Y106" s="53" t="n"/>
      <c r="Z106" s="53" t="n"/>
      <c r="AA106" s="53" t="n"/>
      <c r="AB106" s="53" t="n"/>
      <c r="AC106" s="53" t="n"/>
      <c r="AD106" s="53" t="n"/>
      <c r="AE106" s="53" t="n"/>
      <c r="AF106" s="53" t="n"/>
      <c r="AG106" s="53" t="n"/>
      <c r="AH106" s="53" t="n"/>
      <c r="AI106" s="53" t="n"/>
      <c r="AJ106" s="53" t="n"/>
      <c r="AK106" s="53" t="n"/>
      <c r="AL106" s="53" t="n"/>
      <c r="AM106" s="53" t="n"/>
      <c r="AN106" s="53" t="n"/>
      <c r="AO106" s="53" t="n"/>
      <c r="AP106" s="53" t="n"/>
      <c r="AQ106" s="53" t="n"/>
      <c r="AR106" s="53" t="n"/>
      <c r="AS106" s="53" t="n"/>
      <c r="AT106" s="53" t="n"/>
      <c r="AU106" s="53" t="n"/>
      <c r="AV106" s="53" t="n"/>
      <c r="AW106" s="53" t="n"/>
      <c r="AX106" s="53" t="n"/>
      <c r="AY106" s="53" t="n"/>
    </row>
    <row r="107" ht="15" customHeight="1">
      <c r="A107" s="54" t="n"/>
      <c r="B107" s="55">
        <f>IF($B$106="","",$B$106)</f>
        <v/>
      </c>
      <c r="C107" s="56" t="inlineStr">
        <is>
          <t>마케팅2팀</t>
        </is>
      </c>
      <c r="D107" s="55">
        <f>IF($D$106="","",$D$106)</f>
        <v/>
      </c>
      <c r="E107" s="57" t="inlineStr">
        <is>
          <t>이미지</t>
        </is>
      </c>
      <c r="F107" s="44" t="n"/>
      <c r="G107" s="58">
        <f>IF($G$106="","",$G$106)</f>
        <v/>
      </c>
      <c r="H107" s="59" t="n"/>
      <c r="I107" s="59" t="n"/>
      <c r="J107" s="59" t="n"/>
      <c r="K107" s="59" t="n"/>
      <c r="L107" s="60">
        <f>IF(SUM(U107:AY107)=0,"",SUM(U107:AY107))</f>
        <v/>
      </c>
      <c r="M107" s="61">
        <f>IFERROR(INDEX(U$2:AY$2,MATCH(TRUE,INDEX(U107:AY107&lt;&gt;"",0),0)),"")</f>
        <v/>
      </c>
      <c r="N107" s="61">
        <f>IFERROR(LOOKUP(2,1/(U107:AY107&lt;&gt;""),U$2:AY$2),"")</f>
        <v/>
      </c>
      <c r="O107" s="59" t="n"/>
      <c r="P107" s="59" t="n"/>
      <c r="Q107" s="59" t="n"/>
      <c r="R107" s="59" t="n"/>
      <c r="S107" s="14" t="n"/>
      <c r="U107" s="53" t="n"/>
      <c r="V107" s="53" t="n"/>
      <c r="W107" s="53" t="n"/>
      <c r="X107" s="53" t="n"/>
      <c r="Y107" s="53" t="n"/>
      <c r="Z107" s="53" t="n"/>
      <c r="AA107" s="53" t="n"/>
      <c r="AB107" s="53" t="n"/>
      <c r="AC107" s="53" t="n"/>
      <c r="AD107" s="53" t="n"/>
      <c r="AE107" s="53" t="n"/>
      <c r="AF107" s="53" t="n"/>
      <c r="AG107" s="53" t="n"/>
      <c r="AH107" s="53" t="n"/>
      <c r="AI107" s="53" t="n"/>
      <c r="AJ107" s="53" t="n"/>
      <c r="AK107" s="53" t="n"/>
      <c r="AL107" s="53" t="n"/>
      <c r="AM107" s="53" t="n"/>
      <c r="AN107" s="53" t="n"/>
      <c r="AO107" s="53" t="n"/>
      <c r="AP107" s="53" t="n"/>
      <c r="AQ107" s="53" t="n"/>
      <c r="AR107" s="53" t="n"/>
      <c r="AS107" s="53" t="n"/>
      <c r="AT107" s="53" t="n"/>
      <c r="AU107" s="53" t="n"/>
      <c r="AV107" s="53" t="n"/>
      <c r="AW107" s="53" t="n"/>
      <c r="AX107" s="53" t="n"/>
      <c r="AY107" s="53" t="n"/>
    </row>
    <row r="108" ht="15" customHeight="1">
      <c r="A108" s="62" t="n"/>
      <c r="B108" s="55">
        <f>IF($B$106="","",$B$106)</f>
        <v/>
      </c>
      <c r="C108" s="63" t="inlineStr">
        <is>
          <t>마케팅2팀</t>
        </is>
      </c>
      <c r="D108" s="55">
        <f>IF($D$106="","",$D$106)</f>
        <v/>
      </c>
      <c r="E108" s="64" t="inlineStr">
        <is>
          <t>영상</t>
        </is>
      </c>
      <c r="F108" s="44" t="n"/>
      <c r="G108" s="58">
        <f>IF($G$106="","",$G$106)</f>
        <v/>
      </c>
      <c r="H108" s="59" t="n"/>
      <c r="I108" s="59" t="n"/>
      <c r="J108" s="59" t="n"/>
      <c r="K108" s="59" t="n"/>
      <c r="L108" s="65">
        <f>IF(SUM(U108:AY108)=0,"",SUM(U108:AY108))</f>
        <v/>
      </c>
      <c r="M108" s="66">
        <f>IFERROR(INDEX(U$2:AY$2,MATCH(TRUE,INDEX(U108:AY108&lt;&gt;"",0),0)),"")</f>
        <v/>
      </c>
      <c r="N108" s="66">
        <f>IFERROR(LOOKUP(2,1/(U108:AY108&lt;&gt;""),U$2:AY$2),"")</f>
        <v/>
      </c>
      <c r="O108" s="59" t="n"/>
      <c r="P108" s="59" t="n"/>
      <c r="Q108" s="59" t="n"/>
      <c r="R108" s="59" t="n"/>
      <c r="S108" s="14" t="n"/>
      <c r="U108" s="53" t="n"/>
      <c r="V108" s="53" t="n"/>
      <c r="W108" s="53" t="n"/>
      <c r="X108" s="53" t="n"/>
      <c r="Y108" s="53" t="n"/>
      <c r="Z108" s="53" t="n"/>
      <c r="AA108" s="53" t="n"/>
      <c r="AB108" s="53" t="n"/>
      <c r="AC108" s="53" t="n"/>
      <c r="AD108" s="53" t="n"/>
      <c r="AE108" s="53" t="n"/>
      <c r="AF108" s="53" t="n"/>
      <c r="AG108" s="53" t="n"/>
      <c r="AH108" s="53" t="n"/>
      <c r="AI108" s="53" t="n"/>
      <c r="AJ108" s="53" t="n"/>
      <c r="AK108" s="53" t="n"/>
      <c r="AL108" s="53" t="n"/>
      <c r="AM108" s="53" t="n"/>
      <c r="AN108" s="53" t="n"/>
      <c r="AO108" s="53" t="n"/>
      <c r="AP108" s="53" t="n"/>
      <c r="AQ108" s="53" t="n"/>
      <c r="AR108" s="53" t="n"/>
      <c r="AS108" s="53" t="n"/>
      <c r="AT108" s="53" t="n"/>
      <c r="AU108" s="53" t="n"/>
      <c r="AV108" s="53" t="n"/>
      <c r="AW108" s="53" t="n"/>
      <c r="AX108" s="53" t="n"/>
      <c r="AY108" s="53" t="n"/>
    </row>
    <row r="109" ht="15" customHeight="1">
      <c r="A109" s="40">
        <f>IF($D$109="","",34)</f>
        <v/>
      </c>
      <c r="B109" s="10" t="n"/>
      <c r="C109" s="41" t="inlineStr">
        <is>
          <t>마케팅2팀</t>
        </is>
      </c>
      <c r="D109" s="42" t="n"/>
      <c r="E109" s="43" t="inlineStr">
        <is>
          <t>기획</t>
        </is>
      </c>
      <c r="F109" s="44" t="n"/>
      <c r="G109" s="45" t="n"/>
      <c r="H109" s="46">
        <f>IF($I$109="","",IF($I$109&lt;0,"🔴지연",IF($I$109&lt;=1,"🟡임박","🟢여유")))</f>
        <v/>
      </c>
      <c r="I109" s="47">
        <f>IF(OR($G$109="",$K$109=""),"",$G$109-$K$109)</f>
        <v/>
      </c>
      <c r="J109" s="48">
        <f>IF(SUM($L$109:$L$111)=0,"",SUM($L$109:$L$111))</f>
        <v/>
      </c>
      <c r="K109" s="49">
        <f>IF($J$109="","",MAX($N$109:$N$111))</f>
        <v/>
      </c>
      <c r="L109" s="50">
        <f>IF(SUM(U109:AY109)=0,"",SUM(U109:AY109))</f>
        <v/>
      </c>
      <c r="M109" s="51">
        <f>IFERROR(INDEX(U$2:AY$2,MATCH(TRUE,INDEX(U109:AY109&lt;&gt;"",0),0)),"")</f>
        <v/>
      </c>
      <c r="N109" s="51">
        <f>IFERROR(LOOKUP(2,1/(U109:AY109&lt;&gt;""),U$2:AY$2),"")</f>
        <v/>
      </c>
      <c r="O109" s="52" t="n"/>
      <c r="P109" s="52" t="n"/>
      <c r="Q109" s="52" t="n"/>
      <c r="R109" s="44" t="n"/>
      <c r="S109" s="14" t="n"/>
      <c r="U109" s="53" t="n"/>
      <c r="V109" s="53" t="n"/>
      <c r="W109" s="53" t="n"/>
      <c r="X109" s="53" t="n"/>
      <c r="Y109" s="53" t="n"/>
      <c r="Z109" s="53" t="n"/>
      <c r="AA109" s="53" t="n"/>
      <c r="AB109" s="53" t="n"/>
      <c r="AC109" s="53" t="n"/>
      <c r="AD109" s="53" t="n"/>
      <c r="AE109" s="53" t="n"/>
      <c r="AF109" s="53" t="n"/>
      <c r="AG109" s="53" t="n"/>
      <c r="AH109" s="53" t="n"/>
      <c r="AI109" s="53" t="n"/>
      <c r="AJ109" s="53" t="n"/>
      <c r="AK109" s="53" t="n"/>
      <c r="AL109" s="53" t="n"/>
      <c r="AM109" s="53" t="n"/>
      <c r="AN109" s="53" t="n"/>
      <c r="AO109" s="53" t="n"/>
      <c r="AP109" s="53" t="n"/>
      <c r="AQ109" s="53" t="n"/>
      <c r="AR109" s="53" t="n"/>
      <c r="AS109" s="53" t="n"/>
      <c r="AT109" s="53" t="n"/>
      <c r="AU109" s="53" t="n"/>
      <c r="AV109" s="53" t="n"/>
      <c r="AW109" s="53" t="n"/>
      <c r="AX109" s="53" t="n"/>
      <c r="AY109" s="53" t="n"/>
    </row>
    <row r="110" ht="15" customHeight="1">
      <c r="A110" s="54" t="n"/>
      <c r="B110" s="55">
        <f>IF($B$109="","",$B$109)</f>
        <v/>
      </c>
      <c r="C110" s="56" t="inlineStr">
        <is>
          <t>마케팅2팀</t>
        </is>
      </c>
      <c r="D110" s="55">
        <f>IF($D$109="","",$D$109)</f>
        <v/>
      </c>
      <c r="E110" s="57" t="inlineStr">
        <is>
          <t>이미지</t>
        </is>
      </c>
      <c r="F110" s="44" t="n"/>
      <c r="G110" s="58">
        <f>IF($G$109="","",$G$109)</f>
        <v/>
      </c>
      <c r="H110" s="59" t="n"/>
      <c r="I110" s="59" t="n"/>
      <c r="J110" s="59" t="n"/>
      <c r="K110" s="59" t="n"/>
      <c r="L110" s="60">
        <f>IF(SUM(U110:AY110)=0,"",SUM(U110:AY110))</f>
        <v/>
      </c>
      <c r="M110" s="61">
        <f>IFERROR(INDEX(U$2:AY$2,MATCH(TRUE,INDEX(U110:AY110&lt;&gt;"",0),0)),"")</f>
        <v/>
      </c>
      <c r="N110" s="61">
        <f>IFERROR(LOOKUP(2,1/(U110:AY110&lt;&gt;""),U$2:AY$2),"")</f>
        <v/>
      </c>
      <c r="O110" s="59" t="n"/>
      <c r="P110" s="59" t="n"/>
      <c r="Q110" s="59" t="n"/>
      <c r="R110" s="59" t="n"/>
      <c r="S110" s="14" t="n"/>
      <c r="U110" s="53" t="n"/>
      <c r="V110" s="53" t="n"/>
      <c r="W110" s="53" t="n"/>
      <c r="X110" s="53" t="n"/>
      <c r="Y110" s="53" t="n"/>
      <c r="Z110" s="53" t="n"/>
      <c r="AA110" s="53" t="n"/>
      <c r="AB110" s="53" t="n"/>
      <c r="AC110" s="53" t="n"/>
      <c r="AD110" s="53" t="n"/>
      <c r="AE110" s="53" t="n"/>
      <c r="AF110" s="53" t="n"/>
      <c r="AG110" s="53" t="n"/>
      <c r="AH110" s="53" t="n"/>
      <c r="AI110" s="53" t="n"/>
      <c r="AJ110" s="53" t="n"/>
      <c r="AK110" s="53" t="n"/>
      <c r="AL110" s="53" t="n"/>
      <c r="AM110" s="53" t="n"/>
      <c r="AN110" s="53" t="n"/>
      <c r="AO110" s="53" t="n"/>
      <c r="AP110" s="53" t="n"/>
      <c r="AQ110" s="53" t="n"/>
      <c r="AR110" s="53" t="n"/>
      <c r="AS110" s="53" t="n"/>
      <c r="AT110" s="53" t="n"/>
      <c r="AU110" s="53" t="n"/>
      <c r="AV110" s="53" t="n"/>
      <c r="AW110" s="53" t="n"/>
      <c r="AX110" s="53" t="n"/>
      <c r="AY110" s="53" t="n"/>
    </row>
    <row r="111" ht="15" customHeight="1">
      <c r="A111" s="62" t="n"/>
      <c r="B111" s="55">
        <f>IF($B$109="","",$B$109)</f>
        <v/>
      </c>
      <c r="C111" s="63" t="inlineStr">
        <is>
          <t>마케팅2팀</t>
        </is>
      </c>
      <c r="D111" s="55">
        <f>IF($D$109="","",$D$109)</f>
        <v/>
      </c>
      <c r="E111" s="64" t="inlineStr">
        <is>
          <t>영상</t>
        </is>
      </c>
      <c r="F111" s="44" t="n"/>
      <c r="G111" s="58">
        <f>IF($G$109="","",$G$109)</f>
        <v/>
      </c>
      <c r="H111" s="59" t="n"/>
      <c r="I111" s="59" t="n"/>
      <c r="J111" s="59" t="n"/>
      <c r="K111" s="59" t="n"/>
      <c r="L111" s="65">
        <f>IF(SUM(U111:AY111)=0,"",SUM(U111:AY111))</f>
        <v/>
      </c>
      <c r="M111" s="66">
        <f>IFERROR(INDEX(U$2:AY$2,MATCH(TRUE,INDEX(U111:AY111&lt;&gt;"",0),0)),"")</f>
        <v/>
      </c>
      <c r="N111" s="66">
        <f>IFERROR(LOOKUP(2,1/(U111:AY111&lt;&gt;""),U$2:AY$2),"")</f>
        <v/>
      </c>
      <c r="O111" s="59" t="n"/>
      <c r="P111" s="59" t="n"/>
      <c r="Q111" s="59" t="n"/>
      <c r="R111" s="59" t="n"/>
      <c r="S111" s="14" t="n"/>
      <c r="U111" s="53" t="n"/>
      <c r="V111" s="53" t="n"/>
      <c r="W111" s="53" t="n"/>
      <c r="X111" s="53" t="n"/>
      <c r="Y111" s="53" t="n"/>
      <c r="Z111" s="53" t="n"/>
      <c r="AA111" s="53" t="n"/>
      <c r="AB111" s="53" t="n"/>
      <c r="AC111" s="53" t="n"/>
      <c r="AD111" s="53" t="n"/>
      <c r="AE111" s="53" t="n"/>
      <c r="AF111" s="53" t="n"/>
      <c r="AG111" s="53" t="n"/>
      <c r="AH111" s="53" t="n"/>
      <c r="AI111" s="53" t="n"/>
      <c r="AJ111" s="53" t="n"/>
      <c r="AK111" s="53" t="n"/>
      <c r="AL111" s="53" t="n"/>
      <c r="AM111" s="53" t="n"/>
      <c r="AN111" s="53" t="n"/>
      <c r="AO111" s="53" t="n"/>
      <c r="AP111" s="53" t="n"/>
      <c r="AQ111" s="53" t="n"/>
      <c r="AR111" s="53" t="n"/>
      <c r="AS111" s="53" t="n"/>
      <c r="AT111" s="53" t="n"/>
      <c r="AU111" s="53" t="n"/>
      <c r="AV111" s="53" t="n"/>
      <c r="AW111" s="53" t="n"/>
      <c r="AX111" s="53" t="n"/>
      <c r="AY111" s="53" t="n"/>
    </row>
    <row r="112" ht="15" customHeight="1">
      <c r="A112" s="40">
        <f>IF($D$112="","",35)</f>
        <v/>
      </c>
      <c r="B112" s="10" t="n"/>
      <c r="C112" s="41" t="inlineStr">
        <is>
          <t>마케팅2팀</t>
        </is>
      </c>
      <c r="D112" s="42" t="n"/>
      <c r="E112" s="43" t="inlineStr">
        <is>
          <t>기획</t>
        </is>
      </c>
      <c r="F112" s="44" t="n"/>
      <c r="G112" s="45" t="n"/>
      <c r="H112" s="46">
        <f>IF($I$112="","",IF($I$112&lt;0,"🔴지연",IF($I$112&lt;=1,"🟡임박","🟢여유")))</f>
        <v/>
      </c>
      <c r="I112" s="47">
        <f>IF(OR($G$112="",$K$112=""),"",$G$112-$K$112)</f>
        <v/>
      </c>
      <c r="J112" s="48">
        <f>IF(SUM($L$112:$L$114)=0,"",SUM($L$112:$L$114))</f>
        <v/>
      </c>
      <c r="K112" s="49">
        <f>IF($J$112="","",MAX($N$112:$N$114))</f>
        <v/>
      </c>
      <c r="L112" s="50">
        <f>IF(SUM(U112:AY112)=0,"",SUM(U112:AY112))</f>
        <v/>
      </c>
      <c r="M112" s="51">
        <f>IFERROR(INDEX(U$2:AY$2,MATCH(TRUE,INDEX(U112:AY112&lt;&gt;"",0),0)),"")</f>
        <v/>
      </c>
      <c r="N112" s="51">
        <f>IFERROR(LOOKUP(2,1/(U112:AY112&lt;&gt;""),U$2:AY$2),"")</f>
        <v/>
      </c>
      <c r="O112" s="52" t="n"/>
      <c r="P112" s="52" t="n"/>
      <c r="Q112" s="52" t="n"/>
      <c r="R112" s="44" t="n"/>
      <c r="S112" s="14" t="n"/>
      <c r="U112" s="53" t="n"/>
      <c r="V112" s="53" t="n"/>
      <c r="W112" s="53" t="n"/>
      <c r="X112" s="53" t="n"/>
      <c r="Y112" s="53" t="n"/>
      <c r="Z112" s="53" t="n"/>
      <c r="AA112" s="53" t="n"/>
      <c r="AB112" s="53" t="n"/>
      <c r="AC112" s="53" t="n"/>
      <c r="AD112" s="53" t="n"/>
      <c r="AE112" s="53" t="n"/>
      <c r="AF112" s="53" t="n"/>
      <c r="AG112" s="53" t="n"/>
      <c r="AH112" s="53" t="n"/>
      <c r="AI112" s="53" t="n"/>
      <c r="AJ112" s="53" t="n"/>
      <c r="AK112" s="53" t="n"/>
      <c r="AL112" s="53" t="n"/>
      <c r="AM112" s="53" t="n"/>
      <c r="AN112" s="53" t="n"/>
      <c r="AO112" s="53" t="n"/>
      <c r="AP112" s="53" t="n"/>
      <c r="AQ112" s="53" t="n"/>
      <c r="AR112" s="53" t="n"/>
      <c r="AS112" s="53" t="n"/>
      <c r="AT112" s="53" t="n"/>
      <c r="AU112" s="53" t="n"/>
      <c r="AV112" s="53" t="n"/>
      <c r="AW112" s="53" t="n"/>
      <c r="AX112" s="53" t="n"/>
      <c r="AY112" s="53" t="n"/>
    </row>
    <row r="113" ht="15" customHeight="1">
      <c r="A113" s="54" t="n"/>
      <c r="B113" s="55">
        <f>IF($B$112="","",$B$112)</f>
        <v/>
      </c>
      <c r="C113" s="56" t="inlineStr">
        <is>
          <t>마케팅2팀</t>
        </is>
      </c>
      <c r="D113" s="55">
        <f>IF($D$112="","",$D$112)</f>
        <v/>
      </c>
      <c r="E113" s="57" t="inlineStr">
        <is>
          <t>이미지</t>
        </is>
      </c>
      <c r="F113" s="44" t="n"/>
      <c r="G113" s="58">
        <f>IF($G$112="","",$G$112)</f>
        <v/>
      </c>
      <c r="H113" s="59" t="n"/>
      <c r="I113" s="59" t="n"/>
      <c r="J113" s="59" t="n"/>
      <c r="K113" s="59" t="n"/>
      <c r="L113" s="60">
        <f>IF(SUM(U113:AY113)=0,"",SUM(U113:AY113))</f>
        <v/>
      </c>
      <c r="M113" s="61">
        <f>IFERROR(INDEX(U$2:AY$2,MATCH(TRUE,INDEX(U113:AY113&lt;&gt;"",0),0)),"")</f>
        <v/>
      </c>
      <c r="N113" s="61">
        <f>IFERROR(LOOKUP(2,1/(U113:AY113&lt;&gt;""),U$2:AY$2),"")</f>
        <v/>
      </c>
      <c r="O113" s="59" t="n"/>
      <c r="P113" s="59" t="n"/>
      <c r="Q113" s="59" t="n"/>
      <c r="R113" s="59" t="n"/>
      <c r="S113" s="14" t="n"/>
      <c r="U113" s="53" t="n"/>
      <c r="V113" s="53" t="n"/>
      <c r="W113" s="53" t="n"/>
      <c r="X113" s="53" t="n"/>
      <c r="Y113" s="53" t="n"/>
      <c r="Z113" s="53" t="n"/>
      <c r="AA113" s="53" t="n"/>
      <c r="AB113" s="53" t="n"/>
      <c r="AC113" s="53" t="n"/>
      <c r="AD113" s="53" t="n"/>
      <c r="AE113" s="53" t="n"/>
      <c r="AF113" s="53" t="n"/>
      <c r="AG113" s="53" t="n"/>
      <c r="AH113" s="53" t="n"/>
      <c r="AI113" s="53" t="n"/>
      <c r="AJ113" s="53" t="n"/>
      <c r="AK113" s="53" t="n"/>
      <c r="AL113" s="53" t="n"/>
      <c r="AM113" s="53" t="n"/>
      <c r="AN113" s="53" t="n"/>
      <c r="AO113" s="53" t="n"/>
      <c r="AP113" s="53" t="n"/>
      <c r="AQ113" s="53" t="n"/>
      <c r="AR113" s="53" t="n"/>
      <c r="AS113" s="53" t="n"/>
      <c r="AT113" s="53" t="n"/>
      <c r="AU113" s="53" t="n"/>
      <c r="AV113" s="53" t="n"/>
      <c r="AW113" s="53" t="n"/>
      <c r="AX113" s="53" t="n"/>
      <c r="AY113" s="53" t="n"/>
    </row>
    <row r="114" ht="15" customHeight="1">
      <c r="A114" s="62" t="n"/>
      <c r="B114" s="55">
        <f>IF($B$112="","",$B$112)</f>
        <v/>
      </c>
      <c r="C114" s="63" t="inlineStr">
        <is>
          <t>마케팅2팀</t>
        </is>
      </c>
      <c r="D114" s="55">
        <f>IF($D$112="","",$D$112)</f>
        <v/>
      </c>
      <c r="E114" s="64" t="inlineStr">
        <is>
          <t>영상</t>
        </is>
      </c>
      <c r="F114" s="44" t="n"/>
      <c r="G114" s="58">
        <f>IF($G$112="","",$G$112)</f>
        <v/>
      </c>
      <c r="H114" s="59" t="n"/>
      <c r="I114" s="59" t="n"/>
      <c r="J114" s="59" t="n"/>
      <c r="K114" s="59" t="n"/>
      <c r="L114" s="65">
        <f>IF(SUM(U114:AY114)=0,"",SUM(U114:AY114))</f>
        <v/>
      </c>
      <c r="M114" s="66">
        <f>IFERROR(INDEX(U$2:AY$2,MATCH(TRUE,INDEX(U114:AY114&lt;&gt;"",0),0)),"")</f>
        <v/>
      </c>
      <c r="N114" s="66">
        <f>IFERROR(LOOKUP(2,1/(U114:AY114&lt;&gt;""),U$2:AY$2),"")</f>
        <v/>
      </c>
      <c r="O114" s="59" t="n"/>
      <c r="P114" s="59" t="n"/>
      <c r="Q114" s="59" t="n"/>
      <c r="R114" s="59" t="n"/>
      <c r="S114" s="14" t="n"/>
      <c r="U114" s="53" t="n"/>
      <c r="V114" s="53" t="n"/>
      <c r="W114" s="53" t="n"/>
      <c r="X114" s="53" t="n"/>
      <c r="Y114" s="53" t="n"/>
      <c r="Z114" s="53" t="n"/>
      <c r="AA114" s="53" t="n"/>
      <c r="AB114" s="53" t="n"/>
      <c r="AC114" s="53" t="n"/>
      <c r="AD114" s="53" t="n"/>
      <c r="AE114" s="53" t="n"/>
      <c r="AF114" s="53" t="n"/>
      <c r="AG114" s="53" t="n"/>
      <c r="AH114" s="53" t="n"/>
      <c r="AI114" s="53" t="n"/>
      <c r="AJ114" s="53" t="n"/>
      <c r="AK114" s="53" t="n"/>
      <c r="AL114" s="53" t="n"/>
      <c r="AM114" s="53" t="n"/>
      <c r="AN114" s="53" t="n"/>
      <c r="AO114" s="53" t="n"/>
      <c r="AP114" s="53" t="n"/>
      <c r="AQ114" s="53" t="n"/>
      <c r="AR114" s="53" t="n"/>
      <c r="AS114" s="53" t="n"/>
      <c r="AT114" s="53" t="n"/>
      <c r="AU114" s="53" t="n"/>
      <c r="AV114" s="53" t="n"/>
      <c r="AW114" s="53" t="n"/>
      <c r="AX114" s="53" t="n"/>
      <c r="AY114" s="53" t="n"/>
    </row>
    <row r="115" ht="15" customHeight="1">
      <c r="A115" s="40">
        <f>IF($D$115="","",36)</f>
        <v/>
      </c>
      <c r="B115" s="10" t="n"/>
      <c r="C115" s="41" t="inlineStr">
        <is>
          <t>마케팅2팀</t>
        </is>
      </c>
      <c r="D115" s="42" t="n"/>
      <c r="E115" s="43" t="inlineStr">
        <is>
          <t>기획</t>
        </is>
      </c>
      <c r="F115" s="44" t="n"/>
      <c r="G115" s="45" t="n"/>
      <c r="H115" s="46">
        <f>IF($I$115="","",IF($I$115&lt;0,"🔴지연",IF($I$115&lt;=1,"🟡임박","🟢여유")))</f>
        <v/>
      </c>
      <c r="I115" s="47">
        <f>IF(OR($G$115="",$K$115=""),"",$G$115-$K$115)</f>
        <v/>
      </c>
      <c r="J115" s="48">
        <f>IF(SUM($L$115:$L$117)=0,"",SUM($L$115:$L$117))</f>
        <v/>
      </c>
      <c r="K115" s="49">
        <f>IF($J$115="","",MAX($N$115:$N$117))</f>
        <v/>
      </c>
      <c r="L115" s="50">
        <f>IF(SUM(U115:AY115)=0,"",SUM(U115:AY115))</f>
        <v/>
      </c>
      <c r="M115" s="51">
        <f>IFERROR(INDEX(U$2:AY$2,MATCH(TRUE,INDEX(U115:AY115&lt;&gt;"",0),0)),"")</f>
        <v/>
      </c>
      <c r="N115" s="51">
        <f>IFERROR(LOOKUP(2,1/(U115:AY115&lt;&gt;""),U$2:AY$2),"")</f>
        <v/>
      </c>
      <c r="O115" s="52" t="n"/>
      <c r="P115" s="52" t="n"/>
      <c r="Q115" s="52" t="n"/>
      <c r="R115" s="44" t="n"/>
      <c r="S115" s="14" t="n"/>
      <c r="U115" s="53" t="n"/>
      <c r="V115" s="53" t="n"/>
      <c r="W115" s="53" t="n"/>
      <c r="X115" s="53" t="n"/>
      <c r="Y115" s="53" t="n"/>
      <c r="Z115" s="53" t="n"/>
      <c r="AA115" s="53" t="n"/>
      <c r="AB115" s="53" t="n"/>
      <c r="AC115" s="53" t="n"/>
      <c r="AD115" s="53" t="n"/>
      <c r="AE115" s="53" t="n"/>
      <c r="AF115" s="53" t="n"/>
      <c r="AG115" s="53" t="n"/>
      <c r="AH115" s="53" t="n"/>
      <c r="AI115" s="53" t="n"/>
      <c r="AJ115" s="53" t="n"/>
      <c r="AK115" s="53" t="n"/>
      <c r="AL115" s="53" t="n"/>
      <c r="AM115" s="53" t="n"/>
      <c r="AN115" s="53" t="n"/>
      <c r="AO115" s="53" t="n"/>
      <c r="AP115" s="53" t="n"/>
      <c r="AQ115" s="53" t="n"/>
      <c r="AR115" s="53" t="n"/>
      <c r="AS115" s="53" t="n"/>
      <c r="AT115" s="53" t="n"/>
      <c r="AU115" s="53" t="n"/>
      <c r="AV115" s="53" t="n"/>
      <c r="AW115" s="53" t="n"/>
      <c r="AX115" s="53" t="n"/>
      <c r="AY115" s="53" t="n"/>
    </row>
    <row r="116" ht="15" customHeight="1">
      <c r="A116" s="54" t="n"/>
      <c r="B116" s="55">
        <f>IF($B$115="","",$B$115)</f>
        <v/>
      </c>
      <c r="C116" s="56" t="inlineStr">
        <is>
          <t>마케팅2팀</t>
        </is>
      </c>
      <c r="D116" s="55">
        <f>IF($D$115="","",$D$115)</f>
        <v/>
      </c>
      <c r="E116" s="57" t="inlineStr">
        <is>
          <t>이미지</t>
        </is>
      </c>
      <c r="F116" s="44" t="n"/>
      <c r="G116" s="58">
        <f>IF($G$115="","",$G$115)</f>
        <v/>
      </c>
      <c r="H116" s="59" t="n"/>
      <c r="I116" s="59" t="n"/>
      <c r="J116" s="59" t="n"/>
      <c r="K116" s="59" t="n"/>
      <c r="L116" s="60">
        <f>IF(SUM(U116:AY116)=0,"",SUM(U116:AY116))</f>
        <v/>
      </c>
      <c r="M116" s="61">
        <f>IFERROR(INDEX(U$2:AY$2,MATCH(TRUE,INDEX(U116:AY116&lt;&gt;"",0),0)),"")</f>
        <v/>
      </c>
      <c r="N116" s="61">
        <f>IFERROR(LOOKUP(2,1/(U116:AY116&lt;&gt;""),U$2:AY$2),"")</f>
        <v/>
      </c>
      <c r="O116" s="59" t="n"/>
      <c r="P116" s="59" t="n"/>
      <c r="Q116" s="59" t="n"/>
      <c r="R116" s="59" t="n"/>
      <c r="S116" s="14" t="n"/>
      <c r="U116" s="53" t="n"/>
      <c r="V116" s="53" t="n"/>
      <c r="W116" s="53" t="n"/>
      <c r="X116" s="53" t="n"/>
      <c r="Y116" s="53" t="n"/>
      <c r="Z116" s="53" t="n"/>
      <c r="AA116" s="53" t="n"/>
      <c r="AB116" s="53" t="n"/>
      <c r="AC116" s="53" t="n"/>
      <c r="AD116" s="53" t="n"/>
      <c r="AE116" s="53" t="n"/>
      <c r="AF116" s="53" t="n"/>
      <c r="AG116" s="53" t="n"/>
      <c r="AH116" s="53" t="n"/>
      <c r="AI116" s="53" t="n"/>
      <c r="AJ116" s="53" t="n"/>
      <c r="AK116" s="53" t="n"/>
      <c r="AL116" s="53" t="n"/>
      <c r="AM116" s="53" t="n"/>
      <c r="AN116" s="53" t="n"/>
      <c r="AO116" s="53" t="n"/>
      <c r="AP116" s="53" t="n"/>
      <c r="AQ116" s="53" t="n"/>
      <c r="AR116" s="53" t="n"/>
      <c r="AS116" s="53" t="n"/>
      <c r="AT116" s="53" t="n"/>
      <c r="AU116" s="53" t="n"/>
      <c r="AV116" s="53" t="n"/>
      <c r="AW116" s="53" t="n"/>
      <c r="AX116" s="53" t="n"/>
      <c r="AY116" s="53" t="n"/>
    </row>
    <row r="117" ht="15" customHeight="1">
      <c r="A117" s="62" t="n"/>
      <c r="B117" s="55">
        <f>IF($B$115="","",$B$115)</f>
        <v/>
      </c>
      <c r="C117" s="63" t="inlineStr">
        <is>
          <t>마케팅2팀</t>
        </is>
      </c>
      <c r="D117" s="55">
        <f>IF($D$115="","",$D$115)</f>
        <v/>
      </c>
      <c r="E117" s="64" t="inlineStr">
        <is>
          <t>영상</t>
        </is>
      </c>
      <c r="F117" s="44" t="n"/>
      <c r="G117" s="58">
        <f>IF($G$115="","",$G$115)</f>
        <v/>
      </c>
      <c r="H117" s="59" t="n"/>
      <c r="I117" s="59" t="n"/>
      <c r="J117" s="59" t="n"/>
      <c r="K117" s="59" t="n"/>
      <c r="L117" s="65">
        <f>IF(SUM(U117:AY117)=0,"",SUM(U117:AY117))</f>
        <v/>
      </c>
      <c r="M117" s="66">
        <f>IFERROR(INDEX(U$2:AY$2,MATCH(TRUE,INDEX(U117:AY117&lt;&gt;"",0),0)),"")</f>
        <v/>
      </c>
      <c r="N117" s="66">
        <f>IFERROR(LOOKUP(2,1/(U117:AY117&lt;&gt;""),U$2:AY$2),"")</f>
        <v/>
      </c>
      <c r="O117" s="59" t="n"/>
      <c r="P117" s="59" t="n"/>
      <c r="Q117" s="59" t="n"/>
      <c r="R117" s="59" t="n"/>
      <c r="S117" s="14" t="n"/>
      <c r="U117" s="53" t="n"/>
      <c r="V117" s="53" t="n"/>
      <c r="W117" s="53" t="n"/>
      <c r="X117" s="53" t="n"/>
      <c r="Y117" s="53" t="n"/>
      <c r="Z117" s="53" t="n"/>
      <c r="AA117" s="53" t="n"/>
      <c r="AB117" s="53" t="n"/>
      <c r="AC117" s="53" t="n"/>
      <c r="AD117" s="53" t="n"/>
      <c r="AE117" s="53" t="n"/>
      <c r="AF117" s="53" t="n"/>
      <c r="AG117" s="53" t="n"/>
      <c r="AH117" s="53" t="n"/>
      <c r="AI117" s="53" t="n"/>
      <c r="AJ117" s="53" t="n"/>
      <c r="AK117" s="53" t="n"/>
      <c r="AL117" s="53" t="n"/>
      <c r="AM117" s="53" t="n"/>
      <c r="AN117" s="53" t="n"/>
      <c r="AO117" s="53" t="n"/>
      <c r="AP117" s="53" t="n"/>
      <c r="AQ117" s="53" t="n"/>
      <c r="AR117" s="53" t="n"/>
      <c r="AS117" s="53" t="n"/>
      <c r="AT117" s="53" t="n"/>
      <c r="AU117" s="53" t="n"/>
      <c r="AV117" s="53" t="n"/>
      <c r="AW117" s="53" t="n"/>
      <c r="AX117" s="53" t="n"/>
      <c r="AY117" s="53" t="n"/>
    </row>
    <row r="118" ht="15" customHeight="1">
      <c r="A118" s="40">
        <f>IF($D$118="","",37)</f>
        <v/>
      </c>
      <c r="B118" s="10" t="n"/>
      <c r="C118" s="41" t="inlineStr">
        <is>
          <t>마케팅2팀</t>
        </is>
      </c>
      <c r="D118" s="42" t="n"/>
      <c r="E118" s="43" t="inlineStr">
        <is>
          <t>기획</t>
        </is>
      </c>
      <c r="F118" s="44" t="n"/>
      <c r="G118" s="45" t="n"/>
      <c r="H118" s="46">
        <f>IF($I$118="","",IF($I$118&lt;0,"🔴지연",IF($I$118&lt;=1,"🟡임박","🟢여유")))</f>
        <v/>
      </c>
      <c r="I118" s="47">
        <f>IF(OR($G$118="",$K$118=""),"",$G$118-$K$118)</f>
        <v/>
      </c>
      <c r="J118" s="48">
        <f>IF(SUM($L$118:$L$120)=0,"",SUM($L$118:$L$120))</f>
        <v/>
      </c>
      <c r="K118" s="49">
        <f>IF($J$118="","",MAX($N$118:$N$120))</f>
        <v/>
      </c>
      <c r="L118" s="50">
        <f>IF(SUM(U118:AY118)=0,"",SUM(U118:AY118))</f>
        <v/>
      </c>
      <c r="M118" s="51">
        <f>IFERROR(INDEX(U$2:AY$2,MATCH(TRUE,INDEX(U118:AY118&lt;&gt;"",0),0)),"")</f>
        <v/>
      </c>
      <c r="N118" s="51">
        <f>IFERROR(LOOKUP(2,1/(U118:AY118&lt;&gt;""),U$2:AY$2),"")</f>
        <v/>
      </c>
      <c r="O118" s="52" t="n"/>
      <c r="P118" s="52" t="n"/>
      <c r="Q118" s="52" t="n"/>
      <c r="R118" s="44" t="n"/>
      <c r="S118" s="14" t="n"/>
      <c r="U118" s="53" t="n"/>
      <c r="V118" s="53" t="n"/>
      <c r="W118" s="53" t="n"/>
      <c r="X118" s="53" t="n"/>
      <c r="Y118" s="53" t="n"/>
      <c r="Z118" s="53" t="n"/>
      <c r="AA118" s="53" t="n"/>
      <c r="AB118" s="53" t="n"/>
      <c r="AC118" s="53" t="n"/>
      <c r="AD118" s="53" t="n"/>
      <c r="AE118" s="53" t="n"/>
      <c r="AF118" s="53" t="n"/>
      <c r="AG118" s="53" t="n"/>
      <c r="AH118" s="53" t="n"/>
      <c r="AI118" s="53" t="n"/>
      <c r="AJ118" s="53" t="n"/>
      <c r="AK118" s="53" t="n"/>
      <c r="AL118" s="53" t="n"/>
      <c r="AM118" s="53" t="n"/>
      <c r="AN118" s="53" t="n"/>
      <c r="AO118" s="53" t="n"/>
      <c r="AP118" s="53" t="n"/>
      <c r="AQ118" s="53" t="n"/>
      <c r="AR118" s="53" t="n"/>
      <c r="AS118" s="53" t="n"/>
      <c r="AT118" s="53" t="n"/>
      <c r="AU118" s="53" t="n"/>
      <c r="AV118" s="53" t="n"/>
      <c r="AW118" s="53" t="n"/>
      <c r="AX118" s="53" t="n"/>
      <c r="AY118" s="53" t="n"/>
    </row>
    <row r="119" ht="15" customHeight="1">
      <c r="A119" s="54" t="n"/>
      <c r="B119" s="55">
        <f>IF($B$118="","",$B$118)</f>
        <v/>
      </c>
      <c r="C119" s="56" t="inlineStr">
        <is>
          <t>마케팅2팀</t>
        </is>
      </c>
      <c r="D119" s="55">
        <f>IF($D$118="","",$D$118)</f>
        <v/>
      </c>
      <c r="E119" s="57" t="inlineStr">
        <is>
          <t>이미지</t>
        </is>
      </c>
      <c r="F119" s="44" t="n"/>
      <c r="G119" s="58">
        <f>IF($G$118="","",$G$118)</f>
        <v/>
      </c>
      <c r="H119" s="59" t="n"/>
      <c r="I119" s="59" t="n"/>
      <c r="J119" s="59" t="n"/>
      <c r="K119" s="59" t="n"/>
      <c r="L119" s="60">
        <f>IF(SUM(U119:AY119)=0,"",SUM(U119:AY119))</f>
        <v/>
      </c>
      <c r="M119" s="61">
        <f>IFERROR(INDEX(U$2:AY$2,MATCH(TRUE,INDEX(U119:AY119&lt;&gt;"",0),0)),"")</f>
        <v/>
      </c>
      <c r="N119" s="61">
        <f>IFERROR(LOOKUP(2,1/(U119:AY119&lt;&gt;""),U$2:AY$2),"")</f>
        <v/>
      </c>
      <c r="O119" s="59" t="n"/>
      <c r="P119" s="59" t="n"/>
      <c r="Q119" s="59" t="n"/>
      <c r="R119" s="59" t="n"/>
      <c r="S119" s="14" t="n"/>
      <c r="U119" s="53" t="n"/>
      <c r="V119" s="53" t="n"/>
      <c r="W119" s="53" t="n"/>
      <c r="X119" s="53" t="n"/>
      <c r="Y119" s="53" t="n"/>
      <c r="Z119" s="53" t="n"/>
      <c r="AA119" s="53" t="n"/>
      <c r="AB119" s="53" t="n"/>
      <c r="AC119" s="53" t="n"/>
      <c r="AD119" s="53" t="n"/>
      <c r="AE119" s="53" t="n"/>
      <c r="AF119" s="53" t="n"/>
      <c r="AG119" s="53" t="n"/>
      <c r="AH119" s="53" t="n"/>
      <c r="AI119" s="53" t="n"/>
      <c r="AJ119" s="53" t="n"/>
      <c r="AK119" s="53" t="n"/>
      <c r="AL119" s="53" t="n"/>
      <c r="AM119" s="53" t="n"/>
      <c r="AN119" s="53" t="n"/>
      <c r="AO119" s="53" t="n"/>
      <c r="AP119" s="53" t="n"/>
      <c r="AQ119" s="53" t="n"/>
      <c r="AR119" s="53" t="n"/>
      <c r="AS119" s="53" t="n"/>
      <c r="AT119" s="53" t="n"/>
      <c r="AU119" s="53" t="n"/>
      <c r="AV119" s="53" t="n"/>
      <c r="AW119" s="53" t="n"/>
      <c r="AX119" s="53" t="n"/>
      <c r="AY119" s="53" t="n"/>
    </row>
    <row r="120" ht="15" customHeight="1">
      <c r="A120" s="62" t="n"/>
      <c r="B120" s="55">
        <f>IF($B$118="","",$B$118)</f>
        <v/>
      </c>
      <c r="C120" s="63" t="inlineStr">
        <is>
          <t>마케팅2팀</t>
        </is>
      </c>
      <c r="D120" s="55">
        <f>IF($D$118="","",$D$118)</f>
        <v/>
      </c>
      <c r="E120" s="64" t="inlineStr">
        <is>
          <t>영상</t>
        </is>
      </c>
      <c r="F120" s="44" t="n"/>
      <c r="G120" s="58">
        <f>IF($G$118="","",$G$118)</f>
        <v/>
      </c>
      <c r="H120" s="59" t="n"/>
      <c r="I120" s="59" t="n"/>
      <c r="J120" s="59" t="n"/>
      <c r="K120" s="59" t="n"/>
      <c r="L120" s="65">
        <f>IF(SUM(U120:AY120)=0,"",SUM(U120:AY120))</f>
        <v/>
      </c>
      <c r="M120" s="66">
        <f>IFERROR(INDEX(U$2:AY$2,MATCH(TRUE,INDEX(U120:AY120&lt;&gt;"",0),0)),"")</f>
        <v/>
      </c>
      <c r="N120" s="66">
        <f>IFERROR(LOOKUP(2,1/(U120:AY120&lt;&gt;""),U$2:AY$2),"")</f>
        <v/>
      </c>
      <c r="O120" s="59" t="n"/>
      <c r="P120" s="59" t="n"/>
      <c r="Q120" s="59" t="n"/>
      <c r="R120" s="59" t="n"/>
      <c r="S120" s="14" t="n"/>
      <c r="U120" s="53" t="n"/>
      <c r="V120" s="53" t="n"/>
      <c r="W120" s="53" t="n"/>
      <c r="X120" s="53" t="n"/>
      <c r="Y120" s="53" t="n"/>
      <c r="Z120" s="53" t="n"/>
      <c r="AA120" s="53" t="n"/>
      <c r="AB120" s="53" t="n"/>
      <c r="AC120" s="53" t="n"/>
      <c r="AD120" s="53" t="n"/>
      <c r="AE120" s="53" t="n"/>
      <c r="AF120" s="53" t="n"/>
      <c r="AG120" s="53" t="n"/>
      <c r="AH120" s="53" t="n"/>
      <c r="AI120" s="53" t="n"/>
      <c r="AJ120" s="53" t="n"/>
      <c r="AK120" s="53" t="n"/>
      <c r="AL120" s="53" t="n"/>
      <c r="AM120" s="53" t="n"/>
      <c r="AN120" s="53" t="n"/>
      <c r="AO120" s="53" t="n"/>
      <c r="AP120" s="53" t="n"/>
      <c r="AQ120" s="53" t="n"/>
      <c r="AR120" s="53" t="n"/>
      <c r="AS120" s="53" t="n"/>
      <c r="AT120" s="53" t="n"/>
      <c r="AU120" s="53" t="n"/>
      <c r="AV120" s="53" t="n"/>
      <c r="AW120" s="53" t="n"/>
      <c r="AX120" s="53" t="n"/>
      <c r="AY120" s="53" t="n"/>
    </row>
    <row r="121" ht="15" customHeight="1">
      <c r="A121" s="40">
        <f>IF($D$121="","",38)</f>
        <v/>
      </c>
      <c r="B121" s="10" t="n"/>
      <c r="C121" s="41" t="inlineStr">
        <is>
          <t>마케팅2팀</t>
        </is>
      </c>
      <c r="D121" s="42" t="n"/>
      <c r="E121" s="43" t="inlineStr">
        <is>
          <t>기획</t>
        </is>
      </c>
      <c r="F121" s="44" t="n"/>
      <c r="G121" s="45" t="n"/>
      <c r="H121" s="46">
        <f>IF($I$121="","",IF($I$121&lt;0,"🔴지연",IF($I$121&lt;=1,"🟡임박","🟢여유")))</f>
        <v/>
      </c>
      <c r="I121" s="47">
        <f>IF(OR($G$121="",$K$121=""),"",$G$121-$K$121)</f>
        <v/>
      </c>
      <c r="J121" s="48">
        <f>IF(SUM($L$121:$L$123)=0,"",SUM($L$121:$L$123))</f>
        <v/>
      </c>
      <c r="K121" s="49">
        <f>IF($J$121="","",MAX($N$121:$N$123))</f>
        <v/>
      </c>
      <c r="L121" s="50">
        <f>IF(SUM(U121:AY121)=0,"",SUM(U121:AY121))</f>
        <v/>
      </c>
      <c r="M121" s="51">
        <f>IFERROR(INDEX(U$2:AY$2,MATCH(TRUE,INDEX(U121:AY121&lt;&gt;"",0),0)),"")</f>
        <v/>
      </c>
      <c r="N121" s="51">
        <f>IFERROR(LOOKUP(2,1/(U121:AY121&lt;&gt;""),U$2:AY$2),"")</f>
        <v/>
      </c>
      <c r="O121" s="52" t="n"/>
      <c r="P121" s="52" t="n"/>
      <c r="Q121" s="52" t="n"/>
      <c r="R121" s="44" t="n"/>
      <c r="S121" s="14" t="n"/>
      <c r="U121" s="53" t="n"/>
      <c r="V121" s="53" t="n"/>
      <c r="W121" s="53" t="n"/>
      <c r="X121" s="53" t="n"/>
      <c r="Y121" s="53" t="n"/>
      <c r="Z121" s="53" t="n"/>
      <c r="AA121" s="53" t="n"/>
      <c r="AB121" s="53" t="n"/>
      <c r="AC121" s="53" t="n"/>
      <c r="AD121" s="53" t="n"/>
      <c r="AE121" s="53" t="n"/>
      <c r="AF121" s="53" t="n"/>
      <c r="AG121" s="53" t="n"/>
      <c r="AH121" s="53" t="n"/>
      <c r="AI121" s="53" t="n"/>
      <c r="AJ121" s="53" t="n"/>
      <c r="AK121" s="53" t="n"/>
      <c r="AL121" s="53" t="n"/>
      <c r="AM121" s="53" t="n"/>
      <c r="AN121" s="53" t="n"/>
      <c r="AO121" s="53" t="n"/>
      <c r="AP121" s="53" t="n"/>
      <c r="AQ121" s="53" t="n"/>
      <c r="AR121" s="53" t="n"/>
      <c r="AS121" s="53" t="n"/>
      <c r="AT121" s="53" t="n"/>
      <c r="AU121" s="53" t="n"/>
      <c r="AV121" s="53" t="n"/>
      <c r="AW121" s="53" t="n"/>
      <c r="AX121" s="53" t="n"/>
      <c r="AY121" s="53" t="n"/>
    </row>
    <row r="122" ht="15" customHeight="1">
      <c r="A122" s="54" t="n"/>
      <c r="B122" s="55">
        <f>IF($B$121="","",$B$121)</f>
        <v/>
      </c>
      <c r="C122" s="56" t="inlineStr">
        <is>
          <t>마케팅2팀</t>
        </is>
      </c>
      <c r="D122" s="55">
        <f>IF($D$121="","",$D$121)</f>
        <v/>
      </c>
      <c r="E122" s="57" t="inlineStr">
        <is>
          <t>이미지</t>
        </is>
      </c>
      <c r="F122" s="44" t="n"/>
      <c r="G122" s="58">
        <f>IF($G$121="","",$G$121)</f>
        <v/>
      </c>
      <c r="H122" s="59" t="n"/>
      <c r="I122" s="59" t="n"/>
      <c r="J122" s="59" t="n"/>
      <c r="K122" s="59" t="n"/>
      <c r="L122" s="60">
        <f>IF(SUM(U122:AY122)=0,"",SUM(U122:AY122))</f>
        <v/>
      </c>
      <c r="M122" s="61">
        <f>IFERROR(INDEX(U$2:AY$2,MATCH(TRUE,INDEX(U122:AY122&lt;&gt;"",0),0)),"")</f>
        <v/>
      </c>
      <c r="N122" s="61">
        <f>IFERROR(LOOKUP(2,1/(U122:AY122&lt;&gt;""),U$2:AY$2),"")</f>
        <v/>
      </c>
      <c r="O122" s="59" t="n"/>
      <c r="P122" s="59" t="n"/>
      <c r="Q122" s="59" t="n"/>
      <c r="R122" s="59" t="n"/>
      <c r="S122" s="14" t="n"/>
      <c r="U122" s="53" t="n"/>
      <c r="V122" s="53" t="n"/>
      <c r="W122" s="53" t="n"/>
      <c r="X122" s="53" t="n"/>
      <c r="Y122" s="53" t="n"/>
      <c r="Z122" s="53" t="n"/>
      <c r="AA122" s="53" t="n"/>
      <c r="AB122" s="53" t="n"/>
      <c r="AC122" s="53" t="n"/>
      <c r="AD122" s="53" t="n"/>
      <c r="AE122" s="53" t="n"/>
      <c r="AF122" s="53" t="n"/>
      <c r="AG122" s="53" t="n"/>
      <c r="AH122" s="53" t="n"/>
      <c r="AI122" s="53" t="n"/>
      <c r="AJ122" s="53" t="n"/>
      <c r="AK122" s="53" t="n"/>
      <c r="AL122" s="53" t="n"/>
      <c r="AM122" s="53" t="n"/>
      <c r="AN122" s="53" t="n"/>
      <c r="AO122" s="53" t="n"/>
      <c r="AP122" s="53" t="n"/>
      <c r="AQ122" s="53" t="n"/>
      <c r="AR122" s="53" t="n"/>
      <c r="AS122" s="53" t="n"/>
      <c r="AT122" s="53" t="n"/>
      <c r="AU122" s="53" t="n"/>
      <c r="AV122" s="53" t="n"/>
      <c r="AW122" s="53" t="n"/>
      <c r="AX122" s="53" t="n"/>
      <c r="AY122" s="53" t="n"/>
    </row>
    <row r="123" ht="15" customHeight="1">
      <c r="A123" s="62" t="n"/>
      <c r="B123" s="55">
        <f>IF($B$121="","",$B$121)</f>
        <v/>
      </c>
      <c r="C123" s="63" t="inlineStr">
        <is>
          <t>마케팅2팀</t>
        </is>
      </c>
      <c r="D123" s="55">
        <f>IF($D$121="","",$D$121)</f>
        <v/>
      </c>
      <c r="E123" s="64" t="inlineStr">
        <is>
          <t>영상</t>
        </is>
      </c>
      <c r="F123" s="44" t="n"/>
      <c r="G123" s="58">
        <f>IF($G$121="","",$G$121)</f>
        <v/>
      </c>
      <c r="H123" s="59" t="n"/>
      <c r="I123" s="59" t="n"/>
      <c r="J123" s="59" t="n"/>
      <c r="K123" s="59" t="n"/>
      <c r="L123" s="65">
        <f>IF(SUM(U123:AY123)=0,"",SUM(U123:AY123))</f>
        <v/>
      </c>
      <c r="M123" s="66">
        <f>IFERROR(INDEX(U$2:AY$2,MATCH(TRUE,INDEX(U123:AY123&lt;&gt;"",0),0)),"")</f>
        <v/>
      </c>
      <c r="N123" s="66">
        <f>IFERROR(LOOKUP(2,1/(U123:AY123&lt;&gt;""),U$2:AY$2),"")</f>
        <v/>
      </c>
      <c r="O123" s="59" t="n"/>
      <c r="P123" s="59" t="n"/>
      <c r="Q123" s="59" t="n"/>
      <c r="R123" s="59" t="n"/>
      <c r="S123" s="14" t="n"/>
      <c r="U123" s="53" t="n"/>
      <c r="V123" s="53" t="n"/>
      <c r="W123" s="53" t="n"/>
      <c r="X123" s="53" t="n"/>
      <c r="Y123" s="53" t="n"/>
      <c r="Z123" s="53" t="n"/>
      <c r="AA123" s="53" t="n"/>
      <c r="AB123" s="53" t="n"/>
      <c r="AC123" s="53" t="n"/>
      <c r="AD123" s="53" t="n"/>
      <c r="AE123" s="53" t="n"/>
      <c r="AF123" s="53" t="n"/>
      <c r="AG123" s="53" t="n"/>
      <c r="AH123" s="53" t="n"/>
      <c r="AI123" s="53" t="n"/>
      <c r="AJ123" s="53" t="n"/>
      <c r="AK123" s="53" t="n"/>
      <c r="AL123" s="53" t="n"/>
      <c r="AM123" s="53" t="n"/>
      <c r="AN123" s="53" t="n"/>
      <c r="AO123" s="53" t="n"/>
      <c r="AP123" s="53" t="n"/>
      <c r="AQ123" s="53" t="n"/>
      <c r="AR123" s="53" t="n"/>
      <c r="AS123" s="53" t="n"/>
      <c r="AT123" s="53" t="n"/>
      <c r="AU123" s="53" t="n"/>
      <c r="AV123" s="53" t="n"/>
      <c r="AW123" s="53" t="n"/>
      <c r="AX123" s="53" t="n"/>
      <c r="AY123" s="53" t="n"/>
    </row>
    <row r="124" ht="15" customHeight="1">
      <c r="A124" s="40">
        <f>IF($D$124="","",39)</f>
        <v/>
      </c>
      <c r="B124" s="10" t="n"/>
      <c r="C124" s="41" t="inlineStr">
        <is>
          <t>마케팅2팀</t>
        </is>
      </c>
      <c r="D124" s="42" t="n"/>
      <c r="E124" s="43" t="inlineStr">
        <is>
          <t>기획</t>
        </is>
      </c>
      <c r="F124" s="44" t="n"/>
      <c r="G124" s="45" t="n"/>
      <c r="H124" s="46">
        <f>IF($I$124="","",IF($I$124&lt;0,"🔴지연",IF($I$124&lt;=1,"🟡임박","🟢여유")))</f>
        <v/>
      </c>
      <c r="I124" s="47">
        <f>IF(OR($G$124="",$K$124=""),"",$G$124-$K$124)</f>
        <v/>
      </c>
      <c r="J124" s="48">
        <f>IF(SUM($L$124:$L$126)=0,"",SUM($L$124:$L$126))</f>
        <v/>
      </c>
      <c r="K124" s="49">
        <f>IF($J$124="","",MAX($N$124:$N$126))</f>
        <v/>
      </c>
      <c r="L124" s="50">
        <f>IF(SUM(U124:AY124)=0,"",SUM(U124:AY124))</f>
        <v/>
      </c>
      <c r="M124" s="51">
        <f>IFERROR(INDEX(U$2:AY$2,MATCH(TRUE,INDEX(U124:AY124&lt;&gt;"",0),0)),"")</f>
        <v/>
      </c>
      <c r="N124" s="51">
        <f>IFERROR(LOOKUP(2,1/(U124:AY124&lt;&gt;""),U$2:AY$2),"")</f>
        <v/>
      </c>
      <c r="O124" s="52" t="n"/>
      <c r="P124" s="52" t="n"/>
      <c r="Q124" s="52" t="n"/>
      <c r="R124" s="44" t="n"/>
      <c r="S124" s="14" t="n"/>
      <c r="U124" s="53" t="n"/>
      <c r="V124" s="53" t="n"/>
      <c r="W124" s="53" t="n"/>
      <c r="X124" s="53" t="n"/>
      <c r="Y124" s="53" t="n"/>
      <c r="Z124" s="53" t="n"/>
      <c r="AA124" s="53" t="n"/>
      <c r="AB124" s="53" t="n"/>
      <c r="AC124" s="53" t="n"/>
      <c r="AD124" s="53" t="n"/>
      <c r="AE124" s="53" t="n"/>
      <c r="AF124" s="53" t="n"/>
      <c r="AG124" s="53" t="n"/>
      <c r="AH124" s="53" t="n"/>
      <c r="AI124" s="53" t="n"/>
      <c r="AJ124" s="53" t="n"/>
      <c r="AK124" s="53" t="n"/>
      <c r="AL124" s="53" t="n"/>
      <c r="AM124" s="53" t="n"/>
      <c r="AN124" s="53" t="n"/>
      <c r="AO124" s="53" t="n"/>
      <c r="AP124" s="53" t="n"/>
      <c r="AQ124" s="53" t="n"/>
      <c r="AR124" s="53" t="n"/>
      <c r="AS124" s="53" t="n"/>
      <c r="AT124" s="53" t="n"/>
      <c r="AU124" s="53" t="n"/>
      <c r="AV124" s="53" t="n"/>
      <c r="AW124" s="53" t="n"/>
      <c r="AX124" s="53" t="n"/>
      <c r="AY124" s="53" t="n"/>
    </row>
    <row r="125" ht="15" customHeight="1">
      <c r="A125" s="54" t="n"/>
      <c r="B125" s="55">
        <f>IF($B$124="","",$B$124)</f>
        <v/>
      </c>
      <c r="C125" s="56" t="inlineStr">
        <is>
          <t>마케팅2팀</t>
        </is>
      </c>
      <c r="D125" s="55">
        <f>IF($D$124="","",$D$124)</f>
        <v/>
      </c>
      <c r="E125" s="57" t="inlineStr">
        <is>
          <t>이미지</t>
        </is>
      </c>
      <c r="F125" s="44" t="n"/>
      <c r="G125" s="58">
        <f>IF($G$124="","",$G$124)</f>
        <v/>
      </c>
      <c r="H125" s="59" t="n"/>
      <c r="I125" s="59" t="n"/>
      <c r="J125" s="59" t="n"/>
      <c r="K125" s="59" t="n"/>
      <c r="L125" s="60">
        <f>IF(SUM(U125:AY125)=0,"",SUM(U125:AY125))</f>
        <v/>
      </c>
      <c r="M125" s="61">
        <f>IFERROR(INDEX(U$2:AY$2,MATCH(TRUE,INDEX(U125:AY125&lt;&gt;"",0),0)),"")</f>
        <v/>
      </c>
      <c r="N125" s="61">
        <f>IFERROR(LOOKUP(2,1/(U125:AY125&lt;&gt;""),U$2:AY$2),"")</f>
        <v/>
      </c>
      <c r="O125" s="59" t="n"/>
      <c r="P125" s="59" t="n"/>
      <c r="Q125" s="59" t="n"/>
      <c r="R125" s="59" t="n"/>
      <c r="S125" s="14" t="n"/>
      <c r="U125" s="53" t="n"/>
      <c r="V125" s="53" t="n"/>
      <c r="W125" s="53" t="n"/>
      <c r="X125" s="53" t="n"/>
      <c r="Y125" s="53" t="n"/>
      <c r="Z125" s="53" t="n"/>
      <c r="AA125" s="53" t="n"/>
      <c r="AB125" s="53" t="n"/>
      <c r="AC125" s="53" t="n"/>
      <c r="AD125" s="53" t="n"/>
      <c r="AE125" s="53" t="n"/>
      <c r="AF125" s="53" t="n"/>
      <c r="AG125" s="53" t="n"/>
      <c r="AH125" s="53" t="n"/>
      <c r="AI125" s="53" t="n"/>
      <c r="AJ125" s="53" t="n"/>
      <c r="AK125" s="53" t="n"/>
      <c r="AL125" s="53" t="n"/>
      <c r="AM125" s="53" t="n"/>
      <c r="AN125" s="53" t="n"/>
      <c r="AO125" s="53" t="n"/>
      <c r="AP125" s="53" t="n"/>
      <c r="AQ125" s="53" t="n"/>
      <c r="AR125" s="53" t="n"/>
      <c r="AS125" s="53" t="n"/>
      <c r="AT125" s="53" t="n"/>
      <c r="AU125" s="53" t="n"/>
      <c r="AV125" s="53" t="n"/>
      <c r="AW125" s="53" t="n"/>
      <c r="AX125" s="53" t="n"/>
      <c r="AY125" s="53" t="n"/>
    </row>
    <row r="126" ht="15" customHeight="1">
      <c r="A126" s="62" t="n"/>
      <c r="B126" s="55">
        <f>IF($B$124="","",$B$124)</f>
        <v/>
      </c>
      <c r="C126" s="63" t="inlineStr">
        <is>
          <t>마케팅2팀</t>
        </is>
      </c>
      <c r="D126" s="55">
        <f>IF($D$124="","",$D$124)</f>
        <v/>
      </c>
      <c r="E126" s="64" t="inlineStr">
        <is>
          <t>영상</t>
        </is>
      </c>
      <c r="F126" s="44" t="n"/>
      <c r="G126" s="58">
        <f>IF($G$124="","",$G$124)</f>
        <v/>
      </c>
      <c r="H126" s="59" t="n"/>
      <c r="I126" s="59" t="n"/>
      <c r="J126" s="59" t="n"/>
      <c r="K126" s="59" t="n"/>
      <c r="L126" s="65">
        <f>IF(SUM(U126:AY126)=0,"",SUM(U126:AY126))</f>
        <v/>
      </c>
      <c r="M126" s="66">
        <f>IFERROR(INDEX(U$2:AY$2,MATCH(TRUE,INDEX(U126:AY126&lt;&gt;"",0),0)),"")</f>
        <v/>
      </c>
      <c r="N126" s="66">
        <f>IFERROR(LOOKUP(2,1/(U126:AY126&lt;&gt;""),U$2:AY$2),"")</f>
        <v/>
      </c>
      <c r="O126" s="59" t="n"/>
      <c r="P126" s="59" t="n"/>
      <c r="Q126" s="59" t="n"/>
      <c r="R126" s="59" t="n"/>
      <c r="S126" s="14" t="n"/>
      <c r="U126" s="53" t="n"/>
      <c r="V126" s="53" t="n"/>
      <c r="W126" s="53" t="n"/>
      <c r="X126" s="53" t="n"/>
      <c r="Y126" s="53" t="n"/>
      <c r="Z126" s="53" t="n"/>
      <c r="AA126" s="53" t="n"/>
      <c r="AB126" s="53" t="n"/>
      <c r="AC126" s="53" t="n"/>
      <c r="AD126" s="53" t="n"/>
      <c r="AE126" s="53" t="n"/>
      <c r="AF126" s="53" t="n"/>
      <c r="AG126" s="53" t="n"/>
      <c r="AH126" s="53" t="n"/>
      <c r="AI126" s="53" t="n"/>
      <c r="AJ126" s="53" t="n"/>
      <c r="AK126" s="53" t="n"/>
      <c r="AL126" s="53" t="n"/>
      <c r="AM126" s="53" t="n"/>
      <c r="AN126" s="53" t="n"/>
      <c r="AO126" s="53" t="n"/>
      <c r="AP126" s="53" t="n"/>
      <c r="AQ126" s="53" t="n"/>
      <c r="AR126" s="53" t="n"/>
      <c r="AS126" s="53" t="n"/>
      <c r="AT126" s="53" t="n"/>
      <c r="AU126" s="53" t="n"/>
      <c r="AV126" s="53" t="n"/>
      <c r="AW126" s="53" t="n"/>
      <c r="AX126" s="53" t="n"/>
      <c r="AY126" s="53" t="n"/>
    </row>
    <row r="127" ht="15" customHeight="1">
      <c r="A127" s="40">
        <f>IF($D$127="","",40)</f>
        <v/>
      </c>
      <c r="B127" s="10" t="n"/>
      <c r="C127" s="41" t="inlineStr">
        <is>
          <t>마케팅2팀</t>
        </is>
      </c>
      <c r="D127" s="42" t="n"/>
      <c r="E127" s="43" t="inlineStr">
        <is>
          <t>기획</t>
        </is>
      </c>
      <c r="F127" s="44" t="n"/>
      <c r="G127" s="45" t="n"/>
      <c r="H127" s="46">
        <f>IF($I$127="","",IF($I$127&lt;0,"🔴지연",IF($I$127&lt;=1,"🟡임박","🟢여유")))</f>
        <v/>
      </c>
      <c r="I127" s="47">
        <f>IF(OR($G$127="",$K$127=""),"",$G$127-$K$127)</f>
        <v/>
      </c>
      <c r="J127" s="48">
        <f>IF(SUM($L$127:$L$129)=0,"",SUM($L$127:$L$129))</f>
        <v/>
      </c>
      <c r="K127" s="49">
        <f>IF($J$127="","",MAX($N$127:$N$129))</f>
        <v/>
      </c>
      <c r="L127" s="50">
        <f>IF(SUM(U127:AY127)=0,"",SUM(U127:AY127))</f>
        <v/>
      </c>
      <c r="M127" s="51">
        <f>IFERROR(INDEX(U$2:AY$2,MATCH(TRUE,INDEX(U127:AY127&lt;&gt;"",0),0)),"")</f>
        <v/>
      </c>
      <c r="N127" s="51">
        <f>IFERROR(LOOKUP(2,1/(U127:AY127&lt;&gt;""),U$2:AY$2),"")</f>
        <v/>
      </c>
      <c r="O127" s="52" t="n"/>
      <c r="P127" s="52" t="n"/>
      <c r="Q127" s="52" t="n"/>
      <c r="R127" s="44" t="n"/>
      <c r="S127" s="14" t="n"/>
      <c r="U127" s="53" t="n"/>
      <c r="V127" s="53" t="n"/>
      <c r="W127" s="53" t="n"/>
      <c r="X127" s="53" t="n"/>
      <c r="Y127" s="53" t="n"/>
      <c r="Z127" s="53" t="n"/>
      <c r="AA127" s="53" t="n"/>
      <c r="AB127" s="53" t="n"/>
      <c r="AC127" s="53" t="n"/>
      <c r="AD127" s="53" t="n"/>
      <c r="AE127" s="53" t="n"/>
      <c r="AF127" s="53" t="n"/>
      <c r="AG127" s="53" t="n"/>
      <c r="AH127" s="53" t="n"/>
      <c r="AI127" s="53" t="n"/>
      <c r="AJ127" s="53" t="n"/>
      <c r="AK127" s="53" t="n"/>
      <c r="AL127" s="53" t="n"/>
      <c r="AM127" s="53" t="n"/>
      <c r="AN127" s="53" t="n"/>
      <c r="AO127" s="53" t="n"/>
      <c r="AP127" s="53" t="n"/>
      <c r="AQ127" s="53" t="n"/>
      <c r="AR127" s="53" t="n"/>
      <c r="AS127" s="53" t="n"/>
      <c r="AT127" s="53" t="n"/>
      <c r="AU127" s="53" t="n"/>
      <c r="AV127" s="53" t="n"/>
      <c r="AW127" s="53" t="n"/>
      <c r="AX127" s="53" t="n"/>
      <c r="AY127" s="53" t="n"/>
    </row>
    <row r="128" ht="15" customHeight="1">
      <c r="A128" s="54" t="n"/>
      <c r="B128" s="55">
        <f>IF($B$127="","",$B$127)</f>
        <v/>
      </c>
      <c r="C128" s="56" t="inlineStr">
        <is>
          <t>마케팅2팀</t>
        </is>
      </c>
      <c r="D128" s="55">
        <f>IF($D$127="","",$D$127)</f>
        <v/>
      </c>
      <c r="E128" s="57" t="inlineStr">
        <is>
          <t>이미지</t>
        </is>
      </c>
      <c r="F128" s="44" t="n"/>
      <c r="G128" s="58">
        <f>IF($G$127="","",$G$127)</f>
        <v/>
      </c>
      <c r="H128" s="59" t="n"/>
      <c r="I128" s="59" t="n"/>
      <c r="J128" s="59" t="n"/>
      <c r="K128" s="59" t="n"/>
      <c r="L128" s="60">
        <f>IF(SUM(U128:AY128)=0,"",SUM(U128:AY128))</f>
        <v/>
      </c>
      <c r="M128" s="61">
        <f>IFERROR(INDEX(U$2:AY$2,MATCH(TRUE,INDEX(U128:AY128&lt;&gt;"",0),0)),"")</f>
        <v/>
      </c>
      <c r="N128" s="61">
        <f>IFERROR(LOOKUP(2,1/(U128:AY128&lt;&gt;""),U$2:AY$2),"")</f>
        <v/>
      </c>
      <c r="O128" s="59" t="n"/>
      <c r="P128" s="59" t="n"/>
      <c r="Q128" s="59" t="n"/>
      <c r="R128" s="59" t="n"/>
      <c r="S128" s="14" t="n"/>
      <c r="U128" s="53" t="n"/>
      <c r="V128" s="53" t="n"/>
      <c r="W128" s="53" t="n"/>
      <c r="X128" s="53" t="n"/>
      <c r="Y128" s="53" t="n"/>
      <c r="Z128" s="53" t="n"/>
      <c r="AA128" s="53" t="n"/>
      <c r="AB128" s="53" t="n"/>
      <c r="AC128" s="53" t="n"/>
      <c r="AD128" s="53" t="n"/>
      <c r="AE128" s="53" t="n"/>
      <c r="AF128" s="53" t="n"/>
      <c r="AG128" s="53" t="n"/>
      <c r="AH128" s="53" t="n"/>
      <c r="AI128" s="53" t="n"/>
      <c r="AJ128" s="53" t="n"/>
      <c r="AK128" s="53" t="n"/>
      <c r="AL128" s="53" t="n"/>
      <c r="AM128" s="53" t="n"/>
      <c r="AN128" s="53" t="n"/>
      <c r="AO128" s="53" t="n"/>
      <c r="AP128" s="53" t="n"/>
      <c r="AQ128" s="53" t="n"/>
      <c r="AR128" s="53" t="n"/>
      <c r="AS128" s="53" t="n"/>
      <c r="AT128" s="53" t="n"/>
      <c r="AU128" s="53" t="n"/>
      <c r="AV128" s="53" t="n"/>
      <c r="AW128" s="53" t="n"/>
      <c r="AX128" s="53" t="n"/>
      <c r="AY128" s="53" t="n"/>
    </row>
    <row r="129" ht="15" customHeight="1">
      <c r="A129" s="62" t="n"/>
      <c r="B129" s="55">
        <f>IF($B$127="","",$B$127)</f>
        <v/>
      </c>
      <c r="C129" s="63" t="inlineStr">
        <is>
          <t>마케팅2팀</t>
        </is>
      </c>
      <c r="D129" s="55">
        <f>IF($D$127="","",$D$127)</f>
        <v/>
      </c>
      <c r="E129" s="64" t="inlineStr">
        <is>
          <t>영상</t>
        </is>
      </c>
      <c r="F129" s="44" t="n"/>
      <c r="G129" s="58">
        <f>IF($G$127="","",$G$127)</f>
        <v/>
      </c>
      <c r="H129" s="59" t="n"/>
      <c r="I129" s="59" t="n"/>
      <c r="J129" s="59" t="n"/>
      <c r="K129" s="59" t="n"/>
      <c r="L129" s="65">
        <f>IF(SUM(U129:AY129)=0,"",SUM(U129:AY129))</f>
        <v/>
      </c>
      <c r="M129" s="66">
        <f>IFERROR(INDEX(U$2:AY$2,MATCH(TRUE,INDEX(U129:AY129&lt;&gt;"",0),0)),"")</f>
        <v/>
      </c>
      <c r="N129" s="66">
        <f>IFERROR(LOOKUP(2,1/(U129:AY129&lt;&gt;""),U$2:AY$2),"")</f>
        <v/>
      </c>
      <c r="O129" s="59" t="n"/>
      <c r="P129" s="59" t="n"/>
      <c r="Q129" s="59" t="n"/>
      <c r="R129" s="59" t="n"/>
      <c r="S129" s="14" t="n"/>
      <c r="U129" s="53" t="n"/>
      <c r="V129" s="53" t="n"/>
      <c r="W129" s="53" t="n"/>
      <c r="X129" s="53" t="n"/>
      <c r="Y129" s="53" t="n"/>
      <c r="Z129" s="53" t="n"/>
      <c r="AA129" s="53" t="n"/>
      <c r="AB129" s="53" t="n"/>
      <c r="AC129" s="53" t="n"/>
      <c r="AD129" s="53" t="n"/>
      <c r="AE129" s="53" t="n"/>
      <c r="AF129" s="53" t="n"/>
      <c r="AG129" s="53" t="n"/>
      <c r="AH129" s="53" t="n"/>
      <c r="AI129" s="53" t="n"/>
      <c r="AJ129" s="53" t="n"/>
      <c r="AK129" s="53" t="n"/>
      <c r="AL129" s="53" t="n"/>
      <c r="AM129" s="53" t="n"/>
      <c r="AN129" s="53" t="n"/>
      <c r="AO129" s="53" t="n"/>
      <c r="AP129" s="53" t="n"/>
      <c r="AQ129" s="53" t="n"/>
      <c r="AR129" s="53" t="n"/>
      <c r="AS129" s="53" t="n"/>
      <c r="AT129" s="53" t="n"/>
      <c r="AU129" s="53" t="n"/>
      <c r="AV129" s="53" t="n"/>
      <c r="AW129" s="53" t="n"/>
      <c r="AX129" s="53" t="n"/>
      <c r="AY129" s="53" t="n"/>
    </row>
    <row r="130" ht="18" customHeight="1">
      <c r="A130" s="39" t="inlineStr">
        <is>
          <t>마케팅3팀   (131~190행 · 소재 20개)</t>
        </is>
      </c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  <c r="AN130" s="8" t="n"/>
      <c r="AO130" s="8" t="n"/>
      <c r="AP130" s="8" t="n"/>
      <c r="AQ130" s="8" t="n"/>
      <c r="AR130" s="8" t="n"/>
      <c r="AS130" s="8" t="n"/>
      <c r="AT130" s="8" t="n"/>
      <c r="AU130" s="8" t="n"/>
      <c r="AV130" s="8" t="n"/>
      <c r="AW130" s="8" t="n"/>
      <c r="AX130" s="8" t="n"/>
      <c r="AY130" s="4" t="n"/>
    </row>
    <row r="131" ht="15" customHeight="1">
      <c r="A131" s="40">
        <f>IF($D$131="","",41)</f>
        <v/>
      </c>
      <c r="B131" s="10" t="n"/>
      <c r="C131" s="41" t="inlineStr">
        <is>
          <t>마케팅3팀</t>
        </is>
      </c>
      <c r="D131" s="42" t="n"/>
      <c r="E131" s="43" t="inlineStr">
        <is>
          <t>기획</t>
        </is>
      </c>
      <c r="F131" s="44" t="n"/>
      <c r="G131" s="45" t="n"/>
      <c r="H131" s="46">
        <f>IF($I$131="","",IF($I$131&lt;0,"🔴지연",IF($I$131&lt;=1,"🟡임박","🟢여유")))</f>
        <v/>
      </c>
      <c r="I131" s="47">
        <f>IF(OR($G$131="",$K$131=""),"",$G$131-$K$131)</f>
        <v/>
      </c>
      <c r="J131" s="48">
        <f>IF(SUM($L$131:$L$133)=0,"",SUM($L$131:$L$133))</f>
        <v/>
      </c>
      <c r="K131" s="49">
        <f>IF($J$131="","",MAX($N$131:$N$133))</f>
        <v/>
      </c>
      <c r="L131" s="50">
        <f>IF(SUM(U131:AY131)=0,"",SUM(U131:AY131))</f>
        <v/>
      </c>
      <c r="M131" s="51">
        <f>IFERROR(INDEX(U$2:AY$2,MATCH(TRUE,INDEX(U131:AY131&lt;&gt;"",0),0)),"")</f>
        <v/>
      </c>
      <c r="N131" s="51">
        <f>IFERROR(LOOKUP(2,1/(U131:AY131&lt;&gt;""),U$2:AY$2),"")</f>
        <v/>
      </c>
      <c r="O131" s="52" t="n"/>
      <c r="P131" s="52" t="n"/>
      <c r="Q131" s="52" t="n"/>
      <c r="R131" s="44" t="n"/>
      <c r="S131" s="14" t="n"/>
      <c r="U131" s="53" t="n"/>
      <c r="V131" s="53" t="n"/>
      <c r="W131" s="53" t="n"/>
      <c r="X131" s="53" t="n"/>
      <c r="Y131" s="53" t="n"/>
      <c r="Z131" s="53" t="n"/>
      <c r="AA131" s="53" t="n"/>
      <c r="AB131" s="53" t="n"/>
      <c r="AC131" s="53" t="n"/>
      <c r="AD131" s="53" t="n"/>
      <c r="AE131" s="53" t="n"/>
      <c r="AF131" s="53" t="n"/>
      <c r="AG131" s="53" t="n"/>
      <c r="AH131" s="53" t="n"/>
      <c r="AI131" s="53" t="n"/>
      <c r="AJ131" s="53" t="n"/>
      <c r="AK131" s="53" t="n"/>
      <c r="AL131" s="53" t="n"/>
      <c r="AM131" s="53" t="n"/>
      <c r="AN131" s="53" t="n"/>
      <c r="AO131" s="53" t="n"/>
      <c r="AP131" s="53" t="n"/>
      <c r="AQ131" s="53" t="n"/>
      <c r="AR131" s="53" t="n"/>
      <c r="AS131" s="53" t="n"/>
      <c r="AT131" s="53" t="n"/>
      <c r="AU131" s="53" t="n"/>
      <c r="AV131" s="53" t="n"/>
      <c r="AW131" s="53" t="n"/>
      <c r="AX131" s="53" t="n"/>
      <c r="AY131" s="53" t="n"/>
    </row>
    <row r="132" ht="15" customHeight="1">
      <c r="A132" s="54" t="n"/>
      <c r="B132" s="55">
        <f>IF($B$131="","",$B$131)</f>
        <v/>
      </c>
      <c r="C132" s="56" t="inlineStr">
        <is>
          <t>마케팅3팀</t>
        </is>
      </c>
      <c r="D132" s="55">
        <f>IF($D$131="","",$D$131)</f>
        <v/>
      </c>
      <c r="E132" s="57" t="inlineStr">
        <is>
          <t>이미지</t>
        </is>
      </c>
      <c r="F132" s="44" t="n"/>
      <c r="G132" s="58">
        <f>IF($G$131="","",$G$131)</f>
        <v/>
      </c>
      <c r="H132" s="59" t="n"/>
      <c r="I132" s="59" t="n"/>
      <c r="J132" s="59" t="n"/>
      <c r="K132" s="59" t="n"/>
      <c r="L132" s="60">
        <f>IF(SUM(U132:AY132)=0,"",SUM(U132:AY132))</f>
        <v/>
      </c>
      <c r="M132" s="61">
        <f>IFERROR(INDEX(U$2:AY$2,MATCH(TRUE,INDEX(U132:AY132&lt;&gt;"",0),0)),"")</f>
        <v/>
      </c>
      <c r="N132" s="61">
        <f>IFERROR(LOOKUP(2,1/(U132:AY132&lt;&gt;""),U$2:AY$2),"")</f>
        <v/>
      </c>
      <c r="O132" s="59" t="n"/>
      <c r="P132" s="59" t="n"/>
      <c r="Q132" s="59" t="n"/>
      <c r="R132" s="59" t="n"/>
      <c r="S132" s="14" t="n"/>
      <c r="U132" s="53" t="n"/>
      <c r="V132" s="53" t="n"/>
      <c r="W132" s="53" t="n"/>
      <c r="X132" s="53" t="n"/>
      <c r="Y132" s="53" t="n"/>
      <c r="Z132" s="53" t="n"/>
      <c r="AA132" s="53" t="n"/>
      <c r="AB132" s="53" t="n"/>
      <c r="AC132" s="53" t="n"/>
      <c r="AD132" s="53" t="n"/>
      <c r="AE132" s="53" t="n"/>
      <c r="AF132" s="53" t="n"/>
      <c r="AG132" s="53" t="n"/>
      <c r="AH132" s="53" t="n"/>
      <c r="AI132" s="53" t="n"/>
      <c r="AJ132" s="53" t="n"/>
      <c r="AK132" s="53" t="n"/>
      <c r="AL132" s="53" t="n"/>
      <c r="AM132" s="53" t="n"/>
      <c r="AN132" s="53" t="n"/>
      <c r="AO132" s="53" t="n"/>
      <c r="AP132" s="53" t="n"/>
      <c r="AQ132" s="53" t="n"/>
      <c r="AR132" s="53" t="n"/>
      <c r="AS132" s="53" t="n"/>
      <c r="AT132" s="53" t="n"/>
      <c r="AU132" s="53" t="n"/>
      <c r="AV132" s="53" t="n"/>
      <c r="AW132" s="53" t="n"/>
      <c r="AX132" s="53" t="n"/>
      <c r="AY132" s="53" t="n"/>
    </row>
    <row r="133" ht="15" customHeight="1">
      <c r="A133" s="62" t="n"/>
      <c r="B133" s="55">
        <f>IF($B$131="","",$B$131)</f>
        <v/>
      </c>
      <c r="C133" s="63" t="inlineStr">
        <is>
          <t>마케팅3팀</t>
        </is>
      </c>
      <c r="D133" s="55">
        <f>IF($D$131="","",$D$131)</f>
        <v/>
      </c>
      <c r="E133" s="64" t="inlineStr">
        <is>
          <t>영상</t>
        </is>
      </c>
      <c r="F133" s="44" t="n"/>
      <c r="G133" s="58">
        <f>IF($G$131="","",$G$131)</f>
        <v/>
      </c>
      <c r="H133" s="59" t="n"/>
      <c r="I133" s="59" t="n"/>
      <c r="J133" s="59" t="n"/>
      <c r="K133" s="59" t="n"/>
      <c r="L133" s="65">
        <f>IF(SUM(U133:AY133)=0,"",SUM(U133:AY133))</f>
        <v/>
      </c>
      <c r="M133" s="66">
        <f>IFERROR(INDEX(U$2:AY$2,MATCH(TRUE,INDEX(U133:AY133&lt;&gt;"",0),0)),"")</f>
        <v/>
      </c>
      <c r="N133" s="66">
        <f>IFERROR(LOOKUP(2,1/(U133:AY133&lt;&gt;""),U$2:AY$2),"")</f>
        <v/>
      </c>
      <c r="O133" s="59" t="n"/>
      <c r="P133" s="59" t="n"/>
      <c r="Q133" s="59" t="n"/>
      <c r="R133" s="59" t="n"/>
      <c r="S133" s="14" t="n"/>
      <c r="U133" s="53" t="n"/>
      <c r="V133" s="53" t="n"/>
      <c r="W133" s="53" t="n"/>
      <c r="X133" s="53" t="n"/>
      <c r="Y133" s="53" t="n"/>
      <c r="Z133" s="53" t="n"/>
      <c r="AA133" s="53" t="n"/>
      <c r="AB133" s="53" t="n"/>
      <c r="AC133" s="53" t="n"/>
      <c r="AD133" s="53" t="n"/>
      <c r="AE133" s="53" t="n"/>
      <c r="AF133" s="53" t="n"/>
      <c r="AG133" s="53" t="n"/>
      <c r="AH133" s="53" t="n"/>
      <c r="AI133" s="53" t="n"/>
      <c r="AJ133" s="53" t="n"/>
      <c r="AK133" s="53" t="n"/>
      <c r="AL133" s="53" t="n"/>
      <c r="AM133" s="53" t="n"/>
      <c r="AN133" s="53" t="n"/>
      <c r="AO133" s="53" t="n"/>
      <c r="AP133" s="53" t="n"/>
      <c r="AQ133" s="53" t="n"/>
      <c r="AR133" s="53" t="n"/>
      <c r="AS133" s="53" t="n"/>
      <c r="AT133" s="53" t="n"/>
      <c r="AU133" s="53" t="n"/>
      <c r="AV133" s="53" t="n"/>
      <c r="AW133" s="53" t="n"/>
      <c r="AX133" s="53" t="n"/>
      <c r="AY133" s="53" t="n"/>
    </row>
    <row r="134" ht="15" customHeight="1">
      <c r="A134" s="40">
        <f>IF($D$134="","",42)</f>
        <v/>
      </c>
      <c r="B134" s="10" t="n"/>
      <c r="C134" s="41" t="inlineStr">
        <is>
          <t>마케팅3팀</t>
        </is>
      </c>
      <c r="D134" s="42" t="n"/>
      <c r="E134" s="43" t="inlineStr">
        <is>
          <t>기획</t>
        </is>
      </c>
      <c r="F134" s="44" t="n"/>
      <c r="G134" s="45" t="n"/>
      <c r="H134" s="46">
        <f>IF($I$134="","",IF($I$134&lt;0,"🔴지연",IF($I$134&lt;=1,"🟡임박","🟢여유")))</f>
        <v/>
      </c>
      <c r="I134" s="47">
        <f>IF(OR($G$134="",$K$134=""),"",$G$134-$K$134)</f>
        <v/>
      </c>
      <c r="J134" s="48">
        <f>IF(SUM($L$134:$L$136)=0,"",SUM($L$134:$L$136))</f>
        <v/>
      </c>
      <c r="K134" s="49">
        <f>IF($J$134="","",MAX($N$134:$N$136))</f>
        <v/>
      </c>
      <c r="L134" s="50">
        <f>IF(SUM(U134:AY134)=0,"",SUM(U134:AY134))</f>
        <v/>
      </c>
      <c r="M134" s="51">
        <f>IFERROR(INDEX(U$2:AY$2,MATCH(TRUE,INDEX(U134:AY134&lt;&gt;"",0),0)),"")</f>
        <v/>
      </c>
      <c r="N134" s="51">
        <f>IFERROR(LOOKUP(2,1/(U134:AY134&lt;&gt;""),U$2:AY$2),"")</f>
        <v/>
      </c>
      <c r="O134" s="52" t="n"/>
      <c r="P134" s="52" t="n"/>
      <c r="Q134" s="52" t="n"/>
      <c r="R134" s="44" t="n"/>
      <c r="S134" s="14" t="n"/>
      <c r="U134" s="53" t="n"/>
      <c r="V134" s="53" t="n"/>
      <c r="W134" s="53" t="n"/>
      <c r="X134" s="53" t="n"/>
      <c r="Y134" s="53" t="n"/>
      <c r="Z134" s="53" t="n"/>
      <c r="AA134" s="53" t="n"/>
      <c r="AB134" s="53" t="n"/>
      <c r="AC134" s="53" t="n"/>
      <c r="AD134" s="53" t="n"/>
      <c r="AE134" s="53" t="n"/>
      <c r="AF134" s="53" t="n"/>
      <c r="AG134" s="53" t="n"/>
      <c r="AH134" s="53" t="n"/>
      <c r="AI134" s="53" t="n"/>
      <c r="AJ134" s="53" t="n"/>
      <c r="AK134" s="53" t="n"/>
      <c r="AL134" s="53" t="n"/>
      <c r="AM134" s="53" t="n"/>
      <c r="AN134" s="53" t="n"/>
      <c r="AO134" s="53" t="n"/>
      <c r="AP134" s="53" t="n"/>
      <c r="AQ134" s="53" t="n"/>
      <c r="AR134" s="53" t="n"/>
      <c r="AS134" s="53" t="n"/>
      <c r="AT134" s="53" t="n"/>
      <c r="AU134" s="53" t="n"/>
      <c r="AV134" s="53" t="n"/>
      <c r="AW134" s="53" t="n"/>
      <c r="AX134" s="53" t="n"/>
      <c r="AY134" s="53" t="n"/>
    </row>
    <row r="135" ht="15" customHeight="1">
      <c r="A135" s="54" t="n"/>
      <c r="B135" s="55">
        <f>IF($B$134="","",$B$134)</f>
        <v/>
      </c>
      <c r="C135" s="56" t="inlineStr">
        <is>
          <t>마케팅3팀</t>
        </is>
      </c>
      <c r="D135" s="55">
        <f>IF($D$134="","",$D$134)</f>
        <v/>
      </c>
      <c r="E135" s="57" t="inlineStr">
        <is>
          <t>이미지</t>
        </is>
      </c>
      <c r="F135" s="44" t="n"/>
      <c r="G135" s="58">
        <f>IF($G$134="","",$G$134)</f>
        <v/>
      </c>
      <c r="H135" s="59" t="n"/>
      <c r="I135" s="59" t="n"/>
      <c r="J135" s="59" t="n"/>
      <c r="K135" s="59" t="n"/>
      <c r="L135" s="60">
        <f>IF(SUM(U135:AY135)=0,"",SUM(U135:AY135))</f>
        <v/>
      </c>
      <c r="M135" s="61">
        <f>IFERROR(INDEX(U$2:AY$2,MATCH(TRUE,INDEX(U135:AY135&lt;&gt;"",0),0)),"")</f>
        <v/>
      </c>
      <c r="N135" s="61">
        <f>IFERROR(LOOKUP(2,1/(U135:AY135&lt;&gt;""),U$2:AY$2),"")</f>
        <v/>
      </c>
      <c r="O135" s="59" t="n"/>
      <c r="P135" s="59" t="n"/>
      <c r="Q135" s="59" t="n"/>
      <c r="R135" s="59" t="n"/>
      <c r="S135" s="14" t="n"/>
      <c r="U135" s="53" t="n"/>
      <c r="V135" s="53" t="n"/>
      <c r="W135" s="53" t="n"/>
      <c r="X135" s="53" t="n"/>
      <c r="Y135" s="53" t="n"/>
      <c r="Z135" s="53" t="n"/>
      <c r="AA135" s="53" t="n"/>
      <c r="AB135" s="53" t="n"/>
      <c r="AC135" s="53" t="n"/>
      <c r="AD135" s="53" t="n"/>
      <c r="AE135" s="53" t="n"/>
      <c r="AF135" s="53" t="n"/>
      <c r="AG135" s="53" t="n"/>
      <c r="AH135" s="53" t="n"/>
      <c r="AI135" s="53" t="n"/>
      <c r="AJ135" s="53" t="n"/>
      <c r="AK135" s="53" t="n"/>
      <c r="AL135" s="53" t="n"/>
      <c r="AM135" s="53" t="n"/>
      <c r="AN135" s="53" t="n"/>
      <c r="AO135" s="53" t="n"/>
      <c r="AP135" s="53" t="n"/>
      <c r="AQ135" s="53" t="n"/>
      <c r="AR135" s="53" t="n"/>
      <c r="AS135" s="53" t="n"/>
      <c r="AT135" s="53" t="n"/>
      <c r="AU135" s="53" t="n"/>
      <c r="AV135" s="53" t="n"/>
      <c r="AW135" s="53" t="n"/>
      <c r="AX135" s="53" t="n"/>
      <c r="AY135" s="53" t="n"/>
    </row>
    <row r="136" ht="15" customHeight="1">
      <c r="A136" s="62" t="n"/>
      <c r="B136" s="55">
        <f>IF($B$134="","",$B$134)</f>
        <v/>
      </c>
      <c r="C136" s="63" t="inlineStr">
        <is>
          <t>마케팅3팀</t>
        </is>
      </c>
      <c r="D136" s="55">
        <f>IF($D$134="","",$D$134)</f>
        <v/>
      </c>
      <c r="E136" s="64" t="inlineStr">
        <is>
          <t>영상</t>
        </is>
      </c>
      <c r="F136" s="44" t="n"/>
      <c r="G136" s="58">
        <f>IF($G$134="","",$G$134)</f>
        <v/>
      </c>
      <c r="H136" s="59" t="n"/>
      <c r="I136" s="59" t="n"/>
      <c r="J136" s="59" t="n"/>
      <c r="K136" s="59" t="n"/>
      <c r="L136" s="65">
        <f>IF(SUM(U136:AY136)=0,"",SUM(U136:AY136))</f>
        <v/>
      </c>
      <c r="M136" s="66">
        <f>IFERROR(INDEX(U$2:AY$2,MATCH(TRUE,INDEX(U136:AY136&lt;&gt;"",0),0)),"")</f>
        <v/>
      </c>
      <c r="N136" s="66">
        <f>IFERROR(LOOKUP(2,1/(U136:AY136&lt;&gt;""),U$2:AY$2),"")</f>
        <v/>
      </c>
      <c r="O136" s="59" t="n"/>
      <c r="P136" s="59" t="n"/>
      <c r="Q136" s="59" t="n"/>
      <c r="R136" s="59" t="n"/>
      <c r="S136" s="14" t="n"/>
      <c r="U136" s="53" t="n"/>
      <c r="V136" s="53" t="n"/>
      <c r="W136" s="53" t="n"/>
      <c r="X136" s="53" t="n"/>
      <c r="Y136" s="53" t="n"/>
      <c r="Z136" s="53" t="n"/>
      <c r="AA136" s="53" t="n"/>
      <c r="AB136" s="53" t="n"/>
      <c r="AC136" s="53" t="n"/>
      <c r="AD136" s="53" t="n"/>
      <c r="AE136" s="53" t="n"/>
      <c r="AF136" s="53" t="n"/>
      <c r="AG136" s="53" t="n"/>
      <c r="AH136" s="53" t="n"/>
      <c r="AI136" s="53" t="n"/>
      <c r="AJ136" s="53" t="n"/>
      <c r="AK136" s="53" t="n"/>
      <c r="AL136" s="53" t="n"/>
      <c r="AM136" s="53" t="n"/>
      <c r="AN136" s="53" t="n"/>
      <c r="AO136" s="53" t="n"/>
      <c r="AP136" s="53" t="n"/>
      <c r="AQ136" s="53" t="n"/>
      <c r="AR136" s="53" t="n"/>
      <c r="AS136" s="53" t="n"/>
      <c r="AT136" s="53" t="n"/>
      <c r="AU136" s="53" t="n"/>
      <c r="AV136" s="53" t="n"/>
      <c r="AW136" s="53" t="n"/>
      <c r="AX136" s="53" t="n"/>
      <c r="AY136" s="53" t="n"/>
    </row>
    <row r="137" ht="15" customHeight="1">
      <c r="A137" s="40">
        <f>IF($D$137="","",43)</f>
        <v/>
      </c>
      <c r="B137" s="10" t="n"/>
      <c r="C137" s="41" t="inlineStr">
        <is>
          <t>마케팅3팀</t>
        </is>
      </c>
      <c r="D137" s="42" t="n"/>
      <c r="E137" s="43" t="inlineStr">
        <is>
          <t>기획</t>
        </is>
      </c>
      <c r="F137" s="44" t="n"/>
      <c r="G137" s="45" t="n"/>
      <c r="H137" s="46">
        <f>IF($I$137="","",IF($I$137&lt;0,"🔴지연",IF($I$137&lt;=1,"🟡임박","🟢여유")))</f>
        <v/>
      </c>
      <c r="I137" s="47">
        <f>IF(OR($G$137="",$K$137=""),"",$G$137-$K$137)</f>
        <v/>
      </c>
      <c r="J137" s="48">
        <f>IF(SUM($L$137:$L$139)=0,"",SUM($L$137:$L$139))</f>
        <v/>
      </c>
      <c r="K137" s="49">
        <f>IF($J$137="","",MAX($N$137:$N$139))</f>
        <v/>
      </c>
      <c r="L137" s="50">
        <f>IF(SUM(U137:AY137)=0,"",SUM(U137:AY137))</f>
        <v/>
      </c>
      <c r="M137" s="51">
        <f>IFERROR(INDEX(U$2:AY$2,MATCH(TRUE,INDEX(U137:AY137&lt;&gt;"",0),0)),"")</f>
        <v/>
      </c>
      <c r="N137" s="51">
        <f>IFERROR(LOOKUP(2,1/(U137:AY137&lt;&gt;""),U$2:AY$2),"")</f>
        <v/>
      </c>
      <c r="O137" s="52" t="n"/>
      <c r="P137" s="52" t="n"/>
      <c r="Q137" s="52" t="n"/>
      <c r="R137" s="44" t="n"/>
      <c r="S137" s="14" t="n"/>
      <c r="U137" s="53" t="n"/>
      <c r="V137" s="53" t="n"/>
      <c r="W137" s="53" t="n"/>
      <c r="X137" s="53" t="n"/>
      <c r="Y137" s="53" t="n"/>
      <c r="Z137" s="53" t="n"/>
      <c r="AA137" s="53" t="n"/>
      <c r="AB137" s="53" t="n"/>
      <c r="AC137" s="53" t="n"/>
      <c r="AD137" s="53" t="n"/>
      <c r="AE137" s="53" t="n"/>
      <c r="AF137" s="53" t="n"/>
      <c r="AG137" s="53" t="n"/>
      <c r="AH137" s="53" t="n"/>
      <c r="AI137" s="53" t="n"/>
      <c r="AJ137" s="53" t="n"/>
      <c r="AK137" s="53" t="n"/>
      <c r="AL137" s="53" t="n"/>
      <c r="AM137" s="53" t="n"/>
      <c r="AN137" s="53" t="n"/>
      <c r="AO137" s="53" t="n"/>
      <c r="AP137" s="53" t="n"/>
      <c r="AQ137" s="53" t="n"/>
      <c r="AR137" s="53" t="n"/>
      <c r="AS137" s="53" t="n"/>
      <c r="AT137" s="53" t="n"/>
      <c r="AU137" s="53" t="n"/>
      <c r="AV137" s="53" t="n"/>
      <c r="AW137" s="53" t="n"/>
      <c r="AX137" s="53" t="n"/>
      <c r="AY137" s="53" t="n"/>
    </row>
    <row r="138" ht="15" customHeight="1">
      <c r="A138" s="54" t="n"/>
      <c r="B138" s="55">
        <f>IF($B$137="","",$B$137)</f>
        <v/>
      </c>
      <c r="C138" s="56" t="inlineStr">
        <is>
          <t>마케팅3팀</t>
        </is>
      </c>
      <c r="D138" s="55">
        <f>IF($D$137="","",$D$137)</f>
        <v/>
      </c>
      <c r="E138" s="57" t="inlineStr">
        <is>
          <t>이미지</t>
        </is>
      </c>
      <c r="F138" s="44" t="n"/>
      <c r="G138" s="58">
        <f>IF($G$137="","",$G$137)</f>
        <v/>
      </c>
      <c r="H138" s="59" t="n"/>
      <c r="I138" s="59" t="n"/>
      <c r="J138" s="59" t="n"/>
      <c r="K138" s="59" t="n"/>
      <c r="L138" s="60">
        <f>IF(SUM(U138:AY138)=0,"",SUM(U138:AY138))</f>
        <v/>
      </c>
      <c r="M138" s="61">
        <f>IFERROR(INDEX(U$2:AY$2,MATCH(TRUE,INDEX(U138:AY138&lt;&gt;"",0),0)),"")</f>
        <v/>
      </c>
      <c r="N138" s="61">
        <f>IFERROR(LOOKUP(2,1/(U138:AY138&lt;&gt;""),U$2:AY$2),"")</f>
        <v/>
      </c>
      <c r="O138" s="59" t="n"/>
      <c r="P138" s="59" t="n"/>
      <c r="Q138" s="59" t="n"/>
      <c r="R138" s="59" t="n"/>
      <c r="S138" s="14" t="n"/>
      <c r="U138" s="53" t="n"/>
      <c r="V138" s="53" t="n"/>
      <c r="W138" s="53" t="n"/>
      <c r="X138" s="53" t="n"/>
      <c r="Y138" s="53" t="n"/>
      <c r="Z138" s="53" t="n"/>
      <c r="AA138" s="53" t="n"/>
      <c r="AB138" s="53" t="n"/>
      <c r="AC138" s="53" t="n"/>
      <c r="AD138" s="53" t="n"/>
      <c r="AE138" s="53" t="n"/>
      <c r="AF138" s="53" t="n"/>
      <c r="AG138" s="53" t="n"/>
      <c r="AH138" s="53" t="n"/>
      <c r="AI138" s="53" t="n"/>
      <c r="AJ138" s="53" t="n"/>
      <c r="AK138" s="53" t="n"/>
      <c r="AL138" s="53" t="n"/>
      <c r="AM138" s="53" t="n"/>
      <c r="AN138" s="53" t="n"/>
      <c r="AO138" s="53" t="n"/>
      <c r="AP138" s="53" t="n"/>
      <c r="AQ138" s="53" t="n"/>
      <c r="AR138" s="53" t="n"/>
      <c r="AS138" s="53" t="n"/>
      <c r="AT138" s="53" t="n"/>
      <c r="AU138" s="53" t="n"/>
      <c r="AV138" s="53" t="n"/>
      <c r="AW138" s="53" t="n"/>
      <c r="AX138" s="53" t="n"/>
      <c r="AY138" s="53" t="n"/>
    </row>
    <row r="139" ht="15" customHeight="1">
      <c r="A139" s="62" t="n"/>
      <c r="B139" s="55">
        <f>IF($B$137="","",$B$137)</f>
        <v/>
      </c>
      <c r="C139" s="63" t="inlineStr">
        <is>
          <t>마케팅3팀</t>
        </is>
      </c>
      <c r="D139" s="55">
        <f>IF($D$137="","",$D$137)</f>
        <v/>
      </c>
      <c r="E139" s="64" t="inlineStr">
        <is>
          <t>영상</t>
        </is>
      </c>
      <c r="F139" s="44" t="n"/>
      <c r="G139" s="58">
        <f>IF($G$137="","",$G$137)</f>
        <v/>
      </c>
      <c r="H139" s="59" t="n"/>
      <c r="I139" s="59" t="n"/>
      <c r="J139" s="59" t="n"/>
      <c r="K139" s="59" t="n"/>
      <c r="L139" s="65">
        <f>IF(SUM(U139:AY139)=0,"",SUM(U139:AY139))</f>
        <v/>
      </c>
      <c r="M139" s="66">
        <f>IFERROR(INDEX(U$2:AY$2,MATCH(TRUE,INDEX(U139:AY139&lt;&gt;"",0),0)),"")</f>
        <v/>
      </c>
      <c r="N139" s="66">
        <f>IFERROR(LOOKUP(2,1/(U139:AY139&lt;&gt;""),U$2:AY$2),"")</f>
        <v/>
      </c>
      <c r="O139" s="59" t="n"/>
      <c r="P139" s="59" t="n"/>
      <c r="Q139" s="59" t="n"/>
      <c r="R139" s="59" t="n"/>
      <c r="S139" s="14" t="n"/>
      <c r="U139" s="53" t="n"/>
      <c r="V139" s="53" t="n"/>
      <c r="W139" s="53" t="n"/>
      <c r="X139" s="53" t="n"/>
      <c r="Y139" s="53" t="n"/>
      <c r="Z139" s="53" t="n"/>
      <c r="AA139" s="53" t="n"/>
      <c r="AB139" s="53" t="n"/>
      <c r="AC139" s="53" t="n"/>
      <c r="AD139" s="53" t="n"/>
      <c r="AE139" s="53" t="n"/>
      <c r="AF139" s="53" t="n"/>
      <c r="AG139" s="53" t="n"/>
      <c r="AH139" s="53" t="n"/>
      <c r="AI139" s="53" t="n"/>
      <c r="AJ139" s="53" t="n"/>
      <c r="AK139" s="53" t="n"/>
      <c r="AL139" s="53" t="n"/>
      <c r="AM139" s="53" t="n"/>
      <c r="AN139" s="53" t="n"/>
      <c r="AO139" s="53" t="n"/>
      <c r="AP139" s="53" t="n"/>
      <c r="AQ139" s="53" t="n"/>
      <c r="AR139" s="53" t="n"/>
      <c r="AS139" s="53" t="n"/>
      <c r="AT139" s="53" t="n"/>
      <c r="AU139" s="53" t="n"/>
      <c r="AV139" s="53" t="n"/>
      <c r="AW139" s="53" t="n"/>
      <c r="AX139" s="53" t="n"/>
      <c r="AY139" s="53" t="n"/>
    </row>
    <row r="140" ht="15" customHeight="1">
      <c r="A140" s="40">
        <f>IF($D$140="","",44)</f>
        <v/>
      </c>
      <c r="B140" s="10" t="n"/>
      <c r="C140" s="41" t="inlineStr">
        <is>
          <t>마케팅3팀</t>
        </is>
      </c>
      <c r="D140" s="42" t="n"/>
      <c r="E140" s="43" t="inlineStr">
        <is>
          <t>기획</t>
        </is>
      </c>
      <c r="F140" s="44" t="n"/>
      <c r="G140" s="45" t="n"/>
      <c r="H140" s="46">
        <f>IF($I$140="","",IF($I$140&lt;0,"🔴지연",IF($I$140&lt;=1,"🟡임박","🟢여유")))</f>
        <v/>
      </c>
      <c r="I140" s="47">
        <f>IF(OR($G$140="",$K$140=""),"",$G$140-$K$140)</f>
        <v/>
      </c>
      <c r="J140" s="48">
        <f>IF(SUM($L$140:$L$142)=0,"",SUM($L$140:$L$142))</f>
        <v/>
      </c>
      <c r="K140" s="49">
        <f>IF($J$140="","",MAX($N$140:$N$142))</f>
        <v/>
      </c>
      <c r="L140" s="50">
        <f>IF(SUM(U140:AY140)=0,"",SUM(U140:AY140))</f>
        <v/>
      </c>
      <c r="M140" s="51">
        <f>IFERROR(INDEX(U$2:AY$2,MATCH(TRUE,INDEX(U140:AY140&lt;&gt;"",0),0)),"")</f>
        <v/>
      </c>
      <c r="N140" s="51">
        <f>IFERROR(LOOKUP(2,1/(U140:AY140&lt;&gt;""),U$2:AY$2),"")</f>
        <v/>
      </c>
      <c r="O140" s="52" t="n"/>
      <c r="P140" s="52" t="n"/>
      <c r="Q140" s="52" t="n"/>
      <c r="R140" s="44" t="n"/>
      <c r="S140" s="14" t="n"/>
      <c r="U140" s="53" t="n"/>
      <c r="V140" s="53" t="n"/>
      <c r="W140" s="53" t="n"/>
      <c r="X140" s="53" t="n"/>
      <c r="Y140" s="53" t="n"/>
      <c r="Z140" s="53" t="n"/>
      <c r="AA140" s="53" t="n"/>
      <c r="AB140" s="53" t="n"/>
      <c r="AC140" s="53" t="n"/>
      <c r="AD140" s="53" t="n"/>
      <c r="AE140" s="53" t="n"/>
      <c r="AF140" s="53" t="n"/>
      <c r="AG140" s="53" t="n"/>
      <c r="AH140" s="53" t="n"/>
      <c r="AI140" s="53" t="n"/>
      <c r="AJ140" s="53" t="n"/>
      <c r="AK140" s="53" t="n"/>
      <c r="AL140" s="53" t="n"/>
      <c r="AM140" s="53" t="n"/>
      <c r="AN140" s="53" t="n"/>
      <c r="AO140" s="53" t="n"/>
      <c r="AP140" s="53" t="n"/>
      <c r="AQ140" s="53" t="n"/>
      <c r="AR140" s="53" t="n"/>
      <c r="AS140" s="53" t="n"/>
      <c r="AT140" s="53" t="n"/>
      <c r="AU140" s="53" t="n"/>
      <c r="AV140" s="53" t="n"/>
      <c r="AW140" s="53" t="n"/>
      <c r="AX140" s="53" t="n"/>
      <c r="AY140" s="53" t="n"/>
    </row>
    <row r="141" ht="15" customHeight="1">
      <c r="A141" s="54" t="n"/>
      <c r="B141" s="55">
        <f>IF($B$140="","",$B$140)</f>
        <v/>
      </c>
      <c r="C141" s="56" t="inlineStr">
        <is>
          <t>마케팅3팀</t>
        </is>
      </c>
      <c r="D141" s="55">
        <f>IF($D$140="","",$D$140)</f>
        <v/>
      </c>
      <c r="E141" s="57" t="inlineStr">
        <is>
          <t>이미지</t>
        </is>
      </c>
      <c r="F141" s="44" t="n"/>
      <c r="G141" s="58">
        <f>IF($G$140="","",$G$140)</f>
        <v/>
      </c>
      <c r="H141" s="59" t="n"/>
      <c r="I141" s="59" t="n"/>
      <c r="J141" s="59" t="n"/>
      <c r="K141" s="59" t="n"/>
      <c r="L141" s="60">
        <f>IF(SUM(U141:AY141)=0,"",SUM(U141:AY141))</f>
        <v/>
      </c>
      <c r="M141" s="61">
        <f>IFERROR(INDEX(U$2:AY$2,MATCH(TRUE,INDEX(U141:AY141&lt;&gt;"",0),0)),"")</f>
        <v/>
      </c>
      <c r="N141" s="61">
        <f>IFERROR(LOOKUP(2,1/(U141:AY141&lt;&gt;""),U$2:AY$2),"")</f>
        <v/>
      </c>
      <c r="O141" s="59" t="n"/>
      <c r="P141" s="59" t="n"/>
      <c r="Q141" s="59" t="n"/>
      <c r="R141" s="59" t="n"/>
      <c r="S141" s="14" t="n"/>
      <c r="U141" s="53" t="n"/>
      <c r="V141" s="53" t="n"/>
      <c r="W141" s="53" t="n"/>
      <c r="X141" s="53" t="n"/>
      <c r="Y141" s="53" t="n"/>
      <c r="Z141" s="53" t="n"/>
      <c r="AA141" s="53" t="n"/>
      <c r="AB141" s="53" t="n"/>
      <c r="AC141" s="53" t="n"/>
      <c r="AD141" s="53" t="n"/>
      <c r="AE141" s="53" t="n"/>
      <c r="AF141" s="53" t="n"/>
      <c r="AG141" s="53" t="n"/>
      <c r="AH141" s="53" t="n"/>
      <c r="AI141" s="53" t="n"/>
      <c r="AJ141" s="53" t="n"/>
      <c r="AK141" s="53" t="n"/>
      <c r="AL141" s="53" t="n"/>
      <c r="AM141" s="53" t="n"/>
      <c r="AN141" s="53" t="n"/>
      <c r="AO141" s="53" t="n"/>
      <c r="AP141" s="53" t="n"/>
      <c r="AQ141" s="53" t="n"/>
      <c r="AR141" s="53" t="n"/>
      <c r="AS141" s="53" t="n"/>
      <c r="AT141" s="53" t="n"/>
      <c r="AU141" s="53" t="n"/>
      <c r="AV141" s="53" t="n"/>
      <c r="AW141" s="53" t="n"/>
      <c r="AX141" s="53" t="n"/>
      <c r="AY141" s="53" t="n"/>
    </row>
    <row r="142" ht="15" customHeight="1">
      <c r="A142" s="62" t="n"/>
      <c r="B142" s="55">
        <f>IF($B$140="","",$B$140)</f>
        <v/>
      </c>
      <c r="C142" s="63" t="inlineStr">
        <is>
          <t>마케팅3팀</t>
        </is>
      </c>
      <c r="D142" s="55">
        <f>IF($D$140="","",$D$140)</f>
        <v/>
      </c>
      <c r="E142" s="64" t="inlineStr">
        <is>
          <t>영상</t>
        </is>
      </c>
      <c r="F142" s="44" t="n"/>
      <c r="G142" s="58">
        <f>IF($G$140="","",$G$140)</f>
        <v/>
      </c>
      <c r="H142" s="59" t="n"/>
      <c r="I142" s="59" t="n"/>
      <c r="J142" s="59" t="n"/>
      <c r="K142" s="59" t="n"/>
      <c r="L142" s="65">
        <f>IF(SUM(U142:AY142)=0,"",SUM(U142:AY142))</f>
        <v/>
      </c>
      <c r="M142" s="66">
        <f>IFERROR(INDEX(U$2:AY$2,MATCH(TRUE,INDEX(U142:AY142&lt;&gt;"",0),0)),"")</f>
        <v/>
      </c>
      <c r="N142" s="66">
        <f>IFERROR(LOOKUP(2,1/(U142:AY142&lt;&gt;""),U$2:AY$2),"")</f>
        <v/>
      </c>
      <c r="O142" s="59" t="n"/>
      <c r="P142" s="59" t="n"/>
      <c r="Q142" s="59" t="n"/>
      <c r="R142" s="59" t="n"/>
      <c r="S142" s="14" t="n"/>
      <c r="U142" s="53" t="n"/>
      <c r="V142" s="53" t="n"/>
      <c r="W142" s="53" t="n"/>
      <c r="X142" s="53" t="n"/>
      <c r="Y142" s="53" t="n"/>
      <c r="Z142" s="53" t="n"/>
      <c r="AA142" s="53" t="n"/>
      <c r="AB142" s="53" t="n"/>
      <c r="AC142" s="53" t="n"/>
      <c r="AD142" s="53" t="n"/>
      <c r="AE142" s="53" t="n"/>
      <c r="AF142" s="53" t="n"/>
      <c r="AG142" s="53" t="n"/>
      <c r="AH142" s="53" t="n"/>
      <c r="AI142" s="53" t="n"/>
      <c r="AJ142" s="53" t="n"/>
      <c r="AK142" s="53" t="n"/>
      <c r="AL142" s="53" t="n"/>
      <c r="AM142" s="53" t="n"/>
      <c r="AN142" s="53" t="n"/>
      <c r="AO142" s="53" t="n"/>
      <c r="AP142" s="53" t="n"/>
      <c r="AQ142" s="53" t="n"/>
      <c r="AR142" s="53" t="n"/>
      <c r="AS142" s="53" t="n"/>
      <c r="AT142" s="53" t="n"/>
      <c r="AU142" s="53" t="n"/>
      <c r="AV142" s="53" t="n"/>
      <c r="AW142" s="53" t="n"/>
      <c r="AX142" s="53" t="n"/>
      <c r="AY142" s="53" t="n"/>
    </row>
    <row r="143" ht="15" customHeight="1">
      <c r="A143" s="40">
        <f>IF($D$143="","",45)</f>
        <v/>
      </c>
      <c r="B143" s="10" t="n"/>
      <c r="C143" s="41" t="inlineStr">
        <is>
          <t>마케팅3팀</t>
        </is>
      </c>
      <c r="D143" s="42" t="n"/>
      <c r="E143" s="43" t="inlineStr">
        <is>
          <t>기획</t>
        </is>
      </c>
      <c r="F143" s="44" t="n"/>
      <c r="G143" s="45" t="n"/>
      <c r="H143" s="46">
        <f>IF($I$143="","",IF($I$143&lt;0,"🔴지연",IF($I$143&lt;=1,"🟡임박","🟢여유")))</f>
        <v/>
      </c>
      <c r="I143" s="47">
        <f>IF(OR($G$143="",$K$143=""),"",$G$143-$K$143)</f>
        <v/>
      </c>
      <c r="J143" s="48">
        <f>IF(SUM($L$143:$L$145)=0,"",SUM($L$143:$L$145))</f>
        <v/>
      </c>
      <c r="K143" s="49">
        <f>IF($J$143="","",MAX($N$143:$N$145))</f>
        <v/>
      </c>
      <c r="L143" s="50">
        <f>IF(SUM(U143:AY143)=0,"",SUM(U143:AY143))</f>
        <v/>
      </c>
      <c r="M143" s="51">
        <f>IFERROR(INDEX(U$2:AY$2,MATCH(TRUE,INDEX(U143:AY143&lt;&gt;"",0),0)),"")</f>
        <v/>
      </c>
      <c r="N143" s="51">
        <f>IFERROR(LOOKUP(2,1/(U143:AY143&lt;&gt;""),U$2:AY$2),"")</f>
        <v/>
      </c>
      <c r="O143" s="52" t="n"/>
      <c r="P143" s="52" t="n"/>
      <c r="Q143" s="52" t="n"/>
      <c r="R143" s="44" t="n"/>
      <c r="S143" s="14" t="n"/>
      <c r="U143" s="53" t="n"/>
      <c r="V143" s="53" t="n"/>
      <c r="W143" s="53" t="n"/>
      <c r="X143" s="53" t="n"/>
      <c r="Y143" s="53" t="n"/>
      <c r="Z143" s="53" t="n"/>
      <c r="AA143" s="53" t="n"/>
      <c r="AB143" s="53" t="n"/>
      <c r="AC143" s="53" t="n"/>
      <c r="AD143" s="53" t="n"/>
      <c r="AE143" s="53" t="n"/>
      <c r="AF143" s="53" t="n"/>
      <c r="AG143" s="53" t="n"/>
      <c r="AH143" s="53" t="n"/>
      <c r="AI143" s="53" t="n"/>
      <c r="AJ143" s="53" t="n"/>
      <c r="AK143" s="53" t="n"/>
      <c r="AL143" s="53" t="n"/>
      <c r="AM143" s="53" t="n"/>
      <c r="AN143" s="53" t="n"/>
      <c r="AO143" s="53" t="n"/>
      <c r="AP143" s="53" t="n"/>
      <c r="AQ143" s="53" t="n"/>
      <c r="AR143" s="53" t="n"/>
      <c r="AS143" s="53" t="n"/>
      <c r="AT143" s="53" t="n"/>
      <c r="AU143" s="53" t="n"/>
      <c r="AV143" s="53" t="n"/>
      <c r="AW143" s="53" t="n"/>
      <c r="AX143" s="53" t="n"/>
      <c r="AY143" s="53" t="n"/>
    </row>
    <row r="144" ht="15" customHeight="1">
      <c r="A144" s="54" t="n"/>
      <c r="B144" s="55">
        <f>IF($B$143="","",$B$143)</f>
        <v/>
      </c>
      <c r="C144" s="56" t="inlineStr">
        <is>
          <t>마케팅3팀</t>
        </is>
      </c>
      <c r="D144" s="55">
        <f>IF($D$143="","",$D$143)</f>
        <v/>
      </c>
      <c r="E144" s="57" t="inlineStr">
        <is>
          <t>이미지</t>
        </is>
      </c>
      <c r="F144" s="44" t="n"/>
      <c r="G144" s="58">
        <f>IF($G$143="","",$G$143)</f>
        <v/>
      </c>
      <c r="H144" s="59" t="n"/>
      <c r="I144" s="59" t="n"/>
      <c r="J144" s="59" t="n"/>
      <c r="K144" s="59" t="n"/>
      <c r="L144" s="60">
        <f>IF(SUM(U144:AY144)=0,"",SUM(U144:AY144))</f>
        <v/>
      </c>
      <c r="M144" s="61">
        <f>IFERROR(INDEX(U$2:AY$2,MATCH(TRUE,INDEX(U144:AY144&lt;&gt;"",0),0)),"")</f>
        <v/>
      </c>
      <c r="N144" s="61">
        <f>IFERROR(LOOKUP(2,1/(U144:AY144&lt;&gt;""),U$2:AY$2),"")</f>
        <v/>
      </c>
      <c r="O144" s="59" t="n"/>
      <c r="P144" s="59" t="n"/>
      <c r="Q144" s="59" t="n"/>
      <c r="R144" s="59" t="n"/>
      <c r="S144" s="14" t="n"/>
      <c r="U144" s="53" t="n"/>
      <c r="V144" s="53" t="n"/>
      <c r="W144" s="53" t="n"/>
      <c r="X144" s="53" t="n"/>
      <c r="Y144" s="53" t="n"/>
      <c r="Z144" s="53" t="n"/>
      <c r="AA144" s="53" t="n"/>
      <c r="AB144" s="53" t="n"/>
      <c r="AC144" s="53" t="n"/>
      <c r="AD144" s="53" t="n"/>
      <c r="AE144" s="53" t="n"/>
      <c r="AF144" s="53" t="n"/>
      <c r="AG144" s="53" t="n"/>
      <c r="AH144" s="53" t="n"/>
      <c r="AI144" s="53" t="n"/>
      <c r="AJ144" s="53" t="n"/>
      <c r="AK144" s="53" t="n"/>
      <c r="AL144" s="53" t="n"/>
      <c r="AM144" s="53" t="n"/>
      <c r="AN144" s="53" t="n"/>
      <c r="AO144" s="53" t="n"/>
      <c r="AP144" s="53" t="n"/>
      <c r="AQ144" s="53" t="n"/>
      <c r="AR144" s="53" t="n"/>
      <c r="AS144" s="53" t="n"/>
      <c r="AT144" s="53" t="n"/>
      <c r="AU144" s="53" t="n"/>
      <c r="AV144" s="53" t="n"/>
      <c r="AW144" s="53" t="n"/>
      <c r="AX144" s="53" t="n"/>
      <c r="AY144" s="53" t="n"/>
    </row>
    <row r="145" ht="15" customHeight="1">
      <c r="A145" s="62" t="n"/>
      <c r="B145" s="55">
        <f>IF($B$143="","",$B$143)</f>
        <v/>
      </c>
      <c r="C145" s="63" t="inlineStr">
        <is>
          <t>마케팅3팀</t>
        </is>
      </c>
      <c r="D145" s="55">
        <f>IF($D$143="","",$D$143)</f>
        <v/>
      </c>
      <c r="E145" s="64" t="inlineStr">
        <is>
          <t>영상</t>
        </is>
      </c>
      <c r="F145" s="44" t="n"/>
      <c r="G145" s="58">
        <f>IF($G$143="","",$G$143)</f>
        <v/>
      </c>
      <c r="H145" s="59" t="n"/>
      <c r="I145" s="59" t="n"/>
      <c r="J145" s="59" t="n"/>
      <c r="K145" s="59" t="n"/>
      <c r="L145" s="65">
        <f>IF(SUM(U145:AY145)=0,"",SUM(U145:AY145))</f>
        <v/>
      </c>
      <c r="M145" s="66">
        <f>IFERROR(INDEX(U$2:AY$2,MATCH(TRUE,INDEX(U145:AY145&lt;&gt;"",0),0)),"")</f>
        <v/>
      </c>
      <c r="N145" s="66">
        <f>IFERROR(LOOKUP(2,1/(U145:AY145&lt;&gt;""),U$2:AY$2),"")</f>
        <v/>
      </c>
      <c r="O145" s="59" t="n"/>
      <c r="P145" s="59" t="n"/>
      <c r="Q145" s="59" t="n"/>
      <c r="R145" s="59" t="n"/>
      <c r="S145" s="14" t="n"/>
      <c r="U145" s="53" t="n"/>
      <c r="V145" s="53" t="n"/>
      <c r="W145" s="53" t="n"/>
      <c r="X145" s="53" t="n"/>
      <c r="Y145" s="53" t="n"/>
      <c r="Z145" s="53" t="n"/>
      <c r="AA145" s="53" t="n"/>
      <c r="AB145" s="53" t="n"/>
      <c r="AC145" s="53" t="n"/>
      <c r="AD145" s="53" t="n"/>
      <c r="AE145" s="53" t="n"/>
      <c r="AF145" s="53" t="n"/>
      <c r="AG145" s="53" t="n"/>
      <c r="AH145" s="53" t="n"/>
      <c r="AI145" s="53" t="n"/>
      <c r="AJ145" s="53" t="n"/>
      <c r="AK145" s="53" t="n"/>
      <c r="AL145" s="53" t="n"/>
      <c r="AM145" s="53" t="n"/>
      <c r="AN145" s="53" t="n"/>
      <c r="AO145" s="53" t="n"/>
      <c r="AP145" s="53" t="n"/>
      <c r="AQ145" s="53" t="n"/>
      <c r="AR145" s="53" t="n"/>
      <c r="AS145" s="53" t="n"/>
      <c r="AT145" s="53" t="n"/>
      <c r="AU145" s="53" t="n"/>
      <c r="AV145" s="53" t="n"/>
      <c r="AW145" s="53" t="n"/>
      <c r="AX145" s="53" t="n"/>
      <c r="AY145" s="53" t="n"/>
    </row>
    <row r="146" ht="15" customHeight="1">
      <c r="A146" s="40">
        <f>IF($D$146="","",46)</f>
        <v/>
      </c>
      <c r="B146" s="10" t="n"/>
      <c r="C146" s="41" t="inlineStr">
        <is>
          <t>마케팅3팀</t>
        </is>
      </c>
      <c r="D146" s="42" t="n"/>
      <c r="E146" s="43" t="inlineStr">
        <is>
          <t>기획</t>
        </is>
      </c>
      <c r="F146" s="44" t="n"/>
      <c r="G146" s="45" t="n"/>
      <c r="H146" s="46">
        <f>IF($I$146="","",IF($I$146&lt;0,"🔴지연",IF($I$146&lt;=1,"🟡임박","🟢여유")))</f>
        <v/>
      </c>
      <c r="I146" s="47">
        <f>IF(OR($G$146="",$K$146=""),"",$G$146-$K$146)</f>
        <v/>
      </c>
      <c r="J146" s="48">
        <f>IF(SUM($L$146:$L$148)=0,"",SUM($L$146:$L$148))</f>
        <v/>
      </c>
      <c r="K146" s="49">
        <f>IF($J$146="","",MAX($N$146:$N$148))</f>
        <v/>
      </c>
      <c r="L146" s="50">
        <f>IF(SUM(U146:AY146)=0,"",SUM(U146:AY146))</f>
        <v/>
      </c>
      <c r="M146" s="51">
        <f>IFERROR(INDEX(U$2:AY$2,MATCH(TRUE,INDEX(U146:AY146&lt;&gt;"",0),0)),"")</f>
        <v/>
      </c>
      <c r="N146" s="51">
        <f>IFERROR(LOOKUP(2,1/(U146:AY146&lt;&gt;""),U$2:AY$2),"")</f>
        <v/>
      </c>
      <c r="O146" s="52" t="n"/>
      <c r="P146" s="52" t="n"/>
      <c r="Q146" s="52" t="n"/>
      <c r="R146" s="44" t="n"/>
      <c r="S146" s="14" t="n"/>
      <c r="U146" s="53" t="n"/>
      <c r="V146" s="53" t="n"/>
      <c r="W146" s="53" t="n"/>
      <c r="X146" s="53" t="n"/>
      <c r="Y146" s="53" t="n"/>
      <c r="Z146" s="53" t="n"/>
      <c r="AA146" s="53" t="n"/>
      <c r="AB146" s="53" t="n"/>
      <c r="AC146" s="53" t="n"/>
      <c r="AD146" s="53" t="n"/>
      <c r="AE146" s="53" t="n"/>
      <c r="AF146" s="53" t="n"/>
      <c r="AG146" s="53" t="n"/>
      <c r="AH146" s="53" t="n"/>
      <c r="AI146" s="53" t="n"/>
      <c r="AJ146" s="53" t="n"/>
      <c r="AK146" s="53" t="n"/>
      <c r="AL146" s="53" t="n"/>
      <c r="AM146" s="53" t="n"/>
      <c r="AN146" s="53" t="n"/>
      <c r="AO146" s="53" t="n"/>
      <c r="AP146" s="53" t="n"/>
      <c r="AQ146" s="53" t="n"/>
      <c r="AR146" s="53" t="n"/>
      <c r="AS146" s="53" t="n"/>
      <c r="AT146" s="53" t="n"/>
      <c r="AU146" s="53" t="n"/>
      <c r="AV146" s="53" t="n"/>
      <c r="AW146" s="53" t="n"/>
      <c r="AX146" s="53" t="n"/>
      <c r="AY146" s="53" t="n"/>
    </row>
    <row r="147" ht="15" customHeight="1">
      <c r="A147" s="54" t="n"/>
      <c r="B147" s="55">
        <f>IF($B$146="","",$B$146)</f>
        <v/>
      </c>
      <c r="C147" s="56" t="inlineStr">
        <is>
          <t>마케팅3팀</t>
        </is>
      </c>
      <c r="D147" s="55">
        <f>IF($D$146="","",$D$146)</f>
        <v/>
      </c>
      <c r="E147" s="57" t="inlineStr">
        <is>
          <t>이미지</t>
        </is>
      </c>
      <c r="F147" s="44" t="n"/>
      <c r="G147" s="58">
        <f>IF($G$146="","",$G$146)</f>
        <v/>
      </c>
      <c r="H147" s="59" t="n"/>
      <c r="I147" s="59" t="n"/>
      <c r="J147" s="59" t="n"/>
      <c r="K147" s="59" t="n"/>
      <c r="L147" s="60">
        <f>IF(SUM(U147:AY147)=0,"",SUM(U147:AY147))</f>
        <v/>
      </c>
      <c r="M147" s="61">
        <f>IFERROR(INDEX(U$2:AY$2,MATCH(TRUE,INDEX(U147:AY147&lt;&gt;"",0),0)),"")</f>
        <v/>
      </c>
      <c r="N147" s="61">
        <f>IFERROR(LOOKUP(2,1/(U147:AY147&lt;&gt;""),U$2:AY$2),"")</f>
        <v/>
      </c>
      <c r="O147" s="59" t="n"/>
      <c r="P147" s="59" t="n"/>
      <c r="Q147" s="59" t="n"/>
      <c r="R147" s="59" t="n"/>
      <c r="S147" s="14" t="n"/>
      <c r="U147" s="53" t="n"/>
      <c r="V147" s="53" t="n"/>
      <c r="W147" s="53" t="n"/>
      <c r="X147" s="53" t="n"/>
      <c r="Y147" s="53" t="n"/>
      <c r="Z147" s="53" t="n"/>
      <c r="AA147" s="53" t="n"/>
      <c r="AB147" s="53" t="n"/>
      <c r="AC147" s="53" t="n"/>
      <c r="AD147" s="53" t="n"/>
      <c r="AE147" s="53" t="n"/>
      <c r="AF147" s="53" t="n"/>
      <c r="AG147" s="53" t="n"/>
      <c r="AH147" s="53" t="n"/>
      <c r="AI147" s="53" t="n"/>
      <c r="AJ147" s="53" t="n"/>
      <c r="AK147" s="53" t="n"/>
      <c r="AL147" s="53" t="n"/>
      <c r="AM147" s="53" t="n"/>
      <c r="AN147" s="53" t="n"/>
      <c r="AO147" s="53" t="n"/>
      <c r="AP147" s="53" t="n"/>
      <c r="AQ147" s="53" t="n"/>
      <c r="AR147" s="53" t="n"/>
      <c r="AS147" s="53" t="n"/>
      <c r="AT147" s="53" t="n"/>
      <c r="AU147" s="53" t="n"/>
      <c r="AV147" s="53" t="n"/>
      <c r="AW147" s="53" t="n"/>
      <c r="AX147" s="53" t="n"/>
      <c r="AY147" s="53" t="n"/>
    </row>
    <row r="148" ht="15" customHeight="1">
      <c r="A148" s="62" t="n"/>
      <c r="B148" s="55">
        <f>IF($B$146="","",$B$146)</f>
        <v/>
      </c>
      <c r="C148" s="63" t="inlineStr">
        <is>
          <t>마케팅3팀</t>
        </is>
      </c>
      <c r="D148" s="55">
        <f>IF($D$146="","",$D$146)</f>
        <v/>
      </c>
      <c r="E148" s="64" t="inlineStr">
        <is>
          <t>영상</t>
        </is>
      </c>
      <c r="F148" s="44" t="n"/>
      <c r="G148" s="58">
        <f>IF($G$146="","",$G$146)</f>
        <v/>
      </c>
      <c r="H148" s="59" t="n"/>
      <c r="I148" s="59" t="n"/>
      <c r="J148" s="59" t="n"/>
      <c r="K148" s="59" t="n"/>
      <c r="L148" s="65">
        <f>IF(SUM(U148:AY148)=0,"",SUM(U148:AY148))</f>
        <v/>
      </c>
      <c r="M148" s="66">
        <f>IFERROR(INDEX(U$2:AY$2,MATCH(TRUE,INDEX(U148:AY148&lt;&gt;"",0),0)),"")</f>
        <v/>
      </c>
      <c r="N148" s="66">
        <f>IFERROR(LOOKUP(2,1/(U148:AY148&lt;&gt;""),U$2:AY$2),"")</f>
        <v/>
      </c>
      <c r="O148" s="59" t="n"/>
      <c r="P148" s="59" t="n"/>
      <c r="Q148" s="59" t="n"/>
      <c r="R148" s="59" t="n"/>
      <c r="S148" s="14" t="n"/>
      <c r="U148" s="53" t="n"/>
      <c r="V148" s="53" t="n"/>
      <c r="W148" s="53" t="n"/>
      <c r="X148" s="53" t="n"/>
      <c r="Y148" s="53" t="n"/>
      <c r="Z148" s="53" t="n"/>
      <c r="AA148" s="53" t="n"/>
      <c r="AB148" s="53" t="n"/>
      <c r="AC148" s="53" t="n"/>
      <c r="AD148" s="53" t="n"/>
      <c r="AE148" s="53" t="n"/>
      <c r="AF148" s="53" t="n"/>
      <c r="AG148" s="53" t="n"/>
      <c r="AH148" s="53" t="n"/>
      <c r="AI148" s="53" t="n"/>
      <c r="AJ148" s="53" t="n"/>
      <c r="AK148" s="53" t="n"/>
      <c r="AL148" s="53" t="n"/>
      <c r="AM148" s="53" t="n"/>
      <c r="AN148" s="53" t="n"/>
      <c r="AO148" s="53" t="n"/>
      <c r="AP148" s="53" t="n"/>
      <c r="AQ148" s="53" t="n"/>
      <c r="AR148" s="53" t="n"/>
      <c r="AS148" s="53" t="n"/>
      <c r="AT148" s="53" t="n"/>
      <c r="AU148" s="53" t="n"/>
      <c r="AV148" s="53" t="n"/>
      <c r="AW148" s="53" t="n"/>
      <c r="AX148" s="53" t="n"/>
      <c r="AY148" s="53" t="n"/>
    </row>
    <row r="149" ht="15" customHeight="1">
      <c r="A149" s="40">
        <f>IF($D$149="","",47)</f>
        <v/>
      </c>
      <c r="B149" s="10" t="n"/>
      <c r="C149" s="41" t="inlineStr">
        <is>
          <t>마케팅3팀</t>
        </is>
      </c>
      <c r="D149" s="42" t="n"/>
      <c r="E149" s="43" t="inlineStr">
        <is>
          <t>기획</t>
        </is>
      </c>
      <c r="F149" s="44" t="n"/>
      <c r="G149" s="45" t="n"/>
      <c r="H149" s="46">
        <f>IF($I$149="","",IF($I$149&lt;0,"🔴지연",IF($I$149&lt;=1,"🟡임박","🟢여유")))</f>
        <v/>
      </c>
      <c r="I149" s="47">
        <f>IF(OR($G$149="",$K$149=""),"",$G$149-$K$149)</f>
        <v/>
      </c>
      <c r="J149" s="48">
        <f>IF(SUM($L$149:$L$151)=0,"",SUM($L$149:$L$151))</f>
        <v/>
      </c>
      <c r="K149" s="49">
        <f>IF($J$149="","",MAX($N$149:$N$151))</f>
        <v/>
      </c>
      <c r="L149" s="50">
        <f>IF(SUM(U149:AY149)=0,"",SUM(U149:AY149))</f>
        <v/>
      </c>
      <c r="M149" s="51">
        <f>IFERROR(INDEX(U$2:AY$2,MATCH(TRUE,INDEX(U149:AY149&lt;&gt;"",0),0)),"")</f>
        <v/>
      </c>
      <c r="N149" s="51">
        <f>IFERROR(LOOKUP(2,1/(U149:AY149&lt;&gt;""),U$2:AY$2),"")</f>
        <v/>
      </c>
      <c r="O149" s="52" t="n"/>
      <c r="P149" s="52" t="n"/>
      <c r="Q149" s="52" t="n"/>
      <c r="R149" s="44" t="n"/>
      <c r="S149" s="14" t="n"/>
      <c r="U149" s="53" t="n"/>
      <c r="V149" s="53" t="n"/>
      <c r="W149" s="53" t="n"/>
      <c r="X149" s="53" t="n"/>
      <c r="Y149" s="53" t="n"/>
      <c r="Z149" s="53" t="n"/>
      <c r="AA149" s="53" t="n"/>
      <c r="AB149" s="53" t="n"/>
      <c r="AC149" s="53" t="n"/>
      <c r="AD149" s="53" t="n"/>
      <c r="AE149" s="53" t="n"/>
      <c r="AF149" s="53" t="n"/>
      <c r="AG149" s="53" t="n"/>
      <c r="AH149" s="53" t="n"/>
      <c r="AI149" s="53" t="n"/>
      <c r="AJ149" s="53" t="n"/>
      <c r="AK149" s="53" t="n"/>
      <c r="AL149" s="53" t="n"/>
      <c r="AM149" s="53" t="n"/>
      <c r="AN149" s="53" t="n"/>
      <c r="AO149" s="53" t="n"/>
      <c r="AP149" s="53" t="n"/>
      <c r="AQ149" s="53" t="n"/>
      <c r="AR149" s="53" t="n"/>
      <c r="AS149" s="53" t="n"/>
      <c r="AT149" s="53" t="n"/>
      <c r="AU149" s="53" t="n"/>
      <c r="AV149" s="53" t="n"/>
      <c r="AW149" s="53" t="n"/>
      <c r="AX149" s="53" t="n"/>
      <c r="AY149" s="53" t="n"/>
    </row>
    <row r="150" ht="15" customHeight="1">
      <c r="A150" s="54" t="n"/>
      <c r="B150" s="55">
        <f>IF($B$149="","",$B$149)</f>
        <v/>
      </c>
      <c r="C150" s="56" t="inlineStr">
        <is>
          <t>마케팅3팀</t>
        </is>
      </c>
      <c r="D150" s="55">
        <f>IF($D$149="","",$D$149)</f>
        <v/>
      </c>
      <c r="E150" s="57" t="inlineStr">
        <is>
          <t>이미지</t>
        </is>
      </c>
      <c r="F150" s="44" t="n"/>
      <c r="G150" s="58">
        <f>IF($G$149="","",$G$149)</f>
        <v/>
      </c>
      <c r="H150" s="59" t="n"/>
      <c r="I150" s="59" t="n"/>
      <c r="J150" s="59" t="n"/>
      <c r="K150" s="59" t="n"/>
      <c r="L150" s="60">
        <f>IF(SUM(U150:AY150)=0,"",SUM(U150:AY150))</f>
        <v/>
      </c>
      <c r="M150" s="61">
        <f>IFERROR(INDEX(U$2:AY$2,MATCH(TRUE,INDEX(U150:AY150&lt;&gt;"",0),0)),"")</f>
        <v/>
      </c>
      <c r="N150" s="61">
        <f>IFERROR(LOOKUP(2,1/(U150:AY150&lt;&gt;""),U$2:AY$2),"")</f>
        <v/>
      </c>
      <c r="O150" s="59" t="n"/>
      <c r="P150" s="59" t="n"/>
      <c r="Q150" s="59" t="n"/>
      <c r="R150" s="59" t="n"/>
      <c r="S150" s="14" t="n"/>
      <c r="U150" s="53" t="n"/>
      <c r="V150" s="53" t="n"/>
      <c r="W150" s="53" t="n"/>
      <c r="X150" s="53" t="n"/>
      <c r="Y150" s="53" t="n"/>
      <c r="Z150" s="53" t="n"/>
      <c r="AA150" s="53" t="n"/>
      <c r="AB150" s="53" t="n"/>
      <c r="AC150" s="53" t="n"/>
      <c r="AD150" s="53" t="n"/>
      <c r="AE150" s="53" t="n"/>
      <c r="AF150" s="53" t="n"/>
      <c r="AG150" s="53" t="n"/>
      <c r="AH150" s="53" t="n"/>
      <c r="AI150" s="53" t="n"/>
      <c r="AJ150" s="53" t="n"/>
      <c r="AK150" s="53" t="n"/>
      <c r="AL150" s="53" t="n"/>
      <c r="AM150" s="53" t="n"/>
      <c r="AN150" s="53" t="n"/>
      <c r="AO150" s="53" t="n"/>
      <c r="AP150" s="53" t="n"/>
      <c r="AQ150" s="53" t="n"/>
      <c r="AR150" s="53" t="n"/>
      <c r="AS150" s="53" t="n"/>
      <c r="AT150" s="53" t="n"/>
      <c r="AU150" s="53" t="n"/>
      <c r="AV150" s="53" t="n"/>
      <c r="AW150" s="53" t="n"/>
      <c r="AX150" s="53" t="n"/>
      <c r="AY150" s="53" t="n"/>
    </row>
    <row r="151" ht="15" customHeight="1">
      <c r="A151" s="62" t="n"/>
      <c r="B151" s="55">
        <f>IF($B$149="","",$B$149)</f>
        <v/>
      </c>
      <c r="C151" s="63" t="inlineStr">
        <is>
          <t>마케팅3팀</t>
        </is>
      </c>
      <c r="D151" s="55">
        <f>IF($D$149="","",$D$149)</f>
        <v/>
      </c>
      <c r="E151" s="64" t="inlineStr">
        <is>
          <t>영상</t>
        </is>
      </c>
      <c r="F151" s="44" t="n"/>
      <c r="G151" s="58">
        <f>IF($G$149="","",$G$149)</f>
        <v/>
      </c>
      <c r="H151" s="59" t="n"/>
      <c r="I151" s="59" t="n"/>
      <c r="J151" s="59" t="n"/>
      <c r="K151" s="59" t="n"/>
      <c r="L151" s="65">
        <f>IF(SUM(U151:AY151)=0,"",SUM(U151:AY151))</f>
        <v/>
      </c>
      <c r="M151" s="66">
        <f>IFERROR(INDEX(U$2:AY$2,MATCH(TRUE,INDEX(U151:AY151&lt;&gt;"",0),0)),"")</f>
        <v/>
      </c>
      <c r="N151" s="66">
        <f>IFERROR(LOOKUP(2,1/(U151:AY151&lt;&gt;""),U$2:AY$2),"")</f>
        <v/>
      </c>
      <c r="O151" s="59" t="n"/>
      <c r="P151" s="59" t="n"/>
      <c r="Q151" s="59" t="n"/>
      <c r="R151" s="59" t="n"/>
      <c r="S151" s="14" t="n"/>
      <c r="U151" s="53" t="n"/>
      <c r="V151" s="53" t="n"/>
      <c r="W151" s="53" t="n"/>
      <c r="X151" s="53" t="n"/>
      <c r="Y151" s="53" t="n"/>
      <c r="Z151" s="53" t="n"/>
      <c r="AA151" s="53" t="n"/>
      <c r="AB151" s="53" t="n"/>
      <c r="AC151" s="53" t="n"/>
      <c r="AD151" s="53" t="n"/>
      <c r="AE151" s="53" t="n"/>
      <c r="AF151" s="53" t="n"/>
      <c r="AG151" s="53" t="n"/>
      <c r="AH151" s="53" t="n"/>
      <c r="AI151" s="53" t="n"/>
      <c r="AJ151" s="53" t="n"/>
      <c r="AK151" s="53" t="n"/>
      <c r="AL151" s="53" t="n"/>
      <c r="AM151" s="53" t="n"/>
      <c r="AN151" s="53" t="n"/>
      <c r="AO151" s="53" t="n"/>
      <c r="AP151" s="53" t="n"/>
      <c r="AQ151" s="53" t="n"/>
      <c r="AR151" s="53" t="n"/>
      <c r="AS151" s="53" t="n"/>
      <c r="AT151" s="53" t="n"/>
      <c r="AU151" s="53" t="n"/>
      <c r="AV151" s="53" t="n"/>
      <c r="AW151" s="53" t="n"/>
      <c r="AX151" s="53" t="n"/>
      <c r="AY151" s="53" t="n"/>
    </row>
    <row r="152" ht="15" customHeight="1">
      <c r="A152" s="40">
        <f>IF($D$152="","",48)</f>
        <v/>
      </c>
      <c r="B152" s="10" t="n"/>
      <c r="C152" s="41" t="inlineStr">
        <is>
          <t>마케팅3팀</t>
        </is>
      </c>
      <c r="D152" s="42" t="n"/>
      <c r="E152" s="43" t="inlineStr">
        <is>
          <t>기획</t>
        </is>
      </c>
      <c r="F152" s="44" t="n"/>
      <c r="G152" s="45" t="n"/>
      <c r="H152" s="46">
        <f>IF($I$152="","",IF($I$152&lt;0,"🔴지연",IF($I$152&lt;=1,"🟡임박","🟢여유")))</f>
        <v/>
      </c>
      <c r="I152" s="47">
        <f>IF(OR($G$152="",$K$152=""),"",$G$152-$K$152)</f>
        <v/>
      </c>
      <c r="J152" s="48">
        <f>IF(SUM($L$152:$L$154)=0,"",SUM($L$152:$L$154))</f>
        <v/>
      </c>
      <c r="K152" s="49">
        <f>IF($J$152="","",MAX($N$152:$N$154))</f>
        <v/>
      </c>
      <c r="L152" s="50">
        <f>IF(SUM(U152:AY152)=0,"",SUM(U152:AY152))</f>
        <v/>
      </c>
      <c r="M152" s="51">
        <f>IFERROR(INDEX(U$2:AY$2,MATCH(TRUE,INDEX(U152:AY152&lt;&gt;"",0),0)),"")</f>
        <v/>
      </c>
      <c r="N152" s="51">
        <f>IFERROR(LOOKUP(2,1/(U152:AY152&lt;&gt;""),U$2:AY$2),"")</f>
        <v/>
      </c>
      <c r="O152" s="52" t="n"/>
      <c r="P152" s="52" t="n"/>
      <c r="Q152" s="52" t="n"/>
      <c r="R152" s="44" t="n"/>
      <c r="S152" s="14" t="n"/>
      <c r="U152" s="53" t="n"/>
      <c r="V152" s="53" t="n"/>
      <c r="W152" s="53" t="n"/>
      <c r="X152" s="53" t="n"/>
      <c r="Y152" s="53" t="n"/>
      <c r="Z152" s="53" t="n"/>
      <c r="AA152" s="53" t="n"/>
      <c r="AB152" s="53" t="n"/>
      <c r="AC152" s="53" t="n"/>
      <c r="AD152" s="53" t="n"/>
      <c r="AE152" s="53" t="n"/>
      <c r="AF152" s="53" t="n"/>
      <c r="AG152" s="53" t="n"/>
      <c r="AH152" s="53" t="n"/>
      <c r="AI152" s="53" t="n"/>
      <c r="AJ152" s="53" t="n"/>
      <c r="AK152" s="53" t="n"/>
      <c r="AL152" s="53" t="n"/>
      <c r="AM152" s="53" t="n"/>
      <c r="AN152" s="53" t="n"/>
      <c r="AO152" s="53" t="n"/>
      <c r="AP152" s="53" t="n"/>
      <c r="AQ152" s="53" t="n"/>
      <c r="AR152" s="53" t="n"/>
      <c r="AS152" s="53" t="n"/>
      <c r="AT152" s="53" t="n"/>
      <c r="AU152" s="53" t="n"/>
      <c r="AV152" s="53" t="n"/>
      <c r="AW152" s="53" t="n"/>
      <c r="AX152" s="53" t="n"/>
      <c r="AY152" s="53" t="n"/>
    </row>
    <row r="153" ht="15" customHeight="1">
      <c r="A153" s="54" t="n"/>
      <c r="B153" s="55">
        <f>IF($B$152="","",$B$152)</f>
        <v/>
      </c>
      <c r="C153" s="56" t="inlineStr">
        <is>
          <t>마케팅3팀</t>
        </is>
      </c>
      <c r="D153" s="55">
        <f>IF($D$152="","",$D$152)</f>
        <v/>
      </c>
      <c r="E153" s="57" t="inlineStr">
        <is>
          <t>이미지</t>
        </is>
      </c>
      <c r="F153" s="44" t="n"/>
      <c r="G153" s="58">
        <f>IF($G$152="","",$G$152)</f>
        <v/>
      </c>
      <c r="H153" s="59" t="n"/>
      <c r="I153" s="59" t="n"/>
      <c r="J153" s="59" t="n"/>
      <c r="K153" s="59" t="n"/>
      <c r="L153" s="60">
        <f>IF(SUM(U153:AY153)=0,"",SUM(U153:AY153))</f>
        <v/>
      </c>
      <c r="M153" s="61">
        <f>IFERROR(INDEX(U$2:AY$2,MATCH(TRUE,INDEX(U153:AY153&lt;&gt;"",0),0)),"")</f>
        <v/>
      </c>
      <c r="N153" s="61">
        <f>IFERROR(LOOKUP(2,1/(U153:AY153&lt;&gt;""),U$2:AY$2),"")</f>
        <v/>
      </c>
      <c r="O153" s="59" t="n"/>
      <c r="P153" s="59" t="n"/>
      <c r="Q153" s="59" t="n"/>
      <c r="R153" s="59" t="n"/>
      <c r="S153" s="14" t="n"/>
      <c r="U153" s="53" t="n"/>
      <c r="V153" s="53" t="n"/>
      <c r="W153" s="53" t="n"/>
      <c r="X153" s="53" t="n"/>
      <c r="Y153" s="53" t="n"/>
      <c r="Z153" s="53" t="n"/>
      <c r="AA153" s="53" t="n"/>
      <c r="AB153" s="53" t="n"/>
      <c r="AC153" s="53" t="n"/>
      <c r="AD153" s="53" t="n"/>
      <c r="AE153" s="53" t="n"/>
      <c r="AF153" s="53" t="n"/>
      <c r="AG153" s="53" t="n"/>
      <c r="AH153" s="53" t="n"/>
      <c r="AI153" s="53" t="n"/>
      <c r="AJ153" s="53" t="n"/>
      <c r="AK153" s="53" t="n"/>
      <c r="AL153" s="53" t="n"/>
      <c r="AM153" s="53" t="n"/>
      <c r="AN153" s="53" t="n"/>
      <c r="AO153" s="53" t="n"/>
      <c r="AP153" s="53" t="n"/>
      <c r="AQ153" s="53" t="n"/>
      <c r="AR153" s="53" t="n"/>
      <c r="AS153" s="53" t="n"/>
      <c r="AT153" s="53" t="n"/>
      <c r="AU153" s="53" t="n"/>
      <c r="AV153" s="53" t="n"/>
      <c r="AW153" s="53" t="n"/>
      <c r="AX153" s="53" t="n"/>
      <c r="AY153" s="53" t="n"/>
    </row>
    <row r="154" ht="15" customHeight="1">
      <c r="A154" s="62" t="n"/>
      <c r="B154" s="55">
        <f>IF($B$152="","",$B$152)</f>
        <v/>
      </c>
      <c r="C154" s="63" t="inlineStr">
        <is>
          <t>마케팅3팀</t>
        </is>
      </c>
      <c r="D154" s="55">
        <f>IF($D$152="","",$D$152)</f>
        <v/>
      </c>
      <c r="E154" s="64" t="inlineStr">
        <is>
          <t>영상</t>
        </is>
      </c>
      <c r="F154" s="44" t="n"/>
      <c r="G154" s="58">
        <f>IF($G$152="","",$G$152)</f>
        <v/>
      </c>
      <c r="H154" s="59" t="n"/>
      <c r="I154" s="59" t="n"/>
      <c r="J154" s="59" t="n"/>
      <c r="K154" s="59" t="n"/>
      <c r="L154" s="65">
        <f>IF(SUM(U154:AY154)=0,"",SUM(U154:AY154))</f>
        <v/>
      </c>
      <c r="M154" s="66">
        <f>IFERROR(INDEX(U$2:AY$2,MATCH(TRUE,INDEX(U154:AY154&lt;&gt;"",0),0)),"")</f>
        <v/>
      </c>
      <c r="N154" s="66">
        <f>IFERROR(LOOKUP(2,1/(U154:AY154&lt;&gt;""),U$2:AY$2),"")</f>
        <v/>
      </c>
      <c r="O154" s="59" t="n"/>
      <c r="P154" s="59" t="n"/>
      <c r="Q154" s="59" t="n"/>
      <c r="R154" s="59" t="n"/>
      <c r="S154" s="14" t="n"/>
      <c r="U154" s="53" t="n"/>
      <c r="V154" s="53" t="n"/>
      <c r="W154" s="53" t="n"/>
      <c r="X154" s="53" t="n"/>
      <c r="Y154" s="53" t="n"/>
      <c r="Z154" s="53" t="n"/>
      <c r="AA154" s="53" t="n"/>
      <c r="AB154" s="53" t="n"/>
      <c r="AC154" s="53" t="n"/>
      <c r="AD154" s="53" t="n"/>
      <c r="AE154" s="53" t="n"/>
      <c r="AF154" s="53" t="n"/>
      <c r="AG154" s="53" t="n"/>
      <c r="AH154" s="53" t="n"/>
      <c r="AI154" s="53" t="n"/>
      <c r="AJ154" s="53" t="n"/>
      <c r="AK154" s="53" t="n"/>
      <c r="AL154" s="53" t="n"/>
      <c r="AM154" s="53" t="n"/>
      <c r="AN154" s="53" t="n"/>
      <c r="AO154" s="53" t="n"/>
      <c r="AP154" s="53" t="n"/>
      <c r="AQ154" s="53" t="n"/>
      <c r="AR154" s="53" t="n"/>
      <c r="AS154" s="53" t="n"/>
      <c r="AT154" s="53" t="n"/>
      <c r="AU154" s="53" t="n"/>
      <c r="AV154" s="53" t="n"/>
      <c r="AW154" s="53" t="n"/>
      <c r="AX154" s="53" t="n"/>
      <c r="AY154" s="53" t="n"/>
    </row>
    <row r="155" ht="15" customHeight="1">
      <c r="A155" s="40">
        <f>IF($D$155="","",49)</f>
        <v/>
      </c>
      <c r="B155" s="10" t="n"/>
      <c r="C155" s="41" t="inlineStr">
        <is>
          <t>마케팅3팀</t>
        </is>
      </c>
      <c r="D155" s="42" t="n"/>
      <c r="E155" s="43" t="inlineStr">
        <is>
          <t>기획</t>
        </is>
      </c>
      <c r="F155" s="44" t="n"/>
      <c r="G155" s="45" t="n"/>
      <c r="H155" s="46">
        <f>IF($I$155="","",IF($I$155&lt;0,"🔴지연",IF($I$155&lt;=1,"🟡임박","🟢여유")))</f>
        <v/>
      </c>
      <c r="I155" s="47">
        <f>IF(OR($G$155="",$K$155=""),"",$G$155-$K$155)</f>
        <v/>
      </c>
      <c r="J155" s="48">
        <f>IF(SUM($L$155:$L$157)=0,"",SUM($L$155:$L$157))</f>
        <v/>
      </c>
      <c r="K155" s="49">
        <f>IF($J$155="","",MAX($N$155:$N$157))</f>
        <v/>
      </c>
      <c r="L155" s="50">
        <f>IF(SUM(U155:AY155)=0,"",SUM(U155:AY155))</f>
        <v/>
      </c>
      <c r="M155" s="51">
        <f>IFERROR(INDEX(U$2:AY$2,MATCH(TRUE,INDEX(U155:AY155&lt;&gt;"",0),0)),"")</f>
        <v/>
      </c>
      <c r="N155" s="51">
        <f>IFERROR(LOOKUP(2,1/(U155:AY155&lt;&gt;""),U$2:AY$2),"")</f>
        <v/>
      </c>
      <c r="O155" s="52" t="n"/>
      <c r="P155" s="52" t="n"/>
      <c r="Q155" s="52" t="n"/>
      <c r="R155" s="44" t="n"/>
      <c r="S155" s="14" t="n"/>
      <c r="U155" s="53" t="n"/>
      <c r="V155" s="53" t="n"/>
      <c r="W155" s="53" t="n"/>
      <c r="X155" s="53" t="n"/>
      <c r="Y155" s="53" t="n"/>
      <c r="Z155" s="53" t="n"/>
      <c r="AA155" s="53" t="n"/>
      <c r="AB155" s="53" t="n"/>
      <c r="AC155" s="53" t="n"/>
      <c r="AD155" s="53" t="n"/>
      <c r="AE155" s="53" t="n"/>
      <c r="AF155" s="53" t="n"/>
      <c r="AG155" s="53" t="n"/>
      <c r="AH155" s="53" t="n"/>
      <c r="AI155" s="53" t="n"/>
      <c r="AJ155" s="53" t="n"/>
      <c r="AK155" s="53" t="n"/>
      <c r="AL155" s="53" t="n"/>
      <c r="AM155" s="53" t="n"/>
      <c r="AN155" s="53" t="n"/>
      <c r="AO155" s="53" t="n"/>
      <c r="AP155" s="53" t="n"/>
      <c r="AQ155" s="53" t="n"/>
      <c r="AR155" s="53" t="n"/>
      <c r="AS155" s="53" t="n"/>
      <c r="AT155" s="53" t="n"/>
      <c r="AU155" s="53" t="n"/>
      <c r="AV155" s="53" t="n"/>
      <c r="AW155" s="53" t="n"/>
      <c r="AX155" s="53" t="n"/>
      <c r="AY155" s="53" t="n"/>
    </row>
    <row r="156" ht="15" customHeight="1">
      <c r="A156" s="54" t="n"/>
      <c r="B156" s="55">
        <f>IF($B$155="","",$B$155)</f>
        <v/>
      </c>
      <c r="C156" s="56" t="inlineStr">
        <is>
          <t>마케팅3팀</t>
        </is>
      </c>
      <c r="D156" s="55">
        <f>IF($D$155="","",$D$155)</f>
        <v/>
      </c>
      <c r="E156" s="57" t="inlineStr">
        <is>
          <t>이미지</t>
        </is>
      </c>
      <c r="F156" s="44" t="n"/>
      <c r="G156" s="58">
        <f>IF($G$155="","",$G$155)</f>
        <v/>
      </c>
      <c r="H156" s="59" t="n"/>
      <c r="I156" s="59" t="n"/>
      <c r="J156" s="59" t="n"/>
      <c r="K156" s="59" t="n"/>
      <c r="L156" s="60">
        <f>IF(SUM(U156:AY156)=0,"",SUM(U156:AY156))</f>
        <v/>
      </c>
      <c r="M156" s="61">
        <f>IFERROR(INDEX(U$2:AY$2,MATCH(TRUE,INDEX(U156:AY156&lt;&gt;"",0),0)),"")</f>
        <v/>
      </c>
      <c r="N156" s="61">
        <f>IFERROR(LOOKUP(2,1/(U156:AY156&lt;&gt;""),U$2:AY$2),"")</f>
        <v/>
      </c>
      <c r="O156" s="59" t="n"/>
      <c r="P156" s="59" t="n"/>
      <c r="Q156" s="59" t="n"/>
      <c r="R156" s="59" t="n"/>
      <c r="S156" s="14" t="n"/>
      <c r="U156" s="53" t="n"/>
      <c r="V156" s="53" t="n"/>
      <c r="W156" s="53" t="n"/>
      <c r="X156" s="53" t="n"/>
      <c r="Y156" s="53" t="n"/>
      <c r="Z156" s="53" t="n"/>
      <c r="AA156" s="53" t="n"/>
      <c r="AB156" s="53" t="n"/>
      <c r="AC156" s="53" t="n"/>
      <c r="AD156" s="53" t="n"/>
      <c r="AE156" s="53" t="n"/>
      <c r="AF156" s="53" t="n"/>
      <c r="AG156" s="53" t="n"/>
      <c r="AH156" s="53" t="n"/>
      <c r="AI156" s="53" t="n"/>
      <c r="AJ156" s="53" t="n"/>
      <c r="AK156" s="53" t="n"/>
      <c r="AL156" s="53" t="n"/>
      <c r="AM156" s="53" t="n"/>
      <c r="AN156" s="53" t="n"/>
      <c r="AO156" s="53" t="n"/>
      <c r="AP156" s="53" t="n"/>
      <c r="AQ156" s="53" t="n"/>
      <c r="AR156" s="53" t="n"/>
      <c r="AS156" s="53" t="n"/>
      <c r="AT156" s="53" t="n"/>
      <c r="AU156" s="53" t="n"/>
      <c r="AV156" s="53" t="n"/>
      <c r="AW156" s="53" t="n"/>
      <c r="AX156" s="53" t="n"/>
      <c r="AY156" s="53" t="n"/>
    </row>
    <row r="157" ht="15" customHeight="1">
      <c r="A157" s="62" t="n"/>
      <c r="B157" s="55">
        <f>IF($B$155="","",$B$155)</f>
        <v/>
      </c>
      <c r="C157" s="63" t="inlineStr">
        <is>
          <t>마케팅3팀</t>
        </is>
      </c>
      <c r="D157" s="55">
        <f>IF($D$155="","",$D$155)</f>
        <v/>
      </c>
      <c r="E157" s="64" t="inlineStr">
        <is>
          <t>영상</t>
        </is>
      </c>
      <c r="F157" s="44" t="n"/>
      <c r="G157" s="58">
        <f>IF($G$155="","",$G$155)</f>
        <v/>
      </c>
      <c r="H157" s="59" t="n"/>
      <c r="I157" s="59" t="n"/>
      <c r="J157" s="59" t="n"/>
      <c r="K157" s="59" t="n"/>
      <c r="L157" s="65">
        <f>IF(SUM(U157:AY157)=0,"",SUM(U157:AY157))</f>
        <v/>
      </c>
      <c r="M157" s="66">
        <f>IFERROR(INDEX(U$2:AY$2,MATCH(TRUE,INDEX(U157:AY157&lt;&gt;"",0),0)),"")</f>
        <v/>
      </c>
      <c r="N157" s="66">
        <f>IFERROR(LOOKUP(2,1/(U157:AY157&lt;&gt;""),U$2:AY$2),"")</f>
        <v/>
      </c>
      <c r="O157" s="59" t="n"/>
      <c r="P157" s="59" t="n"/>
      <c r="Q157" s="59" t="n"/>
      <c r="R157" s="59" t="n"/>
      <c r="S157" s="14" t="n"/>
      <c r="U157" s="53" t="n"/>
      <c r="V157" s="53" t="n"/>
      <c r="W157" s="53" t="n"/>
      <c r="X157" s="53" t="n"/>
      <c r="Y157" s="53" t="n"/>
      <c r="Z157" s="53" t="n"/>
      <c r="AA157" s="53" t="n"/>
      <c r="AB157" s="53" t="n"/>
      <c r="AC157" s="53" t="n"/>
      <c r="AD157" s="53" t="n"/>
      <c r="AE157" s="53" t="n"/>
      <c r="AF157" s="53" t="n"/>
      <c r="AG157" s="53" t="n"/>
      <c r="AH157" s="53" t="n"/>
      <c r="AI157" s="53" t="n"/>
      <c r="AJ157" s="53" t="n"/>
      <c r="AK157" s="53" t="n"/>
      <c r="AL157" s="53" t="n"/>
      <c r="AM157" s="53" t="n"/>
      <c r="AN157" s="53" t="n"/>
      <c r="AO157" s="53" t="n"/>
      <c r="AP157" s="53" t="n"/>
      <c r="AQ157" s="53" t="n"/>
      <c r="AR157" s="53" t="n"/>
      <c r="AS157" s="53" t="n"/>
      <c r="AT157" s="53" t="n"/>
      <c r="AU157" s="53" t="n"/>
      <c r="AV157" s="53" t="n"/>
      <c r="AW157" s="53" t="n"/>
      <c r="AX157" s="53" t="n"/>
      <c r="AY157" s="53" t="n"/>
    </row>
    <row r="158" ht="15" customHeight="1">
      <c r="A158" s="40">
        <f>IF($D$158="","",50)</f>
        <v/>
      </c>
      <c r="B158" s="10" t="n"/>
      <c r="C158" s="41" t="inlineStr">
        <is>
          <t>마케팅3팀</t>
        </is>
      </c>
      <c r="D158" s="42" t="n"/>
      <c r="E158" s="43" t="inlineStr">
        <is>
          <t>기획</t>
        </is>
      </c>
      <c r="F158" s="44" t="n"/>
      <c r="G158" s="45" t="n"/>
      <c r="H158" s="46">
        <f>IF($I$158="","",IF($I$158&lt;0,"🔴지연",IF($I$158&lt;=1,"🟡임박","🟢여유")))</f>
        <v/>
      </c>
      <c r="I158" s="47">
        <f>IF(OR($G$158="",$K$158=""),"",$G$158-$K$158)</f>
        <v/>
      </c>
      <c r="J158" s="48">
        <f>IF(SUM($L$158:$L$160)=0,"",SUM($L$158:$L$160))</f>
        <v/>
      </c>
      <c r="K158" s="49">
        <f>IF($J$158="","",MAX($N$158:$N$160))</f>
        <v/>
      </c>
      <c r="L158" s="50">
        <f>IF(SUM(U158:AY158)=0,"",SUM(U158:AY158))</f>
        <v/>
      </c>
      <c r="M158" s="51">
        <f>IFERROR(INDEX(U$2:AY$2,MATCH(TRUE,INDEX(U158:AY158&lt;&gt;"",0),0)),"")</f>
        <v/>
      </c>
      <c r="N158" s="51">
        <f>IFERROR(LOOKUP(2,1/(U158:AY158&lt;&gt;""),U$2:AY$2),"")</f>
        <v/>
      </c>
      <c r="O158" s="52" t="n"/>
      <c r="P158" s="52" t="n"/>
      <c r="Q158" s="52" t="n"/>
      <c r="R158" s="44" t="n"/>
      <c r="S158" s="14" t="n"/>
      <c r="U158" s="53" t="n"/>
      <c r="V158" s="53" t="n"/>
      <c r="W158" s="53" t="n"/>
      <c r="X158" s="53" t="n"/>
      <c r="Y158" s="53" t="n"/>
      <c r="Z158" s="53" t="n"/>
      <c r="AA158" s="53" t="n"/>
      <c r="AB158" s="53" t="n"/>
      <c r="AC158" s="53" t="n"/>
      <c r="AD158" s="53" t="n"/>
      <c r="AE158" s="53" t="n"/>
      <c r="AF158" s="53" t="n"/>
      <c r="AG158" s="53" t="n"/>
      <c r="AH158" s="53" t="n"/>
      <c r="AI158" s="53" t="n"/>
      <c r="AJ158" s="53" t="n"/>
      <c r="AK158" s="53" t="n"/>
      <c r="AL158" s="53" t="n"/>
      <c r="AM158" s="53" t="n"/>
      <c r="AN158" s="53" t="n"/>
      <c r="AO158" s="53" t="n"/>
      <c r="AP158" s="53" t="n"/>
      <c r="AQ158" s="53" t="n"/>
      <c r="AR158" s="53" t="n"/>
      <c r="AS158" s="53" t="n"/>
      <c r="AT158" s="53" t="n"/>
      <c r="AU158" s="53" t="n"/>
      <c r="AV158" s="53" t="n"/>
      <c r="AW158" s="53" t="n"/>
      <c r="AX158" s="53" t="n"/>
      <c r="AY158" s="53" t="n"/>
    </row>
    <row r="159" ht="15" customHeight="1">
      <c r="A159" s="54" t="n"/>
      <c r="B159" s="55">
        <f>IF($B$158="","",$B$158)</f>
        <v/>
      </c>
      <c r="C159" s="56" t="inlineStr">
        <is>
          <t>마케팅3팀</t>
        </is>
      </c>
      <c r="D159" s="55">
        <f>IF($D$158="","",$D$158)</f>
        <v/>
      </c>
      <c r="E159" s="57" t="inlineStr">
        <is>
          <t>이미지</t>
        </is>
      </c>
      <c r="F159" s="44" t="n"/>
      <c r="G159" s="58">
        <f>IF($G$158="","",$G$158)</f>
        <v/>
      </c>
      <c r="H159" s="59" t="n"/>
      <c r="I159" s="59" t="n"/>
      <c r="J159" s="59" t="n"/>
      <c r="K159" s="59" t="n"/>
      <c r="L159" s="60">
        <f>IF(SUM(U159:AY159)=0,"",SUM(U159:AY159))</f>
        <v/>
      </c>
      <c r="M159" s="61">
        <f>IFERROR(INDEX(U$2:AY$2,MATCH(TRUE,INDEX(U159:AY159&lt;&gt;"",0),0)),"")</f>
        <v/>
      </c>
      <c r="N159" s="61">
        <f>IFERROR(LOOKUP(2,1/(U159:AY159&lt;&gt;""),U$2:AY$2),"")</f>
        <v/>
      </c>
      <c r="O159" s="59" t="n"/>
      <c r="P159" s="59" t="n"/>
      <c r="Q159" s="59" t="n"/>
      <c r="R159" s="59" t="n"/>
      <c r="S159" s="14" t="n"/>
      <c r="U159" s="53" t="n"/>
      <c r="V159" s="53" t="n"/>
      <c r="W159" s="53" t="n"/>
      <c r="X159" s="53" t="n"/>
      <c r="Y159" s="53" t="n"/>
      <c r="Z159" s="53" t="n"/>
      <c r="AA159" s="53" t="n"/>
      <c r="AB159" s="53" t="n"/>
      <c r="AC159" s="53" t="n"/>
      <c r="AD159" s="53" t="n"/>
      <c r="AE159" s="53" t="n"/>
      <c r="AF159" s="53" t="n"/>
      <c r="AG159" s="53" t="n"/>
      <c r="AH159" s="53" t="n"/>
      <c r="AI159" s="53" t="n"/>
      <c r="AJ159" s="53" t="n"/>
      <c r="AK159" s="53" t="n"/>
      <c r="AL159" s="53" t="n"/>
      <c r="AM159" s="53" t="n"/>
      <c r="AN159" s="53" t="n"/>
      <c r="AO159" s="53" t="n"/>
      <c r="AP159" s="53" t="n"/>
      <c r="AQ159" s="53" t="n"/>
      <c r="AR159" s="53" t="n"/>
      <c r="AS159" s="53" t="n"/>
      <c r="AT159" s="53" t="n"/>
      <c r="AU159" s="53" t="n"/>
      <c r="AV159" s="53" t="n"/>
      <c r="AW159" s="53" t="n"/>
      <c r="AX159" s="53" t="n"/>
      <c r="AY159" s="53" t="n"/>
    </row>
    <row r="160" ht="15" customHeight="1">
      <c r="A160" s="62" t="n"/>
      <c r="B160" s="55">
        <f>IF($B$158="","",$B$158)</f>
        <v/>
      </c>
      <c r="C160" s="63" t="inlineStr">
        <is>
          <t>마케팅3팀</t>
        </is>
      </c>
      <c r="D160" s="55">
        <f>IF($D$158="","",$D$158)</f>
        <v/>
      </c>
      <c r="E160" s="64" t="inlineStr">
        <is>
          <t>영상</t>
        </is>
      </c>
      <c r="F160" s="44" t="n"/>
      <c r="G160" s="58">
        <f>IF($G$158="","",$G$158)</f>
        <v/>
      </c>
      <c r="H160" s="59" t="n"/>
      <c r="I160" s="59" t="n"/>
      <c r="J160" s="59" t="n"/>
      <c r="K160" s="59" t="n"/>
      <c r="L160" s="65">
        <f>IF(SUM(U160:AY160)=0,"",SUM(U160:AY160))</f>
        <v/>
      </c>
      <c r="M160" s="66">
        <f>IFERROR(INDEX(U$2:AY$2,MATCH(TRUE,INDEX(U160:AY160&lt;&gt;"",0),0)),"")</f>
        <v/>
      </c>
      <c r="N160" s="66">
        <f>IFERROR(LOOKUP(2,1/(U160:AY160&lt;&gt;""),U$2:AY$2),"")</f>
        <v/>
      </c>
      <c r="O160" s="59" t="n"/>
      <c r="P160" s="59" t="n"/>
      <c r="Q160" s="59" t="n"/>
      <c r="R160" s="59" t="n"/>
      <c r="S160" s="14" t="n"/>
      <c r="U160" s="53" t="n"/>
      <c r="V160" s="53" t="n"/>
      <c r="W160" s="53" t="n"/>
      <c r="X160" s="53" t="n"/>
      <c r="Y160" s="53" t="n"/>
      <c r="Z160" s="53" t="n"/>
      <c r="AA160" s="53" t="n"/>
      <c r="AB160" s="53" t="n"/>
      <c r="AC160" s="53" t="n"/>
      <c r="AD160" s="53" t="n"/>
      <c r="AE160" s="53" t="n"/>
      <c r="AF160" s="53" t="n"/>
      <c r="AG160" s="53" t="n"/>
      <c r="AH160" s="53" t="n"/>
      <c r="AI160" s="53" t="n"/>
      <c r="AJ160" s="53" t="n"/>
      <c r="AK160" s="53" t="n"/>
      <c r="AL160" s="53" t="n"/>
      <c r="AM160" s="53" t="n"/>
      <c r="AN160" s="53" t="n"/>
      <c r="AO160" s="53" t="n"/>
      <c r="AP160" s="53" t="n"/>
      <c r="AQ160" s="53" t="n"/>
      <c r="AR160" s="53" t="n"/>
      <c r="AS160" s="53" t="n"/>
      <c r="AT160" s="53" t="n"/>
      <c r="AU160" s="53" t="n"/>
      <c r="AV160" s="53" t="n"/>
      <c r="AW160" s="53" t="n"/>
      <c r="AX160" s="53" t="n"/>
      <c r="AY160" s="53" t="n"/>
    </row>
    <row r="161" ht="15" customHeight="1">
      <c r="A161" s="40">
        <f>IF($D$161="","",51)</f>
        <v/>
      </c>
      <c r="B161" s="10" t="n"/>
      <c r="C161" s="41" t="inlineStr">
        <is>
          <t>마케팅3팀</t>
        </is>
      </c>
      <c r="D161" s="42" t="n"/>
      <c r="E161" s="43" t="inlineStr">
        <is>
          <t>기획</t>
        </is>
      </c>
      <c r="F161" s="44" t="n"/>
      <c r="G161" s="45" t="n"/>
      <c r="H161" s="46">
        <f>IF($I$161="","",IF($I$161&lt;0,"🔴지연",IF($I$161&lt;=1,"🟡임박","🟢여유")))</f>
        <v/>
      </c>
      <c r="I161" s="47">
        <f>IF(OR($G$161="",$K$161=""),"",$G$161-$K$161)</f>
        <v/>
      </c>
      <c r="J161" s="48">
        <f>IF(SUM($L$161:$L$163)=0,"",SUM($L$161:$L$163))</f>
        <v/>
      </c>
      <c r="K161" s="49">
        <f>IF($J$161="","",MAX($N$161:$N$163))</f>
        <v/>
      </c>
      <c r="L161" s="50">
        <f>IF(SUM(U161:AY161)=0,"",SUM(U161:AY161))</f>
        <v/>
      </c>
      <c r="M161" s="51">
        <f>IFERROR(INDEX(U$2:AY$2,MATCH(TRUE,INDEX(U161:AY161&lt;&gt;"",0),0)),"")</f>
        <v/>
      </c>
      <c r="N161" s="51">
        <f>IFERROR(LOOKUP(2,1/(U161:AY161&lt;&gt;""),U$2:AY$2),"")</f>
        <v/>
      </c>
      <c r="O161" s="52" t="n"/>
      <c r="P161" s="52" t="n"/>
      <c r="Q161" s="52" t="n"/>
      <c r="R161" s="44" t="n"/>
      <c r="S161" s="14" t="n"/>
      <c r="U161" s="53" t="n"/>
      <c r="V161" s="53" t="n"/>
      <c r="W161" s="53" t="n"/>
      <c r="X161" s="53" t="n"/>
      <c r="Y161" s="53" t="n"/>
      <c r="Z161" s="53" t="n"/>
      <c r="AA161" s="53" t="n"/>
      <c r="AB161" s="53" t="n"/>
      <c r="AC161" s="53" t="n"/>
      <c r="AD161" s="53" t="n"/>
      <c r="AE161" s="53" t="n"/>
      <c r="AF161" s="53" t="n"/>
      <c r="AG161" s="53" t="n"/>
      <c r="AH161" s="53" t="n"/>
      <c r="AI161" s="53" t="n"/>
      <c r="AJ161" s="53" t="n"/>
      <c r="AK161" s="53" t="n"/>
      <c r="AL161" s="53" t="n"/>
      <c r="AM161" s="53" t="n"/>
      <c r="AN161" s="53" t="n"/>
      <c r="AO161" s="53" t="n"/>
      <c r="AP161" s="53" t="n"/>
      <c r="AQ161" s="53" t="n"/>
      <c r="AR161" s="53" t="n"/>
      <c r="AS161" s="53" t="n"/>
      <c r="AT161" s="53" t="n"/>
      <c r="AU161" s="53" t="n"/>
      <c r="AV161" s="53" t="n"/>
      <c r="AW161" s="53" t="n"/>
      <c r="AX161" s="53" t="n"/>
      <c r="AY161" s="53" t="n"/>
    </row>
    <row r="162" ht="15" customHeight="1">
      <c r="A162" s="54" t="n"/>
      <c r="B162" s="55">
        <f>IF($B$161="","",$B$161)</f>
        <v/>
      </c>
      <c r="C162" s="56" t="inlineStr">
        <is>
          <t>마케팅3팀</t>
        </is>
      </c>
      <c r="D162" s="55">
        <f>IF($D$161="","",$D$161)</f>
        <v/>
      </c>
      <c r="E162" s="57" t="inlineStr">
        <is>
          <t>이미지</t>
        </is>
      </c>
      <c r="F162" s="44" t="n"/>
      <c r="G162" s="58">
        <f>IF($G$161="","",$G$161)</f>
        <v/>
      </c>
      <c r="H162" s="59" t="n"/>
      <c r="I162" s="59" t="n"/>
      <c r="J162" s="59" t="n"/>
      <c r="K162" s="59" t="n"/>
      <c r="L162" s="60">
        <f>IF(SUM(U162:AY162)=0,"",SUM(U162:AY162))</f>
        <v/>
      </c>
      <c r="M162" s="61">
        <f>IFERROR(INDEX(U$2:AY$2,MATCH(TRUE,INDEX(U162:AY162&lt;&gt;"",0),0)),"")</f>
        <v/>
      </c>
      <c r="N162" s="61">
        <f>IFERROR(LOOKUP(2,1/(U162:AY162&lt;&gt;""),U$2:AY$2),"")</f>
        <v/>
      </c>
      <c r="O162" s="59" t="n"/>
      <c r="P162" s="59" t="n"/>
      <c r="Q162" s="59" t="n"/>
      <c r="R162" s="59" t="n"/>
      <c r="S162" s="14" t="n"/>
      <c r="U162" s="53" t="n"/>
      <c r="V162" s="53" t="n"/>
      <c r="W162" s="53" t="n"/>
      <c r="X162" s="53" t="n"/>
      <c r="Y162" s="53" t="n"/>
      <c r="Z162" s="53" t="n"/>
      <c r="AA162" s="53" t="n"/>
      <c r="AB162" s="53" t="n"/>
      <c r="AC162" s="53" t="n"/>
      <c r="AD162" s="53" t="n"/>
      <c r="AE162" s="53" t="n"/>
      <c r="AF162" s="53" t="n"/>
      <c r="AG162" s="53" t="n"/>
      <c r="AH162" s="53" t="n"/>
      <c r="AI162" s="53" t="n"/>
      <c r="AJ162" s="53" t="n"/>
      <c r="AK162" s="53" t="n"/>
      <c r="AL162" s="53" t="n"/>
      <c r="AM162" s="53" t="n"/>
      <c r="AN162" s="53" t="n"/>
      <c r="AO162" s="53" t="n"/>
      <c r="AP162" s="53" t="n"/>
      <c r="AQ162" s="53" t="n"/>
      <c r="AR162" s="53" t="n"/>
      <c r="AS162" s="53" t="n"/>
      <c r="AT162" s="53" t="n"/>
      <c r="AU162" s="53" t="n"/>
      <c r="AV162" s="53" t="n"/>
      <c r="AW162" s="53" t="n"/>
      <c r="AX162" s="53" t="n"/>
      <c r="AY162" s="53" t="n"/>
    </row>
    <row r="163" ht="15" customHeight="1">
      <c r="A163" s="62" t="n"/>
      <c r="B163" s="55">
        <f>IF($B$161="","",$B$161)</f>
        <v/>
      </c>
      <c r="C163" s="63" t="inlineStr">
        <is>
          <t>마케팅3팀</t>
        </is>
      </c>
      <c r="D163" s="55">
        <f>IF($D$161="","",$D$161)</f>
        <v/>
      </c>
      <c r="E163" s="64" t="inlineStr">
        <is>
          <t>영상</t>
        </is>
      </c>
      <c r="F163" s="44" t="n"/>
      <c r="G163" s="58">
        <f>IF($G$161="","",$G$161)</f>
        <v/>
      </c>
      <c r="H163" s="59" t="n"/>
      <c r="I163" s="59" t="n"/>
      <c r="J163" s="59" t="n"/>
      <c r="K163" s="59" t="n"/>
      <c r="L163" s="65">
        <f>IF(SUM(U163:AY163)=0,"",SUM(U163:AY163))</f>
        <v/>
      </c>
      <c r="M163" s="66">
        <f>IFERROR(INDEX(U$2:AY$2,MATCH(TRUE,INDEX(U163:AY163&lt;&gt;"",0),0)),"")</f>
        <v/>
      </c>
      <c r="N163" s="66">
        <f>IFERROR(LOOKUP(2,1/(U163:AY163&lt;&gt;""),U$2:AY$2),"")</f>
        <v/>
      </c>
      <c r="O163" s="59" t="n"/>
      <c r="P163" s="59" t="n"/>
      <c r="Q163" s="59" t="n"/>
      <c r="R163" s="59" t="n"/>
      <c r="S163" s="14" t="n"/>
      <c r="U163" s="53" t="n"/>
      <c r="V163" s="53" t="n"/>
      <c r="W163" s="53" t="n"/>
      <c r="X163" s="53" t="n"/>
      <c r="Y163" s="53" t="n"/>
      <c r="Z163" s="53" t="n"/>
      <c r="AA163" s="53" t="n"/>
      <c r="AB163" s="53" t="n"/>
      <c r="AC163" s="53" t="n"/>
      <c r="AD163" s="53" t="n"/>
      <c r="AE163" s="53" t="n"/>
      <c r="AF163" s="53" t="n"/>
      <c r="AG163" s="53" t="n"/>
      <c r="AH163" s="53" t="n"/>
      <c r="AI163" s="53" t="n"/>
      <c r="AJ163" s="53" t="n"/>
      <c r="AK163" s="53" t="n"/>
      <c r="AL163" s="53" t="n"/>
      <c r="AM163" s="53" t="n"/>
      <c r="AN163" s="53" t="n"/>
      <c r="AO163" s="53" t="n"/>
      <c r="AP163" s="53" t="n"/>
      <c r="AQ163" s="53" t="n"/>
      <c r="AR163" s="53" t="n"/>
      <c r="AS163" s="53" t="n"/>
      <c r="AT163" s="53" t="n"/>
      <c r="AU163" s="53" t="n"/>
      <c r="AV163" s="53" t="n"/>
      <c r="AW163" s="53" t="n"/>
      <c r="AX163" s="53" t="n"/>
      <c r="AY163" s="53" t="n"/>
    </row>
    <row r="164" ht="15" customHeight="1">
      <c r="A164" s="40">
        <f>IF($D$164="","",52)</f>
        <v/>
      </c>
      <c r="B164" s="10" t="n"/>
      <c r="C164" s="41" t="inlineStr">
        <is>
          <t>마케팅3팀</t>
        </is>
      </c>
      <c r="D164" s="42" t="n"/>
      <c r="E164" s="43" t="inlineStr">
        <is>
          <t>기획</t>
        </is>
      </c>
      <c r="F164" s="44" t="n"/>
      <c r="G164" s="45" t="n"/>
      <c r="H164" s="46">
        <f>IF($I$164="","",IF($I$164&lt;0,"🔴지연",IF($I$164&lt;=1,"🟡임박","🟢여유")))</f>
        <v/>
      </c>
      <c r="I164" s="47">
        <f>IF(OR($G$164="",$K$164=""),"",$G$164-$K$164)</f>
        <v/>
      </c>
      <c r="J164" s="48">
        <f>IF(SUM($L$164:$L$166)=0,"",SUM($L$164:$L$166))</f>
        <v/>
      </c>
      <c r="K164" s="49">
        <f>IF($J$164="","",MAX($N$164:$N$166))</f>
        <v/>
      </c>
      <c r="L164" s="50">
        <f>IF(SUM(U164:AY164)=0,"",SUM(U164:AY164))</f>
        <v/>
      </c>
      <c r="M164" s="51">
        <f>IFERROR(INDEX(U$2:AY$2,MATCH(TRUE,INDEX(U164:AY164&lt;&gt;"",0),0)),"")</f>
        <v/>
      </c>
      <c r="N164" s="51">
        <f>IFERROR(LOOKUP(2,1/(U164:AY164&lt;&gt;""),U$2:AY$2),"")</f>
        <v/>
      </c>
      <c r="O164" s="52" t="n"/>
      <c r="P164" s="52" t="n"/>
      <c r="Q164" s="52" t="n"/>
      <c r="R164" s="44" t="n"/>
      <c r="S164" s="14" t="n"/>
      <c r="U164" s="53" t="n"/>
      <c r="V164" s="53" t="n"/>
      <c r="W164" s="53" t="n"/>
      <c r="X164" s="53" t="n"/>
      <c r="Y164" s="53" t="n"/>
      <c r="Z164" s="53" t="n"/>
      <c r="AA164" s="53" t="n"/>
      <c r="AB164" s="53" t="n"/>
      <c r="AC164" s="53" t="n"/>
      <c r="AD164" s="53" t="n"/>
      <c r="AE164" s="53" t="n"/>
      <c r="AF164" s="53" t="n"/>
      <c r="AG164" s="53" t="n"/>
      <c r="AH164" s="53" t="n"/>
      <c r="AI164" s="53" t="n"/>
      <c r="AJ164" s="53" t="n"/>
      <c r="AK164" s="53" t="n"/>
      <c r="AL164" s="53" t="n"/>
      <c r="AM164" s="53" t="n"/>
      <c r="AN164" s="53" t="n"/>
      <c r="AO164" s="53" t="n"/>
      <c r="AP164" s="53" t="n"/>
      <c r="AQ164" s="53" t="n"/>
      <c r="AR164" s="53" t="n"/>
      <c r="AS164" s="53" t="n"/>
      <c r="AT164" s="53" t="n"/>
      <c r="AU164" s="53" t="n"/>
      <c r="AV164" s="53" t="n"/>
      <c r="AW164" s="53" t="n"/>
      <c r="AX164" s="53" t="n"/>
      <c r="AY164" s="53" t="n"/>
    </row>
    <row r="165" ht="15" customHeight="1">
      <c r="A165" s="54" t="n"/>
      <c r="B165" s="55">
        <f>IF($B$164="","",$B$164)</f>
        <v/>
      </c>
      <c r="C165" s="56" t="inlineStr">
        <is>
          <t>마케팅3팀</t>
        </is>
      </c>
      <c r="D165" s="55">
        <f>IF($D$164="","",$D$164)</f>
        <v/>
      </c>
      <c r="E165" s="57" t="inlineStr">
        <is>
          <t>이미지</t>
        </is>
      </c>
      <c r="F165" s="44" t="n"/>
      <c r="G165" s="58">
        <f>IF($G$164="","",$G$164)</f>
        <v/>
      </c>
      <c r="H165" s="59" t="n"/>
      <c r="I165" s="59" t="n"/>
      <c r="J165" s="59" t="n"/>
      <c r="K165" s="59" t="n"/>
      <c r="L165" s="60">
        <f>IF(SUM(U165:AY165)=0,"",SUM(U165:AY165))</f>
        <v/>
      </c>
      <c r="M165" s="61">
        <f>IFERROR(INDEX(U$2:AY$2,MATCH(TRUE,INDEX(U165:AY165&lt;&gt;"",0),0)),"")</f>
        <v/>
      </c>
      <c r="N165" s="61">
        <f>IFERROR(LOOKUP(2,1/(U165:AY165&lt;&gt;""),U$2:AY$2),"")</f>
        <v/>
      </c>
      <c r="O165" s="59" t="n"/>
      <c r="P165" s="59" t="n"/>
      <c r="Q165" s="59" t="n"/>
      <c r="R165" s="59" t="n"/>
      <c r="S165" s="14" t="n"/>
      <c r="U165" s="53" t="n"/>
      <c r="V165" s="53" t="n"/>
      <c r="W165" s="53" t="n"/>
      <c r="X165" s="53" t="n"/>
      <c r="Y165" s="53" t="n"/>
      <c r="Z165" s="53" t="n"/>
      <c r="AA165" s="53" t="n"/>
      <c r="AB165" s="53" t="n"/>
      <c r="AC165" s="53" t="n"/>
      <c r="AD165" s="53" t="n"/>
      <c r="AE165" s="53" t="n"/>
      <c r="AF165" s="53" t="n"/>
      <c r="AG165" s="53" t="n"/>
      <c r="AH165" s="53" t="n"/>
      <c r="AI165" s="53" t="n"/>
      <c r="AJ165" s="53" t="n"/>
      <c r="AK165" s="53" t="n"/>
      <c r="AL165" s="53" t="n"/>
      <c r="AM165" s="53" t="n"/>
      <c r="AN165" s="53" t="n"/>
      <c r="AO165" s="53" t="n"/>
      <c r="AP165" s="53" t="n"/>
      <c r="AQ165" s="53" t="n"/>
      <c r="AR165" s="53" t="n"/>
      <c r="AS165" s="53" t="n"/>
      <c r="AT165" s="53" t="n"/>
      <c r="AU165" s="53" t="n"/>
      <c r="AV165" s="53" t="n"/>
      <c r="AW165" s="53" t="n"/>
      <c r="AX165" s="53" t="n"/>
      <c r="AY165" s="53" t="n"/>
    </row>
    <row r="166" ht="15" customHeight="1">
      <c r="A166" s="62" t="n"/>
      <c r="B166" s="55">
        <f>IF($B$164="","",$B$164)</f>
        <v/>
      </c>
      <c r="C166" s="63" t="inlineStr">
        <is>
          <t>마케팅3팀</t>
        </is>
      </c>
      <c r="D166" s="55">
        <f>IF($D$164="","",$D$164)</f>
        <v/>
      </c>
      <c r="E166" s="64" t="inlineStr">
        <is>
          <t>영상</t>
        </is>
      </c>
      <c r="F166" s="44" t="n"/>
      <c r="G166" s="58">
        <f>IF($G$164="","",$G$164)</f>
        <v/>
      </c>
      <c r="H166" s="59" t="n"/>
      <c r="I166" s="59" t="n"/>
      <c r="J166" s="59" t="n"/>
      <c r="K166" s="59" t="n"/>
      <c r="L166" s="65">
        <f>IF(SUM(U166:AY166)=0,"",SUM(U166:AY166))</f>
        <v/>
      </c>
      <c r="M166" s="66">
        <f>IFERROR(INDEX(U$2:AY$2,MATCH(TRUE,INDEX(U166:AY166&lt;&gt;"",0),0)),"")</f>
        <v/>
      </c>
      <c r="N166" s="66">
        <f>IFERROR(LOOKUP(2,1/(U166:AY166&lt;&gt;""),U$2:AY$2),"")</f>
        <v/>
      </c>
      <c r="O166" s="59" t="n"/>
      <c r="P166" s="59" t="n"/>
      <c r="Q166" s="59" t="n"/>
      <c r="R166" s="59" t="n"/>
      <c r="S166" s="14" t="n"/>
      <c r="U166" s="53" t="n"/>
      <c r="V166" s="53" t="n"/>
      <c r="W166" s="53" t="n"/>
      <c r="X166" s="53" t="n"/>
      <c r="Y166" s="53" t="n"/>
      <c r="Z166" s="53" t="n"/>
      <c r="AA166" s="53" t="n"/>
      <c r="AB166" s="53" t="n"/>
      <c r="AC166" s="53" t="n"/>
      <c r="AD166" s="53" t="n"/>
      <c r="AE166" s="53" t="n"/>
      <c r="AF166" s="53" t="n"/>
      <c r="AG166" s="53" t="n"/>
      <c r="AH166" s="53" t="n"/>
      <c r="AI166" s="53" t="n"/>
      <c r="AJ166" s="53" t="n"/>
      <c r="AK166" s="53" t="n"/>
      <c r="AL166" s="53" t="n"/>
      <c r="AM166" s="53" t="n"/>
      <c r="AN166" s="53" t="n"/>
      <c r="AO166" s="53" t="n"/>
      <c r="AP166" s="53" t="n"/>
      <c r="AQ166" s="53" t="n"/>
      <c r="AR166" s="53" t="n"/>
      <c r="AS166" s="53" t="n"/>
      <c r="AT166" s="53" t="n"/>
      <c r="AU166" s="53" t="n"/>
      <c r="AV166" s="53" t="n"/>
      <c r="AW166" s="53" t="n"/>
      <c r="AX166" s="53" t="n"/>
      <c r="AY166" s="53" t="n"/>
    </row>
    <row r="167" ht="15" customHeight="1">
      <c r="A167" s="40">
        <f>IF($D$167="","",53)</f>
        <v/>
      </c>
      <c r="B167" s="10" t="n"/>
      <c r="C167" s="41" t="inlineStr">
        <is>
          <t>마케팅3팀</t>
        </is>
      </c>
      <c r="D167" s="42" t="n"/>
      <c r="E167" s="43" t="inlineStr">
        <is>
          <t>기획</t>
        </is>
      </c>
      <c r="F167" s="44" t="n"/>
      <c r="G167" s="45" t="n"/>
      <c r="H167" s="46">
        <f>IF($I$167="","",IF($I$167&lt;0,"🔴지연",IF($I$167&lt;=1,"🟡임박","🟢여유")))</f>
        <v/>
      </c>
      <c r="I167" s="47">
        <f>IF(OR($G$167="",$K$167=""),"",$G$167-$K$167)</f>
        <v/>
      </c>
      <c r="J167" s="48">
        <f>IF(SUM($L$167:$L$169)=0,"",SUM($L$167:$L$169))</f>
        <v/>
      </c>
      <c r="K167" s="49">
        <f>IF($J$167="","",MAX($N$167:$N$169))</f>
        <v/>
      </c>
      <c r="L167" s="50">
        <f>IF(SUM(U167:AY167)=0,"",SUM(U167:AY167))</f>
        <v/>
      </c>
      <c r="M167" s="51">
        <f>IFERROR(INDEX(U$2:AY$2,MATCH(TRUE,INDEX(U167:AY167&lt;&gt;"",0),0)),"")</f>
        <v/>
      </c>
      <c r="N167" s="51">
        <f>IFERROR(LOOKUP(2,1/(U167:AY167&lt;&gt;""),U$2:AY$2),"")</f>
        <v/>
      </c>
      <c r="O167" s="52" t="n"/>
      <c r="P167" s="52" t="n"/>
      <c r="Q167" s="52" t="n"/>
      <c r="R167" s="44" t="n"/>
      <c r="S167" s="14" t="n"/>
      <c r="U167" s="53" t="n"/>
      <c r="V167" s="53" t="n"/>
      <c r="W167" s="53" t="n"/>
      <c r="X167" s="53" t="n"/>
      <c r="Y167" s="53" t="n"/>
      <c r="Z167" s="53" t="n"/>
      <c r="AA167" s="53" t="n"/>
      <c r="AB167" s="53" t="n"/>
      <c r="AC167" s="53" t="n"/>
      <c r="AD167" s="53" t="n"/>
      <c r="AE167" s="53" t="n"/>
      <c r="AF167" s="53" t="n"/>
      <c r="AG167" s="53" t="n"/>
      <c r="AH167" s="53" t="n"/>
      <c r="AI167" s="53" t="n"/>
      <c r="AJ167" s="53" t="n"/>
      <c r="AK167" s="53" t="n"/>
      <c r="AL167" s="53" t="n"/>
      <c r="AM167" s="53" t="n"/>
      <c r="AN167" s="53" t="n"/>
      <c r="AO167" s="53" t="n"/>
      <c r="AP167" s="53" t="n"/>
      <c r="AQ167" s="53" t="n"/>
      <c r="AR167" s="53" t="n"/>
      <c r="AS167" s="53" t="n"/>
      <c r="AT167" s="53" t="n"/>
      <c r="AU167" s="53" t="n"/>
      <c r="AV167" s="53" t="n"/>
      <c r="AW167" s="53" t="n"/>
      <c r="AX167" s="53" t="n"/>
      <c r="AY167" s="53" t="n"/>
    </row>
    <row r="168" ht="15" customHeight="1">
      <c r="A168" s="54" t="n"/>
      <c r="B168" s="55">
        <f>IF($B$167="","",$B$167)</f>
        <v/>
      </c>
      <c r="C168" s="56" t="inlineStr">
        <is>
          <t>마케팅3팀</t>
        </is>
      </c>
      <c r="D168" s="55">
        <f>IF($D$167="","",$D$167)</f>
        <v/>
      </c>
      <c r="E168" s="57" t="inlineStr">
        <is>
          <t>이미지</t>
        </is>
      </c>
      <c r="F168" s="44" t="n"/>
      <c r="G168" s="58">
        <f>IF($G$167="","",$G$167)</f>
        <v/>
      </c>
      <c r="H168" s="59" t="n"/>
      <c r="I168" s="59" t="n"/>
      <c r="J168" s="59" t="n"/>
      <c r="K168" s="59" t="n"/>
      <c r="L168" s="60">
        <f>IF(SUM(U168:AY168)=0,"",SUM(U168:AY168))</f>
        <v/>
      </c>
      <c r="M168" s="61">
        <f>IFERROR(INDEX(U$2:AY$2,MATCH(TRUE,INDEX(U168:AY168&lt;&gt;"",0),0)),"")</f>
        <v/>
      </c>
      <c r="N168" s="61">
        <f>IFERROR(LOOKUP(2,1/(U168:AY168&lt;&gt;""),U$2:AY$2),"")</f>
        <v/>
      </c>
      <c r="O168" s="59" t="n"/>
      <c r="P168" s="59" t="n"/>
      <c r="Q168" s="59" t="n"/>
      <c r="R168" s="59" t="n"/>
      <c r="S168" s="14" t="n"/>
      <c r="U168" s="53" t="n"/>
      <c r="V168" s="53" t="n"/>
      <c r="W168" s="53" t="n"/>
      <c r="X168" s="53" t="n"/>
      <c r="Y168" s="53" t="n"/>
      <c r="Z168" s="53" t="n"/>
      <c r="AA168" s="53" t="n"/>
      <c r="AB168" s="53" t="n"/>
      <c r="AC168" s="53" t="n"/>
      <c r="AD168" s="53" t="n"/>
      <c r="AE168" s="53" t="n"/>
      <c r="AF168" s="53" t="n"/>
      <c r="AG168" s="53" t="n"/>
      <c r="AH168" s="53" t="n"/>
      <c r="AI168" s="53" t="n"/>
      <c r="AJ168" s="53" t="n"/>
      <c r="AK168" s="53" t="n"/>
      <c r="AL168" s="53" t="n"/>
      <c r="AM168" s="53" t="n"/>
      <c r="AN168" s="53" t="n"/>
      <c r="AO168" s="53" t="n"/>
      <c r="AP168" s="53" t="n"/>
      <c r="AQ168" s="53" t="n"/>
      <c r="AR168" s="53" t="n"/>
      <c r="AS168" s="53" t="n"/>
      <c r="AT168" s="53" t="n"/>
      <c r="AU168" s="53" t="n"/>
      <c r="AV168" s="53" t="n"/>
      <c r="AW168" s="53" t="n"/>
      <c r="AX168" s="53" t="n"/>
      <c r="AY168" s="53" t="n"/>
    </row>
    <row r="169" ht="15" customHeight="1">
      <c r="A169" s="62" t="n"/>
      <c r="B169" s="55">
        <f>IF($B$167="","",$B$167)</f>
        <v/>
      </c>
      <c r="C169" s="63" t="inlineStr">
        <is>
          <t>마케팅3팀</t>
        </is>
      </c>
      <c r="D169" s="55">
        <f>IF($D$167="","",$D$167)</f>
        <v/>
      </c>
      <c r="E169" s="64" t="inlineStr">
        <is>
          <t>영상</t>
        </is>
      </c>
      <c r="F169" s="44" t="n"/>
      <c r="G169" s="58">
        <f>IF($G$167="","",$G$167)</f>
        <v/>
      </c>
      <c r="H169" s="59" t="n"/>
      <c r="I169" s="59" t="n"/>
      <c r="J169" s="59" t="n"/>
      <c r="K169" s="59" t="n"/>
      <c r="L169" s="65">
        <f>IF(SUM(U169:AY169)=0,"",SUM(U169:AY169))</f>
        <v/>
      </c>
      <c r="M169" s="66">
        <f>IFERROR(INDEX(U$2:AY$2,MATCH(TRUE,INDEX(U169:AY169&lt;&gt;"",0),0)),"")</f>
        <v/>
      </c>
      <c r="N169" s="66">
        <f>IFERROR(LOOKUP(2,1/(U169:AY169&lt;&gt;""),U$2:AY$2),"")</f>
        <v/>
      </c>
      <c r="O169" s="59" t="n"/>
      <c r="P169" s="59" t="n"/>
      <c r="Q169" s="59" t="n"/>
      <c r="R169" s="59" t="n"/>
      <c r="S169" s="14" t="n"/>
      <c r="U169" s="53" t="n"/>
      <c r="V169" s="53" t="n"/>
      <c r="W169" s="53" t="n"/>
      <c r="X169" s="53" t="n"/>
      <c r="Y169" s="53" t="n"/>
      <c r="Z169" s="53" t="n"/>
      <c r="AA169" s="53" t="n"/>
      <c r="AB169" s="53" t="n"/>
      <c r="AC169" s="53" t="n"/>
      <c r="AD169" s="53" t="n"/>
      <c r="AE169" s="53" t="n"/>
      <c r="AF169" s="53" t="n"/>
      <c r="AG169" s="53" t="n"/>
      <c r="AH169" s="53" t="n"/>
      <c r="AI169" s="53" t="n"/>
      <c r="AJ169" s="53" t="n"/>
      <c r="AK169" s="53" t="n"/>
      <c r="AL169" s="53" t="n"/>
      <c r="AM169" s="53" t="n"/>
      <c r="AN169" s="53" t="n"/>
      <c r="AO169" s="53" t="n"/>
      <c r="AP169" s="53" t="n"/>
      <c r="AQ169" s="53" t="n"/>
      <c r="AR169" s="53" t="n"/>
      <c r="AS169" s="53" t="n"/>
      <c r="AT169" s="53" t="n"/>
      <c r="AU169" s="53" t="n"/>
      <c r="AV169" s="53" t="n"/>
      <c r="AW169" s="53" t="n"/>
      <c r="AX169" s="53" t="n"/>
      <c r="AY169" s="53" t="n"/>
    </row>
    <row r="170" ht="15" customHeight="1">
      <c r="A170" s="40">
        <f>IF($D$170="","",54)</f>
        <v/>
      </c>
      <c r="B170" s="10" t="n"/>
      <c r="C170" s="41" t="inlineStr">
        <is>
          <t>마케팅3팀</t>
        </is>
      </c>
      <c r="D170" s="42" t="n"/>
      <c r="E170" s="43" t="inlineStr">
        <is>
          <t>기획</t>
        </is>
      </c>
      <c r="F170" s="44" t="n"/>
      <c r="G170" s="45" t="n"/>
      <c r="H170" s="46">
        <f>IF($I$170="","",IF($I$170&lt;0,"🔴지연",IF($I$170&lt;=1,"🟡임박","🟢여유")))</f>
        <v/>
      </c>
      <c r="I170" s="47">
        <f>IF(OR($G$170="",$K$170=""),"",$G$170-$K$170)</f>
        <v/>
      </c>
      <c r="J170" s="48">
        <f>IF(SUM($L$170:$L$172)=0,"",SUM($L$170:$L$172))</f>
        <v/>
      </c>
      <c r="K170" s="49">
        <f>IF($J$170="","",MAX($N$170:$N$172))</f>
        <v/>
      </c>
      <c r="L170" s="50">
        <f>IF(SUM(U170:AY170)=0,"",SUM(U170:AY170))</f>
        <v/>
      </c>
      <c r="M170" s="51">
        <f>IFERROR(INDEX(U$2:AY$2,MATCH(TRUE,INDEX(U170:AY170&lt;&gt;"",0),0)),"")</f>
        <v/>
      </c>
      <c r="N170" s="51">
        <f>IFERROR(LOOKUP(2,1/(U170:AY170&lt;&gt;""),U$2:AY$2),"")</f>
        <v/>
      </c>
      <c r="O170" s="52" t="n"/>
      <c r="P170" s="52" t="n"/>
      <c r="Q170" s="52" t="n"/>
      <c r="R170" s="44" t="n"/>
      <c r="S170" s="14" t="n"/>
      <c r="U170" s="53" t="n"/>
      <c r="V170" s="53" t="n"/>
      <c r="W170" s="53" t="n"/>
      <c r="X170" s="53" t="n"/>
      <c r="Y170" s="53" t="n"/>
      <c r="Z170" s="53" t="n"/>
      <c r="AA170" s="53" t="n"/>
      <c r="AB170" s="53" t="n"/>
      <c r="AC170" s="53" t="n"/>
      <c r="AD170" s="53" t="n"/>
      <c r="AE170" s="53" t="n"/>
      <c r="AF170" s="53" t="n"/>
      <c r="AG170" s="53" t="n"/>
      <c r="AH170" s="53" t="n"/>
      <c r="AI170" s="53" t="n"/>
      <c r="AJ170" s="53" t="n"/>
      <c r="AK170" s="53" t="n"/>
      <c r="AL170" s="53" t="n"/>
      <c r="AM170" s="53" t="n"/>
      <c r="AN170" s="53" t="n"/>
      <c r="AO170" s="53" t="n"/>
      <c r="AP170" s="53" t="n"/>
      <c r="AQ170" s="53" t="n"/>
      <c r="AR170" s="53" t="n"/>
      <c r="AS170" s="53" t="n"/>
      <c r="AT170" s="53" t="n"/>
      <c r="AU170" s="53" t="n"/>
      <c r="AV170" s="53" t="n"/>
      <c r="AW170" s="53" t="n"/>
      <c r="AX170" s="53" t="n"/>
      <c r="AY170" s="53" t="n"/>
    </row>
    <row r="171" ht="15" customHeight="1">
      <c r="A171" s="54" t="n"/>
      <c r="B171" s="55">
        <f>IF($B$170="","",$B$170)</f>
        <v/>
      </c>
      <c r="C171" s="56" t="inlineStr">
        <is>
          <t>마케팅3팀</t>
        </is>
      </c>
      <c r="D171" s="55">
        <f>IF($D$170="","",$D$170)</f>
        <v/>
      </c>
      <c r="E171" s="57" t="inlineStr">
        <is>
          <t>이미지</t>
        </is>
      </c>
      <c r="F171" s="44" t="n"/>
      <c r="G171" s="58">
        <f>IF($G$170="","",$G$170)</f>
        <v/>
      </c>
      <c r="H171" s="59" t="n"/>
      <c r="I171" s="59" t="n"/>
      <c r="J171" s="59" t="n"/>
      <c r="K171" s="59" t="n"/>
      <c r="L171" s="60">
        <f>IF(SUM(U171:AY171)=0,"",SUM(U171:AY171))</f>
        <v/>
      </c>
      <c r="M171" s="61">
        <f>IFERROR(INDEX(U$2:AY$2,MATCH(TRUE,INDEX(U171:AY171&lt;&gt;"",0),0)),"")</f>
        <v/>
      </c>
      <c r="N171" s="61">
        <f>IFERROR(LOOKUP(2,1/(U171:AY171&lt;&gt;""),U$2:AY$2),"")</f>
        <v/>
      </c>
      <c r="O171" s="59" t="n"/>
      <c r="P171" s="59" t="n"/>
      <c r="Q171" s="59" t="n"/>
      <c r="R171" s="59" t="n"/>
      <c r="S171" s="14" t="n"/>
      <c r="U171" s="53" t="n"/>
      <c r="V171" s="53" t="n"/>
      <c r="W171" s="53" t="n"/>
      <c r="X171" s="53" t="n"/>
      <c r="Y171" s="53" t="n"/>
      <c r="Z171" s="53" t="n"/>
      <c r="AA171" s="53" t="n"/>
      <c r="AB171" s="53" t="n"/>
      <c r="AC171" s="53" t="n"/>
      <c r="AD171" s="53" t="n"/>
      <c r="AE171" s="53" t="n"/>
      <c r="AF171" s="53" t="n"/>
      <c r="AG171" s="53" t="n"/>
      <c r="AH171" s="53" t="n"/>
      <c r="AI171" s="53" t="n"/>
      <c r="AJ171" s="53" t="n"/>
      <c r="AK171" s="53" t="n"/>
      <c r="AL171" s="53" t="n"/>
      <c r="AM171" s="53" t="n"/>
      <c r="AN171" s="53" t="n"/>
      <c r="AO171" s="53" t="n"/>
      <c r="AP171" s="53" t="n"/>
      <c r="AQ171" s="53" t="n"/>
      <c r="AR171" s="53" t="n"/>
      <c r="AS171" s="53" t="n"/>
      <c r="AT171" s="53" t="n"/>
      <c r="AU171" s="53" t="n"/>
      <c r="AV171" s="53" t="n"/>
      <c r="AW171" s="53" t="n"/>
      <c r="AX171" s="53" t="n"/>
      <c r="AY171" s="53" t="n"/>
    </row>
    <row r="172" ht="15" customHeight="1">
      <c r="A172" s="62" t="n"/>
      <c r="B172" s="55">
        <f>IF($B$170="","",$B$170)</f>
        <v/>
      </c>
      <c r="C172" s="63" t="inlineStr">
        <is>
          <t>마케팅3팀</t>
        </is>
      </c>
      <c r="D172" s="55">
        <f>IF($D$170="","",$D$170)</f>
        <v/>
      </c>
      <c r="E172" s="64" t="inlineStr">
        <is>
          <t>영상</t>
        </is>
      </c>
      <c r="F172" s="44" t="n"/>
      <c r="G172" s="58">
        <f>IF($G$170="","",$G$170)</f>
        <v/>
      </c>
      <c r="H172" s="59" t="n"/>
      <c r="I172" s="59" t="n"/>
      <c r="J172" s="59" t="n"/>
      <c r="K172" s="59" t="n"/>
      <c r="L172" s="65">
        <f>IF(SUM(U172:AY172)=0,"",SUM(U172:AY172))</f>
        <v/>
      </c>
      <c r="M172" s="66">
        <f>IFERROR(INDEX(U$2:AY$2,MATCH(TRUE,INDEX(U172:AY172&lt;&gt;"",0),0)),"")</f>
        <v/>
      </c>
      <c r="N172" s="66">
        <f>IFERROR(LOOKUP(2,1/(U172:AY172&lt;&gt;""),U$2:AY$2),"")</f>
        <v/>
      </c>
      <c r="O172" s="59" t="n"/>
      <c r="P172" s="59" t="n"/>
      <c r="Q172" s="59" t="n"/>
      <c r="R172" s="59" t="n"/>
      <c r="S172" s="14" t="n"/>
      <c r="U172" s="53" t="n"/>
      <c r="V172" s="53" t="n"/>
      <c r="W172" s="53" t="n"/>
      <c r="X172" s="53" t="n"/>
      <c r="Y172" s="53" t="n"/>
      <c r="Z172" s="53" t="n"/>
      <c r="AA172" s="53" t="n"/>
      <c r="AB172" s="53" t="n"/>
      <c r="AC172" s="53" t="n"/>
      <c r="AD172" s="53" t="n"/>
      <c r="AE172" s="53" t="n"/>
      <c r="AF172" s="53" t="n"/>
      <c r="AG172" s="53" t="n"/>
      <c r="AH172" s="53" t="n"/>
      <c r="AI172" s="53" t="n"/>
      <c r="AJ172" s="53" t="n"/>
      <c r="AK172" s="53" t="n"/>
      <c r="AL172" s="53" t="n"/>
      <c r="AM172" s="53" t="n"/>
      <c r="AN172" s="53" t="n"/>
      <c r="AO172" s="53" t="n"/>
      <c r="AP172" s="53" t="n"/>
      <c r="AQ172" s="53" t="n"/>
      <c r="AR172" s="53" t="n"/>
      <c r="AS172" s="53" t="n"/>
      <c r="AT172" s="53" t="n"/>
      <c r="AU172" s="53" t="n"/>
      <c r="AV172" s="53" t="n"/>
      <c r="AW172" s="53" t="n"/>
      <c r="AX172" s="53" t="n"/>
      <c r="AY172" s="53" t="n"/>
    </row>
    <row r="173" ht="15" customHeight="1">
      <c r="A173" s="40">
        <f>IF($D$173="","",55)</f>
        <v/>
      </c>
      <c r="B173" s="10" t="n"/>
      <c r="C173" s="41" t="inlineStr">
        <is>
          <t>마케팅3팀</t>
        </is>
      </c>
      <c r="D173" s="42" t="n"/>
      <c r="E173" s="43" t="inlineStr">
        <is>
          <t>기획</t>
        </is>
      </c>
      <c r="F173" s="44" t="n"/>
      <c r="G173" s="45" t="n"/>
      <c r="H173" s="46">
        <f>IF($I$173="","",IF($I$173&lt;0,"🔴지연",IF($I$173&lt;=1,"🟡임박","🟢여유")))</f>
        <v/>
      </c>
      <c r="I173" s="47">
        <f>IF(OR($G$173="",$K$173=""),"",$G$173-$K$173)</f>
        <v/>
      </c>
      <c r="J173" s="48">
        <f>IF(SUM($L$173:$L$175)=0,"",SUM($L$173:$L$175))</f>
        <v/>
      </c>
      <c r="K173" s="49">
        <f>IF($J$173="","",MAX($N$173:$N$175))</f>
        <v/>
      </c>
      <c r="L173" s="50">
        <f>IF(SUM(U173:AY173)=0,"",SUM(U173:AY173))</f>
        <v/>
      </c>
      <c r="M173" s="51">
        <f>IFERROR(INDEX(U$2:AY$2,MATCH(TRUE,INDEX(U173:AY173&lt;&gt;"",0),0)),"")</f>
        <v/>
      </c>
      <c r="N173" s="51">
        <f>IFERROR(LOOKUP(2,1/(U173:AY173&lt;&gt;""),U$2:AY$2),"")</f>
        <v/>
      </c>
      <c r="O173" s="52" t="n"/>
      <c r="P173" s="52" t="n"/>
      <c r="Q173" s="52" t="n"/>
      <c r="R173" s="44" t="n"/>
      <c r="S173" s="14" t="n"/>
      <c r="U173" s="53" t="n"/>
      <c r="V173" s="53" t="n"/>
      <c r="W173" s="53" t="n"/>
      <c r="X173" s="53" t="n"/>
      <c r="Y173" s="53" t="n"/>
      <c r="Z173" s="53" t="n"/>
      <c r="AA173" s="53" t="n"/>
      <c r="AB173" s="53" t="n"/>
      <c r="AC173" s="53" t="n"/>
      <c r="AD173" s="53" t="n"/>
      <c r="AE173" s="53" t="n"/>
      <c r="AF173" s="53" t="n"/>
      <c r="AG173" s="53" t="n"/>
      <c r="AH173" s="53" t="n"/>
      <c r="AI173" s="53" t="n"/>
      <c r="AJ173" s="53" t="n"/>
      <c r="AK173" s="53" t="n"/>
      <c r="AL173" s="53" t="n"/>
      <c r="AM173" s="53" t="n"/>
      <c r="AN173" s="53" t="n"/>
      <c r="AO173" s="53" t="n"/>
      <c r="AP173" s="53" t="n"/>
      <c r="AQ173" s="53" t="n"/>
      <c r="AR173" s="53" t="n"/>
      <c r="AS173" s="53" t="n"/>
      <c r="AT173" s="53" t="n"/>
      <c r="AU173" s="53" t="n"/>
      <c r="AV173" s="53" t="n"/>
      <c r="AW173" s="53" t="n"/>
      <c r="AX173" s="53" t="n"/>
      <c r="AY173" s="53" t="n"/>
    </row>
    <row r="174" ht="15" customHeight="1">
      <c r="A174" s="54" t="n"/>
      <c r="B174" s="55">
        <f>IF($B$173="","",$B$173)</f>
        <v/>
      </c>
      <c r="C174" s="56" t="inlineStr">
        <is>
          <t>마케팅3팀</t>
        </is>
      </c>
      <c r="D174" s="55">
        <f>IF($D$173="","",$D$173)</f>
        <v/>
      </c>
      <c r="E174" s="57" t="inlineStr">
        <is>
          <t>이미지</t>
        </is>
      </c>
      <c r="F174" s="44" t="n"/>
      <c r="G174" s="58">
        <f>IF($G$173="","",$G$173)</f>
        <v/>
      </c>
      <c r="H174" s="59" t="n"/>
      <c r="I174" s="59" t="n"/>
      <c r="J174" s="59" t="n"/>
      <c r="K174" s="59" t="n"/>
      <c r="L174" s="60">
        <f>IF(SUM(U174:AY174)=0,"",SUM(U174:AY174))</f>
        <v/>
      </c>
      <c r="M174" s="61">
        <f>IFERROR(INDEX(U$2:AY$2,MATCH(TRUE,INDEX(U174:AY174&lt;&gt;"",0),0)),"")</f>
        <v/>
      </c>
      <c r="N174" s="61">
        <f>IFERROR(LOOKUP(2,1/(U174:AY174&lt;&gt;""),U$2:AY$2),"")</f>
        <v/>
      </c>
      <c r="O174" s="59" t="n"/>
      <c r="P174" s="59" t="n"/>
      <c r="Q174" s="59" t="n"/>
      <c r="R174" s="59" t="n"/>
      <c r="S174" s="14" t="n"/>
      <c r="U174" s="53" t="n"/>
      <c r="V174" s="53" t="n"/>
      <c r="W174" s="53" t="n"/>
      <c r="X174" s="53" t="n"/>
      <c r="Y174" s="53" t="n"/>
      <c r="Z174" s="53" t="n"/>
      <c r="AA174" s="53" t="n"/>
      <c r="AB174" s="53" t="n"/>
      <c r="AC174" s="53" t="n"/>
      <c r="AD174" s="53" t="n"/>
      <c r="AE174" s="53" t="n"/>
      <c r="AF174" s="53" t="n"/>
      <c r="AG174" s="53" t="n"/>
      <c r="AH174" s="53" t="n"/>
      <c r="AI174" s="53" t="n"/>
      <c r="AJ174" s="53" t="n"/>
      <c r="AK174" s="53" t="n"/>
      <c r="AL174" s="53" t="n"/>
      <c r="AM174" s="53" t="n"/>
      <c r="AN174" s="53" t="n"/>
      <c r="AO174" s="53" t="n"/>
      <c r="AP174" s="53" t="n"/>
      <c r="AQ174" s="53" t="n"/>
      <c r="AR174" s="53" t="n"/>
      <c r="AS174" s="53" t="n"/>
      <c r="AT174" s="53" t="n"/>
      <c r="AU174" s="53" t="n"/>
      <c r="AV174" s="53" t="n"/>
      <c r="AW174" s="53" t="n"/>
      <c r="AX174" s="53" t="n"/>
      <c r="AY174" s="53" t="n"/>
    </row>
    <row r="175" ht="15" customHeight="1">
      <c r="A175" s="62" t="n"/>
      <c r="B175" s="55">
        <f>IF($B$173="","",$B$173)</f>
        <v/>
      </c>
      <c r="C175" s="63" t="inlineStr">
        <is>
          <t>마케팅3팀</t>
        </is>
      </c>
      <c r="D175" s="55">
        <f>IF($D$173="","",$D$173)</f>
        <v/>
      </c>
      <c r="E175" s="64" t="inlineStr">
        <is>
          <t>영상</t>
        </is>
      </c>
      <c r="F175" s="44" t="n"/>
      <c r="G175" s="58">
        <f>IF($G$173="","",$G$173)</f>
        <v/>
      </c>
      <c r="H175" s="59" t="n"/>
      <c r="I175" s="59" t="n"/>
      <c r="J175" s="59" t="n"/>
      <c r="K175" s="59" t="n"/>
      <c r="L175" s="65">
        <f>IF(SUM(U175:AY175)=0,"",SUM(U175:AY175))</f>
        <v/>
      </c>
      <c r="M175" s="66">
        <f>IFERROR(INDEX(U$2:AY$2,MATCH(TRUE,INDEX(U175:AY175&lt;&gt;"",0),0)),"")</f>
        <v/>
      </c>
      <c r="N175" s="66">
        <f>IFERROR(LOOKUP(2,1/(U175:AY175&lt;&gt;""),U$2:AY$2),"")</f>
        <v/>
      </c>
      <c r="O175" s="59" t="n"/>
      <c r="P175" s="59" t="n"/>
      <c r="Q175" s="59" t="n"/>
      <c r="R175" s="59" t="n"/>
      <c r="S175" s="14" t="n"/>
      <c r="U175" s="53" t="n"/>
      <c r="V175" s="53" t="n"/>
      <c r="W175" s="53" t="n"/>
      <c r="X175" s="53" t="n"/>
      <c r="Y175" s="53" t="n"/>
      <c r="Z175" s="53" t="n"/>
      <c r="AA175" s="53" t="n"/>
      <c r="AB175" s="53" t="n"/>
      <c r="AC175" s="53" t="n"/>
      <c r="AD175" s="53" t="n"/>
      <c r="AE175" s="53" t="n"/>
      <c r="AF175" s="53" t="n"/>
      <c r="AG175" s="53" t="n"/>
      <c r="AH175" s="53" t="n"/>
      <c r="AI175" s="53" t="n"/>
      <c r="AJ175" s="53" t="n"/>
      <c r="AK175" s="53" t="n"/>
      <c r="AL175" s="53" t="n"/>
      <c r="AM175" s="53" t="n"/>
      <c r="AN175" s="53" t="n"/>
      <c r="AO175" s="53" t="n"/>
      <c r="AP175" s="53" t="n"/>
      <c r="AQ175" s="53" t="n"/>
      <c r="AR175" s="53" t="n"/>
      <c r="AS175" s="53" t="n"/>
      <c r="AT175" s="53" t="n"/>
      <c r="AU175" s="53" t="n"/>
      <c r="AV175" s="53" t="n"/>
      <c r="AW175" s="53" t="n"/>
      <c r="AX175" s="53" t="n"/>
      <c r="AY175" s="53" t="n"/>
    </row>
    <row r="176" ht="15" customHeight="1">
      <c r="A176" s="40">
        <f>IF($D$176="","",56)</f>
        <v/>
      </c>
      <c r="B176" s="10" t="n"/>
      <c r="C176" s="41" t="inlineStr">
        <is>
          <t>마케팅3팀</t>
        </is>
      </c>
      <c r="D176" s="42" t="n"/>
      <c r="E176" s="43" t="inlineStr">
        <is>
          <t>기획</t>
        </is>
      </c>
      <c r="F176" s="44" t="n"/>
      <c r="G176" s="45" t="n"/>
      <c r="H176" s="46">
        <f>IF($I$176="","",IF($I$176&lt;0,"🔴지연",IF($I$176&lt;=1,"🟡임박","🟢여유")))</f>
        <v/>
      </c>
      <c r="I176" s="47">
        <f>IF(OR($G$176="",$K$176=""),"",$G$176-$K$176)</f>
        <v/>
      </c>
      <c r="J176" s="48">
        <f>IF(SUM($L$176:$L$178)=0,"",SUM($L$176:$L$178))</f>
        <v/>
      </c>
      <c r="K176" s="49">
        <f>IF($J$176="","",MAX($N$176:$N$178))</f>
        <v/>
      </c>
      <c r="L176" s="50">
        <f>IF(SUM(U176:AY176)=0,"",SUM(U176:AY176))</f>
        <v/>
      </c>
      <c r="M176" s="51">
        <f>IFERROR(INDEX(U$2:AY$2,MATCH(TRUE,INDEX(U176:AY176&lt;&gt;"",0),0)),"")</f>
        <v/>
      </c>
      <c r="N176" s="51">
        <f>IFERROR(LOOKUP(2,1/(U176:AY176&lt;&gt;""),U$2:AY$2),"")</f>
        <v/>
      </c>
      <c r="O176" s="52" t="n"/>
      <c r="P176" s="52" t="n"/>
      <c r="Q176" s="52" t="n"/>
      <c r="R176" s="44" t="n"/>
      <c r="S176" s="14" t="n"/>
      <c r="U176" s="53" t="n"/>
      <c r="V176" s="53" t="n"/>
      <c r="W176" s="53" t="n"/>
      <c r="X176" s="53" t="n"/>
      <c r="Y176" s="53" t="n"/>
      <c r="Z176" s="53" t="n"/>
      <c r="AA176" s="53" t="n"/>
      <c r="AB176" s="53" t="n"/>
      <c r="AC176" s="53" t="n"/>
      <c r="AD176" s="53" t="n"/>
      <c r="AE176" s="53" t="n"/>
      <c r="AF176" s="53" t="n"/>
      <c r="AG176" s="53" t="n"/>
      <c r="AH176" s="53" t="n"/>
      <c r="AI176" s="53" t="n"/>
      <c r="AJ176" s="53" t="n"/>
      <c r="AK176" s="53" t="n"/>
      <c r="AL176" s="53" t="n"/>
      <c r="AM176" s="53" t="n"/>
      <c r="AN176" s="53" t="n"/>
      <c r="AO176" s="53" t="n"/>
      <c r="AP176" s="53" t="n"/>
      <c r="AQ176" s="53" t="n"/>
      <c r="AR176" s="53" t="n"/>
      <c r="AS176" s="53" t="n"/>
      <c r="AT176" s="53" t="n"/>
      <c r="AU176" s="53" t="n"/>
      <c r="AV176" s="53" t="n"/>
      <c r="AW176" s="53" t="n"/>
      <c r="AX176" s="53" t="n"/>
      <c r="AY176" s="53" t="n"/>
    </row>
    <row r="177" ht="15" customHeight="1">
      <c r="A177" s="54" t="n"/>
      <c r="B177" s="55">
        <f>IF($B$176="","",$B$176)</f>
        <v/>
      </c>
      <c r="C177" s="56" t="inlineStr">
        <is>
          <t>마케팅3팀</t>
        </is>
      </c>
      <c r="D177" s="55">
        <f>IF($D$176="","",$D$176)</f>
        <v/>
      </c>
      <c r="E177" s="57" t="inlineStr">
        <is>
          <t>이미지</t>
        </is>
      </c>
      <c r="F177" s="44" t="n"/>
      <c r="G177" s="58">
        <f>IF($G$176="","",$G$176)</f>
        <v/>
      </c>
      <c r="H177" s="59" t="n"/>
      <c r="I177" s="59" t="n"/>
      <c r="J177" s="59" t="n"/>
      <c r="K177" s="59" t="n"/>
      <c r="L177" s="60">
        <f>IF(SUM(U177:AY177)=0,"",SUM(U177:AY177))</f>
        <v/>
      </c>
      <c r="M177" s="61">
        <f>IFERROR(INDEX(U$2:AY$2,MATCH(TRUE,INDEX(U177:AY177&lt;&gt;"",0),0)),"")</f>
        <v/>
      </c>
      <c r="N177" s="61">
        <f>IFERROR(LOOKUP(2,1/(U177:AY177&lt;&gt;""),U$2:AY$2),"")</f>
        <v/>
      </c>
      <c r="O177" s="59" t="n"/>
      <c r="P177" s="59" t="n"/>
      <c r="Q177" s="59" t="n"/>
      <c r="R177" s="59" t="n"/>
      <c r="S177" s="14" t="n"/>
      <c r="U177" s="53" t="n"/>
      <c r="V177" s="53" t="n"/>
      <c r="W177" s="53" t="n"/>
      <c r="X177" s="53" t="n"/>
      <c r="Y177" s="53" t="n"/>
      <c r="Z177" s="53" t="n"/>
      <c r="AA177" s="53" t="n"/>
      <c r="AB177" s="53" t="n"/>
      <c r="AC177" s="53" t="n"/>
      <c r="AD177" s="53" t="n"/>
      <c r="AE177" s="53" t="n"/>
      <c r="AF177" s="53" t="n"/>
      <c r="AG177" s="53" t="n"/>
      <c r="AH177" s="53" t="n"/>
      <c r="AI177" s="53" t="n"/>
      <c r="AJ177" s="53" t="n"/>
      <c r="AK177" s="53" t="n"/>
      <c r="AL177" s="53" t="n"/>
      <c r="AM177" s="53" t="n"/>
      <c r="AN177" s="53" t="n"/>
      <c r="AO177" s="53" t="n"/>
      <c r="AP177" s="53" t="n"/>
      <c r="AQ177" s="53" t="n"/>
      <c r="AR177" s="53" t="n"/>
      <c r="AS177" s="53" t="n"/>
      <c r="AT177" s="53" t="n"/>
      <c r="AU177" s="53" t="n"/>
      <c r="AV177" s="53" t="n"/>
      <c r="AW177" s="53" t="n"/>
      <c r="AX177" s="53" t="n"/>
      <c r="AY177" s="53" t="n"/>
    </row>
    <row r="178" ht="15" customHeight="1">
      <c r="A178" s="62" t="n"/>
      <c r="B178" s="55">
        <f>IF($B$176="","",$B$176)</f>
        <v/>
      </c>
      <c r="C178" s="63" t="inlineStr">
        <is>
          <t>마케팅3팀</t>
        </is>
      </c>
      <c r="D178" s="55">
        <f>IF($D$176="","",$D$176)</f>
        <v/>
      </c>
      <c r="E178" s="64" t="inlineStr">
        <is>
          <t>영상</t>
        </is>
      </c>
      <c r="F178" s="44" t="n"/>
      <c r="G178" s="58">
        <f>IF($G$176="","",$G$176)</f>
        <v/>
      </c>
      <c r="H178" s="59" t="n"/>
      <c r="I178" s="59" t="n"/>
      <c r="J178" s="59" t="n"/>
      <c r="K178" s="59" t="n"/>
      <c r="L178" s="65">
        <f>IF(SUM(U178:AY178)=0,"",SUM(U178:AY178))</f>
        <v/>
      </c>
      <c r="M178" s="66">
        <f>IFERROR(INDEX(U$2:AY$2,MATCH(TRUE,INDEX(U178:AY178&lt;&gt;"",0),0)),"")</f>
        <v/>
      </c>
      <c r="N178" s="66">
        <f>IFERROR(LOOKUP(2,1/(U178:AY178&lt;&gt;""),U$2:AY$2),"")</f>
        <v/>
      </c>
      <c r="O178" s="59" t="n"/>
      <c r="P178" s="59" t="n"/>
      <c r="Q178" s="59" t="n"/>
      <c r="R178" s="59" t="n"/>
      <c r="S178" s="14" t="n"/>
      <c r="U178" s="53" t="n"/>
      <c r="V178" s="53" t="n"/>
      <c r="W178" s="53" t="n"/>
      <c r="X178" s="53" t="n"/>
      <c r="Y178" s="53" t="n"/>
      <c r="Z178" s="53" t="n"/>
      <c r="AA178" s="53" t="n"/>
      <c r="AB178" s="53" t="n"/>
      <c r="AC178" s="53" t="n"/>
      <c r="AD178" s="53" t="n"/>
      <c r="AE178" s="53" t="n"/>
      <c r="AF178" s="53" t="n"/>
      <c r="AG178" s="53" t="n"/>
      <c r="AH178" s="53" t="n"/>
      <c r="AI178" s="53" t="n"/>
      <c r="AJ178" s="53" t="n"/>
      <c r="AK178" s="53" t="n"/>
      <c r="AL178" s="53" t="n"/>
      <c r="AM178" s="53" t="n"/>
      <c r="AN178" s="53" t="n"/>
      <c r="AO178" s="53" t="n"/>
      <c r="AP178" s="53" t="n"/>
      <c r="AQ178" s="53" t="n"/>
      <c r="AR178" s="53" t="n"/>
      <c r="AS178" s="53" t="n"/>
      <c r="AT178" s="53" t="n"/>
      <c r="AU178" s="53" t="n"/>
      <c r="AV178" s="53" t="n"/>
      <c r="AW178" s="53" t="n"/>
      <c r="AX178" s="53" t="n"/>
      <c r="AY178" s="53" t="n"/>
    </row>
    <row r="179" ht="15" customHeight="1">
      <c r="A179" s="40">
        <f>IF($D$179="","",57)</f>
        <v/>
      </c>
      <c r="B179" s="10" t="n"/>
      <c r="C179" s="41" t="inlineStr">
        <is>
          <t>마케팅3팀</t>
        </is>
      </c>
      <c r="D179" s="42" t="n"/>
      <c r="E179" s="43" t="inlineStr">
        <is>
          <t>기획</t>
        </is>
      </c>
      <c r="F179" s="44" t="n"/>
      <c r="G179" s="45" t="n"/>
      <c r="H179" s="46">
        <f>IF($I$179="","",IF($I$179&lt;0,"🔴지연",IF($I$179&lt;=1,"🟡임박","🟢여유")))</f>
        <v/>
      </c>
      <c r="I179" s="47">
        <f>IF(OR($G$179="",$K$179=""),"",$G$179-$K$179)</f>
        <v/>
      </c>
      <c r="J179" s="48">
        <f>IF(SUM($L$179:$L$181)=0,"",SUM($L$179:$L$181))</f>
        <v/>
      </c>
      <c r="K179" s="49">
        <f>IF($J$179="","",MAX($N$179:$N$181))</f>
        <v/>
      </c>
      <c r="L179" s="50">
        <f>IF(SUM(U179:AY179)=0,"",SUM(U179:AY179))</f>
        <v/>
      </c>
      <c r="M179" s="51">
        <f>IFERROR(INDEX(U$2:AY$2,MATCH(TRUE,INDEX(U179:AY179&lt;&gt;"",0),0)),"")</f>
        <v/>
      </c>
      <c r="N179" s="51">
        <f>IFERROR(LOOKUP(2,1/(U179:AY179&lt;&gt;""),U$2:AY$2),"")</f>
        <v/>
      </c>
      <c r="O179" s="52" t="n"/>
      <c r="P179" s="52" t="n"/>
      <c r="Q179" s="52" t="n"/>
      <c r="R179" s="44" t="n"/>
      <c r="S179" s="14" t="n"/>
      <c r="U179" s="53" t="n"/>
      <c r="V179" s="53" t="n"/>
      <c r="W179" s="53" t="n"/>
      <c r="X179" s="53" t="n"/>
      <c r="Y179" s="53" t="n"/>
      <c r="Z179" s="53" t="n"/>
      <c r="AA179" s="53" t="n"/>
      <c r="AB179" s="53" t="n"/>
      <c r="AC179" s="53" t="n"/>
      <c r="AD179" s="53" t="n"/>
      <c r="AE179" s="53" t="n"/>
      <c r="AF179" s="53" t="n"/>
      <c r="AG179" s="53" t="n"/>
      <c r="AH179" s="53" t="n"/>
      <c r="AI179" s="53" t="n"/>
      <c r="AJ179" s="53" t="n"/>
      <c r="AK179" s="53" t="n"/>
      <c r="AL179" s="53" t="n"/>
      <c r="AM179" s="53" t="n"/>
      <c r="AN179" s="53" t="n"/>
      <c r="AO179" s="53" t="n"/>
      <c r="AP179" s="53" t="n"/>
      <c r="AQ179" s="53" t="n"/>
      <c r="AR179" s="53" t="n"/>
      <c r="AS179" s="53" t="n"/>
      <c r="AT179" s="53" t="n"/>
      <c r="AU179" s="53" t="n"/>
      <c r="AV179" s="53" t="n"/>
      <c r="AW179" s="53" t="n"/>
      <c r="AX179" s="53" t="n"/>
      <c r="AY179" s="53" t="n"/>
    </row>
    <row r="180" ht="15" customHeight="1">
      <c r="A180" s="54" t="n"/>
      <c r="B180" s="55">
        <f>IF($B$179="","",$B$179)</f>
        <v/>
      </c>
      <c r="C180" s="56" t="inlineStr">
        <is>
          <t>마케팅3팀</t>
        </is>
      </c>
      <c r="D180" s="55">
        <f>IF($D$179="","",$D$179)</f>
        <v/>
      </c>
      <c r="E180" s="57" t="inlineStr">
        <is>
          <t>이미지</t>
        </is>
      </c>
      <c r="F180" s="44" t="n"/>
      <c r="G180" s="58">
        <f>IF($G$179="","",$G$179)</f>
        <v/>
      </c>
      <c r="H180" s="59" t="n"/>
      <c r="I180" s="59" t="n"/>
      <c r="J180" s="59" t="n"/>
      <c r="K180" s="59" t="n"/>
      <c r="L180" s="60">
        <f>IF(SUM(U180:AY180)=0,"",SUM(U180:AY180))</f>
        <v/>
      </c>
      <c r="M180" s="61">
        <f>IFERROR(INDEX(U$2:AY$2,MATCH(TRUE,INDEX(U180:AY180&lt;&gt;"",0),0)),"")</f>
        <v/>
      </c>
      <c r="N180" s="61">
        <f>IFERROR(LOOKUP(2,1/(U180:AY180&lt;&gt;""),U$2:AY$2),"")</f>
        <v/>
      </c>
      <c r="O180" s="59" t="n"/>
      <c r="P180" s="59" t="n"/>
      <c r="Q180" s="59" t="n"/>
      <c r="R180" s="59" t="n"/>
      <c r="S180" s="14" t="n"/>
      <c r="U180" s="53" t="n"/>
      <c r="V180" s="53" t="n"/>
      <c r="W180" s="53" t="n"/>
      <c r="X180" s="53" t="n"/>
      <c r="Y180" s="53" t="n"/>
      <c r="Z180" s="53" t="n"/>
      <c r="AA180" s="53" t="n"/>
      <c r="AB180" s="53" t="n"/>
      <c r="AC180" s="53" t="n"/>
      <c r="AD180" s="53" t="n"/>
      <c r="AE180" s="53" t="n"/>
      <c r="AF180" s="53" t="n"/>
      <c r="AG180" s="53" t="n"/>
      <c r="AH180" s="53" t="n"/>
      <c r="AI180" s="53" t="n"/>
      <c r="AJ180" s="53" t="n"/>
      <c r="AK180" s="53" t="n"/>
      <c r="AL180" s="53" t="n"/>
      <c r="AM180" s="53" t="n"/>
      <c r="AN180" s="53" t="n"/>
      <c r="AO180" s="53" t="n"/>
      <c r="AP180" s="53" t="n"/>
      <c r="AQ180" s="53" t="n"/>
      <c r="AR180" s="53" t="n"/>
      <c r="AS180" s="53" t="n"/>
      <c r="AT180" s="53" t="n"/>
      <c r="AU180" s="53" t="n"/>
      <c r="AV180" s="53" t="n"/>
      <c r="AW180" s="53" t="n"/>
      <c r="AX180" s="53" t="n"/>
      <c r="AY180" s="53" t="n"/>
    </row>
    <row r="181" ht="15" customHeight="1">
      <c r="A181" s="62" t="n"/>
      <c r="B181" s="55">
        <f>IF($B$179="","",$B$179)</f>
        <v/>
      </c>
      <c r="C181" s="63" t="inlineStr">
        <is>
          <t>마케팅3팀</t>
        </is>
      </c>
      <c r="D181" s="55">
        <f>IF($D$179="","",$D$179)</f>
        <v/>
      </c>
      <c r="E181" s="64" t="inlineStr">
        <is>
          <t>영상</t>
        </is>
      </c>
      <c r="F181" s="44" t="n"/>
      <c r="G181" s="58">
        <f>IF($G$179="","",$G$179)</f>
        <v/>
      </c>
      <c r="H181" s="59" t="n"/>
      <c r="I181" s="59" t="n"/>
      <c r="J181" s="59" t="n"/>
      <c r="K181" s="59" t="n"/>
      <c r="L181" s="65">
        <f>IF(SUM(U181:AY181)=0,"",SUM(U181:AY181))</f>
        <v/>
      </c>
      <c r="M181" s="66">
        <f>IFERROR(INDEX(U$2:AY$2,MATCH(TRUE,INDEX(U181:AY181&lt;&gt;"",0),0)),"")</f>
        <v/>
      </c>
      <c r="N181" s="66">
        <f>IFERROR(LOOKUP(2,1/(U181:AY181&lt;&gt;""),U$2:AY$2),"")</f>
        <v/>
      </c>
      <c r="O181" s="59" t="n"/>
      <c r="P181" s="59" t="n"/>
      <c r="Q181" s="59" t="n"/>
      <c r="R181" s="59" t="n"/>
      <c r="S181" s="14" t="n"/>
      <c r="U181" s="53" t="n"/>
      <c r="V181" s="53" t="n"/>
      <c r="W181" s="53" t="n"/>
      <c r="X181" s="53" t="n"/>
      <c r="Y181" s="53" t="n"/>
      <c r="Z181" s="53" t="n"/>
      <c r="AA181" s="53" t="n"/>
      <c r="AB181" s="53" t="n"/>
      <c r="AC181" s="53" t="n"/>
      <c r="AD181" s="53" t="n"/>
      <c r="AE181" s="53" t="n"/>
      <c r="AF181" s="53" t="n"/>
      <c r="AG181" s="53" t="n"/>
      <c r="AH181" s="53" t="n"/>
      <c r="AI181" s="53" t="n"/>
      <c r="AJ181" s="53" t="n"/>
      <c r="AK181" s="53" t="n"/>
      <c r="AL181" s="53" t="n"/>
      <c r="AM181" s="53" t="n"/>
      <c r="AN181" s="53" t="n"/>
      <c r="AO181" s="53" t="n"/>
      <c r="AP181" s="53" t="n"/>
      <c r="AQ181" s="53" t="n"/>
      <c r="AR181" s="53" t="n"/>
      <c r="AS181" s="53" t="n"/>
      <c r="AT181" s="53" t="n"/>
      <c r="AU181" s="53" t="n"/>
      <c r="AV181" s="53" t="n"/>
      <c r="AW181" s="53" t="n"/>
      <c r="AX181" s="53" t="n"/>
      <c r="AY181" s="53" t="n"/>
    </row>
    <row r="182" ht="15" customHeight="1">
      <c r="A182" s="40">
        <f>IF($D$182="","",58)</f>
        <v/>
      </c>
      <c r="B182" s="10" t="n"/>
      <c r="C182" s="41" t="inlineStr">
        <is>
          <t>마케팅3팀</t>
        </is>
      </c>
      <c r="D182" s="42" t="n"/>
      <c r="E182" s="43" t="inlineStr">
        <is>
          <t>기획</t>
        </is>
      </c>
      <c r="F182" s="44" t="n"/>
      <c r="G182" s="45" t="n"/>
      <c r="H182" s="46">
        <f>IF($I$182="","",IF($I$182&lt;0,"🔴지연",IF($I$182&lt;=1,"🟡임박","🟢여유")))</f>
        <v/>
      </c>
      <c r="I182" s="47">
        <f>IF(OR($G$182="",$K$182=""),"",$G$182-$K$182)</f>
        <v/>
      </c>
      <c r="J182" s="48">
        <f>IF(SUM($L$182:$L$184)=0,"",SUM($L$182:$L$184))</f>
        <v/>
      </c>
      <c r="K182" s="49">
        <f>IF($J$182="","",MAX($N$182:$N$184))</f>
        <v/>
      </c>
      <c r="L182" s="50">
        <f>IF(SUM(U182:AY182)=0,"",SUM(U182:AY182))</f>
        <v/>
      </c>
      <c r="M182" s="51">
        <f>IFERROR(INDEX(U$2:AY$2,MATCH(TRUE,INDEX(U182:AY182&lt;&gt;"",0),0)),"")</f>
        <v/>
      </c>
      <c r="N182" s="51">
        <f>IFERROR(LOOKUP(2,1/(U182:AY182&lt;&gt;""),U$2:AY$2),"")</f>
        <v/>
      </c>
      <c r="O182" s="52" t="n"/>
      <c r="P182" s="52" t="n"/>
      <c r="Q182" s="52" t="n"/>
      <c r="R182" s="44" t="n"/>
      <c r="S182" s="14" t="n"/>
      <c r="U182" s="53" t="n"/>
      <c r="V182" s="53" t="n"/>
      <c r="W182" s="53" t="n"/>
      <c r="X182" s="53" t="n"/>
      <c r="Y182" s="53" t="n"/>
      <c r="Z182" s="53" t="n"/>
      <c r="AA182" s="53" t="n"/>
      <c r="AB182" s="53" t="n"/>
      <c r="AC182" s="53" t="n"/>
      <c r="AD182" s="53" t="n"/>
      <c r="AE182" s="53" t="n"/>
      <c r="AF182" s="53" t="n"/>
      <c r="AG182" s="53" t="n"/>
      <c r="AH182" s="53" t="n"/>
      <c r="AI182" s="53" t="n"/>
      <c r="AJ182" s="53" t="n"/>
      <c r="AK182" s="53" t="n"/>
      <c r="AL182" s="53" t="n"/>
      <c r="AM182" s="53" t="n"/>
      <c r="AN182" s="53" t="n"/>
      <c r="AO182" s="53" t="n"/>
      <c r="AP182" s="53" t="n"/>
      <c r="AQ182" s="53" t="n"/>
      <c r="AR182" s="53" t="n"/>
      <c r="AS182" s="53" t="n"/>
      <c r="AT182" s="53" t="n"/>
      <c r="AU182" s="53" t="n"/>
      <c r="AV182" s="53" t="n"/>
      <c r="AW182" s="53" t="n"/>
      <c r="AX182" s="53" t="n"/>
      <c r="AY182" s="53" t="n"/>
    </row>
    <row r="183" ht="15" customHeight="1">
      <c r="A183" s="54" t="n"/>
      <c r="B183" s="55">
        <f>IF($B$182="","",$B$182)</f>
        <v/>
      </c>
      <c r="C183" s="56" t="inlineStr">
        <is>
          <t>마케팅3팀</t>
        </is>
      </c>
      <c r="D183" s="55">
        <f>IF($D$182="","",$D$182)</f>
        <v/>
      </c>
      <c r="E183" s="57" t="inlineStr">
        <is>
          <t>이미지</t>
        </is>
      </c>
      <c r="F183" s="44" t="n"/>
      <c r="G183" s="58">
        <f>IF($G$182="","",$G$182)</f>
        <v/>
      </c>
      <c r="H183" s="59" t="n"/>
      <c r="I183" s="59" t="n"/>
      <c r="J183" s="59" t="n"/>
      <c r="K183" s="59" t="n"/>
      <c r="L183" s="60">
        <f>IF(SUM(U183:AY183)=0,"",SUM(U183:AY183))</f>
        <v/>
      </c>
      <c r="M183" s="61">
        <f>IFERROR(INDEX(U$2:AY$2,MATCH(TRUE,INDEX(U183:AY183&lt;&gt;"",0),0)),"")</f>
        <v/>
      </c>
      <c r="N183" s="61">
        <f>IFERROR(LOOKUP(2,1/(U183:AY183&lt;&gt;""),U$2:AY$2),"")</f>
        <v/>
      </c>
      <c r="O183" s="59" t="n"/>
      <c r="P183" s="59" t="n"/>
      <c r="Q183" s="59" t="n"/>
      <c r="R183" s="59" t="n"/>
      <c r="S183" s="14" t="n"/>
      <c r="U183" s="53" t="n"/>
      <c r="V183" s="53" t="n"/>
      <c r="W183" s="53" t="n"/>
      <c r="X183" s="53" t="n"/>
      <c r="Y183" s="53" t="n"/>
      <c r="Z183" s="53" t="n"/>
      <c r="AA183" s="53" t="n"/>
      <c r="AB183" s="53" t="n"/>
      <c r="AC183" s="53" t="n"/>
      <c r="AD183" s="53" t="n"/>
      <c r="AE183" s="53" t="n"/>
      <c r="AF183" s="53" t="n"/>
      <c r="AG183" s="53" t="n"/>
      <c r="AH183" s="53" t="n"/>
      <c r="AI183" s="53" t="n"/>
      <c r="AJ183" s="53" t="n"/>
      <c r="AK183" s="53" t="n"/>
      <c r="AL183" s="53" t="n"/>
      <c r="AM183" s="53" t="n"/>
      <c r="AN183" s="53" t="n"/>
      <c r="AO183" s="53" t="n"/>
      <c r="AP183" s="53" t="n"/>
      <c r="AQ183" s="53" t="n"/>
      <c r="AR183" s="53" t="n"/>
      <c r="AS183" s="53" t="n"/>
      <c r="AT183" s="53" t="n"/>
      <c r="AU183" s="53" t="n"/>
      <c r="AV183" s="53" t="n"/>
      <c r="AW183" s="53" t="n"/>
      <c r="AX183" s="53" t="n"/>
      <c r="AY183" s="53" t="n"/>
    </row>
    <row r="184" ht="15" customHeight="1">
      <c r="A184" s="62" t="n"/>
      <c r="B184" s="55">
        <f>IF($B$182="","",$B$182)</f>
        <v/>
      </c>
      <c r="C184" s="63" t="inlineStr">
        <is>
          <t>마케팅3팀</t>
        </is>
      </c>
      <c r="D184" s="55">
        <f>IF($D$182="","",$D$182)</f>
        <v/>
      </c>
      <c r="E184" s="64" t="inlineStr">
        <is>
          <t>영상</t>
        </is>
      </c>
      <c r="F184" s="44" t="n"/>
      <c r="G184" s="58">
        <f>IF($G$182="","",$G$182)</f>
        <v/>
      </c>
      <c r="H184" s="59" t="n"/>
      <c r="I184" s="59" t="n"/>
      <c r="J184" s="59" t="n"/>
      <c r="K184" s="59" t="n"/>
      <c r="L184" s="65">
        <f>IF(SUM(U184:AY184)=0,"",SUM(U184:AY184))</f>
        <v/>
      </c>
      <c r="M184" s="66">
        <f>IFERROR(INDEX(U$2:AY$2,MATCH(TRUE,INDEX(U184:AY184&lt;&gt;"",0),0)),"")</f>
        <v/>
      </c>
      <c r="N184" s="66">
        <f>IFERROR(LOOKUP(2,1/(U184:AY184&lt;&gt;""),U$2:AY$2),"")</f>
        <v/>
      </c>
      <c r="O184" s="59" t="n"/>
      <c r="P184" s="59" t="n"/>
      <c r="Q184" s="59" t="n"/>
      <c r="R184" s="59" t="n"/>
      <c r="S184" s="14" t="n"/>
      <c r="U184" s="53" t="n"/>
      <c r="V184" s="53" t="n"/>
      <c r="W184" s="53" t="n"/>
      <c r="X184" s="53" t="n"/>
      <c r="Y184" s="53" t="n"/>
      <c r="Z184" s="53" t="n"/>
      <c r="AA184" s="53" t="n"/>
      <c r="AB184" s="53" t="n"/>
      <c r="AC184" s="53" t="n"/>
      <c r="AD184" s="53" t="n"/>
      <c r="AE184" s="53" t="n"/>
      <c r="AF184" s="53" t="n"/>
      <c r="AG184" s="53" t="n"/>
      <c r="AH184" s="53" t="n"/>
      <c r="AI184" s="53" t="n"/>
      <c r="AJ184" s="53" t="n"/>
      <c r="AK184" s="53" t="n"/>
      <c r="AL184" s="53" t="n"/>
      <c r="AM184" s="53" t="n"/>
      <c r="AN184" s="53" t="n"/>
      <c r="AO184" s="53" t="n"/>
      <c r="AP184" s="53" t="n"/>
      <c r="AQ184" s="53" t="n"/>
      <c r="AR184" s="53" t="n"/>
      <c r="AS184" s="53" t="n"/>
      <c r="AT184" s="53" t="n"/>
      <c r="AU184" s="53" t="n"/>
      <c r="AV184" s="53" t="n"/>
      <c r="AW184" s="53" t="n"/>
      <c r="AX184" s="53" t="n"/>
      <c r="AY184" s="53" t="n"/>
    </row>
    <row r="185" ht="15" customHeight="1">
      <c r="A185" s="40">
        <f>IF($D$185="","",59)</f>
        <v/>
      </c>
      <c r="B185" s="10" t="n"/>
      <c r="C185" s="41" t="inlineStr">
        <is>
          <t>마케팅3팀</t>
        </is>
      </c>
      <c r="D185" s="42" t="n"/>
      <c r="E185" s="43" t="inlineStr">
        <is>
          <t>기획</t>
        </is>
      </c>
      <c r="F185" s="44" t="n"/>
      <c r="G185" s="45" t="n"/>
      <c r="H185" s="46">
        <f>IF($I$185="","",IF($I$185&lt;0,"🔴지연",IF($I$185&lt;=1,"🟡임박","🟢여유")))</f>
        <v/>
      </c>
      <c r="I185" s="47">
        <f>IF(OR($G$185="",$K$185=""),"",$G$185-$K$185)</f>
        <v/>
      </c>
      <c r="J185" s="48">
        <f>IF(SUM($L$185:$L$187)=0,"",SUM($L$185:$L$187))</f>
        <v/>
      </c>
      <c r="K185" s="49">
        <f>IF($J$185="","",MAX($N$185:$N$187))</f>
        <v/>
      </c>
      <c r="L185" s="50">
        <f>IF(SUM(U185:AY185)=0,"",SUM(U185:AY185))</f>
        <v/>
      </c>
      <c r="M185" s="51">
        <f>IFERROR(INDEX(U$2:AY$2,MATCH(TRUE,INDEX(U185:AY185&lt;&gt;"",0),0)),"")</f>
        <v/>
      </c>
      <c r="N185" s="51">
        <f>IFERROR(LOOKUP(2,1/(U185:AY185&lt;&gt;""),U$2:AY$2),"")</f>
        <v/>
      </c>
      <c r="O185" s="52" t="n"/>
      <c r="P185" s="52" t="n"/>
      <c r="Q185" s="52" t="n"/>
      <c r="R185" s="44" t="n"/>
      <c r="S185" s="14" t="n"/>
      <c r="U185" s="53" t="n"/>
      <c r="V185" s="53" t="n"/>
      <c r="W185" s="53" t="n"/>
      <c r="X185" s="53" t="n"/>
      <c r="Y185" s="53" t="n"/>
      <c r="Z185" s="53" t="n"/>
      <c r="AA185" s="53" t="n"/>
      <c r="AB185" s="53" t="n"/>
      <c r="AC185" s="53" t="n"/>
      <c r="AD185" s="53" t="n"/>
      <c r="AE185" s="53" t="n"/>
      <c r="AF185" s="53" t="n"/>
      <c r="AG185" s="53" t="n"/>
      <c r="AH185" s="53" t="n"/>
      <c r="AI185" s="53" t="n"/>
      <c r="AJ185" s="53" t="n"/>
      <c r="AK185" s="53" t="n"/>
      <c r="AL185" s="53" t="n"/>
      <c r="AM185" s="53" t="n"/>
      <c r="AN185" s="53" t="n"/>
      <c r="AO185" s="53" t="n"/>
      <c r="AP185" s="53" t="n"/>
      <c r="AQ185" s="53" t="n"/>
      <c r="AR185" s="53" t="n"/>
      <c r="AS185" s="53" t="n"/>
      <c r="AT185" s="53" t="n"/>
      <c r="AU185" s="53" t="n"/>
      <c r="AV185" s="53" t="n"/>
      <c r="AW185" s="53" t="n"/>
      <c r="AX185" s="53" t="n"/>
      <c r="AY185" s="53" t="n"/>
    </row>
    <row r="186" ht="15" customHeight="1">
      <c r="A186" s="54" t="n"/>
      <c r="B186" s="55">
        <f>IF($B$185="","",$B$185)</f>
        <v/>
      </c>
      <c r="C186" s="56" t="inlineStr">
        <is>
          <t>마케팅3팀</t>
        </is>
      </c>
      <c r="D186" s="55">
        <f>IF($D$185="","",$D$185)</f>
        <v/>
      </c>
      <c r="E186" s="57" t="inlineStr">
        <is>
          <t>이미지</t>
        </is>
      </c>
      <c r="F186" s="44" t="n"/>
      <c r="G186" s="58">
        <f>IF($G$185="","",$G$185)</f>
        <v/>
      </c>
      <c r="H186" s="59" t="n"/>
      <c r="I186" s="59" t="n"/>
      <c r="J186" s="59" t="n"/>
      <c r="K186" s="59" t="n"/>
      <c r="L186" s="60">
        <f>IF(SUM(U186:AY186)=0,"",SUM(U186:AY186))</f>
        <v/>
      </c>
      <c r="M186" s="61">
        <f>IFERROR(INDEX(U$2:AY$2,MATCH(TRUE,INDEX(U186:AY186&lt;&gt;"",0),0)),"")</f>
        <v/>
      </c>
      <c r="N186" s="61">
        <f>IFERROR(LOOKUP(2,1/(U186:AY186&lt;&gt;""),U$2:AY$2),"")</f>
        <v/>
      </c>
      <c r="O186" s="59" t="n"/>
      <c r="P186" s="59" t="n"/>
      <c r="Q186" s="59" t="n"/>
      <c r="R186" s="59" t="n"/>
      <c r="S186" s="14" t="n"/>
      <c r="U186" s="53" t="n"/>
      <c r="V186" s="53" t="n"/>
      <c r="W186" s="53" t="n"/>
      <c r="X186" s="53" t="n"/>
      <c r="Y186" s="53" t="n"/>
      <c r="Z186" s="53" t="n"/>
      <c r="AA186" s="53" t="n"/>
      <c r="AB186" s="53" t="n"/>
      <c r="AC186" s="53" t="n"/>
      <c r="AD186" s="53" t="n"/>
      <c r="AE186" s="53" t="n"/>
      <c r="AF186" s="53" t="n"/>
      <c r="AG186" s="53" t="n"/>
      <c r="AH186" s="53" t="n"/>
      <c r="AI186" s="53" t="n"/>
      <c r="AJ186" s="53" t="n"/>
      <c r="AK186" s="53" t="n"/>
      <c r="AL186" s="53" t="n"/>
      <c r="AM186" s="53" t="n"/>
      <c r="AN186" s="53" t="n"/>
      <c r="AO186" s="53" t="n"/>
      <c r="AP186" s="53" t="n"/>
      <c r="AQ186" s="53" t="n"/>
      <c r="AR186" s="53" t="n"/>
      <c r="AS186" s="53" t="n"/>
      <c r="AT186" s="53" t="n"/>
      <c r="AU186" s="53" t="n"/>
      <c r="AV186" s="53" t="n"/>
      <c r="AW186" s="53" t="n"/>
      <c r="AX186" s="53" t="n"/>
      <c r="AY186" s="53" t="n"/>
    </row>
    <row r="187" ht="15" customHeight="1">
      <c r="A187" s="62" t="n"/>
      <c r="B187" s="55">
        <f>IF($B$185="","",$B$185)</f>
        <v/>
      </c>
      <c r="C187" s="63" t="inlineStr">
        <is>
          <t>마케팅3팀</t>
        </is>
      </c>
      <c r="D187" s="55">
        <f>IF($D$185="","",$D$185)</f>
        <v/>
      </c>
      <c r="E187" s="64" t="inlineStr">
        <is>
          <t>영상</t>
        </is>
      </c>
      <c r="F187" s="44" t="n"/>
      <c r="G187" s="58">
        <f>IF($G$185="","",$G$185)</f>
        <v/>
      </c>
      <c r="H187" s="59" t="n"/>
      <c r="I187" s="59" t="n"/>
      <c r="J187" s="59" t="n"/>
      <c r="K187" s="59" t="n"/>
      <c r="L187" s="65">
        <f>IF(SUM(U187:AY187)=0,"",SUM(U187:AY187))</f>
        <v/>
      </c>
      <c r="M187" s="66">
        <f>IFERROR(INDEX(U$2:AY$2,MATCH(TRUE,INDEX(U187:AY187&lt;&gt;"",0),0)),"")</f>
        <v/>
      </c>
      <c r="N187" s="66">
        <f>IFERROR(LOOKUP(2,1/(U187:AY187&lt;&gt;""),U$2:AY$2),"")</f>
        <v/>
      </c>
      <c r="O187" s="59" t="n"/>
      <c r="P187" s="59" t="n"/>
      <c r="Q187" s="59" t="n"/>
      <c r="R187" s="59" t="n"/>
      <c r="S187" s="14" t="n"/>
      <c r="U187" s="53" t="n"/>
      <c r="V187" s="53" t="n"/>
      <c r="W187" s="53" t="n"/>
      <c r="X187" s="53" t="n"/>
      <c r="Y187" s="53" t="n"/>
      <c r="Z187" s="53" t="n"/>
      <c r="AA187" s="53" t="n"/>
      <c r="AB187" s="53" t="n"/>
      <c r="AC187" s="53" t="n"/>
      <c r="AD187" s="53" t="n"/>
      <c r="AE187" s="53" t="n"/>
      <c r="AF187" s="53" t="n"/>
      <c r="AG187" s="53" t="n"/>
      <c r="AH187" s="53" t="n"/>
      <c r="AI187" s="53" t="n"/>
      <c r="AJ187" s="53" t="n"/>
      <c r="AK187" s="53" t="n"/>
      <c r="AL187" s="53" t="n"/>
      <c r="AM187" s="53" t="n"/>
      <c r="AN187" s="53" t="n"/>
      <c r="AO187" s="53" t="n"/>
      <c r="AP187" s="53" t="n"/>
      <c r="AQ187" s="53" t="n"/>
      <c r="AR187" s="53" t="n"/>
      <c r="AS187" s="53" t="n"/>
      <c r="AT187" s="53" t="n"/>
      <c r="AU187" s="53" t="n"/>
      <c r="AV187" s="53" t="n"/>
      <c r="AW187" s="53" t="n"/>
      <c r="AX187" s="53" t="n"/>
      <c r="AY187" s="53" t="n"/>
    </row>
    <row r="188" ht="15" customHeight="1">
      <c r="A188" s="40">
        <f>IF($D$188="","",60)</f>
        <v/>
      </c>
      <c r="B188" s="10" t="n"/>
      <c r="C188" s="41" t="inlineStr">
        <is>
          <t>마케팅3팀</t>
        </is>
      </c>
      <c r="D188" s="42" t="n"/>
      <c r="E188" s="43" t="inlineStr">
        <is>
          <t>기획</t>
        </is>
      </c>
      <c r="F188" s="44" t="n"/>
      <c r="G188" s="45" t="n"/>
      <c r="H188" s="46">
        <f>IF($I$188="","",IF($I$188&lt;0,"🔴지연",IF($I$188&lt;=1,"🟡임박","🟢여유")))</f>
        <v/>
      </c>
      <c r="I188" s="47">
        <f>IF(OR($G$188="",$K$188=""),"",$G$188-$K$188)</f>
        <v/>
      </c>
      <c r="J188" s="48">
        <f>IF(SUM($L$188:$L$190)=0,"",SUM($L$188:$L$190))</f>
        <v/>
      </c>
      <c r="K188" s="49">
        <f>IF($J$188="","",MAX($N$188:$N$190))</f>
        <v/>
      </c>
      <c r="L188" s="50">
        <f>IF(SUM(U188:AY188)=0,"",SUM(U188:AY188))</f>
        <v/>
      </c>
      <c r="M188" s="51">
        <f>IFERROR(INDEX(U$2:AY$2,MATCH(TRUE,INDEX(U188:AY188&lt;&gt;"",0),0)),"")</f>
        <v/>
      </c>
      <c r="N188" s="51">
        <f>IFERROR(LOOKUP(2,1/(U188:AY188&lt;&gt;""),U$2:AY$2),"")</f>
        <v/>
      </c>
      <c r="O188" s="52" t="n"/>
      <c r="P188" s="52" t="n"/>
      <c r="Q188" s="52" t="n"/>
      <c r="R188" s="44" t="n"/>
      <c r="S188" s="14" t="n"/>
      <c r="U188" s="53" t="n"/>
      <c r="V188" s="53" t="n"/>
      <c r="W188" s="53" t="n"/>
      <c r="X188" s="53" t="n"/>
      <c r="Y188" s="53" t="n"/>
      <c r="Z188" s="53" t="n"/>
      <c r="AA188" s="53" t="n"/>
      <c r="AB188" s="53" t="n"/>
      <c r="AC188" s="53" t="n"/>
      <c r="AD188" s="53" t="n"/>
      <c r="AE188" s="53" t="n"/>
      <c r="AF188" s="53" t="n"/>
      <c r="AG188" s="53" t="n"/>
      <c r="AH188" s="53" t="n"/>
      <c r="AI188" s="53" t="n"/>
      <c r="AJ188" s="53" t="n"/>
      <c r="AK188" s="53" t="n"/>
      <c r="AL188" s="53" t="n"/>
      <c r="AM188" s="53" t="n"/>
      <c r="AN188" s="53" t="n"/>
      <c r="AO188" s="53" t="n"/>
      <c r="AP188" s="53" t="n"/>
      <c r="AQ188" s="53" t="n"/>
      <c r="AR188" s="53" t="n"/>
      <c r="AS188" s="53" t="n"/>
      <c r="AT188" s="53" t="n"/>
      <c r="AU188" s="53" t="n"/>
      <c r="AV188" s="53" t="n"/>
      <c r="AW188" s="53" t="n"/>
      <c r="AX188" s="53" t="n"/>
      <c r="AY188" s="53" t="n"/>
    </row>
    <row r="189" ht="15" customHeight="1">
      <c r="A189" s="54" t="n"/>
      <c r="B189" s="55">
        <f>IF($B$188="","",$B$188)</f>
        <v/>
      </c>
      <c r="C189" s="56" t="inlineStr">
        <is>
          <t>마케팅3팀</t>
        </is>
      </c>
      <c r="D189" s="55">
        <f>IF($D$188="","",$D$188)</f>
        <v/>
      </c>
      <c r="E189" s="57" t="inlineStr">
        <is>
          <t>이미지</t>
        </is>
      </c>
      <c r="F189" s="44" t="n"/>
      <c r="G189" s="58">
        <f>IF($G$188="","",$G$188)</f>
        <v/>
      </c>
      <c r="H189" s="59" t="n"/>
      <c r="I189" s="59" t="n"/>
      <c r="J189" s="59" t="n"/>
      <c r="K189" s="59" t="n"/>
      <c r="L189" s="60">
        <f>IF(SUM(U189:AY189)=0,"",SUM(U189:AY189))</f>
        <v/>
      </c>
      <c r="M189" s="61">
        <f>IFERROR(INDEX(U$2:AY$2,MATCH(TRUE,INDEX(U189:AY189&lt;&gt;"",0),0)),"")</f>
        <v/>
      </c>
      <c r="N189" s="61">
        <f>IFERROR(LOOKUP(2,1/(U189:AY189&lt;&gt;""),U$2:AY$2),"")</f>
        <v/>
      </c>
      <c r="O189" s="59" t="n"/>
      <c r="P189" s="59" t="n"/>
      <c r="Q189" s="59" t="n"/>
      <c r="R189" s="59" t="n"/>
      <c r="S189" s="14" t="n"/>
      <c r="U189" s="53" t="n"/>
      <c r="V189" s="53" t="n"/>
      <c r="W189" s="53" t="n"/>
      <c r="X189" s="53" t="n"/>
      <c r="Y189" s="53" t="n"/>
      <c r="Z189" s="53" t="n"/>
      <c r="AA189" s="53" t="n"/>
      <c r="AB189" s="53" t="n"/>
      <c r="AC189" s="53" t="n"/>
      <c r="AD189" s="53" t="n"/>
      <c r="AE189" s="53" t="n"/>
      <c r="AF189" s="53" t="n"/>
      <c r="AG189" s="53" t="n"/>
      <c r="AH189" s="53" t="n"/>
      <c r="AI189" s="53" t="n"/>
      <c r="AJ189" s="53" t="n"/>
      <c r="AK189" s="53" t="n"/>
      <c r="AL189" s="53" t="n"/>
      <c r="AM189" s="53" t="n"/>
      <c r="AN189" s="53" t="n"/>
      <c r="AO189" s="53" t="n"/>
      <c r="AP189" s="53" t="n"/>
      <c r="AQ189" s="53" t="n"/>
      <c r="AR189" s="53" t="n"/>
      <c r="AS189" s="53" t="n"/>
      <c r="AT189" s="53" t="n"/>
      <c r="AU189" s="53" t="n"/>
      <c r="AV189" s="53" t="n"/>
      <c r="AW189" s="53" t="n"/>
      <c r="AX189" s="53" t="n"/>
      <c r="AY189" s="53" t="n"/>
    </row>
    <row r="190" ht="15" customHeight="1">
      <c r="A190" s="62" t="n"/>
      <c r="B190" s="55">
        <f>IF($B$188="","",$B$188)</f>
        <v/>
      </c>
      <c r="C190" s="63" t="inlineStr">
        <is>
          <t>마케팅3팀</t>
        </is>
      </c>
      <c r="D190" s="55">
        <f>IF($D$188="","",$D$188)</f>
        <v/>
      </c>
      <c r="E190" s="64" t="inlineStr">
        <is>
          <t>영상</t>
        </is>
      </c>
      <c r="F190" s="44" t="n"/>
      <c r="G190" s="58">
        <f>IF($G$188="","",$G$188)</f>
        <v/>
      </c>
      <c r="H190" s="59" t="n"/>
      <c r="I190" s="59" t="n"/>
      <c r="J190" s="59" t="n"/>
      <c r="K190" s="59" t="n"/>
      <c r="L190" s="65">
        <f>IF(SUM(U190:AY190)=0,"",SUM(U190:AY190))</f>
        <v/>
      </c>
      <c r="M190" s="66">
        <f>IFERROR(INDEX(U$2:AY$2,MATCH(TRUE,INDEX(U190:AY190&lt;&gt;"",0),0)),"")</f>
        <v/>
      </c>
      <c r="N190" s="66">
        <f>IFERROR(LOOKUP(2,1/(U190:AY190&lt;&gt;""),U$2:AY$2),"")</f>
        <v/>
      </c>
      <c r="O190" s="59" t="n"/>
      <c r="P190" s="59" t="n"/>
      <c r="Q190" s="59" t="n"/>
      <c r="R190" s="59" t="n"/>
      <c r="S190" s="14" t="n"/>
      <c r="U190" s="53" t="n"/>
      <c r="V190" s="53" t="n"/>
      <c r="W190" s="53" t="n"/>
      <c r="X190" s="53" t="n"/>
      <c r="Y190" s="53" t="n"/>
      <c r="Z190" s="53" t="n"/>
      <c r="AA190" s="53" t="n"/>
      <c r="AB190" s="53" t="n"/>
      <c r="AC190" s="53" t="n"/>
      <c r="AD190" s="53" t="n"/>
      <c r="AE190" s="53" t="n"/>
      <c r="AF190" s="53" t="n"/>
      <c r="AG190" s="53" t="n"/>
      <c r="AH190" s="53" t="n"/>
      <c r="AI190" s="53" t="n"/>
      <c r="AJ190" s="53" t="n"/>
      <c r="AK190" s="53" t="n"/>
      <c r="AL190" s="53" t="n"/>
      <c r="AM190" s="53" t="n"/>
      <c r="AN190" s="53" t="n"/>
      <c r="AO190" s="53" t="n"/>
      <c r="AP190" s="53" t="n"/>
      <c r="AQ190" s="53" t="n"/>
      <c r="AR190" s="53" t="n"/>
      <c r="AS190" s="53" t="n"/>
      <c r="AT190" s="53" t="n"/>
      <c r="AU190" s="53" t="n"/>
      <c r="AV190" s="53" t="n"/>
      <c r="AW190" s="53" t="n"/>
      <c r="AX190" s="53" t="n"/>
      <c r="AY190" s="53" t="n"/>
    </row>
    <row r="191" ht="18" customHeight="1">
      <c r="A191" s="39" t="inlineStr">
        <is>
          <t>마케팅4팀   (192~251행 · 소재 20개)</t>
        </is>
      </c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I191" s="8" t="n"/>
      <c r="AJ191" s="8" t="n"/>
      <c r="AK191" s="8" t="n"/>
      <c r="AL191" s="8" t="n"/>
      <c r="AM191" s="8" t="n"/>
      <c r="AN191" s="8" t="n"/>
      <c r="AO191" s="8" t="n"/>
      <c r="AP191" s="8" t="n"/>
      <c r="AQ191" s="8" t="n"/>
      <c r="AR191" s="8" t="n"/>
      <c r="AS191" s="8" t="n"/>
      <c r="AT191" s="8" t="n"/>
      <c r="AU191" s="8" t="n"/>
      <c r="AV191" s="8" t="n"/>
      <c r="AW191" s="8" t="n"/>
      <c r="AX191" s="8" t="n"/>
      <c r="AY191" s="4" t="n"/>
    </row>
    <row r="192" ht="15" customHeight="1">
      <c r="A192" s="40">
        <f>IF($D$192="","",61)</f>
        <v/>
      </c>
      <c r="B192" s="10" t="n"/>
      <c r="C192" s="41" t="inlineStr">
        <is>
          <t>마케팅4팀</t>
        </is>
      </c>
      <c r="D192" s="42" t="n"/>
      <c r="E192" s="43" t="inlineStr">
        <is>
          <t>기획</t>
        </is>
      </c>
      <c r="F192" s="44" t="n"/>
      <c r="G192" s="45" t="n"/>
      <c r="H192" s="46">
        <f>IF($I$192="","",IF($I$192&lt;0,"🔴지연",IF($I$192&lt;=1,"🟡임박","🟢여유")))</f>
        <v/>
      </c>
      <c r="I192" s="47">
        <f>IF(OR($G$192="",$K$192=""),"",$G$192-$K$192)</f>
        <v/>
      </c>
      <c r="J192" s="48">
        <f>IF(SUM($L$192:$L$194)=0,"",SUM($L$192:$L$194))</f>
        <v/>
      </c>
      <c r="K192" s="49">
        <f>IF($J$192="","",MAX($N$192:$N$194))</f>
        <v/>
      </c>
      <c r="L192" s="50">
        <f>IF(SUM(U192:AY192)=0,"",SUM(U192:AY192))</f>
        <v/>
      </c>
      <c r="M192" s="51">
        <f>IFERROR(INDEX(U$2:AY$2,MATCH(TRUE,INDEX(U192:AY192&lt;&gt;"",0),0)),"")</f>
        <v/>
      </c>
      <c r="N192" s="51">
        <f>IFERROR(LOOKUP(2,1/(U192:AY192&lt;&gt;""),U$2:AY$2),"")</f>
        <v/>
      </c>
      <c r="O192" s="52" t="n"/>
      <c r="P192" s="52" t="n"/>
      <c r="Q192" s="52" t="n"/>
      <c r="R192" s="44" t="n"/>
      <c r="S192" s="14" t="n"/>
      <c r="U192" s="53" t="n"/>
      <c r="V192" s="53" t="n"/>
      <c r="W192" s="53" t="n"/>
      <c r="X192" s="53" t="n"/>
      <c r="Y192" s="53" t="n"/>
      <c r="Z192" s="53" t="n"/>
      <c r="AA192" s="53" t="n"/>
      <c r="AB192" s="53" t="n"/>
      <c r="AC192" s="53" t="n"/>
      <c r="AD192" s="53" t="n"/>
      <c r="AE192" s="53" t="n"/>
      <c r="AF192" s="53" t="n"/>
      <c r="AG192" s="53" t="n"/>
      <c r="AH192" s="53" t="n"/>
      <c r="AI192" s="53" t="n"/>
      <c r="AJ192" s="53" t="n"/>
      <c r="AK192" s="53" t="n"/>
      <c r="AL192" s="53" t="n"/>
      <c r="AM192" s="53" t="n"/>
      <c r="AN192" s="53" t="n"/>
      <c r="AO192" s="53" t="n"/>
      <c r="AP192" s="53" t="n"/>
      <c r="AQ192" s="53" t="n"/>
      <c r="AR192" s="53" t="n"/>
      <c r="AS192" s="53" t="n"/>
      <c r="AT192" s="53" t="n"/>
      <c r="AU192" s="53" t="n"/>
      <c r="AV192" s="53" t="n"/>
      <c r="AW192" s="53" t="n"/>
      <c r="AX192" s="53" t="n"/>
      <c r="AY192" s="53" t="n"/>
    </row>
    <row r="193" ht="15" customHeight="1">
      <c r="A193" s="54" t="n"/>
      <c r="B193" s="55">
        <f>IF($B$192="","",$B$192)</f>
        <v/>
      </c>
      <c r="C193" s="56" t="inlineStr">
        <is>
          <t>마케팅4팀</t>
        </is>
      </c>
      <c r="D193" s="55">
        <f>IF($D$192="","",$D$192)</f>
        <v/>
      </c>
      <c r="E193" s="57" t="inlineStr">
        <is>
          <t>이미지</t>
        </is>
      </c>
      <c r="F193" s="44" t="n"/>
      <c r="G193" s="58">
        <f>IF($G$192="","",$G$192)</f>
        <v/>
      </c>
      <c r="H193" s="59" t="n"/>
      <c r="I193" s="59" t="n"/>
      <c r="J193" s="59" t="n"/>
      <c r="K193" s="59" t="n"/>
      <c r="L193" s="60">
        <f>IF(SUM(U193:AY193)=0,"",SUM(U193:AY193))</f>
        <v/>
      </c>
      <c r="M193" s="61">
        <f>IFERROR(INDEX(U$2:AY$2,MATCH(TRUE,INDEX(U193:AY193&lt;&gt;"",0),0)),"")</f>
        <v/>
      </c>
      <c r="N193" s="61">
        <f>IFERROR(LOOKUP(2,1/(U193:AY193&lt;&gt;""),U$2:AY$2),"")</f>
        <v/>
      </c>
      <c r="O193" s="59" t="n"/>
      <c r="P193" s="59" t="n"/>
      <c r="Q193" s="59" t="n"/>
      <c r="R193" s="59" t="n"/>
      <c r="S193" s="14" t="n"/>
      <c r="U193" s="53" t="n"/>
      <c r="V193" s="53" t="n"/>
      <c r="W193" s="53" t="n"/>
      <c r="X193" s="53" t="n"/>
      <c r="Y193" s="53" t="n"/>
      <c r="Z193" s="53" t="n"/>
      <c r="AA193" s="53" t="n"/>
      <c r="AB193" s="53" t="n"/>
      <c r="AC193" s="53" t="n"/>
      <c r="AD193" s="53" t="n"/>
      <c r="AE193" s="53" t="n"/>
      <c r="AF193" s="53" t="n"/>
      <c r="AG193" s="53" t="n"/>
      <c r="AH193" s="53" t="n"/>
      <c r="AI193" s="53" t="n"/>
      <c r="AJ193" s="53" t="n"/>
      <c r="AK193" s="53" t="n"/>
      <c r="AL193" s="53" t="n"/>
      <c r="AM193" s="53" t="n"/>
      <c r="AN193" s="53" t="n"/>
      <c r="AO193" s="53" t="n"/>
      <c r="AP193" s="53" t="n"/>
      <c r="AQ193" s="53" t="n"/>
      <c r="AR193" s="53" t="n"/>
      <c r="AS193" s="53" t="n"/>
      <c r="AT193" s="53" t="n"/>
      <c r="AU193" s="53" t="n"/>
      <c r="AV193" s="53" t="n"/>
      <c r="AW193" s="53" t="n"/>
      <c r="AX193" s="53" t="n"/>
      <c r="AY193" s="53" t="n"/>
    </row>
    <row r="194" ht="15" customHeight="1">
      <c r="A194" s="62" t="n"/>
      <c r="B194" s="55">
        <f>IF($B$192="","",$B$192)</f>
        <v/>
      </c>
      <c r="C194" s="63" t="inlineStr">
        <is>
          <t>마케팅4팀</t>
        </is>
      </c>
      <c r="D194" s="55">
        <f>IF($D$192="","",$D$192)</f>
        <v/>
      </c>
      <c r="E194" s="64" t="inlineStr">
        <is>
          <t>영상</t>
        </is>
      </c>
      <c r="F194" s="44" t="n"/>
      <c r="G194" s="58">
        <f>IF($G$192="","",$G$192)</f>
        <v/>
      </c>
      <c r="H194" s="59" t="n"/>
      <c r="I194" s="59" t="n"/>
      <c r="J194" s="59" t="n"/>
      <c r="K194" s="59" t="n"/>
      <c r="L194" s="65">
        <f>IF(SUM(U194:AY194)=0,"",SUM(U194:AY194))</f>
        <v/>
      </c>
      <c r="M194" s="66">
        <f>IFERROR(INDEX(U$2:AY$2,MATCH(TRUE,INDEX(U194:AY194&lt;&gt;"",0),0)),"")</f>
        <v/>
      </c>
      <c r="N194" s="66">
        <f>IFERROR(LOOKUP(2,1/(U194:AY194&lt;&gt;""),U$2:AY$2),"")</f>
        <v/>
      </c>
      <c r="O194" s="59" t="n"/>
      <c r="P194" s="59" t="n"/>
      <c r="Q194" s="59" t="n"/>
      <c r="R194" s="59" t="n"/>
      <c r="S194" s="14" t="n"/>
      <c r="U194" s="53" t="n"/>
      <c r="V194" s="53" t="n"/>
      <c r="W194" s="53" t="n"/>
      <c r="X194" s="53" t="n"/>
      <c r="Y194" s="53" t="n"/>
      <c r="Z194" s="53" t="n"/>
      <c r="AA194" s="53" t="n"/>
      <c r="AB194" s="53" t="n"/>
      <c r="AC194" s="53" t="n"/>
      <c r="AD194" s="53" t="n"/>
      <c r="AE194" s="53" t="n"/>
      <c r="AF194" s="53" t="n"/>
      <c r="AG194" s="53" t="n"/>
      <c r="AH194" s="53" t="n"/>
      <c r="AI194" s="53" t="n"/>
      <c r="AJ194" s="53" t="n"/>
      <c r="AK194" s="53" t="n"/>
      <c r="AL194" s="53" t="n"/>
      <c r="AM194" s="53" t="n"/>
      <c r="AN194" s="53" t="n"/>
      <c r="AO194" s="53" t="n"/>
      <c r="AP194" s="53" t="n"/>
      <c r="AQ194" s="53" t="n"/>
      <c r="AR194" s="53" t="n"/>
      <c r="AS194" s="53" t="n"/>
      <c r="AT194" s="53" t="n"/>
      <c r="AU194" s="53" t="n"/>
      <c r="AV194" s="53" t="n"/>
      <c r="AW194" s="53" t="n"/>
      <c r="AX194" s="53" t="n"/>
      <c r="AY194" s="53" t="n"/>
    </row>
    <row r="195" ht="15" customHeight="1">
      <c r="A195" s="40">
        <f>IF($D$195="","",62)</f>
        <v/>
      </c>
      <c r="B195" s="10" t="n"/>
      <c r="C195" s="41" t="inlineStr">
        <is>
          <t>마케팅4팀</t>
        </is>
      </c>
      <c r="D195" s="42" t="n"/>
      <c r="E195" s="43" t="inlineStr">
        <is>
          <t>기획</t>
        </is>
      </c>
      <c r="F195" s="44" t="n"/>
      <c r="G195" s="45" t="n"/>
      <c r="H195" s="46">
        <f>IF($I$195="","",IF($I$195&lt;0,"🔴지연",IF($I$195&lt;=1,"🟡임박","🟢여유")))</f>
        <v/>
      </c>
      <c r="I195" s="47">
        <f>IF(OR($G$195="",$K$195=""),"",$G$195-$K$195)</f>
        <v/>
      </c>
      <c r="J195" s="48">
        <f>IF(SUM($L$195:$L$197)=0,"",SUM($L$195:$L$197))</f>
        <v/>
      </c>
      <c r="K195" s="49">
        <f>IF($J$195="","",MAX($N$195:$N$197))</f>
        <v/>
      </c>
      <c r="L195" s="50">
        <f>IF(SUM(U195:AY195)=0,"",SUM(U195:AY195))</f>
        <v/>
      </c>
      <c r="M195" s="51">
        <f>IFERROR(INDEX(U$2:AY$2,MATCH(TRUE,INDEX(U195:AY195&lt;&gt;"",0),0)),"")</f>
        <v/>
      </c>
      <c r="N195" s="51">
        <f>IFERROR(LOOKUP(2,1/(U195:AY195&lt;&gt;""),U$2:AY$2),"")</f>
        <v/>
      </c>
      <c r="O195" s="52" t="n"/>
      <c r="P195" s="52" t="n"/>
      <c r="Q195" s="52" t="n"/>
      <c r="R195" s="44" t="n"/>
      <c r="S195" s="14" t="n"/>
      <c r="U195" s="53" t="n"/>
      <c r="V195" s="53" t="n"/>
      <c r="W195" s="53" t="n"/>
      <c r="X195" s="53" t="n"/>
      <c r="Y195" s="53" t="n"/>
      <c r="Z195" s="53" t="n"/>
      <c r="AA195" s="53" t="n"/>
      <c r="AB195" s="53" t="n"/>
      <c r="AC195" s="53" t="n"/>
      <c r="AD195" s="53" t="n"/>
      <c r="AE195" s="53" t="n"/>
      <c r="AF195" s="53" t="n"/>
      <c r="AG195" s="53" t="n"/>
      <c r="AH195" s="53" t="n"/>
      <c r="AI195" s="53" t="n"/>
      <c r="AJ195" s="53" t="n"/>
      <c r="AK195" s="53" t="n"/>
      <c r="AL195" s="53" t="n"/>
      <c r="AM195" s="53" t="n"/>
      <c r="AN195" s="53" t="n"/>
      <c r="AO195" s="53" t="n"/>
      <c r="AP195" s="53" t="n"/>
      <c r="AQ195" s="53" t="n"/>
      <c r="AR195" s="53" t="n"/>
      <c r="AS195" s="53" t="n"/>
      <c r="AT195" s="53" t="n"/>
      <c r="AU195" s="53" t="n"/>
      <c r="AV195" s="53" t="n"/>
      <c r="AW195" s="53" t="n"/>
      <c r="AX195" s="53" t="n"/>
      <c r="AY195" s="53" t="n"/>
    </row>
    <row r="196" ht="15" customHeight="1">
      <c r="A196" s="54" t="n"/>
      <c r="B196" s="55">
        <f>IF($B$195="","",$B$195)</f>
        <v/>
      </c>
      <c r="C196" s="56" t="inlineStr">
        <is>
          <t>마케팅4팀</t>
        </is>
      </c>
      <c r="D196" s="55">
        <f>IF($D$195="","",$D$195)</f>
        <v/>
      </c>
      <c r="E196" s="57" t="inlineStr">
        <is>
          <t>이미지</t>
        </is>
      </c>
      <c r="F196" s="44" t="n"/>
      <c r="G196" s="58">
        <f>IF($G$195="","",$G$195)</f>
        <v/>
      </c>
      <c r="H196" s="59" t="n"/>
      <c r="I196" s="59" t="n"/>
      <c r="J196" s="59" t="n"/>
      <c r="K196" s="59" t="n"/>
      <c r="L196" s="60">
        <f>IF(SUM(U196:AY196)=0,"",SUM(U196:AY196))</f>
        <v/>
      </c>
      <c r="M196" s="61">
        <f>IFERROR(INDEX(U$2:AY$2,MATCH(TRUE,INDEX(U196:AY196&lt;&gt;"",0),0)),"")</f>
        <v/>
      </c>
      <c r="N196" s="61">
        <f>IFERROR(LOOKUP(2,1/(U196:AY196&lt;&gt;""),U$2:AY$2),"")</f>
        <v/>
      </c>
      <c r="O196" s="59" t="n"/>
      <c r="P196" s="59" t="n"/>
      <c r="Q196" s="59" t="n"/>
      <c r="R196" s="59" t="n"/>
      <c r="S196" s="14" t="n"/>
      <c r="U196" s="53" t="n"/>
      <c r="V196" s="53" t="n"/>
      <c r="W196" s="53" t="n"/>
      <c r="X196" s="53" t="n"/>
      <c r="Y196" s="53" t="n"/>
      <c r="Z196" s="53" t="n"/>
      <c r="AA196" s="53" t="n"/>
      <c r="AB196" s="53" t="n"/>
      <c r="AC196" s="53" t="n"/>
      <c r="AD196" s="53" t="n"/>
      <c r="AE196" s="53" t="n"/>
      <c r="AF196" s="53" t="n"/>
      <c r="AG196" s="53" t="n"/>
      <c r="AH196" s="53" t="n"/>
      <c r="AI196" s="53" t="n"/>
      <c r="AJ196" s="53" t="n"/>
      <c r="AK196" s="53" t="n"/>
      <c r="AL196" s="53" t="n"/>
      <c r="AM196" s="53" t="n"/>
      <c r="AN196" s="53" t="n"/>
      <c r="AO196" s="53" t="n"/>
      <c r="AP196" s="53" t="n"/>
      <c r="AQ196" s="53" t="n"/>
      <c r="AR196" s="53" t="n"/>
      <c r="AS196" s="53" t="n"/>
      <c r="AT196" s="53" t="n"/>
      <c r="AU196" s="53" t="n"/>
      <c r="AV196" s="53" t="n"/>
      <c r="AW196" s="53" t="n"/>
      <c r="AX196" s="53" t="n"/>
      <c r="AY196" s="53" t="n"/>
    </row>
    <row r="197" ht="15" customHeight="1">
      <c r="A197" s="62" t="n"/>
      <c r="B197" s="55">
        <f>IF($B$195="","",$B$195)</f>
        <v/>
      </c>
      <c r="C197" s="63" t="inlineStr">
        <is>
          <t>마케팅4팀</t>
        </is>
      </c>
      <c r="D197" s="55">
        <f>IF($D$195="","",$D$195)</f>
        <v/>
      </c>
      <c r="E197" s="64" t="inlineStr">
        <is>
          <t>영상</t>
        </is>
      </c>
      <c r="F197" s="44" t="n"/>
      <c r="G197" s="58">
        <f>IF($G$195="","",$G$195)</f>
        <v/>
      </c>
      <c r="H197" s="59" t="n"/>
      <c r="I197" s="59" t="n"/>
      <c r="J197" s="59" t="n"/>
      <c r="K197" s="59" t="n"/>
      <c r="L197" s="65">
        <f>IF(SUM(U197:AY197)=0,"",SUM(U197:AY197))</f>
        <v/>
      </c>
      <c r="M197" s="66">
        <f>IFERROR(INDEX(U$2:AY$2,MATCH(TRUE,INDEX(U197:AY197&lt;&gt;"",0),0)),"")</f>
        <v/>
      </c>
      <c r="N197" s="66">
        <f>IFERROR(LOOKUP(2,1/(U197:AY197&lt;&gt;""),U$2:AY$2),"")</f>
        <v/>
      </c>
      <c r="O197" s="59" t="n"/>
      <c r="P197" s="59" t="n"/>
      <c r="Q197" s="59" t="n"/>
      <c r="R197" s="59" t="n"/>
      <c r="S197" s="14" t="n"/>
      <c r="U197" s="53" t="n"/>
      <c r="V197" s="53" t="n"/>
      <c r="W197" s="53" t="n"/>
      <c r="X197" s="53" t="n"/>
      <c r="Y197" s="53" t="n"/>
      <c r="Z197" s="53" t="n"/>
      <c r="AA197" s="53" t="n"/>
      <c r="AB197" s="53" t="n"/>
      <c r="AC197" s="53" t="n"/>
      <c r="AD197" s="53" t="n"/>
      <c r="AE197" s="53" t="n"/>
      <c r="AF197" s="53" t="n"/>
      <c r="AG197" s="53" t="n"/>
      <c r="AH197" s="53" t="n"/>
      <c r="AI197" s="53" t="n"/>
      <c r="AJ197" s="53" t="n"/>
      <c r="AK197" s="53" t="n"/>
      <c r="AL197" s="53" t="n"/>
      <c r="AM197" s="53" t="n"/>
      <c r="AN197" s="53" t="n"/>
      <c r="AO197" s="53" t="n"/>
      <c r="AP197" s="53" t="n"/>
      <c r="AQ197" s="53" t="n"/>
      <c r="AR197" s="53" t="n"/>
      <c r="AS197" s="53" t="n"/>
      <c r="AT197" s="53" t="n"/>
      <c r="AU197" s="53" t="n"/>
      <c r="AV197" s="53" t="n"/>
      <c r="AW197" s="53" t="n"/>
      <c r="AX197" s="53" t="n"/>
      <c r="AY197" s="53" t="n"/>
    </row>
    <row r="198" ht="15" customHeight="1">
      <c r="A198" s="40">
        <f>IF($D$198="","",63)</f>
        <v/>
      </c>
      <c r="B198" s="10" t="n"/>
      <c r="C198" s="41" t="inlineStr">
        <is>
          <t>마케팅4팀</t>
        </is>
      </c>
      <c r="D198" s="42" t="n"/>
      <c r="E198" s="43" t="inlineStr">
        <is>
          <t>기획</t>
        </is>
      </c>
      <c r="F198" s="44" t="n"/>
      <c r="G198" s="45" t="n"/>
      <c r="H198" s="46">
        <f>IF($I$198="","",IF($I$198&lt;0,"🔴지연",IF($I$198&lt;=1,"🟡임박","🟢여유")))</f>
        <v/>
      </c>
      <c r="I198" s="47">
        <f>IF(OR($G$198="",$K$198=""),"",$G$198-$K$198)</f>
        <v/>
      </c>
      <c r="J198" s="48">
        <f>IF(SUM($L$198:$L$200)=0,"",SUM($L$198:$L$200))</f>
        <v/>
      </c>
      <c r="K198" s="49">
        <f>IF($J$198="","",MAX($N$198:$N$200))</f>
        <v/>
      </c>
      <c r="L198" s="50">
        <f>IF(SUM(U198:AY198)=0,"",SUM(U198:AY198))</f>
        <v/>
      </c>
      <c r="M198" s="51">
        <f>IFERROR(INDEX(U$2:AY$2,MATCH(TRUE,INDEX(U198:AY198&lt;&gt;"",0),0)),"")</f>
        <v/>
      </c>
      <c r="N198" s="51">
        <f>IFERROR(LOOKUP(2,1/(U198:AY198&lt;&gt;""),U$2:AY$2),"")</f>
        <v/>
      </c>
      <c r="O198" s="52" t="n"/>
      <c r="P198" s="52" t="n"/>
      <c r="Q198" s="52" t="n"/>
      <c r="R198" s="44" t="n"/>
      <c r="S198" s="14" t="n"/>
      <c r="U198" s="53" t="n"/>
      <c r="V198" s="53" t="n"/>
      <c r="W198" s="53" t="n"/>
      <c r="X198" s="53" t="n"/>
      <c r="Y198" s="53" t="n"/>
      <c r="Z198" s="53" t="n"/>
      <c r="AA198" s="53" t="n"/>
      <c r="AB198" s="53" t="n"/>
      <c r="AC198" s="53" t="n"/>
      <c r="AD198" s="53" t="n"/>
      <c r="AE198" s="53" t="n"/>
      <c r="AF198" s="53" t="n"/>
      <c r="AG198" s="53" t="n"/>
      <c r="AH198" s="53" t="n"/>
      <c r="AI198" s="53" t="n"/>
      <c r="AJ198" s="53" t="n"/>
      <c r="AK198" s="53" t="n"/>
      <c r="AL198" s="53" t="n"/>
      <c r="AM198" s="53" t="n"/>
      <c r="AN198" s="53" t="n"/>
      <c r="AO198" s="53" t="n"/>
      <c r="AP198" s="53" t="n"/>
      <c r="AQ198" s="53" t="n"/>
      <c r="AR198" s="53" t="n"/>
      <c r="AS198" s="53" t="n"/>
      <c r="AT198" s="53" t="n"/>
      <c r="AU198" s="53" t="n"/>
      <c r="AV198" s="53" t="n"/>
      <c r="AW198" s="53" t="n"/>
      <c r="AX198" s="53" t="n"/>
      <c r="AY198" s="53" t="n"/>
    </row>
    <row r="199" ht="15" customHeight="1">
      <c r="A199" s="54" t="n"/>
      <c r="B199" s="55">
        <f>IF($B$198="","",$B$198)</f>
        <v/>
      </c>
      <c r="C199" s="56" t="inlineStr">
        <is>
          <t>마케팅4팀</t>
        </is>
      </c>
      <c r="D199" s="55">
        <f>IF($D$198="","",$D$198)</f>
        <v/>
      </c>
      <c r="E199" s="57" t="inlineStr">
        <is>
          <t>이미지</t>
        </is>
      </c>
      <c r="F199" s="44" t="n"/>
      <c r="G199" s="58">
        <f>IF($G$198="","",$G$198)</f>
        <v/>
      </c>
      <c r="H199" s="59" t="n"/>
      <c r="I199" s="59" t="n"/>
      <c r="J199" s="59" t="n"/>
      <c r="K199" s="59" t="n"/>
      <c r="L199" s="60">
        <f>IF(SUM(U199:AY199)=0,"",SUM(U199:AY199))</f>
        <v/>
      </c>
      <c r="M199" s="61">
        <f>IFERROR(INDEX(U$2:AY$2,MATCH(TRUE,INDEX(U199:AY199&lt;&gt;"",0),0)),"")</f>
        <v/>
      </c>
      <c r="N199" s="61">
        <f>IFERROR(LOOKUP(2,1/(U199:AY199&lt;&gt;""),U$2:AY$2),"")</f>
        <v/>
      </c>
      <c r="O199" s="59" t="n"/>
      <c r="P199" s="59" t="n"/>
      <c r="Q199" s="59" t="n"/>
      <c r="R199" s="59" t="n"/>
      <c r="S199" s="14" t="n"/>
      <c r="U199" s="53" t="n"/>
      <c r="V199" s="53" t="n"/>
      <c r="W199" s="53" t="n"/>
      <c r="X199" s="53" t="n"/>
      <c r="Y199" s="53" t="n"/>
      <c r="Z199" s="53" t="n"/>
      <c r="AA199" s="53" t="n"/>
      <c r="AB199" s="53" t="n"/>
      <c r="AC199" s="53" t="n"/>
      <c r="AD199" s="53" t="n"/>
      <c r="AE199" s="53" t="n"/>
      <c r="AF199" s="53" t="n"/>
      <c r="AG199" s="53" t="n"/>
      <c r="AH199" s="53" t="n"/>
      <c r="AI199" s="53" t="n"/>
      <c r="AJ199" s="53" t="n"/>
      <c r="AK199" s="53" t="n"/>
      <c r="AL199" s="53" t="n"/>
      <c r="AM199" s="53" t="n"/>
      <c r="AN199" s="53" t="n"/>
      <c r="AO199" s="53" t="n"/>
      <c r="AP199" s="53" t="n"/>
      <c r="AQ199" s="53" t="n"/>
      <c r="AR199" s="53" t="n"/>
      <c r="AS199" s="53" t="n"/>
      <c r="AT199" s="53" t="n"/>
      <c r="AU199" s="53" t="n"/>
      <c r="AV199" s="53" t="n"/>
      <c r="AW199" s="53" t="n"/>
      <c r="AX199" s="53" t="n"/>
      <c r="AY199" s="53" t="n"/>
    </row>
    <row r="200" ht="15" customHeight="1">
      <c r="A200" s="62" t="n"/>
      <c r="B200" s="55">
        <f>IF($B$198="","",$B$198)</f>
        <v/>
      </c>
      <c r="C200" s="63" t="inlineStr">
        <is>
          <t>마케팅4팀</t>
        </is>
      </c>
      <c r="D200" s="55">
        <f>IF($D$198="","",$D$198)</f>
        <v/>
      </c>
      <c r="E200" s="64" t="inlineStr">
        <is>
          <t>영상</t>
        </is>
      </c>
      <c r="F200" s="44" t="n"/>
      <c r="G200" s="58">
        <f>IF($G$198="","",$G$198)</f>
        <v/>
      </c>
      <c r="H200" s="59" t="n"/>
      <c r="I200" s="59" t="n"/>
      <c r="J200" s="59" t="n"/>
      <c r="K200" s="59" t="n"/>
      <c r="L200" s="65">
        <f>IF(SUM(U200:AY200)=0,"",SUM(U200:AY200))</f>
        <v/>
      </c>
      <c r="M200" s="66">
        <f>IFERROR(INDEX(U$2:AY$2,MATCH(TRUE,INDEX(U200:AY200&lt;&gt;"",0),0)),"")</f>
        <v/>
      </c>
      <c r="N200" s="66">
        <f>IFERROR(LOOKUP(2,1/(U200:AY200&lt;&gt;""),U$2:AY$2),"")</f>
        <v/>
      </c>
      <c r="O200" s="59" t="n"/>
      <c r="P200" s="59" t="n"/>
      <c r="Q200" s="59" t="n"/>
      <c r="R200" s="59" t="n"/>
      <c r="S200" s="14" t="n"/>
      <c r="U200" s="53" t="n"/>
      <c r="V200" s="53" t="n"/>
      <c r="W200" s="53" t="n"/>
      <c r="X200" s="53" t="n"/>
      <c r="Y200" s="53" t="n"/>
      <c r="Z200" s="53" t="n"/>
      <c r="AA200" s="53" t="n"/>
      <c r="AB200" s="53" t="n"/>
      <c r="AC200" s="53" t="n"/>
      <c r="AD200" s="53" t="n"/>
      <c r="AE200" s="53" t="n"/>
      <c r="AF200" s="53" t="n"/>
      <c r="AG200" s="53" t="n"/>
      <c r="AH200" s="53" t="n"/>
      <c r="AI200" s="53" t="n"/>
      <c r="AJ200" s="53" t="n"/>
      <c r="AK200" s="53" t="n"/>
      <c r="AL200" s="53" t="n"/>
      <c r="AM200" s="53" t="n"/>
      <c r="AN200" s="53" t="n"/>
      <c r="AO200" s="53" t="n"/>
      <c r="AP200" s="53" t="n"/>
      <c r="AQ200" s="53" t="n"/>
      <c r="AR200" s="53" t="n"/>
      <c r="AS200" s="53" t="n"/>
      <c r="AT200" s="53" t="n"/>
      <c r="AU200" s="53" t="n"/>
      <c r="AV200" s="53" t="n"/>
      <c r="AW200" s="53" t="n"/>
      <c r="AX200" s="53" t="n"/>
      <c r="AY200" s="53" t="n"/>
    </row>
    <row r="201" ht="15" customHeight="1">
      <c r="A201" s="40">
        <f>IF($D$201="","",64)</f>
        <v/>
      </c>
      <c r="B201" s="10" t="n"/>
      <c r="C201" s="41" t="inlineStr">
        <is>
          <t>마케팅4팀</t>
        </is>
      </c>
      <c r="D201" s="42" t="n"/>
      <c r="E201" s="43" t="inlineStr">
        <is>
          <t>기획</t>
        </is>
      </c>
      <c r="F201" s="44" t="n"/>
      <c r="G201" s="45" t="n"/>
      <c r="H201" s="46">
        <f>IF($I$201="","",IF($I$201&lt;0,"🔴지연",IF($I$201&lt;=1,"🟡임박","🟢여유")))</f>
        <v/>
      </c>
      <c r="I201" s="47">
        <f>IF(OR($G$201="",$K$201=""),"",$G$201-$K$201)</f>
        <v/>
      </c>
      <c r="J201" s="48">
        <f>IF(SUM($L$201:$L$203)=0,"",SUM($L$201:$L$203))</f>
        <v/>
      </c>
      <c r="K201" s="49">
        <f>IF($J$201="","",MAX($N$201:$N$203))</f>
        <v/>
      </c>
      <c r="L201" s="50">
        <f>IF(SUM(U201:AY201)=0,"",SUM(U201:AY201))</f>
        <v/>
      </c>
      <c r="M201" s="51">
        <f>IFERROR(INDEX(U$2:AY$2,MATCH(TRUE,INDEX(U201:AY201&lt;&gt;"",0),0)),"")</f>
        <v/>
      </c>
      <c r="N201" s="51">
        <f>IFERROR(LOOKUP(2,1/(U201:AY201&lt;&gt;""),U$2:AY$2),"")</f>
        <v/>
      </c>
      <c r="O201" s="52" t="n"/>
      <c r="P201" s="52" t="n"/>
      <c r="Q201" s="52" t="n"/>
      <c r="R201" s="44" t="n"/>
      <c r="S201" s="14" t="n"/>
      <c r="U201" s="53" t="n"/>
      <c r="V201" s="53" t="n"/>
      <c r="W201" s="53" t="n"/>
      <c r="X201" s="53" t="n"/>
      <c r="Y201" s="53" t="n"/>
      <c r="Z201" s="53" t="n"/>
      <c r="AA201" s="53" t="n"/>
      <c r="AB201" s="53" t="n"/>
      <c r="AC201" s="53" t="n"/>
      <c r="AD201" s="53" t="n"/>
      <c r="AE201" s="53" t="n"/>
      <c r="AF201" s="53" t="n"/>
      <c r="AG201" s="53" t="n"/>
      <c r="AH201" s="53" t="n"/>
      <c r="AI201" s="53" t="n"/>
      <c r="AJ201" s="53" t="n"/>
      <c r="AK201" s="53" t="n"/>
      <c r="AL201" s="53" t="n"/>
      <c r="AM201" s="53" t="n"/>
      <c r="AN201" s="53" t="n"/>
      <c r="AO201" s="53" t="n"/>
      <c r="AP201" s="53" t="n"/>
      <c r="AQ201" s="53" t="n"/>
      <c r="AR201" s="53" t="n"/>
      <c r="AS201" s="53" t="n"/>
      <c r="AT201" s="53" t="n"/>
      <c r="AU201" s="53" t="n"/>
      <c r="AV201" s="53" t="n"/>
      <c r="AW201" s="53" t="n"/>
      <c r="AX201" s="53" t="n"/>
      <c r="AY201" s="53" t="n"/>
    </row>
    <row r="202" ht="15" customHeight="1">
      <c r="A202" s="54" t="n"/>
      <c r="B202" s="55">
        <f>IF($B$201="","",$B$201)</f>
        <v/>
      </c>
      <c r="C202" s="56" t="inlineStr">
        <is>
          <t>마케팅4팀</t>
        </is>
      </c>
      <c r="D202" s="55">
        <f>IF($D$201="","",$D$201)</f>
        <v/>
      </c>
      <c r="E202" s="57" t="inlineStr">
        <is>
          <t>이미지</t>
        </is>
      </c>
      <c r="F202" s="44" t="n"/>
      <c r="G202" s="58">
        <f>IF($G$201="","",$G$201)</f>
        <v/>
      </c>
      <c r="H202" s="59" t="n"/>
      <c r="I202" s="59" t="n"/>
      <c r="J202" s="59" t="n"/>
      <c r="K202" s="59" t="n"/>
      <c r="L202" s="60">
        <f>IF(SUM(U202:AY202)=0,"",SUM(U202:AY202))</f>
        <v/>
      </c>
      <c r="M202" s="61">
        <f>IFERROR(INDEX(U$2:AY$2,MATCH(TRUE,INDEX(U202:AY202&lt;&gt;"",0),0)),"")</f>
        <v/>
      </c>
      <c r="N202" s="61">
        <f>IFERROR(LOOKUP(2,1/(U202:AY202&lt;&gt;""),U$2:AY$2),"")</f>
        <v/>
      </c>
      <c r="O202" s="59" t="n"/>
      <c r="P202" s="59" t="n"/>
      <c r="Q202" s="59" t="n"/>
      <c r="R202" s="59" t="n"/>
      <c r="S202" s="14" t="n"/>
      <c r="U202" s="53" t="n"/>
      <c r="V202" s="53" t="n"/>
      <c r="W202" s="53" t="n"/>
      <c r="X202" s="53" t="n"/>
      <c r="Y202" s="53" t="n"/>
      <c r="Z202" s="53" t="n"/>
      <c r="AA202" s="53" t="n"/>
      <c r="AB202" s="53" t="n"/>
      <c r="AC202" s="53" t="n"/>
      <c r="AD202" s="53" t="n"/>
      <c r="AE202" s="53" t="n"/>
      <c r="AF202" s="53" t="n"/>
      <c r="AG202" s="53" t="n"/>
      <c r="AH202" s="53" t="n"/>
      <c r="AI202" s="53" t="n"/>
      <c r="AJ202" s="53" t="n"/>
      <c r="AK202" s="53" t="n"/>
      <c r="AL202" s="53" t="n"/>
      <c r="AM202" s="53" t="n"/>
      <c r="AN202" s="53" t="n"/>
      <c r="AO202" s="53" t="n"/>
      <c r="AP202" s="53" t="n"/>
      <c r="AQ202" s="53" t="n"/>
      <c r="AR202" s="53" t="n"/>
      <c r="AS202" s="53" t="n"/>
      <c r="AT202" s="53" t="n"/>
      <c r="AU202" s="53" t="n"/>
      <c r="AV202" s="53" t="n"/>
      <c r="AW202" s="53" t="n"/>
      <c r="AX202" s="53" t="n"/>
      <c r="AY202" s="53" t="n"/>
    </row>
    <row r="203" ht="15" customHeight="1">
      <c r="A203" s="62" t="n"/>
      <c r="B203" s="55">
        <f>IF($B$201="","",$B$201)</f>
        <v/>
      </c>
      <c r="C203" s="63" t="inlineStr">
        <is>
          <t>마케팅4팀</t>
        </is>
      </c>
      <c r="D203" s="55">
        <f>IF($D$201="","",$D$201)</f>
        <v/>
      </c>
      <c r="E203" s="64" t="inlineStr">
        <is>
          <t>영상</t>
        </is>
      </c>
      <c r="F203" s="44" t="n"/>
      <c r="G203" s="58">
        <f>IF($G$201="","",$G$201)</f>
        <v/>
      </c>
      <c r="H203" s="59" t="n"/>
      <c r="I203" s="59" t="n"/>
      <c r="J203" s="59" t="n"/>
      <c r="K203" s="59" t="n"/>
      <c r="L203" s="65">
        <f>IF(SUM(U203:AY203)=0,"",SUM(U203:AY203))</f>
        <v/>
      </c>
      <c r="M203" s="66">
        <f>IFERROR(INDEX(U$2:AY$2,MATCH(TRUE,INDEX(U203:AY203&lt;&gt;"",0),0)),"")</f>
        <v/>
      </c>
      <c r="N203" s="66">
        <f>IFERROR(LOOKUP(2,1/(U203:AY203&lt;&gt;""),U$2:AY$2),"")</f>
        <v/>
      </c>
      <c r="O203" s="59" t="n"/>
      <c r="P203" s="59" t="n"/>
      <c r="Q203" s="59" t="n"/>
      <c r="R203" s="59" t="n"/>
      <c r="S203" s="14" t="n"/>
      <c r="U203" s="53" t="n"/>
      <c r="V203" s="53" t="n"/>
      <c r="W203" s="53" t="n"/>
      <c r="X203" s="53" t="n"/>
      <c r="Y203" s="53" t="n"/>
      <c r="Z203" s="53" t="n"/>
      <c r="AA203" s="53" t="n"/>
      <c r="AB203" s="53" t="n"/>
      <c r="AC203" s="53" t="n"/>
      <c r="AD203" s="53" t="n"/>
      <c r="AE203" s="53" t="n"/>
      <c r="AF203" s="53" t="n"/>
      <c r="AG203" s="53" t="n"/>
      <c r="AH203" s="53" t="n"/>
      <c r="AI203" s="53" t="n"/>
      <c r="AJ203" s="53" t="n"/>
      <c r="AK203" s="53" t="n"/>
      <c r="AL203" s="53" t="n"/>
      <c r="AM203" s="53" t="n"/>
      <c r="AN203" s="53" t="n"/>
      <c r="AO203" s="53" t="n"/>
      <c r="AP203" s="53" t="n"/>
      <c r="AQ203" s="53" t="n"/>
      <c r="AR203" s="53" t="n"/>
      <c r="AS203" s="53" t="n"/>
      <c r="AT203" s="53" t="n"/>
      <c r="AU203" s="53" t="n"/>
      <c r="AV203" s="53" t="n"/>
      <c r="AW203" s="53" t="n"/>
      <c r="AX203" s="53" t="n"/>
      <c r="AY203" s="53" t="n"/>
    </row>
    <row r="204" ht="15" customHeight="1">
      <c r="A204" s="40">
        <f>IF($D$204="","",65)</f>
        <v/>
      </c>
      <c r="B204" s="10" t="n"/>
      <c r="C204" s="41" t="inlineStr">
        <is>
          <t>마케팅4팀</t>
        </is>
      </c>
      <c r="D204" s="42" t="n"/>
      <c r="E204" s="43" t="inlineStr">
        <is>
          <t>기획</t>
        </is>
      </c>
      <c r="F204" s="44" t="n"/>
      <c r="G204" s="45" t="n"/>
      <c r="H204" s="46">
        <f>IF($I$204="","",IF($I$204&lt;0,"🔴지연",IF($I$204&lt;=1,"🟡임박","🟢여유")))</f>
        <v/>
      </c>
      <c r="I204" s="47">
        <f>IF(OR($G$204="",$K$204=""),"",$G$204-$K$204)</f>
        <v/>
      </c>
      <c r="J204" s="48">
        <f>IF(SUM($L$204:$L$206)=0,"",SUM($L$204:$L$206))</f>
        <v/>
      </c>
      <c r="K204" s="49">
        <f>IF($J$204="","",MAX($N$204:$N$206))</f>
        <v/>
      </c>
      <c r="L204" s="50">
        <f>IF(SUM(U204:AY204)=0,"",SUM(U204:AY204))</f>
        <v/>
      </c>
      <c r="M204" s="51">
        <f>IFERROR(INDEX(U$2:AY$2,MATCH(TRUE,INDEX(U204:AY204&lt;&gt;"",0),0)),"")</f>
        <v/>
      </c>
      <c r="N204" s="51">
        <f>IFERROR(LOOKUP(2,1/(U204:AY204&lt;&gt;""),U$2:AY$2),"")</f>
        <v/>
      </c>
      <c r="O204" s="52" t="n"/>
      <c r="P204" s="52" t="n"/>
      <c r="Q204" s="52" t="n"/>
      <c r="R204" s="44" t="n"/>
      <c r="S204" s="14" t="n"/>
      <c r="U204" s="53" t="n"/>
      <c r="V204" s="53" t="n"/>
      <c r="W204" s="53" t="n"/>
      <c r="X204" s="53" t="n"/>
      <c r="Y204" s="53" t="n"/>
      <c r="Z204" s="53" t="n"/>
      <c r="AA204" s="53" t="n"/>
      <c r="AB204" s="53" t="n"/>
      <c r="AC204" s="53" t="n"/>
      <c r="AD204" s="53" t="n"/>
      <c r="AE204" s="53" t="n"/>
      <c r="AF204" s="53" t="n"/>
      <c r="AG204" s="53" t="n"/>
      <c r="AH204" s="53" t="n"/>
      <c r="AI204" s="53" t="n"/>
      <c r="AJ204" s="53" t="n"/>
      <c r="AK204" s="53" t="n"/>
      <c r="AL204" s="53" t="n"/>
      <c r="AM204" s="53" t="n"/>
      <c r="AN204" s="53" t="n"/>
      <c r="AO204" s="53" t="n"/>
      <c r="AP204" s="53" t="n"/>
      <c r="AQ204" s="53" t="n"/>
      <c r="AR204" s="53" t="n"/>
      <c r="AS204" s="53" t="n"/>
      <c r="AT204" s="53" t="n"/>
      <c r="AU204" s="53" t="n"/>
      <c r="AV204" s="53" t="n"/>
      <c r="AW204" s="53" t="n"/>
      <c r="AX204" s="53" t="n"/>
      <c r="AY204" s="53" t="n"/>
    </row>
    <row r="205" ht="15" customHeight="1">
      <c r="A205" s="54" t="n"/>
      <c r="B205" s="55">
        <f>IF($B$204="","",$B$204)</f>
        <v/>
      </c>
      <c r="C205" s="56" t="inlineStr">
        <is>
          <t>마케팅4팀</t>
        </is>
      </c>
      <c r="D205" s="55">
        <f>IF($D$204="","",$D$204)</f>
        <v/>
      </c>
      <c r="E205" s="57" t="inlineStr">
        <is>
          <t>이미지</t>
        </is>
      </c>
      <c r="F205" s="44" t="n"/>
      <c r="G205" s="58">
        <f>IF($G$204="","",$G$204)</f>
        <v/>
      </c>
      <c r="H205" s="59" t="n"/>
      <c r="I205" s="59" t="n"/>
      <c r="J205" s="59" t="n"/>
      <c r="K205" s="59" t="n"/>
      <c r="L205" s="60">
        <f>IF(SUM(U205:AY205)=0,"",SUM(U205:AY205))</f>
        <v/>
      </c>
      <c r="M205" s="61">
        <f>IFERROR(INDEX(U$2:AY$2,MATCH(TRUE,INDEX(U205:AY205&lt;&gt;"",0),0)),"")</f>
        <v/>
      </c>
      <c r="N205" s="61">
        <f>IFERROR(LOOKUP(2,1/(U205:AY205&lt;&gt;""),U$2:AY$2),"")</f>
        <v/>
      </c>
      <c r="O205" s="59" t="n"/>
      <c r="P205" s="59" t="n"/>
      <c r="Q205" s="59" t="n"/>
      <c r="R205" s="59" t="n"/>
      <c r="S205" s="14" t="n"/>
      <c r="U205" s="53" t="n"/>
      <c r="V205" s="53" t="n"/>
      <c r="W205" s="53" t="n"/>
      <c r="X205" s="53" t="n"/>
      <c r="Y205" s="53" t="n"/>
      <c r="Z205" s="53" t="n"/>
      <c r="AA205" s="53" t="n"/>
      <c r="AB205" s="53" t="n"/>
      <c r="AC205" s="53" t="n"/>
      <c r="AD205" s="53" t="n"/>
      <c r="AE205" s="53" t="n"/>
      <c r="AF205" s="53" t="n"/>
      <c r="AG205" s="53" t="n"/>
      <c r="AH205" s="53" t="n"/>
      <c r="AI205" s="53" t="n"/>
      <c r="AJ205" s="53" t="n"/>
      <c r="AK205" s="53" t="n"/>
      <c r="AL205" s="53" t="n"/>
      <c r="AM205" s="53" t="n"/>
      <c r="AN205" s="53" t="n"/>
      <c r="AO205" s="53" t="n"/>
      <c r="AP205" s="53" t="n"/>
      <c r="AQ205" s="53" t="n"/>
      <c r="AR205" s="53" t="n"/>
      <c r="AS205" s="53" t="n"/>
      <c r="AT205" s="53" t="n"/>
      <c r="AU205" s="53" t="n"/>
      <c r="AV205" s="53" t="n"/>
      <c r="AW205" s="53" t="n"/>
      <c r="AX205" s="53" t="n"/>
      <c r="AY205" s="53" t="n"/>
    </row>
    <row r="206" ht="15" customHeight="1">
      <c r="A206" s="62" t="n"/>
      <c r="B206" s="55">
        <f>IF($B$204="","",$B$204)</f>
        <v/>
      </c>
      <c r="C206" s="63" t="inlineStr">
        <is>
          <t>마케팅4팀</t>
        </is>
      </c>
      <c r="D206" s="55">
        <f>IF($D$204="","",$D$204)</f>
        <v/>
      </c>
      <c r="E206" s="64" t="inlineStr">
        <is>
          <t>영상</t>
        </is>
      </c>
      <c r="F206" s="44" t="n"/>
      <c r="G206" s="58">
        <f>IF($G$204="","",$G$204)</f>
        <v/>
      </c>
      <c r="H206" s="59" t="n"/>
      <c r="I206" s="59" t="n"/>
      <c r="J206" s="59" t="n"/>
      <c r="K206" s="59" t="n"/>
      <c r="L206" s="65">
        <f>IF(SUM(U206:AY206)=0,"",SUM(U206:AY206))</f>
        <v/>
      </c>
      <c r="M206" s="66">
        <f>IFERROR(INDEX(U$2:AY$2,MATCH(TRUE,INDEX(U206:AY206&lt;&gt;"",0),0)),"")</f>
        <v/>
      </c>
      <c r="N206" s="66">
        <f>IFERROR(LOOKUP(2,1/(U206:AY206&lt;&gt;""),U$2:AY$2),"")</f>
        <v/>
      </c>
      <c r="O206" s="59" t="n"/>
      <c r="P206" s="59" t="n"/>
      <c r="Q206" s="59" t="n"/>
      <c r="R206" s="59" t="n"/>
      <c r="S206" s="14" t="n"/>
      <c r="U206" s="53" t="n"/>
      <c r="V206" s="53" t="n"/>
      <c r="W206" s="53" t="n"/>
      <c r="X206" s="53" t="n"/>
      <c r="Y206" s="53" t="n"/>
      <c r="Z206" s="53" t="n"/>
      <c r="AA206" s="53" t="n"/>
      <c r="AB206" s="53" t="n"/>
      <c r="AC206" s="53" t="n"/>
      <c r="AD206" s="53" t="n"/>
      <c r="AE206" s="53" t="n"/>
      <c r="AF206" s="53" t="n"/>
      <c r="AG206" s="53" t="n"/>
      <c r="AH206" s="53" t="n"/>
      <c r="AI206" s="53" t="n"/>
      <c r="AJ206" s="53" t="n"/>
      <c r="AK206" s="53" t="n"/>
      <c r="AL206" s="53" t="n"/>
      <c r="AM206" s="53" t="n"/>
      <c r="AN206" s="53" t="n"/>
      <c r="AO206" s="53" t="n"/>
      <c r="AP206" s="53" t="n"/>
      <c r="AQ206" s="53" t="n"/>
      <c r="AR206" s="53" t="n"/>
      <c r="AS206" s="53" t="n"/>
      <c r="AT206" s="53" t="n"/>
      <c r="AU206" s="53" t="n"/>
      <c r="AV206" s="53" t="n"/>
      <c r="AW206" s="53" t="n"/>
      <c r="AX206" s="53" t="n"/>
      <c r="AY206" s="53" t="n"/>
    </row>
    <row r="207" ht="15" customHeight="1">
      <c r="A207" s="40">
        <f>IF($D$207="","",66)</f>
        <v/>
      </c>
      <c r="B207" s="10" t="n"/>
      <c r="C207" s="41" t="inlineStr">
        <is>
          <t>마케팅4팀</t>
        </is>
      </c>
      <c r="D207" s="42" t="n"/>
      <c r="E207" s="43" t="inlineStr">
        <is>
          <t>기획</t>
        </is>
      </c>
      <c r="F207" s="44" t="n"/>
      <c r="G207" s="45" t="n"/>
      <c r="H207" s="46">
        <f>IF($I$207="","",IF($I$207&lt;0,"🔴지연",IF($I$207&lt;=1,"🟡임박","🟢여유")))</f>
        <v/>
      </c>
      <c r="I207" s="47">
        <f>IF(OR($G$207="",$K$207=""),"",$G$207-$K$207)</f>
        <v/>
      </c>
      <c r="J207" s="48">
        <f>IF(SUM($L$207:$L$209)=0,"",SUM($L$207:$L$209))</f>
        <v/>
      </c>
      <c r="K207" s="49">
        <f>IF($J$207="","",MAX($N$207:$N$209))</f>
        <v/>
      </c>
      <c r="L207" s="50">
        <f>IF(SUM(U207:AY207)=0,"",SUM(U207:AY207))</f>
        <v/>
      </c>
      <c r="M207" s="51">
        <f>IFERROR(INDEX(U$2:AY$2,MATCH(TRUE,INDEX(U207:AY207&lt;&gt;"",0),0)),"")</f>
        <v/>
      </c>
      <c r="N207" s="51">
        <f>IFERROR(LOOKUP(2,1/(U207:AY207&lt;&gt;""),U$2:AY$2),"")</f>
        <v/>
      </c>
      <c r="O207" s="52" t="n"/>
      <c r="P207" s="52" t="n"/>
      <c r="Q207" s="52" t="n"/>
      <c r="R207" s="44" t="n"/>
      <c r="S207" s="14" t="n"/>
      <c r="U207" s="53" t="n"/>
      <c r="V207" s="53" t="n"/>
      <c r="W207" s="53" t="n"/>
      <c r="X207" s="53" t="n"/>
      <c r="Y207" s="53" t="n"/>
      <c r="Z207" s="53" t="n"/>
      <c r="AA207" s="53" t="n"/>
      <c r="AB207" s="53" t="n"/>
      <c r="AC207" s="53" t="n"/>
      <c r="AD207" s="53" t="n"/>
      <c r="AE207" s="53" t="n"/>
      <c r="AF207" s="53" t="n"/>
      <c r="AG207" s="53" t="n"/>
      <c r="AH207" s="53" t="n"/>
      <c r="AI207" s="53" t="n"/>
      <c r="AJ207" s="53" t="n"/>
      <c r="AK207" s="53" t="n"/>
      <c r="AL207" s="53" t="n"/>
      <c r="AM207" s="53" t="n"/>
      <c r="AN207" s="53" t="n"/>
      <c r="AO207" s="53" t="n"/>
      <c r="AP207" s="53" t="n"/>
      <c r="AQ207" s="53" t="n"/>
      <c r="AR207" s="53" t="n"/>
      <c r="AS207" s="53" t="n"/>
      <c r="AT207" s="53" t="n"/>
      <c r="AU207" s="53" t="n"/>
      <c r="AV207" s="53" t="n"/>
      <c r="AW207" s="53" t="n"/>
      <c r="AX207" s="53" t="n"/>
      <c r="AY207" s="53" t="n"/>
    </row>
    <row r="208" ht="15" customHeight="1">
      <c r="A208" s="54" t="n"/>
      <c r="B208" s="55">
        <f>IF($B$207="","",$B$207)</f>
        <v/>
      </c>
      <c r="C208" s="56" t="inlineStr">
        <is>
          <t>마케팅4팀</t>
        </is>
      </c>
      <c r="D208" s="55">
        <f>IF($D$207="","",$D$207)</f>
        <v/>
      </c>
      <c r="E208" s="57" t="inlineStr">
        <is>
          <t>이미지</t>
        </is>
      </c>
      <c r="F208" s="44" t="n"/>
      <c r="G208" s="58">
        <f>IF($G$207="","",$G$207)</f>
        <v/>
      </c>
      <c r="H208" s="59" t="n"/>
      <c r="I208" s="59" t="n"/>
      <c r="J208" s="59" t="n"/>
      <c r="K208" s="59" t="n"/>
      <c r="L208" s="60">
        <f>IF(SUM(U208:AY208)=0,"",SUM(U208:AY208))</f>
        <v/>
      </c>
      <c r="M208" s="61">
        <f>IFERROR(INDEX(U$2:AY$2,MATCH(TRUE,INDEX(U208:AY208&lt;&gt;"",0),0)),"")</f>
        <v/>
      </c>
      <c r="N208" s="61">
        <f>IFERROR(LOOKUP(2,1/(U208:AY208&lt;&gt;""),U$2:AY$2),"")</f>
        <v/>
      </c>
      <c r="O208" s="59" t="n"/>
      <c r="P208" s="59" t="n"/>
      <c r="Q208" s="59" t="n"/>
      <c r="R208" s="59" t="n"/>
      <c r="S208" s="14" t="n"/>
      <c r="U208" s="53" t="n"/>
      <c r="V208" s="53" t="n"/>
      <c r="W208" s="53" t="n"/>
      <c r="X208" s="53" t="n"/>
      <c r="Y208" s="53" t="n"/>
      <c r="Z208" s="53" t="n"/>
      <c r="AA208" s="53" t="n"/>
      <c r="AB208" s="53" t="n"/>
      <c r="AC208" s="53" t="n"/>
      <c r="AD208" s="53" t="n"/>
      <c r="AE208" s="53" t="n"/>
      <c r="AF208" s="53" t="n"/>
      <c r="AG208" s="53" t="n"/>
      <c r="AH208" s="53" t="n"/>
      <c r="AI208" s="53" t="n"/>
      <c r="AJ208" s="53" t="n"/>
      <c r="AK208" s="53" t="n"/>
      <c r="AL208" s="53" t="n"/>
      <c r="AM208" s="53" t="n"/>
      <c r="AN208" s="53" t="n"/>
      <c r="AO208" s="53" t="n"/>
      <c r="AP208" s="53" t="n"/>
      <c r="AQ208" s="53" t="n"/>
      <c r="AR208" s="53" t="n"/>
      <c r="AS208" s="53" t="n"/>
      <c r="AT208" s="53" t="n"/>
      <c r="AU208" s="53" t="n"/>
      <c r="AV208" s="53" t="n"/>
      <c r="AW208" s="53" t="n"/>
      <c r="AX208" s="53" t="n"/>
      <c r="AY208" s="53" t="n"/>
    </row>
    <row r="209" ht="15" customHeight="1">
      <c r="A209" s="62" t="n"/>
      <c r="B209" s="55">
        <f>IF($B$207="","",$B$207)</f>
        <v/>
      </c>
      <c r="C209" s="63" t="inlineStr">
        <is>
          <t>마케팅4팀</t>
        </is>
      </c>
      <c r="D209" s="55">
        <f>IF($D$207="","",$D$207)</f>
        <v/>
      </c>
      <c r="E209" s="64" t="inlineStr">
        <is>
          <t>영상</t>
        </is>
      </c>
      <c r="F209" s="44" t="n"/>
      <c r="G209" s="58">
        <f>IF($G$207="","",$G$207)</f>
        <v/>
      </c>
      <c r="H209" s="59" t="n"/>
      <c r="I209" s="59" t="n"/>
      <c r="J209" s="59" t="n"/>
      <c r="K209" s="59" t="n"/>
      <c r="L209" s="65">
        <f>IF(SUM(U209:AY209)=0,"",SUM(U209:AY209))</f>
        <v/>
      </c>
      <c r="M209" s="66">
        <f>IFERROR(INDEX(U$2:AY$2,MATCH(TRUE,INDEX(U209:AY209&lt;&gt;"",0),0)),"")</f>
        <v/>
      </c>
      <c r="N209" s="66">
        <f>IFERROR(LOOKUP(2,1/(U209:AY209&lt;&gt;""),U$2:AY$2),"")</f>
        <v/>
      </c>
      <c r="O209" s="59" t="n"/>
      <c r="P209" s="59" t="n"/>
      <c r="Q209" s="59" t="n"/>
      <c r="R209" s="59" t="n"/>
      <c r="S209" s="14" t="n"/>
      <c r="U209" s="53" t="n"/>
      <c r="V209" s="53" t="n"/>
      <c r="W209" s="53" t="n"/>
      <c r="X209" s="53" t="n"/>
      <c r="Y209" s="53" t="n"/>
      <c r="Z209" s="53" t="n"/>
      <c r="AA209" s="53" t="n"/>
      <c r="AB209" s="53" t="n"/>
      <c r="AC209" s="53" t="n"/>
      <c r="AD209" s="53" t="n"/>
      <c r="AE209" s="53" t="n"/>
      <c r="AF209" s="53" t="n"/>
      <c r="AG209" s="53" t="n"/>
      <c r="AH209" s="53" t="n"/>
      <c r="AI209" s="53" t="n"/>
      <c r="AJ209" s="53" t="n"/>
      <c r="AK209" s="53" t="n"/>
      <c r="AL209" s="53" t="n"/>
      <c r="AM209" s="53" t="n"/>
      <c r="AN209" s="53" t="n"/>
      <c r="AO209" s="53" t="n"/>
      <c r="AP209" s="53" t="n"/>
      <c r="AQ209" s="53" t="n"/>
      <c r="AR209" s="53" t="n"/>
      <c r="AS209" s="53" t="n"/>
      <c r="AT209" s="53" t="n"/>
      <c r="AU209" s="53" t="n"/>
      <c r="AV209" s="53" t="n"/>
      <c r="AW209" s="53" t="n"/>
      <c r="AX209" s="53" t="n"/>
      <c r="AY209" s="53" t="n"/>
    </row>
    <row r="210" ht="15" customHeight="1">
      <c r="A210" s="40">
        <f>IF($D$210="","",67)</f>
        <v/>
      </c>
      <c r="B210" s="10" t="n"/>
      <c r="C210" s="41" t="inlineStr">
        <is>
          <t>마케팅4팀</t>
        </is>
      </c>
      <c r="D210" s="42" t="n"/>
      <c r="E210" s="43" t="inlineStr">
        <is>
          <t>기획</t>
        </is>
      </c>
      <c r="F210" s="44" t="n"/>
      <c r="G210" s="45" t="n"/>
      <c r="H210" s="46">
        <f>IF($I$210="","",IF($I$210&lt;0,"🔴지연",IF($I$210&lt;=1,"🟡임박","🟢여유")))</f>
        <v/>
      </c>
      <c r="I210" s="47">
        <f>IF(OR($G$210="",$K$210=""),"",$G$210-$K$210)</f>
        <v/>
      </c>
      <c r="J210" s="48">
        <f>IF(SUM($L$210:$L$212)=0,"",SUM($L$210:$L$212))</f>
        <v/>
      </c>
      <c r="K210" s="49">
        <f>IF($J$210="","",MAX($N$210:$N$212))</f>
        <v/>
      </c>
      <c r="L210" s="50">
        <f>IF(SUM(U210:AY210)=0,"",SUM(U210:AY210))</f>
        <v/>
      </c>
      <c r="M210" s="51">
        <f>IFERROR(INDEX(U$2:AY$2,MATCH(TRUE,INDEX(U210:AY210&lt;&gt;"",0),0)),"")</f>
        <v/>
      </c>
      <c r="N210" s="51">
        <f>IFERROR(LOOKUP(2,1/(U210:AY210&lt;&gt;""),U$2:AY$2),"")</f>
        <v/>
      </c>
      <c r="O210" s="52" t="n"/>
      <c r="P210" s="52" t="n"/>
      <c r="Q210" s="52" t="n"/>
      <c r="R210" s="44" t="n"/>
      <c r="S210" s="14" t="n"/>
      <c r="U210" s="53" t="n"/>
      <c r="V210" s="53" t="n"/>
      <c r="W210" s="53" t="n"/>
      <c r="X210" s="53" t="n"/>
      <c r="Y210" s="53" t="n"/>
      <c r="Z210" s="53" t="n"/>
      <c r="AA210" s="53" t="n"/>
      <c r="AB210" s="53" t="n"/>
      <c r="AC210" s="53" t="n"/>
      <c r="AD210" s="53" t="n"/>
      <c r="AE210" s="53" t="n"/>
      <c r="AF210" s="53" t="n"/>
      <c r="AG210" s="53" t="n"/>
      <c r="AH210" s="53" t="n"/>
      <c r="AI210" s="53" t="n"/>
      <c r="AJ210" s="53" t="n"/>
      <c r="AK210" s="53" t="n"/>
      <c r="AL210" s="53" t="n"/>
      <c r="AM210" s="53" t="n"/>
      <c r="AN210" s="53" t="n"/>
      <c r="AO210" s="53" t="n"/>
      <c r="AP210" s="53" t="n"/>
      <c r="AQ210" s="53" t="n"/>
      <c r="AR210" s="53" t="n"/>
      <c r="AS210" s="53" t="n"/>
      <c r="AT210" s="53" t="n"/>
      <c r="AU210" s="53" t="n"/>
      <c r="AV210" s="53" t="n"/>
      <c r="AW210" s="53" t="n"/>
      <c r="AX210" s="53" t="n"/>
      <c r="AY210" s="53" t="n"/>
    </row>
    <row r="211" ht="15" customHeight="1">
      <c r="A211" s="54" t="n"/>
      <c r="B211" s="55">
        <f>IF($B$210="","",$B$210)</f>
        <v/>
      </c>
      <c r="C211" s="56" t="inlineStr">
        <is>
          <t>마케팅4팀</t>
        </is>
      </c>
      <c r="D211" s="55">
        <f>IF($D$210="","",$D$210)</f>
        <v/>
      </c>
      <c r="E211" s="57" t="inlineStr">
        <is>
          <t>이미지</t>
        </is>
      </c>
      <c r="F211" s="44" t="n"/>
      <c r="G211" s="58">
        <f>IF($G$210="","",$G$210)</f>
        <v/>
      </c>
      <c r="H211" s="59" t="n"/>
      <c r="I211" s="59" t="n"/>
      <c r="J211" s="59" t="n"/>
      <c r="K211" s="59" t="n"/>
      <c r="L211" s="60">
        <f>IF(SUM(U211:AY211)=0,"",SUM(U211:AY211))</f>
        <v/>
      </c>
      <c r="M211" s="61">
        <f>IFERROR(INDEX(U$2:AY$2,MATCH(TRUE,INDEX(U211:AY211&lt;&gt;"",0),0)),"")</f>
        <v/>
      </c>
      <c r="N211" s="61">
        <f>IFERROR(LOOKUP(2,1/(U211:AY211&lt;&gt;""),U$2:AY$2),"")</f>
        <v/>
      </c>
      <c r="O211" s="59" t="n"/>
      <c r="P211" s="59" t="n"/>
      <c r="Q211" s="59" t="n"/>
      <c r="R211" s="59" t="n"/>
      <c r="S211" s="14" t="n"/>
      <c r="U211" s="53" t="n"/>
      <c r="V211" s="53" t="n"/>
      <c r="W211" s="53" t="n"/>
      <c r="X211" s="53" t="n"/>
      <c r="Y211" s="53" t="n"/>
      <c r="Z211" s="53" t="n"/>
      <c r="AA211" s="53" t="n"/>
      <c r="AB211" s="53" t="n"/>
      <c r="AC211" s="53" t="n"/>
      <c r="AD211" s="53" t="n"/>
      <c r="AE211" s="53" t="n"/>
      <c r="AF211" s="53" t="n"/>
      <c r="AG211" s="53" t="n"/>
      <c r="AH211" s="53" t="n"/>
      <c r="AI211" s="53" t="n"/>
      <c r="AJ211" s="53" t="n"/>
      <c r="AK211" s="53" t="n"/>
      <c r="AL211" s="53" t="n"/>
      <c r="AM211" s="53" t="n"/>
      <c r="AN211" s="53" t="n"/>
      <c r="AO211" s="53" t="n"/>
      <c r="AP211" s="53" t="n"/>
      <c r="AQ211" s="53" t="n"/>
      <c r="AR211" s="53" t="n"/>
      <c r="AS211" s="53" t="n"/>
      <c r="AT211" s="53" t="n"/>
      <c r="AU211" s="53" t="n"/>
      <c r="AV211" s="53" t="n"/>
      <c r="AW211" s="53" t="n"/>
      <c r="AX211" s="53" t="n"/>
      <c r="AY211" s="53" t="n"/>
    </row>
    <row r="212" ht="15" customHeight="1">
      <c r="A212" s="62" t="n"/>
      <c r="B212" s="55">
        <f>IF($B$210="","",$B$210)</f>
        <v/>
      </c>
      <c r="C212" s="63" t="inlineStr">
        <is>
          <t>마케팅4팀</t>
        </is>
      </c>
      <c r="D212" s="55">
        <f>IF($D$210="","",$D$210)</f>
        <v/>
      </c>
      <c r="E212" s="64" t="inlineStr">
        <is>
          <t>영상</t>
        </is>
      </c>
      <c r="F212" s="44" t="n"/>
      <c r="G212" s="58">
        <f>IF($G$210="","",$G$210)</f>
        <v/>
      </c>
      <c r="H212" s="59" t="n"/>
      <c r="I212" s="59" t="n"/>
      <c r="J212" s="59" t="n"/>
      <c r="K212" s="59" t="n"/>
      <c r="L212" s="65">
        <f>IF(SUM(U212:AY212)=0,"",SUM(U212:AY212))</f>
        <v/>
      </c>
      <c r="M212" s="66">
        <f>IFERROR(INDEX(U$2:AY$2,MATCH(TRUE,INDEX(U212:AY212&lt;&gt;"",0),0)),"")</f>
        <v/>
      </c>
      <c r="N212" s="66">
        <f>IFERROR(LOOKUP(2,1/(U212:AY212&lt;&gt;""),U$2:AY$2),"")</f>
        <v/>
      </c>
      <c r="O212" s="59" t="n"/>
      <c r="P212" s="59" t="n"/>
      <c r="Q212" s="59" t="n"/>
      <c r="R212" s="59" t="n"/>
      <c r="S212" s="14" t="n"/>
      <c r="U212" s="53" t="n"/>
      <c r="V212" s="53" t="n"/>
      <c r="W212" s="53" t="n"/>
      <c r="X212" s="53" t="n"/>
      <c r="Y212" s="53" t="n"/>
      <c r="Z212" s="53" t="n"/>
      <c r="AA212" s="53" t="n"/>
      <c r="AB212" s="53" t="n"/>
      <c r="AC212" s="53" t="n"/>
      <c r="AD212" s="53" t="n"/>
      <c r="AE212" s="53" t="n"/>
      <c r="AF212" s="53" t="n"/>
      <c r="AG212" s="53" t="n"/>
      <c r="AH212" s="53" t="n"/>
      <c r="AI212" s="53" t="n"/>
      <c r="AJ212" s="53" t="n"/>
      <c r="AK212" s="53" t="n"/>
      <c r="AL212" s="53" t="n"/>
      <c r="AM212" s="53" t="n"/>
      <c r="AN212" s="53" t="n"/>
      <c r="AO212" s="53" t="n"/>
      <c r="AP212" s="53" t="n"/>
      <c r="AQ212" s="53" t="n"/>
      <c r="AR212" s="53" t="n"/>
      <c r="AS212" s="53" t="n"/>
      <c r="AT212" s="53" t="n"/>
      <c r="AU212" s="53" t="n"/>
      <c r="AV212" s="53" t="n"/>
      <c r="AW212" s="53" t="n"/>
      <c r="AX212" s="53" t="n"/>
      <c r="AY212" s="53" t="n"/>
    </row>
    <row r="213" ht="15" customHeight="1">
      <c r="A213" s="40">
        <f>IF($D$213="","",68)</f>
        <v/>
      </c>
      <c r="B213" s="10" t="n"/>
      <c r="C213" s="41" t="inlineStr">
        <is>
          <t>마케팅4팀</t>
        </is>
      </c>
      <c r="D213" s="42" t="n"/>
      <c r="E213" s="43" t="inlineStr">
        <is>
          <t>기획</t>
        </is>
      </c>
      <c r="F213" s="44" t="n"/>
      <c r="G213" s="45" t="n"/>
      <c r="H213" s="46">
        <f>IF($I$213="","",IF($I$213&lt;0,"🔴지연",IF($I$213&lt;=1,"🟡임박","🟢여유")))</f>
        <v/>
      </c>
      <c r="I213" s="47">
        <f>IF(OR($G$213="",$K$213=""),"",$G$213-$K$213)</f>
        <v/>
      </c>
      <c r="J213" s="48">
        <f>IF(SUM($L$213:$L$215)=0,"",SUM($L$213:$L$215))</f>
        <v/>
      </c>
      <c r="K213" s="49">
        <f>IF($J$213="","",MAX($N$213:$N$215))</f>
        <v/>
      </c>
      <c r="L213" s="50">
        <f>IF(SUM(U213:AY213)=0,"",SUM(U213:AY213))</f>
        <v/>
      </c>
      <c r="M213" s="51">
        <f>IFERROR(INDEX(U$2:AY$2,MATCH(TRUE,INDEX(U213:AY213&lt;&gt;"",0),0)),"")</f>
        <v/>
      </c>
      <c r="N213" s="51">
        <f>IFERROR(LOOKUP(2,1/(U213:AY213&lt;&gt;""),U$2:AY$2),"")</f>
        <v/>
      </c>
      <c r="O213" s="52" t="n"/>
      <c r="P213" s="52" t="n"/>
      <c r="Q213" s="52" t="n"/>
      <c r="R213" s="44" t="n"/>
      <c r="S213" s="14" t="n"/>
      <c r="U213" s="53" t="n"/>
      <c r="V213" s="53" t="n"/>
      <c r="W213" s="53" t="n"/>
      <c r="X213" s="53" t="n"/>
      <c r="Y213" s="53" t="n"/>
      <c r="Z213" s="53" t="n"/>
      <c r="AA213" s="53" t="n"/>
      <c r="AB213" s="53" t="n"/>
      <c r="AC213" s="53" t="n"/>
      <c r="AD213" s="53" t="n"/>
      <c r="AE213" s="53" t="n"/>
      <c r="AF213" s="53" t="n"/>
      <c r="AG213" s="53" t="n"/>
      <c r="AH213" s="53" t="n"/>
      <c r="AI213" s="53" t="n"/>
      <c r="AJ213" s="53" t="n"/>
      <c r="AK213" s="53" t="n"/>
      <c r="AL213" s="53" t="n"/>
      <c r="AM213" s="53" t="n"/>
      <c r="AN213" s="53" t="n"/>
      <c r="AO213" s="53" t="n"/>
      <c r="AP213" s="53" t="n"/>
      <c r="AQ213" s="53" t="n"/>
      <c r="AR213" s="53" t="n"/>
      <c r="AS213" s="53" t="n"/>
      <c r="AT213" s="53" t="n"/>
      <c r="AU213" s="53" t="n"/>
      <c r="AV213" s="53" t="n"/>
      <c r="AW213" s="53" t="n"/>
      <c r="AX213" s="53" t="n"/>
      <c r="AY213" s="53" t="n"/>
    </row>
    <row r="214" ht="15" customHeight="1">
      <c r="A214" s="54" t="n"/>
      <c r="B214" s="55">
        <f>IF($B$213="","",$B$213)</f>
        <v/>
      </c>
      <c r="C214" s="56" t="inlineStr">
        <is>
          <t>마케팅4팀</t>
        </is>
      </c>
      <c r="D214" s="55">
        <f>IF($D$213="","",$D$213)</f>
        <v/>
      </c>
      <c r="E214" s="57" t="inlineStr">
        <is>
          <t>이미지</t>
        </is>
      </c>
      <c r="F214" s="44" t="n"/>
      <c r="G214" s="58">
        <f>IF($G$213="","",$G$213)</f>
        <v/>
      </c>
      <c r="H214" s="59" t="n"/>
      <c r="I214" s="59" t="n"/>
      <c r="J214" s="59" t="n"/>
      <c r="K214" s="59" t="n"/>
      <c r="L214" s="60">
        <f>IF(SUM(U214:AY214)=0,"",SUM(U214:AY214))</f>
        <v/>
      </c>
      <c r="M214" s="61">
        <f>IFERROR(INDEX(U$2:AY$2,MATCH(TRUE,INDEX(U214:AY214&lt;&gt;"",0),0)),"")</f>
        <v/>
      </c>
      <c r="N214" s="61">
        <f>IFERROR(LOOKUP(2,1/(U214:AY214&lt;&gt;""),U$2:AY$2),"")</f>
        <v/>
      </c>
      <c r="O214" s="59" t="n"/>
      <c r="P214" s="59" t="n"/>
      <c r="Q214" s="59" t="n"/>
      <c r="R214" s="59" t="n"/>
      <c r="S214" s="14" t="n"/>
      <c r="U214" s="53" t="n"/>
      <c r="V214" s="53" t="n"/>
      <c r="W214" s="53" t="n"/>
      <c r="X214" s="53" t="n"/>
      <c r="Y214" s="53" t="n"/>
      <c r="Z214" s="53" t="n"/>
      <c r="AA214" s="53" t="n"/>
      <c r="AB214" s="53" t="n"/>
      <c r="AC214" s="53" t="n"/>
      <c r="AD214" s="53" t="n"/>
      <c r="AE214" s="53" t="n"/>
      <c r="AF214" s="53" t="n"/>
      <c r="AG214" s="53" t="n"/>
      <c r="AH214" s="53" t="n"/>
      <c r="AI214" s="53" t="n"/>
      <c r="AJ214" s="53" t="n"/>
      <c r="AK214" s="53" t="n"/>
      <c r="AL214" s="53" t="n"/>
      <c r="AM214" s="53" t="n"/>
      <c r="AN214" s="53" t="n"/>
      <c r="AO214" s="53" t="n"/>
      <c r="AP214" s="53" t="n"/>
      <c r="AQ214" s="53" t="n"/>
      <c r="AR214" s="53" t="n"/>
      <c r="AS214" s="53" t="n"/>
      <c r="AT214" s="53" t="n"/>
      <c r="AU214" s="53" t="n"/>
      <c r="AV214" s="53" t="n"/>
      <c r="AW214" s="53" t="n"/>
      <c r="AX214" s="53" t="n"/>
      <c r="AY214" s="53" t="n"/>
    </row>
    <row r="215" ht="15" customHeight="1">
      <c r="A215" s="62" t="n"/>
      <c r="B215" s="55">
        <f>IF($B$213="","",$B$213)</f>
        <v/>
      </c>
      <c r="C215" s="63" t="inlineStr">
        <is>
          <t>마케팅4팀</t>
        </is>
      </c>
      <c r="D215" s="55">
        <f>IF($D$213="","",$D$213)</f>
        <v/>
      </c>
      <c r="E215" s="64" t="inlineStr">
        <is>
          <t>영상</t>
        </is>
      </c>
      <c r="F215" s="44" t="n"/>
      <c r="G215" s="58">
        <f>IF($G$213="","",$G$213)</f>
        <v/>
      </c>
      <c r="H215" s="59" t="n"/>
      <c r="I215" s="59" t="n"/>
      <c r="J215" s="59" t="n"/>
      <c r="K215" s="59" t="n"/>
      <c r="L215" s="65">
        <f>IF(SUM(U215:AY215)=0,"",SUM(U215:AY215))</f>
        <v/>
      </c>
      <c r="M215" s="66">
        <f>IFERROR(INDEX(U$2:AY$2,MATCH(TRUE,INDEX(U215:AY215&lt;&gt;"",0),0)),"")</f>
        <v/>
      </c>
      <c r="N215" s="66">
        <f>IFERROR(LOOKUP(2,1/(U215:AY215&lt;&gt;""),U$2:AY$2),"")</f>
        <v/>
      </c>
      <c r="O215" s="59" t="n"/>
      <c r="P215" s="59" t="n"/>
      <c r="Q215" s="59" t="n"/>
      <c r="R215" s="59" t="n"/>
      <c r="S215" s="14" t="n"/>
      <c r="U215" s="53" t="n"/>
      <c r="V215" s="53" t="n"/>
      <c r="W215" s="53" t="n"/>
      <c r="X215" s="53" t="n"/>
      <c r="Y215" s="53" t="n"/>
      <c r="Z215" s="53" t="n"/>
      <c r="AA215" s="53" t="n"/>
      <c r="AB215" s="53" t="n"/>
      <c r="AC215" s="53" t="n"/>
      <c r="AD215" s="53" t="n"/>
      <c r="AE215" s="53" t="n"/>
      <c r="AF215" s="53" t="n"/>
      <c r="AG215" s="53" t="n"/>
      <c r="AH215" s="53" t="n"/>
      <c r="AI215" s="53" t="n"/>
      <c r="AJ215" s="53" t="n"/>
      <c r="AK215" s="53" t="n"/>
      <c r="AL215" s="53" t="n"/>
      <c r="AM215" s="53" t="n"/>
      <c r="AN215" s="53" t="n"/>
      <c r="AO215" s="53" t="n"/>
      <c r="AP215" s="53" t="n"/>
      <c r="AQ215" s="53" t="n"/>
      <c r="AR215" s="53" t="n"/>
      <c r="AS215" s="53" t="n"/>
      <c r="AT215" s="53" t="n"/>
      <c r="AU215" s="53" t="n"/>
      <c r="AV215" s="53" t="n"/>
      <c r="AW215" s="53" t="n"/>
      <c r="AX215" s="53" t="n"/>
      <c r="AY215" s="53" t="n"/>
    </row>
    <row r="216" ht="15" customHeight="1">
      <c r="A216" s="40">
        <f>IF($D$216="","",69)</f>
        <v/>
      </c>
      <c r="B216" s="10" t="n"/>
      <c r="C216" s="41" t="inlineStr">
        <is>
          <t>마케팅4팀</t>
        </is>
      </c>
      <c r="D216" s="42" t="n"/>
      <c r="E216" s="43" t="inlineStr">
        <is>
          <t>기획</t>
        </is>
      </c>
      <c r="F216" s="44" t="n"/>
      <c r="G216" s="45" t="n"/>
      <c r="H216" s="46">
        <f>IF($I$216="","",IF($I$216&lt;0,"🔴지연",IF($I$216&lt;=1,"🟡임박","🟢여유")))</f>
        <v/>
      </c>
      <c r="I216" s="47">
        <f>IF(OR($G$216="",$K$216=""),"",$G$216-$K$216)</f>
        <v/>
      </c>
      <c r="J216" s="48">
        <f>IF(SUM($L$216:$L$218)=0,"",SUM($L$216:$L$218))</f>
        <v/>
      </c>
      <c r="K216" s="49">
        <f>IF($J$216="","",MAX($N$216:$N$218))</f>
        <v/>
      </c>
      <c r="L216" s="50">
        <f>IF(SUM(U216:AY216)=0,"",SUM(U216:AY216))</f>
        <v/>
      </c>
      <c r="M216" s="51">
        <f>IFERROR(INDEX(U$2:AY$2,MATCH(TRUE,INDEX(U216:AY216&lt;&gt;"",0),0)),"")</f>
        <v/>
      </c>
      <c r="N216" s="51">
        <f>IFERROR(LOOKUP(2,1/(U216:AY216&lt;&gt;""),U$2:AY$2),"")</f>
        <v/>
      </c>
      <c r="O216" s="52" t="n"/>
      <c r="P216" s="52" t="n"/>
      <c r="Q216" s="52" t="n"/>
      <c r="R216" s="44" t="n"/>
      <c r="S216" s="14" t="n"/>
      <c r="U216" s="53" t="n"/>
      <c r="V216" s="53" t="n"/>
      <c r="W216" s="53" t="n"/>
      <c r="X216" s="53" t="n"/>
      <c r="Y216" s="53" t="n"/>
      <c r="Z216" s="53" t="n"/>
      <c r="AA216" s="53" t="n"/>
      <c r="AB216" s="53" t="n"/>
      <c r="AC216" s="53" t="n"/>
      <c r="AD216" s="53" t="n"/>
      <c r="AE216" s="53" t="n"/>
      <c r="AF216" s="53" t="n"/>
      <c r="AG216" s="53" t="n"/>
      <c r="AH216" s="53" t="n"/>
      <c r="AI216" s="53" t="n"/>
      <c r="AJ216" s="53" t="n"/>
      <c r="AK216" s="53" t="n"/>
      <c r="AL216" s="53" t="n"/>
      <c r="AM216" s="53" t="n"/>
      <c r="AN216" s="53" t="n"/>
      <c r="AO216" s="53" t="n"/>
      <c r="AP216" s="53" t="n"/>
      <c r="AQ216" s="53" t="n"/>
      <c r="AR216" s="53" t="n"/>
      <c r="AS216" s="53" t="n"/>
      <c r="AT216" s="53" t="n"/>
      <c r="AU216" s="53" t="n"/>
      <c r="AV216" s="53" t="n"/>
      <c r="AW216" s="53" t="n"/>
      <c r="AX216" s="53" t="n"/>
      <c r="AY216" s="53" t="n"/>
    </row>
    <row r="217" ht="15" customHeight="1">
      <c r="A217" s="54" t="n"/>
      <c r="B217" s="55">
        <f>IF($B$216="","",$B$216)</f>
        <v/>
      </c>
      <c r="C217" s="56" t="inlineStr">
        <is>
          <t>마케팅4팀</t>
        </is>
      </c>
      <c r="D217" s="55">
        <f>IF($D$216="","",$D$216)</f>
        <v/>
      </c>
      <c r="E217" s="57" t="inlineStr">
        <is>
          <t>이미지</t>
        </is>
      </c>
      <c r="F217" s="44" t="n"/>
      <c r="G217" s="58">
        <f>IF($G$216="","",$G$216)</f>
        <v/>
      </c>
      <c r="H217" s="59" t="n"/>
      <c r="I217" s="59" t="n"/>
      <c r="J217" s="59" t="n"/>
      <c r="K217" s="59" t="n"/>
      <c r="L217" s="60">
        <f>IF(SUM(U217:AY217)=0,"",SUM(U217:AY217))</f>
        <v/>
      </c>
      <c r="M217" s="61">
        <f>IFERROR(INDEX(U$2:AY$2,MATCH(TRUE,INDEX(U217:AY217&lt;&gt;"",0),0)),"")</f>
        <v/>
      </c>
      <c r="N217" s="61">
        <f>IFERROR(LOOKUP(2,1/(U217:AY217&lt;&gt;""),U$2:AY$2),"")</f>
        <v/>
      </c>
      <c r="O217" s="59" t="n"/>
      <c r="P217" s="59" t="n"/>
      <c r="Q217" s="59" t="n"/>
      <c r="R217" s="59" t="n"/>
      <c r="S217" s="14" t="n"/>
      <c r="U217" s="53" t="n"/>
      <c r="V217" s="53" t="n"/>
      <c r="W217" s="53" t="n"/>
      <c r="X217" s="53" t="n"/>
      <c r="Y217" s="53" t="n"/>
      <c r="Z217" s="53" t="n"/>
      <c r="AA217" s="53" t="n"/>
      <c r="AB217" s="53" t="n"/>
      <c r="AC217" s="53" t="n"/>
      <c r="AD217" s="53" t="n"/>
      <c r="AE217" s="53" t="n"/>
      <c r="AF217" s="53" t="n"/>
      <c r="AG217" s="53" t="n"/>
      <c r="AH217" s="53" t="n"/>
      <c r="AI217" s="53" t="n"/>
      <c r="AJ217" s="53" t="n"/>
      <c r="AK217" s="53" t="n"/>
      <c r="AL217" s="53" t="n"/>
      <c r="AM217" s="53" t="n"/>
      <c r="AN217" s="53" t="n"/>
      <c r="AO217" s="53" t="n"/>
      <c r="AP217" s="53" t="n"/>
      <c r="AQ217" s="53" t="n"/>
      <c r="AR217" s="53" t="n"/>
      <c r="AS217" s="53" t="n"/>
      <c r="AT217" s="53" t="n"/>
      <c r="AU217" s="53" t="n"/>
      <c r="AV217" s="53" t="n"/>
      <c r="AW217" s="53" t="n"/>
      <c r="AX217" s="53" t="n"/>
      <c r="AY217" s="53" t="n"/>
    </row>
    <row r="218" ht="15" customHeight="1">
      <c r="A218" s="62" t="n"/>
      <c r="B218" s="55">
        <f>IF($B$216="","",$B$216)</f>
        <v/>
      </c>
      <c r="C218" s="63" t="inlineStr">
        <is>
          <t>마케팅4팀</t>
        </is>
      </c>
      <c r="D218" s="55">
        <f>IF($D$216="","",$D$216)</f>
        <v/>
      </c>
      <c r="E218" s="64" t="inlineStr">
        <is>
          <t>영상</t>
        </is>
      </c>
      <c r="F218" s="44" t="n"/>
      <c r="G218" s="58">
        <f>IF($G$216="","",$G$216)</f>
        <v/>
      </c>
      <c r="H218" s="59" t="n"/>
      <c r="I218" s="59" t="n"/>
      <c r="J218" s="59" t="n"/>
      <c r="K218" s="59" t="n"/>
      <c r="L218" s="65">
        <f>IF(SUM(U218:AY218)=0,"",SUM(U218:AY218))</f>
        <v/>
      </c>
      <c r="M218" s="66">
        <f>IFERROR(INDEX(U$2:AY$2,MATCH(TRUE,INDEX(U218:AY218&lt;&gt;"",0),0)),"")</f>
        <v/>
      </c>
      <c r="N218" s="66">
        <f>IFERROR(LOOKUP(2,1/(U218:AY218&lt;&gt;""),U$2:AY$2),"")</f>
        <v/>
      </c>
      <c r="O218" s="59" t="n"/>
      <c r="P218" s="59" t="n"/>
      <c r="Q218" s="59" t="n"/>
      <c r="R218" s="59" t="n"/>
      <c r="S218" s="14" t="n"/>
      <c r="U218" s="53" t="n"/>
      <c r="V218" s="53" t="n"/>
      <c r="W218" s="53" t="n"/>
      <c r="X218" s="53" t="n"/>
      <c r="Y218" s="53" t="n"/>
      <c r="Z218" s="53" t="n"/>
      <c r="AA218" s="53" t="n"/>
      <c r="AB218" s="53" t="n"/>
      <c r="AC218" s="53" t="n"/>
      <c r="AD218" s="53" t="n"/>
      <c r="AE218" s="53" t="n"/>
      <c r="AF218" s="53" t="n"/>
      <c r="AG218" s="53" t="n"/>
      <c r="AH218" s="53" t="n"/>
      <c r="AI218" s="53" t="n"/>
      <c r="AJ218" s="53" t="n"/>
      <c r="AK218" s="53" t="n"/>
      <c r="AL218" s="53" t="n"/>
      <c r="AM218" s="53" t="n"/>
      <c r="AN218" s="53" t="n"/>
      <c r="AO218" s="53" t="n"/>
      <c r="AP218" s="53" t="n"/>
      <c r="AQ218" s="53" t="n"/>
      <c r="AR218" s="53" t="n"/>
      <c r="AS218" s="53" t="n"/>
      <c r="AT218" s="53" t="n"/>
      <c r="AU218" s="53" t="n"/>
      <c r="AV218" s="53" t="n"/>
      <c r="AW218" s="53" t="n"/>
      <c r="AX218" s="53" t="n"/>
      <c r="AY218" s="53" t="n"/>
    </row>
    <row r="219" ht="15" customHeight="1">
      <c r="A219" s="40">
        <f>IF($D$219="","",70)</f>
        <v/>
      </c>
      <c r="B219" s="10" t="n"/>
      <c r="C219" s="41" t="inlineStr">
        <is>
          <t>마케팅4팀</t>
        </is>
      </c>
      <c r="D219" s="42" t="n"/>
      <c r="E219" s="43" t="inlineStr">
        <is>
          <t>기획</t>
        </is>
      </c>
      <c r="F219" s="44" t="n"/>
      <c r="G219" s="45" t="n"/>
      <c r="H219" s="46">
        <f>IF($I$219="","",IF($I$219&lt;0,"🔴지연",IF($I$219&lt;=1,"🟡임박","🟢여유")))</f>
        <v/>
      </c>
      <c r="I219" s="47">
        <f>IF(OR($G$219="",$K$219=""),"",$G$219-$K$219)</f>
        <v/>
      </c>
      <c r="J219" s="48">
        <f>IF(SUM($L$219:$L$221)=0,"",SUM($L$219:$L$221))</f>
        <v/>
      </c>
      <c r="K219" s="49">
        <f>IF($J$219="","",MAX($N$219:$N$221))</f>
        <v/>
      </c>
      <c r="L219" s="50">
        <f>IF(SUM(U219:AY219)=0,"",SUM(U219:AY219))</f>
        <v/>
      </c>
      <c r="M219" s="51">
        <f>IFERROR(INDEX(U$2:AY$2,MATCH(TRUE,INDEX(U219:AY219&lt;&gt;"",0),0)),"")</f>
        <v/>
      </c>
      <c r="N219" s="51">
        <f>IFERROR(LOOKUP(2,1/(U219:AY219&lt;&gt;""),U$2:AY$2),"")</f>
        <v/>
      </c>
      <c r="O219" s="52" t="n"/>
      <c r="P219" s="52" t="n"/>
      <c r="Q219" s="52" t="n"/>
      <c r="R219" s="44" t="n"/>
      <c r="S219" s="14" t="n"/>
      <c r="U219" s="53" t="n"/>
      <c r="V219" s="53" t="n"/>
      <c r="W219" s="53" t="n"/>
      <c r="X219" s="53" t="n"/>
      <c r="Y219" s="53" t="n"/>
      <c r="Z219" s="53" t="n"/>
      <c r="AA219" s="53" t="n"/>
      <c r="AB219" s="53" t="n"/>
      <c r="AC219" s="53" t="n"/>
      <c r="AD219" s="53" t="n"/>
      <c r="AE219" s="53" t="n"/>
      <c r="AF219" s="53" t="n"/>
      <c r="AG219" s="53" t="n"/>
      <c r="AH219" s="53" t="n"/>
      <c r="AI219" s="53" t="n"/>
      <c r="AJ219" s="53" t="n"/>
      <c r="AK219" s="53" t="n"/>
      <c r="AL219" s="53" t="n"/>
      <c r="AM219" s="53" t="n"/>
      <c r="AN219" s="53" t="n"/>
      <c r="AO219" s="53" t="n"/>
      <c r="AP219" s="53" t="n"/>
      <c r="AQ219" s="53" t="n"/>
      <c r="AR219" s="53" t="n"/>
      <c r="AS219" s="53" t="n"/>
      <c r="AT219" s="53" t="n"/>
      <c r="AU219" s="53" t="n"/>
      <c r="AV219" s="53" t="n"/>
      <c r="AW219" s="53" t="n"/>
      <c r="AX219" s="53" t="n"/>
      <c r="AY219" s="53" t="n"/>
    </row>
    <row r="220" ht="15" customHeight="1">
      <c r="A220" s="54" t="n"/>
      <c r="B220" s="55">
        <f>IF($B$219="","",$B$219)</f>
        <v/>
      </c>
      <c r="C220" s="56" t="inlineStr">
        <is>
          <t>마케팅4팀</t>
        </is>
      </c>
      <c r="D220" s="55">
        <f>IF($D$219="","",$D$219)</f>
        <v/>
      </c>
      <c r="E220" s="57" t="inlineStr">
        <is>
          <t>이미지</t>
        </is>
      </c>
      <c r="F220" s="44" t="n"/>
      <c r="G220" s="58">
        <f>IF($G$219="","",$G$219)</f>
        <v/>
      </c>
      <c r="H220" s="59" t="n"/>
      <c r="I220" s="59" t="n"/>
      <c r="J220" s="59" t="n"/>
      <c r="K220" s="59" t="n"/>
      <c r="L220" s="60">
        <f>IF(SUM(U220:AY220)=0,"",SUM(U220:AY220))</f>
        <v/>
      </c>
      <c r="M220" s="61">
        <f>IFERROR(INDEX(U$2:AY$2,MATCH(TRUE,INDEX(U220:AY220&lt;&gt;"",0),0)),"")</f>
        <v/>
      </c>
      <c r="N220" s="61">
        <f>IFERROR(LOOKUP(2,1/(U220:AY220&lt;&gt;""),U$2:AY$2),"")</f>
        <v/>
      </c>
      <c r="O220" s="59" t="n"/>
      <c r="P220" s="59" t="n"/>
      <c r="Q220" s="59" t="n"/>
      <c r="R220" s="59" t="n"/>
      <c r="S220" s="14" t="n"/>
      <c r="U220" s="53" t="n"/>
      <c r="V220" s="53" t="n"/>
      <c r="W220" s="53" t="n"/>
      <c r="X220" s="53" t="n"/>
      <c r="Y220" s="53" t="n"/>
      <c r="Z220" s="53" t="n"/>
      <c r="AA220" s="53" t="n"/>
      <c r="AB220" s="53" t="n"/>
      <c r="AC220" s="53" t="n"/>
      <c r="AD220" s="53" t="n"/>
      <c r="AE220" s="53" t="n"/>
      <c r="AF220" s="53" t="n"/>
      <c r="AG220" s="53" t="n"/>
      <c r="AH220" s="53" t="n"/>
      <c r="AI220" s="53" t="n"/>
      <c r="AJ220" s="53" t="n"/>
      <c r="AK220" s="53" t="n"/>
      <c r="AL220" s="53" t="n"/>
      <c r="AM220" s="53" t="n"/>
      <c r="AN220" s="53" t="n"/>
      <c r="AO220" s="53" t="n"/>
      <c r="AP220" s="53" t="n"/>
      <c r="AQ220" s="53" t="n"/>
      <c r="AR220" s="53" t="n"/>
      <c r="AS220" s="53" t="n"/>
      <c r="AT220" s="53" t="n"/>
      <c r="AU220" s="53" t="n"/>
      <c r="AV220" s="53" t="n"/>
      <c r="AW220" s="53" t="n"/>
      <c r="AX220" s="53" t="n"/>
      <c r="AY220" s="53" t="n"/>
    </row>
    <row r="221" ht="15" customHeight="1">
      <c r="A221" s="62" t="n"/>
      <c r="B221" s="55">
        <f>IF($B$219="","",$B$219)</f>
        <v/>
      </c>
      <c r="C221" s="63" t="inlineStr">
        <is>
          <t>마케팅4팀</t>
        </is>
      </c>
      <c r="D221" s="55">
        <f>IF($D$219="","",$D$219)</f>
        <v/>
      </c>
      <c r="E221" s="64" t="inlineStr">
        <is>
          <t>영상</t>
        </is>
      </c>
      <c r="F221" s="44" t="n"/>
      <c r="G221" s="58">
        <f>IF($G$219="","",$G$219)</f>
        <v/>
      </c>
      <c r="H221" s="59" t="n"/>
      <c r="I221" s="59" t="n"/>
      <c r="J221" s="59" t="n"/>
      <c r="K221" s="59" t="n"/>
      <c r="L221" s="65">
        <f>IF(SUM(U221:AY221)=0,"",SUM(U221:AY221))</f>
        <v/>
      </c>
      <c r="M221" s="66">
        <f>IFERROR(INDEX(U$2:AY$2,MATCH(TRUE,INDEX(U221:AY221&lt;&gt;"",0),0)),"")</f>
        <v/>
      </c>
      <c r="N221" s="66">
        <f>IFERROR(LOOKUP(2,1/(U221:AY221&lt;&gt;""),U$2:AY$2),"")</f>
        <v/>
      </c>
      <c r="O221" s="59" t="n"/>
      <c r="P221" s="59" t="n"/>
      <c r="Q221" s="59" t="n"/>
      <c r="R221" s="59" t="n"/>
      <c r="S221" s="14" t="n"/>
      <c r="U221" s="53" t="n"/>
      <c r="V221" s="53" t="n"/>
      <c r="W221" s="53" t="n"/>
      <c r="X221" s="53" t="n"/>
      <c r="Y221" s="53" t="n"/>
      <c r="Z221" s="53" t="n"/>
      <c r="AA221" s="53" t="n"/>
      <c r="AB221" s="53" t="n"/>
      <c r="AC221" s="53" t="n"/>
      <c r="AD221" s="53" t="n"/>
      <c r="AE221" s="53" t="n"/>
      <c r="AF221" s="53" t="n"/>
      <c r="AG221" s="53" t="n"/>
      <c r="AH221" s="53" t="n"/>
      <c r="AI221" s="53" t="n"/>
      <c r="AJ221" s="53" t="n"/>
      <c r="AK221" s="53" t="n"/>
      <c r="AL221" s="53" t="n"/>
      <c r="AM221" s="53" t="n"/>
      <c r="AN221" s="53" t="n"/>
      <c r="AO221" s="53" t="n"/>
      <c r="AP221" s="53" t="n"/>
      <c r="AQ221" s="53" t="n"/>
      <c r="AR221" s="53" t="n"/>
      <c r="AS221" s="53" t="n"/>
      <c r="AT221" s="53" t="n"/>
      <c r="AU221" s="53" t="n"/>
      <c r="AV221" s="53" t="n"/>
      <c r="AW221" s="53" t="n"/>
      <c r="AX221" s="53" t="n"/>
      <c r="AY221" s="53" t="n"/>
    </row>
    <row r="222" ht="15" customHeight="1">
      <c r="A222" s="40">
        <f>IF($D$222="","",71)</f>
        <v/>
      </c>
      <c r="B222" s="10" t="n"/>
      <c r="C222" s="41" t="inlineStr">
        <is>
          <t>마케팅4팀</t>
        </is>
      </c>
      <c r="D222" s="42" t="n"/>
      <c r="E222" s="43" t="inlineStr">
        <is>
          <t>기획</t>
        </is>
      </c>
      <c r="F222" s="44" t="n"/>
      <c r="G222" s="45" t="n"/>
      <c r="H222" s="46">
        <f>IF($I$222="","",IF($I$222&lt;0,"🔴지연",IF($I$222&lt;=1,"🟡임박","🟢여유")))</f>
        <v/>
      </c>
      <c r="I222" s="47">
        <f>IF(OR($G$222="",$K$222=""),"",$G$222-$K$222)</f>
        <v/>
      </c>
      <c r="J222" s="48">
        <f>IF(SUM($L$222:$L$224)=0,"",SUM($L$222:$L$224))</f>
        <v/>
      </c>
      <c r="K222" s="49">
        <f>IF($J$222="","",MAX($N$222:$N$224))</f>
        <v/>
      </c>
      <c r="L222" s="50">
        <f>IF(SUM(U222:AY222)=0,"",SUM(U222:AY222))</f>
        <v/>
      </c>
      <c r="M222" s="51">
        <f>IFERROR(INDEX(U$2:AY$2,MATCH(TRUE,INDEX(U222:AY222&lt;&gt;"",0),0)),"")</f>
        <v/>
      </c>
      <c r="N222" s="51">
        <f>IFERROR(LOOKUP(2,1/(U222:AY222&lt;&gt;""),U$2:AY$2),"")</f>
        <v/>
      </c>
      <c r="O222" s="52" t="n"/>
      <c r="P222" s="52" t="n"/>
      <c r="Q222" s="52" t="n"/>
      <c r="R222" s="44" t="n"/>
      <c r="S222" s="14" t="n"/>
      <c r="U222" s="53" t="n"/>
      <c r="V222" s="53" t="n"/>
      <c r="W222" s="53" t="n"/>
      <c r="X222" s="53" t="n"/>
      <c r="Y222" s="53" t="n"/>
      <c r="Z222" s="53" t="n"/>
      <c r="AA222" s="53" t="n"/>
      <c r="AB222" s="53" t="n"/>
      <c r="AC222" s="53" t="n"/>
      <c r="AD222" s="53" t="n"/>
      <c r="AE222" s="53" t="n"/>
      <c r="AF222" s="53" t="n"/>
      <c r="AG222" s="53" t="n"/>
      <c r="AH222" s="53" t="n"/>
      <c r="AI222" s="53" t="n"/>
      <c r="AJ222" s="53" t="n"/>
      <c r="AK222" s="53" t="n"/>
      <c r="AL222" s="53" t="n"/>
      <c r="AM222" s="53" t="n"/>
      <c r="AN222" s="53" t="n"/>
      <c r="AO222" s="53" t="n"/>
      <c r="AP222" s="53" t="n"/>
      <c r="AQ222" s="53" t="n"/>
      <c r="AR222" s="53" t="n"/>
      <c r="AS222" s="53" t="n"/>
      <c r="AT222" s="53" t="n"/>
      <c r="AU222" s="53" t="n"/>
      <c r="AV222" s="53" t="n"/>
      <c r="AW222" s="53" t="n"/>
      <c r="AX222" s="53" t="n"/>
      <c r="AY222" s="53" t="n"/>
    </row>
    <row r="223" ht="15" customHeight="1">
      <c r="A223" s="54" t="n"/>
      <c r="B223" s="55">
        <f>IF($B$222="","",$B$222)</f>
        <v/>
      </c>
      <c r="C223" s="56" t="inlineStr">
        <is>
          <t>마케팅4팀</t>
        </is>
      </c>
      <c r="D223" s="55">
        <f>IF($D$222="","",$D$222)</f>
        <v/>
      </c>
      <c r="E223" s="57" t="inlineStr">
        <is>
          <t>이미지</t>
        </is>
      </c>
      <c r="F223" s="44" t="n"/>
      <c r="G223" s="58">
        <f>IF($G$222="","",$G$222)</f>
        <v/>
      </c>
      <c r="H223" s="59" t="n"/>
      <c r="I223" s="59" t="n"/>
      <c r="J223" s="59" t="n"/>
      <c r="K223" s="59" t="n"/>
      <c r="L223" s="60">
        <f>IF(SUM(U223:AY223)=0,"",SUM(U223:AY223))</f>
        <v/>
      </c>
      <c r="M223" s="61">
        <f>IFERROR(INDEX(U$2:AY$2,MATCH(TRUE,INDEX(U223:AY223&lt;&gt;"",0),0)),"")</f>
        <v/>
      </c>
      <c r="N223" s="61">
        <f>IFERROR(LOOKUP(2,1/(U223:AY223&lt;&gt;""),U$2:AY$2),"")</f>
        <v/>
      </c>
      <c r="O223" s="59" t="n"/>
      <c r="P223" s="59" t="n"/>
      <c r="Q223" s="59" t="n"/>
      <c r="R223" s="59" t="n"/>
      <c r="S223" s="14" t="n"/>
      <c r="U223" s="53" t="n"/>
      <c r="V223" s="53" t="n"/>
      <c r="W223" s="53" t="n"/>
      <c r="X223" s="53" t="n"/>
      <c r="Y223" s="53" t="n"/>
      <c r="Z223" s="53" t="n"/>
      <c r="AA223" s="53" t="n"/>
      <c r="AB223" s="53" t="n"/>
      <c r="AC223" s="53" t="n"/>
      <c r="AD223" s="53" t="n"/>
      <c r="AE223" s="53" t="n"/>
      <c r="AF223" s="53" t="n"/>
      <c r="AG223" s="53" t="n"/>
      <c r="AH223" s="53" t="n"/>
      <c r="AI223" s="53" t="n"/>
      <c r="AJ223" s="53" t="n"/>
      <c r="AK223" s="53" t="n"/>
      <c r="AL223" s="53" t="n"/>
      <c r="AM223" s="53" t="n"/>
      <c r="AN223" s="53" t="n"/>
      <c r="AO223" s="53" t="n"/>
      <c r="AP223" s="53" t="n"/>
      <c r="AQ223" s="53" t="n"/>
      <c r="AR223" s="53" t="n"/>
      <c r="AS223" s="53" t="n"/>
      <c r="AT223" s="53" t="n"/>
      <c r="AU223" s="53" t="n"/>
      <c r="AV223" s="53" t="n"/>
      <c r="AW223" s="53" t="n"/>
      <c r="AX223" s="53" t="n"/>
      <c r="AY223" s="53" t="n"/>
    </row>
    <row r="224" ht="15" customHeight="1">
      <c r="A224" s="62" t="n"/>
      <c r="B224" s="55">
        <f>IF($B$222="","",$B$222)</f>
        <v/>
      </c>
      <c r="C224" s="63" t="inlineStr">
        <is>
          <t>마케팅4팀</t>
        </is>
      </c>
      <c r="D224" s="55">
        <f>IF($D$222="","",$D$222)</f>
        <v/>
      </c>
      <c r="E224" s="64" t="inlineStr">
        <is>
          <t>영상</t>
        </is>
      </c>
      <c r="F224" s="44" t="n"/>
      <c r="G224" s="58">
        <f>IF($G$222="","",$G$222)</f>
        <v/>
      </c>
      <c r="H224" s="59" t="n"/>
      <c r="I224" s="59" t="n"/>
      <c r="J224" s="59" t="n"/>
      <c r="K224" s="59" t="n"/>
      <c r="L224" s="65">
        <f>IF(SUM(U224:AY224)=0,"",SUM(U224:AY224))</f>
        <v/>
      </c>
      <c r="M224" s="66">
        <f>IFERROR(INDEX(U$2:AY$2,MATCH(TRUE,INDEX(U224:AY224&lt;&gt;"",0),0)),"")</f>
        <v/>
      </c>
      <c r="N224" s="66">
        <f>IFERROR(LOOKUP(2,1/(U224:AY224&lt;&gt;""),U$2:AY$2),"")</f>
        <v/>
      </c>
      <c r="O224" s="59" t="n"/>
      <c r="P224" s="59" t="n"/>
      <c r="Q224" s="59" t="n"/>
      <c r="R224" s="59" t="n"/>
      <c r="S224" s="14" t="n"/>
      <c r="U224" s="53" t="n"/>
      <c r="V224" s="53" t="n"/>
      <c r="W224" s="53" t="n"/>
      <c r="X224" s="53" t="n"/>
      <c r="Y224" s="53" t="n"/>
      <c r="Z224" s="53" t="n"/>
      <c r="AA224" s="53" t="n"/>
      <c r="AB224" s="53" t="n"/>
      <c r="AC224" s="53" t="n"/>
      <c r="AD224" s="53" t="n"/>
      <c r="AE224" s="53" t="n"/>
      <c r="AF224" s="53" t="n"/>
      <c r="AG224" s="53" t="n"/>
      <c r="AH224" s="53" t="n"/>
      <c r="AI224" s="53" t="n"/>
      <c r="AJ224" s="53" t="n"/>
      <c r="AK224" s="53" t="n"/>
      <c r="AL224" s="53" t="n"/>
      <c r="AM224" s="53" t="n"/>
      <c r="AN224" s="53" t="n"/>
      <c r="AO224" s="53" t="n"/>
      <c r="AP224" s="53" t="n"/>
      <c r="AQ224" s="53" t="n"/>
      <c r="AR224" s="53" t="n"/>
      <c r="AS224" s="53" t="n"/>
      <c r="AT224" s="53" t="n"/>
      <c r="AU224" s="53" t="n"/>
      <c r="AV224" s="53" t="n"/>
      <c r="AW224" s="53" t="n"/>
      <c r="AX224" s="53" t="n"/>
      <c r="AY224" s="53" t="n"/>
    </row>
    <row r="225" ht="15" customHeight="1">
      <c r="A225" s="40">
        <f>IF($D$225="","",72)</f>
        <v/>
      </c>
      <c r="B225" s="10" t="n"/>
      <c r="C225" s="41" t="inlineStr">
        <is>
          <t>마케팅4팀</t>
        </is>
      </c>
      <c r="D225" s="42" t="n"/>
      <c r="E225" s="43" t="inlineStr">
        <is>
          <t>기획</t>
        </is>
      </c>
      <c r="F225" s="44" t="n"/>
      <c r="G225" s="45" t="n"/>
      <c r="H225" s="46">
        <f>IF($I$225="","",IF($I$225&lt;0,"🔴지연",IF($I$225&lt;=1,"🟡임박","🟢여유")))</f>
        <v/>
      </c>
      <c r="I225" s="47">
        <f>IF(OR($G$225="",$K$225=""),"",$G$225-$K$225)</f>
        <v/>
      </c>
      <c r="J225" s="48">
        <f>IF(SUM($L$225:$L$227)=0,"",SUM($L$225:$L$227))</f>
        <v/>
      </c>
      <c r="K225" s="49">
        <f>IF($J$225="","",MAX($N$225:$N$227))</f>
        <v/>
      </c>
      <c r="L225" s="50">
        <f>IF(SUM(U225:AY225)=0,"",SUM(U225:AY225))</f>
        <v/>
      </c>
      <c r="M225" s="51">
        <f>IFERROR(INDEX(U$2:AY$2,MATCH(TRUE,INDEX(U225:AY225&lt;&gt;"",0),0)),"")</f>
        <v/>
      </c>
      <c r="N225" s="51">
        <f>IFERROR(LOOKUP(2,1/(U225:AY225&lt;&gt;""),U$2:AY$2),"")</f>
        <v/>
      </c>
      <c r="O225" s="52" t="n"/>
      <c r="P225" s="52" t="n"/>
      <c r="Q225" s="52" t="n"/>
      <c r="R225" s="44" t="n"/>
      <c r="S225" s="14" t="n"/>
      <c r="U225" s="53" t="n"/>
      <c r="V225" s="53" t="n"/>
      <c r="W225" s="53" t="n"/>
      <c r="X225" s="53" t="n"/>
      <c r="Y225" s="53" t="n"/>
      <c r="Z225" s="53" t="n"/>
      <c r="AA225" s="53" t="n"/>
      <c r="AB225" s="53" t="n"/>
      <c r="AC225" s="53" t="n"/>
      <c r="AD225" s="53" t="n"/>
      <c r="AE225" s="53" t="n"/>
      <c r="AF225" s="53" t="n"/>
      <c r="AG225" s="53" t="n"/>
      <c r="AH225" s="53" t="n"/>
      <c r="AI225" s="53" t="n"/>
      <c r="AJ225" s="53" t="n"/>
      <c r="AK225" s="53" t="n"/>
      <c r="AL225" s="53" t="n"/>
      <c r="AM225" s="53" t="n"/>
      <c r="AN225" s="53" t="n"/>
      <c r="AO225" s="53" t="n"/>
      <c r="AP225" s="53" t="n"/>
      <c r="AQ225" s="53" t="n"/>
      <c r="AR225" s="53" t="n"/>
      <c r="AS225" s="53" t="n"/>
      <c r="AT225" s="53" t="n"/>
      <c r="AU225" s="53" t="n"/>
      <c r="AV225" s="53" t="n"/>
      <c r="AW225" s="53" t="n"/>
      <c r="AX225" s="53" t="n"/>
      <c r="AY225" s="53" t="n"/>
    </row>
    <row r="226" ht="15" customHeight="1">
      <c r="A226" s="54" t="n"/>
      <c r="B226" s="55">
        <f>IF($B$225="","",$B$225)</f>
        <v/>
      </c>
      <c r="C226" s="56" t="inlineStr">
        <is>
          <t>마케팅4팀</t>
        </is>
      </c>
      <c r="D226" s="55">
        <f>IF($D$225="","",$D$225)</f>
        <v/>
      </c>
      <c r="E226" s="57" t="inlineStr">
        <is>
          <t>이미지</t>
        </is>
      </c>
      <c r="F226" s="44" t="n"/>
      <c r="G226" s="58">
        <f>IF($G$225="","",$G$225)</f>
        <v/>
      </c>
      <c r="H226" s="59" t="n"/>
      <c r="I226" s="59" t="n"/>
      <c r="J226" s="59" t="n"/>
      <c r="K226" s="59" t="n"/>
      <c r="L226" s="60">
        <f>IF(SUM(U226:AY226)=0,"",SUM(U226:AY226))</f>
        <v/>
      </c>
      <c r="M226" s="61">
        <f>IFERROR(INDEX(U$2:AY$2,MATCH(TRUE,INDEX(U226:AY226&lt;&gt;"",0),0)),"")</f>
        <v/>
      </c>
      <c r="N226" s="61">
        <f>IFERROR(LOOKUP(2,1/(U226:AY226&lt;&gt;""),U$2:AY$2),"")</f>
        <v/>
      </c>
      <c r="O226" s="59" t="n"/>
      <c r="P226" s="59" t="n"/>
      <c r="Q226" s="59" t="n"/>
      <c r="R226" s="59" t="n"/>
      <c r="S226" s="14" t="n"/>
      <c r="U226" s="53" t="n"/>
      <c r="V226" s="53" t="n"/>
      <c r="W226" s="53" t="n"/>
      <c r="X226" s="53" t="n"/>
      <c r="Y226" s="53" t="n"/>
      <c r="Z226" s="53" t="n"/>
      <c r="AA226" s="53" t="n"/>
      <c r="AB226" s="53" t="n"/>
      <c r="AC226" s="53" t="n"/>
      <c r="AD226" s="53" t="n"/>
      <c r="AE226" s="53" t="n"/>
      <c r="AF226" s="53" t="n"/>
      <c r="AG226" s="53" t="n"/>
      <c r="AH226" s="53" t="n"/>
      <c r="AI226" s="53" t="n"/>
      <c r="AJ226" s="53" t="n"/>
      <c r="AK226" s="53" t="n"/>
      <c r="AL226" s="53" t="n"/>
      <c r="AM226" s="53" t="n"/>
      <c r="AN226" s="53" t="n"/>
      <c r="AO226" s="53" t="n"/>
      <c r="AP226" s="53" t="n"/>
      <c r="AQ226" s="53" t="n"/>
      <c r="AR226" s="53" t="n"/>
      <c r="AS226" s="53" t="n"/>
      <c r="AT226" s="53" t="n"/>
      <c r="AU226" s="53" t="n"/>
      <c r="AV226" s="53" t="n"/>
      <c r="AW226" s="53" t="n"/>
      <c r="AX226" s="53" t="n"/>
      <c r="AY226" s="53" t="n"/>
    </row>
    <row r="227" ht="15" customHeight="1">
      <c r="A227" s="62" t="n"/>
      <c r="B227" s="55">
        <f>IF($B$225="","",$B$225)</f>
        <v/>
      </c>
      <c r="C227" s="63" t="inlineStr">
        <is>
          <t>마케팅4팀</t>
        </is>
      </c>
      <c r="D227" s="55">
        <f>IF($D$225="","",$D$225)</f>
        <v/>
      </c>
      <c r="E227" s="64" t="inlineStr">
        <is>
          <t>영상</t>
        </is>
      </c>
      <c r="F227" s="44" t="n"/>
      <c r="G227" s="58">
        <f>IF($G$225="","",$G$225)</f>
        <v/>
      </c>
      <c r="H227" s="59" t="n"/>
      <c r="I227" s="59" t="n"/>
      <c r="J227" s="59" t="n"/>
      <c r="K227" s="59" t="n"/>
      <c r="L227" s="65">
        <f>IF(SUM(U227:AY227)=0,"",SUM(U227:AY227))</f>
        <v/>
      </c>
      <c r="M227" s="66">
        <f>IFERROR(INDEX(U$2:AY$2,MATCH(TRUE,INDEX(U227:AY227&lt;&gt;"",0),0)),"")</f>
        <v/>
      </c>
      <c r="N227" s="66">
        <f>IFERROR(LOOKUP(2,1/(U227:AY227&lt;&gt;""),U$2:AY$2),"")</f>
        <v/>
      </c>
      <c r="O227" s="59" t="n"/>
      <c r="P227" s="59" t="n"/>
      <c r="Q227" s="59" t="n"/>
      <c r="R227" s="59" t="n"/>
      <c r="S227" s="14" t="n"/>
      <c r="U227" s="53" t="n"/>
      <c r="V227" s="53" t="n"/>
      <c r="W227" s="53" t="n"/>
      <c r="X227" s="53" t="n"/>
      <c r="Y227" s="53" t="n"/>
      <c r="Z227" s="53" t="n"/>
      <c r="AA227" s="53" t="n"/>
      <c r="AB227" s="53" t="n"/>
      <c r="AC227" s="53" t="n"/>
      <c r="AD227" s="53" t="n"/>
      <c r="AE227" s="53" t="n"/>
      <c r="AF227" s="53" t="n"/>
      <c r="AG227" s="53" t="n"/>
      <c r="AH227" s="53" t="n"/>
      <c r="AI227" s="53" t="n"/>
      <c r="AJ227" s="53" t="n"/>
      <c r="AK227" s="53" t="n"/>
      <c r="AL227" s="53" t="n"/>
      <c r="AM227" s="53" t="n"/>
      <c r="AN227" s="53" t="n"/>
      <c r="AO227" s="53" t="n"/>
      <c r="AP227" s="53" t="n"/>
      <c r="AQ227" s="53" t="n"/>
      <c r="AR227" s="53" t="n"/>
      <c r="AS227" s="53" t="n"/>
      <c r="AT227" s="53" t="n"/>
      <c r="AU227" s="53" t="n"/>
      <c r="AV227" s="53" t="n"/>
      <c r="AW227" s="53" t="n"/>
      <c r="AX227" s="53" t="n"/>
      <c r="AY227" s="53" t="n"/>
    </row>
    <row r="228" ht="15" customHeight="1">
      <c r="A228" s="40">
        <f>IF($D$228="","",73)</f>
        <v/>
      </c>
      <c r="B228" s="10" t="n"/>
      <c r="C228" s="41" t="inlineStr">
        <is>
          <t>마케팅4팀</t>
        </is>
      </c>
      <c r="D228" s="42" t="n"/>
      <c r="E228" s="43" t="inlineStr">
        <is>
          <t>기획</t>
        </is>
      </c>
      <c r="F228" s="44" t="n"/>
      <c r="G228" s="45" t="n"/>
      <c r="H228" s="46">
        <f>IF($I$228="","",IF($I$228&lt;0,"🔴지연",IF($I$228&lt;=1,"🟡임박","🟢여유")))</f>
        <v/>
      </c>
      <c r="I228" s="47">
        <f>IF(OR($G$228="",$K$228=""),"",$G$228-$K$228)</f>
        <v/>
      </c>
      <c r="J228" s="48">
        <f>IF(SUM($L$228:$L$230)=0,"",SUM($L$228:$L$230))</f>
        <v/>
      </c>
      <c r="K228" s="49">
        <f>IF($J$228="","",MAX($N$228:$N$230))</f>
        <v/>
      </c>
      <c r="L228" s="50">
        <f>IF(SUM(U228:AY228)=0,"",SUM(U228:AY228))</f>
        <v/>
      </c>
      <c r="M228" s="51">
        <f>IFERROR(INDEX(U$2:AY$2,MATCH(TRUE,INDEX(U228:AY228&lt;&gt;"",0),0)),"")</f>
        <v/>
      </c>
      <c r="N228" s="51">
        <f>IFERROR(LOOKUP(2,1/(U228:AY228&lt;&gt;""),U$2:AY$2),"")</f>
        <v/>
      </c>
      <c r="O228" s="52" t="n"/>
      <c r="P228" s="52" t="n"/>
      <c r="Q228" s="52" t="n"/>
      <c r="R228" s="44" t="n"/>
      <c r="S228" s="14" t="n"/>
      <c r="U228" s="53" t="n"/>
      <c r="V228" s="53" t="n"/>
      <c r="W228" s="53" t="n"/>
      <c r="X228" s="53" t="n"/>
      <c r="Y228" s="53" t="n"/>
      <c r="Z228" s="53" t="n"/>
      <c r="AA228" s="53" t="n"/>
      <c r="AB228" s="53" t="n"/>
      <c r="AC228" s="53" t="n"/>
      <c r="AD228" s="53" t="n"/>
      <c r="AE228" s="53" t="n"/>
      <c r="AF228" s="53" t="n"/>
      <c r="AG228" s="53" t="n"/>
      <c r="AH228" s="53" t="n"/>
      <c r="AI228" s="53" t="n"/>
      <c r="AJ228" s="53" t="n"/>
      <c r="AK228" s="53" t="n"/>
      <c r="AL228" s="53" t="n"/>
      <c r="AM228" s="53" t="n"/>
      <c r="AN228" s="53" t="n"/>
      <c r="AO228" s="53" t="n"/>
      <c r="AP228" s="53" t="n"/>
      <c r="AQ228" s="53" t="n"/>
      <c r="AR228" s="53" t="n"/>
      <c r="AS228" s="53" t="n"/>
      <c r="AT228" s="53" t="n"/>
      <c r="AU228" s="53" t="n"/>
      <c r="AV228" s="53" t="n"/>
      <c r="AW228" s="53" t="n"/>
      <c r="AX228" s="53" t="n"/>
      <c r="AY228" s="53" t="n"/>
    </row>
    <row r="229" ht="15" customHeight="1">
      <c r="A229" s="54" t="n"/>
      <c r="B229" s="55">
        <f>IF($B$228="","",$B$228)</f>
        <v/>
      </c>
      <c r="C229" s="56" t="inlineStr">
        <is>
          <t>마케팅4팀</t>
        </is>
      </c>
      <c r="D229" s="55">
        <f>IF($D$228="","",$D$228)</f>
        <v/>
      </c>
      <c r="E229" s="57" t="inlineStr">
        <is>
          <t>이미지</t>
        </is>
      </c>
      <c r="F229" s="44" t="n"/>
      <c r="G229" s="58">
        <f>IF($G$228="","",$G$228)</f>
        <v/>
      </c>
      <c r="H229" s="59" t="n"/>
      <c r="I229" s="59" t="n"/>
      <c r="J229" s="59" t="n"/>
      <c r="K229" s="59" t="n"/>
      <c r="L229" s="60">
        <f>IF(SUM(U229:AY229)=0,"",SUM(U229:AY229))</f>
        <v/>
      </c>
      <c r="M229" s="61">
        <f>IFERROR(INDEX(U$2:AY$2,MATCH(TRUE,INDEX(U229:AY229&lt;&gt;"",0),0)),"")</f>
        <v/>
      </c>
      <c r="N229" s="61">
        <f>IFERROR(LOOKUP(2,1/(U229:AY229&lt;&gt;""),U$2:AY$2),"")</f>
        <v/>
      </c>
      <c r="O229" s="59" t="n"/>
      <c r="P229" s="59" t="n"/>
      <c r="Q229" s="59" t="n"/>
      <c r="R229" s="59" t="n"/>
      <c r="S229" s="14" t="n"/>
      <c r="U229" s="53" t="n"/>
      <c r="V229" s="53" t="n"/>
      <c r="W229" s="53" t="n"/>
      <c r="X229" s="53" t="n"/>
      <c r="Y229" s="53" t="n"/>
      <c r="Z229" s="53" t="n"/>
      <c r="AA229" s="53" t="n"/>
      <c r="AB229" s="53" t="n"/>
      <c r="AC229" s="53" t="n"/>
      <c r="AD229" s="53" t="n"/>
      <c r="AE229" s="53" t="n"/>
      <c r="AF229" s="53" t="n"/>
      <c r="AG229" s="53" t="n"/>
      <c r="AH229" s="53" t="n"/>
      <c r="AI229" s="53" t="n"/>
      <c r="AJ229" s="53" t="n"/>
      <c r="AK229" s="53" t="n"/>
      <c r="AL229" s="53" t="n"/>
      <c r="AM229" s="53" t="n"/>
      <c r="AN229" s="53" t="n"/>
      <c r="AO229" s="53" t="n"/>
      <c r="AP229" s="53" t="n"/>
      <c r="AQ229" s="53" t="n"/>
      <c r="AR229" s="53" t="n"/>
      <c r="AS229" s="53" t="n"/>
      <c r="AT229" s="53" t="n"/>
      <c r="AU229" s="53" t="n"/>
      <c r="AV229" s="53" t="n"/>
      <c r="AW229" s="53" t="n"/>
      <c r="AX229" s="53" t="n"/>
      <c r="AY229" s="53" t="n"/>
    </row>
    <row r="230" ht="15" customHeight="1">
      <c r="A230" s="62" t="n"/>
      <c r="B230" s="55">
        <f>IF($B$228="","",$B$228)</f>
        <v/>
      </c>
      <c r="C230" s="63" t="inlineStr">
        <is>
          <t>마케팅4팀</t>
        </is>
      </c>
      <c r="D230" s="55">
        <f>IF($D$228="","",$D$228)</f>
        <v/>
      </c>
      <c r="E230" s="64" t="inlineStr">
        <is>
          <t>영상</t>
        </is>
      </c>
      <c r="F230" s="44" t="n"/>
      <c r="G230" s="58">
        <f>IF($G$228="","",$G$228)</f>
        <v/>
      </c>
      <c r="H230" s="59" t="n"/>
      <c r="I230" s="59" t="n"/>
      <c r="J230" s="59" t="n"/>
      <c r="K230" s="59" t="n"/>
      <c r="L230" s="65">
        <f>IF(SUM(U230:AY230)=0,"",SUM(U230:AY230))</f>
        <v/>
      </c>
      <c r="M230" s="66">
        <f>IFERROR(INDEX(U$2:AY$2,MATCH(TRUE,INDEX(U230:AY230&lt;&gt;"",0),0)),"")</f>
        <v/>
      </c>
      <c r="N230" s="66">
        <f>IFERROR(LOOKUP(2,1/(U230:AY230&lt;&gt;""),U$2:AY$2),"")</f>
        <v/>
      </c>
      <c r="O230" s="59" t="n"/>
      <c r="P230" s="59" t="n"/>
      <c r="Q230" s="59" t="n"/>
      <c r="R230" s="59" t="n"/>
      <c r="S230" s="14" t="n"/>
      <c r="U230" s="53" t="n"/>
      <c r="V230" s="53" t="n"/>
      <c r="W230" s="53" t="n"/>
      <c r="X230" s="53" t="n"/>
      <c r="Y230" s="53" t="n"/>
      <c r="Z230" s="53" t="n"/>
      <c r="AA230" s="53" t="n"/>
      <c r="AB230" s="53" t="n"/>
      <c r="AC230" s="53" t="n"/>
      <c r="AD230" s="53" t="n"/>
      <c r="AE230" s="53" t="n"/>
      <c r="AF230" s="53" t="n"/>
      <c r="AG230" s="53" t="n"/>
      <c r="AH230" s="53" t="n"/>
      <c r="AI230" s="53" t="n"/>
      <c r="AJ230" s="53" t="n"/>
      <c r="AK230" s="53" t="n"/>
      <c r="AL230" s="53" t="n"/>
      <c r="AM230" s="53" t="n"/>
      <c r="AN230" s="53" t="n"/>
      <c r="AO230" s="53" t="n"/>
      <c r="AP230" s="53" t="n"/>
      <c r="AQ230" s="53" t="n"/>
      <c r="AR230" s="53" t="n"/>
      <c r="AS230" s="53" t="n"/>
      <c r="AT230" s="53" t="n"/>
      <c r="AU230" s="53" t="n"/>
      <c r="AV230" s="53" t="n"/>
      <c r="AW230" s="53" t="n"/>
      <c r="AX230" s="53" t="n"/>
      <c r="AY230" s="53" t="n"/>
    </row>
    <row r="231" ht="15" customHeight="1">
      <c r="A231" s="40">
        <f>IF($D$231="","",74)</f>
        <v/>
      </c>
      <c r="B231" s="10" t="n"/>
      <c r="C231" s="41" t="inlineStr">
        <is>
          <t>마케팅4팀</t>
        </is>
      </c>
      <c r="D231" s="42" t="n"/>
      <c r="E231" s="43" t="inlineStr">
        <is>
          <t>기획</t>
        </is>
      </c>
      <c r="F231" s="44" t="n"/>
      <c r="G231" s="45" t="n"/>
      <c r="H231" s="46">
        <f>IF($I$231="","",IF($I$231&lt;0,"🔴지연",IF($I$231&lt;=1,"🟡임박","🟢여유")))</f>
        <v/>
      </c>
      <c r="I231" s="47">
        <f>IF(OR($G$231="",$K$231=""),"",$G$231-$K$231)</f>
        <v/>
      </c>
      <c r="J231" s="48">
        <f>IF(SUM($L$231:$L$233)=0,"",SUM($L$231:$L$233))</f>
        <v/>
      </c>
      <c r="K231" s="49">
        <f>IF($J$231="","",MAX($N$231:$N$233))</f>
        <v/>
      </c>
      <c r="L231" s="50">
        <f>IF(SUM(U231:AY231)=0,"",SUM(U231:AY231))</f>
        <v/>
      </c>
      <c r="M231" s="51">
        <f>IFERROR(INDEX(U$2:AY$2,MATCH(TRUE,INDEX(U231:AY231&lt;&gt;"",0),0)),"")</f>
        <v/>
      </c>
      <c r="N231" s="51">
        <f>IFERROR(LOOKUP(2,1/(U231:AY231&lt;&gt;""),U$2:AY$2),"")</f>
        <v/>
      </c>
      <c r="O231" s="52" t="n"/>
      <c r="P231" s="52" t="n"/>
      <c r="Q231" s="52" t="n"/>
      <c r="R231" s="44" t="n"/>
      <c r="S231" s="14" t="n"/>
      <c r="U231" s="53" t="n"/>
      <c r="V231" s="53" t="n"/>
      <c r="W231" s="53" t="n"/>
      <c r="X231" s="53" t="n"/>
      <c r="Y231" s="53" t="n"/>
      <c r="Z231" s="53" t="n"/>
      <c r="AA231" s="53" t="n"/>
      <c r="AB231" s="53" t="n"/>
      <c r="AC231" s="53" t="n"/>
      <c r="AD231" s="53" t="n"/>
      <c r="AE231" s="53" t="n"/>
      <c r="AF231" s="53" t="n"/>
      <c r="AG231" s="53" t="n"/>
      <c r="AH231" s="53" t="n"/>
      <c r="AI231" s="53" t="n"/>
      <c r="AJ231" s="53" t="n"/>
      <c r="AK231" s="53" t="n"/>
      <c r="AL231" s="53" t="n"/>
      <c r="AM231" s="53" t="n"/>
      <c r="AN231" s="53" t="n"/>
      <c r="AO231" s="53" t="n"/>
      <c r="AP231" s="53" t="n"/>
      <c r="AQ231" s="53" t="n"/>
      <c r="AR231" s="53" t="n"/>
      <c r="AS231" s="53" t="n"/>
      <c r="AT231" s="53" t="n"/>
      <c r="AU231" s="53" t="n"/>
      <c r="AV231" s="53" t="n"/>
      <c r="AW231" s="53" t="n"/>
      <c r="AX231" s="53" t="n"/>
      <c r="AY231" s="53" t="n"/>
    </row>
    <row r="232" ht="15" customHeight="1">
      <c r="A232" s="54" t="n"/>
      <c r="B232" s="55">
        <f>IF($B$231="","",$B$231)</f>
        <v/>
      </c>
      <c r="C232" s="56" t="inlineStr">
        <is>
          <t>마케팅4팀</t>
        </is>
      </c>
      <c r="D232" s="55">
        <f>IF($D$231="","",$D$231)</f>
        <v/>
      </c>
      <c r="E232" s="57" t="inlineStr">
        <is>
          <t>이미지</t>
        </is>
      </c>
      <c r="F232" s="44" t="n"/>
      <c r="G232" s="58">
        <f>IF($G$231="","",$G$231)</f>
        <v/>
      </c>
      <c r="H232" s="59" t="n"/>
      <c r="I232" s="59" t="n"/>
      <c r="J232" s="59" t="n"/>
      <c r="K232" s="59" t="n"/>
      <c r="L232" s="60">
        <f>IF(SUM(U232:AY232)=0,"",SUM(U232:AY232))</f>
        <v/>
      </c>
      <c r="M232" s="61">
        <f>IFERROR(INDEX(U$2:AY$2,MATCH(TRUE,INDEX(U232:AY232&lt;&gt;"",0),0)),"")</f>
        <v/>
      </c>
      <c r="N232" s="61">
        <f>IFERROR(LOOKUP(2,1/(U232:AY232&lt;&gt;""),U$2:AY$2),"")</f>
        <v/>
      </c>
      <c r="O232" s="59" t="n"/>
      <c r="P232" s="59" t="n"/>
      <c r="Q232" s="59" t="n"/>
      <c r="R232" s="59" t="n"/>
      <c r="S232" s="14" t="n"/>
      <c r="U232" s="53" t="n"/>
      <c r="V232" s="53" t="n"/>
      <c r="W232" s="53" t="n"/>
      <c r="X232" s="53" t="n"/>
      <c r="Y232" s="53" t="n"/>
      <c r="Z232" s="53" t="n"/>
      <c r="AA232" s="53" t="n"/>
      <c r="AB232" s="53" t="n"/>
      <c r="AC232" s="53" t="n"/>
      <c r="AD232" s="53" t="n"/>
      <c r="AE232" s="53" t="n"/>
      <c r="AF232" s="53" t="n"/>
      <c r="AG232" s="53" t="n"/>
      <c r="AH232" s="53" t="n"/>
      <c r="AI232" s="53" t="n"/>
      <c r="AJ232" s="53" t="n"/>
      <c r="AK232" s="53" t="n"/>
      <c r="AL232" s="53" t="n"/>
      <c r="AM232" s="53" t="n"/>
      <c r="AN232" s="53" t="n"/>
      <c r="AO232" s="53" t="n"/>
      <c r="AP232" s="53" t="n"/>
      <c r="AQ232" s="53" t="n"/>
      <c r="AR232" s="53" t="n"/>
      <c r="AS232" s="53" t="n"/>
      <c r="AT232" s="53" t="n"/>
      <c r="AU232" s="53" t="n"/>
      <c r="AV232" s="53" t="n"/>
      <c r="AW232" s="53" t="n"/>
      <c r="AX232" s="53" t="n"/>
      <c r="AY232" s="53" t="n"/>
    </row>
    <row r="233" ht="15" customHeight="1">
      <c r="A233" s="62" t="n"/>
      <c r="B233" s="55">
        <f>IF($B$231="","",$B$231)</f>
        <v/>
      </c>
      <c r="C233" s="63" t="inlineStr">
        <is>
          <t>마케팅4팀</t>
        </is>
      </c>
      <c r="D233" s="55">
        <f>IF($D$231="","",$D$231)</f>
        <v/>
      </c>
      <c r="E233" s="64" t="inlineStr">
        <is>
          <t>영상</t>
        </is>
      </c>
      <c r="F233" s="44" t="n"/>
      <c r="G233" s="58">
        <f>IF($G$231="","",$G$231)</f>
        <v/>
      </c>
      <c r="H233" s="59" t="n"/>
      <c r="I233" s="59" t="n"/>
      <c r="J233" s="59" t="n"/>
      <c r="K233" s="59" t="n"/>
      <c r="L233" s="65">
        <f>IF(SUM(U233:AY233)=0,"",SUM(U233:AY233))</f>
        <v/>
      </c>
      <c r="M233" s="66">
        <f>IFERROR(INDEX(U$2:AY$2,MATCH(TRUE,INDEX(U233:AY233&lt;&gt;"",0),0)),"")</f>
        <v/>
      </c>
      <c r="N233" s="66">
        <f>IFERROR(LOOKUP(2,1/(U233:AY233&lt;&gt;""),U$2:AY$2),"")</f>
        <v/>
      </c>
      <c r="O233" s="59" t="n"/>
      <c r="P233" s="59" t="n"/>
      <c r="Q233" s="59" t="n"/>
      <c r="R233" s="59" t="n"/>
      <c r="S233" s="14" t="n"/>
      <c r="U233" s="53" t="n"/>
      <c r="V233" s="53" t="n"/>
      <c r="W233" s="53" t="n"/>
      <c r="X233" s="53" t="n"/>
      <c r="Y233" s="53" t="n"/>
      <c r="Z233" s="53" t="n"/>
      <c r="AA233" s="53" t="n"/>
      <c r="AB233" s="53" t="n"/>
      <c r="AC233" s="53" t="n"/>
      <c r="AD233" s="53" t="n"/>
      <c r="AE233" s="53" t="n"/>
      <c r="AF233" s="53" t="n"/>
      <c r="AG233" s="53" t="n"/>
      <c r="AH233" s="53" t="n"/>
      <c r="AI233" s="53" t="n"/>
      <c r="AJ233" s="53" t="n"/>
      <c r="AK233" s="53" t="n"/>
      <c r="AL233" s="53" t="n"/>
      <c r="AM233" s="53" t="n"/>
      <c r="AN233" s="53" t="n"/>
      <c r="AO233" s="53" t="n"/>
      <c r="AP233" s="53" t="n"/>
      <c r="AQ233" s="53" t="n"/>
      <c r="AR233" s="53" t="n"/>
      <c r="AS233" s="53" t="n"/>
      <c r="AT233" s="53" t="n"/>
      <c r="AU233" s="53" t="n"/>
      <c r="AV233" s="53" t="n"/>
      <c r="AW233" s="53" t="n"/>
      <c r="AX233" s="53" t="n"/>
      <c r="AY233" s="53" t="n"/>
    </row>
    <row r="234" ht="15" customHeight="1">
      <c r="A234" s="40">
        <f>IF($D$234="","",75)</f>
        <v/>
      </c>
      <c r="B234" s="10" t="n"/>
      <c r="C234" s="41" t="inlineStr">
        <is>
          <t>마케팅4팀</t>
        </is>
      </c>
      <c r="D234" s="42" t="n"/>
      <c r="E234" s="43" t="inlineStr">
        <is>
          <t>기획</t>
        </is>
      </c>
      <c r="F234" s="44" t="n"/>
      <c r="G234" s="45" t="n"/>
      <c r="H234" s="46">
        <f>IF($I$234="","",IF($I$234&lt;0,"🔴지연",IF($I$234&lt;=1,"🟡임박","🟢여유")))</f>
        <v/>
      </c>
      <c r="I234" s="47">
        <f>IF(OR($G$234="",$K$234=""),"",$G$234-$K$234)</f>
        <v/>
      </c>
      <c r="J234" s="48">
        <f>IF(SUM($L$234:$L$236)=0,"",SUM($L$234:$L$236))</f>
        <v/>
      </c>
      <c r="K234" s="49">
        <f>IF($J$234="","",MAX($N$234:$N$236))</f>
        <v/>
      </c>
      <c r="L234" s="50">
        <f>IF(SUM(U234:AY234)=0,"",SUM(U234:AY234))</f>
        <v/>
      </c>
      <c r="M234" s="51">
        <f>IFERROR(INDEX(U$2:AY$2,MATCH(TRUE,INDEX(U234:AY234&lt;&gt;"",0),0)),"")</f>
        <v/>
      </c>
      <c r="N234" s="51">
        <f>IFERROR(LOOKUP(2,1/(U234:AY234&lt;&gt;""),U$2:AY$2),"")</f>
        <v/>
      </c>
      <c r="O234" s="52" t="n"/>
      <c r="P234" s="52" t="n"/>
      <c r="Q234" s="52" t="n"/>
      <c r="R234" s="44" t="n"/>
      <c r="S234" s="14" t="n"/>
      <c r="U234" s="53" t="n"/>
      <c r="V234" s="53" t="n"/>
      <c r="W234" s="53" t="n"/>
      <c r="X234" s="53" t="n"/>
      <c r="Y234" s="53" t="n"/>
      <c r="Z234" s="53" t="n"/>
      <c r="AA234" s="53" t="n"/>
      <c r="AB234" s="53" t="n"/>
      <c r="AC234" s="53" t="n"/>
      <c r="AD234" s="53" t="n"/>
      <c r="AE234" s="53" t="n"/>
      <c r="AF234" s="53" t="n"/>
      <c r="AG234" s="53" t="n"/>
      <c r="AH234" s="53" t="n"/>
      <c r="AI234" s="53" t="n"/>
      <c r="AJ234" s="53" t="n"/>
      <c r="AK234" s="53" t="n"/>
      <c r="AL234" s="53" t="n"/>
      <c r="AM234" s="53" t="n"/>
      <c r="AN234" s="53" t="n"/>
      <c r="AO234" s="53" t="n"/>
      <c r="AP234" s="53" t="n"/>
      <c r="AQ234" s="53" t="n"/>
      <c r="AR234" s="53" t="n"/>
      <c r="AS234" s="53" t="n"/>
      <c r="AT234" s="53" t="n"/>
      <c r="AU234" s="53" t="n"/>
      <c r="AV234" s="53" t="n"/>
      <c r="AW234" s="53" t="n"/>
      <c r="AX234" s="53" t="n"/>
      <c r="AY234" s="53" t="n"/>
    </row>
    <row r="235" ht="15" customHeight="1">
      <c r="A235" s="54" t="n"/>
      <c r="B235" s="55">
        <f>IF($B$234="","",$B$234)</f>
        <v/>
      </c>
      <c r="C235" s="56" t="inlineStr">
        <is>
          <t>마케팅4팀</t>
        </is>
      </c>
      <c r="D235" s="55">
        <f>IF($D$234="","",$D$234)</f>
        <v/>
      </c>
      <c r="E235" s="57" t="inlineStr">
        <is>
          <t>이미지</t>
        </is>
      </c>
      <c r="F235" s="44" t="n"/>
      <c r="G235" s="58">
        <f>IF($G$234="","",$G$234)</f>
        <v/>
      </c>
      <c r="H235" s="59" t="n"/>
      <c r="I235" s="59" t="n"/>
      <c r="J235" s="59" t="n"/>
      <c r="K235" s="59" t="n"/>
      <c r="L235" s="60">
        <f>IF(SUM(U235:AY235)=0,"",SUM(U235:AY235))</f>
        <v/>
      </c>
      <c r="M235" s="61">
        <f>IFERROR(INDEX(U$2:AY$2,MATCH(TRUE,INDEX(U235:AY235&lt;&gt;"",0),0)),"")</f>
        <v/>
      </c>
      <c r="N235" s="61">
        <f>IFERROR(LOOKUP(2,1/(U235:AY235&lt;&gt;""),U$2:AY$2),"")</f>
        <v/>
      </c>
      <c r="O235" s="59" t="n"/>
      <c r="P235" s="59" t="n"/>
      <c r="Q235" s="59" t="n"/>
      <c r="R235" s="59" t="n"/>
      <c r="S235" s="14" t="n"/>
      <c r="U235" s="53" t="n"/>
      <c r="V235" s="53" t="n"/>
      <c r="W235" s="53" t="n"/>
      <c r="X235" s="53" t="n"/>
      <c r="Y235" s="53" t="n"/>
      <c r="Z235" s="53" t="n"/>
      <c r="AA235" s="53" t="n"/>
      <c r="AB235" s="53" t="n"/>
      <c r="AC235" s="53" t="n"/>
      <c r="AD235" s="53" t="n"/>
      <c r="AE235" s="53" t="n"/>
      <c r="AF235" s="53" t="n"/>
      <c r="AG235" s="53" t="n"/>
      <c r="AH235" s="53" t="n"/>
      <c r="AI235" s="53" t="n"/>
      <c r="AJ235" s="53" t="n"/>
      <c r="AK235" s="53" t="n"/>
      <c r="AL235" s="53" t="n"/>
      <c r="AM235" s="53" t="n"/>
      <c r="AN235" s="53" t="n"/>
      <c r="AO235" s="53" t="n"/>
      <c r="AP235" s="53" t="n"/>
      <c r="AQ235" s="53" t="n"/>
      <c r="AR235" s="53" t="n"/>
      <c r="AS235" s="53" t="n"/>
      <c r="AT235" s="53" t="n"/>
      <c r="AU235" s="53" t="n"/>
      <c r="AV235" s="53" t="n"/>
      <c r="AW235" s="53" t="n"/>
      <c r="AX235" s="53" t="n"/>
      <c r="AY235" s="53" t="n"/>
    </row>
    <row r="236" ht="15" customHeight="1">
      <c r="A236" s="62" t="n"/>
      <c r="B236" s="55">
        <f>IF($B$234="","",$B$234)</f>
        <v/>
      </c>
      <c r="C236" s="63" t="inlineStr">
        <is>
          <t>마케팅4팀</t>
        </is>
      </c>
      <c r="D236" s="55">
        <f>IF($D$234="","",$D$234)</f>
        <v/>
      </c>
      <c r="E236" s="64" t="inlineStr">
        <is>
          <t>영상</t>
        </is>
      </c>
      <c r="F236" s="44" t="n"/>
      <c r="G236" s="58">
        <f>IF($G$234="","",$G$234)</f>
        <v/>
      </c>
      <c r="H236" s="59" t="n"/>
      <c r="I236" s="59" t="n"/>
      <c r="J236" s="59" t="n"/>
      <c r="K236" s="59" t="n"/>
      <c r="L236" s="65">
        <f>IF(SUM(U236:AY236)=0,"",SUM(U236:AY236))</f>
        <v/>
      </c>
      <c r="M236" s="66">
        <f>IFERROR(INDEX(U$2:AY$2,MATCH(TRUE,INDEX(U236:AY236&lt;&gt;"",0),0)),"")</f>
        <v/>
      </c>
      <c r="N236" s="66">
        <f>IFERROR(LOOKUP(2,1/(U236:AY236&lt;&gt;""),U$2:AY$2),"")</f>
        <v/>
      </c>
      <c r="O236" s="59" t="n"/>
      <c r="P236" s="59" t="n"/>
      <c r="Q236" s="59" t="n"/>
      <c r="R236" s="59" t="n"/>
      <c r="S236" s="14" t="n"/>
      <c r="U236" s="53" t="n"/>
      <c r="V236" s="53" t="n"/>
      <c r="W236" s="53" t="n"/>
      <c r="X236" s="53" t="n"/>
      <c r="Y236" s="53" t="n"/>
      <c r="Z236" s="53" t="n"/>
      <c r="AA236" s="53" t="n"/>
      <c r="AB236" s="53" t="n"/>
      <c r="AC236" s="53" t="n"/>
      <c r="AD236" s="53" t="n"/>
      <c r="AE236" s="53" t="n"/>
      <c r="AF236" s="53" t="n"/>
      <c r="AG236" s="53" t="n"/>
      <c r="AH236" s="53" t="n"/>
      <c r="AI236" s="53" t="n"/>
      <c r="AJ236" s="53" t="n"/>
      <c r="AK236" s="53" t="n"/>
      <c r="AL236" s="53" t="n"/>
      <c r="AM236" s="53" t="n"/>
      <c r="AN236" s="53" t="n"/>
      <c r="AO236" s="53" t="n"/>
      <c r="AP236" s="53" t="n"/>
      <c r="AQ236" s="53" t="n"/>
      <c r="AR236" s="53" t="n"/>
      <c r="AS236" s="53" t="n"/>
      <c r="AT236" s="53" t="n"/>
      <c r="AU236" s="53" t="n"/>
      <c r="AV236" s="53" t="n"/>
      <c r="AW236" s="53" t="n"/>
      <c r="AX236" s="53" t="n"/>
      <c r="AY236" s="53" t="n"/>
    </row>
    <row r="237" ht="15" customHeight="1">
      <c r="A237" s="40">
        <f>IF($D$237="","",76)</f>
        <v/>
      </c>
      <c r="B237" s="10" t="n"/>
      <c r="C237" s="41" t="inlineStr">
        <is>
          <t>마케팅4팀</t>
        </is>
      </c>
      <c r="D237" s="42" t="n"/>
      <c r="E237" s="43" t="inlineStr">
        <is>
          <t>기획</t>
        </is>
      </c>
      <c r="F237" s="44" t="n"/>
      <c r="G237" s="45" t="n"/>
      <c r="H237" s="46">
        <f>IF($I$237="","",IF($I$237&lt;0,"🔴지연",IF($I$237&lt;=1,"🟡임박","🟢여유")))</f>
        <v/>
      </c>
      <c r="I237" s="47">
        <f>IF(OR($G$237="",$K$237=""),"",$G$237-$K$237)</f>
        <v/>
      </c>
      <c r="J237" s="48">
        <f>IF(SUM($L$237:$L$239)=0,"",SUM($L$237:$L$239))</f>
        <v/>
      </c>
      <c r="K237" s="49">
        <f>IF($J$237="","",MAX($N$237:$N$239))</f>
        <v/>
      </c>
      <c r="L237" s="50">
        <f>IF(SUM(U237:AY237)=0,"",SUM(U237:AY237))</f>
        <v/>
      </c>
      <c r="M237" s="51">
        <f>IFERROR(INDEX(U$2:AY$2,MATCH(TRUE,INDEX(U237:AY237&lt;&gt;"",0),0)),"")</f>
        <v/>
      </c>
      <c r="N237" s="51">
        <f>IFERROR(LOOKUP(2,1/(U237:AY237&lt;&gt;""),U$2:AY$2),"")</f>
        <v/>
      </c>
      <c r="O237" s="52" t="n"/>
      <c r="P237" s="52" t="n"/>
      <c r="Q237" s="52" t="n"/>
      <c r="R237" s="44" t="n"/>
      <c r="S237" s="14" t="n"/>
      <c r="U237" s="53" t="n"/>
      <c r="V237" s="53" t="n"/>
      <c r="W237" s="53" t="n"/>
      <c r="X237" s="53" t="n"/>
      <c r="Y237" s="53" t="n"/>
      <c r="Z237" s="53" t="n"/>
      <c r="AA237" s="53" t="n"/>
      <c r="AB237" s="53" t="n"/>
      <c r="AC237" s="53" t="n"/>
      <c r="AD237" s="53" t="n"/>
      <c r="AE237" s="53" t="n"/>
      <c r="AF237" s="53" t="n"/>
      <c r="AG237" s="53" t="n"/>
      <c r="AH237" s="53" t="n"/>
      <c r="AI237" s="53" t="n"/>
      <c r="AJ237" s="53" t="n"/>
      <c r="AK237" s="53" t="n"/>
      <c r="AL237" s="53" t="n"/>
      <c r="AM237" s="53" t="n"/>
      <c r="AN237" s="53" t="n"/>
      <c r="AO237" s="53" t="n"/>
      <c r="AP237" s="53" t="n"/>
      <c r="AQ237" s="53" t="n"/>
      <c r="AR237" s="53" t="n"/>
      <c r="AS237" s="53" t="n"/>
      <c r="AT237" s="53" t="n"/>
      <c r="AU237" s="53" t="n"/>
      <c r="AV237" s="53" t="n"/>
      <c r="AW237" s="53" t="n"/>
      <c r="AX237" s="53" t="n"/>
      <c r="AY237" s="53" t="n"/>
    </row>
    <row r="238" ht="15" customHeight="1">
      <c r="A238" s="54" t="n"/>
      <c r="B238" s="55">
        <f>IF($B$237="","",$B$237)</f>
        <v/>
      </c>
      <c r="C238" s="56" t="inlineStr">
        <is>
          <t>마케팅4팀</t>
        </is>
      </c>
      <c r="D238" s="55">
        <f>IF($D$237="","",$D$237)</f>
        <v/>
      </c>
      <c r="E238" s="57" t="inlineStr">
        <is>
          <t>이미지</t>
        </is>
      </c>
      <c r="F238" s="44" t="n"/>
      <c r="G238" s="58">
        <f>IF($G$237="","",$G$237)</f>
        <v/>
      </c>
      <c r="H238" s="59" t="n"/>
      <c r="I238" s="59" t="n"/>
      <c r="J238" s="59" t="n"/>
      <c r="K238" s="59" t="n"/>
      <c r="L238" s="60">
        <f>IF(SUM(U238:AY238)=0,"",SUM(U238:AY238))</f>
        <v/>
      </c>
      <c r="M238" s="61">
        <f>IFERROR(INDEX(U$2:AY$2,MATCH(TRUE,INDEX(U238:AY238&lt;&gt;"",0),0)),"")</f>
        <v/>
      </c>
      <c r="N238" s="61">
        <f>IFERROR(LOOKUP(2,1/(U238:AY238&lt;&gt;""),U$2:AY$2),"")</f>
        <v/>
      </c>
      <c r="O238" s="59" t="n"/>
      <c r="P238" s="59" t="n"/>
      <c r="Q238" s="59" t="n"/>
      <c r="R238" s="59" t="n"/>
      <c r="S238" s="14" t="n"/>
      <c r="U238" s="53" t="n"/>
      <c r="V238" s="53" t="n"/>
      <c r="W238" s="53" t="n"/>
      <c r="X238" s="53" t="n"/>
      <c r="Y238" s="53" t="n"/>
      <c r="Z238" s="53" t="n"/>
      <c r="AA238" s="53" t="n"/>
      <c r="AB238" s="53" t="n"/>
      <c r="AC238" s="53" t="n"/>
      <c r="AD238" s="53" t="n"/>
      <c r="AE238" s="53" t="n"/>
      <c r="AF238" s="53" t="n"/>
      <c r="AG238" s="53" t="n"/>
      <c r="AH238" s="53" t="n"/>
      <c r="AI238" s="53" t="n"/>
      <c r="AJ238" s="53" t="n"/>
      <c r="AK238" s="53" t="n"/>
      <c r="AL238" s="53" t="n"/>
      <c r="AM238" s="53" t="n"/>
      <c r="AN238" s="53" t="n"/>
      <c r="AO238" s="53" t="n"/>
      <c r="AP238" s="53" t="n"/>
      <c r="AQ238" s="53" t="n"/>
      <c r="AR238" s="53" t="n"/>
      <c r="AS238" s="53" t="n"/>
      <c r="AT238" s="53" t="n"/>
      <c r="AU238" s="53" t="n"/>
      <c r="AV238" s="53" t="n"/>
      <c r="AW238" s="53" t="n"/>
      <c r="AX238" s="53" t="n"/>
      <c r="AY238" s="53" t="n"/>
    </row>
    <row r="239" ht="15" customHeight="1">
      <c r="A239" s="62" t="n"/>
      <c r="B239" s="55">
        <f>IF($B$237="","",$B$237)</f>
        <v/>
      </c>
      <c r="C239" s="63" t="inlineStr">
        <is>
          <t>마케팅4팀</t>
        </is>
      </c>
      <c r="D239" s="55">
        <f>IF($D$237="","",$D$237)</f>
        <v/>
      </c>
      <c r="E239" s="64" t="inlineStr">
        <is>
          <t>영상</t>
        </is>
      </c>
      <c r="F239" s="44" t="n"/>
      <c r="G239" s="58">
        <f>IF($G$237="","",$G$237)</f>
        <v/>
      </c>
      <c r="H239" s="59" t="n"/>
      <c r="I239" s="59" t="n"/>
      <c r="J239" s="59" t="n"/>
      <c r="K239" s="59" t="n"/>
      <c r="L239" s="65">
        <f>IF(SUM(U239:AY239)=0,"",SUM(U239:AY239))</f>
        <v/>
      </c>
      <c r="M239" s="66">
        <f>IFERROR(INDEX(U$2:AY$2,MATCH(TRUE,INDEX(U239:AY239&lt;&gt;"",0),0)),"")</f>
        <v/>
      </c>
      <c r="N239" s="66">
        <f>IFERROR(LOOKUP(2,1/(U239:AY239&lt;&gt;""),U$2:AY$2),"")</f>
        <v/>
      </c>
      <c r="O239" s="59" t="n"/>
      <c r="P239" s="59" t="n"/>
      <c r="Q239" s="59" t="n"/>
      <c r="R239" s="59" t="n"/>
      <c r="S239" s="14" t="n"/>
      <c r="U239" s="53" t="n"/>
      <c r="V239" s="53" t="n"/>
      <c r="W239" s="53" t="n"/>
      <c r="X239" s="53" t="n"/>
      <c r="Y239" s="53" t="n"/>
      <c r="Z239" s="53" t="n"/>
      <c r="AA239" s="53" t="n"/>
      <c r="AB239" s="53" t="n"/>
      <c r="AC239" s="53" t="n"/>
      <c r="AD239" s="53" t="n"/>
      <c r="AE239" s="53" t="n"/>
      <c r="AF239" s="53" t="n"/>
      <c r="AG239" s="53" t="n"/>
      <c r="AH239" s="53" t="n"/>
      <c r="AI239" s="53" t="n"/>
      <c r="AJ239" s="53" t="n"/>
      <c r="AK239" s="53" t="n"/>
      <c r="AL239" s="53" t="n"/>
      <c r="AM239" s="53" t="n"/>
      <c r="AN239" s="53" t="n"/>
      <c r="AO239" s="53" t="n"/>
      <c r="AP239" s="53" t="n"/>
      <c r="AQ239" s="53" t="n"/>
      <c r="AR239" s="53" t="n"/>
      <c r="AS239" s="53" t="n"/>
      <c r="AT239" s="53" t="n"/>
      <c r="AU239" s="53" t="n"/>
      <c r="AV239" s="53" t="n"/>
      <c r="AW239" s="53" t="n"/>
      <c r="AX239" s="53" t="n"/>
      <c r="AY239" s="53" t="n"/>
    </row>
    <row r="240" ht="15" customHeight="1">
      <c r="A240" s="40">
        <f>IF($D$240="","",77)</f>
        <v/>
      </c>
      <c r="B240" s="10" t="n"/>
      <c r="C240" s="41" t="inlineStr">
        <is>
          <t>마케팅4팀</t>
        </is>
      </c>
      <c r="D240" s="42" t="n"/>
      <c r="E240" s="43" t="inlineStr">
        <is>
          <t>기획</t>
        </is>
      </c>
      <c r="F240" s="44" t="n"/>
      <c r="G240" s="45" t="n"/>
      <c r="H240" s="46">
        <f>IF($I$240="","",IF($I$240&lt;0,"🔴지연",IF($I$240&lt;=1,"🟡임박","🟢여유")))</f>
        <v/>
      </c>
      <c r="I240" s="47">
        <f>IF(OR($G$240="",$K$240=""),"",$G$240-$K$240)</f>
        <v/>
      </c>
      <c r="J240" s="48">
        <f>IF(SUM($L$240:$L$242)=0,"",SUM($L$240:$L$242))</f>
        <v/>
      </c>
      <c r="K240" s="49">
        <f>IF($J$240="","",MAX($N$240:$N$242))</f>
        <v/>
      </c>
      <c r="L240" s="50">
        <f>IF(SUM(U240:AY240)=0,"",SUM(U240:AY240))</f>
        <v/>
      </c>
      <c r="M240" s="51">
        <f>IFERROR(INDEX(U$2:AY$2,MATCH(TRUE,INDEX(U240:AY240&lt;&gt;"",0),0)),"")</f>
        <v/>
      </c>
      <c r="N240" s="51">
        <f>IFERROR(LOOKUP(2,1/(U240:AY240&lt;&gt;""),U$2:AY$2),"")</f>
        <v/>
      </c>
      <c r="O240" s="52" t="n"/>
      <c r="P240" s="52" t="n"/>
      <c r="Q240" s="52" t="n"/>
      <c r="R240" s="44" t="n"/>
      <c r="S240" s="14" t="n"/>
      <c r="U240" s="53" t="n"/>
      <c r="V240" s="53" t="n"/>
      <c r="W240" s="53" t="n"/>
      <c r="X240" s="53" t="n"/>
      <c r="Y240" s="53" t="n"/>
      <c r="Z240" s="53" t="n"/>
      <c r="AA240" s="53" t="n"/>
      <c r="AB240" s="53" t="n"/>
      <c r="AC240" s="53" t="n"/>
      <c r="AD240" s="53" t="n"/>
      <c r="AE240" s="53" t="n"/>
      <c r="AF240" s="53" t="n"/>
      <c r="AG240" s="53" t="n"/>
      <c r="AH240" s="53" t="n"/>
      <c r="AI240" s="53" t="n"/>
      <c r="AJ240" s="53" t="n"/>
      <c r="AK240" s="53" t="n"/>
      <c r="AL240" s="53" t="n"/>
      <c r="AM240" s="53" t="n"/>
      <c r="AN240" s="53" t="n"/>
      <c r="AO240" s="53" t="n"/>
      <c r="AP240" s="53" t="n"/>
      <c r="AQ240" s="53" t="n"/>
      <c r="AR240" s="53" t="n"/>
      <c r="AS240" s="53" t="n"/>
      <c r="AT240" s="53" t="n"/>
      <c r="AU240" s="53" t="n"/>
      <c r="AV240" s="53" t="n"/>
      <c r="AW240" s="53" t="n"/>
      <c r="AX240" s="53" t="n"/>
      <c r="AY240" s="53" t="n"/>
    </row>
    <row r="241" ht="15" customHeight="1">
      <c r="A241" s="54" t="n"/>
      <c r="B241" s="55">
        <f>IF($B$240="","",$B$240)</f>
        <v/>
      </c>
      <c r="C241" s="56" t="inlineStr">
        <is>
          <t>마케팅4팀</t>
        </is>
      </c>
      <c r="D241" s="55">
        <f>IF($D$240="","",$D$240)</f>
        <v/>
      </c>
      <c r="E241" s="57" t="inlineStr">
        <is>
          <t>이미지</t>
        </is>
      </c>
      <c r="F241" s="44" t="n"/>
      <c r="G241" s="58">
        <f>IF($G$240="","",$G$240)</f>
        <v/>
      </c>
      <c r="H241" s="59" t="n"/>
      <c r="I241" s="59" t="n"/>
      <c r="J241" s="59" t="n"/>
      <c r="K241" s="59" t="n"/>
      <c r="L241" s="60">
        <f>IF(SUM(U241:AY241)=0,"",SUM(U241:AY241))</f>
        <v/>
      </c>
      <c r="M241" s="61">
        <f>IFERROR(INDEX(U$2:AY$2,MATCH(TRUE,INDEX(U241:AY241&lt;&gt;"",0),0)),"")</f>
        <v/>
      </c>
      <c r="N241" s="61">
        <f>IFERROR(LOOKUP(2,1/(U241:AY241&lt;&gt;""),U$2:AY$2),"")</f>
        <v/>
      </c>
      <c r="O241" s="59" t="n"/>
      <c r="P241" s="59" t="n"/>
      <c r="Q241" s="59" t="n"/>
      <c r="R241" s="59" t="n"/>
      <c r="S241" s="14" t="n"/>
      <c r="U241" s="53" t="n"/>
      <c r="V241" s="53" t="n"/>
      <c r="W241" s="53" t="n"/>
      <c r="X241" s="53" t="n"/>
      <c r="Y241" s="53" t="n"/>
      <c r="Z241" s="53" t="n"/>
      <c r="AA241" s="53" t="n"/>
      <c r="AB241" s="53" t="n"/>
      <c r="AC241" s="53" t="n"/>
      <c r="AD241" s="53" t="n"/>
      <c r="AE241" s="53" t="n"/>
      <c r="AF241" s="53" t="n"/>
      <c r="AG241" s="53" t="n"/>
      <c r="AH241" s="53" t="n"/>
      <c r="AI241" s="53" t="n"/>
      <c r="AJ241" s="53" t="n"/>
      <c r="AK241" s="53" t="n"/>
      <c r="AL241" s="53" t="n"/>
      <c r="AM241" s="53" t="n"/>
      <c r="AN241" s="53" t="n"/>
      <c r="AO241" s="53" t="n"/>
      <c r="AP241" s="53" t="n"/>
      <c r="AQ241" s="53" t="n"/>
      <c r="AR241" s="53" t="n"/>
      <c r="AS241" s="53" t="n"/>
      <c r="AT241" s="53" t="n"/>
      <c r="AU241" s="53" t="n"/>
      <c r="AV241" s="53" t="n"/>
      <c r="AW241" s="53" t="n"/>
      <c r="AX241" s="53" t="n"/>
      <c r="AY241" s="53" t="n"/>
    </row>
    <row r="242" ht="15" customHeight="1">
      <c r="A242" s="62" t="n"/>
      <c r="B242" s="55">
        <f>IF($B$240="","",$B$240)</f>
        <v/>
      </c>
      <c r="C242" s="63" t="inlineStr">
        <is>
          <t>마케팅4팀</t>
        </is>
      </c>
      <c r="D242" s="55">
        <f>IF($D$240="","",$D$240)</f>
        <v/>
      </c>
      <c r="E242" s="64" t="inlineStr">
        <is>
          <t>영상</t>
        </is>
      </c>
      <c r="F242" s="44" t="n"/>
      <c r="G242" s="58">
        <f>IF($G$240="","",$G$240)</f>
        <v/>
      </c>
      <c r="H242" s="59" t="n"/>
      <c r="I242" s="59" t="n"/>
      <c r="J242" s="59" t="n"/>
      <c r="K242" s="59" t="n"/>
      <c r="L242" s="65">
        <f>IF(SUM(U242:AY242)=0,"",SUM(U242:AY242))</f>
        <v/>
      </c>
      <c r="M242" s="66">
        <f>IFERROR(INDEX(U$2:AY$2,MATCH(TRUE,INDEX(U242:AY242&lt;&gt;"",0),0)),"")</f>
        <v/>
      </c>
      <c r="N242" s="66">
        <f>IFERROR(LOOKUP(2,1/(U242:AY242&lt;&gt;""),U$2:AY$2),"")</f>
        <v/>
      </c>
      <c r="O242" s="59" t="n"/>
      <c r="P242" s="59" t="n"/>
      <c r="Q242" s="59" t="n"/>
      <c r="R242" s="59" t="n"/>
      <c r="S242" s="14" t="n"/>
      <c r="U242" s="53" t="n"/>
      <c r="V242" s="53" t="n"/>
      <c r="W242" s="53" t="n"/>
      <c r="X242" s="53" t="n"/>
      <c r="Y242" s="53" t="n"/>
      <c r="Z242" s="53" t="n"/>
      <c r="AA242" s="53" t="n"/>
      <c r="AB242" s="53" t="n"/>
      <c r="AC242" s="53" t="n"/>
      <c r="AD242" s="53" t="n"/>
      <c r="AE242" s="53" t="n"/>
      <c r="AF242" s="53" t="n"/>
      <c r="AG242" s="53" t="n"/>
      <c r="AH242" s="53" t="n"/>
      <c r="AI242" s="53" t="n"/>
      <c r="AJ242" s="53" t="n"/>
      <c r="AK242" s="53" t="n"/>
      <c r="AL242" s="53" t="n"/>
      <c r="AM242" s="53" t="n"/>
      <c r="AN242" s="53" t="n"/>
      <c r="AO242" s="53" t="n"/>
      <c r="AP242" s="53" t="n"/>
      <c r="AQ242" s="53" t="n"/>
      <c r="AR242" s="53" t="n"/>
      <c r="AS242" s="53" t="n"/>
      <c r="AT242" s="53" t="n"/>
      <c r="AU242" s="53" t="n"/>
      <c r="AV242" s="53" t="n"/>
      <c r="AW242" s="53" t="n"/>
      <c r="AX242" s="53" t="n"/>
      <c r="AY242" s="53" t="n"/>
    </row>
    <row r="243" ht="15" customHeight="1">
      <c r="A243" s="40">
        <f>IF($D$243="","",78)</f>
        <v/>
      </c>
      <c r="B243" s="10" t="n"/>
      <c r="C243" s="41" t="inlineStr">
        <is>
          <t>마케팅4팀</t>
        </is>
      </c>
      <c r="D243" s="42" t="n"/>
      <c r="E243" s="43" t="inlineStr">
        <is>
          <t>기획</t>
        </is>
      </c>
      <c r="F243" s="44" t="n"/>
      <c r="G243" s="45" t="n"/>
      <c r="H243" s="46">
        <f>IF($I$243="","",IF($I$243&lt;0,"🔴지연",IF($I$243&lt;=1,"🟡임박","🟢여유")))</f>
        <v/>
      </c>
      <c r="I243" s="47">
        <f>IF(OR($G$243="",$K$243=""),"",$G$243-$K$243)</f>
        <v/>
      </c>
      <c r="J243" s="48">
        <f>IF(SUM($L$243:$L$245)=0,"",SUM($L$243:$L$245))</f>
        <v/>
      </c>
      <c r="K243" s="49">
        <f>IF($J$243="","",MAX($N$243:$N$245))</f>
        <v/>
      </c>
      <c r="L243" s="50">
        <f>IF(SUM(U243:AY243)=0,"",SUM(U243:AY243))</f>
        <v/>
      </c>
      <c r="M243" s="51">
        <f>IFERROR(INDEX(U$2:AY$2,MATCH(TRUE,INDEX(U243:AY243&lt;&gt;"",0),0)),"")</f>
        <v/>
      </c>
      <c r="N243" s="51">
        <f>IFERROR(LOOKUP(2,1/(U243:AY243&lt;&gt;""),U$2:AY$2),"")</f>
        <v/>
      </c>
      <c r="O243" s="52" t="n"/>
      <c r="P243" s="52" t="n"/>
      <c r="Q243" s="52" t="n"/>
      <c r="R243" s="44" t="n"/>
      <c r="S243" s="14" t="n"/>
      <c r="U243" s="53" t="n"/>
      <c r="V243" s="53" t="n"/>
      <c r="W243" s="53" t="n"/>
      <c r="X243" s="53" t="n"/>
      <c r="Y243" s="53" t="n"/>
      <c r="Z243" s="53" t="n"/>
      <c r="AA243" s="53" t="n"/>
      <c r="AB243" s="53" t="n"/>
      <c r="AC243" s="53" t="n"/>
      <c r="AD243" s="53" t="n"/>
      <c r="AE243" s="53" t="n"/>
      <c r="AF243" s="53" t="n"/>
      <c r="AG243" s="53" t="n"/>
      <c r="AH243" s="53" t="n"/>
      <c r="AI243" s="53" t="n"/>
      <c r="AJ243" s="53" t="n"/>
      <c r="AK243" s="53" t="n"/>
      <c r="AL243" s="53" t="n"/>
      <c r="AM243" s="53" t="n"/>
      <c r="AN243" s="53" t="n"/>
      <c r="AO243" s="53" t="n"/>
      <c r="AP243" s="53" t="n"/>
      <c r="AQ243" s="53" t="n"/>
      <c r="AR243" s="53" t="n"/>
      <c r="AS243" s="53" t="n"/>
      <c r="AT243" s="53" t="n"/>
      <c r="AU243" s="53" t="n"/>
      <c r="AV243" s="53" t="n"/>
      <c r="AW243" s="53" t="n"/>
      <c r="AX243" s="53" t="n"/>
      <c r="AY243" s="53" t="n"/>
    </row>
    <row r="244" ht="15" customHeight="1">
      <c r="A244" s="54" t="n"/>
      <c r="B244" s="55">
        <f>IF($B$243="","",$B$243)</f>
        <v/>
      </c>
      <c r="C244" s="56" t="inlineStr">
        <is>
          <t>마케팅4팀</t>
        </is>
      </c>
      <c r="D244" s="55">
        <f>IF($D$243="","",$D$243)</f>
        <v/>
      </c>
      <c r="E244" s="57" t="inlineStr">
        <is>
          <t>이미지</t>
        </is>
      </c>
      <c r="F244" s="44" t="n"/>
      <c r="G244" s="58">
        <f>IF($G$243="","",$G$243)</f>
        <v/>
      </c>
      <c r="H244" s="59" t="n"/>
      <c r="I244" s="59" t="n"/>
      <c r="J244" s="59" t="n"/>
      <c r="K244" s="59" t="n"/>
      <c r="L244" s="60">
        <f>IF(SUM(U244:AY244)=0,"",SUM(U244:AY244))</f>
        <v/>
      </c>
      <c r="M244" s="61">
        <f>IFERROR(INDEX(U$2:AY$2,MATCH(TRUE,INDEX(U244:AY244&lt;&gt;"",0),0)),"")</f>
        <v/>
      </c>
      <c r="N244" s="61">
        <f>IFERROR(LOOKUP(2,1/(U244:AY244&lt;&gt;""),U$2:AY$2),"")</f>
        <v/>
      </c>
      <c r="O244" s="59" t="n"/>
      <c r="P244" s="59" t="n"/>
      <c r="Q244" s="59" t="n"/>
      <c r="R244" s="59" t="n"/>
      <c r="S244" s="14" t="n"/>
      <c r="U244" s="53" t="n"/>
      <c r="V244" s="53" t="n"/>
      <c r="W244" s="53" t="n"/>
      <c r="X244" s="53" t="n"/>
      <c r="Y244" s="53" t="n"/>
      <c r="Z244" s="53" t="n"/>
      <c r="AA244" s="53" t="n"/>
      <c r="AB244" s="53" t="n"/>
      <c r="AC244" s="53" t="n"/>
      <c r="AD244" s="53" t="n"/>
      <c r="AE244" s="53" t="n"/>
      <c r="AF244" s="53" t="n"/>
      <c r="AG244" s="53" t="n"/>
      <c r="AH244" s="53" t="n"/>
      <c r="AI244" s="53" t="n"/>
      <c r="AJ244" s="53" t="n"/>
      <c r="AK244" s="53" t="n"/>
      <c r="AL244" s="53" t="n"/>
      <c r="AM244" s="53" t="n"/>
      <c r="AN244" s="53" t="n"/>
      <c r="AO244" s="53" t="n"/>
      <c r="AP244" s="53" t="n"/>
      <c r="AQ244" s="53" t="n"/>
      <c r="AR244" s="53" t="n"/>
      <c r="AS244" s="53" t="n"/>
      <c r="AT244" s="53" t="n"/>
      <c r="AU244" s="53" t="n"/>
      <c r="AV244" s="53" t="n"/>
      <c r="AW244" s="53" t="n"/>
      <c r="AX244" s="53" t="n"/>
      <c r="AY244" s="53" t="n"/>
    </row>
    <row r="245" ht="15" customHeight="1">
      <c r="A245" s="62" t="n"/>
      <c r="B245" s="55">
        <f>IF($B$243="","",$B$243)</f>
        <v/>
      </c>
      <c r="C245" s="63" t="inlineStr">
        <is>
          <t>마케팅4팀</t>
        </is>
      </c>
      <c r="D245" s="55">
        <f>IF($D$243="","",$D$243)</f>
        <v/>
      </c>
      <c r="E245" s="64" t="inlineStr">
        <is>
          <t>영상</t>
        </is>
      </c>
      <c r="F245" s="44" t="n"/>
      <c r="G245" s="58">
        <f>IF($G$243="","",$G$243)</f>
        <v/>
      </c>
      <c r="H245" s="59" t="n"/>
      <c r="I245" s="59" t="n"/>
      <c r="J245" s="59" t="n"/>
      <c r="K245" s="59" t="n"/>
      <c r="L245" s="65">
        <f>IF(SUM(U245:AY245)=0,"",SUM(U245:AY245))</f>
        <v/>
      </c>
      <c r="M245" s="66">
        <f>IFERROR(INDEX(U$2:AY$2,MATCH(TRUE,INDEX(U245:AY245&lt;&gt;"",0),0)),"")</f>
        <v/>
      </c>
      <c r="N245" s="66">
        <f>IFERROR(LOOKUP(2,1/(U245:AY245&lt;&gt;""),U$2:AY$2),"")</f>
        <v/>
      </c>
      <c r="O245" s="59" t="n"/>
      <c r="P245" s="59" t="n"/>
      <c r="Q245" s="59" t="n"/>
      <c r="R245" s="59" t="n"/>
      <c r="S245" s="14" t="n"/>
      <c r="U245" s="53" t="n"/>
      <c r="V245" s="53" t="n"/>
      <c r="W245" s="53" t="n"/>
      <c r="X245" s="53" t="n"/>
      <c r="Y245" s="53" t="n"/>
      <c r="Z245" s="53" t="n"/>
      <c r="AA245" s="53" t="n"/>
      <c r="AB245" s="53" t="n"/>
      <c r="AC245" s="53" t="n"/>
      <c r="AD245" s="53" t="n"/>
      <c r="AE245" s="53" t="n"/>
      <c r="AF245" s="53" t="n"/>
      <c r="AG245" s="53" t="n"/>
      <c r="AH245" s="53" t="n"/>
      <c r="AI245" s="53" t="n"/>
      <c r="AJ245" s="53" t="n"/>
      <c r="AK245" s="53" t="n"/>
      <c r="AL245" s="53" t="n"/>
      <c r="AM245" s="53" t="n"/>
      <c r="AN245" s="53" t="n"/>
      <c r="AO245" s="53" t="n"/>
      <c r="AP245" s="53" t="n"/>
      <c r="AQ245" s="53" t="n"/>
      <c r="AR245" s="53" t="n"/>
      <c r="AS245" s="53" t="n"/>
      <c r="AT245" s="53" t="n"/>
      <c r="AU245" s="53" t="n"/>
      <c r="AV245" s="53" t="n"/>
      <c r="AW245" s="53" t="n"/>
      <c r="AX245" s="53" t="n"/>
      <c r="AY245" s="53" t="n"/>
    </row>
    <row r="246" ht="15" customHeight="1">
      <c r="A246" s="40">
        <f>IF($D$246="","",79)</f>
        <v/>
      </c>
      <c r="B246" s="10" t="n"/>
      <c r="C246" s="41" t="inlineStr">
        <is>
          <t>마케팅4팀</t>
        </is>
      </c>
      <c r="D246" s="42" t="n"/>
      <c r="E246" s="43" t="inlineStr">
        <is>
          <t>기획</t>
        </is>
      </c>
      <c r="F246" s="44" t="n"/>
      <c r="G246" s="45" t="n"/>
      <c r="H246" s="46">
        <f>IF($I$246="","",IF($I$246&lt;0,"🔴지연",IF($I$246&lt;=1,"🟡임박","🟢여유")))</f>
        <v/>
      </c>
      <c r="I246" s="47">
        <f>IF(OR($G$246="",$K$246=""),"",$G$246-$K$246)</f>
        <v/>
      </c>
      <c r="J246" s="48">
        <f>IF(SUM($L$246:$L$248)=0,"",SUM($L$246:$L$248))</f>
        <v/>
      </c>
      <c r="K246" s="49">
        <f>IF($J$246="","",MAX($N$246:$N$248))</f>
        <v/>
      </c>
      <c r="L246" s="50">
        <f>IF(SUM(U246:AY246)=0,"",SUM(U246:AY246))</f>
        <v/>
      </c>
      <c r="M246" s="51">
        <f>IFERROR(INDEX(U$2:AY$2,MATCH(TRUE,INDEX(U246:AY246&lt;&gt;"",0),0)),"")</f>
        <v/>
      </c>
      <c r="N246" s="51">
        <f>IFERROR(LOOKUP(2,1/(U246:AY246&lt;&gt;""),U$2:AY$2),"")</f>
        <v/>
      </c>
      <c r="O246" s="52" t="n"/>
      <c r="P246" s="52" t="n"/>
      <c r="Q246" s="52" t="n"/>
      <c r="R246" s="44" t="n"/>
      <c r="S246" s="14" t="n"/>
      <c r="U246" s="53" t="n"/>
      <c r="V246" s="53" t="n"/>
      <c r="W246" s="53" t="n"/>
      <c r="X246" s="53" t="n"/>
      <c r="Y246" s="53" t="n"/>
      <c r="Z246" s="53" t="n"/>
      <c r="AA246" s="53" t="n"/>
      <c r="AB246" s="53" t="n"/>
      <c r="AC246" s="53" t="n"/>
      <c r="AD246" s="53" t="n"/>
      <c r="AE246" s="53" t="n"/>
      <c r="AF246" s="53" t="n"/>
      <c r="AG246" s="53" t="n"/>
      <c r="AH246" s="53" t="n"/>
      <c r="AI246" s="53" t="n"/>
      <c r="AJ246" s="53" t="n"/>
      <c r="AK246" s="53" t="n"/>
      <c r="AL246" s="53" t="n"/>
      <c r="AM246" s="53" t="n"/>
      <c r="AN246" s="53" t="n"/>
      <c r="AO246" s="53" t="n"/>
      <c r="AP246" s="53" t="n"/>
      <c r="AQ246" s="53" t="n"/>
      <c r="AR246" s="53" t="n"/>
      <c r="AS246" s="53" t="n"/>
      <c r="AT246" s="53" t="n"/>
      <c r="AU246" s="53" t="n"/>
      <c r="AV246" s="53" t="n"/>
      <c r="AW246" s="53" t="n"/>
      <c r="AX246" s="53" t="n"/>
      <c r="AY246" s="53" t="n"/>
    </row>
    <row r="247" ht="15" customHeight="1">
      <c r="A247" s="54" t="n"/>
      <c r="B247" s="55">
        <f>IF($B$246="","",$B$246)</f>
        <v/>
      </c>
      <c r="C247" s="56" t="inlineStr">
        <is>
          <t>마케팅4팀</t>
        </is>
      </c>
      <c r="D247" s="55">
        <f>IF($D$246="","",$D$246)</f>
        <v/>
      </c>
      <c r="E247" s="57" t="inlineStr">
        <is>
          <t>이미지</t>
        </is>
      </c>
      <c r="F247" s="44" t="n"/>
      <c r="G247" s="58">
        <f>IF($G$246="","",$G$246)</f>
        <v/>
      </c>
      <c r="H247" s="59" t="n"/>
      <c r="I247" s="59" t="n"/>
      <c r="J247" s="59" t="n"/>
      <c r="K247" s="59" t="n"/>
      <c r="L247" s="60">
        <f>IF(SUM(U247:AY247)=0,"",SUM(U247:AY247))</f>
        <v/>
      </c>
      <c r="M247" s="61">
        <f>IFERROR(INDEX(U$2:AY$2,MATCH(TRUE,INDEX(U247:AY247&lt;&gt;"",0),0)),"")</f>
        <v/>
      </c>
      <c r="N247" s="61">
        <f>IFERROR(LOOKUP(2,1/(U247:AY247&lt;&gt;""),U$2:AY$2),"")</f>
        <v/>
      </c>
      <c r="O247" s="59" t="n"/>
      <c r="P247" s="59" t="n"/>
      <c r="Q247" s="59" t="n"/>
      <c r="R247" s="59" t="n"/>
      <c r="S247" s="14" t="n"/>
      <c r="U247" s="53" t="n"/>
      <c r="V247" s="53" t="n"/>
      <c r="W247" s="53" t="n"/>
      <c r="X247" s="53" t="n"/>
      <c r="Y247" s="53" t="n"/>
      <c r="Z247" s="53" t="n"/>
      <c r="AA247" s="53" t="n"/>
      <c r="AB247" s="53" t="n"/>
      <c r="AC247" s="53" t="n"/>
      <c r="AD247" s="53" t="n"/>
      <c r="AE247" s="53" t="n"/>
      <c r="AF247" s="53" t="n"/>
      <c r="AG247" s="53" t="n"/>
      <c r="AH247" s="53" t="n"/>
      <c r="AI247" s="53" t="n"/>
      <c r="AJ247" s="53" t="n"/>
      <c r="AK247" s="53" t="n"/>
      <c r="AL247" s="53" t="n"/>
      <c r="AM247" s="53" t="n"/>
      <c r="AN247" s="53" t="n"/>
      <c r="AO247" s="53" t="n"/>
      <c r="AP247" s="53" t="n"/>
      <c r="AQ247" s="53" t="n"/>
      <c r="AR247" s="53" t="n"/>
      <c r="AS247" s="53" t="n"/>
      <c r="AT247" s="53" t="n"/>
      <c r="AU247" s="53" t="n"/>
      <c r="AV247" s="53" t="n"/>
      <c r="AW247" s="53" t="n"/>
      <c r="AX247" s="53" t="n"/>
      <c r="AY247" s="53" t="n"/>
    </row>
    <row r="248" ht="15" customHeight="1">
      <c r="A248" s="62" t="n"/>
      <c r="B248" s="55">
        <f>IF($B$246="","",$B$246)</f>
        <v/>
      </c>
      <c r="C248" s="63" t="inlineStr">
        <is>
          <t>마케팅4팀</t>
        </is>
      </c>
      <c r="D248" s="55">
        <f>IF($D$246="","",$D$246)</f>
        <v/>
      </c>
      <c r="E248" s="64" t="inlineStr">
        <is>
          <t>영상</t>
        </is>
      </c>
      <c r="F248" s="44" t="n"/>
      <c r="G248" s="58">
        <f>IF($G$246="","",$G$246)</f>
        <v/>
      </c>
      <c r="H248" s="59" t="n"/>
      <c r="I248" s="59" t="n"/>
      <c r="J248" s="59" t="n"/>
      <c r="K248" s="59" t="n"/>
      <c r="L248" s="65">
        <f>IF(SUM(U248:AY248)=0,"",SUM(U248:AY248))</f>
        <v/>
      </c>
      <c r="M248" s="66">
        <f>IFERROR(INDEX(U$2:AY$2,MATCH(TRUE,INDEX(U248:AY248&lt;&gt;"",0),0)),"")</f>
        <v/>
      </c>
      <c r="N248" s="66">
        <f>IFERROR(LOOKUP(2,1/(U248:AY248&lt;&gt;""),U$2:AY$2),"")</f>
        <v/>
      </c>
      <c r="O248" s="59" t="n"/>
      <c r="P248" s="59" t="n"/>
      <c r="Q248" s="59" t="n"/>
      <c r="R248" s="59" t="n"/>
      <c r="S248" s="14" t="n"/>
      <c r="U248" s="53" t="n"/>
      <c r="V248" s="53" t="n"/>
      <c r="W248" s="53" t="n"/>
      <c r="X248" s="53" t="n"/>
      <c r="Y248" s="53" t="n"/>
      <c r="Z248" s="53" t="n"/>
      <c r="AA248" s="53" t="n"/>
      <c r="AB248" s="53" t="n"/>
      <c r="AC248" s="53" t="n"/>
      <c r="AD248" s="53" t="n"/>
      <c r="AE248" s="53" t="n"/>
      <c r="AF248" s="53" t="n"/>
      <c r="AG248" s="53" t="n"/>
      <c r="AH248" s="53" t="n"/>
      <c r="AI248" s="53" t="n"/>
      <c r="AJ248" s="53" t="n"/>
      <c r="AK248" s="53" t="n"/>
      <c r="AL248" s="53" t="n"/>
      <c r="AM248" s="53" t="n"/>
      <c r="AN248" s="53" t="n"/>
      <c r="AO248" s="53" t="n"/>
      <c r="AP248" s="53" t="n"/>
      <c r="AQ248" s="53" t="n"/>
      <c r="AR248" s="53" t="n"/>
      <c r="AS248" s="53" t="n"/>
      <c r="AT248" s="53" t="n"/>
      <c r="AU248" s="53" t="n"/>
      <c r="AV248" s="53" t="n"/>
      <c r="AW248" s="53" t="n"/>
      <c r="AX248" s="53" t="n"/>
      <c r="AY248" s="53" t="n"/>
    </row>
    <row r="249" ht="15" customHeight="1">
      <c r="A249" s="40">
        <f>IF($D$249="","",80)</f>
        <v/>
      </c>
      <c r="B249" s="10" t="n"/>
      <c r="C249" s="41" t="inlineStr">
        <is>
          <t>마케팅4팀</t>
        </is>
      </c>
      <c r="D249" s="42" t="n"/>
      <c r="E249" s="43" t="inlineStr">
        <is>
          <t>기획</t>
        </is>
      </c>
      <c r="F249" s="44" t="n"/>
      <c r="G249" s="45" t="n"/>
      <c r="H249" s="46">
        <f>IF($I$249="","",IF($I$249&lt;0,"🔴지연",IF($I$249&lt;=1,"🟡임박","🟢여유")))</f>
        <v/>
      </c>
      <c r="I249" s="47">
        <f>IF(OR($G$249="",$K$249=""),"",$G$249-$K$249)</f>
        <v/>
      </c>
      <c r="J249" s="48">
        <f>IF(SUM($L$249:$L$251)=0,"",SUM($L$249:$L$251))</f>
        <v/>
      </c>
      <c r="K249" s="49">
        <f>IF($J$249="","",MAX($N$249:$N$251))</f>
        <v/>
      </c>
      <c r="L249" s="50">
        <f>IF(SUM(U249:AY249)=0,"",SUM(U249:AY249))</f>
        <v/>
      </c>
      <c r="M249" s="51">
        <f>IFERROR(INDEX(U$2:AY$2,MATCH(TRUE,INDEX(U249:AY249&lt;&gt;"",0),0)),"")</f>
        <v/>
      </c>
      <c r="N249" s="51">
        <f>IFERROR(LOOKUP(2,1/(U249:AY249&lt;&gt;""),U$2:AY$2),"")</f>
        <v/>
      </c>
      <c r="O249" s="52" t="n"/>
      <c r="P249" s="52" t="n"/>
      <c r="Q249" s="52" t="n"/>
      <c r="R249" s="44" t="n"/>
      <c r="S249" s="14" t="n"/>
      <c r="U249" s="53" t="n"/>
      <c r="V249" s="53" t="n"/>
      <c r="W249" s="53" t="n"/>
      <c r="X249" s="53" t="n"/>
      <c r="Y249" s="53" t="n"/>
      <c r="Z249" s="53" t="n"/>
      <c r="AA249" s="53" t="n"/>
      <c r="AB249" s="53" t="n"/>
      <c r="AC249" s="53" t="n"/>
      <c r="AD249" s="53" t="n"/>
      <c r="AE249" s="53" t="n"/>
      <c r="AF249" s="53" t="n"/>
      <c r="AG249" s="53" t="n"/>
      <c r="AH249" s="53" t="n"/>
      <c r="AI249" s="53" t="n"/>
      <c r="AJ249" s="53" t="n"/>
      <c r="AK249" s="53" t="n"/>
      <c r="AL249" s="53" t="n"/>
      <c r="AM249" s="53" t="n"/>
      <c r="AN249" s="53" t="n"/>
      <c r="AO249" s="53" t="n"/>
      <c r="AP249" s="53" t="n"/>
      <c r="AQ249" s="53" t="n"/>
      <c r="AR249" s="53" t="n"/>
      <c r="AS249" s="53" t="n"/>
      <c r="AT249" s="53" t="n"/>
      <c r="AU249" s="53" t="n"/>
      <c r="AV249" s="53" t="n"/>
      <c r="AW249" s="53" t="n"/>
      <c r="AX249" s="53" t="n"/>
      <c r="AY249" s="53" t="n"/>
    </row>
    <row r="250" ht="15" customHeight="1">
      <c r="A250" s="54" t="n"/>
      <c r="B250" s="55">
        <f>IF($B$249="","",$B$249)</f>
        <v/>
      </c>
      <c r="C250" s="56" t="inlineStr">
        <is>
          <t>마케팅4팀</t>
        </is>
      </c>
      <c r="D250" s="55">
        <f>IF($D$249="","",$D$249)</f>
        <v/>
      </c>
      <c r="E250" s="57" t="inlineStr">
        <is>
          <t>이미지</t>
        </is>
      </c>
      <c r="F250" s="44" t="n"/>
      <c r="G250" s="58">
        <f>IF($G$249="","",$G$249)</f>
        <v/>
      </c>
      <c r="H250" s="59" t="n"/>
      <c r="I250" s="59" t="n"/>
      <c r="J250" s="59" t="n"/>
      <c r="K250" s="59" t="n"/>
      <c r="L250" s="60">
        <f>IF(SUM(U250:AY250)=0,"",SUM(U250:AY250))</f>
        <v/>
      </c>
      <c r="M250" s="61">
        <f>IFERROR(INDEX(U$2:AY$2,MATCH(TRUE,INDEX(U250:AY250&lt;&gt;"",0),0)),"")</f>
        <v/>
      </c>
      <c r="N250" s="61">
        <f>IFERROR(LOOKUP(2,1/(U250:AY250&lt;&gt;""),U$2:AY$2),"")</f>
        <v/>
      </c>
      <c r="O250" s="59" t="n"/>
      <c r="P250" s="59" t="n"/>
      <c r="Q250" s="59" t="n"/>
      <c r="R250" s="59" t="n"/>
      <c r="S250" s="14" t="n"/>
      <c r="U250" s="53" t="n"/>
      <c r="V250" s="53" t="n"/>
      <c r="W250" s="53" t="n"/>
      <c r="X250" s="53" t="n"/>
      <c r="Y250" s="53" t="n"/>
      <c r="Z250" s="53" t="n"/>
      <c r="AA250" s="53" t="n"/>
      <c r="AB250" s="53" t="n"/>
      <c r="AC250" s="53" t="n"/>
      <c r="AD250" s="53" t="n"/>
      <c r="AE250" s="53" t="n"/>
      <c r="AF250" s="53" t="n"/>
      <c r="AG250" s="53" t="n"/>
      <c r="AH250" s="53" t="n"/>
      <c r="AI250" s="53" t="n"/>
      <c r="AJ250" s="53" t="n"/>
      <c r="AK250" s="53" t="n"/>
      <c r="AL250" s="53" t="n"/>
      <c r="AM250" s="53" t="n"/>
      <c r="AN250" s="53" t="n"/>
      <c r="AO250" s="53" t="n"/>
      <c r="AP250" s="53" t="n"/>
      <c r="AQ250" s="53" t="n"/>
      <c r="AR250" s="53" t="n"/>
      <c r="AS250" s="53" t="n"/>
      <c r="AT250" s="53" t="n"/>
      <c r="AU250" s="53" t="n"/>
      <c r="AV250" s="53" t="n"/>
      <c r="AW250" s="53" t="n"/>
      <c r="AX250" s="53" t="n"/>
      <c r="AY250" s="53" t="n"/>
    </row>
    <row r="251" ht="15" customHeight="1">
      <c r="A251" s="62" t="n"/>
      <c r="B251" s="55">
        <f>IF($B$249="","",$B$249)</f>
        <v/>
      </c>
      <c r="C251" s="63" t="inlineStr">
        <is>
          <t>마케팅4팀</t>
        </is>
      </c>
      <c r="D251" s="55">
        <f>IF($D$249="","",$D$249)</f>
        <v/>
      </c>
      <c r="E251" s="64" t="inlineStr">
        <is>
          <t>영상</t>
        </is>
      </c>
      <c r="F251" s="44" t="n"/>
      <c r="G251" s="58">
        <f>IF($G$249="","",$G$249)</f>
        <v/>
      </c>
      <c r="H251" s="59" t="n"/>
      <c r="I251" s="59" t="n"/>
      <c r="J251" s="59" t="n"/>
      <c r="K251" s="59" t="n"/>
      <c r="L251" s="65">
        <f>IF(SUM(U251:AY251)=0,"",SUM(U251:AY251))</f>
        <v/>
      </c>
      <c r="M251" s="66">
        <f>IFERROR(INDEX(U$2:AY$2,MATCH(TRUE,INDEX(U251:AY251&lt;&gt;"",0),0)),"")</f>
        <v/>
      </c>
      <c r="N251" s="66">
        <f>IFERROR(LOOKUP(2,1/(U251:AY251&lt;&gt;""),U$2:AY$2),"")</f>
        <v/>
      </c>
      <c r="O251" s="59" t="n"/>
      <c r="P251" s="59" t="n"/>
      <c r="Q251" s="59" t="n"/>
      <c r="R251" s="59" t="n"/>
      <c r="S251" s="14" t="n"/>
      <c r="U251" s="53" t="n"/>
      <c r="V251" s="53" t="n"/>
      <c r="W251" s="53" t="n"/>
      <c r="X251" s="53" t="n"/>
      <c r="Y251" s="53" t="n"/>
      <c r="Z251" s="53" t="n"/>
      <c r="AA251" s="53" t="n"/>
      <c r="AB251" s="53" t="n"/>
      <c r="AC251" s="53" t="n"/>
      <c r="AD251" s="53" t="n"/>
      <c r="AE251" s="53" t="n"/>
      <c r="AF251" s="53" t="n"/>
      <c r="AG251" s="53" t="n"/>
      <c r="AH251" s="53" t="n"/>
      <c r="AI251" s="53" t="n"/>
      <c r="AJ251" s="53" t="n"/>
      <c r="AK251" s="53" t="n"/>
      <c r="AL251" s="53" t="n"/>
      <c r="AM251" s="53" t="n"/>
      <c r="AN251" s="53" t="n"/>
      <c r="AO251" s="53" t="n"/>
      <c r="AP251" s="53" t="n"/>
      <c r="AQ251" s="53" t="n"/>
      <c r="AR251" s="53" t="n"/>
      <c r="AS251" s="53" t="n"/>
      <c r="AT251" s="53" t="n"/>
      <c r="AU251" s="53" t="n"/>
      <c r="AV251" s="53" t="n"/>
      <c r="AW251" s="53" t="n"/>
      <c r="AX251" s="53" t="n"/>
      <c r="AY251" s="53" t="n"/>
    </row>
    <row r="252" ht="18" customHeight="1">
      <c r="A252" s="39" t="inlineStr">
        <is>
          <t>기타   (253~312행 · 소재 20개)</t>
        </is>
      </c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  <c r="AA252" s="8" t="n"/>
      <c r="AB252" s="8" t="n"/>
      <c r="AC252" s="8" t="n"/>
      <c r="AD252" s="8" t="n"/>
      <c r="AE252" s="8" t="n"/>
      <c r="AF252" s="8" t="n"/>
      <c r="AG252" s="8" t="n"/>
      <c r="AH252" s="8" t="n"/>
      <c r="AI252" s="8" t="n"/>
      <c r="AJ252" s="8" t="n"/>
      <c r="AK252" s="8" t="n"/>
      <c r="AL252" s="8" t="n"/>
      <c r="AM252" s="8" t="n"/>
      <c r="AN252" s="8" t="n"/>
      <c r="AO252" s="8" t="n"/>
      <c r="AP252" s="8" t="n"/>
      <c r="AQ252" s="8" t="n"/>
      <c r="AR252" s="8" t="n"/>
      <c r="AS252" s="8" t="n"/>
      <c r="AT252" s="8" t="n"/>
      <c r="AU252" s="8" t="n"/>
      <c r="AV252" s="8" t="n"/>
      <c r="AW252" s="8" t="n"/>
      <c r="AX252" s="8" t="n"/>
      <c r="AY252" s="4" t="n"/>
    </row>
    <row r="253" ht="15" customHeight="1">
      <c r="A253" s="40">
        <f>IF($D$253="","",81)</f>
        <v/>
      </c>
      <c r="B253" s="10" t="n"/>
      <c r="C253" s="41" t="inlineStr">
        <is>
          <t>기타</t>
        </is>
      </c>
      <c r="D253" s="42" t="n"/>
      <c r="E253" s="43" t="inlineStr">
        <is>
          <t>기획</t>
        </is>
      </c>
      <c r="F253" s="44" t="n"/>
      <c r="G253" s="45" t="n"/>
      <c r="H253" s="46">
        <f>IF($I$253="","",IF($I$253&lt;0,"🔴지연",IF($I$253&lt;=1,"🟡임박","🟢여유")))</f>
        <v/>
      </c>
      <c r="I253" s="47">
        <f>IF(OR($G$253="",$K$253=""),"",$G$253-$K$253)</f>
        <v/>
      </c>
      <c r="J253" s="48">
        <f>IF(SUM($L$253:$L$255)=0,"",SUM($L$253:$L$255))</f>
        <v/>
      </c>
      <c r="K253" s="49">
        <f>IF($J$253="","",MAX($N$253:$N$255))</f>
        <v/>
      </c>
      <c r="L253" s="50">
        <f>IF(SUM(U253:AY253)=0,"",SUM(U253:AY253))</f>
        <v/>
      </c>
      <c r="M253" s="51">
        <f>IFERROR(INDEX(U$2:AY$2,MATCH(TRUE,INDEX(U253:AY253&lt;&gt;"",0),0)),"")</f>
        <v/>
      </c>
      <c r="N253" s="51">
        <f>IFERROR(LOOKUP(2,1/(U253:AY253&lt;&gt;""),U$2:AY$2),"")</f>
        <v/>
      </c>
      <c r="O253" s="52" t="n"/>
      <c r="P253" s="52" t="n"/>
      <c r="Q253" s="52" t="n"/>
      <c r="R253" s="44" t="n"/>
      <c r="S253" s="14" t="n"/>
      <c r="U253" s="53" t="n"/>
      <c r="V253" s="53" t="n"/>
      <c r="W253" s="53" t="n"/>
      <c r="X253" s="53" t="n"/>
      <c r="Y253" s="53" t="n"/>
      <c r="Z253" s="53" t="n"/>
      <c r="AA253" s="53" t="n"/>
      <c r="AB253" s="53" t="n"/>
      <c r="AC253" s="53" t="n"/>
      <c r="AD253" s="53" t="n"/>
      <c r="AE253" s="53" t="n"/>
      <c r="AF253" s="53" t="n"/>
      <c r="AG253" s="53" t="n"/>
      <c r="AH253" s="53" t="n"/>
      <c r="AI253" s="53" t="n"/>
      <c r="AJ253" s="53" t="n"/>
      <c r="AK253" s="53" t="n"/>
      <c r="AL253" s="53" t="n"/>
      <c r="AM253" s="53" t="n"/>
      <c r="AN253" s="53" t="n"/>
      <c r="AO253" s="53" t="n"/>
      <c r="AP253" s="53" t="n"/>
      <c r="AQ253" s="53" t="n"/>
      <c r="AR253" s="53" t="n"/>
      <c r="AS253" s="53" t="n"/>
      <c r="AT253" s="53" t="n"/>
      <c r="AU253" s="53" t="n"/>
      <c r="AV253" s="53" t="n"/>
      <c r="AW253" s="53" t="n"/>
      <c r="AX253" s="53" t="n"/>
      <c r="AY253" s="53" t="n"/>
    </row>
    <row r="254" ht="15" customHeight="1">
      <c r="A254" s="54" t="n"/>
      <c r="B254" s="55">
        <f>IF($B$253="","",$B$253)</f>
        <v/>
      </c>
      <c r="C254" s="56" t="inlineStr">
        <is>
          <t>기타</t>
        </is>
      </c>
      <c r="D254" s="55">
        <f>IF($D$253="","",$D$253)</f>
        <v/>
      </c>
      <c r="E254" s="57" t="inlineStr">
        <is>
          <t>이미지</t>
        </is>
      </c>
      <c r="F254" s="44" t="n"/>
      <c r="G254" s="58">
        <f>IF($G$253="","",$G$253)</f>
        <v/>
      </c>
      <c r="H254" s="59" t="n"/>
      <c r="I254" s="59" t="n"/>
      <c r="J254" s="59" t="n"/>
      <c r="K254" s="59" t="n"/>
      <c r="L254" s="60">
        <f>IF(SUM(U254:AY254)=0,"",SUM(U254:AY254))</f>
        <v/>
      </c>
      <c r="M254" s="61">
        <f>IFERROR(INDEX(U$2:AY$2,MATCH(TRUE,INDEX(U254:AY254&lt;&gt;"",0),0)),"")</f>
        <v/>
      </c>
      <c r="N254" s="61">
        <f>IFERROR(LOOKUP(2,1/(U254:AY254&lt;&gt;""),U$2:AY$2),"")</f>
        <v/>
      </c>
      <c r="O254" s="59" t="n"/>
      <c r="P254" s="59" t="n"/>
      <c r="Q254" s="59" t="n"/>
      <c r="R254" s="59" t="n"/>
      <c r="S254" s="14" t="n"/>
      <c r="U254" s="53" t="n"/>
      <c r="V254" s="53" t="n"/>
      <c r="W254" s="53" t="n"/>
      <c r="X254" s="53" t="n"/>
      <c r="Y254" s="53" t="n"/>
      <c r="Z254" s="53" t="n"/>
      <c r="AA254" s="53" t="n"/>
      <c r="AB254" s="53" t="n"/>
      <c r="AC254" s="53" t="n"/>
      <c r="AD254" s="53" t="n"/>
      <c r="AE254" s="53" t="n"/>
      <c r="AF254" s="53" t="n"/>
      <c r="AG254" s="53" t="n"/>
      <c r="AH254" s="53" t="n"/>
      <c r="AI254" s="53" t="n"/>
      <c r="AJ254" s="53" t="n"/>
      <c r="AK254" s="53" t="n"/>
      <c r="AL254" s="53" t="n"/>
      <c r="AM254" s="53" t="n"/>
      <c r="AN254" s="53" t="n"/>
      <c r="AO254" s="53" t="n"/>
      <c r="AP254" s="53" t="n"/>
      <c r="AQ254" s="53" t="n"/>
      <c r="AR254" s="53" t="n"/>
      <c r="AS254" s="53" t="n"/>
      <c r="AT254" s="53" t="n"/>
      <c r="AU254" s="53" t="n"/>
      <c r="AV254" s="53" t="n"/>
      <c r="AW254" s="53" t="n"/>
      <c r="AX254" s="53" t="n"/>
      <c r="AY254" s="53" t="n"/>
    </row>
    <row r="255" ht="15" customHeight="1">
      <c r="A255" s="62" t="n"/>
      <c r="B255" s="55">
        <f>IF($B$253="","",$B$253)</f>
        <v/>
      </c>
      <c r="C255" s="63" t="inlineStr">
        <is>
          <t>기타</t>
        </is>
      </c>
      <c r="D255" s="55">
        <f>IF($D$253="","",$D$253)</f>
        <v/>
      </c>
      <c r="E255" s="64" t="inlineStr">
        <is>
          <t>영상</t>
        </is>
      </c>
      <c r="F255" s="44" t="n"/>
      <c r="G255" s="58">
        <f>IF($G$253="","",$G$253)</f>
        <v/>
      </c>
      <c r="H255" s="59" t="n"/>
      <c r="I255" s="59" t="n"/>
      <c r="J255" s="59" t="n"/>
      <c r="K255" s="59" t="n"/>
      <c r="L255" s="65">
        <f>IF(SUM(U255:AY255)=0,"",SUM(U255:AY255))</f>
        <v/>
      </c>
      <c r="M255" s="66">
        <f>IFERROR(INDEX(U$2:AY$2,MATCH(TRUE,INDEX(U255:AY255&lt;&gt;"",0),0)),"")</f>
        <v/>
      </c>
      <c r="N255" s="66">
        <f>IFERROR(LOOKUP(2,1/(U255:AY255&lt;&gt;""),U$2:AY$2),"")</f>
        <v/>
      </c>
      <c r="O255" s="59" t="n"/>
      <c r="P255" s="59" t="n"/>
      <c r="Q255" s="59" t="n"/>
      <c r="R255" s="59" t="n"/>
      <c r="S255" s="14" t="n"/>
      <c r="U255" s="53" t="n"/>
      <c r="V255" s="53" t="n"/>
      <c r="W255" s="53" t="n"/>
      <c r="X255" s="53" t="n"/>
      <c r="Y255" s="53" t="n"/>
      <c r="Z255" s="53" t="n"/>
      <c r="AA255" s="53" t="n"/>
      <c r="AB255" s="53" t="n"/>
      <c r="AC255" s="53" t="n"/>
      <c r="AD255" s="53" t="n"/>
      <c r="AE255" s="53" t="n"/>
      <c r="AF255" s="53" t="n"/>
      <c r="AG255" s="53" t="n"/>
      <c r="AH255" s="53" t="n"/>
      <c r="AI255" s="53" t="n"/>
      <c r="AJ255" s="53" t="n"/>
      <c r="AK255" s="53" t="n"/>
      <c r="AL255" s="53" t="n"/>
      <c r="AM255" s="53" t="n"/>
      <c r="AN255" s="53" t="n"/>
      <c r="AO255" s="53" t="n"/>
      <c r="AP255" s="53" t="n"/>
      <c r="AQ255" s="53" t="n"/>
      <c r="AR255" s="53" t="n"/>
      <c r="AS255" s="53" t="n"/>
      <c r="AT255" s="53" t="n"/>
      <c r="AU255" s="53" t="n"/>
      <c r="AV255" s="53" t="n"/>
      <c r="AW255" s="53" t="n"/>
      <c r="AX255" s="53" t="n"/>
      <c r="AY255" s="53" t="n"/>
    </row>
    <row r="256" ht="15" customHeight="1">
      <c r="A256" s="40">
        <f>IF($D$256="","",82)</f>
        <v/>
      </c>
      <c r="B256" s="10" t="n"/>
      <c r="C256" s="41" t="inlineStr">
        <is>
          <t>기타</t>
        </is>
      </c>
      <c r="D256" s="42" t="n"/>
      <c r="E256" s="43" t="inlineStr">
        <is>
          <t>기획</t>
        </is>
      </c>
      <c r="F256" s="44" t="n"/>
      <c r="G256" s="45" t="n"/>
      <c r="H256" s="46">
        <f>IF($I$256="","",IF($I$256&lt;0,"🔴지연",IF($I$256&lt;=1,"🟡임박","🟢여유")))</f>
        <v/>
      </c>
      <c r="I256" s="47">
        <f>IF(OR($G$256="",$K$256=""),"",$G$256-$K$256)</f>
        <v/>
      </c>
      <c r="J256" s="48">
        <f>IF(SUM($L$256:$L$258)=0,"",SUM($L$256:$L$258))</f>
        <v/>
      </c>
      <c r="K256" s="49">
        <f>IF($J$256="","",MAX($N$256:$N$258))</f>
        <v/>
      </c>
      <c r="L256" s="50">
        <f>IF(SUM(U256:AY256)=0,"",SUM(U256:AY256))</f>
        <v/>
      </c>
      <c r="M256" s="51">
        <f>IFERROR(INDEX(U$2:AY$2,MATCH(TRUE,INDEX(U256:AY256&lt;&gt;"",0),0)),"")</f>
        <v/>
      </c>
      <c r="N256" s="51">
        <f>IFERROR(LOOKUP(2,1/(U256:AY256&lt;&gt;""),U$2:AY$2),"")</f>
        <v/>
      </c>
      <c r="O256" s="52" t="n"/>
      <c r="P256" s="52" t="n"/>
      <c r="Q256" s="52" t="n"/>
      <c r="R256" s="44" t="n"/>
      <c r="S256" s="14" t="n"/>
      <c r="U256" s="53" t="n"/>
      <c r="V256" s="53" t="n"/>
      <c r="W256" s="53" t="n"/>
      <c r="X256" s="53" t="n"/>
      <c r="Y256" s="53" t="n"/>
      <c r="Z256" s="53" t="n"/>
      <c r="AA256" s="53" t="n"/>
      <c r="AB256" s="53" t="n"/>
      <c r="AC256" s="53" t="n"/>
      <c r="AD256" s="53" t="n"/>
      <c r="AE256" s="53" t="n"/>
      <c r="AF256" s="53" t="n"/>
      <c r="AG256" s="53" t="n"/>
      <c r="AH256" s="53" t="n"/>
      <c r="AI256" s="53" t="n"/>
      <c r="AJ256" s="53" t="n"/>
      <c r="AK256" s="53" t="n"/>
      <c r="AL256" s="53" t="n"/>
      <c r="AM256" s="53" t="n"/>
      <c r="AN256" s="53" t="n"/>
      <c r="AO256" s="53" t="n"/>
      <c r="AP256" s="53" t="n"/>
      <c r="AQ256" s="53" t="n"/>
      <c r="AR256" s="53" t="n"/>
      <c r="AS256" s="53" t="n"/>
      <c r="AT256" s="53" t="n"/>
      <c r="AU256" s="53" t="n"/>
      <c r="AV256" s="53" t="n"/>
      <c r="AW256" s="53" t="n"/>
      <c r="AX256" s="53" t="n"/>
      <c r="AY256" s="53" t="n"/>
    </row>
    <row r="257" ht="15" customHeight="1">
      <c r="A257" s="54" t="n"/>
      <c r="B257" s="55">
        <f>IF($B$256="","",$B$256)</f>
        <v/>
      </c>
      <c r="C257" s="56" t="inlineStr">
        <is>
          <t>기타</t>
        </is>
      </c>
      <c r="D257" s="55">
        <f>IF($D$256="","",$D$256)</f>
        <v/>
      </c>
      <c r="E257" s="57" t="inlineStr">
        <is>
          <t>이미지</t>
        </is>
      </c>
      <c r="F257" s="44" t="n"/>
      <c r="G257" s="58">
        <f>IF($G$256="","",$G$256)</f>
        <v/>
      </c>
      <c r="H257" s="59" t="n"/>
      <c r="I257" s="59" t="n"/>
      <c r="J257" s="59" t="n"/>
      <c r="K257" s="59" t="n"/>
      <c r="L257" s="60">
        <f>IF(SUM(U257:AY257)=0,"",SUM(U257:AY257))</f>
        <v/>
      </c>
      <c r="M257" s="61">
        <f>IFERROR(INDEX(U$2:AY$2,MATCH(TRUE,INDEX(U257:AY257&lt;&gt;"",0),0)),"")</f>
        <v/>
      </c>
      <c r="N257" s="61">
        <f>IFERROR(LOOKUP(2,1/(U257:AY257&lt;&gt;""),U$2:AY$2),"")</f>
        <v/>
      </c>
      <c r="O257" s="59" t="n"/>
      <c r="P257" s="59" t="n"/>
      <c r="Q257" s="59" t="n"/>
      <c r="R257" s="59" t="n"/>
      <c r="S257" s="14" t="n"/>
      <c r="U257" s="53" t="n"/>
      <c r="V257" s="53" t="n"/>
      <c r="W257" s="53" t="n"/>
      <c r="X257" s="53" t="n"/>
      <c r="Y257" s="53" t="n"/>
      <c r="Z257" s="53" t="n"/>
      <c r="AA257" s="53" t="n"/>
      <c r="AB257" s="53" t="n"/>
      <c r="AC257" s="53" t="n"/>
      <c r="AD257" s="53" t="n"/>
      <c r="AE257" s="53" t="n"/>
      <c r="AF257" s="53" t="n"/>
      <c r="AG257" s="53" t="n"/>
      <c r="AH257" s="53" t="n"/>
      <c r="AI257" s="53" t="n"/>
      <c r="AJ257" s="53" t="n"/>
      <c r="AK257" s="53" t="n"/>
      <c r="AL257" s="53" t="n"/>
      <c r="AM257" s="53" t="n"/>
      <c r="AN257" s="53" t="n"/>
      <c r="AO257" s="53" t="n"/>
      <c r="AP257" s="53" t="n"/>
      <c r="AQ257" s="53" t="n"/>
      <c r="AR257" s="53" t="n"/>
      <c r="AS257" s="53" t="n"/>
      <c r="AT257" s="53" t="n"/>
      <c r="AU257" s="53" t="n"/>
      <c r="AV257" s="53" t="n"/>
      <c r="AW257" s="53" t="n"/>
      <c r="AX257" s="53" t="n"/>
      <c r="AY257" s="53" t="n"/>
    </row>
    <row r="258" ht="15" customHeight="1">
      <c r="A258" s="62" t="n"/>
      <c r="B258" s="55">
        <f>IF($B$256="","",$B$256)</f>
        <v/>
      </c>
      <c r="C258" s="63" t="inlineStr">
        <is>
          <t>기타</t>
        </is>
      </c>
      <c r="D258" s="55">
        <f>IF($D$256="","",$D$256)</f>
        <v/>
      </c>
      <c r="E258" s="64" t="inlineStr">
        <is>
          <t>영상</t>
        </is>
      </c>
      <c r="F258" s="44" t="n"/>
      <c r="G258" s="58">
        <f>IF($G$256="","",$G$256)</f>
        <v/>
      </c>
      <c r="H258" s="59" t="n"/>
      <c r="I258" s="59" t="n"/>
      <c r="J258" s="59" t="n"/>
      <c r="K258" s="59" t="n"/>
      <c r="L258" s="65">
        <f>IF(SUM(U258:AY258)=0,"",SUM(U258:AY258))</f>
        <v/>
      </c>
      <c r="M258" s="66">
        <f>IFERROR(INDEX(U$2:AY$2,MATCH(TRUE,INDEX(U258:AY258&lt;&gt;"",0),0)),"")</f>
        <v/>
      </c>
      <c r="N258" s="66">
        <f>IFERROR(LOOKUP(2,1/(U258:AY258&lt;&gt;""),U$2:AY$2),"")</f>
        <v/>
      </c>
      <c r="O258" s="59" t="n"/>
      <c r="P258" s="59" t="n"/>
      <c r="Q258" s="59" t="n"/>
      <c r="R258" s="59" t="n"/>
      <c r="S258" s="14" t="n"/>
      <c r="U258" s="53" t="n"/>
      <c r="V258" s="53" t="n"/>
      <c r="W258" s="53" t="n"/>
      <c r="X258" s="53" t="n"/>
      <c r="Y258" s="53" t="n"/>
      <c r="Z258" s="53" t="n"/>
      <c r="AA258" s="53" t="n"/>
      <c r="AB258" s="53" t="n"/>
      <c r="AC258" s="53" t="n"/>
      <c r="AD258" s="53" t="n"/>
      <c r="AE258" s="53" t="n"/>
      <c r="AF258" s="53" t="n"/>
      <c r="AG258" s="53" t="n"/>
      <c r="AH258" s="53" t="n"/>
      <c r="AI258" s="53" t="n"/>
      <c r="AJ258" s="53" t="n"/>
      <c r="AK258" s="53" t="n"/>
      <c r="AL258" s="53" t="n"/>
      <c r="AM258" s="53" t="n"/>
      <c r="AN258" s="53" t="n"/>
      <c r="AO258" s="53" t="n"/>
      <c r="AP258" s="53" t="n"/>
      <c r="AQ258" s="53" t="n"/>
      <c r="AR258" s="53" t="n"/>
      <c r="AS258" s="53" t="n"/>
      <c r="AT258" s="53" t="n"/>
      <c r="AU258" s="53" t="n"/>
      <c r="AV258" s="53" t="n"/>
      <c r="AW258" s="53" t="n"/>
      <c r="AX258" s="53" t="n"/>
      <c r="AY258" s="53" t="n"/>
    </row>
    <row r="259" ht="15" customHeight="1">
      <c r="A259" s="40">
        <f>IF($D$259="","",83)</f>
        <v/>
      </c>
      <c r="B259" s="10" t="n"/>
      <c r="C259" s="41" t="inlineStr">
        <is>
          <t>기타</t>
        </is>
      </c>
      <c r="D259" s="42" t="n"/>
      <c r="E259" s="43" t="inlineStr">
        <is>
          <t>기획</t>
        </is>
      </c>
      <c r="F259" s="44" t="n"/>
      <c r="G259" s="45" t="n"/>
      <c r="H259" s="46">
        <f>IF($I$259="","",IF($I$259&lt;0,"🔴지연",IF($I$259&lt;=1,"🟡임박","🟢여유")))</f>
        <v/>
      </c>
      <c r="I259" s="47">
        <f>IF(OR($G$259="",$K$259=""),"",$G$259-$K$259)</f>
        <v/>
      </c>
      <c r="J259" s="48">
        <f>IF(SUM($L$259:$L$261)=0,"",SUM($L$259:$L$261))</f>
        <v/>
      </c>
      <c r="K259" s="49">
        <f>IF($J$259="","",MAX($N$259:$N$261))</f>
        <v/>
      </c>
      <c r="L259" s="50">
        <f>IF(SUM(U259:AY259)=0,"",SUM(U259:AY259))</f>
        <v/>
      </c>
      <c r="M259" s="51">
        <f>IFERROR(INDEX(U$2:AY$2,MATCH(TRUE,INDEX(U259:AY259&lt;&gt;"",0),0)),"")</f>
        <v/>
      </c>
      <c r="N259" s="51">
        <f>IFERROR(LOOKUP(2,1/(U259:AY259&lt;&gt;""),U$2:AY$2),"")</f>
        <v/>
      </c>
      <c r="O259" s="52" t="n"/>
      <c r="P259" s="52" t="n"/>
      <c r="Q259" s="52" t="n"/>
      <c r="R259" s="44" t="n"/>
      <c r="S259" s="14" t="n"/>
      <c r="U259" s="53" t="n"/>
      <c r="V259" s="53" t="n"/>
      <c r="W259" s="53" t="n"/>
      <c r="X259" s="53" t="n"/>
      <c r="Y259" s="53" t="n"/>
      <c r="Z259" s="53" t="n"/>
      <c r="AA259" s="53" t="n"/>
      <c r="AB259" s="53" t="n"/>
      <c r="AC259" s="53" t="n"/>
      <c r="AD259" s="53" t="n"/>
      <c r="AE259" s="53" t="n"/>
      <c r="AF259" s="53" t="n"/>
      <c r="AG259" s="53" t="n"/>
      <c r="AH259" s="53" t="n"/>
      <c r="AI259" s="53" t="n"/>
      <c r="AJ259" s="53" t="n"/>
      <c r="AK259" s="53" t="n"/>
      <c r="AL259" s="53" t="n"/>
      <c r="AM259" s="53" t="n"/>
      <c r="AN259" s="53" t="n"/>
      <c r="AO259" s="53" t="n"/>
      <c r="AP259" s="53" t="n"/>
      <c r="AQ259" s="53" t="n"/>
      <c r="AR259" s="53" t="n"/>
      <c r="AS259" s="53" t="n"/>
      <c r="AT259" s="53" t="n"/>
      <c r="AU259" s="53" t="n"/>
      <c r="AV259" s="53" t="n"/>
      <c r="AW259" s="53" t="n"/>
      <c r="AX259" s="53" t="n"/>
      <c r="AY259" s="53" t="n"/>
    </row>
    <row r="260" ht="15" customHeight="1">
      <c r="A260" s="54" t="n"/>
      <c r="B260" s="55">
        <f>IF($B$259="","",$B$259)</f>
        <v/>
      </c>
      <c r="C260" s="56" t="inlineStr">
        <is>
          <t>기타</t>
        </is>
      </c>
      <c r="D260" s="55">
        <f>IF($D$259="","",$D$259)</f>
        <v/>
      </c>
      <c r="E260" s="57" t="inlineStr">
        <is>
          <t>이미지</t>
        </is>
      </c>
      <c r="F260" s="44" t="n"/>
      <c r="G260" s="58">
        <f>IF($G$259="","",$G$259)</f>
        <v/>
      </c>
      <c r="H260" s="59" t="n"/>
      <c r="I260" s="59" t="n"/>
      <c r="J260" s="59" t="n"/>
      <c r="K260" s="59" t="n"/>
      <c r="L260" s="60">
        <f>IF(SUM(U260:AY260)=0,"",SUM(U260:AY260))</f>
        <v/>
      </c>
      <c r="M260" s="61">
        <f>IFERROR(INDEX(U$2:AY$2,MATCH(TRUE,INDEX(U260:AY260&lt;&gt;"",0),0)),"")</f>
        <v/>
      </c>
      <c r="N260" s="61">
        <f>IFERROR(LOOKUP(2,1/(U260:AY260&lt;&gt;""),U$2:AY$2),"")</f>
        <v/>
      </c>
      <c r="O260" s="59" t="n"/>
      <c r="P260" s="59" t="n"/>
      <c r="Q260" s="59" t="n"/>
      <c r="R260" s="59" t="n"/>
      <c r="S260" s="14" t="n"/>
      <c r="U260" s="53" t="n"/>
      <c r="V260" s="53" t="n"/>
      <c r="W260" s="53" t="n"/>
      <c r="X260" s="53" t="n"/>
      <c r="Y260" s="53" t="n"/>
      <c r="Z260" s="53" t="n"/>
      <c r="AA260" s="53" t="n"/>
      <c r="AB260" s="53" t="n"/>
      <c r="AC260" s="53" t="n"/>
      <c r="AD260" s="53" t="n"/>
      <c r="AE260" s="53" t="n"/>
      <c r="AF260" s="53" t="n"/>
      <c r="AG260" s="53" t="n"/>
      <c r="AH260" s="53" t="n"/>
      <c r="AI260" s="53" t="n"/>
      <c r="AJ260" s="53" t="n"/>
      <c r="AK260" s="53" t="n"/>
      <c r="AL260" s="53" t="n"/>
      <c r="AM260" s="53" t="n"/>
      <c r="AN260" s="53" t="n"/>
      <c r="AO260" s="53" t="n"/>
      <c r="AP260" s="53" t="n"/>
      <c r="AQ260" s="53" t="n"/>
      <c r="AR260" s="53" t="n"/>
      <c r="AS260" s="53" t="n"/>
      <c r="AT260" s="53" t="n"/>
      <c r="AU260" s="53" t="n"/>
      <c r="AV260" s="53" t="n"/>
      <c r="AW260" s="53" t="n"/>
      <c r="AX260" s="53" t="n"/>
      <c r="AY260" s="53" t="n"/>
    </row>
    <row r="261" ht="15" customHeight="1">
      <c r="A261" s="62" t="n"/>
      <c r="B261" s="55">
        <f>IF($B$259="","",$B$259)</f>
        <v/>
      </c>
      <c r="C261" s="63" t="inlineStr">
        <is>
          <t>기타</t>
        </is>
      </c>
      <c r="D261" s="55">
        <f>IF($D$259="","",$D$259)</f>
        <v/>
      </c>
      <c r="E261" s="64" t="inlineStr">
        <is>
          <t>영상</t>
        </is>
      </c>
      <c r="F261" s="44" t="n"/>
      <c r="G261" s="58">
        <f>IF($G$259="","",$G$259)</f>
        <v/>
      </c>
      <c r="H261" s="59" t="n"/>
      <c r="I261" s="59" t="n"/>
      <c r="J261" s="59" t="n"/>
      <c r="K261" s="59" t="n"/>
      <c r="L261" s="65">
        <f>IF(SUM(U261:AY261)=0,"",SUM(U261:AY261))</f>
        <v/>
      </c>
      <c r="M261" s="66">
        <f>IFERROR(INDEX(U$2:AY$2,MATCH(TRUE,INDEX(U261:AY261&lt;&gt;"",0),0)),"")</f>
        <v/>
      </c>
      <c r="N261" s="66">
        <f>IFERROR(LOOKUP(2,1/(U261:AY261&lt;&gt;""),U$2:AY$2),"")</f>
        <v/>
      </c>
      <c r="O261" s="59" t="n"/>
      <c r="P261" s="59" t="n"/>
      <c r="Q261" s="59" t="n"/>
      <c r="R261" s="59" t="n"/>
      <c r="S261" s="14" t="n"/>
      <c r="U261" s="53" t="n"/>
      <c r="V261" s="53" t="n"/>
      <c r="W261" s="53" t="n"/>
      <c r="X261" s="53" t="n"/>
      <c r="Y261" s="53" t="n"/>
      <c r="Z261" s="53" t="n"/>
      <c r="AA261" s="53" t="n"/>
      <c r="AB261" s="53" t="n"/>
      <c r="AC261" s="53" t="n"/>
      <c r="AD261" s="53" t="n"/>
      <c r="AE261" s="53" t="n"/>
      <c r="AF261" s="53" t="n"/>
      <c r="AG261" s="53" t="n"/>
      <c r="AH261" s="53" t="n"/>
      <c r="AI261" s="53" t="n"/>
      <c r="AJ261" s="53" t="n"/>
      <c r="AK261" s="53" t="n"/>
      <c r="AL261" s="53" t="n"/>
      <c r="AM261" s="53" t="n"/>
      <c r="AN261" s="53" t="n"/>
      <c r="AO261" s="53" t="n"/>
      <c r="AP261" s="53" t="n"/>
      <c r="AQ261" s="53" t="n"/>
      <c r="AR261" s="53" t="n"/>
      <c r="AS261" s="53" t="n"/>
      <c r="AT261" s="53" t="n"/>
      <c r="AU261" s="53" t="n"/>
      <c r="AV261" s="53" t="n"/>
      <c r="AW261" s="53" t="n"/>
      <c r="AX261" s="53" t="n"/>
      <c r="AY261" s="53" t="n"/>
    </row>
    <row r="262" ht="15" customHeight="1">
      <c r="A262" s="40">
        <f>IF($D$262="","",84)</f>
        <v/>
      </c>
      <c r="B262" s="10" t="n"/>
      <c r="C262" s="41" t="inlineStr">
        <is>
          <t>기타</t>
        </is>
      </c>
      <c r="D262" s="42" t="n"/>
      <c r="E262" s="43" t="inlineStr">
        <is>
          <t>기획</t>
        </is>
      </c>
      <c r="F262" s="44" t="n"/>
      <c r="G262" s="45" t="n"/>
      <c r="H262" s="46">
        <f>IF($I$262="","",IF($I$262&lt;0,"🔴지연",IF($I$262&lt;=1,"🟡임박","🟢여유")))</f>
        <v/>
      </c>
      <c r="I262" s="47">
        <f>IF(OR($G$262="",$K$262=""),"",$G$262-$K$262)</f>
        <v/>
      </c>
      <c r="J262" s="48">
        <f>IF(SUM($L$262:$L$264)=0,"",SUM($L$262:$L$264))</f>
        <v/>
      </c>
      <c r="K262" s="49">
        <f>IF($J$262="","",MAX($N$262:$N$264))</f>
        <v/>
      </c>
      <c r="L262" s="50">
        <f>IF(SUM(U262:AY262)=0,"",SUM(U262:AY262))</f>
        <v/>
      </c>
      <c r="M262" s="51">
        <f>IFERROR(INDEX(U$2:AY$2,MATCH(TRUE,INDEX(U262:AY262&lt;&gt;"",0),0)),"")</f>
        <v/>
      </c>
      <c r="N262" s="51">
        <f>IFERROR(LOOKUP(2,1/(U262:AY262&lt;&gt;""),U$2:AY$2),"")</f>
        <v/>
      </c>
      <c r="O262" s="52" t="n"/>
      <c r="P262" s="52" t="n"/>
      <c r="Q262" s="52" t="n"/>
      <c r="R262" s="44" t="n"/>
      <c r="S262" s="14" t="n"/>
      <c r="U262" s="53" t="n"/>
      <c r="V262" s="53" t="n"/>
      <c r="W262" s="53" t="n"/>
      <c r="X262" s="53" t="n"/>
      <c r="Y262" s="53" t="n"/>
      <c r="Z262" s="53" t="n"/>
      <c r="AA262" s="53" t="n"/>
      <c r="AB262" s="53" t="n"/>
      <c r="AC262" s="53" t="n"/>
      <c r="AD262" s="53" t="n"/>
      <c r="AE262" s="53" t="n"/>
      <c r="AF262" s="53" t="n"/>
      <c r="AG262" s="53" t="n"/>
      <c r="AH262" s="53" t="n"/>
      <c r="AI262" s="53" t="n"/>
      <c r="AJ262" s="53" t="n"/>
      <c r="AK262" s="53" t="n"/>
      <c r="AL262" s="53" t="n"/>
      <c r="AM262" s="53" t="n"/>
      <c r="AN262" s="53" t="n"/>
      <c r="AO262" s="53" t="n"/>
      <c r="AP262" s="53" t="n"/>
      <c r="AQ262" s="53" t="n"/>
      <c r="AR262" s="53" t="n"/>
      <c r="AS262" s="53" t="n"/>
      <c r="AT262" s="53" t="n"/>
      <c r="AU262" s="53" t="n"/>
      <c r="AV262" s="53" t="n"/>
      <c r="AW262" s="53" t="n"/>
      <c r="AX262" s="53" t="n"/>
      <c r="AY262" s="53" t="n"/>
    </row>
    <row r="263" ht="15" customHeight="1">
      <c r="A263" s="54" t="n"/>
      <c r="B263" s="55">
        <f>IF($B$262="","",$B$262)</f>
        <v/>
      </c>
      <c r="C263" s="56" t="inlineStr">
        <is>
          <t>기타</t>
        </is>
      </c>
      <c r="D263" s="55">
        <f>IF($D$262="","",$D$262)</f>
        <v/>
      </c>
      <c r="E263" s="57" t="inlineStr">
        <is>
          <t>이미지</t>
        </is>
      </c>
      <c r="F263" s="44" t="n"/>
      <c r="G263" s="58">
        <f>IF($G$262="","",$G$262)</f>
        <v/>
      </c>
      <c r="H263" s="59" t="n"/>
      <c r="I263" s="59" t="n"/>
      <c r="J263" s="59" t="n"/>
      <c r="K263" s="59" t="n"/>
      <c r="L263" s="60">
        <f>IF(SUM(U263:AY263)=0,"",SUM(U263:AY263))</f>
        <v/>
      </c>
      <c r="M263" s="61">
        <f>IFERROR(INDEX(U$2:AY$2,MATCH(TRUE,INDEX(U263:AY263&lt;&gt;"",0),0)),"")</f>
        <v/>
      </c>
      <c r="N263" s="61">
        <f>IFERROR(LOOKUP(2,1/(U263:AY263&lt;&gt;""),U$2:AY$2),"")</f>
        <v/>
      </c>
      <c r="O263" s="59" t="n"/>
      <c r="P263" s="59" t="n"/>
      <c r="Q263" s="59" t="n"/>
      <c r="R263" s="59" t="n"/>
      <c r="S263" s="14" t="n"/>
      <c r="U263" s="53" t="n"/>
      <c r="V263" s="53" t="n"/>
      <c r="W263" s="53" t="n"/>
      <c r="X263" s="53" t="n"/>
      <c r="Y263" s="53" t="n"/>
      <c r="Z263" s="53" t="n"/>
      <c r="AA263" s="53" t="n"/>
      <c r="AB263" s="53" t="n"/>
      <c r="AC263" s="53" t="n"/>
      <c r="AD263" s="53" t="n"/>
      <c r="AE263" s="53" t="n"/>
      <c r="AF263" s="53" t="n"/>
      <c r="AG263" s="53" t="n"/>
      <c r="AH263" s="53" t="n"/>
      <c r="AI263" s="53" t="n"/>
      <c r="AJ263" s="53" t="n"/>
      <c r="AK263" s="53" t="n"/>
      <c r="AL263" s="53" t="n"/>
      <c r="AM263" s="53" t="n"/>
      <c r="AN263" s="53" t="n"/>
      <c r="AO263" s="53" t="n"/>
      <c r="AP263" s="53" t="n"/>
      <c r="AQ263" s="53" t="n"/>
      <c r="AR263" s="53" t="n"/>
      <c r="AS263" s="53" t="n"/>
      <c r="AT263" s="53" t="n"/>
      <c r="AU263" s="53" t="n"/>
      <c r="AV263" s="53" t="n"/>
      <c r="AW263" s="53" t="n"/>
      <c r="AX263" s="53" t="n"/>
      <c r="AY263" s="53" t="n"/>
    </row>
    <row r="264" ht="15" customHeight="1">
      <c r="A264" s="62" t="n"/>
      <c r="B264" s="55">
        <f>IF($B$262="","",$B$262)</f>
        <v/>
      </c>
      <c r="C264" s="63" t="inlineStr">
        <is>
          <t>기타</t>
        </is>
      </c>
      <c r="D264" s="55">
        <f>IF($D$262="","",$D$262)</f>
        <v/>
      </c>
      <c r="E264" s="64" t="inlineStr">
        <is>
          <t>영상</t>
        </is>
      </c>
      <c r="F264" s="44" t="n"/>
      <c r="G264" s="58">
        <f>IF($G$262="","",$G$262)</f>
        <v/>
      </c>
      <c r="H264" s="59" t="n"/>
      <c r="I264" s="59" t="n"/>
      <c r="J264" s="59" t="n"/>
      <c r="K264" s="59" t="n"/>
      <c r="L264" s="65">
        <f>IF(SUM(U264:AY264)=0,"",SUM(U264:AY264))</f>
        <v/>
      </c>
      <c r="M264" s="66">
        <f>IFERROR(INDEX(U$2:AY$2,MATCH(TRUE,INDEX(U264:AY264&lt;&gt;"",0),0)),"")</f>
        <v/>
      </c>
      <c r="N264" s="66">
        <f>IFERROR(LOOKUP(2,1/(U264:AY264&lt;&gt;""),U$2:AY$2),"")</f>
        <v/>
      </c>
      <c r="O264" s="59" t="n"/>
      <c r="P264" s="59" t="n"/>
      <c r="Q264" s="59" t="n"/>
      <c r="R264" s="59" t="n"/>
      <c r="S264" s="14" t="n"/>
      <c r="U264" s="53" t="n"/>
      <c r="V264" s="53" t="n"/>
      <c r="W264" s="53" t="n"/>
      <c r="X264" s="53" t="n"/>
      <c r="Y264" s="53" t="n"/>
      <c r="Z264" s="53" t="n"/>
      <c r="AA264" s="53" t="n"/>
      <c r="AB264" s="53" t="n"/>
      <c r="AC264" s="53" t="n"/>
      <c r="AD264" s="53" t="n"/>
      <c r="AE264" s="53" t="n"/>
      <c r="AF264" s="53" t="n"/>
      <c r="AG264" s="53" t="n"/>
      <c r="AH264" s="53" t="n"/>
      <c r="AI264" s="53" t="n"/>
      <c r="AJ264" s="53" t="n"/>
      <c r="AK264" s="53" t="n"/>
      <c r="AL264" s="53" t="n"/>
      <c r="AM264" s="53" t="n"/>
      <c r="AN264" s="53" t="n"/>
      <c r="AO264" s="53" t="n"/>
      <c r="AP264" s="53" t="n"/>
      <c r="AQ264" s="53" t="n"/>
      <c r="AR264" s="53" t="n"/>
      <c r="AS264" s="53" t="n"/>
      <c r="AT264" s="53" t="n"/>
      <c r="AU264" s="53" t="n"/>
      <c r="AV264" s="53" t="n"/>
      <c r="AW264" s="53" t="n"/>
      <c r="AX264" s="53" t="n"/>
      <c r="AY264" s="53" t="n"/>
    </row>
    <row r="265" ht="15" customHeight="1">
      <c r="A265" s="40">
        <f>IF($D$265="","",85)</f>
        <v/>
      </c>
      <c r="B265" s="10" t="n"/>
      <c r="C265" s="41" t="inlineStr">
        <is>
          <t>기타</t>
        </is>
      </c>
      <c r="D265" s="42" t="n"/>
      <c r="E265" s="43" t="inlineStr">
        <is>
          <t>기획</t>
        </is>
      </c>
      <c r="F265" s="44" t="n"/>
      <c r="G265" s="45" t="n"/>
      <c r="H265" s="46">
        <f>IF($I$265="","",IF($I$265&lt;0,"🔴지연",IF($I$265&lt;=1,"🟡임박","🟢여유")))</f>
        <v/>
      </c>
      <c r="I265" s="47">
        <f>IF(OR($G$265="",$K$265=""),"",$G$265-$K$265)</f>
        <v/>
      </c>
      <c r="J265" s="48">
        <f>IF(SUM($L$265:$L$267)=0,"",SUM($L$265:$L$267))</f>
        <v/>
      </c>
      <c r="K265" s="49">
        <f>IF($J$265="","",MAX($N$265:$N$267))</f>
        <v/>
      </c>
      <c r="L265" s="50">
        <f>IF(SUM(U265:AY265)=0,"",SUM(U265:AY265))</f>
        <v/>
      </c>
      <c r="M265" s="51">
        <f>IFERROR(INDEX(U$2:AY$2,MATCH(TRUE,INDEX(U265:AY265&lt;&gt;"",0),0)),"")</f>
        <v/>
      </c>
      <c r="N265" s="51">
        <f>IFERROR(LOOKUP(2,1/(U265:AY265&lt;&gt;""),U$2:AY$2),"")</f>
        <v/>
      </c>
      <c r="O265" s="52" t="n"/>
      <c r="P265" s="52" t="n"/>
      <c r="Q265" s="52" t="n"/>
      <c r="R265" s="44" t="n"/>
      <c r="S265" s="14" t="n"/>
      <c r="U265" s="53" t="n"/>
      <c r="V265" s="53" t="n"/>
      <c r="W265" s="53" t="n"/>
      <c r="X265" s="53" t="n"/>
      <c r="Y265" s="53" t="n"/>
      <c r="Z265" s="53" t="n"/>
      <c r="AA265" s="53" t="n"/>
      <c r="AB265" s="53" t="n"/>
      <c r="AC265" s="53" t="n"/>
      <c r="AD265" s="53" t="n"/>
      <c r="AE265" s="53" t="n"/>
      <c r="AF265" s="53" t="n"/>
      <c r="AG265" s="53" t="n"/>
      <c r="AH265" s="53" t="n"/>
      <c r="AI265" s="53" t="n"/>
      <c r="AJ265" s="53" t="n"/>
      <c r="AK265" s="53" t="n"/>
      <c r="AL265" s="53" t="n"/>
      <c r="AM265" s="53" t="n"/>
      <c r="AN265" s="53" t="n"/>
      <c r="AO265" s="53" t="n"/>
      <c r="AP265" s="53" t="n"/>
      <c r="AQ265" s="53" t="n"/>
      <c r="AR265" s="53" t="n"/>
      <c r="AS265" s="53" t="n"/>
      <c r="AT265" s="53" t="n"/>
      <c r="AU265" s="53" t="n"/>
      <c r="AV265" s="53" t="n"/>
      <c r="AW265" s="53" t="n"/>
      <c r="AX265" s="53" t="n"/>
      <c r="AY265" s="53" t="n"/>
    </row>
    <row r="266" ht="15" customHeight="1">
      <c r="A266" s="54" t="n"/>
      <c r="B266" s="55">
        <f>IF($B$265="","",$B$265)</f>
        <v/>
      </c>
      <c r="C266" s="56" t="inlineStr">
        <is>
          <t>기타</t>
        </is>
      </c>
      <c r="D266" s="55">
        <f>IF($D$265="","",$D$265)</f>
        <v/>
      </c>
      <c r="E266" s="57" t="inlineStr">
        <is>
          <t>이미지</t>
        </is>
      </c>
      <c r="F266" s="44" t="n"/>
      <c r="G266" s="58">
        <f>IF($G$265="","",$G$265)</f>
        <v/>
      </c>
      <c r="H266" s="59" t="n"/>
      <c r="I266" s="59" t="n"/>
      <c r="J266" s="59" t="n"/>
      <c r="K266" s="59" t="n"/>
      <c r="L266" s="60">
        <f>IF(SUM(U266:AY266)=0,"",SUM(U266:AY266))</f>
        <v/>
      </c>
      <c r="M266" s="61">
        <f>IFERROR(INDEX(U$2:AY$2,MATCH(TRUE,INDEX(U266:AY266&lt;&gt;"",0),0)),"")</f>
        <v/>
      </c>
      <c r="N266" s="61">
        <f>IFERROR(LOOKUP(2,1/(U266:AY266&lt;&gt;""),U$2:AY$2),"")</f>
        <v/>
      </c>
      <c r="O266" s="59" t="n"/>
      <c r="P266" s="59" t="n"/>
      <c r="Q266" s="59" t="n"/>
      <c r="R266" s="59" t="n"/>
      <c r="S266" s="14" t="n"/>
      <c r="U266" s="53" t="n"/>
      <c r="V266" s="53" t="n"/>
      <c r="W266" s="53" t="n"/>
      <c r="X266" s="53" t="n"/>
      <c r="Y266" s="53" t="n"/>
      <c r="Z266" s="53" t="n"/>
      <c r="AA266" s="53" t="n"/>
      <c r="AB266" s="53" t="n"/>
      <c r="AC266" s="53" t="n"/>
      <c r="AD266" s="53" t="n"/>
      <c r="AE266" s="53" t="n"/>
      <c r="AF266" s="53" t="n"/>
      <c r="AG266" s="53" t="n"/>
      <c r="AH266" s="53" t="n"/>
      <c r="AI266" s="53" t="n"/>
      <c r="AJ266" s="53" t="n"/>
      <c r="AK266" s="53" t="n"/>
      <c r="AL266" s="53" t="n"/>
      <c r="AM266" s="53" t="n"/>
      <c r="AN266" s="53" t="n"/>
      <c r="AO266" s="53" t="n"/>
      <c r="AP266" s="53" t="n"/>
      <c r="AQ266" s="53" t="n"/>
      <c r="AR266" s="53" t="n"/>
      <c r="AS266" s="53" t="n"/>
      <c r="AT266" s="53" t="n"/>
      <c r="AU266" s="53" t="n"/>
      <c r="AV266" s="53" t="n"/>
      <c r="AW266" s="53" t="n"/>
      <c r="AX266" s="53" t="n"/>
      <c r="AY266" s="53" t="n"/>
    </row>
    <row r="267" ht="15" customHeight="1">
      <c r="A267" s="62" t="n"/>
      <c r="B267" s="55">
        <f>IF($B$265="","",$B$265)</f>
        <v/>
      </c>
      <c r="C267" s="63" t="inlineStr">
        <is>
          <t>기타</t>
        </is>
      </c>
      <c r="D267" s="55">
        <f>IF($D$265="","",$D$265)</f>
        <v/>
      </c>
      <c r="E267" s="64" t="inlineStr">
        <is>
          <t>영상</t>
        </is>
      </c>
      <c r="F267" s="44" t="n"/>
      <c r="G267" s="58">
        <f>IF($G$265="","",$G$265)</f>
        <v/>
      </c>
      <c r="H267" s="59" t="n"/>
      <c r="I267" s="59" t="n"/>
      <c r="J267" s="59" t="n"/>
      <c r="K267" s="59" t="n"/>
      <c r="L267" s="65">
        <f>IF(SUM(U267:AY267)=0,"",SUM(U267:AY267))</f>
        <v/>
      </c>
      <c r="M267" s="66">
        <f>IFERROR(INDEX(U$2:AY$2,MATCH(TRUE,INDEX(U267:AY267&lt;&gt;"",0),0)),"")</f>
        <v/>
      </c>
      <c r="N267" s="66">
        <f>IFERROR(LOOKUP(2,1/(U267:AY267&lt;&gt;""),U$2:AY$2),"")</f>
        <v/>
      </c>
      <c r="O267" s="59" t="n"/>
      <c r="P267" s="59" t="n"/>
      <c r="Q267" s="59" t="n"/>
      <c r="R267" s="59" t="n"/>
      <c r="S267" s="14" t="n"/>
      <c r="U267" s="53" t="n"/>
      <c r="V267" s="53" t="n"/>
      <c r="W267" s="53" t="n"/>
      <c r="X267" s="53" t="n"/>
      <c r="Y267" s="53" t="n"/>
      <c r="Z267" s="53" t="n"/>
      <c r="AA267" s="53" t="n"/>
      <c r="AB267" s="53" t="n"/>
      <c r="AC267" s="53" t="n"/>
      <c r="AD267" s="53" t="n"/>
      <c r="AE267" s="53" t="n"/>
      <c r="AF267" s="53" t="n"/>
      <c r="AG267" s="53" t="n"/>
      <c r="AH267" s="53" t="n"/>
      <c r="AI267" s="53" t="n"/>
      <c r="AJ267" s="53" t="n"/>
      <c r="AK267" s="53" t="n"/>
      <c r="AL267" s="53" t="n"/>
      <c r="AM267" s="53" t="n"/>
      <c r="AN267" s="53" t="n"/>
      <c r="AO267" s="53" t="n"/>
      <c r="AP267" s="53" t="n"/>
      <c r="AQ267" s="53" t="n"/>
      <c r="AR267" s="53" t="n"/>
      <c r="AS267" s="53" t="n"/>
      <c r="AT267" s="53" t="n"/>
      <c r="AU267" s="53" t="n"/>
      <c r="AV267" s="53" t="n"/>
      <c r="AW267" s="53" t="n"/>
      <c r="AX267" s="53" t="n"/>
      <c r="AY267" s="53" t="n"/>
    </row>
    <row r="268" ht="15" customHeight="1">
      <c r="A268" s="40">
        <f>IF($D$268="","",86)</f>
        <v/>
      </c>
      <c r="B268" s="10" t="n"/>
      <c r="C268" s="41" t="inlineStr">
        <is>
          <t>기타</t>
        </is>
      </c>
      <c r="D268" s="42" t="n"/>
      <c r="E268" s="43" t="inlineStr">
        <is>
          <t>기획</t>
        </is>
      </c>
      <c r="F268" s="44" t="n"/>
      <c r="G268" s="45" t="n"/>
      <c r="H268" s="46">
        <f>IF($I$268="","",IF($I$268&lt;0,"🔴지연",IF($I$268&lt;=1,"🟡임박","🟢여유")))</f>
        <v/>
      </c>
      <c r="I268" s="47">
        <f>IF(OR($G$268="",$K$268=""),"",$G$268-$K$268)</f>
        <v/>
      </c>
      <c r="J268" s="48">
        <f>IF(SUM($L$268:$L$270)=0,"",SUM($L$268:$L$270))</f>
        <v/>
      </c>
      <c r="K268" s="49">
        <f>IF($J$268="","",MAX($N$268:$N$270))</f>
        <v/>
      </c>
      <c r="L268" s="50">
        <f>IF(SUM(U268:AY268)=0,"",SUM(U268:AY268))</f>
        <v/>
      </c>
      <c r="M268" s="51">
        <f>IFERROR(INDEX(U$2:AY$2,MATCH(TRUE,INDEX(U268:AY268&lt;&gt;"",0),0)),"")</f>
        <v/>
      </c>
      <c r="N268" s="51">
        <f>IFERROR(LOOKUP(2,1/(U268:AY268&lt;&gt;""),U$2:AY$2),"")</f>
        <v/>
      </c>
      <c r="O268" s="52" t="n"/>
      <c r="P268" s="52" t="n"/>
      <c r="Q268" s="52" t="n"/>
      <c r="R268" s="44" t="n"/>
      <c r="S268" s="14" t="n"/>
      <c r="U268" s="53" t="n"/>
      <c r="V268" s="53" t="n"/>
      <c r="W268" s="53" t="n"/>
      <c r="X268" s="53" t="n"/>
      <c r="Y268" s="53" t="n"/>
      <c r="Z268" s="53" t="n"/>
      <c r="AA268" s="53" t="n"/>
      <c r="AB268" s="53" t="n"/>
      <c r="AC268" s="53" t="n"/>
      <c r="AD268" s="53" t="n"/>
      <c r="AE268" s="53" t="n"/>
      <c r="AF268" s="53" t="n"/>
      <c r="AG268" s="53" t="n"/>
      <c r="AH268" s="53" t="n"/>
      <c r="AI268" s="53" t="n"/>
      <c r="AJ268" s="53" t="n"/>
      <c r="AK268" s="53" t="n"/>
      <c r="AL268" s="53" t="n"/>
      <c r="AM268" s="53" t="n"/>
      <c r="AN268" s="53" t="n"/>
      <c r="AO268" s="53" t="n"/>
      <c r="AP268" s="53" t="n"/>
      <c r="AQ268" s="53" t="n"/>
      <c r="AR268" s="53" t="n"/>
      <c r="AS268" s="53" t="n"/>
      <c r="AT268" s="53" t="n"/>
      <c r="AU268" s="53" t="n"/>
      <c r="AV268" s="53" t="n"/>
      <c r="AW268" s="53" t="n"/>
      <c r="AX268" s="53" t="n"/>
      <c r="AY268" s="53" t="n"/>
    </row>
    <row r="269" ht="15" customHeight="1">
      <c r="A269" s="54" t="n"/>
      <c r="B269" s="55">
        <f>IF($B$268="","",$B$268)</f>
        <v/>
      </c>
      <c r="C269" s="56" t="inlineStr">
        <is>
          <t>기타</t>
        </is>
      </c>
      <c r="D269" s="55">
        <f>IF($D$268="","",$D$268)</f>
        <v/>
      </c>
      <c r="E269" s="57" t="inlineStr">
        <is>
          <t>이미지</t>
        </is>
      </c>
      <c r="F269" s="44" t="n"/>
      <c r="G269" s="58">
        <f>IF($G$268="","",$G$268)</f>
        <v/>
      </c>
      <c r="H269" s="59" t="n"/>
      <c r="I269" s="59" t="n"/>
      <c r="J269" s="59" t="n"/>
      <c r="K269" s="59" t="n"/>
      <c r="L269" s="60">
        <f>IF(SUM(U269:AY269)=0,"",SUM(U269:AY269))</f>
        <v/>
      </c>
      <c r="M269" s="61">
        <f>IFERROR(INDEX(U$2:AY$2,MATCH(TRUE,INDEX(U269:AY269&lt;&gt;"",0),0)),"")</f>
        <v/>
      </c>
      <c r="N269" s="61">
        <f>IFERROR(LOOKUP(2,1/(U269:AY269&lt;&gt;""),U$2:AY$2),"")</f>
        <v/>
      </c>
      <c r="O269" s="59" t="n"/>
      <c r="P269" s="59" t="n"/>
      <c r="Q269" s="59" t="n"/>
      <c r="R269" s="59" t="n"/>
      <c r="S269" s="14" t="n"/>
      <c r="U269" s="53" t="n"/>
      <c r="V269" s="53" t="n"/>
      <c r="W269" s="53" t="n"/>
      <c r="X269" s="53" t="n"/>
      <c r="Y269" s="53" t="n"/>
      <c r="Z269" s="53" t="n"/>
      <c r="AA269" s="53" t="n"/>
      <c r="AB269" s="53" t="n"/>
      <c r="AC269" s="53" t="n"/>
      <c r="AD269" s="53" t="n"/>
      <c r="AE269" s="53" t="n"/>
      <c r="AF269" s="53" t="n"/>
      <c r="AG269" s="53" t="n"/>
      <c r="AH269" s="53" t="n"/>
      <c r="AI269" s="53" t="n"/>
      <c r="AJ269" s="53" t="n"/>
      <c r="AK269" s="53" t="n"/>
      <c r="AL269" s="53" t="n"/>
      <c r="AM269" s="53" t="n"/>
      <c r="AN269" s="53" t="n"/>
      <c r="AO269" s="53" t="n"/>
      <c r="AP269" s="53" t="n"/>
      <c r="AQ269" s="53" t="n"/>
      <c r="AR269" s="53" t="n"/>
      <c r="AS269" s="53" t="n"/>
      <c r="AT269" s="53" t="n"/>
      <c r="AU269" s="53" t="n"/>
      <c r="AV269" s="53" t="n"/>
      <c r="AW269" s="53" t="n"/>
      <c r="AX269" s="53" t="n"/>
      <c r="AY269" s="53" t="n"/>
    </row>
    <row r="270" ht="15" customHeight="1">
      <c r="A270" s="62" t="n"/>
      <c r="B270" s="55">
        <f>IF($B$268="","",$B$268)</f>
        <v/>
      </c>
      <c r="C270" s="63" t="inlineStr">
        <is>
          <t>기타</t>
        </is>
      </c>
      <c r="D270" s="55">
        <f>IF($D$268="","",$D$268)</f>
        <v/>
      </c>
      <c r="E270" s="64" t="inlineStr">
        <is>
          <t>영상</t>
        </is>
      </c>
      <c r="F270" s="44" t="n"/>
      <c r="G270" s="58">
        <f>IF($G$268="","",$G$268)</f>
        <v/>
      </c>
      <c r="H270" s="59" t="n"/>
      <c r="I270" s="59" t="n"/>
      <c r="J270" s="59" t="n"/>
      <c r="K270" s="59" t="n"/>
      <c r="L270" s="65">
        <f>IF(SUM(U270:AY270)=0,"",SUM(U270:AY270))</f>
        <v/>
      </c>
      <c r="M270" s="66">
        <f>IFERROR(INDEX(U$2:AY$2,MATCH(TRUE,INDEX(U270:AY270&lt;&gt;"",0),0)),"")</f>
        <v/>
      </c>
      <c r="N270" s="66">
        <f>IFERROR(LOOKUP(2,1/(U270:AY270&lt;&gt;""),U$2:AY$2),"")</f>
        <v/>
      </c>
      <c r="O270" s="59" t="n"/>
      <c r="P270" s="59" t="n"/>
      <c r="Q270" s="59" t="n"/>
      <c r="R270" s="59" t="n"/>
      <c r="S270" s="14" t="n"/>
      <c r="U270" s="53" t="n"/>
      <c r="V270" s="53" t="n"/>
      <c r="W270" s="53" t="n"/>
      <c r="X270" s="53" t="n"/>
      <c r="Y270" s="53" t="n"/>
      <c r="Z270" s="53" t="n"/>
      <c r="AA270" s="53" t="n"/>
      <c r="AB270" s="53" t="n"/>
      <c r="AC270" s="53" t="n"/>
      <c r="AD270" s="53" t="n"/>
      <c r="AE270" s="53" t="n"/>
      <c r="AF270" s="53" t="n"/>
      <c r="AG270" s="53" t="n"/>
      <c r="AH270" s="53" t="n"/>
      <c r="AI270" s="53" t="n"/>
      <c r="AJ270" s="53" t="n"/>
      <c r="AK270" s="53" t="n"/>
      <c r="AL270" s="53" t="n"/>
      <c r="AM270" s="53" t="n"/>
      <c r="AN270" s="53" t="n"/>
      <c r="AO270" s="53" t="n"/>
      <c r="AP270" s="53" t="n"/>
      <c r="AQ270" s="53" t="n"/>
      <c r="AR270" s="53" t="n"/>
      <c r="AS270" s="53" t="n"/>
      <c r="AT270" s="53" t="n"/>
      <c r="AU270" s="53" t="n"/>
      <c r="AV270" s="53" t="n"/>
      <c r="AW270" s="53" t="n"/>
      <c r="AX270" s="53" t="n"/>
      <c r="AY270" s="53" t="n"/>
    </row>
    <row r="271" ht="15" customHeight="1">
      <c r="A271" s="40">
        <f>IF($D$271="","",87)</f>
        <v/>
      </c>
      <c r="B271" s="10" t="n"/>
      <c r="C271" s="41" t="inlineStr">
        <is>
          <t>기타</t>
        </is>
      </c>
      <c r="D271" s="42" t="n"/>
      <c r="E271" s="43" t="inlineStr">
        <is>
          <t>기획</t>
        </is>
      </c>
      <c r="F271" s="44" t="n"/>
      <c r="G271" s="45" t="n"/>
      <c r="H271" s="46">
        <f>IF($I$271="","",IF($I$271&lt;0,"🔴지연",IF($I$271&lt;=1,"🟡임박","🟢여유")))</f>
        <v/>
      </c>
      <c r="I271" s="47">
        <f>IF(OR($G$271="",$K$271=""),"",$G$271-$K$271)</f>
        <v/>
      </c>
      <c r="J271" s="48">
        <f>IF(SUM($L$271:$L$273)=0,"",SUM($L$271:$L$273))</f>
        <v/>
      </c>
      <c r="K271" s="49">
        <f>IF($J$271="","",MAX($N$271:$N$273))</f>
        <v/>
      </c>
      <c r="L271" s="50">
        <f>IF(SUM(U271:AY271)=0,"",SUM(U271:AY271))</f>
        <v/>
      </c>
      <c r="M271" s="51">
        <f>IFERROR(INDEX(U$2:AY$2,MATCH(TRUE,INDEX(U271:AY271&lt;&gt;"",0),0)),"")</f>
        <v/>
      </c>
      <c r="N271" s="51">
        <f>IFERROR(LOOKUP(2,1/(U271:AY271&lt;&gt;""),U$2:AY$2),"")</f>
        <v/>
      </c>
      <c r="O271" s="52" t="n"/>
      <c r="P271" s="52" t="n"/>
      <c r="Q271" s="52" t="n"/>
      <c r="R271" s="44" t="n"/>
      <c r="S271" s="14" t="n"/>
      <c r="U271" s="53" t="n"/>
      <c r="V271" s="53" t="n"/>
      <c r="W271" s="53" t="n"/>
      <c r="X271" s="53" t="n"/>
      <c r="Y271" s="53" t="n"/>
      <c r="Z271" s="53" t="n"/>
      <c r="AA271" s="53" t="n"/>
      <c r="AB271" s="53" t="n"/>
      <c r="AC271" s="53" t="n"/>
      <c r="AD271" s="53" t="n"/>
      <c r="AE271" s="53" t="n"/>
      <c r="AF271" s="53" t="n"/>
      <c r="AG271" s="53" t="n"/>
      <c r="AH271" s="53" t="n"/>
      <c r="AI271" s="53" t="n"/>
      <c r="AJ271" s="53" t="n"/>
      <c r="AK271" s="53" t="n"/>
      <c r="AL271" s="53" t="n"/>
      <c r="AM271" s="53" t="n"/>
      <c r="AN271" s="53" t="n"/>
      <c r="AO271" s="53" t="n"/>
      <c r="AP271" s="53" t="n"/>
      <c r="AQ271" s="53" t="n"/>
      <c r="AR271" s="53" t="n"/>
      <c r="AS271" s="53" t="n"/>
      <c r="AT271" s="53" t="n"/>
      <c r="AU271" s="53" t="n"/>
      <c r="AV271" s="53" t="n"/>
      <c r="AW271" s="53" t="n"/>
      <c r="AX271" s="53" t="n"/>
      <c r="AY271" s="53" t="n"/>
    </row>
    <row r="272" ht="15" customHeight="1">
      <c r="A272" s="54" t="n"/>
      <c r="B272" s="55">
        <f>IF($B$271="","",$B$271)</f>
        <v/>
      </c>
      <c r="C272" s="56" t="inlineStr">
        <is>
          <t>기타</t>
        </is>
      </c>
      <c r="D272" s="55">
        <f>IF($D$271="","",$D$271)</f>
        <v/>
      </c>
      <c r="E272" s="57" t="inlineStr">
        <is>
          <t>이미지</t>
        </is>
      </c>
      <c r="F272" s="44" t="n"/>
      <c r="G272" s="58">
        <f>IF($G$271="","",$G$271)</f>
        <v/>
      </c>
      <c r="H272" s="59" t="n"/>
      <c r="I272" s="59" t="n"/>
      <c r="J272" s="59" t="n"/>
      <c r="K272" s="59" t="n"/>
      <c r="L272" s="60">
        <f>IF(SUM(U272:AY272)=0,"",SUM(U272:AY272))</f>
        <v/>
      </c>
      <c r="M272" s="61">
        <f>IFERROR(INDEX(U$2:AY$2,MATCH(TRUE,INDEX(U272:AY272&lt;&gt;"",0),0)),"")</f>
        <v/>
      </c>
      <c r="N272" s="61">
        <f>IFERROR(LOOKUP(2,1/(U272:AY272&lt;&gt;""),U$2:AY$2),"")</f>
        <v/>
      </c>
      <c r="O272" s="59" t="n"/>
      <c r="P272" s="59" t="n"/>
      <c r="Q272" s="59" t="n"/>
      <c r="R272" s="59" t="n"/>
      <c r="S272" s="14" t="n"/>
      <c r="U272" s="53" t="n"/>
      <c r="V272" s="53" t="n"/>
      <c r="W272" s="53" t="n"/>
      <c r="X272" s="53" t="n"/>
      <c r="Y272" s="53" t="n"/>
      <c r="Z272" s="53" t="n"/>
      <c r="AA272" s="53" t="n"/>
      <c r="AB272" s="53" t="n"/>
      <c r="AC272" s="53" t="n"/>
      <c r="AD272" s="53" t="n"/>
      <c r="AE272" s="53" t="n"/>
      <c r="AF272" s="53" t="n"/>
      <c r="AG272" s="53" t="n"/>
      <c r="AH272" s="53" t="n"/>
      <c r="AI272" s="53" t="n"/>
      <c r="AJ272" s="53" t="n"/>
      <c r="AK272" s="53" t="n"/>
      <c r="AL272" s="53" t="n"/>
      <c r="AM272" s="53" t="n"/>
      <c r="AN272" s="53" t="n"/>
      <c r="AO272" s="53" t="n"/>
      <c r="AP272" s="53" t="n"/>
      <c r="AQ272" s="53" t="n"/>
      <c r="AR272" s="53" t="n"/>
      <c r="AS272" s="53" t="n"/>
      <c r="AT272" s="53" t="n"/>
      <c r="AU272" s="53" t="n"/>
      <c r="AV272" s="53" t="n"/>
      <c r="AW272" s="53" t="n"/>
      <c r="AX272" s="53" t="n"/>
      <c r="AY272" s="53" t="n"/>
    </row>
    <row r="273" ht="15" customHeight="1">
      <c r="A273" s="62" t="n"/>
      <c r="B273" s="55">
        <f>IF($B$271="","",$B$271)</f>
        <v/>
      </c>
      <c r="C273" s="63" t="inlineStr">
        <is>
          <t>기타</t>
        </is>
      </c>
      <c r="D273" s="55">
        <f>IF($D$271="","",$D$271)</f>
        <v/>
      </c>
      <c r="E273" s="64" t="inlineStr">
        <is>
          <t>영상</t>
        </is>
      </c>
      <c r="F273" s="44" t="n"/>
      <c r="G273" s="58">
        <f>IF($G$271="","",$G$271)</f>
        <v/>
      </c>
      <c r="H273" s="59" t="n"/>
      <c r="I273" s="59" t="n"/>
      <c r="J273" s="59" t="n"/>
      <c r="K273" s="59" t="n"/>
      <c r="L273" s="65">
        <f>IF(SUM(U273:AY273)=0,"",SUM(U273:AY273))</f>
        <v/>
      </c>
      <c r="M273" s="66">
        <f>IFERROR(INDEX(U$2:AY$2,MATCH(TRUE,INDEX(U273:AY273&lt;&gt;"",0),0)),"")</f>
        <v/>
      </c>
      <c r="N273" s="66">
        <f>IFERROR(LOOKUP(2,1/(U273:AY273&lt;&gt;""),U$2:AY$2),"")</f>
        <v/>
      </c>
      <c r="O273" s="59" t="n"/>
      <c r="P273" s="59" t="n"/>
      <c r="Q273" s="59" t="n"/>
      <c r="R273" s="59" t="n"/>
      <c r="S273" s="14" t="n"/>
      <c r="U273" s="53" t="n"/>
      <c r="V273" s="53" t="n"/>
      <c r="W273" s="53" t="n"/>
      <c r="X273" s="53" t="n"/>
      <c r="Y273" s="53" t="n"/>
      <c r="Z273" s="53" t="n"/>
      <c r="AA273" s="53" t="n"/>
      <c r="AB273" s="53" t="n"/>
      <c r="AC273" s="53" t="n"/>
      <c r="AD273" s="53" t="n"/>
      <c r="AE273" s="53" t="n"/>
      <c r="AF273" s="53" t="n"/>
      <c r="AG273" s="53" t="n"/>
      <c r="AH273" s="53" t="n"/>
      <c r="AI273" s="53" t="n"/>
      <c r="AJ273" s="53" t="n"/>
      <c r="AK273" s="53" t="n"/>
      <c r="AL273" s="53" t="n"/>
      <c r="AM273" s="53" t="n"/>
      <c r="AN273" s="53" t="n"/>
      <c r="AO273" s="53" t="n"/>
      <c r="AP273" s="53" t="n"/>
      <c r="AQ273" s="53" t="n"/>
      <c r="AR273" s="53" t="n"/>
      <c r="AS273" s="53" t="n"/>
      <c r="AT273" s="53" t="n"/>
      <c r="AU273" s="53" t="n"/>
      <c r="AV273" s="53" t="n"/>
      <c r="AW273" s="53" t="n"/>
      <c r="AX273" s="53" t="n"/>
      <c r="AY273" s="53" t="n"/>
    </row>
    <row r="274" ht="15" customHeight="1">
      <c r="A274" s="40">
        <f>IF($D$274="","",88)</f>
        <v/>
      </c>
      <c r="B274" s="10" t="n"/>
      <c r="C274" s="41" t="inlineStr">
        <is>
          <t>기타</t>
        </is>
      </c>
      <c r="D274" s="42" t="n"/>
      <c r="E274" s="43" t="inlineStr">
        <is>
          <t>기획</t>
        </is>
      </c>
      <c r="F274" s="44" t="n"/>
      <c r="G274" s="45" t="n"/>
      <c r="H274" s="46">
        <f>IF($I$274="","",IF($I$274&lt;0,"🔴지연",IF($I$274&lt;=1,"🟡임박","🟢여유")))</f>
        <v/>
      </c>
      <c r="I274" s="47">
        <f>IF(OR($G$274="",$K$274=""),"",$G$274-$K$274)</f>
        <v/>
      </c>
      <c r="J274" s="48">
        <f>IF(SUM($L$274:$L$276)=0,"",SUM($L$274:$L$276))</f>
        <v/>
      </c>
      <c r="K274" s="49">
        <f>IF($J$274="","",MAX($N$274:$N$276))</f>
        <v/>
      </c>
      <c r="L274" s="50">
        <f>IF(SUM(U274:AY274)=0,"",SUM(U274:AY274))</f>
        <v/>
      </c>
      <c r="M274" s="51">
        <f>IFERROR(INDEX(U$2:AY$2,MATCH(TRUE,INDEX(U274:AY274&lt;&gt;"",0),0)),"")</f>
        <v/>
      </c>
      <c r="N274" s="51">
        <f>IFERROR(LOOKUP(2,1/(U274:AY274&lt;&gt;""),U$2:AY$2),"")</f>
        <v/>
      </c>
      <c r="O274" s="52" t="n"/>
      <c r="P274" s="52" t="n"/>
      <c r="Q274" s="52" t="n"/>
      <c r="R274" s="44" t="n"/>
      <c r="S274" s="14" t="n"/>
      <c r="U274" s="53" t="n"/>
      <c r="V274" s="53" t="n"/>
      <c r="W274" s="53" t="n"/>
      <c r="X274" s="53" t="n"/>
      <c r="Y274" s="53" t="n"/>
      <c r="Z274" s="53" t="n"/>
      <c r="AA274" s="53" t="n"/>
      <c r="AB274" s="53" t="n"/>
      <c r="AC274" s="53" t="n"/>
      <c r="AD274" s="53" t="n"/>
      <c r="AE274" s="53" t="n"/>
      <c r="AF274" s="53" t="n"/>
      <c r="AG274" s="53" t="n"/>
      <c r="AH274" s="53" t="n"/>
      <c r="AI274" s="53" t="n"/>
      <c r="AJ274" s="53" t="n"/>
      <c r="AK274" s="53" t="n"/>
      <c r="AL274" s="53" t="n"/>
      <c r="AM274" s="53" t="n"/>
      <c r="AN274" s="53" t="n"/>
      <c r="AO274" s="53" t="n"/>
      <c r="AP274" s="53" t="n"/>
      <c r="AQ274" s="53" t="n"/>
      <c r="AR274" s="53" t="n"/>
      <c r="AS274" s="53" t="n"/>
      <c r="AT274" s="53" t="n"/>
      <c r="AU274" s="53" t="n"/>
      <c r="AV274" s="53" t="n"/>
      <c r="AW274" s="53" t="n"/>
      <c r="AX274" s="53" t="n"/>
      <c r="AY274" s="53" t="n"/>
    </row>
    <row r="275" ht="15" customHeight="1">
      <c r="A275" s="54" t="n"/>
      <c r="B275" s="55">
        <f>IF($B$274="","",$B$274)</f>
        <v/>
      </c>
      <c r="C275" s="56" t="inlineStr">
        <is>
          <t>기타</t>
        </is>
      </c>
      <c r="D275" s="55">
        <f>IF($D$274="","",$D$274)</f>
        <v/>
      </c>
      <c r="E275" s="57" t="inlineStr">
        <is>
          <t>이미지</t>
        </is>
      </c>
      <c r="F275" s="44" t="n"/>
      <c r="G275" s="58">
        <f>IF($G$274="","",$G$274)</f>
        <v/>
      </c>
      <c r="H275" s="59" t="n"/>
      <c r="I275" s="59" t="n"/>
      <c r="J275" s="59" t="n"/>
      <c r="K275" s="59" t="n"/>
      <c r="L275" s="60">
        <f>IF(SUM(U275:AY275)=0,"",SUM(U275:AY275))</f>
        <v/>
      </c>
      <c r="M275" s="61">
        <f>IFERROR(INDEX(U$2:AY$2,MATCH(TRUE,INDEX(U275:AY275&lt;&gt;"",0),0)),"")</f>
        <v/>
      </c>
      <c r="N275" s="61">
        <f>IFERROR(LOOKUP(2,1/(U275:AY275&lt;&gt;""),U$2:AY$2),"")</f>
        <v/>
      </c>
      <c r="O275" s="59" t="n"/>
      <c r="P275" s="59" t="n"/>
      <c r="Q275" s="59" t="n"/>
      <c r="R275" s="59" t="n"/>
      <c r="S275" s="14" t="n"/>
      <c r="U275" s="53" t="n"/>
      <c r="V275" s="53" t="n"/>
      <c r="W275" s="53" t="n"/>
      <c r="X275" s="53" t="n"/>
      <c r="Y275" s="53" t="n"/>
      <c r="Z275" s="53" t="n"/>
      <c r="AA275" s="53" t="n"/>
      <c r="AB275" s="53" t="n"/>
      <c r="AC275" s="53" t="n"/>
      <c r="AD275" s="53" t="n"/>
      <c r="AE275" s="53" t="n"/>
      <c r="AF275" s="53" t="n"/>
      <c r="AG275" s="53" t="n"/>
      <c r="AH275" s="53" t="n"/>
      <c r="AI275" s="53" t="n"/>
      <c r="AJ275" s="53" t="n"/>
      <c r="AK275" s="53" t="n"/>
      <c r="AL275" s="53" t="n"/>
      <c r="AM275" s="53" t="n"/>
      <c r="AN275" s="53" t="n"/>
      <c r="AO275" s="53" t="n"/>
      <c r="AP275" s="53" t="n"/>
      <c r="AQ275" s="53" t="n"/>
      <c r="AR275" s="53" t="n"/>
      <c r="AS275" s="53" t="n"/>
      <c r="AT275" s="53" t="n"/>
      <c r="AU275" s="53" t="n"/>
      <c r="AV275" s="53" t="n"/>
      <c r="AW275" s="53" t="n"/>
      <c r="AX275" s="53" t="n"/>
      <c r="AY275" s="53" t="n"/>
    </row>
    <row r="276" ht="15" customHeight="1">
      <c r="A276" s="62" t="n"/>
      <c r="B276" s="55">
        <f>IF($B$274="","",$B$274)</f>
        <v/>
      </c>
      <c r="C276" s="63" t="inlineStr">
        <is>
          <t>기타</t>
        </is>
      </c>
      <c r="D276" s="55">
        <f>IF($D$274="","",$D$274)</f>
        <v/>
      </c>
      <c r="E276" s="64" t="inlineStr">
        <is>
          <t>영상</t>
        </is>
      </c>
      <c r="F276" s="44" t="n"/>
      <c r="G276" s="58">
        <f>IF($G$274="","",$G$274)</f>
        <v/>
      </c>
      <c r="H276" s="59" t="n"/>
      <c r="I276" s="59" t="n"/>
      <c r="J276" s="59" t="n"/>
      <c r="K276" s="59" t="n"/>
      <c r="L276" s="65">
        <f>IF(SUM(U276:AY276)=0,"",SUM(U276:AY276))</f>
        <v/>
      </c>
      <c r="M276" s="66">
        <f>IFERROR(INDEX(U$2:AY$2,MATCH(TRUE,INDEX(U276:AY276&lt;&gt;"",0),0)),"")</f>
        <v/>
      </c>
      <c r="N276" s="66">
        <f>IFERROR(LOOKUP(2,1/(U276:AY276&lt;&gt;""),U$2:AY$2),"")</f>
        <v/>
      </c>
      <c r="O276" s="59" t="n"/>
      <c r="P276" s="59" t="n"/>
      <c r="Q276" s="59" t="n"/>
      <c r="R276" s="59" t="n"/>
      <c r="S276" s="14" t="n"/>
      <c r="U276" s="53" t="n"/>
      <c r="V276" s="53" t="n"/>
      <c r="W276" s="53" t="n"/>
      <c r="X276" s="53" t="n"/>
      <c r="Y276" s="53" t="n"/>
      <c r="Z276" s="53" t="n"/>
      <c r="AA276" s="53" t="n"/>
      <c r="AB276" s="53" t="n"/>
      <c r="AC276" s="53" t="n"/>
      <c r="AD276" s="53" t="n"/>
      <c r="AE276" s="53" t="n"/>
      <c r="AF276" s="53" t="n"/>
      <c r="AG276" s="53" t="n"/>
      <c r="AH276" s="53" t="n"/>
      <c r="AI276" s="53" t="n"/>
      <c r="AJ276" s="53" t="n"/>
      <c r="AK276" s="53" t="n"/>
      <c r="AL276" s="53" t="n"/>
      <c r="AM276" s="53" t="n"/>
      <c r="AN276" s="53" t="n"/>
      <c r="AO276" s="53" t="n"/>
      <c r="AP276" s="53" t="n"/>
      <c r="AQ276" s="53" t="n"/>
      <c r="AR276" s="53" t="n"/>
      <c r="AS276" s="53" t="n"/>
      <c r="AT276" s="53" t="n"/>
      <c r="AU276" s="53" t="n"/>
      <c r="AV276" s="53" t="n"/>
      <c r="AW276" s="53" t="n"/>
      <c r="AX276" s="53" t="n"/>
      <c r="AY276" s="53" t="n"/>
    </row>
    <row r="277" ht="15" customHeight="1">
      <c r="A277" s="40">
        <f>IF($D$277="","",89)</f>
        <v/>
      </c>
      <c r="B277" s="10" t="n"/>
      <c r="C277" s="41" t="inlineStr">
        <is>
          <t>기타</t>
        </is>
      </c>
      <c r="D277" s="42" t="n"/>
      <c r="E277" s="43" t="inlineStr">
        <is>
          <t>기획</t>
        </is>
      </c>
      <c r="F277" s="44" t="n"/>
      <c r="G277" s="45" t="n"/>
      <c r="H277" s="46">
        <f>IF($I$277="","",IF($I$277&lt;0,"🔴지연",IF($I$277&lt;=1,"🟡임박","🟢여유")))</f>
        <v/>
      </c>
      <c r="I277" s="47">
        <f>IF(OR($G$277="",$K$277=""),"",$G$277-$K$277)</f>
        <v/>
      </c>
      <c r="J277" s="48">
        <f>IF(SUM($L$277:$L$279)=0,"",SUM($L$277:$L$279))</f>
        <v/>
      </c>
      <c r="K277" s="49">
        <f>IF($J$277="","",MAX($N$277:$N$279))</f>
        <v/>
      </c>
      <c r="L277" s="50">
        <f>IF(SUM(U277:AY277)=0,"",SUM(U277:AY277))</f>
        <v/>
      </c>
      <c r="M277" s="51">
        <f>IFERROR(INDEX(U$2:AY$2,MATCH(TRUE,INDEX(U277:AY277&lt;&gt;"",0),0)),"")</f>
        <v/>
      </c>
      <c r="N277" s="51">
        <f>IFERROR(LOOKUP(2,1/(U277:AY277&lt;&gt;""),U$2:AY$2),"")</f>
        <v/>
      </c>
      <c r="O277" s="52" t="n"/>
      <c r="P277" s="52" t="n"/>
      <c r="Q277" s="52" t="n"/>
      <c r="R277" s="44" t="n"/>
      <c r="S277" s="14" t="n"/>
      <c r="U277" s="53" t="n"/>
      <c r="V277" s="53" t="n"/>
      <c r="W277" s="53" t="n"/>
      <c r="X277" s="53" t="n"/>
      <c r="Y277" s="53" t="n"/>
      <c r="Z277" s="53" t="n"/>
      <c r="AA277" s="53" t="n"/>
      <c r="AB277" s="53" t="n"/>
      <c r="AC277" s="53" t="n"/>
      <c r="AD277" s="53" t="n"/>
      <c r="AE277" s="53" t="n"/>
      <c r="AF277" s="53" t="n"/>
      <c r="AG277" s="53" t="n"/>
      <c r="AH277" s="53" t="n"/>
      <c r="AI277" s="53" t="n"/>
      <c r="AJ277" s="53" t="n"/>
      <c r="AK277" s="53" t="n"/>
      <c r="AL277" s="53" t="n"/>
      <c r="AM277" s="53" t="n"/>
      <c r="AN277" s="53" t="n"/>
      <c r="AO277" s="53" t="n"/>
      <c r="AP277" s="53" t="n"/>
      <c r="AQ277" s="53" t="n"/>
      <c r="AR277" s="53" t="n"/>
      <c r="AS277" s="53" t="n"/>
      <c r="AT277" s="53" t="n"/>
      <c r="AU277" s="53" t="n"/>
      <c r="AV277" s="53" t="n"/>
      <c r="AW277" s="53" t="n"/>
      <c r="AX277" s="53" t="n"/>
      <c r="AY277" s="53" t="n"/>
    </row>
    <row r="278" ht="15" customHeight="1">
      <c r="A278" s="54" t="n"/>
      <c r="B278" s="55">
        <f>IF($B$277="","",$B$277)</f>
        <v/>
      </c>
      <c r="C278" s="56" t="inlineStr">
        <is>
          <t>기타</t>
        </is>
      </c>
      <c r="D278" s="55">
        <f>IF($D$277="","",$D$277)</f>
        <v/>
      </c>
      <c r="E278" s="57" t="inlineStr">
        <is>
          <t>이미지</t>
        </is>
      </c>
      <c r="F278" s="44" t="n"/>
      <c r="G278" s="58">
        <f>IF($G$277="","",$G$277)</f>
        <v/>
      </c>
      <c r="H278" s="59" t="n"/>
      <c r="I278" s="59" t="n"/>
      <c r="J278" s="59" t="n"/>
      <c r="K278" s="59" t="n"/>
      <c r="L278" s="60">
        <f>IF(SUM(U278:AY278)=0,"",SUM(U278:AY278))</f>
        <v/>
      </c>
      <c r="M278" s="61">
        <f>IFERROR(INDEX(U$2:AY$2,MATCH(TRUE,INDEX(U278:AY278&lt;&gt;"",0),0)),"")</f>
        <v/>
      </c>
      <c r="N278" s="61">
        <f>IFERROR(LOOKUP(2,1/(U278:AY278&lt;&gt;""),U$2:AY$2),"")</f>
        <v/>
      </c>
      <c r="O278" s="59" t="n"/>
      <c r="P278" s="59" t="n"/>
      <c r="Q278" s="59" t="n"/>
      <c r="R278" s="59" t="n"/>
      <c r="S278" s="14" t="n"/>
      <c r="U278" s="53" t="n"/>
      <c r="V278" s="53" t="n"/>
      <c r="W278" s="53" t="n"/>
      <c r="X278" s="53" t="n"/>
      <c r="Y278" s="53" t="n"/>
      <c r="Z278" s="53" t="n"/>
      <c r="AA278" s="53" t="n"/>
      <c r="AB278" s="53" t="n"/>
      <c r="AC278" s="53" t="n"/>
      <c r="AD278" s="53" t="n"/>
      <c r="AE278" s="53" t="n"/>
      <c r="AF278" s="53" t="n"/>
      <c r="AG278" s="53" t="n"/>
      <c r="AH278" s="53" t="n"/>
      <c r="AI278" s="53" t="n"/>
      <c r="AJ278" s="53" t="n"/>
      <c r="AK278" s="53" t="n"/>
      <c r="AL278" s="53" t="n"/>
      <c r="AM278" s="53" t="n"/>
      <c r="AN278" s="53" t="n"/>
      <c r="AO278" s="53" t="n"/>
      <c r="AP278" s="53" t="n"/>
      <c r="AQ278" s="53" t="n"/>
      <c r="AR278" s="53" t="n"/>
      <c r="AS278" s="53" t="n"/>
      <c r="AT278" s="53" t="n"/>
      <c r="AU278" s="53" t="n"/>
      <c r="AV278" s="53" t="n"/>
      <c r="AW278" s="53" t="n"/>
      <c r="AX278" s="53" t="n"/>
      <c r="AY278" s="53" t="n"/>
    </row>
    <row r="279" ht="15" customHeight="1">
      <c r="A279" s="62" t="n"/>
      <c r="B279" s="55">
        <f>IF($B$277="","",$B$277)</f>
        <v/>
      </c>
      <c r="C279" s="63" t="inlineStr">
        <is>
          <t>기타</t>
        </is>
      </c>
      <c r="D279" s="55">
        <f>IF($D$277="","",$D$277)</f>
        <v/>
      </c>
      <c r="E279" s="64" t="inlineStr">
        <is>
          <t>영상</t>
        </is>
      </c>
      <c r="F279" s="44" t="n"/>
      <c r="G279" s="58">
        <f>IF($G$277="","",$G$277)</f>
        <v/>
      </c>
      <c r="H279" s="59" t="n"/>
      <c r="I279" s="59" t="n"/>
      <c r="J279" s="59" t="n"/>
      <c r="K279" s="59" t="n"/>
      <c r="L279" s="65">
        <f>IF(SUM(U279:AY279)=0,"",SUM(U279:AY279))</f>
        <v/>
      </c>
      <c r="M279" s="66">
        <f>IFERROR(INDEX(U$2:AY$2,MATCH(TRUE,INDEX(U279:AY279&lt;&gt;"",0),0)),"")</f>
        <v/>
      </c>
      <c r="N279" s="66">
        <f>IFERROR(LOOKUP(2,1/(U279:AY279&lt;&gt;""),U$2:AY$2),"")</f>
        <v/>
      </c>
      <c r="O279" s="59" t="n"/>
      <c r="P279" s="59" t="n"/>
      <c r="Q279" s="59" t="n"/>
      <c r="R279" s="59" t="n"/>
      <c r="S279" s="14" t="n"/>
      <c r="U279" s="53" t="n"/>
      <c r="V279" s="53" t="n"/>
      <c r="W279" s="53" t="n"/>
      <c r="X279" s="53" t="n"/>
      <c r="Y279" s="53" t="n"/>
      <c r="Z279" s="53" t="n"/>
      <c r="AA279" s="53" t="n"/>
      <c r="AB279" s="53" t="n"/>
      <c r="AC279" s="53" t="n"/>
      <c r="AD279" s="53" t="n"/>
      <c r="AE279" s="53" t="n"/>
      <c r="AF279" s="53" t="n"/>
      <c r="AG279" s="53" t="n"/>
      <c r="AH279" s="53" t="n"/>
      <c r="AI279" s="53" t="n"/>
      <c r="AJ279" s="53" t="n"/>
      <c r="AK279" s="53" t="n"/>
      <c r="AL279" s="53" t="n"/>
      <c r="AM279" s="53" t="n"/>
      <c r="AN279" s="53" t="n"/>
      <c r="AO279" s="53" t="n"/>
      <c r="AP279" s="53" t="n"/>
      <c r="AQ279" s="53" t="n"/>
      <c r="AR279" s="53" t="n"/>
      <c r="AS279" s="53" t="n"/>
      <c r="AT279" s="53" t="n"/>
      <c r="AU279" s="53" t="n"/>
      <c r="AV279" s="53" t="n"/>
      <c r="AW279" s="53" t="n"/>
      <c r="AX279" s="53" t="n"/>
      <c r="AY279" s="53" t="n"/>
    </row>
    <row r="280" ht="15" customHeight="1">
      <c r="A280" s="40">
        <f>IF($D$280="","",90)</f>
        <v/>
      </c>
      <c r="B280" s="10" t="n"/>
      <c r="C280" s="41" t="inlineStr">
        <is>
          <t>기타</t>
        </is>
      </c>
      <c r="D280" s="42" t="n"/>
      <c r="E280" s="43" t="inlineStr">
        <is>
          <t>기획</t>
        </is>
      </c>
      <c r="F280" s="44" t="n"/>
      <c r="G280" s="45" t="n"/>
      <c r="H280" s="46">
        <f>IF($I$280="","",IF($I$280&lt;0,"🔴지연",IF($I$280&lt;=1,"🟡임박","🟢여유")))</f>
        <v/>
      </c>
      <c r="I280" s="47">
        <f>IF(OR($G$280="",$K$280=""),"",$G$280-$K$280)</f>
        <v/>
      </c>
      <c r="J280" s="48">
        <f>IF(SUM($L$280:$L$282)=0,"",SUM($L$280:$L$282))</f>
        <v/>
      </c>
      <c r="K280" s="49">
        <f>IF($J$280="","",MAX($N$280:$N$282))</f>
        <v/>
      </c>
      <c r="L280" s="50">
        <f>IF(SUM(U280:AY280)=0,"",SUM(U280:AY280))</f>
        <v/>
      </c>
      <c r="M280" s="51">
        <f>IFERROR(INDEX(U$2:AY$2,MATCH(TRUE,INDEX(U280:AY280&lt;&gt;"",0),0)),"")</f>
        <v/>
      </c>
      <c r="N280" s="51">
        <f>IFERROR(LOOKUP(2,1/(U280:AY280&lt;&gt;""),U$2:AY$2),"")</f>
        <v/>
      </c>
      <c r="O280" s="52" t="n"/>
      <c r="P280" s="52" t="n"/>
      <c r="Q280" s="52" t="n"/>
      <c r="R280" s="44" t="n"/>
      <c r="S280" s="14" t="n"/>
      <c r="U280" s="53" t="n"/>
      <c r="V280" s="53" t="n"/>
      <c r="W280" s="53" t="n"/>
      <c r="X280" s="53" t="n"/>
      <c r="Y280" s="53" t="n"/>
      <c r="Z280" s="53" t="n"/>
      <c r="AA280" s="53" t="n"/>
      <c r="AB280" s="53" t="n"/>
      <c r="AC280" s="53" t="n"/>
      <c r="AD280" s="53" t="n"/>
      <c r="AE280" s="53" t="n"/>
      <c r="AF280" s="53" t="n"/>
      <c r="AG280" s="53" t="n"/>
      <c r="AH280" s="53" t="n"/>
      <c r="AI280" s="53" t="n"/>
      <c r="AJ280" s="53" t="n"/>
      <c r="AK280" s="53" t="n"/>
      <c r="AL280" s="53" t="n"/>
      <c r="AM280" s="53" t="n"/>
      <c r="AN280" s="53" t="n"/>
      <c r="AO280" s="53" t="n"/>
      <c r="AP280" s="53" t="n"/>
      <c r="AQ280" s="53" t="n"/>
      <c r="AR280" s="53" t="n"/>
      <c r="AS280" s="53" t="n"/>
      <c r="AT280" s="53" t="n"/>
      <c r="AU280" s="53" t="n"/>
      <c r="AV280" s="53" t="n"/>
      <c r="AW280" s="53" t="n"/>
      <c r="AX280" s="53" t="n"/>
      <c r="AY280" s="53" t="n"/>
    </row>
    <row r="281" ht="15" customHeight="1">
      <c r="A281" s="54" t="n"/>
      <c r="B281" s="55">
        <f>IF($B$280="","",$B$280)</f>
        <v/>
      </c>
      <c r="C281" s="56" t="inlineStr">
        <is>
          <t>기타</t>
        </is>
      </c>
      <c r="D281" s="55">
        <f>IF($D$280="","",$D$280)</f>
        <v/>
      </c>
      <c r="E281" s="57" t="inlineStr">
        <is>
          <t>이미지</t>
        </is>
      </c>
      <c r="F281" s="44" t="n"/>
      <c r="G281" s="58">
        <f>IF($G$280="","",$G$280)</f>
        <v/>
      </c>
      <c r="H281" s="59" t="n"/>
      <c r="I281" s="59" t="n"/>
      <c r="J281" s="59" t="n"/>
      <c r="K281" s="59" t="n"/>
      <c r="L281" s="60">
        <f>IF(SUM(U281:AY281)=0,"",SUM(U281:AY281))</f>
        <v/>
      </c>
      <c r="M281" s="61">
        <f>IFERROR(INDEX(U$2:AY$2,MATCH(TRUE,INDEX(U281:AY281&lt;&gt;"",0),0)),"")</f>
        <v/>
      </c>
      <c r="N281" s="61">
        <f>IFERROR(LOOKUP(2,1/(U281:AY281&lt;&gt;""),U$2:AY$2),"")</f>
        <v/>
      </c>
      <c r="O281" s="59" t="n"/>
      <c r="P281" s="59" t="n"/>
      <c r="Q281" s="59" t="n"/>
      <c r="R281" s="59" t="n"/>
      <c r="S281" s="14" t="n"/>
      <c r="U281" s="53" t="n"/>
      <c r="V281" s="53" t="n"/>
      <c r="W281" s="53" t="n"/>
      <c r="X281" s="53" t="n"/>
      <c r="Y281" s="53" t="n"/>
      <c r="Z281" s="53" t="n"/>
      <c r="AA281" s="53" t="n"/>
      <c r="AB281" s="53" t="n"/>
      <c r="AC281" s="53" t="n"/>
      <c r="AD281" s="53" t="n"/>
      <c r="AE281" s="53" t="n"/>
      <c r="AF281" s="53" t="n"/>
      <c r="AG281" s="53" t="n"/>
      <c r="AH281" s="53" t="n"/>
      <c r="AI281" s="53" t="n"/>
      <c r="AJ281" s="53" t="n"/>
      <c r="AK281" s="53" t="n"/>
      <c r="AL281" s="53" t="n"/>
      <c r="AM281" s="53" t="n"/>
      <c r="AN281" s="53" t="n"/>
      <c r="AO281" s="53" t="n"/>
      <c r="AP281" s="53" t="n"/>
      <c r="AQ281" s="53" t="n"/>
      <c r="AR281" s="53" t="n"/>
      <c r="AS281" s="53" t="n"/>
      <c r="AT281" s="53" t="n"/>
      <c r="AU281" s="53" t="n"/>
      <c r="AV281" s="53" t="n"/>
      <c r="AW281" s="53" t="n"/>
      <c r="AX281" s="53" t="n"/>
      <c r="AY281" s="53" t="n"/>
    </row>
    <row r="282" ht="15" customHeight="1">
      <c r="A282" s="62" t="n"/>
      <c r="B282" s="55">
        <f>IF($B$280="","",$B$280)</f>
        <v/>
      </c>
      <c r="C282" s="63" t="inlineStr">
        <is>
          <t>기타</t>
        </is>
      </c>
      <c r="D282" s="55">
        <f>IF($D$280="","",$D$280)</f>
        <v/>
      </c>
      <c r="E282" s="64" t="inlineStr">
        <is>
          <t>영상</t>
        </is>
      </c>
      <c r="F282" s="44" t="n"/>
      <c r="G282" s="58">
        <f>IF($G$280="","",$G$280)</f>
        <v/>
      </c>
      <c r="H282" s="59" t="n"/>
      <c r="I282" s="59" t="n"/>
      <c r="J282" s="59" t="n"/>
      <c r="K282" s="59" t="n"/>
      <c r="L282" s="65">
        <f>IF(SUM(U282:AY282)=0,"",SUM(U282:AY282))</f>
        <v/>
      </c>
      <c r="M282" s="66">
        <f>IFERROR(INDEX(U$2:AY$2,MATCH(TRUE,INDEX(U282:AY282&lt;&gt;"",0),0)),"")</f>
        <v/>
      </c>
      <c r="N282" s="66">
        <f>IFERROR(LOOKUP(2,1/(U282:AY282&lt;&gt;""),U$2:AY$2),"")</f>
        <v/>
      </c>
      <c r="O282" s="59" t="n"/>
      <c r="P282" s="59" t="n"/>
      <c r="Q282" s="59" t="n"/>
      <c r="R282" s="59" t="n"/>
      <c r="S282" s="14" t="n"/>
      <c r="U282" s="53" t="n"/>
      <c r="V282" s="53" t="n"/>
      <c r="W282" s="53" t="n"/>
      <c r="X282" s="53" t="n"/>
      <c r="Y282" s="53" t="n"/>
      <c r="Z282" s="53" t="n"/>
      <c r="AA282" s="53" t="n"/>
      <c r="AB282" s="53" t="n"/>
      <c r="AC282" s="53" t="n"/>
      <c r="AD282" s="53" t="n"/>
      <c r="AE282" s="53" t="n"/>
      <c r="AF282" s="53" t="n"/>
      <c r="AG282" s="53" t="n"/>
      <c r="AH282" s="53" t="n"/>
      <c r="AI282" s="53" t="n"/>
      <c r="AJ282" s="53" t="n"/>
      <c r="AK282" s="53" t="n"/>
      <c r="AL282" s="53" t="n"/>
      <c r="AM282" s="53" t="n"/>
      <c r="AN282" s="53" t="n"/>
      <c r="AO282" s="53" t="n"/>
      <c r="AP282" s="53" t="n"/>
      <c r="AQ282" s="53" t="n"/>
      <c r="AR282" s="53" t="n"/>
      <c r="AS282" s="53" t="n"/>
      <c r="AT282" s="53" t="n"/>
      <c r="AU282" s="53" t="n"/>
      <c r="AV282" s="53" t="n"/>
      <c r="AW282" s="53" t="n"/>
      <c r="AX282" s="53" t="n"/>
      <c r="AY282" s="53" t="n"/>
    </row>
    <row r="283" ht="15" customHeight="1">
      <c r="A283" s="40">
        <f>IF($D$283="","",91)</f>
        <v/>
      </c>
      <c r="B283" s="10" t="n"/>
      <c r="C283" s="41" t="inlineStr">
        <is>
          <t>기타</t>
        </is>
      </c>
      <c r="D283" s="42" t="n"/>
      <c r="E283" s="43" t="inlineStr">
        <is>
          <t>기획</t>
        </is>
      </c>
      <c r="F283" s="44" t="n"/>
      <c r="G283" s="45" t="n"/>
      <c r="H283" s="46">
        <f>IF($I$283="","",IF($I$283&lt;0,"🔴지연",IF($I$283&lt;=1,"🟡임박","🟢여유")))</f>
        <v/>
      </c>
      <c r="I283" s="47">
        <f>IF(OR($G$283="",$K$283=""),"",$G$283-$K$283)</f>
        <v/>
      </c>
      <c r="J283" s="48">
        <f>IF(SUM($L$283:$L$285)=0,"",SUM($L$283:$L$285))</f>
        <v/>
      </c>
      <c r="K283" s="49">
        <f>IF($J$283="","",MAX($N$283:$N$285))</f>
        <v/>
      </c>
      <c r="L283" s="50">
        <f>IF(SUM(U283:AY283)=0,"",SUM(U283:AY283))</f>
        <v/>
      </c>
      <c r="M283" s="51">
        <f>IFERROR(INDEX(U$2:AY$2,MATCH(TRUE,INDEX(U283:AY283&lt;&gt;"",0),0)),"")</f>
        <v/>
      </c>
      <c r="N283" s="51">
        <f>IFERROR(LOOKUP(2,1/(U283:AY283&lt;&gt;""),U$2:AY$2),"")</f>
        <v/>
      </c>
      <c r="O283" s="52" t="n"/>
      <c r="P283" s="52" t="n"/>
      <c r="Q283" s="52" t="n"/>
      <c r="R283" s="44" t="n"/>
      <c r="S283" s="14" t="n"/>
      <c r="U283" s="53" t="n"/>
      <c r="V283" s="53" t="n"/>
      <c r="W283" s="53" t="n"/>
      <c r="X283" s="53" t="n"/>
      <c r="Y283" s="53" t="n"/>
      <c r="Z283" s="53" t="n"/>
      <c r="AA283" s="53" t="n"/>
      <c r="AB283" s="53" t="n"/>
      <c r="AC283" s="53" t="n"/>
      <c r="AD283" s="53" t="n"/>
      <c r="AE283" s="53" t="n"/>
      <c r="AF283" s="53" t="n"/>
      <c r="AG283" s="53" t="n"/>
      <c r="AH283" s="53" t="n"/>
      <c r="AI283" s="53" t="n"/>
      <c r="AJ283" s="53" t="n"/>
      <c r="AK283" s="53" t="n"/>
      <c r="AL283" s="53" t="n"/>
      <c r="AM283" s="53" t="n"/>
      <c r="AN283" s="53" t="n"/>
      <c r="AO283" s="53" t="n"/>
      <c r="AP283" s="53" t="n"/>
      <c r="AQ283" s="53" t="n"/>
      <c r="AR283" s="53" t="n"/>
      <c r="AS283" s="53" t="n"/>
      <c r="AT283" s="53" t="n"/>
      <c r="AU283" s="53" t="n"/>
      <c r="AV283" s="53" t="n"/>
      <c r="AW283" s="53" t="n"/>
      <c r="AX283" s="53" t="n"/>
      <c r="AY283" s="53" t="n"/>
    </row>
    <row r="284" ht="15" customHeight="1">
      <c r="A284" s="54" t="n"/>
      <c r="B284" s="55">
        <f>IF($B$283="","",$B$283)</f>
        <v/>
      </c>
      <c r="C284" s="56" t="inlineStr">
        <is>
          <t>기타</t>
        </is>
      </c>
      <c r="D284" s="55">
        <f>IF($D$283="","",$D$283)</f>
        <v/>
      </c>
      <c r="E284" s="57" t="inlineStr">
        <is>
          <t>이미지</t>
        </is>
      </c>
      <c r="F284" s="44" t="n"/>
      <c r="G284" s="58">
        <f>IF($G$283="","",$G$283)</f>
        <v/>
      </c>
      <c r="H284" s="59" t="n"/>
      <c r="I284" s="59" t="n"/>
      <c r="J284" s="59" t="n"/>
      <c r="K284" s="59" t="n"/>
      <c r="L284" s="60">
        <f>IF(SUM(U284:AY284)=0,"",SUM(U284:AY284))</f>
        <v/>
      </c>
      <c r="M284" s="61">
        <f>IFERROR(INDEX(U$2:AY$2,MATCH(TRUE,INDEX(U284:AY284&lt;&gt;"",0),0)),"")</f>
        <v/>
      </c>
      <c r="N284" s="61">
        <f>IFERROR(LOOKUP(2,1/(U284:AY284&lt;&gt;""),U$2:AY$2),"")</f>
        <v/>
      </c>
      <c r="O284" s="59" t="n"/>
      <c r="P284" s="59" t="n"/>
      <c r="Q284" s="59" t="n"/>
      <c r="R284" s="59" t="n"/>
      <c r="S284" s="14" t="n"/>
      <c r="U284" s="53" t="n"/>
      <c r="V284" s="53" t="n"/>
      <c r="W284" s="53" t="n"/>
      <c r="X284" s="53" t="n"/>
      <c r="Y284" s="53" t="n"/>
      <c r="Z284" s="53" t="n"/>
      <c r="AA284" s="53" t="n"/>
      <c r="AB284" s="53" t="n"/>
      <c r="AC284" s="53" t="n"/>
      <c r="AD284" s="53" t="n"/>
      <c r="AE284" s="53" t="n"/>
      <c r="AF284" s="53" t="n"/>
      <c r="AG284" s="53" t="n"/>
      <c r="AH284" s="53" t="n"/>
      <c r="AI284" s="53" t="n"/>
      <c r="AJ284" s="53" t="n"/>
      <c r="AK284" s="53" t="n"/>
      <c r="AL284" s="53" t="n"/>
      <c r="AM284" s="53" t="n"/>
      <c r="AN284" s="53" t="n"/>
      <c r="AO284" s="53" t="n"/>
      <c r="AP284" s="53" t="n"/>
      <c r="AQ284" s="53" t="n"/>
      <c r="AR284" s="53" t="n"/>
      <c r="AS284" s="53" t="n"/>
      <c r="AT284" s="53" t="n"/>
      <c r="AU284" s="53" t="n"/>
      <c r="AV284" s="53" t="n"/>
      <c r="AW284" s="53" t="n"/>
      <c r="AX284" s="53" t="n"/>
      <c r="AY284" s="53" t="n"/>
    </row>
    <row r="285" ht="15" customHeight="1">
      <c r="A285" s="62" t="n"/>
      <c r="B285" s="55">
        <f>IF($B$283="","",$B$283)</f>
        <v/>
      </c>
      <c r="C285" s="63" t="inlineStr">
        <is>
          <t>기타</t>
        </is>
      </c>
      <c r="D285" s="55">
        <f>IF($D$283="","",$D$283)</f>
        <v/>
      </c>
      <c r="E285" s="64" t="inlineStr">
        <is>
          <t>영상</t>
        </is>
      </c>
      <c r="F285" s="44" t="n"/>
      <c r="G285" s="58">
        <f>IF($G$283="","",$G$283)</f>
        <v/>
      </c>
      <c r="H285" s="59" t="n"/>
      <c r="I285" s="59" t="n"/>
      <c r="J285" s="59" t="n"/>
      <c r="K285" s="59" t="n"/>
      <c r="L285" s="65">
        <f>IF(SUM(U285:AY285)=0,"",SUM(U285:AY285))</f>
        <v/>
      </c>
      <c r="M285" s="66">
        <f>IFERROR(INDEX(U$2:AY$2,MATCH(TRUE,INDEX(U285:AY285&lt;&gt;"",0),0)),"")</f>
        <v/>
      </c>
      <c r="N285" s="66">
        <f>IFERROR(LOOKUP(2,1/(U285:AY285&lt;&gt;""),U$2:AY$2),"")</f>
        <v/>
      </c>
      <c r="O285" s="59" t="n"/>
      <c r="P285" s="59" t="n"/>
      <c r="Q285" s="59" t="n"/>
      <c r="R285" s="59" t="n"/>
      <c r="S285" s="14" t="n"/>
      <c r="U285" s="53" t="n"/>
      <c r="V285" s="53" t="n"/>
      <c r="W285" s="53" t="n"/>
      <c r="X285" s="53" t="n"/>
      <c r="Y285" s="53" t="n"/>
      <c r="Z285" s="53" t="n"/>
      <c r="AA285" s="53" t="n"/>
      <c r="AB285" s="53" t="n"/>
      <c r="AC285" s="53" t="n"/>
      <c r="AD285" s="53" t="n"/>
      <c r="AE285" s="53" t="n"/>
      <c r="AF285" s="53" t="n"/>
      <c r="AG285" s="53" t="n"/>
      <c r="AH285" s="53" t="n"/>
      <c r="AI285" s="53" t="n"/>
      <c r="AJ285" s="53" t="n"/>
      <c r="AK285" s="53" t="n"/>
      <c r="AL285" s="53" t="n"/>
      <c r="AM285" s="53" t="n"/>
      <c r="AN285" s="53" t="n"/>
      <c r="AO285" s="53" t="n"/>
      <c r="AP285" s="53" t="n"/>
      <c r="AQ285" s="53" t="n"/>
      <c r="AR285" s="53" t="n"/>
      <c r="AS285" s="53" t="n"/>
      <c r="AT285" s="53" t="n"/>
      <c r="AU285" s="53" t="n"/>
      <c r="AV285" s="53" t="n"/>
      <c r="AW285" s="53" t="n"/>
      <c r="AX285" s="53" t="n"/>
      <c r="AY285" s="53" t="n"/>
    </row>
    <row r="286" ht="15" customHeight="1">
      <c r="A286" s="40">
        <f>IF($D$286="","",92)</f>
        <v/>
      </c>
      <c r="B286" s="10" t="n"/>
      <c r="C286" s="41" t="inlineStr">
        <is>
          <t>기타</t>
        </is>
      </c>
      <c r="D286" s="42" t="n"/>
      <c r="E286" s="43" t="inlineStr">
        <is>
          <t>기획</t>
        </is>
      </c>
      <c r="F286" s="44" t="n"/>
      <c r="G286" s="45" t="n"/>
      <c r="H286" s="46">
        <f>IF($I$286="","",IF($I$286&lt;0,"🔴지연",IF($I$286&lt;=1,"🟡임박","🟢여유")))</f>
        <v/>
      </c>
      <c r="I286" s="47">
        <f>IF(OR($G$286="",$K$286=""),"",$G$286-$K$286)</f>
        <v/>
      </c>
      <c r="J286" s="48">
        <f>IF(SUM($L$286:$L$288)=0,"",SUM($L$286:$L$288))</f>
        <v/>
      </c>
      <c r="K286" s="49">
        <f>IF($J$286="","",MAX($N$286:$N$288))</f>
        <v/>
      </c>
      <c r="L286" s="50">
        <f>IF(SUM(U286:AY286)=0,"",SUM(U286:AY286))</f>
        <v/>
      </c>
      <c r="M286" s="51">
        <f>IFERROR(INDEX(U$2:AY$2,MATCH(TRUE,INDEX(U286:AY286&lt;&gt;"",0),0)),"")</f>
        <v/>
      </c>
      <c r="N286" s="51">
        <f>IFERROR(LOOKUP(2,1/(U286:AY286&lt;&gt;""),U$2:AY$2),"")</f>
        <v/>
      </c>
      <c r="O286" s="52" t="n"/>
      <c r="P286" s="52" t="n"/>
      <c r="Q286" s="52" t="n"/>
      <c r="R286" s="44" t="n"/>
      <c r="S286" s="14" t="n"/>
      <c r="U286" s="53" t="n"/>
      <c r="V286" s="53" t="n"/>
      <c r="W286" s="53" t="n"/>
      <c r="X286" s="53" t="n"/>
      <c r="Y286" s="53" t="n"/>
      <c r="Z286" s="53" t="n"/>
      <c r="AA286" s="53" t="n"/>
      <c r="AB286" s="53" t="n"/>
      <c r="AC286" s="53" t="n"/>
      <c r="AD286" s="53" t="n"/>
      <c r="AE286" s="53" t="n"/>
      <c r="AF286" s="53" t="n"/>
      <c r="AG286" s="53" t="n"/>
      <c r="AH286" s="53" t="n"/>
      <c r="AI286" s="53" t="n"/>
      <c r="AJ286" s="53" t="n"/>
      <c r="AK286" s="53" t="n"/>
      <c r="AL286" s="53" t="n"/>
      <c r="AM286" s="53" t="n"/>
      <c r="AN286" s="53" t="n"/>
      <c r="AO286" s="53" t="n"/>
      <c r="AP286" s="53" t="n"/>
      <c r="AQ286" s="53" t="n"/>
      <c r="AR286" s="53" t="n"/>
      <c r="AS286" s="53" t="n"/>
      <c r="AT286" s="53" t="n"/>
      <c r="AU286" s="53" t="n"/>
      <c r="AV286" s="53" t="n"/>
      <c r="AW286" s="53" t="n"/>
      <c r="AX286" s="53" t="n"/>
      <c r="AY286" s="53" t="n"/>
    </row>
    <row r="287" ht="15" customHeight="1">
      <c r="A287" s="54" t="n"/>
      <c r="B287" s="55">
        <f>IF($B$286="","",$B$286)</f>
        <v/>
      </c>
      <c r="C287" s="56" t="inlineStr">
        <is>
          <t>기타</t>
        </is>
      </c>
      <c r="D287" s="55">
        <f>IF($D$286="","",$D$286)</f>
        <v/>
      </c>
      <c r="E287" s="57" t="inlineStr">
        <is>
          <t>이미지</t>
        </is>
      </c>
      <c r="F287" s="44" t="n"/>
      <c r="G287" s="58">
        <f>IF($G$286="","",$G$286)</f>
        <v/>
      </c>
      <c r="H287" s="59" t="n"/>
      <c r="I287" s="59" t="n"/>
      <c r="J287" s="59" t="n"/>
      <c r="K287" s="59" t="n"/>
      <c r="L287" s="60">
        <f>IF(SUM(U287:AY287)=0,"",SUM(U287:AY287))</f>
        <v/>
      </c>
      <c r="M287" s="61">
        <f>IFERROR(INDEX(U$2:AY$2,MATCH(TRUE,INDEX(U287:AY287&lt;&gt;"",0),0)),"")</f>
        <v/>
      </c>
      <c r="N287" s="61">
        <f>IFERROR(LOOKUP(2,1/(U287:AY287&lt;&gt;""),U$2:AY$2),"")</f>
        <v/>
      </c>
      <c r="O287" s="59" t="n"/>
      <c r="P287" s="59" t="n"/>
      <c r="Q287" s="59" t="n"/>
      <c r="R287" s="59" t="n"/>
      <c r="S287" s="14" t="n"/>
      <c r="U287" s="53" t="n"/>
      <c r="V287" s="53" t="n"/>
      <c r="W287" s="53" t="n"/>
      <c r="X287" s="53" t="n"/>
      <c r="Y287" s="53" t="n"/>
      <c r="Z287" s="53" t="n"/>
      <c r="AA287" s="53" t="n"/>
      <c r="AB287" s="53" t="n"/>
      <c r="AC287" s="53" t="n"/>
      <c r="AD287" s="53" t="n"/>
      <c r="AE287" s="53" t="n"/>
      <c r="AF287" s="53" t="n"/>
      <c r="AG287" s="53" t="n"/>
      <c r="AH287" s="53" t="n"/>
      <c r="AI287" s="53" t="n"/>
      <c r="AJ287" s="53" t="n"/>
      <c r="AK287" s="53" t="n"/>
      <c r="AL287" s="53" t="n"/>
      <c r="AM287" s="53" t="n"/>
      <c r="AN287" s="53" t="n"/>
      <c r="AO287" s="53" t="n"/>
      <c r="AP287" s="53" t="n"/>
      <c r="AQ287" s="53" t="n"/>
      <c r="AR287" s="53" t="n"/>
      <c r="AS287" s="53" t="n"/>
      <c r="AT287" s="53" t="n"/>
      <c r="AU287" s="53" t="n"/>
      <c r="AV287" s="53" t="n"/>
      <c r="AW287" s="53" t="n"/>
      <c r="AX287" s="53" t="n"/>
      <c r="AY287" s="53" t="n"/>
    </row>
    <row r="288" ht="15" customHeight="1">
      <c r="A288" s="62" t="n"/>
      <c r="B288" s="55">
        <f>IF($B$286="","",$B$286)</f>
        <v/>
      </c>
      <c r="C288" s="63" t="inlineStr">
        <is>
          <t>기타</t>
        </is>
      </c>
      <c r="D288" s="55">
        <f>IF($D$286="","",$D$286)</f>
        <v/>
      </c>
      <c r="E288" s="64" t="inlineStr">
        <is>
          <t>영상</t>
        </is>
      </c>
      <c r="F288" s="44" t="n"/>
      <c r="G288" s="58">
        <f>IF($G$286="","",$G$286)</f>
        <v/>
      </c>
      <c r="H288" s="59" t="n"/>
      <c r="I288" s="59" t="n"/>
      <c r="J288" s="59" t="n"/>
      <c r="K288" s="59" t="n"/>
      <c r="L288" s="65">
        <f>IF(SUM(U288:AY288)=0,"",SUM(U288:AY288))</f>
        <v/>
      </c>
      <c r="M288" s="66">
        <f>IFERROR(INDEX(U$2:AY$2,MATCH(TRUE,INDEX(U288:AY288&lt;&gt;"",0),0)),"")</f>
        <v/>
      </c>
      <c r="N288" s="66">
        <f>IFERROR(LOOKUP(2,1/(U288:AY288&lt;&gt;""),U$2:AY$2),"")</f>
        <v/>
      </c>
      <c r="O288" s="59" t="n"/>
      <c r="P288" s="59" t="n"/>
      <c r="Q288" s="59" t="n"/>
      <c r="R288" s="59" t="n"/>
      <c r="S288" s="14" t="n"/>
      <c r="U288" s="53" t="n"/>
      <c r="V288" s="53" t="n"/>
      <c r="W288" s="53" t="n"/>
      <c r="X288" s="53" t="n"/>
      <c r="Y288" s="53" t="n"/>
      <c r="Z288" s="53" t="n"/>
      <c r="AA288" s="53" t="n"/>
      <c r="AB288" s="53" t="n"/>
      <c r="AC288" s="53" t="n"/>
      <c r="AD288" s="53" t="n"/>
      <c r="AE288" s="53" t="n"/>
      <c r="AF288" s="53" t="n"/>
      <c r="AG288" s="53" t="n"/>
      <c r="AH288" s="53" t="n"/>
      <c r="AI288" s="53" t="n"/>
      <c r="AJ288" s="53" t="n"/>
      <c r="AK288" s="53" t="n"/>
      <c r="AL288" s="53" t="n"/>
      <c r="AM288" s="53" t="n"/>
      <c r="AN288" s="53" t="n"/>
      <c r="AO288" s="53" t="n"/>
      <c r="AP288" s="53" t="n"/>
      <c r="AQ288" s="53" t="n"/>
      <c r="AR288" s="53" t="n"/>
      <c r="AS288" s="53" t="n"/>
      <c r="AT288" s="53" t="n"/>
      <c r="AU288" s="53" t="n"/>
      <c r="AV288" s="53" t="n"/>
      <c r="AW288" s="53" t="n"/>
      <c r="AX288" s="53" t="n"/>
      <c r="AY288" s="53" t="n"/>
    </row>
    <row r="289" ht="15" customHeight="1">
      <c r="A289" s="40">
        <f>IF($D$289="","",93)</f>
        <v/>
      </c>
      <c r="B289" s="10" t="n"/>
      <c r="C289" s="41" t="inlineStr">
        <is>
          <t>기타</t>
        </is>
      </c>
      <c r="D289" s="42" t="n"/>
      <c r="E289" s="43" t="inlineStr">
        <is>
          <t>기획</t>
        </is>
      </c>
      <c r="F289" s="44" t="n"/>
      <c r="G289" s="45" t="n"/>
      <c r="H289" s="46">
        <f>IF($I$289="","",IF($I$289&lt;0,"🔴지연",IF($I$289&lt;=1,"🟡임박","🟢여유")))</f>
        <v/>
      </c>
      <c r="I289" s="47">
        <f>IF(OR($G$289="",$K$289=""),"",$G$289-$K$289)</f>
        <v/>
      </c>
      <c r="J289" s="48">
        <f>IF(SUM($L$289:$L$291)=0,"",SUM($L$289:$L$291))</f>
        <v/>
      </c>
      <c r="K289" s="49">
        <f>IF($J$289="","",MAX($N$289:$N$291))</f>
        <v/>
      </c>
      <c r="L289" s="50">
        <f>IF(SUM(U289:AY289)=0,"",SUM(U289:AY289))</f>
        <v/>
      </c>
      <c r="M289" s="51">
        <f>IFERROR(INDEX(U$2:AY$2,MATCH(TRUE,INDEX(U289:AY289&lt;&gt;"",0),0)),"")</f>
        <v/>
      </c>
      <c r="N289" s="51">
        <f>IFERROR(LOOKUP(2,1/(U289:AY289&lt;&gt;""),U$2:AY$2),"")</f>
        <v/>
      </c>
      <c r="O289" s="52" t="n"/>
      <c r="P289" s="52" t="n"/>
      <c r="Q289" s="52" t="n"/>
      <c r="R289" s="44" t="n"/>
      <c r="S289" s="14" t="n"/>
      <c r="U289" s="53" t="n"/>
      <c r="V289" s="53" t="n"/>
      <c r="W289" s="53" t="n"/>
      <c r="X289" s="53" t="n"/>
      <c r="Y289" s="53" t="n"/>
      <c r="Z289" s="53" t="n"/>
      <c r="AA289" s="53" t="n"/>
      <c r="AB289" s="53" t="n"/>
      <c r="AC289" s="53" t="n"/>
      <c r="AD289" s="53" t="n"/>
      <c r="AE289" s="53" t="n"/>
      <c r="AF289" s="53" t="n"/>
      <c r="AG289" s="53" t="n"/>
      <c r="AH289" s="53" t="n"/>
      <c r="AI289" s="53" t="n"/>
      <c r="AJ289" s="53" t="n"/>
      <c r="AK289" s="53" t="n"/>
      <c r="AL289" s="53" t="n"/>
      <c r="AM289" s="53" t="n"/>
      <c r="AN289" s="53" t="n"/>
      <c r="AO289" s="53" t="n"/>
      <c r="AP289" s="53" t="n"/>
      <c r="AQ289" s="53" t="n"/>
      <c r="AR289" s="53" t="n"/>
      <c r="AS289" s="53" t="n"/>
      <c r="AT289" s="53" t="n"/>
      <c r="AU289" s="53" t="n"/>
      <c r="AV289" s="53" t="n"/>
      <c r="AW289" s="53" t="n"/>
      <c r="AX289" s="53" t="n"/>
      <c r="AY289" s="53" t="n"/>
    </row>
    <row r="290" ht="15" customHeight="1">
      <c r="A290" s="54" t="n"/>
      <c r="B290" s="55">
        <f>IF($B$289="","",$B$289)</f>
        <v/>
      </c>
      <c r="C290" s="56" t="inlineStr">
        <is>
          <t>기타</t>
        </is>
      </c>
      <c r="D290" s="55">
        <f>IF($D$289="","",$D$289)</f>
        <v/>
      </c>
      <c r="E290" s="57" t="inlineStr">
        <is>
          <t>이미지</t>
        </is>
      </c>
      <c r="F290" s="44" t="n"/>
      <c r="G290" s="58">
        <f>IF($G$289="","",$G$289)</f>
        <v/>
      </c>
      <c r="H290" s="59" t="n"/>
      <c r="I290" s="59" t="n"/>
      <c r="J290" s="59" t="n"/>
      <c r="K290" s="59" t="n"/>
      <c r="L290" s="60">
        <f>IF(SUM(U290:AY290)=0,"",SUM(U290:AY290))</f>
        <v/>
      </c>
      <c r="M290" s="61">
        <f>IFERROR(INDEX(U$2:AY$2,MATCH(TRUE,INDEX(U290:AY290&lt;&gt;"",0),0)),"")</f>
        <v/>
      </c>
      <c r="N290" s="61">
        <f>IFERROR(LOOKUP(2,1/(U290:AY290&lt;&gt;""),U$2:AY$2),"")</f>
        <v/>
      </c>
      <c r="O290" s="59" t="n"/>
      <c r="P290" s="59" t="n"/>
      <c r="Q290" s="59" t="n"/>
      <c r="R290" s="59" t="n"/>
      <c r="S290" s="14" t="n"/>
      <c r="U290" s="53" t="n"/>
      <c r="V290" s="53" t="n"/>
      <c r="W290" s="53" t="n"/>
      <c r="X290" s="53" t="n"/>
      <c r="Y290" s="53" t="n"/>
      <c r="Z290" s="53" t="n"/>
      <c r="AA290" s="53" t="n"/>
      <c r="AB290" s="53" t="n"/>
      <c r="AC290" s="53" t="n"/>
      <c r="AD290" s="53" t="n"/>
      <c r="AE290" s="53" t="n"/>
      <c r="AF290" s="53" t="n"/>
      <c r="AG290" s="53" t="n"/>
      <c r="AH290" s="53" t="n"/>
      <c r="AI290" s="53" t="n"/>
      <c r="AJ290" s="53" t="n"/>
      <c r="AK290" s="53" t="n"/>
      <c r="AL290" s="53" t="n"/>
      <c r="AM290" s="53" t="n"/>
      <c r="AN290" s="53" t="n"/>
      <c r="AO290" s="53" t="n"/>
      <c r="AP290" s="53" t="n"/>
      <c r="AQ290" s="53" t="n"/>
      <c r="AR290" s="53" t="n"/>
      <c r="AS290" s="53" t="n"/>
      <c r="AT290" s="53" t="n"/>
      <c r="AU290" s="53" t="n"/>
      <c r="AV290" s="53" t="n"/>
      <c r="AW290" s="53" t="n"/>
      <c r="AX290" s="53" t="n"/>
      <c r="AY290" s="53" t="n"/>
    </row>
    <row r="291" ht="15" customHeight="1">
      <c r="A291" s="62" t="n"/>
      <c r="B291" s="55">
        <f>IF($B$289="","",$B$289)</f>
        <v/>
      </c>
      <c r="C291" s="63" t="inlineStr">
        <is>
          <t>기타</t>
        </is>
      </c>
      <c r="D291" s="55">
        <f>IF($D$289="","",$D$289)</f>
        <v/>
      </c>
      <c r="E291" s="64" t="inlineStr">
        <is>
          <t>영상</t>
        </is>
      </c>
      <c r="F291" s="44" t="n"/>
      <c r="G291" s="58">
        <f>IF($G$289="","",$G$289)</f>
        <v/>
      </c>
      <c r="H291" s="59" t="n"/>
      <c r="I291" s="59" t="n"/>
      <c r="J291" s="59" t="n"/>
      <c r="K291" s="59" t="n"/>
      <c r="L291" s="65">
        <f>IF(SUM(U291:AY291)=0,"",SUM(U291:AY291))</f>
        <v/>
      </c>
      <c r="M291" s="66">
        <f>IFERROR(INDEX(U$2:AY$2,MATCH(TRUE,INDEX(U291:AY291&lt;&gt;"",0),0)),"")</f>
        <v/>
      </c>
      <c r="N291" s="66">
        <f>IFERROR(LOOKUP(2,1/(U291:AY291&lt;&gt;""),U$2:AY$2),"")</f>
        <v/>
      </c>
      <c r="O291" s="59" t="n"/>
      <c r="P291" s="59" t="n"/>
      <c r="Q291" s="59" t="n"/>
      <c r="R291" s="59" t="n"/>
      <c r="S291" s="14" t="n"/>
      <c r="U291" s="53" t="n"/>
      <c r="V291" s="53" t="n"/>
      <c r="W291" s="53" t="n"/>
      <c r="X291" s="53" t="n"/>
      <c r="Y291" s="53" t="n"/>
      <c r="Z291" s="53" t="n"/>
      <c r="AA291" s="53" t="n"/>
      <c r="AB291" s="53" t="n"/>
      <c r="AC291" s="53" t="n"/>
      <c r="AD291" s="53" t="n"/>
      <c r="AE291" s="53" t="n"/>
      <c r="AF291" s="53" t="n"/>
      <c r="AG291" s="53" t="n"/>
      <c r="AH291" s="53" t="n"/>
      <c r="AI291" s="53" t="n"/>
      <c r="AJ291" s="53" t="n"/>
      <c r="AK291" s="53" t="n"/>
      <c r="AL291" s="53" t="n"/>
      <c r="AM291" s="53" t="n"/>
      <c r="AN291" s="53" t="n"/>
      <c r="AO291" s="53" t="n"/>
      <c r="AP291" s="53" t="n"/>
      <c r="AQ291" s="53" t="n"/>
      <c r="AR291" s="53" t="n"/>
      <c r="AS291" s="53" t="n"/>
      <c r="AT291" s="53" t="n"/>
      <c r="AU291" s="53" t="n"/>
      <c r="AV291" s="53" t="n"/>
      <c r="AW291" s="53" t="n"/>
      <c r="AX291" s="53" t="n"/>
      <c r="AY291" s="53" t="n"/>
    </row>
    <row r="292" ht="15" customHeight="1">
      <c r="A292" s="40">
        <f>IF($D$292="","",94)</f>
        <v/>
      </c>
      <c r="B292" s="10" t="n"/>
      <c r="C292" s="41" t="inlineStr">
        <is>
          <t>기타</t>
        </is>
      </c>
      <c r="D292" s="42" t="n"/>
      <c r="E292" s="43" t="inlineStr">
        <is>
          <t>기획</t>
        </is>
      </c>
      <c r="F292" s="44" t="n"/>
      <c r="G292" s="45" t="n"/>
      <c r="H292" s="46">
        <f>IF($I$292="","",IF($I$292&lt;0,"🔴지연",IF($I$292&lt;=1,"🟡임박","🟢여유")))</f>
        <v/>
      </c>
      <c r="I292" s="47">
        <f>IF(OR($G$292="",$K$292=""),"",$G$292-$K$292)</f>
        <v/>
      </c>
      <c r="J292" s="48">
        <f>IF(SUM($L$292:$L$294)=0,"",SUM($L$292:$L$294))</f>
        <v/>
      </c>
      <c r="K292" s="49">
        <f>IF($J$292="","",MAX($N$292:$N$294))</f>
        <v/>
      </c>
      <c r="L292" s="50">
        <f>IF(SUM(U292:AY292)=0,"",SUM(U292:AY292))</f>
        <v/>
      </c>
      <c r="M292" s="51">
        <f>IFERROR(INDEX(U$2:AY$2,MATCH(TRUE,INDEX(U292:AY292&lt;&gt;"",0),0)),"")</f>
        <v/>
      </c>
      <c r="N292" s="51">
        <f>IFERROR(LOOKUP(2,1/(U292:AY292&lt;&gt;""),U$2:AY$2),"")</f>
        <v/>
      </c>
      <c r="O292" s="52" t="n"/>
      <c r="P292" s="52" t="n"/>
      <c r="Q292" s="52" t="n"/>
      <c r="R292" s="44" t="n"/>
      <c r="S292" s="14" t="n"/>
      <c r="U292" s="53" t="n"/>
      <c r="V292" s="53" t="n"/>
      <c r="W292" s="53" t="n"/>
      <c r="X292" s="53" t="n"/>
      <c r="Y292" s="53" t="n"/>
      <c r="Z292" s="53" t="n"/>
      <c r="AA292" s="53" t="n"/>
      <c r="AB292" s="53" t="n"/>
      <c r="AC292" s="53" t="n"/>
      <c r="AD292" s="53" t="n"/>
      <c r="AE292" s="53" t="n"/>
      <c r="AF292" s="53" t="n"/>
      <c r="AG292" s="53" t="n"/>
      <c r="AH292" s="53" t="n"/>
      <c r="AI292" s="53" t="n"/>
      <c r="AJ292" s="53" t="n"/>
      <c r="AK292" s="53" t="n"/>
      <c r="AL292" s="53" t="n"/>
      <c r="AM292" s="53" t="n"/>
      <c r="AN292" s="53" t="n"/>
      <c r="AO292" s="53" t="n"/>
      <c r="AP292" s="53" t="n"/>
      <c r="AQ292" s="53" t="n"/>
      <c r="AR292" s="53" t="n"/>
      <c r="AS292" s="53" t="n"/>
      <c r="AT292" s="53" t="n"/>
      <c r="AU292" s="53" t="n"/>
      <c r="AV292" s="53" t="n"/>
      <c r="AW292" s="53" t="n"/>
      <c r="AX292" s="53" t="n"/>
      <c r="AY292" s="53" t="n"/>
    </row>
    <row r="293" ht="15" customHeight="1">
      <c r="A293" s="54" t="n"/>
      <c r="B293" s="55">
        <f>IF($B$292="","",$B$292)</f>
        <v/>
      </c>
      <c r="C293" s="56" t="inlineStr">
        <is>
          <t>기타</t>
        </is>
      </c>
      <c r="D293" s="55">
        <f>IF($D$292="","",$D$292)</f>
        <v/>
      </c>
      <c r="E293" s="57" t="inlineStr">
        <is>
          <t>이미지</t>
        </is>
      </c>
      <c r="F293" s="44" t="n"/>
      <c r="G293" s="58">
        <f>IF($G$292="","",$G$292)</f>
        <v/>
      </c>
      <c r="H293" s="59" t="n"/>
      <c r="I293" s="59" t="n"/>
      <c r="J293" s="59" t="n"/>
      <c r="K293" s="59" t="n"/>
      <c r="L293" s="60">
        <f>IF(SUM(U293:AY293)=0,"",SUM(U293:AY293))</f>
        <v/>
      </c>
      <c r="M293" s="61">
        <f>IFERROR(INDEX(U$2:AY$2,MATCH(TRUE,INDEX(U293:AY293&lt;&gt;"",0),0)),"")</f>
        <v/>
      </c>
      <c r="N293" s="61">
        <f>IFERROR(LOOKUP(2,1/(U293:AY293&lt;&gt;""),U$2:AY$2),"")</f>
        <v/>
      </c>
      <c r="O293" s="59" t="n"/>
      <c r="P293" s="59" t="n"/>
      <c r="Q293" s="59" t="n"/>
      <c r="R293" s="59" t="n"/>
      <c r="S293" s="14" t="n"/>
      <c r="U293" s="53" t="n"/>
      <c r="V293" s="53" t="n"/>
      <c r="W293" s="53" t="n"/>
      <c r="X293" s="53" t="n"/>
      <c r="Y293" s="53" t="n"/>
      <c r="Z293" s="53" t="n"/>
      <c r="AA293" s="53" t="n"/>
      <c r="AB293" s="53" t="n"/>
      <c r="AC293" s="53" t="n"/>
      <c r="AD293" s="53" t="n"/>
      <c r="AE293" s="53" t="n"/>
      <c r="AF293" s="53" t="n"/>
      <c r="AG293" s="53" t="n"/>
      <c r="AH293" s="53" t="n"/>
      <c r="AI293" s="53" t="n"/>
      <c r="AJ293" s="53" t="n"/>
      <c r="AK293" s="53" t="n"/>
      <c r="AL293" s="53" t="n"/>
      <c r="AM293" s="53" t="n"/>
      <c r="AN293" s="53" t="n"/>
      <c r="AO293" s="53" t="n"/>
      <c r="AP293" s="53" t="n"/>
      <c r="AQ293" s="53" t="n"/>
      <c r="AR293" s="53" t="n"/>
      <c r="AS293" s="53" t="n"/>
      <c r="AT293" s="53" t="n"/>
      <c r="AU293" s="53" t="n"/>
      <c r="AV293" s="53" t="n"/>
      <c r="AW293" s="53" t="n"/>
      <c r="AX293" s="53" t="n"/>
      <c r="AY293" s="53" t="n"/>
    </row>
    <row r="294" ht="15" customHeight="1">
      <c r="A294" s="62" t="n"/>
      <c r="B294" s="55">
        <f>IF($B$292="","",$B$292)</f>
        <v/>
      </c>
      <c r="C294" s="63" t="inlineStr">
        <is>
          <t>기타</t>
        </is>
      </c>
      <c r="D294" s="55">
        <f>IF($D$292="","",$D$292)</f>
        <v/>
      </c>
      <c r="E294" s="64" t="inlineStr">
        <is>
          <t>영상</t>
        </is>
      </c>
      <c r="F294" s="44" t="n"/>
      <c r="G294" s="58">
        <f>IF($G$292="","",$G$292)</f>
        <v/>
      </c>
      <c r="H294" s="59" t="n"/>
      <c r="I294" s="59" t="n"/>
      <c r="J294" s="59" t="n"/>
      <c r="K294" s="59" t="n"/>
      <c r="L294" s="65">
        <f>IF(SUM(U294:AY294)=0,"",SUM(U294:AY294))</f>
        <v/>
      </c>
      <c r="M294" s="66">
        <f>IFERROR(INDEX(U$2:AY$2,MATCH(TRUE,INDEX(U294:AY294&lt;&gt;"",0),0)),"")</f>
        <v/>
      </c>
      <c r="N294" s="66">
        <f>IFERROR(LOOKUP(2,1/(U294:AY294&lt;&gt;""),U$2:AY$2),"")</f>
        <v/>
      </c>
      <c r="O294" s="59" t="n"/>
      <c r="P294" s="59" t="n"/>
      <c r="Q294" s="59" t="n"/>
      <c r="R294" s="59" t="n"/>
      <c r="S294" s="14" t="n"/>
      <c r="U294" s="53" t="n"/>
      <c r="V294" s="53" t="n"/>
      <c r="W294" s="53" t="n"/>
      <c r="X294" s="53" t="n"/>
      <c r="Y294" s="53" t="n"/>
      <c r="Z294" s="53" t="n"/>
      <c r="AA294" s="53" t="n"/>
      <c r="AB294" s="53" t="n"/>
      <c r="AC294" s="53" t="n"/>
      <c r="AD294" s="53" t="n"/>
      <c r="AE294" s="53" t="n"/>
      <c r="AF294" s="53" t="n"/>
      <c r="AG294" s="53" t="n"/>
      <c r="AH294" s="53" t="n"/>
      <c r="AI294" s="53" t="n"/>
      <c r="AJ294" s="53" t="n"/>
      <c r="AK294" s="53" t="n"/>
      <c r="AL294" s="53" t="n"/>
      <c r="AM294" s="53" t="n"/>
      <c r="AN294" s="53" t="n"/>
      <c r="AO294" s="53" t="n"/>
      <c r="AP294" s="53" t="n"/>
      <c r="AQ294" s="53" t="n"/>
      <c r="AR294" s="53" t="n"/>
      <c r="AS294" s="53" t="n"/>
      <c r="AT294" s="53" t="n"/>
      <c r="AU294" s="53" t="n"/>
      <c r="AV294" s="53" t="n"/>
      <c r="AW294" s="53" t="n"/>
      <c r="AX294" s="53" t="n"/>
      <c r="AY294" s="53" t="n"/>
    </row>
    <row r="295" ht="15" customHeight="1">
      <c r="A295" s="40">
        <f>IF($D$295="","",95)</f>
        <v/>
      </c>
      <c r="B295" s="10" t="n"/>
      <c r="C295" s="41" t="inlineStr">
        <is>
          <t>기타</t>
        </is>
      </c>
      <c r="D295" s="42" t="n"/>
      <c r="E295" s="43" t="inlineStr">
        <is>
          <t>기획</t>
        </is>
      </c>
      <c r="F295" s="44" t="n"/>
      <c r="G295" s="45" t="n"/>
      <c r="H295" s="46">
        <f>IF($I$295="","",IF($I$295&lt;0,"🔴지연",IF($I$295&lt;=1,"🟡임박","🟢여유")))</f>
        <v/>
      </c>
      <c r="I295" s="47">
        <f>IF(OR($G$295="",$K$295=""),"",$G$295-$K$295)</f>
        <v/>
      </c>
      <c r="J295" s="48">
        <f>IF(SUM($L$295:$L$297)=0,"",SUM($L$295:$L$297))</f>
        <v/>
      </c>
      <c r="K295" s="49">
        <f>IF($J$295="","",MAX($N$295:$N$297))</f>
        <v/>
      </c>
      <c r="L295" s="50">
        <f>IF(SUM(U295:AY295)=0,"",SUM(U295:AY295))</f>
        <v/>
      </c>
      <c r="M295" s="51">
        <f>IFERROR(INDEX(U$2:AY$2,MATCH(TRUE,INDEX(U295:AY295&lt;&gt;"",0),0)),"")</f>
        <v/>
      </c>
      <c r="N295" s="51">
        <f>IFERROR(LOOKUP(2,1/(U295:AY295&lt;&gt;""),U$2:AY$2),"")</f>
        <v/>
      </c>
      <c r="O295" s="52" t="n"/>
      <c r="P295" s="52" t="n"/>
      <c r="Q295" s="52" t="n"/>
      <c r="R295" s="44" t="n"/>
      <c r="S295" s="14" t="n"/>
      <c r="U295" s="53" t="n"/>
      <c r="V295" s="53" t="n"/>
      <c r="W295" s="53" t="n"/>
      <c r="X295" s="53" t="n"/>
      <c r="Y295" s="53" t="n"/>
      <c r="Z295" s="53" t="n"/>
      <c r="AA295" s="53" t="n"/>
      <c r="AB295" s="53" t="n"/>
      <c r="AC295" s="53" t="n"/>
      <c r="AD295" s="53" t="n"/>
      <c r="AE295" s="53" t="n"/>
      <c r="AF295" s="53" t="n"/>
      <c r="AG295" s="53" t="n"/>
      <c r="AH295" s="53" t="n"/>
      <c r="AI295" s="53" t="n"/>
      <c r="AJ295" s="53" t="n"/>
      <c r="AK295" s="53" t="n"/>
      <c r="AL295" s="53" t="n"/>
      <c r="AM295" s="53" t="n"/>
      <c r="AN295" s="53" t="n"/>
      <c r="AO295" s="53" t="n"/>
      <c r="AP295" s="53" t="n"/>
      <c r="AQ295" s="53" t="n"/>
      <c r="AR295" s="53" t="n"/>
      <c r="AS295" s="53" t="n"/>
      <c r="AT295" s="53" t="n"/>
      <c r="AU295" s="53" t="n"/>
      <c r="AV295" s="53" t="n"/>
      <c r="AW295" s="53" t="n"/>
      <c r="AX295" s="53" t="n"/>
      <c r="AY295" s="53" t="n"/>
    </row>
    <row r="296" ht="15" customHeight="1">
      <c r="A296" s="54" t="n"/>
      <c r="B296" s="55">
        <f>IF($B$295="","",$B$295)</f>
        <v/>
      </c>
      <c r="C296" s="56" t="inlineStr">
        <is>
          <t>기타</t>
        </is>
      </c>
      <c r="D296" s="55">
        <f>IF($D$295="","",$D$295)</f>
        <v/>
      </c>
      <c r="E296" s="57" t="inlineStr">
        <is>
          <t>이미지</t>
        </is>
      </c>
      <c r="F296" s="44" t="n"/>
      <c r="G296" s="58">
        <f>IF($G$295="","",$G$295)</f>
        <v/>
      </c>
      <c r="H296" s="59" t="n"/>
      <c r="I296" s="59" t="n"/>
      <c r="J296" s="59" t="n"/>
      <c r="K296" s="59" t="n"/>
      <c r="L296" s="60">
        <f>IF(SUM(U296:AY296)=0,"",SUM(U296:AY296))</f>
        <v/>
      </c>
      <c r="M296" s="61">
        <f>IFERROR(INDEX(U$2:AY$2,MATCH(TRUE,INDEX(U296:AY296&lt;&gt;"",0),0)),"")</f>
        <v/>
      </c>
      <c r="N296" s="61">
        <f>IFERROR(LOOKUP(2,1/(U296:AY296&lt;&gt;""),U$2:AY$2),"")</f>
        <v/>
      </c>
      <c r="O296" s="59" t="n"/>
      <c r="P296" s="59" t="n"/>
      <c r="Q296" s="59" t="n"/>
      <c r="R296" s="59" t="n"/>
      <c r="S296" s="14" t="n"/>
      <c r="U296" s="53" t="n"/>
      <c r="V296" s="53" t="n"/>
      <c r="W296" s="53" t="n"/>
      <c r="X296" s="53" t="n"/>
      <c r="Y296" s="53" t="n"/>
      <c r="Z296" s="53" t="n"/>
      <c r="AA296" s="53" t="n"/>
      <c r="AB296" s="53" t="n"/>
      <c r="AC296" s="53" t="n"/>
      <c r="AD296" s="53" t="n"/>
      <c r="AE296" s="53" t="n"/>
      <c r="AF296" s="53" t="n"/>
      <c r="AG296" s="53" t="n"/>
      <c r="AH296" s="53" t="n"/>
      <c r="AI296" s="53" t="n"/>
      <c r="AJ296" s="53" t="n"/>
      <c r="AK296" s="53" t="n"/>
      <c r="AL296" s="53" t="n"/>
      <c r="AM296" s="53" t="n"/>
      <c r="AN296" s="53" t="n"/>
      <c r="AO296" s="53" t="n"/>
      <c r="AP296" s="53" t="n"/>
      <c r="AQ296" s="53" t="n"/>
      <c r="AR296" s="53" t="n"/>
      <c r="AS296" s="53" t="n"/>
      <c r="AT296" s="53" t="n"/>
      <c r="AU296" s="53" t="n"/>
      <c r="AV296" s="53" t="n"/>
      <c r="AW296" s="53" t="n"/>
      <c r="AX296" s="53" t="n"/>
      <c r="AY296" s="53" t="n"/>
    </row>
    <row r="297" ht="15" customHeight="1">
      <c r="A297" s="62" t="n"/>
      <c r="B297" s="55">
        <f>IF($B$295="","",$B$295)</f>
        <v/>
      </c>
      <c r="C297" s="63" t="inlineStr">
        <is>
          <t>기타</t>
        </is>
      </c>
      <c r="D297" s="55">
        <f>IF($D$295="","",$D$295)</f>
        <v/>
      </c>
      <c r="E297" s="64" t="inlineStr">
        <is>
          <t>영상</t>
        </is>
      </c>
      <c r="F297" s="44" t="n"/>
      <c r="G297" s="58">
        <f>IF($G$295="","",$G$295)</f>
        <v/>
      </c>
      <c r="H297" s="59" t="n"/>
      <c r="I297" s="59" t="n"/>
      <c r="J297" s="59" t="n"/>
      <c r="K297" s="59" t="n"/>
      <c r="L297" s="65">
        <f>IF(SUM(U297:AY297)=0,"",SUM(U297:AY297))</f>
        <v/>
      </c>
      <c r="M297" s="66">
        <f>IFERROR(INDEX(U$2:AY$2,MATCH(TRUE,INDEX(U297:AY297&lt;&gt;"",0),0)),"")</f>
        <v/>
      </c>
      <c r="N297" s="66">
        <f>IFERROR(LOOKUP(2,1/(U297:AY297&lt;&gt;""),U$2:AY$2),"")</f>
        <v/>
      </c>
      <c r="O297" s="59" t="n"/>
      <c r="P297" s="59" t="n"/>
      <c r="Q297" s="59" t="n"/>
      <c r="R297" s="59" t="n"/>
      <c r="S297" s="14" t="n"/>
      <c r="U297" s="53" t="n"/>
      <c r="V297" s="53" t="n"/>
      <c r="W297" s="53" t="n"/>
      <c r="X297" s="53" t="n"/>
      <c r="Y297" s="53" t="n"/>
      <c r="Z297" s="53" t="n"/>
      <c r="AA297" s="53" t="n"/>
      <c r="AB297" s="53" t="n"/>
      <c r="AC297" s="53" t="n"/>
      <c r="AD297" s="53" t="n"/>
      <c r="AE297" s="53" t="n"/>
      <c r="AF297" s="53" t="n"/>
      <c r="AG297" s="53" t="n"/>
      <c r="AH297" s="53" t="n"/>
      <c r="AI297" s="53" t="n"/>
      <c r="AJ297" s="53" t="n"/>
      <c r="AK297" s="53" t="n"/>
      <c r="AL297" s="53" t="n"/>
      <c r="AM297" s="53" t="n"/>
      <c r="AN297" s="53" t="n"/>
      <c r="AO297" s="53" t="n"/>
      <c r="AP297" s="53" t="n"/>
      <c r="AQ297" s="53" t="n"/>
      <c r="AR297" s="53" t="n"/>
      <c r="AS297" s="53" t="n"/>
      <c r="AT297" s="53" t="n"/>
      <c r="AU297" s="53" t="n"/>
      <c r="AV297" s="53" t="n"/>
      <c r="AW297" s="53" t="n"/>
      <c r="AX297" s="53" t="n"/>
      <c r="AY297" s="53" t="n"/>
    </row>
    <row r="298" ht="15" customHeight="1">
      <c r="A298" s="40">
        <f>IF($D$298="","",96)</f>
        <v/>
      </c>
      <c r="B298" s="10" t="n"/>
      <c r="C298" s="41" t="inlineStr">
        <is>
          <t>기타</t>
        </is>
      </c>
      <c r="D298" s="42" t="n"/>
      <c r="E298" s="43" t="inlineStr">
        <is>
          <t>기획</t>
        </is>
      </c>
      <c r="F298" s="44" t="n"/>
      <c r="G298" s="45" t="n"/>
      <c r="H298" s="46">
        <f>IF($I$298="","",IF($I$298&lt;0,"🔴지연",IF($I$298&lt;=1,"🟡임박","🟢여유")))</f>
        <v/>
      </c>
      <c r="I298" s="47">
        <f>IF(OR($G$298="",$K$298=""),"",$G$298-$K$298)</f>
        <v/>
      </c>
      <c r="J298" s="48">
        <f>IF(SUM($L$298:$L$300)=0,"",SUM($L$298:$L$300))</f>
        <v/>
      </c>
      <c r="K298" s="49">
        <f>IF($J$298="","",MAX($N$298:$N$300))</f>
        <v/>
      </c>
      <c r="L298" s="50">
        <f>IF(SUM(U298:AY298)=0,"",SUM(U298:AY298))</f>
        <v/>
      </c>
      <c r="M298" s="51">
        <f>IFERROR(INDEX(U$2:AY$2,MATCH(TRUE,INDEX(U298:AY298&lt;&gt;"",0),0)),"")</f>
        <v/>
      </c>
      <c r="N298" s="51">
        <f>IFERROR(LOOKUP(2,1/(U298:AY298&lt;&gt;""),U$2:AY$2),"")</f>
        <v/>
      </c>
      <c r="O298" s="52" t="n"/>
      <c r="P298" s="52" t="n"/>
      <c r="Q298" s="52" t="n"/>
      <c r="R298" s="44" t="n"/>
      <c r="S298" s="14" t="n"/>
      <c r="U298" s="53" t="n"/>
      <c r="V298" s="53" t="n"/>
      <c r="W298" s="53" t="n"/>
      <c r="X298" s="53" t="n"/>
      <c r="Y298" s="53" t="n"/>
      <c r="Z298" s="53" t="n"/>
      <c r="AA298" s="53" t="n"/>
      <c r="AB298" s="53" t="n"/>
      <c r="AC298" s="53" t="n"/>
      <c r="AD298" s="53" t="n"/>
      <c r="AE298" s="53" t="n"/>
      <c r="AF298" s="53" t="n"/>
      <c r="AG298" s="53" t="n"/>
      <c r="AH298" s="53" t="n"/>
      <c r="AI298" s="53" t="n"/>
      <c r="AJ298" s="53" t="n"/>
      <c r="AK298" s="53" t="n"/>
      <c r="AL298" s="53" t="n"/>
      <c r="AM298" s="53" t="n"/>
      <c r="AN298" s="53" t="n"/>
      <c r="AO298" s="53" t="n"/>
      <c r="AP298" s="53" t="n"/>
      <c r="AQ298" s="53" t="n"/>
      <c r="AR298" s="53" t="n"/>
      <c r="AS298" s="53" t="n"/>
      <c r="AT298" s="53" t="n"/>
      <c r="AU298" s="53" t="n"/>
      <c r="AV298" s="53" t="n"/>
      <c r="AW298" s="53" t="n"/>
      <c r="AX298" s="53" t="n"/>
      <c r="AY298" s="53" t="n"/>
    </row>
    <row r="299" ht="15" customHeight="1">
      <c r="A299" s="54" t="n"/>
      <c r="B299" s="55">
        <f>IF($B$298="","",$B$298)</f>
        <v/>
      </c>
      <c r="C299" s="56" t="inlineStr">
        <is>
          <t>기타</t>
        </is>
      </c>
      <c r="D299" s="55">
        <f>IF($D$298="","",$D$298)</f>
        <v/>
      </c>
      <c r="E299" s="57" t="inlineStr">
        <is>
          <t>이미지</t>
        </is>
      </c>
      <c r="F299" s="44" t="n"/>
      <c r="G299" s="58">
        <f>IF($G$298="","",$G$298)</f>
        <v/>
      </c>
      <c r="H299" s="59" t="n"/>
      <c r="I299" s="59" t="n"/>
      <c r="J299" s="59" t="n"/>
      <c r="K299" s="59" t="n"/>
      <c r="L299" s="60">
        <f>IF(SUM(U299:AY299)=0,"",SUM(U299:AY299))</f>
        <v/>
      </c>
      <c r="M299" s="61">
        <f>IFERROR(INDEX(U$2:AY$2,MATCH(TRUE,INDEX(U299:AY299&lt;&gt;"",0),0)),"")</f>
        <v/>
      </c>
      <c r="N299" s="61">
        <f>IFERROR(LOOKUP(2,1/(U299:AY299&lt;&gt;""),U$2:AY$2),"")</f>
        <v/>
      </c>
      <c r="O299" s="59" t="n"/>
      <c r="P299" s="59" t="n"/>
      <c r="Q299" s="59" t="n"/>
      <c r="R299" s="59" t="n"/>
      <c r="S299" s="14" t="n"/>
      <c r="U299" s="53" t="n"/>
      <c r="V299" s="53" t="n"/>
      <c r="W299" s="53" t="n"/>
      <c r="X299" s="53" t="n"/>
      <c r="Y299" s="53" t="n"/>
      <c r="Z299" s="53" t="n"/>
      <c r="AA299" s="53" t="n"/>
      <c r="AB299" s="53" t="n"/>
      <c r="AC299" s="53" t="n"/>
      <c r="AD299" s="53" t="n"/>
      <c r="AE299" s="53" t="n"/>
      <c r="AF299" s="53" t="n"/>
      <c r="AG299" s="53" t="n"/>
      <c r="AH299" s="53" t="n"/>
      <c r="AI299" s="53" t="n"/>
      <c r="AJ299" s="53" t="n"/>
      <c r="AK299" s="53" t="n"/>
      <c r="AL299" s="53" t="n"/>
      <c r="AM299" s="53" t="n"/>
      <c r="AN299" s="53" t="n"/>
      <c r="AO299" s="53" t="n"/>
      <c r="AP299" s="53" t="n"/>
      <c r="AQ299" s="53" t="n"/>
      <c r="AR299" s="53" t="n"/>
      <c r="AS299" s="53" t="n"/>
      <c r="AT299" s="53" t="n"/>
      <c r="AU299" s="53" t="n"/>
      <c r="AV299" s="53" t="n"/>
      <c r="AW299" s="53" t="n"/>
      <c r="AX299" s="53" t="n"/>
      <c r="AY299" s="53" t="n"/>
    </row>
    <row r="300" ht="15" customHeight="1">
      <c r="A300" s="62" t="n"/>
      <c r="B300" s="55">
        <f>IF($B$298="","",$B$298)</f>
        <v/>
      </c>
      <c r="C300" s="63" t="inlineStr">
        <is>
          <t>기타</t>
        </is>
      </c>
      <c r="D300" s="55">
        <f>IF($D$298="","",$D$298)</f>
        <v/>
      </c>
      <c r="E300" s="64" t="inlineStr">
        <is>
          <t>영상</t>
        </is>
      </c>
      <c r="F300" s="44" t="n"/>
      <c r="G300" s="58">
        <f>IF($G$298="","",$G$298)</f>
        <v/>
      </c>
      <c r="H300" s="59" t="n"/>
      <c r="I300" s="59" t="n"/>
      <c r="J300" s="59" t="n"/>
      <c r="K300" s="59" t="n"/>
      <c r="L300" s="65">
        <f>IF(SUM(U300:AY300)=0,"",SUM(U300:AY300))</f>
        <v/>
      </c>
      <c r="M300" s="66">
        <f>IFERROR(INDEX(U$2:AY$2,MATCH(TRUE,INDEX(U300:AY300&lt;&gt;"",0),0)),"")</f>
        <v/>
      </c>
      <c r="N300" s="66">
        <f>IFERROR(LOOKUP(2,1/(U300:AY300&lt;&gt;""),U$2:AY$2),"")</f>
        <v/>
      </c>
      <c r="O300" s="59" t="n"/>
      <c r="P300" s="59" t="n"/>
      <c r="Q300" s="59" t="n"/>
      <c r="R300" s="59" t="n"/>
      <c r="S300" s="14" t="n"/>
      <c r="U300" s="53" t="n"/>
      <c r="V300" s="53" t="n"/>
      <c r="W300" s="53" t="n"/>
      <c r="X300" s="53" t="n"/>
      <c r="Y300" s="53" t="n"/>
      <c r="Z300" s="53" t="n"/>
      <c r="AA300" s="53" t="n"/>
      <c r="AB300" s="53" t="n"/>
      <c r="AC300" s="53" t="n"/>
      <c r="AD300" s="53" t="n"/>
      <c r="AE300" s="53" t="n"/>
      <c r="AF300" s="53" t="n"/>
      <c r="AG300" s="53" t="n"/>
      <c r="AH300" s="53" t="n"/>
      <c r="AI300" s="53" t="n"/>
      <c r="AJ300" s="53" t="n"/>
      <c r="AK300" s="53" t="n"/>
      <c r="AL300" s="53" t="n"/>
      <c r="AM300" s="53" t="n"/>
      <c r="AN300" s="53" t="n"/>
      <c r="AO300" s="53" t="n"/>
      <c r="AP300" s="53" t="n"/>
      <c r="AQ300" s="53" t="n"/>
      <c r="AR300" s="53" t="n"/>
      <c r="AS300" s="53" t="n"/>
      <c r="AT300" s="53" t="n"/>
      <c r="AU300" s="53" t="n"/>
      <c r="AV300" s="53" t="n"/>
      <c r="AW300" s="53" t="n"/>
      <c r="AX300" s="53" t="n"/>
      <c r="AY300" s="53" t="n"/>
    </row>
    <row r="301" ht="15" customHeight="1">
      <c r="A301" s="40">
        <f>IF($D$301="","",97)</f>
        <v/>
      </c>
      <c r="B301" s="10" t="n"/>
      <c r="C301" s="41" t="inlineStr">
        <is>
          <t>기타</t>
        </is>
      </c>
      <c r="D301" s="42" t="n"/>
      <c r="E301" s="43" t="inlineStr">
        <is>
          <t>기획</t>
        </is>
      </c>
      <c r="F301" s="44" t="n"/>
      <c r="G301" s="45" t="n"/>
      <c r="H301" s="46">
        <f>IF($I$301="","",IF($I$301&lt;0,"🔴지연",IF($I$301&lt;=1,"🟡임박","🟢여유")))</f>
        <v/>
      </c>
      <c r="I301" s="47">
        <f>IF(OR($G$301="",$K$301=""),"",$G$301-$K$301)</f>
        <v/>
      </c>
      <c r="J301" s="48">
        <f>IF(SUM($L$301:$L$303)=0,"",SUM($L$301:$L$303))</f>
        <v/>
      </c>
      <c r="K301" s="49">
        <f>IF($J$301="","",MAX($N$301:$N$303))</f>
        <v/>
      </c>
      <c r="L301" s="50">
        <f>IF(SUM(U301:AY301)=0,"",SUM(U301:AY301))</f>
        <v/>
      </c>
      <c r="M301" s="51">
        <f>IFERROR(INDEX(U$2:AY$2,MATCH(TRUE,INDEX(U301:AY301&lt;&gt;"",0),0)),"")</f>
        <v/>
      </c>
      <c r="N301" s="51">
        <f>IFERROR(LOOKUP(2,1/(U301:AY301&lt;&gt;""),U$2:AY$2),"")</f>
        <v/>
      </c>
      <c r="O301" s="52" t="n"/>
      <c r="P301" s="52" t="n"/>
      <c r="Q301" s="52" t="n"/>
      <c r="R301" s="44" t="n"/>
      <c r="S301" s="14" t="n"/>
      <c r="U301" s="53" t="n"/>
      <c r="V301" s="53" t="n"/>
      <c r="W301" s="53" t="n"/>
      <c r="X301" s="53" t="n"/>
      <c r="Y301" s="53" t="n"/>
      <c r="Z301" s="53" t="n"/>
      <c r="AA301" s="53" t="n"/>
      <c r="AB301" s="53" t="n"/>
      <c r="AC301" s="53" t="n"/>
      <c r="AD301" s="53" t="n"/>
      <c r="AE301" s="53" t="n"/>
      <c r="AF301" s="53" t="n"/>
      <c r="AG301" s="53" t="n"/>
      <c r="AH301" s="53" t="n"/>
      <c r="AI301" s="53" t="n"/>
      <c r="AJ301" s="53" t="n"/>
      <c r="AK301" s="53" t="n"/>
      <c r="AL301" s="53" t="n"/>
      <c r="AM301" s="53" t="n"/>
      <c r="AN301" s="53" t="n"/>
      <c r="AO301" s="53" t="n"/>
      <c r="AP301" s="53" t="n"/>
      <c r="AQ301" s="53" t="n"/>
      <c r="AR301" s="53" t="n"/>
      <c r="AS301" s="53" t="n"/>
      <c r="AT301" s="53" t="n"/>
      <c r="AU301" s="53" t="n"/>
      <c r="AV301" s="53" t="n"/>
      <c r="AW301" s="53" t="n"/>
      <c r="AX301" s="53" t="n"/>
      <c r="AY301" s="53" t="n"/>
    </row>
    <row r="302" ht="15" customHeight="1">
      <c r="A302" s="54" t="n"/>
      <c r="B302" s="55">
        <f>IF($B$301="","",$B$301)</f>
        <v/>
      </c>
      <c r="C302" s="56" t="inlineStr">
        <is>
          <t>기타</t>
        </is>
      </c>
      <c r="D302" s="55">
        <f>IF($D$301="","",$D$301)</f>
        <v/>
      </c>
      <c r="E302" s="57" t="inlineStr">
        <is>
          <t>이미지</t>
        </is>
      </c>
      <c r="F302" s="44" t="n"/>
      <c r="G302" s="58">
        <f>IF($G$301="","",$G$301)</f>
        <v/>
      </c>
      <c r="H302" s="59" t="n"/>
      <c r="I302" s="59" t="n"/>
      <c r="J302" s="59" t="n"/>
      <c r="K302" s="59" t="n"/>
      <c r="L302" s="60">
        <f>IF(SUM(U302:AY302)=0,"",SUM(U302:AY302))</f>
        <v/>
      </c>
      <c r="M302" s="61">
        <f>IFERROR(INDEX(U$2:AY$2,MATCH(TRUE,INDEX(U302:AY302&lt;&gt;"",0),0)),"")</f>
        <v/>
      </c>
      <c r="N302" s="61">
        <f>IFERROR(LOOKUP(2,1/(U302:AY302&lt;&gt;""),U$2:AY$2),"")</f>
        <v/>
      </c>
      <c r="O302" s="59" t="n"/>
      <c r="P302" s="59" t="n"/>
      <c r="Q302" s="59" t="n"/>
      <c r="R302" s="59" t="n"/>
      <c r="S302" s="14" t="n"/>
      <c r="U302" s="53" t="n"/>
      <c r="V302" s="53" t="n"/>
      <c r="W302" s="53" t="n"/>
      <c r="X302" s="53" t="n"/>
      <c r="Y302" s="53" t="n"/>
      <c r="Z302" s="53" t="n"/>
      <c r="AA302" s="53" t="n"/>
      <c r="AB302" s="53" t="n"/>
      <c r="AC302" s="53" t="n"/>
      <c r="AD302" s="53" t="n"/>
      <c r="AE302" s="53" t="n"/>
      <c r="AF302" s="53" t="n"/>
      <c r="AG302" s="53" t="n"/>
      <c r="AH302" s="53" t="n"/>
      <c r="AI302" s="53" t="n"/>
      <c r="AJ302" s="53" t="n"/>
      <c r="AK302" s="53" t="n"/>
      <c r="AL302" s="53" t="n"/>
      <c r="AM302" s="53" t="n"/>
      <c r="AN302" s="53" t="n"/>
      <c r="AO302" s="53" t="n"/>
      <c r="AP302" s="53" t="n"/>
      <c r="AQ302" s="53" t="n"/>
      <c r="AR302" s="53" t="n"/>
      <c r="AS302" s="53" t="n"/>
      <c r="AT302" s="53" t="n"/>
      <c r="AU302" s="53" t="n"/>
      <c r="AV302" s="53" t="n"/>
      <c r="AW302" s="53" t="n"/>
      <c r="AX302" s="53" t="n"/>
      <c r="AY302" s="53" t="n"/>
    </row>
    <row r="303" ht="15" customHeight="1">
      <c r="A303" s="62" t="n"/>
      <c r="B303" s="55">
        <f>IF($B$301="","",$B$301)</f>
        <v/>
      </c>
      <c r="C303" s="63" t="inlineStr">
        <is>
          <t>기타</t>
        </is>
      </c>
      <c r="D303" s="55">
        <f>IF($D$301="","",$D$301)</f>
        <v/>
      </c>
      <c r="E303" s="64" t="inlineStr">
        <is>
          <t>영상</t>
        </is>
      </c>
      <c r="F303" s="44" t="n"/>
      <c r="G303" s="58">
        <f>IF($G$301="","",$G$301)</f>
        <v/>
      </c>
      <c r="H303" s="59" t="n"/>
      <c r="I303" s="59" t="n"/>
      <c r="J303" s="59" t="n"/>
      <c r="K303" s="59" t="n"/>
      <c r="L303" s="65">
        <f>IF(SUM(U303:AY303)=0,"",SUM(U303:AY303))</f>
        <v/>
      </c>
      <c r="M303" s="66">
        <f>IFERROR(INDEX(U$2:AY$2,MATCH(TRUE,INDEX(U303:AY303&lt;&gt;"",0),0)),"")</f>
        <v/>
      </c>
      <c r="N303" s="66">
        <f>IFERROR(LOOKUP(2,1/(U303:AY303&lt;&gt;""),U$2:AY$2),"")</f>
        <v/>
      </c>
      <c r="O303" s="59" t="n"/>
      <c r="P303" s="59" t="n"/>
      <c r="Q303" s="59" t="n"/>
      <c r="R303" s="59" t="n"/>
      <c r="S303" s="14" t="n"/>
      <c r="U303" s="53" t="n"/>
      <c r="V303" s="53" t="n"/>
      <c r="W303" s="53" t="n"/>
      <c r="X303" s="53" t="n"/>
      <c r="Y303" s="53" t="n"/>
      <c r="Z303" s="53" t="n"/>
      <c r="AA303" s="53" t="n"/>
      <c r="AB303" s="53" t="n"/>
      <c r="AC303" s="53" t="n"/>
      <c r="AD303" s="53" t="n"/>
      <c r="AE303" s="53" t="n"/>
      <c r="AF303" s="53" t="n"/>
      <c r="AG303" s="53" t="n"/>
      <c r="AH303" s="53" t="n"/>
      <c r="AI303" s="53" t="n"/>
      <c r="AJ303" s="53" t="n"/>
      <c r="AK303" s="53" t="n"/>
      <c r="AL303" s="53" t="n"/>
      <c r="AM303" s="53" t="n"/>
      <c r="AN303" s="53" t="n"/>
      <c r="AO303" s="53" t="n"/>
      <c r="AP303" s="53" t="n"/>
      <c r="AQ303" s="53" t="n"/>
      <c r="AR303" s="53" t="n"/>
      <c r="AS303" s="53" t="n"/>
      <c r="AT303" s="53" t="n"/>
      <c r="AU303" s="53" t="n"/>
      <c r="AV303" s="53" t="n"/>
      <c r="AW303" s="53" t="n"/>
      <c r="AX303" s="53" t="n"/>
      <c r="AY303" s="53" t="n"/>
    </row>
    <row r="304" ht="15" customHeight="1">
      <c r="A304" s="40">
        <f>IF($D$304="","",98)</f>
        <v/>
      </c>
      <c r="B304" s="10" t="n"/>
      <c r="C304" s="41" t="inlineStr">
        <is>
          <t>기타</t>
        </is>
      </c>
      <c r="D304" s="42" t="n"/>
      <c r="E304" s="43" t="inlineStr">
        <is>
          <t>기획</t>
        </is>
      </c>
      <c r="F304" s="44" t="n"/>
      <c r="G304" s="45" t="n"/>
      <c r="H304" s="46">
        <f>IF($I$304="","",IF($I$304&lt;0,"🔴지연",IF($I$304&lt;=1,"🟡임박","🟢여유")))</f>
        <v/>
      </c>
      <c r="I304" s="47">
        <f>IF(OR($G$304="",$K$304=""),"",$G$304-$K$304)</f>
        <v/>
      </c>
      <c r="J304" s="48">
        <f>IF(SUM($L$304:$L$306)=0,"",SUM($L$304:$L$306))</f>
        <v/>
      </c>
      <c r="K304" s="49">
        <f>IF($J$304="","",MAX($N$304:$N$306))</f>
        <v/>
      </c>
      <c r="L304" s="50">
        <f>IF(SUM(U304:AY304)=0,"",SUM(U304:AY304))</f>
        <v/>
      </c>
      <c r="M304" s="51">
        <f>IFERROR(INDEX(U$2:AY$2,MATCH(TRUE,INDEX(U304:AY304&lt;&gt;"",0),0)),"")</f>
        <v/>
      </c>
      <c r="N304" s="51">
        <f>IFERROR(LOOKUP(2,1/(U304:AY304&lt;&gt;""),U$2:AY$2),"")</f>
        <v/>
      </c>
      <c r="O304" s="52" t="n"/>
      <c r="P304" s="52" t="n"/>
      <c r="Q304" s="52" t="n"/>
      <c r="R304" s="44" t="n"/>
      <c r="S304" s="14" t="n"/>
      <c r="U304" s="53" t="n"/>
      <c r="V304" s="53" t="n"/>
      <c r="W304" s="53" t="n"/>
      <c r="X304" s="53" t="n"/>
      <c r="Y304" s="53" t="n"/>
      <c r="Z304" s="53" t="n"/>
      <c r="AA304" s="53" t="n"/>
      <c r="AB304" s="53" t="n"/>
      <c r="AC304" s="53" t="n"/>
      <c r="AD304" s="53" t="n"/>
      <c r="AE304" s="53" t="n"/>
      <c r="AF304" s="53" t="n"/>
      <c r="AG304" s="53" t="n"/>
      <c r="AH304" s="53" t="n"/>
      <c r="AI304" s="53" t="n"/>
      <c r="AJ304" s="53" t="n"/>
      <c r="AK304" s="53" t="n"/>
      <c r="AL304" s="53" t="n"/>
      <c r="AM304" s="53" t="n"/>
      <c r="AN304" s="53" t="n"/>
      <c r="AO304" s="53" t="n"/>
      <c r="AP304" s="53" t="n"/>
      <c r="AQ304" s="53" t="n"/>
      <c r="AR304" s="53" t="n"/>
      <c r="AS304" s="53" t="n"/>
      <c r="AT304" s="53" t="n"/>
      <c r="AU304" s="53" t="n"/>
      <c r="AV304" s="53" t="n"/>
      <c r="AW304" s="53" t="n"/>
      <c r="AX304" s="53" t="n"/>
      <c r="AY304" s="53" t="n"/>
    </row>
    <row r="305" ht="15" customHeight="1">
      <c r="A305" s="54" t="n"/>
      <c r="B305" s="55">
        <f>IF($B$304="","",$B$304)</f>
        <v/>
      </c>
      <c r="C305" s="56" t="inlineStr">
        <is>
          <t>기타</t>
        </is>
      </c>
      <c r="D305" s="55">
        <f>IF($D$304="","",$D$304)</f>
        <v/>
      </c>
      <c r="E305" s="57" t="inlineStr">
        <is>
          <t>이미지</t>
        </is>
      </c>
      <c r="F305" s="44" t="n"/>
      <c r="G305" s="58">
        <f>IF($G$304="","",$G$304)</f>
        <v/>
      </c>
      <c r="H305" s="59" t="n"/>
      <c r="I305" s="59" t="n"/>
      <c r="J305" s="59" t="n"/>
      <c r="K305" s="59" t="n"/>
      <c r="L305" s="60">
        <f>IF(SUM(U305:AY305)=0,"",SUM(U305:AY305))</f>
        <v/>
      </c>
      <c r="M305" s="61">
        <f>IFERROR(INDEX(U$2:AY$2,MATCH(TRUE,INDEX(U305:AY305&lt;&gt;"",0),0)),"")</f>
        <v/>
      </c>
      <c r="N305" s="61">
        <f>IFERROR(LOOKUP(2,1/(U305:AY305&lt;&gt;""),U$2:AY$2),"")</f>
        <v/>
      </c>
      <c r="O305" s="59" t="n"/>
      <c r="P305" s="59" t="n"/>
      <c r="Q305" s="59" t="n"/>
      <c r="R305" s="59" t="n"/>
      <c r="S305" s="14" t="n"/>
      <c r="U305" s="53" t="n"/>
      <c r="V305" s="53" t="n"/>
      <c r="W305" s="53" t="n"/>
      <c r="X305" s="53" t="n"/>
      <c r="Y305" s="53" t="n"/>
      <c r="Z305" s="53" t="n"/>
      <c r="AA305" s="53" t="n"/>
      <c r="AB305" s="53" t="n"/>
      <c r="AC305" s="53" t="n"/>
      <c r="AD305" s="53" t="n"/>
      <c r="AE305" s="53" t="n"/>
      <c r="AF305" s="53" t="n"/>
      <c r="AG305" s="53" t="n"/>
      <c r="AH305" s="53" t="n"/>
      <c r="AI305" s="53" t="n"/>
      <c r="AJ305" s="53" t="n"/>
      <c r="AK305" s="53" t="n"/>
      <c r="AL305" s="53" t="n"/>
      <c r="AM305" s="53" t="n"/>
      <c r="AN305" s="53" t="n"/>
      <c r="AO305" s="53" t="n"/>
      <c r="AP305" s="53" t="n"/>
      <c r="AQ305" s="53" t="n"/>
      <c r="AR305" s="53" t="n"/>
      <c r="AS305" s="53" t="n"/>
      <c r="AT305" s="53" t="n"/>
      <c r="AU305" s="53" t="n"/>
      <c r="AV305" s="53" t="n"/>
      <c r="AW305" s="53" t="n"/>
      <c r="AX305" s="53" t="n"/>
      <c r="AY305" s="53" t="n"/>
    </row>
    <row r="306" ht="15" customHeight="1">
      <c r="A306" s="62" t="n"/>
      <c r="B306" s="55">
        <f>IF($B$304="","",$B$304)</f>
        <v/>
      </c>
      <c r="C306" s="63" t="inlineStr">
        <is>
          <t>기타</t>
        </is>
      </c>
      <c r="D306" s="55">
        <f>IF($D$304="","",$D$304)</f>
        <v/>
      </c>
      <c r="E306" s="64" t="inlineStr">
        <is>
          <t>영상</t>
        </is>
      </c>
      <c r="F306" s="44" t="n"/>
      <c r="G306" s="58">
        <f>IF($G$304="","",$G$304)</f>
        <v/>
      </c>
      <c r="H306" s="59" t="n"/>
      <c r="I306" s="59" t="n"/>
      <c r="J306" s="59" t="n"/>
      <c r="K306" s="59" t="n"/>
      <c r="L306" s="65">
        <f>IF(SUM(U306:AY306)=0,"",SUM(U306:AY306))</f>
        <v/>
      </c>
      <c r="M306" s="66">
        <f>IFERROR(INDEX(U$2:AY$2,MATCH(TRUE,INDEX(U306:AY306&lt;&gt;"",0),0)),"")</f>
        <v/>
      </c>
      <c r="N306" s="66">
        <f>IFERROR(LOOKUP(2,1/(U306:AY306&lt;&gt;""),U$2:AY$2),"")</f>
        <v/>
      </c>
      <c r="O306" s="59" t="n"/>
      <c r="P306" s="59" t="n"/>
      <c r="Q306" s="59" t="n"/>
      <c r="R306" s="59" t="n"/>
      <c r="S306" s="14" t="n"/>
      <c r="U306" s="53" t="n"/>
      <c r="V306" s="53" t="n"/>
      <c r="W306" s="53" t="n"/>
      <c r="X306" s="53" t="n"/>
      <c r="Y306" s="53" t="n"/>
      <c r="Z306" s="53" t="n"/>
      <c r="AA306" s="53" t="n"/>
      <c r="AB306" s="53" t="n"/>
      <c r="AC306" s="53" t="n"/>
      <c r="AD306" s="53" t="n"/>
      <c r="AE306" s="53" t="n"/>
      <c r="AF306" s="53" t="n"/>
      <c r="AG306" s="53" t="n"/>
      <c r="AH306" s="53" t="n"/>
      <c r="AI306" s="53" t="n"/>
      <c r="AJ306" s="53" t="n"/>
      <c r="AK306" s="53" t="n"/>
      <c r="AL306" s="53" t="n"/>
      <c r="AM306" s="53" t="n"/>
      <c r="AN306" s="53" t="n"/>
      <c r="AO306" s="53" t="n"/>
      <c r="AP306" s="53" t="n"/>
      <c r="AQ306" s="53" t="n"/>
      <c r="AR306" s="53" t="n"/>
      <c r="AS306" s="53" t="n"/>
      <c r="AT306" s="53" t="n"/>
      <c r="AU306" s="53" t="n"/>
      <c r="AV306" s="53" t="n"/>
      <c r="AW306" s="53" t="n"/>
      <c r="AX306" s="53" t="n"/>
      <c r="AY306" s="53" t="n"/>
    </row>
    <row r="307" ht="15" customHeight="1">
      <c r="A307" s="40">
        <f>IF($D$307="","",99)</f>
        <v/>
      </c>
      <c r="B307" s="10" t="n"/>
      <c r="C307" s="41" t="inlineStr">
        <is>
          <t>기타</t>
        </is>
      </c>
      <c r="D307" s="42" t="n"/>
      <c r="E307" s="43" t="inlineStr">
        <is>
          <t>기획</t>
        </is>
      </c>
      <c r="F307" s="44" t="n"/>
      <c r="G307" s="45" t="n"/>
      <c r="H307" s="46">
        <f>IF($I$307="","",IF($I$307&lt;0,"🔴지연",IF($I$307&lt;=1,"🟡임박","🟢여유")))</f>
        <v/>
      </c>
      <c r="I307" s="47">
        <f>IF(OR($G$307="",$K$307=""),"",$G$307-$K$307)</f>
        <v/>
      </c>
      <c r="J307" s="48">
        <f>IF(SUM($L$307:$L$309)=0,"",SUM($L$307:$L$309))</f>
        <v/>
      </c>
      <c r="K307" s="49">
        <f>IF($J$307="","",MAX($N$307:$N$309))</f>
        <v/>
      </c>
      <c r="L307" s="50">
        <f>IF(SUM(U307:AY307)=0,"",SUM(U307:AY307))</f>
        <v/>
      </c>
      <c r="M307" s="51">
        <f>IFERROR(INDEX(U$2:AY$2,MATCH(TRUE,INDEX(U307:AY307&lt;&gt;"",0),0)),"")</f>
        <v/>
      </c>
      <c r="N307" s="51">
        <f>IFERROR(LOOKUP(2,1/(U307:AY307&lt;&gt;""),U$2:AY$2),"")</f>
        <v/>
      </c>
      <c r="O307" s="52" t="n"/>
      <c r="P307" s="52" t="n"/>
      <c r="Q307" s="52" t="n"/>
      <c r="R307" s="44" t="n"/>
      <c r="S307" s="14" t="n"/>
      <c r="U307" s="53" t="n"/>
      <c r="V307" s="53" t="n"/>
      <c r="W307" s="53" t="n"/>
      <c r="X307" s="53" t="n"/>
      <c r="Y307" s="53" t="n"/>
      <c r="Z307" s="53" t="n"/>
      <c r="AA307" s="53" t="n"/>
      <c r="AB307" s="53" t="n"/>
      <c r="AC307" s="53" t="n"/>
      <c r="AD307" s="53" t="n"/>
      <c r="AE307" s="53" t="n"/>
      <c r="AF307" s="53" t="n"/>
      <c r="AG307" s="53" t="n"/>
      <c r="AH307" s="53" t="n"/>
      <c r="AI307" s="53" t="n"/>
      <c r="AJ307" s="53" t="n"/>
      <c r="AK307" s="53" t="n"/>
      <c r="AL307" s="53" t="n"/>
      <c r="AM307" s="53" t="n"/>
      <c r="AN307" s="53" t="n"/>
      <c r="AO307" s="53" t="n"/>
      <c r="AP307" s="53" t="n"/>
      <c r="AQ307" s="53" t="n"/>
      <c r="AR307" s="53" t="n"/>
      <c r="AS307" s="53" t="n"/>
      <c r="AT307" s="53" t="n"/>
      <c r="AU307" s="53" t="n"/>
      <c r="AV307" s="53" t="n"/>
      <c r="AW307" s="53" t="n"/>
      <c r="AX307" s="53" t="n"/>
      <c r="AY307" s="53" t="n"/>
    </row>
    <row r="308" ht="15" customHeight="1">
      <c r="A308" s="54" t="n"/>
      <c r="B308" s="55">
        <f>IF($B$307="","",$B$307)</f>
        <v/>
      </c>
      <c r="C308" s="56" t="inlineStr">
        <is>
          <t>기타</t>
        </is>
      </c>
      <c r="D308" s="55">
        <f>IF($D$307="","",$D$307)</f>
        <v/>
      </c>
      <c r="E308" s="57" t="inlineStr">
        <is>
          <t>이미지</t>
        </is>
      </c>
      <c r="F308" s="44" t="n"/>
      <c r="G308" s="58">
        <f>IF($G$307="","",$G$307)</f>
        <v/>
      </c>
      <c r="H308" s="59" t="n"/>
      <c r="I308" s="59" t="n"/>
      <c r="J308" s="59" t="n"/>
      <c r="K308" s="59" t="n"/>
      <c r="L308" s="60">
        <f>IF(SUM(U308:AY308)=0,"",SUM(U308:AY308))</f>
        <v/>
      </c>
      <c r="M308" s="61">
        <f>IFERROR(INDEX(U$2:AY$2,MATCH(TRUE,INDEX(U308:AY308&lt;&gt;"",0),0)),"")</f>
        <v/>
      </c>
      <c r="N308" s="61">
        <f>IFERROR(LOOKUP(2,1/(U308:AY308&lt;&gt;""),U$2:AY$2),"")</f>
        <v/>
      </c>
      <c r="O308" s="59" t="n"/>
      <c r="P308" s="59" t="n"/>
      <c r="Q308" s="59" t="n"/>
      <c r="R308" s="59" t="n"/>
      <c r="S308" s="14" t="n"/>
      <c r="U308" s="53" t="n"/>
      <c r="V308" s="53" t="n"/>
      <c r="W308" s="53" t="n"/>
      <c r="X308" s="53" t="n"/>
      <c r="Y308" s="53" t="n"/>
      <c r="Z308" s="53" t="n"/>
      <c r="AA308" s="53" t="n"/>
      <c r="AB308" s="53" t="n"/>
      <c r="AC308" s="53" t="n"/>
      <c r="AD308" s="53" t="n"/>
      <c r="AE308" s="53" t="n"/>
      <c r="AF308" s="53" t="n"/>
      <c r="AG308" s="53" t="n"/>
      <c r="AH308" s="53" t="n"/>
      <c r="AI308" s="53" t="n"/>
      <c r="AJ308" s="53" t="n"/>
      <c r="AK308" s="53" t="n"/>
      <c r="AL308" s="53" t="n"/>
      <c r="AM308" s="53" t="n"/>
      <c r="AN308" s="53" t="n"/>
      <c r="AO308" s="53" t="n"/>
      <c r="AP308" s="53" t="n"/>
      <c r="AQ308" s="53" t="n"/>
      <c r="AR308" s="53" t="n"/>
      <c r="AS308" s="53" t="n"/>
      <c r="AT308" s="53" t="n"/>
      <c r="AU308" s="53" t="n"/>
      <c r="AV308" s="53" t="n"/>
      <c r="AW308" s="53" t="n"/>
      <c r="AX308" s="53" t="n"/>
      <c r="AY308" s="53" t="n"/>
    </row>
    <row r="309" ht="15" customHeight="1">
      <c r="A309" s="62" t="n"/>
      <c r="B309" s="55">
        <f>IF($B$307="","",$B$307)</f>
        <v/>
      </c>
      <c r="C309" s="63" t="inlineStr">
        <is>
          <t>기타</t>
        </is>
      </c>
      <c r="D309" s="55">
        <f>IF($D$307="","",$D$307)</f>
        <v/>
      </c>
      <c r="E309" s="64" t="inlineStr">
        <is>
          <t>영상</t>
        </is>
      </c>
      <c r="F309" s="44" t="n"/>
      <c r="G309" s="58">
        <f>IF($G$307="","",$G$307)</f>
        <v/>
      </c>
      <c r="H309" s="59" t="n"/>
      <c r="I309" s="59" t="n"/>
      <c r="J309" s="59" t="n"/>
      <c r="K309" s="59" t="n"/>
      <c r="L309" s="65">
        <f>IF(SUM(U309:AY309)=0,"",SUM(U309:AY309))</f>
        <v/>
      </c>
      <c r="M309" s="66">
        <f>IFERROR(INDEX(U$2:AY$2,MATCH(TRUE,INDEX(U309:AY309&lt;&gt;"",0),0)),"")</f>
        <v/>
      </c>
      <c r="N309" s="66">
        <f>IFERROR(LOOKUP(2,1/(U309:AY309&lt;&gt;""),U$2:AY$2),"")</f>
        <v/>
      </c>
      <c r="O309" s="59" t="n"/>
      <c r="P309" s="59" t="n"/>
      <c r="Q309" s="59" t="n"/>
      <c r="R309" s="59" t="n"/>
      <c r="S309" s="14" t="n"/>
      <c r="U309" s="53" t="n"/>
      <c r="V309" s="53" t="n"/>
      <c r="W309" s="53" t="n"/>
      <c r="X309" s="53" t="n"/>
      <c r="Y309" s="53" t="n"/>
      <c r="Z309" s="53" t="n"/>
      <c r="AA309" s="53" t="n"/>
      <c r="AB309" s="53" t="n"/>
      <c r="AC309" s="53" t="n"/>
      <c r="AD309" s="53" t="n"/>
      <c r="AE309" s="53" t="n"/>
      <c r="AF309" s="53" t="n"/>
      <c r="AG309" s="53" t="n"/>
      <c r="AH309" s="53" t="n"/>
      <c r="AI309" s="53" t="n"/>
      <c r="AJ309" s="53" t="n"/>
      <c r="AK309" s="53" t="n"/>
      <c r="AL309" s="53" t="n"/>
      <c r="AM309" s="53" t="n"/>
      <c r="AN309" s="53" t="n"/>
      <c r="AO309" s="53" t="n"/>
      <c r="AP309" s="53" t="n"/>
      <c r="AQ309" s="53" t="n"/>
      <c r="AR309" s="53" t="n"/>
      <c r="AS309" s="53" t="n"/>
      <c r="AT309" s="53" t="n"/>
      <c r="AU309" s="53" t="n"/>
      <c r="AV309" s="53" t="n"/>
      <c r="AW309" s="53" t="n"/>
      <c r="AX309" s="53" t="n"/>
      <c r="AY309" s="53" t="n"/>
    </row>
    <row r="310" ht="15" customHeight="1">
      <c r="A310" s="40">
        <f>IF($D$310="","",100)</f>
        <v/>
      </c>
      <c r="B310" s="10" t="n"/>
      <c r="C310" s="41" t="inlineStr">
        <is>
          <t>기타</t>
        </is>
      </c>
      <c r="D310" s="42" t="n"/>
      <c r="E310" s="43" t="inlineStr">
        <is>
          <t>기획</t>
        </is>
      </c>
      <c r="F310" s="44" t="n"/>
      <c r="G310" s="45" t="n"/>
      <c r="H310" s="46">
        <f>IF($I$310="","",IF($I$310&lt;0,"🔴지연",IF($I$310&lt;=1,"🟡임박","🟢여유")))</f>
        <v/>
      </c>
      <c r="I310" s="47">
        <f>IF(OR($G$310="",$K$310=""),"",$G$310-$K$310)</f>
        <v/>
      </c>
      <c r="J310" s="48">
        <f>IF(SUM($L$310:$L$312)=0,"",SUM($L$310:$L$312))</f>
        <v/>
      </c>
      <c r="K310" s="49">
        <f>IF($J$310="","",MAX($N$310:$N$312))</f>
        <v/>
      </c>
      <c r="L310" s="50">
        <f>IF(SUM(U310:AY310)=0,"",SUM(U310:AY310))</f>
        <v/>
      </c>
      <c r="M310" s="51">
        <f>IFERROR(INDEX(U$2:AY$2,MATCH(TRUE,INDEX(U310:AY310&lt;&gt;"",0),0)),"")</f>
        <v/>
      </c>
      <c r="N310" s="51">
        <f>IFERROR(LOOKUP(2,1/(U310:AY310&lt;&gt;""),U$2:AY$2),"")</f>
        <v/>
      </c>
      <c r="O310" s="52" t="n"/>
      <c r="P310" s="52" t="n"/>
      <c r="Q310" s="52" t="n"/>
      <c r="R310" s="44" t="n"/>
      <c r="S310" s="14" t="n"/>
      <c r="U310" s="53" t="n"/>
      <c r="V310" s="53" t="n"/>
      <c r="W310" s="53" t="n"/>
      <c r="X310" s="53" t="n"/>
      <c r="Y310" s="53" t="n"/>
      <c r="Z310" s="53" t="n"/>
      <c r="AA310" s="53" t="n"/>
      <c r="AB310" s="53" t="n"/>
      <c r="AC310" s="53" t="n"/>
      <c r="AD310" s="53" t="n"/>
      <c r="AE310" s="53" t="n"/>
      <c r="AF310" s="53" t="n"/>
      <c r="AG310" s="53" t="n"/>
      <c r="AH310" s="53" t="n"/>
      <c r="AI310" s="53" t="n"/>
      <c r="AJ310" s="53" t="n"/>
      <c r="AK310" s="53" t="n"/>
      <c r="AL310" s="53" t="n"/>
      <c r="AM310" s="53" t="n"/>
      <c r="AN310" s="53" t="n"/>
      <c r="AO310" s="53" t="n"/>
      <c r="AP310" s="53" t="n"/>
      <c r="AQ310" s="53" t="n"/>
      <c r="AR310" s="53" t="n"/>
      <c r="AS310" s="53" t="n"/>
      <c r="AT310" s="53" t="n"/>
      <c r="AU310" s="53" t="n"/>
      <c r="AV310" s="53" t="n"/>
      <c r="AW310" s="53" t="n"/>
      <c r="AX310" s="53" t="n"/>
      <c r="AY310" s="53" t="n"/>
    </row>
    <row r="311" ht="15" customHeight="1">
      <c r="A311" s="54" t="n"/>
      <c r="B311" s="55">
        <f>IF($B$310="","",$B$310)</f>
        <v/>
      </c>
      <c r="C311" s="56" t="inlineStr">
        <is>
          <t>기타</t>
        </is>
      </c>
      <c r="D311" s="55">
        <f>IF($D$310="","",$D$310)</f>
        <v/>
      </c>
      <c r="E311" s="57" t="inlineStr">
        <is>
          <t>이미지</t>
        </is>
      </c>
      <c r="F311" s="44" t="n"/>
      <c r="G311" s="58">
        <f>IF($G$310="","",$G$310)</f>
        <v/>
      </c>
      <c r="H311" s="59" t="n"/>
      <c r="I311" s="59" t="n"/>
      <c r="J311" s="59" t="n"/>
      <c r="K311" s="59" t="n"/>
      <c r="L311" s="60">
        <f>IF(SUM(U311:AY311)=0,"",SUM(U311:AY311))</f>
        <v/>
      </c>
      <c r="M311" s="61">
        <f>IFERROR(INDEX(U$2:AY$2,MATCH(TRUE,INDEX(U311:AY311&lt;&gt;"",0),0)),"")</f>
        <v/>
      </c>
      <c r="N311" s="61">
        <f>IFERROR(LOOKUP(2,1/(U311:AY311&lt;&gt;""),U$2:AY$2),"")</f>
        <v/>
      </c>
      <c r="O311" s="59" t="n"/>
      <c r="P311" s="59" t="n"/>
      <c r="Q311" s="59" t="n"/>
      <c r="R311" s="59" t="n"/>
      <c r="S311" s="14" t="n"/>
      <c r="U311" s="53" t="n"/>
      <c r="V311" s="53" t="n"/>
      <c r="W311" s="53" t="n"/>
      <c r="X311" s="53" t="n"/>
      <c r="Y311" s="53" t="n"/>
      <c r="Z311" s="53" t="n"/>
      <c r="AA311" s="53" t="n"/>
      <c r="AB311" s="53" t="n"/>
      <c r="AC311" s="53" t="n"/>
      <c r="AD311" s="53" t="n"/>
      <c r="AE311" s="53" t="n"/>
      <c r="AF311" s="53" t="n"/>
      <c r="AG311" s="53" t="n"/>
      <c r="AH311" s="53" t="n"/>
      <c r="AI311" s="53" t="n"/>
      <c r="AJ311" s="53" t="n"/>
      <c r="AK311" s="53" t="n"/>
      <c r="AL311" s="53" t="n"/>
      <c r="AM311" s="53" t="n"/>
      <c r="AN311" s="53" t="n"/>
      <c r="AO311" s="53" t="n"/>
      <c r="AP311" s="53" t="n"/>
      <c r="AQ311" s="53" t="n"/>
      <c r="AR311" s="53" t="n"/>
      <c r="AS311" s="53" t="n"/>
      <c r="AT311" s="53" t="n"/>
      <c r="AU311" s="53" t="n"/>
      <c r="AV311" s="53" t="n"/>
      <c r="AW311" s="53" t="n"/>
      <c r="AX311" s="53" t="n"/>
      <c r="AY311" s="53" t="n"/>
    </row>
    <row r="312" ht="15" customHeight="1">
      <c r="A312" s="62" t="n"/>
      <c r="B312" s="55">
        <f>IF($B$310="","",$B$310)</f>
        <v/>
      </c>
      <c r="C312" s="63" t="inlineStr">
        <is>
          <t>기타</t>
        </is>
      </c>
      <c r="D312" s="55">
        <f>IF($D$310="","",$D$310)</f>
        <v/>
      </c>
      <c r="E312" s="64" t="inlineStr">
        <is>
          <t>영상</t>
        </is>
      </c>
      <c r="F312" s="44" t="n"/>
      <c r="G312" s="58">
        <f>IF($G$310="","",$G$310)</f>
        <v/>
      </c>
      <c r="H312" s="59" t="n"/>
      <c r="I312" s="59" t="n"/>
      <c r="J312" s="59" t="n"/>
      <c r="K312" s="59" t="n"/>
      <c r="L312" s="65">
        <f>IF(SUM(U312:AY312)=0,"",SUM(U312:AY312))</f>
        <v/>
      </c>
      <c r="M312" s="66">
        <f>IFERROR(INDEX(U$2:AY$2,MATCH(TRUE,INDEX(U312:AY312&lt;&gt;"",0),0)),"")</f>
        <v/>
      </c>
      <c r="N312" s="66">
        <f>IFERROR(LOOKUP(2,1/(U312:AY312&lt;&gt;""),U$2:AY$2),"")</f>
        <v/>
      </c>
      <c r="O312" s="59" t="n"/>
      <c r="P312" s="59" t="n"/>
      <c r="Q312" s="59" t="n"/>
      <c r="R312" s="59" t="n"/>
      <c r="S312" s="14" t="n"/>
      <c r="U312" s="53" t="n"/>
      <c r="V312" s="53" t="n"/>
      <c r="W312" s="53" t="n"/>
      <c r="X312" s="53" t="n"/>
      <c r="Y312" s="53" t="n"/>
      <c r="Z312" s="53" t="n"/>
      <c r="AA312" s="53" t="n"/>
      <c r="AB312" s="53" t="n"/>
      <c r="AC312" s="53" t="n"/>
      <c r="AD312" s="53" t="n"/>
      <c r="AE312" s="53" t="n"/>
      <c r="AF312" s="53" t="n"/>
      <c r="AG312" s="53" t="n"/>
      <c r="AH312" s="53" t="n"/>
      <c r="AI312" s="53" t="n"/>
      <c r="AJ312" s="53" t="n"/>
      <c r="AK312" s="53" t="n"/>
      <c r="AL312" s="53" t="n"/>
      <c r="AM312" s="53" t="n"/>
      <c r="AN312" s="53" t="n"/>
      <c r="AO312" s="53" t="n"/>
      <c r="AP312" s="53" t="n"/>
      <c r="AQ312" s="53" t="n"/>
      <c r="AR312" s="53" t="n"/>
      <c r="AS312" s="53" t="n"/>
      <c r="AT312" s="53" t="n"/>
      <c r="AU312" s="53" t="n"/>
      <c r="AV312" s="53" t="n"/>
      <c r="AW312" s="53" t="n"/>
      <c r="AX312" s="53" t="n"/>
      <c r="AY312" s="53" t="n"/>
    </row>
    <row r="315">
      <c r="A315" s="67" t="inlineStr">
        <is>
          <t>담당자 1일 캐파(MD)</t>
        </is>
      </c>
      <c r="B315" s="68">
        <f>'마스터'!$J$5</f>
        <v/>
      </c>
    </row>
    <row r="316">
      <c r="A316" s="67" t="inlineStr">
        <is>
          <t>공휴일(자동 연동)</t>
        </is>
      </c>
    </row>
    <row r="317">
      <c r="A317" s="67">
        <f>'마스터'!$I$13</f>
        <v/>
      </c>
      <c r="B317" s="69">
        <f>'마스터'!$J$13</f>
        <v/>
      </c>
    </row>
    <row r="318">
      <c r="A318" s="67">
        <f>'마스터'!$I$14</f>
        <v/>
      </c>
      <c r="B318" s="69">
        <f>'마스터'!$J$14</f>
        <v/>
      </c>
    </row>
    <row r="319">
      <c r="A319" s="67">
        <f>'마스터'!$I$15</f>
        <v/>
      </c>
      <c r="B319" s="69">
        <f>'마스터'!$J$15</f>
        <v/>
      </c>
    </row>
    <row r="320">
      <c r="A320" s="67">
        <f>'마스터'!$I$16</f>
        <v/>
      </c>
      <c r="B320" s="69">
        <f>'마스터'!$J$16</f>
        <v/>
      </c>
    </row>
    <row r="321">
      <c r="A321" s="67">
        <f>'마스터'!$I$17</f>
        <v/>
      </c>
      <c r="B321" s="69">
        <f>'마스터'!$J$17</f>
        <v/>
      </c>
    </row>
    <row r="322">
      <c r="A322" s="67">
        <f>'마스터'!$I$18</f>
        <v/>
      </c>
      <c r="B322" s="69">
        <f>'마스터'!$J$18</f>
        <v/>
      </c>
    </row>
    <row r="323">
      <c r="A323" s="67">
        <f>'마스터'!$I$19</f>
        <v/>
      </c>
      <c r="B323" s="69">
        <f>'마스터'!$J$19</f>
        <v/>
      </c>
    </row>
    <row r="324">
      <c r="A324" s="67">
        <f>'마스터'!$I$20</f>
        <v/>
      </c>
      <c r="B324" s="69">
        <f>'마스터'!$J$20</f>
        <v/>
      </c>
    </row>
    <row r="325">
      <c r="A325" s="67">
        <f>'마스터'!$I$21</f>
        <v/>
      </c>
      <c r="B325" s="69">
        <f>'마스터'!$J$21</f>
        <v/>
      </c>
    </row>
    <row r="326">
      <c r="A326" s="67">
        <f>'마스터'!$I$22</f>
        <v/>
      </c>
      <c r="B326" s="69">
        <f>'마스터'!$J$22</f>
        <v/>
      </c>
    </row>
    <row r="327">
      <c r="A327" s="67">
        <f>'마스터'!$I$23</f>
        <v/>
      </c>
      <c r="B327" s="69">
        <f>'마스터'!$J$23</f>
        <v/>
      </c>
    </row>
    <row r="328">
      <c r="A328" s="67">
        <f>'마스터'!$I$24</f>
        <v/>
      </c>
      <c r="B328" s="69">
        <f>'마스터'!$J$24</f>
        <v/>
      </c>
    </row>
    <row r="329">
      <c r="A329" s="67">
        <f>'마스터'!$I$25</f>
        <v/>
      </c>
      <c r="B329" s="69">
        <f>'마스터'!$J$25</f>
        <v/>
      </c>
    </row>
    <row r="330">
      <c r="A330" s="67">
        <f>'마스터'!$I$26</f>
        <v/>
      </c>
      <c r="B330" s="69">
        <f>'마스터'!$J$26</f>
        <v/>
      </c>
    </row>
    <row r="331">
      <c r="A331" s="67">
        <f>'마스터'!$I$27</f>
        <v/>
      </c>
      <c r="B331" s="69">
        <f>'마스터'!$J$27</f>
        <v/>
      </c>
    </row>
  </sheetData>
  <mergeCells count="16">
    <mergeCell ref="L1:N1"/>
    <mergeCell ref="A252:AY252"/>
    <mergeCell ref="O1:Q1"/>
    <mergeCell ref="A191:AY191"/>
    <mergeCell ref="A1:F1"/>
    <mergeCell ref="A5:F5"/>
    <mergeCell ref="A130:AY130"/>
    <mergeCell ref="G1:K1"/>
    <mergeCell ref="A8:AY8"/>
    <mergeCell ref="U1:AY1"/>
    <mergeCell ref="A6:F6"/>
    <mergeCell ref="A4:F4"/>
    <mergeCell ref="A3:F3"/>
    <mergeCell ref="A7:AY7"/>
    <mergeCell ref="A69:AY69"/>
    <mergeCell ref="R1:S1"/>
  </mergeCells>
  <conditionalFormatting sqref="U3:AY6">
    <cfRule type="expression" priority="1" dxfId="3">
      <formula>AND(U3&lt;&gt;"",U3&gt;$H3)</formula>
    </cfRule>
    <cfRule type="expression" priority="2" dxfId="4">
      <formula>AND(U3&gt;0,U3&gt;=$H3*0.8)</formula>
    </cfRule>
  </conditionalFormatting>
  <conditionalFormatting sqref="U3:AY312">
    <cfRule type="expression" priority="3" dxfId="5">
      <formula>U$2=""</formula>
    </cfRule>
    <cfRule type="expression" priority="4" dxfId="6">
      <formula>AND(U$2&lt;&gt;"",OR(WEEKDAY(U$2,2)&gt;5,COUNTIF($B$317:$B$331,U$2)&gt;0))</formula>
    </cfRule>
  </conditionalFormatting>
  <conditionalFormatting sqref="U9:AY312">
    <cfRule type="expression" priority="5" dxfId="7">
      <formula>AND(U9&lt;&gt;"",$G9&lt;&gt;"",U$2&lt;&gt;"",U$2&gt;$G9)</formula>
    </cfRule>
    <cfRule type="expression" priority="6" dxfId="8">
      <formula>AND($F9&lt;&gt;"",U9&lt;&gt;"",SUMIF($F$9:$F$312,$F9,U$9:U$312)&gt;$B$315)</formula>
    </cfRule>
    <cfRule type="expression" priority="7" dxfId="9">
      <formula>AND($E9="기획",U9&lt;&gt;"")</formula>
    </cfRule>
    <cfRule type="expression" priority="8" dxfId="10">
      <formula>AND($E9="이미지",U9&lt;&gt;"")</formula>
    </cfRule>
    <cfRule type="expression" priority="9" dxfId="11">
      <formula>AND($E9="영상",U9&lt;&gt;"")</formula>
    </cfRule>
  </conditionalFormatting>
  <conditionalFormatting sqref="H9:I312">
    <cfRule type="expression" priority="10" dxfId="12">
      <formula>AND($I9&lt;&gt;"",$I9&lt;0)</formula>
    </cfRule>
    <cfRule type="expression" priority="11" dxfId="13">
      <formula>AND($I9&lt;&gt;"",$I9&lt;=1)</formula>
    </cfRule>
    <cfRule type="expression" priority="12" dxfId="14">
      <formula>$I9&lt;&gt;""</formula>
    </cfRule>
  </conditionalFormatting>
  <dataValidations count="2">
    <dataValidation sqref="B9:B312" showDropDown="0" showInputMessage="0" showErrorMessage="0" allowBlank="1" type="list">
      <formula1>'마스터'!$A$3:$A$12</formula1>
    </dataValidation>
    <dataValidation sqref="R9:R312" showDropDown="0" showInputMessage="0" showErrorMessage="0" allowBlank="1" type="list">
      <formula1>'마스터'!$G$3:$G$6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F2A44"/>
    <outlinePr summaryBelow="1" summaryRight="1"/>
    <pageSetUpPr/>
  </sheetPr>
  <dimension ref="A1:AY331"/>
  <sheetViews>
    <sheetView workbookViewId="0">
      <pane xSplit="8" ySplit="8" topLeftCell="I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28" customWidth="1" min="4" max="4"/>
    <col width="8" customWidth="1" min="5" max="5"/>
    <col width="10" customWidth="1" min="6" max="6"/>
    <col width="11" customWidth="1" min="7" max="7"/>
    <col width="9" customWidth="1" min="8" max="8"/>
    <col width="8" customWidth="1" min="9" max="9"/>
    <col width="8" customWidth="1" min="10" max="10"/>
    <col width="11" customWidth="1" min="11" max="11"/>
    <col width="8" customWidth="1" min="12" max="12"/>
    <col width="10" customWidth="1" min="13" max="13"/>
    <col width="10" customWidth="1" min="14" max="14"/>
    <col width="6" customWidth="1" min="15" max="15"/>
    <col width="6" customWidth="1" min="16" max="16"/>
    <col width="6" customWidth="1" min="17" max="17"/>
    <col width="8" customWidth="1" min="18" max="18"/>
    <col width="16" customWidth="1" min="19" max="19"/>
    <col width="2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3.6" customWidth="1" min="33" max="33"/>
    <col width="3.6" customWidth="1" min="34" max="34"/>
    <col width="3.6" customWidth="1" min="35" max="35"/>
    <col width="3.6" customWidth="1" min="36" max="36"/>
    <col width="3.6" customWidth="1" min="37" max="37"/>
    <col width="3.6" customWidth="1" min="38" max="38"/>
    <col width="3.6" customWidth="1" min="39" max="39"/>
    <col width="3.6" customWidth="1" min="40" max="40"/>
    <col width="3.6" customWidth="1" min="41" max="41"/>
    <col width="3.6" customWidth="1" min="42" max="42"/>
    <col width="3.6" customWidth="1" min="43" max="43"/>
    <col width="3.6" customWidth="1" min="44" max="44"/>
    <col width="3.6" customWidth="1" min="45" max="45"/>
    <col width="3.6" customWidth="1" min="46" max="46"/>
    <col width="3.6" customWidth="1" min="47" max="47"/>
    <col width="3.6" customWidth="1" min="48" max="48"/>
    <col width="3.6" customWidth="1" min="49" max="49"/>
    <col width="3.6" customWidth="1" min="50" max="50"/>
    <col width="3.6" customWidth="1" min="51" max="51"/>
  </cols>
  <sheetData>
    <row r="1" ht="22" customHeight="1">
      <c r="A1" s="27" t="inlineStr">
        <is>
          <t>11월 소재 정보  (소재 1개 = 기획/이미지/영상 3줄)</t>
        </is>
      </c>
      <c r="B1" s="8" t="n"/>
      <c r="C1" s="8" t="n"/>
      <c r="D1" s="8" t="n"/>
      <c r="E1" s="8" t="n"/>
      <c r="F1" s="4" t="n"/>
      <c r="G1" s="28" t="inlineStr">
        <is>
          <t>고객사 전달일 기준 (자동)</t>
        </is>
      </c>
      <c r="H1" s="8" t="n"/>
      <c r="I1" s="8" t="n"/>
      <c r="J1" s="8" t="n"/>
      <c r="K1" s="4" t="n"/>
      <c r="L1" s="29" t="inlineStr">
        <is>
          <t>직군별 집계 (자동)</t>
        </is>
      </c>
      <c r="M1" s="8" t="n"/>
      <c r="N1" s="4" t="n"/>
      <c r="O1" s="30" t="inlineStr">
        <is>
          <t>수량 (소재당 1번)</t>
        </is>
      </c>
      <c r="P1" s="8" t="n"/>
      <c r="Q1" s="4" t="n"/>
      <c r="R1" s="31" t="inlineStr">
        <is>
          <t>관리</t>
        </is>
      </c>
      <c r="S1" s="4" t="n"/>
      <c r="U1" s="32" t="inlineStr">
        <is>
          <t>11월 간트 - 날짜 칸에 실제 MD 직접 입력   |   상단 4줄 = 일자별 직군 TO 상태</t>
        </is>
      </c>
      <c r="V1" s="8" t="n"/>
      <c r="W1" s="8" t="n"/>
      <c r="X1" s="8" t="n"/>
      <c r="Y1" s="8" t="n"/>
      <c r="Z1" s="8" t="n"/>
      <c r="AA1" s="8" t="n"/>
      <c r="AB1" s="8" t="n"/>
      <c r="AC1" s="8" t="n"/>
      <c r="AD1" s="8" t="n"/>
      <c r="AE1" s="8" t="n"/>
      <c r="AF1" s="8" t="n"/>
      <c r="AG1" s="8" t="n"/>
      <c r="AH1" s="8" t="n"/>
      <c r="AI1" s="8" t="n"/>
      <c r="AJ1" s="8" t="n"/>
      <c r="AK1" s="8" t="n"/>
      <c r="AL1" s="8" t="n"/>
      <c r="AM1" s="8" t="n"/>
      <c r="AN1" s="8" t="n"/>
      <c r="AO1" s="8" t="n"/>
      <c r="AP1" s="8" t="n"/>
      <c r="AQ1" s="8" t="n"/>
      <c r="AR1" s="8" t="n"/>
      <c r="AS1" s="8" t="n"/>
      <c r="AT1" s="8" t="n"/>
      <c r="AU1" s="8" t="n"/>
      <c r="AV1" s="8" t="n"/>
      <c r="AW1" s="8" t="n"/>
      <c r="AX1" s="8" t="n"/>
      <c r="AY1" s="4" t="n"/>
    </row>
    <row r="2" ht="30" customHeight="1">
      <c r="A2" s="17" t="inlineStr">
        <is>
          <t>No</t>
        </is>
      </c>
      <c r="B2" s="17" t="inlineStr">
        <is>
          <t>게임 타이틀</t>
        </is>
      </c>
      <c r="C2" s="17" t="inlineStr">
        <is>
          <t>고객팀</t>
        </is>
      </c>
      <c r="D2" s="17" t="inlineStr">
        <is>
          <t>소재명(업무명)</t>
        </is>
      </c>
      <c r="E2" s="17" t="inlineStr">
        <is>
          <t>직군</t>
        </is>
      </c>
      <c r="F2" s="17" t="inlineStr">
        <is>
          <t>담당자</t>
        </is>
      </c>
      <c r="G2" s="17" t="inlineStr">
        <is>
          <t>고객사
전달일</t>
        </is>
      </c>
      <c r="H2" s="17" t="inlineStr">
        <is>
          <t>신호</t>
        </is>
      </c>
      <c r="I2" s="17" t="inlineStr">
        <is>
          <t>전달일
여유</t>
        </is>
      </c>
      <c r="J2" s="17" t="inlineStr">
        <is>
          <t>소재
총MD</t>
        </is>
      </c>
      <c r="K2" s="17" t="inlineStr">
        <is>
          <t>소재
최종완료</t>
        </is>
      </c>
      <c r="L2" s="17" t="inlineStr">
        <is>
          <t>직군
MD</t>
        </is>
      </c>
      <c r="M2" s="17" t="inlineStr">
        <is>
          <t>직군
시작일</t>
        </is>
      </c>
      <c r="N2" s="17" t="inlineStr">
        <is>
          <t>직군
완료일</t>
        </is>
      </c>
      <c r="O2" s="17" t="inlineStr">
        <is>
          <t>영상
수</t>
        </is>
      </c>
      <c r="P2" s="17" t="inlineStr">
        <is>
          <t>사이즈
베리</t>
        </is>
      </c>
      <c r="Q2" s="17" t="inlineStr">
        <is>
          <t>다국어
베리</t>
        </is>
      </c>
      <c r="R2" s="17" t="inlineStr">
        <is>
          <t>상태</t>
        </is>
      </c>
      <c r="S2" s="17" t="inlineStr">
        <is>
          <t>비고</t>
        </is>
      </c>
      <c r="U2" s="33">
        <f>IF(MONTH(DATE('마스터'!$J$3,11,1)+0)=11,DATE('마스터'!$J$3,11,1)+0,"")</f>
        <v/>
      </c>
      <c r="V2" s="33">
        <f>IF(MONTH(DATE('마스터'!$J$3,11,1)+1)=11,DATE('마스터'!$J$3,11,1)+1,"")</f>
        <v/>
      </c>
      <c r="W2" s="33">
        <f>IF(MONTH(DATE('마스터'!$J$3,11,1)+2)=11,DATE('마스터'!$J$3,11,1)+2,"")</f>
        <v/>
      </c>
      <c r="X2" s="33">
        <f>IF(MONTH(DATE('마스터'!$J$3,11,1)+3)=11,DATE('마스터'!$J$3,11,1)+3,"")</f>
        <v/>
      </c>
      <c r="Y2" s="33">
        <f>IF(MONTH(DATE('마스터'!$J$3,11,1)+4)=11,DATE('마스터'!$J$3,11,1)+4,"")</f>
        <v/>
      </c>
      <c r="Z2" s="33">
        <f>IF(MONTH(DATE('마스터'!$J$3,11,1)+5)=11,DATE('마스터'!$J$3,11,1)+5,"")</f>
        <v/>
      </c>
      <c r="AA2" s="33">
        <f>IF(MONTH(DATE('마스터'!$J$3,11,1)+6)=11,DATE('마스터'!$J$3,11,1)+6,"")</f>
        <v/>
      </c>
      <c r="AB2" s="33">
        <f>IF(MONTH(DATE('마스터'!$J$3,11,1)+7)=11,DATE('마스터'!$J$3,11,1)+7,"")</f>
        <v/>
      </c>
      <c r="AC2" s="33">
        <f>IF(MONTH(DATE('마스터'!$J$3,11,1)+8)=11,DATE('마스터'!$J$3,11,1)+8,"")</f>
        <v/>
      </c>
      <c r="AD2" s="33">
        <f>IF(MONTH(DATE('마스터'!$J$3,11,1)+9)=11,DATE('마스터'!$J$3,11,1)+9,"")</f>
        <v/>
      </c>
      <c r="AE2" s="33">
        <f>IF(MONTH(DATE('마스터'!$J$3,11,1)+10)=11,DATE('마스터'!$J$3,11,1)+10,"")</f>
        <v/>
      </c>
      <c r="AF2" s="33">
        <f>IF(MONTH(DATE('마스터'!$J$3,11,1)+11)=11,DATE('마스터'!$J$3,11,1)+11,"")</f>
        <v/>
      </c>
      <c r="AG2" s="33">
        <f>IF(MONTH(DATE('마스터'!$J$3,11,1)+12)=11,DATE('마스터'!$J$3,11,1)+12,"")</f>
        <v/>
      </c>
      <c r="AH2" s="33">
        <f>IF(MONTH(DATE('마스터'!$J$3,11,1)+13)=11,DATE('마스터'!$J$3,11,1)+13,"")</f>
        <v/>
      </c>
      <c r="AI2" s="33">
        <f>IF(MONTH(DATE('마스터'!$J$3,11,1)+14)=11,DATE('마스터'!$J$3,11,1)+14,"")</f>
        <v/>
      </c>
      <c r="AJ2" s="33">
        <f>IF(MONTH(DATE('마스터'!$J$3,11,1)+15)=11,DATE('마스터'!$J$3,11,1)+15,"")</f>
        <v/>
      </c>
      <c r="AK2" s="33">
        <f>IF(MONTH(DATE('마스터'!$J$3,11,1)+16)=11,DATE('마스터'!$J$3,11,1)+16,"")</f>
        <v/>
      </c>
      <c r="AL2" s="33">
        <f>IF(MONTH(DATE('마스터'!$J$3,11,1)+17)=11,DATE('마스터'!$J$3,11,1)+17,"")</f>
        <v/>
      </c>
      <c r="AM2" s="33">
        <f>IF(MONTH(DATE('마스터'!$J$3,11,1)+18)=11,DATE('마스터'!$J$3,11,1)+18,"")</f>
        <v/>
      </c>
      <c r="AN2" s="33">
        <f>IF(MONTH(DATE('마스터'!$J$3,11,1)+19)=11,DATE('마스터'!$J$3,11,1)+19,"")</f>
        <v/>
      </c>
      <c r="AO2" s="33">
        <f>IF(MONTH(DATE('마스터'!$J$3,11,1)+20)=11,DATE('마스터'!$J$3,11,1)+20,"")</f>
        <v/>
      </c>
      <c r="AP2" s="33">
        <f>IF(MONTH(DATE('마스터'!$J$3,11,1)+21)=11,DATE('마스터'!$J$3,11,1)+21,"")</f>
        <v/>
      </c>
      <c r="AQ2" s="33">
        <f>IF(MONTH(DATE('마스터'!$J$3,11,1)+22)=11,DATE('마스터'!$J$3,11,1)+22,"")</f>
        <v/>
      </c>
      <c r="AR2" s="33">
        <f>IF(MONTH(DATE('마스터'!$J$3,11,1)+23)=11,DATE('마스터'!$J$3,11,1)+23,"")</f>
        <v/>
      </c>
      <c r="AS2" s="33">
        <f>IF(MONTH(DATE('마스터'!$J$3,11,1)+24)=11,DATE('마스터'!$J$3,11,1)+24,"")</f>
        <v/>
      </c>
      <c r="AT2" s="33">
        <f>IF(MONTH(DATE('마스터'!$J$3,11,1)+25)=11,DATE('마스터'!$J$3,11,1)+25,"")</f>
        <v/>
      </c>
      <c r="AU2" s="33">
        <f>IF(MONTH(DATE('마스터'!$J$3,11,1)+26)=11,DATE('마스터'!$J$3,11,1)+26,"")</f>
        <v/>
      </c>
      <c r="AV2" s="33">
        <f>IF(MONTH(DATE('마스터'!$J$3,11,1)+27)=11,DATE('마스터'!$J$3,11,1)+27,"")</f>
        <v/>
      </c>
      <c r="AW2" s="33">
        <f>IF(MONTH(DATE('마스터'!$J$3,11,1)+28)=11,DATE('마스터'!$J$3,11,1)+28,"")</f>
        <v/>
      </c>
      <c r="AX2" s="33">
        <f>IF(MONTH(DATE('마스터'!$J$3,11,1)+29)=11,DATE('마스터'!$J$3,11,1)+29,"")</f>
        <v/>
      </c>
      <c r="AY2" s="33">
        <f>IF(MONTH(DATE('마스터'!$J$3,11,1)+30)=11,DATE('마스터'!$J$3,11,1)+30,"")</f>
        <v/>
      </c>
    </row>
    <row r="3" ht="15" customHeight="1">
      <c r="A3" s="5" t="inlineStr">
        <is>
          <t>전체 TO (일자별 부하)</t>
        </is>
      </c>
      <c r="B3" s="8" t="n"/>
      <c r="C3" s="8" t="n"/>
      <c r="D3" s="8" t="n"/>
      <c r="E3" s="8" t="n"/>
      <c r="F3" s="4" t="n"/>
      <c r="G3" s="34" t="inlineStr">
        <is>
          <t>정원</t>
        </is>
      </c>
      <c r="H3" s="35">
        <f>SUM('마스터'!$J$8:$J$10)</f>
        <v/>
      </c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U3" s="37">
        <f>SUM(U$9:U$312)</f>
        <v/>
      </c>
      <c r="V3" s="37">
        <f>SUM(V$9:V$312)</f>
        <v/>
      </c>
      <c r="W3" s="37">
        <f>SUM(W$9:W$312)</f>
        <v/>
      </c>
      <c r="X3" s="37">
        <f>SUM(X$9:X$312)</f>
        <v/>
      </c>
      <c r="Y3" s="37">
        <f>SUM(Y$9:Y$312)</f>
        <v/>
      </c>
      <c r="Z3" s="37">
        <f>SUM(Z$9:Z$312)</f>
        <v/>
      </c>
      <c r="AA3" s="37">
        <f>SUM(AA$9:AA$312)</f>
        <v/>
      </c>
      <c r="AB3" s="37">
        <f>SUM(AB$9:AB$312)</f>
        <v/>
      </c>
      <c r="AC3" s="37">
        <f>SUM(AC$9:AC$312)</f>
        <v/>
      </c>
      <c r="AD3" s="37">
        <f>SUM(AD$9:AD$312)</f>
        <v/>
      </c>
      <c r="AE3" s="37">
        <f>SUM(AE$9:AE$312)</f>
        <v/>
      </c>
      <c r="AF3" s="37">
        <f>SUM(AF$9:AF$312)</f>
        <v/>
      </c>
      <c r="AG3" s="37">
        <f>SUM(AG$9:AG$312)</f>
        <v/>
      </c>
      <c r="AH3" s="37">
        <f>SUM(AH$9:AH$312)</f>
        <v/>
      </c>
      <c r="AI3" s="37">
        <f>SUM(AI$9:AI$312)</f>
        <v/>
      </c>
      <c r="AJ3" s="37">
        <f>SUM(AJ$9:AJ$312)</f>
        <v/>
      </c>
      <c r="AK3" s="37">
        <f>SUM(AK$9:AK$312)</f>
        <v/>
      </c>
      <c r="AL3" s="37">
        <f>SUM(AL$9:AL$312)</f>
        <v/>
      </c>
      <c r="AM3" s="37">
        <f>SUM(AM$9:AM$312)</f>
        <v/>
      </c>
      <c r="AN3" s="37">
        <f>SUM(AN$9:AN$312)</f>
        <v/>
      </c>
      <c r="AO3" s="37">
        <f>SUM(AO$9:AO$312)</f>
        <v/>
      </c>
      <c r="AP3" s="37">
        <f>SUM(AP$9:AP$312)</f>
        <v/>
      </c>
      <c r="AQ3" s="37">
        <f>SUM(AQ$9:AQ$312)</f>
        <v/>
      </c>
      <c r="AR3" s="37">
        <f>SUM(AR$9:AR$312)</f>
        <v/>
      </c>
      <c r="AS3" s="37">
        <f>SUM(AS$9:AS$312)</f>
        <v/>
      </c>
      <c r="AT3" s="37">
        <f>SUM(AT$9:AT$312)</f>
        <v/>
      </c>
      <c r="AU3" s="37">
        <f>SUM(AU$9:AU$312)</f>
        <v/>
      </c>
      <c r="AV3" s="37">
        <f>SUM(AV$9:AV$312)</f>
        <v/>
      </c>
      <c r="AW3" s="37">
        <f>SUM(AW$9:AW$312)</f>
        <v/>
      </c>
      <c r="AX3" s="37">
        <f>SUM(AX$9:AX$312)</f>
        <v/>
      </c>
      <c r="AY3" s="37">
        <f>SUM(AY$9:AY$312)</f>
        <v/>
      </c>
    </row>
    <row r="4" ht="15" customHeight="1">
      <c r="A4" s="5" t="inlineStr">
        <is>
          <t>영상 TO</t>
        </is>
      </c>
      <c r="B4" s="8" t="n"/>
      <c r="C4" s="8" t="n"/>
      <c r="D4" s="8" t="n"/>
      <c r="E4" s="8" t="n"/>
      <c r="F4" s="4" t="n"/>
      <c r="G4" s="34" t="inlineStr">
        <is>
          <t>정원</t>
        </is>
      </c>
      <c r="H4" s="35">
        <f>'마스터'!$J$8</f>
        <v/>
      </c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U4" s="37">
        <f>SUMIF($E$9:$E$312,"영상",U$9:U$312)</f>
        <v/>
      </c>
      <c r="V4" s="37">
        <f>SUMIF($E$9:$E$312,"영상",V$9:V$312)</f>
        <v/>
      </c>
      <c r="W4" s="37">
        <f>SUMIF($E$9:$E$312,"영상",W$9:W$312)</f>
        <v/>
      </c>
      <c r="X4" s="37">
        <f>SUMIF($E$9:$E$312,"영상",X$9:X$312)</f>
        <v/>
      </c>
      <c r="Y4" s="37">
        <f>SUMIF($E$9:$E$312,"영상",Y$9:Y$312)</f>
        <v/>
      </c>
      <c r="Z4" s="37">
        <f>SUMIF($E$9:$E$312,"영상",Z$9:Z$312)</f>
        <v/>
      </c>
      <c r="AA4" s="37">
        <f>SUMIF($E$9:$E$312,"영상",AA$9:AA$312)</f>
        <v/>
      </c>
      <c r="AB4" s="37">
        <f>SUMIF($E$9:$E$312,"영상",AB$9:AB$312)</f>
        <v/>
      </c>
      <c r="AC4" s="37">
        <f>SUMIF($E$9:$E$312,"영상",AC$9:AC$312)</f>
        <v/>
      </c>
      <c r="AD4" s="37">
        <f>SUMIF($E$9:$E$312,"영상",AD$9:AD$312)</f>
        <v/>
      </c>
      <c r="AE4" s="37">
        <f>SUMIF($E$9:$E$312,"영상",AE$9:AE$312)</f>
        <v/>
      </c>
      <c r="AF4" s="37">
        <f>SUMIF($E$9:$E$312,"영상",AF$9:AF$312)</f>
        <v/>
      </c>
      <c r="AG4" s="37">
        <f>SUMIF($E$9:$E$312,"영상",AG$9:AG$312)</f>
        <v/>
      </c>
      <c r="AH4" s="37">
        <f>SUMIF($E$9:$E$312,"영상",AH$9:AH$312)</f>
        <v/>
      </c>
      <c r="AI4" s="37">
        <f>SUMIF($E$9:$E$312,"영상",AI$9:AI$312)</f>
        <v/>
      </c>
      <c r="AJ4" s="37">
        <f>SUMIF($E$9:$E$312,"영상",AJ$9:AJ$312)</f>
        <v/>
      </c>
      <c r="AK4" s="37">
        <f>SUMIF($E$9:$E$312,"영상",AK$9:AK$312)</f>
        <v/>
      </c>
      <c r="AL4" s="37">
        <f>SUMIF($E$9:$E$312,"영상",AL$9:AL$312)</f>
        <v/>
      </c>
      <c r="AM4" s="37">
        <f>SUMIF($E$9:$E$312,"영상",AM$9:AM$312)</f>
        <v/>
      </c>
      <c r="AN4" s="37">
        <f>SUMIF($E$9:$E$312,"영상",AN$9:AN$312)</f>
        <v/>
      </c>
      <c r="AO4" s="37">
        <f>SUMIF($E$9:$E$312,"영상",AO$9:AO$312)</f>
        <v/>
      </c>
      <c r="AP4" s="37">
        <f>SUMIF($E$9:$E$312,"영상",AP$9:AP$312)</f>
        <v/>
      </c>
      <c r="AQ4" s="37">
        <f>SUMIF($E$9:$E$312,"영상",AQ$9:AQ$312)</f>
        <v/>
      </c>
      <c r="AR4" s="37">
        <f>SUMIF($E$9:$E$312,"영상",AR$9:AR$312)</f>
        <v/>
      </c>
      <c r="AS4" s="37">
        <f>SUMIF($E$9:$E$312,"영상",AS$9:AS$312)</f>
        <v/>
      </c>
      <c r="AT4" s="37">
        <f>SUMIF($E$9:$E$312,"영상",AT$9:AT$312)</f>
        <v/>
      </c>
      <c r="AU4" s="37">
        <f>SUMIF($E$9:$E$312,"영상",AU$9:AU$312)</f>
        <v/>
      </c>
      <c r="AV4" s="37">
        <f>SUMIF($E$9:$E$312,"영상",AV$9:AV$312)</f>
        <v/>
      </c>
      <c r="AW4" s="37">
        <f>SUMIF($E$9:$E$312,"영상",AW$9:AW$312)</f>
        <v/>
      </c>
      <c r="AX4" s="37">
        <f>SUMIF($E$9:$E$312,"영상",AX$9:AX$312)</f>
        <v/>
      </c>
      <c r="AY4" s="37">
        <f>SUMIF($E$9:$E$312,"영상",AY$9:AY$312)</f>
        <v/>
      </c>
    </row>
    <row r="5" ht="15" customHeight="1">
      <c r="A5" s="5" t="inlineStr">
        <is>
          <t>이미지 TO</t>
        </is>
      </c>
      <c r="B5" s="8" t="n"/>
      <c r="C5" s="8" t="n"/>
      <c r="D5" s="8" t="n"/>
      <c r="E5" s="8" t="n"/>
      <c r="F5" s="4" t="n"/>
      <c r="G5" s="34" t="inlineStr">
        <is>
          <t>정원</t>
        </is>
      </c>
      <c r="H5" s="35">
        <f>'마스터'!$J$9</f>
        <v/>
      </c>
      <c r="I5" s="36" t="n"/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  <c r="S5" s="36" t="n"/>
      <c r="U5" s="37">
        <f>SUMIF($E$9:$E$312,"이미지",U$9:U$312)</f>
        <v/>
      </c>
      <c r="V5" s="37">
        <f>SUMIF($E$9:$E$312,"이미지",V$9:V$312)</f>
        <v/>
      </c>
      <c r="W5" s="37">
        <f>SUMIF($E$9:$E$312,"이미지",W$9:W$312)</f>
        <v/>
      </c>
      <c r="X5" s="37">
        <f>SUMIF($E$9:$E$312,"이미지",X$9:X$312)</f>
        <v/>
      </c>
      <c r="Y5" s="37">
        <f>SUMIF($E$9:$E$312,"이미지",Y$9:Y$312)</f>
        <v/>
      </c>
      <c r="Z5" s="37">
        <f>SUMIF($E$9:$E$312,"이미지",Z$9:Z$312)</f>
        <v/>
      </c>
      <c r="AA5" s="37">
        <f>SUMIF($E$9:$E$312,"이미지",AA$9:AA$312)</f>
        <v/>
      </c>
      <c r="AB5" s="37">
        <f>SUMIF($E$9:$E$312,"이미지",AB$9:AB$312)</f>
        <v/>
      </c>
      <c r="AC5" s="37">
        <f>SUMIF($E$9:$E$312,"이미지",AC$9:AC$312)</f>
        <v/>
      </c>
      <c r="AD5" s="37">
        <f>SUMIF($E$9:$E$312,"이미지",AD$9:AD$312)</f>
        <v/>
      </c>
      <c r="AE5" s="37">
        <f>SUMIF($E$9:$E$312,"이미지",AE$9:AE$312)</f>
        <v/>
      </c>
      <c r="AF5" s="37">
        <f>SUMIF($E$9:$E$312,"이미지",AF$9:AF$312)</f>
        <v/>
      </c>
      <c r="AG5" s="37">
        <f>SUMIF($E$9:$E$312,"이미지",AG$9:AG$312)</f>
        <v/>
      </c>
      <c r="AH5" s="37">
        <f>SUMIF($E$9:$E$312,"이미지",AH$9:AH$312)</f>
        <v/>
      </c>
      <c r="AI5" s="37">
        <f>SUMIF($E$9:$E$312,"이미지",AI$9:AI$312)</f>
        <v/>
      </c>
      <c r="AJ5" s="37">
        <f>SUMIF($E$9:$E$312,"이미지",AJ$9:AJ$312)</f>
        <v/>
      </c>
      <c r="AK5" s="37">
        <f>SUMIF($E$9:$E$312,"이미지",AK$9:AK$312)</f>
        <v/>
      </c>
      <c r="AL5" s="37">
        <f>SUMIF($E$9:$E$312,"이미지",AL$9:AL$312)</f>
        <v/>
      </c>
      <c r="AM5" s="37">
        <f>SUMIF($E$9:$E$312,"이미지",AM$9:AM$312)</f>
        <v/>
      </c>
      <c r="AN5" s="37">
        <f>SUMIF($E$9:$E$312,"이미지",AN$9:AN$312)</f>
        <v/>
      </c>
      <c r="AO5" s="37">
        <f>SUMIF($E$9:$E$312,"이미지",AO$9:AO$312)</f>
        <v/>
      </c>
      <c r="AP5" s="37">
        <f>SUMIF($E$9:$E$312,"이미지",AP$9:AP$312)</f>
        <v/>
      </c>
      <c r="AQ5" s="37">
        <f>SUMIF($E$9:$E$312,"이미지",AQ$9:AQ$312)</f>
        <v/>
      </c>
      <c r="AR5" s="37">
        <f>SUMIF($E$9:$E$312,"이미지",AR$9:AR$312)</f>
        <v/>
      </c>
      <c r="AS5" s="37">
        <f>SUMIF($E$9:$E$312,"이미지",AS$9:AS$312)</f>
        <v/>
      </c>
      <c r="AT5" s="37">
        <f>SUMIF($E$9:$E$312,"이미지",AT$9:AT$312)</f>
        <v/>
      </c>
      <c r="AU5" s="37">
        <f>SUMIF($E$9:$E$312,"이미지",AU$9:AU$312)</f>
        <v/>
      </c>
      <c r="AV5" s="37">
        <f>SUMIF($E$9:$E$312,"이미지",AV$9:AV$312)</f>
        <v/>
      </c>
      <c r="AW5" s="37">
        <f>SUMIF($E$9:$E$312,"이미지",AW$9:AW$312)</f>
        <v/>
      </c>
      <c r="AX5" s="37">
        <f>SUMIF($E$9:$E$312,"이미지",AX$9:AX$312)</f>
        <v/>
      </c>
      <c r="AY5" s="37">
        <f>SUMIF($E$9:$E$312,"이미지",AY$9:AY$312)</f>
        <v/>
      </c>
    </row>
    <row r="6" ht="15" customHeight="1">
      <c r="A6" s="5" t="inlineStr">
        <is>
          <t>기획 TO</t>
        </is>
      </c>
      <c r="B6" s="8" t="n"/>
      <c r="C6" s="8" t="n"/>
      <c r="D6" s="8" t="n"/>
      <c r="E6" s="8" t="n"/>
      <c r="F6" s="4" t="n"/>
      <c r="G6" s="34" t="inlineStr">
        <is>
          <t>정원</t>
        </is>
      </c>
      <c r="H6" s="35">
        <f>'마스터'!$J$10</f>
        <v/>
      </c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6" t="n"/>
      <c r="S6" s="36" t="n"/>
      <c r="U6" s="37">
        <f>SUMIF($E$9:$E$312,"기획",U$9:U$312)</f>
        <v/>
      </c>
      <c r="V6" s="37">
        <f>SUMIF($E$9:$E$312,"기획",V$9:V$312)</f>
        <v/>
      </c>
      <c r="W6" s="37">
        <f>SUMIF($E$9:$E$312,"기획",W$9:W$312)</f>
        <v/>
      </c>
      <c r="X6" s="37">
        <f>SUMIF($E$9:$E$312,"기획",X$9:X$312)</f>
        <v/>
      </c>
      <c r="Y6" s="37">
        <f>SUMIF($E$9:$E$312,"기획",Y$9:Y$312)</f>
        <v/>
      </c>
      <c r="Z6" s="37">
        <f>SUMIF($E$9:$E$312,"기획",Z$9:Z$312)</f>
        <v/>
      </c>
      <c r="AA6" s="37">
        <f>SUMIF($E$9:$E$312,"기획",AA$9:AA$312)</f>
        <v/>
      </c>
      <c r="AB6" s="37">
        <f>SUMIF($E$9:$E$312,"기획",AB$9:AB$312)</f>
        <v/>
      </c>
      <c r="AC6" s="37">
        <f>SUMIF($E$9:$E$312,"기획",AC$9:AC$312)</f>
        <v/>
      </c>
      <c r="AD6" s="37">
        <f>SUMIF($E$9:$E$312,"기획",AD$9:AD$312)</f>
        <v/>
      </c>
      <c r="AE6" s="37">
        <f>SUMIF($E$9:$E$312,"기획",AE$9:AE$312)</f>
        <v/>
      </c>
      <c r="AF6" s="37">
        <f>SUMIF($E$9:$E$312,"기획",AF$9:AF$312)</f>
        <v/>
      </c>
      <c r="AG6" s="37">
        <f>SUMIF($E$9:$E$312,"기획",AG$9:AG$312)</f>
        <v/>
      </c>
      <c r="AH6" s="37">
        <f>SUMIF($E$9:$E$312,"기획",AH$9:AH$312)</f>
        <v/>
      </c>
      <c r="AI6" s="37">
        <f>SUMIF($E$9:$E$312,"기획",AI$9:AI$312)</f>
        <v/>
      </c>
      <c r="AJ6" s="37">
        <f>SUMIF($E$9:$E$312,"기획",AJ$9:AJ$312)</f>
        <v/>
      </c>
      <c r="AK6" s="37">
        <f>SUMIF($E$9:$E$312,"기획",AK$9:AK$312)</f>
        <v/>
      </c>
      <c r="AL6" s="37">
        <f>SUMIF($E$9:$E$312,"기획",AL$9:AL$312)</f>
        <v/>
      </c>
      <c r="AM6" s="37">
        <f>SUMIF($E$9:$E$312,"기획",AM$9:AM$312)</f>
        <v/>
      </c>
      <c r="AN6" s="37">
        <f>SUMIF($E$9:$E$312,"기획",AN$9:AN$312)</f>
        <v/>
      </c>
      <c r="AO6" s="37">
        <f>SUMIF($E$9:$E$312,"기획",AO$9:AO$312)</f>
        <v/>
      </c>
      <c r="AP6" s="37">
        <f>SUMIF($E$9:$E$312,"기획",AP$9:AP$312)</f>
        <v/>
      </c>
      <c r="AQ6" s="37">
        <f>SUMIF($E$9:$E$312,"기획",AQ$9:AQ$312)</f>
        <v/>
      </c>
      <c r="AR6" s="37">
        <f>SUMIF($E$9:$E$312,"기획",AR$9:AR$312)</f>
        <v/>
      </c>
      <c r="AS6" s="37">
        <f>SUMIF($E$9:$E$312,"기획",AS$9:AS$312)</f>
        <v/>
      </c>
      <c r="AT6" s="37">
        <f>SUMIF($E$9:$E$312,"기획",AT$9:AT$312)</f>
        <v/>
      </c>
      <c r="AU6" s="37">
        <f>SUMIF($E$9:$E$312,"기획",AU$9:AU$312)</f>
        <v/>
      </c>
      <c r="AV6" s="37">
        <f>SUMIF($E$9:$E$312,"기획",AV$9:AV$312)</f>
        <v/>
      </c>
      <c r="AW6" s="37">
        <f>SUMIF($E$9:$E$312,"기획",AW$9:AW$312)</f>
        <v/>
      </c>
      <c r="AX6" s="37">
        <f>SUMIF($E$9:$E$312,"기획",AX$9:AX$312)</f>
        <v/>
      </c>
      <c r="AY6" s="37">
        <f>SUMIF($E$9:$E$312,"기획",AY$9:AY$312)</f>
        <v/>
      </c>
    </row>
    <row r="7">
      <c r="A7" s="38" t="inlineStr">
        <is>
          <t>▼ 아래부터 입력. 노란칸=직접 입력 / 회색칸=자동(건드리지 마세요)</t>
        </is>
      </c>
    </row>
    <row r="8" ht="18" customHeight="1">
      <c r="A8" s="39" t="inlineStr">
        <is>
          <t>마케팅1팀   (9~68행 · 소재 20개)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4" t="n"/>
    </row>
    <row r="9" ht="15" customHeight="1">
      <c r="A9" s="40">
        <f>IF($D$9="","",1)</f>
        <v/>
      </c>
      <c r="B9" s="10" t="n"/>
      <c r="C9" s="41" t="inlineStr">
        <is>
          <t>마케팅1팀</t>
        </is>
      </c>
      <c r="D9" s="42" t="n"/>
      <c r="E9" s="43" t="inlineStr">
        <is>
          <t>기획</t>
        </is>
      </c>
      <c r="F9" s="44" t="n"/>
      <c r="G9" s="45" t="n"/>
      <c r="H9" s="46">
        <f>IF($I$9="","",IF($I$9&lt;0,"🔴지연",IF($I$9&lt;=1,"🟡임박","🟢여유")))</f>
        <v/>
      </c>
      <c r="I9" s="47">
        <f>IF(OR($G$9="",$K$9=""),"",$G$9-$K$9)</f>
        <v/>
      </c>
      <c r="J9" s="48">
        <f>IF(SUM($L$9:$L$11)=0,"",SUM($L$9:$L$11))</f>
        <v/>
      </c>
      <c r="K9" s="49">
        <f>IF($J$9="","",MAX($N$9:$N$11))</f>
        <v/>
      </c>
      <c r="L9" s="50">
        <f>IF(SUM(U9:AY9)=0,"",SUM(U9:AY9))</f>
        <v/>
      </c>
      <c r="M9" s="51">
        <f>IFERROR(INDEX(U$2:AY$2,MATCH(TRUE,INDEX(U9:AY9&lt;&gt;"",0),0)),"")</f>
        <v/>
      </c>
      <c r="N9" s="51">
        <f>IFERROR(LOOKUP(2,1/(U9:AY9&lt;&gt;""),U$2:AY$2),"")</f>
        <v/>
      </c>
      <c r="O9" s="52" t="n"/>
      <c r="P9" s="52" t="n"/>
      <c r="Q9" s="52" t="n"/>
      <c r="R9" s="44" t="n"/>
      <c r="S9" s="14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</row>
    <row r="10" ht="15" customHeight="1">
      <c r="A10" s="54" t="n"/>
      <c r="B10" s="55">
        <f>IF($B$9="","",$B$9)</f>
        <v/>
      </c>
      <c r="C10" s="56" t="inlineStr">
        <is>
          <t>마케팅1팀</t>
        </is>
      </c>
      <c r="D10" s="55">
        <f>IF($D$9="","",$D$9)</f>
        <v/>
      </c>
      <c r="E10" s="57" t="inlineStr">
        <is>
          <t>이미지</t>
        </is>
      </c>
      <c r="F10" s="44" t="n"/>
      <c r="G10" s="58">
        <f>IF($G$9="","",$G$9)</f>
        <v/>
      </c>
      <c r="H10" s="59" t="n"/>
      <c r="I10" s="59" t="n"/>
      <c r="J10" s="59" t="n"/>
      <c r="K10" s="59" t="n"/>
      <c r="L10" s="60">
        <f>IF(SUM(U10:AY10)=0,"",SUM(U10:AY10))</f>
        <v/>
      </c>
      <c r="M10" s="61">
        <f>IFERROR(INDEX(U$2:AY$2,MATCH(TRUE,INDEX(U10:AY10&lt;&gt;"",0),0)),"")</f>
        <v/>
      </c>
      <c r="N10" s="61">
        <f>IFERROR(LOOKUP(2,1/(U10:AY10&lt;&gt;""),U$2:AY$2),"")</f>
        <v/>
      </c>
      <c r="O10" s="59" t="n"/>
      <c r="P10" s="59" t="n"/>
      <c r="Q10" s="59" t="n"/>
      <c r="R10" s="59" t="n"/>
      <c r="S10" s="14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</row>
    <row r="11" ht="15" customHeight="1">
      <c r="A11" s="62" t="n"/>
      <c r="B11" s="55">
        <f>IF($B$9="","",$B$9)</f>
        <v/>
      </c>
      <c r="C11" s="63" t="inlineStr">
        <is>
          <t>마케팅1팀</t>
        </is>
      </c>
      <c r="D11" s="55">
        <f>IF($D$9="","",$D$9)</f>
        <v/>
      </c>
      <c r="E11" s="64" t="inlineStr">
        <is>
          <t>영상</t>
        </is>
      </c>
      <c r="F11" s="44" t="n"/>
      <c r="G11" s="58">
        <f>IF($G$9="","",$G$9)</f>
        <v/>
      </c>
      <c r="H11" s="59" t="n"/>
      <c r="I11" s="59" t="n"/>
      <c r="J11" s="59" t="n"/>
      <c r="K11" s="59" t="n"/>
      <c r="L11" s="65">
        <f>IF(SUM(U11:AY11)=0,"",SUM(U11:AY11))</f>
        <v/>
      </c>
      <c r="M11" s="66">
        <f>IFERROR(INDEX(U$2:AY$2,MATCH(TRUE,INDEX(U11:AY11&lt;&gt;"",0),0)),"")</f>
        <v/>
      </c>
      <c r="N11" s="66">
        <f>IFERROR(LOOKUP(2,1/(U11:AY11&lt;&gt;""),U$2:AY$2),"")</f>
        <v/>
      </c>
      <c r="O11" s="59" t="n"/>
      <c r="P11" s="59" t="n"/>
      <c r="Q11" s="59" t="n"/>
      <c r="R11" s="59" t="n"/>
      <c r="S11" s="14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</row>
    <row r="12" ht="15" customHeight="1">
      <c r="A12" s="40">
        <f>IF($D$12="","",2)</f>
        <v/>
      </c>
      <c r="B12" s="10" t="n"/>
      <c r="C12" s="41" t="inlineStr">
        <is>
          <t>마케팅1팀</t>
        </is>
      </c>
      <c r="D12" s="42" t="n"/>
      <c r="E12" s="43" t="inlineStr">
        <is>
          <t>기획</t>
        </is>
      </c>
      <c r="F12" s="44" t="n"/>
      <c r="G12" s="45" t="n"/>
      <c r="H12" s="46">
        <f>IF($I$12="","",IF($I$12&lt;0,"🔴지연",IF($I$12&lt;=1,"🟡임박","🟢여유")))</f>
        <v/>
      </c>
      <c r="I12" s="47">
        <f>IF(OR($G$12="",$K$12=""),"",$G$12-$K$12)</f>
        <v/>
      </c>
      <c r="J12" s="48">
        <f>IF(SUM($L$12:$L$14)=0,"",SUM($L$12:$L$14))</f>
        <v/>
      </c>
      <c r="K12" s="49">
        <f>IF($J$12="","",MAX($N$12:$N$14))</f>
        <v/>
      </c>
      <c r="L12" s="50">
        <f>IF(SUM(U12:AY12)=0,"",SUM(U12:AY12))</f>
        <v/>
      </c>
      <c r="M12" s="51">
        <f>IFERROR(INDEX(U$2:AY$2,MATCH(TRUE,INDEX(U12:AY12&lt;&gt;"",0),0)),"")</f>
        <v/>
      </c>
      <c r="N12" s="51">
        <f>IFERROR(LOOKUP(2,1/(U12:AY12&lt;&gt;""),U$2:AY$2),"")</f>
        <v/>
      </c>
      <c r="O12" s="52" t="n"/>
      <c r="P12" s="52" t="n"/>
      <c r="Q12" s="52" t="n"/>
      <c r="R12" s="44" t="n"/>
      <c r="S12" s="14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</row>
    <row r="13" ht="15" customHeight="1">
      <c r="A13" s="54" t="n"/>
      <c r="B13" s="55">
        <f>IF($B$12="","",$B$12)</f>
        <v/>
      </c>
      <c r="C13" s="56" t="inlineStr">
        <is>
          <t>마케팅1팀</t>
        </is>
      </c>
      <c r="D13" s="55">
        <f>IF($D$12="","",$D$12)</f>
        <v/>
      </c>
      <c r="E13" s="57" t="inlineStr">
        <is>
          <t>이미지</t>
        </is>
      </c>
      <c r="F13" s="44" t="n"/>
      <c r="G13" s="58">
        <f>IF($G$12="","",$G$12)</f>
        <v/>
      </c>
      <c r="H13" s="59" t="n"/>
      <c r="I13" s="59" t="n"/>
      <c r="J13" s="59" t="n"/>
      <c r="K13" s="59" t="n"/>
      <c r="L13" s="60">
        <f>IF(SUM(U13:AY13)=0,"",SUM(U13:AY13))</f>
        <v/>
      </c>
      <c r="M13" s="61">
        <f>IFERROR(INDEX(U$2:AY$2,MATCH(TRUE,INDEX(U13:AY13&lt;&gt;"",0),0)),"")</f>
        <v/>
      </c>
      <c r="N13" s="61">
        <f>IFERROR(LOOKUP(2,1/(U13:AY13&lt;&gt;""),U$2:AY$2),"")</f>
        <v/>
      </c>
      <c r="O13" s="59" t="n"/>
      <c r="P13" s="59" t="n"/>
      <c r="Q13" s="59" t="n"/>
      <c r="R13" s="59" t="n"/>
      <c r="S13" s="14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</row>
    <row r="14" ht="15" customHeight="1">
      <c r="A14" s="62" t="n"/>
      <c r="B14" s="55">
        <f>IF($B$12="","",$B$12)</f>
        <v/>
      </c>
      <c r="C14" s="63" t="inlineStr">
        <is>
          <t>마케팅1팀</t>
        </is>
      </c>
      <c r="D14" s="55">
        <f>IF($D$12="","",$D$12)</f>
        <v/>
      </c>
      <c r="E14" s="64" t="inlineStr">
        <is>
          <t>영상</t>
        </is>
      </c>
      <c r="F14" s="44" t="n"/>
      <c r="G14" s="58">
        <f>IF($G$12="","",$G$12)</f>
        <v/>
      </c>
      <c r="H14" s="59" t="n"/>
      <c r="I14" s="59" t="n"/>
      <c r="J14" s="59" t="n"/>
      <c r="K14" s="59" t="n"/>
      <c r="L14" s="65">
        <f>IF(SUM(U14:AY14)=0,"",SUM(U14:AY14))</f>
        <v/>
      </c>
      <c r="M14" s="66">
        <f>IFERROR(INDEX(U$2:AY$2,MATCH(TRUE,INDEX(U14:AY14&lt;&gt;"",0),0)),"")</f>
        <v/>
      </c>
      <c r="N14" s="66">
        <f>IFERROR(LOOKUP(2,1/(U14:AY14&lt;&gt;""),U$2:AY$2),"")</f>
        <v/>
      </c>
      <c r="O14" s="59" t="n"/>
      <c r="P14" s="59" t="n"/>
      <c r="Q14" s="59" t="n"/>
      <c r="R14" s="59" t="n"/>
      <c r="S14" s="14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</row>
    <row r="15" ht="15" customHeight="1">
      <c r="A15" s="40">
        <f>IF($D$15="","",3)</f>
        <v/>
      </c>
      <c r="B15" s="10" t="n"/>
      <c r="C15" s="41" t="inlineStr">
        <is>
          <t>마케팅1팀</t>
        </is>
      </c>
      <c r="D15" s="42" t="n"/>
      <c r="E15" s="43" t="inlineStr">
        <is>
          <t>기획</t>
        </is>
      </c>
      <c r="F15" s="44" t="n"/>
      <c r="G15" s="45" t="n"/>
      <c r="H15" s="46">
        <f>IF($I$15="","",IF($I$15&lt;0,"🔴지연",IF($I$15&lt;=1,"🟡임박","🟢여유")))</f>
        <v/>
      </c>
      <c r="I15" s="47">
        <f>IF(OR($G$15="",$K$15=""),"",$G$15-$K$15)</f>
        <v/>
      </c>
      <c r="J15" s="48">
        <f>IF(SUM($L$15:$L$17)=0,"",SUM($L$15:$L$17))</f>
        <v/>
      </c>
      <c r="K15" s="49">
        <f>IF($J$15="","",MAX($N$15:$N$17))</f>
        <v/>
      </c>
      <c r="L15" s="50">
        <f>IF(SUM(U15:AY15)=0,"",SUM(U15:AY15))</f>
        <v/>
      </c>
      <c r="M15" s="51">
        <f>IFERROR(INDEX(U$2:AY$2,MATCH(TRUE,INDEX(U15:AY15&lt;&gt;"",0),0)),"")</f>
        <v/>
      </c>
      <c r="N15" s="51">
        <f>IFERROR(LOOKUP(2,1/(U15:AY15&lt;&gt;""),U$2:AY$2),"")</f>
        <v/>
      </c>
      <c r="O15" s="52" t="n"/>
      <c r="P15" s="52" t="n"/>
      <c r="Q15" s="52" t="n"/>
      <c r="R15" s="44" t="n"/>
      <c r="S15" s="14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</row>
    <row r="16" ht="15" customHeight="1">
      <c r="A16" s="54" t="n"/>
      <c r="B16" s="55">
        <f>IF($B$15="","",$B$15)</f>
        <v/>
      </c>
      <c r="C16" s="56" t="inlineStr">
        <is>
          <t>마케팅1팀</t>
        </is>
      </c>
      <c r="D16" s="55">
        <f>IF($D$15="","",$D$15)</f>
        <v/>
      </c>
      <c r="E16" s="57" t="inlineStr">
        <is>
          <t>이미지</t>
        </is>
      </c>
      <c r="F16" s="44" t="n"/>
      <c r="G16" s="58">
        <f>IF($G$15="","",$G$15)</f>
        <v/>
      </c>
      <c r="H16" s="59" t="n"/>
      <c r="I16" s="59" t="n"/>
      <c r="J16" s="59" t="n"/>
      <c r="K16" s="59" t="n"/>
      <c r="L16" s="60">
        <f>IF(SUM(U16:AY16)=0,"",SUM(U16:AY16))</f>
        <v/>
      </c>
      <c r="M16" s="61">
        <f>IFERROR(INDEX(U$2:AY$2,MATCH(TRUE,INDEX(U16:AY16&lt;&gt;"",0),0)),"")</f>
        <v/>
      </c>
      <c r="N16" s="61">
        <f>IFERROR(LOOKUP(2,1/(U16:AY16&lt;&gt;""),U$2:AY$2),"")</f>
        <v/>
      </c>
      <c r="O16" s="59" t="n"/>
      <c r="P16" s="59" t="n"/>
      <c r="Q16" s="59" t="n"/>
      <c r="R16" s="59" t="n"/>
      <c r="S16" s="14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</row>
    <row r="17" ht="15" customHeight="1">
      <c r="A17" s="62" t="n"/>
      <c r="B17" s="55">
        <f>IF($B$15="","",$B$15)</f>
        <v/>
      </c>
      <c r="C17" s="63" t="inlineStr">
        <is>
          <t>마케팅1팀</t>
        </is>
      </c>
      <c r="D17" s="55">
        <f>IF($D$15="","",$D$15)</f>
        <v/>
      </c>
      <c r="E17" s="64" t="inlineStr">
        <is>
          <t>영상</t>
        </is>
      </c>
      <c r="F17" s="44" t="n"/>
      <c r="G17" s="58">
        <f>IF($G$15="","",$G$15)</f>
        <v/>
      </c>
      <c r="H17" s="59" t="n"/>
      <c r="I17" s="59" t="n"/>
      <c r="J17" s="59" t="n"/>
      <c r="K17" s="59" t="n"/>
      <c r="L17" s="65">
        <f>IF(SUM(U17:AY17)=0,"",SUM(U17:AY17))</f>
        <v/>
      </c>
      <c r="M17" s="66">
        <f>IFERROR(INDEX(U$2:AY$2,MATCH(TRUE,INDEX(U17:AY17&lt;&gt;"",0),0)),"")</f>
        <v/>
      </c>
      <c r="N17" s="66">
        <f>IFERROR(LOOKUP(2,1/(U17:AY17&lt;&gt;""),U$2:AY$2),"")</f>
        <v/>
      </c>
      <c r="O17" s="59" t="n"/>
      <c r="P17" s="59" t="n"/>
      <c r="Q17" s="59" t="n"/>
      <c r="R17" s="59" t="n"/>
      <c r="S17" s="14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</row>
    <row r="18" ht="15" customHeight="1">
      <c r="A18" s="40">
        <f>IF($D$18="","",4)</f>
        <v/>
      </c>
      <c r="B18" s="10" t="n"/>
      <c r="C18" s="41" t="inlineStr">
        <is>
          <t>마케팅1팀</t>
        </is>
      </c>
      <c r="D18" s="42" t="n"/>
      <c r="E18" s="43" t="inlineStr">
        <is>
          <t>기획</t>
        </is>
      </c>
      <c r="F18" s="44" t="n"/>
      <c r="G18" s="45" t="n"/>
      <c r="H18" s="46">
        <f>IF($I$18="","",IF($I$18&lt;0,"🔴지연",IF($I$18&lt;=1,"🟡임박","🟢여유")))</f>
        <v/>
      </c>
      <c r="I18" s="47">
        <f>IF(OR($G$18="",$K$18=""),"",$G$18-$K$18)</f>
        <v/>
      </c>
      <c r="J18" s="48">
        <f>IF(SUM($L$18:$L$20)=0,"",SUM($L$18:$L$20))</f>
        <v/>
      </c>
      <c r="K18" s="49">
        <f>IF($J$18="","",MAX($N$18:$N$20))</f>
        <v/>
      </c>
      <c r="L18" s="50">
        <f>IF(SUM(U18:AY18)=0,"",SUM(U18:AY18))</f>
        <v/>
      </c>
      <c r="M18" s="51">
        <f>IFERROR(INDEX(U$2:AY$2,MATCH(TRUE,INDEX(U18:AY18&lt;&gt;"",0),0)),"")</f>
        <v/>
      </c>
      <c r="N18" s="51">
        <f>IFERROR(LOOKUP(2,1/(U18:AY18&lt;&gt;""),U$2:AY$2),"")</f>
        <v/>
      </c>
      <c r="O18" s="52" t="n"/>
      <c r="P18" s="52" t="n"/>
      <c r="Q18" s="52" t="n"/>
      <c r="R18" s="44" t="n"/>
      <c r="S18" s="14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</row>
    <row r="19" ht="15" customHeight="1">
      <c r="A19" s="54" t="n"/>
      <c r="B19" s="55">
        <f>IF($B$18="","",$B$18)</f>
        <v/>
      </c>
      <c r="C19" s="56" t="inlineStr">
        <is>
          <t>마케팅1팀</t>
        </is>
      </c>
      <c r="D19" s="55">
        <f>IF($D$18="","",$D$18)</f>
        <v/>
      </c>
      <c r="E19" s="57" t="inlineStr">
        <is>
          <t>이미지</t>
        </is>
      </c>
      <c r="F19" s="44" t="n"/>
      <c r="G19" s="58">
        <f>IF($G$18="","",$G$18)</f>
        <v/>
      </c>
      <c r="H19" s="59" t="n"/>
      <c r="I19" s="59" t="n"/>
      <c r="J19" s="59" t="n"/>
      <c r="K19" s="59" t="n"/>
      <c r="L19" s="60">
        <f>IF(SUM(U19:AY19)=0,"",SUM(U19:AY19))</f>
        <v/>
      </c>
      <c r="M19" s="61">
        <f>IFERROR(INDEX(U$2:AY$2,MATCH(TRUE,INDEX(U19:AY19&lt;&gt;"",0),0)),"")</f>
        <v/>
      </c>
      <c r="N19" s="61">
        <f>IFERROR(LOOKUP(2,1/(U19:AY19&lt;&gt;""),U$2:AY$2),"")</f>
        <v/>
      </c>
      <c r="O19" s="59" t="n"/>
      <c r="P19" s="59" t="n"/>
      <c r="Q19" s="59" t="n"/>
      <c r="R19" s="59" t="n"/>
      <c r="S19" s="14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</row>
    <row r="20" ht="15" customHeight="1">
      <c r="A20" s="62" t="n"/>
      <c r="B20" s="55">
        <f>IF($B$18="","",$B$18)</f>
        <v/>
      </c>
      <c r="C20" s="63" t="inlineStr">
        <is>
          <t>마케팅1팀</t>
        </is>
      </c>
      <c r="D20" s="55">
        <f>IF($D$18="","",$D$18)</f>
        <v/>
      </c>
      <c r="E20" s="64" t="inlineStr">
        <is>
          <t>영상</t>
        </is>
      </c>
      <c r="F20" s="44" t="n"/>
      <c r="G20" s="58">
        <f>IF($G$18="","",$G$18)</f>
        <v/>
      </c>
      <c r="H20" s="59" t="n"/>
      <c r="I20" s="59" t="n"/>
      <c r="J20" s="59" t="n"/>
      <c r="K20" s="59" t="n"/>
      <c r="L20" s="65">
        <f>IF(SUM(U20:AY20)=0,"",SUM(U20:AY20))</f>
        <v/>
      </c>
      <c r="M20" s="66">
        <f>IFERROR(INDEX(U$2:AY$2,MATCH(TRUE,INDEX(U20:AY20&lt;&gt;"",0),0)),"")</f>
        <v/>
      </c>
      <c r="N20" s="66">
        <f>IFERROR(LOOKUP(2,1/(U20:AY20&lt;&gt;""),U$2:AY$2),"")</f>
        <v/>
      </c>
      <c r="O20" s="59" t="n"/>
      <c r="P20" s="59" t="n"/>
      <c r="Q20" s="59" t="n"/>
      <c r="R20" s="59" t="n"/>
      <c r="S20" s="14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</row>
    <row r="21" ht="15" customHeight="1">
      <c r="A21" s="40">
        <f>IF($D$21="","",5)</f>
        <v/>
      </c>
      <c r="B21" s="10" t="n"/>
      <c r="C21" s="41" t="inlineStr">
        <is>
          <t>마케팅1팀</t>
        </is>
      </c>
      <c r="D21" s="42" t="n"/>
      <c r="E21" s="43" t="inlineStr">
        <is>
          <t>기획</t>
        </is>
      </c>
      <c r="F21" s="44" t="n"/>
      <c r="G21" s="45" t="n"/>
      <c r="H21" s="46">
        <f>IF($I$21="","",IF($I$21&lt;0,"🔴지연",IF($I$21&lt;=1,"🟡임박","🟢여유")))</f>
        <v/>
      </c>
      <c r="I21" s="47">
        <f>IF(OR($G$21="",$K$21=""),"",$G$21-$K$21)</f>
        <v/>
      </c>
      <c r="J21" s="48">
        <f>IF(SUM($L$21:$L$23)=0,"",SUM($L$21:$L$23))</f>
        <v/>
      </c>
      <c r="K21" s="49">
        <f>IF($J$21="","",MAX($N$21:$N$23))</f>
        <v/>
      </c>
      <c r="L21" s="50">
        <f>IF(SUM(U21:AY21)=0,"",SUM(U21:AY21))</f>
        <v/>
      </c>
      <c r="M21" s="51">
        <f>IFERROR(INDEX(U$2:AY$2,MATCH(TRUE,INDEX(U21:AY21&lt;&gt;"",0),0)),"")</f>
        <v/>
      </c>
      <c r="N21" s="51">
        <f>IFERROR(LOOKUP(2,1/(U21:AY21&lt;&gt;""),U$2:AY$2),"")</f>
        <v/>
      </c>
      <c r="O21" s="52" t="n"/>
      <c r="P21" s="52" t="n"/>
      <c r="Q21" s="52" t="n"/>
      <c r="R21" s="44" t="n"/>
      <c r="S21" s="14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</row>
    <row r="22" ht="15" customHeight="1">
      <c r="A22" s="54" t="n"/>
      <c r="B22" s="55">
        <f>IF($B$21="","",$B$21)</f>
        <v/>
      </c>
      <c r="C22" s="56" t="inlineStr">
        <is>
          <t>마케팅1팀</t>
        </is>
      </c>
      <c r="D22" s="55">
        <f>IF($D$21="","",$D$21)</f>
        <v/>
      </c>
      <c r="E22" s="57" t="inlineStr">
        <is>
          <t>이미지</t>
        </is>
      </c>
      <c r="F22" s="44" t="n"/>
      <c r="G22" s="58">
        <f>IF($G$21="","",$G$21)</f>
        <v/>
      </c>
      <c r="H22" s="59" t="n"/>
      <c r="I22" s="59" t="n"/>
      <c r="J22" s="59" t="n"/>
      <c r="K22" s="59" t="n"/>
      <c r="L22" s="60">
        <f>IF(SUM(U22:AY22)=0,"",SUM(U22:AY22))</f>
        <v/>
      </c>
      <c r="M22" s="61">
        <f>IFERROR(INDEX(U$2:AY$2,MATCH(TRUE,INDEX(U22:AY22&lt;&gt;"",0),0)),"")</f>
        <v/>
      </c>
      <c r="N22" s="61">
        <f>IFERROR(LOOKUP(2,1/(U22:AY22&lt;&gt;""),U$2:AY$2),"")</f>
        <v/>
      </c>
      <c r="O22" s="59" t="n"/>
      <c r="P22" s="59" t="n"/>
      <c r="Q22" s="59" t="n"/>
      <c r="R22" s="59" t="n"/>
      <c r="S22" s="14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</row>
    <row r="23" ht="15" customHeight="1">
      <c r="A23" s="62" t="n"/>
      <c r="B23" s="55">
        <f>IF($B$21="","",$B$21)</f>
        <v/>
      </c>
      <c r="C23" s="63" t="inlineStr">
        <is>
          <t>마케팅1팀</t>
        </is>
      </c>
      <c r="D23" s="55">
        <f>IF($D$21="","",$D$21)</f>
        <v/>
      </c>
      <c r="E23" s="64" t="inlineStr">
        <is>
          <t>영상</t>
        </is>
      </c>
      <c r="F23" s="44" t="n"/>
      <c r="G23" s="58">
        <f>IF($G$21="","",$G$21)</f>
        <v/>
      </c>
      <c r="H23" s="59" t="n"/>
      <c r="I23" s="59" t="n"/>
      <c r="J23" s="59" t="n"/>
      <c r="K23" s="59" t="n"/>
      <c r="L23" s="65">
        <f>IF(SUM(U23:AY23)=0,"",SUM(U23:AY23))</f>
        <v/>
      </c>
      <c r="M23" s="66">
        <f>IFERROR(INDEX(U$2:AY$2,MATCH(TRUE,INDEX(U23:AY23&lt;&gt;"",0),0)),"")</f>
        <v/>
      </c>
      <c r="N23" s="66">
        <f>IFERROR(LOOKUP(2,1/(U23:AY23&lt;&gt;""),U$2:AY$2),"")</f>
        <v/>
      </c>
      <c r="O23" s="59" t="n"/>
      <c r="P23" s="59" t="n"/>
      <c r="Q23" s="59" t="n"/>
      <c r="R23" s="59" t="n"/>
      <c r="S23" s="14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</row>
    <row r="24" ht="15" customHeight="1">
      <c r="A24" s="40">
        <f>IF($D$24="","",6)</f>
        <v/>
      </c>
      <c r="B24" s="10" t="n"/>
      <c r="C24" s="41" t="inlineStr">
        <is>
          <t>마케팅1팀</t>
        </is>
      </c>
      <c r="D24" s="42" t="n"/>
      <c r="E24" s="43" t="inlineStr">
        <is>
          <t>기획</t>
        </is>
      </c>
      <c r="F24" s="44" t="n"/>
      <c r="G24" s="45" t="n"/>
      <c r="H24" s="46">
        <f>IF($I$24="","",IF($I$24&lt;0,"🔴지연",IF($I$24&lt;=1,"🟡임박","🟢여유")))</f>
        <v/>
      </c>
      <c r="I24" s="47">
        <f>IF(OR($G$24="",$K$24=""),"",$G$24-$K$24)</f>
        <v/>
      </c>
      <c r="J24" s="48">
        <f>IF(SUM($L$24:$L$26)=0,"",SUM($L$24:$L$26))</f>
        <v/>
      </c>
      <c r="K24" s="49">
        <f>IF($J$24="","",MAX($N$24:$N$26))</f>
        <v/>
      </c>
      <c r="L24" s="50">
        <f>IF(SUM(U24:AY24)=0,"",SUM(U24:AY24))</f>
        <v/>
      </c>
      <c r="M24" s="51">
        <f>IFERROR(INDEX(U$2:AY$2,MATCH(TRUE,INDEX(U24:AY24&lt;&gt;"",0),0)),"")</f>
        <v/>
      </c>
      <c r="N24" s="51">
        <f>IFERROR(LOOKUP(2,1/(U24:AY24&lt;&gt;""),U$2:AY$2),"")</f>
        <v/>
      </c>
      <c r="O24" s="52" t="n"/>
      <c r="P24" s="52" t="n"/>
      <c r="Q24" s="52" t="n"/>
      <c r="R24" s="44" t="n"/>
      <c r="S24" s="14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</row>
    <row r="25" ht="15" customHeight="1">
      <c r="A25" s="54" t="n"/>
      <c r="B25" s="55">
        <f>IF($B$24="","",$B$24)</f>
        <v/>
      </c>
      <c r="C25" s="56" t="inlineStr">
        <is>
          <t>마케팅1팀</t>
        </is>
      </c>
      <c r="D25" s="55">
        <f>IF($D$24="","",$D$24)</f>
        <v/>
      </c>
      <c r="E25" s="57" t="inlineStr">
        <is>
          <t>이미지</t>
        </is>
      </c>
      <c r="F25" s="44" t="n"/>
      <c r="G25" s="58">
        <f>IF($G$24="","",$G$24)</f>
        <v/>
      </c>
      <c r="H25" s="59" t="n"/>
      <c r="I25" s="59" t="n"/>
      <c r="J25" s="59" t="n"/>
      <c r="K25" s="59" t="n"/>
      <c r="L25" s="60">
        <f>IF(SUM(U25:AY25)=0,"",SUM(U25:AY25))</f>
        <v/>
      </c>
      <c r="M25" s="61">
        <f>IFERROR(INDEX(U$2:AY$2,MATCH(TRUE,INDEX(U25:AY25&lt;&gt;"",0),0)),"")</f>
        <v/>
      </c>
      <c r="N25" s="61">
        <f>IFERROR(LOOKUP(2,1/(U25:AY25&lt;&gt;""),U$2:AY$2),"")</f>
        <v/>
      </c>
      <c r="O25" s="59" t="n"/>
      <c r="P25" s="59" t="n"/>
      <c r="Q25" s="59" t="n"/>
      <c r="R25" s="59" t="n"/>
      <c r="S25" s="14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</row>
    <row r="26" ht="15" customHeight="1">
      <c r="A26" s="62" t="n"/>
      <c r="B26" s="55">
        <f>IF($B$24="","",$B$24)</f>
        <v/>
      </c>
      <c r="C26" s="63" t="inlineStr">
        <is>
          <t>마케팅1팀</t>
        </is>
      </c>
      <c r="D26" s="55">
        <f>IF($D$24="","",$D$24)</f>
        <v/>
      </c>
      <c r="E26" s="64" t="inlineStr">
        <is>
          <t>영상</t>
        </is>
      </c>
      <c r="F26" s="44" t="n"/>
      <c r="G26" s="58">
        <f>IF($G$24="","",$G$24)</f>
        <v/>
      </c>
      <c r="H26" s="59" t="n"/>
      <c r="I26" s="59" t="n"/>
      <c r="J26" s="59" t="n"/>
      <c r="K26" s="59" t="n"/>
      <c r="L26" s="65">
        <f>IF(SUM(U26:AY26)=0,"",SUM(U26:AY26))</f>
        <v/>
      </c>
      <c r="M26" s="66">
        <f>IFERROR(INDEX(U$2:AY$2,MATCH(TRUE,INDEX(U26:AY26&lt;&gt;"",0),0)),"")</f>
        <v/>
      </c>
      <c r="N26" s="66">
        <f>IFERROR(LOOKUP(2,1/(U26:AY26&lt;&gt;""),U$2:AY$2),"")</f>
        <v/>
      </c>
      <c r="O26" s="59" t="n"/>
      <c r="P26" s="59" t="n"/>
      <c r="Q26" s="59" t="n"/>
      <c r="R26" s="59" t="n"/>
      <c r="S26" s="14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</row>
    <row r="27" ht="15" customHeight="1">
      <c r="A27" s="40">
        <f>IF($D$27="","",7)</f>
        <v/>
      </c>
      <c r="B27" s="10" t="n"/>
      <c r="C27" s="41" t="inlineStr">
        <is>
          <t>마케팅1팀</t>
        </is>
      </c>
      <c r="D27" s="42" t="n"/>
      <c r="E27" s="43" t="inlineStr">
        <is>
          <t>기획</t>
        </is>
      </c>
      <c r="F27" s="44" t="n"/>
      <c r="G27" s="45" t="n"/>
      <c r="H27" s="46">
        <f>IF($I$27="","",IF($I$27&lt;0,"🔴지연",IF($I$27&lt;=1,"🟡임박","🟢여유")))</f>
        <v/>
      </c>
      <c r="I27" s="47">
        <f>IF(OR($G$27="",$K$27=""),"",$G$27-$K$27)</f>
        <v/>
      </c>
      <c r="J27" s="48">
        <f>IF(SUM($L$27:$L$29)=0,"",SUM($L$27:$L$29))</f>
        <v/>
      </c>
      <c r="K27" s="49">
        <f>IF($J$27="","",MAX($N$27:$N$29))</f>
        <v/>
      </c>
      <c r="L27" s="50">
        <f>IF(SUM(U27:AY27)=0,"",SUM(U27:AY27))</f>
        <v/>
      </c>
      <c r="M27" s="51">
        <f>IFERROR(INDEX(U$2:AY$2,MATCH(TRUE,INDEX(U27:AY27&lt;&gt;"",0),0)),"")</f>
        <v/>
      </c>
      <c r="N27" s="51">
        <f>IFERROR(LOOKUP(2,1/(U27:AY27&lt;&gt;""),U$2:AY$2),"")</f>
        <v/>
      </c>
      <c r="O27" s="52" t="n"/>
      <c r="P27" s="52" t="n"/>
      <c r="Q27" s="52" t="n"/>
      <c r="R27" s="44" t="n"/>
      <c r="S27" s="14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</row>
    <row r="28" ht="15" customHeight="1">
      <c r="A28" s="54" t="n"/>
      <c r="B28" s="55">
        <f>IF($B$27="","",$B$27)</f>
        <v/>
      </c>
      <c r="C28" s="56" t="inlineStr">
        <is>
          <t>마케팅1팀</t>
        </is>
      </c>
      <c r="D28" s="55">
        <f>IF($D$27="","",$D$27)</f>
        <v/>
      </c>
      <c r="E28" s="57" t="inlineStr">
        <is>
          <t>이미지</t>
        </is>
      </c>
      <c r="F28" s="44" t="n"/>
      <c r="G28" s="58">
        <f>IF($G$27="","",$G$27)</f>
        <v/>
      </c>
      <c r="H28" s="59" t="n"/>
      <c r="I28" s="59" t="n"/>
      <c r="J28" s="59" t="n"/>
      <c r="K28" s="59" t="n"/>
      <c r="L28" s="60">
        <f>IF(SUM(U28:AY28)=0,"",SUM(U28:AY28))</f>
        <v/>
      </c>
      <c r="M28" s="61">
        <f>IFERROR(INDEX(U$2:AY$2,MATCH(TRUE,INDEX(U28:AY28&lt;&gt;"",0),0)),"")</f>
        <v/>
      </c>
      <c r="N28" s="61">
        <f>IFERROR(LOOKUP(2,1/(U28:AY28&lt;&gt;""),U$2:AY$2),"")</f>
        <v/>
      </c>
      <c r="O28" s="59" t="n"/>
      <c r="P28" s="59" t="n"/>
      <c r="Q28" s="59" t="n"/>
      <c r="R28" s="59" t="n"/>
      <c r="S28" s="14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3" t="n"/>
      <c r="AQ28" s="53" t="n"/>
      <c r="AR28" s="53" t="n"/>
      <c r="AS28" s="53" t="n"/>
      <c r="AT28" s="53" t="n"/>
      <c r="AU28" s="53" t="n"/>
      <c r="AV28" s="53" t="n"/>
      <c r="AW28" s="53" t="n"/>
      <c r="AX28" s="53" t="n"/>
      <c r="AY28" s="53" t="n"/>
    </row>
    <row r="29" ht="15" customHeight="1">
      <c r="A29" s="62" t="n"/>
      <c r="B29" s="55">
        <f>IF($B$27="","",$B$27)</f>
        <v/>
      </c>
      <c r="C29" s="63" t="inlineStr">
        <is>
          <t>마케팅1팀</t>
        </is>
      </c>
      <c r="D29" s="55">
        <f>IF($D$27="","",$D$27)</f>
        <v/>
      </c>
      <c r="E29" s="64" t="inlineStr">
        <is>
          <t>영상</t>
        </is>
      </c>
      <c r="F29" s="44" t="n"/>
      <c r="G29" s="58">
        <f>IF($G$27="","",$G$27)</f>
        <v/>
      </c>
      <c r="H29" s="59" t="n"/>
      <c r="I29" s="59" t="n"/>
      <c r="J29" s="59" t="n"/>
      <c r="K29" s="59" t="n"/>
      <c r="L29" s="65">
        <f>IF(SUM(U29:AY29)=0,"",SUM(U29:AY29))</f>
        <v/>
      </c>
      <c r="M29" s="66">
        <f>IFERROR(INDEX(U$2:AY$2,MATCH(TRUE,INDEX(U29:AY29&lt;&gt;"",0),0)),"")</f>
        <v/>
      </c>
      <c r="N29" s="66">
        <f>IFERROR(LOOKUP(2,1/(U29:AY29&lt;&gt;""),U$2:AY$2),"")</f>
        <v/>
      </c>
      <c r="O29" s="59" t="n"/>
      <c r="P29" s="59" t="n"/>
      <c r="Q29" s="59" t="n"/>
      <c r="R29" s="59" t="n"/>
      <c r="S29" s="14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</row>
    <row r="30" ht="15" customHeight="1">
      <c r="A30" s="40">
        <f>IF($D$30="","",8)</f>
        <v/>
      </c>
      <c r="B30" s="10" t="n"/>
      <c r="C30" s="41" t="inlineStr">
        <is>
          <t>마케팅1팀</t>
        </is>
      </c>
      <c r="D30" s="42" t="n"/>
      <c r="E30" s="43" t="inlineStr">
        <is>
          <t>기획</t>
        </is>
      </c>
      <c r="F30" s="44" t="n"/>
      <c r="G30" s="45" t="n"/>
      <c r="H30" s="46">
        <f>IF($I$30="","",IF($I$30&lt;0,"🔴지연",IF($I$30&lt;=1,"🟡임박","🟢여유")))</f>
        <v/>
      </c>
      <c r="I30" s="47">
        <f>IF(OR($G$30="",$K$30=""),"",$G$30-$K$30)</f>
        <v/>
      </c>
      <c r="J30" s="48">
        <f>IF(SUM($L$30:$L$32)=0,"",SUM($L$30:$L$32))</f>
        <v/>
      </c>
      <c r="K30" s="49">
        <f>IF($J$30="","",MAX($N$30:$N$32))</f>
        <v/>
      </c>
      <c r="L30" s="50">
        <f>IF(SUM(U30:AY30)=0,"",SUM(U30:AY30))</f>
        <v/>
      </c>
      <c r="M30" s="51">
        <f>IFERROR(INDEX(U$2:AY$2,MATCH(TRUE,INDEX(U30:AY30&lt;&gt;"",0),0)),"")</f>
        <v/>
      </c>
      <c r="N30" s="51">
        <f>IFERROR(LOOKUP(2,1/(U30:AY30&lt;&gt;""),U$2:AY$2),"")</f>
        <v/>
      </c>
      <c r="O30" s="52" t="n"/>
      <c r="P30" s="52" t="n"/>
      <c r="Q30" s="52" t="n"/>
      <c r="R30" s="44" t="n"/>
      <c r="S30" s="14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53" t="n"/>
      <c r="AH30" s="53" t="n"/>
      <c r="AI30" s="53" t="n"/>
      <c r="AJ30" s="53" t="n"/>
      <c r="AK30" s="53" t="n"/>
      <c r="AL30" s="53" t="n"/>
      <c r="AM30" s="53" t="n"/>
      <c r="AN30" s="53" t="n"/>
      <c r="AO30" s="53" t="n"/>
      <c r="AP30" s="53" t="n"/>
      <c r="AQ30" s="53" t="n"/>
      <c r="AR30" s="53" t="n"/>
      <c r="AS30" s="53" t="n"/>
      <c r="AT30" s="53" t="n"/>
      <c r="AU30" s="53" t="n"/>
      <c r="AV30" s="53" t="n"/>
      <c r="AW30" s="53" t="n"/>
      <c r="AX30" s="53" t="n"/>
      <c r="AY30" s="53" t="n"/>
    </row>
    <row r="31" ht="15" customHeight="1">
      <c r="A31" s="54" t="n"/>
      <c r="B31" s="55">
        <f>IF($B$30="","",$B$30)</f>
        <v/>
      </c>
      <c r="C31" s="56" t="inlineStr">
        <is>
          <t>마케팅1팀</t>
        </is>
      </c>
      <c r="D31" s="55">
        <f>IF($D$30="","",$D$30)</f>
        <v/>
      </c>
      <c r="E31" s="57" t="inlineStr">
        <is>
          <t>이미지</t>
        </is>
      </c>
      <c r="F31" s="44" t="n"/>
      <c r="G31" s="58">
        <f>IF($G$30="","",$G$30)</f>
        <v/>
      </c>
      <c r="H31" s="59" t="n"/>
      <c r="I31" s="59" t="n"/>
      <c r="J31" s="59" t="n"/>
      <c r="K31" s="59" t="n"/>
      <c r="L31" s="60">
        <f>IF(SUM(U31:AY31)=0,"",SUM(U31:AY31))</f>
        <v/>
      </c>
      <c r="M31" s="61">
        <f>IFERROR(INDEX(U$2:AY$2,MATCH(TRUE,INDEX(U31:AY31&lt;&gt;"",0),0)),"")</f>
        <v/>
      </c>
      <c r="N31" s="61">
        <f>IFERROR(LOOKUP(2,1/(U31:AY31&lt;&gt;""),U$2:AY$2),"")</f>
        <v/>
      </c>
      <c r="O31" s="59" t="n"/>
      <c r="P31" s="59" t="n"/>
      <c r="Q31" s="59" t="n"/>
      <c r="R31" s="59" t="n"/>
      <c r="S31" s="14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53" t="n"/>
      <c r="AH31" s="53" t="n"/>
      <c r="AI31" s="53" t="n"/>
      <c r="AJ31" s="53" t="n"/>
      <c r="AK31" s="53" t="n"/>
      <c r="AL31" s="53" t="n"/>
      <c r="AM31" s="53" t="n"/>
      <c r="AN31" s="53" t="n"/>
      <c r="AO31" s="53" t="n"/>
      <c r="AP31" s="53" t="n"/>
      <c r="AQ31" s="53" t="n"/>
      <c r="AR31" s="53" t="n"/>
      <c r="AS31" s="53" t="n"/>
      <c r="AT31" s="53" t="n"/>
      <c r="AU31" s="53" t="n"/>
      <c r="AV31" s="53" t="n"/>
      <c r="AW31" s="53" t="n"/>
      <c r="AX31" s="53" t="n"/>
      <c r="AY31" s="53" t="n"/>
    </row>
    <row r="32" ht="15" customHeight="1">
      <c r="A32" s="62" t="n"/>
      <c r="B32" s="55">
        <f>IF($B$30="","",$B$30)</f>
        <v/>
      </c>
      <c r="C32" s="63" t="inlineStr">
        <is>
          <t>마케팅1팀</t>
        </is>
      </c>
      <c r="D32" s="55">
        <f>IF($D$30="","",$D$30)</f>
        <v/>
      </c>
      <c r="E32" s="64" t="inlineStr">
        <is>
          <t>영상</t>
        </is>
      </c>
      <c r="F32" s="44" t="n"/>
      <c r="G32" s="58">
        <f>IF($G$30="","",$G$30)</f>
        <v/>
      </c>
      <c r="H32" s="59" t="n"/>
      <c r="I32" s="59" t="n"/>
      <c r="J32" s="59" t="n"/>
      <c r="K32" s="59" t="n"/>
      <c r="L32" s="65">
        <f>IF(SUM(U32:AY32)=0,"",SUM(U32:AY32))</f>
        <v/>
      </c>
      <c r="M32" s="66">
        <f>IFERROR(INDEX(U$2:AY$2,MATCH(TRUE,INDEX(U32:AY32&lt;&gt;"",0),0)),"")</f>
        <v/>
      </c>
      <c r="N32" s="66">
        <f>IFERROR(LOOKUP(2,1/(U32:AY32&lt;&gt;""),U$2:AY$2),"")</f>
        <v/>
      </c>
      <c r="O32" s="59" t="n"/>
      <c r="P32" s="59" t="n"/>
      <c r="Q32" s="59" t="n"/>
      <c r="R32" s="59" t="n"/>
      <c r="S32" s="14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53" t="n"/>
      <c r="AK32" s="53" t="n"/>
      <c r="AL32" s="53" t="n"/>
      <c r="AM32" s="53" t="n"/>
      <c r="AN32" s="53" t="n"/>
      <c r="AO32" s="53" t="n"/>
      <c r="AP32" s="53" t="n"/>
      <c r="AQ32" s="53" t="n"/>
      <c r="AR32" s="53" t="n"/>
      <c r="AS32" s="53" t="n"/>
      <c r="AT32" s="53" t="n"/>
      <c r="AU32" s="53" t="n"/>
      <c r="AV32" s="53" t="n"/>
      <c r="AW32" s="53" t="n"/>
      <c r="AX32" s="53" t="n"/>
      <c r="AY32" s="53" t="n"/>
    </row>
    <row r="33" ht="15" customHeight="1">
      <c r="A33" s="40">
        <f>IF($D$33="","",9)</f>
        <v/>
      </c>
      <c r="B33" s="10" t="n"/>
      <c r="C33" s="41" t="inlineStr">
        <is>
          <t>마케팅1팀</t>
        </is>
      </c>
      <c r="D33" s="42" t="n"/>
      <c r="E33" s="43" t="inlineStr">
        <is>
          <t>기획</t>
        </is>
      </c>
      <c r="F33" s="44" t="n"/>
      <c r="G33" s="45" t="n"/>
      <c r="H33" s="46">
        <f>IF($I$33="","",IF($I$33&lt;0,"🔴지연",IF($I$33&lt;=1,"🟡임박","🟢여유")))</f>
        <v/>
      </c>
      <c r="I33" s="47">
        <f>IF(OR($G$33="",$K$33=""),"",$G$33-$K$33)</f>
        <v/>
      </c>
      <c r="J33" s="48">
        <f>IF(SUM($L$33:$L$35)=0,"",SUM($L$33:$L$35))</f>
        <v/>
      </c>
      <c r="K33" s="49">
        <f>IF($J$33="","",MAX($N$33:$N$35))</f>
        <v/>
      </c>
      <c r="L33" s="50">
        <f>IF(SUM(U33:AY33)=0,"",SUM(U33:AY33))</f>
        <v/>
      </c>
      <c r="M33" s="51">
        <f>IFERROR(INDEX(U$2:AY$2,MATCH(TRUE,INDEX(U33:AY33&lt;&gt;"",0),0)),"")</f>
        <v/>
      </c>
      <c r="N33" s="51">
        <f>IFERROR(LOOKUP(2,1/(U33:AY33&lt;&gt;""),U$2:AY$2),"")</f>
        <v/>
      </c>
      <c r="O33" s="52" t="n"/>
      <c r="P33" s="52" t="n"/>
      <c r="Q33" s="52" t="n"/>
      <c r="R33" s="44" t="n"/>
      <c r="S33" s="14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53" t="n"/>
    </row>
    <row r="34" ht="15" customHeight="1">
      <c r="A34" s="54" t="n"/>
      <c r="B34" s="55">
        <f>IF($B$33="","",$B$33)</f>
        <v/>
      </c>
      <c r="C34" s="56" t="inlineStr">
        <is>
          <t>마케팅1팀</t>
        </is>
      </c>
      <c r="D34" s="55">
        <f>IF($D$33="","",$D$33)</f>
        <v/>
      </c>
      <c r="E34" s="57" t="inlineStr">
        <is>
          <t>이미지</t>
        </is>
      </c>
      <c r="F34" s="44" t="n"/>
      <c r="G34" s="58">
        <f>IF($G$33="","",$G$33)</f>
        <v/>
      </c>
      <c r="H34" s="59" t="n"/>
      <c r="I34" s="59" t="n"/>
      <c r="J34" s="59" t="n"/>
      <c r="K34" s="59" t="n"/>
      <c r="L34" s="60">
        <f>IF(SUM(U34:AY34)=0,"",SUM(U34:AY34))</f>
        <v/>
      </c>
      <c r="M34" s="61">
        <f>IFERROR(INDEX(U$2:AY$2,MATCH(TRUE,INDEX(U34:AY34&lt;&gt;"",0),0)),"")</f>
        <v/>
      </c>
      <c r="N34" s="61">
        <f>IFERROR(LOOKUP(2,1/(U34:AY34&lt;&gt;""),U$2:AY$2),"")</f>
        <v/>
      </c>
      <c r="O34" s="59" t="n"/>
      <c r="P34" s="59" t="n"/>
      <c r="Q34" s="59" t="n"/>
      <c r="R34" s="59" t="n"/>
      <c r="S34" s="14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  <c r="AD34" s="53" t="n"/>
      <c r="AE34" s="53" t="n"/>
      <c r="AF34" s="53" t="n"/>
      <c r="AG34" s="53" t="n"/>
      <c r="AH34" s="53" t="n"/>
      <c r="AI34" s="53" t="n"/>
      <c r="AJ34" s="53" t="n"/>
      <c r="AK34" s="53" t="n"/>
      <c r="AL34" s="53" t="n"/>
      <c r="AM34" s="53" t="n"/>
      <c r="AN34" s="53" t="n"/>
      <c r="AO34" s="53" t="n"/>
      <c r="AP34" s="53" t="n"/>
      <c r="AQ34" s="53" t="n"/>
      <c r="AR34" s="53" t="n"/>
      <c r="AS34" s="53" t="n"/>
      <c r="AT34" s="53" t="n"/>
      <c r="AU34" s="53" t="n"/>
      <c r="AV34" s="53" t="n"/>
      <c r="AW34" s="53" t="n"/>
      <c r="AX34" s="53" t="n"/>
      <c r="AY34" s="53" t="n"/>
    </row>
    <row r="35" ht="15" customHeight="1">
      <c r="A35" s="62" t="n"/>
      <c r="B35" s="55">
        <f>IF($B$33="","",$B$33)</f>
        <v/>
      </c>
      <c r="C35" s="63" t="inlineStr">
        <is>
          <t>마케팅1팀</t>
        </is>
      </c>
      <c r="D35" s="55">
        <f>IF($D$33="","",$D$33)</f>
        <v/>
      </c>
      <c r="E35" s="64" t="inlineStr">
        <is>
          <t>영상</t>
        </is>
      </c>
      <c r="F35" s="44" t="n"/>
      <c r="G35" s="58">
        <f>IF($G$33="","",$G$33)</f>
        <v/>
      </c>
      <c r="H35" s="59" t="n"/>
      <c r="I35" s="59" t="n"/>
      <c r="J35" s="59" t="n"/>
      <c r="K35" s="59" t="n"/>
      <c r="L35" s="65">
        <f>IF(SUM(U35:AY35)=0,"",SUM(U35:AY35))</f>
        <v/>
      </c>
      <c r="M35" s="66">
        <f>IFERROR(INDEX(U$2:AY$2,MATCH(TRUE,INDEX(U35:AY35&lt;&gt;"",0),0)),"")</f>
        <v/>
      </c>
      <c r="N35" s="66">
        <f>IFERROR(LOOKUP(2,1/(U35:AY35&lt;&gt;""),U$2:AY$2),"")</f>
        <v/>
      </c>
      <c r="O35" s="59" t="n"/>
      <c r="P35" s="59" t="n"/>
      <c r="Q35" s="59" t="n"/>
      <c r="R35" s="59" t="n"/>
      <c r="S35" s="14" t="n"/>
      <c r="U35" s="53" t="n"/>
      <c r="V35" s="53" t="n"/>
      <c r="W35" s="53" t="n"/>
      <c r="X35" s="53" t="n"/>
      <c r="Y35" s="53" t="n"/>
      <c r="Z35" s="53" t="n"/>
      <c r="AA35" s="53" t="n"/>
      <c r="AB35" s="53" t="n"/>
      <c r="AC35" s="53" t="n"/>
      <c r="AD35" s="53" t="n"/>
      <c r="AE35" s="53" t="n"/>
      <c r="AF35" s="53" t="n"/>
      <c r="AG35" s="53" t="n"/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</row>
    <row r="36" ht="15" customHeight="1">
      <c r="A36" s="40">
        <f>IF($D$36="","",10)</f>
        <v/>
      </c>
      <c r="B36" s="10" t="n"/>
      <c r="C36" s="41" t="inlineStr">
        <is>
          <t>마케팅1팀</t>
        </is>
      </c>
      <c r="D36" s="42" t="n"/>
      <c r="E36" s="43" t="inlineStr">
        <is>
          <t>기획</t>
        </is>
      </c>
      <c r="F36" s="44" t="n"/>
      <c r="G36" s="45" t="n"/>
      <c r="H36" s="46">
        <f>IF($I$36="","",IF($I$36&lt;0,"🔴지연",IF($I$36&lt;=1,"🟡임박","🟢여유")))</f>
        <v/>
      </c>
      <c r="I36" s="47">
        <f>IF(OR($G$36="",$K$36=""),"",$G$36-$K$36)</f>
        <v/>
      </c>
      <c r="J36" s="48">
        <f>IF(SUM($L$36:$L$38)=0,"",SUM($L$36:$L$38))</f>
        <v/>
      </c>
      <c r="K36" s="49">
        <f>IF($J$36="","",MAX($N$36:$N$38))</f>
        <v/>
      </c>
      <c r="L36" s="50">
        <f>IF(SUM(U36:AY36)=0,"",SUM(U36:AY36))</f>
        <v/>
      </c>
      <c r="M36" s="51">
        <f>IFERROR(INDEX(U$2:AY$2,MATCH(TRUE,INDEX(U36:AY36&lt;&gt;"",0),0)),"")</f>
        <v/>
      </c>
      <c r="N36" s="51">
        <f>IFERROR(LOOKUP(2,1/(U36:AY36&lt;&gt;""),U$2:AY$2),"")</f>
        <v/>
      </c>
      <c r="O36" s="52" t="n"/>
      <c r="P36" s="52" t="n"/>
      <c r="Q36" s="52" t="n"/>
      <c r="R36" s="44" t="n"/>
      <c r="S36" s="14" t="n"/>
      <c r="U36" s="53" t="n"/>
      <c r="V36" s="53" t="n"/>
      <c r="W36" s="53" t="n"/>
      <c r="X36" s="53" t="n"/>
      <c r="Y36" s="53" t="n"/>
      <c r="Z36" s="53" t="n"/>
      <c r="AA36" s="53" t="n"/>
      <c r="AB36" s="53" t="n"/>
      <c r="AC36" s="53" t="n"/>
      <c r="AD36" s="53" t="n"/>
      <c r="AE36" s="53" t="n"/>
      <c r="AF36" s="53" t="n"/>
      <c r="AG36" s="53" t="n"/>
      <c r="AH36" s="53" t="n"/>
      <c r="AI36" s="53" t="n"/>
      <c r="AJ36" s="53" t="n"/>
      <c r="AK36" s="53" t="n"/>
      <c r="AL36" s="53" t="n"/>
      <c r="AM36" s="53" t="n"/>
      <c r="AN36" s="53" t="n"/>
      <c r="AO36" s="53" t="n"/>
      <c r="AP36" s="53" t="n"/>
      <c r="AQ36" s="53" t="n"/>
      <c r="AR36" s="53" t="n"/>
      <c r="AS36" s="53" t="n"/>
      <c r="AT36" s="53" t="n"/>
      <c r="AU36" s="53" t="n"/>
      <c r="AV36" s="53" t="n"/>
      <c r="AW36" s="53" t="n"/>
      <c r="AX36" s="53" t="n"/>
      <c r="AY36" s="53" t="n"/>
    </row>
    <row r="37" ht="15" customHeight="1">
      <c r="A37" s="54" t="n"/>
      <c r="B37" s="55">
        <f>IF($B$36="","",$B$36)</f>
        <v/>
      </c>
      <c r="C37" s="56" t="inlineStr">
        <is>
          <t>마케팅1팀</t>
        </is>
      </c>
      <c r="D37" s="55">
        <f>IF($D$36="","",$D$36)</f>
        <v/>
      </c>
      <c r="E37" s="57" t="inlineStr">
        <is>
          <t>이미지</t>
        </is>
      </c>
      <c r="F37" s="44" t="n"/>
      <c r="G37" s="58">
        <f>IF($G$36="","",$G$36)</f>
        <v/>
      </c>
      <c r="H37" s="59" t="n"/>
      <c r="I37" s="59" t="n"/>
      <c r="J37" s="59" t="n"/>
      <c r="K37" s="59" t="n"/>
      <c r="L37" s="60">
        <f>IF(SUM(U37:AY37)=0,"",SUM(U37:AY37))</f>
        <v/>
      </c>
      <c r="M37" s="61">
        <f>IFERROR(INDEX(U$2:AY$2,MATCH(TRUE,INDEX(U37:AY37&lt;&gt;"",0),0)),"")</f>
        <v/>
      </c>
      <c r="N37" s="61">
        <f>IFERROR(LOOKUP(2,1/(U37:AY37&lt;&gt;""),U$2:AY$2),"")</f>
        <v/>
      </c>
      <c r="O37" s="59" t="n"/>
      <c r="P37" s="59" t="n"/>
      <c r="Q37" s="59" t="n"/>
      <c r="R37" s="59" t="n"/>
      <c r="S37" s="14" t="n"/>
      <c r="U37" s="53" t="n"/>
      <c r="V37" s="53" t="n"/>
      <c r="W37" s="53" t="n"/>
      <c r="X37" s="53" t="n"/>
      <c r="Y37" s="53" t="n"/>
      <c r="Z37" s="53" t="n"/>
      <c r="AA37" s="53" t="n"/>
      <c r="AB37" s="53" t="n"/>
      <c r="AC37" s="53" t="n"/>
      <c r="AD37" s="53" t="n"/>
      <c r="AE37" s="53" t="n"/>
      <c r="AF37" s="53" t="n"/>
      <c r="AG37" s="53" t="n"/>
      <c r="AH37" s="53" t="n"/>
      <c r="AI37" s="53" t="n"/>
      <c r="AJ37" s="53" t="n"/>
      <c r="AK37" s="53" t="n"/>
      <c r="AL37" s="53" t="n"/>
      <c r="AM37" s="53" t="n"/>
      <c r="AN37" s="53" t="n"/>
      <c r="AO37" s="53" t="n"/>
      <c r="AP37" s="53" t="n"/>
      <c r="AQ37" s="53" t="n"/>
      <c r="AR37" s="53" t="n"/>
      <c r="AS37" s="53" t="n"/>
      <c r="AT37" s="53" t="n"/>
      <c r="AU37" s="53" t="n"/>
      <c r="AV37" s="53" t="n"/>
      <c r="AW37" s="53" t="n"/>
      <c r="AX37" s="53" t="n"/>
      <c r="AY37" s="53" t="n"/>
    </row>
    <row r="38" ht="15" customHeight="1">
      <c r="A38" s="62" t="n"/>
      <c r="B38" s="55">
        <f>IF($B$36="","",$B$36)</f>
        <v/>
      </c>
      <c r="C38" s="63" t="inlineStr">
        <is>
          <t>마케팅1팀</t>
        </is>
      </c>
      <c r="D38" s="55">
        <f>IF($D$36="","",$D$36)</f>
        <v/>
      </c>
      <c r="E38" s="64" t="inlineStr">
        <is>
          <t>영상</t>
        </is>
      </c>
      <c r="F38" s="44" t="n"/>
      <c r="G38" s="58">
        <f>IF($G$36="","",$G$36)</f>
        <v/>
      </c>
      <c r="H38" s="59" t="n"/>
      <c r="I38" s="59" t="n"/>
      <c r="J38" s="59" t="n"/>
      <c r="K38" s="59" t="n"/>
      <c r="L38" s="65">
        <f>IF(SUM(U38:AY38)=0,"",SUM(U38:AY38))</f>
        <v/>
      </c>
      <c r="M38" s="66">
        <f>IFERROR(INDEX(U$2:AY$2,MATCH(TRUE,INDEX(U38:AY38&lt;&gt;"",0),0)),"")</f>
        <v/>
      </c>
      <c r="N38" s="66">
        <f>IFERROR(LOOKUP(2,1/(U38:AY38&lt;&gt;""),U$2:AY$2),"")</f>
        <v/>
      </c>
      <c r="O38" s="59" t="n"/>
      <c r="P38" s="59" t="n"/>
      <c r="Q38" s="59" t="n"/>
      <c r="R38" s="59" t="n"/>
      <c r="S38" s="14" t="n"/>
      <c r="U38" s="53" t="n"/>
      <c r="V38" s="53" t="n"/>
      <c r="W38" s="53" t="n"/>
      <c r="X38" s="53" t="n"/>
      <c r="Y38" s="53" t="n"/>
      <c r="Z38" s="53" t="n"/>
      <c r="AA38" s="53" t="n"/>
      <c r="AB38" s="53" t="n"/>
      <c r="AC38" s="53" t="n"/>
      <c r="AD38" s="53" t="n"/>
      <c r="AE38" s="53" t="n"/>
      <c r="AF38" s="53" t="n"/>
      <c r="AG38" s="53" t="n"/>
      <c r="AH38" s="53" t="n"/>
      <c r="AI38" s="53" t="n"/>
      <c r="AJ38" s="53" t="n"/>
      <c r="AK38" s="53" t="n"/>
      <c r="AL38" s="53" t="n"/>
      <c r="AM38" s="53" t="n"/>
      <c r="AN38" s="53" t="n"/>
      <c r="AO38" s="53" t="n"/>
      <c r="AP38" s="53" t="n"/>
      <c r="AQ38" s="53" t="n"/>
      <c r="AR38" s="53" t="n"/>
      <c r="AS38" s="53" t="n"/>
      <c r="AT38" s="53" t="n"/>
      <c r="AU38" s="53" t="n"/>
      <c r="AV38" s="53" t="n"/>
      <c r="AW38" s="53" t="n"/>
      <c r="AX38" s="53" t="n"/>
      <c r="AY38" s="53" t="n"/>
    </row>
    <row r="39" ht="15" customHeight="1">
      <c r="A39" s="40">
        <f>IF($D$39="","",11)</f>
        <v/>
      </c>
      <c r="B39" s="10" t="n"/>
      <c r="C39" s="41" t="inlineStr">
        <is>
          <t>마케팅1팀</t>
        </is>
      </c>
      <c r="D39" s="42" t="n"/>
      <c r="E39" s="43" t="inlineStr">
        <is>
          <t>기획</t>
        </is>
      </c>
      <c r="F39" s="44" t="n"/>
      <c r="G39" s="45" t="n"/>
      <c r="H39" s="46">
        <f>IF($I$39="","",IF($I$39&lt;0,"🔴지연",IF($I$39&lt;=1,"🟡임박","🟢여유")))</f>
        <v/>
      </c>
      <c r="I39" s="47">
        <f>IF(OR($G$39="",$K$39=""),"",$G$39-$K$39)</f>
        <v/>
      </c>
      <c r="J39" s="48">
        <f>IF(SUM($L$39:$L$41)=0,"",SUM($L$39:$L$41))</f>
        <v/>
      </c>
      <c r="K39" s="49">
        <f>IF($J$39="","",MAX($N$39:$N$41))</f>
        <v/>
      </c>
      <c r="L39" s="50">
        <f>IF(SUM(U39:AY39)=0,"",SUM(U39:AY39))</f>
        <v/>
      </c>
      <c r="M39" s="51">
        <f>IFERROR(INDEX(U$2:AY$2,MATCH(TRUE,INDEX(U39:AY39&lt;&gt;"",0),0)),"")</f>
        <v/>
      </c>
      <c r="N39" s="51">
        <f>IFERROR(LOOKUP(2,1/(U39:AY39&lt;&gt;""),U$2:AY$2),"")</f>
        <v/>
      </c>
      <c r="O39" s="52" t="n"/>
      <c r="P39" s="52" t="n"/>
      <c r="Q39" s="52" t="n"/>
      <c r="R39" s="44" t="n"/>
      <c r="S39" s="14" t="n"/>
      <c r="U39" s="53" t="n"/>
      <c r="V39" s="53" t="n"/>
      <c r="W39" s="53" t="n"/>
      <c r="X39" s="53" t="n"/>
      <c r="Y39" s="53" t="n"/>
      <c r="Z39" s="53" t="n"/>
      <c r="AA39" s="53" t="n"/>
      <c r="AB39" s="53" t="n"/>
      <c r="AC39" s="53" t="n"/>
      <c r="AD39" s="53" t="n"/>
      <c r="AE39" s="53" t="n"/>
      <c r="AF39" s="53" t="n"/>
      <c r="AG39" s="53" t="n"/>
      <c r="AH39" s="53" t="n"/>
      <c r="AI39" s="53" t="n"/>
      <c r="AJ39" s="53" t="n"/>
      <c r="AK39" s="53" t="n"/>
      <c r="AL39" s="53" t="n"/>
      <c r="AM39" s="53" t="n"/>
      <c r="AN39" s="53" t="n"/>
      <c r="AO39" s="53" t="n"/>
      <c r="AP39" s="53" t="n"/>
      <c r="AQ39" s="53" t="n"/>
      <c r="AR39" s="53" t="n"/>
      <c r="AS39" s="53" t="n"/>
      <c r="AT39" s="53" t="n"/>
      <c r="AU39" s="53" t="n"/>
      <c r="AV39" s="53" t="n"/>
      <c r="AW39" s="53" t="n"/>
      <c r="AX39" s="53" t="n"/>
      <c r="AY39" s="53" t="n"/>
    </row>
    <row r="40" ht="15" customHeight="1">
      <c r="A40" s="54" t="n"/>
      <c r="B40" s="55">
        <f>IF($B$39="","",$B$39)</f>
        <v/>
      </c>
      <c r="C40" s="56" t="inlineStr">
        <is>
          <t>마케팅1팀</t>
        </is>
      </c>
      <c r="D40" s="55">
        <f>IF($D$39="","",$D$39)</f>
        <v/>
      </c>
      <c r="E40" s="57" t="inlineStr">
        <is>
          <t>이미지</t>
        </is>
      </c>
      <c r="F40" s="44" t="n"/>
      <c r="G40" s="58">
        <f>IF($G$39="","",$G$39)</f>
        <v/>
      </c>
      <c r="H40" s="59" t="n"/>
      <c r="I40" s="59" t="n"/>
      <c r="J40" s="59" t="n"/>
      <c r="K40" s="59" t="n"/>
      <c r="L40" s="60">
        <f>IF(SUM(U40:AY40)=0,"",SUM(U40:AY40))</f>
        <v/>
      </c>
      <c r="M40" s="61">
        <f>IFERROR(INDEX(U$2:AY$2,MATCH(TRUE,INDEX(U40:AY40&lt;&gt;"",0),0)),"")</f>
        <v/>
      </c>
      <c r="N40" s="61">
        <f>IFERROR(LOOKUP(2,1/(U40:AY40&lt;&gt;""),U$2:AY$2),"")</f>
        <v/>
      </c>
      <c r="O40" s="59" t="n"/>
      <c r="P40" s="59" t="n"/>
      <c r="Q40" s="59" t="n"/>
      <c r="R40" s="59" t="n"/>
      <c r="S40" s="14" t="n"/>
      <c r="U40" s="53" t="n"/>
      <c r="V40" s="53" t="n"/>
      <c r="W40" s="53" t="n"/>
      <c r="X40" s="53" t="n"/>
      <c r="Y40" s="53" t="n"/>
      <c r="Z40" s="53" t="n"/>
      <c r="AA40" s="53" t="n"/>
      <c r="AB40" s="53" t="n"/>
      <c r="AC40" s="53" t="n"/>
      <c r="AD40" s="53" t="n"/>
      <c r="AE40" s="53" t="n"/>
      <c r="AF40" s="53" t="n"/>
      <c r="AG40" s="53" t="n"/>
      <c r="AH40" s="53" t="n"/>
      <c r="AI40" s="53" t="n"/>
      <c r="AJ40" s="53" t="n"/>
      <c r="AK40" s="53" t="n"/>
      <c r="AL40" s="53" t="n"/>
      <c r="AM40" s="53" t="n"/>
      <c r="AN40" s="53" t="n"/>
      <c r="AO40" s="53" t="n"/>
      <c r="AP40" s="53" t="n"/>
      <c r="AQ40" s="53" t="n"/>
      <c r="AR40" s="53" t="n"/>
      <c r="AS40" s="53" t="n"/>
      <c r="AT40" s="53" t="n"/>
      <c r="AU40" s="53" t="n"/>
      <c r="AV40" s="53" t="n"/>
      <c r="AW40" s="53" t="n"/>
      <c r="AX40" s="53" t="n"/>
      <c r="AY40" s="53" t="n"/>
    </row>
    <row r="41" ht="15" customHeight="1">
      <c r="A41" s="62" t="n"/>
      <c r="B41" s="55">
        <f>IF($B$39="","",$B$39)</f>
        <v/>
      </c>
      <c r="C41" s="63" t="inlineStr">
        <is>
          <t>마케팅1팀</t>
        </is>
      </c>
      <c r="D41" s="55">
        <f>IF($D$39="","",$D$39)</f>
        <v/>
      </c>
      <c r="E41" s="64" t="inlineStr">
        <is>
          <t>영상</t>
        </is>
      </c>
      <c r="F41" s="44" t="n"/>
      <c r="G41" s="58">
        <f>IF($G$39="","",$G$39)</f>
        <v/>
      </c>
      <c r="H41" s="59" t="n"/>
      <c r="I41" s="59" t="n"/>
      <c r="J41" s="59" t="n"/>
      <c r="K41" s="59" t="n"/>
      <c r="L41" s="65">
        <f>IF(SUM(U41:AY41)=0,"",SUM(U41:AY41))</f>
        <v/>
      </c>
      <c r="M41" s="66">
        <f>IFERROR(INDEX(U$2:AY$2,MATCH(TRUE,INDEX(U41:AY41&lt;&gt;"",0),0)),"")</f>
        <v/>
      </c>
      <c r="N41" s="66">
        <f>IFERROR(LOOKUP(2,1/(U41:AY41&lt;&gt;""),U$2:AY$2),"")</f>
        <v/>
      </c>
      <c r="O41" s="59" t="n"/>
      <c r="P41" s="59" t="n"/>
      <c r="Q41" s="59" t="n"/>
      <c r="R41" s="59" t="n"/>
      <c r="S41" s="14" t="n"/>
      <c r="U41" s="53" t="n"/>
      <c r="V41" s="53" t="n"/>
      <c r="W41" s="53" t="n"/>
      <c r="X41" s="53" t="n"/>
      <c r="Y41" s="53" t="n"/>
      <c r="Z41" s="53" t="n"/>
      <c r="AA41" s="53" t="n"/>
      <c r="AB41" s="53" t="n"/>
      <c r="AC41" s="53" t="n"/>
      <c r="AD41" s="53" t="n"/>
      <c r="AE41" s="53" t="n"/>
      <c r="AF41" s="53" t="n"/>
      <c r="AG41" s="53" t="n"/>
      <c r="AH41" s="53" t="n"/>
      <c r="AI41" s="53" t="n"/>
      <c r="AJ41" s="53" t="n"/>
      <c r="AK41" s="53" t="n"/>
      <c r="AL41" s="53" t="n"/>
      <c r="AM41" s="53" t="n"/>
      <c r="AN41" s="53" t="n"/>
      <c r="AO41" s="53" t="n"/>
      <c r="AP41" s="53" t="n"/>
      <c r="AQ41" s="53" t="n"/>
      <c r="AR41" s="53" t="n"/>
      <c r="AS41" s="53" t="n"/>
      <c r="AT41" s="53" t="n"/>
      <c r="AU41" s="53" t="n"/>
      <c r="AV41" s="53" t="n"/>
      <c r="AW41" s="53" t="n"/>
      <c r="AX41" s="53" t="n"/>
      <c r="AY41" s="53" t="n"/>
    </row>
    <row r="42" ht="15" customHeight="1">
      <c r="A42" s="40">
        <f>IF($D$42="","",12)</f>
        <v/>
      </c>
      <c r="B42" s="10" t="n"/>
      <c r="C42" s="41" t="inlineStr">
        <is>
          <t>마케팅1팀</t>
        </is>
      </c>
      <c r="D42" s="42" t="n"/>
      <c r="E42" s="43" t="inlineStr">
        <is>
          <t>기획</t>
        </is>
      </c>
      <c r="F42" s="44" t="n"/>
      <c r="G42" s="45" t="n"/>
      <c r="H42" s="46">
        <f>IF($I$42="","",IF($I$42&lt;0,"🔴지연",IF($I$42&lt;=1,"🟡임박","🟢여유")))</f>
        <v/>
      </c>
      <c r="I42" s="47">
        <f>IF(OR($G$42="",$K$42=""),"",$G$42-$K$42)</f>
        <v/>
      </c>
      <c r="J42" s="48">
        <f>IF(SUM($L$42:$L$44)=0,"",SUM($L$42:$L$44))</f>
        <v/>
      </c>
      <c r="K42" s="49">
        <f>IF($J$42="","",MAX($N$42:$N$44))</f>
        <v/>
      </c>
      <c r="L42" s="50">
        <f>IF(SUM(U42:AY42)=0,"",SUM(U42:AY42))</f>
        <v/>
      </c>
      <c r="M42" s="51">
        <f>IFERROR(INDEX(U$2:AY$2,MATCH(TRUE,INDEX(U42:AY42&lt;&gt;"",0),0)),"")</f>
        <v/>
      </c>
      <c r="N42" s="51">
        <f>IFERROR(LOOKUP(2,1/(U42:AY42&lt;&gt;""),U$2:AY$2),"")</f>
        <v/>
      </c>
      <c r="O42" s="52" t="n"/>
      <c r="P42" s="52" t="n"/>
      <c r="Q42" s="52" t="n"/>
      <c r="R42" s="44" t="n"/>
      <c r="S42" s="14" t="n"/>
      <c r="U42" s="53" t="n"/>
      <c r="V42" s="53" t="n"/>
      <c r="W42" s="53" t="n"/>
      <c r="X42" s="53" t="n"/>
      <c r="Y42" s="53" t="n"/>
      <c r="Z42" s="53" t="n"/>
      <c r="AA42" s="53" t="n"/>
      <c r="AB42" s="53" t="n"/>
      <c r="AC42" s="53" t="n"/>
      <c r="AD42" s="53" t="n"/>
      <c r="AE42" s="53" t="n"/>
      <c r="AF42" s="53" t="n"/>
      <c r="AG42" s="53" t="n"/>
      <c r="AH42" s="53" t="n"/>
      <c r="AI42" s="53" t="n"/>
      <c r="AJ42" s="53" t="n"/>
      <c r="AK42" s="53" t="n"/>
      <c r="AL42" s="53" t="n"/>
      <c r="AM42" s="53" t="n"/>
      <c r="AN42" s="53" t="n"/>
      <c r="AO42" s="53" t="n"/>
      <c r="AP42" s="53" t="n"/>
      <c r="AQ42" s="53" t="n"/>
      <c r="AR42" s="53" t="n"/>
      <c r="AS42" s="53" t="n"/>
      <c r="AT42" s="53" t="n"/>
      <c r="AU42" s="53" t="n"/>
      <c r="AV42" s="53" t="n"/>
      <c r="AW42" s="53" t="n"/>
      <c r="AX42" s="53" t="n"/>
      <c r="AY42" s="53" t="n"/>
    </row>
    <row r="43" ht="15" customHeight="1">
      <c r="A43" s="54" t="n"/>
      <c r="B43" s="55">
        <f>IF($B$42="","",$B$42)</f>
        <v/>
      </c>
      <c r="C43" s="56" t="inlineStr">
        <is>
          <t>마케팅1팀</t>
        </is>
      </c>
      <c r="D43" s="55">
        <f>IF($D$42="","",$D$42)</f>
        <v/>
      </c>
      <c r="E43" s="57" t="inlineStr">
        <is>
          <t>이미지</t>
        </is>
      </c>
      <c r="F43" s="44" t="n"/>
      <c r="G43" s="58">
        <f>IF($G$42="","",$G$42)</f>
        <v/>
      </c>
      <c r="H43" s="59" t="n"/>
      <c r="I43" s="59" t="n"/>
      <c r="J43" s="59" t="n"/>
      <c r="K43" s="59" t="n"/>
      <c r="L43" s="60">
        <f>IF(SUM(U43:AY43)=0,"",SUM(U43:AY43))</f>
        <v/>
      </c>
      <c r="M43" s="61">
        <f>IFERROR(INDEX(U$2:AY$2,MATCH(TRUE,INDEX(U43:AY43&lt;&gt;"",0),0)),"")</f>
        <v/>
      </c>
      <c r="N43" s="61">
        <f>IFERROR(LOOKUP(2,1/(U43:AY43&lt;&gt;""),U$2:AY$2),"")</f>
        <v/>
      </c>
      <c r="O43" s="59" t="n"/>
      <c r="P43" s="59" t="n"/>
      <c r="Q43" s="59" t="n"/>
      <c r="R43" s="59" t="n"/>
      <c r="S43" s="14" t="n"/>
      <c r="U43" s="53" t="n"/>
      <c r="V43" s="53" t="n"/>
      <c r="W43" s="53" t="n"/>
      <c r="X43" s="53" t="n"/>
      <c r="Y43" s="53" t="n"/>
      <c r="Z43" s="53" t="n"/>
      <c r="AA43" s="53" t="n"/>
      <c r="AB43" s="53" t="n"/>
      <c r="AC43" s="53" t="n"/>
      <c r="AD43" s="53" t="n"/>
      <c r="AE43" s="53" t="n"/>
      <c r="AF43" s="53" t="n"/>
      <c r="AG43" s="53" t="n"/>
      <c r="AH43" s="53" t="n"/>
      <c r="AI43" s="53" t="n"/>
      <c r="AJ43" s="53" t="n"/>
      <c r="AK43" s="53" t="n"/>
      <c r="AL43" s="53" t="n"/>
      <c r="AM43" s="53" t="n"/>
      <c r="AN43" s="53" t="n"/>
      <c r="AO43" s="53" t="n"/>
      <c r="AP43" s="53" t="n"/>
      <c r="AQ43" s="53" t="n"/>
      <c r="AR43" s="53" t="n"/>
      <c r="AS43" s="53" t="n"/>
      <c r="AT43" s="53" t="n"/>
      <c r="AU43" s="53" t="n"/>
      <c r="AV43" s="53" t="n"/>
      <c r="AW43" s="53" t="n"/>
      <c r="AX43" s="53" t="n"/>
      <c r="AY43" s="53" t="n"/>
    </row>
    <row r="44" ht="15" customHeight="1">
      <c r="A44" s="62" t="n"/>
      <c r="B44" s="55">
        <f>IF($B$42="","",$B$42)</f>
        <v/>
      </c>
      <c r="C44" s="63" t="inlineStr">
        <is>
          <t>마케팅1팀</t>
        </is>
      </c>
      <c r="D44" s="55">
        <f>IF($D$42="","",$D$42)</f>
        <v/>
      </c>
      <c r="E44" s="64" t="inlineStr">
        <is>
          <t>영상</t>
        </is>
      </c>
      <c r="F44" s="44" t="n"/>
      <c r="G44" s="58">
        <f>IF($G$42="","",$G$42)</f>
        <v/>
      </c>
      <c r="H44" s="59" t="n"/>
      <c r="I44" s="59" t="n"/>
      <c r="J44" s="59" t="n"/>
      <c r="K44" s="59" t="n"/>
      <c r="L44" s="65">
        <f>IF(SUM(U44:AY44)=0,"",SUM(U44:AY44))</f>
        <v/>
      </c>
      <c r="M44" s="66">
        <f>IFERROR(INDEX(U$2:AY$2,MATCH(TRUE,INDEX(U44:AY44&lt;&gt;"",0),0)),"")</f>
        <v/>
      </c>
      <c r="N44" s="66">
        <f>IFERROR(LOOKUP(2,1/(U44:AY44&lt;&gt;""),U$2:AY$2),"")</f>
        <v/>
      </c>
      <c r="O44" s="59" t="n"/>
      <c r="P44" s="59" t="n"/>
      <c r="Q44" s="59" t="n"/>
      <c r="R44" s="59" t="n"/>
      <c r="S44" s="14" t="n"/>
      <c r="U44" s="53" t="n"/>
      <c r="V44" s="53" t="n"/>
      <c r="W44" s="53" t="n"/>
      <c r="X44" s="53" t="n"/>
      <c r="Y44" s="53" t="n"/>
      <c r="Z44" s="53" t="n"/>
      <c r="AA44" s="53" t="n"/>
      <c r="AB44" s="53" t="n"/>
      <c r="AC44" s="53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53" t="n"/>
      <c r="AN44" s="53" t="n"/>
      <c r="AO44" s="53" t="n"/>
      <c r="AP44" s="53" t="n"/>
      <c r="AQ44" s="53" t="n"/>
      <c r="AR44" s="53" t="n"/>
      <c r="AS44" s="53" t="n"/>
      <c r="AT44" s="53" t="n"/>
      <c r="AU44" s="53" t="n"/>
      <c r="AV44" s="53" t="n"/>
      <c r="AW44" s="53" t="n"/>
      <c r="AX44" s="53" t="n"/>
      <c r="AY44" s="53" t="n"/>
    </row>
    <row r="45" ht="15" customHeight="1">
      <c r="A45" s="40">
        <f>IF($D$45="","",13)</f>
        <v/>
      </c>
      <c r="B45" s="10" t="n"/>
      <c r="C45" s="41" t="inlineStr">
        <is>
          <t>마케팅1팀</t>
        </is>
      </c>
      <c r="D45" s="42" t="n"/>
      <c r="E45" s="43" t="inlineStr">
        <is>
          <t>기획</t>
        </is>
      </c>
      <c r="F45" s="44" t="n"/>
      <c r="G45" s="45" t="n"/>
      <c r="H45" s="46">
        <f>IF($I$45="","",IF($I$45&lt;0,"🔴지연",IF($I$45&lt;=1,"🟡임박","🟢여유")))</f>
        <v/>
      </c>
      <c r="I45" s="47">
        <f>IF(OR($G$45="",$K$45=""),"",$G$45-$K$45)</f>
        <v/>
      </c>
      <c r="J45" s="48">
        <f>IF(SUM($L$45:$L$47)=0,"",SUM($L$45:$L$47))</f>
        <v/>
      </c>
      <c r="K45" s="49">
        <f>IF($J$45="","",MAX($N$45:$N$47))</f>
        <v/>
      </c>
      <c r="L45" s="50">
        <f>IF(SUM(U45:AY45)=0,"",SUM(U45:AY45))</f>
        <v/>
      </c>
      <c r="M45" s="51">
        <f>IFERROR(INDEX(U$2:AY$2,MATCH(TRUE,INDEX(U45:AY45&lt;&gt;"",0),0)),"")</f>
        <v/>
      </c>
      <c r="N45" s="51">
        <f>IFERROR(LOOKUP(2,1/(U45:AY45&lt;&gt;""),U$2:AY$2),"")</f>
        <v/>
      </c>
      <c r="O45" s="52" t="n"/>
      <c r="P45" s="52" t="n"/>
      <c r="Q45" s="52" t="n"/>
      <c r="R45" s="44" t="n"/>
      <c r="S45" s="14" t="n"/>
      <c r="U45" s="53" t="n"/>
      <c r="V45" s="53" t="n"/>
      <c r="W45" s="53" t="n"/>
      <c r="X45" s="53" t="n"/>
      <c r="Y45" s="53" t="n"/>
      <c r="Z45" s="53" t="n"/>
      <c r="AA45" s="53" t="n"/>
      <c r="AB45" s="53" t="n"/>
      <c r="AC45" s="53" t="n"/>
      <c r="AD45" s="53" t="n"/>
      <c r="AE45" s="53" t="n"/>
      <c r="AF45" s="53" t="n"/>
      <c r="AG45" s="53" t="n"/>
      <c r="AH45" s="53" t="n"/>
      <c r="AI45" s="53" t="n"/>
      <c r="AJ45" s="53" t="n"/>
      <c r="AK45" s="53" t="n"/>
      <c r="AL45" s="53" t="n"/>
      <c r="AM45" s="53" t="n"/>
      <c r="AN45" s="53" t="n"/>
      <c r="AO45" s="53" t="n"/>
      <c r="AP45" s="53" t="n"/>
      <c r="AQ45" s="53" t="n"/>
      <c r="AR45" s="53" t="n"/>
      <c r="AS45" s="53" t="n"/>
      <c r="AT45" s="53" t="n"/>
      <c r="AU45" s="53" t="n"/>
      <c r="AV45" s="53" t="n"/>
      <c r="AW45" s="53" t="n"/>
      <c r="AX45" s="53" t="n"/>
      <c r="AY45" s="53" t="n"/>
    </row>
    <row r="46" ht="15" customHeight="1">
      <c r="A46" s="54" t="n"/>
      <c r="B46" s="55">
        <f>IF($B$45="","",$B$45)</f>
        <v/>
      </c>
      <c r="C46" s="56" t="inlineStr">
        <is>
          <t>마케팅1팀</t>
        </is>
      </c>
      <c r="D46" s="55">
        <f>IF($D$45="","",$D$45)</f>
        <v/>
      </c>
      <c r="E46" s="57" t="inlineStr">
        <is>
          <t>이미지</t>
        </is>
      </c>
      <c r="F46" s="44" t="n"/>
      <c r="G46" s="58">
        <f>IF($G$45="","",$G$45)</f>
        <v/>
      </c>
      <c r="H46" s="59" t="n"/>
      <c r="I46" s="59" t="n"/>
      <c r="J46" s="59" t="n"/>
      <c r="K46" s="59" t="n"/>
      <c r="L46" s="60">
        <f>IF(SUM(U46:AY46)=0,"",SUM(U46:AY46))</f>
        <v/>
      </c>
      <c r="M46" s="61">
        <f>IFERROR(INDEX(U$2:AY$2,MATCH(TRUE,INDEX(U46:AY46&lt;&gt;"",0),0)),"")</f>
        <v/>
      </c>
      <c r="N46" s="61">
        <f>IFERROR(LOOKUP(2,1/(U46:AY46&lt;&gt;""),U$2:AY$2),"")</f>
        <v/>
      </c>
      <c r="O46" s="59" t="n"/>
      <c r="P46" s="59" t="n"/>
      <c r="Q46" s="59" t="n"/>
      <c r="R46" s="59" t="n"/>
      <c r="S46" s="14" t="n"/>
      <c r="U46" s="53" t="n"/>
      <c r="V46" s="53" t="n"/>
      <c r="W46" s="53" t="n"/>
      <c r="X46" s="53" t="n"/>
      <c r="Y46" s="53" t="n"/>
      <c r="Z46" s="53" t="n"/>
      <c r="AA46" s="53" t="n"/>
      <c r="AB46" s="53" t="n"/>
      <c r="AC46" s="53" t="n"/>
      <c r="AD46" s="53" t="n"/>
      <c r="AE46" s="53" t="n"/>
      <c r="AF46" s="53" t="n"/>
      <c r="AG46" s="53" t="n"/>
      <c r="AH46" s="53" t="n"/>
      <c r="AI46" s="53" t="n"/>
      <c r="AJ46" s="53" t="n"/>
      <c r="AK46" s="53" t="n"/>
      <c r="AL46" s="53" t="n"/>
      <c r="AM46" s="53" t="n"/>
      <c r="AN46" s="53" t="n"/>
      <c r="AO46" s="53" t="n"/>
      <c r="AP46" s="53" t="n"/>
      <c r="AQ46" s="53" t="n"/>
      <c r="AR46" s="53" t="n"/>
      <c r="AS46" s="53" t="n"/>
      <c r="AT46" s="53" t="n"/>
      <c r="AU46" s="53" t="n"/>
      <c r="AV46" s="53" t="n"/>
      <c r="AW46" s="53" t="n"/>
      <c r="AX46" s="53" t="n"/>
      <c r="AY46" s="53" t="n"/>
    </row>
    <row r="47" ht="15" customHeight="1">
      <c r="A47" s="62" t="n"/>
      <c r="B47" s="55">
        <f>IF($B$45="","",$B$45)</f>
        <v/>
      </c>
      <c r="C47" s="63" t="inlineStr">
        <is>
          <t>마케팅1팀</t>
        </is>
      </c>
      <c r="D47" s="55">
        <f>IF($D$45="","",$D$45)</f>
        <v/>
      </c>
      <c r="E47" s="64" t="inlineStr">
        <is>
          <t>영상</t>
        </is>
      </c>
      <c r="F47" s="44" t="n"/>
      <c r="G47" s="58">
        <f>IF($G$45="","",$G$45)</f>
        <v/>
      </c>
      <c r="H47" s="59" t="n"/>
      <c r="I47" s="59" t="n"/>
      <c r="J47" s="59" t="n"/>
      <c r="K47" s="59" t="n"/>
      <c r="L47" s="65">
        <f>IF(SUM(U47:AY47)=0,"",SUM(U47:AY47))</f>
        <v/>
      </c>
      <c r="M47" s="66">
        <f>IFERROR(INDEX(U$2:AY$2,MATCH(TRUE,INDEX(U47:AY47&lt;&gt;"",0),0)),"")</f>
        <v/>
      </c>
      <c r="N47" s="66">
        <f>IFERROR(LOOKUP(2,1/(U47:AY47&lt;&gt;""),U$2:AY$2),"")</f>
        <v/>
      </c>
      <c r="O47" s="59" t="n"/>
      <c r="P47" s="59" t="n"/>
      <c r="Q47" s="59" t="n"/>
      <c r="R47" s="59" t="n"/>
      <c r="S47" s="14" t="n"/>
      <c r="U47" s="53" t="n"/>
      <c r="V47" s="53" t="n"/>
      <c r="W47" s="53" t="n"/>
      <c r="X47" s="53" t="n"/>
      <c r="Y47" s="53" t="n"/>
      <c r="Z47" s="53" t="n"/>
      <c r="AA47" s="53" t="n"/>
      <c r="AB47" s="53" t="n"/>
      <c r="AC47" s="53" t="n"/>
      <c r="AD47" s="53" t="n"/>
      <c r="AE47" s="53" t="n"/>
      <c r="AF47" s="53" t="n"/>
      <c r="AG47" s="53" t="n"/>
      <c r="AH47" s="53" t="n"/>
      <c r="AI47" s="53" t="n"/>
      <c r="AJ47" s="53" t="n"/>
      <c r="AK47" s="53" t="n"/>
      <c r="AL47" s="53" t="n"/>
      <c r="AM47" s="53" t="n"/>
      <c r="AN47" s="53" t="n"/>
      <c r="AO47" s="53" t="n"/>
      <c r="AP47" s="53" t="n"/>
      <c r="AQ47" s="53" t="n"/>
      <c r="AR47" s="53" t="n"/>
      <c r="AS47" s="53" t="n"/>
      <c r="AT47" s="53" t="n"/>
      <c r="AU47" s="53" t="n"/>
      <c r="AV47" s="53" t="n"/>
      <c r="AW47" s="53" t="n"/>
      <c r="AX47" s="53" t="n"/>
      <c r="AY47" s="53" t="n"/>
    </row>
    <row r="48" ht="15" customHeight="1">
      <c r="A48" s="40">
        <f>IF($D$48="","",14)</f>
        <v/>
      </c>
      <c r="B48" s="10" t="n"/>
      <c r="C48" s="41" t="inlineStr">
        <is>
          <t>마케팅1팀</t>
        </is>
      </c>
      <c r="D48" s="42" t="n"/>
      <c r="E48" s="43" t="inlineStr">
        <is>
          <t>기획</t>
        </is>
      </c>
      <c r="F48" s="44" t="n"/>
      <c r="G48" s="45" t="n"/>
      <c r="H48" s="46">
        <f>IF($I$48="","",IF($I$48&lt;0,"🔴지연",IF($I$48&lt;=1,"🟡임박","🟢여유")))</f>
        <v/>
      </c>
      <c r="I48" s="47">
        <f>IF(OR($G$48="",$K$48=""),"",$G$48-$K$48)</f>
        <v/>
      </c>
      <c r="J48" s="48">
        <f>IF(SUM($L$48:$L$50)=0,"",SUM($L$48:$L$50))</f>
        <v/>
      </c>
      <c r="K48" s="49">
        <f>IF($J$48="","",MAX($N$48:$N$50))</f>
        <v/>
      </c>
      <c r="L48" s="50">
        <f>IF(SUM(U48:AY48)=0,"",SUM(U48:AY48))</f>
        <v/>
      </c>
      <c r="M48" s="51">
        <f>IFERROR(INDEX(U$2:AY$2,MATCH(TRUE,INDEX(U48:AY48&lt;&gt;"",0),0)),"")</f>
        <v/>
      </c>
      <c r="N48" s="51">
        <f>IFERROR(LOOKUP(2,1/(U48:AY48&lt;&gt;""),U$2:AY$2),"")</f>
        <v/>
      </c>
      <c r="O48" s="52" t="n"/>
      <c r="P48" s="52" t="n"/>
      <c r="Q48" s="52" t="n"/>
      <c r="R48" s="44" t="n"/>
      <c r="S48" s="14" t="n"/>
      <c r="U48" s="53" t="n"/>
      <c r="V48" s="53" t="n"/>
      <c r="W48" s="53" t="n"/>
      <c r="X48" s="53" t="n"/>
      <c r="Y48" s="53" t="n"/>
      <c r="Z48" s="53" t="n"/>
      <c r="AA48" s="53" t="n"/>
      <c r="AB48" s="53" t="n"/>
      <c r="AC48" s="53" t="n"/>
      <c r="AD48" s="53" t="n"/>
      <c r="AE48" s="53" t="n"/>
      <c r="AF48" s="53" t="n"/>
      <c r="AG48" s="53" t="n"/>
      <c r="AH48" s="53" t="n"/>
      <c r="AI48" s="53" t="n"/>
      <c r="AJ48" s="53" t="n"/>
      <c r="AK48" s="53" t="n"/>
      <c r="AL48" s="53" t="n"/>
      <c r="AM48" s="53" t="n"/>
      <c r="AN48" s="53" t="n"/>
      <c r="AO48" s="53" t="n"/>
      <c r="AP48" s="53" t="n"/>
      <c r="AQ48" s="53" t="n"/>
      <c r="AR48" s="53" t="n"/>
      <c r="AS48" s="53" t="n"/>
      <c r="AT48" s="53" t="n"/>
      <c r="AU48" s="53" t="n"/>
      <c r="AV48" s="53" t="n"/>
      <c r="AW48" s="53" t="n"/>
      <c r="AX48" s="53" t="n"/>
      <c r="AY48" s="53" t="n"/>
    </row>
    <row r="49" ht="15" customHeight="1">
      <c r="A49" s="54" t="n"/>
      <c r="B49" s="55">
        <f>IF($B$48="","",$B$48)</f>
        <v/>
      </c>
      <c r="C49" s="56" t="inlineStr">
        <is>
          <t>마케팅1팀</t>
        </is>
      </c>
      <c r="D49" s="55">
        <f>IF($D$48="","",$D$48)</f>
        <v/>
      </c>
      <c r="E49" s="57" t="inlineStr">
        <is>
          <t>이미지</t>
        </is>
      </c>
      <c r="F49" s="44" t="n"/>
      <c r="G49" s="58">
        <f>IF($G$48="","",$G$48)</f>
        <v/>
      </c>
      <c r="H49" s="59" t="n"/>
      <c r="I49" s="59" t="n"/>
      <c r="J49" s="59" t="n"/>
      <c r="K49" s="59" t="n"/>
      <c r="L49" s="60">
        <f>IF(SUM(U49:AY49)=0,"",SUM(U49:AY49))</f>
        <v/>
      </c>
      <c r="M49" s="61">
        <f>IFERROR(INDEX(U$2:AY$2,MATCH(TRUE,INDEX(U49:AY49&lt;&gt;"",0),0)),"")</f>
        <v/>
      </c>
      <c r="N49" s="61">
        <f>IFERROR(LOOKUP(2,1/(U49:AY49&lt;&gt;""),U$2:AY$2),"")</f>
        <v/>
      </c>
      <c r="O49" s="59" t="n"/>
      <c r="P49" s="59" t="n"/>
      <c r="Q49" s="59" t="n"/>
      <c r="R49" s="59" t="n"/>
      <c r="S49" s="14" t="n"/>
      <c r="U49" s="53" t="n"/>
      <c r="V49" s="53" t="n"/>
      <c r="W49" s="53" t="n"/>
      <c r="X49" s="53" t="n"/>
      <c r="Y49" s="53" t="n"/>
      <c r="Z49" s="53" t="n"/>
      <c r="AA49" s="53" t="n"/>
      <c r="AB49" s="53" t="n"/>
      <c r="AC49" s="53" t="n"/>
      <c r="AD49" s="53" t="n"/>
      <c r="AE49" s="53" t="n"/>
      <c r="AF49" s="53" t="n"/>
      <c r="AG49" s="53" t="n"/>
      <c r="AH49" s="53" t="n"/>
      <c r="AI49" s="53" t="n"/>
      <c r="AJ49" s="53" t="n"/>
      <c r="AK49" s="53" t="n"/>
      <c r="AL49" s="53" t="n"/>
      <c r="AM49" s="53" t="n"/>
      <c r="AN49" s="53" t="n"/>
      <c r="AO49" s="53" t="n"/>
      <c r="AP49" s="53" t="n"/>
      <c r="AQ49" s="53" t="n"/>
      <c r="AR49" s="53" t="n"/>
      <c r="AS49" s="53" t="n"/>
      <c r="AT49" s="53" t="n"/>
      <c r="AU49" s="53" t="n"/>
      <c r="AV49" s="53" t="n"/>
      <c r="AW49" s="53" t="n"/>
      <c r="AX49" s="53" t="n"/>
      <c r="AY49" s="53" t="n"/>
    </row>
    <row r="50" ht="15" customHeight="1">
      <c r="A50" s="62" t="n"/>
      <c r="B50" s="55">
        <f>IF($B$48="","",$B$48)</f>
        <v/>
      </c>
      <c r="C50" s="63" t="inlineStr">
        <is>
          <t>마케팅1팀</t>
        </is>
      </c>
      <c r="D50" s="55">
        <f>IF($D$48="","",$D$48)</f>
        <v/>
      </c>
      <c r="E50" s="64" t="inlineStr">
        <is>
          <t>영상</t>
        </is>
      </c>
      <c r="F50" s="44" t="n"/>
      <c r="G50" s="58">
        <f>IF($G$48="","",$G$48)</f>
        <v/>
      </c>
      <c r="H50" s="59" t="n"/>
      <c r="I50" s="59" t="n"/>
      <c r="J50" s="59" t="n"/>
      <c r="K50" s="59" t="n"/>
      <c r="L50" s="65">
        <f>IF(SUM(U50:AY50)=0,"",SUM(U50:AY50))</f>
        <v/>
      </c>
      <c r="M50" s="66">
        <f>IFERROR(INDEX(U$2:AY$2,MATCH(TRUE,INDEX(U50:AY50&lt;&gt;"",0),0)),"")</f>
        <v/>
      </c>
      <c r="N50" s="66">
        <f>IFERROR(LOOKUP(2,1/(U50:AY50&lt;&gt;""),U$2:AY$2),"")</f>
        <v/>
      </c>
      <c r="O50" s="59" t="n"/>
      <c r="P50" s="59" t="n"/>
      <c r="Q50" s="59" t="n"/>
      <c r="R50" s="59" t="n"/>
      <c r="S50" s="14" t="n"/>
      <c r="U50" s="53" t="n"/>
      <c r="V50" s="53" t="n"/>
      <c r="W50" s="53" t="n"/>
      <c r="X50" s="53" t="n"/>
      <c r="Y50" s="53" t="n"/>
      <c r="Z50" s="53" t="n"/>
      <c r="AA50" s="53" t="n"/>
      <c r="AB50" s="53" t="n"/>
      <c r="AC50" s="53" t="n"/>
      <c r="AD50" s="53" t="n"/>
      <c r="AE50" s="53" t="n"/>
      <c r="AF50" s="53" t="n"/>
      <c r="AG50" s="53" t="n"/>
      <c r="AH50" s="53" t="n"/>
      <c r="AI50" s="53" t="n"/>
      <c r="AJ50" s="53" t="n"/>
      <c r="AK50" s="53" t="n"/>
      <c r="AL50" s="53" t="n"/>
      <c r="AM50" s="53" t="n"/>
      <c r="AN50" s="53" t="n"/>
      <c r="AO50" s="53" t="n"/>
      <c r="AP50" s="53" t="n"/>
      <c r="AQ50" s="53" t="n"/>
      <c r="AR50" s="53" t="n"/>
      <c r="AS50" s="53" t="n"/>
      <c r="AT50" s="53" t="n"/>
      <c r="AU50" s="53" t="n"/>
      <c r="AV50" s="53" t="n"/>
      <c r="AW50" s="53" t="n"/>
      <c r="AX50" s="53" t="n"/>
      <c r="AY50" s="53" t="n"/>
    </row>
    <row r="51" ht="15" customHeight="1">
      <c r="A51" s="40">
        <f>IF($D$51="","",15)</f>
        <v/>
      </c>
      <c r="B51" s="10" t="n"/>
      <c r="C51" s="41" t="inlineStr">
        <is>
          <t>마케팅1팀</t>
        </is>
      </c>
      <c r="D51" s="42" t="n"/>
      <c r="E51" s="43" t="inlineStr">
        <is>
          <t>기획</t>
        </is>
      </c>
      <c r="F51" s="44" t="n"/>
      <c r="G51" s="45" t="n"/>
      <c r="H51" s="46">
        <f>IF($I$51="","",IF($I$51&lt;0,"🔴지연",IF($I$51&lt;=1,"🟡임박","🟢여유")))</f>
        <v/>
      </c>
      <c r="I51" s="47">
        <f>IF(OR($G$51="",$K$51=""),"",$G$51-$K$51)</f>
        <v/>
      </c>
      <c r="J51" s="48">
        <f>IF(SUM($L$51:$L$53)=0,"",SUM($L$51:$L$53))</f>
        <v/>
      </c>
      <c r="K51" s="49">
        <f>IF($J$51="","",MAX($N$51:$N$53))</f>
        <v/>
      </c>
      <c r="L51" s="50">
        <f>IF(SUM(U51:AY51)=0,"",SUM(U51:AY51))</f>
        <v/>
      </c>
      <c r="M51" s="51">
        <f>IFERROR(INDEX(U$2:AY$2,MATCH(TRUE,INDEX(U51:AY51&lt;&gt;"",0),0)),"")</f>
        <v/>
      </c>
      <c r="N51" s="51">
        <f>IFERROR(LOOKUP(2,1/(U51:AY51&lt;&gt;""),U$2:AY$2),"")</f>
        <v/>
      </c>
      <c r="O51" s="52" t="n"/>
      <c r="P51" s="52" t="n"/>
      <c r="Q51" s="52" t="n"/>
      <c r="R51" s="44" t="n"/>
      <c r="S51" s="14" t="n"/>
      <c r="U51" s="53" t="n"/>
      <c r="V51" s="53" t="n"/>
      <c r="W51" s="53" t="n"/>
      <c r="X51" s="53" t="n"/>
      <c r="Y51" s="53" t="n"/>
      <c r="Z51" s="53" t="n"/>
      <c r="AA51" s="53" t="n"/>
      <c r="AB51" s="53" t="n"/>
      <c r="AC51" s="53" t="n"/>
      <c r="AD51" s="53" t="n"/>
      <c r="AE51" s="53" t="n"/>
      <c r="AF51" s="53" t="n"/>
      <c r="AG51" s="53" t="n"/>
      <c r="AH51" s="53" t="n"/>
      <c r="AI51" s="53" t="n"/>
      <c r="AJ51" s="53" t="n"/>
      <c r="AK51" s="53" t="n"/>
      <c r="AL51" s="53" t="n"/>
      <c r="AM51" s="53" t="n"/>
      <c r="AN51" s="53" t="n"/>
      <c r="AO51" s="53" t="n"/>
      <c r="AP51" s="53" t="n"/>
      <c r="AQ51" s="53" t="n"/>
      <c r="AR51" s="53" t="n"/>
      <c r="AS51" s="53" t="n"/>
      <c r="AT51" s="53" t="n"/>
      <c r="AU51" s="53" t="n"/>
      <c r="AV51" s="53" t="n"/>
      <c r="AW51" s="53" t="n"/>
      <c r="AX51" s="53" t="n"/>
      <c r="AY51" s="53" t="n"/>
    </row>
    <row r="52" ht="15" customHeight="1">
      <c r="A52" s="54" t="n"/>
      <c r="B52" s="55">
        <f>IF($B$51="","",$B$51)</f>
        <v/>
      </c>
      <c r="C52" s="56" t="inlineStr">
        <is>
          <t>마케팅1팀</t>
        </is>
      </c>
      <c r="D52" s="55">
        <f>IF($D$51="","",$D$51)</f>
        <v/>
      </c>
      <c r="E52" s="57" t="inlineStr">
        <is>
          <t>이미지</t>
        </is>
      </c>
      <c r="F52" s="44" t="n"/>
      <c r="G52" s="58">
        <f>IF($G$51="","",$G$51)</f>
        <v/>
      </c>
      <c r="H52" s="59" t="n"/>
      <c r="I52" s="59" t="n"/>
      <c r="J52" s="59" t="n"/>
      <c r="K52" s="59" t="n"/>
      <c r="L52" s="60">
        <f>IF(SUM(U52:AY52)=0,"",SUM(U52:AY52))</f>
        <v/>
      </c>
      <c r="M52" s="61">
        <f>IFERROR(INDEX(U$2:AY$2,MATCH(TRUE,INDEX(U52:AY52&lt;&gt;"",0),0)),"")</f>
        <v/>
      </c>
      <c r="N52" s="61">
        <f>IFERROR(LOOKUP(2,1/(U52:AY52&lt;&gt;""),U$2:AY$2),"")</f>
        <v/>
      </c>
      <c r="O52" s="59" t="n"/>
      <c r="P52" s="59" t="n"/>
      <c r="Q52" s="59" t="n"/>
      <c r="R52" s="59" t="n"/>
      <c r="S52" s="14" t="n"/>
      <c r="U52" s="53" t="n"/>
      <c r="V52" s="53" t="n"/>
      <c r="W52" s="53" t="n"/>
      <c r="X52" s="53" t="n"/>
      <c r="Y52" s="53" t="n"/>
      <c r="Z52" s="53" t="n"/>
      <c r="AA52" s="53" t="n"/>
      <c r="AB52" s="53" t="n"/>
      <c r="AC52" s="53" t="n"/>
      <c r="AD52" s="53" t="n"/>
      <c r="AE52" s="53" t="n"/>
      <c r="AF52" s="53" t="n"/>
      <c r="AG52" s="53" t="n"/>
      <c r="AH52" s="53" t="n"/>
      <c r="AI52" s="53" t="n"/>
      <c r="AJ52" s="53" t="n"/>
      <c r="AK52" s="53" t="n"/>
      <c r="AL52" s="53" t="n"/>
      <c r="AM52" s="53" t="n"/>
      <c r="AN52" s="53" t="n"/>
      <c r="AO52" s="53" t="n"/>
      <c r="AP52" s="53" t="n"/>
      <c r="AQ52" s="53" t="n"/>
      <c r="AR52" s="53" t="n"/>
      <c r="AS52" s="53" t="n"/>
      <c r="AT52" s="53" t="n"/>
      <c r="AU52" s="53" t="n"/>
      <c r="AV52" s="53" t="n"/>
      <c r="AW52" s="53" t="n"/>
      <c r="AX52" s="53" t="n"/>
      <c r="AY52" s="53" t="n"/>
    </row>
    <row r="53" ht="15" customHeight="1">
      <c r="A53" s="62" t="n"/>
      <c r="B53" s="55">
        <f>IF($B$51="","",$B$51)</f>
        <v/>
      </c>
      <c r="C53" s="63" t="inlineStr">
        <is>
          <t>마케팅1팀</t>
        </is>
      </c>
      <c r="D53" s="55">
        <f>IF($D$51="","",$D$51)</f>
        <v/>
      </c>
      <c r="E53" s="64" t="inlineStr">
        <is>
          <t>영상</t>
        </is>
      </c>
      <c r="F53" s="44" t="n"/>
      <c r="G53" s="58">
        <f>IF($G$51="","",$G$51)</f>
        <v/>
      </c>
      <c r="H53" s="59" t="n"/>
      <c r="I53" s="59" t="n"/>
      <c r="J53" s="59" t="n"/>
      <c r="K53" s="59" t="n"/>
      <c r="L53" s="65">
        <f>IF(SUM(U53:AY53)=0,"",SUM(U53:AY53))</f>
        <v/>
      </c>
      <c r="M53" s="66">
        <f>IFERROR(INDEX(U$2:AY$2,MATCH(TRUE,INDEX(U53:AY53&lt;&gt;"",0),0)),"")</f>
        <v/>
      </c>
      <c r="N53" s="66">
        <f>IFERROR(LOOKUP(2,1/(U53:AY53&lt;&gt;""),U$2:AY$2),"")</f>
        <v/>
      </c>
      <c r="O53" s="59" t="n"/>
      <c r="P53" s="59" t="n"/>
      <c r="Q53" s="59" t="n"/>
      <c r="R53" s="59" t="n"/>
      <c r="S53" s="14" t="n"/>
      <c r="U53" s="53" t="n"/>
      <c r="V53" s="53" t="n"/>
      <c r="W53" s="53" t="n"/>
      <c r="X53" s="53" t="n"/>
      <c r="Y53" s="53" t="n"/>
      <c r="Z53" s="53" t="n"/>
      <c r="AA53" s="53" t="n"/>
      <c r="AB53" s="53" t="n"/>
      <c r="AC53" s="53" t="n"/>
      <c r="AD53" s="53" t="n"/>
      <c r="AE53" s="53" t="n"/>
      <c r="AF53" s="53" t="n"/>
      <c r="AG53" s="53" t="n"/>
      <c r="AH53" s="53" t="n"/>
      <c r="AI53" s="53" t="n"/>
      <c r="AJ53" s="53" t="n"/>
      <c r="AK53" s="53" t="n"/>
      <c r="AL53" s="53" t="n"/>
      <c r="AM53" s="53" t="n"/>
      <c r="AN53" s="53" t="n"/>
      <c r="AO53" s="53" t="n"/>
      <c r="AP53" s="53" t="n"/>
      <c r="AQ53" s="53" t="n"/>
      <c r="AR53" s="53" t="n"/>
      <c r="AS53" s="53" t="n"/>
      <c r="AT53" s="53" t="n"/>
      <c r="AU53" s="53" t="n"/>
      <c r="AV53" s="53" t="n"/>
      <c r="AW53" s="53" t="n"/>
      <c r="AX53" s="53" t="n"/>
      <c r="AY53" s="53" t="n"/>
    </row>
    <row r="54" ht="15" customHeight="1">
      <c r="A54" s="40">
        <f>IF($D$54="","",16)</f>
        <v/>
      </c>
      <c r="B54" s="10" t="n"/>
      <c r="C54" s="41" t="inlineStr">
        <is>
          <t>마케팅1팀</t>
        </is>
      </c>
      <c r="D54" s="42" t="n"/>
      <c r="E54" s="43" t="inlineStr">
        <is>
          <t>기획</t>
        </is>
      </c>
      <c r="F54" s="44" t="n"/>
      <c r="G54" s="45" t="n"/>
      <c r="H54" s="46">
        <f>IF($I$54="","",IF($I$54&lt;0,"🔴지연",IF($I$54&lt;=1,"🟡임박","🟢여유")))</f>
        <v/>
      </c>
      <c r="I54" s="47">
        <f>IF(OR($G$54="",$K$54=""),"",$G$54-$K$54)</f>
        <v/>
      </c>
      <c r="J54" s="48">
        <f>IF(SUM($L$54:$L$56)=0,"",SUM($L$54:$L$56))</f>
        <v/>
      </c>
      <c r="K54" s="49">
        <f>IF($J$54="","",MAX($N$54:$N$56))</f>
        <v/>
      </c>
      <c r="L54" s="50">
        <f>IF(SUM(U54:AY54)=0,"",SUM(U54:AY54))</f>
        <v/>
      </c>
      <c r="M54" s="51">
        <f>IFERROR(INDEX(U$2:AY$2,MATCH(TRUE,INDEX(U54:AY54&lt;&gt;"",0),0)),"")</f>
        <v/>
      </c>
      <c r="N54" s="51">
        <f>IFERROR(LOOKUP(2,1/(U54:AY54&lt;&gt;""),U$2:AY$2),"")</f>
        <v/>
      </c>
      <c r="O54" s="52" t="n"/>
      <c r="P54" s="52" t="n"/>
      <c r="Q54" s="52" t="n"/>
      <c r="R54" s="44" t="n"/>
      <c r="S54" s="14" t="n"/>
      <c r="U54" s="53" t="n"/>
      <c r="V54" s="53" t="n"/>
      <c r="W54" s="53" t="n"/>
      <c r="X54" s="53" t="n"/>
      <c r="Y54" s="53" t="n"/>
      <c r="Z54" s="53" t="n"/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s="53" t="n"/>
      <c r="AJ54" s="53" t="n"/>
      <c r="AK54" s="53" t="n"/>
      <c r="AL54" s="53" t="n"/>
      <c r="AM54" s="53" t="n"/>
      <c r="AN54" s="53" t="n"/>
      <c r="AO54" s="53" t="n"/>
      <c r="AP54" s="53" t="n"/>
      <c r="AQ54" s="53" t="n"/>
      <c r="AR54" s="53" t="n"/>
      <c r="AS54" s="53" t="n"/>
      <c r="AT54" s="53" t="n"/>
      <c r="AU54" s="53" t="n"/>
      <c r="AV54" s="53" t="n"/>
      <c r="AW54" s="53" t="n"/>
      <c r="AX54" s="53" t="n"/>
      <c r="AY54" s="53" t="n"/>
    </row>
    <row r="55" ht="15" customHeight="1">
      <c r="A55" s="54" t="n"/>
      <c r="B55" s="55">
        <f>IF($B$54="","",$B$54)</f>
        <v/>
      </c>
      <c r="C55" s="56" t="inlineStr">
        <is>
          <t>마케팅1팀</t>
        </is>
      </c>
      <c r="D55" s="55">
        <f>IF($D$54="","",$D$54)</f>
        <v/>
      </c>
      <c r="E55" s="57" t="inlineStr">
        <is>
          <t>이미지</t>
        </is>
      </c>
      <c r="F55" s="44" t="n"/>
      <c r="G55" s="58">
        <f>IF($G$54="","",$G$54)</f>
        <v/>
      </c>
      <c r="H55" s="59" t="n"/>
      <c r="I55" s="59" t="n"/>
      <c r="J55" s="59" t="n"/>
      <c r="K55" s="59" t="n"/>
      <c r="L55" s="60">
        <f>IF(SUM(U55:AY55)=0,"",SUM(U55:AY55))</f>
        <v/>
      </c>
      <c r="M55" s="61">
        <f>IFERROR(INDEX(U$2:AY$2,MATCH(TRUE,INDEX(U55:AY55&lt;&gt;"",0),0)),"")</f>
        <v/>
      </c>
      <c r="N55" s="61">
        <f>IFERROR(LOOKUP(2,1/(U55:AY55&lt;&gt;""),U$2:AY$2),"")</f>
        <v/>
      </c>
      <c r="O55" s="59" t="n"/>
      <c r="P55" s="59" t="n"/>
      <c r="Q55" s="59" t="n"/>
      <c r="R55" s="59" t="n"/>
      <c r="S55" s="14" t="n"/>
      <c r="U55" s="53" t="n"/>
      <c r="V55" s="53" t="n"/>
      <c r="W55" s="53" t="n"/>
      <c r="X55" s="53" t="n"/>
      <c r="Y55" s="53" t="n"/>
      <c r="Z55" s="53" t="n"/>
      <c r="AA55" s="53" t="n"/>
      <c r="AB55" s="53" t="n"/>
      <c r="AC55" s="53" t="n"/>
      <c r="AD55" s="53" t="n"/>
      <c r="AE55" s="53" t="n"/>
      <c r="AF55" s="53" t="n"/>
      <c r="AG55" s="53" t="n"/>
      <c r="AH55" s="53" t="n"/>
      <c r="AI55" s="53" t="n"/>
      <c r="AJ55" s="53" t="n"/>
      <c r="AK55" s="53" t="n"/>
      <c r="AL55" s="53" t="n"/>
      <c r="AM55" s="53" t="n"/>
      <c r="AN55" s="53" t="n"/>
      <c r="AO55" s="53" t="n"/>
      <c r="AP55" s="53" t="n"/>
      <c r="AQ55" s="53" t="n"/>
      <c r="AR55" s="53" t="n"/>
      <c r="AS55" s="53" t="n"/>
      <c r="AT55" s="53" t="n"/>
      <c r="AU55" s="53" t="n"/>
      <c r="AV55" s="53" t="n"/>
      <c r="AW55" s="53" t="n"/>
      <c r="AX55" s="53" t="n"/>
      <c r="AY55" s="53" t="n"/>
    </row>
    <row r="56" ht="15" customHeight="1">
      <c r="A56" s="62" t="n"/>
      <c r="B56" s="55">
        <f>IF($B$54="","",$B$54)</f>
        <v/>
      </c>
      <c r="C56" s="63" t="inlineStr">
        <is>
          <t>마케팅1팀</t>
        </is>
      </c>
      <c r="D56" s="55">
        <f>IF($D$54="","",$D$54)</f>
        <v/>
      </c>
      <c r="E56" s="64" t="inlineStr">
        <is>
          <t>영상</t>
        </is>
      </c>
      <c r="F56" s="44" t="n"/>
      <c r="G56" s="58">
        <f>IF($G$54="","",$G$54)</f>
        <v/>
      </c>
      <c r="H56" s="59" t="n"/>
      <c r="I56" s="59" t="n"/>
      <c r="J56" s="59" t="n"/>
      <c r="K56" s="59" t="n"/>
      <c r="L56" s="65">
        <f>IF(SUM(U56:AY56)=0,"",SUM(U56:AY56))</f>
        <v/>
      </c>
      <c r="M56" s="66">
        <f>IFERROR(INDEX(U$2:AY$2,MATCH(TRUE,INDEX(U56:AY56&lt;&gt;"",0),0)),"")</f>
        <v/>
      </c>
      <c r="N56" s="66">
        <f>IFERROR(LOOKUP(2,1/(U56:AY56&lt;&gt;""),U$2:AY$2),"")</f>
        <v/>
      </c>
      <c r="O56" s="59" t="n"/>
      <c r="P56" s="59" t="n"/>
      <c r="Q56" s="59" t="n"/>
      <c r="R56" s="59" t="n"/>
      <c r="S56" s="14" t="n"/>
      <c r="U56" s="53" t="n"/>
      <c r="V56" s="53" t="n"/>
      <c r="W56" s="53" t="n"/>
      <c r="X56" s="5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s="53" t="n"/>
      <c r="AJ56" s="53" t="n"/>
      <c r="AK56" s="53" t="n"/>
      <c r="AL56" s="53" t="n"/>
      <c r="AM56" s="53" t="n"/>
      <c r="AN56" s="53" t="n"/>
      <c r="AO56" s="53" t="n"/>
      <c r="AP56" s="53" t="n"/>
      <c r="AQ56" s="53" t="n"/>
      <c r="AR56" s="53" t="n"/>
      <c r="AS56" s="53" t="n"/>
      <c r="AT56" s="53" t="n"/>
      <c r="AU56" s="53" t="n"/>
      <c r="AV56" s="53" t="n"/>
      <c r="AW56" s="53" t="n"/>
      <c r="AX56" s="53" t="n"/>
      <c r="AY56" s="53" t="n"/>
    </row>
    <row r="57" ht="15" customHeight="1">
      <c r="A57" s="40">
        <f>IF($D$57="","",17)</f>
        <v/>
      </c>
      <c r="B57" s="10" t="n"/>
      <c r="C57" s="41" t="inlineStr">
        <is>
          <t>마케팅1팀</t>
        </is>
      </c>
      <c r="D57" s="42" t="n"/>
      <c r="E57" s="43" t="inlineStr">
        <is>
          <t>기획</t>
        </is>
      </c>
      <c r="F57" s="44" t="n"/>
      <c r="G57" s="45" t="n"/>
      <c r="H57" s="46">
        <f>IF($I$57="","",IF($I$57&lt;0,"🔴지연",IF($I$57&lt;=1,"🟡임박","🟢여유")))</f>
        <v/>
      </c>
      <c r="I57" s="47">
        <f>IF(OR($G$57="",$K$57=""),"",$G$57-$K$57)</f>
        <v/>
      </c>
      <c r="J57" s="48">
        <f>IF(SUM($L$57:$L$59)=0,"",SUM($L$57:$L$59))</f>
        <v/>
      </c>
      <c r="K57" s="49">
        <f>IF($J$57="","",MAX($N$57:$N$59))</f>
        <v/>
      </c>
      <c r="L57" s="50">
        <f>IF(SUM(U57:AY57)=0,"",SUM(U57:AY57))</f>
        <v/>
      </c>
      <c r="M57" s="51">
        <f>IFERROR(INDEX(U$2:AY$2,MATCH(TRUE,INDEX(U57:AY57&lt;&gt;"",0),0)),"")</f>
        <v/>
      </c>
      <c r="N57" s="51">
        <f>IFERROR(LOOKUP(2,1/(U57:AY57&lt;&gt;""),U$2:AY$2),"")</f>
        <v/>
      </c>
      <c r="O57" s="52" t="n"/>
      <c r="P57" s="52" t="n"/>
      <c r="Q57" s="52" t="n"/>
      <c r="R57" s="44" t="n"/>
      <c r="S57" s="14" t="n"/>
      <c r="U57" s="53" t="n"/>
      <c r="V57" s="53" t="n"/>
      <c r="W57" s="53" t="n"/>
      <c r="X57" s="53" t="n"/>
      <c r="Y57" s="53" t="n"/>
      <c r="Z57" s="53" t="n"/>
      <c r="AA57" s="53" t="n"/>
      <c r="AB57" s="53" t="n"/>
      <c r="AC57" s="53" t="n"/>
      <c r="AD57" s="53" t="n"/>
      <c r="AE57" s="53" t="n"/>
      <c r="AF57" s="53" t="n"/>
      <c r="AG57" s="53" t="n"/>
      <c r="AH57" s="53" t="n"/>
      <c r="AI57" s="53" t="n"/>
      <c r="AJ57" s="53" t="n"/>
      <c r="AK57" s="53" t="n"/>
      <c r="AL57" s="53" t="n"/>
      <c r="AM57" s="53" t="n"/>
      <c r="AN57" s="53" t="n"/>
      <c r="AO57" s="53" t="n"/>
      <c r="AP57" s="53" t="n"/>
      <c r="AQ57" s="53" t="n"/>
      <c r="AR57" s="53" t="n"/>
      <c r="AS57" s="53" t="n"/>
      <c r="AT57" s="53" t="n"/>
      <c r="AU57" s="53" t="n"/>
      <c r="AV57" s="53" t="n"/>
      <c r="AW57" s="53" t="n"/>
      <c r="AX57" s="53" t="n"/>
      <c r="AY57" s="53" t="n"/>
    </row>
    <row r="58" ht="15" customHeight="1">
      <c r="A58" s="54" t="n"/>
      <c r="B58" s="55">
        <f>IF($B$57="","",$B$57)</f>
        <v/>
      </c>
      <c r="C58" s="56" t="inlineStr">
        <is>
          <t>마케팅1팀</t>
        </is>
      </c>
      <c r="D58" s="55">
        <f>IF($D$57="","",$D$57)</f>
        <v/>
      </c>
      <c r="E58" s="57" t="inlineStr">
        <is>
          <t>이미지</t>
        </is>
      </c>
      <c r="F58" s="44" t="n"/>
      <c r="G58" s="58">
        <f>IF($G$57="","",$G$57)</f>
        <v/>
      </c>
      <c r="H58" s="59" t="n"/>
      <c r="I58" s="59" t="n"/>
      <c r="J58" s="59" t="n"/>
      <c r="K58" s="59" t="n"/>
      <c r="L58" s="60">
        <f>IF(SUM(U58:AY58)=0,"",SUM(U58:AY58))</f>
        <v/>
      </c>
      <c r="M58" s="61">
        <f>IFERROR(INDEX(U$2:AY$2,MATCH(TRUE,INDEX(U58:AY58&lt;&gt;"",0),0)),"")</f>
        <v/>
      </c>
      <c r="N58" s="61">
        <f>IFERROR(LOOKUP(2,1/(U58:AY58&lt;&gt;""),U$2:AY$2),"")</f>
        <v/>
      </c>
      <c r="O58" s="59" t="n"/>
      <c r="P58" s="59" t="n"/>
      <c r="Q58" s="59" t="n"/>
      <c r="R58" s="59" t="n"/>
      <c r="S58" s="14" t="n"/>
      <c r="U58" s="53" t="n"/>
      <c r="V58" s="53" t="n"/>
      <c r="W58" s="53" t="n"/>
      <c r="X58" s="53" t="n"/>
      <c r="Y58" s="53" t="n"/>
      <c r="Z58" s="53" t="n"/>
      <c r="AA58" s="53" t="n"/>
      <c r="AB58" s="53" t="n"/>
      <c r="AC58" s="53" t="n"/>
      <c r="AD58" s="53" t="n"/>
      <c r="AE58" s="53" t="n"/>
      <c r="AF58" s="53" t="n"/>
      <c r="AG58" s="53" t="n"/>
      <c r="AH58" s="53" t="n"/>
      <c r="AI58" s="53" t="n"/>
      <c r="AJ58" s="53" t="n"/>
      <c r="AK58" s="53" t="n"/>
      <c r="AL58" s="53" t="n"/>
      <c r="AM58" s="53" t="n"/>
      <c r="AN58" s="53" t="n"/>
      <c r="AO58" s="53" t="n"/>
      <c r="AP58" s="53" t="n"/>
      <c r="AQ58" s="53" t="n"/>
      <c r="AR58" s="53" t="n"/>
      <c r="AS58" s="53" t="n"/>
      <c r="AT58" s="53" t="n"/>
      <c r="AU58" s="53" t="n"/>
      <c r="AV58" s="53" t="n"/>
      <c r="AW58" s="53" t="n"/>
      <c r="AX58" s="53" t="n"/>
      <c r="AY58" s="53" t="n"/>
    </row>
    <row r="59" ht="15" customHeight="1">
      <c r="A59" s="62" t="n"/>
      <c r="B59" s="55">
        <f>IF($B$57="","",$B$57)</f>
        <v/>
      </c>
      <c r="C59" s="63" t="inlineStr">
        <is>
          <t>마케팅1팀</t>
        </is>
      </c>
      <c r="D59" s="55">
        <f>IF($D$57="","",$D$57)</f>
        <v/>
      </c>
      <c r="E59" s="64" t="inlineStr">
        <is>
          <t>영상</t>
        </is>
      </c>
      <c r="F59" s="44" t="n"/>
      <c r="G59" s="58">
        <f>IF($G$57="","",$G$57)</f>
        <v/>
      </c>
      <c r="H59" s="59" t="n"/>
      <c r="I59" s="59" t="n"/>
      <c r="J59" s="59" t="n"/>
      <c r="K59" s="59" t="n"/>
      <c r="L59" s="65">
        <f>IF(SUM(U59:AY59)=0,"",SUM(U59:AY59))</f>
        <v/>
      </c>
      <c r="M59" s="66">
        <f>IFERROR(INDEX(U$2:AY$2,MATCH(TRUE,INDEX(U59:AY59&lt;&gt;"",0),0)),"")</f>
        <v/>
      </c>
      <c r="N59" s="66">
        <f>IFERROR(LOOKUP(2,1/(U59:AY59&lt;&gt;""),U$2:AY$2),"")</f>
        <v/>
      </c>
      <c r="O59" s="59" t="n"/>
      <c r="P59" s="59" t="n"/>
      <c r="Q59" s="59" t="n"/>
      <c r="R59" s="59" t="n"/>
      <c r="S59" s="14" t="n"/>
      <c r="U59" s="53" t="n"/>
      <c r="V59" s="53" t="n"/>
      <c r="W59" s="53" t="n"/>
      <c r="X59" s="53" t="n"/>
      <c r="Y59" s="53" t="n"/>
      <c r="Z59" s="53" t="n"/>
      <c r="AA59" s="53" t="n"/>
      <c r="AB59" s="53" t="n"/>
      <c r="AC59" s="53" t="n"/>
      <c r="AD59" s="53" t="n"/>
      <c r="AE59" s="53" t="n"/>
      <c r="AF59" s="53" t="n"/>
      <c r="AG59" s="53" t="n"/>
      <c r="AH59" s="53" t="n"/>
      <c r="AI59" s="53" t="n"/>
      <c r="AJ59" s="53" t="n"/>
      <c r="AK59" s="53" t="n"/>
      <c r="AL59" s="53" t="n"/>
      <c r="AM59" s="53" t="n"/>
      <c r="AN59" s="53" t="n"/>
      <c r="AO59" s="53" t="n"/>
      <c r="AP59" s="53" t="n"/>
      <c r="AQ59" s="53" t="n"/>
      <c r="AR59" s="53" t="n"/>
      <c r="AS59" s="53" t="n"/>
      <c r="AT59" s="53" t="n"/>
      <c r="AU59" s="53" t="n"/>
      <c r="AV59" s="53" t="n"/>
      <c r="AW59" s="53" t="n"/>
      <c r="AX59" s="53" t="n"/>
      <c r="AY59" s="53" t="n"/>
    </row>
    <row r="60" ht="15" customHeight="1">
      <c r="A60" s="40">
        <f>IF($D$60="","",18)</f>
        <v/>
      </c>
      <c r="B60" s="10" t="n"/>
      <c r="C60" s="41" t="inlineStr">
        <is>
          <t>마케팅1팀</t>
        </is>
      </c>
      <c r="D60" s="42" t="n"/>
      <c r="E60" s="43" t="inlineStr">
        <is>
          <t>기획</t>
        </is>
      </c>
      <c r="F60" s="44" t="n"/>
      <c r="G60" s="45" t="n"/>
      <c r="H60" s="46">
        <f>IF($I$60="","",IF($I$60&lt;0,"🔴지연",IF($I$60&lt;=1,"🟡임박","🟢여유")))</f>
        <v/>
      </c>
      <c r="I60" s="47">
        <f>IF(OR($G$60="",$K$60=""),"",$G$60-$K$60)</f>
        <v/>
      </c>
      <c r="J60" s="48">
        <f>IF(SUM($L$60:$L$62)=0,"",SUM($L$60:$L$62))</f>
        <v/>
      </c>
      <c r="K60" s="49">
        <f>IF($J$60="","",MAX($N$60:$N$62))</f>
        <v/>
      </c>
      <c r="L60" s="50">
        <f>IF(SUM(U60:AY60)=0,"",SUM(U60:AY60))</f>
        <v/>
      </c>
      <c r="M60" s="51">
        <f>IFERROR(INDEX(U$2:AY$2,MATCH(TRUE,INDEX(U60:AY60&lt;&gt;"",0),0)),"")</f>
        <v/>
      </c>
      <c r="N60" s="51">
        <f>IFERROR(LOOKUP(2,1/(U60:AY60&lt;&gt;""),U$2:AY$2),"")</f>
        <v/>
      </c>
      <c r="O60" s="52" t="n"/>
      <c r="P60" s="52" t="n"/>
      <c r="Q60" s="52" t="n"/>
      <c r="R60" s="44" t="n"/>
      <c r="S60" s="14" t="n"/>
      <c r="U60" s="53" t="n"/>
      <c r="V60" s="53" t="n"/>
      <c r="W60" s="53" t="n"/>
      <c r="X60" s="53" t="n"/>
      <c r="Y60" s="53" t="n"/>
      <c r="Z60" s="53" t="n"/>
      <c r="AA60" s="53" t="n"/>
      <c r="AB60" s="53" t="n"/>
      <c r="AC60" s="53" t="n"/>
      <c r="AD60" s="53" t="n"/>
      <c r="AE60" s="53" t="n"/>
      <c r="AF60" s="53" t="n"/>
      <c r="AG60" s="53" t="n"/>
      <c r="AH60" s="53" t="n"/>
      <c r="AI60" s="53" t="n"/>
      <c r="AJ60" s="53" t="n"/>
      <c r="AK60" s="53" t="n"/>
      <c r="AL60" s="53" t="n"/>
      <c r="AM60" s="53" t="n"/>
      <c r="AN60" s="53" t="n"/>
      <c r="AO60" s="53" t="n"/>
      <c r="AP60" s="53" t="n"/>
      <c r="AQ60" s="53" t="n"/>
      <c r="AR60" s="53" t="n"/>
      <c r="AS60" s="53" t="n"/>
      <c r="AT60" s="53" t="n"/>
      <c r="AU60" s="53" t="n"/>
      <c r="AV60" s="53" t="n"/>
      <c r="AW60" s="53" t="n"/>
      <c r="AX60" s="53" t="n"/>
      <c r="AY60" s="53" t="n"/>
    </row>
    <row r="61" ht="15" customHeight="1">
      <c r="A61" s="54" t="n"/>
      <c r="B61" s="55">
        <f>IF($B$60="","",$B$60)</f>
        <v/>
      </c>
      <c r="C61" s="56" t="inlineStr">
        <is>
          <t>마케팅1팀</t>
        </is>
      </c>
      <c r="D61" s="55">
        <f>IF($D$60="","",$D$60)</f>
        <v/>
      </c>
      <c r="E61" s="57" t="inlineStr">
        <is>
          <t>이미지</t>
        </is>
      </c>
      <c r="F61" s="44" t="n"/>
      <c r="G61" s="58">
        <f>IF($G$60="","",$G$60)</f>
        <v/>
      </c>
      <c r="H61" s="59" t="n"/>
      <c r="I61" s="59" t="n"/>
      <c r="J61" s="59" t="n"/>
      <c r="K61" s="59" t="n"/>
      <c r="L61" s="60">
        <f>IF(SUM(U61:AY61)=0,"",SUM(U61:AY61))</f>
        <v/>
      </c>
      <c r="M61" s="61">
        <f>IFERROR(INDEX(U$2:AY$2,MATCH(TRUE,INDEX(U61:AY61&lt;&gt;"",0),0)),"")</f>
        <v/>
      </c>
      <c r="N61" s="61">
        <f>IFERROR(LOOKUP(2,1/(U61:AY61&lt;&gt;""),U$2:AY$2),"")</f>
        <v/>
      </c>
      <c r="O61" s="59" t="n"/>
      <c r="P61" s="59" t="n"/>
      <c r="Q61" s="59" t="n"/>
      <c r="R61" s="59" t="n"/>
      <c r="S61" s="14" t="n"/>
      <c r="U61" s="53" t="n"/>
      <c r="V61" s="53" t="n"/>
      <c r="W61" s="53" t="n"/>
      <c r="X61" s="53" t="n"/>
      <c r="Y61" s="53" t="n"/>
      <c r="Z61" s="53" t="n"/>
      <c r="AA61" s="53" t="n"/>
      <c r="AB61" s="53" t="n"/>
      <c r="AC61" s="53" t="n"/>
      <c r="AD61" s="53" t="n"/>
      <c r="AE61" s="53" t="n"/>
      <c r="AF61" s="53" t="n"/>
      <c r="AG61" s="53" t="n"/>
      <c r="AH61" s="53" t="n"/>
      <c r="AI61" s="53" t="n"/>
      <c r="AJ61" s="53" t="n"/>
      <c r="AK61" s="53" t="n"/>
      <c r="AL61" s="53" t="n"/>
      <c r="AM61" s="53" t="n"/>
      <c r="AN61" s="53" t="n"/>
      <c r="AO61" s="53" t="n"/>
      <c r="AP61" s="53" t="n"/>
      <c r="AQ61" s="53" t="n"/>
      <c r="AR61" s="53" t="n"/>
      <c r="AS61" s="53" t="n"/>
      <c r="AT61" s="53" t="n"/>
      <c r="AU61" s="53" t="n"/>
      <c r="AV61" s="53" t="n"/>
      <c r="AW61" s="53" t="n"/>
      <c r="AX61" s="53" t="n"/>
      <c r="AY61" s="53" t="n"/>
    </row>
    <row r="62" ht="15" customHeight="1">
      <c r="A62" s="62" t="n"/>
      <c r="B62" s="55">
        <f>IF($B$60="","",$B$60)</f>
        <v/>
      </c>
      <c r="C62" s="63" t="inlineStr">
        <is>
          <t>마케팅1팀</t>
        </is>
      </c>
      <c r="D62" s="55">
        <f>IF($D$60="","",$D$60)</f>
        <v/>
      </c>
      <c r="E62" s="64" t="inlineStr">
        <is>
          <t>영상</t>
        </is>
      </c>
      <c r="F62" s="44" t="n"/>
      <c r="G62" s="58">
        <f>IF($G$60="","",$G$60)</f>
        <v/>
      </c>
      <c r="H62" s="59" t="n"/>
      <c r="I62" s="59" t="n"/>
      <c r="J62" s="59" t="n"/>
      <c r="K62" s="59" t="n"/>
      <c r="L62" s="65">
        <f>IF(SUM(U62:AY62)=0,"",SUM(U62:AY62))</f>
        <v/>
      </c>
      <c r="M62" s="66">
        <f>IFERROR(INDEX(U$2:AY$2,MATCH(TRUE,INDEX(U62:AY62&lt;&gt;"",0),0)),"")</f>
        <v/>
      </c>
      <c r="N62" s="66">
        <f>IFERROR(LOOKUP(2,1/(U62:AY62&lt;&gt;""),U$2:AY$2),"")</f>
        <v/>
      </c>
      <c r="O62" s="59" t="n"/>
      <c r="P62" s="59" t="n"/>
      <c r="Q62" s="59" t="n"/>
      <c r="R62" s="59" t="n"/>
      <c r="S62" s="14" t="n"/>
      <c r="U62" s="53" t="n"/>
      <c r="V62" s="53" t="n"/>
      <c r="W62" s="53" t="n"/>
      <c r="X62" s="53" t="n"/>
      <c r="Y62" s="53" t="n"/>
      <c r="Z62" s="53" t="n"/>
      <c r="AA62" s="53" t="n"/>
      <c r="AB62" s="53" t="n"/>
      <c r="AC62" s="53" t="n"/>
      <c r="AD62" s="53" t="n"/>
      <c r="AE62" s="53" t="n"/>
      <c r="AF62" s="53" t="n"/>
      <c r="AG62" s="53" t="n"/>
      <c r="AH62" s="53" t="n"/>
      <c r="AI62" s="53" t="n"/>
      <c r="AJ62" s="53" t="n"/>
      <c r="AK62" s="53" t="n"/>
      <c r="AL62" s="53" t="n"/>
      <c r="AM62" s="53" t="n"/>
      <c r="AN62" s="53" t="n"/>
      <c r="AO62" s="53" t="n"/>
      <c r="AP62" s="53" t="n"/>
      <c r="AQ62" s="53" t="n"/>
      <c r="AR62" s="53" t="n"/>
      <c r="AS62" s="53" t="n"/>
      <c r="AT62" s="53" t="n"/>
      <c r="AU62" s="53" t="n"/>
      <c r="AV62" s="53" t="n"/>
      <c r="AW62" s="53" t="n"/>
      <c r="AX62" s="53" t="n"/>
      <c r="AY62" s="53" t="n"/>
    </row>
    <row r="63" ht="15" customHeight="1">
      <c r="A63" s="40">
        <f>IF($D$63="","",19)</f>
        <v/>
      </c>
      <c r="B63" s="10" t="n"/>
      <c r="C63" s="41" t="inlineStr">
        <is>
          <t>마케팅1팀</t>
        </is>
      </c>
      <c r="D63" s="42" t="n"/>
      <c r="E63" s="43" t="inlineStr">
        <is>
          <t>기획</t>
        </is>
      </c>
      <c r="F63" s="44" t="n"/>
      <c r="G63" s="45" t="n"/>
      <c r="H63" s="46">
        <f>IF($I$63="","",IF($I$63&lt;0,"🔴지연",IF($I$63&lt;=1,"🟡임박","🟢여유")))</f>
        <v/>
      </c>
      <c r="I63" s="47">
        <f>IF(OR($G$63="",$K$63=""),"",$G$63-$K$63)</f>
        <v/>
      </c>
      <c r="J63" s="48">
        <f>IF(SUM($L$63:$L$65)=0,"",SUM($L$63:$L$65))</f>
        <v/>
      </c>
      <c r="K63" s="49">
        <f>IF($J$63="","",MAX($N$63:$N$65))</f>
        <v/>
      </c>
      <c r="L63" s="50">
        <f>IF(SUM(U63:AY63)=0,"",SUM(U63:AY63))</f>
        <v/>
      </c>
      <c r="M63" s="51">
        <f>IFERROR(INDEX(U$2:AY$2,MATCH(TRUE,INDEX(U63:AY63&lt;&gt;"",0),0)),"")</f>
        <v/>
      </c>
      <c r="N63" s="51">
        <f>IFERROR(LOOKUP(2,1/(U63:AY63&lt;&gt;""),U$2:AY$2),"")</f>
        <v/>
      </c>
      <c r="O63" s="52" t="n"/>
      <c r="P63" s="52" t="n"/>
      <c r="Q63" s="52" t="n"/>
      <c r="R63" s="44" t="n"/>
      <c r="S63" s="14" t="n"/>
      <c r="U63" s="53" t="n"/>
      <c r="V63" s="53" t="n"/>
      <c r="W63" s="53" t="n"/>
      <c r="X63" s="53" t="n"/>
      <c r="Y63" s="53" t="n"/>
      <c r="Z63" s="53" t="n"/>
      <c r="AA63" s="53" t="n"/>
      <c r="AB63" s="53" t="n"/>
      <c r="AC63" s="53" t="n"/>
      <c r="AD63" s="53" t="n"/>
      <c r="AE63" s="53" t="n"/>
      <c r="AF63" s="53" t="n"/>
      <c r="AG63" s="53" t="n"/>
      <c r="AH63" s="53" t="n"/>
      <c r="AI63" s="53" t="n"/>
      <c r="AJ63" s="53" t="n"/>
      <c r="AK63" s="53" t="n"/>
      <c r="AL63" s="53" t="n"/>
      <c r="AM63" s="53" t="n"/>
      <c r="AN63" s="53" t="n"/>
      <c r="AO63" s="53" t="n"/>
      <c r="AP63" s="53" t="n"/>
      <c r="AQ63" s="53" t="n"/>
      <c r="AR63" s="53" t="n"/>
      <c r="AS63" s="53" t="n"/>
      <c r="AT63" s="53" t="n"/>
      <c r="AU63" s="53" t="n"/>
      <c r="AV63" s="53" t="n"/>
      <c r="AW63" s="53" t="n"/>
      <c r="AX63" s="53" t="n"/>
      <c r="AY63" s="53" t="n"/>
    </row>
    <row r="64" ht="15" customHeight="1">
      <c r="A64" s="54" t="n"/>
      <c r="B64" s="55">
        <f>IF($B$63="","",$B$63)</f>
        <v/>
      </c>
      <c r="C64" s="56" t="inlineStr">
        <is>
          <t>마케팅1팀</t>
        </is>
      </c>
      <c r="D64" s="55">
        <f>IF($D$63="","",$D$63)</f>
        <v/>
      </c>
      <c r="E64" s="57" t="inlineStr">
        <is>
          <t>이미지</t>
        </is>
      </c>
      <c r="F64" s="44" t="n"/>
      <c r="G64" s="58">
        <f>IF($G$63="","",$G$63)</f>
        <v/>
      </c>
      <c r="H64" s="59" t="n"/>
      <c r="I64" s="59" t="n"/>
      <c r="J64" s="59" t="n"/>
      <c r="K64" s="59" t="n"/>
      <c r="L64" s="60">
        <f>IF(SUM(U64:AY64)=0,"",SUM(U64:AY64))</f>
        <v/>
      </c>
      <c r="M64" s="61">
        <f>IFERROR(INDEX(U$2:AY$2,MATCH(TRUE,INDEX(U64:AY64&lt;&gt;"",0),0)),"")</f>
        <v/>
      </c>
      <c r="N64" s="61">
        <f>IFERROR(LOOKUP(2,1/(U64:AY64&lt;&gt;""),U$2:AY$2),"")</f>
        <v/>
      </c>
      <c r="O64" s="59" t="n"/>
      <c r="P64" s="59" t="n"/>
      <c r="Q64" s="59" t="n"/>
      <c r="R64" s="59" t="n"/>
      <c r="S64" s="14" t="n"/>
      <c r="U64" s="53" t="n"/>
      <c r="V64" s="53" t="n"/>
      <c r="W64" s="53" t="n"/>
      <c r="X64" s="53" t="n"/>
      <c r="Y64" s="53" t="n"/>
      <c r="Z64" s="53" t="n"/>
      <c r="AA64" s="53" t="n"/>
      <c r="AB64" s="53" t="n"/>
      <c r="AC64" s="53" t="n"/>
      <c r="AD64" s="53" t="n"/>
      <c r="AE64" s="53" t="n"/>
      <c r="AF64" s="53" t="n"/>
      <c r="AG64" s="53" t="n"/>
      <c r="AH64" s="53" t="n"/>
      <c r="AI64" s="53" t="n"/>
      <c r="AJ64" s="53" t="n"/>
      <c r="AK64" s="53" t="n"/>
      <c r="AL64" s="53" t="n"/>
      <c r="AM64" s="53" t="n"/>
      <c r="AN64" s="53" t="n"/>
      <c r="AO64" s="53" t="n"/>
      <c r="AP64" s="53" t="n"/>
      <c r="AQ64" s="53" t="n"/>
      <c r="AR64" s="53" t="n"/>
      <c r="AS64" s="53" t="n"/>
      <c r="AT64" s="53" t="n"/>
      <c r="AU64" s="53" t="n"/>
      <c r="AV64" s="53" t="n"/>
      <c r="AW64" s="53" t="n"/>
      <c r="AX64" s="53" t="n"/>
      <c r="AY64" s="53" t="n"/>
    </row>
    <row r="65" ht="15" customHeight="1">
      <c r="A65" s="62" t="n"/>
      <c r="B65" s="55">
        <f>IF($B$63="","",$B$63)</f>
        <v/>
      </c>
      <c r="C65" s="63" t="inlineStr">
        <is>
          <t>마케팅1팀</t>
        </is>
      </c>
      <c r="D65" s="55">
        <f>IF($D$63="","",$D$63)</f>
        <v/>
      </c>
      <c r="E65" s="64" t="inlineStr">
        <is>
          <t>영상</t>
        </is>
      </c>
      <c r="F65" s="44" t="n"/>
      <c r="G65" s="58">
        <f>IF($G$63="","",$G$63)</f>
        <v/>
      </c>
      <c r="H65" s="59" t="n"/>
      <c r="I65" s="59" t="n"/>
      <c r="J65" s="59" t="n"/>
      <c r="K65" s="59" t="n"/>
      <c r="L65" s="65">
        <f>IF(SUM(U65:AY65)=0,"",SUM(U65:AY65))</f>
        <v/>
      </c>
      <c r="M65" s="66">
        <f>IFERROR(INDEX(U$2:AY$2,MATCH(TRUE,INDEX(U65:AY65&lt;&gt;"",0),0)),"")</f>
        <v/>
      </c>
      <c r="N65" s="66">
        <f>IFERROR(LOOKUP(2,1/(U65:AY65&lt;&gt;""),U$2:AY$2),"")</f>
        <v/>
      </c>
      <c r="O65" s="59" t="n"/>
      <c r="P65" s="59" t="n"/>
      <c r="Q65" s="59" t="n"/>
      <c r="R65" s="59" t="n"/>
      <c r="S65" s="14" t="n"/>
      <c r="U65" s="53" t="n"/>
      <c r="V65" s="53" t="n"/>
      <c r="W65" s="53" t="n"/>
      <c r="X65" s="53" t="n"/>
      <c r="Y65" s="53" t="n"/>
      <c r="Z65" s="53" t="n"/>
      <c r="AA65" s="53" t="n"/>
      <c r="AB65" s="53" t="n"/>
      <c r="AC65" s="53" t="n"/>
      <c r="AD65" s="53" t="n"/>
      <c r="AE65" s="53" t="n"/>
      <c r="AF65" s="53" t="n"/>
      <c r="AG65" s="53" t="n"/>
      <c r="AH65" s="53" t="n"/>
      <c r="AI65" s="53" t="n"/>
      <c r="AJ65" s="53" t="n"/>
      <c r="AK65" s="53" t="n"/>
      <c r="AL65" s="53" t="n"/>
      <c r="AM65" s="53" t="n"/>
      <c r="AN65" s="53" t="n"/>
      <c r="AO65" s="53" t="n"/>
      <c r="AP65" s="53" t="n"/>
      <c r="AQ65" s="53" t="n"/>
      <c r="AR65" s="53" t="n"/>
      <c r="AS65" s="53" t="n"/>
      <c r="AT65" s="53" t="n"/>
      <c r="AU65" s="53" t="n"/>
      <c r="AV65" s="53" t="n"/>
      <c r="AW65" s="53" t="n"/>
      <c r="AX65" s="53" t="n"/>
      <c r="AY65" s="53" t="n"/>
    </row>
    <row r="66" ht="15" customHeight="1">
      <c r="A66" s="40">
        <f>IF($D$66="","",20)</f>
        <v/>
      </c>
      <c r="B66" s="10" t="n"/>
      <c r="C66" s="41" t="inlineStr">
        <is>
          <t>마케팅1팀</t>
        </is>
      </c>
      <c r="D66" s="42" t="n"/>
      <c r="E66" s="43" t="inlineStr">
        <is>
          <t>기획</t>
        </is>
      </c>
      <c r="F66" s="44" t="n"/>
      <c r="G66" s="45" t="n"/>
      <c r="H66" s="46">
        <f>IF($I$66="","",IF($I$66&lt;0,"🔴지연",IF($I$66&lt;=1,"🟡임박","🟢여유")))</f>
        <v/>
      </c>
      <c r="I66" s="47">
        <f>IF(OR($G$66="",$K$66=""),"",$G$66-$K$66)</f>
        <v/>
      </c>
      <c r="J66" s="48">
        <f>IF(SUM($L$66:$L$68)=0,"",SUM($L$66:$L$68))</f>
        <v/>
      </c>
      <c r="K66" s="49">
        <f>IF($J$66="","",MAX($N$66:$N$68))</f>
        <v/>
      </c>
      <c r="L66" s="50">
        <f>IF(SUM(U66:AY66)=0,"",SUM(U66:AY66))</f>
        <v/>
      </c>
      <c r="M66" s="51">
        <f>IFERROR(INDEX(U$2:AY$2,MATCH(TRUE,INDEX(U66:AY66&lt;&gt;"",0),0)),"")</f>
        <v/>
      </c>
      <c r="N66" s="51">
        <f>IFERROR(LOOKUP(2,1/(U66:AY66&lt;&gt;""),U$2:AY$2),"")</f>
        <v/>
      </c>
      <c r="O66" s="52" t="n"/>
      <c r="P66" s="52" t="n"/>
      <c r="Q66" s="52" t="n"/>
      <c r="R66" s="44" t="n"/>
      <c r="S66" s="14" t="n"/>
      <c r="U66" s="53" t="n"/>
      <c r="V66" s="53" t="n"/>
      <c r="W66" s="53" t="n"/>
      <c r="X66" s="53" t="n"/>
      <c r="Y66" s="53" t="n"/>
      <c r="Z66" s="53" t="n"/>
      <c r="AA66" s="53" t="n"/>
      <c r="AB66" s="53" t="n"/>
      <c r="AC66" s="53" t="n"/>
      <c r="AD66" s="53" t="n"/>
      <c r="AE66" s="53" t="n"/>
      <c r="AF66" s="53" t="n"/>
      <c r="AG66" s="53" t="n"/>
      <c r="AH66" s="53" t="n"/>
      <c r="AI66" s="53" t="n"/>
      <c r="AJ66" s="53" t="n"/>
      <c r="AK66" s="53" t="n"/>
      <c r="AL66" s="53" t="n"/>
      <c r="AM66" s="53" t="n"/>
      <c r="AN66" s="53" t="n"/>
      <c r="AO66" s="53" t="n"/>
      <c r="AP66" s="53" t="n"/>
      <c r="AQ66" s="53" t="n"/>
      <c r="AR66" s="53" t="n"/>
      <c r="AS66" s="53" t="n"/>
      <c r="AT66" s="53" t="n"/>
      <c r="AU66" s="53" t="n"/>
      <c r="AV66" s="53" t="n"/>
      <c r="AW66" s="53" t="n"/>
      <c r="AX66" s="53" t="n"/>
      <c r="AY66" s="53" t="n"/>
    </row>
    <row r="67" ht="15" customHeight="1">
      <c r="A67" s="54" t="n"/>
      <c r="B67" s="55">
        <f>IF($B$66="","",$B$66)</f>
        <v/>
      </c>
      <c r="C67" s="56" t="inlineStr">
        <is>
          <t>마케팅1팀</t>
        </is>
      </c>
      <c r="D67" s="55">
        <f>IF($D$66="","",$D$66)</f>
        <v/>
      </c>
      <c r="E67" s="57" t="inlineStr">
        <is>
          <t>이미지</t>
        </is>
      </c>
      <c r="F67" s="44" t="n"/>
      <c r="G67" s="58">
        <f>IF($G$66="","",$G$66)</f>
        <v/>
      </c>
      <c r="H67" s="59" t="n"/>
      <c r="I67" s="59" t="n"/>
      <c r="J67" s="59" t="n"/>
      <c r="K67" s="59" t="n"/>
      <c r="L67" s="60">
        <f>IF(SUM(U67:AY67)=0,"",SUM(U67:AY67))</f>
        <v/>
      </c>
      <c r="M67" s="61">
        <f>IFERROR(INDEX(U$2:AY$2,MATCH(TRUE,INDEX(U67:AY67&lt;&gt;"",0),0)),"")</f>
        <v/>
      </c>
      <c r="N67" s="61">
        <f>IFERROR(LOOKUP(2,1/(U67:AY67&lt;&gt;""),U$2:AY$2),"")</f>
        <v/>
      </c>
      <c r="O67" s="59" t="n"/>
      <c r="P67" s="59" t="n"/>
      <c r="Q67" s="59" t="n"/>
      <c r="R67" s="59" t="n"/>
      <c r="S67" s="14" t="n"/>
      <c r="U67" s="53" t="n"/>
      <c r="V67" s="53" t="n"/>
      <c r="W67" s="53" t="n"/>
      <c r="X67" s="53" t="n"/>
      <c r="Y67" s="53" t="n"/>
      <c r="Z67" s="53" t="n"/>
      <c r="AA67" s="53" t="n"/>
      <c r="AB67" s="53" t="n"/>
      <c r="AC67" s="53" t="n"/>
      <c r="AD67" s="53" t="n"/>
      <c r="AE67" s="53" t="n"/>
      <c r="AF67" s="53" t="n"/>
      <c r="AG67" s="53" t="n"/>
      <c r="AH67" s="53" t="n"/>
      <c r="AI67" s="53" t="n"/>
      <c r="AJ67" s="53" t="n"/>
      <c r="AK67" s="53" t="n"/>
      <c r="AL67" s="53" t="n"/>
      <c r="AM67" s="53" t="n"/>
      <c r="AN67" s="53" t="n"/>
      <c r="AO67" s="53" t="n"/>
      <c r="AP67" s="53" t="n"/>
      <c r="AQ67" s="53" t="n"/>
      <c r="AR67" s="53" t="n"/>
      <c r="AS67" s="53" t="n"/>
      <c r="AT67" s="53" t="n"/>
      <c r="AU67" s="53" t="n"/>
      <c r="AV67" s="53" t="n"/>
      <c r="AW67" s="53" t="n"/>
      <c r="AX67" s="53" t="n"/>
      <c r="AY67" s="53" t="n"/>
    </row>
    <row r="68" ht="15" customHeight="1">
      <c r="A68" s="62" t="n"/>
      <c r="B68" s="55">
        <f>IF($B$66="","",$B$66)</f>
        <v/>
      </c>
      <c r="C68" s="63" t="inlineStr">
        <is>
          <t>마케팅1팀</t>
        </is>
      </c>
      <c r="D68" s="55">
        <f>IF($D$66="","",$D$66)</f>
        <v/>
      </c>
      <c r="E68" s="64" t="inlineStr">
        <is>
          <t>영상</t>
        </is>
      </c>
      <c r="F68" s="44" t="n"/>
      <c r="G68" s="58">
        <f>IF($G$66="","",$G$66)</f>
        <v/>
      </c>
      <c r="H68" s="59" t="n"/>
      <c r="I68" s="59" t="n"/>
      <c r="J68" s="59" t="n"/>
      <c r="K68" s="59" t="n"/>
      <c r="L68" s="65">
        <f>IF(SUM(U68:AY68)=0,"",SUM(U68:AY68))</f>
        <v/>
      </c>
      <c r="M68" s="66">
        <f>IFERROR(INDEX(U$2:AY$2,MATCH(TRUE,INDEX(U68:AY68&lt;&gt;"",0),0)),"")</f>
        <v/>
      </c>
      <c r="N68" s="66">
        <f>IFERROR(LOOKUP(2,1/(U68:AY68&lt;&gt;""),U$2:AY$2),"")</f>
        <v/>
      </c>
      <c r="O68" s="59" t="n"/>
      <c r="P68" s="59" t="n"/>
      <c r="Q68" s="59" t="n"/>
      <c r="R68" s="59" t="n"/>
      <c r="S68" s="14" t="n"/>
      <c r="U68" s="53" t="n"/>
      <c r="V68" s="53" t="n"/>
      <c r="W68" s="53" t="n"/>
      <c r="X68" s="53" t="n"/>
      <c r="Y68" s="53" t="n"/>
      <c r="Z68" s="53" t="n"/>
      <c r="AA68" s="53" t="n"/>
      <c r="AB68" s="53" t="n"/>
      <c r="AC68" s="53" t="n"/>
      <c r="AD68" s="53" t="n"/>
      <c r="AE68" s="53" t="n"/>
      <c r="AF68" s="53" t="n"/>
      <c r="AG68" s="53" t="n"/>
      <c r="AH68" s="53" t="n"/>
      <c r="AI68" s="53" t="n"/>
      <c r="AJ68" s="53" t="n"/>
      <c r="AK68" s="53" t="n"/>
      <c r="AL68" s="53" t="n"/>
      <c r="AM68" s="53" t="n"/>
      <c r="AN68" s="53" t="n"/>
      <c r="AO68" s="53" t="n"/>
      <c r="AP68" s="53" t="n"/>
      <c r="AQ68" s="53" t="n"/>
      <c r="AR68" s="53" t="n"/>
      <c r="AS68" s="53" t="n"/>
      <c r="AT68" s="53" t="n"/>
      <c r="AU68" s="53" t="n"/>
      <c r="AV68" s="53" t="n"/>
      <c r="AW68" s="53" t="n"/>
      <c r="AX68" s="53" t="n"/>
      <c r="AY68" s="53" t="n"/>
    </row>
    <row r="69" ht="18" customHeight="1">
      <c r="A69" s="39" t="inlineStr">
        <is>
          <t>마케팅2팀   (70~129행 · 소재 20개)</t>
        </is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4" t="n"/>
    </row>
    <row r="70" ht="15" customHeight="1">
      <c r="A70" s="40">
        <f>IF($D$70="","",21)</f>
        <v/>
      </c>
      <c r="B70" s="10" t="n"/>
      <c r="C70" s="41" t="inlineStr">
        <is>
          <t>마케팅2팀</t>
        </is>
      </c>
      <c r="D70" s="42" t="n"/>
      <c r="E70" s="43" t="inlineStr">
        <is>
          <t>기획</t>
        </is>
      </c>
      <c r="F70" s="44" t="n"/>
      <c r="G70" s="45" t="n"/>
      <c r="H70" s="46">
        <f>IF($I$70="","",IF($I$70&lt;0,"🔴지연",IF($I$70&lt;=1,"🟡임박","🟢여유")))</f>
        <v/>
      </c>
      <c r="I70" s="47">
        <f>IF(OR($G$70="",$K$70=""),"",$G$70-$K$70)</f>
        <v/>
      </c>
      <c r="J70" s="48">
        <f>IF(SUM($L$70:$L$72)=0,"",SUM($L$70:$L$72))</f>
        <v/>
      </c>
      <c r="K70" s="49">
        <f>IF($J$70="","",MAX($N$70:$N$72))</f>
        <v/>
      </c>
      <c r="L70" s="50">
        <f>IF(SUM(U70:AY70)=0,"",SUM(U70:AY70))</f>
        <v/>
      </c>
      <c r="M70" s="51">
        <f>IFERROR(INDEX(U$2:AY$2,MATCH(TRUE,INDEX(U70:AY70&lt;&gt;"",0),0)),"")</f>
        <v/>
      </c>
      <c r="N70" s="51">
        <f>IFERROR(LOOKUP(2,1/(U70:AY70&lt;&gt;""),U$2:AY$2),"")</f>
        <v/>
      </c>
      <c r="O70" s="52" t="n"/>
      <c r="P70" s="52" t="n"/>
      <c r="Q70" s="52" t="n"/>
      <c r="R70" s="44" t="n"/>
      <c r="S70" s="14" t="n"/>
      <c r="U70" s="53" t="n"/>
      <c r="V70" s="53" t="n"/>
      <c r="W70" s="53" t="n"/>
      <c r="X70" s="53" t="n"/>
      <c r="Y70" s="53" t="n"/>
      <c r="Z70" s="53" t="n"/>
      <c r="AA70" s="53" t="n"/>
      <c r="AB70" s="53" t="n"/>
      <c r="AC70" s="53" t="n"/>
      <c r="AD70" s="53" t="n"/>
      <c r="AE70" s="53" t="n"/>
      <c r="AF70" s="53" t="n"/>
      <c r="AG70" s="53" t="n"/>
      <c r="AH70" s="53" t="n"/>
      <c r="AI70" s="53" t="n"/>
      <c r="AJ70" s="53" t="n"/>
      <c r="AK70" s="53" t="n"/>
      <c r="AL70" s="53" t="n"/>
      <c r="AM70" s="53" t="n"/>
      <c r="AN70" s="53" t="n"/>
      <c r="AO70" s="53" t="n"/>
      <c r="AP70" s="53" t="n"/>
      <c r="AQ70" s="53" t="n"/>
      <c r="AR70" s="53" t="n"/>
      <c r="AS70" s="53" t="n"/>
      <c r="AT70" s="53" t="n"/>
      <c r="AU70" s="53" t="n"/>
      <c r="AV70" s="53" t="n"/>
      <c r="AW70" s="53" t="n"/>
      <c r="AX70" s="53" t="n"/>
      <c r="AY70" s="53" t="n"/>
    </row>
    <row r="71" ht="15" customHeight="1">
      <c r="A71" s="54" t="n"/>
      <c r="B71" s="55">
        <f>IF($B$70="","",$B$70)</f>
        <v/>
      </c>
      <c r="C71" s="56" t="inlineStr">
        <is>
          <t>마케팅2팀</t>
        </is>
      </c>
      <c r="D71" s="55">
        <f>IF($D$70="","",$D$70)</f>
        <v/>
      </c>
      <c r="E71" s="57" t="inlineStr">
        <is>
          <t>이미지</t>
        </is>
      </c>
      <c r="F71" s="44" t="n"/>
      <c r="G71" s="58">
        <f>IF($G$70="","",$G$70)</f>
        <v/>
      </c>
      <c r="H71" s="59" t="n"/>
      <c r="I71" s="59" t="n"/>
      <c r="J71" s="59" t="n"/>
      <c r="K71" s="59" t="n"/>
      <c r="L71" s="60">
        <f>IF(SUM(U71:AY71)=0,"",SUM(U71:AY71))</f>
        <v/>
      </c>
      <c r="M71" s="61">
        <f>IFERROR(INDEX(U$2:AY$2,MATCH(TRUE,INDEX(U71:AY71&lt;&gt;"",0),0)),"")</f>
        <v/>
      </c>
      <c r="N71" s="61">
        <f>IFERROR(LOOKUP(2,1/(U71:AY71&lt;&gt;""),U$2:AY$2),"")</f>
        <v/>
      </c>
      <c r="O71" s="59" t="n"/>
      <c r="P71" s="59" t="n"/>
      <c r="Q71" s="59" t="n"/>
      <c r="R71" s="59" t="n"/>
      <c r="S71" s="14" t="n"/>
      <c r="U71" s="53" t="n"/>
      <c r="V71" s="53" t="n"/>
      <c r="W71" s="53" t="n"/>
      <c r="X71" s="53" t="n"/>
      <c r="Y71" s="53" t="n"/>
      <c r="Z71" s="53" t="n"/>
      <c r="AA71" s="53" t="n"/>
      <c r="AB71" s="53" t="n"/>
      <c r="AC71" s="53" t="n"/>
      <c r="AD71" s="53" t="n"/>
      <c r="AE71" s="53" t="n"/>
      <c r="AF71" s="53" t="n"/>
      <c r="AG71" s="53" t="n"/>
      <c r="AH71" s="53" t="n"/>
      <c r="AI71" s="53" t="n"/>
      <c r="AJ71" s="53" t="n"/>
      <c r="AK71" s="53" t="n"/>
      <c r="AL71" s="53" t="n"/>
      <c r="AM71" s="53" t="n"/>
      <c r="AN71" s="53" t="n"/>
      <c r="AO71" s="53" t="n"/>
      <c r="AP71" s="53" t="n"/>
      <c r="AQ71" s="53" t="n"/>
      <c r="AR71" s="53" t="n"/>
      <c r="AS71" s="53" t="n"/>
      <c r="AT71" s="53" t="n"/>
      <c r="AU71" s="53" t="n"/>
      <c r="AV71" s="53" t="n"/>
      <c r="AW71" s="53" t="n"/>
      <c r="AX71" s="53" t="n"/>
      <c r="AY71" s="53" t="n"/>
    </row>
    <row r="72" ht="15" customHeight="1">
      <c r="A72" s="62" t="n"/>
      <c r="B72" s="55">
        <f>IF($B$70="","",$B$70)</f>
        <v/>
      </c>
      <c r="C72" s="63" t="inlineStr">
        <is>
          <t>마케팅2팀</t>
        </is>
      </c>
      <c r="D72" s="55">
        <f>IF($D$70="","",$D$70)</f>
        <v/>
      </c>
      <c r="E72" s="64" t="inlineStr">
        <is>
          <t>영상</t>
        </is>
      </c>
      <c r="F72" s="44" t="n"/>
      <c r="G72" s="58">
        <f>IF($G$70="","",$G$70)</f>
        <v/>
      </c>
      <c r="H72" s="59" t="n"/>
      <c r="I72" s="59" t="n"/>
      <c r="J72" s="59" t="n"/>
      <c r="K72" s="59" t="n"/>
      <c r="L72" s="65">
        <f>IF(SUM(U72:AY72)=0,"",SUM(U72:AY72))</f>
        <v/>
      </c>
      <c r="M72" s="66">
        <f>IFERROR(INDEX(U$2:AY$2,MATCH(TRUE,INDEX(U72:AY72&lt;&gt;"",0),0)),"")</f>
        <v/>
      </c>
      <c r="N72" s="66">
        <f>IFERROR(LOOKUP(2,1/(U72:AY72&lt;&gt;""),U$2:AY$2),"")</f>
        <v/>
      </c>
      <c r="O72" s="59" t="n"/>
      <c r="P72" s="59" t="n"/>
      <c r="Q72" s="59" t="n"/>
      <c r="R72" s="59" t="n"/>
      <c r="S72" s="14" t="n"/>
      <c r="U72" s="53" t="n"/>
      <c r="V72" s="53" t="n"/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53" t="n"/>
      <c r="AF72" s="53" t="n"/>
      <c r="AG72" s="53" t="n"/>
      <c r="AH72" s="53" t="n"/>
      <c r="AI72" s="53" t="n"/>
      <c r="AJ72" s="53" t="n"/>
      <c r="AK72" s="53" t="n"/>
      <c r="AL72" s="53" t="n"/>
      <c r="AM72" s="53" t="n"/>
      <c r="AN72" s="53" t="n"/>
      <c r="AO72" s="53" t="n"/>
      <c r="AP72" s="53" t="n"/>
      <c r="AQ72" s="53" t="n"/>
      <c r="AR72" s="53" t="n"/>
      <c r="AS72" s="53" t="n"/>
      <c r="AT72" s="53" t="n"/>
      <c r="AU72" s="53" t="n"/>
      <c r="AV72" s="53" t="n"/>
      <c r="AW72" s="53" t="n"/>
      <c r="AX72" s="53" t="n"/>
      <c r="AY72" s="53" t="n"/>
    </row>
    <row r="73" ht="15" customHeight="1">
      <c r="A73" s="40">
        <f>IF($D$73="","",22)</f>
        <v/>
      </c>
      <c r="B73" s="10" t="n"/>
      <c r="C73" s="41" t="inlineStr">
        <is>
          <t>마케팅2팀</t>
        </is>
      </c>
      <c r="D73" s="42" t="n"/>
      <c r="E73" s="43" t="inlineStr">
        <is>
          <t>기획</t>
        </is>
      </c>
      <c r="F73" s="44" t="n"/>
      <c r="G73" s="45" t="n"/>
      <c r="H73" s="46">
        <f>IF($I$73="","",IF($I$73&lt;0,"🔴지연",IF($I$73&lt;=1,"🟡임박","🟢여유")))</f>
        <v/>
      </c>
      <c r="I73" s="47">
        <f>IF(OR($G$73="",$K$73=""),"",$G$73-$K$73)</f>
        <v/>
      </c>
      <c r="J73" s="48">
        <f>IF(SUM($L$73:$L$75)=0,"",SUM($L$73:$L$75))</f>
        <v/>
      </c>
      <c r="K73" s="49">
        <f>IF($J$73="","",MAX($N$73:$N$75))</f>
        <v/>
      </c>
      <c r="L73" s="50">
        <f>IF(SUM(U73:AY73)=0,"",SUM(U73:AY73))</f>
        <v/>
      </c>
      <c r="M73" s="51">
        <f>IFERROR(INDEX(U$2:AY$2,MATCH(TRUE,INDEX(U73:AY73&lt;&gt;"",0),0)),"")</f>
        <v/>
      </c>
      <c r="N73" s="51">
        <f>IFERROR(LOOKUP(2,1/(U73:AY73&lt;&gt;""),U$2:AY$2),"")</f>
        <v/>
      </c>
      <c r="O73" s="52" t="n"/>
      <c r="P73" s="52" t="n"/>
      <c r="Q73" s="52" t="n"/>
      <c r="R73" s="44" t="n"/>
      <c r="S73" s="14" t="n"/>
      <c r="U73" s="53" t="n"/>
      <c r="V73" s="53" t="n"/>
      <c r="W73" s="53" t="n"/>
      <c r="X73" s="53" t="n"/>
      <c r="Y73" s="53" t="n"/>
      <c r="Z73" s="53" t="n"/>
      <c r="AA73" s="53" t="n"/>
      <c r="AB73" s="53" t="n"/>
      <c r="AC73" s="53" t="n"/>
      <c r="AD73" s="53" t="n"/>
      <c r="AE73" s="53" t="n"/>
      <c r="AF73" s="53" t="n"/>
      <c r="AG73" s="53" t="n"/>
      <c r="AH73" s="53" t="n"/>
      <c r="AI73" s="53" t="n"/>
      <c r="AJ73" s="53" t="n"/>
      <c r="AK73" s="53" t="n"/>
      <c r="AL73" s="53" t="n"/>
      <c r="AM73" s="53" t="n"/>
      <c r="AN73" s="53" t="n"/>
      <c r="AO73" s="53" t="n"/>
      <c r="AP73" s="53" t="n"/>
      <c r="AQ73" s="53" t="n"/>
      <c r="AR73" s="53" t="n"/>
      <c r="AS73" s="53" t="n"/>
      <c r="AT73" s="53" t="n"/>
      <c r="AU73" s="53" t="n"/>
      <c r="AV73" s="53" t="n"/>
      <c r="AW73" s="53" t="n"/>
      <c r="AX73" s="53" t="n"/>
      <c r="AY73" s="53" t="n"/>
    </row>
    <row r="74" ht="15" customHeight="1">
      <c r="A74" s="54" t="n"/>
      <c r="B74" s="55">
        <f>IF($B$73="","",$B$73)</f>
        <v/>
      </c>
      <c r="C74" s="56" t="inlineStr">
        <is>
          <t>마케팅2팀</t>
        </is>
      </c>
      <c r="D74" s="55">
        <f>IF($D$73="","",$D$73)</f>
        <v/>
      </c>
      <c r="E74" s="57" t="inlineStr">
        <is>
          <t>이미지</t>
        </is>
      </c>
      <c r="F74" s="44" t="n"/>
      <c r="G74" s="58">
        <f>IF($G$73="","",$G$73)</f>
        <v/>
      </c>
      <c r="H74" s="59" t="n"/>
      <c r="I74" s="59" t="n"/>
      <c r="J74" s="59" t="n"/>
      <c r="K74" s="59" t="n"/>
      <c r="L74" s="60">
        <f>IF(SUM(U74:AY74)=0,"",SUM(U74:AY74))</f>
        <v/>
      </c>
      <c r="M74" s="61">
        <f>IFERROR(INDEX(U$2:AY$2,MATCH(TRUE,INDEX(U74:AY74&lt;&gt;"",0),0)),"")</f>
        <v/>
      </c>
      <c r="N74" s="61">
        <f>IFERROR(LOOKUP(2,1/(U74:AY74&lt;&gt;""),U$2:AY$2),"")</f>
        <v/>
      </c>
      <c r="O74" s="59" t="n"/>
      <c r="P74" s="59" t="n"/>
      <c r="Q74" s="59" t="n"/>
      <c r="R74" s="59" t="n"/>
      <c r="S74" s="14" t="n"/>
      <c r="U74" s="53" t="n"/>
      <c r="V74" s="53" t="n"/>
      <c r="W74" s="53" t="n"/>
      <c r="X74" s="53" t="n"/>
      <c r="Y74" s="53" t="n"/>
      <c r="Z74" s="53" t="n"/>
      <c r="AA74" s="53" t="n"/>
      <c r="AB74" s="53" t="n"/>
      <c r="AC74" s="53" t="n"/>
      <c r="AD74" s="53" t="n"/>
      <c r="AE74" s="53" t="n"/>
      <c r="AF74" s="53" t="n"/>
      <c r="AG74" s="53" t="n"/>
      <c r="AH74" s="53" t="n"/>
      <c r="AI74" s="53" t="n"/>
      <c r="AJ74" s="53" t="n"/>
      <c r="AK74" s="53" t="n"/>
      <c r="AL74" s="53" t="n"/>
      <c r="AM74" s="53" t="n"/>
      <c r="AN74" s="53" t="n"/>
      <c r="AO74" s="53" t="n"/>
      <c r="AP74" s="53" t="n"/>
      <c r="AQ74" s="53" t="n"/>
      <c r="AR74" s="53" t="n"/>
      <c r="AS74" s="53" t="n"/>
      <c r="AT74" s="53" t="n"/>
      <c r="AU74" s="53" t="n"/>
      <c r="AV74" s="53" t="n"/>
      <c r="AW74" s="53" t="n"/>
      <c r="AX74" s="53" t="n"/>
      <c r="AY74" s="53" t="n"/>
    </row>
    <row r="75" ht="15" customHeight="1">
      <c r="A75" s="62" t="n"/>
      <c r="B75" s="55">
        <f>IF($B$73="","",$B$73)</f>
        <v/>
      </c>
      <c r="C75" s="63" t="inlineStr">
        <is>
          <t>마케팅2팀</t>
        </is>
      </c>
      <c r="D75" s="55">
        <f>IF($D$73="","",$D$73)</f>
        <v/>
      </c>
      <c r="E75" s="64" t="inlineStr">
        <is>
          <t>영상</t>
        </is>
      </c>
      <c r="F75" s="44" t="n"/>
      <c r="G75" s="58">
        <f>IF($G$73="","",$G$73)</f>
        <v/>
      </c>
      <c r="H75" s="59" t="n"/>
      <c r="I75" s="59" t="n"/>
      <c r="J75" s="59" t="n"/>
      <c r="K75" s="59" t="n"/>
      <c r="L75" s="65">
        <f>IF(SUM(U75:AY75)=0,"",SUM(U75:AY75))</f>
        <v/>
      </c>
      <c r="M75" s="66">
        <f>IFERROR(INDEX(U$2:AY$2,MATCH(TRUE,INDEX(U75:AY75&lt;&gt;"",0),0)),"")</f>
        <v/>
      </c>
      <c r="N75" s="66">
        <f>IFERROR(LOOKUP(2,1/(U75:AY75&lt;&gt;""),U$2:AY$2),"")</f>
        <v/>
      </c>
      <c r="O75" s="59" t="n"/>
      <c r="P75" s="59" t="n"/>
      <c r="Q75" s="59" t="n"/>
      <c r="R75" s="59" t="n"/>
      <c r="S75" s="14" t="n"/>
      <c r="U75" s="53" t="n"/>
      <c r="V75" s="53" t="n"/>
      <c r="W75" s="53" t="n"/>
      <c r="X75" s="53" t="n"/>
      <c r="Y75" s="53" t="n"/>
      <c r="Z75" s="53" t="n"/>
      <c r="AA75" s="53" t="n"/>
      <c r="AB75" s="53" t="n"/>
      <c r="AC75" s="53" t="n"/>
      <c r="AD75" s="53" t="n"/>
      <c r="AE75" s="53" t="n"/>
      <c r="AF75" s="53" t="n"/>
      <c r="AG75" s="53" t="n"/>
      <c r="AH75" s="53" t="n"/>
      <c r="AI75" s="53" t="n"/>
      <c r="AJ75" s="53" t="n"/>
      <c r="AK75" s="53" t="n"/>
      <c r="AL75" s="53" t="n"/>
      <c r="AM75" s="53" t="n"/>
      <c r="AN75" s="53" t="n"/>
      <c r="AO75" s="53" t="n"/>
      <c r="AP75" s="53" t="n"/>
      <c r="AQ75" s="53" t="n"/>
      <c r="AR75" s="53" t="n"/>
      <c r="AS75" s="53" t="n"/>
      <c r="AT75" s="53" t="n"/>
      <c r="AU75" s="53" t="n"/>
      <c r="AV75" s="53" t="n"/>
      <c r="AW75" s="53" t="n"/>
      <c r="AX75" s="53" t="n"/>
      <c r="AY75" s="53" t="n"/>
    </row>
    <row r="76" ht="15" customHeight="1">
      <c r="A76" s="40">
        <f>IF($D$76="","",23)</f>
        <v/>
      </c>
      <c r="B76" s="10" t="n"/>
      <c r="C76" s="41" t="inlineStr">
        <is>
          <t>마케팅2팀</t>
        </is>
      </c>
      <c r="D76" s="42" t="n"/>
      <c r="E76" s="43" t="inlineStr">
        <is>
          <t>기획</t>
        </is>
      </c>
      <c r="F76" s="44" t="n"/>
      <c r="G76" s="45" t="n"/>
      <c r="H76" s="46">
        <f>IF($I$76="","",IF($I$76&lt;0,"🔴지연",IF($I$76&lt;=1,"🟡임박","🟢여유")))</f>
        <v/>
      </c>
      <c r="I76" s="47">
        <f>IF(OR($G$76="",$K$76=""),"",$G$76-$K$76)</f>
        <v/>
      </c>
      <c r="J76" s="48">
        <f>IF(SUM($L$76:$L$78)=0,"",SUM($L$76:$L$78))</f>
        <v/>
      </c>
      <c r="K76" s="49">
        <f>IF($J$76="","",MAX($N$76:$N$78))</f>
        <v/>
      </c>
      <c r="L76" s="50">
        <f>IF(SUM(U76:AY76)=0,"",SUM(U76:AY76))</f>
        <v/>
      </c>
      <c r="M76" s="51">
        <f>IFERROR(INDEX(U$2:AY$2,MATCH(TRUE,INDEX(U76:AY76&lt;&gt;"",0),0)),"")</f>
        <v/>
      </c>
      <c r="N76" s="51">
        <f>IFERROR(LOOKUP(2,1/(U76:AY76&lt;&gt;""),U$2:AY$2),"")</f>
        <v/>
      </c>
      <c r="O76" s="52" t="n"/>
      <c r="P76" s="52" t="n"/>
      <c r="Q76" s="52" t="n"/>
      <c r="R76" s="44" t="n"/>
      <c r="S76" s="14" t="n"/>
      <c r="U76" s="53" t="n"/>
      <c r="V76" s="53" t="n"/>
      <c r="W76" s="53" t="n"/>
      <c r="X76" s="53" t="n"/>
      <c r="Y76" s="53" t="n"/>
      <c r="Z76" s="53" t="n"/>
      <c r="AA76" s="53" t="n"/>
      <c r="AB76" s="53" t="n"/>
      <c r="AC76" s="53" t="n"/>
      <c r="AD76" s="53" t="n"/>
      <c r="AE76" s="53" t="n"/>
      <c r="AF76" s="53" t="n"/>
      <c r="AG76" s="53" t="n"/>
      <c r="AH76" s="53" t="n"/>
      <c r="AI76" s="53" t="n"/>
      <c r="AJ76" s="53" t="n"/>
      <c r="AK76" s="53" t="n"/>
      <c r="AL76" s="53" t="n"/>
      <c r="AM76" s="53" t="n"/>
      <c r="AN76" s="53" t="n"/>
      <c r="AO76" s="53" t="n"/>
      <c r="AP76" s="53" t="n"/>
      <c r="AQ76" s="53" t="n"/>
      <c r="AR76" s="53" t="n"/>
      <c r="AS76" s="53" t="n"/>
      <c r="AT76" s="53" t="n"/>
      <c r="AU76" s="53" t="n"/>
      <c r="AV76" s="53" t="n"/>
      <c r="AW76" s="53" t="n"/>
      <c r="AX76" s="53" t="n"/>
      <c r="AY76" s="53" t="n"/>
    </row>
    <row r="77" ht="15" customHeight="1">
      <c r="A77" s="54" t="n"/>
      <c r="B77" s="55">
        <f>IF($B$76="","",$B$76)</f>
        <v/>
      </c>
      <c r="C77" s="56" t="inlineStr">
        <is>
          <t>마케팅2팀</t>
        </is>
      </c>
      <c r="D77" s="55">
        <f>IF($D$76="","",$D$76)</f>
        <v/>
      </c>
      <c r="E77" s="57" t="inlineStr">
        <is>
          <t>이미지</t>
        </is>
      </c>
      <c r="F77" s="44" t="n"/>
      <c r="G77" s="58">
        <f>IF($G$76="","",$G$76)</f>
        <v/>
      </c>
      <c r="H77" s="59" t="n"/>
      <c r="I77" s="59" t="n"/>
      <c r="J77" s="59" t="n"/>
      <c r="K77" s="59" t="n"/>
      <c r="L77" s="60">
        <f>IF(SUM(U77:AY77)=0,"",SUM(U77:AY77))</f>
        <v/>
      </c>
      <c r="M77" s="61">
        <f>IFERROR(INDEX(U$2:AY$2,MATCH(TRUE,INDEX(U77:AY77&lt;&gt;"",0),0)),"")</f>
        <v/>
      </c>
      <c r="N77" s="61">
        <f>IFERROR(LOOKUP(2,1/(U77:AY77&lt;&gt;""),U$2:AY$2),"")</f>
        <v/>
      </c>
      <c r="O77" s="59" t="n"/>
      <c r="P77" s="59" t="n"/>
      <c r="Q77" s="59" t="n"/>
      <c r="R77" s="59" t="n"/>
      <c r="S77" s="14" t="n"/>
      <c r="U77" s="53" t="n"/>
      <c r="V77" s="53" t="n"/>
      <c r="W77" s="53" t="n"/>
      <c r="X77" s="53" t="n"/>
      <c r="Y77" s="53" t="n"/>
      <c r="Z77" s="53" t="n"/>
      <c r="AA77" s="53" t="n"/>
      <c r="AB77" s="53" t="n"/>
      <c r="AC77" s="53" t="n"/>
      <c r="AD77" s="53" t="n"/>
      <c r="AE77" s="53" t="n"/>
      <c r="AF77" s="53" t="n"/>
      <c r="AG77" s="53" t="n"/>
      <c r="AH77" s="53" t="n"/>
      <c r="AI77" s="53" t="n"/>
      <c r="AJ77" s="53" t="n"/>
      <c r="AK77" s="53" t="n"/>
      <c r="AL77" s="53" t="n"/>
      <c r="AM77" s="53" t="n"/>
      <c r="AN77" s="53" t="n"/>
      <c r="AO77" s="53" t="n"/>
      <c r="AP77" s="53" t="n"/>
      <c r="AQ77" s="53" t="n"/>
      <c r="AR77" s="53" t="n"/>
      <c r="AS77" s="53" t="n"/>
      <c r="AT77" s="53" t="n"/>
      <c r="AU77" s="53" t="n"/>
      <c r="AV77" s="53" t="n"/>
      <c r="AW77" s="53" t="n"/>
      <c r="AX77" s="53" t="n"/>
      <c r="AY77" s="53" t="n"/>
    </row>
    <row r="78" ht="15" customHeight="1">
      <c r="A78" s="62" t="n"/>
      <c r="B78" s="55">
        <f>IF($B$76="","",$B$76)</f>
        <v/>
      </c>
      <c r="C78" s="63" t="inlineStr">
        <is>
          <t>마케팅2팀</t>
        </is>
      </c>
      <c r="D78" s="55">
        <f>IF($D$76="","",$D$76)</f>
        <v/>
      </c>
      <c r="E78" s="64" t="inlineStr">
        <is>
          <t>영상</t>
        </is>
      </c>
      <c r="F78" s="44" t="n"/>
      <c r="G78" s="58">
        <f>IF($G$76="","",$G$76)</f>
        <v/>
      </c>
      <c r="H78" s="59" t="n"/>
      <c r="I78" s="59" t="n"/>
      <c r="J78" s="59" t="n"/>
      <c r="K78" s="59" t="n"/>
      <c r="L78" s="65">
        <f>IF(SUM(U78:AY78)=0,"",SUM(U78:AY78))</f>
        <v/>
      </c>
      <c r="M78" s="66">
        <f>IFERROR(INDEX(U$2:AY$2,MATCH(TRUE,INDEX(U78:AY78&lt;&gt;"",0),0)),"")</f>
        <v/>
      </c>
      <c r="N78" s="66">
        <f>IFERROR(LOOKUP(2,1/(U78:AY78&lt;&gt;""),U$2:AY$2),"")</f>
        <v/>
      </c>
      <c r="O78" s="59" t="n"/>
      <c r="P78" s="59" t="n"/>
      <c r="Q78" s="59" t="n"/>
      <c r="R78" s="59" t="n"/>
      <c r="S78" s="14" t="n"/>
      <c r="U78" s="53" t="n"/>
      <c r="V78" s="53" t="n"/>
      <c r="W78" s="53" t="n"/>
      <c r="X78" s="53" t="n"/>
      <c r="Y78" s="53" t="n"/>
      <c r="Z78" s="53" t="n"/>
      <c r="AA78" s="53" t="n"/>
      <c r="AB78" s="53" t="n"/>
      <c r="AC78" s="53" t="n"/>
      <c r="AD78" s="53" t="n"/>
      <c r="AE78" s="53" t="n"/>
      <c r="AF78" s="53" t="n"/>
      <c r="AG78" s="53" t="n"/>
      <c r="AH78" s="53" t="n"/>
      <c r="AI78" s="53" t="n"/>
      <c r="AJ78" s="53" t="n"/>
      <c r="AK78" s="53" t="n"/>
      <c r="AL78" s="53" t="n"/>
      <c r="AM78" s="53" t="n"/>
      <c r="AN78" s="53" t="n"/>
      <c r="AO78" s="53" t="n"/>
      <c r="AP78" s="53" t="n"/>
      <c r="AQ78" s="53" t="n"/>
      <c r="AR78" s="53" t="n"/>
      <c r="AS78" s="53" t="n"/>
      <c r="AT78" s="53" t="n"/>
      <c r="AU78" s="53" t="n"/>
      <c r="AV78" s="53" t="n"/>
      <c r="AW78" s="53" t="n"/>
      <c r="AX78" s="53" t="n"/>
      <c r="AY78" s="53" t="n"/>
    </row>
    <row r="79" ht="15" customHeight="1">
      <c r="A79" s="40">
        <f>IF($D$79="","",24)</f>
        <v/>
      </c>
      <c r="B79" s="10" t="n"/>
      <c r="C79" s="41" t="inlineStr">
        <is>
          <t>마케팅2팀</t>
        </is>
      </c>
      <c r="D79" s="42" t="n"/>
      <c r="E79" s="43" t="inlineStr">
        <is>
          <t>기획</t>
        </is>
      </c>
      <c r="F79" s="44" t="n"/>
      <c r="G79" s="45" t="n"/>
      <c r="H79" s="46">
        <f>IF($I$79="","",IF($I$79&lt;0,"🔴지연",IF($I$79&lt;=1,"🟡임박","🟢여유")))</f>
        <v/>
      </c>
      <c r="I79" s="47">
        <f>IF(OR($G$79="",$K$79=""),"",$G$79-$K$79)</f>
        <v/>
      </c>
      <c r="J79" s="48">
        <f>IF(SUM($L$79:$L$81)=0,"",SUM($L$79:$L$81))</f>
        <v/>
      </c>
      <c r="K79" s="49">
        <f>IF($J$79="","",MAX($N$79:$N$81))</f>
        <v/>
      </c>
      <c r="L79" s="50">
        <f>IF(SUM(U79:AY79)=0,"",SUM(U79:AY79))</f>
        <v/>
      </c>
      <c r="M79" s="51">
        <f>IFERROR(INDEX(U$2:AY$2,MATCH(TRUE,INDEX(U79:AY79&lt;&gt;"",0),0)),"")</f>
        <v/>
      </c>
      <c r="N79" s="51">
        <f>IFERROR(LOOKUP(2,1/(U79:AY79&lt;&gt;""),U$2:AY$2),"")</f>
        <v/>
      </c>
      <c r="O79" s="52" t="n"/>
      <c r="P79" s="52" t="n"/>
      <c r="Q79" s="52" t="n"/>
      <c r="R79" s="44" t="n"/>
      <c r="S79" s="14" t="n"/>
      <c r="U79" s="53" t="n"/>
      <c r="V79" s="53" t="n"/>
      <c r="W79" s="53" t="n"/>
      <c r="X79" s="53" t="n"/>
      <c r="Y79" s="53" t="n"/>
      <c r="Z79" s="53" t="n"/>
      <c r="AA79" s="53" t="n"/>
      <c r="AB79" s="53" t="n"/>
      <c r="AC79" s="53" t="n"/>
      <c r="AD79" s="53" t="n"/>
      <c r="AE79" s="53" t="n"/>
      <c r="AF79" s="53" t="n"/>
      <c r="AG79" s="53" t="n"/>
      <c r="AH79" s="53" t="n"/>
      <c r="AI79" s="53" t="n"/>
      <c r="AJ79" s="53" t="n"/>
      <c r="AK79" s="53" t="n"/>
      <c r="AL79" s="53" t="n"/>
      <c r="AM79" s="53" t="n"/>
      <c r="AN79" s="53" t="n"/>
      <c r="AO79" s="53" t="n"/>
      <c r="AP79" s="53" t="n"/>
      <c r="AQ79" s="53" t="n"/>
      <c r="AR79" s="53" t="n"/>
      <c r="AS79" s="53" t="n"/>
      <c r="AT79" s="53" t="n"/>
      <c r="AU79" s="53" t="n"/>
      <c r="AV79" s="53" t="n"/>
      <c r="AW79" s="53" t="n"/>
      <c r="AX79" s="53" t="n"/>
      <c r="AY79" s="53" t="n"/>
    </row>
    <row r="80" ht="15" customHeight="1">
      <c r="A80" s="54" t="n"/>
      <c r="B80" s="55">
        <f>IF($B$79="","",$B$79)</f>
        <v/>
      </c>
      <c r="C80" s="56" t="inlineStr">
        <is>
          <t>마케팅2팀</t>
        </is>
      </c>
      <c r="D80" s="55">
        <f>IF($D$79="","",$D$79)</f>
        <v/>
      </c>
      <c r="E80" s="57" t="inlineStr">
        <is>
          <t>이미지</t>
        </is>
      </c>
      <c r="F80" s="44" t="n"/>
      <c r="G80" s="58">
        <f>IF($G$79="","",$G$79)</f>
        <v/>
      </c>
      <c r="H80" s="59" t="n"/>
      <c r="I80" s="59" t="n"/>
      <c r="J80" s="59" t="n"/>
      <c r="K80" s="59" t="n"/>
      <c r="L80" s="60">
        <f>IF(SUM(U80:AY80)=0,"",SUM(U80:AY80))</f>
        <v/>
      </c>
      <c r="M80" s="61">
        <f>IFERROR(INDEX(U$2:AY$2,MATCH(TRUE,INDEX(U80:AY80&lt;&gt;"",0),0)),"")</f>
        <v/>
      </c>
      <c r="N80" s="61">
        <f>IFERROR(LOOKUP(2,1/(U80:AY80&lt;&gt;""),U$2:AY$2),"")</f>
        <v/>
      </c>
      <c r="O80" s="59" t="n"/>
      <c r="P80" s="59" t="n"/>
      <c r="Q80" s="59" t="n"/>
      <c r="R80" s="59" t="n"/>
      <c r="S80" s="14" t="n"/>
      <c r="U80" s="53" t="n"/>
      <c r="V80" s="53" t="n"/>
      <c r="W80" s="53" t="n"/>
      <c r="X80" s="53" t="n"/>
      <c r="Y80" s="53" t="n"/>
      <c r="Z80" s="53" t="n"/>
      <c r="AA80" s="53" t="n"/>
      <c r="AB80" s="53" t="n"/>
      <c r="AC80" s="53" t="n"/>
      <c r="AD80" s="53" t="n"/>
      <c r="AE80" s="53" t="n"/>
      <c r="AF80" s="53" t="n"/>
      <c r="AG80" s="53" t="n"/>
      <c r="AH80" s="53" t="n"/>
      <c r="AI80" s="53" t="n"/>
      <c r="AJ80" s="53" t="n"/>
      <c r="AK80" s="53" t="n"/>
      <c r="AL80" s="53" t="n"/>
      <c r="AM80" s="53" t="n"/>
      <c r="AN80" s="53" t="n"/>
      <c r="AO80" s="53" t="n"/>
      <c r="AP80" s="53" t="n"/>
      <c r="AQ80" s="53" t="n"/>
      <c r="AR80" s="53" t="n"/>
      <c r="AS80" s="53" t="n"/>
      <c r="AT80" s="53" t="n"/>
      <c r="AU80" s="53" t="n"/>
      <c r="AV80" s="53" t="n"/>
      <c r="AW80" s="53" t="n"/>
      <c r="AX80" s="53" t="n"/>
      <c r="AY80" s="53" t="n"/>
    </row>
    <row r="81" ht="15" customHeight="1">
      <c r="A81" s="62" t="n"/>
      <c r="B81" s="55">
        <f>IF($B$79="","",$B$79)</f>
        <v/>
      </c>
      <c r="C81" s="63" t="inlineStr">
        <is>
          <t>마케팅2팀</t>
        </is>
      </c>
      <c r="D81" s="55">
        <f>IF($D$79="","",$D$79)</f>
        <v/>
      </c>
      <c r="E81" s="64" t="inlineStr">
        <is>
          <t>영상</t>
        </is>
      </c>
      <c r="F81" s="44" t="n"/>
      <c r="G81" s="58">
        <f>IF($G$79="","",$G$79)</f>
        <v/>
      </c>
      <c r="H81" s="59" t="n"/>
      <c r="I81" s="59" t="n"/>
      <c r="J81" s="59" t="n"/>
      <c r="K81" s="59" t="n"/>
      <c r="L81" s="65">
        <f>IF(SUM(U81:AY81)=0,"",SUM(U81:AY81))</f>
        <v/>
      </c>
      <c r="M81" s="66">
        <f>IFERROR(INDEX(U$2:AY$2,MATCH(TRUE,INDEX(U81:AY81&lt;&gt;"",0),0)),"")</f>
        <v/>
      </c>
      <c r="N81" s="66">
        <f>IFERROR(LOOKUP(2,1/(U81:AY81&lt;&gt;""),U$2:AY$2),"")</f>
        <v/>
      </c>
      <c r="O81" s="59" t="n"/>
      <c r="P81" s="59" t="n"/>
      <c r="Q81" s="59" t="n"/>
      <c r="R81" s="59" t="n"/>
      <c r="S81" s="14" t="n"/>
      <c r="U81" s="53" t="n"/>
      <c r="V81" s="53" t="n"/>
      <c r="W81" s="53" t="n"/>
      <c r="X81" s="53" t="n"/>
      <c r="Y81" s="53" t="n"/>
      <c r="Z81" s="53" t="n"/>
      <c r="AA81" s="53" t="n"/>
      <c r="AB81" s="53" t="n"/>
      <c r="AC81" s="53" t="n"/>
      <c r="AD81" s="53" t="n"/>
      <c r="AE81" s="53" t="n"/>
      <c r="AF81" s="53" t="n"/>
      <c r="AG81" s="53" t="n"/>
      <c r="AH81" s="53" t="n"/>
      <c r="AI81" s="53" t="n"/>
      <c r="AJ81" s="53" t="n"/>
      <c r="AK81" s="53" t="n"/>
      <c r="AL81" s="53" t="n"/>
      <c r="AM81" s="53" t="n"/>
      <c r="AN81" s="53" t="n"/>
      <c r="AO81" s="53" t="n"/>
      <c r="AP81" s="53" t="n"/>
      <c r="AQ81" s="53" t="n"/>
      <c r="AR81" s="53" t="n"/>
      <c r="AS81" s="53" t="n"/>
      <c r="AT81" s="53" t="n"/>
      <c r="AU81" s="53" t="n"/>
      <c r="AV81" s="53" t="n"/>
      <c r="AW81" s="53" t="n"/>
      <c r="AX81" s="53" t="n"/>
      <c r="AY81" s="53" t="n"/>
    </row>
    <row r="82" ht="15" customHeight="1">
      <c r="A82" s="40">
        <f>IF($D$82="","",25)</f>
        <v/>
      </c>
      <c r="B82" s="10" t="n"/>
      <c r="C82" s="41" t="inlineStr">
        <is>
          <t>마케팅2팀</t>
        </is>
      </c>
      <c r="D82" s="42" t="n"/>
      <c r="E82" s="43" t="inlineStr">
        <is>
          <t>기획</t>
        </is>
      </c>
      <c r="F82" s="44" t="n"/>
      <c r="G82" s="45" t="n"/>
      <c r="H82" s="46">
        <f>IF($I$82="","",IF($I$82&lt;0,"🔴지연",IF($I$82&lt;=1,"🟡임박","🟢여유")))</f>
        <v/>
      </c>
      <c r="I82" s="47">
        <f>IF(OR($G$82="",$K$82=""),"",$G$82-$K$82)</f>
        <v/>
      </c>
      <c r="J82" s="48">
        <f>IF(SUM($L$82:$L$84)=0,"",SUM($L$82:$L$84))</f>
        <v/>
      </c>
      <c r="K82" s="49">
        <f>IF($J$82="","",MAX($N$82:$N$84))</f>
        <v/>
      </c>
      <c r="L82" s="50">
        <f>IF(SUM(U82:AY82)=0,"",SUM(U82:AY82))</f>
        <v/>
      </c>
      <c r="M82" s="51">
        <f>IFERROR(INDEX(U$2:AY$2,MATCH(TRUE,INDEX(U82:AY82&lt;&gt;"",0),0)),"")</f>
        <v/>
      </c>
      <c r="N82" s="51">
        <f>IFERROR(LOOKUP(2,1/(U82:AY82&lt;&gt;""),U$2:AY$2),"")</f>
        <v/>
      </c>
      <c r="O82" s="52" t="n"/>
      <c r="P82" s="52" t="n"/>
      <c r="Q82" s="52" t="n"/>
      <c r="R82" s="44" t="n"/>
      <c r="S82" s="14" t="n"/>
      <c r="U82" s="53" t="n"/>
      <c r="V82" s="53" t="n"/>
      <c r="W82" s="53" t="n"/>
      <c r="X82" s="53" t="n"/>
      <c r="Y82" s="53" t="n"/>
      <c r="Z82" s="53" t="n"/>
      <c r="AA82" s="53" t="n"/>
      <c r="AB82" s="53" t="n"/>
      <c r="AC82" s="53" t="n"/>
      <c r="AD82" s="53" t="n"/>
      <c r="AE82" s="53" t="n"/>
      <c r="AF82" s="53" t="n"/>
      <c r="AG82" s="53" t="n"/>
      <c r="AH82" s="53" t="n"/>
      <c r="AI82" s="53" t="n"/>
      <c r="AJ82" s="53" t="n"/>
      <c r="AK82" s="53" t="n"/>
      <c r="AL82" s="53" t="n"/>
      <c r="AM82" s="53" t="n"/>
      <c r="AN82" s="53" t="n"/>
      <c r="AO82" s="53" t="n"/>
      <c r="AP82" s="53" t="n"/>
      <c r="AQ82" s="53" t="n"/>
      <c r="AR82" s="53" t="n"/>
      <c r="AS82" s="53" t="n"/>
      <c r="AT82" s="53" t="n"/>
      <c r="AU82" s="53" t="n"/>
      <c r="AV82" s="53" t="n"/>
      <c r="AW82" s="53" t="n"/>
      <c r="AX82" s="53" t="n"/>
      <c r="AY82" s="53" t="n"/>
    </row>
    <row r="83" ht="15" customHeight="1">
      <c r="A83" s="54" t="n"/>
      <c r="B83" s="55">
        <f>IF($B$82="","",$B$82)</f>
        <v/>
      </c>
      <c r="C83" s="56" t="inlineStr">
        <is>
          <t>마케팅2팀</t>
        </is>
      </c>
      <c r="D83" s="55">
        <f>IF($D$82="","",$D$82)</f>
        <v/>
      </c>
      <c r="E83" s="57" t="inlineStr">
        <is>
          <t>이미지</t>
        </is>
      </c>
      <c r="F83" s="44" t="n"/>
      <c r="G83" s="58">
        <f>IF($G$82="","",$G$82)</f>
        <v/>
      </c>
      <c r="H83" s="59" t="n"/>
      <c r="I83" s="59" t="n"/>
      <c r="J83" s="59" t="n"/>
      <c r="K83" s="59" t="n"/>
      <c r="L83" s="60">
        <f>IF(SUM(U83:AY83)=0,"",SUM(U83:AY83))</f>
        <v/>
      </c>
      <c r="M83" s="61">
        <f>IFERROR(INDEX(U$2:AY$2,MATCH(TRUE,INDEX(U83:AY83&lt;&gt;"",0),0)),"")</f>
        <v/>
      </c>
      <c r="N83" s="61">
        <f>IFERROR(LOOKUP(2,1/(U83:AY83&lt;&gt;""),U$2:AY$2),"")</f>
        <v/>
      </c>
      <c r="O83" s="59" t="n"/>
      <c r="P83" s="59" t="n"/>
      <c r="Q83" s="59" t="n"/>
      <c r="R83" s="59" t="n"/>
      <c r="S83" s="14" t="n"/>
      <c r="U83" s="53" t="n"/>
      <c r="V83" s="53" t="n"/>
      <c r="W83" s="53" t="n"/>
      <c r="X83" s="53" t="n"/>
      <c r="Y83" s="53" t="n"/>
      <c r="Z83" s="53" t="n"/>
      <c r="AA83" s="53" t="n"/>
      <c r="AB83" s="53" t="n"/>
      <c r="AC83" s="53" t="n"/>
      <c r="AD83" s="53" t="n"/>
      <c r="AE83" s="53" t="n"/>
      <c r="AF83" s="53" t="n"/>
      <c r="AG83" s="53" t="n"/>
      <c r="AH83" s="53" t="n"/>
      <c r="AI83" s="53" t="n"/>
      <c r="AJ83" s="53" t="n"/>
      <c r="AK83" s="53" t="n"/>
      <c r="AL83" s="53" t="n"/>
      <c r="AM83" s="53" t="n"/>
      <c r="AN83" s="53" t="n"/>
      <c r="AO83" s="53" t="n"/>
      <c r="AP83" s="53" t="n"/>
      <c r="AQ83" s="53" t="n"/>
      <c r="AR83" s="53" t="n"/>
      <c r="AS83" s="53" t="n"/>
      <c r="AT83" s="53" t="n"/>
      <c r="AU83" s="53" t="n"/>
      <c r="AV83" s="53" t="n"/>
      <c r="AW83" s="53" t="n"/>
      <c r="AX83" s="53" t="n"/>
      <c r="AY83" s="53" t="n"/>
    </row>
    <row r="84" ht="15" customHeight="1">
      <c r="A84" s="62" t="n"/>
      <c r="B84" s="55">
        <f>IF($B$82="","",$B$82)</f>
        <v/>
      </c>
      <c r="C84" s="63" t="inlineStr">
        <is>
          <t>마케팅2팀</t>
        </is>
      </c>
      <c r="D84" s="55">
        <f>IF($D$82="","",$D$82)</f>
        <v/>
      </c>
      <c r="E84" s="64" t="inlineStr">
        <is>
          <t>영상</t>
        </is>
      </c>
      <c r="F84" s="44" t="n"/>
      <c r="G84" s="58">
        <f>IF($G$82="","",$G$82)</f>
        <v/>
      </c>
      <c r="H84" s="59" t="n"/>
      <c r="I84" s="59" t="n"/>
      <c r="J84" s="59" t="n"/>
      <c r="K84" s="59" t="n"/>
      <c r="L84" s="65">
        <f>IF(SUM(U84:AY84)=0,"",SUM(U84:AY84))</f>
        <v/>
      </c>
      <c r="M84" s="66">
        <f>IFERROR(INDEX(U$2:AY$2,MATCH(TRUE,INDEX(U84:AY84&lt;&gt;"",0),0)),"")</f>
        <v/>
      </c>
      <c r="N84" s="66">
        <f>IFERROR(LOOKUP(2,1/(U84:AY84&lt;&gt;""),U$2:AY$2),"")</f>
        <v/>
      </c>
      <c r="O84" s="59" t="n"/>
      <c r="P84" s="59" t="n"/>
      <c r="Q84" s="59" t="n"/>
      <c r="R84" s="59" t="n"/>
      <c r="S84" s="14" t="n"/>
      <c r="U84" s="53" t="n"/>
      <c r="V84" s="53" t="n"/>
      <c r="W84" s="53" t="n"/>
      <c r="X84" s="53" t="n"/>
      <c r="Y84" s="53" t="n"/>
      <c r="Z84" s="53" t="n"/>
      <c r="AA84" s="53" t="n"/>
      <c r="AB84" s="53" t="n"/>
      <c r="AC84" s="53" t="n"/>
      <c r="AD84" s="53" t="n"/>
      <c r="AE84" s="53" t="n"/>
      <c r="AF84" s="53" t="n"/>
      <c r="AG84" s="53" t="n"/>
      <c r="AH84" s="53" t="n"/>
      <c r="AI84" s="53" t="n"/>
      <c r="AJ84" s="53" t="n"/>
      <c r="AK84" s="53" t="n"/>
      <c r="AL84" s="53" t="n"/>
      <c r="AM84" s="53" t="n"/>
      <c r="AN84" s="53" t="n"/>
      <c r="AO84" s="53" t="n"/>
      <c r="AP84" s="53" t="n"/>
      <c r="AQ84" s="53" t="n"/>
      <c r="AR84" s="53" t="n"/>
      <c r="AS84" s="53" t="n"/>
      <c r="AT84" s="53" t="n"/>
      <c r="AU84" s="53" t="n"/>
      <c r="AV84" s="53" t="n"/>
      <c r="AW84" s="53" t="n"/>
      <c r="AX84" s="53" t="n"/>
      <c r="AY84" s="53" t="n"/>
    </row>
    <row r="85" ht="15" customHeight="1">
      <c r="A85" s="40">
        <f>IF($D$85="","",26)</f>
        <v/>
      </c>
      <c r="B85" s="10" t="n"/>
      <c r="C85" s="41" t="inlineStr">
        <is>
          <t>마케팅2팀</t>
        </is>
      </c>
      <c r="D85" s="42" t="n"/>
      <c r="E85" s="43" t="inlineStr">
        <is>
          <t>기획</t>
        </is>
      </c>
      <c r="F85" s="44" t="n"/>
      <c r="G85" s="45" t="n"/>
      <c r="H85" s="46">
        <f>IF($I$85="","",IF($I$85&lt;0,"🔴지연",IF($I$85&lt;=1,"🟡임박","🟢여유")))</f>
        <v/>
      </c>
      <c r="I85" s="47">
        <f>IF(OR($G$85="",$K$85=""),"",$G$85-$K$85)</f>
        <v/>
      </c>
      <c r="J85" s="48">
        <f>IF(SUM($L$85:$L$87)=0,"",SUM($L$85:$L$87))</f>
        <v/>
      </c>
      <c r="K85" s="49">
        <f>IF($J$85="","",MAX($N$85:$N$87))</f>
        <v/>
      </c>
      <c r="L85" s="50">
        <f>IF(SUM(U85:AY85)=0,"",SUM(U85:AY85))</f>
        <v/>
      </c>
      <c r="M85" s="51">
        <f>IFERROR(INDEX(U$2:AY$2,MATCH(TRUE,INDEX(U85:AY85&lt;&gt;"",0),0)),"")</f>
        <v/>
      </c>
      <c r="N85" s="51">
        <f>IFERROR(LOOKUP(2,1/(U85:AY85&lt;&gt;""),U$2:AY$2),"")</f>
        <v/>
      </c>
      <c r="O85" s="52" t="n"/>
      <c r="P85" s="52" t="n"/>
      <c r="Q85" s="52" t="n"/>
      <c r="R85" s="44" t="n"/>
      <c r="S85" s="14" t="n"/>
      <c r="U85" s="53" t="n"/>
      <c r="V85" s="53" t="n"/>
      <c r="W85" s="53" t="n"/>
      <c r="X85" s="53" t="n"/>
      <c r="Y85" s="53" t="n"/>
      <c r="Z85" s="53" t="n"/>
      <c r="AA85" s="53" t="n"/>
      <c r="AB85" s="53" t="n"/>
      <c r="AC85" s="53" t="n"/>
      <c r="AD85" s="53" t="n"/>
      <c r="AE85" s="53" t="n"/>
      <c r="AF85" s="53" t="n"/>
      <c r="AG85" s="53" t="n"/>
      <c r="AH85" s="53" t="n"/>
      <c r="AI85" s="53" t="n"/>
      <c r="AJ85" s="53" t="n"/>
      <c r="AK85" s="53" t="n"/>
      <c r="AL85" s="53" t="n"/>
      <c r="AM85" s="53" t="n"/>
      <c r="AN85" s="53" t="n"/>
      <c r="AO85" s="53" t="n"/>
      <c r="AP85" s="53" t="n"/>
      <c r="AQ85" s="53" t="n"/>
      <c r="AR85" s="53" t="n"/>
      <c r="AS85" s="53" t="n"/>
      <c r="AT85" s="53" t="n"/>
      <c r="AU85" s="53" t="n"/>
      <c r="AV85" s="53" t="n"/>
      <c r="AW85" s="53" t="n"/>
      <c r="AX85" s="53" t="n"/>
      <c r="AY85" s="53" t="n"/>
    </row>
    <row r="86" ht="15" customHeight="1">
      <c r="A86" s="54" t="n"/>
      <c r="B86" s="55">
        <f>IF($B$85="","",$B$85)</f>
        <v/>
      </c>
      <c r="C86" s="56" t="inlineStr">
        <is>
          <t>마케팅2팀</t>
        </is>
      </c>
      <c r="D86" s="55">
        <f>IF($D$85="","",$D$85)</f>
        <v/>
      </c>
      <c r="E86" s="57" t="inlineStr">
        <is>
          <t>이미지</t>
        </is>
      </c>
      <c r="F86" s="44" t="n"/>
      <c r="G86" s="58">
        <f>IF($G$85="","",$G$85)</f>
        <v/>
      </c>
      <c r="H86" s="59" t="n"/>
      <c r="I86" s="59" t="n"/>
      <c r="J86" s="59" t="n"/>
      <c r="K86" s="59" t="n"/>
      <c r="L86" s="60">
        <f>IF(SUM(U86:AY86)=0,"",SUM(U86:AY86))</f>
        <v/>
      </c>
      <c r="M86" s="61">
        <f>IFERROR(INDEX(U$2:AY$2,MATCH(TRUE,INDEX(U86:AY86&lt;&gt;"",0),0)),"")</f>
        <v/>
      </c>
      <c r="N86" s="61">
        <f>IFERROR(LOOKUP(2,1/(U86:AY86&lt;&gt;""),U$2:AY$2),"")</f>
        <v/>
      </c>
      <c r="O86" s="59" t="n"/>
      <c r="P86" s="59" t="n"/>
      <c r="Q86" s="59" t="n"/>
      <c r="R86" s="59" t="n"/>
      <c r="S86" s="14" t="n"/>
      <c r="U86" s="53" t="n"/>
      <c r="V86" s="53" t="n"/>
      <c r="W86" s="53" t="n"/>
      <c r="X86" s="53" t="n"/>
      <c r="Y86" s="53" t="n"/>
      <c r="Z86" s="53" t="n"/>
      <c r="AA86" s="53" t="n"/>
      <c r="AB86" s="53" t="n"/>
      <c r="AC86" s="53" t="n"/>
      <c r="AD86" s="53" t="n"/>
      <c r="AE86" s="53" t="n"/>
      <c r="AF86" s="53" t="n"/>
      <c r="AG86" s="53" t="n"/>
      <c r="AH86" s="53" t="n"/>
      <c r="AI86" s="53" t="n"/>
      <c r="AJ86" s="53" t="n"/>
      <c r="AK86" s="53" t="n"/>
      <c r="AL86" s="53" t="n"/>
      <c r="AM86" s="53" t="n"/>
      <c r="AN86" s="53" t="n"/>
      <c r="AO86" s="53" t="n"/>
      <c r="AP86" s="53" t="n"/>
      <c r="AQ86" s="53" t="n"/>
      <c r="AR86" s="53" t="n"/>
      <c r="AS86" s="53" t="n"/>
      <c r="AT86" s="53" t="n"/>
      <c r="AU86" s="53" t="n"/>
      <c r="AV86" s="53" t="n"/>
      <c r="AW86" s="53" t="n"/>
      <c r="AX86" s="53" t="n"/>
      <c r="AY86" s="53" t="n"/>
    </row>
    <row r="87" ht="15" customHeight="1">
      <c r="A87" s="62" t="n"/>
      <c r="B87" s="55">
        <f>IF($B$85="","",$B$85)</f>
        <v/>
      </c>
      <c r="C87" s="63" t="inlineStr">
        <is>
          <t>마케팅2팀</t>
        </is>
      </c>
      <c r="D87" s="55">
        <f>IF($D$85="","",$D$85)</f>
        <v/>
      </c>
      <c r="E87" s="64" t="inlineStr">
        <is>
          <t>영상</t>
        </is>
      </c>
      <c r="F87" s="44" t="n"/>
      <c r="G87" s="58">
        <f>IF($G$85="","",$G$85)</f>
        <v/>
      </c>
      <c r="H87" s="59" t="n"/>
      <c r="I87" s="59" t="n"/>
      <c r="J87" s="59" t="n"/>
      <c r="K87" s="59" t="n"/>
      <c r="L87" s="65">
        <f>IF(SUM(U87:AY87)=0,"",SUM(U87:AY87))</f>
        <v/>
      </c>
      <c r="M87" s="66">
        <f>IFERROR(INDEX(U$2:AY$2,MATCH(TRUE,INDEX(U87:AY87&lt;&gt;"",0),0)),"")</f>
        <v/>
      </c>
      <c r="N87" s="66">
        <f>IFERROR(LOOKUP(2,1/(U87:AY87&lt;&gt;""),U$2:AY$2),"")</f>
        <v/>
      </c>
      <c r="O87" s="59" t="n"/>
      <c r="P87" s="59" t="n"/>
      <c r="Q87" s="59" t="n"/>
      <c r="R87" s="59" t="n"/>
      <c r="S87" s="14" t="n"/>
      <c r="U87" s="53" t="n"/>
      <c r="V87" s="53" t="n"/>
      <c r="W87" s="53" t="n"/>
      <c r="X87" s="53" t="n"/>
      <c r="Y87" s="53" t="n"/>
      <c r="Z87" s="53" t="n"/>
      <c r="AA87" s="53" t="n"/>
      <c r="AB87" s="53" t="n"/>
      <c r="AC87" s="53" t="n"/>
      <c r="AD87" s="53" t="n"/>
      <c r="AE87" s="53" t="n"/>
      <c r="AF87" s="53" t="n"/>
      <c r="AG87" s="53" t="n"/>
      <c r="AH87" s="53" t="n"/>
      <c r="AI87" s="53" t="n"/>
      <c r="AJ87" s="53" t="n"/>
      <c r="AK87" s="53" t="n"/>
      <c r="AL87" s="53" t="n"/>
      <c r="AM87" s="53" t="n"/>
      <c r="AN87" s="53" t="n"/>
      <c r="AO87" s="53" t="n"/>
      <c r="AP87" s="53" t="n"/>
      <c r="AQ87" s="53" t="n"/>
      <c r="AR87" s="53" t="n"/>
      <c r="AS87" s="53" t="n"/>
      <c r="AT87" s="53" t="n"/>
      <c r="AU87" s="53" t="n"/>
      <c r="AV87" s="53" t="n"/>
      <c r="AW87" s="53" t="n"/>
      <c r="AX87" s="53" t="n"/>
      <c r="AY87" s="53" t="n"/>
    </row>
    <row r="88" ht="15" customHeight="1">
      <c r="A88" s="40">
        <f>IF($D$88="","",27)</f>
        <v/>
      </c>
      <c r="B88" s="10" t="n"/>
      <c r="C88" s="41" t="inlineStr">
        <is>
          <t>마케팅2팀</t>
        </is>
      </c>
      <c r="D88" s="42" t="n"/>
      <c r="E88" s="43" t="inlineStr">
        <is>
          <t>기획</t>
        </is>
      </c>
      <c r="F88" s="44" t="n"/>
      <c r="G88" s="45" t="n"/>
      <c r="H88" s="46">
        <f>IF($I$88="","",IF($I$88&lt;0,"🔴지연",IF($I$88&lt;=1,"🟡임박","🟢여유")))</f>
        <v/>
      </c>
      <c r="I88" s="47">
        <f>IF(OR($G$88="",$K$88=""),"",$G$88-$K$88)</f>
        <v/>
      </c>
      <c r="J88" s="48">
        <f>IF(SUM($L$88:$L$90)=0,"",SUM($L$88:$L$90))</f>
        <v/>
      </c>
      <c r="K88" s="49">
        <f>IF($J$88="","",MAX($N$88:$N$90))</f>
        <v/>
      </c>
      <c r="L88" s="50">
        <f>IF(SUM(U88:AY88)=0,"",SUM(U88:AY88))</f>
        <v/>
      </c>
      <c r="M88" s="51">
        <f>IFERROR(INDEX(U$2:AY$2,MATCH(TRUE,INDEX(U88:AY88&lt;&gt;"",0),0)),"")</f>
        <v/>
      </c>
      <c r="N88" s="51">
        <f>IFERROR(LOOKUP(2,1/(U88:AY88&lt;&gt;""),U$2:AY$2),"")</f>
        <v/>
      </c>
      <c r="O88" s="52" t="n"/>
      <c r="P88" s="52" t="n"/>
      <c r="Q88" s="52" t="n"/>
      <c r="R88" s="44" t="n"/>
      <c r="S88" s="14" t="n"/>
      <c r="U88" s="53" t="n"/>
      <c r="V88" s="53" t="n"/>
      <c r="W88" s="53" t="n"/>
      <c r="X88" s="53" t="n"/>
      <c r="Y88" s="53" t="n"/>
      <c r="Z88" s="53" t="n"/>
      <c r="AA88" s="53" t="n"/>
      <c r="AB88" s="53" t="n"/>
      <c r="AC88" s="53" t="n"/>
      <c r="AD88" s="53" t="n"/>
      <c r="AE88" s="53" t="n"/>
      <c r="AF88" s="53" t="n"/>
      <c r="AG88" s="53" t="n"/>
      <c r="AH88" s="53" t="n"/>
      <c r="AI88" s="53" t="n"/>
      <c r="AJ88" s="53" t="n"/>
      <c r="AK88" s="53" t="n"/>
      <c r="AL88" s="53" t="n"/>
      <c r="AM88" s="53" t="n"/>
      <c r="AN88" s="53" t="n"/>
      <c r="AO88" s="53" t="n"/>
      <c r="AP88" s="53" t="n"/>
      <c r="AQ88" s="53" t="n"/>
      <c r="AR88" s="53" t="n"/>
      <c r="AS88" s="53" t="n"/>
      <c r="AT88" s="53" t="n"/>
      <c r="AU88" s="53" t="n"/>
      <c r="AV88" s="53" t="n"/>
      <c r="AW88" s="53" t="n"/>
      <c r="AX88" s="53" t="n"/>
      <c r="AY88" s="53" t="n"/>
    </row>
    <row r="89" ht="15" customHeight="1">
      <c r="A89" s="54" t="n"/>
      <c r="B89" s="55">
        <f>IF($B$88="","",$B$88)</f>
        <v/>
      </c>
      <c r="C89" s="56" t="inlineStr">
        <is>
          <t>마케팅2팀</t>
        </is>
      </c>
      <c r="D89" s="55">
        <f>IF($D$88="","",$D$88)</f>
        <v/>
      </c>
      <c r="E89" s="57" t="inlineStr">
        <is>
          <t>이미지</t>
        </is>
      </c>
      <c r="F89" s="44" t="n"/>
      <c r="G89" s="58">
        <f>IF($G$88="","",$G$88)</f>
        <v/>
      </c>
      <c r="H89" s="59" t="n"/>
      <c r="I89" s="59" t="n"/>
      <c r="J89" s="59" t="n"/>
      <c r="K89" s="59" t="n"/>
      <c r="L89" s="60">
        <f>IF(SUM(U89:AY89)=0,"",SUM(U89:AY89))</f>
        <v/>
      </c>
      <c r="M89" s="61">
        <f>IFERROR(INDEX(U$2:AY$2,MATCH(TRUE,INDEX(U89:AY89&lt;&gt;"",0),0)),"")</f>
        <v/>
      </c>
      <c r="N89" s="61">
        <f>IFERROR(LOOKUP(2,1/(U89:AY89&lt;&gt;""),U$2:AY$2),"")</f>
        <v/>
      </c>
      <c r="O89" s="59" t="n"/>
      <c r="P89" s="59" t="n"/>
      <c r="Q89" s="59" t="n"/>
      <c r="R89" s="59" t="n"/>
      <c r="S89" s="14" t="n"/>
      <c r="U89" s="53" t="n"/>
      <c r="V89" s="53" t="n"/>
      <c r="W89" s="53" t="n"/>
      <c r="X89" s="53" t="n"/>
      <c r="Y89" s="53" t="n"/>
      <c r="Z89" s="53" t="n"/>
      <c r="AA89" s="53" t="n"/>
      <c r="AB89" s="53" t="n"/>
      <c r="AC89" s="53" t="n"/>
      <c r="AD89" s="53" t="n"/>
      <c r="AE89" s="53" t="n"/>
      <c r="AF89" s="53" t="n"/>
      <c r="AG89" s="53" t="n"/>
      <c r="AH89" s="53" t="n"/>
      <c r="AI89" s="53" t="n"/>
      <c r="AJ89" s="53" t="n"/>
      <c r="AK89" s="53" t="n"/>
      <c r="AL89" s="53" t="n"/>
      <c r="AM89" s="53" t="n"/>
      <c r="AN89" s="53" t="n"/>
      <c r="AO89" s="53" t="n"/>
      <c r="AP89" s="53" t="n"/>
      <c r="AQ89" s="53" t="n"/>
      <c r="AR89" s="53" t="n"/>
      <c r="AS89" s="53" t="n"/>
      <c r="AT89" s="53" t="n"/>
      <c r="AU89" s="53" t="n"/>
      <c r="AV89" s="53" t="n"/>
      <c r="AW89" s="53" t="n"/>
      <c r="AX89" s="53" t="n"/>
      <c r="AY89" s="53" t="n"/>
    </row>
    <row r="90" ht="15" customHeight="1">
      <c r="A90" s="62" t="n"/>
      <c r="B90" s="55">
        <f>IF($B$88="","",$B$88)</f>
        <v/>
      </c>
      <c r="C90" s="63" t="inlineStr">
        <is>
          <t>마케팅2팀</t>
        </is>
      </c>
      <c r="D90" s="55">
        <f>IF($D$88="","",$D$88)</f>
        <v/>
      </c>
      <c r="E90" s="64" t="inlineStr">
        <is>
          <t>영상</t>
        </is>
      </c>
      <c r="F90" s="44" t="n"/>
      <c r="G90" s="58">
        <f>IF($G$88="","",$G$88)</f>
        <v/>
      </c>
      <c r="H90" s="59" t="n"/>
      <c r="I90" s="59" t="n"/>
      <c r="J90" s="59" t="n"/>
      <c r="K90" s="59" t="n"/>
      <c r="L90" s="65">
        <f>IF(SUM(U90:AY90)=0,"",SUM(U90:AY90))</f>
        <v/>
      </c>
      <c r="M90" s="66">
        <f>IFERROR(INDEX(U$2:AY$2,MATCH(TRUE,INDEX(U90:AY90&lt;&gt;"",0),0)),"")</f>
        <v/>
      </c>
      <c r="N90" s="66">
        <f>IFERROR(LOOKUP(2,1/(U90:AY90&lt;&gt;""),U$2:AY$2),"")</f>
        <v/>
      </c>
      <c r="O90" s="59" t="n"/>
      <c r="P90" s="59" t="n"/>
      <c r="Q90" s="59" t="n"/>
      <c r="R90" s="59" t="n"/>
      <c r="S90" s="14" t="n"/>
      <c r="U90" s="53" t="n"/>
      <c r="V90" s="53" t="n"/>
      <c r="W90" s="53" t="n"/>
      <c r="X90" s="53" t="n"/>
      <c r="Y90" s="53" t="n"/>
      <c r="Z90" s="53" t="n"/>
      <c r="AA90" s="53" t="n"/>
      <c r="AB90" s="53" t="n"/>
      <c r="AC90" s="53" t="n"/>
      <c r="AD90" s="53" t="n"/>
      <c r="AE90" s="53" t="n"/>
      <c r="AF90" s="53" t="n"/>
      <c r="AG90" s="53" t="n"/>
      <c r="AH90" s="53" t="n"/>
      <c r="AI90" s="53" t="n"/>
      <c r="AJ90" s="53" t="n"/>
      <c r="AK90" s="53" t="n"/>
      <c r="AL90" s="53" t="n"/>
      <c r="AM90" s="53" t="n"/>
      <c r="AN90" s="53" t="n"/>
      <c r="AO90" s="53" t="n"/>
      <c r="AP90" s="53" t="n"/>
      <c r="AQ90" s="53" t="n"/>
      <c r="AR90" s="53" t="n"/>
      <c r="AS90" s="53" t="n"/>
      <c r="AT90" s="53" t="n"/>
      <c r="AU90" s="53" t="n"/>
      <c r="AV90" s="53" t="n"/>
      <c r="AW90" s="53" t="n"/>
      <c r="AX90" s="53" t="n"/>
      <c r="AY90" s="53" t="n"/>
    </row>
    <row r="91" ht="15" customHeight="1">
      <c r="A91" s="40">
        <f>IF($D$91="","",28)</f>
        <v/>
      </c>
      <c r="B91" s="10" t="n"/>
      <c r="C91" s="41" t="inlineStr">
        <is>
          <t>마케팅2팀</t>
        </is>
      </c>
      <c r="D91" s="42" t="n"/>
      <c r="E91" s="43" t="inlineStr">
        <is>
          <t>기획</t>
        </is>
      </c>
      <c r="F91" s="44" t="n"/>
      <c r="G91" s="45" t="n"/>
      <c r="H91" s="46">
        <f>IF($I$91="","",IF($I$91&lt;0,"🔴지연",IF($I$91&lt;=1,"🟡임박","🟢여유")))</f>
        <v/>
      </c>
      <c r="I91" s="47">
        <f>IF(OR($G$91="",$K$91=""),"",$G$91-$K$91)</f>
        <v/>
      </c>
      <c r="J91" s="48">
        <f>IF(SUM($L$91:$L$93)=0,"",SUM($L$91:$L$93))</f>
        <v/>
      </c>
      <c r="K91" s="49">
        <f>IF($J$91="","",MAX($N$91:$N$93))</f>
        <v/>
      </c>
      <c r="L91" s="50">
        <f>IF(SUM(U91:AY91)=0,"",SUM(U91:AY91))</f>
        <v/>
      </c>
      <c r="M91" s="51">
        <f>IFERROR(INDEX(U$2:AY$2,MATCH(TRUE,INDEX(U91:AY91&lt;&gt;"",0),0)),"")</f>
        <v/>
      </c>
      <c r="N91" s="51">
        <f>IFERROR(LOOKUP(2,1/(U91:AY91&lt;&gt;""),U$2:AY$2),"")</f>
        <v/>
      </c>
      <c r="O91" s="52" t="n"/>
      <c r="P91" s="52" t="n"/>
      <c r="Q91" s="52" t="n"/>
      <c r="R91" s="44" t="n"/>
      <c r="S91" s="14" t="n"/>
      <c r="U91" s="53" t="n"/>
      <c r="V91" s="53" t="n"/>
      <c r="W91" s="53" t="n"/>
      <c r="X91" s="53" t="n"/>
      <c r="Y91" s="53" t="n"/>
      <c r="Z91" s="53" t="n"/>
      <c r="AA91" s="53" t="n"/>
      <c r="AB91" s="53" t="n"/>
      <c r="AC91" s="53" t="n"/>
      <c r="AD91" s="53" t="n"/>
      <c r="AE91" s="53" t="n"/>
      <c r="AF91" s="53" t="n"/>
      <c r="AG91" s="53" t="n"/>
      <c r="AH91" s="53" t="n"/>
      <c r="AI91" s="53" t="n"/>
      <c r="AJ91" s="53" t="n"/>
      <c r="AK91" s="53" t="n"/>
      <c r="AL91" s="53" t="n"/>
      <c r="AM91" s="53" t="n"/>
      <c r="AN91" s="53" t="n"/>
      <c r="AO91" s="53" t="n"/>
      <c r="AP91" s="53" t="n"/>
      <c r="AQ91" s="53" t="n"/>
      <c r="AR91" s="53" t="n"/>
      <c r="AS91" s="53" t="n"/>
      <c r="AT91" s="53" t="n"/>
      <c r="AU91" s="53" t="n"/>
      <c r="AV91" s="53" t="n"/>
      <c r="AW91" s="53" t="n"/>
      <c r="AX91" s="53" t="n"/>
      <c r="AY91" s="53" t="n"/>
    </row>
    <row r="92" ht="15" customHeight="1">
      <c r="A92" s="54" t="n"/>
      <c r="B92" s="55">
        <f>IF($B$91="","",$B$91)</f>
        <v/>
      </c>
      <c r="C92" s="56" t="inlineStr">
        <is>
          <t>마케팅2팀</t>
        </is>
      </c>
      <c r="D92" s="55">
        <f>IF($D$91="","",$D$91)</f>
        <v/>
      </c>
      <c r="E92" s="57" t="inlineStr">
        <is>
          <t>이미지</t>
        </is>
      </c>
      <c r="F92" s="44" t="n"/>
      <c r="G92" s="58">
        <f>IF($G$91="","",$G$91)</f>
        <v/>
      </c>
      <c r="H92" s="59" t="n"/>
      <c r="I92" s="59" t="n"/>
      <c r="J92" s="59" t="n"/>
      <c r="K92" s="59" t="n"/>
      <c r="L92" s="60">
        <f>IF(SUM(U92:AY92)=0,"",SUM(U92:AY92))</f>
        <v/>
      </c>
      <c r="M92" s="61">
        <f>IFERROR(INDEX(U$2:AY$2,MATCH(TRUE,INDEX(U92:AY92&lt;&gt;"",0),0)),"")</f>
        <v/>
      </c>
      <c r="N92" s="61">
        <f>IFERROR(LOOKUP(2,1/(U92:AY92&lt;&gt;""),U$2:AY$2),"")</f>
        <v/>
      </c>
      <c r="O92" s="59" t="n"/>
      <c r="P92" s="59" t="n"/>
      <c r="Q92" s="59" t="n"/>
      <c r="R92" s="59" t="n"/>
      <c r="S92" s="14" t="n"/>
      <c r="U92" s="53" t="n"/>
      <c r="V92" s="53" t="n"/>
      <c r="W92" s="53" t="n"/>
      <c r="X92" s="53" t="n"/>
      <c r="Y92" s="53" t="n"/>
      <c r="Z92" s="53" t="n"/>
      <c r="AA92" s="53" t="n"/>
      <c r="AB92" s="53" t="n"/>
      <c r="AC92" s="53" t="n"/>
      <c r="AD92" s="53" t="n"/>
      <c r="AE92" s="53" t="n"/>
      <c r="AF92" s="53" t="n"/>
      <c r="AG92" s="53" t="n"/>
      <c r="AH92" s="53" t="n"/>
      <c r="AI92" s="53" t="n"/>
      <c r="AJ92" s="53" t="n"/>
      <c r="AK92" s="53" t="n"/>
      <c r="AL92" s="53" t="n"/>
      <c r="AM92" s="53" t="n"/>
      <c r="AN92" s="53" t="n"/>
      <c r="AO92" s="53" t="n"/>
      <c r="AP92" s="53" t="n"/>
      <c r="AQ92" s="53" t="n"/>
      <c r="AR92" s="53" t="n"/>
      <c r="AS92" s="53" t="n"/>
      <c r="AT92" s="53" t="n"/>
      <c r="AU92" s="53" t="n"/>
      <c r="AV92" s="53" t="n"/>
      <c r="AW92" s="53" t="n"/>
      <c r="AX92" s="53" t="n"/>
      <c r="AY92" s="53" t="n"/>
    </row>
    <row r="93" ht="15" customHeight="1">
      <c r="A93" s="62" t="n"/>
      <c r="B93" s="55">
        <f>IF($B$91="","",$B$91)</f>
        <v/>
      </c>
      <c r="C93" s="63" t="inlineStr">
        <is>
          <t>마케팅2팀</t>
        </is>
      </c>
      <c r="D93" s="55">
        <f>IF($D$91="","",$D$91)</f>
        <v/>
      </c>
      <c r="E93" s="64" t="inlineStr">
        <is>
          <t>영상</t>
        </is>
      </c>
      <c r="F93" s="44" t="n"/>
      <c r="G93" s="58">
        <f>IF($G$91="","",$G$91)</f>
        <v/>
      </c>
      <c r="H93" s="59" t="n"/>
      <c r="I93" s="59" t="n"/>
      <c r="J93" s="59" t="n"/>
      <c r="K93" s="59" t="n"/>
      <c r="L93" s="65">
        <f>IF(SUM(U93:AY93)=0,"",SUM(U93:AY93))</f>
        <v/>
      </c>
      <c r="M93" s="66">
        <f>IFERROR(INDEX(U$2:AY$2,MATCH(TRUE,INDEX(U93:AY93&lt;&gt;"",0),0)),"")</f>
        <v/>
      </c>
      <c r="N93" s="66">
        <f>IFERROR(LOOKUP(2,1/(U93:AY93&lt;&gt;""),U$2:AY$2),"")</f>
        <v/>
      </c>
      <c r="O93" s="59" t="n"/>
      <c r="P93" s="59" t="n"/>
      <c r="Q93" s="59" t="n"/>
      <c r="R93" s="59" t="n"/>
      <c r="S93" s="14" t="n"/>
      <c r="U93" s="53" t="n"/>
      <c r="V93" s="53" t="n"/>
      <c r="W93" s="53" t="n"/>
      <c r="X93" s="53" t="n"/>
      <c r="Y93" s="53" t="n"/>
      <c r="Z93" s="53" t="n"/>
      <c r="AA93" s="53" t="n"/>
      <c r="AB93" s="53" t="n"/>
      <c r="AC93" s="53" t="n"/>
      <c r="AD93" s="53" t="n"/>
      <c r="AE93" s="53" t="n"/>
      <c r="AF93" s="53" t="n"/>
      <c r="AG93" s="53" t="n"/>
      <c r="AH93" s="53" t="n"/>
      <c r="AI93" s="53" t="n"/>
      <c r="AJ93" s="53" t="n"/>
      <c r="AK93" s="53" t="n"/>
      <c r="AL93" s="53" t="n"/>
      <c r="AM93" s="53" t="n"/>
      <c r="AN93" s="53" t="n"/>
      <c r="AO93" s="53" t="n"/>
      <c r="AP93" s="53" t="n"/>
      <c r="AQ93" s="53" t="n"/>
      <c r="AR93" s="53" t="n"/>
      <c r="AS93" s="53" t="n"/>
      <c r="AT93" s="53" t="n"/>
      <c r="AU93" s="53" t="n"/>
      <c r="AV93" s="53" t="n"/>
      <c r="AW93" s="53" t="n"/>
      <c r="AX93" s="53" t="n"/>
      <c r="AY93" s="53" t="n"/>
    </row>
    <row r="94" ht="15" customHeight="1">
      <c r="A94" s="40">
        <f>IF($D$94="","",29)</f>
        <v/>
      </c>
      <c r="B94" s="10" t="n"/>
      <c r="C94" s="41" t="inlineStr">
        <is>
          <t>마케팅2팀</t>
        </is>
      </c>
      <c r="D94" s="42" t="n"/>
      <c r="E94" s="43" t="inlineStr">
        <is>
          <t>기획</t>
        </is>
      </c>
      <c r="F94" s="44" t="n"/>
      <c r="G94" s="45" t="n"/>
      <c r="H94" s="46">
        <f>IF($I$94="","",IF($I$94&lt;0,"🔴지연",IF($I$94&lt;=1,"🟡임박","🟢여유")))</f>
        <v/>
      </c>
      <c r="I94" s="47">
        <f>IF(OR($G$94="",$K$94=""),"",$G$94-$K$94)</f>
        <v/>
      </c>
      <c r="J94" s="48">
        <f>IF(SUM($L$94:$L$96)=0,"",SUM($L$94:$L$96))</f>
        <v/>
      </c>
      <c r="K94" s="49">
        <f>IF($J$94="","",MAX($N$94:$N$96))</f>
        <v/>
      </c>
      <c r="L94" s="50">
        <f>IF(SUM(U94:AY94)=0,"",SUM(U94:AY94))</f>
        <v/>
      </c>
      <c r="M94" s="51">
        <f>IFERROR(INDEX(U$2:AY$2,MATCH(TRUE,INDEX(U94:AY94&lt;&gt;"",0),0)),"")</f>
        <v/>
      </c>
      <c r="N94" s="51">
        <f>IFERROR(LOOKUP(2,1/(U94:AY94&lt;&gt;""),U$2:AY$2),"")</f>
        <v/>
      </c>
      <c r="O94" s="52" t="n"/>
      <c r="P94" s="52" t="n"/>
      <c r="Q94" s="52" t="n"/>
      <c r="R94" s="44" t="n"/>
      <c r="S94" s="14" t="n"/>
      <c r="U94" s="53" t="n"/>
      <c r="V94" s="53" t="n"/>
      <c r="W94" s="53" t="n"/>
      <c r="X94" s="53" t="n"/>
      <c r="Y94" s="53" t="n"/>
      <c r="Z94" s="53" t="n"/>
      <c r="AA94" s="53" t="n"/>
      <c r="AB94" s="53" t="n"/>
      <c r="AC94" s="53" t="n"/>
      <c r="AD94" s="53" t="n"/>
      <c r="AE94" s="53" t="n"/>
      <c r="AF94" s="53" t="n"/>
      <c r="AG94" s="53" t="n"/>
      <c r="AH94" s="53" t="n"/>
      <c r="AI94" s="53" t="n"/>
      <c r="AJ94" s="53" t="n"/>
      <c r="AK94" s="53" t="n"/>
      <c r="AL94" s="53" t="n"/>
      <c r="AM94" s="53" t="n"/>
      <c r="AN94" s="53" t="n"/>
      <c r="AO94" s="53" t="n"/>
      <c r="AP94" s="53" t="n"/>
      <c r="AQ94" s="53" t="n"/>
      <c r="AR94" s="53" t="n"/>
      <c r="AS94" s="53" t="n"/>
      <c r="AT94" s="53" t="n"/>
      <c r="AU94" s="53" t="n"/>
      <c r="AV94" s="53" t="n"/>
      <c r="AW94" s="53" t="n"/>
      <c r="AX94" s="53" t="n"/>
      <c r="AY94" s="53" t="n"/>
    </row>
    <row r="95" ht="15" customHeight="1">
      <c r="A95" s="54" t="n"/>
      <c r="B95" s="55">
        <f>IF($B$94="","",$B$94)</f>
        <v/>
      </c>
      <c r="C95" s="56" t="inlineStr">
        <is>
          <t>마케팅2팀</t>
        </is>
      </c>
      <c r="D95" s="55">
        <f>IF($D$94="","",$D$94)</f>
        <v/>
      </c>
      <c r="E95" s="57" t="inlineStr">
        <is>
          <t>이미지</t>
        </is>
      </c>
      <c r="F95" s="44" t="n"/>
      <c r="G95" s="58">
        <f>IF($G$94="","",$G$94)</f>
        <v/>
      </c>
      <c r="H95" s="59" t="n"/>
      <c r="I95" s="59" t="n"/>
      <c r="J95" s="59" t="n"/>
      <c r="K95" s="59" t="n"/>
      <c r="L95" s="60">
        <f>IF(SUM(U95:AY95)=0,"",SUM(U95:AY95))</f>
        <v/>
      </c>
      <c r="M95" s="61">
        <f>IFERROR(INDEX(U$2:AY$2,MATCH(TRUE,INDEX(U95:AY95&lt;&gt;"",0),0)),"")</f>
        <v/>
      </c>
      <c r="N95" s="61">
        <f>IFERROR(LOOKUP(2,1/(U95:AY95&lt;&gt;""),U$2:AY$2),"")</f>
        <v/>
      </c>
      <c r="O95" s="59" t="n"/>
      <c r="P95" s="59" t="n"/>
      <c r="Q95" s="59" t="n"/>
      <c r="R95" s="59" t="n"/>
      <c r="S95" s="14" t="n"/>
      <c r="U95" s="53" t="n"/>
      <c r="V95" s="53" t="n"/>
      <c r="W95" s="53" t="n"/>
      <c r="X95" s="53" t="n"/>
      <c r="Y95" s="53" t="n"/>
      <c r="Z95" s="53" t="n"/>
      <c r="AA95" s="53" t="n"/>
      <c r="AB95" s="53" t="n"/>
      <c r="AC95" s="53" t="n"/>
      <c r="AD95" s="53" t="n"/>
      <c r="AE95" s="53" t="n"/>
      <c r="AF95" s="53" t="n"/>
      <c r="AG95" s="53" t="n"/>
      <c r="AH95" s="53" t="n"/>
      <c r="AI95" s="53" t="n"/>
      <c r="AJ95" s="53" t="n"/>
      <c r="AK95" s="53" t="n"/>
      <c r="AL95" s="53" t="n"/>
      <c r="AM95" s="53" t="n"/>
      <c r="AN95" s="53" t="n"/>
      <c r="AO95" s="53" t="n"/>
      <c r="AP95" s="53" t="n"/>
      <c r="AQ95" s="53" t="n"/>
      <c r="AR95" s="53" t="n"/>
      <c r="AS95" s="53" t="n"/>
      <c r="AT95" s="53" t="n"/>
      <c r="AU95" s="53" t="n"/>
      <c r="AV95" s="53" t="n"/>
      <c r="AW95" s="53" t="n"/>
      <c r="AX95" s="53" t="n"/>
      <c r="AY95" s="53" t="n"/>
    </row>
    <row r="96" ht="15" customHeight="1">
      <c r="A96" s="62" t="n"/>
      <c r="B96" s="55">
        <f>IF($B$94="","",$B$94)</f>
        <v/>
      </c>
      <c r="C96" s="63" t="inlineStr">
        <is>
          <t>마케팅2팀</t>
        </is>
      </c>
      <c r="D96" s="55">
        <f>IF($D$94="","",$D$94)</f>
        <v/>
      </c>
      <c r="E96" s="64" t="inlineStr">
        <is>
          <t>영상</t>
        </is>
      </c>
      <c r="F96" s="44" t="n"/>
      <c r="G96" s="58">
        <f>IF($G$94="","",$G$94)</f>
        <v/>
      </c>
      <c r="H96" s="59" t="n"/>
      <c r="I96" s="59" t="n"/>
      <c r="J96" s="59" t="n"/>
      <c r="K96" s="59" t="n"/>
      <c r="L96" s="65">
        <f>IF(SUM(U96:AY96)=0,"",SUM(U96:AY96))</f>
        <v/>
      </c>
      <c r="M96" s="66">
        <f>IFERROR(INDEX(U$2:AY$2,MATCH(TRUE,INDEX(U96:AY96&lt;&gt;"",0),0)),"")</f>
        <v/>
      </c>
      <c r="N96" s="66">
        <f>IFERROR(LOOKUP(2,1/(U96:AY96&lt;&gt;""),U$2:AY$2),"")</f>
        <v/>
      </c>
      <c r="O96" s="59" t="n"/>
      <c r="P96" s="59" t="n"/>
      <c r="Q96" s="59" t="n"/>
      <c r="R96" s="59" t="n"/>
      <c r="S96" s="14" t="n"/>
      <c r="U96" s="53" t="n"/>
      <c r="V96" s="53" t="n"/>
      <c r="W96" s="53" t="n"/>
      <c r="X96" s="53" t="n"/>
      <c r="Y96" s="53" t="n"/>
      <c r="Z96" s="53" t="n"/>
      <c r="AA96" s="53" t="n"/>
      <c r="AB96" s="53" t="n"/>
      <c r="AC96" s="53" t="n"/>
      <c r="AD96" s="53" t="n"/>
      <c r="AE96" s="53" t="n"/>
      <c r="AF96" s="53" t="n"/>
      <c r="AG96" s="53" t="n"/>
      <c r="AH96" s="53" t="n"/>
      <c r="AI96" s="53" t="n"/>
      <c r="AJ96" s="53" t="n"/>
      <c r="AK96" s="53" t="n"/>
      <c r="AL96" s="53" t="n"/>
      <c r="AM96" s="53" t="n"/>
      <c r="AN96" s="53" t="n"/>
      <c r="AO96" s="53" t="n"/>
      <c r="AP96" s="53" t="n"/>
      <c r="AQ96" s="53" t="n"/>
      <c r="AR96" s="53" t="n"/>
      <c r="AS96" s="53" t="n"/>
      <c r="AT96" s="53" t="n"/>
      <c r="AU96" s="53" t="n"/>
      <c r="AV96" s="53" t="n"/>
      <c r="AW96" s="53" t="n"/>
      <c r="AX96" s="53" t="n"/>
      <c r="AY96" s="53" t="n"/>
    </row>
    <row r="97" ht="15" customHeight="1">
      <c r="A97" s="40">
        <f>IF($D$97="","",30)</f>
        <v/>
      </c>
      <c r="B97" s="10" t="n"/>
      <c r="C97" s="41" t="inlineStr">
        <is>
          <t>마케팅2팀</t>
        </is>
      </c>
      <c r="D97" s="42" t="n"/>
      <c r="E97" s="43" t="inlineStr">
        <is>
          <t>기획</t>
        </is>
      </c>
      <c r="F97" s="44" t="n"/>
      <c r="G97" s="45" t="n"/>
      <c r="H97" s="46">
        <f>IF($I$97="","",IF($I$97&lt;0,"🔴지연",IF($I$97&lt;=1,"🟡임박","🟢여유")))</f>
        <v/>
      </c>
      <c r="I97" s="47">
        <f>IF(OR($G$97="",$K$97=""),"",$G$97-$K$97)</f>
        <v/>
      </c>
      <c r="J97" s="48">
        <f>IF(SUM($L$97:$L$99)=0,"",SUM($L$97:$L$99))</f>
        <v/>
      </c>
      <c r="K97" s="49">
        <f>IF($J$97="","",MAX($N$97:$N$99))</f>
        <v/>
      </c>
      <c r="L97" s="50">
        <f>IF(SUM(U97:AY97)=0,"",SUM(U97:AY97))</f>
        <v/>
      </c>
      <c r="M97" s="51">
        <f>IFERROR(INDEX(U$2:AY$2,MATCH(TRUE,INDEX(U97:AY97&lt;&gt;"",0),0)),"")</f>
        <v/>
      </c>
      <c r="N97" s="51">
        <f>IFERROR(LOOKUP(2,1/(U97:AY97&lt;&gt;""),U$2:AY$2),"")</f>
        <v/>
      </c>
      <c r="O97" s="52" t="n"/>
      <c r="P97" s="52" t="n"/>
      <c r="Q97" s="52" t="n"/>
      <c r="R97" s="44" t="n"/>
      <c r="S97" s="14" t="n"/>
      <c r="U97" s="53" t="n"/>
      <c r="V97" s="53" t="n"/>
      <c r="W97" s="53" t="n"/>
      <c r="X97" s="53" t="n"/>
      <c r="Y97" s="53" t="n"/>
      <c r="Z97" s="53" t="n"/>
      <c r="AA97" s="53" t="n"/>
      <c r="AB97" s="53" t="n"/>
      <c r="AC97" s="53" t="n"/>
      <c r="AD97" s="53" t="n"/>
      <c r="AE97" s="53" t="n"/>
      <c r="AF97" s="53" t="n"/>
      <c r="AG97" s="53" t="n"/>
      <c r="AH97" s="53" t="n"/>
      <c r="AI97" s="53" t="n"/>
      <c r="AJ97" s="53" t="n"/>
      <c r="AK97" s="53" t="n"/>
      <c r="AL97" s="53" t="n"/>
      <c r="AM97" s="53" t="n"/>
      <c r="AN97" s="53" t="n"/>
      <c r="AO97" s="53" t="n"/>
      <c r="AP97" s="53" t="n"/>
      <c r="AQ97" s="53" t="n"/>
      <c r="AR97" s="53" t="n"/>
      <c r="AS97" s="53" t="n"/>
      <c r="AT97" s="53" t="n"/>
      <c r="AU97" s="53" t="n"/>
      <c r="AV97" s="53" t="n"/>
      <c r="AW97" s="53" t="n"/>
      <c r="AX97" s="53" t="n"/>
      <c r="AY97" s="53" t="n"/>
    </row>
    <row r="98" ht="15" customHeight="1">
      <c r="A98" s="54" t="n"/>
      <c r="B98" s="55">
        <f>IF($B$97="","",$B$97)</f>
        <v/>
      </c>
      <c r="C98" s="56" t="inlineStr">
        <is>
          <t>마케팅2팀</t>
        </is>
      </c>
      <c r="D98" s="55">
        <f>IF($D$97="","",$D$97)</f>
        <v/>
      </c>
      <c r="E98" s="57" t="inlineStr">
        <is>
          <t>이미지</t>
        </is>
      </c>
      <c r="F98" s="44" t="n"/>
      <c r="G98" s="58">
        <f>IF($G$97="","",$G$97)</f>
        <v/>
      </c>
      <c r="H98" s="59" t="n"/>
      <c r="I98" s="59" t="n"/>
      <c r="J98" s="59" t="n"/>
      <c r="K98" s="59" t="n"/>
      <c r="L98" s="60">
        <f>IF(SUM(U98:AY98)=0,"",SUM(U98:AY98))</f>
        <v/>
      </c>
      <c r="M98" s="61">
        <f>IFERROR(INDEX(U$2:AY$2,MATCH(TRUE,INDEX(U98:AY98&lt;&gt;"",0),0)),"")</f>
        <v/>
      </c>
      <c r="N98" s="61">
        <f>IFERROR(LOOKUP(2,1/(U98:AY98&lt;&gt;""),U$2:AY$2),"")</f>
        <v/>
      </c>
      <c r="O98" s="59" t="n"/>
      <c r="P98" s="59" t="n"/>
      <c r="Q98" s="59" t="n"/>
      <c r="R98" s="59" t="n"/>
      <c r="S98" s="14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3" t="n"/>
      <c r="AN98" s="53" t="n"/>
      <c r="AO98" s="53" t="n"/>
      <c r="AP98" s="53" t="n"/>
      <c r="AQ98" s="53" t="n"/>
      <c r="AR98" s="53" t="n"/>
      <c r="AS98" s="53" t="n"/>
      <c r="AT98" s="53" t="n"/>
      <c r="AU98" s="53" t="n"/>
      <c r="AV98" s="53" t="n"/>
      <c r="AW98" s="53" t="n"/>
      <c r="AX98" s="53" t="n"/>
      <c r="AY98" s="53" t="n"/>
    </row>
    <row r="99" ht="15" customHeight="1">
      <c r="A99" s="62" t="n"/>
      <c r="B99" s="55">
        <f>IF($B$97="","",$B$97)</f>
        <v/>
      </c>
      <c r="C99" s="63" t="inlineStr">
        <is>
          <t>마케팅2팀</t>
        </is>
      </c>
      <c r="D99" s="55">
        <f>IF($D$97="","",$D$97)</f>
        <v/>
      </c>
      <c r="E99" s="64" t="inlineStr">
        <is>
          <t>영상</t>
        </is>
      </c>
      <c r="F99" s="44" t="n"/>
      <c r="G99" s="58">
        <f>IF($G$97="","",$G$97)</f>
        <v/>
      </c>
      <c r="H99" s="59" t="n"/>
      <c r="I99" s="59" t="n"/>
      <c r="J99" s="59" t="n"/>
      <c r="K99" s="59" t="n"/>
      <c r="L99" s="65">
        <f>IF(SUM(U99:AY99)=0,"",SUM(U99:AY99))</f>
        <v/>
      </c>
      <c r="M99" s="66">
        <f>IFERROR(INDEX(U$2:AY$2,MATCH(TRUE,INDEX(U99:AY99&lt;&gt;"",0),0)),"")</f>
        <v/>
      </c>
      <c r="N99" s="66">
        <f>IFERROR(LOOKUP(2,1/(U99:AY99&lt;&gt;""),U$2:AY$2),"")</f>
        <v/>
      </c>
      <c r="O99" s="59" t="n"/>
      <c r="P99" s="59" t="n"/>
      <c r="Q99" s="59" t="n"/>
      <c r="R99" s="59" t="n"/>
      <c r="S99" s="14" t="n"/>
      <c r="U99" s="53" t="n"/>
      <c r="V99" s="53" t="n"/>
      <c r="W99" s="53" t="n"/>
      <c r="X99" s="53" t="n"/>
      <c r="Y99" s="53" t="n"/>
      <c r="Z99" s="53" t="n"/>
      <c r="AA99" s="53" t="n"/>
      <c r="AB99" s="53" t="n"/>
      <c r="AC99" s="53" t="n"/>
      <c r="AD99" s="53" t="n"/>
      <c r="AE99" s="53" t="n"/>
      <c r="AF99" s="53" t="n"/>
      <c r="AG99" s="53" t="n"/>
      <c r="AH99" s="53" t="n"/>
      <c r="AI99" s="53" t="n"/>
      <c r="AJ99" s="53" t="n"/>
      <c r="AK99" s="53" t="n"/>
      <c r="AL99" s="53" t="n"/>
      <c r="AM99" s="53" t="n"/>
      <c r="AN99" s="53" t="n"/>
      <c r="AO99" s="53" t="n"/>
      <c r="AP99" s="53" t="n"/>
      <c r="AQ99" s="53" t="n"/>
      <c r="AR99" s="53" t="n"/>
      <c r="AS99" s="53" t="n"/>
      <c r="AT99" s="53" t="n"/>
      <c r="AU99" s="53" t="n"/>
      <c r="AV99" s="53" t="n"/>
      <c r="AW99" s="53" t="n"/>
      <c r="AX99" s="53" t="n"/>
      <c r="AY99" s="53" t="n"/>
    </row>
    <row r="100" ht="15" customHeight="1">
      <c r="A100" s="40">
        <f>IF($D$100="","",31)</f>
        <v/>
      </c>
      <c r="B100" s="10" t="n"/>
      <c r="C100" s="41" t="inlineStr">
        <is>
          <t>마케팅2팀</t>
        </is>
      </c>
      <c r="D100" s="42" t="n"/>
      <c r="E100" s="43" t="inlineStr">
        <is>
          <t>기획</t>
        </is>
      </c>
      <c r="F100" s="44" t="n"/>
      <c r="G100" s="45" t="n"/>
      <c r="H100" s="46">
        <f>IF($I$100="","",IF($I$100&lt;0,"🔴지연",IF($I$100&lt;=1,"🟡임박","🟢여유")))</f>
        <v/>
      </c>
      <c r="I100" s="47">
        <f>IF(OR($G$100="",$K$100=""),"",$G$100-$K$100)</f>
        <v/>
      </c>
      <c r="J100" s="48">
        <f>IF(SUM($L$100:$L$102)=0,"",SUM($L$100:$L$102))</f>
        <v/>
      </c>
      <c r="K100" s="49">
        <f>IF($J$100="","",MAX($N$100:$N$102))</f>
        <v/>
      </c>
      <c r="L100" s="50">
        <f>IF(SUM(U100:AY100)=0,"",SUM(U100:AY100))</f>
        <v/>
      </c>
      <c r="M100" s="51">
        <f>IFERROR(INDEX(U$2:AY$2,MATCH(TRUE,INDEX(U100:AY100&lt;&gt;"",0),0)),"")</f>
        <v/>
      </c>
      <c r="N100" s="51">
        <f>IFERROR(LOOKUP(2,1/(U100:AY100&lt;&gt;""),U$2:AY$2),"")</f>
        <v/>
      </c>
      <c r="O100" s="52" t="n"/>
      <c r="P100" s="52" t="n"/>
      <c r="Q100" s="52" t="n"/>
      <c r="R100" s="44" t="n"/>
      <c r="S100" s="14" t="n"/>
      <c r="U100" s="53" t="n"/>
      <c r="V100" s="53" t="n"/>
      <c r="W100" s="53" t="n"/>
      <c r="X100" s="53" t="n"/>
      <c r="Y100" s="53" t="n"/>
      <c r="Z100" s="53" t="n"/>
      <c r="AA100" s="53" t="n"/>
      <c r="AB100" s="53" t="n"/>
      <c r="AC100" s="53" t="n"/>
      <c r="AD100" s="53" t="n"/>
      <c r="AE100" s="53" t="n"/>
      <c r="AF100" s="53" t="n"/>
      <c r="AG100" s="53" t="n"/>
      <c r="AH100" s="53" t="n"/>
      <c r="AI100" s="53" t="n"/>
      <c r="AJ100" s="53" t="n"/>
      <c r="AK100" s="53" t="n"/>
      <c r="AL100" s="53" t="n"/>
      <c r="AM100" s="53" t="n"/>
      <c r="AN100" s="53" t="n"/>
      <c r="AO100" s="53" t="n"/>
      <c r="AP100" s="53" t="n"/>
      <c r="AQ100" s="53" t="n"/>
      <c r="AR100" s="53" t="n"/>
      <c r="AS100" s="53" t="n"/>
      <c r="AT100" s="53" t="n"/>
      <c r="AU100" s="53" t="n"/>
      <c r="AV100" s="53" t="n"/>
      <c r="AW100" s="53" t="n"/>
      <c r="AX100" s="53" t="n"/>
      <c r="AY100" s="53" t="n"/>
    </row>
    <row r="101" ht="15" customHeight="1">
      <c r="A101" s="54" t="n"/>
      <c r="B101" s="55">
        <f>IF($B$100="","",$B$100)</f>
        <v/>
      </c>
      <c r="C101" s="56" t="inlineStr">
        <is>
          <t>마케팅2팀</t>
        </is>
      </c>
      <c r="D101" s="55">
        <f>IF($D$100="","",$D$100)</f>
        <v/>
      </c>
      <c r="E101" s="57" t="inlineStr">
        <is>
          <t>이미지</t>
        </is>
      </c>
      <c r="F101" s="44" t="n"/>
      <c r="G101" s="58">
        <f>IF($G$100="","",$G$100)</f>
        <v/>
      </c>
      <c r="H101" s="59" t="n"/>
      <c r="I101" s="59" t="n"/>
      <c r="J101" s="59" t="n"/>
      <c r="K101" s="59" t="n"/>
      <c r="L101" s="60">
        <f>IF(SUM(U101:AY101)=0,"",SUM(U101:AY101))</f>
        <v/>
      </c>
      <c r="M101" s="61">
        <f>IFERROR(INDEX(U$2:AY$2,MATCH(TRUE,INDEX(U101:AY101&lt;&gt;"",0),0)),"")</f>
        <v/>
      </c>
      <c r="N101" s="61">
        <f>IFERROR(LOOKUP(2,1/(U101:AY101&lt;&gt;""),U$2:AY$2),"")</f>
        <v/>
      </c>
      <c r="O101" s="59" t="n"/>
      <c r="P101" s="59" t="n"/>
      <c r="Q101" s="59" t="n"/>
      <c r="R101" s="59" t="n"/>
      <c r="S101" s="14" t="n"/>
      <c r="U101" s="53" t="n"/>
      <c r="V101" s="53" t="n"/>
      <c r="W101" s="53" t="n"/>
      <c r="X101" s="53" t="n"/>
      <c r="Y101" s="53" t="n"/>
      <c r="Z101" s="53" t="n"/>
      <c r="AA101" s="53" t="n"/>
      <c r="AB101" s="53" t="n"/>
      <c r="AC101" s="53" t="n"/>
      <c r="AD101" s="53" t="n"/>
      <c r="AE101" s="53" t="n"/>
      <c r="AF101" s="53" t="n"/>
      <c r="AG101" s="53" t="n"/>
      <c r="AH101" s="53" t="n"/>
      <c r="AI101" s="53" t="n"/>
      <c r="AJ101" s="53" t="n"/>
      <c r="AK101" s="53" t="n"/>
      <c r="AL101" s="53" t="n"/>
      <c r="AM101" s="53" t="n"/>
      <c r="AN101" s="53" t="n"/>
      <c r="AO101" s="53" t="n"/>
      <c r="AP101" s="53" t="n"/>
      <c r="AQ101" s="53" t="n"/>
      <c r="AR101" s="53" t="n"/>
      <c r="AS101" s="53" t="n"/>
      <c r="AT101" s="53" t="n"/>
      <c r="AU101" s="53" t="n"/>
      <c r="AV101" s="53" t="n"/>
      <c r="AW101" s="53" t="n"/>
      <c r="AX101" s="53" t="n"/>
      <c r="AY101" s="53" t="n"/>
    </row>
    <row r="102" ht="15" customHeight="1">
      <c r="A102" s="62" t="n"/>
      <c r="B102" s="55">
        <f>IF($B$100="","",$B$100)</f>
        <v/>
      </c>
      <c r="C102" s="63" t="inlineStr">
        <is>
          <t>마케팅2팀</t>
        </is>
      </c>
      <c r="D102" s="55">
        <f>IF($D$100="","",$D$100)</f>
        <v/>
      </c>
      <c r="E102" s="64" t="inlineStr">
        <is>
          <t>영상</t>
        </is>
      </c>
      <c r="F102" s="44" t="n"/>
      <c r="G102" s="58">
        <f>IF($G$100="","",$G$100)</f>
        <v/>
      </c>
      <c r="H102" s="59" t="n"/>
      <c r="I102" s="59" t="n"/>
      <c r="J102" s="59" t="n"/>
      <c r="K102" s="59" t="n"/>
      <c r="L102" s="65">
        <f>IF(SUM(U102:AY102)=0,"",SUM(U102:AY102))</f>
        <v/>
      </c>
      <c r="M102" s="66">
        <f>IFERROR(INDEX(U$2:AY$2,MATCH(TRUE,INDEX(U102:AY102&lt;&gt;"",0),0)),"")</f>
        <v/>
      </c>
      <c r="N102" s="66">
        <f>IFERROR(LOOKUP(2,1/(U102:AY102&lt;&gt;""),U$2:AY$2),"")</f>
        <v/>
      </c>
      <c r="O102" s="59" t="n"/>
      <c r="P102" s="59" t="n"/>
      <c r="Q102" s="59" t="n"/>
      <c r="R102" s="59" t="n"/>
      <c r="S102" s="14" t="n"/>
      <c r="U102" s="53" t="n"/>
      <c r="V102" s="53" t="n"/>
      <c r="W102" s="53" t="n"/>
      <c r="X102" s="53" t="n"/>
      <c r="Y102" s="53" t="n"/>
      <c r="Z102" s="53" t="n"/>
      <c r="AA102" s="53" t="n"/>
      <c r="AB102" s="53" t="n"/>
      <c r="AC102" s="53" t="n"/>
      <c r="AD102" s="53" t="n"/>
      <c r="AE102" s="53" t="n"/>
      <c r="AF102" s="53" t="n"/>
      <c r="AG102" s="53" t="n"/>
      <c r="AH102" s="53" t="n"/>
      <c r="AI102" s="53" t="n"/>
      <c r="AJ102" s="53" t="n"/>
      <c r="AK102" s="53" t="n"/>
      <c r="AL102" s="53" t="n"/>
      <c r="AM102" s="53" t="n"/>
      <c r="AN102" s="53" t="n"/>
      <c r="AO102" s="53" t="n"/>
      <c r="AP102" s="53" t="n"/>
      <c r="AQ102" s="53" t="n"/>
      <c r="AR102" s="53" t="n"/>
      <c r="AS102" s="53" t="n"/>
      <c r="AT102" s="53" t="n"/>
      <c r="AU102" s="53" t="n"/>
      <c r="AV102" s="53" t="n"/>
      <c r="AW102" s="53" t="n"/>
      <c r="AX102" s="53" t="n"/>
      <c r="AY102" s="53" t="n"/>
    </row>
    <row r="103" ht="15" customHeight="1">
      <c r="A103" s="40">
        <f>IF($D$103="","",32)</f>
        <v/>
      </c>
      <c r="B103" s="10" t="n"/>
      <c r="C103" s="41" t="inlineStr">
        <is>
          <t>마케팅2팀</t>
        </is>
      </c>
      <c r="D103" s="42" t="n"/>
      <c r="E103" s="43" t="inlineStr">
        <is>
          <t>기획</t>
        </is>
      </c>
      <c r="F103" s="44" t="n"/>
      <c r="G103" s="45" t="n"/>
      <c r="H103" s="46">
        <f>IF($I$103="","",IF($I$103&lt;0,"🔴지연",IF($I$103&lt;=1,"🟡임박","🟢여유")))</f>
        <v/>
      </c>
      <c r="I103" s="47">
        <f>IF(OR($G$103="",$K$103=""),"",$G$103-$K$103)</f>
        <v/>
      </c>
      <c r="J103" s="48">
        <f>IF(SUM($L$103:$L$105)=0,"",SUM($L$103:$L$105))</f>
        <v/>
      </c>
      <c r="K103" s="49">
        <f>IF($J$103="","",MAX($N$103:$N$105))</f>
        <v/>
      </c>
      <c r="L103" s="50">
        <f>IF(SUM(U103:AY103)=0,"",SUM(U103:AY103))</f>
        <v/>
      </c>
      <c r="M103" s="51">
        <f>IFERROR(INDEX(U$2:AY$2,MATCH(TRUE,INDEX(U103:AY103&lt;&gt;"",0),0)),"")</f>
        <v/>
      </c>
      <c r="N103" s="51">
        <f>IFERROR(LOOKUP(2,1/(U103:AY103&lt;&gt;""),U$2:AY$2),"")</f>
        <v/>
      </c>
      <c r="O103" s="52" t="n"/>
      <c r="P103" s="52" t="n"/>
      <c r="Q103" s="52" t="n"/>
      <c r="R103" s="44" t="n"/>
      <c r="S103" s="14" t="n"/>
      <c r="U103" s="53" t="n"/>
      <c r="V103" s="53" t="n"/>
      <c r="W103" s="53" t="n"/>
      <c r="X103" s="53" t="n"/>
      <c r="Y103" s="53" t="n"/>
      <c r="Z103" s="53" t="n"/>
      <c r="AA103" s="53" t="n"/>
      <c r="AB103" s="53" t="n"/>
      <c r="AC103" s="53" t="n"/>
      <c r="AD103" s="53" t="n"/>
      <c r="AE103" s="53" t="n"/>
      <c r="AF103" s="53" t="n"/>
      <c r="AG103" s="53" t="n"/>
      <c r="AH103" s="53" t="n"/>
      <c r="AI103" s="53" t="n"/>
      <c r="AJ103" s="53" t="n"/>
      <c r="AK103" s="53" t="n"/>
      <c r="AL103" s="53" t="n"/>
      <c r="AM103" s="53" t="n"/>
      <c r="AN103" s="53" t="n"/>
      <c r="AO103" s="53" t="n"/>
      <c r="AP103" s="53" t="n"/>
      <c r="AQ103" s="53" t="n"/>
      <c r="AR103" s="53" t="n"/>
      <c r="AS103" s="53" t="n"/>
      <c r="AT103" s="53" t="n"/>
      <c r="AU103" s="53" t="n"/>
      <c r="AV103" s="53" t="n"/>
      <c r="AW103" s="53" t="n"/>
      <c r="AX103" s="53" t="n"/>
      <c r="AY103" s="53" t="n"/>
    </row>
    <row r="104" ht="15" customHeight="1">
      <c r="A104" s="54" t="n"/>
      <c r="B104" s="55">
        <f>IF($B$103="","",$B$103)</f>
        <v/>
      </c>
      <c r="C104" s="56" t="inlineStr">
        <is>
          <t>마케팅2팀</t>
        </is>
      </c>
      <c r="D104" s="55">
        <f>IF($D$103="","",$D$103)</f>
        <v/>
      </c>
      <c r="E104" s="57" t="inlineStr">
        <is>
          <t>이미지</t>
        </is>
      </c>
      <c r="F104" s="44" t="n"/>
      <c r="G104" s="58">
        <f>IF($G$103="","",$G$103)</f>
        <v/>
      </c>
      <c r="H104" s="59" t="n"/>
      <c r="I104" s="59" t="n"/>
      <c r="J104" s="59" t="n"/>
      <c r="K104" s="59" t="n"/>
      <c r="L104" s="60">
        <f>IF(SUM(U104:AY104)=0,"",SUM(U104:AY104))</f>
        <v/>
      </c>
      <c r="M104" s="61">
        <f>IFERROR(INDEX(U$2:AY$2,MATCH(TRUE,INDEX(U104:AY104&lt;&gt;"",0),0)),"")</f>
        <v/>
      </c>
      <c r="N104" s="61">
        <f>IFERROR(LOOKUP(2,1/(U104:AY104&lt;&gt;""),U$2:AY$2),"")</f>
        <v/>
      </c>
      <c r="O104" s="59" t="n"/>
      <c r="P104" s="59" t="n"/>
      <c r="Q104" s="59" t="n"/>
      <c r="R104" s="59" t="n"/>
      <c r="S104" s="14" t="n"/>
      <c r="U104" s="53" t="n"/>
      <c r="V104" s="53" t="n"/>
      <c r="W104" s="53" t="n"/>
      <c r="X104" s="53" t="n"/>
      <c r="Y104" s="53" t="n"/>
      <c r="Z104" s="53" t="n"/>
      <c r="AA104" s="53" t="n"/>
      <c r="AB104" s="53" t="n"/>
      <c r="AC104" s="53" t="n"/>
      <c r="AD104" s="53" t="n"/>
      <c r="AE104" s="53" t="n"/>
      <c r="AF104" s="53" t="n"/>
      <c r="AG104" s="53" t="n"/>
      <c r="AH104" s="53" t="n"/>
      <c r="AI104" s="53" t="n"/>
      <c r="AJ104" s="53" t="n"/>
      <c r="AK104" s="53" t="n"/>
      <c r="AL104" s="53" t="n"/>
      <c r="AM104" s="53" t="n"/>
      <c r="AN104" s="53" t="n"/>
      <c r="AO104" s="53" t="n"/>
      <c r="AP104" s="53" t="n"/>
      <c r="AQ104" s="53" t="n"/>
      <c r="AR104" s="53" t="n"/>
      <c r="AS104" s="53" t="n"/>
      <c r="AT104" s="53" t="n"/>
      <c r="AU104" s="53" t="n"/>
      <c r="AV104" s="53" t="n"/>
      <c r="AW104" s="53" t="n"/>
      <c r="AX104" s="53" t="n"/>
      <c r="AY104" s="53" t="n"/>
    </row>
    <row r="105" ht="15" customHeight="1">
      <c r="A105" s="62" t="n"/>
      <c r="B105" s="55">
        <f>IF($B$103="","",$B$103)</f>
        <v/>
      </c>
      <c r="C105" s="63" t="inlineStr">
        <is>
          <t>마케팅2팀</t>
        </is>
      </c>
      <c r="D105" s="55">
        <f>IF($D$103="","",$D$103)</f>
        <v/>
      </c>
      <c r="E105" s="64" t="inlineStr">
        <is>
          <t>영상</t>
        </is>
      </c>
      <c r="F105" s="44" t="n"/>
      <c r="G105" s="58">
        <f>IF($G$103="","",$G$103)</f>
        <v/>
      </c>
      <c r="H105" s="59" t="n"/>
      <c r="I105" s="59" t="n"/>
      <c r="J105" s="59" t="n"/>
      <c r="K105" s="59" t="n"/>
      <c r="L105" s="65">
        <f>IF(SUM(U105:AY105)=0,"",SUM(U105:AY105))</f>
        <v/>
      </c>
      <c r="M105" s="66">
        <f>IFERROR(INDEX(U$2:AY$2,MATCH(TRUE,INDEX(U105:AY105&lt;&gt;"",0),0)),"")</f>
        <v/>
      </c>
      <c r="N105" s="66">
        <f>IFERROR(LOOKUP(2,1/(U105:AY105&lt;&gt;""),U$2:AY$2),"")</f>
        <v/>
      </c>
      <c r="O105" s="59" t="n"/>
      <c r="P105" s="59" t="n"/>
      <c r="Q105" s="59" t="n"/>
      <c r="R105" s="59" t="n"/>
      <c r="S105" s="14" t="n"/>
      <c r="U105" s="53" t="n"/>
      <c r="V105" s="53" t="n"/>
      <c r="W105" s="53" t="n"/>
      <c r="X105" s="53" t="n"/>
      <c r="Y105" s="53" t="n"/>
      <c r="Z105" s="53" t="n"/>
      <c r="AA105" s="53" t="n"/>
      <c r="AB105" s="53" t="n"/>
      <c r="AC105" s="53" t="n"/>
      <c r="AD105" s="53" t="n"/>
      <c r="AE105" s="53" t="n"/>
      <c r="AF105" s="53" t="n"/>
      <c r="AG105" s="53" t="n"/>
      <c r="AH105" s="53" t="n"/>
      <c r="AI105" s="53" t="n"/>
      <c r="AJ105" s="53" t="n"/>
      <c r="AK105" s="53" t="n"/>
      <c r="AL105" s="53" t="n"/>
      <c r="AM105" s="53" t="n"/>
      <c r="AN105" s="53" t="n"/>
      <c r="AO105" s="53" t="n"/>
      <c r="AP105" s="53" t="n"/>
      <c r="AQ105" s="53" t="n"/>
      <c r="AR105" s="53" t="n"/>
      <c r="AS105" s="53" t="n"/>
      <c r="AT105" s="53" t="n"/>
      <c r="AU105" s="53" t="n"/>
      <c r="AV105" s="53" t="n"/>
      <c r="AW105" s="53" t="n"/>
      <c r="AX105" s="53" t="n"/>
      <c r="AY105" s="53" t="n"/>
    </row>
    <row r="106" ht="15" customHeight="1">
      <c r="A106" s="40">
        <f>IF($D$106="","",33)</f>
        <v/>
      </c>
      <c r="B106" s="10" t="n"/>
      <c r="C106" s="41" t="inlineStr">
        <is>
          <t>마케팅2팀</t>
        </is>
      </c>
      <c r="D106" s="42" t="n"/>
      <c r="E106" s="43" t="inlineStr">
        <is>
          <t>기획</t>
        </is>
      </c>
      <c r="F106" s="44" t="n"/>
      <c r="G106" s="45" t="n"/>
      <c r="H106" s="46">
        <f>IF($I$106="","",IF($I$106&lt;0,"🔴지연",IF($I$106&lt;=1,"🟡임박","🟢여유")))</f>
        <v/>
      </c>
      <c r="I106" s="47">
        <f>IF(OR($G$106="",$K$106=""),"",$G$106-$K$106)</f>
        <v/>
      </c>
      <c r="J106" s="48">
        <f>IF(SUM($L$106:$L$108)=0,"",SUM($L$106:$L$108))</f>
        <v/>
      </c>
      <c r="K106" s="49">
        <f>IF($J$106="","",MAX($N$106:$N$108))</f>
        <v/>
      </c>
      <c r="L106" s="50">
        <f>IF(SUM(U106:AY106)=0,"",SUM(U106:AY106))</f>
        <v/>
      </c>
      <c r="M106" s="51">
        <f>IFERROR(INDEX(U$2:AY$2,MATCH(TRUE,INDEX(U106:AY106&lt;&gt;"",0),0)),"")</f>
        <v/>
      </c>
      <c r="N106" s="51">
        <f>IFERROR(LOOKUP(2,1/(U106:AY106&lt;&gt;""),U$2:AY$2),"")</f>
        <v/>
      </c>
      <c r="O106" s="52" t="n"/>
      <c r="P106" s="52" t="n"/>
      <c r="Q106" s="52" t="n"/>
      <c r="R106" s="44" t="n"/>
      <c r="S106" s="14" t="n"/>
      <c r="U106" s="53" t="n"/>
      <c r="V106" s="53" t="n"/>
      <c r="W106" s="53" t="n"/>
      <c r="X106" s="53" t="n"/>
      <c r="Y106" s="53" t="n"/>
      <c r="Z106" s="53" t="n"/>
      <c r="AA106" s="53" t="n"/>
      <c r="AB106" s="53" t="n"/>
      <c r="AC106" s="53" t="n"/>
      <c r="AD106" s="53" t="n"/>
      <c r="AE106" s="53" t="n"/>
      <c r="AF106" s="53" t="n"/>
      <c r="AG106" s="53" t="n"/>
      <c r="AH106" s="53" t="n"/>
      <c r="AI106" s="53" t="n"/>
      <c r="AJ106" s="53" t="n"/>
      <c r="AK106" s="53" t="n"/>
      <c r="AL106" s="53" t="n"/>
      <c r="AM106" s="53" t="n"/>
      <c r="AN106" s="53" t="n"/>
      <c r="AO106" s="53" t="n"/>
      <c r="AP106" s="53" t="n"/>
      <c r="AQ106" s="53" t="n"/>
      <c r="AR106" s="53" t="n"/>
      <c r="AS106" s="53" t="n"/>
      <c r="AT106" s="53" t="n"/>
      <c r="AU106" s="53" t="n"/>
      <c r="AV106" s="53" t="n"/>
      <c r="AW106" s="53" t="n"/>
      <c r="AX106" s="53" t="n"/>
      <c r="AY106" s="53" t="n"/>
    </row>
    <row r="107" ht="15" customHeight="1">
      <c r="A107" s="54" t="n"/>
      <c r="B107" s="55">
        <f>IF($B$106="","",$B$106)</f>
        <v/>
      </c>
      <c r="C107" s="56" t="inlineStr">
        <is>
          <t>마케팅2팀</t>
        </is>
      </c>
      <c r="D107" s="55">
        <f>IF($D$106="","",$D$106)</f>
        <v/>
      </c>
      <c r="E107" s="57" t="inlineStr">
        <is>
          <t>이미지</t>
        </is>
      </c>
      <c r="F107" s="44" t="n"/>
      <c r="G107" s="58">
        <f>IF($G$106="","",$G$106)</f>
        <v/>
      </c>
      <c r="H107" s="59" t="n"/>
      <c r="I107" s="59" t="n"/>
      <c r="J107" s="59" t="n"/>
      <c r="K107" s="59" t="n"/>
      <c r="L107" s="60">
        <f>IF(SUM(U107:AY107)=0,"",SUM(U107:AY107))</f>
        <v/>
      </c>
      <c r="M107" s="61">
        <f>IFERROR(INDEX(U$2:AY$2,MATCH(TRUE,INDEX(U107:AY107&lt;&gt;"",0),0)),"")</f>
        <v/>
      </c>
      <c r="N107" s="61">
        <f>IFERROR(LOOKUP(2,1/(U107:AY107&lt;&gt;""),U$2:AY$2),"")</f>
        <v/>
      </c>
      <c r="O107" s="59" t="n"/>
      <c r="P107" s="59" t="n"/>
      <c r="Q107" s="59" t="n"/>
      <c r="R107" s="59" t="n"/>
      <c r="S107" s="14" t="n"/>
      <c r="U107" s="53" t="n"/>
      <c r="V107" s="53" t="n"/>
      <c r="W107" s="53" t="n"/>
      <c r="X107" s="53" t="n"/>
      <c r="Y107" s="53" t="n"/>
      <c r="Z107" s="53" t="n"/>
      <c r="AA107" s="53" t="n"/>
      <c r="AB107" s="53" t="n"/>
      <c r="AC107" s="53" t="n"/>
      <c r="AD107" s="53" t="n"/>
      <c r="AE107" s="53" t="n"/>
      <c r="AF107" s="53" t="n"/>
      <c r="AG107" s="53" t="n"/>
      <c r="AH107" s="53" t="n"/>
      <c r="AI107" s="53" t="n"/>
      <c r="AJ107" s="53" t="n"/>
      <c r="AK107" s="53" t="n"/>
      <c r="AL107" s="53" t="n"/>
      <c r="AM107" s="53" t="n"/>
      <c r="AN107" s="53" t="n"/>
      <c r="AO107" s="53" t="n"/>
      <c r="AP107" s="53" t="n"/>
      <c r="AQ107" s="53" t="n"/>
      <c r="AR107" s="53" t="n"/>
      <c r="AS107" s="53" t="n"/>
      <c r="AT107" s="53" t="n"/>
      <c r="AU107" s="53" t="n"/>
      <c r="AV107" s="53" t="n"/>
      <c r="AW107" s="53" t="n"/>
      <c r="AX107" s="53" t="n"/>
      <c r="AY107" s="53" t="n"/>
    </row>
    <row r="108" ht="15" customHeight="1">
      <c r="A108" s="62" t="n"/>
      <c r="B108" s="55">
        <f>IF($B$106="","",$B$106)</f>
        <v/>
      </c>
      <c r="C108" s="63" t="inlineStr">
        <is>
          <t>마케팅2팀</t>
        </is>
      </c>
      <c r="D108" s="55">
        <f>IF($D$106="","",$D$106)</f>
        <v/>
      </c>
      <c r="E108" s="64" t="inlineStr">
        <is>
          <t>영상</t>
        </is>
      </c>
      <c r="F108" s="44" t="n"/>
      <c r="G108" s="58">
        <f>IF($G$106="","",$G$106)</f>
        <v/>
      </c>
      <c r="H108" s="59" t="n"/>
      <c r="I108" s="59" t="n"/>
      <c r="J108" s="59" t="n"/>
      <c r="K108" s="59" t="n"/>
      <c r="L108" s="65">
        <f>IF(SUM(U108:AY108)=0,"",SUM(U108:AY108))</f>
        <v/>
      </c>
      <c r="M108" s="66">
        <f>IFERROR(INDEX(U$2:AY$2,MATCH(TRUE,INDEX(U108:AY108&lt;&gt;"",0),0)),"")</f>
        <v/>
      </c>
      <c r="N108" s="66">
        <f>IFERROR(LOOKUP(2,1/(U108:AY108&lt;&gt;""),U$2:AY$2),"")</f>
        <v/>
      </c>
      <c r="O108" s="59" t="n"/>
      <c r="P108" s="59" t="n"/>
      <c r="Q108" s="59" t="n"/>
      <c r="R108" s="59" t="n"/>
      <c r="S108" s="14" t="n"/>
      <c r="U108" s="53" t="n"/>
      <c r="V108" s="53" t="n"/>
      <c r="W108" s="53" t="n"/>
      <c r="X108" s="53" t="n"/>
      <c r="Y108" s="53" t="n"/>
      <c r="Z108" s="53" t="n"/>
      <c r="AA108" s="53" t="n"/>
      <c r="AB108" s="53" t="n"/>
      <c r="AC108" s="53" t="n"/>
      <c r="AD108" s="53" t="n"/>
      <c r="AE108" s="53" t="n"/>
      <c r="AF108" s="53" t="n"/>
      <c r="AG108" s="53" t="n"/>
      <c r="AH108" s="53" t="n"/>
      <c r="AI108" s="53" t="n"/>
      <c r="AJ108" s="53" t="n"/>
      <c r="AK108" s="53" t="n"/>
      <c r="AL108" s="53" t="n"/>
      <c r="AM108" s="53" t="n"/>
      <c r="AN108" s="53" t="n"/>
      <c r="AO108" s="53" t="n"/>
      <c r="AP108" s="53" t="n"/>
      <c r="AQ108" s="53" t="n"/>
      <c r="AR108" s="53" t="n"/>
      <c r="AS108" s="53" t="n"/>
      <c r="AT108" s="53" t="n"/>
      <c r="AU108" s="53" t="n"/>
      <c r="AV108" s="53" t="n"/>
      <c r="AW108" s="53" t="n"/>
      <c r="AX108" s="53" t="n"/>
      <c r="AY108" s="53" t="n"/>
    </row>
    <row r="109" ht="15" customHeight="1">
      <c r="A109" s="40">
        <f>IF($D$109="","",34)</f>
        <v/>
      </c>
      <c r="B109" s="10" t="n"/>
      <c r="C109" s="41" t="inlineStr">
        <is>
          <t>마케팅2팀</t>
        </is>
      </c>
      <c r="D109" s="42" t="n"/>
      <c r="E109" s="43" t="inlineStr">
        <is>
          <t>기획</t>
        </is>
      </c>
      <c r="F109" s="44" t="n"/>
      <c r="G109" s="45" t="n"/>
      <c r="H109" s="46">
        <f>IF($I$109="","",IF($I$109&lt;0,"🔴지연",IF($I$109&lt;=1,"🟡임박","🟢여유")))</f>
        <v/>
      </c>
      <c r="I109" s="47">
        <f>IF(OR($G$109="",$K$109=""),"",$G$109-$K$109)</f>
        <v/>
      </c>
      <c r="J109" s="48">
        <f>IF(SUM($L$109:$L$111)=0,"",SUM($L$109:$L$111))</f>
        <v/>
      </c>
      <c r="K109" s="49">
        <f>IF($J$109="","",MAX($N$109:$N$111))</f>
        <v/>
      </c>
      <c r="L109" s="50">
        <f>IF(SUM(U109:AY109)=0,"",SUM(U109:AY109))</f>
        <v/>
      </c>
      <c r="M109" s="51">
        <f>IFERROR(INDEX(U$2:AY$2,MATCH(TRUE,INDEX(U109:AY109&lt;&gt;"",0),0)),"")</f>
        <v/>
      </c>
      <c r="N109" s="51">
        <f>IFERROR(LOOKUP(2,1/(U109:AY109&lt;&gt;""),U$2:AY$2),"")</f>
        <v/>
      </c>
      <c r="O109" s="52" t="n"/>
      <c r="P109" s="52" t="n"/>
      <c r="Q109" s="52" t="n"/>
      <c r="R109" s="44" t="n"/>
      <c r="S109" s="14" t="n"/>
      <c r="U109" s="53" t="n"/>
      <c r="V109" s="53" t="n"/>
      <c r="W109" s="53" t="n"/>
      <c r="X109" s="53" t="n"/>
      <c r="Y109" s="53" t="n"/>
      <c r="Z109" s="53" t="n"/>
      <c r="AA109" s="53" t="n"/>
      <c r="AB109" s="53" t="n"/>
      <c r="AC109" s="53" t="n"/>
      <c r="AD109" s="53" t="n"/>
      <c r="AE109" s="53" t="n"/>
      <c r="AF109" s="53" t="n"/>
      <c r="AG109" s="53" t="n"/>
      <c r="AH109" s="53" t="n"/>
      <c r="AI109" s="53" t="n"/>
      <c r="AJ109" s="53" t="n"/>
      <c r="AK109" s="53" t="n"/>
      <c r="AL109" s="53" t="n"/>
      <c r="AM109" s="53" t="n"/>
      <c r="AN109" s="53" t="n"/>
      <c r="AO109" s="53" t="n"/>
      <c r="AP109" s="53" t="n"/>
      <c r="AQ109" s="53" t="n"/>
      <c r="AR109" s="53" t="n"/>
      <c r="AS109" s="53" t="n"/>
      <c r="AT109" s="53" t="n"/>
      <c r="AU109" s="53" t="n"/>
      <c r="AV109" s="53" t="n"/>
      <c r="AW109" s="53" t="n"/>
      <c r="AX109" s="53" t="n"/>
      <c r="AY109" s="53" t="n"/>
    </row>
    <row r="110" ht="15" customHeight="1">
      <c r="A110" s="54" t="n"/>
      <c r="B110" s="55">
        <f>IF($B$109="","",$B$109)</f>
        <v/>
      </c>
      <c r="C110" s="56" t="inlineStr">
        <is>
          <t>마케팅2팀</t>
        </is>
      </c>
      <c r="D110" s="55">
        <f>IF($D$109="","",$D$109)</f>
        <v/>
      </c>
      <c r="E110" s="57" t="inlineStr">
        <is>
          <t>이미지</t>
        </is>
      </c>
      <c r="F110" s="44" t="n"/>
      <c r="G110" s="58">
        <f>IF($G$109="","",$G$109)</f>
        <v/>
      </c>
      <c r="H110" s="59" t="n"/>
      <c r="I110" s="59" t="n"/>
      <c r="J110" s="59" t="n"/>
      <c r="K110" s="59" t="n"/>
      <c r="L110" s="60">
        <f>IF(SUM(U110:AY110)=0,"",SUM(U110:AY110))</f>
        <v/>
      </c>
      <c r="M110" s="61">
        <f>IFERROR(INDEX(U$2:AY$2,MATCH(TRUE,INDEX(U110:AY110&lt;&gt;"",0),0)),"")</f>
        <v/>
      </c>
      <c r="N110" s="61">
        <f>IFERROR(LOOKUP(2,1/(U110:AY110&lt;&gt;""),U$2:AY$2),"")</f>
        <v/>
      </c>
      <c r="O110" s="59" t="n"/>
      <c r="P110" s="59" t="n"/>
      <c r="Q110" s="59" t="n"/>
      <c r="R110" s="59" t="n"/>
      <c r="S110" s="14" t="n"/>
      <c r="U110" s="53" t="n"/>
      <c r="V110" s="53" t="n"/>
      <c r="W110" s="53" t="n"/>
      <c r="X110" s="53" t="n"/>
      <c r="Y110" s="53" t="n"/>
      <c r="Z110" s="53" t="n"/>
      <c r="AA110" s="53" t="n"/>
      <c r="AB110" s="53" t="n"/>
      <c r="AC110" s="53" t="n"/>
      <c r="AD110" s="53" t="n"/>
      <c r="AE110" s="53" t="n"/>
      <c r="AF110" s="53" t="n"/>
      <c r="AG110" s="53" t="n"/>
      <c r="AH110" s="53" t="n"/>
      <c r="AI110" s="53" t="n"/>
      <c r="AJ110" s="53" t="n"/>
      <c r="AK110" s="53" t="n"/>
      <c r="AL110" s="53" t="n"/>
      <c r="AM110" s="53" t="n"/>
      <c r="AN110" s="53" t="n"/>
      <c r="AO110" s="53" t="n"/>
      <c r="AP110" s="53" t="n"/>
      <c r="AQ110" s="53" t="n"/>
      <c r="AR110" s="53" t="n"/>
      <c r="AS110" s="53" t="n"/>
      <c r="AT110" s="53" t="n"/>
      <c r="AU110" s="53" t="n"/>
      <c r="AV110" s="53" t="n"/>
      <c r="AW110" s="53" t="n"/>
      <c r="AX110" s="53" t="n"/>
      <c r="AY110" s="53" t="n"/>
    </row>
    <row r="111" ht="15" customHeight="1">
      <c r="A111" s="62" t="n"/>
      <c r="B111" s="55">
        <f>IF($B$109="","",$B$109)</f>
        <v/>
      </c>
      <c r="C111" s="63" t="inlineStr">
        <is>
          <t>마케팅2팀</t>
        </is>
      </c>
      <c r="D111" s="55">
        <f>IF($D$109="","",$D$109)</f>
        <v/>
      </c>
      <c r="E111" s="64" t="inlineStr">
        <is>
          <t>영상</t>
        </is>
      </c>
      <c r="F111" s="44" t="n"/>
      <c r="G111" s="58">
        <f>IF($G$109="","",$G$109)</f>
        <v/>
      </c>
      <c r="H111" s="59" t="n"/>
      <c r="I111" s="59" t="n"/>
      <c r="J111" s="59" t="n"/>
      <c r="K111" s="59" t="n"/>
      <c r="L111" s="65">
        <f>IF(SUM(U111:AY111)=0,"",SUM(U111:AY111))</f>
        <v/>
      </c>
      <c r="M111" s="66">
        <f>IFERROR(INDEX(U$2:AY$2,MATCH(TRUE,INDEX(U111:AY111&lt;&gt;"",0),0)),"")</f>
        <v/>
      </c>
      <c r="N111" s="66">
        <f>IFERROR(LOOKUP(2,1/(U111:AY111&lt;&gt;""),U$2:AY$2),"")</f>
        <v/>
      </c>
      <c r="O111" s="59" t="n"/>
      <c r="P111" s="59" t="n"/>
      <c r="Q111" s="59" t="n"/>
      <c r="R111" s="59" t="n"/>
      <c r="S111" s="14" t="n"/>
      <c r="U111" s="53" t="n"/>
      <c r="V111" s="53" t="n"/>
      <c r="W111" s="53" t="n"/>
      <c r="X111" s="53" t="n"/>
      <c r="Y111" s="53" t="n"/>
      <c r="Z111" s="53" t="n"/>
      <c r="AA111" s="53" t="n"/>
      <c r="AB111" s="53" t="n"/>
      <c r="AC111" s="53" t="n"/>
      <c r="AD111" s="53" t="n"/>
      <c r="AE111" s="53" t="n"/>
      <c r="AF111" s="53" t="n"/>
      <c r="AG111" s="53" t="n"/>
      <c r="AH111" s="53" t="n"/>
      <c r="AI111" s="53" t="n"/>
      <c r="AJ111" s="53" t="n"/>
      <c r="AK111" s="53" t="n"/>
      <c r="AL111" s="53" t="n"/>
      <c r="AM111" s="53" t="n"/>
      <c r="AN111" s="53" t="n"/>
      <c r="AO111" s="53" t="n"/>
      <c r="AP111" s="53" t="n"/>
      <c r="AQ111" s="53" t="n"/>
      <c r="AR111" s="53" t="n"/>
      <c r="AS111" s="53" t="n"/>
      <c r="AT111" s="53" t="n"/>
      <c r="AU111" s="53" t="n"/>
      <c r="AV111" s="53" t="n"/>
      <c r="AW111" s="53" t="n"/>
      <c r="AX111" s="53" t="n"/>
      <c r="AY111" s="53" t="n"/>
    </row>
    <row r="112" ht="15" customHeight="1">
      <c r="A112" s="40">
        <f>IF($D$112="","",35)</f>
        <v/>
      </c>
      <c r="B112" s="10" t="n"/>
      <c r="C112" s="41" t="inlineStr">
        <is>
          <t>마케팅2팀</t>
        </is>
      </c>
      <c r="D112" s="42" t="n"/>
      <c r="E112" s="43" t="inlineStr">
        <is>
          <t>기획</t>
        </is>
      </c>
      <c r="F112" s="44" t="n"/>
      <c r="G112" s="45" t="n"/>
      <c r="H112" s="46">
        <f>IF($I$112="","",IF($I$112&lt;0,"🔴지연",IF($I$112&lt;=1,"🟡임박","🟢여유")))</f>
        <v/>
      </c>
      <c r="I112" s="47">
        <f>IF(OR($G$112="",$K$112=""),"",$G$112-$K$112)</f>
        <v/>
      </c>
      <c r="J112" s="48">
        <f>IF(SUM($L$112:$L$114)=0,"",SUM($L$112:$L$114))</f>
        <v/>
      </c>
      <c r="K112" s="49">
        <f>IF($J$112="","",MAX($N$112:$N$114))</f>
        <v/>
      </c>
      <c r="L112" s="50">
        <f>IF(SUM(U112:AY112)=0,"",SUM(U112:AY112))</f>
        <v/>
      </c>
      <c r="M112" s="51">
        <f>IFERROR(INDEX(U$2:AY$2,MATCH(TRUE,INDEX(U112:AY112&lt;&gt;"",0),0)),"")</f>
        <v/>
      </c>
      <c r="N112" s="51">
        <f>IFERROR(LOOKUP(2,1/(U112:AY112&lt;&gt;""),U$2:AY$2),"")</f>
        <v/>
      </c>
      <c r="O112" s="52" t="n"/>
      <c r="P112" s="52" t="n"/>
      <c r="Q112" s="52" t="n"/>
      <c r="R112" s="44" t="n"/>
      <c r="S112" s="14" t="n"/>
      <c r="U112" s="53" t="n"/>
      <c r="V112" s="53" t="n"/>
      <c r="W112" s="53" t="n"/>
      <c r="X112" s="53" t="n"/>
      <c r="Y112" s="53" t="n"/>
      <c r="Z112" s="53" t="n"/>
      <c r="AA112" s="53" t="n"/>
      <c r="AB112" s="53" t="n"/>
      <c r="AC112" s="53" t="n"/>
      <c r="AD112" s="53" t="n"/>
      <c r="AE112" s="53" t="n"/>
      <c r="AF112" s="53" t="n"/>
      <c r="AG112" s="53" t="n"/>
      <c r="AH112" s="53" t="n"/>
      <c r="AI112" s="53" t="n"/>
      <c r="AJ112" s="53" t="n"/>
      <c r="AK112" s="53" t="n"/>
      <c r="AL112" s="53" t="n"/>
      <c r="AM112" s="53" t="n"/>
      <c r="AN112" s="53" t="n"/>
      <c r="AO112" s="53" t="n"/>
      <c r="AP112" s="53" t="n"/>
      <c r="AQ112" s="53" t="n"/>
      <c r="AR112" s="53" t="n"/>
      <c r="AS112" s="53" t="n"/>
      <c r="AT112" s="53" t="n"/>
      <c r="AU112" s="53" t="n"/>
      <c r="AV112" s="53" t="n"/>
      <c r="AW112" s="53" t="n"/>
      <c r="AX112" s="53" t="n"/>
      <c r="AY112" s="53" t="n"/>
    </row>
    <row r="113" ht="15" customHeight="1">
      <c r="A113" s="54" t="n"/>
      <c r="B113" s="55">
        <f>IF($B$112="","",$B$112)</f>
        <v/>
      </c>
      <c r="C113" s="56" t="inlineStr">
        <is>
          <t>마케팅2팀</t>
        </is>
      </c>
      <c r="D113" s="55">
        <f>IF($D$112="","",$D$112)</f>
        <v/>
      </c>
      <c r="E113" s="57" t="inlineStr">
        <is>
          <t>이미지</t>
        </is>
      </c>
      <c r="F113" s="44" t="n"/>
      <c r="G113" s="58">
        <f>IF($G$112="","",$G$112)</f>
        <v/>
      </c>
      <c r="H113" s="59" t="n"/>
      <c r="I113" s="59" t="n"/>
      <c r="J113" s="59" t="n"/>
      <c r="K113" s="59" t="n"/>
      <c r="L113" s="60">
        <f>IF(SUM(U113:AY113)=0,"",SUM(U113:AY113))</f>
        <v/>
      </c>
      <c r="M113" s="61">
        <f>IFERROR(INDEX(U$2:AY$2,MATCH(TRUE,INDEX(U113:AY113&lt;&gt;"",0),0)),"")</f>
        <v/>
      </c>
      <c r="N113" s="61">
        <f>IFERROR(LOOKUP(2,1/(U113:AY113&lt;&gt;""),U$2:AY$2),"")</f>
        <v/>
      </c>
      <c r="O113" s="59" t="n"/>
      <c r="P113" s="59" t="n"/>
      <c r="Q113" s="59" t="n"/>
      <c r="R113" s="59" t="n"/>
      <c r="S113" s="14" t="n"/>
      <c r="U113" s="53" t="n"/>
      <c r="V113" s="53" t="n"/>
      <c r="W113" s="53" t="n"/>
      <c r="X113" s="53" t="n"/>
      <c r="Y113" s="53" t="n"/>
      <c r="Z113" s="53" t="n"/>
      <c r="AA113" s="53" t="n"/>
      <c r="AB113" s="53" t="n"/>
      <c r="AC113" s="53" t="n"/>
      <c r="AD113" s="53" t="n"/>
      <c r="AE113" s="53" t="n"/>
      <c r="AF113" s="53" t="n"/>
      <c r="AG113" s="53" t="n"/>
      <c r="AH113" s="53" t="n"/>
      <c r="AI113" s="53" t="n"/>
      <c r="AJ113" s="53" t="n"/>
      <c r="AK113" s="53" t="n"/>
      <c r="AL113" s="53" t="n"/>
      <c r="AM113" s="53" t="n"/>
      <c r="AN113" s="53" t="n"/>
      <c r="AO113" s="53" t="n"/>
      <c r="AP113" s="53" t="n"/>
      <c r="AQ113" s="53" t="n"/>
      <c r="AR113" s="53" t="n"/>
      <c r="AS113" s="53" t="n"/>
      <c r="AT113" s="53" t="n"/>
      <c r="AU113" s="53" t="n"/>
      <c r="AV113" s="53" t="n"/>
      <c r="AW113" s="53" t="n"/>
      <c r="AX113" s="53" t="n"/>
      <c r="AY113" s="53" t="n"/>
    </row>
    <row r="114" ht="15" customHeight="1">
      <c r="A114" s="62" t="n"/>
      <c r="B114" s="55">
        <f>IF($B$112="","",$B$112)</f>
        <v/>
      </c>
      <c r="C114" s="63" t="inlineStr">
        <is>
          <t>마케팅2팀</t>
        </is>
      </c>
      <c r="D114" s="55">
        <f>IF($D$112="","",$D$112)</f>
        <v/>
      </c>
      <c r="E114" s="64" t="inlineStr">
        <is>
          <t>영상</t>
        </is>
      </c>
      <c r="F114" s="44" t="n"/>
      <c r="G114" s="58">
        <f>IF($G$112="","",$G$112)</f>
        <v/>
      </c>
      <c r="H114" s="59" t="n"/>
      <c r="I114" s="59" t="n"/>
      <c r="J114" s="59" t="n"/>
      <c r="K114" s="59" t="n"/>
      <c r="L114" s="65">
        <f>IF(SUM(U114:AY114)=0,"",SUM(U114:AY114))</f>
        <v/>
      </c>
      <c r="M114" s="66">
        <f>IFERROR(INDEX(U$2:AY$2,MATCH(TRUE,INDEX(U114:AY114&lt;&gt;"",0),0)),"")</f>
        <v/>
      </c>
      <c r="N114" s="66">
        <f>IFERROR(LOOKUP(2,1/(U114:AY114&lt;&gt;""),U$2:AY$2),"")</f>
        <v/>
      </c>
      <c r="O114" s="59" t="n"/>
      <c r="P114" s="59" t="n"/>
      <c r="Q114" s="59" t="n"/>
      <c r="R114" s="59" t="n"/>
      <c r="S114" s="14" t="n"/>
      <c r="U114" s="53" t="n"/>
      <c r="V114" s="53" t="n"/>
      <c r="W114" s="53" t="n"/>
      <c r="X114" s="53" t="n"/>
      <c r="Y114" s="53" t="n"/>
      <c r="Z114" s="53" t="n"/>
      <c r="AA114" s="53" t="n"/>
      <c r="AB114" s="53" t="n"/>
      <c r="AC114" s="53" t="n"/>
      <c r="AD114" s="53" t="n"/>
      <c r="AE114" s="53" t="n"/>
      <c r="AF114" s="53" t="n"/>
      <c r="AG114" s="53" t="n"/>
      <c r="AH114" s="53" t="n"/>
      <c r="AI114" s="53" t="n"/>
      <c r="AJ114" s="53" t="n"/>
      <c r="AK114" s="53" t="n"/>
      <c r="AL114" s="53" t="n"/>
      <c r="AM114" s="53" t="n"/>
      <c r="AN114" s="53" t="n"/>
      <c r="AO114" s="53" t="n"/>
      <c r="AP114" s="53" t="n"/>
      <c r="AQ114" s="53" t="n"/>
      <c r="AR114" s="53" t="n"/>
      <c r="AS114" s="53" t="n"/>
      <c r="AT114" s="53" t="n"/>
      <c r="AU114" s="53" t="n"/>
      <c r="AV114" s="53" t="n"/>
      <c r="AW114" s="53" t="n"/>
      <c r="AX114" s="53" t="n"/>
      <c r="AY114" s="53" t="n"/>
    </row>
    <row r="115" ht="15" customHeight="1">
      <c r="A115" s="40">
        <f>IF($D$115="","",36)</f>
        <v/>
      </c>
      <c r="B115" s="10" t="n"/>
      <c r="C115" s="41" t="inlineStr">
        <is>
          <t>마케팅2팀</t>
        </is>
      </c>
      <c r="D115" s="42" t="n"/>
      <c r="E115" s="43" t="inlineStr">
        <is>
          <t>기획</t>
        </is>
      </c>
      <c r="F115" s="44" t="n"/>
      <c r="G115" s="45" t="n"/>
      <c r="H115" s="46">
        <f>IF($I$115="","",IF($I$115&lt;0,"🔴지연",IF($I$115&lt;=1,"🟡임박","🟢여유")))</f>
        <v/>
      </c>
      <c r="I115" s="47">
        <f>IF(OR($G$115="",$K$115=""),"",$G$115-$K$115)</f>
        <v/>
      </c>
      <c r="J115" s="48">
        <f>IF(SUM($L$115:$L$117)=0,"",SUM($L$115:$L$117))</f>
        <v/>
      </c>
      <c r="K115" s="49">
        <f>IF($J$115="","",MAX($N$115:$N$117))</f>
        <v/>
      </c>
      <c r="L115" s="50">
        <f>IF(SUM(U115:AY115)=0,"",SUM(U115:AY115))</f>
        <v/>
      </c>
      <c r="M115" s="51">
        <f>IFERROR(INDEX(U$2:AY$2,MATCH(TRUE,INDEX(U115:AY115&lt;&gt;"",0),0)),"")</f>
        <v/>
      </c>
      <c r="N115" s="51">
        <f>IFERROR(LOOKUP(2,1/(U115:AY115&lt;&gt;""),U$2:AY$2),"")</f>
        <v/>
      </c>
      <c r="O115" s="52" t="n"/>
      <c r="P115" s="52" t="n"/>
      <c r="Q115" s="52" t="n"/>
      <c r="R115" s="44" t="n"/>
      <c r="S115" s="14" t="n"/>
      <c r="U115" s="53" t="n"/>
      <c r="V115" s="53" t="n"/>
      <c r="W115" s="53" t="n"/>
      <c r="X115" s="53" t="n"/>
      <c r="Y115" s="53" t="n"/>
      <c r="Z115" s="53" t="n"/>
      <c r="AA115" s="53" t="n"/>
      <c r="AB115" s="53" t="n"/>
      <c r="AC115" s="53" t="n"/>
      <c r="AD115" s="53" t="n"/>
      <c r="AE115" s="53" t="n"/>
      <c r="AF115" s="53" t="n"/>
      <c r="AG115" s="53" t="n"/>
      <c r="AH115" s="53" t="n"/>
      <c r="AI115" s="53" t="n"/>
      <c r="AJ115" s="53" t="n"/>
      <c r="AK115" s="53" t="n"/>
      <c r="AL115" s="53" t="n"/>
      <c r="AM115" s="53" t="n"/>
      <c r="AN115" s="53" t="n"/>
      <c r="AO115" s="53" t="n"/>
      <c r="AP115" s="53" t="n"/>
      <c r="AQ115" s="53" t="n"/>
      <c r="AR115" s="53" t="n"/>
      <c r="AS115" s="53" t="n"/>
      <c r="AT115" s="53" t="n"/>
      <c r="AU115" s="53" t="n"/>
      <c r="AV115" s="53" t="n"/>
      <c r="AW115" s="53" t="n"/>
      <c r="AX115" s="53" t="n"/>
      <c r="AY115" s="53" t="n"/>
    </row>
    <row r="116" ht="15" customHeight="1">
      <c r="A116" s="54" t="n"/>
      <c r="B116" s="55">
        <f>IF($B$115="","",$B$115)</f>
        <v/>
      </c>
      <c r="C116" s="56" t="inlineStr">
        <is>
          <t>마케팅2팀</t>
        </is>
      </c>
      <c r="D116" s="55">
        <f>IF($D$115="","",$D$115)</f>
        <v/>
      </c>
      <c r="E116" s="57" t="inlineStr">
        <is>
          <t>이미지</t>
        </is>
      </c>
      <c r="F116" s="44" t="n"/>
      <c r="G116" s="58">
        <f>IF($G$115="","",$G$115)</f>
        <v/>
      </c>
      <c r="H116" s="59" t="n"/>
      <c r="I116" s="59" t="n"/>
      <c r="J116" s="59" t="n"/>
      <c r="K116" s="59" t="n"/>
      <c r="L116" s="60">
        <f>IF(SUM(U116:AY116)=0,"",SUM(U116:AY116))</f>
        <v/>
      </c>
      <c r="M116" s="61">
        <f>IFERROR(INDEX(U$2:AY$2,MATCH(TRUE,INDEX(U116:AY116&lt;&gt;"",0),0)),"")</f>
        <v/>
      </c>
      <c r="N116" s="61">
        <f>IFERROR(LOOKUP(2,1/(U116:AY116&lt;&gt;""),U$2:AY$2),"")</f>
        <v/>
      </c>
      <c r="O116" s="59" t="n"/>
      <c r="P116" s="59" t="n"/>
      <c r="Q116" s="59" t="n"/>
      <c r="R116" s="59" t="n"/>
      <c r="S116" s="14" t="n"/>
      <c r="U116" s="53" t="n"/>
      <c r="V116" s="53" t="n"/>
      <c r="W116" s="53" t="n"/>
      <c r="X116" s="53" t="n"/>
      <c r="Y116" s="53" t="n"/>
      <c r="Z116" s="53" t="n"/>
      <c r="AA116" s="53" t="n"/>
      <c r="AB116" s="53" t="n"/>
      <c r="AC116" s="53" t="n"/>
      <c r="AD116" s="53" t="n"/>
      <c r="AE116" s="53" t="n"/>
      <c r="AF116" s="53" t="n"/>
      <c r="AG116" s="53" t="n"/>
      <c r="AH116" s="53" t="n"/>
      <c r="AI116" s="53" t="n"/>
      <c r="AJ116" s="53" t="n"/>
      <c r="AK116" s="53" t="n"/>
      <c r="AL116" s="53" t="n"/>
      <c r="AM116" s="53" t="n"/>
      <c r="AN116" s="53" t="n"/>
      <c r="AO116" s="53" t="n"/>
      <c r="AP116" s="53" t="n"/>
      <c r="AQ116" s="53" t="n"/>
      <c r="AR116" s="53" t="n"/>
      <c r="AS116" s="53" t="n"/>
      <c r="AT116" s="53" t="n"/>
      <c r="AU116" s="53" t="n"/>
      <c r="AV116" s="53" t="n"/>
      <c r="AW116" s="53" t="n"/>
      <c r="AX116" s="53" t="n"/>
      <c r="AY116" s="53" t="n"/>
    </row>
    <row r="117" ht="15" customHeight="1">
      <c r="A117" s="62" t="n"/>
      <c r="B117" s="55">
        <f>IF($B$115="","",$B$115)</f>
        <v/>
      </c>
      <c r="C117" s="63" t="inlineStr">
        <is>
          <t>마케팅2팀</t>
        </is>
      </c>
      <c r="D117" s="55">
        <f>IF($D$115="","",$D$115)</f>
        <v/>
      </c>
      <c r="E117" s="64" t="inlineStr">
        <is>
          <t>영상</t>
        </is>
      </c>
      <c r="F117" s="44" t="n"/>
      <c r="G117" s="58">
        <f>IF($G$115="","",$G$115)</f>
        <v/>
      </c>
      <c r="H117" s="59" t="n"/>
      <c r="I117" s="59" t="n"/>
      <c r="J117" s="59" t="n"/>
      <c r="K117" s="59" t="n"/>
      <c r="L117" s="65">
        <f>IF(SUM(U117:AY117)=0,"",SUM(U117:AY117))</f>
        <v/>
      </c>
      <c r="M117" s="66">
        <f>IFERROR(INDEX(U$2:AY$2,MATCH(TRUE,INDEX(U117:AY117&lt;&gt;"",0),0)),"")</f>
        <v/>
      </c>
      <c r="N117" s="66">
        <f>IFERROR(LOOKUP(2,1/(U117:AY117&lt;&gt;""),U$2:AY$2),"")</f>
        <v/>
      </c>
      <c r="O117" s="59" t="n"/>
      <c r="P117" s="59" t="n"/>
      <c r="Q117" s="59" t="n"/>
      <c r="R117" s="59" t="n"/>
      <c r="S117" s="14" t="n"/>
      <c r="U117" s="53" t="n"/>
      <c r="V117" s="53" t="n"/>
      <c r="W117" s="53" t="n"/>
      <c r="X117" s="53" t="n"/>
      <c r="Y117" s="53" t="n"/>
      <c r="Z117" s="53" t="n"/>
      <c r="AA117" s="53" t="n"/>
      <c r="AB117" s="53" t="n"/>
      <c r="AC117" s="53" t="n"/>
      <c r="AD117" s="53" t="n"/>
      <c r="AE117" s="53" t="n"/>
      <c r="AF117" s="53" t="n"/>
      <c r="AG117" s="53" t="n"/>
      <c r="AH117" s="53" t="n"/>
      <c r="AI117" s="53" t="n"/>
      <c r="AJ117" s="53" t="n"/>
      <c r="AK117" s="53" t="n"/>
      <c r="AL117" s="53" t="n"/>
      <c r="AM117" s="53" t="n"/>
      <c r="AN117" s="53" t="n"/>
      <c r="AO117" s="53" t="n"/>
      <c r="AP117" s="53" t="n"/>
      <c r="AQ117" s="53" t="n"/>
      <c r="AR117" s="53" t="n"/>
      <c r="AS117" s="53" t="n"/>
      <c r="AT117" s="53" t="n"/>
      <c r="AU117" s="53" t="n"/>
      <c r="AV117" s="53" t="n"/>
      <c r="AW117" s="53" t="n"/>
      <c r="AX117" s="53" t="n"/>
      <c r="AY117" s="53" t="n"/>
    </row>
    <row r="118" ht="15" customHeight="1">
      <c r="A118" s="40">
        <f>IF($D$118="","",37)</f>
        <v/>
      </c>
      <c r="B118" s="10" t="n"/>
      <c r="C118" s="41" t="inlineStr">
        <is>
          <t>마케팅2팀</t>
        </is>
      </c>
      <c r="D118" s="42" t="n"/>
      <c r="E118" s="43" t="inlineStr">
        <is>
          <t>기획</t>
        </is>
      </c>
      <c r="F118" s="44" t="n"/>
      <c r="G118" s="45" t="n"/>
      <c r="H118" s="46">
        <f>IF($I$118="","",IF($I$118&lt;0,"🔴지연",IF($I$118&lt;=1,"🟡임박","🟢여유")))</f>
        <v/>
      </c>
      <c r="I118" s="47">
        <f>IF(OR($G$118="",$K$118=""),"",$G$118-$K$118)</f>
        <v/>
      </c>
      <c r="J118" s="48">
        <f>IF(SUM($L$118:$L$120)=0,"",SUM($L$118:$L$120))</f>
        <v/>
      </c>
      <c r="K118" s="49">
        <f>IF($J$118="","",MAX($N$118:$N$120))</f>
        <v/>
      </c>
      <c r="L118" s="50">
        <f>IF(SUM(U118:AY118)=0,"",SUM(U118:AY118))</f>
        <v/>
      </c>
      <c r="M118" s="51">
        <f>IFERROR(INDEX(U$2:AY$2,MATCH(TRUE,INDEX(U118:AY118&lt;&gt;"",0),0)),"")</f>
        <v/>
      </c>
      <c r="N118" s="51">
        <f>IFERROR(LOOKUP(2,1/(U118:AY118&lt;&gt;""),U$2:AY$2),"")</f>
        <v/>
      </c>
      <c r="O118" s="52" t="n"/>
      <c r="P118" s="52" t="n"/>
      <c r="Q118" s="52" t="n"/>
      <c r="R118" s="44" t="n"/>
      <c r="S118" s="14" t="n"/>
      <c r="U118" s="53" t="n"/>
      <c r="V118" s="53" t="n"/>
      <c r="W118" s="53" t="n"/>
      <c r="X118" s="53" t="n"/>
      <c r="Y118" s="53" t="n"/>
      <c r="Z118" s="53" t="n"/>
      <c r="AA118" s="53" t="n"/>
      <c r="AB118" s="53" t="n"/>
      <c r="AC118" s="53" t="n"/>
      <c r="AD118" s="53" t="n"/>
      <c r="AE118" s="53" t="n"/>
      <c r="AF118" s="53" t="n"/>
      <c r="AG118" s="53" t="n"/>
      <c r="AH118" s="53" t="n"/>
      <c r="AI118" s="53" t="n"/>
      <c r="AJ118" s="53" t="n"/>
      <c r="AK118" s="53" t="n"/>
      <c r="AL118" s="53" t="n"/>
      <c r="AM118" s="53" t="n"/>
      <c r="AN118" s="53" t="n"/>
      <c r="AO118" s="53" t="n"/>
      <c r="AP118" s="53" t="n"/>
      <c r="AQ118" s="53" t="n"/>
      <c r="AR118" s="53" t="n"/>
      <c r="AS118" s="53" t="n"/>
      <c r="AT118" s="53" t="n"/>
      <c r="AU118" s="53" t="n"/>
      <c r="AV118" s="53" t="n"/>
      <c r="AW118" s="53" t="n"/>
      <c r="AX118" s="53" t="n"/>
      <c r="AY118" s="53" t="n"/>
    </row>
    <row r="119" ht="15" customHeight="1">
      <c r="A119" s="54" t="n"/>
      <c r="B119" s="55">
        <f>IF($B$118="","",$B$118)</f>
        <v/>
      </c>
      <c r="C119" s="56" t="inlineStr">
        <is>
          <t>마케팅2팀</t>
        </is>
      </c>
      <c r="D119" s="55">
        <f>IF($D$118="","",$D$118)</f>
        <v/>
      </c>
      <c r="E119" s="57" t="inlineStr">
        <is>
          <t>이미지</t>
        </is>
      </c>
      <c r="F119" s="44" t="n"/>
      <c r="G119" s="58">
        <f>IF($G$118="","",$G$118)</f>
        <v/>
      </c>
      <c r="H119" s="59" t="n"/>
      <c r="I119" s="59" t="n"/>
      <c r="J119" s="59" t="n"/>
      <c r="K119" s="59" t="n"/>
      <c r="L119" s="60">
        <f>IF(SUM(U119:AY119)=0,"",SUM(U119:AY119))</f>
        <v/>
      </c>
      <c r="M119" s="61">
        <f>IFERROR(INDEX(U$2:AY$2,MATCH(TRUE,INDEX(U119:AY119&lt;&gt;"",0),0)),"")</f>
        <v/>
      </c>
      <c r="N119" s="61">
        <f>IFERROR(LOOKUP(2,1/(U119:AY119&lt;&gt;""),U$2:AY$2),"")</f>
        <v/>
      </c>
      <c r="O119" s="59" t="n"/>
      <c r="P119" s="59" t="n"/>
      <c r="Q119" s="59" t="n"/>
      <c r="R119" s="59" t="n"/>
      <c r="S119" s="14" t="n"/>
      <c r="U119" s="53" t="n"/>
      <c r="V119" s="53" t="n"/>
      <c r="W119" s="53" t="n"/>
      <c r="X119" s="53" t="n"/>
      <c r="Y119" s="53" t="n"/>
      <c r="Z119" s="53" t="n"/>
      <c r="AA119" s="53" t="n"/>
      <c r="AB119" s="53" t="n"/>
      <c r="AC119" s="53" t="n"/>
      <c r="AD119" s="53" t="n"/>
      <c r="AE119" s="53" t="n"/>
      <c r="AF119" s="53" t="n"/>
      <c r="AG119" s="53" t="n"/>
      <c r="AH119" s="53" t="n"/>
      <c r="AI119" s="53" t="n"/>
      <c r="AJ119" s="53" t="n"/>
      <c r="AK119" s="53" t="n"/>
      <c r="AL119" s="53" t="n"/>
      <c r="AM119" s="53" t="n"/>
      <c r="AN119" s="53" t="n"/>
      <c r="AO119" s="53" t="n"/>
      <c r="AP119" s="53" t="n"/>
      <c r="AQ119" s="53" t="n"/>
      <c r="AR119" s="53" t="n"/>
      <c r="AS119" s="53" t="n"/>
      <c r="AT119" s="53" t="n"/>
      <c r="AU119" s="53" t="n"/>
      <c r="AV119" s="53" t="n"/>
      <c r="AW119" s="53" t="n"/>
      <c r="AX119" s="53" t="n"/>
      <c r="AY119" s="53" t="n"/>
    </row>
    <row r="120" ht="15" customHeight="1">
      <c r="A120" s="62" t="n"/>
      <c r="B120" s="55">
        <f>IF($B$118="","",$B$118)</f>
        <v/>
      </c>
      <c r="C120" s="63" t="inlineStr">
        <is>
          <t>마케팅2팀</t>
        </is>
      </c>
      <c r="D120" s="55">
        <f>IF($D$118="","",$D$118)</f>
        <v/>
      </c>
      <c r="E120" s="64" t="inlineStr">
        <is>
          <t>영상</t>
        </is>
      </c>
      <c r="F120" s="44" t="n"/>
      <c r="G120" s="58">
        <f>IF($G$118="","",$G$118)</f>
        <v/>
      </c>
      <c r="H120" s="59" t="n"/>
      <c r="I120" s="59" t="n"/>
      <c r="J120" s="59" t="n"/>
      <c r="K120" s="59" t="n"/>
      <c r="L120" s="65">
        <f>IF(SUM(U120:AY120)=0,"",SUM(U120:AY120))</f>
        <v/>
      </c>
      <c r="M120" s="66">
        <f>IFERROR(INDEX(U$2:AY$2,MATCH(TRUE,INDEX(U120:AY120&lt;&gt;"",0),0)),"")</f>
        <v/>
      </c>
      <c r="N120" s="66">
        <f>IFERROR(LOOKUP(2,1/(U120:AY120&lt;&gt;""),U$2:AY$2),"")</f>
        <v/>
      </c>
      <c r="O120" s="59" t="n"/>
      <c r="P120" s="59" t="n"/>
      <c r="Q120" s="59" t="n"/>
      <c r="R120" s="59" t="n"/>
      <c r="S120" s="14" t="n"/>
      <c r="U120" s="53" t="n"/>
      <c r="V120" s="53" t="n"/>
      <c r="W120" s="53" t="n"/>
      <c r="X120" s="53" t="n"/>
      <c r="Y120" s="53" t="n"/>
      <c r="Z120" s="53" t="n"/>
      <c r="AA120" s="53" t="n"/>
      <c r="AB120" s="53" t="n"/>
      <c r="AC120" s="53" t="n"/>
      <c r="AD120" s="53" t="n"/>
      <c r="AE120" s="53" t="n"/>
      <c r="AF120" s="53" t="n"/>
      <c r="AG120" s="53" t="n"/>
      <c r="AH120" s="53" t="n"/>
      <c r="AI120" s="53" t="n"/>
      <c r="AJ120" s="53" t="n"/>
      <c r="AK120" s="53" t="n"/>
      <c r="AL120" s="53" t="n"/>
      <c r="AM120" s="53" t="n"/>
      <c r="AN120" s="53" t="n"/>
      <c r="AO120" s="53" t="n"/>
      <c r="AP120" s="53" t="n"/>
      <c r="AQ120" s="53" t="n"/>
      <c r="AR120" s="53" t="n"/>
      <c r="AS120" s="53" t="n"/>
      <c r="AT120" s="53" t="n"/>
      <c r="AU120" s="53" t="n"/>
      <c r="AV120" s="53" t="n"/>
      <c r="AW120" s="53" t="n"/>
      <c r="AX120" s="53" t="n"/>
      <c r="AY120" s="53" t="n"/>
    </row>
    <row r="121" ht="15" customHeight="1">
      <c r="A121" s="40">
        <f>IF($D$121="","",38)</f>
        <v/>
      </c>
      <c r="B121" s="10" t="n"/>
      <c r="C121" s="41" t="inlineStr">
        <is>
          <t>마케팅2팀</t>
        </is>
      </c>
      <c r="D121" s="42" t="n"/>
      <c r="E121" s="43" t="inlineStr">
        <is>
          <t>기획</t>
        </is>
      </c>
      <c r="F121" s="44" t="n"/>
      <c r="G121" s="45" t="n"/>
      <c r="H121" s="46">
        <f>IF($I$121="","",IF($I$121&lt;0,"🔴지연",IF($I$121&lt;=1,"🟡임박","🟢여유")))</f>
        <v/>
      </c>
      <c r="I121" s="47">
        <f>IF(OR($G$121="",$K$121=""),"",$G$121-$K$121)</f>
        <v/>
      </c>
      <c r="J121" s="48">
        <f>IF(SUM($L$121:$L$123)=0,"",SUM($L$121:$L$123))</f>
        <v/>
      </c>
      <c r="K121" s="49">
        <f>IF($J$121="","",MAX($N$121:$N$123))</f>
        <v/>
      </c>
      <c r="L121" s="50">
        <f>IF(SUM(U121:AY121)=0,"",SUM(U121:AY121))</f>
        <v/>
      </c>
      <c r="M121" s="51">
        <f>IFERROR(INDEX(U$2:AY$2,MATCH(TRUE,INDEX(U121:AY121&lt;&gt;"",0),0)),"")</f>
        <v/>
      </c>
      <c r="N121" s="51">
        <f>IFERROR(LOOKUP(2,1/(U121:AY121&lt;&gt;""),U$2:AY$2),"")</f>
        <v/>
      </c>
      <c r="O121" s="52" t="n"/>
      <c r="P121" s="52" t="n"/>
      <c r="Q121" s="52" t="n"/>
      <c r="R121" s="44" t="n"/>
      <c r="S121" s="14" t="n"/>
      <c r="U121" s="53" t="n"/>
      <c r="V121" s="53" t="n"/>
      <c r="W121" s="53" t="n"/>
      <c r="X121" s="53" t="n"/>
      <c r="Y121" s="53" t="n"/>
      <c r="Z121" s="53" t="n"/>
      <c r="AA121" s="53" t="n"/>
      <c r="AB121" s="53" t="n"/>
      <c r="AC121" s="53" t="n"/>
      <c r="AD121" s="53" t="n"/>
      <c r="AE121" s="53" t="n"/>
      <c r="AF121" s="53" t="n"/>
      <c r="AG121" s="53" t="n"/>
      <c r="AH121" s="53" t="n"/>
      <c r="AI121" s="53" t="n"/>
      <c r="AJ121" s="53" t="n"/>
      <c r="AK121" s="53" t="n"/>
      <c r="AL121" s="53" t="n"/>
      <c r="AM121" s="53" t="n"/>
      <c r="AN121" s="53" t="n"/>
      <c r="AO121" s="53" t="n"/>
      <c r="AP121" s="53" t="n"/>
      <c r="AQ121" s="53" t="n"/>
      <c r="AR121" s="53" t="n"/>
      <c r="AS121" s="53" t="n"/>
      <c r="AT121" s="53" t="n"/>
      <c r="AU121" s="53" t="n"/>
      <c r="AV121" s="53" t="n"/>
      <c r="AW121" s="53" t="n"/>
      <c r="AX121" s="53" t="n"/>
      <c r="AY121" s="53" t="n"/>
    </row>
    <row r="122" ht="15" customHeight="1">
      <c r="A122" s="54" t="n"/>
      <c r="B122" s="55">
        <f>IF($B$121="","",$B$121)</f>
        <v/>
      </c>
      <c r="C122" s="56" t="inlineStr">
        <is>
          <t>마케팅2팀</t>
        </is>
      </c>
      <c r="D122" s="55">
        <f>IF($D$121="","",$D$121)</f>
        <v/>
      </c>
      <c r="E122" s="57" t="inlineStr">
        <is>
          <t>이미지</t>
        </is>
      </c>
      <c r="F122" s="44" t="n"/>
      <c r="G122" s="58">
        <f>IF($G$121="","",$G$121)</f>
        <v/>
      </c>
      <c r="H122" s="59" t="n"/>
      <c r="I122" s="59" t="n"/>
      <c r="J122" s="59" t="n"/>
      <c r="K122" s="59" t="n"/>
      <c r="L122" s="60">
        <f>IF(SUM(U122:AY122)=0,"",SUM(U122:AY122))</f>
        <v/>
      </c>
      <c r="M122" s="61">
        <f>IFERROR(INDEX(U$2:AY$2,MATCH(TRUE,INDEX(U122:AY122&lt;&gt;"",0),0)),"")</f>
        <v/>
      </c>
      <c r="N122" s="61">
        <f>IFERROR(LOOKUP(2,1/(U122:AY122&lt;&gt;""),U$2:AY$2),"")</f>
        <v/>
      </c>
      <c r="O122" s="59" t="n"/>
      <c r="P122" s="59" t="n"/>
      <c r="Q122" s="59" t="n"/>
      <c r="R122" s="59" t="n"/>
      <c r="S122" s="14" t="n"/>
      <c r="U122" s="53" t="n"/>
      <c r="V122" s="53" t="n"/>
      <c r="W122" s="53" t="n"/>
      <c r="X122" s="53" t="n"/>
      <c r="Y122" s="53" t="n"/>
      <c r="Z122" s="53" t="n"/>
      <c r="AA122" s="53" t="n"/>
      <c r="AB122" s="53" t="n"/>
      <c r="AC122" s="53" t="n"/>
      <c r="AD122" s="53" t="n"/>
      <c r="AE122" s="53" t="n"/>
      <c r="AF122" s="53" t="n"/>
      <c r="AG122" s="53" t="n"/>
      <c r="AH122" s="53" t="n"/>
      <c r="AI122" s="53" t="n"/>
      <c r="AJ122" s="53" t="n"/>
      <c r="AK122" s="53" t="n"/>
      <c r="AL122" s="53" t="n"/>
      <c r="AM122" s="53" t="n"/>
      <c r="AN122" s="53" t="n"/>
      <c r="AO122" s="53" t="n"/>
      <c r="AP122" s="53" t="n"/>
      <c r="AQ122" s="53" t="n"/>
      <c r="AR122" s="53" t="n"/>
      <c r="AS122" s="53" t="n"/>
      <c r="AT122" s="53" t="n"/>
      <c r="AU122" s="53" t="n"/>
      <c r="AV122" s="53" t="n"/>
      <c r="AW122" s="53" t="n"/>
      <c r="AX122" s="53" t="n"/>
      <c r="AY122" s="53" t="n"/>
    </row>
    <row r="123" ht="15" customHeight="1">
      <c r="A123" s="62" t="n"/>
      <c r="B123" s="55">
        <f>IF($B$121="","",$B$121)</f>
        <v/>
      </c>
      <c r="C123" s="63" t="inlineStr">
        <is>
          <t>마케팅2팀</t>
        </is>
      </c>
      <c r="D123" s="55">
        <f>IF($D$121="","",$D$121)</f>
        <v/>
      </c>
      <c r="E123" s="64" t="inlineStr">
        <is>
          <t>영상</t>
        </is>
      </c>
      <c r="F123" s="44" t="n"/>
      <c r="G123" s="58">
        <f>IF($G$121="","",$G$121)</f>
        <v/>
      </c>
      <c r="H123" s="59" t="n"/>
      <c r="I123" s="59" t="n"/>
      <c r="J123" s="59" t="n"/>
      <c r="K123" s="59" t="n"/>
      <c r="L123" s="65">
        <f>IF(SUM(U123:AY123)=0,"",SUM(U123:AY123))</f>
        <v/>
      </c>
      <c r="M123" s="66">
        <f>IFERROR(INDEX(U$2:AY$2,MATCH(TRUE,INDEX(U123:AY123&lt;&gt;"",0),0)),"")</f>
        <v/>
      </c>
      <c r="N123" s="66">
        <f>IFERROR(LOOKUP(2,1/(U123:AY123&lt;&gt;""),U$2:AY$2),"")</f>
        <v/>
      </c>
      <c r="O123" s="59" t="n"/>
      <c r="P123" s="59" t="n"/>
      <c r="Q123" s="59" t="n"/>
      <c r="R123" s="59" t="n"/>
      <c r="S123" s="14" t="n"/>
      <c r="U123" s="53" t="n"/>
      <c r="V123" s="53" t="n"/>
      <c r="W123" s="53" t="n"/>
      <c r="X123" s="53" t="n"/>
      <c r="Y123" s="53" t="n"/>
      <c r="Z123" s="53" t="n"/>
      <c r="AA123" s="53" t="n"/>
      <c r="AB123" s="53" t="n"/>
      <c r="AC123" s="53" t="n"/>
      <c r="AD123" s="53" t="n"/>
      <c r="AE123" s="53" t="n"/>
      <c r="AF123" s="53" t="n"/>
      <c r="AG123" s="53" t="n"/>
      <c r="AH123" s="53" t="n"/>
      <c r="AI123" s="53" t="n"/>
      <c r="AJ123" s="53" t="n"/>
      <c r="AK123" s="53" t="n"/>
      <c r="AL123" s="53" t="n"/>
      <c r="AM123" s="53" t="n"/>
      <c r="AN123" s="53" t="n"/>
      <c r="AO123" s="53" t="n"/>
      <c r="AP123" s="53" t="n"/>
      <c r="AQ123" s="53" t="n"/>
      <c r="AR123" s="53" t="n"/>
      <c r="AS123" s="53" t="n"/>
      <c r="AT123" s="53" t="n"/>
      <c r="AU123" s="53" t="n"/>
      <c r="AV123" s="53" t="n"/>
      <c r="AW123" s="53" t="n"/>
      <c r="AX123" s="53" t="n"/>
      <c r="AY123" s="53" t="n"/>
    </row>
    <row r="124" ht="15" customHeight="1">
      <c r="A124" s="40">
        <f>IF($D$124="","",39)</f>
        <v/>
      </c>
      <c r="B124" s="10" t="n"/>
      <c r="C124" s="41" t="inlineStr">
        <is>
          <t>마케팅2팀</t>
        </is>
      </c>
      <c r="D124" s="42" t="n"/>
      <c r="E124" s="43" t="inlineStr">
        <is>
          <t>기획</t>
        </is>
      </c>
      <c r="F124" s="44" t="n"/>
      <c r="G124" s="45" t="n"/>
      <c r="H124" s="46">
        <f>IF($I$124="","",IF($I$124&lt;0,"🔴지연",IF($I$124&lt;=1,"🟡임박","🟢여유")))</f>
        <v/>
      </c>
      <c r="I124" s="47">
        <f>IF(OR($G$124="",$K$124=""),"",$G$124-$K$124)</f>
        <v/>
      </c>
      <c r="J124" s="48">
        <f>IF(SUM($L$124:$L$126)=0,"",SUM($L$124:$L$126))</f>
        <v/>
      </c>
      <c r="K124" s="49">
        <f>IF($J$124="","",MAX($N$124:$N$126))</f>
        <v/>
      </c>
      <c r="L124" s="50">
        <f>IF(SUM(U124:AY124)=0,"",SUM(U124:AY124))</f>
        <v/>
      </c>
      <c r="M124" s="51">
        <f>IFERROR(INDEX(U$2:AY$2,MATCH(TRUE,INDEX(U124:AY124&lt;&gt;"",0),0)),"")</f>
        <v/>
      </c>
      <c r="N124" s="51">
        <f>IFERROR(LOOKUP(2,1/(U124:AY124&lt;&gt;""),U$2:AY$2),"")</f>
        <v/>
      </c>
      <c r="O124" s="52" t="n"/>
      <c r="P124" s="52" t="n"/>
      <c r="Q124" s="52" t="n"/>
      <c r="R124" s="44" t="n"/>
      <c r="S124" s="14" t="n"/>
      <c r="U124" s="53" t="n"/>
      <c r="V124" s="53" t="n"/>
      <c r="W124" s="53" t="n"/>
      <c r="X124" s="53" t="n"/>
      <c r="Y124" s="53" t="n"/>
      <c r="Z124" s="53" t="n"/>
      <c r="AA124" s="53" t="n"/>
      <c r="AB124" s="53" t="n"/>
      <c r="AC124" s="53" t="n"/>
      <c r="AD124" s="53" t="n"/>
      <c r="AE124" s="53" t="n"/>
      <c r="AF124" s="53" t="n"/>
      <c r="AG124" s="53" t="n"/>
      <c r="AH124" s="53" t="n"/>
      <c r="AI124" s="53" t="n"/>
      <c r="AJ124" s="53" t="n"/>
      <c r="AK124" s="53" t="n"/>
      <c r="AL124" s="53" t="n"/>
      <c r="AM124" s="53" t="n"/>
      <c r="AN124" s="53" t="n"/>
      <c r="AO124" s="53" t="n"/>
      <c r="AP124" s="53" t="n"/>
      <c r="AQ124" s="53" t="n"/>
      <c r="AR124" s="53" t="n"/>
      <c r="AS124" s="53" t="n"/>
      <c r="AT124" s="53" t="n"/>
      <c r="AU124" s="53" t="n"/>
      <c r="AV124" s="53" t="n"/>
      <c r="AW124" s="53" t="n"/>
      <c r="AX124" s="53" t="n"/>
      <c r="AY124" s="53" t="n"/>
    </row>
    <row r="125" ht="15" customHeight="1">
      <c r="A125" s="54" t="n"/>
      <c r="B125" s="55">
        <f>IF($B$124="","",$B$124)</f>
        <v/>
      </c>
      <c r="C125" s="56" t="inlineStr">
        <is>
          <t>마케팅2팀</t>
        </is>
      </c>
      <c r="D125" s="55">
        <f>IF($D$124="","",$D$124)</f>
        <v/>
      </c>
      <c r="E125" s="57" t="inlineStr">
        <is>
          <t>이미지</t>
        </is>
      </c>
      <c r="F125" s="44" t="n"/>
      <c r="G125" s="58">
        <f>IF($G$124="","",$G$124)</f>
        <v/>
      </c>
      <c r="H125" s="59" t="n"/>
      <c r="I125" s="59" t="n"/>
      <c r="J125" s="59" t="n"/>
      <c r="K125" s="59" t="n"/>
      <c r="L125" s="60">
        <f>IF(SUM(U125:AY125)=0,"",SUM(U125:AY125))</f>
        <v/>
      </c>
      <c r="M125" s="61">
        <f>IFERROR(INDEX(U$2:AY$2,MATCH(TRUE,INDEX(U125:AY125&lt;&gt;"",0),0)),"")</f>
        <v/>
      </c>
      <c r="N125" s="61">
        <f>IFERROR(LOOKUP(2,1/(U125:AY125&lt;&gt;""),U$2:AY$2),"")</f>
        <v/>
      </c>
      <c r="O125" s="59" t="n"/>
      <c r="P125" s="59" t="n"/>
      <c r="Q125" s="59" t="n"/>
      <c r="R125" s="59" t="n"/>
      <c r="S125" s="14" t="n"/>
      <c r="U125" s="53" t="n"/>
      <c r="V125" s="53" t="n"/>
      <c r="W125" s="53" t="n"/>
      <c r="X125" s="53" t="n"/>
      <c r="Y125" s="53" t="n"/>
      <c r="Z125" s="53" t="n"/>
      <c r="AA125" s="53" t="n"/>
      <c r="AB125" s="53" t="n"/>
      <c r="AC125" s="53" t="n"/>
      <c r="AD125" s="53" t="n"/>
      <c r="AE125" s="53" t="n"/>
      <c r="AF125" s="53" t="n"/>
      <c r="AG125" s="53" t="n"/>
      <c r="AH125" s="53" t="n"/>
      <c r="AI125" s="53" t="n"/>
      <c r="AJ125" s="53" t="n"/>
      <c r="AK125" s="53" t="n"/>
      <c r="AL125" s="53" t="n"/>
      <c r="AM125" s="53" t="n"/>
      <c r="AN125" s="53" t="n"/>
      <c r="AO125" s="53" t="n"/>
      <c r="AP125" s="53" t="n"/>
      <c r="AQ125" s="53" t="n"/>
      <c r="AR125" s="53" t="n"/>
      <c r="AS125" s="53" t="n"/>
      <c r="AT125" s="53" t="n"/>
      <c r="AU125" s="53" t="n"/>
      <c r="AV125" s="53" t="n"/>
      <c r="AW125" s="53" t="n"/>
      <c r="AX125" s="53" t="n"/>
      <c r="AY125" s="53" t="n"/>
    </row>
    <row r="126" ht="15" customHeight="1">
      <c r="A126" s="62" t="n"/>
      <c r="B126" s="55">
        <f>IF($B$124="","",$B$124)</f>
        <v/>
      </c>
      <c r="C126" s="63" t="inlineStr">
        <is>
          <t>마케팅2팀</t>
        </is>
      </c>
      <c r="D126" s="55">
        <f>IF($D$124="","",$D$124)</f>
        <v/>
      </c>
      <c r="E126" s="64" t="inlineStr">
        <is>
          <t>영상</t>
        </is>
      </c>
      <c r="F126" s="44" t="n"/>
      <c r="G126" s="58">
        <f>IF($G$124="","",$G$124)</f>
        <v/>
      </c>
      <c r="H126" s="59" t="n"/>
      <c r="I126" s="59" t="n"/>
      <c r="J126" s="59" t="n"/>
      <c r="K126" s="59" t="n"/>
      <c r="L126" s="65">
        <f>IF(SUM(U126:AY126)=0,"",SUM(U126:AY126))</f>
        <v/>
      </c>
      <c r="M126" s="66">
        <f>IFERROR(INDEX(U$2:AY$2,MATCH(TRUE,INDEX(U126:AY126&lt;&gt;"",0),0)),"")</f>
        <v/>
      </c>
      <c r="N126" s="66">
        <f>IFERROR(LOOKUP(2,1/(U126:AY126&lt;&gt;""),U$2:AY$2),"")</f>
        <v/>
      </c>
      <c r="O126" s="59" t="n"/>
      <c r="P126" s="59" t="n"/>
      <c r="Q126" s="59" t="n"/>
      <c r="R126" s="59" t="n"/>
      <c r="S126" s="14" t="n"/>
      <c r="U126" s="53" t="n"/>
      <c r="V126" s="53" t="n"/>
      <c r="W126" s="53" t="n"/>
      <c r="X126" s="53" t="n"/>
      <c r="Y126" s="53" t="n"/>
      <c r="Z126" s="53" t="n"/>
      <c r="AA126" s="53" t="n"/>
      <c r="AB126" s="53" t="n"/>
      <c r="AC126" s="53" t="n"/>
      <c r="AD126" s="53" t="n"/>
      <c r="AE126" s="53" t="n"/>
      <c r="AF126" s="53" t="n"/>
      <c r="AG126" s="53" t="n"/>
      <c r="AH126" s="53" t="n"/>
      <c r="AI126" s="53" t="n"/>
      <c r="AJ126" s="53" t="n"/>
      <c r="AK126" s="53" t="n"/>
      <c r="AL126" s="53" t="n"/>
      <c r="AM126" s="53" t="n"/>
      <c r="AN126" s="53" t="n"/>
      <c r="AO126" s="53" t="n"/>
      <c r="AP126" s="53" t="n"/>
      <c r="AQ126" s="53" t="n"/>
      <c r="AR126" s="53" t="n"/>
      <c r="AS126" s="53" t="n"/>
      <c r="AT126" s="53" t="n"/>
      <c r="AU126" s="53" t="n"/>
      <c r="AV126" s="53" t="n"/>
      <c r="AW126" s="53" t="n"/>
      <c r="AX126" s="53" t="n"/>
      <c r="AY126" s="53" t="n"/>
    </row>
    <row r="127" ht="15" customHeight="1">
      <c r="A127" s="40">
        <f>IF($D$127="","",40)</f>
        <v/>
      </c>
      <c r="B127" s="10" t="n"/>
      <c r="C127" s="41" t="inlineStr">
        <is>
          <t>마케팅2팀</t>
        </is>
      </c>
      <c r="D127" s="42" t="n"/>
      <c r="E127" s="43" t="inlineStr">
        <is>
          <t>기획</t>
        </is>
      </c>
      <c r="F127" s="44" t="n"/>
      <c r="G127" s="45" t="n"/>
      <c r="H127" s="46">
        <f>IF($I$127="","",IF($I$127&lt;0,"🔴지연",IF($I$127&lt;=1,"🟡임박","🟢여유")))</f>
        <v/>
      </c>
      <c r="I127" s="47">
        <f>IF(OR($G$127="",$K$127=""),"",$G$127-$K$127)</f>
        <v/>
      </c>
      <c r="J127" s="48">
        <f>IF(SUM($L$127:$L$129)=0,"",SUM($L$127:$L$129))</f>
        <v/>
      </c>
      <c r="K127" s="49">
        <f>IF($J$127="","",MAX($N$127:$N$129))</f>
        <v/>
      </c>
      <c r="L127" s="50">
        <f>IF(SUM(U127:AY127)=0,"",SUM(U127:AY127))</f>
        <v/>
      </c>
      <c r="M127" s="51">
        <f>IFERROR(INDEX(U$2:AY$2,MATCH(TRUE,INDEX(U127:AY127&lt;&gt;"",0),0)),"")</f>
        <v/>
      </c>
      <c r="N127" s="51">
        <f>IFERROR(LOOKUP(2,1/(U127:AY127&lt;&gt;""),U$2:AY$2),"")</f>
        <v/>
      </c>
      <c r="O127" s="52" t="n"/>
      <c r="P127" s="52" t="n"/>
      <c r="Q127" s="52" t="n"/>
      <c r="R127" s="44" t="n"/>
      <c r="S127" s="14" t="n"/>
      <c r="U127" s="53" t="n"/>
      <c r="V127" s="53" t="n"/>
      <c r="W127" s="53" t="n"/>
      <c r="X127" s="53" t="n"/>
      <c r="Y127" s="53" t="n"/>
      <c r="Z127" s="53" t="n"/>
      <c r="AA127" s="53" t="n"/>
      <c r="AB127" s="53" t="n"/>
      <c r="AC127" s="53" t="n"/>
      <c r="AD127" s="53" t="n"/>
      <c r="AE127" s="53" t="n"/>
      <c r="AF127" s="53" t="n"/>
      <c r="AG127" s="53" t="n"/>
      <c r="AH127" s="53" t="n"/>
      <c r="AI127" s="53" t="n"/>
      <c r="AJ127" s="53" t="n"/>
      <c r="AK127" s="53" t="n"/>
      <c r="AL127" s="53" t="n"/>
      <c r="AM127" s="53" t="n"/>
      <c r="AN127" s="53" t="n"/>
      <c r="AO127" s="53" t="n"/>
      <c r="AP127" s="53" t="n"/>
      <c r="AQ127" s="53" t="n"/>
      <c r="AR127" s="53" t="n"/>
      <c r="AS127" s="53" t="n"/>
      <c r="AT127" s="53" t="n"/>
      <c r="AU127" s="53" t="n"/>
      <c r="AV127" s="53" t="n"/>
      <c r="AW127" s="53" t="n"/>
      <c r="AX127" s="53" t="n"/>
      <c r="AY127" s="53" t="n"/>
    </row>
    <row r="128" ht="15" customHeight="1">
      <c r="A128" s="54" t="n"/>
      <c r="B128" s="55">
        <f>IF($B$127="","",$B$127)</f>
        <v/>
      </c>
      <c r="C128" s="56" t="inlineStr">
        <is>
          <t>마케팅2팀</t>
        </is>
      </c>
      <c r="D128" s="55">
        <f>IF($D$127="","",$D$127)</f>
        <v/>
      </c>
      <c r="E128" s="57" t="inlineStr">
        <is>
          <t>이미지</t>
        </is>
      </c>
      <c r="F128" s="44" t="n"/>
      <c r="G128" s="58">
        <f>IF($G$127="","",$G$127)</f>
        <v/>
      </c>
      <c r="H128" s="59" t="n"/>
      <c r="I128" s="59" t="n"/>
      <c r="J128" s="59" t="n"/>
      <c r="K128" s="59" t="n"/>
      <c r="L128" s="60">
        <f>IF(SUM(U128:AY128)=0,"",SUM(U128:AY128))</f>
        <v/>
      </c>
      <c r="M128" s="61">
        <f>IFERROR(INDEX(U$2:AY$2,MATCH(TRUE,INDEX(U128:AY128&lt;&gt;"",0),0)),"")</f>
        <v/>
      </c>
      <c r="N128" s="61">
        <f>IFERROR(LOOKUP(2,1/(U128:AY128&lt;&gt;""),U$2:AY$2),"")</f>
        <v/>
      </c>
      <c r="O128" s="59" t="n"/>
      <c r="P128" s="59" t="n"/>
      <c r="Q128" s="59" t="n"/>
      <c r="R128" s="59" t="n"/>
      <c r="S128" s="14" t="n"/>
      <c r="U128" s="53" t="n"/>
      <c r="V128" s="53" t="n"/>
      <c r="W128" s="53" t="n"/>
      <c r="X128" s="53" t="n"/>
      <c r="Y128" s="53" t="n"/>
      <c r="Z128" s="53" t="n"/>
      <c r="AA128" s="53" t="n"/>
      <c r="AB128" s="53" t="n"/>
      <c r="AC128" s="53" t="n"/>
      <c r="AD128" s="53" t="n"/>
      <c r="AE128" s="53" t="n"/>
      <c r="AF128" s="53" t="n"/>
      <c r="AG128" s="53" t="n"/>
      <c r="AH128" s="53" t="n"/>
      <c r="AI128" s="53" t="n"/>
      <c r="AJ128" s="53" t="n"/>
      <c r="AK128" s="53" t="n"/>
      <c r="AL128" s="53" t="n"/>
      <c r="AM128" s="53" t="n"/>
      <c r="AN128" s="53" t="n"/>
      <c r="AO128" s="53" t="n"/>
      <c r="AP128" s="53" t="n"/>
      <c r="AQ128" s="53" t="n"/>
      <c r="AR128" s="53" t="n"/>
      <c r="AS128" s="53" t="n"/>
      <c r="AT128" s="53" t="n"/>
      <c r="AU128" s="53" t="n"/>
      <c r="AV128" s="53" t="n"/>
      <c r="AW128" s="53" t="n"/>
      <c r="AX128" s="53" t="n"/>
      <c r="AY128" s="53" t="n"/>
    </row>
    <row r="129" ht="15" customHeight="1">
      <c r="A129" s="62" t="n"/>
      <c r="B129" s="55">
        <f>IF($B$127="","",$B$127)</f>
        <v/>
      </c>
      <c r="C129" s="63" t="inlineStr">
        <is>
          <t>마케팅2팀</t>
        </is>
      </c>
      <c r="D129" s="55">
        <f>IF($D$127="","",$D$127)</f>
        <v/>
      </c>
      <c r="E129" s="64" t="inlineStr">
        <is>
          <t>영상</t>
        </is>
      </c>
      <c r="F129" s="44" t="n"/>
      <c r="G129" s="58">
        <f>IF($G$127="","",$G$127)</f>
        <v/>
      </c>
      <c r="H129" s="59" t="n"/>
      <c r="I129" s="59" t="n"/>
      <c r="J129" s="59" t="n"/>
      <c r="K129" s="59" t="n"/>
      <c r="L129" s="65">
        <f>IF(SUM(U129:AY129)=0,"",SUM(U129:AY129))</f>
        <v/>
      </c>
      <c r="M129" s="66">
        <f>IFERROR(INDEX(U$2:AY$2,MATCH(TRUE,INDEX(U129:AY129&lt;&gt;"",0),0)),"")</f>
        <v/>
      </c>
      <c r="N129" s="66">
        <f>IFERROR(LOOKUP(2,1/(U129:AY129&lt;&gt;""),U$2:AY$2),"")</f>
        <v/>
      </c>
      <c r="O129" s="59" t="n"/>
      <c r="P129" s="59" t="n"/>
      <c r="Q129" s="59" t="n"/>
      <c r="R129" s="59" t="n"/>
      <c r="S129" s="14" t="n"/>
      <c r="U129" s="53" t="n"/>
      <c r="V129" s="53" t="n"/>
      <c r="W129" s="53" t="n"/>
      <c r="X129" s="53" t="n"/>
      <c r="Y129" s="53" t="n"/>
      <c r="Z129" s="53" t="n"/>
      <c r="AA129" s="53" t="n"/>
      <c r="AB129" s="53" t="n"/>
      <c r="AC129" s="53" t="n"/>
      <c r="AD129" s="53" t="n"/>
      <c r="AE129" s="53" t="n"/>
      <c r="AF129" s="53" t="n"/>
      <c r="AG129" s="53" t="n"/>
      <c r="AH129" s="53" t="n"/>
      <c r="AI129" s="53" t="n"/>
      <c r="AJ129" s="53" t="n"/>
      <c r="AK129" s="53" t="n"/>
      <c r="AL129" s="53" t="n"/>
      <c r="AM129" s="53" t="n"/>
      <c r="AN129" s="53" t="n"/>
      <c r="AO129" s="53" t="n"/>
      <c r="AP129" s="53" t="n"/>
      <c r="AQ129" s="53" t="n"/>
      <c r="AR129" s="53" t="n"/>
      <c r="AS129" s="53" t="n"/>
      <c r="AT129" s="53" t="n"/>
      <c r="AU129" s="53" t="n"/>
      <c r="AV129" s="53" t="n"/>
      <c r="AW129" s="53" t="n"/>
      <c r="AX129" s="53" t="n"/>
      <c r="AY129" s="53" t="n"/>
    </row>
    <row r="130" ht="18" customHeight="1">
      <c r="A130" s="39" t="inlineStr">
        <is>
          <t>마케팅3팀   (131~190행 · 소재 20개)</t>
        </is>
      </c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  <c r="AN130" s="8" t="n"/>
      <c r="AO130" s="8" t="n"/>
      <c r="AP130" s="8" t="n"/>
      <c r="AQ130" s="8" t="n"/>
      <c r="AR130" s="8" t="n"/>
      <c r="AS130" s="8" t="n"/>
      <c r="AT130" s="8" t="n"/>
      <c r="AU130" s="8" t="n"/>
      <c r="AV130" s="8" t="n"/>
      <c r="AW130" s="8" t="n"/>
      <c r="AX130" s="8" t="n"/>
      <c r="AY130" s="4" t="n"/>
    </row>
    <row r="131" ht="15" customHeight="1">
      <c r="A131" s="40">
        <f>IF($D$131="","",41)</f>
        <v/>
      </c>
      <c r="B131" s="10" t="n"/>
      <c r="C131" s="41" t="inlineStr">
        <is>
          <t>마케팅3팀</t>
        </is>
      </c>
      <c r="D131" s="42" t="n"/>
      <c r="E131" s="43" t="inlineStr">
        <is>
          <t>기획</t>
        </is>
      </c>
      <c r="F131" s="44" t="n"/>
      <c r="G131" s="45" t="n"/>
      <c r="H131" s="46">
        <f>IF($I$131="","",IF($I$131&lt;0,"🔴지연",IF($I$131&lt;=1,"🟡임박","🟢여유")))</f>
        <v/>
      </c>
      <c r="I131" s="47">
        <f>IF(OR($G$131="",$K$131=""),"",$G$131-$K$131)</f>
        <v/>
      </c>
      <c r="J131" s="48">
        <f>IF(SUM($L$131:$L$133)=0,"",SUM($L$131:$L$133))</f>
        <v/>
      </c>
      <c r="K131" s="49">
        <f>IF($J$131="","",MAX($N$131:$N$133))</f>
        <v/>
      </c>
      <c r="L131" s="50">
        <f>IF(SUM(U131:AY131)=0,"",SUM(U131:AY131))</f>
        <v/>
      </c>
      <c r="M131" s="51">
        <f>IFERROR(INDEX(U$2:AY$2,MATCH(TRUE,INDEX(U131:AY131&lt;&gt;"",0),0)),"")</f>
        <v/>
      </c>
      <c r="N131" s="51">
        <f>IFERROR(LOOKUP(2,1/(U131:AY131&lt;&gt;""),U$2:AY$2),"")</f>
        <v/>
      </c>
      <c r="O131" s="52" t="n"/>
      <c r="P131" s="52" t="n"/>
      <c r="Q131" s="52" t="n"/>
      <c r="R131" s="44" t="n"/>
      <c r="S131" s="14" t="n"/>
      <c r="U131" s="53" t="n"/>
      <c r="V131" s="53" t="n"/>
      <c r="W131" s="53" t="n"/>
      <c r="X131" s="53" t="n"/>
      <c r="Y131" s="53" t="n"/>
      <c r="Z131" s="53" t="n"/>
      <c r="AA131" s="53" t="n"/>
      <c r="AB131" s="53" t="n"/>
      <c r="AC131" s="53" t="n"/>
      <c r="AD131" s="53" t="n"/>
      <c r="AE131" s="53" t="n"/>
      <c r="AF131" s="53" t="n"/>
      <c r="AG131" s="53" t="n"/>
      <c r="AH131" s="53" t="n"/>
      <c r="AI131" s="53" t="n"/>
      <c r="AJ131" s="53" t="n"/>
      <c r="AK131" s="53" t="n"/>
      <c r="AL131" s="53" t="n"/>
      <c r="AM131" s="53" t="n"/>
      <c r="AN131" s="53" t="n"/>
      <c r="AO131" s="53" t="n"/>
      <c r="AP131" s="53" t="n"/>
      <c r="AQ131" s="53" t="n"/>
      <c r="AR131" s="53" t="n"/>
      <c r="AS131" s="53" t="n"/>
      <c r="AT131" s="53" t="n"/>
      <c r="AU131" s="53" t="n"/>
      <c r="AV131" s="53" t="n"/>
      <c r="AW131" s="53" t="n"/>
      <c r="AX131" s="53" t="n"/>
      <c r="AY131" s="53" t="n"/>
    </row>
    <row r="132" ht="15" customHeight="1">
      <c r="A132" s="54" t="n"/>
      <c r="B132" s="55">
        <f>IF($B$131="","",$B$131)</f>
        <v/>
      </c>
      <c r="C132" s="56" t="inlineStr">
        <is>
          <t>마케팅3팀</t>
        </is>
      </c>
      <c r="D132" s="55">
        <f>IF($D$131="","",$D$131)</f>
        <v/>
      </c>
      <c r="E132" s="57" t="inlineStr">
        <is>
          <t>이미지</t>
        </is>
      </c>
      <c r="F132" s="44" t="n"/>
      <c r="G132" s="58">
        <f>IF($G$131="","",$G$131)</f>
        <v/>
      </c>
      <c r="H132" s="59" t="n"/>
      <c r="I132" s="59" t="n"/>
      <c r="J132" s="59" t="n"/>
      <c r="K132" s="59" t="n"/>
      <c r="L132" s="60">
        <f>IF(SUM(U132:AY132)=0,"",SUM(U132:AY132))</f>
        <v/>
      </c>
      <c r="M132" s="61">
        <f>IFERROR(INDEX(U$2:AY$2,MATCH(TRUE,INDEX(U132:AY132&lt;&gt;"",0),0)),"")</f>
        <v/>
      </c>
      <c r="N132" s="61">
        <f>IFERROR(LOOKUP(2,1/(U132:AY132&lt;&gt;""),U$2:AY$2),"")</f>
        <v/>
      </c>
      <c r="O132" s="59" t="n"/>
      <c r="P132" s="59" t="n"/>
      <c r="Q132" s="59" t="n"/>
      <c r="R132" s="59" t="n"/>
      <c r="S132" s="14" t="n"/>
      <c r="U132" s="53" t="n"/>
      <c r="V132" s="53" t="n"/>
      <c r="W132" s="53" t="n"/>
      <c r="X132" s="53" t="n"/>
      <c r="Y132" s="53" t="n"/>
      <c r="Z132" s="53" t="n"/>
      <c r="AA132" s="53" t="n"/>
      <c r="AB132" s="53" t="n"/>
      <c r="AC132" s="53" t="n"/>
      <c r="AD132" s="53" t="n"/>
      <c r="AE132" s="53" t="n"/>
      <c r="AF132" s="53" t="n"/>
      <c r="AG132" s="53" t="n"/>
      <c r="AH132" s="53" t="n"/>
      <c r="AI132" s="53" t="n"/>
      <c r="AJ132" s="53" t="n"/>
      <c r="AK132" s="53" t="n"/>
      <c r="AL132" s="53" t="n"/>
      <c r="AM132" s="53" t="n"/>
      <c r="AN132" s="53" t="n"/>
      <c r="AO132" s="53" t="n"/>
      <c r="AP132" s="53" t="n"/>
      <c r="AQ132" s="53" t="n"/>
      <c r="AR132" s="53" t="n"/>
      <c r="AS132" s="53" t="n"/>
      <c r="AT132" s="53" t="n"/>
      <c r="AU132" s="53" t="n"/>
      <c r="AV132" s="53" t="n"/>
      <c r="AW132" s="53" t="n"/>
      <c r="AX132" s="53" t="n"/>
      <c r="AY132" s="53" t="n"/>
    </row>
    <row r="133" ht="15" customHeight="1">
      <c r="A133" s="62" t="n"/>
      <c r="B133" s="55">
        <f>IF($B$131="","",$B$131)</f>
        <v/>
      </c>
      <c r="C133" s="63" t="inlineStr">
        <is>
          <t>마케팅3팀</t>
        </is>
      </c>
      <c r="D133" s="55">
        <f>IF($D$131="","",$D$131)</f>
        <v/>
      </c>
      <c r="E133" s="64" t="inlineStr">
        <is>
          <t>영상</t>
        </is>
      </c>
      <c r="F133" s="44" t="n"/>
      <c r="G133" s="58">
        <f>IF($G$131="","",$G$131)</f>
        <v/>
      </c>
      <c r="H133" s="59" t="n"/>
      <c r="I133" s="59" t="n"/>
      <c r="J133" s="59" t="n"/>
      <c r="K133" s="59" t="n"/>
      <c r="L133" s="65">
        <f>IF(SUM(U133:AY133)=0,"",SUM(U133:AY133))</f>
        <v/>
      </c>
      <c r="M133" s="66">
        <f>IFERROR(INDEX(U$2:AY$2,MATCH(TRUE,INDEX(U133:AY133&lt;&gt;"",0),0)),"")</f>
        <v/>
      </c>
      <c r="N133" s="66">
        <f>IFERROR(LOOKUP(2,1/(U133:AY133&lt;&gt;""),U$2:AY$2),"")</f>
        <v/>
      </c>
      <c r="O133" s="59" t="n"/>
      <c r="P133" s="59" t="n"/>
      <c r="Q133" s="59" t="n"/>
      <c r="R133" s="59" t="n"/>
      <c r="S133" s="14" t="n"/>
      <c r="U133" s="53" t="n"/>
      <c r="V133" s="53" t="n"/>
      <c r="W133" s="53" t="n"/>
      <c r="X133" s="53" t="n"/>
      <c r="Y133" s="53" t="n"/>
      <c r="Z133" s="53" t="n"/>
      <c r="AA133" s="53" t="n"/>
      <c r="AB133" s="53" t="n"/>
      <c r="AC133" s="53" t="n"/>
      <c r="AD133" s="53" t="n"/>
      <c r="AE133" s="53" t="n"/>
      <c r="AF133" s="53" t="n"/>
      <c r="AG133" s="53" t="n"/>
      <c r="AH133" s="53" t="n"/>
      <c r="AI133" s="53" t="n"/>
      <c r="AJ133" s="53" t="n"/>
      <c r="AK133" s="53" t="n"/>
      <c r="AL133" s="53" t="n"/>
      <c r="AM133" s="53" t="n"/>
      <c r="AN133" s="53" t="n"/>
      <c r="AO133" s="53" t="n"/>
      <c r="AP133" s="53" t="n"/>
      <c r="AQ133" s="53" t="n"/>
      <c r="AR133" s="53" t="n"/>
      <c r="AS133" s="53" t="n"/>
      <c r="AT133" s="53" t="n"/>
      <c r="AU133" s="53" t="n"/>
      <c r="AV133" s="53" t="n"/>
      <c r="AW133" s="53" t="n"/>
      <c r="AX133" s="53" t="n"/>
      <c r="AY133" s="53" t="n"/>
    </row>
    <row r="134" ht="15" customHeight="1">
      <c r="A134" s="40">
        <f>IF($D$134="","",42)</f>
        <v/>
      </c>
      <c r="B134" s="10" t="n"/>
      <c r="C134" s="41" t="inlineStr">
        <is>
          <t>마케팅3팀</t>
        </is>
      </c>
      <c r="D134" s="42" t="n"/>
      <c r="E134" s="43" t="inlineStr">
        <is>
          <t>기획</t>
        </is>
      </c>
      <c r="F134" s="44" t="n"/>
      <c r="G134" s="45" t="n"/>
      <c r="H134" s="46">
        <f>IF($I$134="","",IF($I$134&lt;0,"🔴지연",IF($I$134&lt;=1,"🟡임박","🟢여유")))</f>
        <v/>
      </c>
      <c r="I134" s="47">
        <f>IF(OR($G$134="",$K$134=""),"",$G$134-$K$134)</f>
        <v/>
      </c>
      <c r="J134" s="48">
        <f>IF(SUM($L$134:$L$136)=0,"",SUM($L$134:$L$136))</f>
        <v/>
      </c>
      <c r="K134" s="49">
        <f>IF($J$134="","",MAX($N$134:$N$136))</f>
        <v/>
      </c>
      <c r="L134" s="50">
        <f>IF(SUM(U134:AY134)=0,"",SUM(U134:AY134))</f>
        <v/>
      </c>
      <c r="M134" s="51">
        <f>IFERROR(INDEX(U$2:AY$2,MATCH(TRUE,INDEX(U134:AY134&lt;&gt;"",0),0)),"")</f>
        <v/>
      </c>
      <c r="N134" s="51">
        <f>IFERROR(LOOKUP(2,1/(U134:AY134&lt;&gt;""),U$2:AY$2),"")</f>
        <v/>
      </c>
      <c r="O134" s="52" t="n"/>
      <c r="P134" s="52" t="n"/>
      <c r="Q134" s="52" t="n"/>
      <c r="R134" s="44" t="n"/>
      <c r="S134" s="14" t="n"/>
      <c r="U134" s="53" t="n"/>
      <c r="V134" s="53" t="n"/>
      <c r="W134" s="53" t="n"/>
      <c r="X134" s="53" t="n"/>
      <c r="Y134" s="53" t="n"/>
      <c r="Z134" s="53" t="n"/>
      <c r="AA134" s="53" t="n"/>
      <c r="AB134" s="53" t="n"/>
      <c r="AC134" s="53" t="n"/>
      <c r="AD134" s="53" t="n"/>
      <c r="AE134" s="53" t="n"/>
      <c r="AF134" s="53" t="n"/>
      <c r="AG134" s="53" t="n"/>
      <c r="AH134" s="53" t="n"/>
      <c r="AI134" s="53" t="n"/>
      <c r="AJ134" s="53" t="n"/>
      <c r="AK134" s="53" t="n"/>
      <c r="AL134" s="53" t="n"/>
      <c r="AM134" s="53" t="n"/>
      <c r="AN134" s="53" t="n"/>
      <c r="AO134" s="53" t="n"/>
      <c r="AP134" s="53" t="n"/>
      <c r="AQ134" s="53" t="n"/>
      <c r="AR134" s="53" t="n"/>
      <c r="AS134" s="53" t="n"/>
      <c r="AT134" s="53" t="n"/>
      <c r="AU134" s="53" t="n"/>
      <c r="AV134" s="53" t="n"/>
      <c r="AW134" s="53" t="n"/>
      <c r="AX134" s="53" t="n"/>
      <c r="AY134" s="53" t="n"/>
    </row>
    <row r="135" ht="15" customHeight="1">
      <c r="A135" s="54" t="n"/>
      <c r="B135" s="55">
        <f>IF($B$134="","",$B$134)</f>
        <v/>
      </c>
      <c r="C135" s="56" t="inlineStr">
        <is>
          <t>마케팅3팀</t>
        </is>
      </c>
      <c r="D135" s="55">
        <f>IF($D$134="","",$D$134)</f>
        <v/>
      </c>
      <c r="E135" s="57" t="inlineStr">
        <is>
          <t>이미지</t>
        </is>
      </c>
      <c r="F135" s="44" t="n"/>
      <c r="G135" s="58">
        <f>IF($G$134="","",$G$134)</f>
        <v/>
      </c>
      <c r="H135" s="59" t="n"/>
      <c r="I135" s="59" t="n"/>
      <c r="J135" s="59" t="n"/>
      <c r="K135" s="59" t="n"/>
      <c r="L135" s="60">
        <f>IF(SUM(U135:AY135)=0,"",SUM(U135:AY135))</f>
        <v/>
      </c>
      <c r="M135" s="61">
        <f>IFERROR(INDEX(U$2:AY$2,MATCH(TRUE,INDEX(U135:AY135&lt;&gt;"",0),0)),"")</f>
        <v/>
      </c>
      <c r="N135" s="61">
        <f>IFERROR(LOOKUP(2,1/(U135:AY135&lt;&gt;""),U$2:AY$2),"")</f>
        <v/>
      </c>
      <c r="O135" s="59" t="n"/>
      <c r="P135" s="59" t="n"/>
      <c r="Q135" s="59" t="n"/>
      <c r="R135" s="59" t="n"/>
      <c r="S135" s="14" t="n"/>
      <c r="U135" s="53" t="n"/>
      <c r="V135" s="53" t="n"/>
      <c r="W135" s="53" t="n"/>
      <c r="X135" s="53" t="n"/>
      <c r="Y135" s="53" t="n"/>
      <c r="Z135" s="53" t="n"/>
      <c r="AA135" s="53" t="n"/>
      <c r="AB135" s="53" t="n"/>
      <c r="AC135" s="53" t="n"/>
      <c r="AD135" s="53" t="n"/>
      <c r="AE135" s="53" t="n"/>
      <c r="AF135" s="53" t="n"/>
      <c r="AG135" s="53" t="n"/>
      <c r="AH135" s="53" t="n"/>
      <c r="AI135" s="53" t="n"/>
      <c r="AJ135" s="53" t="n"/>
      <c r="AK135" s="53" t="n"/>
      <c r="AL135" s="53" t="n"/>
      <c r="AM135" s="53" t="n"/>
      <c r="AN135" s="53" t="n"/>
      <c r="AO135" s="53" t="n"/>
      <c r="AP135" s="53" t="n"/>
      <c r="AQ135" s="53" t="n"/>
      <c r="AR135" s="53" t="n"/>
      <c r="AS135" s="53" t="n"/>
      <c r="AT135" s="53" t="n"/>
      <c r="AU135" s="53" t="n"/>
      <c r="AV135" s="53" t="n"/>
      <c r="AW135" s="53" t="n"/>
      <c r="AX135" s="53" t="n"/>
      <c r="AY135" s="53" t="n"/>
    </row>
    <row r="136" ht="15" customHeight="1">
      <c r="A136" s="62" t="n"/>
      <c r="B136" s="55">
        <f>IF($B$134="","",$B$134)</f>
        <v/>
      </c>
      <c r="C136" s="63" t="inlineStr">
        <is>
          <t>마케팅3팀</t>
        </is>
      </c>
      <c r="D136" s="55">
        <f>IF($D$134="","",$D$134)</f>
        <v/>
      </c>
      <c r="E136" s="64" t="inlineStr">
        <is>
          <t>영상</t>
        </is>
      </c>
      <c r="F136" s="44" t="n"/>
      <c r="G136" s="58">
        <f>IF($G$134="","",$G$134)</f>
        <v/>
      </c>
      <c r="H136" s="59" t="n"/>
      <c r="I136" s="59" t="n"/>
      <c r="J136" s="59" t="n"/>
      <c r="K136" s="59" t="n"/>
      <c r="L136" s="65">
        <f>IF(SUM(U136:AY136)=0,"",SUM(U136:AY136))</f>
        <v/>
      </c>
      <c r="M136" s="66">
        <f>IFERROR(INDEX(U$2:AY$2,MATCH(TRUE,INDEX(U136:AY136&lt;&gt;"",0),0)),"")</f>
        <v/>
      </c>
      <c r="N136" s="66">
        <f>IFERROR(LOOKUP(2,1/(U136:AY136&lt;&gt;""),U$2:AY$2),"")</f>
        <v/>
      </c>
      <c r="O136" s="59" t="n"/>
      <c r="P136" s="59" t="n"/>
      <c r="Q136" s="59" t="n"/>
      <c r="R136" s="59" t="n"/>
      <c r="S136" s="14" t="n"/>
      <c r="U136" s="53" t="n"/>
      <c r="V136" s="53" t="n"/>
      <c r="W136" s="53" t="n"/>
      <c r="X136" s="53" t="n"/>
      <c r="Y136" s="53" t="n"/>
      <c r="Z136" s="53" t="n"/>
      <c r="AA136" s="53" t="n"/>
      <c r="AB136" s="53" t="n"/>
      <c r="AC136" s="53" t="n"/>
      <c r="AD136" s="53" t="n"/>
      <c r="AE136" s="53" t="n"/>
      <c r="AF136" s="53" t="n"/>
      <c r="AG136" s="53" t="n"/>
      <c r="AH136" s="53" t="n"/>
      <c r="AI136" s="53" t="n"/>
      <c r="AJ136" s="53" t="n"/>
      <c r="AK136" s="53" t="n"/>
      <c r="AL136" s="53" t="n"/>
      <c r="AM136" s="53" t="n"/>
      <c r="AN136" s="53" t="n"/>
      <c r="AO136" s="53" t="n"/>
      <c r="AP136" s="53" t="n"/>
      <c r="AQ136" s="53" t="n"/>
      <c r="AR136" s="53" t="n"/>
      <c r="AS136" s="53" t="n"/>
      <c r="AT136" s="53" t="n"/>
      <c r="AU136" s="53" t="n"/>
      <c r="AV136" s="53" t="n"/>
      <c r="AW136" s="53" t="n"/>
      <c r="AX136" s="53" t="n"/>
      <c r="AY136" s="53" t="n"/>
    </row>
    <row r="137" ht="15" customHeight="1">
      <c r="A137" s="40">
        <f>IF($D$137="","",43)</f>
        <v/>
      </c>
      <c r="B137" s="10" t="n"/>
      <c r="C137" s="41" t="inlineStr">
        <is>
          <t>마케팅3팀</t>
        </is>
      </c>
      <c r="D137" s="42" t="n"/>
      <c r="E137" s="43" t="inlineStr">
        <is>
          <t>기획</t>
        </is>
      </c>
      <c r="F137" s="44" t="n"/>
      <c r="G137" s="45" t="n"/>
      <c r="H137" s="46">
        <f>IF($I$137="","",IF($I$137&lt;0,"🔴지연",IF($I$137&lt;=1,"🟡임박","🟢여유")))</f>
        <v/>
      </c>
      <c r="I137" s="47">
        <f>IF(OR($G$137="",$K$137=""),"",$G$137-$K$137)</f>
        <v/>
      </c>
      <c r="J137" s="48">
        <f>IF(SUM($L$137:$L$139)=0,"",SUM($L$137:$L$139))</f>
        <v/>
      </c>
      <c r="K137" s="49">
        <f>IF($J$137="","",MAX($N$137:$N$139))</f>
        <v/>
      </c>
      <c r="L137" s="50">
        <f>IF(SUM(U137:AY137)=0,"",SUM(U137:AY137))</f>
        <v/>
      </c>
      <c r="M137" s="51">
        <f>IFERROR(INDEX(U$2:AY$2,MATCH(TRUE,INDEX(U137:AY137&lt;&gt;"",0),0)),"")</f>
        <v/>
      </c>
      <c r="N137" s="51">
        <f>IFERROR(LOOKUP(2,1/(U137:AY137&lt;&gt;""),U$2:AY$2),"")</f>
        <v/>
      </c>
      <c r="O137" s="52" t="n"/>
      <c r="P137" s="52" t="n"/>
      <c r="Q137" s="52" t="n"/>
      <c r="R137" s="44" t="n"/>
      <c r="S137" s="14" t="n"/>
      <c r="U137" s="53" t="n"/>
      <c r="V137" s="53" t="n"/>
      <c r="W137" s="53" t="n"/>
      <c r="X137" s="53" t="n"/>
      <c r="Y137" s="53" t="n"/>
      <c r="Z137" s="53" t="n"/>
      <c r="AA137" s="53" t="n"/>
      <c r="AB137" s="53" t="n"/>
      <c r="AC137" s="53" t="n"/>
      <c r="AD137" s="53" t="n"/>
      <c r="AE137" s="53" t="n"/>
      <c r="AF137" s="53" t="n"/>
      <c r="AG137" s="53" t="n"/>
      <c r="AH137" s="53" t="n"/>
      <c r="AI137" s="53" t="n"/>
      <c r="AJ137" s="53" t="n"/>
      <c r="AK137" s="53" t="n"/>
      <c r="AL137" s="53" t="n"/>
      <c r="AM137" s="53" t="n"/>
      <c r="AN137" s="53" t="n"/>
      <c r="AO137" s="53" t="n"/>
      <c r="AP137" s="53" t="n"/>
      <c r="AQ137" s="53" t="n"/>
      <c r="AR137" s="53" t="n"/>
      <c r="AS137" s="53" t="n"/>
      <c r="AT137" s="53" t="n"/>
      <c r="AU137" s="53" t="n"/>
      <c r="AV137" s="53" t="n"/>
      <c r="AW137" s="53" t="n"/>
      <c r="AX137" s="53" t="n"/>
      <c r="AY137" s="53" t="n"/>
    </row>
    <row r="138" ht="15" customHeight="1">
      <c r="A138" s="54" t="n"/>
      <c r="B138" s="55">
        <f>IF($B$137="","",$B$137)</f>
        <v/>
      </c>
      <c r="C138" s="56" t="inlineStr">
        <is>
          <t>마케팅3팀</t>
        </is>
      </c>
      <c r="D138" s="55">
        <f>IF($D$137="","",$D$137)</f>
        <v/>
      </c>
      <c r="E138" s="57" t="inlineStr">
        <is>
          <t>이미지</t>
        </is>
      </c>
      <c r="F138" s="44" t="n"/>
      <c r="G138" s="58">
        <f>IF($G$137="","",$G$137)</f>
        <v/>
      </c>
      <c r="H138" s="59" t="n"/>
      <c r="I138" s="59" t="n"/>
      <c r="J138" s="59" t="n"/>
      <c r="K138" s="59" t="n"/>
      <c r="L138" s="60">
        <f>IF(SUM(U138:AY138)=0,"",SUM(U138:AY138))</f>
        <v/>
      </c>
      <c r="M138" s="61">
        <f>IFERROR(INDEX(U$2:AY$2,MATCH(TRUE,INDEX(U138:AY138&lt;&gt;"",0),0)),"")</f>
        <v/>
      </c>
      <c r="N138" s="61">
        <f>IFERROR(LOOKUP(2,1/(U138:AY138&lt;&gt;""),U$2:AY$2),"")</f>
        <v/>
      </c>
      <c r="O138" s="59" t="n"/>
      <c r="P138" s="59" t="n"/>
      <c r="Q138" s="59" t="n"/>
      <c r="R138" s="59" t="n"/>
      <c r="S138" s="14" t="n"/>
      <c r="U138" s="53" t="n"/>
      <c r="V138" s="53" t="n"/>
      <c r="W138" s="53" t="n"/>
      <c r="X138" s="53" t="n"/>
      <c r="Y138" s="53" t="n"/>
      <c r="Z138" s="53" t="n"/>
      <c r="AA138" s="53" t="n"/>
      <c r="AB138" s="53" t="n"/>
      <c r="AC138" s="53" t="n"/>
      <c r="AD138" s="53" t="n"/>
      <c r="AE138" s="53" t="n"/>
      <c r="AF138" s="53" t="n"/>
      <c r="AG138" s="53" t="n"/>
      <c r="AH138" s="53" t="n"/>
      <c r="AI138" s="53" t="n"/>
      <c r="AJ138" s="53" t="n"/>
      <c r="AK138" s="53" t="n"/>
      <c r="AL138" s="53" t="n"/>
      <c r="AM138" s="53" t="n"/>
      <c r="AN138" s="53" t="n"/>
      <c r="AO138" s="53" t="n"/>
      <c r="AP138" s="53" t="n"/>
      <c r="AQ138" s="53" t="n"/>
      <c r="AR138" s="53" t="n"/>
      <c r="AS138" s="53" t="n"/>
      <c r="AT138" s="53" t="n"/>
      <c r="AU138" s="53" t="n"/>
      <c r="AV138" s="53" t="n"/>
      <c r="AW138" s="53" t="n"/>
      <c r="AX138" s="53" t="n"/>
      <c r="AY138" s="53" t="n"/>
    </row>
    <row r="139" ht="15" customHeight="1">
      <c r="A139" s="62" t="n"/>
      <c r="B139" s="55">
        <f>IF($B$137="","",$B$137)</f>
        <v/>
      </c>
      <c r="C139" s="63" t="inlineStr">
        <is>
          <t>마케팅3팀</t>
        </is>
      </c>
      <c r="D139" s="55">
        <f>IF($D$137="","",$D$137)</f>
        <v/>
      </c>
      <c r="E139" s="64" t="inlineStr">
        <is>
          <t>영상</t>
        </is>
      </c>
      <c r="F139" s="44" t="n"/>
      <c r="G139" s="58">
        <f>IF($G$137="","",$G$137)</f>
        <v/>
      </c>
      <c r="H139" s="59" t="n"/>
      <c r="I139" s="59" t="n"/>
      <c r="J139" s="59" t="n"/>
      <c r="K139" s="59" t="n"/>
      <c r="L139" s="65">
        <f>IF(SUM(U139:AY139)=0,"",SUM(U139:AY139))</f>
        <v/>
      </c>
      <c r="M139" s="66">
        <f>IFERROR(INDEX(U$2:AY$2,MATCH(TRUE,INDEX(U139:AY139&lt;&gt;"",0),0)),"")</f>
        <v/>
      </c>
      <c r="N139" s="66">
        <f>IFERROR(LOOKUP(2,1/(U139:AY139&lt;&gt;""),U$2:AY$2),"")</f>
        <v/>
      </c>
      <c r="O139" s="59" t="n"/>
      <c r="P139" s="59" t="n"/>
      <c r="Q139" s="59" t="n"/>
      <c r="R139" s="59" t="n"/>
      <c r="S139" s="14" t="n"/>
      <c r="U139" s="53" t="n"/>
      <c r="V139" s="53" t="n"/>
      <c r="W139" s="53" t="n"/>
      <c r="X139" s="53" t="n"/>
      <c r="Y139" s="53" t="n"/>
      <c r="Z139" s="53" t="n"/>
      <c r="AA139" s="53" t="n"/>
      <c r="AB139" s="53" t="n"/>
      <c r="AC139" s="53" t="n"/>
      <c r="AD139" s="53" t="n"/>
      <c r="AE139" s="53" t="n"/>
      <c r="AF139" s="53" t="n"/>
      <c r="AG139" s="53" t="n"/>
      <c r="AH139" s="53" t="n"/>
      <c r="AI139" s="53" t="n"/>
      <c r="AJ139" s="53" t="n"/>
      <c r="AK139" s="53" t="n"/>
      <c r="AL139" s="53" t="n"/>
      <c r="AM139" s="53" t="n"/>
      <c r="AN139" s="53" t="n"/>
      <c r="AO139" s="53" t="n"/>
      <c r="AP139" s="53" t="n"/>
      <c r="AQ139" s="53" t="n"/>
      <c r="AR139" s="53" t="n"/>
      <c r="AS139" s="53" t="n"/>
      <c r="AT139" s="53" t="n"/>
      <c r="AU139" s="53" t="n"/>
      <c r="AV139" s="53" t="n"/>
      <c r="AW139" s="53" t="n"/>
      <c r="AX139" s="53" t="n"/>
      <c r="AY139" s="53" t="n"/>
    </row>
    <row r="140" ht="15" customHeight="1">
      <c r="A140" s="40">
        <f>IF($D$140="","",44)</f>
        <v/>
      </c>
      <c r="B140" s="10" t="n"/>
      <c r="C140" s="41" t="inlineStr">
        <is>
          <t>마케팅3팀</t>
        </is>
      </c>
      <c r="D140" s="42" t="n"/>
      <c r="E140" s="43" t="inlineStr">
        <is>
          <t>기획</t>
        </is>
      </c>
      <c r="F140" s="44" t="n"/>
      <c r="G140" s="45" t="n"/>
      <c r="H140" s="46">
        <f>IF($I$140="","",IF($I$140&lt;0,"🔴지연",IF($I$140&lt;=1,"🟡임박","🟢여유")))</f>
        <v/>
      </c>
      <c r="I140" s="47">
        <f>IF(OR($G$140="",$K$140=""),"",$G$140-$K$140)</f>
        <v/>
      </c>
      <c r="J140" s="48">
        <f>IF(SUM($L$140:$L$142)=0,"",SUM($L$140:$L$142))</f>
        <v/>
      </c>
      <c r="K140" s="49">
        <f>IF($J$140="","",MAX($N$140:$N$142))</f>
        <v/>
      </c>
      <c r="L140" s="50">
        <f>IF(SUM(U140:AY140)=0,"",SUM(U140:AY140))</f>
        <v/>
      </c>
      <c r="M140" s="51">
        <f>IFERROR(INDEX(U$2:AY$2,MATCH(TRUE,INDEX(U140:AY140&lt;&gt;"",0),0)),"")</f>
        <v/>
      </c>
      <c r="N140" s="51">
        <f>IFERROR(LOOKUP(2,1/(U140:AY140&lt;&gt;""),U$2:AY$2),"")</f>
        <v/>
      </c>
      <c r="O140" s="52" t="n"/>
      <c r="P140" s="52" t="n"/>
      <c r="Q140" s="52" t="n"/>
      <c r="R140" s="44" t="n"/>
      <c r="S140" s="14" t="n"/>
      <c r="U140" s="53" t="n"/>
      <c r="V140" s="53" t="n"/>
      <c r="W140" s="53" t="n"/>
      <c r="X140" s="53" t="n"/>
      <c r="Y140" s="53" t="n"/>
      <c r="Z140" s="53" t="n"/>
      <c r="AA140" s="53" t="n"/>
      <c r="AB140" s="53" t="n"/>
      <c r="AC140" s="53" t="n"/>
      <c r="AD140" s="53" t="n"/>
      <c r="AE140" s="53" t="n"/>
      <c r="AF140" s="53" t="n"/>
      <c r="AG140" s="53" t="n"/>
      <c r="AH140" s="53" t="n"/>
      <c r="AI140" s="53" t="n"/>
      <c r="AJ140" s="53" t="n"/>
      <c r="AK140" s="53" t="n"/>
      <c r="AL140" s="53" t="n"/>
      <c r="AM140" s="53" t="n"/>
      <c r="AN140" s="53" t="n"/>
      <c r="AO140" s="53" t="n"/>
      <c r="AP140" s="53" t="n"/>
      <c r="AQ140" s="53" t="n"/>
      <c r="AR140" s="53" t="n"/>
      <c r="AS140" s="53" t="n"/>
      <c r="AT140" s="53" t="n"/>
      <c r="AU140" s="53" t="n"/>
      <c r="AV140" s="53" t="n"/>
      <c r="AW140" s="53" t="n"/>
      <c r="AX140" s="53" t="n"/>
      <c r="AY140" s="53" t="n"/>
    </row>
    <row r="141" ht="15" customHeight="1">
      <c r="A141" s="54" t="n"/>
      <c r="B141" s="55">
        <f>IF($B$140="","",$B$140)</f>
        <v/>
      </c>
      <c r="C141" s="56" t="inlineStr">
        <is>
          <t>마케팅3팀</t>
        </is>
      </c>
      <c r="D141" s="55">
        <f>IF($D$140="","",$D$140)</f>
        <v/>
      </c>
      <c r="E141" s="57" t="inlineStr">
        <is>
          <t>이미지</t>
        </is>
      </c>
      <c r="F141" s="44" t="n"/>
      <c r="G141" s="58">
        <f>IF($G$140="","",$G$140)</f>
        <v/>
      </c>
      <c r="H141" s="59" t="n"/>
      <c r="I141" s="59" t="n"/>
      <c r="J141" s="59" t="n"/>
      <c r="K141" s="59" t="n"/>
      <c r="L141" s="60">
        <f>IF(SUM(U141:AY141)=0,"",SUM(U141:AY141))</f>
        <v/>
      </c>
      <c r="M141" s="61">
        <f>IFERROR(INDEX(U$2:AY$2,MATCH(TRUE,INDEX(U141:AY141&lt;&gt;"",0),0)),"")</f>
        <v/>
      </c>
      <c r="N141" s="61">
        <f>IFERROR(LOOKUP(2,1/(U141:AY141&lt;&gt;""),U$2:AY$2),"")</f>
        <v/>
      </c>
      <c r="O141" s="59" t="n"/>
      <c r="P141" s="59" t="n"/>
      <c r="Q141" s="59" t="n"/>
      <c r="R141" s="59" t="n"/>
      <c r="S141" s="14" t="n"/>
      <c r="U141" s="53" t="n"/>
      <c r="V141" s="53" t="n"/>
      <c r="W141" s="53" t="n"/>
      <c r="X141" s="53" t="n"/>
      <c r="Y141" s="53" t="n"/>
      <c r="Z141" s="53" t="n"/>
      <c r="AA141" s="53" t="n"/>
      <c r="AB141" s="53" t="n"/>
      <c r="AC141" s="53" t="n"/>
      <c r="AD141" s="53" t="n"/>
      <c r="AE141" s="53" t="n"/>
      <c r="AF141" s="53" t="n"/>
      <c r="AG141" s="53" t="n"/>
      <c r="AH141" s="53" t="n"/>
      <c r="AI141" s="53" t="n"/>
      <c r="AJ141" s="53" t="n"/>
      <c r="AK141" s="53" t="n"/>
      <c r="AL141" s="53" t="n"/>
      <c r="AM141" s="53" t="n"/>
      <c r="AN141" s="53" t="n"/>
      <c r="AO141" s="53" t="n"/>
      <c r="AP141" s="53" t="n"/>
      <c r="AQ141" s="53" t="n"/>
      <c r="AR141" s="53" t="n"/>
      <c r="AS141" s="53" t="n"/>
      <c r="AT141" s="53" t="n"/>
      <c r="AU141" s="53" t="n"/>
      <c r="AV141" s="53" t="n"/>
      <c r="AW141" s="53" t="n"/>
      <c r="AX141" s="53" t="n"/>
      <c r="AY141" s="53" t="n"/>
    </row>
    <row r="142" ht="15" customHeight="1">
      <c r="A142" s="62" t="n"/>
      <c r="B142" s="55">
        <f>IF($B$140="","",$B$140)</f>
        <v/>
      </c>
      <c r="C142" s="63" t="inlineStr">
        <is>
          <t>마케팅3팀</t>
        </is>
      </c>
      <c r="D142" s="55">
        <f>IF($D$140="","",$D$140)</f>
        <v/>
      </c>
      <c r="E142" s="64" t="inlineStr">
        <is>
          <t>영상</t>
        </is>
      </c>
      <c r="F142" s="44" t="n"/>
      <c r="G142" s="58">
        <f>IF($G$140="","",$G$140)</f>
        <v/>
      </c>
      <c r="H142" s="59" t="n"/>
      <c r="I142" s="59" t="n"/>
      <c r="J142" s="59" t="n"/>
      <c r="K142" s="59" t="n"/>
      <c r="L142" s="65">
        <f>IF(SUM(U142:AY142)=0,"",SUM(U142:AY142))</f>
        <v/>
      </c>
      <c r="M142" s="66">
        <f>IFERROR(INDEX(U$2:AY$2,MATCH(TRUE,INDEX(U142:AY142&lt;&gt;"",0),0)),"")</f>
        <v/>
      </c>
      <c r="N142" s="66">
        <f>IFERROR(LOOKUP(2,1/(U142:AY142&lt;&gt;""),U$2:AY$2),"")</f>
        <v/>
      </c>
      <c r="O142" s="59" t="n"/>
      <c r="P142" s="59" t="n"/>
      <c r="Q142" s="59" t="n"/>
      <c r="R142" s="59" t="n"/>
      <c r="S142" s="14" t="n"/>
      <c r="U142" s="53" t="n"/>
      <c r="V142" s="53" t="n"/>
      <c r="W142" s="53" t="n"/>
      <c r="X142" s="53" t="n"/>
      <c r="Y142" s="53" t="n"/>
      <c r="Z142" s="53" t="n"/>
      <c r="AA142" s="53" t="n"/>
      <c r="AB142" s="53" t="n"/>
      <c r="AC142" s="53" t="n"/>
      <c r="AD142" s="53" t="n"/>
      <c r="AE142" s="53" t="n"/>
      <c r="AF142" s="53" t="n"/>
      <c r="AG142" s="53" t="n"/>
      <c r="AH142" s="53" t="n"/>
      <c r="AI142" s="53" t="n"/>
      <c r="AJ142" s="53" t="n"/>
      <c r="AK142" s="53" t="n"/>
      <c r="AL142" s="53" t="n"/>
      <c r="AM142" s="53" t="n"/>
      <c r="AN142" s="53" t="n"/>
      <c r="AO142" s="53" t="n"/>
      <c r="AP142" s="53" t="n"/>
      <c r="AQ142" s="53" t="n"/>
      <c r="AR142" s="53" t="n"/>
      <c r="AS142" s="53" t="n"/>
      <c r="AT142" s="53" t="n"/>
      <c r="AU142" s="53" t="n"/>
      <c r="AV142" s="53" t="n"/>
      <c r="AW142" s="53" t="n"/>
      <c r="AX142" s="53" t="n"/>
      <c r="AY142" s="53" t="n"/>
    </row>
    <row r="143" ht="15" customHeight="1">
      <c r="A143" s="40">
        <f>IF($D$143="","",45)</f>
        <v/>
      </c>
      <c r="B143" s="10" t="n"/>
      <c r="C143" s="41" t="inlineStr">
        <is>
          <t>마케팅3팀</t>
        </is>
      </c>
      <c r="D143" s="42" t="n"/>
      <c r="E143" s="43" t="inlineStr">
        <is>
          <t>기획</t>
        </is>
      </c>
      <c r="F143" s="44" t="n"/>
      <c r="G143" s="45" t="n"/>
      <c r="H143" s="46">
        <f>IF($I$143="","",IF($I$143&lt;0,"🔴지연",IF($I$143&lt;=1,"🟡임박","🟢여유")))</f>
        <v/>
      </c>
      <c r="I143" s="47">
        <f>IF(OR($G$143="",$K$143=""),"",$G$143-$K$143)</f>
        <v/>
      </c>
      <c r="J143" s="48">
        <f>IF(SUM($L$143:$L$145)=0,"",SUM($L$143:$L$145))</f>
        <v/>
      </c>
      <c r="K143" s="49">
        <f>IF($J$143="","",MAX($N$143:$N$145))</f>
        <v/>
      </c>
      <c r="L143" s="50">
        <f>IF(SUM(U143:AY143)=0,"",SUM(U143:AY143))</f>
        <v/>
      </c>
      <c r="M143" s="51">
        <f>IFERROR(INDEX(U$2:AY$2,MATCH(TRUE,INDEX(U143:AY143&lt;&gt;"",0),0)),"")</f>
        <v/>
      </c>
      <c r="N143" s="51">
        <f>IFERROR(LOOKUP(2,1/(U143:AY143&lt;&gt;""),U$2:AY$2),"")</f>
        <v/>
      </c>
      <c r="O143" s="52" t="n"/>
      <c r="P143" s="52" t="n"/>
      <c r="Q143" s="52" t="n"/>
      <c r="R143" s="44" t="n"/>
      <c r="S143" s="14" t="n"/>
      <c r="U143" s="53" t="n"/>
      <c r="V143" s="53" t="n"/>
      <c r="W143" s="53" t="n"/>
      <c r="X143" s="53" t="n"/>
      <c r="Y143" s="53" t="n"/>
      <c r="Z143" s="53" t="n"/>
      <c r="AA143" s="53" t="n"/>
      <c r="AB143" s="53" t="n"/>
      <c r="AC143" s="53" t="n"/>
      <c r="AD143" s="53" t="n"/>
      <c r="AE143" s="53" t="n"/>
      <c r="AF143" s="53" t="n"/>
      <c r="AG143" s="53" t="n"/>
      <c r="AH143" s="53" t="n"/>
      <c r="AI143" s="53" t="n"/>
      <c r="AJ143" s="53" t="n"/>
      <c r="AK143" s="53" t="n"/>
      <c r="AL143" s="53" t="n"/>
      <c r="AM143" s="53" t="n"/>
      <c r="AN143" s="53" t="n"/>
      <c r="AO143" s="53" t="n"/>
      <c r="AP143" s="53" t="n"/>
      <c r="AQ143" s="53" t="n"/>
      <c r="AR143" s="53" t="n"/>
      <c r="AS143" s="53" t="n"/>
      <c r="AT143" s="53" t="n"/>
      <c r="AU143" s="53" t="n"/>
      <c r="AV143" s="53" t="n"/>
      <c r="AW143" s="53" t="n"/>
      <c r="AX143" s="53" t="n"/>
      <c r="AY143" s="53" t="n"/>
    </row>
    <row r="144" ht="15" customHeight="1">
      <c r="A144" s="54" t="n"/>
      <c r="B144" s="55">
        <f>IF($B$143="","",$B$143)</f>
        <v/>
      </c>
      <c r="C144" s="56" t="inlineStr">
        <is>
          <t>마케팅3팀</t>
        </is>
      </c>
      <c r="D144" s="55">
        <f>IF($D$143="","",$D$143)</f>
        <v/>
      </c>
      <c r="E144" s="57" t="inlineStr">
        <is>
          <t>이미지</t>
        </is>
      </c>
      <c r="F144" s="44" t="n"/>
      <c r="G144" s="58">
        <f>IF($G$143="","",$G$143)</f>
        <v/>
      </c>
      <c r="H144" s="59" t="n"/>
      <c r="I144" s="59" t="n"/>
      <c r="J144" s="59" t="n"/>
      <c r="K144" s="59" t="n"/>
      <c r="L144" s="60">
        <f>IF(SUM(U144:AY144)=0,"",SUM(U144:AY144))</f>
        <v/>
      </c>
      <c r="M144" s="61">
        <f>IFERROR(INDEX(U$2:AY$2,MATCH(TRUE,INDEX(U144:AY144&lt;&gt;"",0),0)),"")</f>
        <v/>
      </c>
      <c r="N144" s="61">
        <f>IFERROR(LOOKUP(2,1/(U144:AY144&lt;&gt;""),U$2:AY$2),"")</f>
        <v/>
      </c>
      <c r="O144" s="59" t="n"/>
      <c r="P144" s="59" t="n"/>
      <c r="Q144" s="59" t="n"/>
      <c r="R144" s="59" t="n"/>
      <c r="S144" s="14" t="n"/>
      <c r="U144" s="53" t="n"/>
      <c r="V144" s="53" t="n"/>
      <c r="W144" s="53" t="n"/>
      <c r="X144" s="53" t="n"/>
      <c r="Y144" s="53" t="n"/>
      <c r="Z144" s="53" t="n"/>
      <c r="AA144" s="53" t="n"/>
      <c r="AB144" s="53" t="n"/>
      <c r="AC144" s="53" t="n"/>
      <c r="AD144" s="53" t="n"/>
      <c r="AE144" s="53" t="n"/>
      <c r="AF144" s="53" t="n"/>
      <c r="AG144" s="53" t="n"/>
      <c r="AH144" s="53" t="n"/>
      <c r="AI144" s="53" t="n"/>
      <c r="AJ144" s="53" t="n"/>
      <c r="AK144" s="53" t="n"/>
      <c r="AL144" s="53" t="n"/>
      <c r="AM144" s="53" t="n"/>
      <c r="AN144" s="53" t="n"/>
      <c r="AO144" s="53" t="n"/>
      <c r="AP144" s="53" t="n"/>
      <c r="AQ144" s="53" t="n"/>
      <c r="AR144" s="53" t="n"/>
      <c r="AS144" s="53" t="n"/>
      <c r="AT144" s="53" t="n"/>
      <c r="AU144" s="53" t="n"/>
      <c r="AV144" s="53" t="n"/>
      <c r="AW144" s="53" t="n"/>
      <c r="AX144" s="53" t="n"/>
      <c r="AY144" s="53" t="n"/>
    </row>
    <row r="145" ht="15" customHeight="1">
      <c r="A145" s="62" t="n"/>
      <c r="B145" s="55">
        <f>IF($B$143="","",$B$143)</f>
        <v/>
      </c>
      <c r="C145" s="63" t="inlineStr">
        <is>
          <t>마케팅3팀</t>
        </is>
      </c>
      <c r="D145" s="55">
        <f>IF($D$143="","",$D$143)</f>
        <v/>
      </c>
      <c r="E145" s="64" t="inlineStr">
        <is>
          <t>영상</t>
        </is>
      </c>
      <c r="F145" s="44" t="n"/>
      <c r="G145" s="58">
        <f>IF($G$143="","",$G$143)</f>
        <v/>
      </c>
      <c r="H145" s="59" t="n"/>
      <c r="I145" s="59" t="n"/>
      <c r="J145" s="59" t="n"/>
      <c r="K145" s="59" t="n"/>
      <c r="L145" s="65">
        <f>IF(SUM(U145:AY145)=0,"",SUM(U145:AY145))</f>
        <v/>
      </c>
      <c r="M145" s="66">
        <f>IFERROR(INDEX(U$2:AY$2,MATCH(TRUE,INDEX(U145:AY145&lt;&gt;"",0),0)),"")</f>
        <v/>
      </c>
      <c r="N145" s="66">
        <f>IFERROR(LOOKUP(2,1/(U145:AY145&lt;&gt;""),U$2:AY$2),"")</f>
        <v/>
      </c>
      <c r="O145" s="59" t="n"/>
      <c r="P145" s="59" t="n"/>
      <c r="Q145" s="59" t="n"/>
      <c r="R145" s="59" t="n"/>
      <c r="S145" s="14" t="n"/>
      <c r="U145" s="53" t="n"/>
      <c r="V145" s="53" t="n"/>
      <c r="W145" s="53" t="n"/>
      <c r="X145" s="53" t="n"/>
      <c r="Y145" s="53" t="n"/>
      <c r="Z145" s="53" t="n"/>
      <c r="AA145" s="53" t="n"/>
      <c r="AB145" s="53" t="n"/>
      <c r="AC145" s="53" t="n"/>
      <c r="AD145" s="53" t="n"/>
      <c r="AE145" s="53" t="n"/>
      <c r="AF145" s="53" t="n"/>
      <c r="AG145" s="53" t="n"/>
      <c r="AH145" s="53" t="n"/>
      <c r="AI145" s="53" t="n"/>
      <c r="AJ145" s="53" t="n"/>
      <c r="AK145" s="53" t="n"/>
      <c r="AL145" s="53" t="n"/>
      <c r="AM145" s="53" t="n"/>
      <c r="AN145" s="53" t="n"/>
      <c r="AO145" s="53" t="n"/>
      <c r="AP145" s="53" t="n"/>
      <c r="AQ145" s="53" t="n"/>
      <c r="AR145" s="53" t="n"/>
      <c r="AS145" s="53" t="n"/>
      <c r="AT145" s="53" t="n"/>
      <c r="AU145" s="53" t="n"/>
      <c r="AV145" s="53" t="n"/>
      <c r="AW145" s="53" t="n"/>
      <c r="AX145" s="53" t="n"/>
      <c r="AY145" s="53" t="n"/>
    </row>
    <row r="146" ht="15" customHeight="1">
      <c r="A146" s="40">
        <f>IF($D$146="","",46)</f>
        <v/>
      </c>
      <c r="B146" s="10" t="n"/>
      <c r="C146" s="41" t="inlineStr">
        <is>
          <t>마케팅3팀</t>
        </is>
      </c>
      <c r="D146" s="42" t="n"/>
      <c r="E146" s="43" t="inlineStr">
        <is>
          <t>기획</t>
        </is>
      </c>
      <c r="F146" s="44" t="n"/>
      <c r="G146" s="45" t="n"/>
      <c r="H146" s="46">
        <f>IF($I$146="","",IF($I$146&lt;0,"🔴지연",IF($I$146&lt;=1,"🟡임박","🟢여유")))</f>
        <v/>
      </c>
      <c r="I146" s="47">
        <f>IF(OR($G$146="",$K$146=""),"",$G$146-$K$146)</f>
        <v/>
      </c>
      <c r="J146" s="48">
        <f>IF(SUM($L$146:$L$148)=0,"",SUM($L$146:$L$148))</f>
        <v/>
      </c>
      <c r="K146" s="49">
        <f>IF($J$146="","",MAX($N$146:$N$148))</f>
        <v/>
      </c>
      <c r="L146" s="50">
        <f>IF(SUM(U146:AY146)=0,"",SUM(U146:AY146))</f>
        <v/>
      </c>
      <c r="M146" s="51">
        <f>IFERROR(INDEX(U$2:AY$2,MATCH(TRUE,INDEX(U146:AY146&lt;&gt;"",0),0)),"")</f>
        <v/>
      </c>
      <c r="N146" s="51">
        <f>IFERROR(LOOKUP(2,1/(U146:AY146&lt;&gt;""),U$2:AY$2),"")</f>
        <v/>
      </c>
      <c r="O146" s="52" t="n"/>
      <c r="P146" s="52" t="n"/>
      <c r="Q146" s="52" t="n"/>
      <c r="R146" s="44" t="n"/>
      <c r="S146" s="14" t="n"/>
      <c r="U146" s="53" t="n"/>
      <c r="V146" s="53" t="n"/>
      <c r="W146" s="53" t="n"/>
      <c r="X146" s="53" t="n"/>
      <c r="Y146" s="53" t="n"/>
      <c r="Z146" s="53" t="n"/>
      <c r="AA146" s="53" t="n"/>
      <c r="AB146" s="53" t="n"/>
      <c r="AC146" s="53" t="n"/>
      <c r="AD146" s="53" t="n"/>
      <c r="AE146" s="53" t="n"/>
      <c r="AF146" s="53" t="n"/>
      <c r="AG146" s="53" t="n"/>
      <c r="AH146" s="53" t="n"/>
      <c r="AI146" s="53" t="n"/>
      <c r="AJ146" s="53" t="n"/>
      <c r="AK146" s="53" t="n"/>
      <c r="AL146" s="53" t="n"/>
      <c r="AM146" s="53" t="n"/>
      <c r="AN146" s="53" t="n"/>
      <c r="AO146" s="53" t="n"/>
      <c r="AP146" s="53" t="n"/>
      <c r="AQ146" s="53" t="n"/>
      <c r="AR146" s="53" t="n"/>
      <c r="AS146" s="53" t="n"/>
      <c r="AT146" s="53" t="n"/>
      <c r="AU146" s="53" t="n"/>
      <c r="AV146" s="53" t="n"/>
      <c r="AW146" s="53" t="n"/>
      <c r="AX146" s="53" t="n"/>
      <c r="AY146" s="53" t="n"/>
    </row>
    <row r="147" ht="15" customHeight="1">
      <c r="A147" s="54" t="n"/>
      <c r="B147" s="55">
        <f>IF($B$146="","",$B$146)</f>
        <v/>
      </c>
      <c r="C147" s="56" t="inlineStr">
        <is>
          <t>마케팅3팀</t>
        </is>
      </c>
      <c r="D147" s="55">
        <f>IF($D$146="","",$D$146)</f>
        <v/>
      </c>
      <c r="E147" s="57" t="inlineStr">
        <is>
          <t>이미지</t>
        </is>
      </c>
      <c r="F147" s="44" t="n"/>
      <c r="G147" s="58">
        <f>IF($G$146="","",$G$146)</f>
        <v/>
      </c>
      <c r="H147" s="59" t="n"/>
      <c r="I147" s="59" t="n"/>
      <c r="J147" s="59" t="n"/>
      <c r="K147" s="59" t="n"/>
      <c r="L147" s="60">
        <f>IF(SUM(U147:AY147)=0,"",SUM(U147:AY147))</f>
        <v/>
      </c>
      <c r="M147" s="61">
        <f>IFERROR(INDEX(U$2:AY$2,MATCH(TRUE,INDEX(U147:AY147&lt;&gt;"",0),0)),"")</f>
        <v/>
      </c>
      <c r="N147" s="61">
        <f>IFERROR(LOOKUP(2,1/(U147:AY147&lt;&gt;""),U$2:AY$2),"")</f>
        <v/>
      </c>
      <c r="O147" s="59" t="n"/>
      <c r="P147" s="59" t="n"/>
      <c r="Q147" s="59" t="n"/>
      <c r="R147" s="59" t="n"/>
      <c r="S147" s="14" t="n"/>
      <c r="U147" s="53" t="n"/>
      <c r="V147" s="53" t="n"/>
      <c r="W147" s="53" t="n"/>
      <c r="X147" s="53" t="n"/>
      <c r="Y147" s="53" t="n"/>
      <c r="Z147" s="53" t="n"/>
      <c r="AA147" s="53" t="n"/>
      <c r="AB147" s="53" t="n"/>
      <c r="AC147" s="53" t="n"/>
      <c r="AD147" s="53" t="n"/>
      <c r="AE147" s="53" t="n"/>
      <c r="AF147" s="53" t="n"/>
      <c r="AG147" s="53" t="n"/>
      <c r="AH147" s="53" t="n"/>
      <c r="AI147" s="53" t="n"/>
      <c r="AJ147" s="53" t="n"/>
      <c r="AK147" s="53" t="n"/>
      <c r="AL147" s="53" t="n"/>
      <c r="AM147" s="53" t="n"/>
      <c r="AN147" s="53" t="n"/>
      <c r="AO147" s="53" t="n"/>
      <c r="AP147" s="53" t="n"/>
      <c r="AQ147" s="53" t="n"/>
      <c r="AR147" s="53" t="n"/>
      <c r="AS147" s="53" t="n"/>
      <c r="AT147" s="53" t="n"/>
      <c r="AU147" s="53" t="n"/>
      <c r="AV147" s="53" t="n"/>
      <c r="AW147" s="53" t="n"/>
      <c r="AX147" s="53" t="n"/>
      <c r="AY147" s="53" t="n"/>
    </row>
    <row r="148" ht="15" customHeight="1">
      <c r="A148" s="62" t="n"/>
      <c r="B148" s="55">
        <f>IF($B$146="","",$B$146)</f>
        <v/>
      </c>
      <c r="C148" s="63" t="inlineStr">
        <is>
          <t>마케팅3팀</t>
        </is>
      </c>
      <c r="D148" s="55">
        <f>IF($D$146="","",$D$146)</f>
        <v/>
      </c>
      <c r="E148" s="64" t="inlineStr">
        <is>
          <t>영상</t>
        </is>
      </c>
      <c r="F148" s="44" t="n"/>
      <c r="G148" s="58">
        <f>IF($G$146="","",$G$146)</f>
        <v/>
      </c>
      <c r="H148" s="59" t="n"/>
      <c r="I148" s="59" t="n"/>
      <c r="J148" s="59" t="n"/>
      <c r="K148" s="59" t="n"/>
      <c r="L148" s="65">
        <f>IF(SUM(U148:AY148)=0,"",SUM(U148:AY148))</f>
        <v/>
      </c>
      <c r="M148" s="66">
        <f>IFERROR(INDEX(U$2:AY$2,MATCH(TRUE,INDEX(U148:AY148&lt;&gt;"",0),0)),"")</f>
        <v/>
      </c>
      <c r="N148" s="66">
        <f>IFERROR(LOOKUP(2,1/(U148:AY148&lt;&gt;""),U$2:AY$2),"")</f>
        <v/>
      </c>
      <c r="O148" s="59" t="n"/>
      <c r="P148" s="59" t="n"/>
      <c r="Q148" s="59" t="n"/>
      <c r="R148" s="59" t="n"/>
      <c r="S148" s="14" t="n"/>
      <c r="U148" s="53" t="n"/>
      <c r="V148" s="53" t="n"/>
      <c r="W148" s="53" t="n"/>
      <c r="X148" s="53" t="n"/>
      <c r="Y148" s="53" t="n"/>
      <c r="Z148" s="53" t="n"/>
      <c r="AA148" s="53" t="n"/>
      <c r="AB148" s="53" t="n"/>
      <c r="AC148" s="53" t="n"/>
      <c r="AD148" s="53" t="n"/>
      <c r="AE148" s="53" t="n"/>
      <c r="AF148" s="53" t="n"/>
      <c r="AG148" s="53" t="n"/>
      <c r="AH148" s="53" t="n"/>
      <c r="AI148" s="53" t="n"/>
      <c r="AJ148" s="53" t="n"/>
      <c r="AK148" s="53" t="n"/>
      <c r="AL148" s="53" t="n"/>
      <c r="AM148" s="53" t="n"/>
      <c r="AN148" s="53" t="n"/>
      <c r="AO148" s="53" t="n"/>
      <c r="AP148" s="53" t="n"/>
      <c r="AQ148" s="53" t="n"/>
      <c r="AR148" s="53" t="n"/>
      <c r="AS148" s="53" t="n"/>
      <c r="AT148" s="53" t="n"/>
      <c r="AU148" s="53" t="n"/>
      <c r="AV148" s="53" t="n"/>
      <c r="AW148" s="53" t="n"/>
      <c r="AX148" s="53" t="n"/>
      <c r="AY148" s="53" t="n"/>
    </row>
    <row r="149" ht="15" customHeight="1">
      <c r="A149" s="40">
        <f>IF($D$149="","",47)</f>
        <v/>
      </c>
      <c r="B149" s="10" t="n"/>
      <c r="C149" s="41" t="inlineStr">
        <is>
          <t>마케팅3팀</t>
        </is>
      </c>
      <c r="D149" s="42" t="n"/>
      <c r="E149" s="43" t="inlineStr">
        <is>
          <t>기획</t>
        </is>
      </c>
      <c r="F149" s="44" t="n"/>
      <c r="G149" s="45" t="n"/>
      <c r="H149" s="46">
        <f>IF($I$149="","",IF($I$149&lt;0,"🔴지연",IF($I$149&lt;=1,"🟡임박","🟢여유")))</f>
        <v/>
      </c>
      <c r="I149" s="47">
        <f>IF(OR($G$149="",$K$149=""),"",$G$149-$K$149)</f>
        <v/>
      </c>
      <c r="J149" s="48">
        <f>IF(SUM($L$149:$L$151)=0,"",SUM($L$149:$L$151))</f>
        <v/>
      </c>
      <c r="K149" s="49">
        <f>IF($J$149="","",MAX($N$149:$N$151))</f>
        <v/>
      </c>
      <c r="L149" s="50">
        <f>IF(SUM(U149:AY149)=0,"",SUM(U149:AY149))</f>
        <v/>
      </c>
      <c r="M149" s="51">
        <f>IFERROR(INDEX(U$2:AY$2,MATCH(TRUE,INDEX(U149:AY149&lt;&gt;"",0),0)),"")</f>
        <v/>
      </c>
      <c r="N149" s="51">
        <f>IFERROR(LOOKUP(2,1/(U149:AY149&lt;&gt;""),U$2:AY$2),"")</f>
        <v/>
      </c>
      <c r="O149" s="52" t="n"/>
      <c r="P149" s="52" t="n"/>
      <c r="Q149" s="52" t="n"/>
      <c r="R149" s="44" t="n"/>
      <c r="S149" s="14" t="n"/>
      <c r="U149" s="53" t="n"/>
      <c r="V149" s="53" t="n"/>
      <c r="W149" s="53" t="n"/>
      <c r="X149" s="53" t="n"/>
      <c r="Y149" s="53" t="n"/>
      <c r="Z149" s="53" t="n"/>
      <c r="AA149" s="53" t="n"/>
      <c r="AB149" s="53" t="n"/>
      <c r="AC149" s="53" t="n"/>
      <c r="AD149" s="53" t="n"/>
      <c r="AE149" s="53" t="n"/>
      <c r="AF149" s="53" t="n"/>
      <c r="AG149" s="53" t="n"/>
      <c r="AH149" s="53" t="n"/>
      <c r="AI149" s="53" t="n"/>
      <c r="AJ149" s="53" t="n"/>
      <c r="AK149" s="53" t="n"/>
      <c r="AL149" s="53" t="n"/>
      <c r="AM149" s="53" t="n"/>
      <c r="AN149" s="53" t="n"/>
      <c r="AO149" s="53" t="n"/>
      <c r="AP149" s="53" t="n"/>
      <c r="AQ149" s="53" t="n"/>
      <c r="AR149" s="53" t="n"/>
      <c r="AS149" s="53" t="n"/>
      <c r="AT149" s="53" t="n"/>
      <c r="AU149" s="53" t="n"/>
      <c r="AV149" s="53" t="n"/>
      <c r="AW149" s="53" t="n"/>
      <c r="AX149" s="53" t="n"/>
      <c r="AY149" s="53" t="n"/>
    </row>
    <row r="150" ht="15" customHeight="1">
      <c r="A150" s="54" t="n"/>
      <c r="B150" s="55">
        <f>IF($B$149="","",$B$149)</f>
        <v/>
      </c>
      <c r="C150" s="56" t="inlineStr">
        <is>
          <t>마케팅3팀</t>
        </is>
      </c>
      <c r="D150" s="55">
        <f>IF($D$149="","",$D$149)</f>
        <v/>
      </c>
      <c r="E150" s="57" t="inlineStr">
        <is>
          <t>이미지</t>
        </is>
      </c>
      <c r="F150" s="44" t="n"/>
      <c r="G150" s="58">
        <f>IF($G$149="","",$G$149)</f>
        <v/>
      </c>
      <c r="H150" s="59" t="n"/>
      <c r="I150" s="59" t="n"/>
      <c r="J150" s="59" t="n"/>
      <c r="K150" s="59" t="n"/>
      <c r="L150" s="60">
        <f>IF(SUM(U150:AY150)=0,"",SUM(U150:AY150))</f>
        <v/>
      </c>
      <c r="M150" s="61">
        <f>IFERROR(INDEX(U$2:AY$2,MATCH(TRUE,INDEX(U150:AY150&lt;&gt;"",0),0)),"")</f>
        <v/>
      </c>
      <c r="N150" s="61">
        <f>IFERROR(LOOKUP(2,1/(U150:AY150&lt;&gt;""),U$2:AY$2),"")</f>
        <v/>
      </c>
      <c r="O150" s="59" t="n"/>
      <c r="P150" s="59" t="n"/>
      <c r="Q150" s="59" t="n"/>
      <c r="R150" s="59" t="n"/>
      <c r="S150" s="14" t="n"/>
      <c r="U150" s="53" t="n"/>
      <c r="V150" s="53" t="n"/>
      <c r="W150" s="53" t="n"/>
      <c r="X150" s="53" t="n"/>
      <c r="Y150" s="53" t="n"/>
      <c r="Z150" s="53" t="n"/>
      <c r="AA150" s="53" t="n"/>
      <c r="AB150" s="53" t="n"/>
      <c r="AC150" s="53" t="n"/>
      <c r="AD150" s="53" t="n"/>
      <c r="AE150" s="53" t="n"/>
      <c r="AF150" s="53" t="n"/>
      <c r="AG150" s="53" t="n"/>
      <c r="AH150" s="53" t="n"/>
      <c r="AI150" s="53" t="n"/>
      <c r="AJ150" s="53" t="n"/>
      <c r="AK150" s="53" t="n"/>
      <c r="AL150" s="53" t="n"/>
      <c r="AM150" s="53" t="n"/>
      <c r="AN150" s="53" t="n"/>
      <c r="AO150" s="53" t="n"/>
      <c r="AP150" s="53" t="n"/>
      <c r="AQ150" s="53" t="n"/>
      <c r="AR150" s="53" t="n"/>
      <c r="AS150" s="53" t="n"/>
      <c r="AT150" s="53" t="n"/>
      <c r="AU150" s="53" t="n"/>
      <c r="AV150" s="53" t="n"/>
      <c r="AW150" s="53" t="n"/>
      <c r="AX150" s="53" t="n"/>
      <c r="AY150" s="53" t="n"/>
    </row>
    <row r="151" ht="15" customHeight="1">
      <c r="A151" s="62" t="n"/>
      <c r="B151" s="55">
        <f>IF($B$149="","",$B$149)</f>
        <v/>
      </c>
      <c r="C151" s="63" t="inlineStr">
        <is>
          <t>마케팅3팀</t>
        </is>
      </c>
      <c r="D151" s="55">
        <f>IF($D$149="","",$D$149)</f>
        <v/>
      </c>
      <c r="E151" s="64" t="inlineStr">
        <is>
          <t>영상</t>
        </is>
      </c>
      <c r="F151" s="44" t="n"/>
      <c r="G151" s="58">
        <f>IF($G$149="","",$G$149)</f>
        <v/>
      </c>
      <c r="H151" s="59" t="n"/>
      <c r="I151" s="59" t="n"/>
      <c r="J151" s="59" t="n"/>
      <c r="K151" s="59" t="n"/>
      <c r="L151" s="65">
        <f>IF(SUM(U151:AY151)=0,"",SUM(U151:AY151))</f>
        <v/>
      </c>
      <c r="M151" s="66">
        <f>IFERROR(INDEX(U$2:AY$2,MATCH(TRUE,INDEX(U151:AY151&lt;&gt;"",0),0)),"")</f>
        <v/>
      </c>
      <c r="N151" s="66">
        <f>IFERROR(LOOKUP(2,1/(U151:AY151&lt;&gt;""),U$2:AY$2),"")</f>
        <v/>
      </c>
      <c r="O151" s="59" t="n"/>
      <c r="P151" s="59" t="n"/>
      <c r="Q151" s="59" t="n"/>
      <c r="R151" s="59" t="n"/>
      <c r="S151" s="14" t="n"/>
      <c r="U151" s="53" t="n"/>
      <c r="V151" s="53" t="n"/>
      <c r="W151" s="53" t="n"/>
      <c r="X151" s="53" t="n"/>
      <c r="Y151" s="53" t="n"/>
      <c r="Z151" s="53" t="n"/>
      <c r="AA151" s="53" t="n"/>
      <c r="AB151" s="53" t="n"/>
      <c r="AC151" s="53" t="n"/>
      <c r="AD151" s="53" t="n"/>
      <c r="AE151" s="53" t="n"/>
      <c r="AF151" s="53" t="n"/>
      <c r="AG151" s="53" t="n"/>
      <c r="AH151" s="53" t="n"/>
      <c r="AI151" s="53" t="n"/>
      <c r="AJ151" s="53" t="n"/>
      <c r="AK151" s="53" t="n"/>
      <c r="AL151" s="53" t="n"/>
      <c r="AM151" s="53" t="n"/>
      <c r="AN151" s="53" t="n"/>
      <c r="AO151" s="53" t="n"/>
      <c r="AP151" s="53" t="n"/>
      <c r="AQ151" s="53" t="n"/>
      <c r="AR151" s="53" t="n"/>
      <c r="AS151" s="53" t="n"/>
      <c r="AT151" s="53" t="n"/>
      <c r="AU151" s="53" t="n"/>
      <c r="AV151" s="53" t="n"/>
      <c r="AW151" s="53" t="n"/>
      <c r="AX151" s="53" t="n"/>
      <c r="AY151" s="53" t="n"/>
    </row>
    <row r="152" ht="15" customHeight="1">
      <c r="A152" s="40">
        <f>IF($D$152="","",48)</f>
        <v/>
      </c>
      <c r="B152" s="10" t="n"/>
      <c r="C152" s="41" t="inlineStr">
        <is>
          <t>마케팅3팀</t>
        </is>
      </c>
      <c r="D152" s="42" t="n"/>
      <c r="E152" s="43" t="inlineStr">
        <is>
          <t>기획</t>
        </is>
      </c>
      <c r="F152" s="44" t="n"/>
      <c r="G152" s="45" t="n"/>
      <c r="H152" s="46">
        <f>IF($I$152="","",IF($I$152&lt;0,"🔴지연",IF($I$152&lt;=1,"🟡임박","🟢여유")))</f>
        <v/>
      </c>
      <c r="I152" s="47">
        <f>IF(OR($G$152="",$K$152=""),"",$G$152-$K$152)</f>
        <v/>
      </c>
      <c r="J152" s="48">
        <f>IF(SUM($L$152:$L$154)=0,"",SUM($L$152:$L$154))</f>
        <v/>
      </c>
      <c r="K152" s="49">
        <f>IF($J$152="","",MAX($N$152:$N$154))</f>
        <v/>
      </c>
      <c r="L152" s="50">
        <f>IF(SUM(U152:AY152)=0,"",SUM(U152:AY152))</f>
        <v/>
      </c>
      <c r="M152" s="51">
        <f>IFERROR(INDEX(U$2:AY$2,MATCH(TRUE,INDEX(U152:AY152&lt;&gt;"",0),0)),"")</f>
        <v/>
      </c>
      <c r="N152" s="51">
        <f>IFERROR(LOOKUP(2,1/(U152:AY152&lt;&gt;""),U$2:AY$2),"")</f>
        <v/>
      </c>
      <c r="O152" s="52" t="n"/>
      <c r="P152" s="52" t="n"/>
      <c r="Q152" s="52" t="n"/>
      <c r="R152" s="44" t="n"/>
      <c r="S152" s="14" t="n"/>
      <c r="U152" s="53" t="n"/>
      <c r="V152" s="53" t="n"/>
      <c r="W152" s="53" t="n"/>
      <c r="X152" s="53" t="n"/>
      <c r="Y152" s="53" t="n"/>
      <c r="Z152" s="53" t="n"/>
      <c r="AA152" s="53" t="n"/>
      <c r="AB152" s="53" t="n"/>
      <c r="AC152" s="53" t="n"/>
      <c r="AD152" s="53" t="n"/>
      <c r="AE152" s="53" t="n"/>
      <c r="AF152" s="53" t="n"/>
      <c r="AG152" s="53" t="n"/>
      <c r="AH152" s="53" t="n"/>
      <c r="AI152" s="53" t="n"/>
      <c r="AJ152" s="53" t="n"/>
      <c r="AK152" s="53" t="n"/>
      <c r="AL152" s="53" t="n"/>
      <c r="AM152" s="53" t="n"/>
      <c r="AN152" s="53" t="n"/>
      <c r="AO152" s="53" t="n"/>
      <c r="AP152" s="53" t="n"/>
      <c r="AQ152" s="53" t="n"/>
      <c r="AR152" s="53" t="n"/>
      <c r="AS152" s="53" t="n"/>
      <c r="AT152" s="53" t="n"/>
      <c r="AU152" s="53" t="n"/>
      <c r="AV152" s="53" t="n"/>
      <c r="AW152" s="53" t="n"/>
      <c r="AX152" s="53" t="n"/>
      <c r="AY152" s="53" t="n"/>
    </row>
    <row r="153" ht="15" customHeight="1">
      <c r="A153" s="54" t="n"/>
      <c r="B153" s="55">
        <f>IF($B$152="","",$B$152)</f>
        <v/>
      </c>
      <c r="C153" s="56" t="inlineStr">
        <is>
          <t>마케팅3팀</t>
        </is>
      </c>
      <c r="D153" s="55">
        <f>IF($D$152="","",$D$152)</f>
        <v/>
      </c>
      <c r="E153" s="57" t="inlineStr">
        <is>
          <t>이미지</t>
        </is>
      </c>
      <c r="F153" s="44" t="n"/>
      <c r="G153" s="58">
        <f>IF($G$152="","",$G$152)</f>
        <v/>
      </c>
      <c r="H153" s="59" t="n"/>
      <c r="I153" s="59" t="n"/>
      <c r="J153" s="59" t="n"/>
      <c r="K153" s="59" t="n"/>
      <c r="L153" s="60">
        <f>IF(SUM(U153:AY153)=0,"",SUM(U153:AY153))</f>
        <v/>
      </c>
      <c r="M153" s="61">
        <f>IFERROR(INDEX(U$2:AY$2,MATCH(TRUE,INDEX(U153:AY153&lt;&gt;"",0),0)),"")</f>
        <v/>
      </c>
      <c r="N153" s="61">
        <f>IFERROR(LOOKUP(2,1/(U153:AY153&lt;&gt;""),U$2:AY$2),"")</f>
        <v/>
      </c>
      <c r="O153" s="59" t="n"/>
      <c r="P153" s="59" t="n"/>
      <c r="Q153" s="59" t="n"/>
      <c r="R153" s="59" t="n"/>
      <c r="S153" s="14" t="n"/>
      <c r="U153" s="53" t="n"/>
      <c r="V153" s="53" t="n"/>
      <c r="W153" s="53" t="n"/>
      <c r="X153" s="53" t="n"/>
      <c r="Y153" s="53" t="n"/>
      <c r="Z153" s="53" t="n"/>
      <c r="AA153" s="53" t="n"/>
      <c r="AB153" s="53" t="n"/>
      <c r="AC153" s="53" t="n"/>
      <c r="AD153" s="53" t="n"/>
      <c r="AE153" s="53" t="n"/>
      <c r="AF153" s="53" t="n"/>
      <c r="AG153" s="53" t="n"/>
      <c r="AH153" s="53" t="n"/>
      <c r="AI153" s="53" t="n"/>
      <c r="AJ153" s="53" t="n"/>
      <c r="AK153" s="53" t="n"/>
      <c r="AL153" s="53" t="n"/>
      <c r="AM153" s="53" t="n"/>
      <c r="AN153" s="53" t="n"/>
      <c r="AO153" s="53" t="n"/>
      <c r="AP153" s="53" t="n"/>
      <c r="AQ153" s="53" t="n"/>
      <c r="AR153" s="53" t="n"/>
      <c r="AS153" s="53" t="n"/>
      <c r="AT153" s="53" t="n"/>
      <c r="AU153" s="53" t="n"/>
      <c r="AV153" s="53" t="n"/>
      <c r="AW153" s="53" t="n"/>
      <c r="AX153" s="53" t="n"/>
      <c r="AY153" s="53" t="n"/>
    </row>
    <row r="154" ht="15" customHeight="1">
      <c r="A154" s="62" t="n"/>
      <c r="B154" s="55">
        <f>IF($B$152="","",$B$152)</f>
        <v/>
      </c>
      <c r="C154" s="63" t="inlineStr">
        <is>
          <t>마케팅3팀</t>
        </is>
      </c>
      <c r="D154" s="55">
        <f>IF($D$152="","",$D$152)</f>
        <v/>
      </c>
      <c r="E154" s="64" t="inlineStr">
        <is>
          <t>영상</t>
        </is>
      </c>
      <c r="F154" s="44" t="n"/>
      <c r="G154" s="58">
        <f>IF($G$152="","",$G$152)</f>
        <v/>
      </c>
      <c r="H154" s="59" t="n"/>
      <c r="I154" s="59" t="n"/>
      <c r="J154" s="59" t="n"/>
      <c r="K154" s="59" t="n"/>
      <c r="L154" s="65">
        <f>IF(SUM(U154:AY154)=0,"",SUM(U154:AY154))</f>
        <v/>
      </c>
      <c r="M154" s="66">
        <f>IFERROR(INDEX(U$2:AY$2,MATCH(TRUE,INDEX(U154:AY154&lt;&gt;"",0),0)),"")</f>
        <v/>
      </c>
      <c r="N154" s="66">
        <f>IFERROR(LOOKUP(2,1/(U154:AY154&lt;&gt;""),U$2:AY$2),"")</f>
        <v/>
      </c>
      <c r="O154" s="59" t="n"/>
      <c r="P154" s="59" t="n"/>
      <c r="Q154" s="59" t="n"/>
      <c r="R154" s="59" t="n"/>
      <c r="S154" s="14" t="n"/>
      <c r="U154" s="53" t="n"/>
      <c r="V154" s="53" t="n"/>
      <c r="W154" s="53" t="n"/>
      <c r="X154" s="53" t="n"/>
      <c r="Y154" s="53" t="n"/>
      <c r="Z154" s="53" t="n"/>
      <c r="AA154" s="53" t="n"/>
      <c r="AB154" s="53" t="n"/>
      <c r="AC154" s="53" t="n"/>
      <c r="AD154" s="53" t="n"/>
      <c r="AE154" s="53" t="n"/>
      <c r="AF154" s="53" t="n"/>
      <c r="AG154" s="53" t="n"/>
      <c r="AH154" s="53" t="n"/>
      <c r="AI154" s="53" t="n"/>
      <c r="AJ154" s="53" t="n"/>
      <c r="AK154" s="53" t="n"/>
      <c r="AL154" s="53" t="n"/>
      <c r="AM154" s="53" t="n"/>
      <c r="AN154" s="53" t="n"/>
      <c r="AO154" s="53" t="n"/>
      <c r="AP154" s="53" t="n"/>
      <c r="AQ154" s="53" t="n"/>
      <c r="AR154" s="53" t="n"/>
      <c r="AS154" s="53" t="n"/>
      <c r="AT154" s="53" t="n"/>
      <c r="AU154" s="53" t="n"/>
      <c r="AV154" s="53" t="n"/>
      <c r="AW154" s="53" t="n"/>
      <c r="AX154" s="53" t="n"/>
      <c r="AY154" s="53" t="n"/>
    </row>
    <row r="155" ht="15" customHeight="1">
      <c r="A155" s="40">
        <f>IF($D$155="","",49)</f>
        <v/>
      </c>
      <c r="B155" s="10" t="n"/>
      <c r="C155" s="41" t="inlineStr">
        <is>
          <t>마케팅3팀</t>
        </is>
      </c>
      <c r="D155" s="42" t="n"/>
      <c r="E155" s="43" t="inlineStr">
        <is>
          <t>기획</t>
        </is>
      </c>
      <c r="F155" s="44" t="n"/>
      <c r="G155" s="45" t="n"/>
      <c r="H155" s="46">
        <f>IF($I$155="","",IF($I$155&lt;0,"🔴지연",IF($I$155&lt;=1,"🟡임박","🟢여유")))</f>
        <v/>
      </c>
      <c r="I155" s="47">
        <f>IF(OR($G$155="",$K$155=""),"",$G$155-$K$155)</f>
        <v/>
      </c>
      <c r="J155" s="48">
        <f>IF(SUM($L$155:$L$157)=0,"",SUM($L$155:$L$157))</f>
        <v/>
      </c>
      <c r="K155" s="49">
        <f>IF($J$155="","",MAX($N$155:$N$157))</f>
        <v/>
      </c>
      <c r="L155" s="50">
        <f>IF(SUM(U155:AY155)=0,"",SUM(U155:AY155))</f>
        <v/>
      </c>
      <c r="M155" s="51">
        <f>IFERROR(INDEX(U$2:AY$2,MATCH(TRUE,INDEX(U155:AY155&lt;&gt;"",0),0)),"")</f>
        <v/>
      </c>
      <c r="N155" s="51">
        <f>IFERROR(LOOKUP(2,1/(U155:AY155&lt;&gt;""),U$2:AY$2),"")</f>
        <v/>
      </c>
      <c r="O155" s="52" t="n"/>
      <c r="P155" s="52" t="n"/>
      <c r="Q155" s="52" t="n"/>
      <c r="R155" s="44" t="n"/>
      <c r="S155" s="14" t="n"/>
      <c r="U155" s="53" t="n"/>
      <c r="V155" s="53" t="n"/>
      <c r="W155" s="53" t="n"/>
      <c r="X155" s="53" t="n"/>
      <c r="Y155" s="53" t="n"/>
      <c r="Z155" s="53" t="n"/>
      <c r="AA155" s="53" t="n"/>
      <c r="AB155" s="53" t="n"/>
      <c r="AC155" s="53" t="n"/>
      <c r="AD155" s="53" t="n"/>
      <c r="AE155" s="53" t="n"/>
      <c r="AF155" s="53" t="n"/>
      <c r="AG155" s="53" t="n"/>
      <c r="AH155" s="53" t="n"/>
      <c r="AI155" s="53" t="n"/>
      <c r="AJ155" s="53" t="n"/>
      <c r="AK155" s="53" t="n"/>
      <c r="AL155" s="53" t="n"/>
      <c r="AM155" s="53" t="n"/>
      <c r="AN155" s="53" t="n"/>
      <c r="AO155" s="53" t="n"/>
      <c r="AP155" s="53" t="n"/>
      <c r="AQ155" s="53" t="n"/>
      <c r="AR155" s="53" t="n"/>
      <c r="AS155" s="53" t="n"/>
      <c r="AT155" s="53" t="n"/>
      <c r="AU155" s="53" t="n"/>
      <c r="AV155" s="53" t="n"/>
      <c r="AW155" s="53" t="n"/>
      <c r="AX155" s="53" t="n"/>
      <c r="AY155" s="53" t="n"/>
    </row>
    <row r="156" ht="15" customHeight="1">
      <c r="A156" s="54" t="n"/>
      <c r="B156" s="55">
        <f>IF($B$155="","",$B$155)</f>
        <v/>
      </c>
      <c r="C156" s="56" t="inlineStr">
        <is>
          <t>마케팅3팀</t>
        </is>
      </c>
      <c r="D156" s="55">
        <f>IF($D$155="","",$D$155)</f>
        <v/>
      </c>
      <c r="E156" s="57" t="inlineStr">
        <is>
          <t>이미지</t>
        </is>
      </c>
      <c r="F156" s="44" t="n"/>
      <c r="G156" s="58">
        <f>IF($G$155="","",$G$155)</f>
        <v/>
      </c>
      <c r="H156" s="59" t="n"/>
      <c r="I156" s="59" t="n"/>
      <c r="J156" s="59" t="n"/>
      <c r="K156" s="59" t="n"/>
      <c r="L156" s="60">
        <f>IF(SUM(U156:AY156)=0,"",SUM(U156:AY156))</f>
        <v/>
      </c>
      <c r="M156" s="61">
        <f>IFERROR(INDEX(U$2:AY$2,MATCH(TRUE,INDEX(U156:AY156&lt;&gt;"",0),0)),"")</f>
        <v/>
      </c>
      <c r="N156" s="61">
        <f>IFERROR(LOOKUP(2,1/(U156:AY156&lt;&gt;""),U$2:AY$2),"")</f>
        <v/>
      </c>
      <c r="O156" s="59" t="n"/>
      <c r="P156" s="59" t="n"/>
      <c r="Q156" s="59" t="n"/>
      <c r="R156" s="59" t="n"/>
      <c r="S156" s="14" t="n"/>
      <c r="U156" s="53" t="n"/>
      <c r="V156" s="53" t="n"/>
      <c r="W156" s="53" t="n"/>
      <c r="X156" s="53" t="n"/>
      <c r="Y156" s="53" t="n"/>
      <c r="Z156" s="53" t="n"/>
      <c r="AA156" s="53" t="n"/>
      <c r="AB156" s="53" t="n"/>
      <c r="AC156" s="53" t="n"/>
      <c r="AD156" s="53" t="n"/>
      <c r="AE156" s="53" t="n"/>
      <c r="AF156" s="53" t="n"/>
      <c r="AG156" s="53" t="n"/>
      <c r="AH156" s="53" t="n"/>
      <c r="AI156" s="53" t="n"/>
      <c r="AJ156" s="53" t="n"/>
      <c r="AK156" s="53" t="n"/>
      <c r="AL156" s="53" t="n"/>
      <c r="AM156" s="53" t="n"/>
      <c r="AN156" s="53" t="n"/>
      <c r="AO156" s="53" t="n"/>
      <c r="AP156" s="53" t="n"/>
      <c r="AQ156" s="53" t="n"/>
      <c r="AR156" s="53" t="n"/>
      <c r="AS156" s="53" t="n"/>
      <c r="AT156" s="53" t="n"/>
      <c r="AU156" s="53" t="n"/>
      <c r="AV156" s="53" t="n"/>
      <c r="AW156" s="53" t="n"/>
      <c r="AX156" s="53" t="n"/>
      <c r="AY156" s="53" t="n"/>
    </row>
    <row r="157" ht="15" customHeight="1">
      <c r="A157" s="62" t="n"/>
      <c r="B157" s="55">
        <f>IF($B$155="","",$B$155)</f>
        <v/>
      </c>
      <c r="C157" s="63" t="inlineStr">
        <is>
          <t>마케팅3팀</t>
        </is>
      </c>
      <c r="D157" s="55">
        <f>IF($D$155="","",$D$155)</f>
        <v/>
      </c>
      <c r="E157" s="64" t="inlineStr">
        <is>
          <t>영상</t>
        </is>
      </c>
      <c r="F157" s="44" t="n"/>
      <c r="G157" s="58">
        <f>IF($G$155="","",$G$155)</f>
        <v/>
      </c>
      <c r="H157" s="59" t="n"/>
      <c r="I157" s="59" t="n"/>
      <c r="J157" s="59" t="n"/>
      <c r="K157" s="59" t="n"/>
      <c r="L157" s="65">
        <f>IF(SUM(U157:AY157)=0,"",SUM(U157:AY157))</f>
        <v/>
      </c>
      <c r="M157" s="66">
        <f>IFERROR(INDEX(U$2:AY$2,MATCH(TRUE,INDEX(U157:AY157&lt;&gt;"",0),0)),"")</f>
        <v/>
      </c>
      <c r="N157" s="66">
        <f>IFERROR(LOOKUP(2,1/(U157:AY157&lt;&gt;""),U$2:AY$2),"")</f>
        <v/>
      </c>
      <c r="O157" s="59" t="n"/>
      <c r="P157" s="59" t="n"/>
      <c r="Q157" s="59" t="n"/>
      <c r="R157" s="59" t="n"/>
      <c r="S157" s="14" t="n"/>
      <c r="U157" s="53" t="n"/>
      <c r="V157" s="53" t="n"/>
      <c r="W157" s="53" t="n"/>
      <c r="X157" s="53" t="n"/>
      <c r="Y157" s="53" t="n"/>
      <c r="Z157" s="53" t="n"/>
      <c r="AA157" s="53" t="n"/>
      <c r="AB157" s="53" t="n"/>
      <c r="AC157" s="53" t="n"/>
      <c r="AD157" s="53" t="n"/>
      <c r="AE157" s="53" t="n"/>
      <c r="AF157" s="53" t="n"/>
      <c r="AG157" s="53" t="n"/>
      <c r="AH157" s="53" t="n"/>
      <c r="AI157" s="53" t="n"/>
      <c r="AJ157" s="53" t="n"/>
      <c r="AK157" s="53" t="n"/>
      <c r="AL157" s="53" t="n"/>
      <c r="AM157" s="53" t="n"/>
      <c r="AN157" s="53" t="n"/>
      <c r="AO157" s="53" t="n"/>
      <c r="AP157" s="53" t="n"/>
      <c r="AQ157" s="53" t="n"/>
      <c r="AR157" s="53" t="n"/>
      <c r="AS157" s="53" t="n"/>
      <c r="AT157" s="53" t="n"/>
      <c r="AU157" s="53" t="n"/>
      <c r="AV157" s="53" t="n"/>
      <c r="AW157" s="53" t="n"/>
      <c r="AX157" s="53" t="n"/>
      <c r="AY157" s="53" t="n"/>
    </row>
    <row r="158" ht="15" customHeight="1">
      <c r="A158" s="40">
        <f>IF($D$158="","",50)</f>
        <v/>
      </c>
      <c r="B158" s="10" t="n"/>
      <c r="C158" s="41" t="inlineStr">
        <is>
          <t>마케팅3팀</t>
        </is>
      </c>
      <c r="D158" s="42" t="n"/>
      <c r="E158" s="43" t="inlineStr">
        <is>
          <t>기획</t>
        </is>
      </c>
      <c r="F158" s="44" t="n"/>
      <c r="G158" s="45" t="n"/>
      <c r="H158" s="46">
        <f>IF($I$158="","",IF($I$158&lt;0,"🔴지연",IF($I$158&lt;=1,"🟡임박","🟢여유")))</f>
        <v/>
      </c>
      <c r="I158" s="47">
        <f>IF(OR($G$158="",$K$158=""),"",$G$158-$K$158)</f>
        <v/>
      </c>
      <c r="J158" s="48">
        <f>IF(SUM($L$158:$L$160)=0,"",SUM($L$158:$L$160))</f>
        <v/>
      </c>
      <c r="K158" s="49">
        <f>IF($J$158="","",MAX($N$158:$N$160))</f>
        <v/>
      </c>
      <c r="L158" s="50">
        <f>IF(SUM(U158:AY158)=0,"",SUM(U158:AY158))</f>
        <v/>
      </c>
      <c r="M158" s="51">
        <f>IFERROR(INDEX(U$2:AY$2,MATCH(TRUE,INDEX(U158:AY158&lt;&gt;"",0),0)),"")</f>
        <v/>
      </c>
      <c r="N158" s="51">
        <f>IFERROR(LOOKUP(2,1/(U158:AY158&lt;&gt;""),U$2:AY$2),"")</f>
        <v/>
      </c>
      <c r="O158" s="52" t="n"/>
      <c r="P158" s="52" t="n"/>
      <c r="Q158" s="52" t="n"/>
      <c r="R158" s="44" t="n"/>
      <c r="S158" s="14" t="n"/>
      <c r="U158" s="53" t="n"/>
      <c r="V158" s="53" t="n"/>
      <c r="W158" s="53" t="n"/>
      <c r="X158" s="53" t="n"/>
      <c r="Y158" s="53" t="n"/>
      <c r="Z158" s="53" t="n"/>
      <c r="AA158" s="53" t="n"/>
      <c r="AB158" s="53" t="n"/>
      <c r="AC158" s="53" t="n"/>
      <c r="AD158" s="53" t="n"/>
      <c r="AE158" s="53" t="n"/>
      <c r="AF158" s="53" t="n"/>
      <c r="AG158" s="53" t="n"/>
      <c r="AH158" s="53" t="n"/>
      <c r="AI158" s="53" t="n"/>
      <c r="AJ158" s="53" t="n"/>
      <c r="AK158" s="53" t="n"/>
      <c r="AL158" s="53" t="n"/>
      <c r="AM158" s="53" t="n"/>
      <c r="AN158" s="53" t="n"/>
      <c r="AO158" s="53" t="n"/>
      <c r="AP158" s="53" t="n"/>
      <c r="AQ158" s="53" t="n"/>
      <c r="AR158" s="53" t="n"/>
      <c r="AS158" s="53" t="n"/>
      <c r="AT158" s="53" t="n"/>
      <c r="AU158" s="53" t="n"/>
      <c r="AV158" s="53" t="n"/>
      <c r="AW158" s="53" t="n"/>
      <c r="AX158" s="53" t="n"/>
      <c r="AY158" s="53" t="n"/>
    </row>
    <row r="159" ht="15" customHeight="1">
      <c r="A159" s="54" t="n"/>
      <c r="B159" s="55">
        <f>IF($B$158="","",$B$158)</f>
        <v/>
      </c>
      <c r="C159" s="56" t="inlineStr">
        <is>
          <t>마케팅3팀</t>
        </is>
      </c>
      <c r="D159" s="55">
        <f>IF($D$158="","",$D$158)</f>
        <v/>
      </c>
      <c r="E159" s="57" t="inlineStr">
        <is>
          <t>이미지</t>
        </is>
      </c>
      <c r="F159" s="44" t="n"/>
      <c r="G159" s="58">
        <f>IF($G$158="","",$G$158)</f>
        <v/>
      </c>
      <c r="H159" s="59" t="n"/>
      <c r="I159" s="59" t="n"/>
      <c r="J159" s="59" t="n"/>
      <c r="K159" s="59" t="n"/>
      <c r="L159" s="60">
        <f>IF(SUM(U159:AY159)=0,"",SUM(U159:AY159))</f>
        <v/>
      </c>
      <c r="M159" s="61">
        <f>IFERROR(INDEX(U$2:AY$2,MATCH(TRUE,INDEX(U159:AY159&lt;&gt;"",0),0)),"")</f>
        <v/>
      </c>
      <c r="N159" s="61">
        <f>IFERROR(LOOKUP(2,1/(U159:AY159&lt;&gt;""),U$2:AY$2),"")</f>
        <v/>
      </c>
      <c r="O159" s="59" t="n"/>
      <c r="P159" s="59" t="n"/>
      <c r="Q159" s="59" t="n"/>
      <c r="R159" s="59" t="n"/>
      <c r="S159" s="14" t="n"/>
      <c r="U159" s="53" t="n"/>
      <c r="V159" s="53" t="n"/>
      <c r="W159" s="53" t="n"/>
      <c r="X159" s="53" t="n"/>
      <c r="Y159" s="53" t="n"/>
      <c r="Z159" s="53" t="n"/>
      <c r="AA159" s="53" t="n"/>
      <c r="AB159" s="53" t="n"/>
      <c r="AC159" s="53" t="n"/>
      <c r="AD159" s="53" t="n"/>
      <c r="AE159" s="53" t="n"/>
      <c r="AF159" s="53" t="n"/>
      <c r="AG159" s="53" t="n"/>
      <c r="AH159" s="53" t="n"/>
      <c r="AI159" s="53" t="n"/>
      <c r="AJ159" s="53" t="n"/>
      <c r="AK159" s="53" t="n"/>
      <c r="AL159" s="53" t="n"/>
      <c r="AM159" s="53" t="n"/>
      <c r="AN159" s="53" t="n"/>
      <c r="AO159" s="53" t="n"/>
      <c r="AP159" s="53" t="n"/>
      <c r="AQ159" s="53" t="n"/>
      <c r="AR159" s="53" t="n"/>
      <c r="AS159" s="53" t="n"/>
      <c r="AT159" s="53" t="n"/>
      <c r="AU159" s="53" t="n"/>
      <c r="AV159" s="53" t="n"/>
      <c r="AW159" s="53" t="n"/>
      <c r="AX159" s="53" t="n"/>
      <c r="AY159" s="53" t="n"/>
    </row>
    <row r="160" ht="15" customHeight="1">
      <c r="A160" s="62" t="n"/>
      <c r="B160" s="55">
        <f>IF($B$158="","",$B$158)</f>
        <v/>
      </c>
      <c r="C160" s="63" t="inlineStr">
        <is>
          <t>마케팅3팀</t>
        </is>
      </c>
      <c r="D160" s="55">
        <f>IF($D$158="","",$D$158)</f>
        <v/>
      </c>
      <c r="E160" s="64" t="inlineStr">
        <is>
          <t>영상</t>
        </is>
      </c>
      <c r="F160" s="44" t="n"/>
      <c r="G160" s="58">
        <f>IF($G$158="","",$G$158)</f>
        <v/>
      </c>
      <c r="H160" s="59" t="n"/>
      <c r="I160" s="59" t="n"/>
      <c r="J160" s="59" t="n"/>
      <c r="K160" s="59" t="n"/>
      <c r="L160" s="65">
        <f>IF(SUM(U160:AY160)=0,"",SUM(U160:AY160))</f>
        <v/>
      </c>
      <c r="M160" s="66">
        <f>IFERROR(INDEX(U$2:AY$2,MATCH(TRUE,INDEX(U160:AY160&lt;&gt;"",0),0)),"")</f>
        <v/>
      </c>
      <c r="N160" s="66">
        <f>IFERROR(LOOKUP(2,1/(U160:AY160&lt;&gt;""),U$2:AY$2),"")</f>
        <v/>
      </c>
      <c r="O160" s="59" t="n"/>
      <c r="P160" s="59" t="n"/>
      <c r="Q160" s="59" t="n"/>
      <c r="R160" s="59" t="n"/>
      <c r="S160" s="14" t="n"/>
      <c r="U160" s="53" t="n"/>
      <c r="V160" s="53" t="n"/>
      <c r="W160" s="53" t="n"/>
      <c r="X160" s="53" t="n"/>
      <c r="Y160" s="53" t="n"/>
      <c r="Z160" s="53" t="n"/>
      <c r="AA160" s="53" t="n"/>
      <c r="AB160" s="53" t="n"/>
      <c r="AC160" s="53" t="n"/>
      <c r="AD160" s="53" t="n"/>
      <c r="AE160" s="53" t="n"/>
      <c r="AF160" s="53" t="n"/>
      <c r="AG160" s="53" t="n"/>
      <c r="AH160" s="53" t="n"/>
      <c r="AI160" s="53" t="n"/>
      <c r="AJ160" s="53" t="n"/>
      <c r="AK160" s="53" t="n"/>
      <c r="AL160" s="53" t="n"/>
      <c r="AM160" s="53" t="n"/>
      <c r="AN160" s="53" t="n"/>
      <c r="AO160" s="53" t="n"/>
      <c r="AP160" s="53" t="n"/>
      <c r="AQ160" s="53" t="n"/>
      <c r="AR160" s="53" t="n"/>
      <c r="AS160" s="53" t="n"/>
      <c r="AT160" s="53" t="n"/>
      <c r="AU160" s="53" t="n"/>
      <c r="AV160" s="53" t="n"/>
      <c r="AW160" s="53" t="n"/>
      <c r="AX160" s="53" t="n"/>
      <c r="AY160" s="53" t="n"/>
    </row>
    <row r="161" ht="15" customHeight="1">
      <c r="A161" s="40">
        <f>IF($D$161="","",51)</f>
        <v/>
      </c>
      <c r="B161" s="10" t="n"/>
      <c r="C161" s="41" t="inlineStr">
        <is>
          <t>마케팅3팀</t>
        </is>
      </c>
      <c r="D161" s="42" t="n"/>
      <c r="E161" s="43" t="inlineStr">
        <is>
          <t>기획</t>
        </is>
      </c>
      <c r="F161" s="44" t="n"/>
      <c r="G161" s="45" t="n"/>
      <c r="H161" s="46">
        <f>IF($I$161="","",IF($I$161&lt;0,"🔴지연",IF($I$161&lt;=1,"🟡임박","🟢여유")))</f>
        <v/>
      </c>
      <c r="I161" s="47">
        <f>IF(OR($G$161="",$K$161=""),"",$G$161-$K$161)</f>
        <v/>
      </c>
      <c r="J161" s="48">
        <f>IF(SUM($L$161:$L$163)=0,"",SUM($L$161:$L$163))</f>
        <v/>
      </c>
      <c r="K161" s="49">
        <f>IF($J$161="","",MAX($N$161:$N$163))</f>
        <v/>
      </c>
      <c r="L161" s="50">
        <f>IF(SUM(U161:AY161)=0,"",SUM(U161:AY161))</f>
        <v/>
      </c>
      <c r="M161" s="51">
        <f>IFERROR(INDEX(U$2:AY$2,MATCH(TRUE,INDEX(U161:AY161&lt;&gt;"",0),0)),"")</f>
        <v/>
      </c>
      <c r="N161" s="51">
        <f>IFERROR(LOOKUP(2,1/(U161:AY161&lt;&gt;""),U$2:AY$2),"")</f>
        <v/>
      </c>
      <c r="O161" s="52" t="n"/>
      <c r="P161" s="52" t="n"/>
      <c r="Q161" s="52" t="n"/>
      <c r="R161" s="44" t="n"/>
      <c r="S161" s="14" t="n"/>
      <c r="U161" s="53" t="n"/>
      <c r="V161" s="53" t="n"/>
      <c r="W161" s="53" t="n"/>
      <c r="X161" s="53" t="n"/>
      <c r="Y161" s="53" t="n"/>
      <c r="Z161" s="53" t="n"/>
      <c r="AA161" s="53" t="n"/>
      <c r="AB161" s="53" t="n"/>
      <c r="AC161" s="53" t="n"/>
      <c r="AD161" s="53" t="n"/>
      <c r="AE161" s="53" t="n"/>
      <c r="AF161" s="53" t="n"/>
      <c r="AG161" s="53" t="n"/>
      <c r="AH161" s="53" t="n"/>
      <c r="AI161" s="53" t="n"/>
      <c r="AJ161" s="53" t="n"/>
      <c r="AK161" s="53" t="n"/>
      <c r="AL161" s="53" t="n"/>
      <c r="AM161" s="53" t="n"/>
      <c r="AN161" s="53" t="n"/>
      <c r="AO161" s="53" t="n"/>
      <c r="AP161" s="53" t="n"/>
      <c r="AQ161" s="53" t="n"/>
      <c r="AR161" s="53" t="n"/>
      <c r="AS161" s="53" t="n"/>
      <c r="AT161" s="53" t="n"/>
      <c r="AU161" s="53" t="n"/>
      <c r="AV161" s="53" t="n"/>
      <c r="AW161" s="53" t="n"/>
      <c r="AX161" s="53" t="n"/>
      <c r="AY161" s="53" t="n"/>
    </row>
    <row r="162" ht="15" customHeight="1">
      <c r="A162" s="54" t="n"/>
      <c r="B162" s="55">
        <f>IF($B$161="","",$B$161)</f>
        <v/>
      </c>
      <c r="C162" s="56" t="inlineStr">
        <is>
          <t>마케팅3팀</t>
        </is>
      </c>
      <c r="D162" s="55">
        <f>IF($D$161="","",$D$161)</f>
        <v/>
      </c>
      <c r="E162" s="57" t="inlineStr">
        <is>
          <t>이미지</t>
        </is>
      </c>
      <c r="F162" s="44" t="n"/>
      <c r="G162" s="58">
        <f>IF($G$161="","",$G$161)</f>
        <v/>
      </c>
      <c r="H162" s="59" t="n"/>
      <c r="I162" s="59" t="n"/>
      <c r="J162" s="59" t="n"/>
      <c r="K162" s="59" t="n"/>
      <c r="L162" s="60">
        <f>IF(SUM(U162:AY162)=0,"",SUM(U162:AY162))</f>
        <v/>
      </c>
      <c r="M162" s="61">
        <f>IFERROR(INDEX(U$2:AY$2,MATCH(TRUE,INDEX(U162:AY162&lt;&gt;"",0),0)),"")</f>
        <v/>
      </c>
      <c r="N162" s="61">
        <f>IFERROR(LOOKUP(2,1/(U162:AY162&lt;&gt;""),U$2:AY$2),"")</f>
        <v/>
      </c>
      <c r="O162" s="59" t="n"/>
      <c r="P162" s="59" t="n"/>
      <c r="Q162" s="59" t="n"/>
      <c r="R162" s="59" t="n"/>
      <c r="S162" s="14" t="n"/>
      <c r="U162" s="53" t="n"/>
      <c r="V162" s="53" t="n"/>
      <c r="W162" s="53" t="n"/>
      <c r="X162" s="53" t="n"/>
      <c r="Y162" s="53" t="n"/>
      <c r="Z162" s="53" t="n"/>
      <c r="AA162" s="53" t="n"/>
      <c r="AB162" s="53" t="n"/>
      <c r="AC162" s="53" t="n"/>
      <c r="AD162" s="53" t="n"/>
      <c r="AE162" s="53" t="n"/>
      <c r="AF162" s="53" t="n"/>
      <c r="AG162" s="53" t="n"/>
      <c r="AH162" s="53" t="n"/>
      <c r="AI162" s="53" t="n"/>
      <c r="AJ162" s="53" t="n"/>
      <c r="AK162" s="53" t="n"/>
      <c r="AL162" s="53" t="n"/>
      <c r="AM162" s="53" t="n"/>
      <c r="AN162" s="53" t="n"/>
      <c r="AO162" s="53" t="n"/>
      <c r="AP162" s="53" t="n"/>
      <c r="AQ162" s="53" t="n"/>
      <c r="AR162" s="53" t="n"/>
      <c r="AS162" s="53" t="n"/>
      <c r="AT162" s="53" t="n"/>
      <c r="AU162" s="53" t="n"/>
      <c r="AV162" s="53" t="n"/>
      <c r="AW162" s="53" t="n"/>
      <c r="AX162" s="53" t="n"/>
      <c r="AY162" s="53" t="n"/>
    </row>
    <row r="163" ht="15" customHeight="1">
      <c r="A163" s="62" t="n"/>
      <c r="B163" s="55">
        <f>IF($B$161="","",$B$161)</f>
        <v/>
      </c>
      <c r="C163" s="63" t="inlineStr">
        <is>
          <t>마케팅3팀</t>
        </is>
      </c>
      <c r="D163" s="55">
        <f>IF($D$161="","",$D$161)</f>
        <v/>
      </c>
      <c r="E163" s="64" t="inlineStr">
        <is>
          <t>영상</t>
        </is>
      </c>
      <c r="F163" s="44" t="n"/>
      <c r="G163" s="58">
        <f>IF($G$161="","",$G$161)</f>
        <v/>
      </c>
      <c r="H163" s="59" t="n"/>
      <c r="I163" s="59" t="n"/>
      <c r="J163" s="59" t="n"/>
      <c r="K163" s="59" t="n"/>
      <c r="L163" s="65">
        <f>IF(SUM(U163:AY163)=0,"",SUM(U163:AY163))</f>
        <v/>
      </c>
      <c r="M163" s="66">
        <f>IFERROR(INDEX(U$2:AY$2,MATCH(TRUE,INDEX(U163:AY163&lt;&gt;"",0),0)),"")</f>
        <v/>
      </c>
      <c r="N163" s="66">
        <f>IFERROR(LOOKUP(2,1/(U163:AY163&lt;&gt;""),U$2:AY$2),"")</f>
        <v/>
      </c>
      <c r="O163" s="59" t="n"/>
      <c r="P163" s="59" t="n"/>
      <c r="Q163" s="59" t="n"/>
      <c r="R163" s="59" t="n"/>
      <c r="S163" s="14" t="n"/>
      <c r="U163" s="53" t="n"/>
      <c r="V163" s="53" t="n"/>
      <c r="W163" s="53" t="n"/>
      <c r="X163" s="53" t="n"/>
      <c r="Y163" s="53" t="n"/>
      <c r="Z163" s="53" t="n"/>
      <c r="AA163" s="53" t="n"/>
      <c r="AB163" s="53" t="n"/>
      <c r="AC163" s="53" t="n"/>
      <c r="AD163" s="53" t="n"/>
      <c r="AE163" s="53" t="n"/>
      <c r="AF163" s="53" t="n"/>
      <c r="AG163" s="53" t="n"/>
      <c r="AH163" s="53" t="n"/>
      <c r="AI163" s="53" t="n"/>
      <c r="AJ163" s="53" t="n"/>
      <c r="AK163" s="53" t="n"/>
      <c r="AL163" s="53" t="n"/>
      <c r="AM163" s="53" t="n"/>
      <c r="AN163" s="53" t="n"/>
      <c r="AO163" s="53" t="n"/>
      <c r="AP163" s="53" t="n"/>
      <c r="AQ163" s="53" t="n"/>
      <c r="AR163" s="53" t="n"/>
      <c r="AS163" s="53" t="n"/>
      <c r="AT163" s="53" t="n"/>
      <c r="AU163" s="53" t="n"/>
      <c r="AV163" s="53" t="n"/>
      <c r="AW163" s="53" t="n"/>
      <c r="AX163" s="53" t="n"/>
      <c r="AY163" s="53" t="n"/>
    </row>
    <row r="164" ht="15" customHeight="1">
      <c r="A164" s="40">
        <f>IF($D$164="","",52)</f>
        <v/>
      </c>
      <c r="B164" s="10" t="n"/>
      <c r="C164" s="41" t="inlineStr">
        <is>
          <t>마케팅3팀</t>
        </is>
      </c>
      <c r="D164" s="42" t="n"/>
      <c r="E164" s="43" t="inlineStr">
        <is>
          <t>기획</t>
        </is>
      </c>
      <c r="F164" s="44" t="n"/>
      <c r="G164" s="45" t="n"/>
      <c r="H164" s="46">
        <f>IF($I$164="","",IF($I$164&lt;0,"🔴지연",IF($I$164&lt;=1,"🟡임박","🟢여유")))</f>
        <v/>
      </c>
      <c r="I164" s="47">
        <f>IF(OR($G$164="",$K$164=""),"",$G$164-$K$164)</f>
        <v/>
      </c>
      <c r="J164" s="48">
        <f>IF(SUM($L$164:$L$166)=0,"",SUM($L$164:$L$166))</f>
        <v/>
      </c>
      <c r="K164" s="49">
        <f>IF($J$164="","",MAX($N$164:$N$166))</f>
        <v/>
      </c>
      <c r="L164" s="50">
        <f>IF(SUM(U164:AY164)=0,"",SUM(U164:AY164))</f>
        <v/>
      </c>
      <c r="M164" s="51">
        <f>IFERROR(INDEX(U$2:AY$2,MATCH(TRUE,INDEX(U164:AY164&lt;&gt;"",0),0)),"")</f>
        <v/>
      </c>
      <c r="N164" s="51">
        <f>IFERROR(LOOKUP(2,1/(U164:AY164&lt;&gt;""),U$2:AY$2),"")</f>
        <v/>
      </c>
      <c r="O164" s="52" t="n"/>
      <c r="P164" s="52" t="n"/>
      <c r="Q164" s="52" t="n"/>
      <c r="R164" s="44" t="n"/>
      <c r="S164" s="14" t="n"/>
      <c r="U164" s="53" t="n"/>
      <c r="V164" s="53" t="n"/>
      <c r="W164" s="53" t="n"/>
      <c r="X164" s="53" t="n"/>
      <c r="Y164" s="53" t="n"/>
      <c r="Z164" s="53" t="n"/>
      <c r="AA164" s="53" t="n"/>
      <c r="AB164" s="53" t="n"/>
      <c r="AC164" s="53" t="n"/>
      <c r="AD164" s="53" t="n"/>
      <c r="AE164" s="53" t="n"/>
      <c r="AF164" s="53" t="n"/>
      <c r="AG164" s="53" t="n"/>
      <c r="AH164" s="53" t="n"/>
      <c r="AI164" s="53" t="n"/>
      <c r="AJ164" s="53" t="n"/>
      <c r="AK164" s="53" t="n"/>
      <c r="AL164" s="53" t="n"/>
      <c r="AM164" s="53" t="n"/>
      <c r="AN164" s="53" t="n"/>
      <c r="AO164" s="53" t="n"/>
      <c r="AP164" s="53" t="n"/>
      <c r="AQ164" s="53" t="n"/>
      <c r="AR164" s="53" t="n"/>
      <c r="AS164" s="53" t="n"/>
      <c r="AT164" s="53" t="n"/>
      <c r="AU164" s="53" t="n"/>
      <c r="AV164" s="53" t="n"/>
      <c r="AW164" s="53" t="n"/>
      <c r="AX164" s="53" t="n"/>
      <c r="AY164" s="53" t="n"/>
    </row>
    <row r="165" ht="15" customHeight="1">
      <c r="A165" s="54" t="n"/>
      <c r="B165" s="55">
        <f>IF($B$164="","",$B$164)</f>
        <v/>
      </c>
      <c r="C165" s="56" t="inlineStr">
        <is>
          <t>마케팅3팀</t>
        </is>
      </c>
      <c r="D165" s="55">
        <f>IF($D$164="","",$D$164)</f>
        <v/>
      </c>
      <c r="E165" s="57" t="inlineStr">
        <is>
          <t>이미지</t>
        </is>
      </c>
      <c r="F165" s="44" t="n"/>
      <c r="G165" s="58">
        <f>IF($G$164="","",$G$164)</f>
        <v/>
      </c>
      <c r="H165" s="59" t="n"/>
      <c r="I165" s="59" t="n"/>
      <c r="J165" s="59" t="n"/>
      <c r="K165" s="59" t="n"/>
      <c r="L165" s="60">
        <f>IF(SUM(U165:AY165)=0,"",SUM(U165:AY165))</f>
        <v/>
      </c>
      <c r="M165" s="61">
        <f>IFERROR(INDEX(U$2:AY$2,MATCH(TRUE,INDEX(U165:AY165&lt;&gt;"",0),0)),"")</f>
        <v/>
      </c>
      <c r="N165" s="61">
        <f>IFERROR(LOOKUP(2,1/(U165:AY165&lt;&gt;""),U$2:AY$2),"")</f>
        <v/>
      </c>
      <c r="O165" s="59" t="n"/>
      <c r="P165" s="59" t="n"/>
      <c r="Q165" s="59" t="n"/>
      <c r="R165" s="59" t="n"/>
      <c r="S165" s="14" t="n"/>
      <c r="U165" s="53" t="n"/>
      <c r="V165" s="53" t="n"/>
      <c r="W165" s="53" t="n"/>
      <c r="X165" s="53" t="n"/>
      <c r="Y165" s="53" t="n"/>
      <c r="Z165" s="53" t="n"/>
      <c r="AA165" s="53" t="n"/>
      <c r="AB165" s="53" t="n"/>
      <c r="AC165" s="53" t="n"/>
      <c r="AD165" s="53" t="n"/>
      <c r="AE165" s="53" t="n"/>
      <c r="AF165" s="53" t="n"/>
      <c r="AG165" s="53" t="n"/>
      <c r="AH165" s="53" t="n"/>
      <c r="AI165" s="53" t="n"/>
      <c r="AJ165" s="53" t="n"/>
      <c r="AK165" s="53" t="n"/>
      <c r="AL165" s="53" t="n"/>
      <c r="AM165" s="53" t="n"/>
      <c r="AN165" s="53" t="n"/>
      <c r="AO165" s="53" t="n"/>
      <c r="AP165" s="53" t="n"/>
      <c r="AQ165" s="53" t="n"/>
      <c r="AR165" s="53" t="n"/>
      <c r="AS165" s="53" t="n"/>
      <c r="AT165" s="53" t="n"/>
      <c r="AU165" s="53" t="n"/>
      <c r="AV165" s="53" t="n"/>
      <c r="AW165" s="53" t="n"/>
      <c r="AX165" s="53" t="n"/>
      <c r="AY165" s="53" t="n"/>
    </row>
    <row r="166" ht="15" customHeight="1">
      <c r="A166" s="62" t="n"/>
      <c r="B166" s="55">
        <f>IF($B$164="","",$B$164)</f>
        <v/>
      </c>
      <c r="C166" s="63" t="inlineStr">
        <is>
          <t>마케팅3팀</t>
        </is>
      </c>
      <c r="D166" s="55">
        <f>IF($D$164="","",$D$164)</f>
        <v/>
      </c>
      <c r="E166" s="64" t="inlineStr">
        <is>
          <t>영상</t>
        </is>
      </c>
      <c r="F166" s="44" t="n"/>
      <c r="G166" s="58">
        <f>IF($G$164="","",$G$164)</f>
        <v/>
      </c>
      <c r="H166" s="59" t="n"/>
      <c r="I166" s="59" t="n"/>
      <c r="J166" s="59" t="n"/>
      <c r="K166" s="59" t="n"/>
      <c r="L166" s="65">
        <f>IF(SUM(U166:AY166)=0,"",SUM(U166:AY166))</f>
        <v/>
      </c>
      <c r="M166" s="66">
        <f>IFERROR(INDEX(U$2:AY$2,MATCH(TRUE,INDEX(U166:AY166&lt;&gt;"",0),0)),"")</f>
        <v/>
      </c>
      <c r="N166" s="66">
        <f>IFERROR(LOOKUP(2,1/(U166:AY166&lt;&gt;""),U$2:AY$2),"")</f>
        <v/>
      </c>
      <c r="O166" s="59" t="n"/>
      <c r="P166" s="59" t="n"/>
      <c r="Q166" s="59" t="n"/>
      <c r="R166" s="59" t="n"/>
      <c r="S166" s="14" t="n"/>
      <c r="U166" s="53" t="n"/>
      <c r="V166" s="53" t="n"/>
      <c r="W166" s="53" t="n"/>
      <c r="X166" s="53" t="n"/>
      <c r="Y166" s="53" t="n"/>
      <c r="Z166" s="53" t="n"/>
      <c r="AA166" s="53" t="n"/>
      <c r="AB166" s="53" t="n"/>
      <c r="AC166" s="53" t="n"/>
      <c r="AD166" s="53" t="n"/>
      <c r="AE166" s="53" t="n"/>
      <c r="AF166" s="53" t="n"/>
      <c r="AG166" s="53" t="n"/>
      <c r="AH166" s="53" t="n"/>
      <c r="AI166" s="53" t="n"/>
      <c r="AJ166" s="53" t="n"/>
      <c r="AK166" s="53" t="n"/>
      <c r="AL166" s="53" t="n"/>
      <c r="AM166" s="53" t="n"/>
      <c r="AN166" s="53" t="n"/>
      <c r="AO166" s="53" t="n"/>
      <c r="AP166" s="53" t="n"/>
      <c r="AQ166" s="53" t="n"/>
      <c r="AR166" s="53" t="n"/>
      <c r="AS166" s="53" t="n"/>
      <c r="AT166" s="53" t="n"/>
      <c r="AU166" s="53" t="n"/>
      <c r="AV166" s="53" t="n"/>
      <c r="AW166" s="53" t="n"/>
      <c r="AX166" s="53" t="n"/>
      <c r="AY166" s="53" t="n"/>
    </row>
    <row r="167" ht="15" customHeight="1">
      <c r="A167" s="40">
        <f>IF($D$167="","",53)</f>
        <v/>
      </c>
      <c r="B167" s="10" t="n"/>
      <c r="C167" s="41" t="inlineStr">
        <is>
          <t>마케팅3팀</t>
        </is>
      </c>
      <c r="D167" s="42" t="n"/>
      <c r="E167" s="43" t="inlineStr">
        <is>
          <t>기획</t>
        </is>
      </c>
      <c r="F167" s="44" t="n"/>
      <c r="G167" s="45" t="n"/>
      <c r="H167" s="46">
        <f>IF($I$167="","",IF($I$167&lt;0,"🔴지연",IF($I$167&lt;=1,"🟡임박","🟢여유")))</f>
        <v/>
      </c>
      <c r="I167" s="47">
        <f>IF(OR($G$167="",$K$167=""),"",$G$167-$K$167)</f>
        <v/>
      </c>
      <c r="J167" s="48">
        <f>IF(SUM($L$167:$L$169)=0,"",SUM($L$167:$L$169))</f>
        <v/>
      </c>
      <c r="K167" s="49">
        <f>IF($J$167="","",MAX($N$167:$N$169))</f>
        <v/>
      </c>
      <c r="L167" s="50">
        <f>IF(SUM(U167:AY167)=0,"",SUM(U167:AY167))</f>
        <v/>
      </c>
      <c r="M167" s="51">
        <f>IFERROR(INDEX(U$2:AY$2,MATCH(TRUE,INDEX(U167:AY167&lt;&gt;"",0),0)),"")</f>
        <v/>
      </c>
      <c r="N167" s="51">
        <f>IFERROR(LOOKUP(2,1/(U167:AY167&lt;&gt;""),U$2:AY$2),"")</f>
        <v/>
      </c>
      <c r="O167" s="52" t="n"/>
      <c r="P167" s="52" t="n"/>
      <c r="Q167" s="52" t="n"/>
      <c r="R167" s="44" t="n"/>
      <c r="S167" s="14" t="n"/>
      <c r="U167" s="53" t="n"/>
      <c r="V167" s="53" t="n"/>
      <c r="W167" s="53" t="n"/>
      <c r="X167" s="53" t="n"/>
      <c r="Y167" s="53" t="n"/>
      <c r="Z167" s="53" t="n"/>
      <c r="AA167" s="53" t="n"/>
      <c r="AB167" s="53" t="n"/>
      <c r="AC167" s="53" t="n"/>
      <c r="AD167" s="53" t="n"/>
      <c r="AE167" s="53" t="n"/>
      <c r="AF167" s="53" t="n"/>
      <c r="AG167" s="53" t="n"/>
      <c r="AH167" s="53" t="n"/>
      <c r="AI167" s="53" t="n"/>
      <c r="AJ167" s="53" t="n"/>
      <c r="AK167" s="53" t="n"/>
      <c r="AL167" s="53" t="n"/>
      <c r="AM167" s="53" t="n"/>
      <c r="AN167" s="53" t="n"/>
      <c r="AO167" s="53" t="n"/>
      <c r="AP167" s="53" t="n"/>
      <c r="AQ167" s="53" t="n"/>
      <c r="AR167" s="53" t="n"/>
      <c r="AS167" s="53" t="n"/>
      <c r="AT167" s="53" t="n"/>
      <c r="AU167" s="53" t="n"/>
      <c r="AV167" s="53" t="n"/>
      <c r="AW167" s="53" t="n"/>
      <c r="AX167" s="53" t="n"/>
      <c r="AY167" s="53" t="n"/>
    </row>
    <row r="168" ht="15" customHeight="1">
      <c r="A168" s="54" t="n"/>
      <c r="B168" s="55">
        <f>IF($B$167="","",$B$167)</f>
        <v/>
      </c>
      <c r="C168" s="56" t="inlineStr">
        <is>
          <t>마케팅3팀</t>
        </is>
      </c>
      <c r="D168" s="55">
        <f>IF($D$167="","",$D$167)</f>
        <v/>
      </c>
      <c r="E168" s="57" t="inlineStr">
        <is>
          <t>이미지</t>
        </is>
      </c>
      <c r="F168" s="44" t="n"/>
      <c r="G168" s="58">
        <f>IF($G$167="","",$G$167)</f>
        <v/>
      </c>
      <c r="H168" s="59" t="n"/>
      <c r="I168" s="59" t="n"/>
      <c r="J168" s="59" t="n"/>
      <c r="K168" s="59" t="n"/>
      <c r="L168" s="60">
        <f>IF(SUM(U168:AY168)=0,"",SUM(U168:AY168))</f>
        <v/>
      </c>
      <c r="M168" s="61">
        <f>IFERROR(INDEX(U$2:AY$2,MATCH(TRUE,INDEX(U168:AY168&lt;&gt;"",0),0)),"")</f>
        <v/>
      </c>
      <c r="N168" s="61">
        <f>IFERROR(LOOKUP(2,1/(U168:AY168&lt;&gt;""),U$2:AY$2),"")</f>
        <v/>
      </c>
      <c r="O168" s="59" t="n"/>
      <c r="P168" s="59" t="n"/>
      <c r="Q168" s="59" t="n"/>
      <c r="R168" s="59" t="n"/>
      <c r="S168" s="14" t="n"/>
      <c r="U168" s="53" t="n"/>
      <c r="V168" s="53" t="n"/>
      <c r="W168" s="53" t="n"/>
      <c r="X168" s="53" t="n"/>
      <c r="Y168" s="53" t="n"/>
      <c r="Z168" s="53" t="n"/>
      <c r="AA168" s="53" t="n"/>
      <c r="AB168" s="53" t="n"/>
      <c r="AC168" s="53" t="n"/>
      <c r="AD168" s="53" t="n"/>
      <c r="AE168" s="53" t="n"/>
      <c r="AF168" s="53" t="n"/>
      <c r="AG168" s="53" t="n"/>
      <c r="AH168" s="53" t="n"/>
      <c r="AI168" s="53" t="n"/>
      <c r="AJ168" s="53" t="n"/>
      <c r="AK168" s="53" t="n"/>
      <c r="AL168" s="53" t="n"/>
      <c r="AM168" s="53" t="n"/>
      <c r="AN168" s="53" t="n"/>
      <c r="AO168" s="53" t="n"/>
      <c r="AP168" s="53" t="n"/>
      <c r="AQ168" s="53" t="n"/>
      <c r="AR168" s="53" t="n"/>
      <c r="AS168" s="53" t="n"/>
      <c r="AT168" s="53" t="n"/>
      <c r="AU168" s="53" t="n"/>
      <c r="AV168" s="53" t="n"/>
      <c r="AW168" s="53" t="n"/>
      <c r="AX168" s="53" t="n"/>
      <c r="AY168" s="53" t="n"/>
    </row>
    <row r="169" ht="15" customHeight="1">
      <c r="A169" s="62" t="n"/>
      <c r="B169" s="55">
        <f>IF($B$167="","",$B$167)</f>
        <v/>
      </c>
      <c r="C169" s="63" t="inlineStr">
        <is>
          <t>마케팅3팀</t>
        </is>
      </c>
      <c r="D169" s="55">
        <f>IF($D$167="","",$D$167)</f>
        <v/>
      </c>
      <c r="E169" s="64" t="inlineStr">
        <is>
          <t>영상</t>
        </is>
      </c>
      <c r="F169" s="44" t="n"/>
      <c r="G169" s="58">
        <f>IF($G$167="","",$G$167)</f>
        <v/>
      </c>
      <c r="H169" s="59" t="n"/>
      <c r="I169" s="59" t="n"/>
      <c r="J169" s="59" t="n"/>
      <c r="K169" s="59" t="n"/>
      <c r="L169" s="65">
        <f>IF(SUM(U169:AY169)=0,"",SUM(U169:AY169))</f>
        <v/>
      </c>
      <c r="M169" s="66">
        <f>IFERROR(INDEX(U$2:AY$2,MATCH(TRUE,INDEX(U169:AY169&lt;&gt;"",0),0)),"")</f>
        <v/>
      </c>
      <c r="N169" s="66">
        <f>IFERROR(LOOKUP(2,1/(U169:AY169&lt;&gt;""),U$2:AY$2),"")</f>
        <v/>
      </c>
      <c r="O169" s="59" t="n"/>
      <c r="P169" s="59" t="n"/>
      <c r="Q169" s="59" t="n"/>
      <c r="R169" s="59" t="n"/>
      <c r="S169" s="14" t="n"/>
      <c r="U169" s="53" t="n"/>
      <c r="V169" s="53" t="n"/>
      <c r="W169" s="53" t="n"/>
      <c r="X169" s="53" t="n"/>
      <c r="Y169" s="53" t="n"/>
      <c r="Z169" s="53" t="n"/>
      <c r="AA169" s="53" t="n"/>
      <c r="AB169" s="53" t="n"/>
      <c r="AC169" s="53" t="n"/>
      <c r="AD169" s="53" t="n"/>
      <c r="AE169" s="53" t="n"/>
      <c r="AF169" s="53" t="n"/>
      <c r="AG169" s="53" t="n"/>
      <c r="AH169" s="53" t="n"/>
      <c r="AI169" s="53" t="n"/>
      <c r="AJ169" s="53" t="n"/>
      <c r="AK169" s="53" t="n"/>
      <c r="AL169" s="53" t="n"/>
      <c r="AM169" s="53" t="n"/>
      <c r="AN169" s="53" t="n"/>
      <c r="AO169" s="53" t="n"/>
      <c r="AP169" s="53" t="n"/>
      <c r="AQ169" s="53" t="n"/>
      <c r="AR169" s="53" t="n"/>
      <c r="AS169" s="53" t="n"/>
      <c r="AT169" s="53" t="n"/>
      <c r="AU169" s="53" t="n"/>
      <c r="AV169" s="53" t="n"/>
      <c r="AW169" s="53" t="n"/>
      <c r="AX169" s="53" t="n"/>
      <c r="AY169" s="53" t="n"/>
    </row>
    <row r="170" ht="15" customHeight="1">
      <c r="A170" s="40">
        <f>IF($D$170="","",54)</f>
        <v/>
      </c>
      <c r="B170" s="10" t="n"/>
      <c r="C170" s="41" t="inlineStr">
        <is>
          <t>마케팅3팀</t>
        </is>
      </c>
      <c r="D170" s="42" t="n"/>
      <c r="E170" s="43" t="inlineStr">
        <is>
          <t>기획</t>
        </is>
      </c>
      <c r="F170" s="44" t="n"/>
      <c r="G170" s="45" t="n"/>
      <c r="H170" s="46">
        <f>IF($I$170="","",IF($I$170&lt;0,"🔴지연",IF($I$170&lt;=1,"🟡임박","🟢여유")))</f>
        <v/>
      </c>
      <c r="I170" s="47">
        <f>IF(OR($G$170="",$K$170=""),"",$G$170-$K$170)</f>
        <v/>
      </c>
      <c r="J170" s="48">
        <f>IF(SUM($L$170:$L$172)=0,"",SUM($L$170:$L$172))</f>
        <v/>
      </c>
      <c r="K170" s="49">
        <f>IF($J$170="","",MAX($N$170:$N$172))</f>
        <v/>
      </c>
      <c r="L170" s="50">
        <f>IF(SUM(U170:AY170)=0,"",SUM(U170:AY170))</f>
        <v/>
      </c>
      <c r="M170" s="51">
        <f>IFERROR(INDEX(U$2:AY$2,MATCH(TRUE,INDEX(U170:AY170&lt;&gt;"",0),0)),"")</f>
        <v/>
      </c>
      <c r="N170" s="51">
        <f>IFERROR(LOOKUP(2,1/(U170:AY170&lt;&gt;""),U$2:AY$2),"")</f>
        <v/>
      </c>
      <c r="O170" s="52" t="n"/>
      <c r="P170" s="52" t="n"/>
      <c r="Q170" s="52" t="n"/>
      <c r="R170" s="44" t="n"/>
      <c r="S170" s="14" t="n"/>
      <c r="U170" s="53" t="n"/>
      <c r="V170" s="53" t="n"/>
      <c r="W170" s="53" t="n"/>
      <c r="X170" s="53" t="n"/>
      <c r="Y170" s="53" t="n"/>
      <c r="Z170" s="53" t="n"/>
      <c r="AA170" s="53" t="n"/>
      <c r="AB170" s="53" t="n"/>
      <c r="AC170" s="53" t="n"/>
      <c r="AD170" s="53" t="n"/>
      <c r="AE170" s="53" t="n"/>
      <c r="AF170" s="53" t="n"/>
      <c r="AG170" s="53" t="n"/>
      <c r="AH170" s="53" t="n"/>
      <c r="AI170" s="53" t="n"/>
      <c r="AJ170" s="53" t="n"/>
      <c r="AK170" s="53" t="n"/>
      <c r="AL170" s="53" t="n"/>
      <c r="AM170" s="53" t="n"/>
      <c r="AN170" s="53" t="n"/>
      <c r="AO170" s="53" t="n"/>
      <c r="AP170" s="53" t="n"/>
      <c r="AQ170" s="53" t="n"/>
      <c r="AR170" s="53" t="n"/>
      <c r="AS170" s="53" t="n"/>
      <c r="AT170" s="53" t="n"/>
      <c r="AU170" s="53" t="n"/>
      <c r="AV170" s="53" t="n"/>
      <c r="AW170" s="53" t="n"/>
      <c r="AX170" s="53" t="n"/>
      <c r="AY170" s="53" t="n"/>
    </row>
    <row r="171" ht="15" customHeight="1">
      <c r="A171" s="54" t="n"/>
      <c r="B171" s="55">
        <f>IF($B$170="","",$B$170)</f>
        <v/>
      </c>
      <c r="C171" s="56" t="inlineStr">
        <is>
          <t>마케팅3팀</t>
        </is>
      </c>
      <c r="D171" s="55">
        <f>IF($D$170="","",$D$170)</f>
        <v/>
      </c>
      <c r="E171" s="57" t="inlineStr">
        <is>
          <t>이미지</t>
        </is>
      </c>
      <c r="F171" s="44" t="n"/>
      <c r="G171" s="58">
        <f>IF($G$170="","",$G$170)</f>
        <v/>
      </c>
      <c r="H171" s="59" t="n"/>
      <c r="I171" s="59" t="n"/>
      <c r="J171" s="59" t="n"/>
      <c r="K171" s="59" t="n"/>
      <c r="L171" s="60">
        <f>IF(SUM(U171:AY171)=0,"",SUM(U171:AY171))</f>
        <v/>
      </c>
      <c r="M171" s="61">
        <f>IFERROR(INDEX(U$2:AY$2,MATCH(TRUE,INDEX(U171:AY171&lt;&gt;"",0),0)),"")</f>
        <v/>
      </c>
      <c r="N171" s="61">
        <f>IFERROR(LOOKUP(2,1/(U171:AY171&lt;&gt;""),U$2:AY$2),"")</f>
        <v/>
      </c>
      <c r="O171" s="59" t="n"/>
      <c r="P171" s="59" t="n"/>
      <c r="Q171" s="59" t="n"/>
      <c r="R171" s="59" t="n"/>
      <c r="S171" s="14" t="n"/>
      <c r="U171" s="53" t="n"/>
      <c r="V171" s="53" t="n"/>
      <c r="W171" s="53" t="n"/>
      <c r="X171" s="53" t="n"/>
      <c r="Y171" s="53" t="n"/>
      <c r="Z171" s="53" t="n"/>
      <c r="AA171" s="53" t="n"/>
      <c r="AB171" s="53" t="n"/>
      <c r="AC171" s="53" t="n"/>
      <c r="AD171" s="53" t="n"/>
      <c r="AE171" s="53" t="n"/>
      <c r="AF171" s="53" t="n"/>
      <c r="AG171" s="53" t="n"/>
      <c r="AH171" s="53" t="n"/>
      <c r="AI171" s="53" t="n"/>
      <c r="AJ171" s="53" t="n"/>
      <c r="AK171" s="53" t="n"/>
      <c r="AL171" s="53" t="n"/>
      <c r="AM171" s="53" t="n"/>
      <c r="AN171" s="53" t="n"/>
      <c r="AO171" s="53" t="n"/>
      <c r="AP171" s="53" t="n"/>
      <c r="AQ171" s="53" t="n"/>
      <c r="AR171" s="53" t="n"/>
      <c r="AS171" s="53" t="n"/>
      <c r="AT171" s="53" t="n"/>
      <c r="AU171" s="53" t="n"/>
      <c r="AV171" s="53" t="n"/>
      <c r="AW171" s="53" t="n"/>
      <c r="AX171" s="53" t="n"/>
      <c r="AY171" s="53" t="n"/>
    </row>
    <row r="172" ht="15" customHeight="1">
      <c r="A172" s="62" t="n"/>
      <c r="B172" s="55">
        <f>IF($B$170="","",$B$170)</f>
        <v/>
      </c>
      <c r="C172" s="63" t="inlineStr">
        <is>
          <t>마케팅3팀</t>
        </is>
      </c>
      <c r="D172" s="55">
        <f>IF($D$170="","",$D$170)</f>
        <v/>
      </c>
      <c r="E172" s="64" t="inlineStr">
        <is>
          <t>영상</t>
        </is>
      </c>
      <c r="F172" s="44" t="n"/>
      <c r="G172" s="58">
        <f>IF($G$170="","",$G$170)</f>
        <v/>
      </c>
      <c r="H172" s="59" t="n"/>
      <c r="I172" s="59" t="n"/>
      <c r="J172" s="59" t="n"/>
      <c r="K172" s="59" t="n"/>
      <c r="L172" s="65">
        <f>IF(SUM(U172:AY172)=0,"",SUM(U172:AY172))</f>
        <v/>
      </c>
      <c r="M172" s="66">
        <f>IFERROR(INDEX(U$2:AY$2,MATCH(TRUE,INDEX(U172:AY172&lt;&gt;"",0),0)),"")</f>
        <v/>
      </c>
      <c r="N172" s="66">
        <f>IFERROR(LOOKUP(2,1/(U172:AY172&lt;&gt;""),U$2:AY$2),"")</f>
        <v/>
      </c>
      <c r="O172" s="59" t="n"/>
      <c r="P172" s="59" t="n"/>
      <c r="Q172" s="59" t="n"/>
      <c r="R172" s="59" t="n"/>
      <c r="S172" s="14" t="n"/>
      <c r="U172" s="53" t="n"/>
      <c r="V172" s="53" t="n"/>
      <c r="W172" s="53" t="n"/>
      <c r="X172" s="53" t="n"/>
      <c r="Y172" s="53" t="n"/>
      <c r="Z172" s="53" t="n"/>
      <c r="AA172" s="53" t="n"/>
      <c r="AB172" s="53" t="n"/>
      <c r="AC172" s="53" t="n"/>
      <c r="AD172" s="53" t="n"/>
      <c r="AE172" s="53" t="n"/>
      <c r="AF172" s="53" t="n"/>
      <c r="AG172" s="53" t="n"/>
      <c r="AH172" s="53" t="n"/>
      <c r="AI172" s="53" t="n"/>
      <c r="AJ172" s="53" t="n"/>
      <c r="AK172" s="53" t="n"/>
      <c r="AL172" s="53" t="n"/>
      <c r="AM172" s="53" t="n"/>
      <c r="AN172" s="53" t="n"/>
      <c r="AO172" s="53" t="n"/>
      <c r="AP172" s="53" t="n"/>
      <c r="AQ172" s="53" t="n"/>
      <c r="AR172" s="53" t="n"/>
      <c r="AS172" s="53" t="n"/>
      <c r="AT172" s="53" t="n"/>
      <c r="AU172" s="53" t="n"/>
      <c r="AV172" s="53" t="n"/>
      <c r="AW172" s="53" t="n"/>
      <c r="AX172" s="53" t="n"/>
      <c r="AY172" s="53" t="n"/>
    </row>
    <row r="173" ht="15" customHeight="1">
      <c r="A173" s="40">
        <f>IF($D$173="","",55)</f>
        <v/>
      </c>
      <c r="B173" s="10" t="n"/>
      <c r="C173" s="41" t="inlineStr">
        <is>
          <t>마케팅3팀</t>
        </is>
      </c>
      <c r="D173" s="42" t="n"/>
      <c r="E173" s="43" t="inlineStr">
        <is>
          <t>기획</t>
        </is>
      </c>
      <c r="F173" s="44" t="n"/>
      <c r="G173" s="45" t="n"/>
      <c r="H173" s="46">
        <f>IF($I$173="","",IF($I$173&lt;0,"🔴지연",IF($I$173&lt;=1,"🟡임박","🟢여유")))</f>
        <v/>
      </c>
      <c r="I173" s="47">
        <f>IF(OR($G$173="",$K$173=""),"",$G$173-$K$173)</f>
        <v/>
      </c>
      <c r="J173" s="48">
        <f>IF(SUM($L$173:$L$175)=0,"",SUM($L$173:$L$175))</f>
        <v/>
      </c>
      <c r="K173" s="49">
        <f>IF($J$173="","",MAX($N$173:$N$175))</f>
        <v/>
      </c>
      <c r="L173" s="50">
        <f>IF(SUM(U173:AY173)=0,"",SUM(U173:AY173))</f>
        <v/>
      </c>
      <c r="M173" s="51">
        <f>IFERROR(INDEX(U$2:AY$2,MATCH(TRUE,INDEX(U173:AY173&lt;&gt;"",0),0)),"")</f>
        <v/>
      </c>
      <c r="N173" s="51">
        <f>IFERROR(LOOKUP(2,1/(U173:AY173&lt;&gt;""),U$2:AY$2),"")</f>
        <v/>
      </c>
      <c r="O173" s="52" t="n"/>
      <c r="P173" s="52" t="n"/>
      <c r="Q173" s="52" t="n"/>
      <c r="R173" s="44" t="n"/>
      <c r="S173" s="14" t="n"/>
      <c r="U173" s="53" t="n"/>
      <c r="V173" s="53" t="n"/>
      <c r="W173" s="53" t="n"/>
      <c r="X173" s="53" t="n"/>
      <c r="Y173" s="53" t="n"/>
      <c r="Z173" s="53" t="n"/>
      <c r="AA173" s="53" t="n"/>
      <c r="AB173" s="53" t="n"/>
      <c r="AC173" s="53" t="n"/>
      <c r="AD173" s="53" t="n"/>
      <c r="AE173" s="53" t="n"/>
      <c r="AF173" s="53" t="n"/>
      <c r="AG173" s="53" t="n"/>
      <c r="AH173" s="53" t="n"/>
      <c r="AI173" s="53" t="n"/>
      <c r="AJ173" s="53" t="n"/>
      <c r="AK173" s="53" t="n"/>
      <c r="AL173" s="53" t="n"/>
      <c r="AM173" s="53" t="n"/>
      <c r="AN173" s="53" t="n"/>
      <c r="AO173" s="53" t="n"/>
      <c r="AP173" s="53" t="n"/>
      <c r="AQ173" s="53" t="n"/>
      <c r="AR173" s="53" t="n"/>
      <c r="AS173" s="53" t="n"/>
      <c r="AT173" s="53" t="n"/>
      <c r="AU173" s="53" t="n"/>
      <c r="AV173" s="53" t="n"/>
      <c r="AW173" s="53" t="n"/>
      <c r="AX173" s="53" t="n"/>
      <c r="AY173" s="53" t="n"/>
    </row>
    <row r="174" ht="15" customHeight="1">
      <c r="A174" s="54" t="n"/>
      <c r="B174" s="55">
        <f>IF($B$173="","",$B$173)</f>
        <v/>
      </c>
      <c r="C174" s="56" t="inlineStr">
        <is>
          <t>마케팅3팀</t>
        </is>
      </c>
      <c r="D174" s="55">
        <f>IF($D$173="","",$D$173)</f>
        <v/>
      </c>
      <c r="E174" s="57" t="inlineStr">
        <is>
          <t>이미지</t>
        </is>
      </c>
      <c r="F174" s="44" t="n"/>
      <c r="G174" s="58">
        <f>IF($G$173="","",$G$173)</f>
        <v/>
      </c>
      <c r="H174" s="59" t="n"/>
      <c r="I174" s="59" t="n"/>
      <c r="J174" s="59" t="n"/>
      <c r="K174" s="59" t="n"/>
      <c r="L174" s="60">
        <f>IF(SUM(U174:AY174)=0,"",SUM(U174:AY174))</f>
        <v/>
      </c>
      <c r="M174" s="61">
        <f>IFERROR(INDEX(U$2:AY$2,MATCH(TRUE,INDEX(U174:AY174&lt;&gt;"",0),0)),"")</f>
        <v/>
      </c>
      <c r="N174" s="61">
        <f>IFERROR(LOOKUP(2,1/(U174:AY174&lt;&gt;""),U$2:AY$2),"")</f>
        <v/>
      </c>
      <c r="O174" s="59" t="n"/>
      <c r="P174" s="59" t="n"/>
      <c r="Q174" s="59" t="n"/>
      <c r="R174" s="59" t="n"/>
      <c r="S174" s="14" t="n"/>
      <c r="U174" s="53" t="n"/>
      <c r="V174" s="53" t="n"/>
      <c r="W174" s="53" t="n"/>
      <c r="X174" s="53" t="n"/>
      <c r="Y174" s="53" t="n"/>
      <c r="Z174" s="53" t="n"/>
      <c r="AA174" s="53" t="n"/>
      <c r="AB174" s="53" t="n"/>
      <c r="AC174" s="53" t="n"/>
      <c r="AD174" s="53" t="n"/>
      <c r="AE174" s="53" t="n"/>
      <c r="AF174" s="53" t="n"/>
      <c r="AG174" s="53" t="n"/>
      <c r="AH174" s="53" t="n"/>
      <c r="AI174" s="53" t="n"/>
      <c r="AJ174" s="53" t="n"/>
      <c r="AK174" s="53" t="n"/>
      <c r="AL174" s="53" t="n"/>
      <c r="AM174" s="53" t="n"/>
      <c r="AN174" s="53" t="n"/>
      <c r="AO174" s="53" t="n"/>
      <c r="AP174" s="53" t="n"/>
      <c r="AQ174" s="53" t="n"/>
      <c r="AR174" s="53" t="n"/>
      <c r="AS174" s="53" t="n"/>
      <c r="AT174" s="53" t="n"/>
      <c r="AU174" s="53" t="n"/>
      <c r="AV174" s="53" t="n"/>
      <c r="AW174" s="53" t="n"/>
      <c r="AX174" s="53" t="n"/>
      <c r="AY174" s="53" t="n"/>
    </row>
    <row r="175" ht="15" customHeight="1">
      <c r="A175" s="62" t="n"/>
      <c r="B175" s="55">
        <f>IF($B$173="","",$B$173)</f>
        <v/>
      </c>
      <c r="C175" s="63" t="inlineStr">
        <is>
          <t>마케팅3팀</t>
        </is>
      </c>
      <c r="D175" s="55">
        <f>IF($D$173="","",$D$173)</f>
        <v/>
      </c>
      <c r="E175" s="64" t="inlineStr">
        <is>
          <t>영상</t>
        </is>
      </c>
      <c r="F175" s="44" t="n"/>
      <c r="G175" s="58">
        <f>IF($G$173="","",$G$173)</f>
        <v/>
      </c>
      <c r="H175" s="59" t="n"/>
      <c r="I175" s="59" t="n"/>
      <c r="J175" s="59" t="n"/>
      <c r="K175" s="59" t="n"/>
      <c r="L175" s="65">
        <f>IF(SUM(U175:AY175)=0,"",SUM(U175:AY175))</f>
        <v/>
      </c>
      <c r="M175" s="66">
        <f>IFERROR(INDEX(U$2:AY$2,MATCH(TRUE,INDEX(U175:AY175&lt;&gt;"",0),0)),"")</f>
        <v/>
      </c>
      <c r="N175" s="66">
        <f>IFERROR(LOOKUP(2,1/(U175:AY175&lt;&gt;""),U$2:AY$2),"")</f>
        <v/>
      </c>
      <c r="O175" s="59" t="n"/>
      <c r="P175" s="59" t="n"/>
      <c r="Q175" s="59" t="n"/>
      <c r="R175" s="59" t="n"/>
      <c r="S175" s="14" t="n"/>
      <c r="U175" s="53" t="n"/>
      <c r="V175" s="53" t="n"/>
      <c r="W175" s="53" t="n"/>
      <c r="X175" s="53" t="n"/>
      <c r="Y175" s="53" t="n"/>
      <c r="Z175" s="53" t="n"/>
      <c r="AA175" s="53" t="n"/>
      <c r="AB175" s="53" t="n"/>
      <c r="AC175" s="53" t="n"/>
      <c r="AD175" s="53" t="n"/>
      <c r="AE175" s="53" t="n"/>
      <c r="AF175" s="53" t="n"/>
      <c r="AG175" s="53" t="n"/>
      <c r="AH175" s="53" t="n"/>
      <c r="AI175" s="53" t="n"/>
      <c r="AJ175" s="53" t="n"/>
      <c r="AK175" s="53" t="n"/>
      <c r="AL175" s="53" t="n"/>
      <c r="AM175" s="53" t="n"/>
      <c r="AN175" s="53" t="n"/>
      <c r="AO175" s="53" t="n"/>
      <c r="AP175" s="53" t="n"/>
      <c r="AQ175" s="53" t="n"/>
      <c r="AR175" s="53" t="n"/>
      <c r="AS175" s="53" t="n"/>
      <c r="AT175" s="53" t="n"/>
      <c r="AU175" s="53" t="n"/>
      <c r="AV175" s="53" t="n"/>
      <c r="AW175" s="53" t="n"/>
      <c r="AX175" s="53" t="n"/>
      <c r="AY175" s="53" t="n"/>
    </row>
    <row r="176" ht="15" customHeight="1">
      <c r="A176" s="40">
        <f>IF($D$176="","",56)</f>
        <v/>
      </c>
      <c r="B176" s="10" t="n"/>
      <c r="C176" s="41" t="inlineStr">
        <is>
          <t>마케팅3팀</t>
        </is>
      </c>
      <c r="D176" s="42" t="n"/>
      <c r="E176" s="43" t="inlineStr">
        <is>
          <t>기획</t>
        </is>
      </c>
      <c r="F176" s="44" t="n"/>
      <c r="G176" s="45" t="n"/>
      <c r="H176" s="46">
        <f>IF($I$176="","",IF($I$176&lt;0,"🔴지연",IF($I$176&lt;=1,"🟡임박","🟢여유")))</f>
        <v/>
      </c>
      <c r="I176" s="47">
        <f>IF(OR($G$176="",$K$176=""),"",$G$176-$K$176)</f>
        <v/>
      </c>
      <c r="J176" s="48">
        <f>IF(SUM($L$176:$L$178)=0,"",SUM($L$176:$L$178))</f>
        <v/>
      </c>
      <c r="K176" s="49">
        <f>IF($J$176="","",MAX($N$176:$N$178))</f>
        <v/>
      </c>
      <c r="L176" s="50">
        <f>IF(SUM(U176:AY176)=0,"",SUM(U176:AY176))</f>
        <v/>
      </c>
      <c r="M176" s="51">
        <f>IFERROR(INDEX(U$2:AY$2,MATCH(TRUE,INDEX(U176:AY176&lt;&gt;"",0),0)),"")</f>
        <v/>
      </c>
      <c r="N176" s="51">
        <f>IFERROR(LOOKUP(2,1/(U176:AY176&lt;&gt;""),U$2:AY$2),"")</f>
        <v/>
      </c>
      <c r="O176" s="52" t="n"/>
      <c r="P176" s="52" t="n"/>
      <c r="Q176" s="52" t="n"/>
      <c r="R176" s="44" t="n"/>
      <c r="S176" s="14" t="n"/>
      <c r="U176" s="53" t="n"/>
      <c r="V176" s="53" t="n"/>
      <c r="W176" s="53" t="n"/>
      <c r="X176" s="53" t="n"/>
      <c r="Y176" s="53" t="n"/>
      <c r="Z176" s="53" t="n"/>
      <c r="AA176" s="53" t="n"/>
      <c r="AB176" s="53" t="n"/>
      <c r="AC176" s="53" t="n"/>
      <c r="AD176" s="53" t="n"/>
      <c r="AE176" s="53" t="n"/>
      <c r="AF176" s="53" t="n"/>
      <c r="AG176" s="53" t="n"/>
      <c r="AH176" s="53" t="n"/>
      <c r="AI176" s="53" t="n"/>
      <c r="AJ176" s="53" t="n"/>
      <c r="AK176" s="53" t="n"/>
      <c r="AL176" s="53" t="n"/>
      <c r="AM176" s="53" t="n"/>
      <c r="AN176" s="53" t="n"/>
      <c r="AO176" s="53" t="n"/>
      <c r="AP176" s="53" t="n"/>
      <c r="AQ176" s="53" t="n"/>
      <c r="AR176" s="53" t="n"/>
      <c r="AS176" s="53" t="n"/>
      <c r="AT176" s="53" t="n"/>
      <c r="AU176" s="53" t="n"/>
      <c r="AV176" s="53" t="n"/>
      <c r="AW176" s="53" t="n"/>
      <c r="AX176" s="53" t="n"/>
      <c r="AY176" s="53" t="n"/>
    </row>
    <row r="177" ht="15" customHeight="1">
      <c r="A177" s="54" t="n"/>
      <c r="B177" s="55">
        <f>IF($B$176="","",$B$176)</f>
        <v/>
      </c>
      <c r="C177" s="56" t="inlineStr">
        <is>
          <t>마케팅3팀</t>
        </is>
      </c>
      <c r="D177" s="55">
        <f>IF($D$176="","",$D$176)</f>
        <v/>
      </c>
      <c r="E177" s="57" t="inlineStr">
        <is>
          <t>이미지</t>
        </is>
      </c>
      <c r="F177" s="44" t="n"/>
      <c r="G177" s="58">
        <f>IF($G$176="","",$G$176)</f>
        <v/>
      </c>
      <c r="H177" s="59" t="n"/>
      <c r="I177" s="59" t="n"/>
      <c r="J177" s="59" t="n"/>
      <c r="K177" s="59" t="n"/>
      <c r="L177" s="60">
        <f>IF(SUM(U177:AY177)=0,"",SUM(U177:AY177))</f>
        <v/>
      </c>
      <c r="M177" s="61">
        <f>IFERROR(INDEX(U$2:AY$2,MATCH(TRUE,INDEX(U177:AY177&lt;&gt;"",0),0)),"")</f>
        <v/>
      </c>
      <c r="N177" s="61">
        <f>IFERROR(LOOKUP(2,1/(U177:AY177&lt;&gt;""),U$2:AY$2),"")</f>
        <v/>
      </c>
      <c r="O177" s="59" t="n"/>
      <c r="P177" s="59" t="n"/>
      <c r="Q177" s="59" t="n"/>
      <c r="R177" s="59" t="n"/>
      <c r="S177" s="14" t="n"/>
      <c r="U177" s="53" t="n"/>
      <c r="V177" s="53" t="n"/>
      <c r="W177" s="53" t="n"/>
      <c r="X177" s="53" t="n"/>
      <c r="Y177" s="53" t="n"/>
      <c r="Z177" s="53" t="n"/>
      <c r="AA177" s="53" t="n"/>
      <c r="AB177" s="53" t="n"/>
      <c r="AC177" s="53" t="n"/>
      <c r="AD177" s="53" t="n"/>
      <c r="AE177" s="53" t="n"/>
      <c r="AF177" s="53" t="n"/>
      <c r="AG177" s="53" t="n"/>
      <c r="AH177" s="53" t="n"/>
      <c r="AI177" s="53" t="n"/>
      <c r="AJ177" s="53" t="n"/>
      <c r="AK177" s="53" t="n"/>
      <c r="AL177" s="53" t="n"/>
      <c r="AM177" s="53" t="n"/>
      <c r="AN177" s="53" t="n"/>
      <c r="AO177" s="53" t="n"/>
      <c r="AP177" s="53" t="n"/>
      <c r="AQ177" s="53" t="n"/>
      <c r="AR177" s="53" t="n"/>
      <c r="AS177" s="53" t="n"/>
      <c r="AT177" s="53" t="n"/>
      <c r="AU177" s="53" t="n"/>
      <c r="AV177" s="53" t="n"/>
      <c r="AW177" s="53" t="n"/>
      <c r="AX177" s="53" t="n"/>
      <c r="AY177" s="53" t="n"/>
    </row>
    <row r="178" ht="15" customHeight="1">
      <c r="A178" s="62" t="n"/>
      <c r="B178" s="55">
        <f>IF($B$176="","",$B$176)</f>
        <v/>
      </c>
      <c r="C178" s="63" t="inlineStr">
        <is>
          <t>마케팅3팀</t>
        </is>
      </c>
      <c r="D178" s="55">
        <f>IF($D$176="","",$D$176)</f>
        <v/>
      </c>
      <c r="E178" s="64" t="inlineStr">
        <is>
          <t>영상</t>
        </is>
      </c>
      <c r="F178" s="44" t="n"/>
      <c r="G178" s="58">
        <f>IF($G$176="","",$G$176)</f>
        <v/>
      </c>
      <c r="H178" s="59" t="n"/>
      <c r="I178" s="59" t="n"/>
      <c r="J178" s="59" t="n"/>
      <c r="K178" s="59" t="n"/>
      <c r="L178" s="65">
        <f>IF(SUM(U178:AY178)=0,"",SUM(U178:AY178))</f>
        <v/>
      </c>
      <c r="M178" s="66">
        <f>IFERROR(INDEX(U$2:AY$2,MATCH(TRUE,INDEX(U178:AY178&lt;&gt;"",0),0)),"")</f>
        <v/>
      </c>
      <c r="N178" s="66">
        <f>IFERROR(LOOKUP(2,1/(U178:AY178&lt;&gt;""),U$2:AY$2),"")</f>
        <v/>
      </c>
      <c r="O178" s="59" t="n"/>
      <c r="P178" s="59" t="n"/>
      <c r="Q178" s="59" t="n"/>
      <c r="R178" s="59" t="n"/>
      <c r="S178" s="14" t="n"/>
      <c r="U178" s="53" t="n"/>
      <c r="V178" s="53" t="n"/>
      <c r="W178" s="53" t="n"/>
      <c r="X178" s="53" t="n"/>
      <c r="Y178" s="53" t="n"/>
      <c r="Z178" s="53" t="n"/>
      <c r="AA178" s="53" t="n"/>
      <c r="AB178" s="53" t="n"/>
      <c r="AC178" s="53" t="n"/>
      <c r="AD178" s="53" t="n"/>
      <c r="AE178" s="53" t="n"/>
      <c r="AF178" s="53" t="n"/>
      <c r="AG178" s="53" t="n"/>
      <c r="AH178" s="53" t="n"/>
      <c r="AI178" s="53" t="n"/>
      <c r="AJ178" s="53" t="n"/>
      <c r="AK178" s="53" t="n"/>
      <c r="AL178" s="53" t="n"/>
      <c r="AM178" s="53" t="n"/>
      <c r="AN178" s="53" t="n"/>
      <c r="AO178" s="53" t="n"/>
      <c r="AP178" s="53" t="n"/>
      <c r="AQ178" s="53" t="n"/>
      <c r="AR178" s="53" t="n"/>
      <c r="AS178" s="53" t="n"/>
      <c r="AT178" s="53" t="n"/>
      <c r="AU178" s="53" t="n"/>
      <c r="AV178" s="53" t="n"/>
      <c r="AW178" s="53" t="n"/>
      <c r="AX178" s="53" t="n"/>
      <c r="AY178" s="53" t="n"/>
    </row>
    <row r="179" ht="15" customHeight="1">
      <c r="A179" s="40">
        <f>IF($D$179="","",57)</f>
        <v/>
      </c>
      <c r="B179" s="10" t="n"/>
      <c r="C179" s="41" t="inlineStr">
        <is>
          <t>마케팅3팀</t>
        </is>
      </c>
      <c r="D179" s="42" t="n"/>
      <c r="E179" s="43" t="inlineStr">
        <is>
          <t>기획</t>
        </is>
      </c>
      <c r="F179" s="44" t="n"/>
      <c r="G179" s="45" t="n"/>
      <c r="H179" s="46">
        <f>IF($I$179="","",IF($I$179&lt;0,"🔴지연",IF($I$179&lt;=1,"🟡임박","🟢여유")))</f>
        <v/>
      </c>
      <c r="I179" s="47">
        <f>IF(OR($G$179="",$K$179=""),"",$G$179-$K$179)</f>
        <v/>
      </c>
      <c r="J179" s="48">
        <f>IF(SUM($L$179:$L$181)=0,"",SUM($L$179:$L$181))</f>
        <v/>
      </c>
      <c r="K179" s="49">
        <f>IF($J$179="","",MAX($N$179:$N$181))</f>
        <v/>
      </c>
      <c r="L179" s="50">
        <f>IF(SUM(U179:AY179)=0,"",SUM(U179:AY179))</f>
        <v/>
      </c>
      <c r="M179" s="51">
        <f>IFERROR(INDEX(U$2:AY$2,MATCH(TRUE,INDEX(U179:AY179&lt;&gt;"",0),0)),"")</f>
        <v/>
      </c>
      <c r="N179" s="51">
        <f>IFERROR(LOOKUP(2,1/(U179:AY179&lt;&gt;""),U$2:AY$2),"")</f>
        <v/>
      </c>
      <c r="O179" s="52" t="n"/>
      <c r="P179" s="52" t="n"/>
      <c r="Q179" s="52" t="n"/>
      <c r="R179" s="44" t="n"/>
      <c r="S179" s="14" t="n"/>
      <c r="U179" s="53" t="n"/>
      <c r="V179" s="53" t="n"/>
      <c r="W179" s="53" t="n"/>
      <c r="X179" s="53" t="n"/>
      <c r="Y179" s="53" t="n"/>
      <c r="Z179" s="53" t="n"/>
      <c r="AA179" s="53" t="n"/>
      <c r="AB179" s="53" t="n"/>
      <c r="AC179" s="53" t="n"/>
      <c r="AD179" s="53" t="n"/>
      <c r="AE179" s="53" t="n"/>
      <c r="AF179" s="53" t="n"/>
      <c r="AG179" s="53" t="n"/>
      <c r="AH179" s="53" t="n"/>
      <c r="AI179" s="53" t="n"/>
      <c r="AJ179" s="53" t="n"/>
      <c r="AK179" s="53" t="n"/>
      <c r="AL179" s="53" t="n"/>
      <c r="AM179" s="53" t="n"/>
      <c r="AN179" s="53" t="n"/>
      <c r="AO179" s="53" t="n"/>
      <c r="AP179" s="53" t="n"/>
      <c r="AQ179" s="53" t="n"/>
      <c r="AR179" s="53" t="n"/>
      <c r="AS179" s="53" t="n"/>
      <c r="AT179" s="53" t="n"/>
      <c r="AU179" s="53" t="n"/>
      <c r="AV179" s="53" t="n"/>
      <c r="AW179" s="53" t="n"/>
      <c r="AX179" s="53" t="n"/>
      <c r="AY179" s="53" t="n"/>
    </row>
    <row r="180" ht="15" customHeight="1">
      <c r="A180" s="54" t="n"/>
      <c r="B180" s="55">
        <f>IF($B$179="","",$B$179)</f>
        <v/>
      </c>
      <c r="C180" s="56" t="inlineStr">
        <is>
          <t>마케팅3팀</t>
        </is>
      </c>
      <c r="D180" s="55">
        <f>IF($D$179="","",$D$179)</f>
        <v/>
      </c>
      <c r="E180" s="57" t="inlineStr">
        <is>
          <t>이미지</t>
        </is>
      </c>
      <c r="F180" s="44" t="n"/>
      <c r="G180" s="58">
        <f>IF($G$179="","",$G$179)</f>
        <v/>
      </c>
      <c r="H180" s="59" t="n"/>
      <c r="I180" s="59" t="n"/>
      <c r="J180" s="59" t="n"/>
      <c r="K180" s="59" t="n"/>
      <c r="L180" s="60">
        <f>IF(SUM(U180:AY180)=0,"",SUM(U180:AY180))</f>
        <v/>
      </c>
      <c r="M180" s="61">
        <f>IFERROR(INDEX(U$2:AY$2,MATCH(TRUE,INDEX(U180:AY180&lt;&gt;"",0),0)),"")</f>
        <v/>
      </c>
      <c r="N180" s="61">
        <f>IFERROR(LOOKUP(2,1/(U180:AY180&lt;&gt;""),U$2:AY$2),"")</f>
        <v/>
      </c>
      <c r="O180" s="59" t="n"/>
      <c r="P180" s="59" t="n"/>
      <c r="Q180" s="59" t="n"/>
      <c r="R180" s="59" t="n"/>
      <c r="S180" s="14" t="n"/>
      <c r="U180" s="53" t="n"/>
      <c r="V180" s="53" t="n"/>
      <c r="W180" s="53" t="n"/>
      <c r="X180" s="53" t="n"/>
      <c r="Y180" s="53" t="n"/>
      <c r="Z180" s="53" t="n"/>
      <c r="AA180" s="53" t="n"/>
      <c r="AB180" s="53" t="n"/>
      <c r="AC180" s="53" t="n"/>
      <c r="AD180" s="53" t="n"/>
      <c r="AE180" s="53" t="n"/>
      <c r="AF180" s="53" t="n"/>
      <c r="AG180" s="53" t="n"/>
      <c r="AH180" s="53" t="n"/>
      <c r="AI180" s="53" t="n"/>
      <c r="AJ180" s="53" t="n"/>
      <c r="AK180" s="53" t="n"/>
      <c r="AL180" s="53" t="n"/>
      <c r="AM180" s="53" t="n"/>
      <c r="AN180" s="53" t="n"/>
      <c r="AO180" s="53" t="n"/>
      <c r="AP180" s="53" t="n"/>
      <c r="AQ180" s="53" t="n"/>
      <c r="AR180" s="53" t="n"/>
      <c r="AS180" s="53" t="n"/>
      <c r="AT180" s="53" t="n"/>
      <c r="AU180" s="53" t="n"/>
      <c r="AV180" s="53" t="n"/>
      <c r="AW180" s="53" t="n"/>
      <c r="AX180" s="53" t="n"/>
      <c r="AY180" s="53" t="n"/>
    </row>
    <row r="181" ht="15" customHeight="1">
      <c r="A181" s="62" t="n"/>
      <c r="B181" s="55">
        <f>IF($B$179="","",$B$179)</f>
        <v/>
      </c>
      <c r="C181" s="63" t="inlineStr">
        <is>
          <t>마케팅3팀</t>
        </is>
      </c>
      <c r="D181" s="55">
        <f>IF($D$179="","",$D$179)</f>
        <v/>
      </c>
      <c r="E181" s="64" t="inlineStr">
        <is>
          <t>영상</t>
        </is>
      </c>
      <c r="F181" s="44" t="n"/>
      <c r="G181" s="58">
        <f>IF($G$179="","",$G$179)</f>
        <v/>
      </c>
      <c r="H181" s="59" t="n"/>
      <c r="I181" s="59" t="n"/>
      <c r="J181" s="59" t="n"/>
      <c r="K181" s="59" t="n"/>
      <c r="L181" s="65">
        <f>IF(SUM(U181:AY181)=0,"",SUM(U181:AY181))</f>
        <v/>
      </c>
      <c r="M181" s="66">
        <f>IFERROR(INDEX(U$2:AY$2,MATCH(TRUE,INDEX(U181:AY181&lt;&gt;"",0),0)),"")</f>
        <v/>
      </c>
      <c r="N181" s="66">
        <f>IFERROR(LOOKUP(2,1/(U181:AY181&lt;&gt;""),U$2:AY$2),"")</f>
        <v/>
      </c>
      <c r="O181" s="59" t="n"/>
      <c r="P181" s="59" t="n"/>
      <c r="Q181" s="59" t="n"/>
      <c r="R181" s="59" t="n"/>
      <c r="S181" s="14" t="n"/>
      <c r="U181" s="53" t="n"/>
      <c r="V181" s="53" t="n"/>
      <c r="W181" s="53" t="n"/>
      <c r="X181" s="53" t="n"/>
      <c r="Y181" s="53" t="n"/>
      <c r="Z181" s="53" t="n"/>
      <c r="AA181" s="53" t="n"/>
      <c r="AB181" s="53" t="n"/>
      <c r="AC181" s="53" t="n"/>
      <c r="AD181" s="53" t="n"/>
      <c r="AE181" s="53" t="n"/>
      <c r="AF181" s="53" t="n"/>
      <c r="AG181" s="53" t="n"/>
      <c r="AH181" s="53" t="n"/>
      <c r="AI181" s="53" t="n"/>
      <c r="AJ181" s="53" t="n"/>
      <c r="AK181" s="53" t="n"/>
      <c r="AL181" s="53" t="n"/>
      <c r="AM181" s="53" t="n"/>
      <c r="AN181" s="53" t="n"/>
      <c r="AO181" s="53" t="n"/>
      <c r="AP181" s="53" t="n"/>
      <c r="AQ181" s="53" t="n"/>
      <c r="AR181" s="53" t="n"/>
      <c r="AS181" s="53" t="n"/>
      <c r="AT181" s="53" t="n"/>
      <c r="AU181" s="53" t="n"/>
      <c r="AV181" s="53" t="n"/>
      <c r="AW181" s="53" t="n"/>
      <c r="AX181" s="53" t="n"/>
      <c r="AY181" s="53" t="n"/>
    </row>
    <row r="182" ht="15" customHeight="1">
      <c r="A182" s="40">
        <f>IF($D$182="","",58)</f>
        <v/>
      </c>
      <c r="B182" s="10" t="n"/>
      <c r="C182" s="41" t="inlineStr">
        <is>
          <t>마케팅3팀</t>
        </is>
      </c>
      <c r="D182" s="42" t="n"/>
      <c r="E182" s="43" t="inlineStr">
        <is>
          <t>기획</t>
        </is>
      </c>
      <c r="F182" s="44" t="n"/>
      <c r="G182" s="45" t="n"/>
      <c r="H182" s="46">
        <f>IF($I$182="","",IF($I$182&lt;0,"🔴지연",IF($I$182&lt;=1,"🟡임박","🟢여유")))</f>
        <v/>
      </c>
      <c r="I182" s="47">
        <f>IF(OR($G$182="",$K$182=""),"",$G$182-$K$182)</f>
        <v/>
      </c>
      <c r="J182" s="48">
        <f>IF(SUM($L$182:$L$184)=0,"",SUM($L$182:$L$184))</f>
        <v/>
      </c>
      <c r="K182" s="49">
        <f>IF($J$182="","",MAX($N$182:$N$184))</f>
        <v/>
      </c>
      <c r="L182" s="50">
        <f>IF(SUM(U182:AY182)=0,"",SUM(U182:AY182))</f>
        <v/>
      </c>
      <c r="M182" s="51">
        <f>IFERROR(INDEX(U$2:AY$2,MATCH(TRUE,INDEX(U182:AY182&lt;&gt;"",0),0)),"")</f>
        <v/>
      </c>
      <c r="N182" s="51">
        <f>IFERROR(LOOKUP(2,1/(U182:AY182&lt;&gt;""),U$2:AY$2),"")</f>
        <v/>
      </c>
      <c r="O182" s="52" t="n"/>
      <c r="P182" s="52" t="n"/>
      <c r="Q182" s="52" t="n"/>
      <c r="R182" s="44" t="n"/>
      <c r="S182" s="14" t="n"/>
      <c r="U182" s="53" t="n"/>
      <c r="V182" s="53" t="n"/>
      <c r="W182" s="53" t="n"/>
      <c r="X182" s="53" t="n"/>
      <c r="Y182" s="53" t="n"/>
      <c r="Z182" s="53" t="n"/>
      <c r="AA182" s="53" t="n"/>
      <c r="AB182" s="53" t="n"/>
      <c r="AC182" s="53" t="n"/>
      <c r="AD182" s="53" t="n"/>
      <c r="AE182" s="53" t="n"/>
      <c r="AF182" s="53" t="n"/>
      <c r="AG182" s="53" t="n"/>
      <c r="AH182" s="53" t="n"/>
      <c r="AI182" s="53" t="n"/>
      <c r="AJ182" s="53" t="n"/>
      <c r="AK182" s="53" t="n"/>
      <c r="AL182" s="53" t="n"/>
      <c r="AM182" s="53" t="n"/>
      <c r="AN182" s="53" t="n"/>
      <c r="AO182" s="53" t="n"/>
      <c r="AP182" s="53" t="n"/>
      <c r="AQ182" s="53" t="n"/>
      <c r="AR182" s="53" t="n"/>
      <c r="AS182" s="53" t="n"/>
      <c r="AT182" s="53" t="n"/>
      <c r="AU182" s="53" t="n"/>
      <c r="AV182" s="53" t="n"/>
      <c r="AW182" s="53" t="n"/>
      <c r="AX182" s="53" t="n"/>
      <c r="AY182" s="53" t="n"/>
    </row>
    <row r="183" ht="15" customHeight="1">
      <c r="A183" s="54" t="n"/>
      <c r="B183" s="55">
        <f>IF($B$182="","",$B$182)</f>
        <v/>
      </c>
      <c r="C183" s="56" t="inlineStr">
        <is>
          <t>마케팅3팀</t>
        </is>
      </c>
      <c r="D183" s="55">
        <f>IF($D$182="","",$D$182)</f>
        <v/>
      </c>
      <c r="E183" s="57" t="inlineStr">
        <is>
          <t>이미지</t>
        </is>
      </c>
      <c r="F183" s="44" t="n"/>
      <c r="G183" s="58">
        <f>IF($G$182="","",$G$182)</f>
        <v/>
      </c>
      <c r="H183" s="59" t="n"/>
      <c r="I183" s="59" t="n"/>
      <c r="J183" s="59" t="n"/>
      <c r="K183" s="59" t="n"/>
      <c r="L183" s="60">
        <f>IF(SUM(U183:AY183)=0,"",SUM(U183:AY183))</f>
        <v/>
      </c>
      <c r="M183" s="61">
        <f>IFERROR(INDEX(U$2:AY$2,MATCH(TRUE,INDEX(U183:AY183&lt;&gt;"",0),0)),"")</f>
        <v/>
      </c>
      <c r="N183" s="61">
        <f>IFERROR(LOOKUP(2,1/(U183:AY183&lt;&gt;""),U$2:AY$2),"")</f>
        <v/>
      </c>
      <c r="O183" s="59" t="n"/>
      <c r="P183" s="59" t="n"/>
      <c r="Q183" s="59" t="n"/>
      <c r="R183" s="59" t="n"/>
      <c r="S183" s="14" t="n"/>
      <c r="U183" s="53" t="n"/>
      <c r="V183" s="53" t="n"/>
      <c r="W183" s="53" t="n"/>
      <c r="X183" s="53" t="n"/>
      <c r="Y183" s="53" t="n"/>
      <c r="Z183" s="53" t="n"/>
      <c r="AA183" s="53" t="n"/>
      <c r="AB183" s="53" t="n"/>
      <c r="AC183" s="53" t="n"/>
      <c r="AD183" s="53" t="n"/>
      <c r="AE183" s="53" t="n"/>
      <c r="AF183" s="53" t="n"/>
      <c r="AG183" s="53" t="n"/>
      <c r="AH183" s="53" t="n"/>
      <c r="AI183" s="53" t="n"/>
      <c r="AJ183" s="53" t="n"/>
      <c r="AK183" s="53" t="n"/>
      <c r="AL183" s="53" t="n"/>
      <c r="AM183" s="53" t="n"/>
      <c r="AN183" s="53" t="n"/>
      <c r="AO183" s="53" t="n"/>
      <c r="AP183" s="53" t="n"/>
      <c r="AQ183" s="53" t="n"/>
      <c r="AR183" s="53" t="n"/>
      <c r="AS183" s="53" t="n"/>
      <c r="AT183" s="53" t="n"/>
      <c r="AU183" s="53" t="n"/>
      <c r="AV183" s="53" t="n"/>
      <c r="AW183" s="53" t="n"/>
      <c r="AX183" s="53" t="n"/>
      <c r="AY183" s="53" t="n"/>
    </row>
    <row r="184" ht="15" customHeight="1">
      <c r="A184" s="62" t="n"/>
      <c r="B184" s="55">
        <f>IF($B$182="","",$B$182)</f>
        <v/>
      </c>
      <c r="C184" s="63" t="inlineStr">
        <is>
          <t>마케팅3팀</t>
        </is>
      </c>
      <c r="D184" s="55">
        <f>IF($D$182="","",$D$182)</f>
        <v/>
      </c>
      <c r="E184" s="64" t="inlineStr">
        <is>
          <t>영상</t>
        </is>
      </c>
      <c r="F184" s="44" t="n"/>
      <c r="G184" s="58">
        <f>IF($G$182="","",$G$182)</f>
        <v/>
      </c>
      <c r="H184" s="59" t="n"/>
      <c r="I184" s="59" t="n"/>
      <c r="J184" s="59" t="n"/>
      <c r="K184" s="59" t="n"/>
      <c r="L184" s="65">
        <f>IF(SUM(U184:AY184)=0,"",SUM(U184:AY184))</f>
        <v/>
      </c>
      <c r="M184" s="66">
        <f>IFERROR(INDEX(U$2:AY$2,MATCH(TRUE,INDEX(U184:AY184&lt;&gt;"",0),0)),"")</f>
        <v/>
      </c>
      <c r="N184" s="66">
        <f>IFERROR(LOOKUP(2,1/(U184:AY184&lt;&gt;""),U$2:AY$2),"")</f>
        <v/>
      </c>
      <c r="O184" s="59" t="n"/>
      <c r="P184" s="59" t="n"/>
      <c r="Q184" s="59" t="n"/>
      <c r="R184" s="59" t="n"/>
      <c r="S184" s="14" t="n"/>
      <c r="U184" s="53" t="n"/>
      <c r="V184" s="53" t="n"/>
      <c r="W184" s="53" t="n"/>
      <c r="X184" s="53" t="n"/>
      <c r="Y184" s="53" t="n"/>
      <c r="Z184" s="53" t="n"/>
      <c r="AA184" s="53" t="n"/>
      <c r="AB184" s="53" t="n"/>
      <c r="AC184" s="53" t="n"/>
      <c r="AD184" s="53" t="n"/>
      <c r="AE184" s="53" t="n"/>
      <c r="AF184" s="53" t="n"/>
      <c r="AG184" s="53" t="n"/>
      <c r="AH184" s="53" t="n"/>
      <c r="AI184" s="53" t="n"/>
      <c r="AJ184" s="53" t="n"/>
      <c r="AK184" s="53" t="n"/>
      <c r="AL184" s="53" t="n"/>
      <c r="AM184" s="53" t="n"/>
      <c r="AN184" s="53" t="n"/>
      <c r="AO184" s="53" t="n"/>
      <c r="AP184" s="53" t="n"/>
      <c r="AQ184" s="53" t="n"/>
      <c r="AR184" s="53" t="n"/>
      <c r="AS184" s="53" t="n"/>
      <c r="AT184" s="53" t="n"/>
      <c r="AU184" s="53" t="n"/>
      <c r="AV184" s="53" t="n"/>
      <c r="AW184" s="53" t="n"/>
      <c r="AX184" s="53" t="n"/>
      <c r="AY184" s="53" t="n"/>
    </row>
    <row r="185" ht="15" customHeight="1">
      <c r="A185" s="40">
        <f>IF($D$185="","",59)</f>
        <v/>
      </c>
      <c r="B185" s="10" t="n"/>
      <c r="C185" s="41" t="inlineStr">
        <is>
          <t>마케팅3팀</t>
        </is>
      </c>
      <c r="D185" s="42" t="n"/>
      <c r="E185" s="43" t="inlineStr">
        <is>
          <t>기획</t>
        </is>
      </c>
      <c r="F185" s="44" t="n"/>
      <c r="G185" s="45" t="n"/>
      <c r="H185" s="46">
        <f>IF($I$185="","",IF($I$185&lt;0,"🔴지연",IF($I$185&lt;=1,"🟡임박","🟢여유")))</f>
        <v/>
      </c>
      <c r="I185" s="47">
        <f>IF(OR($G$185="",$K$185=""),"",$G$185-$K$185)</f>
        <v/>
      </c>
      <c r="J185" s="48">
        <f>IF(SUM($L$185:$L$187)=0,"",SUM($L$185:$L$187))</f>
        <v/>
      </c>
      <c r="K185" s="49">
        <f>IF($J$185="","",MAX($N$185:$N$187))</f>
        <v/>
      </c>
      <c r="L185" s="50">
        <f>IF(SUM(U185:AY185)=0,"",SUM(U185:AY185))</f>
        <v/>
      </c>
      <c r="M185" s="51">
        <f>IFERROR(INDEX(U$2:AY$2,MATCH(TRUE,INDEX(U185:AY185&lt;&gt;"",0),0)),"")</f>
        <v/>
      </c>
      <c r="N185" s="51">
        <f>IFERROR(LOOKUP(2,1/(U185:AY185&lt;&gt;""),U$2:AY$2),"")</f>
        <v/>
      </c>
      <c r="O185" s="52" t="n"/>
      <c r="P185" s="52" t="n"/>
      <c r="Q185" s="52" t="n"/>
      <c r="R185" s="44" t="n"/>
      <c r="S185" s="14" t="n"/>
      <c r="U185" s="53" t="n"/>
      <c r="V185" s="53" t="n"/>
      <c r="W185" s="53" t="n"/>
      <c r="X185" s="53" t="n"/>
      <c r="Y185" s="53" t="n"/>
      <c r="Z185" s="53" t="n"/>
      <c r="AA185" s="53" t="n"/>
      <c r="AB185" s="53" t="n"/>
      <c r="AC185" s="53" t="n"/>
      <c r="AD185" s="53" t="n"/>
      <c r="AE185" s="53" t="n"/>
      <c r="AF185" s="53" t="n"/>
      <c r="AG185" s="53" t="n"/>
      <c r="AH185" s="53" t="n"/>
      <c r="AI185" s="53" t="n"/>
      <c r="AJ185" s="53" t="n"/>
      <c r="AK185" s="53" t="n"/>
      <c r="AL185" s="53" t="n"/>
      <c r="AM185" s="53" t="n"/>
      <c r="AN185" s="53" t="n"/>
      <c r="AO185" s="53" t="n"/>
      <c r="AP185" s="53" t="n"/>
      <c r="AQ185" s="53" t="n"/>
      <c r="AR185" s="53" t="n"/>
      <c r="AS185" s="53" t="n"/>
      <c r="AT185" s="53" t="n"/>
      <c r="AU185" s="53" t="n"/>
      <c r="AV185" s="53" t="n"/>
      <c r="AW185" s="53" t="n"/>
      <c r="AX185" s="53" t="n"/>
      <c r="AY185" s="53" t="n"/>
    </row>
    <row r="186" ht="15" customHeight="1">
      <c r="A186" s="54" t="n"/>
      <c r="B186" s="55">
        <f>IF($B$185="","",$B$185)</f>
        <v/>
      </c>
      <c r="C186" s="56" t="inlineStr">
        <is>
          <t>마케팅3팀</t>
        </is>
      </c>
      <c r="D186" s="55">
        <f>IF($D$185="","",$D$185)</f>
        <v/>
      </c>
      <c r="E186" s="57" t="inlineStr">
        <is>
          <t>이미지</t>
        </is>
      </c>
      <c r="F186" s="44" t="n"/>
      <c r="G186" s="58">
        <f>IF($G$185="","",$G$185)</f>
        <v/>
      </c>
      <c r="H186" s="59" t="n"/>
      <c r="I186" s="59" t="n"/>
      <c r="J186" s="59" t="n"/>
      <c r="K186" s="59" t="n"/>
      <c r="L186" s="60">
        <f>IF(SUM(U186:AY186)=0,"",SUM(U186:AY186))</f>
        <v/>
      </c>
      <c r="M186" s="61">
        <f>IFERROR(INDEX(U$2:AY$2,MATCH(TRUE,INDEX(U186:AY186&lt;&gt;"",0),0)),"")</f>
        <v/>
      </c>
      <c r="N186" s="61">
        <f>IFERROR(LOOKUP(2,1/(U186:AY186&lt;&gt;""),U$2:AY$2),"")</f>
        <v/>
      </c>
      <c r="O186" s="59" t="n"/>
      <c r="P186" s="59" t="n"/>
      <c r="Q186" s="59" t="n"/>
      <c r="R186" s="59" t="n"/>
      <c r="S186" s="14" t="n"/>
      <c r="U186" s="53" t="n"/>
      <c r="V186" s="53" t="n"/>
      <c r="W186" s="53" t="n"/>
      <c r="X186" s="53" t="n"/>
      <c r="Y186" s="53" t="n"/>
      <c r="Z186" s="53" t="n"/>
      <c r="AA186" s="53" t="n"/>
      <c r="AB186" s="53" t="n"/>
      <c r="AC186" s="53" t="n"/>
      <c r="AD186" s="53" t="n"/>
      <c r="AE186" s="53" t="n"/>
      <c r="AF186" s="53" t="n"/>
      <c r="AG186" s="53" t="n"/>
      <c r="AH186" s="53" t="n"/>
      <c r="AI186" s="53" t="n"/>
      <c r="AJ186" s="53" t="n"/>
      <c r="AK186" s="53" t="n"/>
      <c r="AL186" s="53" t="n"/>
      <c r="AM186" s="53" t="n"/>
      <c r="AN186" s="53" t="n"/>
      <c r="AO186" s="53" t="n"/>
      <c r="AP186" s="53" t="n"/>
      <c r="AQ186" s="53" t="n"/>
      <c r="AR186" s="53" t="n"/>
      <c r="AS186" s="53" t="n"/>
      <c r="AT186" s="53" t="n"/>
      <c r="AU186" s="53" t="n"/>
      <c r="AV186" s="53" t="n"/>
      <c r="AW186" s="53" t="n"/>
      <c r="AX186" s="53" t="n"/>
      <c r="AY186" s="53" t="n"/>
    </row>
    <row r="187" ht="15" customHeight="1">
      <c r="A187" s="62" t="n"/>
      <c r="B187" s="55">
        <f>IF($B$185="","",$B$185)</f>
        <v/>
      </c>
      <c r="C187" s="63" t="inlineStr">
        <is>
          <t>마케팅3팀</t>
        </is>
      </c>
      <c r="D187" s="55">
        <f>IF($D$185="","",$D$185)</f>
        <v/>
      </c>
      <c r="E187" s="64" t="inlineStr">
        <is>
          <t>영상</t>
        </is>
      </c>
      <c r="F187" s="44" t="n"/>
      <c r="G187" s="58">
        <f>IF($G$185="","",$G$185)</f>
        <v/>
      </c>
      <c r="H187" s="59" t="n"/>
      <c r="I187" s="59" t="n"/>
      <c r="J187" s="59" t="n"/>
      <c r="K187" s="59" t="n"/>
      <c r="L187" s="65">
        <f>IF(SUM(U187:AY187)=0,"",SUM(U187:AY187))</f>
        <v/>
      </c>
      <c r="M187" s="66">
        <f>IFERROR(INDEX(U$2:AY$2,MATCH(TRUE,INDEX(U187:AY187&lt;&gt;"",0),0)),"")</f>
        <v/>
      </c>
      <c r="N187" s="66">
        <f>IFERROR(LOOKUP(2,1/(U187:AY187&lt;&gt;""),U$2:AY$2),"")</f>
        <v/>
      </c>
      <c r="O187" s="59" t="n"/>
      <c r="P187" s="59" t="n"/>
      <c r="Q187" s="59" t="n"/>
      <c r="R187" s="59" t="n"/>
      <c r="S187" s="14" t="n"/>
      <c r="U187" s="53" t="n"/>
      <c r="V187" s="53" t="n"/>
      <c r="W187" s="53" t="n"/>
      <c r="X187" s="53" t="n"/>
      <c r="Y187" s="53" t="n"/>
      <c r="Z187" s="53" t="n"/>
      <c r="AA187" s="53" t="n"/>
      <c r="AB187" s="53" t="n"/>
      <c r="AC187" s="53" t="n"/>
      <c r="AD187" s="53" t="n"/>
      <c r="AE187" s="53" t="n"/>
      <c r="AF187" s="53" t="n"/>
      <c r="AG187" s="53" t="n"/>
      <c r="AH187" s="53" t="n"/>
      <c r="AI187" s="53" t="n"/>
      <c r="AJ187" s="53" t="n"/>
      <c r="AK187" s="53" t="n"/>
      <c r="AL187" s="53" t="n"/>
      <c r="AM187" s="53" t="n"/>
      <c r="AN187" s="53" t="n"/>
      <c r="AO187" s="53" t="n"/>
      <c r="AP187" s="53" t="n"/>
      <c r="AQ187" s="53" t="n"/>
      <c r="AR187" s="53" t="n"/>
      <c r="AS187" s="53" t="n"/>
      <c r="AT187" s="53" t="n"/>
      <c r="AU187" s="53" t="n"/>
      <c r="AV187" s="53" t="n"/>
      <c r="AW187" s="53" t="n"/>
      <c r="AX187" s="53" t="n"/>
      <c r="AY187" s="53" t="n"/>
    </row>
    <row r="188" ht="15" customHeight="1">
      <c r="A188" s="40">
        <f>IF($D$188="","",60)</f>
        <v/>
      </c>
      <c r="B188" s="10" t="n"/>
      <c r="C188" s="41" t="inlineStr">
        <is>
          <t>마케팅3팀</t>
        </is>
      </c>
      <c r="D188" s="42" t="n"/>
      <c r="E188" s="43" t="inlineStr">
        <is>
          <t>기획</t>
        </is>
      </c>
      <c r="F188" s="44" t="n"/>
      <c r="G188" s="45" t="n"/>
      <c r="H188" s="46">
        <f>IF($I$188="","",IF($I$188&lt;0,"🔴지연",IF($I$188&lt;=1,"🟡임박","🟢여유")))</f>
        <v/>
      </c>
      <c r="I188" s="47">
        <f>IF(OR($G$188="",$K$188=""),"",$G$188-$K$188)</f>
        <v/>
      </c>
      <c r="J188" s="48">
        <f>IF(SUM($L$188:$L$190)=0,"",SUM($L$188:$L$190))</f>
        <v/>
      </c>
      <c r="K188" s="49">
        <f>IF($J$188="","",MAX($N$188:$N$190))</f>
        <v/>
      </c>
      <c r="L188" s="50">
        <f>IF(SUM(U188:AY188)=0,"",SUM(U188:AY188))</f>
        <v/>
      </c>
      <c r="M188" s="51">
        <f>IFERROR(INDEX(U$2:AY$2,MATCH(TRUE,INDEX(U188:AY188&lt;&gt;"",0),0)),"")</f>
        <v/>
      </c>
      <c r="N188" s="51">
        <f>IFERROR(LOOKUP(2,1/(U188:AY188&lt;&gt;""),U$2:AY$2),"")</f>
        <v/>
      </c>
      <c r="O188" s="52" t="n"/>
      <c r="P188" s="52" t="n"/>
      <c r="Q188" s="52" t="n"/>
      <c r="R188" s="44" t="n"/>
      <c r="S188" s="14" t="n"/>
      <c r="U188" s="53" t="n"/>
      <c r="V188" s="53" t="n"/>
      <c r="W188" s="53" t="n"/>
      <c r="X188" s="53" t="n"/>
      <c r="Y188" s="53" t="n"/>
      <c r="Z188" s="53" t="n"/>
      <c r="AA188" s="53" t="n"/>
      <c r="AB188" s="53" t="n"/>
      <c r="AC188" s="53" t="n"/>
      <c r="AD188" s="53" t="n"/>
      <c r="AE188" s="53" t="n"/>
      <c r="AF188" s="53" t="n"/>
      <c r="AG188" s="53" t="n"/>
      <c r="AH188" s="53" t="n"/>
      <c r="AI188" s="53" t="n"/>
      <c r="AJ188" s="53" t="n"/>
      <c r="AK188" s="53" t="n"/>
      <c r="AL188" s="53" t="n"/>
      <c r="AM188" s="53" t="n"/>
      <c r="AN188" s="53" t="n"/>
      <c r="AO188" s="53" t="n"/>
      <c r="AP188" s="53" t="n"/>
      <c r="AQ188" s="53" t="n"/>
      <c r="AR188" s="53" t="n"/>
      <c r="AS188" s="53" t="n"/>
      <c r="AT188" s="53" t="n"/>
      <c r="AU188" s="53" t="n"/>
      <c r="AV188" s="53" t="n"/>
      <c r="AW188" s="53" t="n"/>
      <c r="AX188" s="53" t="n"/>
      <c r="AY188" s="53" t="n"/>
    </row>
    <row r="189" ht="15" customHeight="1">
      <c r="A189" s="54" t="n"/>
      <c r="B189" s="55">
        <f>IF($B$188="","",$B$188)</f>
        <v/>
      </c>
      <c r="C189" s="56" t="inlineStr">
        <is>
          <t>마케팅3팀</t>
        </is>
      </c>
      <c r="D189" s="55">
        <f>IF($D$188="","",$D$188)</f>
        <v/>
      </c>
      <c r="E189" s="57" t="inlineStr">
        <is>
          <t>이미지</t>
        </is>
      </c>
      <c r="F189" s="44" t="n"/>
      <c r="G189" s="58">
        <f>IF($G$188="","",$G$188)</f>
        <v/>
      </c>
      <c r="H189" s="59" t="n"/>
      <c r="I189" s="59" t="n"/>
      <c r="J189" s="59" t="n"/>
      <c r="K189" s="59" t="n"/>
      <c r="L189" s="60">
        <f>IF(SUM(U189:AY189)=0,"",SUM(U189:AY189))</f>
        <v/>
      </c>
      <c r="M189" s="61">
        <f>IFERROR(INDEX(U$2:AY$2,MATCH(TRUE,INDEX(U189:AY189&lt;&gt;"",0),0)),"")</f>
        <v/>
      </c>
      <c r="N189" s="61">
        <f>IFERROR(LOOKUP(2,1/(U189:AY189&lt;&gt;""),U$2:AY$2),"")</f>
        <v/>
      </c>
      <c r="O189" s="59" t="n"/>
      <c r="P189" s="59" t="n"/>
      <c r="Q189" s="59" t="n"/>
      <c r="R189" s="59" t="n"/>
      <c r="S189" s="14" t="n"/>
      <c r="U189" s="53" t="n"/>
      <c r="V189" s="53" t="n"/>
      <c r="W189" s="53" t="n"/>
      <c r="X189" s="53" t="n"/>
      <c r="Y189" s="53" t="n"/>
      <c r="Z189" s="53" t="n"/>
      <c r="AA189" s="53" t="n"/>
      <c r="AB189" s="53" t="n"/>
      <c r="AC189" s="53" t="n"/>
      <c r="AD189" s="53" t="n"/>
      <c r="AE189" s="53" t="n"/>
      <c r="AF189" s="53" t="n"/>
      <c r="AG189" s="53" t="n"/>
      <c r="AH189" s="53" t="n"/>
      <c r="AI189" s="53" t="n"/>
      <c r="AJ189" s="53" t="n"/>
      <c r="AK189" s="53" t="n"/>
      <c r="AL189" s="53" t="n"/>
      <c r="AM189" s="53" t="n"/>
      <c r="AN189" s="53" t="n"/>
      <c r="AO189" s="53" t="n"/>
      <c r="AP189" s="53" t="n"/>
      <c r="AQ189" s="53" t="n"/>
      <c r="AR189" s="53" t="n"/>
      <c r="AS189" s="53" t="n"/>
      <c r="AT189" s="53" t="n"/>
      <c r="AU189" s="53" t="n"/>
      <c r="AV189" s="53" t="n"/>
      <c r="AW189" s="53" t="n"/>
      <c r="AX189" s="53" t="n"/>
      <c r="AY189" s="53" t="n"/>
    </row>
    <row r="190" ht="15" customHeight="1">
      <c r="A190" s="62" t="n"/>
      <c r="B190" s="55">
        <f>IF($B$188="","",$B$188)</f>
        <v/>
      </c>
      <c r="C190" s="63" t="inlineStr">
        <is>
          <t>마케팅3팀</t>
        </is>
      </c>
      <c r="D190" s="55">
        <f>IF($D$188="","",$D$188)</f>
        <v/>
      </c>
      <c r="E190" s="64" t="inlineStr">
        <is>
          <t>영상</t>
        </is>
      </c>
      <c r="F190" s="44" t="n"/>
      <c r="G190" s="58">
        <f>IF($G$188="","",$G$188)</f>
        <v/>
      </c>
      <c r="H190" s="59" t="n"/>
      <c r="I190" s="59" t="n"/>
      <c r="J190" s="59" t="n"/>
      <c r="K190" s="59" t="n"/>
      <c r="L190" s="65">
        <f>IF(SUM(U190:AY190)=0,"",SUM(U190:AY190))</f>
        <v/>
      </c>
      <c r="M190" s="66">
        <f>IFERROR(INDEX(U$2:AY$2,MATCH(TRUE,INDEX(U190:AY190&lt;&gt;"",0),0)),"")</f>
        <v/>
      </c>
      <c r="N190" s="66">
        <f>IFERROR(LOOKUP(2,1/(U190:AY190&lt;&gt;""),U$2:AY$2),"")</f>
        <v/>
      </c>
      <c r="O190" s="59" t="n"/>
      <c r="P190" s="59" t="n"/>
      <c r="Q190" s="59" t="n"/>
      <c r="R190" s="59" t="n"/>
      <c r="S190" s="14" t="n"/>
      <c r="U190" s="53" t="n"/>
      <c r="V190" s="53" t="n"/>
      <c r="W190" s="53" t="n"/>
      <c r="X190" s="53" t="n"/>
      <c r="Y190" s="53" t="n"/>
      <c r="Z190" s="53" t="n"/>
      <c r="AA190" s="53" t="n"/>
      <c r="AB190" s="53" t="n"/>
      <c r="AC190" s="53" t="n"/>
      <c r="AD190" s="53" t="n"/>
      <c r="AE190" s="53" t="n"/>
      <c r="AF190" s="53" t="n"/>
      <c r="AG190" s="53" t="n"/>
      <c r="AH190" s="53" t="n"/>
      <c r="AI190" s="53" t="n"/>
      <c r="AJ190" s="53" t="n"/>
      <c r="AK190" s="53" t="n"/>
      <c r="AL190" s="53" t="n"/>
      <c r="AM190" s="53" t="n"/>
      <c r="AN190" s="53" t="n"/>
      <c r="AO190" s="53" t="n"/>
      <c r="AP190" s="53" t="n"/>
      <c r="AQ190" s="53" t="n"/>
      <c r="AR190" s="53" t="n"/>
      <c r="AS190" s="53" t="n"/>
      <c r="AT190" s="53" t="n"/>
      <c r="AU190" s="53" t="n"/>
      <c r="AV190" s="53" t="n"/>
      <c r="AW190" s="53" t="n"/>
      <c r="AX190" s="53" t="n"/>
      <c r="AY190" s="53" t="n"/>
    </row>
    <row r="191" ht="18" customHeight="1">
      <c r="A191" s="39" t="inlineStr">
        <is>
          <t>마케팅4팀   (192~251행 · 소재 20개)</t>
        </is>
      </c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I191" s="8" t="n"/>
      <c r="AJ191" s="8" t="n"/>
      <c r="AK191" s="8" t="n"/>
      <c r="AL191" s="8" t="n"/>
      <c r="AM191" s="8" t="n"/>
      <c r="AN191" s="8" t="n"/>
      <c r="AO191" s="8" t="n"/>
      <c r="AP191" s="8" t="n"/>
      <c r="AQ191" s="8" t="n"/>
      <c r="AR191" s="8" t="n"/>
      <c r="AS191" s="8" t="n"/>
      <c r="AT191" s="8" t="n"/>
      <c r="AU191" s="8" t="n"/>
      <c r="AV191" s="8" t="n"/>
      <c r="AW191" s="8" t="n"/>
      <c r="AX191" s="8" t="n"/>
      <c r="AY191" s="4" t="n"/>
    </row>
    <row r="192" ht="15" customHeight="1">
      <c r="A192" s="40">
        <f>IF($D$192="","",61)</f>
        <v/>
      </c>
      <c r="B192" s="10" t="n"/>
      <c r="C192" s="41" t="inlineStr">
        <is>
          <t>마케팅4팀</t>
        </is>
      </c>
      <c r="D192" s="42" t="n"/>
      <c r="E192" s="43" t="inlineStr">
        <is>
          <t>기획</t>
        </is>
      </c>
      <c r="F192" s="44" t="n"/>
      <c r="G192" s="45" t="n"/>
      <c r="H192" s="46">
        <f>IF($I$192="","",IF($I$192&lt;0,"🔴지연",IF($I$192&lt;=1,"🟡임박","🟢여유")))</f>
        <v/>
      </c>
      <c r="I192" s="47">
        <f>IF(OR($G$192="",$K$192=""),"",$G$192-$K$192)</f>
        <v/>
      </c>
      <c r="J192" s="48">
        <f>IF(SUM($L$192:$L$194)=0,"",SUM($L$192:$L$194))</f>
        <v/>
      </c>
      <c r="K192" s="49">
        <f>IF($J$192="","",MAX($N$192:$N$194))</f>
        <v/>
      </c>
      <c r="L192" s="50">
        <f>IF(SUM(U192:AY192)=0,"",SUM(U192:AY192))</f>
        <v/>
      </c>
      <c r="M192" s="51">
        <f>IFERROR(INDEX(U$2:AY$2,MATCH(TRUE,INDEX(U192:AY192&lt;&gt;"",0),0)),"")</f>
        <v/>
      </c>
      <c r="N192" s="51">
        <f>IFERROR(LOOKUP(2,1/(U192:AY192&lt;&gt;""),U$2:AY$2),"")</f>
        <v/>
      </c>
      <c r="O192" s="52" t="n"/>
      <c r="P192" s="52" t="n"/>
      <c r="Q192" s="52" t="n"/>
      <c r="R192" s="44" t="n"/>
      <c r="S192" s="14" t="n"/>
      <c r="U192" s="53" t="n"/>
      <c r="V192" s="53" t="n"/>
      <c r="W192" s="53" t="n"/>
      <c r="X192" s="53" t="n"/>
      <c r="Y192" s="53" t="n"/>
      <c r="Z192" s="53" t="n"/>
      <c r="AA192" s="53" t="n"/>
      <c r="AB192" s="53" t="n"/>
      <c r="AC192" s="53" t="n"/>
      <c r="AD192" s="53" t="n"/>
      <c r="AE192" s="53" t="n"/>
      <c r="AF192" s="53" t="n"/>
      <c r="AG192" s="53" t="n"/>
      <c r="AH192" s="53" t="n"/>
      <c r="AI192" s="53" t="n"/>
      <c r="AJ192" s="53" t="n"/>
      <c r="AK192" s="53" t="n"/>
      <c r="AL192" s="53" t="n"/>
      <c r="AM192" s="53" t="n"/>
      <c r="AN192" s="53" t="n"/>
      <c r="AO192" s="53" t="n"/>
      <c r="AP192" s="53" t="n"/>
      <c r="AQ192" s="53" t="n"/>
      <c r="AR192" s="53" t="n"/>
      <c r="AS192" s="53" t="n"/>
      <c r="AT192" s="53" t="n"/>
      <c r="AU192" s="53" t="n"/>
      <c r="AV192" s="53" t="n"/>
      <c r="AW192" s="53" t="n"/>
      <c r="AX192" s="53" t="n"/>
      <c r="AY192" s="53" t="n"/>
    </row>
    <row r="193" ht="15" customHeight="1">
      <c r="A193" s="54" t="n"/>
      <c r="B193" s="55">
        <f>IF($B$192="","",$B$192)</f>
        <v/>
      </c>
      <c r="C193" s="56" t="inlineStr">
        <is>
          <t>마케팅4팀</t>
        </is>
      </c>
      <c r="D193" s="55">
        <f>IF($D$192="","",$D$192)</f>
        <v/>
      </c>
      <c r="E193" s="57" t="inlineStr">
        <is>
          <t>이미지</t>
        </is>
      </c>
      <c r="F193" s="44" t="n"/>
      <c r="G193" s="58">
        <f>IF($G$192="","",$G$192)</f>
        <v/>
      </c>
      <c r="H193" s="59" t="n"/>
      <c r="I193" s="59" t="n"/>
      <c r="J193" s="59" t="n"/>
      <c r="K193" s="59" t="n"/>
      <c r="L193" s="60">
        <f>IF(SUM(U193:AY193)=0,"",SUM(U193:AY193))</f>
        <v/>
      </c>
      <c r="M193" s="61">
        <f>IFERROR(INDEX(U$2:AY$2,MATCH(TRUE,INDEX(U193:AY193&lt;&gt;"",0),0)),"")</f>
        <v/>
      </c>
      <c r="N193" s="61">
        <f>IFERROR(LOOKUP(2,1/(U193:AY193&lt;&gt;""),U$2:AY$2),"")</f>
        <v/>
      </c>
      <c r="O193" s="59" t="n"/>
      <c r="P193" s="59" t="n"/>
      <c r="Q193" s="59" t="n"/>
      <c r="R193" s="59" t="n"/>
      <c r="S193" s="14" t="n"/>
      <c r="U193" s="53" t="n"/>
      <c r="V193" s="53" t="n"/>
      <c r="W193" s="53" t="n"/>
      <c r="X193" s="53" t="n"/>
      <c r="Y193" s="53" t="n"/>
      <c r="Z193" s="53" t="n"/>
      <c r="AA193" s="53" t="n"/>
      <c r="AB193" s="53" t="n"/>
      <c r="AC193" s="53" t="n"/>
      <c r="AD193" s="53" t="n"/>
      <c r="AE193" s="53" t="n"/>
      <c r="AF193" s="53" t="n"/>
      <c r="AG193" s="53" t="n"/>
      <c r="AH193" s="53" t="n"/>
      <c r="AI193" s="53" t="n"/>
      <c r="AJ193" s="53" t="n"/>
      <c r="AK193" s="53" t="n"/>
      <c r="AL193" s="53" t="n"/>
      <c r="AM193" s="53" t="n"/>
      <c r="AN193" s="53" t="n"/>
      <c r="AO193" s="53" t="n"/>
      <c r="AP193" s="53" t="n"/>
      <c r="AQ193" s="53" t="n"/>
      <c r="AR193" s="53" t="n"/>
      <c r="AS193" s="53" t="n"/>
      <c r="AT193" s="53" t="n"/>
      <c r="AU193" s="53" t="n"/>
      <c r="AV193" s="53" t="n"/>
      <c r="AW193" s="53" t="n"/>
      <c r="AX193" s="53" t="n"/>
      <c r="AY193" s="53" t="n"/>
    </row>
    <row r="194" ht="15" customHeight="1">
      <c r="A194" s="62" t="n"/>
      <c r="B194" s="55">
        <f>IF($B$192="","",$B$192)</f>
        <v/>
      </c>
      <c r="C194" s="63" t="inlineStr">
        <is>
          <t>마케팅4팀</t>
        </is>
      </c>
      <c r="D194" s="55">
        <f>IF($D$192="","",$D$192)</f>
        <v/>
      </c>
      <c r="E194" s="64" t="inlineStr">
        <is>
          <t>영상</t>
        </is>
      </c>
      <c r="F194" s="44" t="n"/>
      <c r="G194" s="58">
        <f>IF($G$192="","",$G$192)</f>
        <v/>
      </c>
      <c r="H194" s="59" t="n"/>
      <c r="I194" s="59" t="n"/>
      <c r="J194" s="59" t="n"/>
      <c r="K194" s="59" t="n"/>
      <c r="L194" s="65">
        <f>IF(SUM(U194:AY194)=0,"",SUM(U194:AY194))</f>
        <v/>
      </c>
      <c r="M194" s="66">
        <f>IFERROR(INDEX(U$2:AY$2,MATCH(TRUE,INDEX(U194:AY194&lt;&gt;"",0),0)),"")</f>
        <v/>
      </c>
      <c r="N194" s="66">
        <f>IFERROR(LOOKUP(2,1/(U194:AY194&lt;&gt;""),U$2:AY$2),"")</f>
        <v/>
      </c>
      <c r="O194" s="59" t="n"/>
      <c r="P194" s="59" t="n"/>
      <c r="Q194" s="59" t="n"/>
      <c r="R194" s="59" t="n"/>
      <c r="S194" s="14" t="n"/>
      <c r="U194" s="53" t="n"/>
      <c r="V194" s="53" t="n"/>
      <c r="W194" s="53" t="n"/>
      <c r="X194" s="53" t="n"/>
      <c r="Y194" s="53" t="n"/>
      <c r="Z194" s="53" t="n"/>
      <c r="AA194" s="53" t="n"/>
      <c r="AB194" s="53" t="n"/>
      <c r="AC194" s="53" t="n"/>
      <c r="AD194" s="53" t="n"/>
      <c r="AE194" s="53" t="n"/>
      <c r="AF194" s="53" t="n"/>
      <c r="AG194" s="53" t="n"/>
      <c r="AH194" s="53" t="n"/>
      <c r="AI194" s="53" t="n"/>
      <c r="AJ194" s="53" t="n"/>
      <c r="AK194" s="53" t="n"/>
      <c r="AL194" s="53" t="n"/>
      <c r="AM194" s="53" t="n"/>
      <c r="AN194" s="53" t="n"/>
      <c r="AO194" s="53" t="n"/>
      <c r="AP194" s="53" t="n"/>
      <c r="AQ194" s="53" t="n"/>
      <c r="AR194" s="53" t="n"/>
      <c r="AS194" s="53" t="n"/>
      <c r="AT194" s="53" t="n"/>
      <c r="AU194" s="53" t="n"/>
      <c r="AV194" s="53" t="n"/>
      <c r="AW194" s="53" t="n"/>
      <c r="AX194" s="53" t="n"/>
      <c r="AY194" s="53" t="n"/>
    </row>
    <row r="195" ht="15" customHeight="1">
      <c r="A195" s="40">
        <f>IF($D$195="","",62)</f>
        <v/>
      </c>
      <c r="B195" s="10" t="n"/>
      <c r="C195" s="41" t="inlineStr">
        <is>
          <t>마케팅4팀</t>
        </is>
      </c>
      <c r="D195" s="42" t="n"/>
      <c r="E195" s="43" t="inlineStr">
        <is>
          <t>기획</t>
        </is>
      </c>
      <c r="F195" s="44" t="n"/>
      <c r="G195" s="45" t="n"/>
      <c r="H195" s="46">
        <f>IF($I$195="","",IF($I$195&lt;0,"🔴지연",IF($I$195&lt;=1,"🟡임박","🟢여유")))</f>
        <v/>
      </c>
      <c r="I195" s="47">
        <f>IF(OR($G$195="",$K$195=""),"",$G$195-$K$195)</f>
        <v/>
      </c>
      <c r="J195" s="48">
        <f>IF(SUM($L$195:$L$197)=0,"",SUM($L$195:$L$197))</f>
        <v/>
      </c>
      <c r="K195" s="49">
        <f>IF($J$195="","",MAX($N$195:$N$197))</f>
        <v/>
      </c>
      <c r="L195" s="50">
        <f>IF(SUM(U195:AY195)=0,"",SUM(U195:AY195))</f>
        <v/>
      </c>
      <c r="M195" s="51">
        <f>IFERROR(INDEX(U$2:AY$2,MATCH(TRUE,INDEX(U195:AY195&lt;&gt;"",0),0)),"")</f>
        <v/>
      </c>
      <c r="N195" s="51">
        <f>IFERROR(LOOKUP(2,1/(U195:AY195&lt;&gt;""),U$2:AY$2),"")</f>
        <v/>
      </c>
      <c r="O195" s="52" t="n"/>
      <c r="P195" s="52" t="n"/>
      <c r="Q195" s="52" t="n"/>
      <c r="R195" s="44" t="n"/>
      <c r="S195" s="14" t="n"/>
      <c r="U195" s="53" t="n"/>
      <c r="V195" s="53" t="n"/>
      <c r="W195" s="53" t="n"/>
      <c r="X195" s="53" t="n"/>
      <c r="Y195" s="53" t="n"/>
      <c r="Z195" s="53" t="n"/>
      <c r="AA195" s="53" t="n"/>
      <c r="AB195" s="53" t="n"/>
      <c r="AC195" s="53" t="n"/>
      <c r="AD195" s="53" t="n"/>
      <c r="AE195" s="53" t="n"/>
      <c r="AF195" s="53" t="n"/>
      <c r="AG195" s="53" t="n"/>
      <c r="AH195" s="53" t="n"/>
      <c r="AI195" s="53" t="n"/>
      <c r="AJ195" s="53" t="n"/>
      <c r="AK195" s="53" t="n"/>
      <c r="AL195" s="53" t="n"/>
      <c r="AM195" s="53" t="n"/>
      <c r="AN195" s="53" t="n"/>
      <c r="AO195" s="53" t="n"/>
      <c r="AP195" s="53" t="n"/>
      <c r="AQ195" s="53" t="n"/>
      <c r="AR195" s="53" t="n"/>
      <c r="AS195" s="53" t="n"/>
      <c r="AT195" s="53" t="n"/>
      <c r="AU195" s="53" t="n"/>
      <c r="AV195" s="53" t="n"/>
      <c r="AW195" s="53" t="n"/>
      <c r="AX195" s="53" t="n"/>
      <c r="AY195" s="53" t="n"/>
    </row>
    <row r="196" ht="15" customHeight="1">
      <c r="A196" s="54" t="n"/>
      <c r="B196" s="55">
        <f>IF($B$195="","",$B$195)</f>
        <v/>
      </c>
      <c r="C196" s="56" t="inlineStr">
        <is>
          <t>마케팅4팀</t>
        </is>
      </c>
      <c r="D196" s="55">
        <f>IF($D$195="","",$D$195)</f>
        <v/>
      </c>
      <c r="E196" s="57" t="inlineStr">
        <is>
          <t>이미지</t>
        </is>
      </c>
      <c r="F196" s="44" t="n"/>
      <c r="G196" s="58">
        <f>IF($G$195="","",$G$195)</f>
        <v/>
      </c>
      <c r="H196" s="59" t="n"/>
      <c r="I196" s="59" t="n"/>
      <c r="J196" s="59" t="n"/>
      <c r="K196" s="59" t="n"/>
      <c r="L196" s="60">
        <f>IF(SUM(U196:AY196)=0,"",SUM(U196:AY196))</f>
        <v/>
      </c>
      <c r="M196" s="61">
        <f>IFERROR(INDEX(U$2:AY$2,MATCH(TRUE,INDEX(U196:AY196&lt;&gt;"",0),0)),"")</f>
        <v/>
      </c>
      <c r="N196" s="61">
        <f>IFERROR(LOOKUP(2,1/(U196:AY196&lt;&gt;""),U$2:AY$2),"")</f>
        <v/>
      </c>
      <c r="O196" s="59" t="n"/>
      <c r="P196" s="59" t="n"/>
      <c r="Q196" s="59" t="n"/>
      <c r="R196" s="59" t="n"/>
      <c r="S196" s="14" t="n"/>
      <c r="U196" s="53" t="n"/>
      <c r="V196" s="53" t="n"/>
      <c r="W196" s="53" t="n"/>
      <c r="X196" s="53" t="n"/>
      <c r="Y196" s="53" t="n"/>
      <c r="Z196" s="53" t="n"/>
      <c r="AA196" s="53" t="n"/>
      <c r="AB196" s="53" t="n"/>
      <c r="AC196" s="53" t="n"/>
      <c r="AD196" s="53" t="n"/>
      <c r="AE196" s="53" t="n"/>
      <c r="AF196" s="53" t="n"/>
      <c r="AG196" s="53" t="n"/>
      <c r="AH196" s="53" t="n"/>
      <c r="AI196" s="53" t="n"/>
      <c r="AJ196" s="53" t="n"/>
      <c r="AK196" s="53" t="n"/>
      <c r="AL196" s="53" t="n"/>
      <c r="AM196" s="53" t="n"/>
      <c r="AN196" s="53" t="n"/>
      <c r="AO196" s="53" t="n"/>
      <c r="AP196" s="53" t="n"/>
      <c r="AQ196" s="53" t="n"/>
      <c r="AR196" s="53" t="n"/>
      <c r="AS196" s="53" t="n"/>
      <c r="AT196" s="53" t="n"/>
      <c r="AU196" s="53" t="n"/>
      <c r="AV196" s="53" t="n"/>
      <c r="AW196" s="53" t="n"/>
      <c r="AX196" s="53" t="n"/>
      <c r="AY196" s="53" t="n"/>
    </row>
    <row r="197" ht="15" customHeight="1">
      <c r="A197" s="62" t="n"/>
      <c r="B197" s="55">
        <f>IF($B$195="","",$B$195)</f>
        <v/>
      </c>
      <c r="C197" s="63" t="inlineStr">
        <is>
          <t>마케팅4팀</t>
        </is>
      </c>
      <c r="D197" s="55">
        <f>IF($D$195="","",$D$195)</f>
        <v/>
      </c>
      <c r="E197" s="64" t="inlineStr">
        <is>
          <t>영상</t>
        </is>
      </c>
      <c r="F197" s="44" t="n"/>
      <c r="G197" s="58">
        <f>IF($G$195="","",$G$195)</f>
        <v/>
      </c>
      <c r="H197" s="59" t="n"/>
      <c r="I197" s="59" t="n"/>
      <c r="J197" s="59" t="n"/>
      <c r="K197" s="59" t="n"/>
      <c r="L197" s="65">
        <f>IF(SUM(U197:AY197)=0,"",SUM(U197:AY197))</f>
        <v/>
      </c>
      <c r="M197" s="66">
        <f>IFERROR(INDEX(U$2:AY$2,MATCH(TRUE,INDEX(U197:AY197&lt;&gt;"",0),0)),"")</f>
        <v/>
      </c>
      <c r="N197" s="66">
        <f>IFERROR(LOOKUP(2,1/(U197:AY197&lt;&gt;""),U$2:AY$2),"")</f>
        <v/>
      </c>
      <c r="O197" s="59" t="n"/>
      <c r="P197" s="59" t="n"/>
      <c r="Q197" s="59" t="n"/>
      <c r="R197" s="59" t="n"/>
      <c r="S197" s="14" t="n"/>
      <c r="U197" s="53" t="n"/>
      <c r="V197" s="53" t="n"/>
      <c r="W197" s="53" t="n"/>
      <c r="X197" s="53" t="n"/>
      <c r="Y197" s="53" t="n"/>
      <c r="Z197" s="53" t="n"/>
      <c r="AA197" s="53" t="n"/>
      <c r="AB197" s="53" t="n"/>
      <c r="AC197" s="53" t="n"/>
      <c r="AD197" s="53" t="n"/>
      <c r="AE197" s="53" t="n"/>
      <c r="AF197" s="53" t="n"/>
      <c r="AG197" s="53" t="n"/>
      <c r="AH197" s="53" t="n"/>
      <c r="AI197" s="53" t="n"/>
      <c r="AJ197" s="53" t="n"/>
      <c r="AK197" s="53" t="n"/>
      <c r="AL197" s="53" t="n"/>
      <c r="AM197" s="53" t="n"/>
      <c r="AN197" s="53" t="n"/>
      <c r="AO197" s="53" t="n"/>
      <c r="AP197" s="53" t="n"/>
      <c r="AQ197" s="53" t="n"/>
      <c r="AR197" s="53" t="n"/>
      <c r="AS197" s="53" t="n"/>
      <c r="AT197" s="53" t="n"/>
      <c r="AU197" s="53" t="n"/>
      <c r="AV197" s="53" t="n"/>
      <c r="AW197" s="53" t="n"/>
      <c r="AX197" s="53" t="n"/>
      <c r="AY197" s="53" t="n"/>
    </row>
    <row r="198" ht="15" customHeight="1">
      <c r="A198" s="40">
        <f>IF($D$198="","",63)</f>
        <v/>
      </c>
      <c r="B198" s="10" t="n"/>
      <c r="C198" s="41" t="inlineStr">
        <is>
          <t>마케팅4팀</t>
        </is>
      </c>
      <c r="D198" s="42" t="n"/>
      <c r="E198" s="43" t="inlineStr">
        <is>
          <t>기획</t>
        </is>
      </c>
      <c r="F198" s="44" t="n"/>
      <c r="G198" s="45" t="n"/>
      <c r="H198" s="46">
        <f>IF($I$198="","",IF($I$198&lt;0,"🔴지연",IF($I$198&lt;=1,"🟡임박","🟢여유")))</f>
        <v/>
      </c>
      <c r="I198" s="47">
        <f>IF(OR($G$198="",$K$198=""),"",$G$198-$K$198)</f>
        <v/>
      </c>
      <c r="J198" s="48">
        <f>IF(SUM($L$198:$L$200)=0,"",SUM($L$198:$L$200))</f>
        <v/>
      </c>
      <c r="K198" s="49">
        <f>IF($J$198="","",MAX($N$198:$N$200))</f>
        <v/>
      </c>
      <c r="L198" s="50">
        <f>IF(SUM(U198:AY198)=0,"",SUM(U198:AY198))</f>
        <v/>
      </c>
      <c r="M198" s="51">
        <f>IFERROR(INDEX(U$2:AY$2,MATCH(TRUE,INDEX(U198:AY198&lt;&gt;"",0),0)),"")</f>
        <v/>
      </c>
      <c r="N198" s="51">
        <f>IFERROR(LOOKUP(2,1/(U198:AY198&lt;&gt;""),U$2:AY$2),"")</f>
        <v/>
      </c>
      <c r="O198" s="52" t="n"/>
      <c r="P198" s="52" t="n"/>
      <c r="Q198" s="52" t="n"/>
      <c r="R198" s="44" t="n"/>
      <c r="S198" s="14" t="n"/>
      <c r="U198" s="53" t="n"/>
      <c r="V198" s="53" t="n"/>
      <c r="W198" s="53" t="n"/>
      <c r="X198" s="53" t="n"/>
      <c r="Y198" s="53" t="n"/>
      <c r="Z198" s="53" t="n"/>
      <c r="AA198" s="53" t="n"/>
      <c r="AB198" s="53" t="n"/>
      <c r="AC198" s="53" t="n"/>
      <c r="AD198" s="53" t="n"/>
      <c r="AE198" s="53" t="n"/>
      <c r="AF198" s="53" t="n"/>
      <c r="AG198" s="53" t="n"/>
      <c r="AH198" s="53" t="n"/>
      <c r="AI198" s="53" t="n"/>
      <c r="AJ198" s="53" t="n"/>
      <c r="AK198" s="53" t="n"/>
      <c r="AL198" s="53" t="n"/>
      <c r="AM198" s="53" t="n"/>
      <c r="AN198" s="53" t="n"/>
      <c r="AO198" s="53" t="n"/>
      <c r="AP198" s="53" t="n"/>
      <c r="AQ198" s="53" t="n"/>
      <c r="AR198" s="53" t="n"/>
      <c r="AS198" s="53" t="n"/>
      <c r="AT198" s="53" t="n"/>
      <c r="AU198" s="53" t="n"/>
      <c r="AV198" s="53" t="n"/>
      <c r="AW198" s="53" t="n"/>
      <c r="AX198" s="53" t="n"/>
      <c r="AY198" s="53" t="n"/>
    </row>
    <row r="199" ht="15" customHeight="1">
      <c r="A199" s="54" t="n"/>
      <c r="B199" s="55">
        <f>IF($B$198="","",$B$198)</f>
        <v/>
      </c>
      <c r="C199" s="56" t="inlineStr">
        <is>
          <t>마케팅4팀</t>
        </is>
      </c>
      <c r="D199" s="55">
        <f>IF($D$198="","",$D$198)</f>
        <v/>
      </c>
      <c r="E199" s="57" t="inlineStr">
        <is>
          <t>이미지</t>
        </is>
      </c>
      <c r="F199" s="44" t="n"/>
      <c r="G199" s="58">
        <f>IF($G$198="","",$G$198)</f>
        <v/>
      </c>
      <c r="H199" s="59" t="n"/>
      <c r="I199" s="59" t="n"/>
      <c r="J199" s="59" t="n"/>
      <c r="K199" s="59" t="n"/>
      <c r="L199" s="60">
        <f>IF(SUM(U199:AY199)=0,"",SUM(U199:AY199))</f>
        <v/>
      </c>
      <c r="M199" s="61">
        <f>IFERROR(INDEX(U$2:AY$2,MATCH(TRUE,INDEX(U199:AY199&lt;&gt;"",0),0)),"")</f>
        <v/>
      </c>
      <c r="N199" s="61">
        <f>IFERROR(LOOKUP(2,1/(U199:AY199&lt;&gt;""),U$2:AY$2),"")</f>
        <v/>
      </c>
      <c r="O199" s="59" t="n"/>
      <c r="P199" s="59" t="n"/>
      <c r="Q199" s="59" t="n"/>
      <c r="R199" s="59" t="n"/>
      <c r="S199" s="14" t="n"/>
      <c r="U199" s="53" t="n"/>
      <c r="V199" s="53" t="n"/>
      <c r="W199" s="53" t="n"/>
      <c r="X199" s="53" t="n"/>
      <c r="Y199" s="53" t="n"/>
      <c r="Z199" s="53" t="n"/>
      <c r="AA199" s="53" t="n"/>
      <c r="AB199" s="53" t="n"/>
      <c r="AC199" s="53" t="n"/>
      <c r="AD199" s="53" t="n"/>
      <c r="AE199" s="53" t="n"/>
      <c r="AF199" s="53" t="n"/>
      <c r="AG199" s="53" t="n"/>
      <c r="AH199" s="53" t="n"/>
      <c r="AI199" s="53" t="n"/>
      <c r="AJ199" s="53" t="n"/>
      <c r="AK199" s="53" t="n"/>
      <c r="AL199" s="53" t="n"/>
      <c r="AM199" s="53" t="n"/>
      <c r="AN199" s="53" t="n"/>
      <c r="AO199" s="53" t="n"/>
      <c r="AP199" s="53" t="n"/>
      <c r="AQ199" s="53" t="n"/>
      <c r="AR199" s="53" t="n"/>
      <c r="AS199" s="53" t="n"/>
      <c r="AT199" s="53" t="n"/>
      <c r="AU199" s="53" t="n"/>
      <c r="AV199" s="53" t="n"/>
      <c r="AW199" s="53" t="n"/>
      <c r="AX199" s="53" t="n"/>
      <c r="AY199" s="53" t="n"/>
    </row>
    <row r="200" ht="15" customHeight="1">
      <c r="A200" s="62" t="n"/>
      <c r="B200" s="55">
        <f>IF($B$198="","",$B$198)</f>
        <v/>
      </c>
      <c r="C200" s="63" t="inlineStr">
        <is>
          <t>마케팅4팀</t>
        </is>
      </c>
      <c r="D200" s="55">
        <f>IF($D$198="","",$D$198)</f>
        <v/>
      </c>
      <c r="E200" s="64" t="inlineStr">
        <is>
          <t>영상</t>
        </is>
      </c>
      <c r="F200" s="44" t="n"/>
      <c r="G200" s="58">
        <f>IF($G$198="","",$G$198)</f>
        <v/>
      </c>
      <c r="H200" s="59" t="n"/>
      <c r="I200" s="59" t="n"/>
      <c r="J200" s="59" t="n"/>
      <c r="K200" s="59" t="n"/>
      <c r="L200" s="65">
        <f>IF(SUM(U200:AY200)=0,"",SUM(U200:AY200))</f>
        <v/>
      </c>
      <c r="M200" s="66">
        <f>IFERROR(INDEX(U$2:AY$2,MATCH(TRUE,INDEX(U200:AY200&lt;&gt;"",0),0)),"")</f>
        <v/>
      </c>
      <c r="N200" s="66">
        <f>IFERROR(LOOKUP(2,1/(U200:AY200&lt;&gt;""),U$2:AY$2),"")</f>
        <v/>
      </c>
      <c r="O200" s="59" t="n"/>
      <c r="P200" s="59" t="n"/>
      <c r="Q200" s="59" t="n"/>
      <c r="R200" s="59" t="n"/>
      <c r="S200" s="14" t="n"/>
      <c r="U200" s="53" t="n"/>
      <c r="V200" s="53" t="n"/>
      <c r="W200" s="53" t="n"/>
      <c r="X200" s="53" t="n"/>
      <c r="Y200" s="53" t="n"/>
      <c r="Z200" s="53" t="n"/>
      <c r="AA200" s="53" t="n"/>
      <c r="AB200" s="53" t="n"/>
      <c r="AC200" s="53" t="n"/>
      <c r="AD200" s="53" t="n"/>
      <c r="AE200" s="53" t="n"/>
      <c r="AF200" s="53" t="n"/>
      <c r="AG200" s="53" t="n"/>
      <c r="AH200" s="53" t="n"/>
      <c r="AI200" s="53" t="n"/>
      <c r="AJ200" s="53" t="n"/>
      <c r="AK200" s="53" t="n"/>
      <c r="AL200" s="53" t="n"/>
      <c r="AM200" s="53" t="n"/>
      <c r="AN200" s="53" t="n"/>
      <c r="AO200" s="53" t="n"/>
      <c r="AP200" s="53" t="n"/>
      <c r="AQ200" s="53" t="n"/>
      <c r="AR200" s="53" t="n"/>
      <c r="AS200" s="53" t="n"/>
      <c r="AT200" s="53" t="n"/>
      <c r="AU200" s="53" t="n"/>
      <c r="AV200" s="53" t="n"/>
      <c r="AW200" s="53" t="n"/>
      <c r="AX200" s="53" t="n"/>
      <c r="AY200" s="53" t="n"/>
    </row>
    <row r="201" ht="15" customHeight="1">
      <c r="A201" s="40">
        <f>IF($D$201="","",64)</f>
        <v/>
      </c>
      <c r="B201" s="10" t="n"/>
      <c r="C201" s="41" t="inlineStr">
        <is>
          <t>마케팅4팀</t>
        </is>
      </c>
      <c r="D201" s="42" t="n"/>
      <c r="E201" s="43" t="inlineStr">
        <is>
          <t>기획</t>
        </is>
      </c>
      <c r="F201" s="44" t="n"/>
      <c r="G201" s="45" t="n"/>
      <c r="H201" s="46">
        <f>IF($I$201="","",IF($I$201&lt;0,"🔴지연",IF($I$201&lt;=1,"🟡임박","🟢여유")))</f>
        <v/>
      </c>
      <c r="I201" s="47">
        <f>IF(OR($G$201="",$K$201=""),"",$G$201-$K$201)</f>
        <v/>
      </c>
      <c r="J201" s="48">
        <f>IF(SUM($L$201:$L$203)=0,"",SUM($L$201:$L$203))</f>
        <v/>
      </c>
      <c r="K201" s="49">
        <f>IF($J$201="","",MAX($N$201:$N$203))</f>
        <v/>
      </c>
      <c r="L201" s="50">
        <f>IF(SUM(U201:AY201)=0,"",SUM(U201:AY201))</f>
        <v/>
      </c>
      <c r="M201" s="51">
        <f>IFERROR(INDEX(U$2:AY$2,MATCH(TRUE,INDEX(U201:AY201&lt;&gt;"",0),0)),"")</f>
        <v/>
      </c>
      <c r="N201" s="51">
        <f>IFERROR(LOOKUP(2,1/(U201:AY201&lt;&gt;""),U$2:AY$2),"")</f>
        <v/>
      </c>
      <c r="O201" s="52" t="n"/>
      <c r="P201" s="52" t="n"/>
      <c r="Q201" s="52" t="n"/>
      <c r="R201" s="44" t="n"/>
      <c r="S201" s="14" t="n"/>
      <c r="U201" s="53" t="n"/>
      <c r="V201" s="53" t="n"/>
      <c r="W201" s="53" t="n"/>
      <c r="X201" s="53" t="n"/>
      <c r="Y201" s="53" t="n"/>
      <c r="Z201" s="53" t="n"/>
      <c r="AA201" s="53" t="n"/>
      <c r="AB201" s="53" t="n"/>
      <c r="AC201" s="53" t="n"/>
      <c r="AD201" s="53" t="n"/>
      <c r="AE201" s="53" t="n"/>
      <c r="AF201" s="53" t="n"/>
      <c r="AG201" s="53" t="n"/>
      <c r="AH201" s="53" t="n"/>
      <c r="AI201" s="53" t="n"/>
      <c r="AJ201" s="53" t="n"/>
      <c r="AK201" s="53" t="n"/>
      <c r="AL201" s="53" t="n"/>
      <c r="AM201" s="53" t="n"/>
      <c r="AN201" s="53" t="n"/>
      <c r="AO201" s="53" t="n"/>
      <c r="AP201" s="53" t="n"/>
      <c r="AQ201" s="53" t="n"/>
      <c r="AR201" s="53" t="n"/>
      <c r="AS201" s="53" t="n"/>
      <c r="AT201" s="53" t="n"/>
      <c r="AU201" s="53" t="n"/>
      <c r="AV201" s="53" t="n"/>
      <c r="AW201" s="53" t="n"/>
      <c r="AX201" s="53" t="n"/>
      <c r="AY201" s="53" t="n"/>
    </row>
    <row r="202" ht="15" customHeight="1">
      <c r="A202" s="54" t="n"/>
      <c r="B202" s="55">
        <f>IF($B$201="","",$B$201)</f>
        <v/>
      </c>
      <c r="C202" s="56" t="inlineStr">
        <is>
          <t>마케팅4팀</t>
        </is>
      </c>
      <c r="D202" s="55">
        <f>IF($D$201="","",$D$201)</f>
        <v/>
      </c>
      <c r="E202" s="57" t="inlineStr">
        <is>
          <t>이미지</t>
        </is>
      </c>
      <c r="F202" s="44" t="n"/>
      <c r="G202" s="58">
        <f>IF($G$201="","",$G$201)</f>
        <v/>
      </c>
      <c r="H202" s="59" t="n"/>
      <c r="I202" s="59" t="n"/>
      <c r="J202" s="59" t="n"/>
      <c r="K202" s="59" t="n"/>
      <c r="L202" s="60">
        <f>IF(SUM(U202:AY202)=0,"",SUM(U202:AY202))</f>
        <v/>
      </c>
      <c r="M202" s="61">
        <f>IFERROR(INDEX(U$2:AY$2,MATCH(TRUE,INDEX(U202:AY202&lt;&gt;"",0),0)),"")</f>
        <v/>
      </c>
      <c r="N202" s="61">
        <f>IFERROR(LOOKUP(2,1/(U202:AY202&lt;&gt;""),U$2:AY$2),"")</f>
        <v/>
      </c>
      <c r="O202" s="59" t="n"/>
      <c r="P202" s="59" t="n"/>
      <c r="Q202" s="59" t="n"/>
      <c r="R202" s="59" t="n"/>
      <c r="S202" s="14" t="n"/>
      <c r="U202" s="53" t="n"/>
      <c r="V202" s="53" t="n"/>
      <c r="W202" s="53" t="n"/>
      <c r="X202" s="53" t="n"/>
      <c r="Y202" s="53" t="n"/>
      <c r="Z202" s="53" t="n"/>
      <c r="AA202" s="53" t="n"/>
      <c r="AB202" s="53" t="n"/>
      <c r="AC202" s="53" t="n"/>
      <c r="AD202" s="53" t="n"/>
      <c r="AE202" s="53" t="n"/>
      <c r="AF202" s="53" t="n"/>
      <c r="AG202" s="53" t="n"/>
      <c r="AH202" s="53" t="n"/>
      <c r="AI202" s="53" t="n"/>
      <c r="AJ202" s="53" t="n"/>
      <c r="AK202" s="53" t="n"/>
      <c r="AL202" s="53" t="n"/>
      <c r="AM202" s="53" t="n"/>
      <c r="AN202" s="53" t="n"/>
      <c r="AO202" s="53" t="n"/>
      <c r="AP202" s="53" t="n"/>
      <c r="AQ202" s="53" t="n"/>
      <c r="AR202" s="53" t="n"/>
      <c r="AS202" s="53" t="n"/>
      <c r="AT202" s="53" t="n"/>
      <c r="AU202" s="53" t="n"/>
      <c r="AV202" s="53" t="n"/>
      <c r="AW202" s="53" t="n"/>
      <c r="AX202" s="53" t="n"/>
      <c r="AY202" s="53" t="n"/>
    </row>
    <row r="203" ht="15" customHeight="1">
      <c r="A203" s="62" t="n"/>
      <c r="B203" s="55">
        <f>IF($B$201="","",$B$201)</f>
        <v/>
      </c>
      <c r="C203" s="63" t="inlineStr">
        <is>
          <t>마케팅4팀</t>
        </is>
      </c>
      <c r="D203" s="55">
        <f>IF($D$201="","",$D$201)</f>
        <v/>
      </c>
      <c r="E203" s="64" t="inlineStr">
        <is>
          <t>영상</t>
        </is>
      </c>
      <c r="F203" s="44" t="n"/>
      <c r="G203" s="58">
        <f>IF($G$201="","",$G$201)</f>
        <v/>
      </c>
      <c r="H203" s="59" t="n"/>
      <c r="I203" s="59" t="n"/>
      <c r="J203" s="59" t="n"/>
      <c r="K203" s="59" t="n"/>
      <c r="L203" s="65">
        <f>IF(SUM(U203:AY203)=0,"",SUM(U203:AY203))</f>
        <v/>
      </c>
      <c r="M203" s="66">
        <f>IFERROR(INDEX(U$2:AY$2,MATCH(TRUE,INDEX(U203:AY203&lt;&gt;"",0),0)),"")</f>
        <v/>
      </c>
      <c r="N203" s="66">
        <f>IFERROR(LOOKUP(2,1/(U203:AY203&lt;&gt;""),U$2:AY$2),"")</f>
        <v/>
      </c>
      <c r="O203" s="59" t="n"/>
      <c r="P203" s="59" t="n"/>
      <c r="Q203" s="59" t="n"/>
      <c r="R203" s="59" t="n"/>
      <c r="S203" s="14" t="n"/>
      <c r="U203" s="53" t="n"/>
      <c r="V203" s="53" t="n"/>
      <c r="W203" s="53" t="n"/>
      <c r="X203" s="53" t="n"/>
      <c r="Y203" s="53" t="n"/>
      <c r="Z203" s="53" t="n"/>
      <c r="AA203" s="53" t="n"/>
      <c r="AB203" s="53" t="n"/>
      <c r="AC203" s="53" t="n"/>
      <c r="AD203" s="53" t="n"/>
      <c r="AE203" s="53" t="n"/>
      <c r="AF203" s="53" t="n"/>
      <c r="AG203" s="53" t="n"/>
      <c r="AH203" s="53" t="n"/>
      <c r="AI203" s="53" t="n"/>
      <c r="AJ203" s="53" t="n"/>
      <c r="AK203" s="53" t="n"/>
      <c r="AL203" s="53" t="n"/>
      <c r="AM203" s="53" t="n"/>
      <c r="AN203" s="53" t="n"/>
      <c r="AO203" s="53" t="n"/>
      <c r="AP203" s="53" t="n"/>
      <c r="AQ203" s="53" t="n"/>
      <c r="AR203" s="53" t="n"/>
      <c r="AS203" s="53" t="n"/>
      <c r="AT203" s="53" t="n"/>
      <c r="AU203" s="53" t="n"/>
      <c r="AV203" s="53" t="n"/>
      <c r="AW203" s="53" t="n"/>
      <c r="AX203" s="53" t="n"/>
      <c r="AY203" s="53" t="n"/>
    </row>
    <row r="204" ht="15" customHeight="1">
      <c r="A204" s="40">
        <f>IF($D$204="","",65)</f>
        <v/>
      </c>
      <c r="B204" s="10" t="n"/>
      <c r="C204" s="41" t="inlineStr">
        <is>
          <t>마케팅4팀</t>
        </is>
      </c>
      <c r="D204" s="42" t="n"/>
      <c r="E204" s="43" t="inlineStr">
        <is>
          <t>기획</t>
        </is>
      </c>
      <c r="F204" s="44" t="n"/>
      <c r="G204" s="45" t="n"/>
      <c r="H204" s="46">
        <f>IF($I$204="","",IF($I$204&lt;0,"🔴지연",IF($I$204&lt;=1,"🟡임박","🟢여유")))</f>
        <v/>
      </c>
      <c r="I204" s="47">
        <f>IF(OR($G$204="",$K$204=""),"",$G$204-$K$204)</f>
        <v/>
      </c>
      <c r="J204" s="48">
        <f>IF(SUM($L$204:$L$206)=0,"",SUM($L$204:$L$206))</f>
        <v/>
      </c>
      <c r="K204" s="49">
        <f>IF($J$204="","",MAX($N$204:$N$206))</f>
        <v/>
      </c>
      <c r="L204" s="50">
        <f>IF(SUM(U204:AY204)=0,"",SUM(U204:AY204))</f>
        <v/>
      </c>
      <c r="M204" s="51">
        <f>IFERROR(INDEX(U$2:AY$2,MATCH(TRUE,INDEX(U204:AY204&lt;&gt;"",0),0)),"")</f>
        <v/>
      </c>
      <c r="N204" s="51">
        <f>IFERROR(LOOKUP(2,1/(U204:AY204&lt;&gt;""),U$2:AY$2),"")</f>
        <v/>
      </c>
      <c r="O204" s="52" t="n"/>
      <c r="P204" s="52" t="n"/>
      <c r="Q204" s="52" t="n"/>
      <c r="R204" s="44" t="n"/>
      <c r="S204" s="14" t="n"/>
      <c r="U204" s="53" t="n"/>
      <c r="V204" s="53" t="n"/>
      <c r="W204" s="53" t="n"/>
      <c r="X204" s="53" t="n"/>
      <c r="Y204" s="53" t="n"/>
      <c r="Z204" s="53" t="n"/>
      <c r="AA204" s="53" t="n"/>
      <c r="AB204" s="53" t="n"/>
      <c r="AC204" s="53" t="n"/>
      <c r="AD204" s="53" t="n"/>
      <c r="AE204" s="53" t="n"/>
      <c r="AF204" s="53" t="n"/>
      <c r="AG204" s="53" t="n"/>
      <c r="AH204" s="53" t="n"/>
      <c r="AI204" s="53" t="n"/>
      <c r="AJ204" s="53" t="n"/>
      <c r="AK204" s="53" t="n"/>
      <c r="AL204" s="53" t="n"/>
      <c r="AM204" s="53" t="n"/>
      <c r="AN204" s="53" t="n"/>
      <c r="AO204" s="53" t="n"/>
      <c r="AP204" s="53" t="n"/>
      <c r="AQ204" s="53" t="n"/>
      <c r="AR204" s="53" t="n"/>
      <c r="AS204" s="53" t="n"/>
      <c r="AT204" s="53" t="n"/>
      <c r="AU204" s="53" t="n"/>
      <c r="AV204" s="53" t="n"/>
      <c r="AW204" s="53" t="n"/>
      <c r="AX204" s="53" t="n"/>
      <c r="AY204" s="53" t="n"/>
    </row>
    <row r="205" ht="15" customHeight="1">
      <c r="A205" s="54" t="n"/>
      <c r="B205" s="55">
        <f>IF($B$204="","",$B$204)</f>
        <v/>
      </c>
      <c r="C205" s="56" t="inlineStr">
        <is>
          <t>마케팅4팀</t>
        </is>
      </c>
      <c r="D205" s="55">
        <f>IF($D$204="","",$D$204)</f>
        <v/>
      </c>
      <c r="E205" s="57" t="inlineStr">
        <is>
          <t>이미지</t>
        </is>
      </c>
      <c r="F205" s="44" t="n"/>
      <c r="G205" s="58">
        <f>IF($G$204="","",$G$204)</f>
        <v/>
      </c>
      <c r="H205" s="59" t="n"/>
      <c r="I205" s="59" t="n"/>
      <c r="J205" s="59" t="n"/>
      <c r="K205" s="59" t="n"/>
      <c r="L205" s="60">
        <f>IF(SUM(U205:AY205)=0,"",SUM(U205:AY205))</f>
        <v/>
      </c>
      <c r="M205" s="61">
        <f>IFERROR(INDEX(U$2:AY$2,MATCH(TRUE,INDEX(U205:AY205&lt;&gt;"",0),0)),"")</f>
        <v/>
      </c>
      <c r="N205" s="61">
        <f>IFERROR(LOOKUP(2,1/(U205:AY205&lt;&gt;""),U$2:AY$2),"")</f>
        <v/>
      </c>
      <c r="O205" s="59" t="n"/>
      <c r="P205" s="59" t="n"/>
      <c r="Q205" s="59" t="n"/>
      <c r="R205" s="59" t="n"/>
      <c r="S205" s="14" t="n"/>
      <c r="U205" s="53" t="n"/>
      <c r="V205" s="53" t="n"/>
      <c r="W205" s="53" t="n"/>
      <c r="X205" s="53" t="n"/>
      <c r="Y205" s="53" t="n"/>
      <c r="Z205" s="53" t="n"/>
      <c r="AA205" s="53" t="n"/>
      <c r="AB205" s="53" t="n"/>
      <c r="AC205" s="53" t="n"/>
      <c r="AD205" s="53" t="n"/>
      <c r="AE205" s="53" t="n"/>
      <c r="AF205" s="53" t="n"/>
      <c r="AG205" s="53" t="n"/>
      <c r="AH205" s="53" t="n"/>
      <c r="AI205" s="53" t="n"/>
      <c r="AJ205" s="53" t="n"/>
      <c r="AK205" s="53" t="n"/>
      <c r="AL205" s="53" t="n"/>
      <c r="AM205" s="53" t="n"/>
      <c r="AN205" s="53" t="n"/>
      <c r="AO205" s="53" t="n"/>
      <c r="AP205" s="53" t="n"/>
      <c r="AQ205" s="53" t="n"/>
      <c r="AR205" s="53" t="n"/>
      <c r="AS205" s="53" t="n"/>
      <c r="AT205" s="53" t="n"/>
      <c r="AU205" s="53" t="n"/>
      <c r="AV205" s="53" t="n"/>
      <c r="AW205" s="53" t="n"/>
      <c r="AX205" s="53" t="n"/>
      <c r="AY205" s="53" t="n"/>
    </row>
    <row r="206" ht="15" customHeight="1">
      <c r="A206" s="62" t="n"/>
      <c r="B206" s="55">
        <f>IF($B$204="","",$B$204)</f>
        <v/>
      </c>
      <c r="C206" s="63" t="inlineStr">
        <is>
          <t>마케팅4팀</t>
        </is>
      </c>
      <c r="D206" s="55">
        <f>IF($D$204="","",$D$204)</f>
        <v/>
      </c>
      <c r="E206" s="64" t="inlineStr">
        <is>
          <t>영상</t>
        </is>
      </c>
      <c r="F206" s="44" t="n"/>
      <c r="G206" s="58">
        <f>IF($G$204="","",$G$204)</f>
        <v/>
      </c>
      <c r="H206" s="59" t="n"/>
      <c r="I206" s="59" t="n"/>
      <c r="J206" s="59" t="n"/>
      <c r="K206" s="59" t="n"/>
      <c r="L206" s="65">
        <f>IF(SUM(U206:AY206)=0,"",SUM(U206:AY206))</f>
        <v/>
      </c>
      <c r="M206" s="66">
        <f>IFERROR(INDEX(U$2:AY$2,MATCH(TRUE,INDEX(U206:AY206&lt;&gt;"",0),0)),"")</f>
        <v/>
      </c>
      <c r="N206" s="66">
        <f>IFERROR(LOOKUP(2,1/(U206:AY206&lt;&gt;""),U$2:AY$2),"")</f>
        <v/>
      </c>
      <c r="O206" s="59" t="n"/>
      <c r="P206" s="59" t="n"/>
      <c r="Q206" s="59" t="n"/>
      <c r="R206" s="59" t="n"/>
      <c r="S206" s="14" t="n"/>
      <c r="U206" s="53" t="n"/>
      <c r="V206" s="53" t="n"/>
      <c r="W206" s="53" t="n"/>
      <c r="X206" s="53" t="n"/>
      <c r="Y206" s="53" t="n"/>
      <c r="Z206" s="53" t="n"/>
      <c r="AA206" s="53" t="n"/>
      <c r="AB206" s="53" t="n"/>
      <c r="AC206" s="53" t="n"/>
      <c r="AD206" s="53" t="n"/>
      <c r="AE206" s="53" t="n"/>
      <c r="AF206" s="53" t="n"/>
      <c r="AG206" s="53" t="n"/>
      <c r="AH206" s="53" t="n"/>
      <c r="AI206" s="53" t="n"/>
      <c r="AJ206" s="53" t="n"/>
      <c r="AK206" s="53" t="n"/>
      <c r="AL206" s="53" t="n"/>
      <c r="AM206" s="53" t="n"/>
      <c r="AN206" s="53" t="n"/>
      <c r="AO206" s="53" t="n"/>
      <c r="AP206" s="53" t="n"/>
      <c r="AQ206" s="53" t="n"/>
      <c r="AR206" s="53" t="n"/>
      <c r="AS206" s="53" t="n"/>
      <c r="AT206" s="53" t="n"/>
      <c r="AU206" s="53" t="n"/>
      <c r="AV206" s="53" t="n"/>
      <c r="AW206" s="53" t="n"/>
      <c r="AX206" s="53" t="n"/>
      <c r="AY206" s="53" t="n"/>
    </row>
    <row r="207" ht="15" customHeight="1">
      <c r="A207" s="40">
        <f>IF($D$207="","",66)</f>
        <v/>
      </c>
      <c r="B207" s="10" t="n"/>
      <c r="C207" s="41" t="inlineStr">
        <is>
          <t>마케팅4팀</t>
        </is>
      </c>
      <c r="D207" s="42" t="n"/>
      <c r="E207" s="43" t="inlineStr">
        <is>
          <t>기획</t>
        </is>
      </c>
      <c r="F207" s="44" t="n"/>
      <c r="G207" s="45" t="n"/>
      <c r="H207" s="46">
        <f>IF($I$207="","",IF($I$207&lt;0,"🔴지연",IF($I$207&lt;=1,"🟡임박","🟢여유")))</f>
        <v/>
      </c>
      <c r="I207" s="47">
        <f>IF(OR($G$207="",$K$207=""),"",$G$207-$K$207)</f>
        <v/>
      </c>
      <c r="J207" s="48">
        <f>IF(SUM($L$207:$L$209)=0,"",SUM($L$207:$L$209))</f>
        <v/>
      </c>
      <c r="K207" s="49">
        <f>IF($J$207="","",MAX($N$207:$N$209))</f>
        <v/>
      </c>
      <c r="L207" s="50">
        <f>IF(SUM(U207:AY207)=0,"",SUM(U207:AY207))</f>
        <v/>
      </c>
      <c r="M207" s="51">
        <f>IFERROR(INDEX(U$2:AY$2,MATCH(TRUE,INDEX(U207:AY207&lt;&gt;"",0),0)),"")</f>
        <v/>
      </c>
      <c r="N207" s="51">
        <f>IFERROR(LOOKUP(2,1/(U207:AY207&lt;&gt;""),U$2:AY$2),"")</f>
        <v/>
      </c>
      <c r="O207" s="52" t="n"/>
      <c r="P207" s="52" t="n"/>
      <c r="Q207" s="52" t="n"/>
      <c r="R207" s="44" t="n"/>
      <c r="S207" s="14" t="n"/>
      <c r="U207" s="53" t="n"/>
      <c r="V207" s="53" t="n"/>
      <c r="W207" s="53" t="n"/>
      <c r="X207" s="53" t="n"/>
      <c r="Y207" s="53" t="n"/>
      <c r="Z207" s="53" t="n"/>
      <c r="AA207" s="53" t="n"/>
      <c r="AB207" s="53" t="n"/>
      <c r="AC207" s="53" t="n"/>
      <c r="AD207" s="53" t="n"/>
      <c r="AE207" s="53" t="n"/>
      <c r="AF207" s="53" t="n"/>
      <c r="AG207" s="53" t="n"/>
      <c r="AH207" s="53" t="n"/>
      <c r="AI207" s="53" t="n"/>
      <c r="AJ207" s="53" t="n"/>
      <c r="AK207" s="53" t="n"/>
      <c r="AL207" s="53" t="n"/>
      <c r="AM207" s="53" t="n"/>
      <c r="AN207" s="53" t="n"/>
      <c r="AO207" s="53" t="n"/>
      <c r="AP207" s="53" t="n"/>
      <c r="AQ207" s="53" t="n"/>
      <c r="AR207" s="53" t="n"/>
      <c r="AS207" s="53" t="n"/>
      <c r="AT207" s="53" t="n"/>
      <c r="AU207" s="53" t="n"/>
      <c r="AV207" s="53" t="n"/>
      <c r="AW207" s="53" t="n"/>
      <c r="AX207" s="53" t="n"/>
      <c r="AY207" s="53" t="n"/>
    </row>
    <row r="208" ht="15" customHeight="1">
      <c r="A208" s="54" t="n"/>
      <c r="B208" s="55">
        <f>IF($B$207="","",$B$207)</f>
        <v/>
      </c>
      <c r="C208" s="56" t="inlineStr">
        <is>
          <t>마케팅4팀</t>
        </is>
      </c>
      <c r="D208" s="55">
        <f>IF($D$207="","",$D$207)</f>
        <v/>
      </c>
      <c r="E208" s="57" t="inlineStr">
        <is>
          <t>이미지</t>
        </is>
      </c>
      <c r="F208" s="44" t="n"/>
      <c r="G208" s="58">
        <f>IF($G$207="","",$G$207)</f>
        <v/>
      </c>
      <c r="H208" s="59" t="n"/>
      <c r="I208" s="59" t="n"/>
      <c r="J208" s="59" t="n"/>
      <c r="K208" s="59" t="n"/>
      <c r="L208" s="60">
        <f>IF(SUM(U208:AY208)=0,"",SUM(U208:AY208))</f>
        <v/>
      </c>
      <c r="M208" s="61">
        <f>IFERROR(INDEX(U$2:AY$2,MATCH(TRUE,INDEX(U208:AY208&lt;&gt;"",0),0)),"")</f>
        <v/>
      </c>
      <c r="N208" s="61">
        <f>IFERROR(LOOKUP(2,1/(U208:AY208&lt;&gt;""),U$2:AY$2),"")</f>
        <v/>
      </c>
      <c r="O208" s="59" t="n"/>
      <c r="P208" s="59" t="n"/>
      <c r="Q208" s="59" t="n"/>
      <c r="R208" s="59" t="n"/>
      <c r="S208" s="14" t="n"/>
      <c r="U208" s="53" t="n"/>
      <c r="V208" s="53" t="n"/>
      <c r="W208" s="53" t="n"/>
      <c r="X208" s="53" t="n"/>
      <c r="Y208" s="53" t="n"/>
      <c r="Z208" s="53" t="n"/>
      <c r="AA208" s="53" t="n"/>
      <c r="AB208" s="53" t="n"/>
      <c r="AC208" s="53" t="n"/>
      <c r="AD208" s="53" t="n"/>
      <c r="AE208" s="53" t="n"/>
      <c r="AF208" s="53" t="n"/>
      <c r="AG208" s="53" t="n"/>
      <c r="AH208" s="53" t="n"/>
      <c r="AI208" s="53" t="n"/>
      <c r="AJ208" s="53" t="n"/>
      <c r="AK208" s="53" t="n"/>
      <c r="AL208" s="53" t="n"/>
      <c r="AM208" s="53" t="n"/>
      <c r="AN208" s="53" t="n"/>
      <c r="AO208" s="53" t="n"/>
      <c r="AP208" s="53" t="n"/>
      <c r="AQ208" s="53" t="n"/>
      <c r="AR208" s="53" t="n"/>
      <c r="AS208" s="53" t="n"/>
      <c r="AT208" s="53" t="n"/>
      <c r="AU208" s="53" t="n"/>
      <c r="AV208" s="53" t="n"/>
      <c r="AW208" s="53" t="n"/>
      <c r="AX208" s="53" t="n"/>
      <c r="AY208" s="53" t="n"/>
    </row>
    <row r="209" ht="15" customHeight="1">
      <c r="A209" s="62" t="n"/>
      <c r="B209" s="55">
        <f>IF($B$207="","",$B$207)</f>
        <v/>
      </c>
      <c r="C209" s="63" t="inlineStr">
        <is>
          <t>마케팅4팀</t>
        </is>
      </c>
      <c r="D209" s="55">
        <f>IF($D$207="","",$D$207)</f>
        <v/>
      </c>
      <c r="E209" s="64" t="inlineStr">
        <is>
          <t>영상</t>
        </is>
      </c>
      <c r="F209" s="44" t="n"/>
      <c r="G209" s="58">
        <f>IF($G$207="","",$G$207)</f>
        <v/>
      </c>
      <c r="H209" s="59" t="n"/>
      <c r="I209" s="59" t="n"/>
      <c r="J209" s="59" t="n"/>
      <c r="K209" s="59" t="n"/>
      <c r="L209" s="65">
        <f>IF(SUM(U209:AY209)=0,"",SUM(U209:AY209))</f>
        <v/>
      </c>
      <c r="M209" s="66">
        <f>IFERROR(INDEX(U$2:AY$2,MATCH(TRUE,INDEX(U209:AY209&lt;&gt;"",0),0)),"")</f>
        <v/>
      </c>
      <c r="N209" s="66">
        <f>IFERROR(LOOKUP(2,1/(U209:AY209&lt;&gt;""),U$2:AY$2),"")</f>
        <v/>
      </c>
      <c r="O209" s="59" t="n"/>
      <c r="P209" s="59" t="n"/>
      <c r="Q209" s="59" t="n"/>
      <c r="R209" s="59" t="n"/>
      <c r="S209" s="14" t="n"/>
      <c r="U209" s="53" t="n"/>
      <c r="V209" s="53" t="n"/>
      <c r="W209" s="53" t="n"/>
      <c r="X209" s="53" t="n"/>
      <c r="Y209" s="53" t="n"/>
      <c r="Z209" s="53" t="n"/>
      <c r="AA209" s="53" t="n"/>
      <c r="AB209" s="53" t="n"/>
      <c r="AC209" s="53" t="n"/>
      <c r="AD209" s="53" t="n"/>
      <c r="AE209" s="53" t="n"/>
      <c r="AF209" s="53" t="n"/>
      <c r="AG209" s="53" t="n"/>
      <c r="AH209" s="53" t="n"/>
      <c r="AI209" s="53" t="n"/>
      <c r="AJ209" s="53" t="n"/>
      <c r="AK209" s="53" t="n"/>
      <c r="AL209" s="53" t="n"/>
      <c r="AM209" s="53" t="n"/>
      <c r="AN209" s="53" t="n"/>
      <c r="AO209" s="53" t="n"/>
      <c r="AP209" s="53" t="n"/>
      <c r="AQ209" s="53" t="n"/>
      <c r="AR209" s="53" t="n"/>
      <c r="AS209" s="53" t="n"/>
      <c r="AT209" s="53" t="n"/>
      <c r="AU209" s="53" t="n"/>
      <c r="AV209" s="53" t="n"/>
      <c r="AW209" s="53" t="n"/>
      <c r="AX209" s="53" t="n"/>
      <c r="AY209" s="53" t="n"/>
    </row>
    <row r="210" ht="15" customHeight="1">
      <c r="A210" s="40">
        <f>IF($D$210="","",67)</f>
        <v/>
      </c>
      <c r="B210" s="10" t="n"/>
      <c r="C210" s="41" t="inlineStr">
        <is>
          <t>마케팅4팀</t>
        </is>
      </c>
      <c r="D210" s="42" t="n"/>
      <c r="E210" s="43" t="inlineStr">
        <is>
          <t>기획</t>
        </is>
      </c>
      <c r="F210" s="44" t="n"/>
      <c r="G210" s="45" t="n"/>
      <c r="H210" s="46">
        <f>IF($I$210="","",IF($I$210&lt;0,"🔴지연",IF($I$210&lt;=1,"🟡임박","🟢여유")))</f>
        <v/>
      </c>
      <c r="I210" s="47">
        <f>IF(OR($G$210="",$K$210=""),"",$G$210-$K$210)</f>
        <v/>
      </c>
      <c r="J210" s="48">
        <f>IF(SUM($L$210:$L$212)=0,"",SUM($L$210:$L$212))</f>
        <v/>
      </c>
      <c r="K210" s="49">
        <f>IF($J$210="","",MAX($N$210:$N$212))</f>
        <v/>
      </c>
      <c r="L210" s="50">
        <f>IF(SUM(U210:AY210)=0,"",SUM(U210:AY210))</f>
        <v/>
      </c>
      <c r="M210" s="51">
        <f>IFERROR(INDEX(U$2:AY$2,MATCH(TRUE,INDEX(U210:AY210&lt;&gt;"",0),0)),"")</f>
        <v/>
      </c>
      <c r="N210" s="51">
        <f>IFERROR(LOOKUP(2,1/(U210:AY210&lt;&gt;""),U$2:AY$2),"")</f>
        <v/>
      </c>
      <c r="O210" s="52" t="n"/>
      <c r="P210" s="52" t="n"/>
      <c r="Q210" s="52" t="n"/>
      <c r="R210" s="44" t="n"/>
      <c r="S210" s="14" t="n"/>
      <c r="U210" s="53" t="n"/>
      <c r="V210" s="53" t="n"/>
      <c r="W210" s="53" t="n"/>
      <c r="X210" s="53" t="n"/>
      <c r="Y210" s="53" t="n"/>
      <c r="Z210" s="53" t="n"/>
      <c r="AA210" s="53" t="n"/>
      <c r="AB210" s="53" t="n"/>
      <c r="AC210" s="53" t="n"/>
      <c r="AD210" s="53" t="n"/>
      <c r="AE210" s="53" t="n"/>
      <c r="AF210" s="53" t="n"/>
      <c r="AG210" s="53" t="n"/>
      <c r="AH210" s="53" t="n"/>
      <c r="AI210" s="53" t="n"/>
      <c r="AJ210" s="53" t="n"/>
      <c r="AK210" s="53" t="n"/>
      <c r="AL210" s="53" t="n"/>
      <c r="AM210" s="53" t="n"/>
      <c r="AN210" s="53" t="n"/>
      <c r="AO210" s="53" t="n"/>
      <c r="AP210" s="53" t="n"/>
      <c r="AQ210" s="53" t="n"/>
      <c r="AR210" s="53" t="n"/>
      <c r="AS210" s="53" t="n"/>
      <c r="AT210" s="53" t="n"/>
      <c r="AU210" s="53" t="n"/>
      <c r="AV210" s="53" t="n"/>
      <c r="AW210" s="53" t="n"/>
      <c r="AX210" s="53" t="n"/>
      <c r="AY210" s="53" t="n"/>
    </row>
    <row r="211" ht="15" customHeight="1">
      <c r="A211" s="54" t="n"/>
      <c r="B211" s="55">
        <f>IF($B$210="","",$B$210)</f>
        <v/>
      </c>
      <c r="C211" s="56" t="inlineStr">
        <is>
          <t>마케팅4팀</t>
        </is>
      </c>
      <c r="D211" s="55">
        <f>IF($D$210="","",$D$210)</f>
        <v/>
      </c>
      <c r="E211" s="57" t="inlineStr">
        <is>
          <t>이미지</t>
        </is>
      </c>
      <c r="F211" s="44" t="n"/>
      <c r="G211" s="58">
        <f>IF($G$210="","",$G$210)</f>
        <v/>
      </c>
      <c r="H211" s="59" t="n"/>
      <c r="I211" s="59" t="n"/>
      <c r="J211" s="59" t="n"/>
      <c r="K211" s="59" t="n"/>
      <c r="L211" s="60">
        <f>IF(SUM(U211:AY211)=0,"",SUM(U211:AY211))</f>
        <v/>
      </c>
      <c r="M211" s="61">
        <f>IFERROR(INDEX(U$2:AY$2,MATCH(TRUE,INDEX(U211:AY211&lt;&gt;"",0),0)),"")</f>
        <v/>
      </c>
      <c r="N211" s="61">
        <f>IFERROR(LOOKUP(2,1/(U211:AY211&lt;&gt;""),U$2:AY$2),"")</f>
        <v/>
      </c>
      <c r="O211" s="59" t="n"/>
      <c r="P211" s="59" t="n"/>
      <c r="Q211" s="59" t="n"/>
      <c r="R211" s="59" t="n"/>
      <c r="S211" s="14" t="n"/>
      <c r="U211" s="53" t="n"/>
      <c r="V211" s="53" t="n"/>
      <c r="W211" s="53" t="n"/>
      <c r="X211" s="53" t="n"/>
      <c r="Y211" s="53" t="n"/>
      <c r="Z211" s="53" t="n"/>
      <c r="AA211" s="53" t="n"/>
      <c r="AB211" s="53" t="n"/>
      <c r="AC211" s="53" t="n"/>
      <c r="AD211" s="53" t="n"/>
      <c r="AE211" s="53" t="n"/>
      <c r="AF211" s="53" t="n"/>
      <c r="AG211" s="53" t="n"/>
      <c r="AH211" s="53" t="n"/>
      <c r="AI211" s="53" t="n"/>
      <c r="AJ211" s="53" t="n"/>
      <c r="AK211" s="53" t="n"/>
      <c r="AL211" s="53" t="n"/>
      <c r="AM211" s="53" t="n"/>
      <c r="AN211" s="53" t="n"/>
      <c r="AO211" s="53" t="n"/>
      <c r="AP211" s="53" t="n"/>
      <c r="AQ211" s="53" t="n"/>
      <c r="AR211" s="53" t="n"/>
      <c r="AS211" s="53" t="n"/>
      <c r="AT211" s="53" t="n"/>
      <c r="AU211" s="53" t="n"/>
      <c r="AV211" s="53" t="n"/>
      <c r="AW211" s="53" t="n"/>
      <c r="AX211" s="53" t="n"/>
      <c r="AY211" s="53" t="n"/>
    </row>
    <row r="212" ht="15" customHeight="1">
      <c r="A212" s="62" t="n"/>
      <c r="B212" s="55">
        <f>IF($B$210="","",$B$210)</f>
        <v/>
      </c>
      <c r="C212" s="63" t="inlineStr">
        <is>
          <t>마케팅4팀</t>
        </is>
      </c>
      <c r="D212" s="55">
        <f>IF($D$210="","",$D$210)</f>
        <v/>
      </c>
      <c r="E212" s="64" t="inlineStr">
        <is>
          <t>영상</t>
        </is>
      </c>
      <c r="F212" s="44" t="n"/>
      <c r="G212" s="58">
        <f>IF($G$210="","",$G$210)</f>
        <v/>
      </c>
      <c r="H212" s="59" t="n"/>
      <c r="I212" s="59" t="n"/>
      <c r="J212" s="59" t="n"/>
      <c r="K212" s="59" t="n"/>
      <c r="L212" s="65">
        <f>IF(SUM(U212:AY212)=0,"",SUM(U212:AY212))</f>
        <v/>
      </c>
      <c r="M212" s="66">
        <f>IFERROR(INDEX(U$2:AY$2,MATCH(TRUE,INDEX(U212:AY212&lt;&gt;"",0),0)),"")</f>
        <v/>
      </c>
      <c r="N212" s="66">
        <f>IFERROR(LOOKUP(2,1/(U212:AY212&lt;&gt;""),U$2:AY$2),"")</f>
        <v/>
      </c>
      <c r="O212" s="59" t="n"/>
      <c r="P212" s="59" t="n"/>
      <c r="Q212" s="59" t="n"/>
      <c r="R212" s="59" t="n"/>
      <c r="S212" s="14" t="n"/>
      <c r="U212" s="53" t="n"/>
      <c r="V212" s="53" t="n"/>
      <c r="W212" s="53" t="n"/>
      <c r="X212" s="53" t="n"/>
      <c r="Y212" s="53" t="n"/>
      <c r="Z212" s="53" t="n"/>
      <c r="AA212" s="53" t="n"/>
      <c r="AB212" s="53" t="n"/>
      <c r="AC212" s="53" t="n"/>
      <c r="AD212" s="53" t="n"/>
      <c r="AE212" s="53" t="n"/>
      <c r="AF212" s="53" t="n"/>
      <c r="AG212" s="53" t="n"/>
      <c r="AH212" s="53" t="n"/>
      <c r="AI212" s="53" t="n"/>
      <c r="AJ212" s="53" t="n"/>
      <c r="AK212" s="53" t="n"/>
      <c r="AL212" s="53" t="n"/>
      <c r="AM212" s="53" t="n"/>
      <c r="AN212" s="53" t="n"/>
      <c r="AO212" s="53" t="n"/>
      <c r="AP212" s="53" t="n"/>
      <c r="AQ212" s="53" t="n"/>
      <c r="AR212" s="53" t="n"/>
      <c r="AS212" s="53" t="n"/>
      <c r="AT212" s="53" t="n"/>
      <c r="AU212" s="53" t="n"/>
      <c r="AV212" s="53" t="n"/>
      <c r="AW212" s="53" t="n"/>
      <c r="AX212" s="53" t="n"/>
      <c r="AY212" s="53" t="n"/>
    </row>
    <row r="213" ht="15" customHeight="1">
      <c r="A213" s="40">
        <f>IF($D$213="","",68)</f>
        <v/>
      </c>
      <c r="B213" s="10" t="n"/>
      <c r="C213" s="41" t="inlineStr">
        <is>
          <t>마케팅4팀</t>
        </is>
      </c>
      <c r="D213" s="42" t="n"/>
      <c r="E213" s="43" t="inlineStr">
        <is>
          <t>기획</t>
        </is>
      </c>
      <c r="F213" s="44" t="n"/>
      <c r="G213" s="45" t="n"/>
      <c r="H213" s="46">
        <f>IF($I$213="","",IF($I$213&lt;0,"🔴지연",IF($I$213&lt;=1,"🟡임박","🟢여유")))</f>
        <v/>
      </c>
      <c r="I213" s="47">
        <f>IF(OR($G$213="",$K$213=""),"",$G$213-$K$213)</f>
        <v/>
      </c>
      <c r="J213" s="48">
        <f>IF(SUM($L$213:$L$215)=0,"",SUM($L$213:$L$215))</f>
        <v/>
      </c>
      <c r="K213" s="49">
        <f>IF($J$213="","",MAX($N$213:$N$215))</f>
        <v/>
      </c>
      <c r="L213" s="50">
        <f>IF(SUM(U213:AY213)=0,"",SUM(U213:AY213))</f>
        <v/>
      </c>
      <c r="M213" s="51">
        <f>IFERROR(INDEX(U$2:AY$2,MATCH(TRUE,INDEX(U213:AY213&lt;&gt;"",0),0)),"")</f>
        <v/>
      </c>
      <c r="N213" s="51">
        <f>IFERROR(LOOKUP(2,1/(U213:AY213&lt;&gt;""),U$2:AY$2),"")</f>
        <v/>
      </c>
      <c r="O213" s="52" t="n"/>
      <c r="P213" s="52" t="n"/>
      <c r="Q213" s="52" t="n"/>
      <c r="R213" s="44" t="n"/>
      <c r="S213" s="14" t="n"/>
      <c r="U213" s="53" t="n"/>
      <c r="V213" s="53" t="n"/>
      <c r="W213" s="53" t="n"/>
      <c r="X213" s="53" t="n"/>
      <c r="Y213" s="53" t="n"/>
      <c r="Z213" s="53" t="n"/>
      <c r="AA213" s="53" t="n"/>
      <c r="AB213" s="53" t="n"/>
      <c r="AC213" s="53" t="n"/>
      <c r="AD213" s="53" t="n"/>
      <c r="AE213" s="53" t="n"/>
      <c r="AF213" s="53" t="n"/>
      <c r="AG213" s="53" t="n"/>
      <c r="AH213" s="53" t="n"/>
      <c r="AI213" s="53" t="n"/>
      <c r="AJ213" s="53" t="n"/>
      <c r="AK213" s="53" t="n"/>
      <c r="AL213" s="53" t="n"/>
      <c r="AM213" s="53" t="n"/>
      <c r="AN213" s="53" t="n"/>
      <c r="AO213" s="53" t="n"/>
      <c r="AP213" s="53" t="n"/>
      <c r="AQ213" s="53" t="n"/>
      <c r="AR213" s="53" t="n"/>
      <c r="AS213" s="53" t="n"/>
      <c r="AT213" s="53" t="n"/>
      <c r="AU213" s="53" t="n"/>
      <c r="AV213" s="53" t="n"/>
      <c r="AW213" s="53" t="n"/>
      <c r="AX213" s="53" t="n"/>
      <c r="AY213" s="53" t="n"/>
    </row>
    <row r="214" ht="15" customHeight="1">
      <c r="A214" s="54" t="n"/>
      <c r="B214" s="55">
        <f>IF($B$213="","",$B$213)</f>
        <v/>
      </c>
      <c r="C214" s="56" t="inlineStr">
        <is>
          <t>마케팅4팀</t>
        </is>
      </c>
      <c r="D214" s="55">
        <f>IF($D$213="","",$D$213)</f>
        <v/>
      </c>
      <c r="E214" s="57" t="inlineStr">
        <is>
          <t>이미지</t>
        </is>
      </c>
      <c r="F214" s="44" t="n"/>
      <c r="G214" s="58">
        <f>IF($G$213="","",$G$213)</f>
        <v/>
      </c>
      <c r="H214" s="59" t="n"/>
      <c r="I214" s="59" t="n"/>
      <c r="J214" s="59" t="n"/>
      <c r="K214" s="59" t="n"/>
      <c r="L214" s="60">
        <f>IF(SUM(U214:AY214)=0,"",SUM(U214:AY214))</f>
        <v/>
      </c>
      <c r="M214" s="61">
        <f>IFERROR(INDEX(U$2:AY$2,MATCH(TRUE,INDEX(U214:AY214&lt;&gt;"",0),0)),"")</f>
        <v/>
      </c>
      <c r="N214" s="61">
        <f>IFERROR(LOOKUP(2,1/(U214:AY214&lt;&gt;""),U$2:AY$2),"")</f>
        <v/>
      </c>
      <c r="O214" s="59" t="n"/>
      <c r="P214" s="59" t="n"/>
      <c r="Q214" s="59" t="n"/>
      <c r="R214" s="59" t="n"/>
      <c r="S214" s="14" t="n"/>
      <c r="U214" s="53" t="n"/>
      <c r="V214" s="53" t="n"/>
      <c r="W214" s="53" t="n"/>
      <c r="X214" s="53" t="n"/>
      <c r="Y214" s="53" t="n"/>
      <c r="Z214" s="53" t="n"/>
      <c r="AA214" s="53" t="n"/>
      <c r="AB214" s="53" t="n"/>
      <c r="AC214" s="53" t="n"/>
      <c r="AD214" s="53" t="n"/>
      <c r="AE214" s="53" t="n"/>
      <c r="AF214" s="53" t="n"/>
      <c r="AG214" s="53" t="n"/>
      <c r="AH214" s="53" t="n"/>
      <c r="AI214" s="53" t="n"/>
      <c r="AJ214" s="53" t="n"/>
      <c r="AK214" s="53" t="n"/>
      <c r="AL214" s="53" t="n"/>
      <c r="AM214" s="53" t="n"/>
      <c r="AN214" s="53" t="n"/>
      <c r="AO214" s="53" t="n"/>
      <c r="AP214" s="53" t="n"/>
      <c r="AQ214" s="53" t="n"/>
      <c r="AR214" s="53" t="n"/>
      <c r="AS214" s="53" t="n"/>
      <c r="AT214" s="53" t="n"/>
      <c r="AU214" s="53" t="n"/>
      <c r="AV214" s="53" t="n"/>
      <c r="AW214" s="53" t="n"/>
      <c r="AX214" s="53" t="n"/>
      <c r="AY214" s="53" t="n"/>
    </row>
    <row r="215" ht="15" customHeight="1">
      <c r="A215" s="62" t="n"/>
      <c r="B215" s="55">
        <f>IF($B$213="","",$B$213)</f>
        <v/>
      </c>
      <c r="C215" s="63" t="inlineStr">
        <is>
          <t>마케팅4팀</t>
        </is>
      </c>
      <c r="D215" s="55">
        <f>IF($D$213="","",$D$213)</f>
        <v/>
      </c>
      <c r="E215" s="64" t="inlineStr">
        <is>
          <t>영상</t>
        </is>
      </c>
      <c r="F215" s="44" t="n"/>
      <c r="G215" s="58">
        <f>IF($G$213="","",$G$213)</f>
        <v/>
      </c>
      <c r="H215" s="59" t="n"/>
      <c r="I215" s="59" t="n"/>
      <c r="J215" s="59" t="n"/>
      <c r="K215" s="59" t="n"/>
      <c r="L215" s="65">
        <f>IF(SUM(U215:AY215)=0,"",SUM(U215:AY215))</f>
        <v/>
      </c>
      <c r="M215" s="66">
        <f>IFERROR(INDEX(U$2:AY$2,MATCH(TRUE,INDEX(U215:AY215&lt;&gt;"",0),0)),"")</f>
        <v/>
      </c>
      <c r="N215" s="66">
        <f>IFERROR(LOOKUP(2,1/(U215:AY215&lt;&gt;""),U$2:AY$2),"")</f>
        <v/>
      </c>
      <c r="O215" s="59" t="n"/>
      <c r="P215" s="59" t="n"/>
      <c r="Q215" s="59" t="n"/>
      <c r="R215" s="59" t="n"/>
      <c r="S215" s="14" t="n"/>
      <c r="U215" s="53" t="n"/>
      <c r="V215" s="53" t="n"/>
      <c r="W215" s="53" t="n"/>
      <c r="X215" s="53" t="n"/>
      <c r="Y215" s="53" t="n"/>
      <c r="Z215" s="53" t="n"/>
      <c r="AA215" s="53" t="n"/>
      <c r="AB215" s="53" t="n"/>
      <c r="AC215" s="53" t="n"/>
      <c r="AD215" s="53" t="n"/>
      <c r="AE215" s="53" t="n"/>
      <c r="AF215" s="53" t="n"/>
      <c r="AG215" s="53" t="n"/>
      <c r="AH215" s="53" t="n"/>
      <c r="AI215" s="53" t="n"/>
      <c r="AJ215" s="53" t="n"/>
      <c r="AK215" s="53" t="n"/>
      <c r="AL215" s="53" t="n"/>
      <c r="AM215" s="53" t="n"/>
      <c r="AN215" s="53" t="n"/>
      <c r="AO215" s="53" t="n"/>
      <c r="AP215" s="53" t="n"/>
      <c r="AQ215" s="53" t="n"/>
      <c r="AR215" s="53" t="n"/>
      <c r="AS215" s="53" t="n"/>
      <c r="AT215" s="53" t="n"/>
      <c r="AU215" s="53" t="n"/>
      <c r="AV215" s="53" t="n"/>
      <c r="AW215" s="53" t="n"/>
      <c r="AX215" s="53" t="n"/>
      <c r="AY215" s="53" t="n"/>
    </row>
    <row r="216" ht="15" customHeight="1">
      <c r="A216" s="40">
        <f>IF($D$216="","",69)</f>
        <v/>
      </c>
      <c r="B216" s="10" t="n"/>
      <c r="C216" s="41" t="inlineStr">
        <is>
          <t>마케팅4팀</t>
        </is>
      </c>
      <c r="D216" s="42" t="n"/>
      <c r="E216" s="43" t="inlineStr">
        <is>
          <t>기획</t>
        </is>
      </c>
      <c r="F216" s="44" t="n"/>
      <c r="G216" s="45" t="n"/>
      <c r="H216" s="46">
        <f>IF($I$216="","",IF($I$216&lt;0,"🔴지연",IF($I$216&lt;=1,"🟡임박","🟢여유")))</f>
        <v/>
      </c>
      <c r="I216" s="47">
        <f>IF(OR($G$216="",$K$216=""),"",$G$216-$K$216)</f>
        <v/>
      </c>
      <c r="J216" s="48">
        <f>IF(SUM($L$216:$L$218)=0,"",SUM($L$216:$L$218))</f>
        <v/>
      </c>
      <c r="K216" s="49">
        <f>IF($J$216="","",MAX($N$216:$N$218))</f>
        <v/>
      </c>
      <c r="L216" s="50">
        <f>IF(SUM(U216:AY216)=0,"",SUM(U216:AY216))</f>
        <v/>
      </c>
      <c r="M216" s="51">
        <f>IFERROR(INDEX(U$2:AY$2,MATCH(TRUE,INDEX(U216:AY216&lt;&gt;"",0),0)),"")</f>
        <v/>
      </c>
      <c r="N216" s="51">
        <f>IFERROR(LOOKUP(2,1/(U216:AY216&lt;&gt;""),U$2:AY$2),"")</f>
        <v/>
      </c>
      <c r="O216" s="52" t="n"/>
      <c r="P216" s="52" t="n"/>
      <c r="Q216" s="52" t="n"/>
      <c r="R216" s="44" t="n"/>
      <c r="S216" s="14" t="n"/>
      <c r="U216" s="53" t="n"/>
      <c r="V216" s="53" t="n"/>
      <c r="W216" s="53" t="n"/>
      <c r="X216" s="53" t="n"/>
      <c r="Y216" s="53" t="n"/>
      <c r="Z216" s="53" t="n"/>
      <c r="AA216" s="53" t="n"/>
      <c r="AB216" s="53" t="n"/>
      <c r="AC216" s="53" t="n"/>
      <c r="AD216" s="53" t="n"/>
      <c r="AE216" s="53" t="n"/>
      <c r="AF216" s="53" t="n"/>
      <c r="AG216" s="53" t="n"/>
      <c r="AH216" s="53" t="n"/>
      <c r="AI216" s="53" t="n"/>
      <c r="AJ216" s="53" t="n"/>
      <c r="AK216" s="53" t="n"/>
      <c r="AL216" s="53" t="n"/>
      <c r="AM216" s="53" t="n"/>
      <c r="AN216" s="53" t="n"/>
      <c r="AO216" s="53" t="n"/>
      <c r="AP216" s="53" t="n"/>
      <c r="AQ216" s="53" t="n"/>
      <c r="AR216" s="53" t="n"/>
      <c r="AS216" s="53" t="n"/>
      <c r="AT216" s="53" t="n"/>
      <c r="AU216" s="53" t="n"/>
      <c r="AV216" s="53" t="n"/>
      <c r="AW216" s="53" t="n"/>
      <c r="AX216" s="53" t="n"/>
      <c r="AY216" s="53" t="n"/>
    </row>
    <row r="217" ht="15" customHeight="1">
      <c r="A217" s="54" t="n"/>
      <c r="B217" s="55">
        <f>IF($B$216="","",$B$216)</f>
        <v/>
      </c>
      <c r="C217" s="56" t="inlineStr">
        <is>
          <t>마케팅4팀</t>
        </is>
      </c>
      <c r="D217" s="55">
        <f>IF($D$216="","",$D$216)</f>
        <v/>
      </c>
      <c r="E217" s="57" t="inlineStr">
        <is>
          <t>이미지</t>
        </is>
      </c>
      <c r="F217" s="44" t="n"/>
      <c r="G217" s="58">
        <f>IF($G$216="","",$G$216)</f>
        <v/>
      </c>
      <c r="H217" s="59" t="n"/>
      <c r="I217" s="59" t="n"/>
      <c r="J217" s="59" t="n"/>
      <c r="K217" s="59" t="n"/>
      <c r="L217" s="60">
        <f>IF(SUM(U217:AY217)=0,"",SUM(U217:AY217))</f>
        <v/>
      </c>
      <c r="M217" s="61">
        <f>IFERROR(INDEX(U$2:AY$2,MATCH(TRUE,INDEX(U217:AY217&lt;&gt;"",0),0)),"")</f>
        <v/>
      </c>
      <c r="N217" s="61">
        <f>IFERROR(LOOKUP(2,1/(U217:AY217&lt;&gt;""),U$2:AY$2),"")</f>
        <v/>
      </c>
      <c r="O217" s="59" t="n"/>
      <c r="P217" s="59" t="n"/>
      <c r="Q217" s="59" t="n"/>
      <c r="R217" s="59" t="n"/>
      <c r="S217" s="14" t="n"/>
      <c r="U217" s="53" t="n"/>
      <c r="V217" s="53" t="n"/>
      <c r="W217" s="53" t="n"/>
      <c r="X217" s="53" t="n"/>
      <c r="Y217" s="53" t="n"/>
      <c r="Z217" s="53" t="n"/>
      <c r="AA217" s="53" t="n"/>
      <c r="AB217" s="53" t="n"/>
      <c r="AC217" s="53" t="n"/>
      <c r="AD217" s="53" t="n"/>
      <c r="AE217" s="53" t="n"/>
      <c r="AF217" s="53" t="n"/>
      <c r="AG217" s="53" t="n"/>
      <c r="AH217" s="53" t="n"/>
      <c r="AI217" s="53" t="n"/>
      <c r="AJ217" s="53" t="n"/>
      <c r="AK217" s="53" t="n"/>
      <c r="AL217" s="53" t="n"/>
      <c r="AM217" s="53" t="n"/>
      <c r="AN217" s="53" t="n"/>
      <c r="AO217" s="53" t="n"/>
      <c r="AP217" s="53" t="n"/>
      <c r="AQ217" s="53" t="n"/>
      <c r="AR217" s="53" t="n"/>
      <c r="AS217" s="53" t="n"/>
      <c r="AT217" s="53" t="n"/>
      <c r="AU217" s="53" t="n"/>
      <c r="AV217" s="53" t="n"/>
      <c r="AW217" s="53" t="n"/>
      <c r="AX217" s="53" t="n"/>
      <c r="AY217" s="53" t="n"/>
    </row>
    <row r="218" ht="15" customHeight="1">
      <c r="A218" s="62" t="n"/>
      <c r="B218" s="55">
        <f>IF($B$216="","",$B$216)</f>
        <v/>
      </c>
      <c r="C218" s="63" t="inlineStr">
        <is>
          <t>마케팅4팀</t>
        </is>
      </c>
      <c r="D218" s="55">
        <f>IF($D$216="","",$D$216)</f>
        <v/>
      </c>
      <c r="E218" s="64" t="inlineStr">
        <is>
          <t>영상</t>
        </is>
      </c>
      <c r="F218" s="44" t="n"/>
      <c r="G218" s="58">
        <f>IF($G$216="","",$G$216)</f>
        <v/>
      </c>
      <c r="H218" s="59" t="n"/>
      <c r="I218" s="59" t="n"/>
      <c r="J218" s="59" t="n"/>
      <c r="K218" s="59" t="n"/>
      <c r="L218" s="65">
        <f>IF(SUM(U218:AY218)=0,"",SUM(U218:AY218))</f>
        <v/>
      </c>
      <c r="M218" s="66">
        <f>IFERROR(INDEX(U$2:AY$2,MATCH(TRUE,INDEX(U218:AY218&lt;&gt;"",0),0)),"")</f>
        <v/>
      </c>
      <c r="N218" s="66">
        <f>IFERROR(LOOKUP(2,1/(U218:AY218&lt;&gt;""),U$2:AY$2),"")</f>
        <v/>
      </c>
      <c r="O218" s="59" t="n"/>
      <c r="P218" s="59" t="n"/>
      <c r="Q218" s="59" t="n"/>
      <c r="R218" s="59" t="n"/>
      <c r="S218" s="14" t="n"/>
      <c r="U218" s="53" t="n"/>
      <c r="V218" s="53" t="n"/>
      <c r="W218" s="53" t="n"/>
      <c r="X218" s="53" t="n"/>
      <c r="Y218" s="53" t="n"/>
      <c r="Z218" s="53" t="n"/>
      <c r="AA218" s="53" t="n"/>
      <c r="AB218" s="53" t="n"/>
      <c r="AC218" s="53" t="n"/>
      <c r="AD218" s="53" t="n"/>
      <c r="AE218" s="53" t="n"/>
      <c r="AF218" s="53" t="n"/>
      <c r="AG218" s="53" t="n"/>
      <c r="AH218" s="53" t="n"/>
      <c r="AI218" s="53" t="n"/>
      <c r="AJ218" s="53" t="n"/>
      <c r="AK218" s="53" t="n"/>
      <c r="AL218" s="53" t="n"/>
      <c r="AM218" s="53" t="n"/>
      <c r="AN218" s="53" t="n"/>
      <c r="AO218" s="53" t="n"/>
      <c r="AP218" s="53" t="n"/>
      <c r="AQ218" s="53" t="n"/>
      <c r="AR218" s="53" t="n"/>
      <c r="AS218" s="53" t="n"/>
      <c r="AT218" s="53" t="n"/>
      <c r="AU218" s="53" t="n"/>
      <c r="AV218" s="53" t="n"/>
      <c r="AW218" s="53" t="n"/>
      <c r="AX218" s="53" t="n"/>
      <c r="AY218" s="53" t="n"/>
    </row>
    <row r="219" ht="15" customHeight="1">
      <c r="A219" s="40">
        <f>IF($D$219="","",70)</f>
        <v/>
      </c>
      <c r="B219" s="10" t="n"/>
      <c r="C219" s="41" t="inlineStr">
        <is>
          <t>마케팅4팀</t>
        </is>
      </c>
      <c r="D219" s="42" t="n"/>
      <c r="E219" s="43" t="inlineStr">
        <is>
          <t>기획</t>
        </is>
      </c>
      <c r="F219" s="44" t="n"/>
      <c r="G219" s="45" t="n"/>
      <c r="H219" s="46">
        <f>IF($I$219="","",IF($I$219&lt;0,"🔴지연",IF($I$219&lt;=1,"🟡임박","🟢여유")))</f>
        <v/>
      </c>
      <c r="I219" s="47">
        <f>IF(OR($G$219="",$K$219=""),"",$G$219-$K$219)</f>
        <v/>
      </c>
      <c r="J219" s="48">
        <f>IF(SUM($L$219:$L$221)=0,"",SUM($L$219:$L$221))</f>
        <v/>
      </c>
      <c r="K219" s="49">
        <f>IF($J$219="","",MAX($N$219:$N$221))</f>
        <v/>
      </c>
      <c r="L219" s="50">
        <f>IF(SUM(U219:AY219)=0,"",SUM(U219:AY219))</f>
        <v/>
      </c>
      <c r="M219" s="51">
        <f>IFERROR(INDEX(U$2:AY$2,MATCH(TRUE,INDEX(U219:AY219&lt;&gt;"",0),0)),"")</f>
        <v/>
      </c>
      <c r="N219" s="51">
        <f>IFERROR(LOOKUP(2,1/(U219:AY219&lt;&gt;""),U$2:AY$2),"")</f>
        <v/>
      </c>
      <c r="O219" s="52" t="n"/>
      <c r="P219" s="52" t="n"/>
      <c r="Q219" s="52" t="n"/>
      <c r="R219" s="44" t="n"/>
      <c r="S219" s="14" t="n"/>
      <c r="U219" s="53" t="n"/>
      <c r="V219" s="53" t="n"/>
      <c r="W219" s="53" t="n"/>
      <c r="X219" s="53" t="n"/>
      <c r="Y219" s="53" t="n"/>
      <c r="Z219" s="53" t="n"/>
      <c r="AA219" s="53" t="n"/>
      <c r="AB219" s="53" t="n"/>
      <c r="AC219" s="53" t="n"/>
      <c r="AD219" s="53" t="n"/>
      <c r="AE219" s="53" t="n"/>
      <c r="AF219" s="53" t="n"/>
      <c r="AG219" s="53" t="n"/>
      <c r="AH219" s="53" t="n"/>
      <c r="AI219" s="53" t="n"/>
      <c r="AJ219" s="53" t="n"/>
      <c r="AK219" s="53" t="n"/>
      <c r="AL219" s="53" t="n"/>
      <c r="AM219" s="53" t="n"/>
      <c r="AN219" s="53" t="n"/>
      <c r="AO219" s="53" t="n"/>
      <c r="AP219" s="53" t="n"/>
      <c r="AQ219" s="53" t="n"/>
      <c r="AR219" s="53" t="n"/>
      <c r="AS219" s="53" t="n"/>
      <c r="AT219" s="53" t="n"/>
      <c r="AU219" s="53" t="n"/>
      <c r="AV219" s="53" t="n"/>
      <c r="AW219" s="53" t="n"/>
      <c r="AX219" s="53" t="n"/>
      <c r="AY219" s="53" t="n"/>
    </row>
    <row r="220" ht="15" customHeight="1">
      <c r="A220" s="54" t="n"/>
      <c r="B220" s="55">
        <f>IF($B$219="","",$B$219)</f>
        <v/>
      </c>
      <c r="C220" s="56" t="inlineStr">
        <is>
          <t>마케팅4팀</t>
        </is>
      </c>
      <c r="D220" s="55">
        <f>IF($D$219="","",$D$219)</f>
        <v/>
      </c>
      <c r="E220" s="57" t="inlineStr">
        <is>
          <t>이미지</t>
        </is>
      </c>
      <c r="F220" s="44" t="n"/>
      <c r="G220" s="58">
        <f>IF($G$219="","",$G$219)</f>
        <v/>
      </c>
      <c r="H220" s="59" t="n"/>
      <c r="I220" s="59" t="n"/>
      <c r="J220" s="59" t="n"/>
      <c r="K220" s="59" t="n"/>
      <c r="L220" s="60">
        <f>IF(SUM(U220:AY220)=0,"",SUM(U220:AY220))</f>
        <v/>
      </c>
      <c r="M220" s="61">
        <f>IFERROR(INDEX(U$2:AY$2,MATCH(TRUE,INDEX(U220:AY220&lt;&gt;"",0),0)),"")</f>
        <v/>
      </c>
      <c r="N220" s="61">
        <f>IFERROR(LOOKUP(2,1/(U220:AY220&lt;&gt;""),U$2:AY$2),"")</f>
        <v/>
      </c>
      <c r="O220" s="59" t="n"/>
      <c r="P220" s="59" t="n"/>
      <c r="Q220" s="59" t="n"/>
      <c r="R220" s="59" t="n"/>
      <c r="S220" s="14" t="n"/>
      <c r="U220" s="53" t="n"/>
      <c r="V220" s="53" t="n"/>
      <c r="W220" s="53" t="n"/>
      <c r="X220" s="53" t="n"/>
      <c r="Y220" s="53" t="n"/>
      <c r="Z220" s="53" t="n"/>
      <c r="AA220" s="53" t="n"/>
      <c r="AB220" s="53" t="n"/>
      <c r="AC220" s="53" t="n"/>
      <c r="AD220" s="53" t="n"/>
      <c r="AE220" s="53" t="n"/>
      <c r="AF220" s="53" t="n"/>
      <c r="AG220" s="53" t="n"/>
      <c r="AH220" s="53" t="n"/>
      <c r="AI220" s="53" t="n"/>
      <c r="AJ220" s="53" t="n"/>
      <c r="AK220" s="53" t="n"/>
      <c r="AL220" s="53" t="n"/>
      <c r="AM220" s="53" t="n"/>
      <c r="AN220" s="53" t="n"/>
      <c r="AO220" s="53" t="n"/>
      <c r="AP220" s="53" t="n"/>
      <c r="AQ220" s="53" t="n"/>
      <c r="AR220" s="53" t="n"/>
      <c r="AS220" s="53" t="n"/>
      <c r="AT220" s="53" t="n"/>
      <c r="AU220" s="53" t="n"/>
      <c r="AV220" s="53" t="n"/>
      <c r="AW220" s="53" t="n"/>
      <c r="AX220" s="53" t="n"/>
      <c r="AY220" s="53" t="n"/>
    </row>
    <row r="221" ht="15" customHeight="1">
      <c r="A221" s="62" t="n"/>
      <c r="B221" s="55">
        <f>IF($B$219="","",$B$219)</f>
        <v/>
      </c>
      <c r="C221" s="63" t="inlineStr">
        <is>
          <t>마케팅4팀</t>
        </is>
      </c>
      <c r="D221" s="55">
        <f>IF($D$219="","",$D$219)</f>
        <v/>
      </c>
      <c r="E221" s="64" t="inlineStr">
        <is>
          <t>영상</t>
        </is>
      </c>
      <c r="F221" s="44" t="n"/>
      <c r="G221" s="58">
        <f>IF($G$219="","",$G$219)</f>
        <v/>
      </c>
      <c r="H221" s="59" t="n"/>
      <c r="I221" s="59" t="n"/>
      <c r="J221" s="59" t="n"/>
      <c r="K221" s="59" t="n"/>
      <c r="L221" s="65">
        <f>IF(SUM(U221:AY221)=0,"",SUM(U221:AY221))</f>
        <v/>
      </c>
      <c r="M221" s="66">
        <f>IFERROR(INDEX(U$2:AY$2,MATCH(TRUE,INDEX(U221:AY221&lt;&gt;"",0),0)),"")</f>
        <v/>
      </c>
      <c r="N221" s="66">
        <f>IFERROR(LOOKUP(2,1/(U221:AY221&lt;&gt;""),U$2:AY$2),"")</f>
        <v/>
      </c>
      <c r="O221" s="59" t="n"/>
      <c r="P221" s="59" t="n"/>
      <c r="Q221" s="59" t="n"/>
      <c r="R221" s="59" t="n"/>
      <c r="S221" s="14" t="n"/>
      <c r="U221" s="53" t="n"/>
      <c r="V221" s="53" t="n"/>
      <c r="W221" s="53" t="n"/>
      <c r="X221" s="53" t="n"/>
      <c r="Y221" s="53" t="n"/>
      <c r="Z221" s="53" t="n"/>
      <c r="AA221" s="53" t="n"/>
      <c r="AB221" s="53" t="n"/>
      <c r="AC221" s="53" t="n"/>
      <c r="AD221" s="53" t="n"/>
      <c r="AE221" s="53" t="n"/>
      <c r="AF221" s="53" t="n"/>
      <c r="AG221" s="53" t="n"/>
      <c r="AH221" s="53" t="n"/>
      <c r="AI221" s="53" t="n"/>
      <c r="AJ221" s="53" t="n"/>
      <c r="AK221" s="53" t="n"/>
      <c r="AL221" s="53" t="n"/>
      <c r="AM221" s="53" t="n"/>
      <c r="AN221" s="53" t="n"/>
      <c r="AO221" s="53" t="n"/>
      <c r="AP221" s="53" t="n"/>
      <c r="AQ221" s="53" t="n"/>
      <c r="AR221" s="53" t="n"/>
      <c r="AS221" s="53" t="n"/>
      <c r="AT221" s="53" t="n"/>
      <c r="AU221" s="53" t="n"/>
      <c r="AV221" s="53" t="n"/>
      <c r="AW221" s="53" t="n"/>
      <c r="AX221" s="53" t="n"/>
      <c r="AY221" s="53" t="n"/>
    </row>
    <row r="222" ht="15" customHeight="1">
      <c r="A222" s="40">
        <f>IF($D$222="","",71)</f>
        <v/>
      </c>
      <c r="B222" s="10" t="n"/>
      <c r="C222" s="41" t="inlineStr">
        <is>
          <t>마케팅4팀</t>
        </is>
      </c>
      <c r="D222" s="42" t="n"/>
      <c r="E222" s="43" t="inlineStr">
        <is>
          <t>기획</t>
        </is>
      </c>
      <c r="F222" s="44" t="n"/>
      <c r="G222" s="45" t="n"/>
      <c r="H222" s="46">
        <f>IF($I$222="","",IF($I$222&lt;0,"🔴지연",IF($I$222&lt;=1,"🟡임박","🟢여유")))</f>
        <v/>
      </c>
      <c r="I222" s="47">
        <f>IF(OR($G$222="",$K$222=""),"",$G$222-$K$222)</f>
        <v/>
      </c>
      <c r="J222" s="48">
        <f>IF(SUM($L$222:$L$224)=0,"",SUM($L$222:$L$224))</f>
        <v/>
      </c>
      <c r="K222" s="49">
        <f>IF($J$222="","",MAX($N$222:$N$224))</f>
        <v/>
      </c>
      <c r="L222" s="50">
        <f>IF(SUM(U222:AY222)=0,"",SUM(U222:AY222))</f>
        <v/>
      </c>
      <c r="M222" s="51">
        <f>IFERROR(INDEX(U$2:AY$2,MATCH(TRUE,INDEX(U222:AY222&lt;&gt;"",0),0)),"")</f>
        <v/>
      </c>
      <c r="N222" s="51">
        <f>IFERROR(LOOKUP(2,1/(U222:AY222&lt;&gt;""),U$2:AY$2),"")</f>
        <v/>
      </c>
      <c r="O222" s="52" t="n"/>
      <c r="P222" s="52" t="n"/>
      <c r="Q222" s="52" t="n"/>
      <c r="R222" s="44" t="n"/>
      <c r="S222" s="14" t="n"/>
      <c r="U222" s="53" t="n"/>
      <c r="V222" s="53" t="n"/>
      <c r="W222" s="53" t="n"/>
      <c r="X222" s="53" t="n"/>
      <c r="Y222" s="53" t="n"/>
      <c r="Z222" s="53" t="n"/>
      <c r="AA222" s="53" t="n"/>
      <c r="AB222" s="53" t="n"/>
      <c r="AC222" s="53" t="n"/>
      <c r="AD222" s="53" t="n"/>
      <c r="AE222" s="53" t="n"/>
      <c r="AF222" s="53" t="n"/>
      <c r="AG222" s="53" t="n"/>
      <c r="AH222" s="53" t="n"/>
      <c r="AI222" s="53" t="n"/>
      <c r="AJ222" s="53" t="n"/>
      <c r="AK222" s="53" t="n"/>
      <c r="AL222" s="53" t="n"/>
      <c r="AM222" s="53" t="n"/>
      <c r="AN222" s="53" t="n"/>
      <c r="AO222" s="53" t="n"/>
      <c r="AP222" s="53" t="n"/>
      <c r="AQ222" s="53" t="n"/>
      <c r="AR222" s="53" t="n"/>
      <c r="AS222" s="53" t="n"/>
      <c r="AT222" s="53" t="n"/>
      <c r="AU222" s="53" t="n"/>
      <c r="AV222" s="53" t="n"/>
      <c r="AW222" s="53" t="n"/>
      <c r="AX222" s="53" t="n"/>
      <c r="AY222" s="53" t="n"/>
    </row>
    <row r="223" ht="15" customHeight="1">
      <c r="A223" s="54" t="n"/>
      <c r="B223" s="55">
        <f>IF($B$222="","",$B$222)</f>
        <v/>
      </c>
      <c r="C223" s="56" t="inlineStr">
        <is>
          <t>마케팅4팀</t>
        </is>
      </c>
      <c r="D223" s="55">
        <f>IF($D$222="","",$D$222)</f>
        <v/>
      </c>
      <c r="E223" s="57" t="inlineStr">
        <is>
          <t>이미지</t>
        </is>
      </c>
      <c r="F223" s="44" t="n"/>
      <c r="G223" s="58">
        <f>IF($G$222="","",$G$222)</f>
        <v/>
      </c>
      <c r="H223" s="59" t="n"/>
      <c r="I223" s="59" t="n"/>
      <c r="J223" s="59" t="n"/>
      <c r="K223" s="59" t="n"/>
      <c r="L223" s="60">
        <f>IF(SUM(U223:AY223)=0,"",SUM(U223:AY223))</f>
        <v/>
      </c>
      <c r="M223" s="61">
        <f>IFERROR(INDEX(U$2:AY$2,MATCH(TRUE,INDEX(U223:AY223&lt;&gt;"",0),0)),"")</f>
        <v/>
      </c>
      <c r="N223" s="61">
        <f>IFERROR(LOOKUP(2,1/(U223:AY223&lt;&gt;""),U$2:AY$2),"")</f>
        <v/>
      </c>
      <c r="O223" s="59" t="n"/>
      <c r="P223" s="59" t="n"/>
      <c r="Q223" s="59" t="n"/>
      <c r="R223" s="59" t="n"/>
      <c r="S223" s="14" t="n"/>
      <c r="U223" s="53" t="n"/>
      <c r="V223" s="53" t="n"/>
      <c r="W223" s="53" t="n"/>
      <c r="X223" s="53" t="n"/>
      <c r="Y223" s="53" t="n"/>
      <c r="Z223" s="53" t="n"/>
      <c r="AA223" s="53" t="n"/>
      <c r="AB223" s="53" t="n"/>
      <c r="AC223" s="53" t="n"/>
      <c r="AD223" s="53" t="n"/>
      <c r="AE223" s="53" t="n"/>
      <c r="AF223" s="53" t="n"/>
      <c r="AG223" s="53" t="n"/>
      <c r="AH223" s="53" t="n"/>
      <c r="AI223" s="53" t="n"/>
      <c r="AJ223" s="53" t="n"/>
      <c r="AK223" s="53" t="n"/>
      <c r="AL223" s="53" t="n"/>
      <c r="AM223" s="53" t="n"/>
      <c r="AN223" s="53" t="n"/>
      <c r="AO223" s="53" t="n"/>
      <c r="AP223" s="53" t="n"/>
      <c r="AQ223" s="53" t="n"/>
      <c r="AR223" s="53" t="n"/>
      <c r="AS223" s="53" t="n"/>
      <c r="AT223" s="53" t="n"/>
      <c r="AU223" s="53" t="n"/>
      <c r="AV223" s="53" t="n"/>
      <c r="AW223" s="53" t="n"/>
      <c r="AX223" s="53" t="n"/>
      <c r="AY223" s="53" t="n"/>
    </row>
    <row r="224" ht="15" customHeight="1">
      <c r="A224" s="62" t="n"/>
      <c r="B224" s="55">
        <f>IF($B$222="","",$B$222)</f>
        <v/>
      </c>
      <c r="C224" s="63" t="inlineStr">
        <is>
          <t>마케팅4팀</t>
        </is>
      </c>
      <c r="D224" s="55">
        <f>IF($D$222="","",$D$222)</f>
        <v/>
      </c>
      <c r="E224" s="64" t="inlineStr">
        <is>
          <t>영상</t>
        </is>
      </c>
      <c r="F224" s="44" t="n"/>
      <c r="G224" s="58">
        <f>IF($G$222="","",$G$222)</f>
        <v/>
      </c>
      <c r="H224" s="59" t="n"/>
      <c r="I224" s="59" t="n"/>
      <c r="J224" s="59" t="n"/>
      <c r="K224" s="59" t="n"/>
      <c r="L224" s="65">
        <f>IF(SUM(U224:AY224)=0,"",SUM(U224:AY224))</f>
        <v/>
      </c>
      <c r="M224" s="66">
        <f>IFERROR(INDEX(U$2:AY$2,MATCH(TRUE,INDEX(U224:AY224&lt;&gt;"",0),0)),"")</f>
        <v/>
      </c>
      <c r="N224" s="66">
        <f>IFERROR(LOOKUP(2,1/(U224:AY224&lt;&gt;""),U$2:AY$2),"")</f>
        <v/>
      </c>
      <c r="O224" s="59" t="n"/>
      <c r="P224" s="59" t="n"/>
      <c r="Q224" s="59" t="n"/>
      <c r="R224" s="59" t="n"/>
      <c r="S224" s="14" t="n"/>
      <c r="U224" s="53" t="n"/>
      <c r="V224" s="53" t="n"/>
      <c r="W224" s="53" t="n"/>
      <c r="X224" s="53" t="n"/>
      <c r="Y224" s="53" t="n"/>
      <c r="Z224" s="53" t="n"/>
      <c r="AA224" s="53" t="n"/>
      <c r="AB224" s="53" t="n"/>
      <c r="AC224" s="53" t="n"/>
      <c r="AD224" s="53" t="n"/>
      <c r="AE224" s="53" t="n"/>
      <c r="AF224" s="53" t="n"/>
      <c r="AG224" s="53" t="n"/>
      <c r="AH224" s="53" t="n"/>
      <c r="AI224" s="53" t="n"/>
      <c r="AJ224" s="53" t="n"/>
      <c r="AK224" s="53" t="n"/>
      <c r="AL224" s="53" t="n"/>
      <c r="AM224" s="53" t="n"/>
      <c r="AN224" s="53" t="n"/>
      <c r="AO224" s="53" t="n"/>
      <c r="AP224" s="53" t="n"/>
      <c r="AQ224" s="53" t="n"/>
      <c r="AR224" s="53" t="n"/>
      <c r="AS224" s="53" t="n"/>
      <c r="AT224" s="53" t="n"/>
      <c r="AU224" s="53" t="n"/>
      <c r="AV224" s="53" t="n"/>
      <c r="AW224" s="53" t="n"/>
      <c r="AX224" s="53" t="n"/>
      <c r="AY224" s="53" t="n"/>
    </row>
    <row r="225" ht="15" customHeight="1">
      <c r="A225" s="40">
        <f>IF($D$225="","",72)</f>
        <v/>
      </c>
      <c r="B225" s="10" t="n"/>
      <c r="C225" s="41" t="inlineStr">
        <is>
          <t>마케팅4팀</t>
        </is>
      </c>
      <c r="D225" s="42" t="n"/>
      <c r="E225" s="43" t="inlineStr">
        <is>
          <t>기획</t>
        </is>
      </c>
      <c r="F225" s="44" t="n"/>
      <c r="G225" s="45" t="n"/>
      <c r="H225" s="46">
        <f>IF($I$225="","",IF($I$225&lt;0,"🔴지연",IF($I$225&lt;=1,"🟡임박","🟢여유")))</f>
        <v/>
      </c>
      <c r="I225" s="47">
        <f>IF(OR($G$225="",$K$225=""),"",$G$225-$K$225)</f>
        <v/>
      </c>
      <c r="J225" s="48">
        <f>IF(SUM($L$225:$L$227)=0,"",SUM($L$225:$L$227))</f>
        <v/>
      </c>
      <c r="K225" s="49">
        <f>IF($J$225="","",MAX($N$225:$N$227))</f>
        <v/>
      </c>
      <c r="L225" s="50">
        <f>IF(SUM(U225:AY225)=0,"",SUM(U225:AY225))</f>
        <v/>
      </c>
      <c r="M225" s="51">
        <f>IFERROR(INDEX(U$2:AY$2,MATCH(TRUE,INDEX(U225:AY225&lt;&gt;"",0),0)),"")</f>
        <v/>
      </c>
      <c r="N225" s="51">
        <f>IFERROR(LOOKUP(2,1/(U225:AY225&lt;&gt;""),U$2:AY$2),"")</f>
        <v/>
      </c>
      <c r="O225" s="52" t="n"/>
      <c r="P225" s="52" t="n"/>
      <c r="Q225" s="52" t="n"/>
      <c r="R225" s="44" t="n"/>
      <c r="S225" s="14" t="n"/>
      <c r="U225" s="53" t="n"/>
      <c r="V225" s="53" t="n"/>
      <c r="W225" s="53" t="n"/>
      <c r="X225" s="53" t="n"/>
      <c r="Y225" s="53" t="n"/>
      <c r="Z225" s="53" t="n"/>
      <c r="AA225" s="53" t="n"/>
      <c r="AB225" s="53" t="n"/>
      <c r="AC225" s="53" t="n"/>
      <c r="AD225" s="53" t="n"/>
      <c r="AE225" s="53" t="n"/>
      <c r="AF225" s="53" t="n"/>
      <c r="AG225" s="53" t="n"/>
      <c r="AH225" s="53" t="n"/>
      <c r="AI225" s="53" t="n"/>
      <c r="AJ225" s="53" t="n"/>
      <c r="AK225" s="53" t="n"/>
      <c r="AL225" s="53" t="n"/>
      <c r="AM225" s="53" t="n"/>
      <c r="AN225" s="53" t="n"/>
      <c r="AO225" s="53" t="n"/>
      <c r="AP225" s="53" t="n"/>
      <c r="AQ225" s="53" t="n"/>
      <c r="AR225" s="53" t="n"/>
      <c r="AS225" s="53" t="n"/>
      <c r="AT225" s="53" t="n"/>
      <c r="AU225" s="53" t="n"/>
      <c r="AV225" s="53" t="n"/>
      <c r="AW225" s="53" t="n"/>
      <c r="AX225" s="53" t="n"/>
      <c r="AY225" s="53" t="n"/>
    </row>
    <row r="226" ht="15" customHeight="1">
      <c r="A226" s="54" t="n"/>
      <c r="B226" s="55">
        <f>IF($B$225="","",$B$225)</f>
        <v/>
      </c>
      <c r="C226" s="56" t="inlineStr">
        <is>
          <t>마케팅4팀</t>
        </is>
      </c>
      <c r="D226" s="55">
        <f>IF($D$225="","",$D$225)</f>
        <v/>
      </c>
      <c r="E226" s="57" t="inlineStr">
        <is>
          <t>이미지</t>
        </is>
      </c>
      <c r="F226" s="44" t="n"/>
      <c r="G226" s="58">
        <f>IF($G$225="","",$G$225)</f>
        <v/>
      </c>
      <c r="H226" s="59" t="n"/>
      <c r="I226" s="59" t="n"/>
      <c r="J226" s="59" t="n"/>
      <c r="K226" s="59" t="n"/>
      <c r="L226" s="60">
        <f>IF(SUM(U226:AY226)=0,"",SUM(U226:AY226))</f>
        <v/>
      </c>
      <c r="M226" s="61">
        <f>IFERROR(INDEX(U$2:AY$2,MATCH(TRUE,INDEX(U226:AY226&lt;&gt;"",0),0)),"")</f>
        <v/>
      </c>
      <c r="N226" s="61">
        <f>IFERROR(LOOKUP(2,1/(U226:AY226&lt;&gt;""),U$2:AY$2),"")</f>
        <v/>
      </c>
      <c r="O226" s="59" t="n"/>
      <c r="P226" s="59" t="n"/>
      <c r="Q226" s="59" t="n"/>
      <c r="R226" s="59" t="n"/>
      <c r="S226" s="14" t="n"/>
      <c r="U226" s="53" t="n"/>
      <c r="V226" s="53" t="n"/>
      <c r="W226" s="53" t="n"/>
      <c r="X226" s="53" t="n"/>
      <c r="Y226" s="53" t="n"/>
      <c r="Z226" s="53" t="n"/>
      <c r="AA226" s="53" t="n"/>
      <c r="AB226" s="53" t="n"/>
      <c r="AC226" s="53" t="n"/>
      <c r="AD226" s="53" t="n"/>
      <c r="AE226" s="53" t="n"/>
      <c r="AF226" s="53" t="n"/>
      <c r="AG226" s="53" t="n"/>
      <c r="AH226" s="53" t="n"/>
      <c r="AI226" s="53" t="n"/>
      <c r="AJ226" s="53" t="n"/>
      <c r="AK226" s="53" t="n"/>
      <c r="AL226" s="53" t="n"/>
      <c r="AM226" s="53" t="n"/>
      <c r="AN226" s="53" t="n"/>
      <c r="AO226" s="53" t="n"/>
      <c r="AP226" s="53" t="n"/>
      <c r="AQ226" s="53" t="n"/>
      <c r="AR226" s="53" t="n"/>
      <c r="AS226" s="53" t="n"/>
      <c r="AT226" s="53" t="n"/>
      <c r="AU226" s="53" t="n"/>
      <c r="AV226" s="53" t="n"/>
      <c r="AW226" s="53" t="n"/>
      <c r="AX226" s="53" t="n"/>
      <c r="AY226" s="53" t="n"/>
    </row>
    <row r="227" ht="15" customHeight="1">
      <c r="A227" s="62" t="n"/>
      <c r="B227" s="55">
        <f>IF($B$225="","",$B$225)</f>
        <v/>
      </c>
      <c r="C227" s="63" t="inlineStr">
        <is>
          <t>마케팅4팀</t>
        </is>
      </c>
      <c r="D227" s="55">
        <f>IF($D$225="","",$D$225)</f>
        <v/>
      </c>
      <c r="E227" s="64" t="inlineStr">
        <is>
          <t>영상</t>
        </is>
      </c>
      <c r="F227" s="44" t="n"/>
      <c r="G227" s="58">
        <f>IF($G$225="","",$G$225)</f>
        <v/>
      </c>
      <c r="H227" s="59" t="n"/>
      <c r="I227" s="59" t="n"/>
      <c r="J227" s="59" t="n"/>
      <c r="K227" s="59" t="n"/>
      <c r="L227" s="65">
        <f>IF(SUM(U227:AY227)=0,"",SUM(U227:AY227))</f>
        <v/>
      </c>
      <c r="M227" s="66">
        <f>IFERROR(INDEX(U$2:AY$2,MATCH(TRUE,INDEX(U227:AY227&lt;&gt;"",0),0)),"")</f>
        <v/>
      </c>
      <c r="N227" s="66">
        <f>IFERROR(LOOKUP(2,1/(U227:AY227&lt;&gt;""),U$2:AY$2),"")</f>
        <v/>
      </c>
      <c r="O227" s="59" t="n"/>
      <c r="P227" s="59" t="n"/>
      <c r="Q227" s="59" t="n"/>
      <c r="R227" s="59" t="n"/>
      <c r="S227" s="14" t="n"/>
      <c r="U227" s="53" t="n"/>
      <c r="V227" s="53" t="n"/>
      <c r="W227" s="53" t="n"/>
      <c r="X227" s="53" t="n"/>
      <c r="Y227" s="53" t="n"/>
      <c r="Z227" s="53" t="n"/>
      <c r="AA227" s="53" t="n"/>
      <c r="AB227" s="53" t="n"/>
      <c r="AC227" s="53" t="n"/>
      <c r="AD227" s="53" t="n"/>
      <c r="AE227" s="53" t="n"/>
      <c r="AF227" s="53" t="n"/>
      <c r="AG227" s="53" t="n"/>
      <c r="AH227" s="53" t="n"/>
      <c r="AI227" s="53" t="n"/>
      <c r="AJ227" s="53" t="n"/>
      <c r="AK227" s="53" t="n"/>
      <c r="AL227" s="53" t="n"/>
      <c r="AM227" s="53" t="n"/>
      <c r="AN227" s="53" t="n"/>
      <c r="AO227" s="53" t="n"/>
      <c r="AP227" s="53" t="n"/>
      <c r="AQ227" s="53" t="n"/>
      <c r="AR227" s="53" t="n"/>
      <c r="AS227" s="53" t="n"/>
      <c r="AT227" s="53" t="n"/>
      <c r="AU227" s="53" t="n"/>
      <c r="AV227" s="53" t="n"/>
      <c r="AW227" s="53" t="n"/>
      <c r="AX227" s="53" t="n"/>
      <c r="AY227" s="53" t="n"/>
    </row>
    <row r="228" ht="15" customHeight="1">
      <c r="A228" s="40">
        <f>IF($D$228="","",73)</f>
        <v/>
      </c>
      <c r="B228" s="10" t="n"/>
      <c r="C228" s="41" t="inlineStr">
        <is>
          <t>마케팅4팀</t>
        </is>
      </c>
      <c r="D228" s="42" t="n"/>
      <c r="E228" s="43" t="inlineStr">
        <is>
          <t>기획</t>
        </is>
      </c>
      <c r="F228" s="44" t="n"/>
      <c r="G228" s="45" t="n"/>
      <c r="H228" s="46">
        <f>IF($I$228="","",IF($I$228&lt;0,"🔴지연",IF($I$228&lt;=1,"🟡임박","🟢여유")))</f>
        <v/>
      </c>
      <c r="I228" s="47">
        <f>IF(OR($G$228="",$K$228=""),"",$G$228-$K$228)</f>
        <v/>
      </c>
      <c r="J228" s="48">
        <f>IF(SUM($L$228:$L$230)=0,"",SUM($L$228:$L$230))</f>
        <v/>
      </c>
      <c r="K228" s="49">
        <f>IF($J$228="","",MAX($N$228:$N$230))</f>
        <v/>
      </c>
      <c r="L228" s="50">
        <f>IF(SUM(U228:AY228)=0,"",SUM(U228:AY228))</f>
        <v/>
      </c>
      <c r="M228" s="51">
        <f>IFERROR(INDEX(U$2:AY$2,MATCH(TRUE,INDEX(U228:AY228&lt;&gt;"",0),0)),"")</f>
        <v/>
      </c>
      <c r="N228" s="51">
        <f>IFERROR(LOOKUP(2,1/(U228:AY228&lt;&gt;""),U$2:AY$2),"")</f>
        <v/>
      </c>
      <c r="O228" s="52" t="n"/>
      <c r="P228" s="52" t="n"/>
      <c r="Q228" s="52" t="n"/>
      <c r="R228" s="44" t="n"/>
      <c r="S228" s="14" t="n"/>
      <c r="U228" s="53" t="n"/>
      <c r="V228" s="53" t="n"/>
      <c r="W228" s="53" t="n"/>
      <c r="X228" s="53" t="n"/>
      <c r="Y228" s="53" t="n"/>
      <c r="Z228" s="53" t="n"/>
      <c r="AA228" s="53" t="n"/>
      <c r="AB228" s="53" t="n"/>
      <c r="AC228" s="53" t="n"/>
      <c r="AD228" s="53" t="n"/>
      <c r="AE228" s="53" t="n"/>
      <c r="AF228" s="53" t="n"/>
      <c r="AG228" s="53" t="n"/>
      <c r="AH228" s="53" t="n"/>
      <c r="AI228" s="53" t="n"/>
      <c r="AJ228" s="53" t="n"/>
      <c r="AK228" s="53" t="n"/>
      <c r="AL228" s="53" t="n"/>
      <c r="AM228" s="53" t="n"/>
      <c r="AN228" s="53" t="n"/>
      <c r="AO228" s="53" t="n"/>
      <c r="AP228" s="53" t="n"/>
      <c r="AQ228" s="53" t="n"/>
      <c r="AR228" s="53" t="n"/>
      <c r="AS228" s="53" t="n"/>
      <c r="AT228" s="53" t="n"/>
      <c r="AU228" s="53" t="n"/>
      <c r="AV228" s="53" t="n"/>
      <c r="AW228" s="53" t="n"/>
      <c r="AX228" s="53" t="n"/>
      <c r="AY228" s="53" t="n"/>
    </row>
    <row r="229" ht="15" customHeight="1">
      <c r="A229" s="54" t="n"/>
      <c r="B229" s="55">
        <f>IF($B$228="","",$B$228)</f>
        <v/>
      </c>
      <c r="C229" s="56" t="inlineStr">
        <is>
          <t>마케팅4팀</t>
        </is>
      </c>
      <c r="D229" s="55">
        <f>IF($D$228="","",$D$228)</f>
        <v/>
      </c>
      <c r="E229" s="57" t="inlineStr">
        <is>
          <t>이미지</t>
        </is>
      </c>
      <c r="F229" s="44" t="n"/>
      <c r="G229" s="58">
        <f>IF($G$228="","",$G$228)</f>
        <v/>
      </c>
      <c r="H229" s="59" t="n"/>
      <c r="I229" s="59" t="n"/>
      <c r="J229" s="59" t="n"/>
      <c r="K229" s="59" t="n"/>
      <c r="L229" s="60">
        <f>IF(SUM(U229:AY229)=0,"",SUM(U229:AY229))</f>
        <v/>
      </c>
      <c r="M229" s="61">
        <f>IFERROR(INDEX(U$2:AY$2,MATCH(TRUE,INDEX(U229:AY229&lt;&gt;"",0),0)),"")</f>
        <v/>
      </c>
      <c r="N229" s="61">
        <f>IFERROR(LOOKUP(2,1/(U229:AY229&lt;&gt;""),U$2:AY$2),"")</f>
        <v/>
      </c>
      <c r="O229" s="59" t="n"/>
      <c r="P229" s="59" t="n"/>
      <c r="Q229" s="59" t="n"/>
      <c r="R229" s="59" t="n"/>
      <c r="S229" s="14" t="n"/>
      <c r="U229" s="53" t="n"/>
      <c r="V229" s="53" t="n"/>
      <c r="W229" s="53" t="n"/>
      <c r="X229" s="53" t="n"/>
      <c r="Y229" s="53" t="n"/>
      <c r="Z229" s="53" t="n"/>
      <c r="AA229" s="53" t="n"/>
      <c r="AB229" s="53" t="n"/>
      <c r="AC229" s="53" t="n"/>
      <c r="AD229" s="53" t="n"/>
      <c r="AE229" s="53" t="n"/>
      <c r="AF229" s="53" t="n"/>
      <c r="AG229" s="53" t="n"/>
      <c r="AH229" s="53" t="n"/>
      <c r="AI229" s="53" t="n"/>
      <c r="AJ229" s="53" t="n"/>
      <c r="AK229" s="53" t="n"/>
      <c r="AL229" s="53" t="n"/>
      <c r="AM229" s="53" t="n"/>
      <c r="AN229" s="53" t="n"/>
      <c r="AO229" s="53" t="n"/>
      <c r="AP229" s="53" t="n"/>
      <c r="AQ229" s="53" t="n"/>
      <c r="AR229" s="53" t="n"/>
      <c r="AS229" s="53" t="n"/>
      <c r="AT229" s="53" t="n"/>
      <c r="AU229" s="53" t="n"/>
      <c r="AV229" s="53" t="n"/>
      <c r="AW229" s="53" t="n"/>
      <c r="AX229" s="53" t="n"/>
      <c r="AY229" s="53" t="n"/>
    </row>
    <row r="230" ht="15" customHeight="1">
      <c r="A230" s="62" t="n"/>
      <c r="B230" s="55">
        <f>IF($B$228="","",$B$228)</f>
        <v/>
      </c>
      <c r="C230" s="63" t="inlineStr">
        <is>
          <t>마케팅4팀</t>
        </is>
      </c>
      <c r="D230" s="55">
        <f>IF($D$228="","",$D$228)</f>
        <v/>
      </c>
      <c r="E230" s="64" t="inlineStr">
        <is>
          <t>영상</t>
        </is>
      </c>
      <c r="F230" s="44" t="n"/>
      <c r="G230" s="58">
        <f>IF($G$228="","",$G$228)</f>
        <v/>
      </c>
      <c r="H230" s="59" t="n"/>
      <c r="I230" s="59" t="n"/>
      <c r="J230" s="59" t="n"/>
      <c r="K230" s="59" t="n"/>
      <c r="L230" s="65">
        <f>IF(SUM(U230:AY230)=0,"",SUM(U230:AY230))</f>
        <v/>
      </c>
      <c r="M230" s="66">
        <f>IFERROR(INDEX(U$2:AY$2,MATCH(TRUE,INDEX(U230:AY230&lt;&gt;"",0),0)),"")</f>
        <v/>
      </c>
      <c r="N230" s="66">
        <f>IFERROR(LOOKUP(2,1/(U230:AY230&lt;&gt;""),U$2:AY$2),"")</f>
        <v/>
      </c>
      <c r="O230" s="59" t="n"/>
      <c r="P230" s="59" t="n"/>
      <c r="Q230" s="59" t="n"/>
      <c r="R230" s="59" t="n"/>
      <c r="S230" s="14" t="n"/>
      <c r="U230" s="53" t="n"/>
      <c r="V230" s="53" t="n"/>
      <c r="W230" s="53" t="n"/>
      <c r="X230" s="53" t="n"/>
      <c r="Y230" s="53" t="n"/>
      <c r="Z230" s="53" t="n"/>
      <c r="AA230" s="53" t="n"/>
      <c r="AB230" s="53" t="n"/>
      <c r="AC230" s="53" t="n"/>
      <c r="AD230" s="53" t="n"/>
      <c r="AE230" s="53" t="n"/>
      <c r="AF230" s="53" t="n"/>
      <c r="AG230" s="53" t="n"/>
      <c r="AH230" s="53" t="n"/>
      <c r="AI230" s="53" t="n"/>
      <c r="AJ230" s="53" t="n"/>
      <c r="AK230" s="53" t="n"/>
      <c r="AL230" s="53" t="n"/>
      <c r="AM230" s="53" t="n"/>
      <c r="AN230" s="53" t="n"/>
      <c r="AO230" s="53" t="n"/>
      <c r="AP230" s="53" t="n"/>
      <c r="AQ230" s="53" t="n"/>
      <c r="AR230" s="53" t="n"/>
      <c r="AS230" s="53" t="n"/>
      <c r="AT230" s="53" t="n"/>
      <c r="AU230" s="53" t="n"/>
      <c r="AV230" s="53" t="n"/>
      <c r="AW230" s="53" t="n"/>
      <c r="AX230" s="53" t="n"/>
      <c r="AY230" s="53" t="n"/>
    </row>
    <row r="231" ht="15" customHeight="1">
      <c r="A231" s="40">
        <f>IF($D$231="","",74)</f>
        <v/>
      </c>
      <c r="B231" s="10" t="n"/>
      <c r="C231" s="41" t="inlineStr">
        <is>
          <t>마케팅4팀</t>
        </is>
      </c>
      <c r="D231" s="42" t="n"/>
      <c r="E231" s="43" t="inlineStr">
        <is>
          <t>기획</t>
        </is>
      </c>
      <c r="F231" s="44" t="n"/>
      <c r="G231" s="45" t="n"/>
      <c r="H231" s="46">
        <f>IF($I$231="","",IF($I$231&lt;0,"🔴지연",IF($I$231&lt;=1,"🟡임박","🟢여유")))</f>
        <v/>
      </c>
      <c r="I231" s="47">
        <f>IF(OR($G$231="",$K$231=""),"",$G$231-$K$231)</f>
        <v/>
      </c>
      <c r="J231" s="48">
        <f>IF(SUM($L$231:$L$233)=0,"",SUM($L$231:$L$233))</f>
        <v/>
      </c>
      <c r="K231" s="49">
        <f>IF($J$231="","",MAX($N$231:$N$233))</f>
        <v/>
      </c>
      <c r="L231" s="50">
        <f>IF(SUM(U231:AY231)=0,"",SUM(U231:AY231))</f>
        <v/>
      </c>
      <c r="M231" s="51">
        <f>IFERROR(INDEX(U$2:AY$2,MATCH(TRUE,INDEX(U231:AY231&lt;&gt;"",0),0)),"")</f>
        <v/>
      </c>
      <c r="N231" s="51">
        <f>IFERROR(LOOKUP(2,1/(U231:AY231&lt;&gt;""),U$2:AY$2),"")</f>
        <v/>
      </c>
      <c r="O231" s="52" t="n"/>
      <c r="P231" s="52" t="n"/>
      <c r="Q231" s="52" t="n"/>
      <c r="R231" s="44" t="n"/>
      <c r="S231" s="14" t="n"/>
      <c r="U231" s="53" t="n"/>
      <c r="V231" s="53" t="n"/>
      <c r="W231" s="53" t="n"/>
      <c r="X231" s="53" t="n"/>
      <c r="Y231" s="53" t="n"/>
      <c r="Z231" s="53" t="n"/>
      <c r="AA231" s="53" t="n"/>
      <c r="AB231" s="53" t="n"/>
      <c r="AC231" s="53" t="n"/>
      <c r="AD231" s="53" t="n"/>
      <c r="AE231" s="53" t="n"/>
      <c r="AF231" s="53" t="n"/>
      <c r="AG231" s="53" t="n"/>
      <c r="AH231" s="53" t="n"/>
      <c r="AI231" s="53" t="n"/>
      <c r="AJ231" s="53" t="n"/>
      <c r="AK231" s="53" t="n"/>
      <c r="AL231" s="53" t="n"/>
      <c r="AM231" s="53" t="n"/>
      <c r="AN231" s="53" t="n"/>
      <c r="AO231" s="53" t="n"/>
      <c r="AP231" s="53" t="n"/>
      <c r="AQ231" s="53" t="n"/>
      <c r="AR231" s="53" t="n"/>
      <c r="AS231" s="53" t="n"/>
      <c r="AT231" s="53" t="n"/>
      <c r="AU231" s="53" t="n"/>
      <c r="AV231" s="53" t="n"/>
      <c r="AW231" s="53" t="n"/>
      <c r="AX231" s="53" t="n"/>
      <c r="AY231" s="53" t="n"/>
    </row>
    <row r="232" ht="15" customHeight="1">
      <c r="A232" s="54" t="n"/>
      <c r="B232" s="55">
        <f>IF($B$231="","",$B$231)</f>
        <v/>
      </c>
      <c r="C232" s="56" t="inlineStr">
        <is>
          <t>마케팅4팀</t>
        </is>
      </c>
      <c r="D232" s="55">
        <f>IF($D$231="","",$D$231)</f>
        <v/>
      </c>
      <c r="E232" s="57" t="inlineStr">
        <is>
          <t>이미지</t>
        </is>
      </c>
      <c r="F232" s="44" t="n"/>
      <c r="G232" s="58">
        <f>IF($G$231="","",$G$231)</f>
        <v/>
      </c>
      <c r="H232" s="59" t="n"/>
      <c r="I232" s="59" t="n"/>
      <c r="J232" s="59" t="n"/>
      <c r="K232" s="59" t="n"/>
      <c r="L232" s="60">
        <f>IF(SUM(U232:AY232)=0,"",SUM(U232:AY232))</f>
        <v/>
      </c>
      <c r="M232" s="61">
        <f>IFERROR(INDEX(U$2:AY$2,MATCH(TRUE,INDEX(U232:AY232&lt;&gt;"",0),0)),"")</f>
        <v/>
      </c>
      <c r="N232" s="61">
        <f>IFERROR(LOOKUP(2,1/(U232:AY232&lt;&gt;""),U$2:AY$2),"")</f>
        <v/>
      </c>
      <c r="O232" s="59" t="n"/>
      <c r="P232" s="59" t="n"/>
      <c r="Q232" s="59" t="n"/>
      <c r="R232" s="59" t="n"/>
      <c r="S232" s="14" t="n"/>
      <c r="U232" s="53" t="n"/>
      <c r="V232" s="53" t="n"/>
      <c r="W232" s="53" t="n"/>
      <c r="X232" s="53" t="n"/>
      <c r="Y232" s="53" t="n"/>
      <c r="Z232" s="53" t="n"/>
      <c r="AA232" s="53" t="n"/>
      <c r="AB232" s="53" t="n"/>
      <c r="AC232" s="53" t="n"/>
      <c r="AD232" s="53" t="n"/>
      <c r="AE232" s="53" t="n"/>
      <c r="AF232" s="53" t="n"/>
      <c r="AG232" s="53" t="n"/>
      <c r="AH232" s="53" t="n"/>
      <c r="AI232" s="53" t="n"/>
      <c r="AJ232" s="53" t="n"/>
      <c r="AK232" s="53" t="n"/>
      <c r="AL232" s="53" t="n"/>
      <c r="AM232" s="53" t="n"/>
      <c r="AN232" s="53" t="n"/>
      <c r="AO232" s="53" t="n"/>
      <c r="AP232" s="53" t="n"/>
      <c r="AQ232" s="53" t="n"/>
      <c r="AR232" s="53" t="n"/>
      <c r="AS232" s="53" t="n"/>
      <c r="AT232" s="53" t="n"/>
      <c r="AU232" s="53" t="n"/>
      <c r="AV232" s="53" t="n"/>
      <c r="AW232" s="53" t="n"/>
      <c r="AX232" s="53" t="n"/>
      <c r="AY232" s="53" t="n"/>
    </row>
    <row r="233" ht="15" customHeight="1">
      <c r="A233" s="62" t="n"/>
      <c r="B233" s="55">
        <f>IF($B$231="","",$B$231)</f>
        <v/>
      </c>
      <c r="C233" s="63" t="inlineStr">
        <is>
          <t>마케팅4팀</t>
        </is>
      </c>
      <c r="D233" s="55">
        <f>IF($D$231="","",$D$231)</f>
        <v/>
      </c>
      <c r="E233" s="64" t="inlineStr">
        <is>
          <t>영상</t>
        </is>
      </c>
      <c r="F233" s="44" t="n"/>
      <c r="G233" s="58">
        <f>IF($G$231="","",$G$231)</f>
        <v/>
      </c>
      <c r="H233" s="59" t="n"/>
      <c r="I233" s="59" t="n"/>
      <c r="J233" s="59" t="n"/>
      <c r="K233" s="59" t="n"/>
      <c r="L233" s="65">
        <f>IF(SUM(U233:AY233)=0,"",SUM(U233:AY233))</f>
        <v/>
      </c>
      <c r="M233" s="66">
        <f>IFERROR(INDEX(U$2:AY$2,MATCH(TRUE,INDEX(U233:AY233&lt;&gt;"",0),0)),"")</f>
        <v/>
      </c>
      <c r="N233" s="66">
        <f>IFERROR(LOOKUP(2,1/(U233:AY233&lt;&gt;""),U$2:AY$2),"")</f>
        <v/>
      </c>
      <c r="O233" s="59" t="n"/>
      <c r="P233" s="59" t="n"/>
      <c r="Q233" s="59" t="n"/>
      <c r="R233" s="59" t="n"/>
      <c r="S233" s="14" t="n"/>
      <c r="U233" s="53" t="n"/>
      <c r="V233" s="53" t="n"/>
      <c r="W233" s="53" t="n"/>
      <c r="X233" s="53" t="n"/>
      <c r="Y233" s="53" t="n"/>
      <c r="Z233" s="53" t="n"/>
      <c r="AA233" s="53" t="n"/>
      <c r="AB233" s="53" t="n"/>
      <c r="AC233" s="53" t="n"/>
      <c r="AD233" s="53" t="n"/>
      <c r="AE233" s="53" t="n"/>
      <c r="AF233" s="53" t="n"/>
      <c r="AG233" s="53" t="n"/>
      <c r="AH233" s="53" t="n"/>
      <c r="AI233" s="53" t="n"/>
      <c r="AJ233" s="53" t="n"/>
      <c r="AK233" s="53" t="n"/>
      <c r="AL233" s="53" t="n"/>
      <c r="AM233" s="53" t="n"/>
      <c r="AN233" s="53" t="n"/>
      <c r="AO233" s="53" t="n"/>
      <c r="AP233" s="53" t="n"/>
      <c r="AQ233" s="53" t="n"/>
      <c r="AR233" s="53" t="n"/>
      <c r="AS233" s="53" t="n"/>
      <c r="AT233" s="53" t="n"/>
      <c r="AU233" s="53" t="n"/>
      <c r="AV233" s="53" t="n"/>
      <c r="AW233" s="53" t="n"/>
      <c r="AX233" s="53" t="n"/>
      <c r="AY233" s="53" t="n"/>
    </row>
    <row r="234" ht="15" customHeight="1">
      <c r="A234" s="40">
        <f>IF($D$234="","",75)</f>
        <v/>
      </c>
      <c r="B234" s="10" t="n"/>
      <c r="C234" s="41" t="inlineStr">
        <is>
          <t>마케팅4팀</t>
        </is>
      </c>
      <c r="D234" s="42" t="n"/>
      <c r="E234" s="43" t="inlineStr">
        <is>
          <t>기획</t>
        </is>
      </c>
      <c r="F234" s="44" t="n"/>
      <c r="G234" s="45" t="n"/>
      <c r="H234" s="46">
        <f>IF($I$234="","",IF($I$234&lt;0,"🔴지연",IF($I$234&lt;=1,"🟡임박","🟢여유")))</f>
        <v/>
      </c>
      <c r="I234" s="47">
        <f>IF(OR($G$234="",$K$234=""),"",$G$234-$K$234)</f>
        <v/>
      </c>
      <c r="J234" s="48">
        <f>IF(SUM($L$234:$L$236)=0,"",SUM($L$234:$L$236))</f>
        <v/>
      </c>
      <c r="K234" s="49">
        <f>IF($J$234="","",MAX($N$234:$N$236))</f>
        <v/>
      </c>
      <c r="L234" s="50">
        <f>IF(SUM(U234:AY234)=0,"",SUM(U234:AY234))</f>
        <v/>
      </c>
      <c r="M234" s="51">
        <f>IFERROR(INDEX(U$2:AY$2,MATCH(TRUE,INDEX(U234:AY234&lt;&gt;"",0),0)),"")</f>
        <v/>
      </c>
      <c r="N234" s="51">
        <f>IFERROR(LOOKUP(2,1/(U234:AY234&lt;&gt;""),U$2:AY$2),"")</f>
        <v/>
      </c>
      <c r="O234" s="52" t="n"/>
      <c r="P234" s="52" t="n"/>
      <c r="Q234" s="52" t="n"/>
      <c r="R234" s="44" t="n"/>
      <c r="S234" s="14" t="n"/>
      <c r="U234" s="53" t="n"/>
      <c r="V234" s="53" t="n"/>
      <c r="W234" s="53" t="n"/>
      <c r="X234" s="53" t="n"/>
      <c r="Y234" s="53" t="n"/>
      <c r="Z234" s="53" t="n"/>
      <c r="AA234" s="53" t="n"/>
      <c r="AB234" s="53" t="n"/>
      <c r="AC234" s="53" t="n"/>
      <c r="AD234" s="53" t="n"/>
      <c r="AE234" s="53" t="n"/>
      <c r="AF234" s="53" t="n"/>
      <c r="AG234" s="53" t="n"/>
      <c r="AH234" s="53" t="n"/>
      <c r="AI234" s="53" t="n"/>
      <c r="AJ234" s="53" t="n"/>
      <c r="AK234" s="53" t="n"/>
      <c r="AL234" s="53" t="n"/>
      <c r="AM234" s="53" t="n"/>
      <c r="AN234" s="53" t="n"/>
      <c r="AO234" s="53" t="n"/>
      <c r="AP234" s="53" t="n"/>
      <c r="AQ234" s="53" t="n"/>
      <c r="AR234" s="53" t="n"/>
      <c r="AS234" s="53" t="n"/>
      <c r="AT234" s="53" t="n"/>
      <c r="AU234" s="53" t="n"/>
      <c r="AV234" s="53" t="n"/>
      <c r="AW234" s="53" t="n"/>
      <c r="AX234" s="53" t="n"/>
      <c r="AY234" s="53" t="n"/>
    </row>
    <row r="235" ht="15" customHeight="1">
      <c r="A235" s="54" t="n"/>
      <c r="B235" s="55">
        <f>IF($B$234="","",$B$234)</f>
        <v/>
      </c>
      <c r="C235" s="56" t="inlineStr">
        <is>
          <t>마케팅4팀</t>
        </is>
      </c>
      <c r="D235" s="55">
        <f>IF($D$234="","",$D$234)</f>
        <v/>
      </c>
      <c r="E235" s="57" t="inlineStr">
        <is>
          <t>이미지</t>
        </is>
      </c>
      <c r="F235" s="44" t="n"/>
      <c r="G235" s="58">
        <f>IF($G$234="","",$G$234)</f>
        <v/>
      </c>
      <c r="H235" s="59" t="n"/>
      <c r="I235" s="59" t="n"/>
      <c r="J235" s="59" t="n"/>
      <c r="K235" s="59" t="n"/>
      <c r="L235" s="60">
        <f>IF(SUM(U235:AY235)=0,"",SUM(U235:AY235))</f>
        <v/>
      </c>
      <c r="M235" s="61">
        <f>IFERROR(INDEX(U$2:AY$2,MATCH(TRUE,INDEX(U235:AY235&lt;&gt;"",0),0)),"")</f>
        <v/>
      </c>
      <c r="N235" s="61">
        <f>IFERROR(LOOKUP(2,1/(U235:AY235&lt;&gt;""),U$2:AY$2),"")</f>
        <v/>
      </c>
      <c r="O235" s="59" t="n"/>
      <c r="P235" s="59" t="n"/>
      <c r="Q235" s="59" t="n"/>
      <c r="R235" s="59" t="n"/>
      <c r="S235" s="14" t="n"/>
      <c r="U235" s="53" t="n"/>
      <c r="V235" s="53" t="n"/>
      <c r="W235" s="53" t="n"/>
      <c r="X235" s="53" t="n"/>
      <c r="Y235" s="53" t="n"/>
      <c r="Z235" s="53" t="n"/>
      <c r="AA235" s="53" t="n"/>
      <c r="AB235" s="53" t="n"/>
      <c r="AC235" s="53" t="n"/>
      <c r="AD235" s="53" t="n"/>
      <c r="AE235" s="53" t="n"/>
      <c r="AF235" s="53" t="n"/>
      <c r="AG235" s="53" t="n"/>
      <c r="AH235" s="53" t="n"/>
      <c r="AI235" s="53" t="n"/>
      <c r="AJ235" s="53" t="n"/>
      <c r="AK235" s="53" t="n"/>
      <c r="AL235" s="53" t="n"/>
      <c r="AM235" s="53" t="n"/>
      <c r="AN235" s="53" t="n"/>
      <c r="AO235" s="53" t="n"/>
      <c r="AP235" s="53" t="n"/>
      <c r="AQ235" s="53" t="n"/>
      <c r="AR235" s="53" t="n"/>
      <c r="AS235" s="53" t="n"/>
      <c r="AT235" s="53" t="n"/>
      <c r="AU235" s="53" t="n"/>
      <c r="AV235" s="53" t="n"/>
      <c r="AW235" s="53" t="n"/>
      <c r="AX235" s="53" t="n"/>
      <c r="AY235" s="53" t="n"/>
    </row>
    <row r="236" ht="15" customHeight="1">
      <c r="A236" s="62" t="n"/>
      <c r="B236" s="55">
        <f>IF($B$234="","",$B$234)</f>
        <v/>
      </c>
      <c r="C236" s="63" t="inlineStr">
        <is>
          <t>마케팅4팀</t>
        </is>
      </c>
      <c r="D236" s="55">
        <f>IF($D$234="","",$D$234)</f>
        <v/>
      </c>
      <c r="E236" s="64" t="inlineStr">
        <is>
          <t>영상</t>
        </is>
      </c>
      <c r="F236" s="44" t="n"/>
      <c r="G236" s="58">
        <f>IF($G$234="","",$G$234)</f>
        <v/>
      </c>
      <c r="H236" s="59" t="n"/>
      <c r="I236" s="59" t="n"/>
      <c r="J236" s="59" t="n"/>
      <c r="K236" s="59" t="n"/>
      <c r="L236" s="65">
        <f>IF(SUM(U236:AY236)=0,"",SUM(U236:AY236))</f>
        <v/>
      </c>
      <c r="M236" s="66">
        <f>IFERROR(INDEX(U$2:AY$2,MATCH(TRUE,INDEX(U236:AY236&lt;&gt;"",0),0)),"")</f>
        <v/>
      </c>
      <c r="N236" s="66">
        <f>IFERROR(LOOKUP(2,1/(U236:AY236&lt;&gt;""),U$2:AY$2),"")</f>
        <v/>
      </c>
      <c r="O236" s="59" t="n"/>
      <c r="P236" s="59" t="n"/>
      <c r="Q236" s="59" t="n"/>
      <c r="R236" s="59" t="n"/>
      <c r="S236" s="14" t="n"/>
      <c r="U236" s="53" t="n"/>
      <c r="V236" s="53" t="n"/>
      <c r="W236" s="53" t="n"/>
      <c r="X236" s="53" t="n"/>
      <c r="Y236" s="53" t="n"/>
      <c r="Z236" s="53" t="n"/>
      <c r="AA236" s="53" t="n"/>
      <c r="AB236" s="53" t="n"/>
      <c r="AC236" s="53" t="n"/>
      <c r="AD236" s="53" t="n"/>
      <c r="AE236" s="53" t="n"/>
      <c r="AF236" s="53" t="n"/>
      <c r="AG236" s="53" t="n"/>
      <c r="AH236" s="53" t="n"/>
      <c r="AI236" s="53" t="n"/>
      <c r="AJ236" s="53" t="n"/>
      <c r="AK236" s="53" t="n"/>
      <c r="AL236" s="53" t="n"/>
      <c r="AM236" s="53" t="n"/>
      <c r="AN236" s="53" t="n"/>
      <c r="AO236" s="53" t="n"/>
      <c r="AP236" s="53" t="n"/>
      <c r="AQ236" s="53" t="n"/>
      <c r="AR236" s="53" t="n"/>
      <c r="AS236" s="53" t="n"/>
      <c r="AT236" s="53" t="n"/>
      <c r="AU236" s="53" t="n"/>
      <c r="AV236" s="53" t="n"/>
      <c r="AW236" s="53" t="n"/>
      <c r="AX236" s="53" t="n"/>
      <c r="AY236" s="53" t="n"/>
    </row>
    <row r="237" ht="15" customHeight="1">
      <c r="A237" s="40">
        <f>IF($D$237="","",76)</f>
        <v/>
      </c>
      <c r="B237" s="10" t="n"/>
      <c r="C237" s="41" t="inlineStr">
        <is>
          <t>마케팅4팀</t>
        </is>
      </c>
      <c r="D237" s="42" t="n"/>
      <c r="E237" s="43" t="inlineStr">
        <is>
          <t>기획</t>
        </is>
      </c>
      <c r="F237" s="44" t="n"/>
      <c r="G237" s="45" t="n"/>
      <c r="H237" s="46">
        <f>IF($I$237="","",IF($I$237&lt;0,"🔴지연",IF($I$237&lt;=1,"🟡임박","🟢여유")))</f>
        <v/>
      </c>
      <c r="I237" s="47">
        <f>IF(OR($G$237="",$K$237=""),"",$G$237-$K$237)</f>
        <v/>
      </c>
      <c r="J237" s="48">
        <f>IF(SUM($L$237:$L$239)=0,"",SUM($L$237:$L$239))</f>
        <v/>
      </c>
      <c r="K237" s="49">
        <f>IF($J$237="","",MAX($N$237:$N$239))</f>
        <v/>
      </c>
      <c r="L237" s="50">
        <f>IF(SUM(U237:AY237)=0,"",SUM(U237:AY237))</f>
        <v/>
      </c>
      <c r="M237" s="51">
        <f>IFERROR(INDEX(U$2:AY$2,MATCH(TRUE,INDEX(U237:AY237&lt;&gt;"",0),0)),"")</f>
        <v/>
      </c>
      <c r="N237" s="51">
        <f>IFERROR(LOOKUP(2,1/(U237:AY237&lt;&gt;""),U$2:AY$2),"")</f>
        <v/>
      </c>
      <c r="O237" s="52" t="n"/>
      <c r="P237" s="52" t="n"/>
      <c r="Q237" s="52" t="n"/>
      <c r="R237" s="44" t="n"/>
      <c r="S237" s="14" t="n"/>
      <c r="U237" s="53" t="n"/>
      <c r="V237" s="53" t="n"/>
      <c r="W237" s="53" t="n"/>
      <c r="X237" s="53" t="n"/>
      <c r="Y237" s="53" t="n"/>
      <c r="Z237" s="53" t="n"/>
      <c r="AA237" s="53" t="n"/>
      <c r="AB237" s="53" t="n"/>
      <c r="AC237" s="53" t="n"/>
      <c r="AD237" s="53" t="n"/>
      <c r="AE237" s="53" t="n"/>
      <c r="AF237" s="53" t="n"/>
      <c r="AG237" s="53" t="n"/>
      <c r="AH237" s="53" t="n"/>
      <c r="AI237" s="53" t="n"/>
      <c r="AJ237" s="53" t="n"/>
      <c r="AK237" s="53" t="n"/>
      <c r="AL237" s="53" t="n"/>
      <c r="AM237" s="53" t="n"/>
      <c r="AN237" s="53" t="n"/>
      <c r="AO237" s="53" t="n"/>
      <c r="AP237" s="53" t="n"/>
      <c r="AQ237" s="53" t="n"/>
      <c r="AR237" s="53" t="n"/>
      <c r="AS237" s="53" t="n"/>
      <c r="AT237" s="53" t="n"/>
      <c r="AU237" s="53" t="n"/>
      <c r="AV237" s="53" t="n"/>
      <c r="AW237" s="53" t="n"/>
      <c r="AX237" s="53" t="n"/>
      <c r="AY237" s="53" t="n"/>
    </row>
    <row r="238" ht="15" customHeight="1">
      <c r="A238" s="54" t="n"/>
      <c r="B238" s="55">
        <f>IF($B$237="","",$B$237)</f>
        <v/>
      </c>
      <c r="C238" s="56" t="inlineStr">
        <is>
          <t>마케팅4팀</t>
        </is>
      </c>
      <c r="D238" s="55">
        <f>IF($D$237="","",$D$237)</f>
        <v/>
      </c>
      <c r="E238" s="57" t="inlineStr">
        <is>
          <t>이미지</t>
        </is>
      </c>
      <c r="F238" s="44" t="n"/>
      <c r="G238" s="58">
        <f>IF($G$237="","",$G$237)</f>
        <v/>
      </c>
      <c r="H238" s="59" t="n"/>
      <c r="I238" s="59" t="n"/>
      <c r="J238" s="59" t="n"/>
      <c r="K238" s="59" t="n"/>
      <c r="L238" s="60">
        <f>IF(SUM(U238:AY238)=0,"",SUM(U238:AY238))</f>
        <v/>
      </c>
      <c r="M238" s="61">
        <f>IFERROR(INDEX(U$2:AY$2,MATCH(TRUE,INDEX(U238:AY238&lt;&gt;"",0),0)),"")</f>
        <v/>
      </c>
      <c r="N238" s="61">
        <f>IFERROR(LOOKUP(2,1/(U238:AY238&lt;&gt;""),U$2:AY$2),"")</f>
        <v/>
      </c>
      <c r="O238" s="59" t="n"/>
      <c r="P238" s="59" t="n"/>
      <c r="Q238" s="59" t="n"/>
      <c r="R238" s="59" t="n"/>
      <c r="S238" s="14" t="n"/>
      <c r="U238" s="53" t="n"/>
      <c r="V238" s="53" t="n"/>
      <c r="W238" s="53" t="n"/>
      <c r="X238" s="53" t="n"/>
      <c r="Y238" s="53" t="n"/>
      <c r="Z238" s="53" t="n"/>
      <c r="AA238" s="53" t="n"/>
      <c r="AB238" s="53" t="n"/>
      <c r="AC238" s="53" t="n"/>
      <c r="AD238" s="53" t="n"/>
      <c r="AE238" s="53" t="n"/>
      <c r="AF238" s="53" t="n"/>
      <c r="AG238" s="53" t="n"/>
      <c r="AH238" s="53" t="n"/>
      <c r="AI238" s="53" t="n"/>
      <c r="AJ238" s="53" t="n"/>
      <c r="AK238" s="53" t="n"/>
      <c r="AL238" s="53" t="n"/>
      <c r="AM238" s="53" t="n"/>
      <c r="AN238" s="53" t="n"/>
      <c r="AO238" s="53" t="n"/>
      <c r="AP238" s="53" t="n"/>
      <c r="AQ238" s="53" t="n"/>
      <c r="AR238" s="53" t="n"/>
      <c r="AS238" s="53" t="n"/>
      <c r="AT238" s="53" t="n"/>
      <c r="AU238" s="53" t="n"/>
      <c r="AV238" s="53" t="n"/>
      <c r="AW238" s="53" t="n"/>
      <c r="AX238" s="53" t="n"/>
      <c r="AY238" s="53" t="n"/>
    </row>
    <row r="239" ht="15" customHeight="1">
      <c r="A239" s="62" t="n"/>
      <c r="B239" s="55">
        <f>IF($B$237="","",$B$237)</f>
        <v/>
      </c>
      <c r="C239" s="63" t="inlineStr">
        <is>
          <t>마케팅4팀</t>
        </is>
      </c>
      <c r="D239" s="55">
        <f>IF($D$237="","",$D$237)</f>
        <v/>
      </c>
      <c r="E239" s="64" t="inlineStr">
        <is>
          <t>영상</t>
        </is>
      </c>
      <c r="F239" s="44" t="n"/>
      <c r="G239" s="58">
        <f>IF($G$237="","",$G$237)</f>
        <v/>
      </c>
      <c r="H239" s="59" t="n"/>
      <c r="I239" s="59" t="n"/>
      <c r="J239" s="59" t="n"/>
      <c r="K239" s="59" t="n"/>
      <c r="L239" s="65">
        <f>IF(SUM(U239:AY239)=0,"",SUM(U239:AY239))</f>
        <v/>
      </c>
      <c r="M239" s="66">
        <f>IFERROR(INDEX(U$2:AY$2,MATCH(TRUE,INDEX(U239:AY239&lt;&gt;"",0),0)),"")</f>
        <v/>
      </c>
      <c r="N239" s="66">
        <f>IFERROR(LOOKUP(2,1/(U239:AY239&lt;&gt;""),U$2:AY$2),"")</f>
        <v/>
      </c>
      <c r="O239" s="59" t="n"/>
      <c r="P239" s="59" t="n"/>
      <c r="Q239" s="59" t="n"/>
      <c r="R239" s="59" t="n"/>
      <c r="S239" s="14" t="n"/>
      <c r="U239" s="53" t="n"/>
      <c r="V239" s="53" t="n"/>
      <c r="W239" s="53" t="n"/>
      <c r="X239" s="53" t="n"/>
      <c r="Y239" s="53" t="n"/>
      <c r="Z239" s="53" t="n"/>
      <c r="AA239" s="53" t="n"/>
      <c r="AB239" s="53" t="n"/>
      <c r="AC239" s="53" t="n"/>
      <c r="AD239" s="53" t="n"/>
      <c r="AE239" s="53" t="n"/>
      <c r="AF239" s="53" t="n"/>
      <c r="AG239" s="53" t="n"/>
      <c r="AH239" s="53" t="n"/>
      <c r="AI239" s="53" t="n"/>
      <c r="AJ239" s="53" t="n"/>
      <c r="AK239" s="53" t="n"/>
      <c r="AL239" s="53" t="n"/>
      <c r="AM239" s="53" t="n"/>
      <c r="AN239" s="53" t="n"/>
      <c r="AO239" s="53" t="n"/>
      <c r="AP239" s="53" t="n"/>
      <c r="AQ239" s="53" t="n"/>
      <c r="AR239" s="53" t="n"/>
      <c r="AS239" s="53" t="n"/>
      <c r="AT239" s="53" t="n"/>
      <c r="AU239" s="53" t="n"/>
      <c r="AV239" s="53" t="n"/>
      <c r="AW239" s="53" t="n"/>
      <c r="AX239" s="53" t="n"/>
      <c r="AY239" s="53" t="n"/>
    </row>
    <row r="240" ht="15" customHeight="1">
      <c r="A240" s="40">
        <f>IF($D$240="","",77)</f>
        <v/>
      </c>
      <c r="B240" s="10" t="n"/>
      <c r="C240" s="41" t="inlineStr">
        <is>
          <t>마케팅4팀</t>
        </is>
      </c>
      <c r="D240" s="42" t="n"/>
      <c r="E240" s="43" t="inlineStr">
        <is>
          <t>기획</t>
        </is>
      </c>
      <c r="F240" s="44" t="n"/>
      <c r="G240" s="45" t="n"/>
      <c r="H240" s="46">
        <f>IF($I$240="","",IF($I$240&lt;0,"🔴지연",IF($I$240&lt;=1,"🟡임박","🟢여유")))</f>
        <v/>
      </c>
      <c r="I240" s="47">
        <f>IF(OR($G$240="",$K$240=""),"",$G$240-$K$240)</f>
        <v/>
      </c>
      <c r="J240" s="48">
        <f>IF(SUM($L$240:$L$242)=0,"",SUM($L$240:$L$242))</f>
        <v/>
      </c>
      <c r="K240" s="49">
        <f>IF($J$240="","",MAX($N$240:$N$242))</f>
        <v/>
      </c>
      <c r="L240" s="50">
        <f>IF(SUM(U240:AY240)=0,"",SUM(U240:AY240))</f>
        <v/>
      </c>
      <c r="M240" s="51">
        <f>IFERROR(INDEX(U$2:AY$2,MATCH(TRUE,INDEX(U240:AY240&lt;&gt;"",0),0)),"")</f>
        <v/>
      </c>
      <c r="N240" s="51">
        <f>IFERROR(LOOKUP(2,1/(U240:AY240&lt;&gt;""),U$2:AY$2),"")</f>
        <v/>
      </c>
      <c r="O240" s="52" t="n"/>
      <c r="P240" s="52" t="n"/>
      <c r="Q240" s="52" t="n"/>
      <c r="R240" s="44" t="n"/>
      <c r="S240" s="14" t="n"/>
      <c r="U240" s="53" t="n"/>
      <c r="V240" s="53" t="n"/>
      <c r="W240" s="53" t="n"/>
      <c r="X240" s="53" t="n"/>
      <c r="Y240" s="53" t="n"/>
      <c r="Z240" s="53" t="n"/>
      <c r="AA240" s="53" t="n"/>
      <c r="AB240" s="53" t="n"/>
      <c r="AC240" s="53" t="n"/>
      <c r="AD240" s="53" t="n"/>
      <c r="AE240" s="53" t="n"/>
      <c r="AF240" s="53" t="n"/>
      <c r="AG240" s="53" t="n"/>
      <c r="AH240" s="53" t="n"/>
      <c r="AI240" s="53" t="n"/>
      <c r="AJ240" s="53" t="n"/>
      <c r="AK240" s="53" t="n"/>
      <c r="AL240" s="53" t="n"/>
      <c r="AM240" s="53" t="n"/>
      <c r="AN240" s="53" t="n"/>
      <c r="AO240" s="53" t="n"/>
      <c r="AP240" s="53" t="n"/>
      <c r="AQ240" s="53" t="n"/>
      <c r="AR240" s="53" t="n"/>
      <c r="AS240" s="53" t="n"/>
      <c r="AT240" s="53" t="n"/>
      <c r="AU240" s="53" t="n"/>
      <c r="AV240" s="53" t="n"/>
      <c r="AW240" s="53" t="n"/>
      <c r="AX240" s="53" t="n"/>
      <c r="AY240" s="53" t="n"/>
    </row>
    <row r="241" ht="15" customHeight="1">
      <c r="A241" s="54" t="n"/>
      <c r="B241" s="55">
        <f>IF($B$240="","",$B$240)</f>
        <v/>
      </c>
      <c r="C241" s="56" t="inlineStr">
        <is>
          <t>마케팅4팀</t>
        </is>
      </c>
      <c r="D241" s="55">
        <f>IF($D$240="","",$D$240)</f>
        <v/>
      </c>
      <c r="E241" s="57" t="inlineStr">
        <is>
          <t>이미지</t>
        </is>
      </c>
      <c r="F241" s="44" t="n"/>
      <c r="G241" s="58">
        <f>IF($G$240="","",$G$240)</f>
        <v/>
      </c>
      <c r="H241" s="59" t="n"/>
      <c r="I241" s="59" t="n"/>
      <c r="J241" s="59" t="n"/>
      <c r="K241" s="59" t="n"/>
      <c r="L241" s="60">
        <f>IF(SUM(U241:AY241)=0,"",SUM(U241:AY241))</f>
        <v/>
      </c>
      <c r="M241" s="61">
        <f>IFERROR(INDEX(U$2:AY$2,MATCH(TRUE,INDEX(U241:AY241&lt;&gt;"",0),0)),"")</f>
        <v/>
      </c>
      <c r="N241" s="61">
        <f>IFERROR(LOOKUP(2,1/(U241:AY241&lt;&gt;""),U$2:AY$2),"")</f>
        <v/>
      </c>
      <c r="O241" s="59" t="n"/>
      <c r="P241" s="59" t="n"/>
      <c r="Q241" s="59" t="n"/>
      <c r="R241" s="59" t="n"/>
      <c r="S241" s="14" t="n"/>
      <c r="U241" s="53" t="n"/>
      <c r="V241" s="53" t="n"/>
      <c r="W241" s="53" t="n"/>
      <c r="X241" s="53" t="n"/>
      <c r="Y241" s="53" t="n"/>
      <c r="Z241" s="53" t="n"/>
      <c r="AA241" s="53" t="n"/>
      <c r="AB241" s="53" t="n"/>
      <c r="AC241" s="53" t="n"/>
      <c r="AD241" s="53" t="n"/>
      <c r="AE241" s="53" t="n"/>
      <c r="AF241" s="53" t="n"/>
      <c r="AG241" s="53" t="n"/>
      <c r="AH241" s="53" t="n"/>
      <c r="AI241" s="53" t="n"/>
      <c r="AJ241" s="53" t="n"/>
      <c r="AK241" s="53" t="n"/>
      <c r="AL241" s="53" t="n"/>
      <c r="AM241" s="53" t="n"/>
      <c r="AN241" s="53" t="n"/>
      <c r="AO241" s="53" t="n"/>
      <c r="AP241" s="53" t="n"/>
      <c r="AQ241" s="53" t="n"/>
      <c r="AR241" s="53" t="n"/>
      <c r="AS241" s="53" t="n"/>
      <c r="AT241" s="53" t="n"/>
      <c r="AU241" s="53" t="n"/>
      <c r="AV241" s="53" t="n"/>
      <c r="AW241" s="53" t="n"/>
      <c r="AX241" s="53" t="n"/>
      <c r="AY241" s="53" t="n"/>
    </row>
    <row r="242" ht="15" customHeight="1">
      <c r="A242" s="62" t="n"/>
      <c r="B242" s="55">
        <f>IF($B$240="","",$B$240)</f>
        <v/>
      </c>
      <c r="C242" s="63" t="inlineStr">
        <is>
          <t>마케팅4팀</t>
        </is>
      </c>
      <c r="D242" s="55">
        <f>IF($D$240="","",$D$240)</f>
        <v/>
      </c>
      <c r="E242" s="64" t="inlineStr">
        <is>
          <t>영상</t>
        </is>
      </c>
      <c r="F242" s="44" t="n"/>
      <c r="G242" s="58">
        <f>IF($G$240="","",$G$240)</f>
        <v/>
      </c>
      <c r="H242" s="59" t="n"/>
      <c r="I242" s="59" t="n"/>
      <c r="J242" s="59" t="n"/>
      <c r="K242" s="59" t="n"/>
      <c r="L242" s="65">
        <f>IF(SUM(U242:AY242)=0,"",SUM(U242:AY242))</f>
        <v/>
      </c>
      <c r="M242" s="66">
        <f>IFERROR(INDEX(U$2:AY$2,MATCH(TRUE,INDEX(U242:AY242&lt;&gt;"",0),0)),"")</f>
        <v/>
      </c>
      <c r="N242" s="66">
        <f>IFERROR(LOOKUP(2,1/(U242:AY242&lt;&gt;""),U$2:AY$2),"")</f>
        <v/>
      </c>
      <c r="O242" s="59" t="n"/>
      <c r="P242" s="59" t="n"/>
      <c r="Q242" s="59" t="n"/>
      <c r="R242" s="59" t="n"/>
      <c r="S242" s="14" t="n"/>
      <c r="U242" s="53" t="n"/>
      <c r="V242" s="53" t="n"/>
      <c r="W242" s="53" t="n"/>
      <c r="X242" s="53" t="n"/>
      <c r="Y242" s="53" t="n"/>
      <c r="Z242" s="53" t="n"/>
      <c r="AA242" s="53" t="n"/>
      <c r="AB242" s="53" t="n"/>
      <c r="AC242" s="53" t="n"/>
      <c r="AD242" s="53" t="n"/>
      <c r="AE242" s="53" t="n"/>
      <c r="AF242" s="53" t="n"/>
      <c r="AG242" s="53" t="n"/>
      <c r="AH242" s="53" t="n"/>
      <c r="AI242" s="53" t="n"/>
      <c r="AJ242" s="53" t="n"/>
      <c r="AK242" s="53" t="n"/>
      <c r="AL242" s="53" t="n"/>
      <c r="AM242" s="53" t="n"/>
      <c r="AN242" s="53" t="n"/>
      <c r="AO242" s="53" t="n"/>
      <c r="AP242" s="53" t="n"/>
      <c r="AQ242" s="53" t="n"/>
      <c r="AR242" s="53" t="n"/>
      <c r="AS242" s="53" t="n"/>
      <c r="AT242" s="53" t="n"/>
      <c r="AU242" s="53" t="n"/>
      <c r="AV242" s="53" t="n"/>
      <c r="AW242" s="53" t="n"/>
      <c r="AX242" s="53" t="n"/>
      <c r="AY242" s="53" t="n"/>
    </row>
    <row r="243" ht="15" customHeight="1">
      <c r="A243" s="40">
        <f>IF($D$243="","",78)</f>
        <v/>
      </c>
      <c r="B243" s="10" t="n"/>
      <c r="C243" s="41" t="inlineStr">
        <is>
          <t>마케팅4팀</t>
        </is>
      </c>
      <c r="D243" s="42" t="n"/>
      <c r="E243" s="43" t="inlineStr">
        <is>
          <t>기획</t>
        </is>
      </c>
      <c r="F243" s="44" t="n"/>
      <c r="G243" s="45" t="n"/>
      <c r="H243" s="46">
        <f>IF($I$243="","",IF($I$243&lt;0,"🔴지연",IF($I$243&lt;=1,"🟡임박","🟢여유")))</f>
        <v/>
      </c>
      <c r="I243" s="47">
        <f>IF(OR($G$243="",$K$243=""),"",$G$243-$K$243)</f>
        <v/>
      </c>
      <c r="J243" s="48">
        <f>IF(SUM($L$243:$L$245)=0,"",SUM($L$243:$L$245))</f>
        <v/>
      </c>
      <c r="K243" s="49">
        <f>IF($J$243="","",MAX($N$243:$N$245))</f>
        <v/>
      </c>
      <c r="L243" s="50">
        <f>IF(SUM(U243:AY243)=0,"",SUM(U243:AY243))</f>
        <v/>
      </c>
      <c r="M243" s="51">
        <f>IFERROR(INDEX(U$2:AY$2,MATCH(TRUE,INDEX(U243:AY243&lt;&gt;"",0),0)),"")</f>
        <v/>
      </c>
      <c r="N243" s="51">
        <f>IFERROR(LOOKUP(2,1/(U243:AY243&lt;&gt;""),U$2:AY$2),"")</f>
        <v/>
      </c>
      <c r="O243" s="52" t="n"/>
      <c r="P243" s="52" t="n"/>
      <c r="Q243" s="52" t="n"/>
      <c r="R243" s="44" t="n"/>
      <c r="S243" s="14" t="n"/>
      <c r="U243" s="53" t="n"/>
      <c r="V243" s="53" t="n"/>
      <c r="W243" s="53" t="n"/>
      <c r="X243" s="53" t="n"/>
      <c r="Y243" s="53" t="n"/>
      <c r="Z243" s="53" t="n"/>
      <c r="AA243" s="53" t="n"/>
      <c r="AB243" s="53" t="n"/>
      <c r="AC243" s="53" t="n"/>
      <c r="AD243" s="53" t="n"/>
      <c r="AE243" s="53" t="n"/>
      <c r="AF243" s="53" t="n"/>
      <c r="AG243" s="53" t="n"/>
      <c r="AH243" s="53" t="n"/>
      <c r="AI243" s="53" t="n"/>
      <c r="AJ243" s="53" t="n"/>
      <c r="AK243" s="53" t="n"/>
      <c r="AL243" s="53" t="n"/>
      <c r="AM243" s="53" t="n"/>
      <c r="AN243" s="53" t="n"/>
      <c r="AO243" s="53" t="n"/>
      <c r="AP243" s="53" t="n"/>
      <c r="AQ243" s="53" t="n"/>
      <c r="AR243" s="53" t="n"/>
      <c r="AS243" s="53" t="n"/>
      <c r="AT243" s="53" t="n"/>
      <c r="AU243" s="53" t="n"/>
      <c r="AV243" s="53" t="n"/>
      <c r="AW243" s="53" t="n"/>
      <c r="AX243" s="53" t="n"/>
      <c r="AY243" s="53" t="n"/>
    </row>
    <row r="244" ht="15" customHeight="1">
      <c r="A244" s="54" t="n"/>
      <c r="B244" s="55">
        <f>IF($B$243="","",$B$243)</f>
        <v/>
      </c>
      <c r="C244" s="56" t="inlineStr">
        <is>
          <t>마케팅4팀</t>
        </is>
      </c>
      <c r="D244" s="55">
        <f>IF($D$243="","",$D$243)</f>
        <v/>
      </c>
      <c r="E244" s="57" t="inlineStr">
        <is>
          <t>이미지</t>
        </is>
      </c>
      <c r="F244" s="44" t="n"/>
      <c r="G244" s="58">
        <f>IF($G$243="","",$G$243)</f>
        <v/>
      </c>
      <c r="H244" s="59" t="n"/>
      <c r="I244" s="59" t="n"/>
      <c r="J244" s="59" t="n"/>
      <c r="K244" s="59" t="n"/>
      <c r="L244" s="60">
        <f>IF(SUM(U244:AY244)=0,"",SUM(U244:AY244))</f>
        <v/>
      </c>
      <c r="M244" s="61">
        <f>IFERROR(INDEX(U$2:AY$2,MATCH(TRUE,INDEX(U244:AY244&lt;&gt;"",0),0)),"")</f>
        <v/>
      </c>
      <c r="N244" s="61">
        <f>IFERROR(LOOKUP(2,1/(U244:AY244&lt;&gt;""),U$2:AY$2),"")</f>
        <v/>
      </c>
      <c r="O244" s="59" t="n"/>
      <c r="P244" s="59" t="n"/>
      <c r="Q244" s="59" t="n"/>
      <c r="R244" s="59" t="n"/>
      <c r="S244" s="14" t="n"/>
      <c r="U244" s="53" t="n"/>
      <c r="V244" s="53" t="n"/>
      <c r="W244" s="53" t="n"/>
      <c r="X244" s="53" t="n"/>
      <c r="Y244" s="53" t="n"/>
      <c r="Z244" s="53" t="n"/>
      <c r="AA244" s="53" t="n"/>
      <c r="AB244" s="53" t="n"/>
      <c r="AC244" s="53" t="n"/>
      <c r="AD244" s="53" t="n"/>
      <c r="AE244" s="53" t="n"/>
      <c r="AF244" s="53" t="n"/>
      <c r="AG244" s="53" t="n"/>
      <c r="AH244" s="53" t="n"/>
      <c r="AI244" s="53" t="n"/>
      <c r="AJ244" s="53" t="n"/>
      <c r="AK244" s="53" t="n"/>
      <c r="AL244" s="53" t="n"/>
      <c r="AM244" s="53" t="n"/>
      <c r="AN244" s="53" t="n"/>
      <c r="AO244" s="53" t="n"/>
      <c r="AP244" s="53" t="n"/>
      <c r="AQ244" s="53" t="n"/>
      <c r="AR244" s="53" t="n"/>
      <c r="AS244" s="53" t="n"/>
      <c r="AT244" s="53" t="n"/>
      <c r="AU244" s="53" t="n"/>
      <c r="AV244" s="53" t="n"/>
      <c r="AW244" s="53" t="n"/>
      <c r="AX244" s="53" t="n"/>
      <c r="AY244" s="53" t="n"/>
    </row>
    <row r="245" ht="15" customHeight="1">
      <c r="A245" s="62" t="n"/>
      <c r="B245" s="55">
        <f>IF($B$243="","",$B$243)</f>
        <v/>
      </c>
      <c r="C245" s="63" t="inlineStr">
        <is>
          <t>마케팅4팀</t>
        </is>
      </c>
      <c r="D245" s="55">
        <f>IF($D$243="","",$D$243)</f>
        <v/>
      </c>
      <c r="E245" s="64" t="inlineStr">
        <is>
          <t>영상</t>
        </is>
      </c>
      <c r="F245" s="44" t="n"/>
      <c r="G245" s="58">
        <f>IF($G$243="","",$G$243)</f>
        <v/>
      </c>
      <c r="H245" s="59" t="n"/>
      <c r="I245" s="59" t="n"/>
      <c r="J245" s="59" t="n"/>
      <c r="K245" s="59" t="n"/>
      <c r="L245" s="65">
        <f>IF(SUM(U245:AY245)=0,"",SUM(U245:AY245))</f>
        <v/>
      </c>
      <c r="M245" s="66">
        <f>IFERROR(INDEX(U$2:AY$2,MATCH(TRUE,INDEX(U245:AY245&lt;&gt;"",0),0)),"")</f>
        <v/>
      </c>
      <c r="N245" s="66">
        <f>IFERROR(LOOKUP(2,1/(U245:AY245&lt;&gt;""),U$2:AY$2),"")</f>
        <v/>
      </c>
      <c r="O245" s="59" t="n"/>
      <c r="P245" s="59" t="n"/>
      <c r="Q245" s="59" t="n"/>
      <c r="R245" s="59" t="n"/>
      <c r="S245" s="14" t="n"/>
      <c r="U245" s="53" t="n"/>
      <c r="V245" s="53" t="n"/>
      <c r="W245" s="53" t="n"/>
      <c r="X245" s="53" t="n"/>
      <c r="Y245" s="53" t="n"/>
      <c r="Z245" s="53" t="n"/>
      <c r="AA245" s="53" t="n"/>
      <c r="AB245" s="53" t="n"/>
      <c r="AC245" s="53" t="n"/>
      <c r="AD245" s="53" t="n"/>
      <c r="AE245" s="53" t="n"/>
      <c r="AF245" s="53" t="n"/>
      <c r="AG245" s="53" t="n"/>
      <c r="AH245" s="53" t="n"/>
      <c r="AI245" s="53" t="n"/>
      <c r="AJ245" s="53" t="n"/>
      <c r="AK245" s="53" t="n"/>
      <c r="AL245" s="53" t="n"/>
      <c r="AM245" s="53" t="n"/>
      <c r="AN245" s="53" t="n"/>
      <c r="AO245" s="53" t="n"/>
      <c r="AP245" s="53" t="n"/>
      <c r="AQ245" s="53" t="n"/>
      <c r="AR245" s="53" t="n"/>
      <c r="AS245" s="53" t="n"/>
      <c r="AT245" s="53" t="n"/>
      <c r="AU245" s="53" t="n"/>
      <c r="AV245" s="53" t="n"/>
      <c r="AW245" s="53" t="n"/>
      <c r="AX245" s="53" t="n"/>
      <c r="AY245" s="53" t="n"/>
    </row>
    <row r="246" ht="15" customHeight="1">
      <c r="A246" s="40">
        <f>IF($D$246="","",79)</f>
        <v/>
      </c>
      <c r="B246" s="10" t="n"/>
      <c r="C246" s="41" t="inlineStr">
        <is>
          <t>마케팅4팀</t>
        </is>
      </c>
      <c r="D246" s="42" t="n"/>
      <c r="E246" s="43" t="inlineStr">
        <is>
          <t>기획</t>
        </is>
      </c>
      <c r="F246" s="44" t="n"/>
      <c r="G246" s="45" t="n"/>
      <c r="H246" s="46">
        <f>IF($I$246="","",IF($I$246&lt;0,"🔴지연",IF($I$246&lt;=1,"🟡임박","🟢여유")))</f>
        <v/>
      </c>
      <c r="I246" s="47">
        <f>IF(OR($G$246="",$K$246=""),"",$G$246-$K$246)</f>
        <v/>
      </c>
      <c r="J246" s="48">
        <f>IF(SUM($L$246:$L$248)=0,"",SUM($L$246:$L$248))</f>
        <v/>
      </c>
      <c r="K246" s="49">
        <f>IF($J$246="","",MAX($N$246:$N$248))</f>
        <v/>
      </c>
      <c r="L246" s="50">
        <f>IF(SUM(U246:AY246)=0,"",SUM(U246:AY246))</f>
        <v/>
      </c>
      <c r="M246" s="51">
        <f>IFERROR(INDEX(U$2:AY$2,MATCH(TRUE,INDEX(U246:AY246&lt;&gt;"",0),0)),"")</f>
        <v/>
      </c>
      <c r="N246" s="51">
        <f>IFERROR(LOOKUP(2,1/(U246:AY246&lt;&gt;""),U$2:AY$2),"")</f>
        <v/>
      </c>
      <c r="O246" s="52" t="n"/>
      <c r="P246" s="52" t="n"/>
      <c r="Q246" s="52" t="n"/>
      <c r="R246" s="44" t="n"/>
      <c r="S246" s="14" t="n"/>
      <c r="U246" s="53" t="n"/>
      <c r="V246" s="53" t="n"/>
      <c r="W246" s="53" t="n"/>
      <c r="X246" s="53" t="n"/>
      <c r="Y246" s="53" t="n"/>
      <c r="Z246" s="53" t="n"/>
      <c r="AA246" s="53" t="n"/>
      <c r="AB246" s="53" t="n"/>
      <c r="AC246" s="53" t="n"/>
      <c r="AD246" s="53" t="n"/>
      <c r="AE246" s="53" t="n"/>
      <c r="AF246" s="53" t="n"/>
      <c r="AG246" s="53" t="n"/>
      <c r="AH246" s="53" t="n"/>
      <c r="AI246" s="53" t="n"/>
      <c r="AJ246" s="53" t="n"/>
      <c r="AK246" s="53" t="n"/>
      <c r="AL246" s="53" t="n"/>
      <c r="AM246" s="53" t="n"/>
      <c r="AN246" s="53" t="n"/>
      <c r="AO246" s="53" t="n"/>
      <c r="AP246" s="53" t="n"/>
      <c r="AQ246" s="53" t="n"/>
      <c r="AR246" s="53" t="n"/>
      <c r="AS246" s="53" t="n"/>
      <c r="AT246" s="53" t="n"/>
      <c r="AU246" s="53" t="n"/>
      <c r="AV246" s="53" t="n"/>
      <c r="AW246" s="53" t="n"/>
      <c r="AX246" s="53" t="n"/>
      <c r="AY246" s="53" t="n"/>
    </row>
    <row r="247" ht="15" customHeight="1">
      <c r="A247" s="54" t="n"/>
      <c r="B247" s="55">
        <f>IF($B$246="","",$B$246)</f>
        <v/>
      </c>
      <c r="C247" s="56" t="inlineStr">
        <is>
          <t>마케팅4팀</t>
        </is>
      </c>
      <c r="D247" s="55">
        <f>IF($D$246="","",$D$246)</f>
        <v/>
      </c>
      <c r="E247" s="57" t="inlineStr">
        <is>
          <t>이미지</t>
        </is>
      </c>
      <c r="F247" s="44" t="n"/>
      <c r="G247" s="58">
        <f>IF($G$246="","",$G$246)</f>
        <v/>
      </c>
      <c r="H247" s="59" t="n"/>
      <c r="I247" s="59" t="n"/>
      <c r="J247" s="59" t="n"/>
      <c r="K247" s="59" t="n"/>
      <c r="L247" s="60">
        <f>IF(SUM(U247:AY247)=0,"",SUM(U247:AY247))</f>
        <v/>
      </c>
      <c r="M247" s="61">
        <f>IFERROR(INDEX(U$2:AY$2,MATCH(TRUE,INDEX(U247:AY247&lt;&gt;"",0),0)),"")</f>
        <v/>
      </c>
      <c r="N247" s="61">
        <f>IFERROR(LOOKUP(2,1/(U247:AY247&lt;&gt;""),U$2:AY$2),"")</f>
        <v/>
      </c>
      <c r="O247" s="59" t="n"/>
      <c r="P247" s="59" t="n"/>
      <c r="Q247" s="59" t="n"/>
      <c r="R247" s="59" t="n"/>
      <c r="S247" s="14" t="n"/>
      <c r="U247" s="53" t="n"/>
      <c r="V247" s="53" t="n"/>
      <c r="W247" s="53" t="n"/>
      <c r="X247" s="53" t="n"/>
      <c r="Y247" s="53" t="n"/>
      <c r="Z247" s="53" t="n"/>
      <c r="AA247" s="53" t="n"/>
      <c r="AB247" s="53" t="n"/>
      <c r="AC247" s="53" t="n"/>
      <c r="AD247" s="53" t="n"/>
      <c r="AE247" s="53" t="n"/>
      <c r="AF247" s="53" t="n"/>
      <c r="AG247" s="53" t="n"/>
      <c r="AH247" s="53" t="n"/>
      <c r="AI247" s="53" t="n"/>
      <c r="AJ247" s="53" t="n"/>
      <c r="AK247" s="53" t="n"/>
      <c r="AL247" s="53" t="n"/>
      <c r="AM247" s="53" t="n"/>
      <c r="AN247" s="53" t="n"/>
      <c r="AO247" s="53" t="n"/>
      <c r="AP247" s="53" t="n"/>
      <c r="AQ247" s="53" t="n"/>
      <c r="AR247" s="53" t="n"/>
      <c r="AS247" s="53" t="n"/>
      <c r="AT247" s="53" t="n"/>
      <c r="AU247" s="53" t="n"/>
      <c r="AV247" s="53" t="n"/>
      <c r="AW247" s="53" t="n"/>
      <c r="AX247" s="53" t="n"/>
      <c r="AY247" s="53" t="n"/>
    </row>
    <row r="248" ht="15" customHeight="1">
      <c r="A248" s="62" t="n"/>
      <c r="B248" s="55">
        <f>IF($B$246="","",$B$246)</f>
        <v/>
      </c>
      <c r="C248" s="63" t="inlineStr">
        <is>
          <t>마케팅4팀</t>
        </is>
      </c>
      <c r="D248" s="55">
        <f>IF($D$246="","",$D$246)</f>
        <v/>
      </c>
      <c r="E248" s="64" t="inlineStr">
        <is>
          <t>영상</t>
        </is>
      </c>
      <c r="F248" s="44" t="n"/>
      <c r="G248" s="58">
        <f>IF($G$246="","",$G$246)</f>
        <v/>
      </c>
      <c r="H248" s="59" t="n"/>
      <c r="I248" s="59" t="n"/>
      <c r="J248" s="59" t="n"/>
      <c r="K248" s="59" t="n"/>
      <c r="L248" s="65">
        <f>IF(SUM(U248:AY248)=0,"",SUM(U248:AY248))</f>
        <v/>
      </c>
      <c r="M248" s="66">
        <f>IFERROR(INDEX(U$2:AY$2,MATCH(TRUE,INDEX(U248:AY248&lt;&gt;"",0),0)),"")</f>
        <v/>
      </c>
      <c r="N248" s="66">
        <f>IFERROR(LOOKUP(2,1/(U248:AY248&lt;&gt;""),U$2:AY$2),"")</f>
        <v/>
      </c>
      <c r="O248" s="59" t="n"/>
      <c r="P248" s="59" t="n"/>
      <c r="Q248" s="59" t="n"/>
      <c r="R248" s="59" t="n"/>
      <c r="S248" s="14" t="n"/>
      <c r="U248" s="53" t="n"/>
      <c r="V248" s="53" t="n"/>
      <c r="W248" s="53" t="n"/>
      <c r="X248" s="53" t="n"/>
      <c r="Y248" s="53" t="n"/>
      <c r="Z248" s="53" t="n"/>
      <c r="AA248" s="53" t="n"/>
      <c r="AB248" s="53" t="n"/>
      <c r="AC248" s="53" t="n"/>
      <c r="AD248" s="53" t="n"/>
      <c r="AE248" s="53" t="n"/>
      <c r="AF248" s="53" t="n"/>
      <c r="AG248" s="53" t="n"/>
      <c r="AH248" s="53" t="n"/>
      <c r="AI248" s="53" t="n"/>
      <c r="AJ248" s="53" t="n"/>
      <c r="AK248" s="53" t="n"/>
      <c r="AL248" s="53" t="n"/>
      <c r="AM248" s="53" t="n"/>
      <c r="AN248" s="53" t="n"/>
      <c r="AO248" s="53" t="n"/>
      <c r="AP248" s="53" t="n"/>
      <c r="AQ248" s="53" t="n"/>
      <c r="AR248" s="53" t="n"/>
      <c r="AS248" s="53" t="n"/>
      <c r="AT248" s="53" t="n"/>
      <c r="AU248" s="53" t="n"/>
      <c r="AV248" s="53" t="n"/>
      <c r="AW248" s="53" t="n"/>
      <c r="AX248" s="53" t="n"/>
      <c r="AY248" s="53" t="n"/>
    </row>
    <row r="249" ht="15" customHeight="1">
      <c r="A249" s="40">
        <f>IF($D$249="","",80)</f>
        <v/>
      </c>
      <c r="B249" s="10" t="n"/>
      <c r="C249" s="41" t="inlineStr">
        <is>
          <t>마케팅4팀</t>
        </is>
      </c>
      <c r="D249" s="42" t="n"/>
      <c r="E249" s="43" t="inlineStr">
        <is>
          <t>기획</t>
        </is>
      </c>
      <c r="F249" s="44" t="n"/>
      <c r="G249" s="45" t="n"/>
      <c r="H249" s="46">
        <f>IF($I$249="","",IF($I$249&lt;0,"🔴지연",IF($I$249&lt;=1,"🟡임박","🟢여유")))</f>
        <v/>
      </c>
      <c r="I249" s="47">
        <f>IF(OR($G$249="",$K$249=""),"",$G$249-$K$249)</f>
        <v/>
      </c>
      <c r="J249" s="48">
        <f>IF(SUM($L$249:$L$251)=0,"",SUM($L$249:$L$251))</f>
        <v/>
      </c>
      <c r="K249" s="49">
        <f>IF($J$249="","",MAX($N$249:$N$251))</f>
        <v/>
      </c>
      <c r="L249" s="50">
        <f>IF(SUM(U249:AY249)=0,"",SUM(U249:AY249))</f>
        <v/>
      </c>
      <c r="M249" s="51">
        <f>IFERROR(INDEX(U$2:AY$2,MATCH(TRUE,INDEX(U249:AY249&lt;&gt;"",0),0)),"")</f>
        <v/>
      </c>
      <c r="N249" s="51">
        <f>IFERROR(LOOKUP(2,1/(U249:AY249&lt;&gt;""),U$2:AY$2),"")</f>
        <v/>
      </c>
      <c r="O249" s="52" t="n"/>
      <c r="P249" s="52" t="n"/>
      <c r="Q249" s="52" t="n"/>
      <c r="R249" s="44" t="n"/>
      <c r="S249" s="14" t="n"/>
      <c r="U249" s="53" t="n"/>
      <c r="V249" s="53" t="n"/>
      <c r="W249" s="53" t="n"/>
      <c r="X249" s="53" t="n"/>
      <c r="Y249" s="53" t="n"/>
      <c r="Z249" s="53" t="n"/>
      <c r="AA249" s="53" t="n"/>
      <c r="AB249" s="53" t="n"/>
      <c r="AC249" s="53" t="n"/>
      <c r="AD249" s="53" t="n"/>
      <c r="AE249" s="53" t="n"/>
      <c r="AF249" s="53" t="n"/>
      <c r="AG249" s="53" t="n"/>
      <c r="AH249" s="53" t="n"/>
      <c r="AI249" s="53" t="n"/>
      <c r="AJ249" s="53" t="n"/>
      <c r="AK249" s="53" t="n"/>
      <c r="AL249" s="53" t="n"/>
      <c r="AM249" s="53" t="n"/>
      <c r="AN249" s="53" t="n"/>
      <c r="AO249" s="53" t="n"/>
      <c r="AP249" s="53" t="n"/>
      <c r="AQ249" s="53" t="n"/>
      <c r="AR249" s="53" t="n"/>
      <c r="AS249" s="53" t="n"/>
      <c r="AT249" s="53" t="n"/>
      <c r="AU249" s="53" t="n"/>
      <c r="AV249" s="53" t="n"/>
      <c r="AW249" s="53" t="n"/>
      <c r="AX249" s="53" t="n"/>
      <c r="AY249" s="53" t="n"/>
    </row>
    <row r="250" ht="15" customHeight="1">
      <c r="A250" s="54" t="n"/>
      <c r="B250" s="55">
        <f>IF($B$249="","",$B$249)</f>
        <v/>
      </c>
      <c r="C250" s="56" t="inlineStr">
        <is>
          <t>마케팅4팀</t>
        </is>
      </c>
      <c r="D250" s="55">
        <f>IF($D$249="","",$D$249)</f>
        <v/>
      </c>
      <c r="E250" s="57" t="inlineStr">
        <is>
          <t>이미지</t>
        </is>
      </c>
      <c r="F250" s="44" t="n"/>
      <c r="G250" s="58">
        <f>IF($G$249="","",$G$249)</f>
        <v/>
      </c>
      <c r="H250" s="59" t="n"/>
      <c r="I250" s="59" t="n"/>
      <c r="J250" s="59" t="n"/>
      <c r="K250" s="59" t="n"/>
      <c r="L250" s="60">
        <f>IF(SUM(U250:AY250)=0,"",SUM(U250:AY250))</f>
        <v/>
      </c>
      <c r="M250" s="61">
        <f>IFERROR(INDEX(U$2:AY$2,MATCH(TRUE,INDEX(U250:AY250&lt;&gt;"",0),0)),"")</f>
        <v/>
      </c>
      <c r="N250" s="61">
        <f>IFERROR(LOOKUP(2,1/(U250:AY250&lt;&gt;""),U$2:AY$2),"")</f>
        <v/>
      </c>
      <c r="O250" s="59" t="n"/>
      <c r="P250" s="59" t="n"/>
      <c r="Q250" s="59" t="n"/>
      <c r="R250" s="59" t="n"/>
      <c r="S250" s="14" t="n"/>
      <c r="U250" s="53" t="n"/>
      <c r="V250" s="53" t="n"/>
      <c r="W250" s="53" t="n"/>
      <c r="X250" s="53" t="n"/>
      <c r="Y250" s="53" t="n"/>
      <c r="Z250" s="53" t="n"/>
      <c r="AA250" s="53" t="n"/>
      <c r="AB250" s="53" t="n"/>
      <c r="AC250" s="53" t="n"/>
      <c r="AD250" s="53" t="n"/>
      <c r="AE250" s="53" t="n"/>
      <c r="AF250" s="53" t="n"/>
      <c r="AG250" s="53" t="n"/>
      <c r="AH250" s="53" t="n"/>
      <c r="AI250" s="53" t="n"/>
      <c r="AJ250" s="53" t="n"/>
      <c r="AK250" s="53" t="n"/>
      <c r="AL250" s="53" t="n"/>
      <c r="AM250" s="53" t="n"/>
      <c r="AN250" s="53" t="n"/>
      <c r="AO250" s="53" t="n"/>
      <c r="AP250" s="53" t="n"/>
      <c r="AQ250" s="53" t="n"/>
      <c r="AR250" s="53" t="n"/>
      <c r="AS250" s="53" t="n"/>
      <c r="AT250" s="53" t="n"/>
      <c r="AU250" s="53" t="n"/>
      <c r="AV250" s="53" t="n"/>
      <c r="AW250" s="53" t="n"/>
      <c r="AX250" s="53" t="n"/>
      <c r="AY250" s="53" t="n"/>
    </row>
    <row r="251" ht="15" customHeight="1">
      <c r="A251" s="62" t="n"/>
      <c r="B251" s="55">
        <f>IF($B$249="","",$B$249)</f>
        <v/>
      </c>
      <c r="C251" s="63" t="inlineStr">
        <is>
          <t>마케팅4팀</t>
        </is>
      </c>
      <c r="D251" s="55">
        <f>IF($D$249="","",$D$249)</f>
        <v/>
      </c>
      <c r="E251" s="64" t="inlineStr">
        <is>
          <t>영상</t>
        </is>
      </c>
      <c r="F251" s="44" t="n"/>
      <c r="G251" s="58">
        <f>IF($G$249="","",$G$249)</f>
        <v/>
      </c>
      <c r="H251" s="59" t="n"/>
      <c r="I251" s="59" t="n"/>
      <c r="J251" s="59" t="n"/>
      <c r="K251" s="59" t="n"/>
      <c r="L251" s="65">
        <f>IF(SUM(U251:AY251)=0,"",SUM(U251:AY251))</f>
        <v/>
      </c>
      <c r="M251" s="66">
        <f>IFERROR(INDEX(U$2:AY$2,MATCH(TRUE,INDEX(U251:AY251&lt;&gt;"",0),0)),"")</f>
        <v/>
      </c>
      <c r="N251" s="66">
        <f>IFERROR(LOOKUP(2,1/(U251:AY251&lt;&gt;""),U$2:AY$2),"")</f>
        <v/>
      </c>
      <c r="O251" s="59" t="n"/>
      <c r="P251" s="59" t="n"/>
      <c r="Q251" s="59" t="n"/>
      <c r="R251" s="59" t="n"/>
      <c r="S251" s="14" t="n"/>
      <c r="U251" s="53" t="n"/>
      <c r="V251" s="53" t="n"/>
      <c r="W251" s="53" t="n"/>
      <c r="X251" s="53" t="n"/>
      <c r="Y251" s="53" t="n"/>
      <c r="Z251" s="53" t="n"/>
      <c r="AA251" s="53" t="n"/>
      <c r="AB251" s="53" t="n"/>
      <c r="AC251" s="53" t="n"/>
      <c r="AD251" s="53" t="n"/>
      <c r="AE251" s="53" t="n"/>
      <c r="AF251" s="53" t="n"/>
      <c r="AG251" s="53" t="n"/>
      <c r="AH251" s="53" t="n"/>
      <c r="AI251" s="53" t="n"/>
      <c r="AJ251" s="53" t="n"/>
      <c r="AK251" s="53" t="n"/>
      <c r="AL251" s="53" t="n"/>
      <c r="AM251" s="53" t="n"/>
      <c r="AN251" s="53" t="n"/>
      <c r="AO251" s="53" t="n"/>
      <c r="AP251" s="53" t="n"/>
      <c r="AQ251" s="53" t="n"/>
      <c r="AR251" s="53" t="n"/>
      <c r="AS251" s="53" t="n"/>
      <c r="AT251" s="53" t="n"/>
      <c r="AU251" s="53" t="n"/>
      <c r="AV251" s="53" t="n"/>
      <c r="AW251" s="53" t="n"/>
      <c r="AX251" s="53" t="n"/>
      <c r="AY251" s="53" t="n"/>
    </row>
    <row r="252" ht="18" customHeight="1">
      <c r="A252" s="39" t="inlineStr">
        <is>
          <t>기타   (253~312행 · 소재 20개)</t>
        </is>
      </c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  <c r="AA252" s="8" t="n"/>
      <c r="AB252" s="8" t="n"/>
      <c r="AC252" s="8" t="n"/>
      <c r="AD252" s="8" t="n"/>
      <c r="AE252" s="8" t="n"/>
      <c r="AF252" s="8" t="n"/>
      <c r="AG252" s="8" t="n"/>
      <c r="AH252" s="8" t="n"/>
      <c r="AI252" s="8" t="n"/>
      <c r="AJ252" s="8" t="n"/>
      <c r="AK252" s="8" t="n"/>
      <c r="AL252" s="8" t="n"/>
      <c r="AM252" s="8" t="n"/>
      <c r="AN252" s="8" t="n"/>
      <c r="AO252" s="8" t="n"/>
      <c r="AP252" s="8" t="n"/>
      <c r="AQ252" s="8" t="n"/>
      <c r="AR252" s="8" t="n"/>
      <c r="AS252" s="8" t="n"/>
      <c r="AT252" s="8" t="n"/>
      <c r="AU252" s="8" t="n"/>
      <c r="AV252" s="8" t="n"/>
      <c r="AW252" s="8" t="n"/>
      <c r="AX252" s="8" t="n"/>
      <c r="AY252" s="4" t="n"/>
    </row>
    <row r="253" ht="15" customHeight="1">
      <c r="A253" s="40">
        <f>IF($D$253="","",81)</f>
        <v/>
      </c>
      <c r="B253" s="10" t="n"/>
      <c r="C253" s="41" t="inlineStr">
        <is>
          <t>기타</t>
        </is>
      </c>
      <c r="D253" s="42" t="n"/>
      <c r="E253" s="43" t="inlineStr">
        <is>
          <t>기획</t>
        </is>
      </c>
      <c r="F253" s="44" t="n"/>
      <c r="G253" s="45" t="n"/>
      <c r="H253" s="46">
        <f>IF($I$253="","",IF($I$253&lt;0,"🔴지연",IF($I$253&lt;=1,"🟡임박","🟢여유")))</f>
        <v/>
      </c>
      <c r="I253" s="47">
        <f>IF(OR($G$253="",$K$253=""),"",$G$253-$K$253)</f>
        <v/>
      </c>
      <c r="J253" s="48">
        <f>IF(SUM($L$253:$L$255)=0,"",SUM($L$253:$L$255))</f>
        <v/>
      </c>
      <c r="K253" s="49">
        <f>IF($J$253="","",MAX($N$253:$N$255))</f>
        <v/>
      </c>
      <c r="L253" s="50">
        <f>IF(SUM(U253:AY253)=0,"",SUM(U253:AY253))</f>
        <v/>
      </c>
      <c r="M253" s="51">
        <f>IFERROR(INDEX(U$2:AY$2,MATCH(TRUE,INDEX(U253:AY253&lt;&gt;"",0),0)),"")</f>
        <v/>
      </c>
      <c r="N253" s="51">
        <f>IFERROR(LOOKUP(2,1/(U253:AY253&lt;&gt;""),U$2:AY$2),"")</f>
        <v/>
      </c>
      <c r="O253" s="52" t="n"/>
      <c r="P253" s="52" t="n"/>
      <c r="Q253" s="52" t="n"/>
      <c r="R253" s="44" t="n"/>
      <c r="S253" s="14" t="n"/>
      <c r="U253" s="53" t="n"/>
      <c r="V253" s="53" t="n"/>
      <c r="W253" s="53" t="n"/>
      <c r="X253" s="53" t="n"/>
      <c r="Y253" s="53" t="n"/>
      <c r="Z253" s="53" t="n"/>
      <c r="AA253" s="53" t="n"/>
      <c r="AB253" s="53" t="n"/>
      <c r="AC253" s="53" t="n"/>
      <c r="AD253" s="53" t="n"/>
      <c r="AE253" s="53" t="n"/>
      <c r="AF253" s="53" t="n"/>
      <c r="AG253" s="53" t="n"/>
      <c r="AH253" s="53" t="n"/>
      <c r="AI253" s="53" t="n"/>
      <c r="AJ253" s="53" t="n"/>
      <c r="AK253" s="53" t="n"/>
      <c r="AL253" s="53" t="n"/>
      <c r="AM253" s="53" t="n"/>
      <c r="AN253" s="53" t="n"/>
      <c r="AO253" s="53" t="n"/>
      <c r="AP253" s="53" t="n"/>
      <c r="AQ253" s="53" t="n"/>
      <c r="AR253" s="53" t="n"/>
      <c r="AS253" s="53" t="n"/>
      <c r="AT253" s="53" t="n"/>
      <c r="AU253" s="53" t="n"/>
      <c r="AV253" s="53" t="n"/>
      <c r="AW253" s="53" t="n"/>
      <c r="AX253" s="53" t="n"/>
      <c r="AY253" s="53" t="n"/>
    </row>
    <row r="254" ht="15" customHeight="1">
      <c r="A254" s="54" t="n"/>
      <c r="B254" s="55">
        <f>IF($B$253="","",$B$253)</f>
        <v/>
      </c>
      <c r="C254" s="56" t="inlineStr">
        <is>
          <t>기타</t>
        </is>
      </c>
      <c r="D254" s="55">
        <f>IF($D$253="","",$D$253)</f>
        <v/>
      </c>
      <c r="E254" s="57" t="inlineStr">
        <is>
          <t>이미지</t>
        </is>
      </c>
      <c r="F254" s="44" t="n"/>
      <c r="G254" s="58">
        <f>IF($G$253="","",$G$253)</f>
        <v/>
      </c>
      <c r="H254" s="59" t="n"/>
      <c r="I254" s="59" t="n"/>
      <c r="J254" s="59" t="n"/>
      <c r="K254" s="59" t="n"/>
      <c r="L254" s="60">
        <f>IF(SUM(U254:AY254)=0,"",SUM(U254:AY254))</f>
        <v/>
      </c>
      <c r="M254" s="61">
        <f>IFERROR(INDEX(U$2:AY$2,MATCH(TRUE,INDEX(U254:AY254&lt;&gt;"",0),0)),"")</f>
        <v/>
      </c>
      <c r="N254" s="61">
        <f>IFERROR(LOOKUP(2,1/(U254:AY254&lt;&gt;""),U$2:AY$2),"")</f>
        <v/>
      </c>
      <c r="O254" s="59" t="n"/>
      <c r="P254" s="59" t="n"/>
      <c r="Q254" s="59" t="n"/>
      <c r="R254" s="59" t="n"/>
      <c r="S254" s="14" t="n"/>
      <c r="U254" s="53" t="n"/>
      <c r="V254" s="53" t="n"/>
      <c r="W254" s="53" t="n"/>
      <c r="X254" s="53" t="n"/>
      <c r="Y254" s="53" t="n"/>
      <c r="Z254" s="53" t="n"/>
      <c r="AA254" s="53" t="n"/>
      <c r="AB254" s="53" t="n"/>
      <c r="AC254" s="53" t="n"/>
      <c r="AD254" s="53" t="n"/>
      <c r="AE254" s="53" t="n"/>
      <c r="AF254" s="53" t="n"/>
      <c r="AG254" s="53" t="n"/>
      <c r="AH254" s="53" t="n"/>
      <c r="AI254" s="53" t="n"/>
      <c r="AJ254" s="53" t="n"/>
      <c r="AK254" s="53" t="n"/>
      <c r="AL254" s="53" t="n"/>
      <c r="AM254" s="53" t="n"/>
      <c r="AN254" s="53" t="n"/>
      <c r="AO254" s="53" t="n"/>
      <c r="AP254" s="53" t="n"/>
      <c r="AQ254" s="53" t="n"/>
      <c r="AR254" s="53" t="n"/>
      <c r="AS254" s="53" t="n"/>
      <c r="AT254" s="53" t="n"/>
      <c r="AU254" s="53" t="n"/>
      <c r="AV254" s="53" t="n"/>
      <c r="AW254" s="53" t="n"/>
      <c r="AX254" s="53" t="n"/>
      <c r="AY254" s="53" t="n"/>
    </row>
    <row r="255" ht="15" customHeight="1">
      <c r="A255" s="62" t="n"/>
      <c r="B255" s="55">
        <f>IF($B$253="","",$B$253)</f>
        <v/>
      </c>
      <c r="C255" s="63" t="inlineStr">
        <is>
          <t>기타</t>
        </is>
      </c>
      <c r="D255" s="55">
        <f>IF($D$253="","",$D$253)</f>
        <v/>
      </c>
      <c r="E255" s="64" t="inlineStr">
        <is>
          <t>영상</t>
        </is>
      </c>
      <c r="F255" s="44" t="n"/>
      <c r="G255" s="58">
        <f>IF($G$253="","",$G$253)</f>
        <v/>
      </c>
      <c r="H255" s="59" t="n"/>
      <c r="I255" s="59" t="n"/>
      <c r="J255" s="59" t="n"/>
      <c r="K255" s="59" t="n"/>
      <c r="L255" s="65">
        <f>IF(SUM(U255:AY255)=0,"",SUM(U255:AY255))</f>
        <v/>
      </c>
      <c r="M255" s="66">
        <f>IFERROR(INDEX(U$2:AY$2,MATCH(TRUE,INDEX(U255:AY255&lt;&gt;"",0),0)),"")</f>
        <v/>
      </c>
      <c r="N255" s="66">
        <f>IFERROR(LOOKUP(2,1/(U255:AY255&lt;&gt;""),U$2:AY$2),"")</f>
        <v/>
      </c>
      <c r="O255" s="59" t="n"/>
      <c r="P255" s="59" t="n"/>
      <c r="Q255" s="59" t="n"/>
      <c r="R255" s="59" t="n"/>
      <c r="S255" s="14" t="n"/>
      <c r="U255" s="53" t="n"/>
      <c r="V255" s="53" t="n"/>
      <c r="W255" s="53" t="n"/>
      <c r="X255" s="53" t="n"/>
      <c r="Y255" s="53" t="n"/>
      <c r="Z255" s="53" t="n"/>
      <c r="AA255" s="53" t="n"/>
      <c r="AB255" s="53" t="n"/>
      <c r="AC255" s="53" t="n"/>
      <c r="AD255" s="53" t="n"/>
      <c r="AE255" s="53" t="n"/>
      <c r="AF255" s="53" t="n"/>
      <c r="AG255" s="53" t="n"/>
      <c r="AH255" s="53" t="n"/>
      <c r="AI255" s="53" t="n"/>
      <c r="AJ255" s="53" t="n"/>
      <c r="AK255" s="53" t="n"/>
      <c r="AL255" s="53" t="n"/>
      <c r="AM255" s="53" t="n"/>
      <c r="AN255" s="53" t="n"/>
      <c r="AO255" s="53" t="n"/>
      <c r="AP255" s="53" t="n"/>
      <c r="AQ255" s="53" t="n"/>
      <c r="AR255" s="53" t="n"/>
      <c r="AS255" s="53" t="n"/>
      <c r="AT255" s="53" t="n"/>
      <c r="AU255" s="53" t="n"/>
      <c r="AV255" s="53" t="n"/>
      <c r="AW255" s="53" t="n"/>
      <c r="AX255" s="53" t="n"/>
      <c r="AY255" s="53" t="n"/>
    </row>
    <row r="256" ht="15" customHeight="1">
      <c r="A256" s="40">
        <f>IF($D$256="","",82)</f>
        <v/>
      </c>
      <c r="B256" s="10" t="n"/>
      <c r="C256" s="41" t="inlineStr">
        <is>
          <t>기타</t>
        </is>
      </c>
      <c r="D256" s="42" t="n"/>
      <c r="E256" s="43" t="inlineStr">
        <is>
          <t>기획</t>
        </is>
      </c>
      <c r="F256" s="44" t="n"/>
      <c r="G256" s="45" t="n"/>
      <c r="H256" s="46">
        <f>IF($I$256="","",IF($I$256&lt;0,"🔴지연",IF($I$256&lt;=1,"🟡임박","🟢여유")))</f>
        <v/>
      </c>
      <c r="I256" s="47">
        <f>IF(OR($G$256="",$K$256=""),"",$G$256-$K$256)</f>
        <v/>
      </c>
      <c r="J256" s="48">
        <f>IF(SUM($L$256:$L$258)=0,"",SUM($L$256:$L$258))</f>
        <v/>
      </c>
      <c r="K256" s="49">
        <f>IF($J$256="","",MAX($N$256:$N$258))</f>
        <v/>
      </c>
      <c r="L256" s="50">
        <f>IF(SUM(U256:AY256)=0,"",SUM(U256:AY256))</f>
        <v/>
      </c>
      <c r="M256" s="51">
        <f>IFERROR(INDEX(U$2:AY$2,MATCH(TRUE,INDEX(U256:AY256&lt;&gt;"",0),0)),"")</f>
        <v/>
      </c>
      <c r="N256" s="51">
        <f>IFERROR(LOOKUP(2,1/(U256:AY256&lt;&gt;""),U$2:AY$2),"")</f>
        <v/>
      </c>
      <c r="O256" s="52" t="n"/>
      <c r="P256" s="52" t="n"/>
      <c r="Q256" s="52" t="n"/>
      <c r="R256" s="44" t="n"/>
      <c r="S256" s="14" t="n"/>
      <c r="U256" s="53" t="n"/>
      <c r="V256" s="53" t="n"/>
      <c r="W256" s="53" t="n"/>
      <c r="X256" s="53" t="n"/>
      <c r="Y256" s="53" t="n"/>
      <c r="Z256" s="53" t="n"/>
      <c r="AA256" s="53" t="n"/>
      <c r="AB256" s="53" t="n"/>
      <c r="AC256" s="53" t="n"/>
      <c r="AD256" s="53" t="n"/>
      <c r="AE256" s="53" t="n"/>
      <c r="AF256" s="53" t="n"/>
      <c r="AG256" s="53" t="n"/>
      <c r="AH256" s="53" t="n"/>
      <c r="AI256" s="53" t="n"/>
      <c r="AJ256" s="53" t="n"/>
      <c r="AK256" s="53" t="n"/>
      <c r="AL256" s="53" t="n"/>
      <c r="AM256" s="53" t="n"/>
      <c r="AN256" s="53" t="n"/>
      <c r="AO256" s="53" t="n"/>
      <c r="AP256" s="53" t="n"/>
      <c r="AQ256" s="53" t="n"/>
      <c r="AR256" s="53" t="n"/>
      <c r="AS256" s="53" t="n"/>
      <c r="AT256" s="53" t="n"/>
      <c r="AU256" s="53" t="n"/>
      <c r="AV256" s="53" t="n"/>
      <c r="AW256" s="53" t="n"/>
      <c r="AX256" s="53" t="n"/>
      <c r="AY256" s="53" t="n"/>
    </row>
    <row r="257" ht="15" customHeight="1">
      <c r="A257" s="54" t="n"/>
      <c r="B257" s="55">
        <f>IF($B$256="","",$B$256)</f>
        <v/>
      </c>
      <c r="C257" s="56" t="inlineStr">
        <is>
          <t>기타</t>
        </is>
      </c>
      <c r="D257" s="55">
        <f>IF($D$256="","",$D$256)</f>
        <v/>
      </c>
      <c r="E257" s="57" t="inlineStr">
        <is>
          <t>이미지</t>
        </is>
      </c>
      <c r="F257" s="44" t="n"/>
      <c r="G257" s="58">
        <f>IF($G$256="","",$G$256)</f>
        <v/>
      </c>
      <c r="H257" s="59" t="n"/>
      <c r="I257" s="59" t="n"/>
      <c r="J257" s="59" t="n"/>
      <c r="K257" s="59" t="n"/>
      <c r="L257" s="60">
        <f>IF(SUM(U257:AY257)=0,"",SUM(U257:AY257))</f>
        <v/>
      </c>
      <c r="M257" s="61">
        <f>IFERROR(INDEX(U$2:AY$2,MATCH(TRUE,INDEX(U257:AY257&lt;&gt;"",0),0)),"")</f>
        <v/>
      </c>
      <c r="N257" s="61">
        <f>IFERROR(LOOKUP(2,1/(U257:AY257&lt;&gt;""),U$2:AY$2),"")</f>
        <v/>
      </c>
      <c r="O257" s="59" t="n"/>
      <c r="P257" s="59" t="n"/>
      <c r="Q257" s="59" t="n"/>
      <c r="R257" s="59" t="n"/>
      <c r="S257" s="14" t="n"/>
      <c r="U257" s="53" t="n"/>
      <c r="V257" s="53" t="n"/>
      <c r="W257" s="53" t="n"/>
      <c r="X257" s="53" t="n"/>
      <c r="Y257" s="53" t="n"/>
      <c r="Z257" s="53" t="n"/>
      <c r="AA257" s="53" t="n"/>
      <c r="AB257" s="53" t="n"/>
      <c r="AC257" s="53" t="n"/>
      <c r="AD257" s="53" t="n"/>
      <c r="AE257" s="53" t="n"/>
      <c r="AF257" s="53" t="n"/>
      <c r="AG257" s="53" t="n"/>
      <c r="AH257" s="53" t="n"/>
      <c r="AI257" s="53" t="n"/>
      <c r="AJ257" s="53" t="n"/>
      <c r="AK257" s="53" t="n"/>
      <c r="AL257" s="53" t="n"/>
      <c r="AM257" s="53" t="n"/>
      <c r="AN257" s="53" t="n"/>
      <c r="AO257" s="53" t="n"/>
      <c r="AP257" s="53" t="n"/>
      <c r="AQ257" s="53" t="n"/>
      <c r="AR257" s="53" t="n"/>
      <c r="AS257" s="53" t="n"/>
      <c r="AT257" s="53" t="n"/>
      <c r="AU257" s="53" t="n"/>
      <c r="AV257" s="53" t="n"/>
      <c r="AW257" s="53" t="n"/>
      <c r="AX257" s="53" t="n"/>
      <c r="AY257" s="53" t="n"/>
    </row>
    <row r="258" ht="15" customHeight="1">
      <c r="A258" s="62" t="n"/>
      <c r="B258" s="55">
        <f>IF($B$256="","",$B$256)</f>
        <v/>
      </c>
      <c r="C258" s="63" t="inlineStr">
        <is>
          <t>기타</t>
        </is>
      </c>
      <c r="D258" s="55">
        <f>IF($D$256="","",$D$256)</f>
        <v/>
      </c>
      <c r="E258" s="64" t="inlineStr">
        <is>
          <t>영상</t>
        </is>
      </c>
      <c r="F258" s="44" t="n"/>
      <c r="G258" s="58">
        <f>IF($G$256="","",$G$256)</f>
        <v/>
      </c>
      <c r="H258" s="59" t="n"/>
      <c r="I258" s="59" t="n"/>
      <c r="J258" s="59" t="n"/>
      <c r="K258" s="59" t="n"/>
      <c r="L258" s="65">
        <f>IF(SUM(U258:AY258)=0,"",SUM(U258:AY258))</f>
        <v/>
      </c>
      <c r="M258" s="66">
        <f>IFERROR(INDEX(U$2:AY$2,MATCH(TRUE,INDEX(U258:AY258&lt;&gt;"",0),0)),"")</f>
        <v/>
      </c>
      <c r="N258" s="66">
        <f>IFERROR(LOOKUP(2,1/(U258:AY258&lt;&gt;""),U$2:AY$2),"")</f>
        <v/>
      </c>
      <c r="O258" s="59" t="n"/>
      <c r="P258" s="59" t="n"/>
      <c r="Q258" s="59" t="n"/>
      <c r="R258" s="59" t="n"/>
      <c r="S258" s="14" t="n"/>
      <c r="U258" s="53" t="n"/>
      <c r="V258" s="53" t="n"/>
      <c r="W258" s="53" t="n"/>
      <c r="X258" s="53" t="n"/>
      <c r="Y258" s="53" t="n"/>
      <c r="Z258" s="53" t="n"/>
      <c r="AA258" s="53" t="n"/>
      <c r="AB258" s="53" t="n"/>
      <c r="AC258" s="53" t="n"/>
      <c r="AD258" s="53" t="n"/>
      <c r="AE258" s="53" t="n"/>
      <c r="AF258" s="53" t="n"/>
      <c r="AG258" s="53" t="n"/>
      <c r="AH258" s="53" t="n"/>
      <c r="AI258" s="53" t="n"/>
      <c r="AJ258" s="53" t="n"/>
      <c r="AK258" s="53" t="n"/>
      <c r="AL258" s="53" t="n"/>
      <c r="AM258" s="53" t="n"/>
      <c r="AN258" s="53" t="n"/>
      <c r="AO258" s="53" t="n"/>
      <c r="AP258" s="53" t="n"/>
      <c r="AQ258" s="53" t="n"/>
      <c r="AR258" s="53" t="n"/>
      <c r="AS258" s="53" t="n"/>
      <c r="AT258" s="53" t="n"/>
      <c r="AU258" s="53" t="n"/>
      <c r="AV258" s="53" t="n"/>
      <c r="AW258" s="53" t="n"/>
      <c r="AX258" s="53" t="n"/>
      <c r="AY258" s="53" t="n"/>
    </row>
    <row r="259" ht="15" customHeight="1">
      <c r="A259" s="40">
        <f>IF($D$259="","",83)</f>
        <v/>
      </c>
      <c r="B259" s="10" t="n"/>
      <c r="C259" s="41" t="inlineStr">
        <is>
          <t>기타</t>
        </is>
      </c>
      <c r="D259" s="42" t="n"/>
      <c r="E259" s="43" t="inlineStr">
        <is>
          <t>기획</t>
        </is>
      </c>
      <c r="F259" s="44" t="n"/>
      <c r="G259" s="45" t="n"/>
      <c r="H259" s="46">
        <f>IF($I$259="","",IF($I$259&lt;0,"🔴지연",IF($I$259&lt;=1,"🟡임박","🟢여유")))</f>
        <v/>
      </c>
      <c r="I259" s="47">
        <f>IF(OR($G$259="",$K$259=""),"",$G$259-$K$259)</f>
        <v/>
      </c>
      <c r="J259" s="48">
        <f>IF(SUM($L$259:$L$261)=0,"",SUM($L$259:$L$261))</f>
        <v/>
      </c>
      <c r="K259" s="49">
        <f>IF($J$259="","",MAX($N$259:$N$261))</f>
        <v/>
      </c>
      <c r="L259" s="50">
        <f>IF(SUM(U259:AY259)=0,"",SUM(U259:AY259))</f>
        <v/>
      </c>
      <c r="M259" s="51">
        <f>IFERROR(INDEX(U$2:AY$2,MATCH(TRUE,INDEX(U259:AY259&lt;&gt;"",0),0)),"")</f>
        <v/>
      </c>
      <c r="N259" s="51">
        <f>IFERROR(LOOKUP(2,1/(U259:AY259&lt;&gt;""),U$2:AY$2),"")</f>
        <v/>
      </c>
      <c r="O259" s="52" t="n"/>
      <c r="P259" s="52" t="n"/>
      <c r="Q259" s="52" t="n"/>
      <c r="R259" s="44" t="n"/>
      <c r="S259" s="14" t="n"/>
      <c r="U259" s="53" t="n"/>
      <c r="V259" s="53" t="n"/>
      <c r="W259" s="53" t="n"/>
      <c r="X259" s="53" t="n"/>
      <c r="Y259" s="53" t="n"/>
      <c r="Z259" s="53" t="n"/>
      <c r="AA259" s="53" t="n"/>
      <c r="AB259" s="53" t="n"/>
      <c r="AC259" s="53" t="n"/>
      <c r="AD259" s="53" t="n"/>
      <c r="AE259" s="53" t="n"/>
      <c r="AF259" s="53" t="n"/>
      <c r="AG259" s="53" t="n"/>
      <c r="AH259" s="53" t="n"/>
      <c r="AI259" s="53" t="n"/>
      <c r="AJ259" s="53" t="n"/>
      <c r="AK259" s="53" t="n"/>
      <c r="AL259" s="53" t="n"/>
      <c r="AM259" s="53" t="n"/>
      <c r="AN259" s="53" t="n"/>
      <c r="AO259" s="53" t="n"/>
      <c r="AP259" s="53" t="n"/>
      <c r="AQ259" s="53" t="n"/>
      <c r="AR259" s="53" t="n"/>
      <c r="AS259" s="53" t="n"/>
      <c r="AT259" s="53" t="n"/>
      <c r="AU259" s="53" t="n"/>
      <c r="AV259" s="53" t="n"/>
      <c r="AW259" s="53" t="n"/>
      <c r="AX259" s="53" t="n"/>
      <c r="AY259" s="53" t="n"/>
    </row>
    <row r="260" ht="15" customHeight="1">
      <c r="A260" s="54" t="n"/>
      <c r="B260" s="55">
        <f>IF($B$259="","",$B$259)</f>
        <v/>
      </c>
      <c r="C260" s="56" t="inlineStr">
        <is>
          <t>기타</t>
        </is>
      </c>
      <c r="D260" s="55">
        <f>IF($D$259="","",$D$259)</f>
        <v/>
      </c>
      <c r="E260" s="57" t="inlineStr">
        <is>
          <t>이미지</t>
        </is>
      </c>
      <c r="F260" s="44" t="n"/>
      <c r="G260" s="58">
        <f>IF($G$259="","",$G$259)</f>
        <v/>
      </c>
      <c r="H260" s="59" t="n"/>
      <c r="I260" s="59" t="n"/>
      <c r="J260" s="59" t="n"/>
      <c r="K260" s="59" t="n"/>
      <c r="L260" s="60">
        <f>IF(SUM(U260:AY260)=0,"",SUM(U260:AY260))</f>
        <v/>
      </c>
      <c r="M260" s="61">
        <f>IFERROR(INDEX(U$2:AY$2,MATCH(TRUE,INDEX(U260:AY260&lt;&gt;"",0),0)),"")</f>
        <v/>
      </c>
      <c r="N260" s="61">
        <f>IFERROR(LOOKUP(2,1/(U260:AY260&lt;&gt;""),U$2:AY$2),"")</f>
        <v/>
      </c>
      <c r="O260" s="59" t="n"/>
      <c r="P260" s="59" t="n"/>
      <c r="Q260" s="59" t="n"/>
      <c r="R260" s="59" t="n"/>
      <c r="S260" s="14" t="n"/>
      <c r="U260" s="53" t="n"/>
      <c r="V260" s="53" t="n"/>
      <c r="W260" s="53" t="n"/>
      <c r="X260" s="53" t="n"/>
      <c r="Y260" s="53" t="n"/>
      <c r="Z260" s="53" t="n"/>
      <c r="AA260" s="53" t="n"/>
      <c r="AB260" s="53" t="n"/>
      <c r="AC260" s="53" t="n"/>
      <c r="AD260" s="53" t="n"/>
      <c r="AE260" s="53" t="n"/>
      <c r="AF260" s="53" t="n"/>
      <c r="AG260" s="53" t="n"/>
      <c r="AH260" s="53" t="n"/>
      <c r="AI260" s="53" t="n"/>
      <c r="AJ260" s="53" t="n"/>
      <c r="AK260" s="53" t="n"/>
      <c r="AL260" s="53" t="n"/>
      <c r="AM260" s="53" t="n"/>
      <c r="AN260" s="53" t="n"/>
      <c r="AO260" s="53" t="n"/>
      <c r="AP260" s="53" t="n"/>
      <c r="AQ260" s="53" t="n"/>
      <c r="AR260" s="53" t="n"/>
      <c r="AS260" s="53" t="n"/>
      <c r="AT260" s="53" t="n"/>
      <c r="AU260" s="53" t="n"/>
      <c r="AV260" s="53" t="n"/>
      <c r="AW260" s="53" t="n"/>
      <c r="AX260" s="53" t="n"/>
      <c r="AY260" s="53" t="n"/>
    </row>
    <row r="261" ht="15" customHeight="1">
      <c r="A261" s="62" t="n"/>
      <c r="B261" s="55">
        <f>IF($B$259="","",$B$259)</f>
        <v/>
      </c>
      <c r="C261" s="63" t="inlineStr">
        <is>
          <t>기타</t>
        </is>
      </c>
      <c r="D261" s="55">
        <f>IF($D$259="","",$D$259)</f>
        <v/>
      </c>
      <c r="E261" s="64" t="inlineStr">
        <is>
          <t>영상</t>
        </is>
      </c>
      <c r="F261" s="44" t="n"/>
      <c r="G261" s="58">
        <f>IF($G$259="","",$G$259)</f>
        <v/>
      </c>
      <c r="H261" s="59" t="n"/>
      <c r="I261" s="59" t="n"/>
      <c r="J261" s="59" t="n"/>
      <c r="K261" s="59" t="n"/>
      <c r="L261" s="65">
        <f>IF(SUM(U261:AY261)=0,"",SUM(U261:AY261))</f>
        <v/>
      </c>
      <c r="M261" s="66">
        <f>IFERROR(INDEX(U$2:AY$2,MATCH(TRUE,INDEX(U261:AY261&lt;&gt;"",0),0)),"")</f>
        <v/>
      </c>
      <c r="N261" s="66">
        <f>IFERROR(LOOKUP(2,1/(U261:AY261&lt;&gt;""),U$2:AY$2),"")</f>
        <v/>
      </c>
      <c r="O261" s="59" t="n"/>
      <c r="P261" s="59" t="n"/>
      <c r="Q261" s="59" t="n"/>
      <c r="R261" s="59" t="n"/>
      <c r="S261" s="14" t="n"/>
      <c r="U261" s="53" t="n"/>
      <c r="V261" s="53" t="n"/>
      <c r="W261" s="53" t="n"/>
      <c r="X261" s="53" t="n"/>
      <c r="Y261" s="53" t="n"/>
      <c r="Z261" s="53" t="n"/>
      <c r="AA261" s="53" t="n"/>
      <c r="AB261" s="53" t="n"/>
      <c r="AC261" s="53" t="n"/>
      <c r="AD261" s="53" t="n"/>
      <c r="AE261" s="53" t="n"/>
      <c r="AF261" s="53" t="n"/>
      <c r="AG261" s="53" t="n"/>
      <c r="AH261" s="53" t="n"/>
      <c r="AI261" s="53" t="n"/>
      <c r="AJ261" s="53" t="n"/>
      <c r="AK261" s="53" t="n"/>
      <c r="AL261" s="53" t="n"/>
      <c r="AM261" s="53" t="n"/>
      <c r="AN261" s="53" t="n"/>
      <c r="AO261" s="53" t="n"/>
      <c r="AP261" s="53" t="n"/>
      <c r="AQ261" s="53" t="n"/>
      <c r="AR261" s="53" t="n"/>
      <c r="AS261" s="53" t="n"/>
      <c r="AT261" s="53" t="n"/>
      <c r="AU261" s="53" t="n"/>
      <c r="AV261" s="53" t="n"/>
      <c r="AW261" s="53" t="n"/>
      <c r="AX261" s="53" t="n"/>
      <c r="AY261" s="53" t="n"/>
    </row>
    <row r="262" ht="15" customHeight="1">
      <c r="A262" s="40">
        <f>IF($D$262="","",84)</f>
        <v/>
      </c>
      <c r="B262" s="10" t="n"/>
      <c r="C262" s="41" t="inlineStr">
        <is>
          <t>기타</t>
        </is>
      </c>
      <c r="D262" s="42" t="n"/>
      <c r="E262" s="43" t="inlineStr">
        <is>
          <t>기획</t>
        </is>
      </c>
      <c r="F262" s="44" t="n"/>
      <c r="G262" s="45" t="n"/>
      <c r="H262" s="46">
        <f>IF($I$262="","",IF($I$262&lt;0,"🔴지연",IF($I$262&lt;=1,"🟡임박","🟢여유")))</f>
        <v/>
      </c>
      <c r="I262" s="47">
        <f>IF(OR($G$262="",$K$262=""),"",$G$262-$K$262)</f>
        <v/>
      </c>
      <c r="J262" s="48">
        <f>IF(SUM($L$262:$L$264)=0,"",SUM($L$262:$L$264))</f>
        <v/>
      </c>
      <c r="K262" s="49">
        <f>IF($J$262="","",MAX($N$262:$N$264))</f>
        <v/>
      </c>
      <c r="L262" s="50">
        <f>IF(SUM(U262:AY262)=0,"",SUM(U262:AY262))</f>
        <v/>
      </c>
      <c r="M262" s="51">
        <f>IFERROR(INDEX(U$2:AY$2,MATCH(TRUE,INDEX(U262:AY262&lt;&gt;"",0),0)),"")</f>
        <v/>
      </c>
      <c r="N262" s="51">
        <f>IFERROR(LOOKUP(2,1/(U262:AY262&lt;&gt;""),U$2:AY$2),"")</f>
        <v/>
      </c>
      <c r="O262" s="52" t="n"/>
      <c r="P262" s="52" t="n"/>
      <c r="Q262" s="52" t="n"/>
      <c r="R262" s="44" t="n"/>
      <c r="S262" s="14" t="n"/>
      <c r="U262" s="53" t="n"/>
      <c r="V262" s="53" t="n"/>
      <c r="W262" s="53" t="n"/>
      <c r="X262" s="53" t="n"/>
      <c r="Y262" s="53" t="n"/>
      <c r="Z262" s="53" t="n"/>
      <c r="AA262" s="53" t="n"/>
      <c r="AB262" s="53" t="n"/>
      <c r="AC262" s="53" t="n"/>
      <c r="AD262" s="53" t="n"/>
      <c r="AE262" s="53" t="n"/>
      <c r="AF262" s="53" t="n"/>
      <c r="AG262" s="53" t="n"/>
      <c r="AH262" s="53" t="n"/>
      <c r="AI262" s="53" t="n"/>
      <c r="AJ262" s="53" t="n"/>
      <c r="AK262" s="53" t="n"/>
      <c r="AL262" s="53" t="n"/>
      <c r="AM262" s="53" t="n"/>
      <c r="AN262" s="53" t="n"/>
      <c r="AO262" s="53" t="n"/>
      <c r="AP262" s="53" t="n"/>
      <c r="AQ262" s="53" t="n"/>
      <c r="AR262" s="53" t="n"/>
      <c r="AS262" s="53" t="n"/>
      <c r="AT262" s="53" t="n"/>
      <c r="AU262" s="53" t="n"/>
      <c r="AV262" s="53" t="n"/>
      <c r="AW262" s="53" t="n"/>
      <c r="AX262" s="53" t="n"/>
      <c r="AY262" s="53" t="n"/>
    </row>
    <row r="263" ht="15" customHeight="1">
      <c r="A263" s="54" t="n"/>
      <c r="B263" s="55">
        <f>IF($B$262="","",$B$262)</f>
        <v/>
      </c>
      <c r="C263" s="56" t="inlineStr">
        <is>
          <t>기타</t>
        </is>
      </c>
      <c r="D263" s="55">
        <f>IF($D$262="","",$D$262)</f>
        <v/>
      </c>
      <c r="E263" s="57" t="inlineStr">
        <is>
          <t>이미지</t>
        </is>
      </c>
      <c r="F263" s="44" t="n"/>
      <c r="G263" s="58">
        <f>IF($G$262="","",$G$262)</f>
        <v/>
      </c>
      <c r="H263" s="59" t="n"/>
      <c r="I263" s="59" t="n"/>
      <c r="J263" s="59" t="n"/>
      <c r="K263" s="59" t="n"/>
      <c r="L263" s="60">
        <f>IF(SUM(U263:AY263)=0,"",SUM(U263:AY263))</f>
        <v/>
      </c>
      <c r="M263" s="61">
        <f>IFERROR(INDEX(U$2:AY$2,MATCH(TRUE,INDEX(U263:AY263&lt;&gt;"",0),0)),"")</f>
        <v/>
      </c>
      <c r="N263" s="61">
        <f>IFERROR(LOOKUP(2,1/(U263:AY263&lt;&gt;""),U$2:AY$2),"")</f>
        <v/>
      </c>
      <c r="O263" s="59" t="n"/>
      <c r="P263" s="59" t="n"/>
      <c r="Q263" s="59" t="n"/>
      <c r="R263" s="59" t="n"/>
      <c r="S263" s="14" t="n"/>
      <c r="U263" s="53" t="n"/>
      <c r="V263" s="53" t="n"/>
      <c r="W263" s="53" t="n"/>
      <c r="X263" s="53" t="n"/>
      <c r="Y263" s="53" t="n"/>
      <c r="Z263" s="53" t="n"/>
      <c r="AA263" s="53" t="n"/>
      <c r="AB263" s="53" t="n"/>
      <c r="AC263" s="53" t="n"/>
      <c r="AD263" s="53" t="n"/>
      <c r="AE263" s="53" t="n"/>
      <c r="AF263" s="53" t="n"/>
      <c r="AG263" s="53" t="n"/>
      <c r="AH263" s="53" t="n"/>
      <c r="AI263" s="53" t="n"/>
      <c r="AJ263" s="53" t="n"/>
      <c r="AK263" s="53" t="n"/>
      <c r="AL263" s="53" t="n"/>
      <c r="AM263" s="53" t="n"/>
      <c r="AN263" s="53" t="n"/>
      <c r="AO263" s="53" t="n"/>
      <c r="AP263" s="53" t="n"/>
      <c r="AQ263" s="53" t="n"/>
      <c r="AR263" s="53" t="n"/>
      <c r="AS263" s="53" t="n"/>
      <c r="AT263" s="53" t="n"/>
      <c r="AU263" s="53" t="n"/>
      <c r="AV263" s="53" t="n"/>
      <c r="AW263" s="53" t="n"/>
      <c r="AX263" s="53" t="n"/>
      <c r="AY263" s="53" t="n"/>
    </row>
    <row r="264" ht="15" customHeight="1">
      <c r="A264" s="62" t="n"/>
      <c r="B264" s="55">
        <f>IF($B$262="","",$B$262)</f>
        <v/>
      </c>
      <c r="C264" s="63" t="inlineStr">
        <is>
          <t>기타</t>
        </is>
      </c>
      <c r="D264" s="55">
        <f>IF($D$262="","",$D$262)</f>
        <v/>
      </c>
      <c r="E264" s="64" t="inlineStr">
        <is>
          <t>영상</t>
        </is>
      </c>
      <c r="F264" s="44" t="n"/>
      <c r="G264" s="58">
        <f>IF($G$262="","",$G$262)</f>
        <v/>
      </c>
      <c r="H264" s="59" t="n"/>
      <c r="I264" s="59" t="n"/>
      <c r="J264" s="59" t="n"/>
      <c r="K264" s="59" t="n"/>
      <c r="L264" s="65">
        <f>IF(SUM(U264:AY264)=0,"",SUM(U264:AY264))</f>
        <v/>
      </c>
      <c r="M264" s="66">
        <f>IFERROR(INDEX(U$2:AY$2,MATCH(TRUE,INDEX(U264:AY264&lt;&gt;"",0),0)),"")</f>
        <v/>
      </c>
      <c r="N264" s="66">
        <f>IFERROR(LOOKUP(2,1/(U264:AY264&lt;&gt;""),U$2:AY$2),"")</f>
        <v/>
      </c>
      <c r="O264" s="59" t="n"/>
      <c r="P264" s="59" t="n"/>
      <c r="Q264" s="59" t="n"/>
      <c r="R264" s="59" t="n"/>
      <c r="S264" s="14" t="n"/>
      <c r="U264" s="53" t="n"/>
      <c r="V264" s="53" t="n"/>
      <c r="W264" s="53" t="n"/>
      <c r="X264" s="53" t="n"/>
      <c r="Y264" s="53" t="n"/>
      <c r="Z264" s="53" t="n"/>
      <c r="AA264" s="53" t="n"/>
      <c r="AB264" s="53" t="n"/>
      <c r="AC264" s="53" t="n"/>
      <c r="AD264" s="53" t="n"/>
      <c r="AE264" s="53" t="n"/>
      <c r="AF264" s="53" t="n"/>
      <c r="AG264" s="53" t="n"/>
      <c r="AH264" s="53" t="n"/>
      <c r="AI264" s="53" t="n"/>
      <c r="AJ264" s="53" t="n"/>
      <c r="AK264" s="53" t="n"/>
      <c r="AL264" s="53" t="n"/>
      <c r="AM264" s="53" t="n"/>
      <c r="AN264" s="53" t="n"/>
      <c r="AO264" s="53" t="n"/>
      <c r="AP264" s="53" t="n"/>
      <c r="AQ264" s="53" t="n"/>
      <c r="AR264" s="53" t="n"/>
      <c r="AS264" s="53" t="n"/>
      <c r="AT264" s="53" t="n"/>
      <c r="AU264" s="53" t="n"/>
      <c r="AV264" s="53" t="n"/>
      <c r="AW264" s="53" t="n"/>
      <c r="AX264" s="53" t="n"/>
      <c r="AY264" s="53" t="n"/>
    </row>
    <row r="265" ht="15" customHeight="1">
      <c r="A265" s="40">
        <f>IF($D$265="","",85)</f>
        <v/>
      </c>
      <c r="B265" s="10" t="n"/>
      <c r="C265" s="41" t="inlineStr">
        <is>
          <t>기타</t>
        </is>
      </c>
      <c r="D265" s="42" t="n"/>
      <c r="E265" s="43" t="inlineStr">
        <is>
          <t>기획</t>
        </is>
      </c>
      <c r="F265" s="44" t="n"/>
      <c r="G265" s="45" t="n"/>
      <c r="H265" s="46">
        <f>IF($I$265="","",IF($I$265&lt;0,"🔴지연",IF($I$265&lt;=1,"🟡임박","🟢여유")))</f>
        <v/>
      </c>
      <c r="I265" s="47">
        <f>IF(OR($G$265="",$K$265=""),"",$G$265-$K$265)</f>
        <v/>
      </c>
      <c r="J265" s="48">
        <f>IF(SUM($L$265:$L$267)=0,"",SUM($L$265:$L$267))</f>
        <v/>
      </c>
      <c r="K265" s="49">
        <f>IF($J$265="","",MAX($N$265:$N$267))</f>
        <v/>
      </c>
      <c r="L265" s="50">
        <f>IF(SUM(U265:AY265)=0,"",SUM(U265:AY265))</f>
        <v/>
      </c>
      <c r="M265" s="51">
        <f>IFERROR(INDEX(U$2:AY$2,MATCH(TRUE,INDEX(U265:AY265&lt;&gt;"",0),0)),"")</f>
        <v/>
      </c>
      <c r="N265" s="51">
        <f>IFERROR(LOOKUP(2,1/(U265:AY265&lt;&gt;""),U$2:AY$2),"")</f>
        <v/>
      </c>
      <c r="O265" s="52" t="n"/>
      <c r="P265" s="52" t="n"/>
      <c r="Q265" s="52" t="n"/>
      <c r="R265" s="44" t="n"/>
      <c r="S265" s="14" t="n"/>
      <c r="U265" s="53" t="n"/>
      <c r="V265" s="53" t="n"/>
      <c r="W265" s="53" t="n"/>
      <c r="X265" s="53" t="n"/>
      <c r="Y265" s="53" t="n"/>
      <c r="Z265" s="53" t="n"/>
      <c r="AA265" s="53" t="n"/>
      <c r="AB265" s="53" t="n"/>
      <c r="AC265" s="53" t="n"/>
      <c r="AD265" s="53" t="n"/>
      <c r="AE265" s="53" t="n"/>
      <c r="AF265" s="53" t="n"/>
      <c r="AG265" s="53" t="n"/>
      <c r="AH265" s="53" t="n"/>
      <c r="AI265" s="53" t="n"/>
      <c r="AJ265" s="53" t="n"/>
      <c r="AK265" s="53" t="n"/>
      <c r="AL265" s="53" t="n"/>
      <c r="AM265" s="53" t="n"/>
      <c r="AN265" s="53" t="n"/>
      <c r="AO265" s="53" t="n"/>
      <c r="AP265" s="53" t="n"/>
      <c r="AQ265" s="53" t="n"/>
      <c r="AR265" s="53" t="n"/>
      <c r="AS265" s="53" t="n"/>
      <c r="AT265" s="53" t="n"/>
      <c r="AU265" s="53" t="n"/>
      <c r="AV265" s="53" t="n"/>
      <c r="AW265" s="53" t="n"/>
      <c r="AX265" s="53" t="n"/>
      <c r="AY265" s="53" t="n"/>
    </row>
    <row r="266" ht="15" customHeight="1">
      <c r="A266" s="54" t="n"/>
      <c r="B266" s="55">
        <f>IF($B$265="","",$B$265)</f>
        <v/>
      </c>
      <c r="C266" s="56" t="inlineStr">
        <is>
          <t>기타</t>
        </is>
      </c>
      <c r="D266" s="55">
        <f>IF($D$265="","",$D$265)</f>
        <v/>
      </c>
      <c r="E266" s="57" t="inlineStr">
        <is>
          <t>이미지</t>
        </is>
      </c>
      <c r="F266" s="44" t="n"/>
      <c r="G266" s="58">
        <f>IF($G$265="","",$G$265)</f>
        <v/>
      </c>
      <c r="H266" s="59" t="n"/>
      <c r="I266" s="59" t="n"/>
      <c r="J266" s="59" t="n"/>
      <c r="K266" s="59" t="n"/>
      <c r="L266" s="60">
        <f>IF(SUM(U266:AY266)=0,"",SUM(U266:AY266))</f>
        <v/>
      </c>
      <c r="M266" s="61">
        <f>IFERROR(INDEX(U$2:AY$2,MATCH(TRUE,INDEX(U266:AY266&lt;&gt;"",0),0)),"")</f>
        <v/>
      </c>
      <c r="N266" s="61">
        <f>IFERROR(LOOKUP(2,1/(U266:AY266&lt;&gt;""),U$2:AY$2),"")</f>
        <v/>
      </c>
      <c r="O266" s="59" t="n"/>
      <c r="P266" s="59" t="n"/>
      <c r="Q266" s="59" t="n"/>
      <c r="R266" s="59" t="n"/>
      <c r="S266" s="14" t="n"/>
      <c r="U266" s="53" t="n"/>
      <c r="V266" s="53" t="n"/>
      <c r="W266" s="53" t="n"/>
      <c r="X266" s="53" t="n"/>
      <c r="Y266" s="53" t="n"/>
      <c r="Z266" s="53" t="n"/>
      <c r="AA266" s="53" t="n"/>
      <c r="AB266" s="53" t="n"/>
      <c r="AC266" s="53" t="n"/>
      <c r="AD266" s="53" t="n"/>
      <c r="AE266" s="53" t="n"/>
      <c r="AF266" s="53" t="n"/>
      <c r="AG266" s="53" t="n"/>
      <c r="AH266" s="53" t="n"/>
      <c r="AI266" s="53" t="n"/>
      <c r="AJ266" s="53" t="n"/>
      <c r="AK266" s="53" t="n"/>
      <c r="AL266" s="53" t="n"/>
      <c r="AM266" s="53" t="n"/>
      <c r="AN266" s="53" t="n"/>
      <c r="AO266" s="53" t="n"/>
      <c r="AP266" s="53" t="n"/>
      <c r="AQ266" s="53" t="n"/>
      <c r="AR266" s="53" t="n"/>
      <c r="AS266" s="53" t="n"/>
      <c r="AT266" s="53" t="n"/>
      <c r="AU266" s="53" t="n"/>
      <c r="AV266" s="53" t="n"/>
      <c r="AW266" s="53" t="n"/>
      <c r="AX266" s="53" t="n"/>
      <c r="AY266" s="53" t="n"/>
    </row>
    <row r="267" ht="15" customHeight="1">
      <c r="A267" s="62" t="n"/>
      <c r="B267" s="55">
        <f>IF($B$265="","",$B$265)</f>
        <v/>
      </c>
      <c r="C267" s="63" t="inlineStr">
        <is>
          <t>기타</t>
        </is>
      </c>
      <c r="D267" s="55">
        <f>IF($D$265="","",$D$265)</f>
        <v/>
      </c>
      <c r="E267" s="64" t="inlineStr">
        <is>
          <t>영상</t>
        </is>
      </c>
      <c r="F267" s="44" t="n"/>
      <c r="G267" s="58">
        <f>IF($G$265="","",$G$265)</f>
        <v/>
      </c>
      <c r="H267" s="59" t="n"/>
      <c r="I267" s="59" t="n"/>
      <c r="J267" s="59" t="n"/>
      <c r="K267" s="59" t="n"/>
      <c r="L267" s="65">
        <f>IF(SUM(U267:AY267)=0,"",SUM(U267:AY267))</f>
        <v/>
      </c>
      <c r="M267" s="66">
        <f>IFERROR(INDEX(U$2:AY$2,MATCH(TRUE,INDEX(U267:AY267&lt;&gt;"",0),0)),"")</f>
        <v/>
      </c>
      <c r="N267" s="66">
        <f>IFERROR(LOOKUP(2,1/(U267:AY267&lt;&gt;""),U$2:AY$2),"")</f>
        <v/>
      </c>
      <c r="O267" s="59" t="n"/>
      <c r="P267" s="59" t="n"/>
      <c r="Q267" s="59" t="n"/>
      <c r="R267" s="59" t="n"/>
      <c r="S267" s="14" t="n"/>
      <c r="U267" s="53" t="n"/>
      <c r="V267" s="53" t="n"/>
      <c r="W267" s="53" t="n"/>
      <c r="X267" s="53" t="n"/>
      <c r="Y267" s="53" t="n"/>
      <c r="Z267" s="53" t="n"/>
      <c r="AA267" s="53" t="n"/>
      <c r="AB267" s="53" t="n"/>
      <c r="AC267" s="53" t="n"/>
      <c r="AD267" s="53" t="n"/>
      <c r="AE267" s="53" t="n"/>
      <c r="AF267" s="53" t="n"/>
      <c r="AG267" s="53" t="n"/>
      <c r="AH267" s="53" t="n"/>
      <c r="AI267" s="53" t="n"/>
      <c r="AJ267" s="53" t="n"/>
      <c r="AK267" s="53" t="n"/>
      <c r="AL267" s="53" t="n"/>
      <c r="AM267" s="53" t="n"/>
      <c r="AN267" s="53" t="n"/>
      <c r="AO267" s="53" t="n"/>
      <c r="AP267" s="53" t="n"/>
      <c r="AQ267" s="53" t="n"/>
      <c r="AR267" s="53" t="n"/>
      <c r="AS267" s="53" t="n"/>
      <c r="AT267" s="53" t="n"/>
      <c r="AU267" s="53" t="n"/>
      <c r="AV267" s="53" t="n"/>
      <c r="AW267" s="53" t="n"/>
      <c r="AX267" s="53" t="n"/>
      <c r="AY267" s="53" t="n"/>
    </row>
    <row r="268" ht="15" customHeight="1">
      <c r="A268" s="40">
        <f>IF($D$268="","",86)</f>
        <v/>
      </c>
      <c r="B268" s="10" t="n"/>
      <c r="C268" s="41" t="inlineStr">
        <is>
          <t>기타</t>
        </is>
      </c>
      <c r="D268" s="42" t="n"/>
      <c r="E268" s="43" t="inlineStr">
        <is>
          <t>기획</t>
        </is>
      </c>
      <c r="F268" s="44" t="n"/>
      <c r="G268" s="45" t="n"/>
      <c r="H268" s="46">
        <f>IF($I$268="","",IF($I$268&lt;0,"🔴지연",IF($I$268&lt;=1,"🟡임박","🟢여유")))</f>
        <v/>
      </c>
      <c r="I268" s="47">
        <f>IF(OR($G$268="",$K$268=""),"",$G$268-$K$268)</f>
        <v/>
      </c>
      <c r="J268" s="48">
        <f>IF(SUM($L$268:$L$270)=0,"",SUM($L$268:$L$270))</f>
        <v/>
      </c>
      <c r="K268" s="49">
        <f>IF($J$268="","",MAX($N$268:$N$270))</f>
        <v/>
      </c>
      <c r="L268" s="50">
        <f>IF(SUM(U268:AY268)=0,"",SUM(U268:AY268))</f>
        <v/>
      </c>
      <c r="M268" s="51">
        <f>IFERROR(INDEX(U$2:AY$2,MATCH(TRUE,INDEX(U268:AY268&lt;&gt;"",0),0)),"")</f>
        <v/>
      </c>
      <c r="N268" s="51">
        <f>IFERROR(LOOKUP(2,1/(U268:AY268&lt;&gt;""),U$2:AY$2),"")</f>
        <v/>
      </c>
      <c r="O268" s="52" t="n"/>
      <c r="P268" s="52" t="n"/>
      <c r="Q268" s="52" t="n"/>
      <c r="R268" s="44" t="n"/>
      <c r="S268" s="14" t="n"/>
      <c r="U268" s="53" t="n"/>
      <c r="V268" s="53" t="n"/>
      <c r="W268" s="53" t="n"/>
      <c r="X268" s="53" t="n"/>
      <c r="Y268" s="53" t="n"/>
      <c r="Z268" s="53" t="n"/>
      <c r="AA268" s="53" t="n"/>
      <c r="AB268" s="53" t="n"/>
      <c r="AC268" s="53" t="n"/>
      <c r="AD268" s="53" t="n"/>
      <c r="AE268" s="53" t="n"/>
      <c r="AF268" s="53" t="n"/>
      <c r="AG268" s="53" t="n"/>
      <c r="AH268" s="53" t="n"/>
      <c r="AI268" s="53" t="n"/>
      <c r="AJ268" s="53" t="n"/>
      <c r="AK268" s="53" t="n"/>
      <c r="AL268" s="53" t="n"/>
      <c r="AM268" s="53" t="n"/>
      <c r="AN268" s="53" t="n"/>
      <c r="AO268" s="53" t="n"/>
      <c r="AP268" s="53" t="n"/>
      <c r="AQ268" s="53" t="n"/>
      <c r="AR268" s="53" t="n"/>
      <c r="AS268" s="53" t="n"/>
      <c r="AT268" s="53" t="n"/>
      <c r="AU268" s="53" t="n"/>
      <c r="AV268" s="53" t="n"/>
      <c r="AW268" s="53" t="n"/>
      <c r="AX268" s="53" t="n"/>
      <c r="AY268" s="53" t="n"/>
    </row>
    <row r="269" ht="15" customHeight="1">
      <c r="A269" s="54" t="n"/>
      <c r="B269" s="55">
        <f>IF($B$268="","",$B$268)</f>
        <v/>
      </c>
      <c r="C269" s="56" t="inlineStr">
        <is>
          <t>기타</t>
        </is>
      </c>
      <c r="D269" s="55">
        <f>IF($D$268="","",$D$268)</f>
        <v/>
      </c>
      <c r="E269" s="57" t="inlineStr">
        <is>
          <t>이미지</t>
        </is>
      </c>
      <c r="F269" s="44" t="n"/>
      <c r="G269" s="58">
        <f>IF($G$268="","",$G$268)</f>
        <v/>
      </c>
      <c r="H269" s="59" t="n"/>
      <c r="I269" s="59" t="n"/>
      <c r="J269" s="59" t="n"/>
      <c r="K269" s="59" t="n"/>
      <c r="L269" s="60">
        <f>IF(SUM(U269:AY269)=0,"",SUM(U269:AY269))</f>
        <v/>
      </c>
      <c r="M269" s="61">
        <f>IFERROR(INDEX(U$2:AY$2,MATCH(TRUE,INDEX(U269:AY269&lt;&gt;"",0),0)),"")</f>
        <v/>
      </c>
      <c r="N269" s="61">
        <f>IFERROR(LOOKUP(2,1/(U269:AY269&lt;&gt;""),U$2:AY$2),"")</f>
        <v/>
      </c>
      <c r="O269" s="59" t="n"/>
      <c r="P269" s="59" t="n"/>
      <c r="Q269" s="59" t="n"/>
      <c r="R269" s="59" t="n"/>
      <c r="S269" s="14" t="n"/>
      <c r="U269" s="53" t="n"/>
      <c r="V269" s="53" t="n"/>
      <c r="W269" s="53" t="n"/>
      <c r="X269" s="53" t="n"/>
      <c r="Y269" s="53" t="n"/>
      <c r="Z269" s="53" t="n"/>
      <c r="AA269" s="53" t="n"/>
      <c r="AB269" s="53" t="n"/>
      <c r="AC269" s="53" t="n"/>
      <c r="AD269" s="53" t="n"/>
      <c r="AE269" s="53" t="n"/>
      <c r="AF269" s="53" t="n"/>
      <c r="AG269" s="53" t="n"/>
      <c r="AH269" s="53" t="n"/>
      <c r="AI269" s="53" t="n"/>
      <c r="AJ269" s="53" t="n"/>
      <c r="AK269" s="53" t="n"/>
      <c r="AL269" s="53" t="n"/>
      <c r="AM269" s="53" t="n"/>
      <c r="AN269" s="53" t="n"/>
      <c r="AO269" s="53" t="n"/>
      <c r="AP269" s="53" t="n"/>
      <c r="AQ269" s="53" t="n"/>
      <c r="AR269" s="53" t="n"/>
      <c r="AS269" s="53" t="n"/>
      <c r="AT269" s="53" t="n"/>
      <c r="AU269" s="53" t="n"/>
      <c r="AV269" s="53" t="n"/>
      <c r="AW269" s="53" t="n"/>
      <c r="AX269" s="53" t="n"/>
      <c r="AY269" s="53" t="n"/>
    </row>
    <row r="270" ht="15" customHeight="1">
      <c r="A270" s="62" t="n"/>
      <c r="B270" s="55">
        <f>IF($B$268="","",$B$268)</f>
        <v/>
      </c>
      <c r="C270" s="63" t="inlineStr">
        <is>
          <t>기타</t>
        </is>
      </c>
      <c r="D270" s="55">
        <f>IF($D$268="","",$D$268)</f>
        <v/>
      </c>
      <c r="E270" s="64" t="inlineStr">
        <is>
          <t>영상</t>
        </is>
      </c>
      <c r="F270" s="44" t="n"/>
      <c r="G270" s="58">
        <f>IF($G$268="","",$G$268)</f>
        <v/>
      </c>
      <c r="H270" s="59" t="n"/>
      <c r="I270" s="59" t="n"/>
      <c r="J270" s="59" t="n"/>
      <c r="K270" s="59" t="n"/>
      <c r="L270" s="65">
        <f>IF(SUM(U270:AY270)=0,"",SUM(U270:AY270))</f>
        <v/>
      </c>
      <c r="M270" s="66">
        <f>IFERROR(INDEX(U$2:AY$2,MATCH(TRUE,INDEX(U270:AY270&lt;&gt;"",0),0)),"")</f>
        <v/>
      </c>
      <c r="N270" s="66">
        <f>IFERROR(LOOKUP(2,1/(U270:AY270&lt;&gt;""),U$2:AY$2),"")</f>
        <v/>
      </c>
      <c r="O270" s="59" t="n"/>
      <c r="P270" s="59" t="n"/>
      <c r="Q270" s="59" t="n"/>
      <c r="R270" s="59" t="n"/>
      <c r="S270" s="14" t="n"/>
      <c r="U270" s="53" t="n"/>
      <c r="V270" s="53" t="n"/>
      <c r="W270" s="53" t="n"/>
      <c r="X270" s="53" t="n"/>
      <c r="Y270" s="53" t="n"/>
      <c r="Z270" s="53" t="n"/>
      <c r="AA270" s="53" t="n"/>
      <c r="AB270" s="53" t="n"/>
      <c r="AC270" s="53" t="n"/>
      <c r="AD270" s="53" t="n"/>
      <c r="AE270" s="53" t="n"/>
      <c r="AF270" s="53" t="n"/>
      <c r="AG270" s="53" t="n"/>
      <c r="AH270" s="53" t="n"/>
      <c r="AI270" s="53" t="n"/>
      <c r="AJ270" s="53" t="n"/>
      <c r="AK270" s="53" t="n"/>
      <c r="AL270" s="53" t="n"/>
      <c r="AM270" s="53" t="n"/>
      <c r="AN270" s="53" t="n"/>
      <c r="AO270" s="53" t="n"/>
      <c r="AP270" s="53" t="n"/>
      <c r="AQ270" s="53" t="n"/>
      <c r="AR270" s="53" t="n"/>
      <c r="AS270" s="53" t="n"/>
      <c r="AT270" s="53" t="n"/>
      <c r="AU270" s="53" t="n"/>
      <c r="AV270" s="53" t="n"/>
      <c r="AW270" s="53" t="n"/>
      <c r="AX270" s="53" t="n"/>
      <c r="AY270" s="53" t="n"/>
    </row>
    <row r="271" ht="15" customHeight="1">
      <c r="A271" s="40">
        <f>IF($D$271="","",87)</f>
        <v/>
      </c>
      <c r="B271" s="10" t="n"/>
      <c r="C271" s="41" t="inlineStr">
        <is>
          <t>기타</t>
        </is>
      </c>
      <c r="D271" s="42" t="n"/>
      <c r="E271" s="43" t="inlineStr">
        <is>
          <t>기획</t>
        </is>
      </c>
      <c r="F271" s="44" t="n"/>
      <c r="G271" s="45" t="n"/>
      <c r="H271" s="46">
        <f>IF($I$271="","",IF($I$271&lt;0,"🔴지연",IF($I$271&lt;=1,"🟡임박","🟢여유")))</f>
        <v/>
      </c>
      <c r="I271" s="47">
        <f>IF(OR($G$271="",$K$271=""),"",$G$271-$K$271)</f>
        <v/>
      </c>
      <c r="J271" s="48">
        <f>IF(SUM($L$271:$L$273)=0,"",SUM($L$271:$L$273))</f>
        <v/>
      </c>
      <c r="K271" s="49">
        <f>IF($J$271="","",MAX($N$271:$N$273))</f>
        <v/>
      </c>
      <c r="L271" s="50">
        <f>IF(SUM(U271:AY271)=0,"",SUM(U271:AY271))</f>
        <v/>
      </c>
      <c r="M271" s="51">
        <f>IFERROR(INDEX(U$2:AY$2,MATCH(TRUE,INDEX(U271:AY271&lt;&gt;"",0),0)),"")</f>
        <v/>
      </c>
      <c r="N271" s="51">
        <f>IFERROR(LOOKUP(2,1/(U271:AY271&lt;&gt;""),U$2:AY$2),"")</f>
        <v/>
      </c>
      <c r="O271" s="52" t="n"/>
      <c r="P271" s="52" t="n"/>
      <c r="Q271" s="52" t="n"/>
      <c r="R271" s="44" t="n"/>
      <c r="S271" s="14" t="n"/>
      <c r="U271" s="53" t="n"/>
      <c r="V271" s="53" t="n"/>
      <c r="W271" s="53" t="n"/>
      <c r="X271" s="53" t="n"/>
      <c r="Y271" s="53" t="n"/>
      <c r="Z271" s="53" t="n"/>
      <c r="AA271" s="53" t="n"/>
      <c r="AB271" s="53" t="n"/>
      <c r="AC271" s="53" t="n"/>
      <c r="AD271" s="53" t="n"/>
      <c r="AE271" s="53" t="n"/>
      <c r="AF271" s="53" t="n"/>
      <c r="AG271" s="53" t="n"/>
      <c r="AH271" s="53" t="n"/>
      <c r="AI271" s="53" t="n"/>
      <c r="AJ271" s="53" t="n"/>
      <c r="AK271" s="53" t="n"/>
      <c r="AL271" s="53" t="n"/>
      <c r="AM271" s="53" t="n"/>
      <c r="AN271" s="53" t="n"/>
      <c r="AO271" s="53" t="n"/>
      <c r="AP271" s="53" t="n"/>
      <c r="AQ271" s="53" t="n"/>
      <c r="AR271" s="53" t="n"/>
      <c r="AS271" s="53" t="n"/>
      <c r="AT271" s="53" t="n"/>
      <c r="AU271" s="53" t="n"/>
      <c r="AV271" s="53" t="n"/>
      <c r="AW271" s="53" t="n"/>
      <c r="AX271" s="53" t="n"/>
      <c r="AY271" s="53" t="n"/>
    </row>
    <row r="272" ht="15" customHeight="1">
      <c r="A272" s="54" t="n"/>
      <c r="B272" s="55">
        <f>IF($B$271="","",$B$271)</f>
        <v/>
      </c>
      <c r="C272" s="56" t="inlineStr">
        <is>
          <t>기타</t>
        </is>
      </c>
      <c r="D272" s="55">
        <f>IF($D$271="","",$D$271)</f>
        <v/>
      </c>
      <c r="E272" s="57" t="inlineStr">
        <is>
          <t>이미지</t>
        </is>
      </c>
      <c r="F272" s="44" t="n"/>
      <c r="G272" s="58">
        <f>IF($G$271="","",$G$271)</f>
        <v/>
      </c>
      <c r="H272" s="59" t="n"/>
      <c r="I272" s="59" t="n"/>
      <c r="J272" s="59" t="n"/>
      <c r="K272" s="59" t="n"/>
      <c r="L272" s="60">
        <f>IF(SUM(U272:AY272)=0,"",SUM(U272:AY272))</f>
        <v/>
      </c>
      <c r="M272" s="61">
        <f>IFERROR(INDEX(U$2:AY$2,MATCH(TRUE,INDEX(U272:AY272&lt;&gt;"",0),0)),"")</f>
        <v/>
      </c>
      <c r="N272" s="61">
        <f>IFERROR(LOOKUP(2,1/(U272:AY272&lt;&gt;""),U$2:AY$2),"")</f>
        <v/>
      </c>
      <c r="O272" s="59" t="n"/>
      <c r="P272" s="59" t="n"/>
      <c r="Q272" s="59" t="n"/>
      <c r="R272" s="59" t="n"/>
      <c r="S272" s="14" t="n"/>
      <c r="U272" s="53" t="n"/>
      <c r="V272" s="53" t="n"/>
      <c r="W272" s="53" t="n"/>
      <c r="X272" s="53" t="n"/>
      <c r="Y272" s="53" t="n"/>
      <c r="Z272" s="53" t="n"/>
      <c r="AA272" s="53" t="n"/>
      <c r="AB272" s="53" t="n"/>
      <c r="AC272" s="53" t="n"/>
      <c r="AD272" s="53" t="n"/>
      <c r="AE272" s="53" t="n"/>
      <c r="AF272" s="53" t="n"/>
      <c r="AG272" s="53" t="n"/>
      <c r="AH272" s="53" t="n"/>
      <c r="AI272" s="53" t="n"/>
      <c r="AJ272" s="53" t="n"/>
      <c r="AK272" s="53" t="n"/>
      <c r="AL272" s="53" t="n"/>
      <c r="AM272" s="53" t="n"/>
      <c r="AN272" s="53" t="n"/>
      <c r="AO272" s="53" t="n"/>
      <c r="AP272" s="53" t="n"/>
      <c r="AQ272" s="53" t="n"/>
      <c r="AR272" s="53" t="n"/>
      <c r="AS272" s="53" t="n"/>
      <c r="AT272" s="53" t="n"/>
      <c r="AU272" s="53" t="n"/>
      <c r="AV272" s="53" t="n"/>
      <c r="AW272" s="53" t="n"/>
      <c r="AX272" s="53" t="n"/>
      <c r="AY272" s="53" t="n"/>
    </row>
    <row r="273" ht="15" customHeight="1">
      <c r="A273" s="62" t="n"/>
      <c r="B273" s="55">
        <f>IF($B$271="","",$B$271)</f>
        <v/>
      </c>
      <c r="C273" s="63" t="inlineStr">
        <is>
          <t>기타</t>
        </is>
      </c>
      <c r="D273" s="55">
        <f>IF($D$271="","",$D$271)</f>
        <v/>
      </c>
      <c r="E273" s="64" t="inlineStr">
        <is>
          <t>영상</t>
        </is>
      </c>
      <c r="F273" s="44" t="n"/>
      <c r="G273" s="58">
        <f>IF($G$271="","",$G$271)</f>
        <v/>
      </c>
      <c r="H273" s="59" t="n"/>
      <c r="I273" s="59" t="n"/>
      <c r="J273" s="59" t="n"/>
      <c r="K273" s="59" t="n"/>
      <c r="L273" s="65">
        <f>IF(SUM(U273:AY273)=0,"",SUM(U273:AY273))</f>
        <v/>
      </c>
      <c r="M273" s="66">
        <f>IFERROR(INDEX(U$2:AY$2,MATCH(TRUE,INDEX(U273:AY273&lt;&gt;"",0),0)),"")</f>
        <v/>
      </c>
      <c r="N273" s="66">
        <f>IFERROR(LOOKUP(2,1/(U273:AY273&lt;&gt;""),U$2:AY$2),"")</f>
        <v/>
      </c>
      <c r="O273" s="59" t="n"/>
      <c r="P273" s="59" t="n"/>
      <c r="Q273" s="59" t="n"/>
      <c r="R273" s="59" t="n"/>
      <c r="S273" s="14" t="n"/>
      <c r="U273" s="53" t="n"/>
      <c r="V273" s="53" t="n"/>
      <c r="W273" s="53" t="n"/>
      <c r="X273" s="53" t="n"/>
      <c r="Y273" s="53" t="n"/>
      <c r="Z273" s="53" t="n"/>
      <c r="AA273" s="53" t="n"/>
      <c r="AB273" s="53" t="n"/>
      <c r="AC273" s="53" t="n"/>
      <c r="AD273" s="53" t="n"/>
      <c r="AE273" s="53" t="n"/>
      <c r="AF273" s="53" t="n"/>
      <c r="AG273" s="53" t="n"/>
      <c r="AH273" s="53" t="n"/>
      <c r="AI273" s="53" t="n"/>
      <c r="AJ273" s="53" t="n"/>
      <c r="AK273" s="53" t="n"/>
      <c r="AL273" s="53" t="n"/>
      <c r="AM273" s="53" t="n"/>
      <c r="AN273" s="53" t="n"/>
      <c r="AO273" s="53" t="n"/>
      <c r="AP273" s="53" t="n"/>
      <c r="AQ273" s="53" t="n"/>
      <c r="AR273" s="53" t="n"/>
      <c r="AS273" s="53" t="n"/>
      <c r="AT273" s="53" t="n"/>
      <c r="AU273" s="53" t="n"/>
      <c r="AV273" s="53" t="n"/>
      <c r="AW273" s="53" t="n"/>
      <c r="AX273" s="53" t="n"/>
      <c r="AY273" s="53" t="n"/>
    </row>
    <row r="274" ht="15" customHeight="1">
      <c r="A274" s="40">
        <f>IF($D$274="","",88)</f>
        <v/>
      </c>
      <c r="B274" s="10" t="n"/>
      <c r="C274" s="41" t="inlineStr">
        <is>
          <t>기타</t>
        </is>
      </c>
      <c r="D274" s="42" t="n"/>
      <c r="E274" s="43" t="inlineStr">
        <is>
          <t>기획</t>
        </is>
      </c>
      <c r="F274" s="44" t="n"/>
      <c r="G274" s="45" t="n"/>
      <c r="H274" s="46">
        <f>IF($I$274="","",IF($I$274&lt;0,"🔴지연",IF($I$274&lt;=1,"🟡임박","🟢여유")))</f>
        <v/>
      </c>
      <c r="I274" s="47">
        <f>IF(OR($G$274="",$K$274=""),"",$G$274-$K$274)</f>
        <v/>
      </c>
      <c r="J274" s="48">
        <f>IF(SUM($L$274:$L$276)=0,"",SUM($L$274:$L$276))</f>
        <v/>
      </c>
      <c r="K274" s="49">
        <f>IF($J$274="","",MAX($N$274:$N$276))</f>
        <v/>
      </c>
      <c r="L274" s="50">
        <f>IF(SUM(U274:AY274)=0,"",SUM(U274:AY274))</f>
        <v/>
      </c>
      <c r="M274" s="51">
        <f>IFERROR(INDEX(U$2:AY$2,MATCH(TRUE,INDEX(U274:AY274&lt;&gt;"",0),0)),"")</f>
        <v/>
      </c>
      <c r="N274" s="51">
        <f>IFERROR(LOOKUP(2,1/(U274:AY274&lt;&gt;""),U$2:AY$2),"")</f>
        <v/>
      </c>
      <c r="O274" s="52" t="n"/>
      <c r="P274" s="52" t="n"/>
      <c r="Q274" s="52" t="n"/>
      <c r="R274" s="44" t="n"/>
      <c r="S274" s="14" t="n"/>
      <c r="U274" s="53" t="n"/>
      <c r="V274" s="53" t="n"/>
      <c r="W274" s="53" t="n"/>
      <c r="X274" s="53" t="n"/>
      <c r="Y274" s="53" t="n"/>
      <c r="Z274" s="53" t="n"/>
      <c r="AA274" s="53" t="n"/>
      <c r="AB274" s="53" t="n"/>
      <c r="AC274" s="53" t="n"/>
      <c r="AD274" s="53" t="n"/>
      <c r="AE274" s="53" t="n"/>
      <c r="AF274" s="53" t="n"/>
      <c r="AG274" s="53" t="n"/>
      <c r="AH274" s="53" t="n"/>
      <c r="AI274" s="53" t="n"/>
      <c r="AJ274" s="53" t="n"/>
      <c r="AK274" s="53" t="n"/>
      <c r="AL274" s="53" t="n"/>
      <c r="AM274" s="53" t="n"/>
      <c r="AN274" s="53" t="n"/>
      <c r="AO274" s="53" t="n"/>
      <c r="AP274" s="53" t="n"/>
      <c r="AQ274" s="53" t="n"/>
      <c r="AR274" s="53" t="n"/>
      <c r="AS274" s="53" t="n"/>
      <c r="AT274" s="53" t="n"/>
      <c r="AU274" s="53" t="n"/>
      <c r="AV274" s="53" t="n"/>
      <c r="AW274" s="53" t="n"/>
      <c r="AX274" s="53" t="n"/>
      <c r="AY274" s="53" t="n"/>
    </row>
    <row r="275" ht="15" customHeight="1">
      <c r="A275" s="54" t="n"/>
      <c r="B275" s="55">
        <f>IF($B$274="","",$B$274)</f>
        <v/>
      </c>
      <c r="C275" s="56" t="inlineStr">
        <is>
          <t>기타</t>
        </is>
      </c>
      <c r="D275" s="55">
        <f>IF($D$274="","",$D$274)</f>
        <v/>
      </c>
      <c r="E275" s="57" t="inlineStr">
        <is>
          <t>이미지</t>
        </is>
      </c>
      <c r="F275" s="44" t="n"/>
      <c r="G275" s="58">
        <f>IF($G$274="","",$G$274)</f>
        <v/>
      </c>
      <c r="H275" s="59" t="n"/>
      <c r="I275" s="59" t="n"/>
      <c r="J275" s="59" t="n"/>
      <c r="K275" s="59" t="n"/>
      <c r="L275" s="60">
        <f>IF(SUM(U275:AY275)=0,"",SUM(U275:AY275))</f>
        <v/>
      </c>
      <c r="M275" s="61">
        <f>IFERROR(INDEX(U$2:AY$2,MATCH(TRUE,INDEX(U275:AY275&lt;&gt;"",0),0)),"")</f>
        <v/>
      </c>
      <c r="N275" s="61">
        <f>IFERROR(LOOKUP(2,1/(U275:AY275&lt;&gt;""),U$2:AY$2),"")</f>
        <v/>
      </c>
      <c r="O275" s="59" t="n"/>
      <c r="P275" s="59" t="n"/>
      <c r="Q275" s="59" t="n"/>
      <c r="R275" s="59" t="n"/>
      <c r="S275" s="14" t="n"/>
      <c r="U275" s="53" t="n"/>
      <c r="V275" s="53" t="n"/>
      <c r="W275" s="53" t="n"/>
      <c r="X275" s="53" t="n"/>
      <c r="Y275" s="53" t="n"/>
      <c r="Z275" s="53" t="n"/>
      <c r="AA275" s="53" t="n"/>
      <c r="AB275" s="53" t="n"/>
      <c r="AC275" s="53" t="n"/>
      <c r="AD275" s="53" t="n"/>
      <c r="AE275" s="53" t="n"/>
      <c r="AF275" s="53" t="n"/>
      <c r="AG275" s="53" t="n"/>
      <c r="AH275" s="53" t="n"/>
      <c r="AI275" s="53" t="n"/>
      <c r="AJ275" s="53" t="n"/>
      <c r="AK275" s="53" t="n"/>
      <c r="AL275" s="53" t="n"/>
      <c r="AM275" s="53" t="n"/>
      <c r="AN275" s="53" t="n"/>
      <c r="AO275" s="53" t="n"/>
      <c r="AP275" s="53" t="n"/>
      <c r="AQ275" s="53" t="n"/>
      <c r="AR275" s="53" t="n"/>
      <c r="AS275" s="53" t="n"/>
      <c r="AT275" s="53" t="n"/>
      <c r="AU275" s="53" t="n"/>
      <c r="AV275" s="53" t="n"/>
      <c r="AW275" s="53" t="n"/>
      <c r="AX275" s="53" t="n"/>
      <c r="AY275" s="53" t="n"/>
    </row>
    <row r="276" ht="15" customHeight="1">
      <c r="A276" s="62" t="n"/>
      <c r="B276" s="55">
        <f>IF($B$274="","",$B$274)</f>
        <v/>
      </c>
      <c r="C276" s="63" t="inlineStr">
        <is>
          <t>기타</t>
        </is>
      </c>
      <c r="D276" s="55">
        <f>IF($D$274="","",$D$274)</f>
        <v/>
      </c>
      <c r="E276" s="64" t="inlineStr">
        <is>
          <t>영상</t>
        </is>
      </c>
      <c r="F276" s="44" t="n"/>
      <c r="G276" s="58">
        <f>IF($G$274="","",$G$274)</f>
        <v/>
      </c>
      <c r="H276" s="59" t="n"/>
      <c r="I276" s="59" t="n"/>
      <c r="J276" s="59" t="n"/>
      <c r="K276" s="59" t="n"/>
      <c r="L276" s="65">
        <f>IF(SUM(U276:AY276)=0,"",SUM(U276:AY276))</f>
        <v/>
      </c>
      <c r="M276" s="66">
        <f>IFERROR(INDEX(U$2:AY$2,MATCH(TRUE,INDEX(U276:AY276&lt;&gt;"",0),0)),"")</f>
        <v/>
      </c>
      <c r="N276" s="66">
        <f>IFERROR(LOOKUP(2,1/(U276:AY276&lt;&gt;""),U$2:AY$2),"")</f>
        <v/>
      </c>
      <c r="O276" s="59" t="n"/>
      <c r="P276" s="59" t="n"/>
      <c r="Q276" s="59" t="n"/>
      <c r="R276" s="59" t="n"/>
      <c r="S276" s="14" t="n"/>
      <c r="U276" s="53" t="n"/>
      <c r="V276" s="53" t="n"/>
      <c r="W276" s="53" t="n"/>
      <c r="X276" s="53" t="n"/>
      <c r="Y276" s="53" t="n"/>
      <c r="Z276" s="53" t="n"/>
      <c r="AA276" s="53" t="n"/>
      <c r="AB276" s="53" t="n"/>
      <c r="AC276" s="53" t="n"/>
      <c r="AD276" s="53" t="n"/>
      <c r="AE276" s="53" t="n"/>
      <c r="AF276" s="53" t="n"/>
      <c r="AG276" s="53" t="n"/>
      <c r="AH276" s="53" t="n"/>
      <c r="AI276" s="53" t="n"/>
      <c r="AJ276" s="53" t="n"/>
      <c r="AK276" s="53" t="n"/>
      <c r="AL276" s="53" t="n"/>
      <c r="AM276" s="53" t="n"/>
      <c r="AN276" s="53" t="n"/>
      <c r="AO276" s="53" t="n"/>
      <c r="AP276" s="53" t="n"/>
      <c r="AQ276" s="53" t="n"/>
      <c r="AR276" s="53" t="n"/>
      <c r="AS276" s="53" t="n"/>
      <c r="AT276" s="53" t="n"/>
      <c r="AU276" s="53" t="n"/>
      <c r="AV276" s="53" t="n"/>
      <c r="AW276" s="53" t="n"/>
      <c r="AX276" s="53" t="n"/>
      <c r="AY276" s="53" t="n"/>
    </row>
    <row r="277" ht="15" customHeight="1">
      <c r="A277" s="40">
        <f>IF($D$277="","",89)</f>
        <v/>
      </c>
      <c r="B277" s="10" t="n"/>
      <c r="C277" s="41" t="inlineStr">
        <is>
          <t>기타</t>
        </is>
      </c>
      <c r="D277" s="42" t="n"/>
      <c r="E277" s="43" t="inlineStr">
        <is>
          <t>기획</t>
        </is>
      </c>
      <c r="F277" s="44" t="n"/>
      <c r="G277" s="45" t="n"/>
      <c r="H277" s="46">
        <f>IF($I$277="","",IF($I$277&lt;0,"🔴지연",IF($I$277&lt;=1,"🟡임박","🟢여유")))</f>
        <v/>
      </c>
      <c r="I277" s="47">
        <f>IF(OR($G$277="",$K$277=""),"",$G$277-$K$277)</f>
        <v/>
      </c>
      <c r="J277" s="48">
        <f>IF(SUM($L$277:$L$279)=0,"",SUM($L$277:$L$279))</f>
        <v/>
      </c>
      <c r="K277" s="49">
        <f>IF($J$277="","",MAX($N$277:$N$279))</f>
        <v/>
      </c>
      <c r="L277" s="50">
        <f>IF(SUM(U277:AY277)=0,"",SUM(U277:AY277))</f>
        <v/>
      </c>
      <c r="M277" s="51">
        <f>IFERROR(INDEX(U$2:AY$2,MATCH(TRUE,INDEX(U277:AY277&lt;&gt;"",0),0)),"")</f>
        <v/>
      </c>
      <c r="N277" s="51">
        <f>IFERROR(LOOKUP(2,1/(U277:AY277&lt;&gt;""),U$2:AY$2),"")</f>
        <v/>
      </c>
      <c r="O277" s="52" t="n"/>
      <c r="P277" s="52" t="n"/>
      <c r="Q277" s="52" t="n"/>
      <c r="R277" s="44" t="n"/>
      <c r="S277" s="14" t="n"/>
      <c r="U277" s="53" t="n"/>
      <c r="V277" s="53" t="n"/>
      <c r="W277" s="53" t="n"/>
      <c r="X277" s="53" t="n"/>
      <c r="Y277" s="53" t="n"/>
      <c r="Z277" s="53" t="n"/>
      <c r="AA277" s="53" t="n"/>
      <c r="AB277" s="53" t="n"/>
      <c r="AC277" s="53" t="n"/>
      <c r="AD277" s="53" t="n"/>
      <c r="AE277" s="53" t="n"/>
      <c r="AF277" s="53" t="n"/>
      <c r="AG277" s="53" t="n"/>
      <c r="AH277" s="53" t="n"/>
      <c r="AI277" s="53" t="n"/>
      <c r="AJ277" s="53" t="n"/>
      <c r="AK277" s="53" t="n"/>
      <c r="AL277" s="53" t="n"/>
      <c r="AM277" s="53" t="n"/>
      <c r="AN277" s="53" t="n"/>
      <c r="AO277" s="53" t="n"/>
      <c r="AP277" s="53" t="n"/>
      <c r="AQ277" s="53" t="n"/>
      <c r="AR277" s="53" t="n"/>
      <c r="AS277" s="53" t="n"/>
      <c r="AT277" s="53" t="n"/>
      <c r="AU277" s="53" t="n"/>
      <c r="AV277" s="53" t="n"/>
      <c r="AW277" s="53" t="n"/>
      <c r="AX277" s="53" t="n"/>
      <c r="AY277" s="53" t="n"/>
    </row>
    <row r="278" ht="15" customHeight="1">
      <c r="A278" s="54" t="n"/>
      <c r="B278" s="55">
        <f>IF($B$277="","",$B$277)</f>
        <v/>
      </c>
      <c r="C278" s="56" t="inlineStr">
        <is>
          <t>기타</t>
        </is>
      </c>
      <c r="D278" s="55">
        <f>IF($D$277="","",$D$277)</f>
        <v/>
      </c>
      <c r="E278" s="57" t="inlineStr">
        <is>
          <t>이미지</t>
        </is>
      </c>
      <c r="F278" s="44" t="n"/>
      <c r="G278" s="58">
        <f>IF($G$277="","",$G$277)</f>
        <v/>
      </c>
      <c r="H278" s="59" t="n"/>
      <c r="I278" s="59" t="n"/>
      <c r="J278" s="59" t="n"/>
      <c r="K278" s="59" t="n"/>
      <c r="L278" s="60">
        <f>IF(SUM(U278:AY278)=0,"",SUM(U278:AY278))</f>
        <v/>
      </c>
      <c r="M278" s="61">
        <f>IFERROR(INDEX(U$2:AY$2,MATCH(TRUE,INDEX(U278:AY278&lt;&gt;"",0),0)),"")</f>
        <v/>
      </c>
      <c r="N278" s="61">
        <f>IFERROR(LOOKUP(2,1/(U278:AY278&lt;&gt;""),U$2:AY$2),"")</f>
        <v/>
      </c>
      <c r="O278" s="59" t="n"/>
      <c r="P278" s="59" t="n"/>
      <c r="Q278" s="59" t="n"/>
      <c r="R278" s="59" t="n"/>
      <c r="S278" s="14" t="n"/>
      <c r="U278" s="53" t="n"/>
      <c r="V278" s="53" t="n"/>
      <c r="W278" s="53" t="n"/>
      <c r="X278" s="53" t="n"/>
      <c r="Y278" s="53" t="n"/>
      <c r="Z278" s="53" t="n"/>
      <c r="AA278" s="53" t="n"/>
      <c r="AB278" s="53" t="n"/>
      <c r="AC278" s="53" t="n"/>
      <c r="AD278" s="53" t="n"/>
      <c r="AE278" s="53" t="n"/>
      <c r="AF278" s="53" t="n"/>
      <c r="AG278" s="53" t="n"/>
      <c r="AH278" s="53" t="n"/>
      <c r="AI278" s="53" t="n"/>
      <c r="AJ278" s="53" t="n"/>
      <c r="AK278" s="53" t="n"/>
      <c r="AL278" s="53" t="n"/>
      <c r="AM278" s="53" t="n"/>
      <c r="AN278" s="53" t="n"/>
      <c r="AO278" s="53" t="n"/>
      <c r="AP278" s="53" t="n"/>
      <c r="AQ278" s="53" t="n"/>
      <c r="AR278" s="53" t="n"/>
      <c r="AS278" s="53" t="n"/>
      <c r="AT278" s="53" t="n"/>
      <c r="AU278" s="53" t="n"/>
      <c r="AV278" s="53" t="n"/>
      <c r="AW278" s="53" t="n"/>
      <c r="AX278" s="53" t="n"/>
      <c r="AY278" s="53" t="n"/>
    </row>
    <row r="279" ht="15" customHeight="1">
      <c r="A279" s="62" t="n"/>
      <c r="B279" s="55">
        <f>IF($B$277="","",$B$277)</f>
        <v/>
      </c>
      <c r="C279" s="63" t="inlineStr">
        <is>
          <t>기타</t>
        </is>
      </c>
      <c r="D279" s="55">
        <f>IF($D$277="","",$D$277)</f>
        <v/>
      </c>
      <c r="E279" s="64" t="inlineStr">
        <is>
          <t>영상</t>
        </is>
      </c>
      <c r="F279" s="44" t="n"/>
      <c r="G279" s="58">
        <f>IF($G$277="","",$G$277)</f>
        <v/>
      </c>
      <c r="H279" s="59" t="n"/>
      <c r="I279" s="59" t="n"/>
      <c r="J279" s="59" t="n"/>
      <c r="K279" s="59" t="n"/>
      <c r="L279" s="65">
        <f>IF(SUM(U279:AY279)=0,"",SUM(U279:AY279))</f>
        <v/>
      </c>
      <c r="M279" s="66">
        <f>IFERROR(INDEX(U$2:AY$2,MATCH(TRUE,INDEX(U279:AY279&lt;&gt;"",0),0)),"")</f>
        <v/>
      </c>
      <c r="N279" s="66">
        <f>IFERROR(LOOKUP(2,1/(U279:AY279&lt;&gt;""),U$2:AY$2),"")</f>
        <v/>
      </c>
      <c r="O279" s="59" t="n"/>
      <c r="P279" s="59" t="n"/>
      <c r="Q279" s="59" t="n"/>
      <c r="R279" s="59" t="n"/>
      <c r="S279" s="14" t="n"/>
      <c r="U279" s="53" t="n"/>
      <c r="V279" s="53" t="n"/>
      <c r="W279" s="53" t="n"/>
      <c r="X279" s="53" t="n"/>
      <c r="Y279" s="53" t="n"/>
      <c r="Z279" s="53" t="n"/>
      <c r="AA279" s="53" t="n"/>
      <c r="AB279" s="53" t="n"/>
      <c r="AC279" s="53" t="n"/>
      <c r="AD279" s="53" t="n"/>
      <c r="AE279" s="53" t="n"/>
      <c r="AF279" s="53" t="n"/>
      <c r="AG279" s="53" t="n"/>
      <c r="AH279" s="53" t="n"/>
      <c r="AI279" s="53" t="n"/>
      <c r="AJ279" s="53" t="n"/>
      <c r="AK279" s="53" t="n"/>
      <c r="AL279" s="53" t="n"/>
      <c r="AM279" s="53" t="n"/>
      <c r="AN279" s="53" t="n"/>
      <c r="AO279" s="53" t="n"/>
      <c r="AP279" s="53" t="n"/>
      <c r="AQ279" s="53" t="n"/>
      <c r="AR279" s="53" t="n"/>
      <c r="AS279" s="53" t="n"/>
      <c r="AT279" s="53" t="n"/>
      <c r="AU279" s="53" t="n"/>
      <c r="AV279" s="53" t="n"/>
      <c r="AW279" s="53" t="n"/>
      <c r="AX279" s="53" t="n"/>
      <c r="AY279" s="53" t="n"/>
    </row>
    <row r="280" ht="15" customHeight="1">
      <c r="A280" s="40">
        <f>IF($D$280="","",90)</f>
        <v/>
      </c>
      <c r="B280" s="10" t="n"/>
      <c r="C280" s="41" t="inlineStr">
        <is>
          <t>기타</t>
        </is>
      </c>
      <c r="D280" s="42" t="n"/>
      <c r="E280" s="43" t="inlineStr">
        <is>
          <t>기획</t>
        </is>
      </c>
      <c r="F280" s="44" t="n"/>
      <c r="G280" s="45" t="n"/>
      <c r="H280" s="46">
        <f>IF($I$280="","",IF($I$280&lt;0,"🔴지연",IF($I$280&lt;=1,"🟡임박","🟢여유")))</f>
        <v/>
      </c>
      <c r="I280" s="47">
        <f>IF(OR($G$280="",$K$280=""),"",$G$280-$K$280)</f>
        <v/>
      </c>
      <c r="J280" s="48">
        <f>IF(SUM($L$280:$L$282)=0,"",SUM($L$280:$L$282))</f>
        <v/>
      </c>
      <c r="K280" s="49">
        <f>IF($J$280="","",MAX($N$280:$N$282))</f>
        <v/>
      </c>
      <c r="L280" s="50">
        <f>IF(SUM(U280:AY280)=0,"",SUM(U280:AY280))</f>
        <v/>
      </c>
      <c r="M280" s="51">
        <f>IFERROR(INDEX(U$2:AY$2,MATCH(TRUE,INDEX(U280:AY280&lt;&gt;"",0),0)),"")</f>
        <v/>
      </c>
      <c r="N280" s="51">
        <f>IFERROR(LOOKUP(2,1/(U280:AY280&lt;&gt;""),U$2:AY$2),"")</f>
        <v/>
      </c>
      <c r="O280" s="52" t="n"/>
      <c r="P280" s="52" t="n"/>
      <c r="Q280" s="52" t="n"/>
      <c r="R280" s="44" t="n"/>
      <c r="S280" s="14" t="n"/>
      <c r="U280" s="53" t="n"/>
      <c r="V280" s="53" t="n"/>
      <c r="W280" s="53" t="n"/>
      <c r="X280" s="53" t="n"/>
      <c r="Y280" s="53" t="n"/>
      <c r="Z280" s="53" t="n"/>
      <c r="AA280" s="53" t="n"/>
      <c r="AB280" s="53" t="n"/>
      <c r="AC280" s="53" t="n"/>
      <c r="AD280" s="53" t="n"/>
      <c r="AE280" s="53" t="n"/>
      <c r="AF280" s="53" t="n"/>
      <c r="AG280" s="53" t="n"/>
      <c r="AH280" s="53" t="n"/>
      <c r="AI280" s="53" t="n"/>
      <c r="AJ280" s="53" t="n"/>
      <c r="AK280" s="53" t="n"/>
      <c r="AL280" s="53" t="n"/>
      <c r="AM280" s="53" t="n"/>
      <c r="AN280" s="53" t="n"/>
      <c r="AO280" s="53" t="n"/>
      <c r="AP280" s="53" t="n"/>
      <c r="AQ280" s="53" t="n"/>
      <c r="AR280" s="53" t="n"/>
      <c r="AS280" s="53" t="n"/>
      <c r="AT280" s="53" t="n"/>
      <c r="AU280" s="53" t="n"/>
      <c r="AV280" s="53" t="n"/>
      <c r="AW280" s="53" t="n"/>
      <c r="AX280" s="53" t="n"/>
      <c r="AY280" s="53" t="n"/>
    </row>
    <row r="281" ht="15" customHeight="1">
      <c r="A281" s="54" t="n"/>
      <c r="B281" s="55">
        <f>IF($B$280="","",$B$280)</f>
        <v/>
      </c>
      <c r="C281" s="56" t="inlineStr">
        <is>
          <t>기타</t>
        </is>
      </c>
      <c r="D281" s="55">
        <f>IF($D$280="","",$D$280)</f>
        <v/>
      </c>
      <c r="E281" s="57" t="inlineStr">
        <is>
          <t>이미지</t>
        </is>
      </c>
      <c r="F281" s="44" t="n"/>
      <c r="G281" s="58">
        <f>IF($G$280="","",$G$280)</f>
        <v/>
      </c>
      <c r="H281" s="59" t="n"/>
      <c r="I281" s="59" t="n"/>
      <c r="J281" s="59" t="n"/>
      <c r="K281" s="59" t="n"/>
      <c r="L281" s="60">
        <f>IF(SUM(U281:AY281)=0,"",SUM(U281:AY281))</f>
        <v/>
      </c>
      <c r="M281" s="61">
        <f>IFERROR(INDEX(U$2:AY$2,MATCH(TRUE,INDEX(U281:AY281&lt;&gt;"",0),0)),"")</f>
        <v/>
      </c>
      <c r="N281" s="61">
        <f>IFERROR(LOOKUP(2,1/(U281:AY281&lt;&gt;""),U$2:AY$2),"")</f>
        <v/>
      </c>
      <c r="O281" s="59" t="n"/>
      <c r="P281" s="59" t="n"/>
      <c r="Q281" s="59" t="n"/>
      <c r="R281" s="59" t="n"/>
      <c r="S281" s="14" t="n"/>
      <c r="U281" s="53" t="n"/>
      <c r="V281" s="53" t="n"/>
      <c r="W281" s="53" t="n"/>
      <c r="X281" s="53" t="n"/>
      <c r="Y281" s="53" t="n"/>
      <c r="Z281" s="53" t="n"/>
      <c r="AA281" s="53" t="n"/>
      <c r="AB281" s="53" t="n"/>
      <c r="AC281" s="53" t="n"/>
      <c r="AD281" s="53" t="n"/>
      <c r="AE281" s="53" t="n"/>
      <c r="AF281" s="53" t="n"/>
      <c r="AG281" s="53" t="n"/>
      <c r="AH281" s="53" t="n"/>
      <c r="AI281" s="53" t="n"/>
      <c r="AJ281" s="53" t="n"/>
      <c r="AK281" s="53" t="n"/>
      <c r="AL281" s="53" t="n"/>
      <c r="AM281" s="53" t="n"/>
      <c r="AN281" s="53" t="n"/>
      <c r="AO281" s="53" t="n"/>
      <c r="AP281" s="53" t="n"/>
      <c r="AQ281" s="53" t="n"/>
      <c r="AR281" s="53" t="n"/>
      <c r="AS281" s="53" t="n"/>
      <c r="AT281" s="53" t="n"/>
      <c r="AU281" s="53" t="n"/>
      <c r="AV281" s="53" t="n"/>
      <c r="AW281" s="53" t="n"/>
      <c r="AX281" s="53" t="n"/>
      <c r="AY281" s="53" t="n"/>
    </row>
    <row r="282" ht="15" customHeight="1">
      <c r="A282" s="62" t="n"/>
      <c r="B282" s="55">
        <f>IF($B$280="","",$B$280)</f>
        <v/>
      </c>
      <c r="C282" s="63" t="inlineStr">
        <is>
          <t>기타</t>
        </is>
      </c>
      <c r="D282" s="55">
        <f>IF($D$280="","",$D$280)</f>
        <v/>
      </c>
      <c r="E282" s="64" t="inlineStr">
        <is>
          <t>영상</t>
        </is>
      </c>
      <c r="F282" s="44" t="n"/>
      <c r="G282" s="58">
        <f>IF($G$280="","",$G$280)</f>
        <v/>
      </c>
      <c r="H282" s="59" t="n"/>
      <c r="I282" s="59" t="n"/>
      <c r="J282" s="59" t="n"/>
      <c r="K282" s="59" t="n"/>
      <c r="L282" s="65">
        <f>IF(SUM(U282:AY282)=0,"",SUM(U282:AY282))</f>
        <v/>
      </c>
      <c r="M282" s="66">
        <f>IFERROR(INDEX(U$2:AY$2,MATCH(TRUE,INDEX(U282:AY282&lt;&gt;"",0),0)),"")</f>
        <v/>
      </c>
      <c r="N282" s="66">
        <f>IFERROR(LOOKUP(2,1/(U282:AY282&lt;&gt;""),U$2:AY$2),"")</f>
        <v/>
      </c>
      <c r="O282" s="59" t="n"/>
      <c r="P282" s="59" t="n"/>
      <c r="Q282" s="59" t="n"/>
      <c r="R282" s="59" t="n"/>
      <c r="S282" s="14" t="n"/>
      <c r="U282" s="53" t="n"/>
      <c r="V282" s="53" t="n"/>
      <c r="W282" s="53" t="n"/>
      <c r="X282" s="53" t="n"/>
      <c r="Y282" s="53" t="n"/>
      <c r="Z282" s="53" t="n"/>
      <c r="AA282" s="53" t="n"/>
      <c r="AB282" s="53" t="n"/>
      <c r="AC282" s="53" t="n"/>
      <c r="AD282" s="53" t="n"/>
      <c r="AE282" s="53" t="n"/>
      <c r="AF282" s="53" t="n"/>
      <c r="AG282" s="53" t="n"/>
      <c r="AH282" s="53" t="n"/>
      <c r="AI282" s="53" t="n"/>
      <c r="AJ282" s="53" t="n"/>
      <c r="AK282" s="53" t="n"/>
      <c r="AL282" s="53" t="n"/>
      <c r="AM282" s="53" t="n"/>
      <c r="AN282" s="53" t="n"/>
      <c r="AO282" s="53" t="n"/>
      <c r="AP282" s="53" t="n"/>
      <c r="AQ282" s="53" t="n"/>
      <c r="AR282" s="53" t="n"/>
      <c r="AS282" s="53" t="n"/>
      <c r="AT282" s="53" t="n"/>
      <c r="AU282" s="53" t="n"/>
      <c r="AV282" s="53" t="n"/>
      <c r="AW282" s="53" t="n"/>
      <c r="AX282" s="53" t="n"/>
      <c r="AY282" s="53" t="n"/>
    </row>
    <row r="283" ht="15" customHeight="1">
      <c r="A283" s="40">
        <f>IF($D$283="","",91)</f>
        <v/>
      </c>
      <c r="B283" s="10" t="n"/>
      <c r="C283" s="41" t="inlineStr">
        <is>
          <t>기타</t>
        </is>
      </c>
      <c r="D283" s="42" t="n"/>
      <c r="E283" s="43" t="inlineStr">
        <is>
          <t>기획</t>
        </is>
      </c>
      <c r="F283" s="44" t="n"/>
      <c r="G283" s="45" t="n"/>
      <c r="H283" s="46">
        <f>IF($I$283="","",IF($I$283&lt;0,"🔴지연",IF($I$283&lt;=1,"🟡임박","🟢여유")))</f>
        <v/>
      </c>
      <c r="I283" s="47">
        <f>IF(OR($G$283="",$K$283=""),"",$G$283-$K$283)</f>
        <v/>
      </c>
      <c r="J283" s="48">
        <f>IF(SUM($L$283:$L$285)=0,"",SUM($L$283:$L$285))</f>
        <v/>
      </c>
      <c r="K283" s="49">
        <f>IF($J$283="","",MAX($N$283:$N$285))</f>
        <v/>
      </c>
      <c r="L283" s="50">
        <f>IF(SUM(U283:AY283)=0,"",SUM(U283:AY283))</f>
        <v/>
      </c>
      <c r="M283" s="51">
        <f>IFERROR(INDEX(U$2:AY$2,MATCH(TRUE,INDEX(U283:AY283&lt;&gt;"",0),0)),"")</f>
        <v/>
      </c>
      <c r="N283" s="51">
        <f>IFERROR(LOOKUP(2,1/(U283:AY283&lt;&gt;""),U$2:AY$2),"")</f>
        <v/>
      </c>
      <c r="O283" s="52" t="n"/>
      <c r="P283" s="52" t="n"/>
      <c r="Q283" s="52" t="n"/>
      <c r="R283" s="44" t="n"/>
      <c r="S283" s="14" t="n"/>
      <c r="U283" s="53" t="n"/>
      <c r="V283" s="53" t="n"/>
      <c r="W283" s="53" t="n"/>
      <c r="X283" s="53" t="n"/>
      <c r="Y283" s="53" t="n"/>
      <c r="Z283" s="53" t="n"/>
      <c r="AA283" s="53" t="n"/>
      <c r="AB283" s="53" t="n"/>
      <c r="AC283" s="53" t="n"/>
      <c r="AD283" s="53" t="n"/>
      <c r="AE283" s="53" t="n"/>
      <c r="AF283" s="53" t="n"/>
      <c r="AG283" s="53" t="n"/>
      <c r="AH283" s="53" t="n"/>
      <c r="AI283" s="53" t="n"/>
      <c r="AJ283" s="53" t="n"/>
      <c r="AK283" s="53" t="n"/>
      <c r="AL283" s="53" t="n"/>
      <c r="AM283" s="53" t="n"/>
      <c r="AN283" s="53" t="n"/>
      <c r="AO283" s="53" t="n"/>
      <c r="AP283" s="53" t="n"/>
      <c r="AQ283" s="53" t="n"/>
      <c r="AR283" s="53" t="n"/>
      <c r="AS283" s="53" t="n"/>
      <c r="AT283" s="53" t="n"/>
      <c r="AU283" s="53" t="n"/>
      <c r="AV283" s="53" t="n"/>
      <c r="AW283" s="53" t="n"/>
      <c r="AX283" s="53" t="n"/>
      <c r="AY283" s="53" t="n"/>
    </row>
    <row r="284" ht="15" customHeight="1">
      <c r="A284" s="54" t="n"/>
      <c r="B284" s="55">
        <f>IF($B$283="","",$B$283)</f>
        <v/>
      </c>
      <c r="C284" s="56" t="inlineStr">
        <is>
          <t>기타</t>
        </is>
      </c>
      <c r="D284" s="55">
        <f>IF($D$283="","",$D$283)</f>
        <v/>
      </c>
      <c r="E284" s="57" t="inlineStr">
        <is>
          <t>이미지</t>
        </is>
      </c>
      <c r="F284" s="44" t="n"/>
      <c r="G284" s="58">
        <f>IF($G$283="","",$G$283)</f>
        <v/>
      </c>
      <c r="H284" s="59" t="n"/>
      <c r="I284" s="59" t="n"/>
      <c r="J284" s="59" t="n"/>
      <c r="K284" s="59" t="n"/>
      <c r="L284" s="60">
        <f>IF(SUM(U284:AY284)=0,"",SUM(U284:AY284))</f>
        <v/>
      </c>
      <c r="M284" s="61">
        <f>IFERROR(INDEX(U$2:AY$2,MATCH(TRUE,INDEX(U284:AY284&lt;&gt;"",0),0)),"")</f>
        <v/>
      </c>
      <c r="N284" s="61">
        <f>IFERROR(LOOKUP(2,1/(U284:AY284&lt;&gt;""),U$2:AY$2),"")</f>
        <v/>
      </c>
      <c r="O284" s="59" t="n"/>
      <c r="P284" s="59" t="n"/>
      <c r="Q284" s="59" t="n"/>
      <c r="R284" s="59" t="n"/>
      <c r="S284" s="14" t="n"/>
      <c r="U284" s="53" t="n"/>
      <c r="V284" s="53" t="n"/>
      <c r="W284" s="53" t="n"/>
      <c r="X284" s="53" t="n"/>
      <c r="Y284" s="53" t="n"/>
      <c r="Z284" s="53" t="n"/>
      <c r="AA284" s="53" t="n"/>
      <c r="AB284" s="53" t="n"/>
      <c r="AC284" s="53" t="n"/>
      <c r="AD284" s="53" t="n"/>
      <c r="AE284" s="53" t="n"/>
      <c r="AF284" s="53" t="n"/>
      <c r="AG284" s="53" t="n"/>
      <c r="AH284" s="53" t="n"/>
      <c r="AI284" s="53" t="n"/>
      <c r="AJ284" s="53" t="n"/>
      <c r="AK284" s="53" t="n"/>
      <c r="AL284" s="53" t="n"/>
      <c r="AM284" s="53" t="n"/>
      <c r="AN284" s="53" t="n"/>
      <c r="AO284" s="53" t="n"/>
      <c r="AP284" s="53" t="n"/>
      <c r="AQ284" s="53" t="n"/>
      <c r="AR284" s="53" t="n"/>
      <c r="AS284" s="53" t="n"/>
      <c r="AT284" s="53" t="n"/>
      <c r="AU284" s="53" t="n"/>
      <c r="AV284" s="53" t="n"/>
      <c r="AW284" s="53" t="n"/>
      <c r="AX284" s="53" t="n"/>
      <c r="AY284" s="53" t="n"/>
    </row>
    <row r="285" ht="15" customHeight="1">
      <c r="A285" s="62" t="n"/>
      <c r="B285" s="55">
        <f>IF($B$283="","",$B$283)</f>
        <v/>
      </c>
      <c r="C285" s="63" t="inlineStr">
        <is>
          <t>기타</t>
        </is>
      </c>
      <c r="D285" s="55">
        <f>IF($D$283="","",$D$283)</f>
        <v/>
      </c>
      <c r="E285" s="64" t="inlineStr">
        <is>
          <t>영상</t>
        </is>
      </c>
      <c r="F285" s="44" t="n"/>
      <c r="G285" s="58">
        <f>IF($G$283="","",$G$283)</f>
        <v/>
      </c>
      <c r="H285" s="59" t="n"/>
      <c r="I285" s="59" t="n"/>
      <c r="J285" s="59" t="n"/>
      <c r="K285" s="59" t="n"/>
      <c r="L285" s="65">
        <f>IF(SUM(U285:AY285)=0,"",SUM(U285:AY285))</f>
        <v/>
      </c>
      <c r="M285" s="66">
        <f>IFERROR(INDEX(U$2:AY$2,MATCH(TRUE,INDEX(U285:AY285&lt;&gt;"",0),0)),"")</f>
        <v/>
      </c>
      <c r="N285" s="66">
        <f>IFERROR(LOOKUP(2,1/(U285:AY285&lt;&gt;""),U$2:AY$2),"")</f>
        <v/>
      </c>
      <c r="O285" s="59" t="n"/>
      <c r="P285" s="59" t="n"/>
      <c r="Q285" s="59" t="n"/>
      <c r="R285" s="59" t="n"/>
      <c r="S285" s="14" t="n"/>
      <c r="U285" s="53" t="n"/>
      <c r="V285" s="53" t="n"/>
      <c r="W285" s="53" t="n"/>
      <c r="X285" s="53" t="n"/>
      <c r="Y285" s="53" t="n"/>
      <c r="Z285" s="53" t="n"/>
      <c r="AA285" s="53" t="n"/>
      <c r="AB285" s="53" t="n"/>
      <c r="AC285" s="53" t="n"/>
      <c r="AD285" s="53" t="n"/>
      <c r="AE285" s="53" t="n"/>
      <c r="AF285" s="53" t="n"/>
      <c r="AG285" s="53" t="n"/>
      <c r="AH285" s="53" t="n"/>
      <c r="AI285" s="53" t="n"/>
      <c r="AJ285" s="53" t="n"/>
      <c r="AK285" s="53" t="n"/>
      <c r="AL285" s="53" t="n"/>
      <c r="AM285" s="53" t="n"/>
      <c r="AN285" s="53" t="n"/>
      <c r="AO285" s="53" t="n"/>
      <c r="AP285" s="53" t="n"/>
      <c r="AQ285" s="53" t="n"/>
      <c r="AR285" s="53" t="n"/>
      <c r="AS285" s="53" t="n"/>
      <c r="AT285" s="53" t="n"/>
      <c r="AU285" s="53" t="n"/>
      <c r="AV285" s="53" t="n"/>
      <c r="AW285" s="53" t="n"/>
      <c r="AX285" s="53" t="n"/>
      <c r="AY285" s="53" t="n"/>
    </row>
    <row r="286" ht="15" customHeight="1">
      <c r="A286" s="40">
        <f>IF($D$286="","",92)</f>
        <v/>
      </c>
      <c r="B286" s="10" t="n"/>
      <c r="C286" s="41" t="inlineStr">
        <is>
          <t>기타</t>
        </is>
      </c>
      <c r="D286" s="42" t="n"/>
      <c r="E286" s="43" t="inlineStr">
        <is>
          <t>기획</t>
        </is>
      </c>
      <c r="F286" s="44" t="n"/>
      <c r="G286" s="45" t="n"/>
      <c r="H286" s="46">
        <f>IF($I$286="","",IF($I$286&lt;0,"🔴지연",IF($I$286&lt;=1,"🟡임박","🟢여유")))</f>
        <v/>
      </c>
      <c r="I286" s="47">
        <f>IF(OR($G$286="",$K$286=""),"",$G$286-$K$286)</f>
        <v/>
      </c>
      <c r="J286" s="48">
        <f>IF(SUM($L$286:$L$288)=0,"",SUM($L$286:$L$288))</f>
        <v/>
      </c>
      <c r="K286" s="49">
        <f>IF($J$286="","",MAX($N$286:$N$288))</f>
        <v/>
      </c>
      <c r="L286" s="50">
        <f>IF(SUM(U286:AY286)=0,"",SUM(U286:AY286))</f>
        <v/>
      </c>
      <c r="M286" s="51">
        <f>IFERROR(INDEX(U$2:AY$2,MATCH(TRUE,INDEX(U286:AY286&lt;&gt;"",0),0)),"")</f>
        <v/>
      </c>
      <c r="N286" s="51">
        <f>IFERROR(LOOKUP(2,1/(U286:AY286&lt;&gt;""),U$2:AY$2),"")</f>
        <v/>
      </c>
      <c r="O286" s="52" t="n"/>
      <c r="P286" s="52" t="n"/>
      <c r="Q286" s="52" t="n"/>
      <c r="R286" s="44" t="n"/>
      <c r="S286" s="14" t="n"/>
      <c r="U286" s="53" t="n"/>
      <c r="V286" s="53" t="n"/>
      <c r="W286" s="53" t="n"/>
      <c r="X286" s="53" t="n"/>
      <c r="Y286" s="53" t="n"/>
      <c r="Z286" s="53" t="n"/>
      <c r="AA286" s="53" t="n"/>
      <c r="AB286" s="53" t="n"/>
      <c r="AC286" s="53" t="n"/>
      <c r="AD286" s="53" t="n"/>
      <c r="AE286" s="53" t="n"/>
      <c r="AF286" s="53" t="n"/>
      <c r="AG286" s="53" t="n"/>
      <c r="AH286" s="53" t="n"/>
      <c r="AI286" s="53" t="n"/>
      <c r="AJ286" s="53" t="n"/>
      <c r="AK286" s="53" t="n"/>
      <c r="AL286" s="53" t="n"/>
      <c r="AM286" s="53" t="n"/>
      <c r="AN286" s="53" t="n"/>
      <c r="AO286" s="53" t="n"/>
      <c r="AP286" s="53" t="n"/>
      <c r="AQ286" s="53" t="n"/>
      <c r="AR286" s="53" t="n"/>
      <c r="AS286" s="53" t="n"/>
      <c r="AT286" s="53" t="n"/>
      <c r="AU286" s="53" t="n"/>
      <c r="AV286" s="53" t="n"/>
      <c r="AW286" s="53" t="n"/>
      <c r="AX286" s="53" t="n"/>
      <c r="AY286" s="53" t="n"/>
    </row>
    <row r="287" ht="15" customHeight="1">
      <c r="A287" s="54" t="n"/>
      <c r="B287" s="55">
        <f>IF($B$286="","",$B$286)</f>
        <v/>
      </c>
      <c r="C287" s="56" t="inlineStr">
        <is>
          <t>기타</t>
        </is>
      </c>
      <c r="D287" s="55">
        <f>IF($D$286="","",$D$286)</f>
        <v/>
      </c>
      <c r="E287" s="57" t="inlineStr">
        <is>
          <t>이미지</t>
        </is>
      </c>
      <c r="F287" s="44" t="n"/>
      <c r="G287" s="58">
        <f>IF($G$286="","",$G$286)</f>
        <v/>
      </c>
      <c r="H287" s="59" t="n"/>
      <c r="I287" s="59" t="n"/>
      <c r="J287" s="59" t="n"/>
      <c r="K287" s="59" t="n"/>
      <c r="L287" s="60">
        <f>IF(SUM(U287:AY287)=0,"",SUM(U287:AY287))</f>
        <v/>
      </c>
      <c r="M287" s="61">
        <f>IFERROR(INDEX(U$2:AY$2,MATCH(TRUE,INDEX(U287:AY287&lt;&gt;"",0),0)),"")</f>
        <v/>
      </c>
      <c r="N287" s="61">
        <f>IFERROR(LOOKUP(2,1/(U287:AY287&lt;&gt;""),U$2:AY$2),"")</f>
        <v/>
      </c>
      <c r="O287" s="59" t="n"/>
      <c r="P287" s="59" t="n"/>
      <c r="Q287" s="59" t="n"/>
      <c r="R287" s="59" t="n"/>
      <c r="S287" s="14" t="n"/>
      <c r="U287" s="53" t="n"/>
      <c r="V287" s="53" t="n"/>
      <c r="W287" s="53" t="n"/>
      <c r="X287" s="53" t="n"/>
      <c r="Y287" s="53" t="n"/>
      <c r="Z287" s="53" t="n"/>
      <c r="AA287" s="53" t="n"/>
      <c r="AB287" s="53" t="n"/>
      <c r="AC287" s="53" t="n"/>
      <c r="AD287" s="53" t="n"/>
      <c r="AE287" s="53" t="n"/>
      <c r="AF287" s="53" t="n"/>
      <c r="AG287" s="53" t="n"/>
      <c r="AH287" s="53" t="n"/>
      <c r="AI287" s="53" t="n"/>
      <c r="AJ287" s="53" t="n"/>
      <c r="AK287" s="53" t="n"/>
      <c r="AL287" s="53" t="n"/>
      <c r="AM287" s="53" t="n"/>
      <c r="AN287" s="53" t="n"/>
      <c r="AO287" s="53" t="n"/>
      <c r="AP287" s="53" t="n"/>
      <c r="AQ287" s="53" t="n"/>
      <c r="AR287" s="53" t="n"/>
      <c r="AS287" s="53" t="n"/>
      <c r="AT287" s="53" t="n"/>
      <c r="AU287" s="53" t="n"/>
      <c r="AV287" s="53" t="n"/>
      <c r="AW287" s="53" t="n"/>
      <c r="AX287" s="53" t="n"/>
      <c r="AY287" s="53" t="n"/>
    </row>
    <row r="288" ht="15" customHeight="1">
      <c r="A288" s="62" t="n"/>
      <c r="B288" s="55">
        <f>IF($B$286="","",$B$286)</f>
        <v/>
      </c>
      <c r="C288" s="63" t="inlineStr">
        <is>
          <t>기타</t>
        </is>
      </c>
      <c r="D288" s="55">
        <f>IF($D$286="","",$D$286)</f>
        <v/>
      </c>
      <c r="E288" s="64" t="inlineStr">
        <is>
          <t>영상</t>
        </is>
      </c>
      <c r="F288" s="44" t="n"/>
      <c r="G288" s="58">
        <f>IF($G$286="","",$G$286)</f>
        <v/>
      </c>
      <c r="H288" s="59" t="n"/>
      <c r="I288" s="59" t="n"/>
      <c r="J288" s="59" t="n"/>
      <c r="K288" s="59" t="n"/>
      <c r="L288" s="65">
        <f>IF(SUM(U288:AY288)=0,"",SUM(U288:AY288))</f>
        <v/>
      </c>
      <c r="M288" s="66">
        <f>IFERROR(INDEX(U$2:AY$2,MATCH(TRUE,INDEX(U288:AY288&lt;&gt;"",0),0)),"")</f>
        <v/>
      </c>
      <c r="N288" s="66">
        <f>IFERROR(LOOKUP(2,1/(U288:AY288&lt;&gt;""),U$2:AY$2),"")</f>
        <v/>
      </c>
      <c r="O288" s="59" t="n"/>
      <c r="P288" s="59" t="n"/>
      <c r="Q288" s="59" t="n"/>
      <c r="R288" s="59" t="n"/>
      <c r="S288" s="14" t="n"/>
      <c r="U288" s="53" t="n"/>
      <c r="V288" s="53" t="n"/>
      <c r="W288" s="53" t="n"/>
      <c r="X288" s="53" t="n"/>
      <c r="Y288" s="53" t="n"/>
      <c r="Z288" s="53" t="n"/>
      <c r="AA288" s="53" t="n"/>
      <c r="AB288" s="53" t="n"/>
      <c r="AC288" s="53" t="n"/>
      <c r="AD288" s="53" t="n"/>
      <c r="AE288" s="53" t="n"/>
      <c r="AF288" s="53" t="n"/>
      <c r="AG288" s="53" t="n"/>
      <c r="AH288" s="53" t="n"/>
      <c r="AI288" s="53" t="n"/>
      <c r="AJ288" s="53" t="n"/>
      <c r="AK288" s="53" t="n"/>
      <c r="AL288" s="53" t="n"/>
      <c r="AM288" s="53" t="n"/>
      <c r="AN288" s="53" t="n"/>
      <c r="AO288" s="53" t="n"/>
      <c r="AP288" s="53" t="n"/>
      <c r="AQ288" s="53" t="n"/>
      <c r="AR288" s="53" t="n"/>
      <c r="AS288" s="53" t="n"/>
      <c r="AT288" s="53" t="n"/>
      <c r="AU288" s="53" t="n"/>
      <c r="AV288" s="53" t="n"/>
      <c r="AW288" s="53" t="n"/>
      <c r="AX288" s="53" t="n"/>
      <c r="AY288" s="53" t="n"/>
    </row>
    <row r="289" ht="15" customHeight="1">
      <c r="A289" s="40">
        <f>IF($D$289="","",93)</f>
        <v/>
      </c>
      <c r="B289" s="10" t="n"/>
      <c r="C289" s="41" t="inlineStr">
        <is>
          <t>기타</t>
        </is>
      </c>
      <c r="D289" s="42" t="n"/>
      <c r="E289" s="43" t="inlineStr">
        <is>
          <t>기획</t>
        </is>
      </c>
      <c r="F289" s="44" t="n"/>
      <c r="G289" s="45" t="n"/>
      <c r="H289" s="46">
        <f>IF($I$289="","",IF($I$289&lt;0,"🔴지연",IF($I$289&lt;=1,"🟡임박","🟢여유")))</f>
        <v/>
      </c>
      <c r="I289" s="47">
        <f>IF(OR($G$289="",$K$289=""),"",$G$289-$K$289)</f>
        <v/>
      </c>
      <c r="J289" s="48">
        <f>IF(SUM($L$289:$L$291)=0,"",SUM($L$289:$L$291))</f>
        <v/>
      </c>
      <c r="K289" s="49">
        <f>IF($J$289="","",MAX($N$289:$N$291))</f>
        <v/>
      </c>
      <c r="L289" s="50">
        <f>IF(SUM(U289:AY289)=0,"",SUM(U289:AY289))</f>
        <v/>
      </c>
      <c r="M289" s="51">
        <f>IFERROR(INDEX(U$2:AY$2,MATCH(TRUE,INDEX(U289:AY289&lt;&gt;"",0),0)),"")</f>
        <v/>
      </c>
      <c r="N289" s="51">
        <f>IFERROR(LOOKUP(2,1/(U289:AY289&lt;&gt;""),U$2:AY$2),"")</f>
        <v/>
      </c>
      <c r="O289" s="52" t="n"/>
      <c r="P289" s="52" t="n"/>
      <c r="Q289" s="52" t="n"/>
      <c r="R289" s="44" t="n"/>
      <c r="S289" s="14" t="n"/>
      <c r="U289" s="53" t="n"/>
      <c r="V289" s="53" t="n"/>
      <c r="W289" s="53" t="n"/>
      <c r="X289" s="53" t="n"/>
      <c r="Y289" s="53" t="n"/>
      <c r="Z289" s="53" t="n"/>
      <c r="AA289" s="53" t="n"/>
      <c r="AB289" s="53" t="n"/>
      <c r="AC289" s="53" t="n"/>
      <c r="AD289" s="53" t="n"/>
      <c r="AE289" s="53" t="n"/>
      <c r="AF289" s="53" t="n"/>
      <c r="AG289" s="53" t="n"/>
      <c r="AH289" s="53" t="n"/>
      <c r="AI289" s="53" t="n"/>
      <c r="AJ289" s="53" t="n"/>
      <c r="AK289" s="53" t="n"/>
      <c r="AL289" s="53" t="n"/>
      <c r="AM289" s="53" t="n"/>
      <c r="AN289" s="53" t="n"/>
      <c r="AO289" s="53" t="n"/>
      <c r="AP289" s="53" t="n"/>
      <c r="AQ289" s="53" t="n"/>
      <c r="AR289" s="53" t="n"/>
      <c r="AS289" s="53" t="n"/>
      <c r="AT289" s="53" t="n"/>
      <c r="AU289" s="53" t="n"/>
      <c r="AV289" s="53" t="n"/>
      <c r="AW289" s="53" t="n"/>
      <c r="AX289" s="53" t="n"/>
      <c r="AY289" s="53" t="n"/>
    </row>
    <row r="290" ht="15" customHeight="1">
      <c r="A290" s="54" t="n"/>
      <c r="B290" s="55">
        <f>IF($B$289="","",$B$289)</f>
        <v/>
      </c>
      <c r="C290" s="56" t="inlineStr">
        <is>
          <t>기타</t>
        </is>
      </c>
      <c r="D290" s="55">
        <f>IF($D$289="","",$D$289)</f>
        <v/>
      </c>
      <c r="E290" s="57" t="inlineStr">
        <is>
          <t>이미지</t>
        </is>
      </c>
      <c r="F290" s="44" t="n"/>
      <c r="G290" s="58">
        <f>IF($G$289="","",$G$289)</f>
        <v/>
      </c>
      <c r="H290" s="59" t="n"/>
      <c r="I290" s="59" t="n"/>
      <c r="J290" s="59" t="n"/>
      <c r="K290" s="59" t="n"/>
      <c r="L290" s="60">
        <f>IF(SUM(U290:AY290)=0,"",SUM(U290:AY290))</f>
        <v/>
      </c>
      <c r="M290" s="61">
        <f>IFERROR(INDEX(U$2:AY$2,MATCH(TRUE,INDEX(U290:AY290&lt;&gt;"",0),0)),"")</f>
        <v/>
      </c>
      <c r="N290" s="61">
        <f>IFERROR(LOOKUP(2,1/(U290:AY290&lt;&gt;""),U$2:AY$2),"")</f>
        <v/>
      </c>
      <c r="O290" s="59" t="n"/>
      <c r="P290" s="59" t="n"/>
      <c r="Q290" s="59" t="n"/>
      <c r="R290" s="59" t="n"/>
      <c r="S290" s="14" t="n"/>
      <c r="U290" s="53" t="n"/>
      <c r="V290" s="53" t="n"/>
      <c r="W290" s="53" t="n"/>
      <c r="X290" s="53" t="n"/>
      <c r="Y290" s="53" t="n"/>
      <c r="Z290" s="53" t="n"/>
      <c r="AA290" s="53" t="n"/>
      <c r="AB290" s="53" t="n"/>
      <c r="AC290" s="53" t="n"/>
      <c r="AD290" s="53" t="n"/>
      <c r="AE290" s="53" t="n"/>
      <c r="AF290" s="53" t="n"/>
      <c r="AG290" s="53" t="n"/>
      <c r="AH290" s="53" t="n"/>
      <c r="AI290" s="53" t="n"/>
      <c r="AJ290" s="53" t="n"/>
      <c r="AK290" s="53" t="n"/>
      <c r="AL290" s="53" t="n"/>
      <c r="AM290" s="53" t="n"/>
      <c r="AN290" s="53" t="n"/>
      <c r="AO290" s="53" t="n"/>
      <c r="AP290" s="53" t="n"/>
      <c r="AQ290" s="53" t="n"/>
      <c r="AR290" s="53" t="n"/>
      <c r="AS290" s="53" t="n"/>
      <c r="AT290" s="53" t="n"/>
      <c r="AU290" s="53" t="n"/>
      <c r="AV290" s="53" t="n"/>
      <c r="AW290" s="53" t="n"/>
      <c r="AX290" s="53" t="n"/>
      <c r="AY290" s="53" t="n"/>
    </row>
    <row r="291" ht="15" customHeight="1">
      <c r="A291" s="62" t="n"/>
      <c r="B291" s="55">
        <f>IF($B$289="","",$B$289)</f>
        <v/>
      </c>
      <c r="C291" s="63" t="inlineStr">
        <is>
          <t>기타</t>
        </is>
      </c>
      <c r="D291" s="55">
        <f>IF($D$289="","",$D$289)</f>
        <v/>
      </c>
      <c r="E291" s="64" t="inlineStr">
        <is>
          <t>영상</t>
        </is>
      </c>
      <c r="F291" s="44" t="n"/>
      <c r="G291" s="58">
        <f>IF($G$289="","",$G$289)</f>
        <v/>
      </c>
      <c r="H291" s="59" t="n"/>
      <c r="I291" s="59" t="n"/>
      <c r="J291" s="59" t="n"/>
      <c r="K291" s="59" t="n"/>
      <c r="L291" s="65">
        <f>IF(SUM(U291:AY291)=0,"",SUM(U291:AY291))</f>
        <v/>
      </c>
      <c r="M291" s="66">
        <f>IFERROR(INDEX(U$2:AY$2,MATCH(TRUE,INDEX(U291:AY291&lt;&gt;"",0),0)),"")</f>
        <v/>
      </c>
      <c r="N291" s="66">
        <f>IFERROR(LOOKUP(2,1/(U291:AY291&lt;&gt;""),U$2:AY$2),"")</f>
        <v/>
      </c>
      <c r="O291" s="59" t="n"/>
      <c r="P291" s="59" t="n"/>
      <c r="Q291" s="59" t="n"/>
      <c r="R291" s="59" t="n"/>
      <c r="S291" s="14" t="n"/>
      <c r="U291" s="53" t="n"/>
      <c r="V291" s="53" t="n"/>
      <c r="W291" s="53" t="n"/>
      <c r="X291" s="53" t="n"/>
      <c r="Y291" s="53" t="n"/>
      <c r="Z291" s="53" t="n"/>
      <c r="AA291" s="53" t="n"/>
      <c r="AB291" s="53" t="n"/>
      <c r="AC291" s="53" t="n"/>
      <c r="AD291" s="53" t="n"/>
      <c r="AE291" s="53" t="n"/>
      <c r="AF291" s="53" t="n"/>
      <c r="AG291" s="53" t="n"/>
      <c r="AH291" s="53" t="n"/>
      <c r="AI291" s="53" t="n"/>
      <c r="AJ291" s="53" t="n"/>
      <c r="AK291" s="53" t="n"/>
      <c r="AL291" s="53" t="n"/>
      <c r="AM291" s="53" t="n"/>
      <c r="AN291" s="53" t="n"/>
      <c r="AO291" s="53" t="n"/>
      <c r="AP291" s="53" t="n"/>
      <c r="AQ291" s="53" t="n"/>
      <c r="AR291" s="53" t="n"/>
      <c r="AS291" s="53" t="n"/>
      <c r="AT291" s="53" t="n"/>
      <c r="AU291" s="53" t="n"/>
      <c r="AV291" s="53" t="n"/>
      <c r="AW291" s="53" t="n"/>
      <c r="AX291" s="53" t="n"/>
      <c r="AY291" s="53" t="n"/>
    </row>
    <row r="292" ht="15" customHeight="1">
      <c r="A292" s="40">
        <f>IF($D$292="","",94)</f>
        <v/>
      </c>
      <c r="B292" s="10" t="n"/>
      <c r="C292" s="41" t="inlineStr">
        <is>
          <t>기타</t>
        </is>
      </c>
      <c r="D292" s="42" t="n"/>
      <c r="E292" s="43" t="inlineStr">
        <is>
          <t>기획</t>
        </is>
      </c>
      <c r="F292" s="44" t="n"/>
      <c r="G292" s="45" t="n"/>
      <c r="H292" s="46">
        <f>IF($I$292="","",IF($I$292&lt;0,"🔴지연",IF($I$292&lt;=1,"🟡임박","🟢여유")))</f>
        <v/>
      </c>
      <c r="I292" s="47">
        <f>IF(OR($G$292="",$K$292=""),"",$G$292-$K$292)</f>
        <v/>
      </c>
      <c r="J292" s="48">
        <f>IF(SUM($L$292:$L$294)=0,"",SUM($L$292:$L$294))</f>
        <v/>
      </c>
      <c r="K292" s="49">
        <f>IF($J$292="","",MAX($N$292:$N$294))</f>
        <v/>
      </c>
      <c r="L292" s="50">
        <f>IF(SUM(U292:AY292)=0,"",SUM(U292:AY292))</f>
        <v/>
      </c>
      <c r="M292" s="51">
        <f>IFERROR(INDEX(U$2:AY$2,MATCH(TRUE,INDEX(U292:AY292&lt;&gt;"",0),0)),"")</f>
        <v/>
      </c>
      <c r="N292" s="51">
        <f>IFERROR(LOOKUP(2,1/(U292:AY292&lt;&gt;""),U$2:AY$2),"")</f>
        <v/>
      </c>
      <c r="O292" s="52" t="n"/>
      <c r="P292" s="52" t="n"/>
      <c r="Q292" s="52" t="n"/>
      <c r="R292" s="44" t="n"/>
      <c r="S292" s="14" t="n"/>
      <c r="U292" s="53" t="n"/>
      <c r="V292" s="53" t="n"/>
      <c r="W292" s="53" t="n"/>
      <c r="X292" s="53" t="n"/>
      <c r="Y292" s="53" t="n"/>
      <c r="Z292" s="53" t="n"/>
      <c r="AA292" s="53" t="n"/>
      <c r="AB292" s="53" t="n"/>
      <c r="AC292" s="53" t="n"/>
      <c r="AD292" s="53" t="n"/>
      <c r="AE292" s="53" t="n"/>
      <c r="AF292" s="53" t="n"/>
      <c r="AG292" s="53" t="n"/>
      <c r="AH292" s="53" t="n"/>
      <c r="AI292" s="53" t="n"/>
      <c r="AJ292" s="53" t="n"/>
      <c r="AK292" s="53" t="n"/>
      <c r="AL292" s="53" t="n"/>
      <c r="AM292" s="53" t="n"/>
      <c r="AN292" s="53" t="n"/>
      <c r="AO292" s="53" t="n"/>
      <c r="AP292" s="53" t="n"/>
      <c r="AQ292" s="53" t="n"/>
      <c r="AR292" s="53" t="n"/>
      <c r="AS292" s="53" t="n"/>
      <c r="AT292" s="53" t="n"/>
      <c r="AU292" s="53" t="n"/>
      <c r="AV292" s="53" t="n"/>
      <c r="AW292" s="53" t="n"/>
      <c r="AX292" s="53" t="n"/>
      <c r="AY292" s="53" t="n"/>
    </row>
    <row r="293" ht="15" customHeight="1">
      <c r="A293" s="54" t="n"/>
      <c r="B293" s="55">
        <f>IF($B$292="","",$B$292)</f>
        <v/>
      </c>
      <c r="C293" s="56" t="inlineStr">
        <is>
          <t>기타</t>
        </is>
      </c>
      <c r="D293" s="55">
        <f>IF($D$292="","",$D$292)</f>
        <v/>
      </c>
      <c r="E293" s="57" t="inlineStr">
        <is>
          <t>이미지</t>
        </is>
      </c>
      <c r="F293" s="44" t="n"/>
      <c r="G293" s="58">
        <f>IF($G$292="","",$G$292)</f>
        <v/>
      </c>
      <c r="H293" s="59" t="n"/>
      <c r="I293" s="59" t="n"/>
      <c r="J293" s="59" t="n"/>
      <c r="K293" s="59" t="n"/>
      <c r="L293" s="60">
        <f>IF(SUM(U293:AY293)=0,"",SUM(U293:AY293))</f>
        <v/>
      </c>
      <c r="M293" s="61">
        <f>IFERROR(INDEX(U$2:AY$2,MATCH(TRUE,INDEX(U293:AY293&lt;&gt;"",0),0)),"")</f>
        <v/>
      </c>
      <c r="N293" s="61">
        <f>IFERROR(LOOKUP(2,1/(U293:AY293&lt;&gt;""),U$2:AY$2),"")</f>
        <v/>
      </c>
      <c r="O293" s="59" t="n"/>
      <c r="P293" s="59" t="n"/>
      <c r="Q293" s="59" t="n"/>
      <c r="R293" s="59" t="n"/>
      <c r="S293" s="14" t="n"/>
      <c r="U293" s="53" t="n"/>
      <c r="V293" s="53" t="n"/>
      <c r="W293" s="53" t="n"/>
      <c r="X293" s="53" t="n"/>
      <c r="Y293" s="53" t="n"/>
      <c r="Z293" s="53" t="n"/>
      <c r="AA293" s="53" t="n"/>
      <c r="AB293" s="53" t="n"/>
      <c r="AC293" s="53" t="n"/>
      <c r="AD293" s="53" t="n"/>
      <c r="AE293" s="53" t="n"/>
      <c r="AF293" s="53" t="n"/>
      <c r="AG293" s="53" t="n"/>
      <c r="AH293" s="53" t="n"/>
      <c r="AI293" s="53" t="n"/>
      <c r="AJ293" s="53" t="n"/>
      <c r="AK293" s="53" t="n"/>
      <c r="AL293" s="53" t="n"/>
      <c r="AM293" s="53" t="n"/>
      <c r="AN293" s="53" t="n"/>
      <c r="AO293" s="53" t="n"/>
      <c r="AP293" s="53" t="n"/>
      <c r="AQ293" s="53" t="n"/>
      <c r="AR293" s="53" t="n"/>
      <c r="AS293" s="53" t="n"/>
      <c r="AT293" s="53" t="n"/>
      <c r="AU293" s="53" t="n"/>
      <c r="AV293" s="53" t="n"/>
      <c r="AW293" s="53" t="n"/>
      <c r="AX293" s="53" t="n"/>
      <c r="AY293" s="53" t="n"/>
    </row>
    <row r="294" ht="15" customHeight="1">
      <c r="A294" s="62" t="n"/>
      <c r="B294" s="55">
        <f>IF($B$292="","",$B$292)</f>
        <v/>
      </c>
      <c r="C294" s="63" t="inlineStr">
        <is>
          <t>기타</t>
        </is>
      </c>
      <c r="D294" s="55">
        <f>IF($D$292="","",$D$292)</f>
        <v/>
      </c>
      <c r="E294" s="64" t="inlineStr">
        <is>
          <t>영상</t>
        </is>
      </c>
      <c r="F294" s="44" t="n"/>
      <c r="G294" s="58">
        <f>IF($G$292="","",$G$292)</f>
        <v/>
      </c>
      <c r="H294" s="59" t="n"/>
      <c r="I294" s="59" t="n"/>
      <c r="J294" s="59" t="n"/>
      <c r="K294" s="59" t="n"/>
      <c r="L294" s="65">
        <f>IF(SUM(U294:AY294)=0,"",SUM(U294:AY294))</f>
        <v/>
      </c>
      <c r="M294" s="66">
        <f>IFERROR(INDEX(U$2:AY$2,MATCH(TRUE,INDEX(U294:AY294&lt;&gt;"",0),0)),"")</f>
        <v/>
      </c>
      <c r="N294" s="66">
        <f>IFERROR(LOOKUP(2,1/(U294:AY294&lt;&gt;""),U$2:AY$2),"")</f>
        <v/>
      </c>
      <c r="O294" s="59" t="n"/>
      <c r="P294" s="59" t="n"/>
      <c r="Q294" s="59" t="n"/>
      <c r="R294" s="59" t="n"/>
      <c r="S294" s="14" t="n"/>
      <c r="U294" s="53" t="n"/>
      <c r="V294" s="53" t="n"/>
      <c r="W294" s="53" t="n"/>
      <c r="X294" s="53" t="n"/>
      <c r="Y294" s="53" t="n"/>
      <c r="Z294" s="53" t="n"/>
      <c r="AA294" s="53" t="n"/>
      <c r="AB294" s="53" t="n"/>
      <c r="AC294" s="53" t="n"/>
      <c r="AD294" s="53" t="n"/>
      <c r="AE294" s="53" t="n"/>
      <c r="AF294" s="53" t="n"/>
      <c r="AG294" s="53" t="n"/>
      <c r="AH294" s="53" t="n"/>
      <c r="AI294" s="53" t="n"/>
      <c r="AJ294" s="53" t="n"/>
      <c r="AK294" s="53" t="n"/>
      <c r="AL294" s="53" t="n"/>
      <c r="AM294" s="53" t="n"/>
      <c r="AN294" s="53" t="n"/>
      <c r="AO294" s="53" t="n"/>
      <c r="AP294" s="53" t="n"/>
      <c r="AQ294" s="53" t="n"/>
      <c r="AR294" s="53" t="n"/>
      <c r="AS294" s="53" t="n"/>
      <c r="AT294" s="53" t="n"/>
      <c r="AU294" s="53" t="n"/>
      <c r="AV294" s="53" t="n"/>
      <c r="AW294" s="53" t="n"/>
      <c r="AX294" s="53" t="n"/>
      <c r="AY294" s="53" t="n"/>
    </row>
    <row r="295" ht="15" customHeight="1">
      <c r="A295" s="40">
        <f>IF($D$295="","",95)</f>
        <v/>
      </c>
      <c r="B295" s="10" t="n"/>
      <c r="C295" s="41" t="inlineStr">
        <is>
          <t>기타</t>
        </is>
      </c>
      <c r="D295" s="42" t="n"/>
      <c r="E295" s="43" t="inlineStr">
        <is>
          <t>기획</t>
        </is>
      </c>
      <c r="F295" s="44" t="n"/>
      <c r="G295" s="45" t="n"/>
      <c r="H295" s="46">
        <f>IF($I$295="","",IF($I$295&lt;0,"🔴지연",IF($I$295&lt;=1,"🟡임박","🟢여유")))</f>
        <v/>
      </c>
      <c r="I295" s="47">
        <f>IF(OR($G$295="",$K$295=""),"",$G$295-$K$295)</f>
        <v/>
      </c>
      <c r="J295" s="48">
        <f>IF(SUM($L$295:$L$297)=0,"",SUM($L$295:$L$297))</f>
        <v/>
      </c>
      <c r="K295" s="49">
        <f>IF($J$295="","",MAX($N$295:$N$297))</f>
        <v/>
      </c>
      <c r="L295" s="50">
        <f>IF(SUM(U295:AY295)=0,"",SUM(U295:AY295))</f>
        <v/>
      </c>
      <c r="M295" s="51">
        <f>IFERROR(INDEX(U$2:AY$2,MATCH(TRUE,INDEX(U295:AY295&lt;&gt;"",0),0)),"")</f>
        <v/>
      </c>
      <c r="N295" s="51">
        <f>IFERROR(LOOKUP(2,1/(U295:AY295&lt;&gt;""),U$2:AY$2),"")</f>
        <v/>
      </c>
      <c r="O295" s="52" t="n"/>
      <c r="P295" s="52" t="n"/>
      <c r="Q295" s="52" t="n"/>
      <c r="R295" s="44" t="n"/>
      <c r="S295" s="14" t="n"/>
      <c r="U295" s="53" t="n"/>
      <c r="V295" s="53" t="n"/>
      <c r="W295" s="53" t="n"/>
      <c r="X295" s="53" t="n"/>
      <c r="Y295" s="53" t="n"/>
      <c r="Z295" s="53" t="n"/>
      <c r="AA295" s="53" t="n"/>
      <c r="AB295" s="53" t="n"/>
      <c r="AC295" s="53" t="n"/>
      <c r="AD295" s="53" t="n"/>
      <c r="AE295" s="53" t="n"/>
      <c r="AF295" s="53" t="n"/>
      <c r="AG295" s="53" t="n"/>
      <c r="AH295" s="53" t="n"/>
      <c r="AI295" s="53" t="n"/>
      <c r="AJ295" s="53" t="n"/>
      <c r="AK295" s="53" t="n"/>
      <c r="AL295" s="53" t="n"/>
      <c r="AM295" s="53" t="n"/>
      <c r="AN295" s="53" t="n"/>
      <c r="AO295" s="53" t="n"/>
      <c r="AP295" s="53" t="n"/>
      <c r="AQ295" s="53" t="n"/>
      <c r="AR295" s="53" t="n"/>
      <c r="AS295" s="53" t="n"/>
      <c r="AT295" s="53" t="n"/>
      <c r="AU295" s="53" t="n"/>
      <c r="AV295" s="53" t="n"/>
      <c r="AW295" s="53" t="n"/>
      <c r="AX295" s="53" t="n"/>
      <c r="AY295" s="53" t="n"/>
    </row>
    <row r="296" ht="15" customHeight="1">
      <c r="A296" s="54" t="n"/>
      <c r="B296" s="55">
        <f>IF($B$295="","",$B$295)</f>
        <v/>
      </c>
      <c r="C296" s="56" t="inlineStr">
        <is>
          <t>기타</t>
        </is>
      </c>
      <c r="D296" s="55">
        <f>IF($D$295="","",$D$295)</f>
        <v/>
      </c>
      <c r="E296" s="57" t="inlineStr">
        <is>
          <t>이미지</t>
        </is>
      </c>
      <c r="F296" s="44" t="n"/>
      <c r="G296" s="58">
        <f>IF($G$295="","",$G$295)</f>
        <v/>
      </c>
      <c r="H296" s="59" t="n"/>
      <c r="I296" s="59" t="n"/>
      <c r="J296" s="59" t="n"/>
      <c r="K296" s="59" t="n"/>
      <c r="L296" s="60">
        <f>IF(SUM(U296:AY296)=0,"",SUM(U296:AY296))</f>
        <v/>
      </c>
      <c r="M296" s="61">
        <f>IFERROR(INDEX(U$2:AY$2,MATCH(TRUE,INDEX(U296:AY296&lt;&gt;"",0),0)),"")</f>
        <v/>
      </c>
      <c r="N296" s="61">
        <f>IFERROR(LOOKUP(2,1/(U296:AY296&lt;&gt;""),U$2:AY$2),"")</f>
        <v/>
      </c>
      <c r="O296" s="59" t="n"/>
      <c r="P296" s="59" t="n"/>
      <c r="Q296" s="59" t="n"/>
      <c r="R296" s="59" t="n"/>
      <c r="S296" s="14" t="n"/>
      <c r="U296" s="53" t="n"/>
      <c r="V296" s="53" t="n"/>
      <c r="W296" s="53" t="n"/>
      <c r="X296" s="53" t="n"/>
      <c r="Y296" s="53" t="n"/>
      <c r="Z296" s="53" t="n"/>
      <c r="AA296" s="53" t="n"/>
      <c r="AB296" s="53" t="n"/>
      <c r="AC296" s="53" t="n"/>
      <c r="AD296" s="53" t="n"/>
      <c r="AE296" s="53" t="n"/>
      <c r="AF296" s="53" t="n"/>
      <c r="AG296" s="53" t="n"/>
      <c r="AH296" s="53" t="n"/>
      <c r="AI296" s="53" t="n"/>
      <c r="AJ296" s="53" t="n"/>
      <c r="AK296" s="53" t="n"/>
      <c r="AL296" s="53" t="n"/>
      <c r="AM296" s="53" t="n"/>
      <c r="AN296" s="53" t="n"/>
      <c r="AO296" s="53" t="n"/>
      <c r="AP296" s="53" t="n"/>
      <c r="AQ296" s="53" t="n"/>
      <c r="AR296" s="53" t="n"/>
      <c r="AS296" s="53" t="n"/>
      <c r="AT296" s="53" t="n"/>
      <c r="AU296" s="53" t="n"/>
      <c r="AV296" s="53" t="n"/>
      <c r="AW296" s="53" t="n"/>
      <c r="AX296" s="53" t="n"/>
      <c r="AY296" s="53" t="n"/>
    </row>
    <row r="297" ht="15" customHeight="1">
      <c r="A297" s="62" t="n"/>
      <c r="B297" s="55">
        <f>IF($B$295="","",$B$295)</f>
        <v/>
      </c>
      <c r="C297" s="63" t="inlineStr">
        <is>
          <t>기타</t>
        </is>
      </c>
      <c r="D297" s="55">
        <f>IF($D$295="","",$D$295)</f>
        <v/>
      </c>
      <c r="E297" s="64" t="inlineStr">
        <is>
          <t>영상</t>
        </is>
      </c>
      <c r="F297" s="44" t="n"/>
      <c r="G297" s="58">
        <f>IF($G$295="","",$G$295)</f>
        <v/>
      </c>
      <c r="H297" s="59" t="n"/>
      <c r="I297" s="59" t="n"/>
      <c r="J297" s="59" t="n"/>
      <c r="K297" s="59" t="n"/>
      <c r="L297" s="65">
        <f>IF(SUM(U297:AY297)=0,"",SUM(U297:AY297))</f>
        <v/>
      </c>
      <c r="M297" s="66">
        <f>IFERROR(INDEX(U$2:AY$2,MATCH(TRUE,INDEX(U297:AY297&lt;&gt;"",0),0)),"")</f>
        <v/>
      </c>
      <c r="N297" s="66">
        <f>IFERROR(LOOKUP(2,1/(U297:AY297&lt;&gt;""),U$2:AY$2),"")</f>
        <v/>
      </c>
      <c r="O297" s="59" t="n"/>
      <c r="P297" s="59" t="n"/>
      <c r="Q297" s="59" t="n"/>
      <c r="R297" s="59" t="n"/>
      <c r="S297" s="14" t="n"/>
      <c r="U297" s="53" t="n"/>
      <c r="V297" s="53" t="n"/>
      <c r="W297" s="53" t="n"/>
      <c r="X297" s="53" t="n"/>
      <c r="Y297" s="53" t="n"/>
      <c r="Z297" s="53" t="n"/>
      <c r="AA297" s="53" t="n"/>
      <c r="AB297" s="53" t="n"/>
      <c r="AC297" s="53" t="n"/>
      <c r="AD297" s="53" t="n"/>
      <c r="AE297" s="53" t="n"/>
      <c r="AF297" s="53" t="n"/>
      <c r="AG297" s="53" t="n"/>
      <c r="AH297" s="53" t="n"/>
      <c r="AI297" s="53" t="n"/>
      <c r="AJ297" s="53" t="n"/>
      <c r="AK297" s="53" t="n"/>
      <c r="AL297" s="53" t="n"/>
      <c r="AM297" s="53" t="n"/>
      <c r="AN297" s="53" t="n"/>
      <c r="AO297" s="53" t="n"/>
      <c r="AP297" s="53" t="n"/>
      <c r="AQ297" s="53" t="n"/>
      <c r="AR297" s="53" t="n"/>
      <c r="AS297" s="53" t="n"/>
      <c r="AT297" s="53" t="n"/>
      <c r="AU297" s="53" t="n"/>
      <c r="AV297" s="53" t="n"/>
      <c r="AW297" s="53" t="n"/>
      <c r="AX297" s="53" t="n"/>
      <c r="AY297" s="53" t="n"/>
    </row>
    <row r="298" ht="15" customHeight="1">
      <c r="A298" s="40">
        <f>IF($D$298="","",96)</f>
        <v/>
      </c>
      <c r="B298" s="10" t="n"/>
      <c r="C298" s="41" t="inlineStr">
        <is>
          <t>기타</t>
        </is>
      </c>
      <c r="D298" s="42" t="n"/>
      <c r="E298" s="43" t="inlineStr">
        <is>
          <t>기획</t>
        </is>
      </c>
      <c r="F298" s="44" t="n"/>
      <c r="G298" s="45" t="n"/>
      <c r="H298" s="46">
        <f>IF($I$298="","",IF($I$298&lt;0,"🔴지연",IF($I$298&lt;=1,"🟡임박","🟢여유")))</f>
        <v/>
      </c>
      <c r="I298" s="47">
        <f>IF(OR($G$298="",$K$298=""),"",$G$298-$K$298)</f>
        <v/>
      </c>
      <c r="J298" s="48">
        <f>IF(SUM($L$298:$L$300)=0,"",SUM($L$298:$L$300))</f>
        <v/>
      </c>
      <c r="K298" s="49">
        <f>IF($J$298="","",MAX($N$298:$N$300))</f>
        <v/>
      </c>
      <c r="L298" s="50">
        <f>IF(SUM(U298:AY298)=0,"",SUM(U298:AY298))</f>
        <v/>
      </c>
      <c r="M298" s="51">
        <f>IFERROR(INDEX(U$2:AY$2,MATCH(TRUE,INDEX(U298:AY298&lt;&gt;"",0),0)),"")</f>
        <v/>
      </c>
      <c r="N298" s="51">
        <f>IFERROR(LOOKUP(2,1/(U298:AY298&lt;&gt;""),U$2:AY$2),"")</f>
        <v/>
      </c>
      <c r="O298" s="52" t="n"/>
      <c r="P298" s="52" t="n"/>
      <c r="Q298" s="52" t="n"/>
      <c r="R298" s="44" t="n"/>
      <c r="S298" s="14" t="n"/>
      <c r="U298" s="53" t="n"/>
      <c r="V298" s="53" t="n"/>
      <c r="W298" s="53" t="n"/>
      <c r="X298" s="53" t="n"/>
      <c r="Y298" s="53" t="n"/>
      <c r="Z298" s="53" t="n"/>
      <c r="AA298" s="53" t="n"/>
      <c r="AB298" s="53" t="n"/>
      <c r="AC298" s="53" t="n"/>
      <c r="AD298" s="53" t="n"/>
      <c r="AE298" s="53" t="n"/>
      <c r="AF298" s="53" t="n"/>
      <c r="AG298" s="53" t="n"/>
      <c r="AH298" s="53" t="n"/>
      <c r="AI298" s="53" t="n"/>
      <c r="AJ298" s="53" t="n"/>
      <c r="AK298" s="53" t="n"/>
      <c r="AL298" s="53" t="n"/>
      <c r="AM298" s="53" t="n"/>
      <c r="AN298" s="53" t="n"/>
      <c r="AO298" s="53" t="n"/>
      <c r="AP298" s="53" t="n"/>
      <c r="AQ298" s="53" t="n"/>
      <c r="AR298" s="53" t="n"/>
      <c r="AS298" s="53" t="n"/>
      <c r="AT298" s="53" t="n"/>
      <c r="AU298" s="53" t="n"/>
      <c r="AV298" s="53" t="n"/>
      <c r="AW298" s="53" t="n"/>
      <c r="AX298" s="53" t="n"/>
      <c r="AY298" s="53" t="n"/>
    </row>
    <row r="299" ht="15" customHeight="1">
      <c r="A299" s="54" t="n"/>
      <c r="B299" s="55">
        <f>IF($B$298="","",$B$298)</f>
        <v/>
      </c>
      <c r="C299" s="56" t="inlineStr">
        <is>
          <t>기타</t>
        </is>
      </c>
      <c r="D299" s="55">
        <f>IF($D$298="","",$D$298)</f>
        <v/>
      </c>
      <c r="E299" s="57" t="inlineStr">
        <is>
          <t>이미지</t>
        </is>
      </c>
      <c r="F299" s="44" t="n"/>
      <c r="G299" s="58">
        <f>IF($G$298="","",$G$298)</f>
        <v/>
      </c>
      <c r="H299" s="59" t="n"/>
      <c r="I299" s="59" t="n"/>
      <c r="J299" s="59" t="n"/>
      <c r="K299" s="59" t="n"/>
      <c r="L299" s="60">
        <f>IF(SUM(U299:AY299)=0,"",SUM(U299:AY299))</f>
        <v/>
      </c>
      <c r="M299" s="61">
        <f>IFERROR(INDEX(U$2:AY$2,MATCH(TRUE,INDEX(U299:AY299&lt;&gt;"",0),0)),"")</f>
        <v/>
      </c>
      <c r="N299" s="61">
        <f>IFERROR(LOOKUP(2,1/(U299:AY299&lt;&gt;""),U$2:AY$2),"")</f>
        <v/>
      </c>
      <c r="O299" s="59" t="n"/>
      <c r="P299" s="59" t="n"/>
      <c r="Q299" s="59" t="n"/>
      <c r="R299" s="59" t="n"/>
      <c r="S299" s="14" t="n"/>
      <c r="U299" s="53" t="n"/>
      <c r="V299" s="53" t="n"/>
      <c r="W299" s="53" t="n"/>
      <c r="X299" s="53" t="n"/>
      <c r="Y299" s="53" t="n"/>
      <c r="Z299" s="53" t="n"/>
      <c r="AA299" s="53" t="n"/>
      <c r="AB299" s="53" t="n"/>
      <c r="AC299" s="53" t="n"/>
      <c r="AD299" s="53" t="n"/>
      <c r="AE299" s="53" t="n"/>
      <c r="AF299" s="53" t="n"/>
      <c r="AG299" s="53" t="n"/>
      <c r="AH299" s="53" t="n"/>
      <c r="AI299" s="53" t="n"/>
      <c r="AJ299" s="53" t="n"/>
      <c r="AK299" s="53" t="n"/>
      <c r="AL299" s="53" t="n"/>
      <c r="AM299" s="53" t="n"/>
      <c r="AN299" s="53" t="n"/>
      <c r="AO299" s="53" t="n"/>
      <c r="AP299" s="53" t="n"/>
      <c r="AQ299" s="53" t="n"/>
      <c r="AR299" s="53" t="n"/>
      <c r="AS299" s="53" t="n"/>
      <c r="AT299" s="53" t="n"/>
      <c r="AU299" s="53" t="n"/>
      <c r="AV299" s="53" t="n"/>
      <c r="AW299" s="53" t="n"/>
      <c r="AX299" s="53" t="n"/>
      <c r="AY299" s="53" t="n"/>
    </row>
    <row r="300" ht="15" customHeight="1">
      <c r="A300" s="62" t="n"/>
      <c r="B300" s="55">
        <f>IF($B$298="","",$B$298)</f>
        <v/>
      </c>
      <c r="C300" s="63" t="inlineStr">
        <is>
          <t>기타</t>
        </is>
      </c>
      <c r="D300" s="55">
        <f>IF($D$298="","",$D$298)</f>
        <v/>
      </c>
      <c r="E300" s="64" t="inlineStr">
        <is>
          <t>영상</t>
        </is>
      </c>
      <c r="F300" s="44" t="n"/>
      <c r="G300" s="58">
        <f>IF($G$298="","",$G$298)</f>
        <v/>
      </c>
      <c r="H300" s="59" t="n"/>
      <c r="I300" s="59" t="n"/>
      <c r="J300" s="59" t="n"/>
      <c r="K300" s="59" t="n"/>
      <c r="L300" s="65">
        <f>IF(SUM(U300:AY300)=0,"",SUM(U300:AY300))</f>
        <v/>
      </c>
      <c r="M300" s="66">
        <f>IFERROR(INDEX(U$2:AY$2,MATCH(TRUE,INDEX(U300:AY300&lt;&gt;"",0),0)),"")</f>
        <v/>
      </c>
      <c r="N300" s="66">
        <f>IFERROR(LOOKUP(2,1/(U300:AY300&lt;&gt;""),U$2:AY$2),"")</f>
        <v/>
      </c>
      <c r="O300" s="59" t="n"/>
      <c r="P300" s="59" t="n"/>
      <c r="Q300" s="59" t="n"/>
      <c r="R300" s="59" t="n"/>
      <c r="S300" s="14" t="n"/>
      <c r="U300" s="53" t="n"/>
      <c r="V300" s="53" t="n"/>
      <c r="W300" s="53" t="n"/>
      <c r="X300" s="53" t="n"/>
      <c r="Y300" s="53" t="n"/>
      <c r="Z300" s="53" t="n"/>
      <c r="AA300" s="53" t="n"/>
      <c r="AB300" s="53" t="n"/>
      <c r="AC300" s="53" t="n"/>
      <c r="AD300" s="53" t="n"/>
      <c r="AE300" s="53" t="n"/>
      <c r="AF300" s="53" t="n"/>
      <c r="AG300" s="53" t="n"/>
      <c r="AH300" s="53" t="n"/>
      <c r="AI300" s="53" t="n"/>
      <c r="AJ300" s="53" t="n"/>
      <c r="AK300" s="53" t="n"/>
      <c r="AL300" s="53" t="n"/>
      <c r="AM300" s="53" t="n"/>
      <c r="AN300" s="53" t="n"/>
      <c r="AO300" s="53" t="n"/>
      <c r="AP300" s="53" t="n"/>
      <c r="AQ300" s="53" t="n"/>
      <c r="AR300" s="53" t="n"/>
      <c r="AS300" s="53" t="n"/>
      <c r="AT300" s="53" t="n"/>
      <c r="AU300" s="53" t="n"/>
      <c r="AV300" s="53" t="n"/>
      <c r="AW300" s="53" t="n"/>
      <c r="AX300" s="53" t="n"/>
      <c r="AY300" s="53" t="n"/>
    </row>
    <row r="301" ht="15" customHeight="1">
      <c r="A301" s="40">
        <f>IF($D$301="","",97)</f>
        <v/>
      </c>
      <c r="B301" s="10" t="n"/>
      <c r="C301" s="41" t="inlineStr">
        <is>
          <t>기타</t>
        </is>
      </c>
      <c r="D301" s="42" t="n"/>
      <c r="E301" s="43" t="inlineStr">
        <is>
          <t>기획</t>
        </is>
      </c>
      <c r="F301" s="44" t="n"/>
      <c r="G301" s="45" t="n"/>
      <c r="H301" s="46">
        <f>IF($I$301="","",IF($I$301&lt;0,"🔴지연",IF($I$301&lt;=1,"🟡임박","🟢여유")))</f>
        <v/>
      </c>
      <c r="I301" s="47">
        <f>IF(OR($G$301="",$K$301=""),"",$G$301-$K$301)</f>
        <v/>
      </c>
      <c r="J301" s="48">
        <f>IF(SUM($L$301:$L$303)=0,"",SUM($L$301:$L$303))</f>
        <v/>
      </c>
      <c r="K301" s="49">
        <f>IF($J$301="","",MAX($N$301:$N$303))</f>
        <v/>
      </c>
      <c r="L301" s="50">
        <f>IF(SUM(U301:AY301)=0,"",SUM(U301:AY301))</f>
        <v/>
      </c>
      <c r="M301" s="51">
        <f>IFERROR(INDEX(U$2:AY$2,MATCH(TRUE,INDEX(U301:AY301&lt;&gt;"",0),0)),"")</f>
        <v/>
      </c>
      <c r="N301" s="51">
        <f>IFERROR(LOOKUP(2,1/(U301:AY301&lt;&gt;""),U$2:AY$2),"")</f>
        <v/>
      </c>
      <c r="O301" s="52" t="n"/>
      <c r="P301" s="52" t="n"/>
      <c r="Q301" s="52" t="n"/>
      <c r="R301" s="44" t="n"/>
      <c r="S301" s="14" t="n"/>
      <c r="U301" s="53" t="n"/>
      <c r="V301" s="53" t="n"/>
      <c r="W301" s="53" t="n"/>
      <c r="X301" s="53" t="n"/>
      <c r="Y301" s="53" t="n"/>
      <c r="Z301" s="53" t="n"/>
      <c r="AA301" s="53" t="n"/>
      <c r="AB301" s="53" t="n"/>
      <c r="AC301" s="53" t="n"/>
      <c r="AD301" s="53" t="n"/>
      <c r="AE301" s="53" t="n"/>
      <c r="AF301" s="53" t="n"/>
      <c r="AG301" s="53" t="n"/>
      <c r="AH301" s="53" t="n"/>
      <c r="AI301" s="53" t="n"/>
      <c r="AJ301" s="53" t="n"/>
      <c r="AK301" s="53" t="n"/>
      <c r="AL301" s="53" t="n"/>
      <c r="AM301" s="53" t="n"/>
      <c r="AN301" s="53" t="n"/>
      <c r="AO301" s="53" t="n"/>
      <c r="AP301" s="53" t="n"/>
      <c r="AQ301" s="53" t="n"/>
      <c r="AR301" s="53" t="n"/>
      <c r="AS301" s="53" t="n"/>
      <c r="AT301" s="53" t="n"/>
      <c r="AU301" s="53" t="n"/>
      <c r="AV301" s="53" t="n"/>
      <c r="AW301" s="53" t="n"/>
      <c r="AX301" s="53" t="n"/>
      <c r="AY301" s="53" t="n"/>
    </row>
    <row r="302" ht="15" customHeight="1">
      <c r="A302" s="54" t="n"/>
      <c r="B302" s="55">
        <f>IF($B$301="","",$B$301)</f>
        <v/>
      </c>
      <c r="C302" s="56" t="inlineStr">
        <is>
          <t>기타</t>
        </is>
      </c>
      <c r="D302" s="55">
        <f>IF($D$301="","",$D$301)</f>
        <v/>
      </c>
      <c r="E302" s="57" t="inlineStr">
        <is>
          <t>이미지</t>
        </is>
      </c>
      <c r="F302" s="44" t="n"/>
      <c r="G302" s="58">
        <f>IF($G$301="","",$G$301)</f>
        <v/>
      </c>
      <c r="H302" s="59" t="n"/>
      <c r="I302" s="59" t="n"/>
      <c r="J302" s="59" t="n"/>
      <c r="K302" s="59" t="n"/>
      <c r="L302" s="60">
        <f>IF(SUM(U302:AY302)=0,"",SUM(U302:AY302))</f>
        <v/>
      </c>
      <c r="M302" s="61">
        <f>IFERROR(INDEX(U$2:AY$2,MATCH(TRUE,INDEX(U302:AY302&lt;&gt;"",0),0)),"")</f>
        <v/>
      </c>
      <c r="N302" s="61">
        <f>IFERROR(LOOKUP(2,1/(U302:AY302&lt;&gt;""),U$2:AY$2),"")</f>
        <v/>
      </c>
      <c r="O302" s="59" t="n"/>
      <c r="P302" s="59" t="n"/>
      <c r="Q302" s="59" t="n"/>
      <c r="R302" s="59" t="n"/>
      <c r="S302" s="14" t="n"/>
      <c r="U302" s="53" t="n"/>
      <c r="V302" s="53" t="n"/>
      <c r="W302" s="53" t="n"/>
      <c r="X302" s="53" t="n"/>
      <c r="Y302" s="53" t="n"/>
      <c r="Z302" s="53" t="n"/>
      <c r="AA302" s="53" t="n"/>
      <c r="AB302" s="53" t="n"/>
      <c r="AC302" s="53" t="n"/>
      <c r="AD302" s="53" t="n"/>
      <c r="AE302" s="53" t="n"/>
      <c r="AF302" s="53" t="n"/>
      <c r="AG302" s="53" t="n"/>
      <c r="AH302" s="53" t="n"/>
      <c r="AI302" s="53" t="n"/>
      <c r="AJ302" s="53" t="n"/>
      <c r="AK302" s="53" t="n"/>
      <c r="AL302" s="53" t="n"/>
      <c r="AM302" s="53" t="n"/>
      <c r="AN302" s="53" t="n"/>
      <c r="AO302" s="53" t="n"/>
      <c r="AP302" s="53" t="n"/>
      <c r="AQ302" s="53" t="n"/>
      <c r="AR302" s="53" t="n"/>
      <c r="AS302" s="53" t="n"/>
      <c r="AT302" s="53" t="n"/>
      <c r="AU302" s="53" t="n"/>
      <c r="AV302" s="53" t="n"/>
      <c r="AW302" s="53" t="n"/>
      <c r="AX302" s="53" t="n"/>
      <c r="AY302" s="53" t="n"/>
    </row>
    <row r="303" ht="15" customHeight="1">
      <c r="A303" s="62" t="n"/>
      <c r="B303" s="55">
        <f>IF($B$301="","",$B$301)</f>
        <v/>
      </c>
      <c r="C303" s="63" t="inlineStr">
        <is>
          <t>기타</t>
        </is>
      </c>
      <c r="D303" s="55">
        <f>IF($D$301="","",$D$301)</f>
        <v/>
      </c>
      <c r="E303" s="64" t="inlineStr">
        <is>
          <t>영상</t>
        </is>
      </c>
      <c r="F303" s="44" t="n"/>
      <c r="G303" s="58">
        <f>IF($G$301="","",$G$301)</f>
        <v/>
      </c>
      <c r="H303" s="59" t="n"/>
      <c r="I303" s="59" t="n"/>
      <c r="J303" s="59" t="n"/>
      <c r="K303" s="59" t="n"/>
      <c r="L303" s="65">
        <f>IF(SUM(U303:AY303)=0,"",SUM(U303:AY303))</f>
        <v/>
      </c>
      <c r="M303" s="66">
        <f>IFERROR(INDEX(U$2:AY$2,MATCH(TRUE,INDEX(U303:AY303&lt;&gt;"",0),0)),"")</f>
        <v/>
      </c>
      <c r="N303" s="66">
        <f>IFERROR(LOOKUP(2,1/(U303:AY303&lt;&gt;""),U$2:AY$2),"")</f>
        <v/>
      </c>
      <c r="O303" s="59" t="n"/>
      <c r="P303" s="59" t="n"/>
      <c r="Q303" s="59" t="n"/>
      <c r="R303" s="59" t="n"/>
      <c r="S303" s="14" t="n"/>
      <c r="U303" s="53" t="n"/>
      <c r="V303" s="53" t="n"/>
      <c r="W303" s="53" t="n"/>
      <c r="X303" s="53" t="n"/>
      <c r="Y303" s="53" t="n"/>
      <c r="Z303" s="53" t="n"/>
      <c r="AA303" s="53" t="n"/>
      <c r="AB303" s="53" t="n"/>
      <c r="AC303" s="53" t="n"/>
      <c r="AD303" s="53" t="n"/>
      <c r="AE303" s="53" t="n"/>
      <c r="AF303" s="53" t="n"/>
      <c r="AG303" s="53" t="n"/>
      <c r="AH303" s="53" t="n"/>
      <c r="AI303" s="53" t="n"/>
      <c r="AJ303" s="53" t="n"/>
      <c r="AK303" s="53" t="n"/>
      <c r="AL303" s="53" t="n"/>
      <c r="AM303" s="53" t="n"/>
      <c r="AN303" s="53" t="n"/>
      <c r="AO303" s="53" t="n"/>
      <c r="AP303" s="53" t="n"/>
      <c r="AQ303" s="53" t="n"/>
      <c r="AR303" s="53" t="n"/>
      <c r="AS303" s="53" t="n"/>
      <c r="AT303" s="53" t="n"/>
      <c r="AU303" s="53" t="n"/>
      <c r="AV303" s="53" t="n"/>
      <c r="AW303" s="53" t="n"/>
      <c r="AX303" s="53" t="n"/>
      <c r="AY303" s="53" t="n"/>
    </row>
    <row r="304" ht="15" customHeight="1">
      <c r="A304" s="40">
        <f>IF($D$304="","",98)</f>
        <v/>
      </c>
      <c r="B304" s="10" t="n"/>
      <c r="C304" s="41" t="inlineStr">
        <is>
          <t>기타</t>
        </is>
      </c>
      <c r="D304" s="42" t="n"/>
      <c r="E304" s="43" t="inlineStr">
        <is>
          <t>기획</t>
        </is>
      </c>
      <c r="F304" s="44" t="n"/>
      <c r="G304" s="45" t="n"/>
      <c r="H304" s="46">
        <f>IF($I$304="","",IF($I$304&lt;0,"🔴지연",IF($I$304&lt;=1,"🟡임박","🟢여유")))</f>
        <v/>
      </c>
      <c r="I304" s="47">
        <f>IF(OR($G$304="",$K$304=""),"",$G$304-$K$304)</f>
        <v/>
      </c>
      <c r="J304" s="48">
        <f>IF(SUM($L$304:$L$306)=0,"",SUM($L$304:$L$306))</f>
        <v/>
      </c>
      <c r="K304" s="49">
        <f>IF($J$304="","",MAX($N$304:$N$306))</f>
        <v/>
      </c>
      <c r="L304" s="50">
        <f>IF(SUM(U304:AY304)=0,"",SUM(U304:AY304))</f>
        <v/>
      </c>
      <c r="M304" s="51">
        <f>IFERROR(INDEX(U$2:AY$2,MATCH(TRUE,INDEX(U304:AY304&lt;&gt;"",0),0)),"")</f>
        <v/>
      </c>
      <c r="N304" s="51">
        <f>IFERROR(LOOKUP(2,1/(U304:AY304&lt;&gt;""),U$2:AY$2),"")</f>
        <v/>
      </c>
      <c r="O304" s="52" t="n"/>
      <c r="P304" s="52" t="n"/>
      <c r="Q304" s="52" t="n"/>
      <c r="R304" s="44" t="n"/>
      <c r="S304" s="14" t="n"/>
      <c r="U304" s="53" t="n"/>
      <c r="V304" s="53" t="n"/>
      <c r="W304" s="53" t="n"/>
      <c r="X304" s="53" t="n"/>
      <c r="Y304" s="53" t="n"/>
      <c r="Z304" s="53" t="n"/>
      <c r="AA304" s="53" t="n"/>
      <c r="AB304" s="53" t="n"/>
      <c r="AC304" s="53" t="n"/>
      <c r="AD304" s="53" t="n"/>
      <c r="AE304" s="53" t="n"/>
      <c r="AF304" s="53" t="n"/>
      <c r="AG304" s="53" t="n"/>
      <c r="AH304" s="53" t="n"/>
      <c r="AI304" s="53" t="n"/>
      <c r="AJ304" s="53" t="n"/>
      <c r="AK304" s="53" t="n"/>
      <c r="AL304" s="53" t="n"/>
      <c r="AM304" s="53" t="n"/>
      <c r="AN304" s="53" t="n"/>
      <c r="AO304" s="53" t="n"/>
      <c r="AP304" s="53" t="n"/>
      <c r="AQ304" s="53" t="n"/>
      <c r="AR304" s="53" t="n"/>
      <c r="AS304" s="53" t="n"/>
      <c r="AT304" s="53" t="n"/>
      <c r="AU304" s="53" t="n"/>
      <c r="AV304" s="53" t="n"/>
      <c r="AW304" s="53" t="n"/>
      <c r="AX304" s="53" t="n"/>
      <c r="AY304" s="53" t="n"/>
    </row>
    <row r="305" ht="15" customHeight="1">
      <c r="A305" s="54" t="n"/>
      <c r="B305" s="55">
        <f>IF($B$304="","",$B$304)</f>
        <v/>
      </c>
      <c r="C305" s="56" t="inlineStr">
        <is>
          <t>기타</t>
        </is>
      </c>
      <c r="D305" s="55">
        <f>IF($D$304="","",$D$304)</f>
        <v/>
      </c>
      <c r="E305" s="57" t="inlineStr">
        <is>
          <t>이미지</t>
        </is>
      </c>
      <c r="F305" s="44" t="n"/>
      <c r="G305" s="58">
        <f>IF($G$304="","",$G$304)</f>
        <v/>
      </c>
      <c r="H305" s="59" t="n"/>
      <c r="I305" s="59" t="n"/>
      <c r="J305" s="59" t="n"/>
      <c r="K305" s="59" t="n"/>
      <c r="L305" s="60">
        <f>IF(SUM(U305:AY305)=0,"",SUM(U305:AY305))</f>
        <v/>
      </c>
      <c r="M305" s="61">
        <f>IFERROR(INDEX(U$2:AY$2,MATCH(TRUE,INDEX(U305:AY305&lt;&gt;"",0),0)),"")</f>
        <v/>
      </c>
      <c r="N305" s="61">
        <f>IFERROR(LOOKUP(2,1/(U305:AY305&lt;&gt;""),U$2:AY$2),"")</f>
        <v/>
      </c>
      <c r="O305" s="59" t="n"/>
      <c r="P305" s="59" t="n"/>
      <c r="Q305" s="59" t="n"/>
      <c r="R305" s="59" t="n"/>
      <c r="S305" s="14" t="n"/>
      <c r="U305" s="53" t="n"/>
      <c r="V305" s="53" t="n"/>
      <c r="W305" s="53" t="n"/>
      <c r="X305" s="53" t="n"/>
      <c r="Y305" s="53" t="n"/>
      <c r="Z305" s="53" t="n"/>
      <c r="AA305" s="53" t="n"/>
      <c r="AB305" s="53" t="n"/>
      <c r="AC305" s="53" t="n"/>
      <c r="AD305" s="53" t="n"/>
      <c r="AE305" s="53" t="n"/>
      <c r="AF305" s="53" t="n"/>
      <c r="AG305" s="53" t="n"/>
      <c r="AH305" s="53" t="n"/>
      <c r="AI305" s="53" t="n"/>
      <c r="AJ305" s="53" t="n"/>
      <c r="AK305" s="53" t="n"/>
      <c r="AL305" s="53" t="n"/>
      <c r="AM305" s="53" t="n"/>
      <c r="AN305" s="53" t="n"/>
      <c r="AO305" s="53" t="n"/>
      <c r="AP305" s="53" t="n"/>
      <c r="AQ305" s="53" t="n"/>
      <c r="AR305" s="53" t="n"/>
      <c r="AS305" s="53" t="n"/>
      <c r="AT305" s="53" t="n"/>
      <c r="AU305" s="53" t="n"/>
      <c r="AV305" s="53" t="n"/>
      <c r="AW305" s="53" t="n"/>
      <c r="AX305" s="53" t="n"/>
      <c r="AY305" s="53" t="n"/>
    </row>
    <row r="306" ht="15" customHeight="1">
      <c r="A306" s="62" t="n"/>
      <c r="B306" s="55">
        <f>IF($B$304="","",$B$304)</f>
        <v/>
      </c>
      <c r="C306" s="63" t="inlineStr">
        <is>
          <t>기타</t>
        </is>
      </c>
      <c r="D306" s="55">
        <f>IF($D$304="","",$D$304)</f>
        <v/>
      </c>
      <c r="E306" s="64" t="inlineStr">
        <is>
          <t>영상</t>
        </is>
      </c>
      <c r="F306" s="44" t="n"/>
      <c r="G306" s="58">
        <f>IF($G$304="","",$G$304)</f>
        <v/>
      </c>
      <c r="H306" s="59" t="n"/>
      <c r="I306" s="59" t="n"/>
      <c r="J306" s="59" t="n"/>
      <c r="K306" s="59" t="n"/>
      <c r="L306" s="65">
        <f>IF(SUM(U306:AY306)=0,"",SUM(U306:AY306))</f>
        <v/>
      </c>
      <c r="M306" s="66">
        <f>IFERROR(INDEX(U$2:AY$2,MATCH(TRUE,INDEX(U306:AY306&lt;&gt;"",0),0)),"")</f>
        <v/>
      </c>
      <c r="N306" s="66">
        <f>IFERROR(LOOKUP(2,1/(U306:AY306&lt;&gt;""),U$2:AY$2),"")</f>
        <v/>
      </c>
      <c r="O306" s="59" t="n"/>
      <c r="P306" s="59" t="n"/>
      <c r="Q306" s="59" t="n"/>
      <c r="R306" s="59" t="n"/>
      <c r="S306" s="14" t="n"/>
      <c r="U306" s="53" t="n"/>
      <c r="V306" s="53" t="n"/>
      <c r="W306" s="53" t="n"/>
      <c r="X306" s="53" t="n"/>
      <c r="Y306" s="53" t="n"/>
      <c r="Z306" s="53" t="n"/>
      <c r="AA306" s="53" t="n"/>
      <c r="AB306" s="53" t="n"/>
      <c r="AC306" s="53" t="n"/>
      <c r="AD306" s="53" t="n"/>
      <c r="AE306" s="53" t="n"/>
      <c r="AF306" s="53" t="n"/>
      <c r="AG306" s="53" t="n"/>
      <c r="AH306" s="53" t="n"/>
      <c r="AI306" s="53" t="n"/>
      <c r="AJ306" s="53" t="n"/>
      <c r="AK306" s="53" t="n"/>
      <c r="AL306" s="53" t="n"/>
      <c r="AM306" s="53" t="n"/>
      <c r="AN306" s="53" t="n"/>
      <c r="AO306" s="53" t="n"/>
      <c r="AP306" s="53" t="n"/>
      <c r="AQ306" s="53" t="n"/>
      <c r="AR306" s="53" t="n"/>
      <c r="AS306" s="53" t="n"/>
      <c r="AT306" s="53" t="n"/>
      <c r="AU306" s="53" t="n"/>
      <c r="AV306" s="53" t="n"/>
      <c r="AW306" s="53" t="n"/>
      <c r="AX306" s="53" t="n"/>
      <c r="AY306" s="53" t="n"/>
    </row>
    <row r="307" ht="15" customHeight="1">
      <c r="A307" s="40">
        <f>IF($D$307="","",99)</f>
        <v/>
      </c>
      <c r="B307" s="10" t="n"/>
      <c r="C307" s="41" t="inlineStr">
        <is>
          <t>기타</t>
        </is>
      </c>
      <c r="D307" s="42" t="n"/>
      <c r="E307" s="43" t="inlineStr">
        <is>
          <t>기획</t>
        </is>
      </c>
      <c r="F307" s="44" t="n"/>
      <c r="G307" s="45" t="n"/>
      <c r="H307" s="46">
        <f>IF($I$307="","",IF($I$307&lt;0,"🔴지연",IF($I$307&lt;=1,"🟡임박","🟢여유")))</f>
        <v/>
      </c>
      <c r="I307" s="47">
        <f>IF(OR($G$307="",$K$307=""),"",$G$307-$K$307)</f>
        <v/>
      </c>
      <c r="J307" s="48">
        <f>IF(SUM($L$307:$L$309)=0,"",SUM($L$307:$L$309))</f>
        <v/>
      </c>
      <c r="K307" s="49">
        <f>IF($J$307="","",MAX($N$307:$N$309))</f>
        <v/>
      </c>
      <c r="L307" s="50">
        <f>IF(SUM(U307:AY307)=0,"",SUM(U307:AY307))</f>
        <v/>
      </c>
      <c r="M307" s="51">
        <f>IFERROR(INDEX(U$2:AY$2,MATCH(TRUE,INDEX(U307:AY307&lt;&gt;"",0),0)),"")</f>
        <v/>
      </c>
      <c r="N307" s="51">
        <f>IFERROR(LOOKUP(2,1/(U307:AY307&lt;&gt;""),U$2:AY$2),"")</f>
        <v/>
      </c>
      <c r="O307" s="52" t="n"/>
      <c r="P307" s="52" t="n"/>
      <c r="Q307" s="52" t="n"/>
      <c r="R307" s="44" t="n"/>
      <c r="S307" s="14" t="n"/>
      <c r="U307" s="53" t="n"/>
      <c r="V307" s="53" t="n"/>
      <c r="W307" s="53" t="n"/>
      <c r="X307" s="53" t="n"/>
      <c r="Y307" s="53" t="n"/>
      <c r="Z307" s="53" t="n"/>
      <c r="AA307" s="53" t="n"/>
      <c r="AB307" s="53" t="n"/>
      <c r="AC307" s="53" t="n"/>
      <c r="AD307" s="53" t="n"/>
      <c r="AE307" s="53" t="n"/>
      <c r="AF307" s="53" t="n"/>
      <c r="AG307" s="53" t="n"/>
      <c r="AH307" s="53" t="n"/>
      <c r="AI307" s="53" t="n"/>
      <c r="AJ307" s="53" t="n"/>
      <c r="AK307" s="53" t="n"/>
      <c r="AL307" s="53" t="n"/>
      <c r="AM307" s="53" t="n"/>
      <c r="AN307" s="53" t="n"/>
      <c r="AO307" s="53" t="n"/>
      <c r="AP307" s="53" t="n"/>
      <c r="AQ307" s="53" t="n"/>
      <c r="AR307" s="53" t="n"/>
      <c r="AS307" s="53" t="n"/>
      <c r="AT307" s="53" t="n"/>
      <c r="AU307" s="53" t="n"/>
      <c r="AV307" s="53" t="n"/>
      <c r="AW307" s="53" t="n"/>
      <c r="AX307" s="53" t="n"/>
      <c r="AY307" s="53" t="n"/>
    </row>
    <row r="308" ht="15" customHeight="1">
      <c r="A308" s="54" t="n"/>
      <c r="B308" s="55">
        <f>IF($B$307="","",$B$307)</f>
        <v/>
      </c>
      <c r="C308" s="56" t="inlineStr">
        <is>
          <t>기타</t>
        </is>
      </c>
      <c r="D308" s="55">
        <f>IF($D$307="","",$D$307)</f>
        <v/>
      </c>
      <c r="E308" s="57" t="inlineStr">
        <is>
          <t>이미지</t>
        </is>
      </c>
      <c r="F308" s="44" t="n"/>
      <c r="G308" s="58">
        <f>IF($G$307="","",$G$307)</f>
        <v/>
      </c>
      <c r="H308" s="59" t="n"/>
      <c r="I308" s="59" t="n"/>
      <c r="J308" s="59" t="n"/>
      <c r="K308" s="59" t="n"/>
      <c r="L308" s="60">
        <f>IF(SUM(U308:AY308)=0,"",SUM(U308:AY308))</f>
        <v/>
      </c>
      <c r="M308" s="61">
        <f>IFERROR(INDEX(U$2:AY$2,MATCH(TRUE,INDEX(U308:AY308&lt;&gt;"",0),0)),"")</f>
        <v/>
      </c>
      <c r="N308" s="61">
        <f>IFERROR(LOOKUP(2,1/(U308:AY308&lt;&gt;""),U$2:AY$2),"")</f>
        <v/>
      </c>
      <c r="O308" s="59" t="n"/>
      <c r="P308" s="59" t="n"/>
      <c r="Q308" s="59" t="n"/>
      <c r="R308" s="59" t="n"/>
      <c r="S308" s="14" t="n"/>
      <c r="U308" s="53" t="n"/>
      <c r="V308" s="53" t="n"/>
      <c r="W308" s="53" t="n"/>
      <c r="X308" s="53" t="n"/>
      <c r="Y308" s="53" t="n"/>
      <c r="Z308" s="53" t="n"/>
      <c r="AA308" s="53" t="n"/>
      <c r="AB308" s="53" t="n"/>
      <c r="AC308" s="53" t="n"/>
      <c r="AD308" s="53" t="n"/>
      <c r="AE308" s="53" t="n"/>
      <c r="AF308" s="53" t="n"/>
      <c r="AG308" s="53" t="n"/>
      <c r="AH308" s="53" t="n"/>
      <c r="AI308" s="53" t="n"/>
      <c r="AJ308" s="53" t="n"/>
      <c r="AK308" s="53" t="n"/>
      <c r="AL308" s="53" t="n"/>
      <c r="AM308" s="53" t="n"/>
      <c r="AN308" s="53" t="n"/>
      <c r="AO308" s="53" t="n"/>
      <c r="AP308" s="53" t="n"/>
      <c r="AQ308" s="53" t="n"/>
      <c r="AR308" s="53" t="n"/>
      <c r="AS308" s="53" t="n"/>
      <c r="AT308" s="53" t="n"/>
      <c r="AU308" s="53" t="n"/>
      <c r="AV308" s="53" t="n"/>
      <c r="AW308" s="53" t="n"/>
      <c r="AX308" s="53" t="n"/>
      <c r="AY308" s="53" t="n"/>
    </row>
    <row r="309" ht="15" customHeight="1">
      <c r="A309" s="62" t="n"/>
      <c r="B309" s="55">
        <f>IF($B$307="","",$B$307)</f>
        <v/>
      </c>
      <c r="C309" s="63" t="inlineStr">
        <is>
          <t>기타</t>
        </is>
      </c>
      <c r="D309" s="55">
        <f>IF($D$307="","",$D$307)</f>
        <v/>
      </c>
      <c r="E309" s="64" t="inlineStr">
        <is>
          <t>영상</t>
        </is>
      </c>
      <c r="F309" s="44" t="n"/>
      <c r="G309" s="58">
        <f>IF($G$307="","",$G$307)</f>
        <v/>
      </c>
      <c r="H309" s="59" t="n"/>
      <c r="I309" s="59" t="n"/>
      <c r="J309" s="59" t="n"/>
      <c r="K309" s="59" t="n"/>
      <c r="L309" s="65">
        <f>IF(SUM(U309:AY309)=0,"",SUM(U309:AY309))</f>
        <v/>
      </c>
      <c r="M309" s="66">
        <f>IFERROR(INDEX(U$2:AY$2,MATCH(TRUE,INDEX(U309:AY309&lt;&gt;"",0),0)),"")</f>
        <v/>
      </c>
      <c r="N309" s="66">
        <f>IFERROR(LOOKUP(2,1/(U309:AY309&lt;&gt;""),U$2:AY$2),"")</f>
        <v/>
      </c>
      <c r="O309" s="59" t="n"/>
      <c r="P309" s="59" t="n"/>
      <c r="Q309" s="59" t="n"/>
      <c r="R309" s="59" t="n"/>
      <c r="S309" s="14" t="n"/>
      <c r="U309" s="53" t="n"/>
      <c r="V309" s="53" t="n"/>
      <c r="W309" s="53" t="n"/>
      <c r="X309" s="53" t="n"/>
      <c r="Y309" s="53" t="n"/>
      <c r="Z309" s="53" t="n"/>
      <c r="AA309" s="53" t="n"/>
      <c r="AB309" s="53" t="n"/>
      <c r="AC309" s="53" t="n"/>
      <c r="AD309" s="53" t="n"/>
      <c r="AE309" s="53" t="n"/>
      <c r="AF309" s="53" t="n"/>
      <c r="AG309" s="53" t="n"/>
      <c r="AH309" s="53" t="n"/>
      <c r="AI309" s="53" t="n"/>
      <c r="AJ309" s="53" t="n"/>
      <c r="AK309" s="53" t="n"/>
      <c r="AL309" s="53" t="n"/>
      <c r="AM309" s="53" t="n"/>
      <c r="AN309" s="53" t="n"/>
      <c r="AO309" s="53" t="n"/>
      <c r="AP309" s="53" t="n"/>
      <c r="AQ309" s="53" t="n"/>
      <c r="AR309" s="53" t="n"/>
      <c r="AS309" s="53" t="n"/>
      <c r="AT309" s="53" t="n"/>
      <c r="AU309" s="53" t="n"/>
      <c r="AV309" s="53" t="n"/>
      <c r="AW309" s="53" t="n"/>
      <c r="AX309" s="53" t="n"/>
      <c r="AY309" s="53" t="n"/>
    </row>
    <row r="310" ht="15" customHeight="1">
      <c r="A310" s="40">
        <f>IF($D$310="","",100)</f>
        <v/>
      </c>
      <c r="B310" s="10" t="n"/>
      <c r="C310" s="41" t="inlineStr">
        <is>
          <t>기타</t>
        </is>
      </c>
      <c r="D310" s="42" t="n"/>
      <c r="E310" s="43" t="inlineStr">
        <is>
          <t>기획</t>
        </is>
      </c>
      <c r="F310" s="44" t="n"/>
      <c r="G310" s="45" t="n"/>
      <c r="H310" s="46">
        <f>IF($I$310="","",IF($I$310&lt;0,"🔴지연",IF($I$310&lt;=1,"🟡임박","🟢여유")))</f>
        <v/>
      </c>
      <c r="I310" s="47">
        <f>IF(OR($G$310="",$K$310=""),"",$G$310-$K$310)</f>
        <v/>
      </c>
      <c r="J310" s="48">
        <f>IF(SUM($L$310:$L$312)=0,"",SUM($L$310:$L$312))</f>
        <v/>
      </c>
      <c r="K310" s="49">
        <f>IF($J$310="","",MAX($N$310:$N$312))</f>
        <v/>
      </c>
      <c r="L310" s="50">
        <f>IF(SUM(U310:AY310)=0,"",SUM(U310:AY310))</f>
        <v/>
      </c>
      <c r="M310" s="51">
        <f>IFERROR(INDEX(U$2:AY$2,MATCH(TRUE,INDEX(U310:AY310&lt;&gt;"",0),0)),"")</f>
        <v/>
      </c>
      <c r="N310" s="51">
        <f>IFERROR(LOOKUP(2,1/(U310:AY310&lt;&gt;""),U$2:AY$2),"")</f>
        <v/>
      </c>
      <c r="O310" s="52" t="n"/>
      <c r="P310" s="52" t="n"/>
      <c r="Q310" s="52" t="n"/>
      <c r="R310" s="44" t="n"/>
      <c r="S310" s="14" t="n"/>
      <c r="U310" s="53" t="n"/>
      <c r="V310" s="53" t="n"/>
      <c r="W310" s="53" t="n"/>
      <c r="X310" s="53" t="n"/>
      <c r="Y310" s="53" t="n"/>
      <c r="Z310" s="53" t="n"/>
      <c r="AA310" s="53" t="n"/>
      <c r="AB310" s="53" t="n"/>
      <c r="AC310" s="53" t="n"/>
      <c r="AD310" s="53" t="n"/>
      <c r="AE310" s="53" t="n"/>
      <c r="AF310" s="53" t="n"/>
      <c r="AG310" s="53" t="n"/>
      <c r="AH310" s="53" t="n"/>
      <c r="AI310" s="53" t="n"/>
      <c r="AJ310" s="53" t="n"/>
      <c r="AK310" s="53" t="n"/>
      <c r="AL310" s="53" t="n"/>
      <c r="AM310" s="53" t="n"/>
      <c r="AN310" s="53" t="n"/>
      <c r="AO310" s="53" t="n"/>
      <c r="AP310" s="53" t="n"/>
      <c r="AQ310" s="53" t="n"/>
      <c r="AR310" s="53" t="n"/>
      <c r="AS310" s="53" t="n"/>
      <c r="AT310" s="53" t="n"/>
      <c r="AU310" s="53" t="n"/>
      <c r="AV310" s="53" t="n"/>
      <c r="AW310" s="53" t="n"/>
      <c r="AX310" s="53" t="n"/>
      <c r="AY310" s="53" t="n"/>
    </row>
    <row r="311" ht="15" customHeight="1">
      <c r="A311" s="54" t="n"/>
      <c r="B311" s="55">
        <f>IF($B$310="","",$B$310)</f>
        <v/>
      </c>
      <c r="C311" s="56" t="inlineStr">
        <is>
          <t>기타</t>
        </is>
      </c>
      <c r="D311" s="55">
        <f>IF($D$310="","",$D$310)</f>
        <v/>
      </c>
      <c r="E311" s="57" t="inlineStr">
        <is>
          <t>이미지</t>
        </is>
      </c>
      <c r="F311" s="44" t="n"/>
      <c r="G311" s="58">
        <f>IF($G$310="","",$G$310)</f>
        <v/>
      </c>
      <c r="H311" s="59" t="n"/>
      <c r="I311" s="59" t="n"/>
      <c r="J311" s="59" t="n"/>
      <c r="K311" s="59" t="n"/>
      <c r="L311" s="60">
        <f>IF(SUM(U311:AY311)=0,"",SUM(U311:AY311))</f>
        <v/>
      </c>
      <c r="M311" s="61">
        <f>IFERROR(INDEX(U$2:AY$2,MATCH(TRUE,INDEX(U311:AY311&lt;&gt;"",0),0)),"")</f>
        <v/>
      </c>
      <c r="N311" s="61">
        <f>IFERROR(LOOKUP(2,1/(U311:AY311&lt;&gt;""),U$2:AY$2),"")</f>
        <v/>
      </c>
      <c r="O311" s="59" t="n"/>
      <c r="P311" s="59" t="n"/>
      <c r="Q311" s="59" t="n"/>
      <c r="R311" s="59" t="n"/>
      <c r="S311" s="14" t="n"/>
      <c r="U311" s="53" t="n"/>
      <c r="V311" s="53" t="n"/>
      <c r="W311" s="53" t="n"/>
      <c r="X311" s="53" t="n"/>
      <c r="Y311" s="53" t="n"/>
      <c r="Z311" s="53" t="n"/>
      <c r="AA311" s="53" t="n"/>
      <c r="AB311" s="53" t="n"/>
      <c r="AC311" s="53" t="n"/>
      <c r="AD311" s="53" t="n"/>
      <c r="AE311" s="53" t="n"/>
      <c r="AF311" s="53" t="n"/>
      <c r="AG311" s="53" t="n"/>
      <c r="AH311" s="53" t="n"/>
      <c r="AI311" s="53" t="n"/>
      <c r="AJ311" s="53" t="n"/>
      <c r="AK311" s="53" t="n"/>
      <c r="AL311" s="53" t="n"/>
      <c r="AM311" s="53" t="n"/>
      <c r="AN311" s="53" t="n"/>
      <c r="AO311" s="53" t="n"/>
      <c r="AP311" s="53" t="n"/>
      <c r="AQ311" s="53" t="n"/>
      <c r="AR311" s="53" t="n"/>
      <c r="AS311" s="53" t="n"/>
      <c r="AT311" s="53" t="n"/>
      <c r="AU311" s="53" t="n"/>
      <c r="AV311" s="53" t="n"/>
      <c r="AW311" s="53" t="n"/>
      <c r="AX311" s="53" t="n"/>
      <c r="AY311" s="53" t="n"/>
    </row>
    <row r="312" ht="15" customHeight="1">
      <c r="A312" s="62" t="n"/>
      <c r="B312" s="55">
        <f>IF($B$310="","",$B$310)</f>
        <v/>
      </c>
      <c r="C312" s="63" t="inlineStr">
        <is>
          <t>기타</t>
        </is>
      </c>
      <c r="D312" s="55">
        <f>IF($D$310="","",$D$310)</f>
        <v/>
      </c>
      <c r="E312" s="64" t="inlineStr">
        <is>
          <t>영상</t>
        </is>
      </c>
      <c r="F312" s="44" t="n"/>
      <c r="G312" s="58">
        <f>IF($G$310="","",$G$310)</f>
        <v/>
      </c>
      <c r="H312" s="59" t="n"/>
      <c r="I312" s="59" t="n"/>
      <c r="J312" s="59" t="n"/>
      <c r="K312" s="59" t="n"/>
      <c r="L312" s="65">
        <f>IF(SUM(U312:AY312)=0,"",SUM(U312:AY312))</f>
        <v/>
      </c>
      <c r="M312" s="66">
        <f>IFERROR(INDEX(U$2:AY$2,MATCH(TRUE,INDEX(U312:AY312&lt;&gt;"",0),0)),"")</f>
        <v/>
      </c>
      <c r="N312" s="66">
        <f>IFERROR(LOOKUP(2,1/(U312:AY312&lt;&gt;""),U$2:AY$2),"")</f>
        <v/>
      </c>
      <c r="O312" s="59" t="n"/>
      <c r="P312" s="59" t="n"/>
      <c r="Q312" s="59" t="n"/>
      <c r="R312" s="59" t="n"/>
      <c r="S312" s="14" t="n"/>
      <c r="U312" s="53" t="n"/>
      <c r="V312" s="53" t="n"/>
      <c r="W312" s="53" t="n"/>
      <c r="X312" s="53" t="n"/>
      <c r="Y312" s="53" t="n"/>
      <c r="Z312" s="53" t="n"/>
      <c r="AA312" s="53" t="n"/>
      <c r="AB312" s="53" t="n"/>
      <c r="AC312" s="53" t="n"/>
      <c r="AD312" s="53" t="n"/>
      <c r="AE312" s="53" t="n"/>
      <c r="AF312" s="53" t="n"/>
      <c r="AG312" s="53" t="n"/>
      <c r="AH312" s="53" t="n"/>
      <c r="AI312" s="53" t="n"/>
      <c r="AJ312" s="53" t="n"/>
      <c r="AK312" s="53" t="n"/>
      <c r="AL312" s="53" t="n"/>
      <c r="AM312" s="53" t="n"/>
      <c r="AN312" s="53" t="n"/>
      <c r="AO312" s="53" t="n"/>
      <c r="AP312" s="53" t="n"/>
      <c r="AQ312" s="53" t="n"/>
      <c r="AR312" s="53" t="n"/>
      <c r="AS312" s="53" t="n"/>
      <c r="AT312" s="53" t="n"/>
      <c r="AU312" s="53" t="n"/>
      <c r="AV312" s="53" t="n"/>
      <c r="AW312" s="53" t="n"/>
      <c r="AX312" s="53" t="n"/>
      <c r="AY312" s="53" t="n"/>
    </row>
    <row r="315">
      <c r="A315" s="67" t="inlineStr">
        <is>
          <t>담당자 1일 캐파(MD)</t>
        </is>
      </c>
      <c r="B315" s="68">
        <f>'마스터'!$J$5</f>
        <v/>
      </c>
    </row>
    <row r="316">
      <c r="A316" s="67" t="inlineStr">
        <is>
          <t>공휴일(자동 연동)</t>
        </is>
      </c>
    </row>
    <row r="317">
      <c r="A317" s="67">
        <f>'마스터'!$I$13</f>
        <v/>
      </c>
      <c r="B317" s="69">
        <f>'마스터'!$J$13</f>
        <v/>
      </c>
    </row>
    <row r="318">
      <c r="A318" s="67">
        <f>'마스터'!$I$14</f>
        <v/>
      </c>
      <c r="B318" s="69">
        <f>'마스터'!$J$14</f>
        <v/>
      </c>
    </row>
    <row r="319">
      <c r="A319" s="67">
        <f>'마스터'!$I$15</f>
        <v/>
      </c>
      <c r="B319" s="69">
        <f>'마스터'!$J$15</f>
        <v/>
      </c>
    </row>
    <row r="320">
      <c r="A320" s="67">
        <f>'마스터'!$I$16</f>
        <v/>
      </c>
      <c r="B320" s="69">
        <f>'마스터'!$J$16</f>
        <v/>
      </c>
    </row>
    <row r="321">
      <c r="A321" s="67">
        <f>'마스터'!$I$17</f>
        <v/>
      </c>
      <c r="B321" s="69">
        <f>'마스터'!$J$17</f>
        <v/>
      </c>
    </row>
    <row r="322">
      <c r="A322" s="67">
        <f>'마스터'!$I$18</f>
        <v/>
      </c>
      <c r="B322" s="69">
        <f>'마스터'!$J$18</f>
        <v/>
      </c>
    </row>
    <row r="323">
      <c r="A323" s="67">
        <f>'마스터'!$I$19</f>
        <v/>
      </c>
      <c r="B323" s="69">
        <f>'마스터'!$J$19</f>
        <v/>
      </c>
    </row>
    <row r="324">
      <c r="A324" s="67">
        <f>'마스터'!$I$20</f>
        <v/>
      </c>
      <c r="B324" s="69">
        <f>'마스터'!$J$20</f>
        <v/>
      </c>
    </row>
    <row r="325">
      <c r="A325" s="67">
        <f>'마스터'!$I$21</f>
        <v/>
      </c>
      <c r="B325" s="69">
        <f>'마스터'!$J$21</f>
        <v/>
      </c>
    </row>
    <row r="326">
      <c r="A326" s="67">
        <f>'마스터'!$I$22</f>
        <v/>
      </c>
      <c r="B326" s="69">
        <f>'마스터'!$J$22</f>
        <v/>
      </c>
    </row>
    <row r="327">
      <c r="A327" s="67">
        <f>'마스터'!$I$23</f>
        <v/>
      </c>
      <c r="B327" s="69">
        <f>'마스터'!$J$23</f>
        <v/>
      </c>
    </row>
    <row r="328">
      <c r="A328" s="67">
        <f>'마스터'!$I$24</f>
        <v/>
      </c>
      <c r="B328" s="69">
        <f>'마스터'!$J$24</f>
        <v/>
      </c>
    </row>
    <row r="329">
      <c r="A329" s="67">
        <f>'마스터'!$I$25</f>
        <v/>
      </c>
      <c r="B329" s="69">
        <f>'마스터'!$J$25</f>
        <v/>
      </c>
    </row>
    <row r="330">
      <c r="A330" s="67">
        <f>'마스터'!$I$26</f>
        <v/>
      </c>
      <c r="B330" s="69">
        <f>'마스터'!$J$26</f>
        <v/>
      </c>
    </row>
    <row r="331">
      <c r="A331" s="67">
        <f>'마스터'!$I$27</f>
        <v/>
      </c>
      <c r="B331" s="69">
        <f>'마스터'!$J$27</f>
        <v/>
      </c>
    </row>
  </sheetData>
  <mergeCells count="16">
    <mergeCell ref="L1:N1"/>
    <mergeCell ref="A252:AY252"/>
    <mergeCell ref="O1:Q1"/>
    <mergeCell ref="A191:AY191"/>
    <mergeCell ref="A1:F1"/>
    <mergeCell ref="A5:F5"/>
    <mergeCell ref="A130:AY130"/>
    <mergeCell ref="G1:K1"/>
    <mergeCell ref="A8:AY8"/>
    <mergeCell ref="U1:AY1"/>
    <mergeCell ref="A6:F6"/>
    <mergeCell ref="A4:F4"/>
    <mergeCell ref="A3:F3"/>
    <mergeCell ref="A7:AY7"/>
    <mergeCell ref="A69:AY69"/>
    <mergeCell ref="R1:S1"/>
  </mergeCells>
  <conditionalFormatting sqref="U3:AY6">
    <cfRule type="expression" priority="1" dxfId="3">
      <formula>AND(U3&lt;&gt;"",U3&gt;$H3)</formula>
    </cfRule>
    <cfRule type="expression" priority="2" dxfId="4">
      <formula>AND(U3&gt;0,U3&gt;=$H3*0.8)</formula>
    </cfRule>
  </conditionalFormatting>
  <conditionalFormatting sqref="U3:AY312">
    <cfRule type="expression" priority="3" dxfId="5">
      <formula>U$2=""</formula>
    </cfRule>
    <cfRule type="expression" priority="4" dxfId="6">
      <formula>AND(U$2&lt;&gt;"",OR(WEEKDAY(U$2,2)&gt;5,COUNTIF($B$317:$B$331,U$2)&gt;0))</formula>
    </cfRule>
  </conditionalFormatting>
  <conditionalFormatting sqref="U9:AY312">
    <cfRule type="expression" priority="5" dxfId="7">
      <formula>AND(U9&lt;&gt;"",$G9&lt;&gt;"",U$2&lt;&gt;"",U$2&gt;$G9)</formula>
    </cfRule>
    <cfRule type="expression" priority="6" dxfId="8">
      <formula>AND($F9&lt;&gt;"",U9&lt;&gt;"",SUMIF($F$9:$F$312,$F9,U$9:U$312)&gt;$B$315)</formula>
    </cfRule>
    <cfRule type="expression" priority="7" dxfId="9">
      <formula>AND($E9="기획",U9&lt;&gt;"")</formula>
    </cfRule>
    <cfRule type="expression" priority="8" dxfId="10">
      <formula>AND($E9="이미지",U9&lt;&gt;"")</formula>
    </cfRule>
    <cfRule type="expression" priority="9" dxfId="11">
      <formula>AND($E9="영상",U9&lt;&gt;"")</formula>
    </cfRule>
  </conditionalFormatting>
  <conditionalFormatting sqref="H9:I312">
    <cfRule type="expression" priority="10" dxfId="12">
      <formula>AND($I9&lt;&gt;"",$I9&lt;0)</formula>
    </cfRule>
    <cfRule type="expression" priority="11" dxfId="13">
      <formula>AND($I9&lt;&gt;"",$I9&lt;=1)</formula>
    </cfRule>
    <cfRule type="expression" priority="12" dxfId="14">
      <formula>$I9&lt;&gt;""</formula>
    </cfRule>
  </conditionalFormatting>
  <dataValidations count="2">
    <dataValidation sqref="B9:B312" showDropDown="0" showInputMessage="0" showErrorMessage="0" allowBlank="1" type="list">
      <formula1>'마스터'!$A$3:$A$12</formula1>
    </dataValidation>
    <dataValidation sqref="R9:R312" showDropDown="0" showInputMessage="0" showErrorMessage="0" allowBlank="1" type="list">
      <formula1>'마스터'!$G$3:$G$6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F2A44"/>
    <outlinePr summaryBelow="1" summaryRight="1"/>
    <pageSetUpPr/>
  </sheetPr>
  <dimension ref="A1:AY331"/>
  <sheetViews>
    <sheetView workbookViewId="0">
      <pane xSplit="8" ySplit="8" topLeftCell="I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28" customWidth="1" min="4" max="4"/>
    <col width="8" customWidth="1" min="5" max="5"/>
    <col width="10" customWidth="1" min="6" max="6"/>
    <col width="11" customWidth="1" min="7" max="7"/>
    <col width="9" customWidth="1" min="8" max="8"/>
    <col width="8" customWidth="1" min="9" max="9"/>
    <col width="8" customWidth="1" min="10" max="10"/>
    <col width="11" customWidth="1" min="11" max="11"/>
    <col width="8" customWidth="1" min="12" max="12"/>
    <col width="10" customWidth="1" min="13" max="13"/>
    <col width="10" customWidth="1" min="14" max="14"/>
    <col width="6" customWidth="1" min="15" max="15"/>
    <col width="6" customWidth="1" min="16" max="16"/>
    <col width="6" customWidth="1" min="17" max="17"/>
    <col width="8" customWidth="1" min="18" max="18"/>
    <col width="16" customWidth="1" min="19" max="19"/>
    <col width="2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3.6" customWidth="1" min="33" max="33"/>
    <col width="3.6" customWidth="1" min="34" max="34"/>
    <col width="3.6" customWidth="1" min="35" max="35"/>
    <col width="3.6" customWidth="1" min="36" max="36"/>
    <col width="3.6" customWidth="1" min="37" max="37"/>
    <col width="3.6" customWidth="1" min="38" max="38"/>
    <col width="3.6" customWidth="1" min="39" max="39"/>
    <col width="3.6" customWidth="1" min="40" max="40"/>
    <col width="3.6" customWidth="1" min="41" max="41"/>
    <col width="3.6" customWidth="1" min="42" max="42"/>
    <col width="3.6" customWidth="1" min="43" max="43"/>
    <col width="3.6" customWidth="1" min="44" max="44"/>
    <col width="3.6" customWidth="1" min="45" max="45"/>
    <col width="3.6" customWidth="1" min="46" max="46"/>
    <col width="3.6" customWidth="1" min="47" max="47"/>
    <col width="3.6" customWidth="1" min="48" max="48"/>
    <col width="3.6" customWidth="1" min="49" max="49"/>
    <col width="3.6" customWidth="1" min="50" max="50"/>
    <col width="3.6" customWidth="1" min="51" max="51"/>
  </cols>
  <sheetData>
    <row r="1" ht="22" customHeight="1">
      <c r="A1" s="27" t="inlineStr">
        <is>
          <t>12월 소재 정보  (소재 1개 = 기획/이미지/영상 3줄)</t>
        </is>
      </c>
      <c r="B1" s="8" t="n"/>
      <c r="C1" s="8" t="n"/>
      <c r="D1" s="8" t="n"/>
      <c r="E1" s="8" t="n"/>
      <c r="F1" s="4" t="n"/>
      <c r="G1" s="28" t="inlineStr">
        <is>
          <t>고객사 전달일 기준 (자동)</t>
        </is>
      </c>
      <c r="H1" s="8" t="n"/>
      <c r="I1" s="8" t="n"/>
      <c r="J1" s="8" t="n"/>
      <c r="K1" s="4" t="n"/>
      <c r="L1" s="29" t="inlineStr">
        <is>
          <t>직군별 집계 (자동)</t>
        </is>
      </c>
      <c r="M1" s="8" t="n"/>
      <c r="N1" s="4" t="n"/>
      <c r="O1" s="30" t="inlineStr">
        <is>
          <t>수량 (소재당 1번)</t>
        </is>
      </c>
      <c r="P1" s="8" t="n"/>
      <c r="Q1" s="4" t="n"/>
      <c r="R1" s="31" t="inlineStr">
        <is>
          <t>관리</t>
        </is>
      </c>
      <c r="S1" s="4" t="n"/>
      <c r="U1" s="32" t="inlineStr">
        <is>
          <t>12월 간트 - 날짜 칸에 실제 MD 직접 입력   |   상단 4줄 = 일자별 직군 TO 상태</t>
        </is>
      </c>
      <c r="V1" s="8" t="n"/>
      <c r="W1" s="8" t="n"/>
      <c r="X1" s="8" t="n"/>
      <c r="Y1" s="8" t="n"/>
      <c r="Z1" s="8" t="n"/>
      <c r="AA1" s="8" t="n"/>
      <c r="AB1" s="8" t="n"/>
      <c r="AC1" s="8" t="n"/>
      <c r="AD1" s="8" t="n"/>
      <c r="AE1" s="8" t="n"/>
      <c r="AF1" s="8" t="n"/>
      <c r="AG1" s="8" t="n"/>
      <c r="AH1" s="8" t="n"/>
      <c r="AI1" s="8" t="n"/>
      <c r="AJ1" s="8" t="n"/>
      <c r="AK1" s="8" t="n"/>
      <c r="AL1" s="8" t="n"/>
      <c r="AM1" s="8" t="n"/>
      <c r="AN1" s="8" t="n"/>
      <c r="AO1" s="8" t="n"/>
      <c r="AP1" s="8" t="n"/>
      <c r="AQ1" s="8" t="n"/>
      <c r="AR1" s="8" t="n"/>
      <c r="AS1" s="8" t="n"/>
      <c r="AT1" s="8" t="n"/>
      <c r="AU1" s="8" t="n"/>
      <c r="AV1" s="8" t="n"/>
      <c r="AW1" s="8" t="n"/>
      <c r="AX1" s="8" t="n"/>
      <c r="AY1" s="4" t="n"/>
    </row>
    <row r="2" ht="30" customHeight="1">
      <c r="A2" s="17" t="inlineStr">
        <is>
          <t>No</t>
        </is>
      </c>
      <c r="B2" s="17" t="inlineStr">
        <is>
          <t>게임 타이틀</t>
        </is>
      </c>
      <c r="C2" s="17" t="inlineStr">
        <is>
          <t>고객팀</t>
        </is>
      </c>
      <c r="D2" s="17" t="inlineStr">
        <is>
          <t>소재명(업무명)</t>
        </is>
      </c>
      <c r="E2" s="17" t="inlineStr">
        <is>
          <t>직군</t>
        </is>
      </c>
      <c r="F2" s="17" t="inlineStr">
        <is>
          <t>담당자</t>
        </is>
      </c>
      <c r="G2" s="17" t="inlineStr">
        <is>
          <t>고객사
전달일</t>
        </is>
      </c>
      <c r="H2" s="17" t="inlineStr">
        <is>
          <t>신호</t>
        </is>
      </c>
      <c r="I2" s="17" t="inlineStr">
        <is>
          <t>전달일
여유</t>
        </is>
      </c>
      <c r="J2" s="17" t="inlineStr">
        <is>
          <t>소재
총MD</t>
        </is>
      </c>
      <c r="K2" s="17" t="inlineStr">
        <is>
          <t>소재
최종완료</t>
        </is>
      </c>
      <c r="L2" s="17" t="inlineStr">
        <is>
          <t>직군
MD</t>
        </is>
      </c>
      <c r="M2" s="17" t="inlineStr">
        <is>
          <t>직군
시작일</t>
        </is>
      </c>
      <c r="N2" s="17" t="inlineStr">
        <is>
          <t>직군
완료일</t>
        </is>
      </c>
      <c r="O2" s="17" t="inlineStr">
        <is>
          <t>영상
수</t>
        </is>
      </c>
      <c r="P2" s="17" t="inlineStr">
        <is>
          <t>사이즈
베리</t>
        </is>
      </c>
      <c r="Q2" s="17" t="inlineStr">
        <is>
          <t>다국어
베리</t>
        </is>
      </c>
      <c r="R2" s="17" t="inlineStr">
        <is>
          <t>상태</t>
        </is>
      </c>
      <c r="S2" s="17" t="inlineStr">
        <is>
          <t>비고</t>
        </is>
      </c>
      <c r="U2" s="33">
        <f>IF(MONTH(DATE('마스터'!$J$3,12,1)+0)=12,DATE('마스터'!$J$3,12,1)+0,"")</f>
        <v/>
      </c>
      <c r="V2" s="33">
        <f>IF(MONTH(DATE('마스터'!$J$3,12,1)+1)=12,DATE('마스터'!$J$3,12,1)+1,"")</f>
        <v/>
      </c>
      <c r="W2" s="33">
        <f>IF(MONTH(DATE('마스터'!$J$3,12,1)+2)=12,DATE('마스터'!$J$3,12,1)+2,"")</f>
        <v/>
      </c>
      <c r="X2" s="33">
        <f>IF(MONTH(DATE('마스터'!$J$3,12,1)+3)=12,DATE('마스터'!$J$3,12,1)+3,"")</f>
        <v/>
      </c>
      <c r="Y2" s="33">
        <f>IF(MONTH(DATE('마스터'!$J$3,12,1)+4)=12,DATE('마스터'!$J$3,12,1)+4,"")</f>
        <v/>
      </c>
      <c r="Z2" s="33">
        <f>IF(MONTH(DATE('마스터'!$J$3,12,1)+5)=12,DATE('마스터'!$J$3,12,1)+5,"")</f>
        <v/>
      </c>
      <c r="AA2" s="33">
        <f>IF(MONTH(DATE('마스터'!$J$3,12,1)+6)=12,DATE('마스터'!$J$3,12,1)+6,"")</f>
        <v/>
      </c>
      <c r="AB2" s="33">
        <f>IF(MONTH(DATE('마스터'!$J$3,12,1)+7)=12,DATE('마스터'!$J$3,12,1)+7,"")</f>
        <v/>
      </c>
      <c r="AC2" s="33">
        <f>IF(MONTH(DATE('마스터'!$J$3,12,1)+8)=12,DATE('마스터'!$J$3,12,1)+8,"")</f>
        <v/>
      </c>
      <c r="AD2" s="33">
        <f>IF(MONTH(DATE('마스터'!$J$3,12,1)+9)=12,DATE('마스터'!$J$3,12,1)+9,"")</f>
        <v/>
      </c>
      <c r="AE2" s="33">
        <f>IF(MONTH(DATE('마스터'!$J$3,12,1)+10)=12,DATE('마스터'!$J$3,12,1)+10,"")</f>
        <v/>
      </c>
      <c r="AF2" s="33">
        <f>IF(MONTH(DATE('마스터'!$J$3,12,1)+11)=12,DATE('마스터'!$J$3,12,1)+11,"")</f>
        <v/>
      </c>
      <c r="AG2" s="33">
        <f>IF(MONTH(DATE('마스터'!$J$3,12,1)+12)=12,DATE('마스터'!$J$3,12,1)+12,"")</f>
        <v/>
      </c>
      <c r="AH2" s="33">
        <f>IF(MONTH(DATE('마스터'!$J$3,12,1)+13)=12,DATE('마스터'!$J$3,12,1)+13,"")</f>
        <v/>
      </c>
      <c r="AI2" s="33">
        <f>IF(MONTH(DATE('마스터'!$J$3,12,1)+14)=12,DATE('마스터'!$J$3,12,1)+14,"")</f>
        <v/>
      </c>
      <c r="AJ2" s="33">
        <f>IF(MONTH(DATE('마스터'!$J$3,12,1)+15)=12,DATE('마스터'!$J$3,12,1)+15,"")</f>
        <v/>
      </c>
      <c r="AK2" s="33">
        <f>IF(MONTH(DATE('마스터'!$J$3,12,1)+16)=12,DATE('마스터'!$J$3,12,1)+16,"")</f>
        <v/>
      </c>
      <c r="AL2" s="33">
        <f>IF(MONTH(DATE('마스터'!$J$3,12,1)+17)=12,DATE('마스터'!$J$3,12,1)+17,"")</f>
        <v/>
      </c>
      <c r="AM2" s="33">
        <f>IF(MONTH(DATE('마스터'!$J$3,12,1)+18)=12,DATE('마스터'!$J$3,12,1)+18,"")</f>
        <v/>
      </c>
      <c r="AN2" s="33">
        <f>IF(MONTH(DATE('마스터'!$J$3,12,1)+19)=12,DATE('마스터'!$J$3,12,1)+19,"")</f>
        <v/>
      </c>
      <c r="AO2" s="33">
        <f>IF(MONTH(DATE('마스터'!$J$3,12,1)+20)=12,DATE('마스터'!$J$3,12,1)+20,"")</f>
        <v/>
      </c>
      <c r="AP2" s="33">
        <f>IF(MONTH(DATE('마스터'!$J$3,12,1)+21)=12,DATE('마스터'!$J$3,12,1)+21,"")</f>
        <v/>
      </c>
      <c r="AQ2" s="33">
        <f>IF(MONTH(DATE('마스터'!$J$3,12,1)+22)=12,DATE('마스터'!$J$3,12,1)+22,"")</f>
        <v/>
      </c>
      <c r="AR2" s="33">
        <f>IF(MONTH(DATE('마스터'!$J$3,12,1)+23)=12,DATE('마스터'!$J$3,12,1)+23,"")</f>
        <v/>
      </c>
      <c r="AS2" s="33">
        <f>IF(MONTH(DATE('마스터'!$J$3,12,1)+24)=12,DATE('마스터'!$J$3,12,1)+24,"")</f>
        <v/>
      </c>
      <c r="AT2" s="33">
        <f>IF(MONTH(DATE('마스터'!$J$3,12,1)+25)=12,DATE('마스터'!$J$3,12,1)+25,"")</f>
        <v/>
      </c>
      <c r="AU2" s="33">
        <f>IF(MONTH(DATE('마스터'!$J$3,12,1)+26)=12,DATE('마스터'!$J$3,12,1)+26,"")</f>
        <v/>
      </c>
      <c r="AV2" s="33">
        <f>IF(MONTH(DATE('마스터'!$J$3,12,1)+27)=12,DATE('마스터'!$J$3,12,1)+27,"")</f>
        <v/>
      </c>
      <c r="AW2" s="33">
        <f>IF(MONTH(DATE('마스터'!$J$3,12,1)+28)=12,DATE('마스터'!$J$3,12,1)+28,"")</f>
        <v/>
      </c>
      <c r="AX2" s="33">
        <f>IF(MONTH(DATE('마스터'!$J$3,12,1)+29)=12,DATE('마스터'!$J$3,12,1)+29,"")</f>
        <v/>
      </c>
      <c r="AY2" s="33">
        <f>IF(MONTH(DATE('마스터'!$J$3,12,1)+30)=12,DATE('마스터'!$J$3,12,1)+30,"")</f>
        <v/>
      </c>
    </row>
    <row r="3" ht="15" customHeight="1">
      <c r="A3" s="5" t="inlineStr">
        <is>
          <t>전체 TO (일자별 부하)</t>
        </is>
      </c>
      <c r="B3" s="8" t="n"/>
      <c r="C3" s="8" t="n"/>
      <c r="D3" s="8" t="n"/>
      <c r="E3" s="8" t="n"/>
      <c r="F3" s="4" t="n"/>
      <c r="G3" s="34" t="inlineStr">
        <is>
          <t>정원</t>
        </is>
      </c>
      <c r="H3" s="35">
        <f>SUM('마스터'!$J$8:$J$10)</f>
        <v/>
      </c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U3" s="37">
        <f>SUM(U$9:U$312)</f>
        <v/>
      </c>
      <c r="V3" s="37">
        <f>SUM(V$9:V$312)</f>
        <v/>
      </c>
      <c r="W3" s="37">
        <f>SUM(W$9:W$312)</f>
        <v/>
      </c>
      <c r="X3" s="37">
        <f>SUM(X$9:X$312)</f>
        <v/>
      </c>
      <c r="Y3" s="37">
        <f>SUM(Y$9:Y$312)</f>
        <v/>
      </c>
      <c r="Z3" s="37">
        <f>SUM(Z$9:Z$312)</f>
        <v/>
      </c>
      <c r="AA3" s="37">
        <f>SUM(AA$9:AA$312)</f>
        <v/>
      </c>
      <c r="AB3" s="37">
        <f>SUM(AB$9:AB$312)</f>
        <v/>
      </c>
      <c r="AC3" s="37">
        <f>SUM(AC$9:AC$312)</f>
        <v/>
      </c>
      <c r="AD3" s="37">
        <f>SUM(AD$9:AD$312)</f>
        <v/>
      </c>
      <c r="AE3" s="37">
        <f>SUM(AE$9:AE$312)</f>
        <v/>
      </c>
      <c r="AF3" s="37">
        <f>SUM(AF$9:AF$312)</f>
        <v/>
      </c>
      <c r="AG3" s="37">
        <f>SUM(AG$9:AG$312)</f>
        <v/>
      </c>
      <c r="AH3" s="37">
        <f>SUM(AH$9:AH$312)</f>
        <v/>
      </c>
      <c r="AI3" s="37">
        <f>SUM(AI$9:AI$312)</f>
        <v/>
      </c>
      <c r="AJ3" s="37">
        <f>SUM(AJ$9:AJ$312)</f>
        <v/>
      </c>
      <c r="AK3" s="37">
        <f>SUM(AK$9:AK$312)</f>
        <v/>
      </c>
      <c r="AL3" s="37">
        <f>SUM(AL$9:AL$312)</f>
        <v/>
      </c>
      <c r="AM3" s="37">
        <f>SUM(AM$9:AM$312)</f>
        <v/>
      </c>
      <c r="AN3" s="37">
        <f>SUM(AN$9:AN$312)</f>
        <v/>
      </c>
      <c r="AO3" s="37">
        <f>SUM(AO$9:AO$312)</f>
        <v/>
      </c>
      <c r="AP3" s="37">
        <f>SUM(AP$9:AP$312)</f>
        <v/>
      </c>
      <c r="AQ3" s="37">
        <f>SUM(AQ$9:AQ$312)</f>
        <v/>
      </c>
      <c r="AR3" s="37">
        <f>SUM(AR$9:AR$312)</f>
        <v/>
      </c>
      <c r="AS3" s="37">
        <f>SUM(AS$9:AS$312)</f>
        <v/>
      </c>
      <c r="AT3" s="37">
        <f>SUM(AT$9:AT$312)</f>
        <v/>
      </c>
      <c r="AU3" s="37">
        <f>SUM(AU$9:AU$312)</f>
        <v/>
      </c>
      <c r="AV3" s="37">
        <f>SUM(AV$9:AV$312)</f>
        <v/>
      </c>
      <c r="AW3" s="37">
        <f>SUM(AW$9:AW$312)</f>
        <v/>
      </c>
      <c r="AX3" s="37">
        <f>SUM(AX$9:AX$312)</f>
        <v/>
      </c>
      <c r="AY3" s="37">
        <f>SUM(AY$9:AY$312)</f>
        <v/>
      </c>
    </row>
    <row r="4" ht="15" customHeight="1">
      <c r="A4" s="5" t="inlineStr">
        <is>
          <t>영상 TO</t>
        </is>
      </c>
      <c r="B4" s="8" t="n"/>
      <c r="C4" s="8" t="n"/>
      <c r="D4" s="8" t="n"/>
      <c r="E4" s="8" t="n"/>
      <c r="F4" s="4" t="n"/>
      <c r="G4" s="34" t="inlineStr">
        <is>
          <t>정원</t>
        </is>
      </c>
      <c r="H4" s="35">
        <f>'마스터'!$J$8</f>
        <v/>
      </c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U4" s="37">
        <f>SUMIF($E$9:$E$312,"영상",U$9:U$312)</f>
        <v/>
      </c>
      <c r="V4" s="37">
        <f>SUMIF($E$9:$E$312,"영상",V$9:V$312)</f>
        <v/>
      </c>
      <c r="W4" s="37">
        <f>SUMIF($E$9:$E$312,"영상",W$9:W$312)</f>
        <v/>
      </c>
      <c r="X4" s="37">
        <f>SUMIF($E$9:$E$312,"영상",X$9:X$312)</f>
        <v/>
      </c>
      <c r="Y4" s="37">
        <f>SUMIF($E$9:$E$312,"영상",Y$9:Y$312)</f>
        <v/>
      </c>
      <c r="Z4" s="37">
        <f>SUMIF($E$9:$E$312,"영상",Z$9:Z$312)</f>
        <v/>
      </c>
      <c r="AA4" s="37">
        <f>SUMIF($E$9:$E$312,"영상",AA$9:AA$312)</f>
        <v/>
      </c>
      <c r="AB4" s="37">
        <f>SUMIF($E$9:$E$312,"영상",AB$9:AB$312)</f>
        <v/>
      </c>
      <c r="AC4" s="37">
        <f>SUMIF($E$9:$E$312,"영상",AC$9:AC$312)</f>
        <v/>
      </c>
      <c r="AD4" s="37">
        <f>SUMIF($E$9:$E$312,"영상",AD$9:AD$312)</f>
        <v/>
      </c>
      <c r="AE4" s="37">
        <f>SUMIF($E$9:$E$312,"영상",AE$9:AE$312)</f>
        <v/>
      </c>
      <c r="AF4" s="37">
        <f>SUMIF($E$9:$E$312,"영상",AF$9:AF$312)</f>
        <v/>
      </c>
      <c r="AG4" s="37">
        <f>SUMIF($E$9:$E$312,"영상",AG$9:AG$312)</f>
        <v/>
      </c>
      <c r="AH4" s="37">
        <f>SUMIF($E$9:$E$312,"영상",AH$9:AH$312)</f>
        <v/>
      </c>
      <c r="AI4" s="37">
        <f>SUMIF($E$9:$E$312,"영상",AI$9:AI$312)</f>
        <v/>
      </c>
      <c r="AJ4" s="37">
        <f>SUMIF($E$9:$E$312,"영상",AJ$9:AJ$312)</f>
        <v/>
      </c>
      <c r="AK4" s="37">
        <f>SUMIF($E$9:$E$312,"영상",AK$9:AK$312)</f>
        <v/>
      </c>
      <c r="AL4" s="37">
        <f>SUMIF($E$9:$E$312,"영상",AL$9:AL$312)</f>
        <v/>
      </c>
      <c r="AM4" s="37">
        <f>SUMIF($E$9:$E$312,"영상",AM$9:AM$312)</f>
        <v/>
      </c>
      <c r="AN4" s="37">
        <f>SUMIF($E$9:$E$312,"영상",AN$9:AN$312)</f>
        <v/>
      </c>
      <c r="AO4" s="37">
        <f>SUMIF($E$9:$E$312,"영상",AO$9:AO$312)</f>
        <v/>
      </c>
      <c r="AP4" s="37">
        <f>SUMIF($E$9:$E$312,"영상",AP$9:AP$312)</f>
        <v/>
      </c>
      <c r="AQ4" s="37">
        <f>SUMIF($E$9:$E$312,"영상",AQ$9:AQ$312)</f>
        <v/>
      </c>
      <c r="AR4" s="37">
        <f>SUMIF($E$9:$E$312,"영상",AR$9:AR$312)</f>
        <v/>
      </c>
      <c r="AS4" s="37">
        <f>SUMIF($E$9:$E$312,"영상",AS$9:AS$312)</f>
        <v/>
      </c>
      <c r="AT4" s="37">
        <f>SUMIF($E$9:$E$312,"영상",AT$9:AT$312)</f>
        <v/>
      </c>
      <c r="AU4" s="37">
        <f>SUMIF($E$9:$E$312,"영상",AU$9:AU$312)</f>
        <v/>
      </c>
      <c r="AV4" s="37">
        <f>SUMIF($E$9:$E$312,"영상",AV$9:AV$312)</f>
        <v/>
      </c>
      <c r="AW4" s="37">
        <f>SUMIF($E$9:$E$312,"영상",AW$9:AW$312)</f>
        <v/>
      </c>
      <c r="AX4" s="37">
        <f>SUMIF($E$9:$E$312,"영상",AX$9:AX$312)</f>
        <v/>
      </c>
      <c r="AY4" s="37">
        <f>SUMIF($E$9:$E$312,"영상",AY$9:AY$312)</f>
        <v/>
      </c>
    </row>
    <row r="5" ht="15" customHeight="1">
      <c r="A5" s="5" t="inlineStr">
        <is>
          <t>이미지 TO</t>
        </is>
      </c>
      <c r="B5" s="8" t="n"/>
      <c r="C5" s="8" t="n"/>
      <c r="D5" s="8" t="n"/>
      <c r="E5" s="8" t="n"/>
      <c r="F5" s="4" t="n"/>
      <c r="G5" s="34" t="inlineStr">
        <is>
          <t>정원</t>
        </is>
      </c>
      <c r="H5" s="35">
        <f>'마스터'!$J$9</f>
        <v/>
      </c>
      <c r="I5" s="36" t="n"/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  <c r="S5" s="36" t="n"/>
      <c r="U5" s="37">
        <f>SUMIF($E$9:$E$312,"이미지",U$9:U$312)</f>
        <v/>
      </c>
      <c r="V5" s="37">
        <f>SUMIF($E$9:$E$312,"이미지",V$9:V$312)</f>
        <v/>
      </c>
      <c r="W5" s="37">
        <f>SUMIF($E$9:$E$312,"이미지",W$9:W$312)</f>
        <v/>
      </c>
      <c r="X5" s="37">
        <f>SUMIF($E$9:$E$312,"이미지",X$9:X$312)</f>
        <v/>
      </c>
      <c r="Y5" s="37">
        <f>SUMIF($E$9:$E$312,"이미지",Y$9:Y$312)</f>
        <v/>
      </c>
      <c r="Z5" s="37">
        <f>SUMIF($E$9:$E$312,"이미지",Z$9:Z$312)</f>
        <v/>
      </c>
      <c r="AA5" s="37">
        <f>SUMIF($E$9:$E$312,"이미지",AA$9:AA$312)</f>
        <v/>
      </c>
      <c r="AB5" s="37">
        <f>SUMIF($E$9:$E$312,"이미지",AB$9:AB$312)</f>
        <v/>
      </c>
      <c r="AC5" s="37">
        <f>SUMIF($E$9:$E$312,"이미지",AC$9:AC$312)</f>
        <v/>
      </c>
      <c r="AD5" s="37">
        <f>SUMIF($E$9:$E$312,"이미지",AD$9:AD$312)</f>
        <v/>
      </c>
      <c r="AE5" s="37">
        <f>SUMIF($E$9:$E$312,"이미지",AE$9:AE$312)</f>
        <v/>
      </c>
      <c r="AF5" s="37">
        <f>SUMIF($E$9:$E$312,"이미지",AF$9:AF$312)</f>
        <v/>
      </c>
      <c r="AG5" s="37">
        <f>SUMIF($E$9:$E$312,"이미지",AG$9:AG$312)</f>
        <v/>
      </c>
      <c r="AH5" s="37">
        <f>SUMIF($E$9:$E$312,"이미지",AH$9:AH$312)</f>
        <v/>
      </c>
      <c r="AI5" s="37">
        <f>SUMIF($E$9:$E$312,"이미지",AI$9:AI$312)</f>
        <v/>
      </c>
      <c r="AJ5" s="37">
        <f>SUMIF($E$9:$E$312,"이미지",AJ$9:AJ$312)</f>
        <v/>
      </c>
      <c r="AK5" s="37">
        <f>SUMIF($E$9:$E$312,"이미지",AK$9:AK$312)</f>
        <v/>
      </c>
      <c r="AL5" s="37">
        <f>SUMIF($E$9:$E$312,"이미지",AL$9:AL$312)</f>
        <v/>
      </c>
      <c r="AM5" s="37">
        <f>SUMIF($E$9:$E$312,"이미지",AM$9:AM$312)</f>
        <v/>
      </c>
      <c r="AN5" s="37">
        <f>SUMIF($E$9:$E$312,"이미지",AN$9:AN$312)</f>
        <v/>
      </c>
      <c r="AO5" s="37">
        <f>SUMIF($E$9:$E$312,"이미지",AO$9:AO$312)</f>
        <v/>
      </c>
      <c r="AP5" s="37">
        <f>SUMIF($E$9:$E$312,"이미지",AP$9:AP$312)</f>
        <v/>
      </c>
      <c r="AQ5" s="37">
        <f>SUMIF($E$9:$E$312,"이미지",AQ$9:AQ$312)</f>
        <v/>
      </c>
      <c r="AR5" s="37">
        <f>SUMIF($E$9:$E$312,"이미지",AR$9:AR$312)</f>
        <v/>
      </c>
      <c r="AS5" s="37">
        <f>SUMIF($E$9:$E$312,"이미지",AS$9:AS$312)</f>
        <v/>
      </c>
      <c r="AT5" s="37">
        <f>SUMIF($E$9:$E$312,"이미지",AT$9:AT$312)</f>
        <v/>
      </c>
      <c r="AU5" s="37">
        <f>SUMIF($E$9:$E$312,"이미지",AU$9:AU$312)</f>
        <v/>
      </c>
      <c r="AV5" s="37">
        <f>SUMIF($E$9:$E$312,"이미지",AV$9:AV$312)</f>
        <v/>
      </c>
      <c r="AW5" s="37">
        <f>SUMIF($E$9:$E$312,"이미지",AW$9:AW$312)</f>
        <v/>
      </c>
      <c r="AX5" s="37">
        <f>SUMIF($E$9:$E$312,"이미지",AX$9:AX$312)</f>
        <v/>
      </c>
      <c r="AY5" s="37">
        <f>SUMIF($E$9:$E$312,"이미지",AY$9:AY$312)</f>
        <v/>
      </c>
    </row>
    <row r="6" ht="15" customHeight="1">
      <c r="A6" s="5" t="inlineStr">
        <is>
          <t>기획 TO</t>
        </is>
      </c>
      <c r="B6" s="8" t="n"/>
      <c r="C6" s="8" t="n"/>
      <c r="D6" s="8" t="n"/>
      <c r="E6" s="8" t="n"/>
      <c r="F6" s="4" t="n"/>
      <c r="G6" s="34" t="inlineStr">
        <is>
          <t>정원</t>
        </is>
      </c>
      <c r="H6" s="35">
        <f>'마스터'!$J$10</f>
        <v/>
      </c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6" t="n"/>
      <c r="S6" s="36" t="n"/>
      <c r="U6" s="37">
        <f>SUMIF($E$9:$E$312,"기획",U$9:U$312)</f>
        <v/>
      </c>
      <c r="V6" s="37">
        <f>SUMIF($E$9:$E$312,"기획",V$9:V$312)</f>
        <v/>
      </c>
      <c r="W6" s="37">
        <f>SUMIF($E$9:$E$312,"기획",W$9:W$312)</f>
        <v/>
      </c>
      <c r="X6" s="37">
        <f>SUMIF($E$9:$E$312,"기획",X$9:X$312)</f>
        <v/>
      </c>
      <c r="Y6" s="37">
        <f>SUMIF($E$9:$E$312,"기획",Y$9:Y$312)</f>
        <v/>
      </c>
      <c r="Z6" s="37">
        <f>SUMIF($E$9:$E$312,"기획",Z$9:Z$312)</f>
        <v/>
      </c>
      <c r="AA6" s="37">
        <f>SUMIF($E$9:$E$312,"기획",AA$9:AA$312)</f>
        <v/>
      </c>
      <c r="AB6" s="37">
        <f>SUMIF($E$9:$E$312,"기획",AB$9:AB$312)</f>
        <v/>
      </c>
      <c r="AC6" s="37">
        <f>SUMIF($E$9:$E$312,"기획",AC$9:AC$312)</f>
        <v/>
      </c>
      <c r="AD6" s="37">
        <f>SUMIF($E$9:$E$312,"기획",AD$9:AD$312)</f>
        <v/>
      </c>
      <c r="AE6" s="37">
        <f>SUMIF($E$9:$E$312,"기획",AE$9:AE$312)</f>
        <v/>
      </c>
      <c r="AF6" s="37">
        <f>SUMIF($E$9:$E$312,"기획",AF$9:AF$312)</f>
        <v/>
      </c>
      <c r="AG6" s="37">
        <f>SUMIF($E$9:$E$312,"기획",AG$9:AG$312)</f>
        <v/>
      </c>
      <c r="AH6" s="37">
        <f>SUMIF($E$9:$E$312,"기획",AH$9:AH$312)</f>
        <v/>
      </c>
      <c r="AI6" s="37">
        <f>SUMIF($E$9:$E$312,"기획",AI$9:AI$312)</f>
        <v/>
      </c>
      <c r="AJ6" s="37">
        <f>SUMIF($E$9:$E$312,"기획",AJ$9:AJ$312)</f>
        <v/>
      </c>
      <c r="AK6" s="37">
        <f>SUMIF($E$9:$E$312,"기획",AK$9:AK$312)</f>
        <v/>
      </c>
      <c r="AL6" s="37">
        <f>SUMIF($E$9:$E$312,"기획",AL$9:AL$312)</f>
        <v/>
      </c>
      <c r="AM6" s="37">
        <f>SUMIF($E$9:$E$312,"기획",AM$9:AM$312)</f>
        <v/>
      </c>
      <c r="AN6" s="37">
        <f>SUMIF($E$9:$E$312,"기획",AN$9:AN$312)</f>
        <v/>
      </c>
      <c r="AO6" s="37">
        <f>SUMIF($E$9:$E$312,"기획",AO$9:AO$312)</f>
        <v/>
      </c>
      <c r="AP6" s="37">
        <f>SUMIF($E$9:$E$312,"기획",AP$9:AP$312)</f>
        <v/>
      </c>
      <c r="AQ6" s="37">
        <f>SUMIF($E$9:$E$312,"기획",AQ$9:AQ$312)</f>
        <v/>
      </c>
      <c r="AR6" s="37">
        <f>SUMIF($E$9:$E$312,"기획",AR$9:AR$312)</f>
        <v/>
      </c>
      <c r="AS6" s="37">
        <f>SUMIF($E$9:$E$312,"기획",AS$9:AS$312)</f>
        <v/>
      </c>
      <c r="AT6" s="37">
        <f>SUMIF($E$9:$E$312,"기획",AT$9:AT$312)</f>
        <v/>
      </c>
      <c r="AU6" s="37">
        <f>SUMIF($E$9:$E$312,"기획",AU$9:AU$312)</f>
        <v/>
      </c>
      <c r="AV6" s="37">
        <f>SUMIF($E$9:$E$312,"기획",AV$9:AV$312)</f>
        <v/>
      </c>
      <c r="AW6" s="37">
        <f>SUMIF($E$9:$E$312,"기획",AW$9:AW$312)</f>
        <v/>
      </c>
      <c r="AX6" s="37">
        <f>SUMIF($E$9:$E$312,"기획",AX$9:AX$312)</f>
        <v/>
      </c>
      <c r="AY6" s="37">
        <f>SUMIF($E$9:$E$312,"기획",AY$9:AY$312)</f>
        <v/>
      </c>
    </row>
    <row r="7">
      <c r="A7" s="38" t="inlineStr">
        <is>
          <t>▼ 아래부터 입력. 노란칸=직접 입력 / 회색칸=자동(건드리지 마세요)</t>
        </is>
      </c>
    </row>
    <row r="8" ht="18" customHeight="1">
      <c r="A8" s="39" t="inlineStr">
        <is>
          <t>마케팅1팀   (9~68행 · 소재 20개)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4" t="n"/>
    </row>
    <row r="9" ht="15" customHeight="1">
      <c r="A9" s="40">
        <f>IF($D$9="","",1)</f>
        <v/>
      </c>
      <c r="B9" s="10" t="n"/>
      <c r="C9" s="41" t="inlineStr">
        <is>
          <t>마케팅1팀</t>
        </is>
      </c>
      <c r="D9" s="42" t="n"/>
      <c r="E9" s="43" t="inlineStr">
        <is>
          <t>기획</t>
        </is>
      </c>
      <c r="F9" s="44" t="n"/>
      <c r="G9" s="45" t="n"/>
      <c r="H9" s="46">
        <f>IF($I$9="","",IF($I$9&lt;0,"🔴지연",IF($I$9&lt;=1,"🟡임박","🟢여유")))</f>
        <v/>
      </c>
      <c r="I9" s="47">
        <f>IF(OR($G$9="",$K$9=""),"",$G$9-$K$9)</f>
        <v/>
      </c>
      <c r="J9" s="48">
        <f>IF(SUM($L$9:$L$11)=0,"",SUM($L$9:$L$11))</f>
        <v/>
      </c>
      <c r="K9" s="49">
        <f>IF($J$9="","",MAX($N$9:$N$11))</f>
        <v/>
      </c>
      <c r="L9" s="50">
        <f>IF(SUM(U9:AY9)=0,"",SUM(U9:AY9))</f>
        <v/>
      </c>
      <c r="M9" s="51">
        <f>IFERROR(INDEX(U$2:AY$2,MATCH(TRUE,INDEX(U9:AY9&lt;&gt;"",0),0)),"")</f>
        <v/>
      </c>
      <c r="N9" s="51">
        <f>IFERROR(LOOKUP(2,1/(U9:AY9&lt;&gt;""),U$2:AY$2),"")</f>
        <v/>
      </c>
      <c r="O9" s="52" t="n"/>
      <c r="P9" s="52" t="n"/>
      <c r="Q9" s="52" t="n"/>
      <c r="R9" s="44" t="n"/>
      <c r="S9" s="14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</row>
    <row r="10" ht="15" customHeight="1">
      <c r="A10" s="54" t="n"/>
      <c r="B10" s="55">
        <f>IF($B$9="","",$B$9)</f>
        <v/>
      </c>
      <c r="C10" s="56" t="inlineStr">
        <is>
          <t>마케팅1팀</t>
        </is>
      </c>
      <c r="D10" s="55">
        <f>IF($D$9="","",$D$9)</f>
        <v/>
      </c>
      <c r="E10" s="57" t="inlineStr">
        <is>
          <t>이미지</t>
        </is>
      </c>
      <c r="F10" s="44" t="n"/>
      <c r="G10" s="58">
        <f>IF($G$9="","",$G$9)</f>
        <v/>
      </c>
      <c r="H10" s="59" t="n"/>
      <c r="I10" s="59" t="n"/>
      <c r="J10" s="59" t="n"/>
      <c r="K10" s="59" t="n"/>
      <c r="L10" s="60">
        <f>IF(SUM(U10:AY10)=0,"",SUM(U10:AY10))</f>
        <v/>
      </c>
      <c r="M10" s="61">
        <f>IFERROR(INDEX(U$2:AY$2,MATCH(TRUE,INDEX(U10:AY10&lt;&gt;"",0),0)),"")</f>
        <v/>
      </c>
      <c r="N10" s="61">
        <f>IFERROR(LOOKUP(2,1/(U10:AY10&lt;&gt;""),U$2:AY$2),"")</f>
        <v/>
      </c>
      <c r="O10" s="59" t="n"/>
      <c r="P10" s="59" t="n"/>
      <c r="Q10" s="59" t="n"/>
      <c r="R10" s="59" t="n"/>
      <c r="S10" s="14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</row>
    <row r="11" ht="15" customHeight="1">
      <c r="A11" s="62" t="n"/>
      <c r="B11" s="55">
        <f>IF($B$9="","",$B$9)</f>
        <v/>
      </c>
      <c r="C11" s="63" t="inlineStr">
        <is>
          <t>마케팅1팀</t>
        </is>
      </c>
      <c r="D11" s="55">
        <f>IF($D$9="","",$D$9)</f>
        <v/>
      </c>
      <c r="E11" s="64" t="inlineStr">
        <is>
          <t>영상</t>
        </is>
      </c>
      <c r="F11" s="44" t="n"/>
      <c r="G11" s="58">
        <f>IF($G$9="","",$G$9)</f>
        <v/>
      </c>
      <c r="H11" s="59" t="n"/>
      <c r="I11" s="59" t="n"/>
      <c r="J11" s="59" t="n"/>
      <c r="K11" s="59" t="n"/>
      <c r="L11" s="65">
        <f>IF(SUM(U11:AY11)=0,"",SUM(U11:AY11))</f>
        <v/>
      </c>
      <c r="M11" s="66">
        <f>IFERROR(INDEX(U$2:AY$2,MATCH(TRUE,INDEX(U11:AY11&lt;&gt;"",0),0)),"")</f>
        <v/>
      </c>
      <c r="N11" s="66">
        <f>IFERROR(LOOKUP(2,1/(U11:AY11&lt;&gt;""),U$2:AY$2),"")</f>
        <v/>
      </c>
      <c r="O11" s="59" t="n"/>
      <c r="P11" s="59" t="n"/>
      <c r="Q11" s="59" t="n"/>
      <c r="R11" s="59" t="n"/>
      <c r="S11" s="14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</row>
    <row r="12" ht="15" customHeight="1">
      <c r="A12" s="40">
        <f>IF($D$12="","",2)</f>
        <v/>
      </c>
      <c r="B12" s="10" t="n"/>
      <c r="C12" s="41" t="inlineStr">
        <is>
          <t>마케팅1팀</t>
        </is>
      </c>
      <c r="D12" s="42" t="n"/>
      <c r="E12" s="43" t="inlineStr">
        <is>
          <t>기획</t>
        </is>
      </c>
      <c r="F12" s="44" t="n"/>
      <c r="G12" s="45" t="n"/>
      <c r="H12" s="46">
        <f>IF($I$12="","",IF($I$12&lt;0,"🔴지연",IF($I$12&lt;=1,"🟡임박","🟢여유")))</f>
        <v/>
      </c>
      <c r="I12" s="47">
        <f>IF(OR($G$12="",$K$12=""),"",$G$12-$K$12)</f>
        <v/>
      </c>
      <c r="J12" s="48">
        <f>IF(SUM($L$12:$L$14)=0,"",SUM($L$12:$L$14))</f>
        <v/>
      </c>
      <c r="K12" s="49">
        <f>IF($J$12="","",MAX($N$12:$N$14))</f>
        <v/>
      </c>
      <c r="L12" s="50">
        <f>IF(SUM(U12:AY12)=0,"",SUM(U12:AY12))</f>
        <v/>
      </c>
      <c r="M12" s="51">
        <f>IFERROR(INDEX(U$2:AY$2,MATCH(TRUE,INDEX(U12:AY12&lt;&gt;"",0),0)),"")</f>
        <v/>
      </c>
      <c r="N12" s="51">
        <f>IFERROR(LOOKUP(2,1/(U12:AY12&lt;&gt;""),U$2:AY$2),"")</f>
        <v/>
      </c>
      <c r="O12" s="52" t="n"/>
      <c r="P12" s="52" t="n"/>
      <c r="Q12" s="52" t="n"/>
      <c r="R12" s="44" t="n"/>
      <c r="S12" s="14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</row>
    <row r="13" ht="15" customHeight="1">
      <c r="A13" s="54" t="n"/>
      <c r="B13" s="55">
        <f>IF($B$12="","",$B$12)</f>
        <v/>
      </c>
      <c r="C13" s="56" t="inlineStr">
        <is>
          <t>마케팅1팀</t>
        </is>
      </c>
      <c r="D13" s="55">
        <f>IF($D$12="","",$D$12)</f>
        <v/>
      </c>
      <c r="E13" s="57" t="inlineStr">
        <is>
          <t>이미지</t>
        </is>
      </c>
      <c r="F13" s="44" t="n"/>
      <c r="G13" s="58">
        <f>IF($G$12="","",$G$12)</f>
        <v/>
      </c>
      <c r="H13" s="59" t="n"/>
      <c r="I13" s="59" t="n"/>
      <c r="J13" s="59" t="n"/>
      <c r="K13" s="59" t="n"/>
      <c r="L13" s="60">
        <f>IF(SUM(U13:AY13)=0,"",SUM(U13:AY13))</f>
        <v/>
      </c>
      <c r="M13" s="61">
        <f>IFERROR(INDEX(U$2:AY$2,MATCH(TRUE,INDEX(U13:AY13&lt;&gt;"",0),0)),"")</f>
        <v/>
      </c>
      <c r="N13" s="61">
        <f>IFERROR(LOOKUP(2,1/(U13:AY13&lt;&gt;""),U$2:AY$2),"")</f>
        <v/>
      </c>
      <c r="O13" s="59" t="n"/>
      <c r="P13" s="59" t="n"/>
      <c r="Q13" s="59" t="n"/>
      <c r="R13" s="59" t="n"/>
      <c r="S13" s="14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</row>
    <row r="14" ht="15" customHeight="1">
      <c r="A14" s="62" t="n"/>
      <c r="B14" s="55">
        <f>IF($B$12="","",$B$12)</f>
        <v/>
      </c>
      <c r="C14" s="63" t="inlineStr">
        <is>
          <t>마케팅1팀</t>
        </is>
      </c>
      <c r="D14" s="55">
        <f>IF($D$12="","",$D$12)</f>
        <v/>
      </c>
      <c r="E14" s="64" t="inlineStr">
        <is>
          <t>영상</t>
        </is>
      </c>
      <c r="F14" s="44" t="n"/>
      <c r="G14" s="58">
        <f>IF($G$12="","",$G$12)</f>
        <v/>
      </c>
      <c r="H14" s="59" t="n"/>
      <c r="I14" s="59" t="n"/>
      <c r="J14" s="59" t="n"/>
      <c r="K14" s="59" t="n"/>
      <c r="L14" s="65">
        <f>IF(SUM(U14:AY14)=0,"",SUM(U14:AY14))</f>
        <v/>
      </c>
      <c r="M14" s="66">
        <f>IFERROR(INDEX(U$2:AY$2,MATCH(TRUE,INDEX(U14:AY14&lt;&gt;"",0),0)),"")</f>
        <v/>
      </c>
      <c r="N14" s="66">
        <f>IFERROR(LOOKUP(2,1/(U14:AY14&lt;&gt;""),U$2:AY$2),"")</f>
        <v/>
      </c>
      <c r="O14" s="59" t="n"/>
      <c r="P14" s="59" t="n"/>
      <c r="Q14" s="59" t="n"/>
      <c r="R14" s="59" t="n"/>
      <c r="S14" s="14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</row>
    <row r="15" ht="15" customHeight="1">
      <c r="A15" s="40">
        <f>IF($D$15="","",3)</f>
        <v/>
      </c>
      <c r="B15" s="10" t="n"/>
      <c r="C15" s="41" t="inlineStr">
        <is>
          <t>마케팅1팀</t>
        </is>
      </c>
      <c r="D15" s="42" t="n"/>
      <c r="E15" s="43" t="inlineStr">
        <is>
          <t>기획</t>
        </is>
      </c>
      <c r="F15" s="44" t="n"/>
      <c r="G15" s="45" t="n"/>
      <c r="H15" s="46">
        <f>IF($I$15="","",IF($I$15&lt;0,"🔴지연",IF($I$15&lt;=1,"🟡임박","🟢여유")))</f>
        <v/>
      </c>
      <c r="I15" s="47">
        <f>IF(OR($G$15="",$K$15=""),"",$G$15-$K$15)</f>
        <v/>
      </c>
      <c r="J15" s="48">
        <f>IF(SUM($L$15:$L$17)=0,"",SUM($L$15:$L$17))</f>
        <v/>
      </c>
      <c r="K15" s="49">
        <f>IF($J$15="","",MAX($N$15:$N$17))</f>
        <v/>
      </c>
      <c r="L15" s="50">
        <f>IF(SUM(U15:AY15)=0,"",SUM(U15:AY15))</f>
        <v/>
      </c>
      <c r="M15" s="51">
        <f>IFERROR(INDEX(U$2:AY$2,MATCH(TRUE,INDEX(U15:AY15&lt;&gt;"",0),0)),"")</f>
        <v/>
      </c>
      <c r="N15" s="51">
        <f>IFERROR(LOOKUP(2,1/(U15:AY15&lt;&gt;""),U$2:AY$2),"")</f>
        <v/>
      </c>
      <c r="O15" s="52" t="n"/>
      <c r="P15" s="52" t="n"/>
      <c r="Q15" s="52" t="n"/>
      <c r="R15" s="44" t="n"/>
      <c r="S15" s="14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</row>
    <row r="16" ht="15" customHeight="1">
      <c r="A16" s="54" t="n"/>
      <c r="B16" s="55">
        <f>IF($B$15="","",$B$15)</f>
        <v/>
      </c>
      <c r="C16" s="56" t="inlineStr">
        <is>
          <t>마케팅1팀</t>
        </is>
      </c>
      <c r="D16" s="55">
        <f>IF($D$15="","",$D$15)</f>
        <v/>
      </c>
      <c r="E16" s="57" t="inlineStr">
        <is>
          <t>이미지</t>
        </is>
      </c>
      <c r="F16" s="44" t="n"/>
      <c r="G16" s="58">
        <f>IF($G$15="","",$G$15)</f>
        <v/>
      </c>
      <c r="H16" s="59" t="n"/>
      <c r="I16" s="59" t="n"/>
      <c r="J16" s="59" t="n"/>
      <c r="K16" s="59" t="n"/>
      <c r="L16" s="60">
        <f>IF(SUM(U16:AY16)=0,"",SUM(U16:AY16))</f>
        <v/>
      </c>
      <c r="M16" s="61">
        <f>IFERROR(INDEX(U$2:AY$2,MATCH(TRUE,INDEX(U16:AY16&lt;&gt;"",0),0)),"")</f>
        <v/>
      </c>
      <c r="N16" s="61">
        <f>IFERROR(LOOKUP(2,1/(U16:AY16&lt;&gt;""),U$2:AY$2),"")</f>
        <v/>
      </c>
      <c r="O16" s="59" t="n"/>
      <c r="P16" s="59" t="n"/>
      <c r="Q16" s="59" t="n"/>
      <c r="R16" s="59" t="n"/>
      <c r="S16" s="14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</row>
    <row r="17" ht="15" customHeight="1">
      <c r="A17" s="62" t="n"/>
      <c r="B17" s="55">
        <f>IF($B$15="","",$B$15)</f>
        <v/>
      </c>
      <c r="C17" s="63" t="inlineStr">
        <is>
          <t>마케팅1팀</t>
        </is>
      </c>
      <c r="D17" s="55">
        <f>IF($D$15="","",$D$15)</f>
        <v/>
      </c>
      <c r="E17" s="64" t="inlineStr">
        <is>
          <t>영상</t>
        </is>
      </c>
      <c r="F17" s="44" t="n"/>
      <c r="G17" s="58">
        <f>IF($G$15="","",$G$15)</f>
        <v/>
      </c>
      <c r="H17" s="59" t="n"/>
      <c r="I17" s="59" t="n"/>
      <c r="J17" s="59" t="n"/>
      <c r="K17" s="59" t="n"/>
      <c r="L17" s="65">
        <f>IF(SUM(U17:AY17)=0,"",SUM(U17:AY17))</f>
        <v/>
      </c>
      <c r="M17" s="66">
        <f>IFERROR(INDEX(U$2:AY$2,MATCH(TRUE,INDEX(U17:AY17&lt;&gt;"",0),0)),"")</f>
        <v/>
      </c>
      <c r="N17" s="66">
        <f>IFERROR(LOOKUP(2,1/(U17:AY17&lt;&gt;""),U$2:AY$2),"")</f>
        <v/>
      </c>
      <c r="O17" s="59" t="n"/>
      <c r="P17" s="59" t="n"/>
      <c r="Q17" s="59" t="n"/>
      <c r="R17" s="59" t="n"/>
      <c r="S17" s="14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</row>
    <row r="18" ht="15" customHeight="1">
      <c r="A18" s="40">
        <f>IF($D$18="","",4)</f>
        <v/>
      </c>
      <c r="B18" s="10" t="n"/>
      <c r="C18" s="41" t="inlineStr">
        <is>
          <t>마케팅1팀</t>
        </is>
      </c>
      <c r="D18" s="42" t="n"/>
      <c r="E18" s="43" t="inlineStr">
        <is>
          <t>기획</t>
        </is>
      </c>
      <c r="F18" s="44" t="n"/>
      <c r="G18" s="45" t="n"/>
      <c r="H18" s="46">
        <f>IF($I$18="","",IF($I$18&lt;0,"🔴지연",IF($I$18&lt;=1,"🟡임박","🟢여유")))</f>
        <v/>
      </c>
      <c r="I18" s="47">
        <f>IF(OR($G$18="",$K$18=""),"",$G$18-$K$18)</f>
        <v/>
      </c>
      <c r="J18" s="48">
        <f>IF(SUM($L$18:$L$20)=0,"",SUM($L$18:$L$20))</f>
        <v/>
      </c>
      <c r="K18" s="49">
        <f>IF($J$18="","",MAX($N$18:$N$20))</f>
        <v/>
      </c>
      <c r="L18" s="50">
        <f>IF(SUM(U18:AY18)=0,"",SUM(U18:AY18))</f>
        <v/>
      </c>
      <c r="M18" s="51">
        <f>IFERROR(INDEX(U$2:AY$2,MATCH(TRUE,INDEX(U18:AY18&lt;&gt;"",0),0)),"")</f>
        <v/>
      </c>
      <c r="N18" s="51">
        <f>IFERROR(LOOKUP(2,1/(U18:AY18&lt;&gt;""),U$2:AY$2),"")</f>
        <v/>
      </c>
      <c r="O18" s="52" t="n"/>
      <c r="P18" s="52" t="n"/>
      <c r="Q18" s="52" t="n"/>
      <c r="R18" s="44" t="n"/>
      <c r="S18" s="14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</row>
    <row r="19" ht="15" customHeight="1">
      <c r="A19" s="54" t="n"/>
      <c r="B19" s="55">
        <f>IF($B$18="","",$B$18)</f>
        <v/>
      </c>
      <c r="C19" s="56" t="inlineStr">
        <is>
          <t>마케팅1팀</t>
        </is>
      </c>
      <c r="D19" s="55">
        <f>IF($D$18="","",$D$18)</f>
        <v/>
      </c>
      <c r="E19" s="57" t="inlineStr">
        <is>
          <t>이미지</t>
        </is>
      </c>
      <c r="F19" s="44" t="n"/>
      <c r="G19" s="58">
        <f>IF($G$18="","",$G$18)</f>
        <v/>
      </c>
      <c r="H19" s="59" t="n"/>
      <c r="I19" s="59" t="n"/>
      <c r="J19" s="59" t="n"/>
      <c r="K19" s="59" t="n"/>
      <c r="L19" s="60">
        <f>IF(SUM(U19:AY19)=0,"",SUM(U19:AY19))</f>
        <v/>
      </c>
      <c r="M19" s="61">
        <f>IFERROR(INDEX(U$2:AY$2,MATCH(TRUE,INDEX(U19:AY19&lt;&gt;"",0),0)),"")</f>
        <v/>
      </c>
      <c r="N19" s="61">
        <f>IFERROR(LOOKUP(2,1/(U19:AY19&lt;&gt;""),U$2:AY$2),"")</f>
        <v/>
      </c>
      <c r="O19" s="59" t="n"/>
      <c r="P19" s="59" t="n"/>
      <c r="Q19" s="59" t="n"/>
      <c r="R19" s="59" t="n"/>
      <c r="S19" s="14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</row>
    <row r="20" ht="15" customHeight="1">
      <c r="A20" s="62" t="n"/>
      <c r="B20" s="55">
        <f>IF($B$18="","",$B$18)</f>
        <v/>
      </c>
      <c r="C20" s="63" t="inlineStr">
        <is>
          <t>마케팅1팀</t>
        </is>
      </c>
      <c r="D20" s="55">
        <f>IF($D$18="","",$D$18)</f>
        <v/>
      </c>
      <c r="E20" s="64" t="inlineStr">
        <is>
          <t>영상</t>
        </is>
      </c>
      <c r="F20" s="44" t="n"/>
      <c r="G20" s="58">
        <f>IF($G$18="","",$G$18)</f>
        <v/>
      </c>
      <c r="H20" s="59" t="n"/>
      <c r="I20" s="59" t="n"/>
      <c r="J20" s="59" t="n"/>
      <c r="K20" s="59" t="n"/>
      <c r="L20" s="65">
        <f>IF(SUM(U20:AY20)=0,"",SUM(U20:AY20))</f>
        <v/>
      </c>
      <c r="M20" s="66">
        <f>IFERROR(INDEX(U$2:AY$2,MATCH(TRUE,INDEX(U20:AY20&lt;&gt;"",0),0)),"")</f>
        <v/>
      </c>
      <c r="N20" s="66">
        <f>IFERROR(LOOKUP(2,1/(U20:AY20&lt;&gt;""),U$2:AY$2),"")</f>
        <v/>
      </c>
      <c r="O20" s="59" t="n"/>
      <c r="P20" s="59" t="n"/>
      <c r="Q20" s="59" t="n"/>
      <c r="R20" s="59" t="n"/>
      <c r="S20" s="14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</row>
    <row r="21" ht="15" customHeight="1">
      <c r="A21" s="40">
        <f>IF($D$21="","",5)</f>
        <v/>
      </c>
      <c r="B21" s="10" t="n"/>
      <c r="C21" s="41" t="inlineStr">
        <is>
          <t>마케팅1팀</t>
        </is>
      </c>
      <c r="D21" s="42" t="n"/>
      <c r="E21" s="43" t="inlineStr">
        <is>
          <t>기획</t>
        </is>
      </c>
      <c r="F21" s="44" t="n"/>
      <c r="G21" s="45" t="n"/>
      <c r="H21" s="46">
        <f>IF($I$21="","",IF($I$21&lt;0,"🔴지연",IF($I$21&lt;=1,"🟡임박","🟢여유")))</f>
        <v/>
      </c>
      <c r="I21" s="47">
        <f>IF(OR($G$21="",$K$21=""),"",$G$21-$K$21)</f>
        <v/>
      </c>
      <c r="J21" s="48">
        <f>IF(SUM($L$21:$L$23)=0,"",SUM($L$21:$L$23))</f>
        <v/>
      </c>
      <c r="K21" s="49">
        <f>IF($J$21="","",MAX($N$21:$N$23))</f>
        <v/>
      </c>
      <c r="L21" s="50">
        <f>IF(SUM(U21:AY21)=0,"",SUM(U21:AY21))</f>
        <v/>
      </c>
      <c r="M21" s="51">
        <f>IFERROR(INDEX(U$2:AY$2,MATCH(TRUE,INDEX(U21:AY21&lt;&gt;"",0),0)),"")</f>
        <v/>
      </c>
      <c r="N21" s="51">
        <f>IFERROR(LOOKUP(2,1/(U21:AY21&lt;&gt;""),U$2:AY$2),"")</f>
        <v/>
      </c>
      <c r="O21" s="52" t="n"/>
      <c r="P21" s="52" t="n"/>
      <c r="Q21" s="52" t="n"/>
      <c r="R21" s="44" t="n"/>
      <c r="S21" s="14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</row>
    <row r="22" ht="15" customHeight="1">
      <c r="A22" s="54" t="n"/>
      <c r="B22" s="55">
        <f>IF($B$21="","",$B$21)</f>
        <v/>
      </c>
      <c r="C22" s="56" t="inlineStr">
        <is>
          <t>마케팅1팀</t>
        </is>
      </c>
      <c r="D22" s="55">
        <f>IF($D$21="","",$D$21)</f>
        <v/>
      </c>
      <c r="E22" s="57" t="inlineStr">
        <is>
          <t>이미지</t>
        </is>
      </c>
      <c r="F22" s="44" t="n"/>
      <c r="G22" s="58">
        <f>IF($G$21="","",$G$21)</f>
        <v/>
      </c>
      <c r="H22" s="59" t="n"/>
      <c r="I22" s="59" t="n"/>
      <c r="J22" s="59" t="n"/>
      <c r="K22" s="59" t="n"/>
      <c r="L22" s="60">
        <f>IF(SUM(U22:AY22)=0,"",SUM(U22:AY22))</f>
        <v/>
      </c>
      <c r="M22" s="61">
        <f>IFERROR(INDEX(U$2:AY$2,MATCH(TRUE,INDEX(U22:AY22&lt;&gt;"",0),0)),"")</f>
        <v/>
      </c>
      <c r="N22" s="61">
        <f>IFERROR(LOOKUP(2,1/(U22:AY22&lt;&gt;""),U$2:AY$2),"")</f>
        <v/>
      </c>
      <c r="O22" s="59" t="n"/>
      <c r="P22" s="59" t="n"/>
      <c r="Q22" s="59" t="n"/>
      <c r="R22" s="59" t="n"/>
      <c r="S22" s="14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</row>
    <row r="23" ht="15" customHeight="1">
      <c r="A23" s="62" t="n"/>
      <c r="B23" s="55">
        <f>IF($B$21="","",$B$21)</f>
        <v/>
      </c>
      <c r="C23" s="63" t="inlineStr">
        <is>
          <t>마케팅1팀</t>
        </is>
      </c>
      <c r="D23" s="55">
        <f>IF($D$21="","",$D$21)</f>
        <v/>
      </c>
      <c r="E23" s="64" t="inlineStr">
        <is>
          <t>영상</t>
        </is>
      </c>
      <c r="F23" s="44" t="n"/>
      <c r="G23" s="58">
        <f>IF($G$21="","",$G$21)</f>
        <v/>
      </c>
      <c r="H23" s="59" t="n"/>
      <c r="I23" s="59" t="n"/>
      <c r="J23" s="59" t="n"/>
      <c r="K23" s="59" t="n"/>
      <c r="L23" s="65">
        <f>IF(SUM(U23:AY23)=0,"",SUM(U23:AY23))</f>
        <v/>
      </c>
      <c r="M23" s="66">
        <f>IFERROR(INDEX(U$2:AY$2,MATCH(TRUE,INDEX(U23:AY23&lt;&gt;"",0),0)),"")</f>
        <v/>
      </c>
      <c r="N23" s="66">
        <f>IFERROR(LOOKUP(2,1/(U23:AY23&lt;&gt;""),U$2:AY$2),"")</f>
        <v/>
      </c>
      <c r="O23" s="59" t="n"/>
      <c r="P23" s="59" t="n"/>
      <c r="Q23" s="59" t="n"/>
      <c r="R23" s="59" t="n"/>
      <c r="S23" s="14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</row>
    <row r="24" ht="15" customHeight="1">
      <c r="A24" s="40">
        <f>IF($D$24="","",6)</f>
        <v/>
      </c>
      <c r="B24" s="10" t="n"/>
      <c r="C24" s="41" t="inlineStr">
        <is>
          <t>마케팅1팀</t>
        </is>
      </c>
      <c r="D24" s="42" t="n"/>
      <c r="E24" s="43" t="inlineStr">
        <is>
          <t>기획</t>
        </is>
      </c>
      <c r="F24" s="44" t="n"/>
      <c r="G24" s="45" t="n"/>
      <c r="H24" s="46">
        <f>IF($I$24="","",IF($I$24&lt;0,"🔴지연",IF($I$24&lt;=1,"🟡임박","🟢여유")))</f>
        <v/>
      </c>
      <c r="I24" s="47">
        <f>IF(OR($G$24="",$K$24=""),"",$G$24-$K$24)</f>
        <v/>
      </c>
      <c r="J24" s="48">
        <f>IF(SUM($L$24:$L$26)=0,"",SUM($L$24:$L$26))</f>
        <v/>
      </c>
      <c r="K24" s="49">
        <f>IF($J$24="","",MAX($N$24:$N$26))</f>
        <v/>
      </c>
      <c r="L24" s="50">
        <f>IF(SUM(U24:AY24)=0,"",SUM(U24:AY24))</f>
        <v/>
      </c>
      <c r="M24" s="51">
        <f>IFERROR(INDEX(U$2:AY$2,MATCH(TRUE,INDEX(U24:AY24&lt;&gt;"",0),0)),"")</f>
        <v/>
      </c>
      <c r="N24" s="51">
        <f>IFERROR(LOOKUP(2,1/(U24:AY24&lt;&gt;""),U$2:AY$2),"")</f>
        <v/>
      </c>
      <c r="O24" s="52" t="n"/>
      <c r="P24" s="52" t="n"/>
      <c r="Q24" s="52" t="n"/>
      <c r="R24" s="44" t="n"/>
      <c r="S24" s="14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</row>
    <row r="25" ht="15" customHeight="1">
      <c r="A25" s="54" t="n"/>
      <c r="B25" s="55">
        <f>IF($B$24="","",$B$24)</f>
        <v/>
      </c>
      <c r="C25" s="56" t="inlineStr">
        <is>
          <t>마케팅1팀</t>
        </is>
      </c>
      <c r="D25" s="55">
        <f>IF($D$24="","",$D$24)</f>
        <v/>
      </c>
      <c r="E25" s="57" t="inlineStr">
        <is>
          <t>이미지</t>
        </is>
      </c>
      <c r="F25" s="44" t="n"/>
      <c r="G25" s="58">
        <f>IF($G$24="","",$G$24)</f>
        <v/>
      </c>
      <c r="H25" s="59" t="n"/>
      <c r="I25" s="59" t="n"/>
      <c r="J25" s="59" t="n"/>
      <c r="K25" s="59" t="n"/>
      <c r="L25" s="60">
        <f>IF(SUM(U25:AY25)=0,"",SUM(U25:AY25))</f>
        <v/>
      </c>
      <c r="M25" s="61">
        <f>IFERROR(INDEX(U$2:AY$2,MATCH(TRUE,INDEX(U25:AY25&lt;&gt;"",0),0)),"")</f>
        <v/>
      </c>
      <c r="N25" s="61">
        <f>IFERROR(LOOKUP(2,1/(U25:AY25&lt;&gt;""),U$2:AY$2),"")</f>
        <v/>
      </c>
      <c r="O25" s="59" t="n"/>
      <c r="P25" s="59" t="n"/>
      <c r="Q25" s="59" t="n"/>
      <c r="R25" s="59" t="n"/>
      <c r="S25" s="14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</row>
    <row r="26" ht="15" customHeight="1">
      <c r="A26" s="62" t="n"/>
      <c r="B26" s="55">
        <f>IF($B$24="","",$B$24)</f>
        <v/>
      </c>
      <c r="C26" s="63" t="inlineStr">
        <is>
          <t>마케팅1팀</t>
        </is>
      </c>
      <c r="D26" s="55">
        <f>IF($D$24="","",$D$24)</f>
        <v/>
      </c>
      <c r="E26" s="64" t="inlineStr">
        <is>
          <t>영상</t>
        </is>
      </c>
      <c r="F26" s="44" t="n"/>
      <c r="G26" s="58">
        <f>IF($G$24="","",$G$24)</f>
        <v/>
      </c>
      <c r="H26" s="59" t="n"/>
      <c r="I26" s="59" t="n"/>
      <c r="J26" s="59" t="n"/>
      <c r="K26" s="59" t="n"/>
      <c r="L26" s="65">
        <f>IF(SUM(U26:AY26)=0,"",SUM(U26:AY26))</f>
        <v/>
      </c>
      <c r="M26" s="66">
        <f>IFERROR(INDEX(U$2:AY$2,MATCH(TRUE,INDEX(U26:AY26&lt;&gt;"",0),0)),"")</f>
        <v/>
      </c>
      <c r="N26" s="66">
        <f>IFERROR(LOOKUP(2,1/(U26:AY26&lt;&gt;""),U$2:AY$2),"")</f>
        <v/>
      </c>
      <c r="O26" s="59" t="n"/>
      <c r="P26" s="59" t="n"/>
      <c r="Q26" s="59" t="n"/>
      <c r="R26" s="59" t="n"/>
      <c r="S26" s="14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</row>
    <row r="27" ht="15" customHeight="1">
      <c r="A27" s="40">
        <f>IF($D$27="","",7)</f>
        <v/>
      </c>
      <c r="B27" s="10" t="n"/>
      <c r="C27" s="41" t="inlineStr">
        <is>
          <t>마케팅1팀</t>
        </is>
      </c>
      <c r="D27" s="42" t="n"/>
      <c r="E27" s="43" t="inlineStr">
        <is>
          <t>기획</t>
        </is>
      </c>
      <c r="F27" s="44" t="n"/>
      <c r="G27" s="45" t="n"/>
      <c r="H27" s="46">
        <f>IF($I$27="","",IF($I$27&lt;0,"🔴지연",IF($I$27&lt;=1,"🟡임박","🟢여유")))</f>
        <v/>
      </c>
      <c r="I27" s="47">
        <f>IF(OR($G$27="",$K$27=""),"",$G$27-$K$27)</f>
        <v/>
      </c>
      <c r="J27" s="48">
        <f>IF(SUM($L$27:$L$29)=0,"",SUM($L$27:$L$29))</f>
        <v/>
      </c>
      <c r="K27" s="49">
        <f>IF($J$27="","",MAX($N$27:$N$29))</f>
        <v/>
      </c>
      <c r="L27" s="50">
        <f>IF(SUM(U27:AY27)=0,"",SUM(U27:AY27))</f>
        <v/>
      </c>
      <c r="M27" s="51">
        <f>IFERROR(INDEX(U$2:AY$2,MATCH(TRUE,INDEX(U27:AY27&lt;&gt;"",0),0)),"")</f>
        <v/>
      </c>
      <c r="N27" s="51">
        <f>IFERROR(LOOKUP(2,1/(U27:AY27&lt;&gt;""),U$2:AY$2),"")</f>
        <v/>
      </c>
      <c r="O27" s="52" t="n"/>
      <c r="P27" s="52" t="n"/>
      <c r="Q27" s="52" t="n"/>
      <c r="R27" s="44" t="n"/>
      <c r="S27" s="14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</row>
    <row r="28" ht="15" customHeight="1">
      <c r="A28" s="54" t="n"/>
      <c r="B28" s="55">
        <f>IF($B$27="","",$B$27)</f>
        <v/>
      </c>
      <c r="C28" s="56" t="inlineStr">
        <is>
          <t>마케팅1팀</t>
        </is>
      </c>
      <c r="D28" s="55">
        <f>IF($D$27="","",$D$27)</f>
        <v/>
      </c>
      <c r="E28" s="57" t="inlineStr">
        <is>
          <t>이미지</t>
        </is>
      </c>
      <c r="F28" s="44" t="n"/>
      <c r="G28" s="58">
        <f>IF($G$27="","",$G$27)</f>
        <v/>
      </c>
      <c r="H28" s="59" t="n"/>
      <c r="I28" s="59" t="n"/>
      <c r="J28" s="59" t="n"/>
      <c r="K28" s="59" t="n"/>
      <c r="L28" s="60">
        <f>IF(SUM(U28:AY28)=0,"",SUM(U28:AY28))</f>
        <v/>
      </c>
      <c r="M28" s="61">
        <f>IFERROR(INDEX(U$2:AY$2,MATCH(TRUE,INDEX(U28:AY28&lt;&gt;"",0),0)),"")</f>
        <v/>
      </c>
      <c r="N28" s="61">
        <f>IFERROR(LOOKUP(2,1/(U28:AY28&lt;&gt;""),U$2:AY$2),"")</f>
        <v/>
      </c>
      <c r="O28" s="59" t="n"/>
      <c r="P28" s="59" t="n"/>
      <c r="Q28" s="59" t="n"/>
      <c r="R28" s="59" t="n"/>
      <c r="S28" s="14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3" t="n"/>
      <c r="AQ28" s="53" t="n"/>
      <c r="AR28" s="53" t="n"/>
      <c r="AS28" s="53" t="n"/>
      <c r="AT28" s="53" t="n"/>
      <c r="AU28" s="53" t="n"/>
      <c r="AV28" s="53" t="n"/>
      <c r="AW28" s="53" t="n"/>
      <c r="AX28" s="53" t="n"/>
      <c r="AY28" s="53" t="n"/>
    </row>
    <row r="29" ht="15" customHeight="1">
      <c r="A29" s="62" t="n"/>
      <c r="B29" s="55">
        <f>IF($B$27="","",$B$27)</f>
        <v/>
      </c>
      <c r="C29" s="63" t="inlineStr">
        <is>
          <t>마케팅1팀</t>
        </is>
      </c>
      <c r="D29" s="55">
        <f>IF($D$27="","",$D$27)</f>
        <v/>
      </c>
      <c r="E29" s="64" t="inlineStr">
        <is>
          <t>영상</t>
        </is>
      </c>
      <c r="F29" s="44" t="n"/>
      <c r="G29" s="58">
        <f>IF($G$27="","",$G$27)</f>
        <v/>
      </c>
      <c r="H29" s="59" t="n"/>
      <c r="I29" s="59" t="n"/>
      <c r="J29" s="59" t="n"/>
      <c r="K29" s="59" t="n"/>
      <c r="L29" s="65">
        <f>IF(SUM(U29:AY29)=0,"",SUM(U29:AY29))</f>
        <v/>
      </c>
      <c r="M29" s="66">
        <f>IFERROR(INDEX(U$2:AY$2,MATCH(TRUE,INDEX(U29:AY29&lt;&gt;"",0),0)),"")</f>
        <v/>
      </c>
      <c r="N29" s="66">
        <f>IFERROR(LOOKUP(2,1/(U29:AY29&lt;&gt;""),U$2:AY$2),"")</f>
        <v/>
      </c>
      <c r="O29" s="59" t="n"/>
      <c r="P29" s="59" t="n"/>
      <c r="Q29" s="59" t="n"/>
      <c r="R29" s="59" t="n"/>
      <c r="S29" s="14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</row>
    <row r="30" ht="15" customHeight="1">
      <c r="A30" s="40">
        <f>IF($D$30="","",8)</f>
        <v/>
      </c>
      <c r="B30" s="10" t="n"/>
      <c r="C30" s="41" t="inlineStr">
        <is>
          <t>마케팅1팀</t>
        </is>
      </c>
      <c r="D30" s="42" t="n"/>
      <c r="E30" s="43" t="inlineStr">
        <is>
          <t>기획</t>
        </is>
      </c>
      <c r="F30" s="44" t="n"/>
      <c r="G30" s="45" t="n"/>
      <c r="H30" s="46">
        <f>IF($I$30="","",IF($I$30&lt;0,"🔴지연",IF($I$30&lt;=1,"🟡임박","🟢여유")))</f>
        <v/>
      </c>
      <c r="I30" s="47">
        <f>IF(OR($G$30="",$K$30=""),"",$G$30-$K$30)</f>
        <v/>
      </c>
      <c r="J30" s="48">
        <f>IF(SUM($L$30:$L$32)=0,"",SUM($L$30:$L$32))</f>
        <v/>
      </c>
      <c r="K30" s="49">
        <f>IF($J$30="","",MAX($N$30:$N$32))</f>
        <v/>
      </c>
      <c r="L30" s="50">
        <f>IF(SUM(U30:AY30)=0,"",SUM(U30:AY30))</f>
        <v/>
      </c>
      <c r="M30" s="51">
        <f>IFERROR(INDEX(U$2:AY$2,MATCH(TRUE,INDEX(U30:AY30&lt;&gt;"",0),0)),"")</f>
        <v/>
      </c>
      <c r="N30" s="51">
        <f>IFERROR(LOOKUP(2,1/(U30:AY30&lt;&gt;""),U$2:AY$2),"")</f>
        <v/>
      </c>
      <c r="O30" s="52" t="n"/>
      <c r="P30" s="52" t="n"/>
      <c r="Q30" s="52" t="n"/>
      <c r="R30" s="44" t="n"/>
      <c r="S30" s="14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53" t="n"/>
      <c r="AH30" s="53" t="n"/>
      <c r="AI30" s="53" t="n"/>
      <c r="AJ30" s="53" t="n"/>
      <c r="AK30" s="53" t="n"/>
      <c r="AL30" s="53" t="n"/>
      <c r="AM30" s="53" t="n"/>
      <c r="AN30" s="53" t="n"/>
      <c r="AO30" s="53" t="n"/>
      <c r="AP30" s="53" t="n"/>
      <c r="AQ30" s="53" t="n"/>
      <c r="AR30" s="53" t="n"/>
      <c r="AS30" s="53" t="n"/>
      <c r="AT30" s="53" t="n"/>
      <c r="AU30" s="53" t="n"/>
      <c r="AV30" s="53" t="n"/>
      <c r="AW30" s="53" t="n"/>
      <c r="AX30" s="53" t="n"/>
      <c r="AY30" s="53" t="n"/>
    </row>
    <row r="31" ht="15" customHeight="1">
      <c r="A31" s="54" t="n"/>
      <c r="B31" s="55">
        <f>IF($B$30="","",$B$30)</f>
        <v/>
      </c>
      <c r="C31" s="56" t="inlineStr">
        <is>
          <t>마케팅1팀</t>
        </is>
      </c>
      <c r="D31" s="55">
        <f>IF($D$30="","",$D$30)</f>
        <v/>
      </c>
      <c r="E31" s="57" t="inlineStr">
        <is>
          <t>이미지</t>
        </is>
      </c>
      <c r="F31" s="44" t="n"/>
      <c r="G31" s="58">
        <f>IF($G$30="","",$G$30)</f>
        <v/>
      </c>
      <c r="H31" s="59" t="n"/>
      <c r="I31" s="59" t="n"/>
      <c r="J31" s="59" t="n"/>
      <c r="K31" s="59" t="n"/>
      <c r="L31" s="60">
        <f>IF(SUM(U31:AY31)=0,"",SUM(U31:AY31))</f>
        <v/>
      </c>
      <c r="M31" s="61">
        <f>IFERROR(INDEX(U$2:AY$2,MATCH(TRUE,INDEX(U31:AY31&lt;&gt;"",0),0)),"")</f>
        <v/>
      </c>
      <c r="N31" s="61">
        <f>IFERROR(LOOKUP(2,1/(U31:AY31&lt;&gt;""),U$2:AY$2),"")</f>
        <v/>
      </c>
      <c r="O31" s="59" t="n"/>
      <c r="P31" s="59" t="n"/>
      <c r="Q31" s="59" t="n"/>
      <c r="R31" s="59" t="n"/>
      <c r="S31" s="14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53" t="n"/>
      <c r="AH31" s="53" t="n"/>
      <c r="AI31" s="53" t="n"/>
      <c r="AJ31" s="53" t="n"/>
      <c r="AK31" s="53" t="n"/>
      <c r="AL31" s="53" t="n"/>
      <c r="AM31" s="53" t="n"/>
      <c r="AN31" s="53" t="n"/>
      <c r="AO31" s="53" t="n"/>
      <c r="AP31" s="53" t="n"/>
      <c r="AQ31" s="53" t="n"/>
      <c r="AR31" s="53" t="n"/>
      <c r="AS31" s="53" t="n"/>
      <c r="AT31" s="53" t="n"/>
      <c r="AU31" s="53" t="n"/>
      <c r="AV31" s="53" t="n"/>
      <c r="AW31" s="53" t="n"/>
      <c r="AX31" s="53" t="n"/>
      <c r="AY31" s="53" t="n"/>
    </row>
    <row r="32" ht="15" customHeight="1">
      <c r="A32" s="62" t="n"/>
      <c r="B32" s="55">
        <f>IF($B$30="","",$B$30)</f>
        <v/>
      </c>
      <c r="C32" s="63" t="inlineStr">
        <is>
          <t>마케팅1팀</t>
        </is>
      </c>
      <c r="D32" s="55">
        <f>IF($D$30="","",$D$30)</f>
        <v/>
      </c>
      <c r="E32" s="64" t="inlineStr">
        <is>
          <t>영상</t>
        </is>
      </c>
      <c r="F32" s="44" t="n"/>
      <c r="G32" s="58">
        <f>IF($G$30="","",$G$30)</f>
        <v/>
      </c>
      <c r="H32" s="59" t="n"/>
      <c r="I32" s="59" t="n"/>
      <c r="J32" s="59" t="n"/>
      <c r="K32" s="59" t="n"/>
      <c r="L32" s="65">
        <f>IF(SUM(U32:AY32)=0,"",SUM(U32:AY32))</f>
        <v/>
      </c>
      <c r="M32" s="66">
        <f>IFERROR(INDEX(U$2:AY$2,MATCH(TRUE,INDEX(U32:AY32&lt;&gt;"",0),0)),"")</f>
        <v/>
      </c>
      <c r="N32" s="66">
        <f>IFERROR(LOOKUP(2,1/(U32:AY32&lt;&gt;""),U$2:AY$2),"")</f>
        <v/>
      </c>
      <c r="O32" s="59" t="n"/>
      <c r="P32" s="59" t="n"/>
      <c r="Q32" s="59" t="n"/>
      <c r="R32" s="59" t="n"/>
      <c r="S32" s="14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53" t="n"/>
      <c r="AK32" s="53" t="n"/>
      <c r="AL32" s="53" t="n"/>
      <c r="AM32" s="53" t="n"/>
      <c r="AN32" s="53" t="n"/>
      <c r="AO32" s="53" t="n"/>
      <c r="AP32" s="53" t="n"/>
      <c r="AQ32" s="53" t="n"/>
      <c r="AR32" s="53" t="n"/>
      <c r="AS32" s="53" t="n"/>
      <c r="AT32" s="53" t="n"/>
      <c r="AU32" s="53" t="n"/>
      <c r="AV32" s="53" t="n"/>
      <c r="AW32" s="53" t="n"/>
      <c r="AX32" s="53" t="n"/>
      <c r="AY32" s="53" t="n"/>
    </row>
    <row r="33" ht="15" customHeight="1">
      <c r="A33" s="40">
        <f>IF($D$33="","",9)</f>
        <v/>
      </c>
      <c r="B33" s="10" t="n"/>
      <c r="C33" s="41" t="inlineStr">
        <is>
          <t>마케팅1팀</t>
        </is>
      </c>
      <c r="D33" s="42" t="n"/>
      <c r="E33" s="43" t="inlineStr">
        <is>
          <t>기획</t>
        </is>
      </c>
      <c r="F33" s="44" t="n"/>
      <c r="G33" s="45" t="n"/>
      <c r="H33" s="46">
        <f>IF($I$33="","",IF($I$33&lt;0,"🔴지연",IF($I$33&lt;=1,"🟡임박","🟢여유")))</f>
        <v/>
      </c>
      <c r="I33" s="47">
        <f>IF(OR($G$33="",$K$33=""),"",$G$33-$K$33)</f>
        <v/>
      </c>
      <c r="J33" s="48">
        <f>IF(SUM($L$33:$L$35)=0,"",SUM($L$33:$L$35))</f>
        <v/>
      </c>
      <c r="K33" s="49">
        <f>IF($J$33="","",MAX($N$33:$N$35))</f>
        <v/>
      </c>
      <c r="L33" s="50">
        <f>IF(SUM(U33:AY33)=0,"",SUM(U33:AY33))</f>
        <v/>
      </c>
      <c r="M33" s="51">
        <f>IFERROR(INDEX(U$2:AY$2,MATCH(TRUE,INDEX(U33:AY33&lt;&gt;"",0),0)),"")</f>
        <v/>
      </c>
      <c r="N33" s="51">
        <f>IFERROR(LOOKUP(2,1/(U33:AY33&lt;&gt;""),U$2:AY$2),"")</f>
        <v/>
      </c>
      <c r="O33" s="52" t="n"/>
      <c r="P33" s="52" t="n"/>
      <c r="Q33" s="52" t="n"/>
      <c r="R33" s="44" t="n"/>
      <c r="S33" s="14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53" t="n"/>
    </row>
    <row r="34" ht="15" customHeight="1">
      <c r="A34" s="54" t="n"/>
      <c r="B34" s="55">
        <f>IF($B$33="","",$B$33)</f>
        <v/>
      </c>
      <c r="C34" s="56" t="inlineStr">
        <is>
          <t>마케팅1팀</t>
        </is>
      </c>
      <c r="D34" s="55">
        <f>IF($D$33="","",$D$33)</f>
        <v/>
      </c>
      <c r="E34" s="57" t="inlineStr">
        <is>
          <t>이미지</t>
        </is>
      </c>
      <c r="F34" s="44" t="n"/>
      <c r="G34" s="58">
        <f>IF($G$33="","",$G$33)</f>
        <v/>
      </c>
      <c r="H34" s="59" t="n"/>
      <c r="I34" s="59" t="n"/>
      <c r="J34" s="59" t="n"/>
      <c r="K34" s="59" t="n"/>
      <c r="L34" s="60">
        <f>IF(SUM(U34:AY34)=0,"",SUM(U34:AY34))</f>
        <v/>
      </c>
      <c r="M34" s="61">
        <f>IFERROR(INDEX(U$2:AY$2,MATCH(TRUE,INDEX(U34:AY34&lt;&gt;"",0),0)),"")</f>
        <v/>
      </c>
      <c r="N34" s="61">
        <f>IFERROR(LOOKUP(2,1/(U34:AY34&lt;&gt;""),U$2:AY$2),"")</f>
        <v/>
      </c>
      <c r="O34" s="59" t="n"/>
      <c r="P34" s="59" t="n"/>
      <c r="Q34" s="59" t="n"/>
      <c r="R34" s="59" t="n"/>
      <c r="S34" s="14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  <c r="AD34" s="53" t="n"/>
      <c r="AE34" s="53" t="n"/>
      <c r="AF34" s="53" t="n"/>
      <c r="AG34" s="53" t="n"/>
      <c r="AH34" s="53" t="n"/>
      <c r="AI34" s="53" t="n"/>
      <c r="AJ34" s="53" t="n"/>
      <c r="AK34" s="53" t="n"/>
      <c r="AL34" s="53" t="n"/>
      <c r="AM34" s="53" t="n"/>
      <c r="AN34" s="53" t="n"/>
      <c r="AO34" s="53" t="n"/>
      <c r="AP34" s="53" t="n"/>
      <c r="AQ34" s="53" t="n"/>
      <c r="AR34" s="53" t="n"/>
      <c r="AS34" s="53" t="n"/>
      <c r="AT34" s="53" t="n"/>
      <c r="AU34" s="53" t="n"/>
      <c r="AV34" s="53" t="n"/>
      <c r="AW34" s="53" t="n"/>
      <c r="AX34" s="53" t="n"/>
      <c r="AY34" s="53" t="n"/>
    </row>
    <row r="35" ht="15" customHeight="1">
      <c r="A35" s="62" t="n"/>
      <c r="B35" s="55">
        <f>IF($B$33="","",$B$33)</f>
        <v/>
      </c>
      <c r="C35" s="63" t="inlineStr">
        <is>
          <t>마케팅1팀</t>
        </is>
      </c>
      <c r="D35" s="55">
        <f>IF($D$33="","",$D$33)</f>
        <v/>
      </c>
      <c r="E35" s="64" t="inlineStr">
        <is>
          <t>영상</t>
        </is>
      </c>
      <c r="F35" s="44" t="n"/>
      <c r="G35" s="58">
        <f>IF($G$33="","",$G$33)</f>
        <v/>
      </c>
      <c r="H35" s="59" t="n"/>
      <c r="I35" s="59" t="n"/>
      <c r="J35" s="59" t="n"/>
      <c r="K35" s="59" t="n"/>
      <c r="L35" s="65">
        <f>IF(SUM(U35:AY35)=0,"",SUM(U35:AY35))</f>
        <v/>
      </c>
      <c r="M35" s="66">
        <f>IFERROR(INDEX(U$2:AY$2,MATCH(TRUE,INDEX(U35:AY35&lt;&gt;"",0),0)),"")</f>
        <v/>
      </c>
      <c r="N35" s="66">
        <f>IFERROR(LOOKUP(2,1/(U35:AY35&lt;&gt;""),U$2:AY$2),"")</f>
        <v/>
      </c>
      <c r="O35" s="59" t="n"/>
      <c r="P35" s="59" t="n"/>
      <c r="Q35" s="59" t="n"/>
      <c r="R35" s="59" t="n"/>
      <c r="S35" s="14" t="n"/>
      <c r="U35" s="53" t="n"/>
      <c r="V35" s="53" t="n"/>
      <c r="W35" s="53" t="n"/>
      <c r="X35" s="53" t="n"/>
      <c r="Y35" s="53" t="n"/>
      <c r="Z35" s="53" t="n"/>
      <c r="AA35" s="53" t="n"/>
      <c r="AB35" s="53" t="n"/>
      <c r="AC35" s="53" t="n"/>
      <c r="AD35" s="53" t="n"/>
      <c r="AE35" s="53" t="n"/>
      <c r="AF35" s="53" t="n"/>
      <c r="AG35" s="53" t="n"/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</row>
    <row r="36" ht="15" customHeight="1">
      <c r="A36" s="40">
        <f>IF($D$36="","",10)</f>
        <v/>
      </c>
      <c r="B36" s="10" t="n"/>
      <c r="C36" s="41" t="inlineStr">
        <is>
          <t>마케팅1팀</t>
        </is>
      </c>
      <c r="D36" s="42" t="n"/>
      <c r="E36" s="43" t="inlineStr">
        <is>
          <t>기획</t>
        </is>
      </c>
      <c r="F36" s="44" t="n"/>
      <c r="G36" s="45" t="n"/>
      <c r="H36" s="46">
        <f>IF($I$36="","",IF($I$36&lt;0,"🔴지연",IF($I$36&lt;=1,"🟡임박","🟢여유")))</f>
        <v/>
      </c>
      <c r="I36" s="47">
        <f>IF(OR($G$36="",$K$36=""),"",$G$36-$K$36)</f>
        <v/>
      </c>
      <c r="J36" s="48">
        <f>IF(SUM($L$36:$L$38)=0,"",SUM($L$36:$L$38))</f>
        <v/>
      </c>
      <c r="K36" s="49">
        <f>IF($J$36="","",MAX($N$36:$N$38))</f>
        <v/>
      </c>
      <c r="L36" s="50">
        <f>IF(SUM(U36:AY36)=0,"",SUM(U36:AY36))</f>
        <v/>
      </c>
      <c r="M36" s="51">
        <f>IFERROR(INDEX(U$2:AY$2,MATCH(TRUE,INDEX(U36:AY36&lt;&gt;"",0),0)),"")</f>
        <v/>
      </c>
      <c r="N36" s="51">
        <f>IFERROR(LOOKUP(2,1/(U36:AY36&lt;&gt;""),U$2:AY$2),"")</f>
        <v/>
      </c>
      <c r="O36" s="52" t="n"/>
      <c r="P36" s="52" t="n"/>
      <c r="Q36" s="52" t="n"/>
      <c r="R36" s="44" t="n"/>
      <c r="S36" s="14" t="n"/>
      <c r="U36" s="53" t="n"/>
      <c r="V36" s="53" t="n"/>
      <c r="W36" s="53" t="n"/>
      <c r="X36" s="53" t="n"/>
      <c r="Y36" s="53" t="n"/>
      <c r="Z36" s="53" t="n"/>
      <c r="AA36" s="53" t="n"/>
      <c r="AB36" s="53" t="n"/>
      <c r="AC36" s="53" t="n"/>
      <c r="AD36" s="53" t="n"/>
      <c r="AE36" s="53" t="n"/>
      <c r="AF36" s="53" t="n"/>
      <c r="AG36" s="53" t="n"/>
      <c r="AH36" s="53" t="n"/>
      <c r="AI36" s="53" t="n"/>
      <c r="AJ36" s="53" t="n"/>
      <c r="AK36" s="53" t="n"/>
      <c r="AL36" s="53" t="n"/>
      <c r="AM36" s="53" t="n"/>
      <c r="AN36" s="53" t="n"/>
      <c r="AO36" s="53" t="n"/>
      <c r="AP36" s="53" t="n"/>
      <c r="AQ36" s="53" t="n"/>
      <c r="AR36" s="53" t="n"/>
      <c r="AS36" s="53" t="n"/>
      <c r="AT36" s="53" t="n"/>
      <c r="AU36" s="53" t="n"/>
      <c r="AV36" s="53" t="n"/>
      <c r="AW36" s="53" t="n"/>
      <c r="AX36" s="53" t="n"/>
      <c r="AY36" s="53" t="n"/>
    </row>
    <row r="37" ht="15" customHeight="1">
      <c r="A37" s="54" t="n"/>
      <c r="B37" s="55">
        <f>IF($B$36="","",$B$36)</f>
        <v/>
      </c>
      <c r="C37" s="56" t="inlineStr">
        <is>
          <t>마케팅1팀</t>
        </is>
      </c>
      <c r="D37" s="55">
        <f>IF($D$36="","",$D$36)</f>
        <v/>
      </c>
      <c r="E37" s="57" t="inlineStr">
        <is>
          <t>이미지</t>
        </is>
      </c>
      <c r="F37" s="44" t="n"/>
      <c r="G37" s="58">
        <f>IF($G$36="","",$G$36)</f>
        <v/>
      </c>
      <c r="H37" s="59" t="n"/>
      <c r="I37" s="59" t="n"/>
      <c r="J37" s="59" t="n"/>
      <c r="K37" s="59" t="n"/>
      <c r="L37" s="60">
        <f>IF(SUM(U37:AY37)=0,"",SUM(U37:AY37))</f>
        <v/>
      </c>
      <c r="M37" s="61">
        <f>IFERROR(INDEX(U$2:AY$2,MATCH(TRUE,INDEX(U37:AY37&lt;&gt;"",0),0)),"")</f>
        <v/>
      </c>
      <c r="N37" s="61">
        <f>IFERROR(LOOKUP(2,1/(U37:AY37&lt;&gt;""),U$2:AY$2),"")</f>
        <v/>
      </c>
      <c r="O37" s="59" t="n"/>
      <c r="P37" s="59" t="n"/>
      <c r="Q37" s="59" t="n"/>
      <c r="R37" s="59" t="n"/>
      <c r="S37" s="14" t="n"/>
      <c r="U37" s="53" t="n"/>
      <c r="V37" s="53" t="n"/>
      <c r="W37" s="53" t="n"/>
      <c r="X37" s="53" t="n"/>
      <c r="Y37" s="53" t="n"/>
      <c r="Z37" s="53" t="n"/>
      <c r="AA37" s="53" t="n"/>
      <c r="AB37" s="53" t="n"/>
      <c r="AC37" s="53" t="n"/>
      <c r="AD37" s="53" t="n"/>
      <c r="AE37" s="53" t="n"/>
      <c r="AF37" s="53" t="n"/>
      <c r="AG37" s="53" t="n"/>
      <c r="AH37" s="53" t="n"/>
      <c r="AI37" s="53" t="n"/>
      <c r="AJ37" s="53" t="n"/>
      <c r="AK37" s="53" t="n"/>
      <c r="AL37" s="53" t="n"/>
      <c r="AM37" s="53" t="n"/>
      <c r="AN37" s="53" t="n"/>
      <c r="AO37" s="53" t="n"/>
      <c r="AP37" s="53" t="n"/>
      <c r="AQ37" s="53" t="n"/>
      <c r="AR37" s="53" t="n"/>
      <c r="AS37" s="53" t="n"/>
      <c r="AT37" s="53" t="n"/>
      <c r="AU37" s="53" t="n"/>
      <c r="AV37" s="53" t="n"/>
      <c r="AW37" s="53" t="n"/>
      <c r="AX37" s="53" t="n"/>
      <c r="AY37" s="53" t="n"/>
    </row>
    <row r="38" ht="15" customHeight="1">
      <c r="A38" s="62" t="n"/>
      <c r="B38" s="55">
        <f>IF($B$36="","",$B$36)</f>
        <v/>
      </c>
      <c r="C38" s="63" t="inlineStr">
        <is>
          <t>마케팅1팀</t>
        </is>
      </c>
      <c r="D38" s="55">
        <f>IF($D$36="","",$D$36)</f>
        <v/>
      </c>
      <c r="E38" s="64" t="inlineStr">
        <is>
          <t>영상</t>
        </is>
      </c>
      <c r="F38" s="44" t="n"/>
      <c r="G38" s="58">
        <f>IF($G$36="","",$G$36)</f>
        <v/>
      </c>
      <c r="H38" s="59" t="n"/>
      <c r="I38" s="59" t="n"/>
      <c r="J38" s="59" t="n"/>
      <c r="K38" s="59" t="n"/>
      <c r="L38" s="65">
        <f>IF(SUM(U38:AY38)=0,"",SUM(U38:AY38))</f>
        <v/>
      </c>
      <c r="M38" s="66">
        <f>IFERROR(INDEX(U$2:AY$2,MATCH(TRUE,INDEX(U38:AY38&lt;&gt;"",0),0)),"")</f>
        <v/>
      </c>
      <c r="N38" s="66">
        <f>IFERROR(LOOKUP(2,1/(U38:AY38&lt;&gt;""),U$2:AY$2),"")</f>
        <v/>
      </c>
      <c r="O38" s="59" t="n"/>
      <c r="P38" s="59" t="n"/>
      <c r="Q38" s="59" t="n"/>
      <c r="R38" s="59" t="n"/>
      <c r="S38" s="14" t="n"/>
      <c r="U38" s="53" t="n"/>
      <c r="V38" s="53" t="n"/>
      <c r="W38" s="53" t="n"/>
      <c r="X38" s="53" t="n"/>
      <c r="Y38" s="53" t="n"/>
      <c r="Z38" s="53" t="n"/>
      <c r="AA38" s="53" t="n"/>
      <c r="AB38" s="53" t="n"/>
      <c r="AC38" s="53" t="n"/>
      <c r="AD38" s="53" t="n"/>
      <c r="AE38" s="53" t="n"/>
      <c r="AF38" s="53" t="n"/>
      <c r="AG38" s="53" t="n"/>
      <c r="AH38" s="53" t="n"/>
      <c r="AI38" s="53" t="n"/>
      <c r="AJ38" s="53" t="n"/>
      <c r="AK38" s="53" t="n"/>
      <c r="AL38" s="53" t="n"/>
      <c r="AM38" s="53" t="n"/>
      <c r="AN38" s="53" t="n"/>
      <c r="AO38" s="53" t="n"/>
      <c r="AP38" s="53" t="n"/>
      <c r="AQ38" s="53" t="n"/>
      <c r="AR38" s="53" t="n"/>
      <c r="AS38" s="53" t="n"/>
      <c r="AT38" s="53" t="n"/>
      <c r="AU38" s="53" t="n"/>
      <c r="AV38" s="53" t="n"/>
      <c r="AW38" s="53" t="n"/>
      <c r="AX38" s="53" t="n"/>
      <c r="AY38" s="53" t="n"/>
    </row>
    <row r="39" ht="15" customHeight="1">
      <c r="A39" s="40">
        <f>IF($D$39="","",11)</f>
        <v/>
      </c>
      <c r="B39" s="10" t="n"/>
      <c r="C39" s="41" t="inlineStr">
        <is>
          <t>마케팅1팀</t>
        </is>
      </c>
      <c r="D39" s="42" t="n"/>
      <c r="E39" s="43" t="inlineStr">
        <is>
          <t>기획</t>
        </is>
      </c>
      <c r="F39" s="44" t="n"/>
      <c r="G39" s="45" t="n"/>
      <c r="H39" s="46">
        <f>IF($I$39="","",IF($I$39&lt;0,"🔴지연",IF($I$39&lt;=1,"🟡임박","🟢여유")))</f>
        <v/>
      </c>
      <c r="I39" s="47">
        <f>IF(OR($G$39="",$K$39=""),"",$G$39-$K$39)</f>
        <v/>
      </c>
      <c r="J39" s="48">
        <f>IF(SUM($L$39:$L$41)=0,"",SUM($L$39:$L$41))</f>
        <v/>
      </c>
      <c r="K39" s="49">
        <f>IF($J$39="","",MAX($N$39:$N$41))</f>
        <v/>
      </c>
      <c r="L39" s="50">
        <f>IF(SUM(U39:AY39)=0,"",SUM(U39:AY39))</f>
        <v/>
      </c>
      <c r="M39" s="51">
        <f>IFERROR(INDEX(U$2:AY$2,MATCH(TRUE,INDEX(U39:AY39&lt;&gt;"",0),0)),"")</f>
        <v/>
      </c>
      <c r="N39" s="51">
        <f>IFERROR(LOOKUP(2,1/(U39:AY39&lt;&gt;""),U$2:AY$2),"")</f>
        <v/>
      </c>
      <c r="O39" s="52" t="n"/>
      <c r="P39" s="52" t="n"/>
      <c r="Q39" s="52" t="n"/>
      <c r="R39" s="44" t="n"/>
      <c r="S39" s="14" t="n"/>
      <c r="U39" s="53" t="n"/>
      <c r="V39" s="53" t="n"/>
      <c r="W39" s="53" t="n"/>
      <c r="X39" s="53" t="n"/>
      <c r="Y39" s="53" t="n"/>
      <c r="Z39" s="53" t="n"/>
      <c r="AA39" s="53" t="n"/>
      <c r="AB39" s="53" t="n"/>
      <c r="AC39" s="53" t="n"/>
      <c r="AD39" s="53" t="n"/>
      <c r="AE39" s="53" t="n"/>
      <c r="AF39" s="53" t="n"/>
      <c r="AG39" s="53" t="n"/>
      <c r="AH39" s="53" t="n"/>
      <c r="AI39" s="53" t="n"/>
      <c r="AJ39" s="53" t="n"/>
      <c r="AK39" s="53" t="n"/>
      <c r="AL39" s="53" t="n"/>
      <c r="AM39" s="53" t="n"/>
      <c r="AN39" s="53" t="n"/>
      <c r="AO39" s="53" t="n"/>
      <c r="AP39" s="53" t="n"/>
      <c r="AQ39" s="53" t="n"/>
      <c r="AR39" s="53" t="n"/>
      <c r="AS39" s="53" t="n"/>
      <c r="AT39" s="53" t="n"/>
      <c r="AU39" s="53" t="n"/>
      <c r="AV39" s="53" t="n"/>
      <c r="AW39" s="53" t="n"/>
      <c r="AX39" s="53" t="n"/>
      <c r="AY39" s="53" t="n"/>
    </row>
    <row r="40" ht="15" customHeight="1">
      <c r="A40" s="54" t="n"/>
      <c r="B40" s="55">
        <f>IF($B$39="","",$B$39)</f>
        <v/>
      </c>
      <c r="C40" s="56" t="inlineStr">
        <is>
          <t>마케팅1팀</t>
        </is>
      </c>
      <c r="D40" s="55">
        <f>IF($D$39="","",$D$39)</f>
        <v/>
      </c>
      <c r="E40" s="57" t="inlineStr">
        <is>
          <t>이미지</t>
        </is>
      </c>
      <c r="F40" s="44" t="n"/>
      <c r="G40" s="58">
        <f>IF($G$39="","",$G$39)</f>
        <v/>
      </c>
      <c r="H40" s="59" t="n"/>
      <c r="I40" s="59" t="n"/>
      <c r="J40" s="59" t="n"/>
      <c r="K40" s="59" t="n"/>
      <c r="L40" s="60">
        <f>IF(SUM(U40:AY40)=0,"",SUM(U40:AY40))</f>
        <v/>
      </c>
      <c r="M40" s="61">
        <f>IFERROR(INDEX(U$2:AY$2,MATCH(TRUE,INDEX(U40:AY40&lt;&gt;"",0),0)),"")</f>
        <v/>
      </c>
      <c r="N40" s="61">
        <f>IFERROR(LOOKUP(2,1/(U40:AY40&lt;&gt;""),U$2:AY$2),"")</f>
        <v/>
      </c>
      <c r="O40" s="59" t="n"/>
      <c r="P40" s="59" t="n"/>
      <c r="Q40" s="59" t="n"/>
      <c r="R40" s="59" t="n"/>
      <c r="S40" s="14" t="n"/>
      <c r="U40" s="53" t="n"/>
      <c r="V40" s="53" t="n"/>
      <c r="W40" s="53" t="n"/>
      <c r="X40" s="53" t="n"/>
      <c r="Y40" s="53" t="n"/>
      <c r="Z40" s="53" t="n"/>
      <c r="AA40" s="53" t="n"/>
      <c r="AB40" s="53" t="n"/>
      <c r="AC40" s="53" t="n"/>
      <c r="AD40" s="53" t="n"/>
      <c r="AE40" s="53" t="n"/>
      <c r="AF40" s="53" t="n"/>
      <c r="AG40" s="53" t="n"/>
      <c r="AH40" s="53" t="n"/>
      <c r="AI40" s="53" t="n"/>
      <c r="AJ40" s="53" t="n"/>
      <c r="AK40" s="53" t="n"/>
      <c r="AL40" s="53" t="n"/>
      <c r="AM40" s="53" t="n"/>
      <c r="AN40" s="53" t="n"/>
      <c r="AO40" s="53" t="n"/>
      <c r="AP40" s="53" t="n"/>
      <c r="AQ40" s="53" t="n"/>
      <c r="AR40" s="53" t="n"/>
      <c r="AS40" s="53" t="n"/>
      <c r="AT40" s="53" t="n"/>
      <c r="AU40" s="53" t="n"/>
      <c r="AV40" s="53" t="n"/>
      <c r="AW40" s="53" t="n"/>
      <c r="AX40" s="53" t="n"/>
      <c r="AY40" s="53" t="n"/>
    </row>
    <row r="41" ht="15" customHeight="1">
      <c r="A41" s="62" t="n"/>
      <c r="B41" s="55">
        <f>IF($B$39="","",$B$39)</f>
        <v/>
      </c>
      <c r="C41" s="63" t="inlineStr">
        <is>
          <t>마케팅1팀</t>
        </is>
      </c>
      <c r="D41" s="55">
        <f>IF($D$39="","",$D$39)</f>
        <v/>
      </c>
      <c r="E41" s="64" t="inlineStr">
        <is>
          <t>영상</t>
        </is>
      </c>
      <c r="F41" s="44" t="n"/>
      <c r="G41" s="58">
        <f>IF($G$39="","",$G$39)</f>
        <v/>
      </c>
      <c r="H41" s="59" t="n"/>
      <c r="I41" s="59" t="n"/>
      <c r="J41" s="59" t="n"/>
      <c r="K41" s="59" t="n"/>
      <c r="L41" s="65">
        <f>IF(SUM(U41:AY41)=0,"",SUM(U41:AY41))</f>
        <v/>
      </c>
      <c r="M41" s="66">
        <f>IFERROR(INDEX(U$2:AY$2,MATCH(TRUE,INDEX(U41:AY41&lt;&gt;"",0),0)),"")</f>
        <v/>
      </c>
      <c r="N41" s="66">
        <f>IFERROR(LOOKUP(2,1/(U41:AY41&lt;&gt;""),U$2:AY$2),"")</f>
        <v/>
      </c>
      <c r="O41" s="59" t="n"/>
      <c r="P41" s="59" t="n"/>
      <c r="Q41" s="59" t="n"/>
      <c r="R41" s="59" t="n"/>
      <c r="S41" s="14" t="n"/>
      <c r="U41" s="53" t="n"/>
      <c r="V41" s="53" t="n"/>
      <c r="W41" s="53" t="n"/>
      <c r="X41" s="53" t="n"/>
      <c r="Y41" s="53" t="n"/>
      <c r="Z41" s="53" t="n"/>
      <c r="AA41" s="53" t="n"/>
      <c r="AB41" s="53" t="n"/>
      <c r="AC41" s="53" t="n"/>
      <c r="AD41" s="53" t="n"/>
      <c r="AE41" s="53" t="n"/>
      <c r="AF41" s="53" t="n"/>
      <c r="AG41" s="53" t="n"/>
      <c r="AH41" s="53" t="n"/>
      <c r="AI41" s="53" t="n"/>
      <c r="AJ41" s="53" t="n"/>
      <c r="AK41" s="53" t="n"/>
      <c r="AL41" s="53" t="n"/>
      <c r="AM41" s="53" t="n"/>
      <c r="AN41" s="53" t="n"/>
      <c r="AO41" s="53" t="n"/>
      <c r="AP41" s="53" t="n"/>
      <c r="AQ41" s="53" t="n"/>
      <c r="AR41" s="53" t="n"/>
      <c r="AS41" s="53" t="n"/>
      <c r="AT41" s="53" t="n"/>
      <c r="AU41" s="53" t="n"/>
      <c r="AV41" s="53" t="n"/>
      <c r="AW41" s="53" t="n"/>
      <c r="AX41" s="53" t="n"/>
      <c r="AY41" s="53" t="n"/>
    </row>
    <row r="42" ht="15" customHeight="1">
      <c r="A42" s="40">
        <f>IF($D$42="","",12)</f>
        <v/>
      </c>
      <c r="B42" s="10" t="n"/>
      <c r="C42" s="41" t="inlineStr">
        <is>
          <t>마케팅1팀</t>
        </is>
      </c>
      <c r="D42" s="42" t="n"/>
      <c r="E42" s="43" t="inlineStr">
        <is>
          <t>기획</t>
        </is>
      </c>
      <c r="F42" s="44" t="n"/>
      <c r="G42" s="45" t="n"/>
      <c r="H42" s="46">
        <f>IF($I$42="","",IF($I$42&lt;0,"🔴지연",IF($I$42&lt;=1,"🟡임박","🟢여유")))</f>
        <v/>
      </c>
      <c r="I42" s="47">
        <f>IF(OR($G$42="",$K$42=""),"",$G$42-$K$42)</f>
        <v/>
      </c>
      <c r="J42" s="48">
        <f>IF(SUM($L$42:$L$44)=0,"",SUM($L$42:$L$44))</f>
        <v/>
      </c>
      <c r="K42" s="49">
        <f>IF($J$42="","",MAX($N$42:$N$44))</f>
        <v/>
      </c>
      <c r="L42" s="50">
        <f>IF(SUM(U42:AY42)=0,"",SUM(U42:AY42))</f>
        <v/>
      </c>
      <c r="M42" s="51">
        <f>IFERROR(INDEX(U$2:AY$2,MATCH(TRUE,INDEX(U42:AY42&lt;&gt;"",0),0)),"")</f>
        <v/>
      </c>
      <c r="N42" s="51">
        <f>IFERROR(LOOKUP(2,1/(U42:AY42&lt;&gt;""),U$2:AY$2),"")</f>
        <v/>
      </c>
      <c r="O42" s="52" t="n"/>
      <c r="P42" s="52" t="n"/>
      <c r="Q42" s="52" t="n"/>
      <c r="R42" s="44" t="n"/>
      <c r="S42" s="14" t="n"/>
      <c r="U42" s="53" t="n"/>
      <c r="V42" s="53" t="n"/>
      <c r="W42" s="53" t="n"/>
      <c r="X42" s="53" t="n"/>
      <c r="Y42" s="53" t="n"/>
      <c r="Z42" s="53" t="n"/>
      <c r="AA42" s="53" t="n"/>
      <c r="AB42" s="53" t="n"/>
      <c r="AC42" s="53" t="n"/>
      <c r="AD42" s="53" t="n"/>
      <c r="AE42" s="53" t="n"/>
      <c r="AF42" s="53" t="n"/>
      <c r="AG42" s="53" t="n"/>
      <c r="AH42" s="53" t="n"/>
      <c r="AI42" s="53" t="n"/>
      <c r="AJ42" s="53" t="n"/>
      <c r="AK42" s="53" t="n"/>
      <c r="AL42" s="53" t="n"/>
      <c r="AM42" s="53" t="n"/>
      <c r="AN42" s="53" t="n"/>
      <c r="AO42" s="53" t="n"/>
      <c r="AP42" s="53" t="n"/>
      <c r="AQ42" s="53" t="n"/>
      <c r="AR42" s="53" t="n"/>
      <c r="AS42" s="53" t="n"/>
      <c r="AT42" s="53" t="n"/>
      <c r="AU42" s="53" t="n"/>
      <c r="AV42" s="53" t="n"/>
      <c r="AW42" s="53" t="n"/>
      <c r="AX42" s="53" t="n"/>
      <c r="AY42" s="53" t="n"/>
    </row>
    <row r="43" ht="15" customHeight="1">
      <c r="A43" s="54" t="n"/>
      <c r="B43" s="55">
        <f>IF($B$42="","",$B$42)</f>
        <v/>
      </c>
      <c r="C43" s="56" t="inlineStr">
        <is>
          <t>마케팅1팀</t>
        </is>
      </c>
      <c r="D43" s="55">
        <f>IF($D$42="","",$D$42)</f>
        <v/>
      </c>
      <c r="E43" s="57" t="inlineStr">
        <is>
          <t>이미지</t>
        </is>
      </c>
      <c r="F43" s="44" t="n"/>
      <c r="G43" s="58">
        <f>IF($G$42="","",$G$42)</f>
        <v/>
      </c>
      <c r="H43" s="59" t="n"/>
      <c r="I43" s="59" t="n"/>
      <c r="J43" s="59" t="n"/>
      <c r="K43" s="59" t="n"/>
      <c r="L43" s="60">
        <f>IF(SUM(U43:AY43)=0,"",SUM(U43:AY43))</f>
        <v/>
      </c>
      <c r="M43" s="61">
        <f>IFERROR(INDEX(U$2:AY$2,MATCH(TRUE,INDEX(U43:AY43&lt;&gt;"",0),0)),"")</f>
        <v/>
      </c>
      <c r="N43" s="61">
        <f>IFERROR(LOOKUP(2,1/(U43:AY43&lt;&gt;""),U$2:AY$2),"")</f>
        <v/>
      </c>
      <c r="O43" s="59" t="n"/>
      <c r="P43" s="59" t="n"/>
      <c r="Q43" s="59" t="n"/>
      <c r="R43" s="59" t="n"/>
      <c r="S43" s="14" t="n"/>
      <c r="U43" s="53" t="n"/>
      <c r="V43" s="53" t="n"/>
      <c r="W43" s="53" t="n"/>
      <c r="X43" s="53" t="n"/>
      <c r="Y43" s="53" t="n"/>
      <c r="Z43" s="53" t="n"/>
      <c r="AA43" s="53" t="n"/>
      <c r="AB43" s="53" t="n"/>
      <c r="AC43" s="53" t="n"/>
      <c r="AD43" s="53" t="n"/>
      <c r="AE43" s="53" t="n"/>
      <c r="AF43" s="53" t="n"/>
      <c r="AG43" s="53" t="n"/>
      <c r="AH43" s="53" t="n"/>
      <c r="AI43" s="53" t="n"/>
      <c r="AJ43" s="53" t="n"/>
      <c r="AK43" s="53" t="n"/>
      <c r="AL43" s="53" t="n"/>
      <c r="AM43" s="53" t="n"/>
      <c r="AN43" s="53" t="n"/>
      <c r="AO43" s="53" t="n"/>
      <c r="AP43" s="53" t="n"/>
      <c r="AQ43" s="53" t="n"/>
      <c r="AR43" s="53" t="n"/>
      <c r="AS43" s="53" t="n"/>
      <c r="AT43" s="53" t="n"/>
      <c r="AU43" s="53" t="n"/>
      <c r="AV43" s="53" t="n"/>
      <c r="AW43" s="53" t="n"/>
      <c r="AX43" s="53" t="n"/>
      <c r="AY43" s="53" t="n"/>
    </row>
    <row r="44" ht="15" customHeight="1">
      <c r="A44" s="62" t="n"/>
      <c r="B44" s="55">
        <f>IF($B$42="","",$B$42)</f>
        <v/>
      </c>
      <c r="C44" s="63" t="inlineStr">
        <is>
          <t>마케팅1팀</t>
        </is>
      </c>
      <c r="D44" s="55">
        <f>IF($D$42="","",$D$42)</f>
        <v/>
      </c>
      <c r="E44" s="64" t="inlineStr">
        <is>
          <t>영상</t>
        </is>
      </c>
      <c r="F44" s="44" t="n"/>
      <c r="G44" s="58">
        <f>IF($G$42="","",$G$42)</f>
        <v/>
      </c>
      <c r="H44" s="59" t="n"/>
      <c r="I44" s="59" t="n"/>
      <c r="J44" s="59" t="n"/>
      <c r="K44" s="59" t="n"/>
      <c r="L44" s="65">
        <f>IF(SUM(U44:AY44)=0,"",SUM(U44:AY44))</f>
        <v/>
      </c>
      <c r="M44" s="66">
        <f>IFERROR(INDEX(U$2:AY$2,MATCH(TRUE,INDEX(U44:AY44&lt;&gt;"",0),0)),"")</f>
        <v/>
      </c>
      <c r="N44" s="66">
        <f>IFERROR(LOOKUP(2,1/(U44:AY44&lt;&gt;""),U$2:AY$2),"")</f>
        <v/>
      </c>
      <c r="O44" s="59" t="n"/>
      <c r="P44" s="59" t="n"/>
      <c r="Q44" s="59" t="n"/>
      <c r="R44" s="59" t="n"/>
      <c r="S44" s="14" t="n"/>
      <c r="U44" s="53" t="n"/>
      <c r="V44" s="53" t="n"/>
      <c r="W44" s="53" t="n"/>
      <c r="X44" s="53" t="n"/>
      <c r="Y44" s="53" t="n"/>
      <c r="Z44" s="53" t="n"/>
      <c r="AA44" s="53" t="n"/>
      <c r="AB44" s="53" t="n"/>
      <c r="AC44" s="53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53" t="n"/>
      <c r="AN44" s="53" t="n"/>
      <c r="AO44" s="53" t="n"/>
      <c r="AP44" s="53" t="n"/>
      <c r="AQ44" s="53" t="n"/>
      <c r="AR44" s="53" t="n"/>
      <c r="AS44" s="53" t="n"/>
      <c r="AT44" s="53" t="n"/>
      <c r="AU44" s="53" t="n"/>
      <c r="AV44" s="53" t="n"/>
      <c r="AW44" s="53" t="n"/>
      <c r="AX44" s="53" t="n"/>
      <c r="AY44" s="53" t="n"/>
    </row>
    <row r="45" ht="15" customHeight="1">
      <c r="A45" s="40">
        <f>IF($D$45="","",13)</f>
        <v/>
      </c>
      <c r="B45" s="10" t="n"/>
      <c r="C45" s="41" t="inlineStr">
        <is>
          <t>마케팅1팀</t>
        </is>
      </c>
      <c r="D45" s="42" t="n"/>
      <c r="E45" s="43" t="inlineStr">
        <is>
          <t>기획</t>
        </is>
      </c>
      <c r="F45" s="44" t="n"/>
      <c r="G45" s="45" t="n"/>
      <c r="H45" s="46">
        <f>IF($I$45="","",IF($I$45&lt;0,"🔴지연",IF($I$45&lt;=1,"🟡임박","🟢여유")))</f>
        <v/>
      </c>
      <c r="I45" s="47">
        <f>IF(OR($G$45="",$K$45=""),"",$G$45-$K$45)</f>
        <v/>
      </c>
      <c r="J45" s="48">
        <f>IF(SUM($L$45:$L$47)=0,"",SUM($L$45:$L$47))</f>
        <v/>
      </c>
      <c r="K45" s="49">
        <f>IF($J$45="","",MAX($N$45:$N$47))</f>
        <v/>
      </c>
      <c r="L45" s="50">
        <f>IF(SUM(U45:AY45)=0,"",SUM(U45:AY45))</f>
        <v/>
      </c>
      <c r="M45" s="51">
        <f>IFERROR(INDEX(U$2:AY$2,MATCH(TRUE,INDEX(U45:AY45&lt;&gt;"",0),0)),"")</f>
        <v/>
      </c>
      <c r="N45" s="51">
        <f>IFERROR(LOOKUP(2,1/(U45:AY45&lt;&gt;""),U$2:AY$2),"")</f>
        <v/>
      </c>
      <c r="O45" s="52" t="n"/>
      <c r="P45" s="52" t="n"/>
      <c r="Q45" s="52" t="n"/>
      <c r="R45" s="44" t="n"/>
      <c r="S45" s="14" t="n"/>
      <c r="U45" s="53" t="n"/>
      <c r="V45" s="53" t="n"/>
      <c r="W45" s="53" t="n"/>
      <c r="X45" s="53" t="n"/>
      <c r="Y45" s="53" t="n"/>
      <c r="Z45" s="53" t="n"/>
      <c r="AA45" s="53" t="n"/>
      <c r="AB45" s="53" t="n"/>
      <c r="AC45" s="53" t="n"/>
      <c r="AD45" s="53" t="n"/>
      <c r="AE45" s="53" t="n"/>
      <c r="AF45" s="53" t="n"/>
      <c r="AG45" s="53" t="n"/>
      <c r="AH45" s="53" t="n"/>
      <c r="AI45" s="53" t="n"/>
      <c r="AJ45" s="53" t="n"/>
      <c r="AK45" s="53" t="n"/>
      <c r="AL45" s="53" t="n"/>
      <c r="AM45" s="53" t="n"/>
      <c r="AN45" s="53" t="n"/>
      <c r="AO45" s="53" t="n"/>
      <c r="AP45" s="53" t="n"/>
      <c r="AQ45" s="53" t="n"/>
      <c r="AR45" s="53" t="n"/>
      <c r="AS45" s="53" t="n"/>
      <c r="AT45" s="53" t="n"/>
      <c r="AU45" s="53" t="n"/>
      <c r="AV45" s="53" t="n"/>
      <c r="AW45" s="53" t="n"/>
      <c r="AX45" s="53" t="n"/>
      <c r="AY45" s="53" t="n"/>
    </row>
    <row r="46" ht="15" customHeight="1">
      <c r="A46" s="54" t="n"/>
      <c r="B46" s="55">
        <f>IF($B$45="","",$B$45)</f>
        <v/>
      </c>
      <c r="C46" s="56" t="inlineStr">
        <is>
          <t>마케팅1팀</t>
        </is>
      </c>
      <c r="D46" s="55">
        <f>IF($D$45="","",$D$45)</f>
        <v/>
      </c>
      <c r="E46" s="57" t="inlineStr">
        <is>
          <t>이미지</t>
        </is>
      </c>
      <c r="F46" s="44" t="n"/>
      <c r="G46" s="58">
        <f>IF($G$45="","",$G$45)</f>
        <v/>
      </c>
      <c r="H46" s="59" t="n"/>
      <c r="I46" s="59" t="n"/>
      <c r="J46" s="59" t="n"/>
      <c r="K46" s="59" t="n"/>
      <c r="L46" s="60">
        <f>IF(SUM(U46:AY46)=0,"",SUM(U46:AY46))</f>
        <v/>
      </c>
      <c r="M46" s="61">
        <f>IFERROR(INDEX(U$2:AY$2,MATCH(TRUE,INDEX(U46:AY46&lt;&gt;"",0),0)),"")</f>
        <v/>
      </c>
      <c r="N46" s="61">
        <f>IFERROR(LOOKUP(2,1/(U46:AY46&lt;&gt;""),U$2:AY$2),"")</f>
        <v/>
      </c>
      <c r="O46" s="59" t="n"/>
      <c r="P46" s="59" t="n"/>
      <c r="Q46" s="59" t="n"/>
      <c r="R46" s="59" t="n"/>
      <c r="S46" s="14" t="n"/>
      <c r="U46" s="53" t="n"/>
      <c r="V46" s="53" t="n"/>
      <c r="W46" s="53" t="n"/>
      <c r="X46" s="53" t="n"/>
      <c r="Y46" s="53" t="n"/>
      <c r="Z46" s="53" t="n"/>
      <c r="AA46" s="53" t="n"/>
      <c r="AB46" s="53" t="n"/>
      <c r="AC46" s="53" t="n"/>
      <c r="AD46" s="53" t="n"/>
      <c r="AE46" s="53" t="n"/>
      <c r="AF46" s="53" t="n"/>
      <c r="AG46" s="53" t="n"/>
      <c r="AH46" s="53" t="n"/>
      <c r="AI46" s="53" t="n"/>
      <c r="AJ46" s="53" t="n"/>
      <c r="AK46" s="53" t="n"/>
      <c r="AL46" s="53" t="n"/>
      <c r="AM46" s="53" t="n"/>
      <c r="AN46" s="53" t="n"/>
      <c r="AO46" s="53" t="n"/>
      <c r="AP46" s="53" t="n"/>
      <c r="AQ46" s="53" t="n"/>
      <c r="AR46" s="53" t="n"/>
      <c r="AS46" s="53" t="n"/>
      <c r="AT46" s="53" t="n"/>
      <c r="AU46" s="53" t="n"/>
      <c r="AV46" s="53" t="n"/>
      <c r="AW46" s="53" t="n"/>
      <c r="AX46" s="53" t="n"/>
      <c r="AY46" s="53" t="n"/>
    </row>
    <row r="47" ht="15" customHeight="1">
      <c r="A47" s="62" t="n"/>
      <c r="B47" s="55">
        <f>IF($B$45="","",$B$45)</f>
        <v/>
      </c>
      <c r="C47" s="63" t="inlineStr">
        <is>
          <t>마케팅1팀</t>
        </is>
      </c>
      <c r="D47" s="55">
        <f>IF($D$45="","",$D$45)</f>
        <v/>
      </c>
      <c r="E47" s="64" t="inlineStr">
        <is>
          <t>영상</t>
        </is>
      </c>
      <c r="F47" s="44" t="n"/>
      <c r="G47" s="58">
        <f>IF($G$45="","",$G$45)</f>
        <v/>
      </c>
      <c r="H47" s="59" t="n"/>
      <c r="I47" s="59" t="n"/>
      <c r="J47" s="59" t="n"/>
      <c r="K47" s="59" t="n"/>
      <c r="L47" s="65">
        <f>IF(SUM(U47:AY47)=0,"",SUM(U47:AY47))</f>
        <v/>
      </c>
      <c r="M47" s="66">
        <f>IFERROR(INDEX(U$2:AY$2,MATCH(TRUE,INDEX(U47:AY47&lt;&gt;"",0),0)),"")</f>
        <v/>
      </c>
      <c r="N47" s="66">
        <f>IFERROR(LOOKUP(2,1/(U47:AY47&lt;&gt;""),U$2:AY$2),"")</f>
        <v/>
      </c>
      <c r="O47" s="59" t="n"/>
      <c r="P47" s="59" t="n"/>
      <c r="Q47" s="59" t="n"/>
      <c r="R47" s="59" t="n"/>
      <c r="S47" s="14" t="n"/>
      <c r="U47" s="53" t="n"/>
      <c r="V47" s="53" t="n"/>
      <c r="W47" s="53" t="n"/>
      <c r="X47" s="53" t="n"/>
      <c r="Y47" s="53" t="n"/>
      <c r="Z47" s="53" t="n"/>
      <c r="AA47" s="53" t="n"/>
      <c r="AB47" s="53" t="n"/>
      <c r="AC47" s="53" t="n"/>
      <c r="AD47" s="53" t="n"/>
      <c r="AE47" s="53" t="n"/>
      <c r="AF47" s="53" t="n"/>
      <c r="AG47" s="53" t="n"/>
      <c r="AH47" s="53" t="n"/>
      <c r="AI47" s="53" t="n"/>
      <c r="AJ47" s="53" t="n"/>
      <c r="AK47" s="53" t="n"/>
      <c r="AL47" s="53" t="n"/>
      <c r="AM47" s="53" t="n"/>
      <c r="AN47" s="53" t="n"/>
      <c r="AO47" s="53" t="n"/>
      <c r="AP47" s="53" t="n"/>
      <c r="AQ47" s="53" t="n"/>
      <c r="AR47" s="53" t="n"/>
      <c r="AS47" s="53" t="n"/>
      <c r="AT47" s="53" t="n"/>
      <c r="AU47" s="53" t="n"/>
      <c r="AV47" s="53" t="n"/>
      <c r="AW47" s="53" t="n"/>
      <c r="AX47" s="53" t="n"/>
      <c r="AY47" s="53" t="n"/>
    </row>
    <row r="48" ht="15" customHeight="1">
      <c r="A48" s="40">
        <f>IF($D$48="","",14)</f>
        <v/>
      </c>
      <c r="B48" s="10" t="n"/>
      <c r="C48" s="41" t="inlineStr">
        <is>
          <t>마케팅1팀</t>
        </is>
      </c>
      <c r="D48" s="42" t="n"/>
      <c r="E48" s="43" t="inlineStr">
        <is>
          <t>기획</t>
        </is>
      </c>
      <c r="F48" s="44" t="n"/>
      <c r="G48" s="45" t="n"/>
      <c r="H48" s="46">
        <f>IF($I$48="","",IF($I$48&lt;0,"🔴지연",IF($I$48&lt;=1,"🟡임박","🟢여유")))</f>
        <v/>
      </c>
      <c r="I48" s="47">
        <f>IF(OR($G$48="",$K$48=""),"",$G$48-$K$48)</f>
        <v/>
      </c>
      <c r="J48" s="48">
        <f>IF(SUM($L$48:$L$50)=0,"",SUM($L$48:$L$50))</f>
        <v/>
      </c>
      <c r="K48" s="49">
        <f>IF($J$48="","",MAX($N$48:$N$50))</f>
        <v/>
      </c>
      <c r="L48" s="50">
        <f>IF(SUM(U48:AY48)=0,"",SUM(U48:AY48))</f>
        <v/>
      </c>
      <c r="M48" s="51">
        <f>IFERROR(INDEX(U$2:AY$2,MATCH(TRUE,INDEX(U48:AY48&lt;&gt;"",0),0)),"")</f>
        <v/>
      </c>
      <c r="N48" s="51">
        <f>IFERROR(LOOKUP(2,1/(U48:AY48&lt;&gt;""),U$2:AY$2),"")</f>
        <v/>
      </c>
      <c r="O48" s="52" t="n"/>
      <c r="P48" s="52" t="n"/>
      <c r="Q48" s="52" t="n"/>
      <c r="R48" s="44" t="n"/>
      <c r="S48" s="14" t="n"/>
      <c r="U48" s="53" t="n"/>
      <c r="V48" s="53" t="n"/>
      <c r="W48" s="53" t="n"/>
      <c r="X48" s="53" t="n"/>
      <c r="Y48" s="53" t="n"/>
      <c r="Z48" s="53" t="n"/>
      <c r="AA48" s="53" t="n"/>
      <c r="AB48" s="53" t="n"/>
      <c r="AC48" s="53" t="n"/>
      <c r="AD48" s="53" t="n"/>
      <c r="AE48" s="53" t="n"/>
      <c r="AF48" s="53" t="n"/>
      <c r="AG48" s="53" t="n"/>
      <c r="AH48" s="53" t="n"/>
      <c r="AI48" s="53" t="n"/>
      <c r="AJ48" s="53" t="n"/>
      <c r="AK48" s="53" t="n"/>
      <c r="AL48" s="53" t="n"/>
      <c r="AM48" s="53" t="n"/>
      <c r="AN48" s="53" t="n"/>
      <c r="AO48" s="53" t="n"/>
      <c r="AP48" s="53" t="n"/>
      <c r="AQ48" s="53" t="n"/>
      <c r="AR48" s="53" t="n"/>
      <c r="AS48" s="53" t="n"/>
      <c r="AT48" s="53" t="n"/>
      <c r="AU48" s="53" t="n"/>
      <c r="AV48" s="53" t="n"/>
      <c r="AW48" s="53" t="n"/>
      <c r="AX48" s="53" t="n"/>
      <c r="AY48" s="53" t="n"/>
    </row>
    <row r="49" ht="15" customHeight="1">
      <c r="A49" s="54" t="n"/>
      <c r="B49" s="55">
        <f>IF($B$48="","",$B$48)</f>
        <v/>
      </c>
      <c r="C49" s="56" t="inlineStr">
        <is>
          <t>마케팅1팀</t>
        </is>
      </c>
      <c r="D49" s="55">
        <f>IF($D$48="","",$D$48)</f>
        <v/>
      </c>
      <c r="E49" s="57" t="inlineStr">
        <is>
          <t>이미지</t>
        </is>
      </c>
      <c r="F49" s="44" t="n"/>
      <c r="G49" s="58">
        <f>IF($G$48="","",$G$48)</f>
        <v/>
      </c>
      <c r="H49" s="59" t="n"/>
      <c r="I49" s="59" t="n"/>
      <c r="J49" s="59" t="n"/>
      <c r="K49" s="59" t="n"/>
      <c r="L49" s="60">
        <f>IF(SUM(U49:AY49)=0,"",SUM(U49:AY49))</f>
        <v/>
      </c>
      <c r="M49" s="61">
        <f>IFERROR(INDEX(U$2:AY$2,MATCH(TRUE,INDEX(U49:AY49&lt;&gt;"",0),0)),"")</f>
        <v/>
      </c>
      <c r="N49" s="61">
        <f>IFERROR(LOOKUP(2,1/(U49:AY49&lt;&gt;""),U$2:AY$2),"")</f>
        <v/>
      </c>
      <c r="O49" s="59" t="n"/>
      <c r="P49" s="59" t="n"/>
      <c r="Q49" s="59" t="n"/>
      <c r="R49" s="59" t="n"/>
      <c r="S49" s="14" t="n"/>
      <c r="U49" s="53" t="n"/>
      <c r="V49" s="53" t="n"/>
      <c r="W49" s="53" t="n"/>
      <c r="X49" s="53" t="n"/>
      <c r="Y49" s="53" t="n"/>
      <c r="Z49" s="53" t="n"/>
      <c r="AA49" s="53" t="n"/>
      <c r="AB49" s="53" t="n"/>
      <c r="AC49" s="53" t="n"/>
      <c r="AD49" s="53" t="n"/>
      <c r="AE49" s="53" t="n"/>
      <c r="AF49" s="53" t="n"/>
      <c r="AG49" s="53" t="n"/>
      <c r="AH49" s="53" t="n"/>
      <c r="AI49" s="53" t="n"/>
      <c r="AJ49" s="53" t="n"/>
      <c r="AK49" s="53" t="n"/>
      <c r="AL49" s="53" t="n"/>
      <c r="AM49" s="53" t="n"/>
      <c r="AN49" s="53" t="n"/>
      <c r="AO49" s="53" t="n"/>
      <c r="AP49" s="53" t="n"/>
      <c r="AQ49" s="53" t="n"/>
      <c r="AR49" s="53" t="n"/>
      <c r="AS49" s="53" t="n"/>
      <c r="AT49" s="53" t="n"/>
      <c r="AU49" s="53" t="n"/>
      <c r="AV49" s="53" t="n"/>
      <c r="AW49" s="53" t="n"/>
      <c r="AX49" s="53" t="n"/>
      <c r="AY49" s="53" t="n"/>
    </row>
    <row r="50" ht="15" customHeight="1">
      <c r="A50" s="62" t="n"/>
      <c r="B50" s="55">
        <f>IF($B$48="","",$B$48)</f>
        <v/>
      </c>
      <c r="C50" s="63" t="inlineStr">
        <is>
          <t>마케팅1팀</t>
        </is>
      </c>
      <c r="D50" s="55">
        <f>IF($D$48="","",$D$48)</f>
        <v/>
      </c>
      <c r="E50" s="64" t="inlineStr">
        <is>
          <t>영상</t>
        </is>
      </c>
      <c r="F50" s="44" t="n"/>
      <c r="G50" s="58">
        <f>IF($G$48="","",$G$48)</f>
        <v/>
      </c>
      <c r="H50" s="59" t="n"/>
      <c r="I50" s="59" t="n"/>
      <c r="J50" s="59" t="n"/>
      <c r="K50" s="59" t="n"/>
      <c r="L50" s="65">
        <f>IF(SUM(U50:AY50)=0,"",SUM(U50:AY50))</f>
        <v/>
      </c>
      <c r="M50" s="66">
        <f>IFERROR(INDEX(U$2:AY$2,MATCH(TRUE,INDEX(U50:AY50&lt;&gt;"",0),0)),"")</f>
        <v/>
      </c>
      <c r="N50" s="66">
        <f>IFERROR(LOOKUP(2,1/(U50:AY50&lt;&gt;""),U$2:AY$2),"")</f>
        <v/>
      </c>
      <c r="O50" s="59" t="n"/>
      <c r="P50" s="59" t="n"/>
      <c r="Q50" s="59" t="n"/>
      <c r="R50" s="59" t="n"/>
      <c r="S50" s="14" t="n"/>
      <c r="U50" s="53" t="n"/>
      <c r="V50" s="53" t="n"/>
      <c r="W50" s="53" t="n"/>
      <c r="X50" s="53" t="n"/>
      <c r="Y50" s="53" t="n"/>
      <c r="Z50" s="53" t="n"/>
      <c r="AA50" s="53" t="n"/>
      <c r="AB50" s="53" t="n"/>
      <c r="AC50" s="53" t="n"/>
      <c r="AD50" s="53" t="n"/>
      <c r="AE50" s="53" t="n"/>
      <c r="AF50" s="53" t="n"/>
      <c r="AG50" s="53" t="n"/>
      <c r="AH50" s="53" t="n"/>
      <c r="AI50" s="53" t="n"/>
      <c r="AJ50" s="53" t="n"/>
      <c r="AK50" s="53" t="n"/>
      <c r="AL50" s="53" t="n"/>
      <c r="AM50" s="53" t="n"/>
      <c r="AN50" s="53" t="n"/>
      <c r="AO50" s="53" t="n"/>
      <c r="AP50" s="53" t="n"/>
      <c r="AQ50" s="53" t="n"/>
      <c r="AR50" s="53" t="n"/>
      <c r="AS50" s="53" t="n"/>
      <c r="AT50" s="53" t="n"/>
      <c r="AU50" s="53" t="n"/>
      <c r="AV50" s="53" t="n"/>
      <c r="AW50" s="53" t="n"/>
      <c r="AX50" s="53" t="n"/>
      <c r="AY50" s="53" t="n"/>
    </row>
    <row r="51" ht="15" customHeight="1">
      <c r="A51" s="40">
        <f>IF($D$51="","",15)</f>
        <v/>
      </c>
      <c r="B51" s="10" t="n"/>
      <c r="C51" s="41" t="inlineStr">
        <is>
          <t>마케팅1팀</t>
        </is>
      </c>
      <c r="D51" s="42" t="n"/>
      <c r="E51" s="43" t="inlineStr">
        <is>
          <t>기획</t>
        </is>
      </c>
      <c r="F51" s="44" t="n"/>
      <c r="G51" s="45" t="n"/>
      <c r="H51" s="46">
        <f>IF($I$51="","",IF($I$51&lt;0,"🔴지연",IF($I$51&lt;=1,"🟡임박","🟢여유")))</f>
        <v/>
      </c>
      <c r="I51" s="47">
        <f>IF(OR($G$51="",$K$51=""),"",$G$51-$K$51)</f>
        <v/>
      </c>
      <c r="J51" s="48">
        <f>IF(SUM($L$51:$L$53)=0,"",SUM($L$51:$L$53))</f>
        <v/>
      </c>
      <c r="K51" s="49">
        <f>IF($J$51="","",MAX($N$51:$N$53))</f>
        <v/>
      </c>
      <c r="L51" s="50">
        <f>IF(SUM(U51:AY51)=0,"",SUM(U51:AY51))</f>
        <v/>
      </c>
      <c r="M51" s="51">
        <f>IFERROR(INDEX(U$2:AY$2,MATCH(TRUE,INDEX(U51:AY51&lt;&gt;"",0),0)),"")</f>
        <v/>
      </c>
      <c r="N51" s="51">
        <f>IFERROR(LOOKUP(2,1/(U51:AY51&lt;&gt;""),U$2:AY$2),"")</f>
        <v/>
      </c>
      <c r="O51" s="52" t="n"/>
      <c r="P51" s="52" t="n"/>
      <c r="Q51" s="52" t="n"/>
      <c r="R51" s="44" t="n"/>
      <c r="S51" s="14" t="n"/>
      <c r="U51" s="53" t="n"/>
      <c r="V51" s="53" t="n"/>
      <c r="W51" s="53" t="n"/>
      <c r="X51" s="53" t="n"/>
      <c r="Y51" s="53" t="n"/>
      <c r="Z51" s="53" t="n"/>
      <c r="AA51" s="53" t="n"/>
      <c r="AB51" s="53" t="n"/>
      <c r="AC51" s="53" t="n"/>
      <c r="AD51" s="53" t="n"/>
      <c r="AE51" s="53" t="n"/>
      <c r="AF51" s="53" t="n"/>
      <c r="AG51" s="53" t="n"/>
      <c r="AH51" s="53" t="n"/>
      <c r="AI51" s="53" t="n"/>
      <c r="AJ51" s="53" t="n"/>
      <c r="AK51" s="53" t="n"/>
      <c r="AL51" s="53" t="n"/>
      <c r="AM51" s="53" t="n"/>
      <c r="AN51" s="53" t="n"/>
      <c r="AO51" s="53" t="n"/>
      <c r="AP51" s="53" t="n"/>
      <c r="AQ51" s="53" t="n"/>
      <c r="AR51" s="53" t="n"/>
      <c r="AS51" s="53" t="n"/>
      <c r="AT51" s="53" t="n"/>
      <c r="AU51" s="53" t="n"/>
      <c r="AV51" s="53" t="n"/>
      <c r="AW51" s="53" t="n"/>
      <c r="AX51" s="53" t="n"/>
      <c r="AY51" s="53" t="n"/>
    </row>
    <row r="52" ht="15" customHeight="1">
      <c r="A52" s="54" t="n"/>
      <c r="B52" s="55">
        <f>IF($B$51="","",$B$51)</f>
        <v/>
      </c>
      <c r="C52" s="56" t="inlineStr">
        <is>
          <t>마케팅1팀</t>
        </is>
      </c>
      <c r="D52" s="55">
        <f>IF($D$51="","",$D$51)</f>
        <v/>
      </c>
      <c r="E52" s="57" t="inlineStr">
        <is>
          <t>이미지</t>
        </is>
      </c>
      <c r="F52" s="44" t="n"/>
      <c r="G52" s="58">
        <f>IF($G$51="","",$G$51)</f>
        <v/>
      </c>
      <c r="H52" s="59" t="n"/>
      <c r="I52" s="59" t="n"/>
      <c r="J52" s="59" t="n"/>
      <c r="K52" s="59" t="n"/>
      <c r="L52" s="60">
        <f>IF(SUM(U52:AY52)=0,"",SUM(U52:AY52))</f>
        <v/>
      </c>
      <c r="M52" s="61">
        <f>IFERROR(INDEX(U$2:AY$2,MATCH(TRUE,INDEX(U52:AY52&lt;&gt;"",0),0)),"")</f>
        <v/>
      </c>
      <c r="N52" s="61">
        <f>IFERROR(LOOKUP(2,1/(U52:AY52&lt;&gt;""),U$2:AY$2),"")</f>
        <v/>
      </c>
      <c r="O52" s="59" t="n"/>
      <c r="P52" s="59" t="n"/>
      <c r="Q52" s="59" t="n"/>
      <c r="R52" s="59" t="n"/>
      <c r="S52" s="14" t="n"/>
      <c r="U52" s="53" t="n"/>
      <c r="V52" s="53" t="n"/>
      <c r="W52" s="53" t="n"/>
      <c r="X52" s="53" t="n"/>
      <c r="Y52" s="53" t="n"/>
      <c r="Z52" s="53" t="n"/>
      <c r="AA52" s="53" t="n"/>
      <c r="AB52" s="53" t="n"/>
      <c r="AC52" s="53" t="n"/>
      <c r="AD52" s="53" t="n"/>
      <c r="AE52" s="53" t="n"/>
      <c r="AF52" s="53" t="n"/>
      <c r="AG52" s="53" t="n"/>
      <c r="AH52" s="53" t="n"/>
      <c r="AI52" s="53" t="n"/>
      <c r="AJ52" s="53" t="n"/>
      <c r="AK52" s="53" t="n"/>
      <c r="AL52" s="53" t="n"/>
      <c r="AM52" s="53" t="n"/>
      <c r="AN52" s="53" t="n"/>
      <c r="AO52" s="53" t="n"/>
      <c r="AP52" s="53" t="n"/>
      <c r="AQ52" s="53" t="n"/>
      <c r="AR52" s="53" t="n"/>
      <c r="AS52" s="53" t="n"/>
      <c r="AT52" s="53" t="n"/>
      <c r="AU52" s="53" t="n"/>
      <c r="AV52" s="53" t="n"/>
      <c r="AW52" s="53" t="n"/>
      <c r="AX52" s="53" t="n"/>
      <c r="AY52" s="53" t="n"/>
    </row>
    <row r="53" ht="15" customHeight="1">
      <c r="A53" s="62" t="n"/>
      <c r="B53" s="55">
        <f>IF($B$51="","",$B$51)</f>
        <v/>
      </c>
      <c r="C53" s="63" t="inlineStr">
        <is>
          <t>마케팅1팀</t>
        </is>
      </c>
      <c r="D53" s="55">
        <f>IF($D$51="","",$D$51)</f>
        <v/>
      </c>
      <c r="E53" s="64" t="inlineStr">
        <is>
          <t>영상</t>
        </is>
      </c>
      <c r="F53" s="44" t="n"/>
      <c r="G53" s="58">
        <f>IF($G$51="","",$G$51)</f>
        <v/>
      </c>
      <c r="H53" s="59" t="n"/>
      <c r="I53" s="59" t="n"/>
      <c r="J53" s="59" t="n"/>
      <c r="K53" s="59" t="n"/>
      <c r="L53" s="65">
        <f>IF(SUM(U53:AY53)=0,"",SUM(U53:AY53))</f>
        <v/>
      </c>
      <c r="M53" s="66">
        <f>IFERROR(INDEX(U$2:AY$2,MATCH(TRUE,INDEX(U53:AY53&lt;&gt;"",0),0)),"")</f>
        <v/>
      </c>
      <c r="N53" s="66">
        <f>IFERROR(LOOKUP(2,1/(U53:AY53&lt;&gt;""),U$2:AY$2),"")</f>
        <v/>
      </c>
      <c r="O53" s="59" t="n"/>
      <c r="P53" s="59" t="n"/>
      <c r="Q53" s="59" t="n"/>
      <c r="R53" s="59" t="n"/>
      <c r="S53" s="14" t="n"/>
      <c r="U53" s="53" t="n"/>
      <c r="V53" s="53" t="n"/>
      <c r="W53" s="53" t="n"/>
      <c r="X53" s="53" t="n"/>
      <c r="Y53" s="53" t="n"/>
      <c r="Z53" s="53" t="n"/>
      <c r="AA53" s="53" t="n"/>
      <c r="AB53" s="53" t="n"/>
      <c r="AC53" s="53" t="n"/>
      <c r="AD53" s="53" t="n"/>
      <c r="AE53" s="53" t="n"/>
      <c r="AF53" s="53" t="n"/>
      <c r="AG53" s="53" t="n"/>
      <c r="AH53" s="53" t="n"/>
      <c r="AI53" s="53" t="n"/>
      <c r="AJ53" s="53" t="n"/>
      <c r="AK53" s="53" t="n"/>
      <c r="AL53" s="53" t="n"/>
      <c r="AM53" s="53" t="n"/>
      <c r="AN53" s="53" t="n"/>
      <c r="AO53" s="53" t="n"/>
      <c r="AP53" s="53" t="n"/>
      <c r="AQ53" s="53" t="n"/>
      <c r="AR53" s="53" t="n"/>
      <c r="AS53" s="53" t="n"/>
      <c r="AT53" s="53" t="n"/>
      <c r="AU53" s="53" t="n"/>
      <c r="AV53" s="53" t="n"/>
      <c r="AW53" s="53" t="n"/>
      <c r="AX53" s="53" t="n"/>
      <c r="AY53" s="53" t="n"/>
    </row>
    <row r="54" ht="15" customHeight="1">
      <c r="A54" s="40">
        <f>IF($D$54="","",16)</f>
        <v/>
      </c>
      <c r="B54" s="10" t="n"/>
      <c r="C54" s="41" t="inlineStr">
        <is>
          <t>마케팅1팀</t>
        </is>
      </c>
      <c r="D54" s="42" t="n"/>
      <c r="E54" s="43" t="inlineStr">
        <is>
          <t>기획</t>
        </is>
      </c>
      <c r="F54" s="44" t="n"/>
      <c r="G54" s="45" t="n"/>
      <c r="H54" s="46">
        <f>IF($I$54="","",IF($I$54&lt;0,"🔴지연",IF($I$54&lt;=1,"🟡임박","🟢여유")))</f>
        <v/>
      </c>
      <c r="I54" s="47">
        <f>IF(OR($G$54="",$K$54=""),"",$G$54-$K$54)</f>
        <v/>
      </c>
      <c r="J54" s="48">
        <f>IF(SUM($L$54:$L$56)=0,"",SUM($L$54:$L$56))</f>
        <v/>
      </c>
      <c r="K54" s="49">
        <f>IF($J$54="","",MAX($N$54:$N$56))</f>
        <v/>
      </c>
      <c r="L54" s="50">
        <f>IF(SUM(U54:AY54)=0,"",SUM(U54:AY54))</f>
        <v/>
      </c>
      <c r="M54" s="51">
        <f>IFERROR(INDEX(U$2:AY$2,MATCH(TRUE,INDEX(U54:AY54&lt;&gt;"",0),0)),"")</f>
        <v/>
      </c>
      <c r="N54" s="51">
        <f>IFERROR(LOOKUP(2,1/(U54:AY54&lt;&gt;""),U$2:AY$2),"")</f>
        <v/>
      </c>
      <c r="O54" s="52" t="n"/>
      <c r="P54" s="52" t="n"/>
      <c r="Q54" s="52" t="n"/>
      <c r="R54" s="44" t="n"/>
      <c r="S54" s="14" t="n"/>
      <c r="U54" s="53" t="n"/>
      <c r="V54" s="53" t="n"/>
      <c r="W54" s="53" t="n"/>
      <c r="X54" s="53" t="n"/>
      <c r="Y54" s="53" t="n"/>
      <c r="Z54" s="53" t="n"/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s="53" t="n"/>
      <c r="AJ54" s="53" t="n"/>
      <c r="AK54" s="53" t="n"/>
      <c r="AL54" s="53" t="n"/>
      <c r="AM54" s="53" t="n"/>
      <c r="AN54" s="53" t="n"/>
      <c r="AO54" s="53" t="n"/>
      <c r="AP54" s="53" t="n"/>
      <c r="AQ54" s="53" t="n"/>
      <c r="AR54" s="53" t="n"/>
      <c r="AS54" s="53" t="n"/>
      <c r="AT54" s="53" t="n"/>
      <c r="AU54" s="53" t="n"/>
      <c r="AV54" s="53" t="n"/>
      <c r="AW54" s="53" t="n"/>
      <c r="AX54" s="53" t="n"/>
      <c r="AY54" s="53" t="n"/>
    </row>
    <row r="55" ht="15" customHeight="1">
      <c r="A55" s="54" t="n"/>
      <c r="B55" s="55">
        <f>IF($B$54="","",$B$54)</f>
        <v/>
      </c>
      <c r="C55" s="56" t="inlineStr">
        <is>
          <t>마케팅1팀</t>
        </is>
      </c>
      <c r="D55" s="55">
        <f>IF($D$54="","",$D$54)</f>
        <v/>
      </c>
      <c r="E55" s="57" t="inlineStr">
        <is>
          <t>이미지</t>
        </is>
      </c>
      <c r="F55" s="44" t="n"/>
      <c r="G55" s="58">
        <f>IF($G$54="","",$G$54)</f>
        <v/>
      </c>
      <c r="H55" s="59" t="n"/>
      <c r="I55" s="59" t="n"/>
      <c r="J55" s="59" t="n"/>
      <c r="K55" s="59" t="n"/>
      <c r="L55" s="60">
        <f>IF(SUM(U55:AY55)=0,"",SUM(U55:AY55))</f>
        <v/>
      </c>
      <c r="M55" s="61">
        <f>IFERROR(INDEX(U$2:AY$2,MATCH(TRUE,INDEX(U55:AY55&lt;&gt;"",0),0)),"")</f>
        <v/>
      </c>
      <c r="N55" s="61">
        <f>IFERROR(LOOKUP(2,1/(U55:AY55&lt;&gt;""),U$2:AY$2),"")</f>
        <v/>
      </c>
      <c r="O55" s="59" t="n"/>
      <c r="P55" s="59" t="n"/>
      <c r="Q55" s="59" t="n"/>
      <c r="R55" s="59" t="n"/>
      <c r="S55" s="14" t="n"/>
      <c r="U55" s="53" t="n"/>
      <c r="V55" s="53" t="n"/>
      <c r="W55" s="53" t="n"/>
      <c r="X55" s="53" t="n"/>
      <c r="Y55" s="53" t="n"/>
      <c r="Z55" s="53" t="n"/>
      <c r="AA55" s="53" t="n"/>
      <c r="AB55" s="53" t="n"/>
      <c r="AC55" s="53" t="n"/>
      <c r="AD55" s="53" t="n"/>
      <c r="AE55" s="53" t="n"/>
      <c r="AF55" s="53" t="n"/>
      <c r="AG55" s="53" t="n"/>
      <c r="AH55" s="53" t="n"/>
      <c r="AI55" s="53" t="n"/>
      <c r="AJ55" s="53" t="n"/>
      <c r="AK55" s="53" t="n"/>
      <c r="AL55" s="53" t="n"/>
      <c r="AM55" s="53" t="n"/>
      <c r="AN55" s="53" t="n"/>
      <c r="AO55" s="53" t="n"/>
      <c r="AP55" s="53" t="n"/>
      <c r="AQ55" s="53" t="n"/>
      <c r="AR55" s="53" t="n"/>
      <c r="AS55" s="53" t="n"/>
      <c r="AT55" s="53" t="n"/>
      <c r="AU55" s="53" t="n"/>
      <c r="AV55" s="53" t="n"/>
      <c r="AW55" s="53" t="n"/>
      <c r="AX55" s="53" t="n"/>
      <c r="AY55" s="53" t="n"/>
    </row>
    <row r="56" ht="15" customHeight="1">
      <c r="A56" s="62" t="n"/>
      <c r="B56" s="55">
        <f>IF($B$54="","",$B$54)</f>
        <v/>
      </c>
      <c r="C56" s="63" t="inlineStr">
        <is>
          <t>마케팅1팀</t>
        </is>
      </c>
      <c r="D56" s="55">
        <f>IF($D$54="","",$D$54)</f>
        <v/>
      </c>
      <c r="E56" s="64" t="inlineStr">
        <is>
          <t>영상</t>
        </is>
      </c>
      <c r="F56" s="44" t="n"/>
      <c r="G56" s="58">
        <f>IF($G$54="","",$G$54)</f>
        <v/>
      </c>
      <c r="H56" s="59" t="n"/>
      <c r="I56" s="59" t="n"/>
      <c r="J56" s="59" t="n"/>
      <c r="K56" s="59" t="n"/>
      <c r="L56" s="65">
        <f>IF(SUM(U56:AY56)=0,"",SUM(U56:AY56))</f>
        <v/>
      </c>
      <c r="M56" s="66">
        <f>IFERROR(INDEX(U$2:AY$2,MATCH(TRUE,INDEX(U56:AY56&lt;&gt;"",0),0)),"")</f>
        <v/>
      </c>
      <c r="N56" s="66">
        <f>IFERROR(LOOKUP(2,1/(U56:AY56&lt;&gt;""),U$2:AY$2),"")</f>
        <v/>
      </c>
      <c r="O56" s="59" t="n"/>
      <c r="P56" s="59" t="n"/>
      <c r="Q56" s="59" t="n"/>
      <c r="R56" s="59" t="n"/>
      <c r="S56" s="14" t="n"/>
      <c r="U56" s="53" t="n"/>
      <c r="V56" s="53" t="n"/>
      <c r="W56" s="53" t="n"/>
      <c r="X56" s="5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s="53" t="n"/>
      <c r="AJ56" s="53" t="n"/>
      <c r="AK56" s="53" t="n"/>
      <c r="AL56" s="53" t="n"/>
      <c r="AM56" s="53" t="n"/>
      <c r="AN56" s="53" t="n"/>
      <c r="AO56" s="53" t="n"/>
      <c r="AP56" s="53" t="n"/>
      <c r="AQ56" s="53" t="n"/>
      <c r="AR56" s="53" t="n"/>
      <c r="AS56" s="53" t="n"/>
      <c r="AT56" s="53" t="n"/>
      <c r="AU56" s="53" t="n"/>
      <c r="AV56" s="53" t="n"/>
      <c r="AW56" s="53" t="n"/>
      <c r="AX56" s="53" t="n"/>
      <c r="AY56" s="53" t="n"/>
    </row>
    <row r="57" ht="15" customHeight="1">
      <c r="A57" s="40">
        <f>IF($D$57="","",17)</f>
        <v/>
      </c>
      <c r="B57" s="10" t="n"/>
      <c r="C57" s="41" t="inlineStr">
        <is>
          <t>마케팅1팀</t>
        </is>
      </c>
      <c r="D57" s="42" t="n"/>
      <c r="E57" s="43" t="inlineStr">
        <is>
          <t>기획</t>
        </is>
      </c>
      <c r="F57" s="44" t="n"/>
      <c r="G57" s="45" t="n"/>
      <c r="H57" s="46">
        <f>IF($I$57="","",IF($I$57&lt;0,"🔴지연",IF($I$57&lt;=1,"🟡임박","🟢여유")))</f>
        <v/>
      </c>
      <c r="I57" s="47">
        <f>IF(OR($G$57="",$K$57=""),"",$G$57-$K$57)</f>
        <v/>
      </c>
      <c r="J57" s="48">
        <f>IF(SUM($L$57:$L$59)=0,"",SUM($L$57:$L$59))</f>
        <v/>
      </c>
      <c r="K57" s="49">
        <f>IF($J$57="","",MAX($N$57:$N$59))</f>
        <v/>
      </c>
      <c r="L57" s="50">
        <f>IF(SUM(U57:AY57)=0,"",SUM(U57:AY57))</f>
        <v/>
      </c>
      <c r="M57" s="51">
        <f>IFERROR(INDEX(U$2:AY$2,MATCH(TRUE,INDEX(U57:AY57&lt;&gt;"",0),0)),"")</f>
        <v/>
      </c>
      <c r="N57" s="51">
        <f>IFERROR(LOOKUP(2,1/(U57:AY57&lt;&gt;""),U$2:AY$2),"")</f>
        <v/>
      </c>
      <c r="O57" s="52" t="n"/>
      <c r="P57" s="52" t="n"/>
      <c r="Q57" s="52" t="n"/>
      <c r="R57" s="44" t="n"/>
      <c r="S57" s="14" t="n"/>
      <c r="U57" s="53" t="n"/>
      <c r="V57" s="53" t="n"/>
      <c r="W57" s="53" t="n"/>
      <c r="X57" s="53" t="n"/>
      <c r="Y57" s="53" t="n"/>
      <c r="Z57" s="53" t="n"/>
      <c r="AA57" s="53" t="n"/>
      <c r="AB57" s="53" t="n"/>
      <c r="AC57" s="53" t="n"/>
      <c r="AD57" s="53" t="n"/>
      <c r="AE57" s="53" t="n"/>
      <c r="AF57" s="53" t="n"/>
      <c r="AG57" s="53" t="n"/>
      <c r="AH57" s="53" t="n"/>
      <c r="AI57" s="53" t="n"/>
      <c r="AJ57" s="53" t="n"/>
      <c r="AK57" s="53" t="n"/>
      <c r="AL57" s="53" t="n"/>
      <c r="AM57" s="53" t="n"/>
      <c r="AN57" s="53" t="n"/>
      <c r="AO57" s="53" t="n"/>
      <c r="AP57" s="53" t="n"/>
      <c r="AQ57" s="53" t="n"/>
      <c r="AR57" s="53" t="n"/>
      <c r="AS57" s="53" t="n"/>
      <c r="AT57" s="53" t="n"/>
      <c r="AU57" s="53" t="n"/>
      <c r="AV57" s="53" t="n"/>
      <c r="AW57" s="53" t="n"/>
      <c r="AX57" s="53" t="n"/>
      <c r="AY57" s="53" t="n"/>
    </row>
    <row r="58" ht="15" customHeight="1">
      <c r="A58" s="54" t="n"/>
      <c r="B58" s="55">
        <f>IF($B$57="","",$B$57)</f>
        <v/>
      </c>
      <c r="C58" s="56" t="inlineStr">
        <is>
          <t>마케팅1팀</t>
        </is>
      </c>
      <c r="D58" s="55">
        <f>IF($D$57="","",$D$57)</f>
        <v/>
      </c>
      <c r="E58" s="57" t="inlineStr">
        <is>
          <t>이미지</t>
        </is>
      </c>
      <c r="F58" s="44" t="n"/>
      <c r="G58" s="58">
        <f>IF($G$57="","",$G$57)</f>
        <v/>
      </c>
      <c r="H58" s="59" t="n"/>
      <c r="I58" s="59" t="n"/>
      <c r="J58" s="59" t="n"/>
      <c r="K58" s="59" t="n"/>
      <c r="L58" s="60">
        <f>IF(SUM(U58:AY58)=0,"",SUM(U58:AY58))</f>
        <v/>
      </c>
      <c r="M58" s="61">
        <f>IFERROR(INDEX(U$2:AY$2,MATCH(TRUE,INDEX(U58:AY58&lt;&gt;"",0),0)),"")</f>
        <v/>
      </c>
      <c r="N58" s="61">
        <f>IFERROR(LOOKUP(2,1/(U58:AY58&lt;&gt;""),U$2:AY$2),"")</f>
        <v/>
      </c>
      <c r="O58" s="59" t="n"/>
      <c r="P58" s="59" t="n"/>
      <c r="Q58" s="59" t="n"/>
      <c r="R58" s="59" t="n"/>
      <c r="S58" s="14" t="n"/>
      <c r="U58" s="53" t="n"/>
      <c r="V58" s="53" t="n"/>
      <c r="W58" s="53" t="n"/>
      <c r="X58" s="53" t="n"/>
      <c r="Y58" s="53" t="n"/>
      <c r="Z58" s="53" t="n"/>
      <c r="AA58" s="53" t="n"/>
      <c r="AB58" s="53" t="n"/>
      <c r="AC58" s="53" t="n"/>
      <c r="AD58" s="53" t="n"/>
      <c r="AE58" s="53" t="n"/>
      <c r="AF58" s="53" t="n"/>
      <c r="AG58" s="53" t="n"/>
      <c r="AH58" s="53" t="n"/>
      <c r="AI58" s="53" t="n"/>
      <c r="AJ58" s="53" t="n"/>
      <c r="AK58" s="53" t="n"/>
      <c r="AL58" s="53" t="n"/>
      <c r="AM58" s="53" t="n"/>
      <c r="AN58" s="53" t="n"/>
      <c r="AO58" s="53" t="n"/>
      <c r="AP58" s="53" t="n"/>
      <c r="AQ58" s="53" t="n"/>
      <c r="AR58" s="53" t="n"/>
      <c r="AS58" s="53" t="n"/>
      <c r="AT58" s="53" t="n"/>
      <c r="AU58" s="53" t="n"/>
      <c r="AV58" s="53" t="n"/>
      <c r="AW58" s="53" t="n"/>
      <c r="AX58" s="53" t="n"/>
      <c r="AY58" s="53" t="n"/>
    </row>
    <row r="59" ht="15" customHeight="1">
      <c r="A59" s="62" t="n"/>
      <c r="B59" s="55">
        <f>IF($B$57="","",$B$57)</f>
        <v/>
      </c>
      <c r="C59" s="63" t="inlineStr">
        <is>
          <t>마케팅1팀</t>
        </is>
      </c>
      <c r="D59" s="55">
        <f>IF($D$57="","",$D$57)</f>
        <v/>
      </c>
      <c r="E59" s="64" t="inlineStr">
        <is>
          <t>영상</t>
        </is>
      </c>
      <c r="F59" s="44" t="n"/>
      <c r="G59" s="58">
        <f>IF($G$57="","",$G$57)</f>
        <v/>
      </c>
      <c r="H59" s="59" t="n"/>
      <c r="I59" s="59" t="n"/>
      <c r="J59" s="59" t="n"/>
      <c r="K59" s="59" t="n"/>
      <c r="L59" s="65">
        <f>IF(SUM(U59:AY59)=0,"",SUM(U59:AY59))</f>
        <v/>
      </c>
      <c r="M59" s="66">
        <f>IFERROR(INDEX(U$2:AY$2,MATCH(TRUE,INDEX(U59:AY59&lt;&gt;"",0),0)),"")</f>
        <v/>
      </c>
      <c r="N59" s="66">
        <f>IFERROR(LOOKUP(2,1/(U59:AY59&lt;&gt;""),U$2:AY$2),"")</f>
        <v/>
      </c>
      <c r="O59" s="59" t="n"/>
      <c r="P59" s="59" t="n"/>
      <c r="Q59" s="59" t="n"/>
      <c r="R59" s="59" t="n"/>
      <c r="S59" s="14" t="n"/>
      <c r="U59" s="53" t="n"/>
      <c r="V59" s="53" t="n"/>
      <c r="W59" s="53" t="n"/>
      <c r="X59" s="53" t="n"/>
      <c r="Y59" s="53" t="n"/>
      <c r="Z59" s="53" t="n"/>
      <c r="AA59" s="53" t="n"/>
      <c r="AB59" s="53" t="n"/>
      <c r="AC59" s="53" t="n"/>
      <c r="AD59" s="53" t="n"/>
      <c r="AE59" s="53" t="n"/>
      <c r="AF59" s="53" t="n"/>
      <c r="AG59" s="53" t="n"/>
      <c r="AH59" s="53" t="n"/>
      <c r="AI59" s="53" t="n"/>
      <c r="AJ59" s="53" t="n"/>
      <c r="AK59" s="53" t="n"/>
      <c r="AL59" s="53" t="n"/>
      <c r="AM59" s="53" t="n"/>
      <c r="AN59" s="53" t="n"/>
      <c r="AO59" s="53" t="n"/>
      <c r="AP59" s="53" t="n"/>
      <c r="AQ59" s="53" t="n"/>
      <c r="AR59" s="53" t="n"/>
      <c r="AS59" s="53" t="n"/>
      <c r="AT59" s="53" t="n"/>
      <c r="AU59" s="53" t="n"/>
      <c r="AV59" s="53" t="n"/>
      <c r="AW59" s="53" t="n"/>
      <c r="AX59" s="53" t="n"/>
      <c r="AY59" s="53" t="n"/>
    </row>
    <row r="60" ht="15" customHeight="1">
      <c r="A60" s="40">
        <f>IF($D$60="","",18)</f>
        <v/>
      </c>
      <c r="B60" s="10" t="n"/>
      <c r="C60" s="41" t="inlineStr">
        <is>
          <t>마케팅1팀</t>
        </is>
      </c>
      <c r="D60" s="42" t="n"/>
      <c r="E60" s="43" t="inlineStr">
        <is>
          <t>기획</t>
        </is>
      </c>
      <c r="F60" s="44" t="n"/>
      <c r="G60" s="45" t="n"/>
      <c r="H60" s="46">
        <f>IF($I$60="","",IF($I$60&lt;0,"🔴지연",IF($I$60&lt;=1,"🟡임박","🟢여유")))</f>
        <v/>
      </c>
      <c r="I60" s="47">
        <f>IF(OR($G$60="",$K$60=""),"",$G$60-$K$60)</f>
        <v/>
      </c>
      <c r="J60" s="48">
        <f>IF(SUM($L$60:$L$62)=0,"",SUM($L$60:$L$62))</f>
        <v/>
      </c>
      <c r="K60" s="49">
        <f>IF($J$60="","",MAX($N$60:$N$62))</f>
        <v/>
      </c>
      <c r="L60" s="50">
        <f>IF(SUM(U60:AY60)=0,"",SUM(U60:AY60))</f>
        <v/>
      </c>
      <c r="M60" s="51">
        <f>IFERROR(INDEX(U$2:AY$2,MATCH(TRUE,INDEX(U60:AY60&lt;&gt;"",0),0)),"")</f>
        <v/>
      </c>
      <c r="N60" s="51">
        <f>IFERROR(LOOKUP(2,1/(U60:AY60&lt;&gt;""),U$2:AY$2),"")</f>
        <v/>
      </c>
      <c r="O60" s="52" t="n"/>
      <c r="P60" s="52" t="n"/>
      <c r="Q60" s="52" t="n"/>
      <c r="R60" s="44" t="n"/>
      <c r="S60" s="14" t="n"/>
      <c r="U60" s="53" t="n"/>
      <c r="V60" s="53" t="n"/>
      <c r="W60" s="53" t="n"/>
      <c r="X60" s="53" t="n"/>
      <c r="Y60" s="53" t="n"/>
      <c r="Z60" s="53" t="n"/>
      <c r="AA60" s="53" t="n"/>
      <c r="AB60" s="53" t="n"/>
      <c r="AC60" s="53" t="n"/>
      <c r="AD60" s="53" t="n"/>
      <c r="AE60" s="53" t="n"/>
      <c r="AF60" s="53" t="n"/>
      <c r="AG60" s="53" t="n"/>
      <c r="AH60" s="53" t="n"/>
      <c r="AI60" s="53" t="n"/>
      <c r="AJ60" s="53" t="n"/>
      <c r="AK60" s="53" t="n"/>
      <c r="AL60" s="53" t="n"/>
      <c r="AM60" s="53" t="n"/>
      <c r="AN60" s="53" t="n"/>
      <c r="AO60" s="53" t="n"/>
      <c r="AP60" s="53" t="n"/>
      <c r="AQ60" s="53" t="n"/>
      <c r="AR60" s="53" t="n"/>
      <c r="AS60" s="53" t="n"/>
      <c r="AT60" s="53" t="n"/>
      <c r="AU60" s="53" t="n"/>
      <c r="AV60" s="53" t="n"/>
      <c r="AW60" s="53" t="n"/>
      <c r="AX60" s="53" t="n"/>
      <c r="AY60" s="53" t="n"/>
    </row>
    <row r="61" ht="15" customHeight="1">
      <c r="A61" s="54" t="n"/>
      <c r="B61" s="55">
        <f>IF($B$60="","",$B$60)</f>
        <v/>
      </c>
      <c r="C61" s="56" t="inlineStr">
        <is>
          <t>마케팅1팀</t>
        </is>
      </c>
      <c r="D61" s="55">
        <f>IF($D$60="","",$D$60)</f>
        <v/>
      </c>
      <c r="E61" s="57" t="inlineStr">
        <is>
          <t>이미지</t>
        </is>
      </c>
      <c r="F61" s="44" t="n"/>
      <c r="G61" s="58">
        <f>IF($G$60="","",$G$60)</f>
        <v/>
      </c>
      <c r="H61" s="59" t="n"/>
      <c r="I61" s="59" t="n"/>
      <c r="J61" s="59" t="n"/>
      <c r="K61" s="59" t="n"/>
      <c r="L61" s="60">
        <f>IF(SUM(U61:AY61)=0,"",SUM(U61:AY61))</f>
        <v/>
      </c>
      <c r="M61" s="61">
        <f>IFERROR(INDEX(U$2:AY$2,MATCH(TRUE,INDEX(U61:AY61&lt;&gt;"",0),0)),"")</f>
        <v/>
      </c>
      <c r="N61" s="61">
        <f>IFERROR(LOOKUP(2,1/(U61:AY61&lt;&gt;""),U$2:AY$2),"")</f>
        <v/>
      </c>
      <c r="O61" s="59" t="n"/>
      <c r="P61" s="59" t="n"/>
      <c r="Q61" s="59" t="n"/>
      <c r="R61" s="59" t="n"/>
      <c r="S61" s="14" t="n"/>
      <c r="U61" s="53" t="n"/>
      <c r="V61" s="53" t="n"/>
      <c r="W61" s="53" t="n"/>
      <c r="X61" s="53" t="n"/>
      <c r="Y61" s="53" t="n"/>
      <c r="Z61" s="53" t="n"/>
      <c r="AA61" s="53" t="n"/>
      <c r="AB61" s="53" t="n"/>
      <c r="AC61" s="53" t="n"/>
      <c r="AD61" s="53" t="n"/>
      <c r="AE61" s="53" t="n"/>
      <c r="AF61" s="53" t="n"/>
      <c r="AG61" s="53" t="n"/>
      <c r="AH61" s="53" t="n"/>
      <c r="AI61" s="53" t="n"/>
      <c r="AJ61" s="53" t="n"/>
      <c r="AK61" s="53" t="n"/>
      <c r="AL61" s="53" t="n"/>
      <c r="AM61" s="53" t="n"/>
      <c r="AN61" s="53" t="n"/>
      <c r="AO61" s="53" t="n"/>
      <c r="AP61" s="53" t="n"/>
      <c r="AQ61" s="53" t="n"/>
      <c r="AR61" s="53" t="n"/>
      <c r="AS61" s="53" t="n"/>
      <c r="AT61" s="53" t="n"/>
      <c r="AU61" s="53" t="n"/>
      <c r="AV61" s="53" t="n"/>
      <c r="AW61" s="53" t="n"/>
      <c r="AX61" s="53" t="n"/>
      <c r="AY61" s="53" t="n"/>
    </row>
    <row r="62" ht="15" customHeight="1">
      <c r="A62" s="62" t="n"/>
      <c r="B62" s="55">
        <f>IF($B$60="","",$B$60)</f>
        <v/>
      </c>
      <c r="C62" s="63" t="inlineStr">
        <is>
          <t>마케팅1팀</t>
        </is>
      </c>
      <c r="D62" s="55">
        <f>IF($D$60="","",$D$60)</f>
        <v/>
      </c>
      <c r="E62" s="64" t="inlineStr">
        <is>
          <t>영상</t>
        </is>
      </c>
      <c r="F62" s="44" t="n"/>
      <c r="G62" s="58">
        <f>IF($G$60="","",$G$60)</f>
        <v/>
      </c>
      <c r="H62" s="59" t="n"/>
      <c r="I62" s="59" t="n"/>
      <c r="J62" s="59" t="n"/>
      <c r="K62" s="59" t="n"/>
      <c r="L62" s="65">
        <f>IF(SUM(U62:AY62)=0,"",SUM(U62:AY62))</f>
        <v/>
      </c>
      <c r="M62" s="66">
        <f>IFERROR(INDEX(U$2:AY$2,MATCH(TRUE,INDEX(U62:AY62&lt;&gt;"",0),0)),"")</f>
        <v/>
      </c>
      <c r="N62" s="66">
        <f>IFERROR(LOOKUP(2,1/(U62:AY62&lt;&gt;""),U$2:AY$2),"")</f>
        <v/>
      </c>
      <c r="O62" s="59" t="n"/>
      <c r="P62" s="59" t="n"/>
      <c r="Q62" s="59" t="n"/>
      <c r="R62" s="59" t="n"/>
      <c r="S62" s="14" t="n"/>
      <c r="U62" s="53" t="n"/>
      <c r="V62" s="53" t="n"/>
      <c r="W62" s="53" t="n"/>
      <c r="X62" s="53" t="n"/>
      <c r="Y62" s="53" t="n"/>
      <c r="Z62" s="53" t="n"/>
      <c r="AA62" s="53" t="n"/>
      <c r="AB62" s="53" t="n"/>
      <c r="AC62" s="53" t="n"/>
      <c r="AD62" s="53" t="n"/>
      <c r="AE62" s="53" t="n"/>
      <c r="AF62" s="53" t="n"/>
      <c r="AG62" s="53" t="n"/>
      <c r="AH62" s="53" t="n"/>
      <c r="AI62" s="53" t="n"/>
      <c r="AJ62" s="53" t="n"/>
      <c r="AK62" s="53" t="n"/>
      <c r="AL62" s="53" t="n"/>
      <c r="AM62" s="53" t="n"/>
      <c r="AN62" s="53" t="n"/>
      <c r="AO62" s="53" t="n"/>
      <c r="AP62" s="53" t="n"/>
      <c r="AQ62" s="53" t="n"/>
      <c r="AR62" s="53" t="n"/>
      <c r="AS62" s="53" t="n"/>
      <c r="AT62" s="53" t="n"/>
      <c r="AU62" s="53" t="n"/>
      <c r="AV62" s="53" t="n"/>
      <c r="AW62" s="53" t="n"/>
      <c r="AX62" s="53" t="n"/>
      <c r="AY62" s="53" t="n"/>
    </row>
    <row r="63" ht="15" customHeight="1">
      <c r="A63" s="40">
        <f>IF($D$63="","",19)</f>
        <v/>
      </c>
      <c r="B63" s="10" t="n"/>
      <c r="C63" s="41" t="inlineStr">
        <is>
          <t>마케팅1팀</t>
        </is>
      </c>
      <c r="D63" s="42" t="n"/>
      <c r="E63" s="43" t="inlineStr">
        <is>
          <t>기획</t>
        </is>
      </c>
      <c r="F63" s="44" t="n"/>
      <c r="G63" s="45" t="n"/>
      <c r="H63" s="46">
        <f>IF($I$63="","",IF($I$63&lt;0,"🔴지연",IF($I$63&lt;=1,"🟡임박","🟢여유")))</f>
        <v/>
      </c>
      <c r="I63" s="47">
        <f>IF(OR($G$63="",$K$63=""),"",$G$63-$K$63)</f>
        <v/>
      </c>
      <c r="J63" s="48">
        <f>IF(SUM($L$63:$L$65)=0,"",SUM($L$63:$L$65))</f>
        <v/>
      </c>
      <c r="K63" s="49">
        <f>IF($J$63="","",MAX($N$63:$N$65))</f>
        <v/>
      </c>
      <c r="L63" s="50">
        <f>IF(SUM(U63:AY63)=0,"",SUM(U63:AY63))</f>
        <v/>
      </c>
      <c r="M63" s="51">
        <f>IFERROR(INDEX(U$2:AY$2,MATCH(TRUE,INDEX(U63:AY63&lt;&gt;"",0),0)),"")</f>
        <v/>
      </c>
      <c r="N63" s="51">
        <f>IFERROR(LOOKUP(2,1/(U63:AY63&lt;&gt;""),U$2:AY$2),"")</f>
        <v/>
      </c>
      <c r="O63" s="52" t="n"/>
      <c r="P63" s="52" t="n"/>
      <c r="Q63" s="52" t="n"/>
      <c r="R63" s="44" t="n"/>
      <c r="S63" s="14" t="n"/>
      <c r="U63" s="53" t="n"/>
      <c r="V63" s="53" t="n"/>
      <c r="W63" s="53" t="n"/>
      <c r="X63" s="53" t="n"/>
      <c r="Y63" s="53" t="n"/>
      <c r="Z63" s="53" t="n"/>
      <c r="AA63" s="53" t="n"/>
      <c r="AB63" s="53" t="n"/>
      <c r="AC63" s="53" t="n"/>
      <c r="AD63" s="53" t="n"/>
      <c r="AE63" s="53" t="n"/>
      <c r="AF63" s="53" t="n"/>
      <c r="AG63" s="53" t="n"/>
      <c r="AH63" s="53" t="n"/>
      <c r="AI63" s="53" t="n"/>
      <c r="AJ63" s="53" t="n"/>
      <c r="AK63" s="53" t="n"/>
      <c r="AL63" s="53" t="n"/>
      <c r="AM63" s="53" t="n"/>
      <c r="AN63" s="53" t="n"/>
      <c r="AO63" s="53" t="n"/>
      <c r="AP63" s="53" t="n"/>
      <c r="AQ63" s="53" t="n"/>
      <c r="AR63" s="53" t="n"/>
      <c r="AS63" s="53" t="n"/>
      <c r="AT63" s="53" t="n"/>
      <c r="AU63" s="53" t="n"/>
      <c r="AV63" s="53" t="n"/>
      <c r="AW63" s="53" t="n"/>
      <c r="AX63" s="53" t="n"/>
      <c r="AY63" s="53" t="n"/>
    </row>
    <row r="64" ht="15" customHeight="1">
      <c r="A64" s="54" t="n"/>
      <c r="B64" s="55">
        <f>IF($B$63="","",$B$63)</f>
        <v/>
      </c>
      <c r="C64" s="56" t="inlineStr">
        <is>
          <t>마케팅1팀</t>
        </is>
      </c>
      <c r="D64" s="55">
        <f>IF($D$63="","",$D$63)</f>
        <v/>
      </c>
      <c r="E64" s="57" t="inlineStr">
        <is>
          <t>이미지</t>
        </is>
      </c>
      <c r="F64" s="44" t="n"/>
      <c r="G64" s="58">
        <f>IF($G$63="","",$G$63)</f>
        <v/>
      </c>
      <c r="H64" s="59" t="n"/>
      <c r="I64" s="59" t="n"/>
      <c r="J64" s="59" t="n"/>
      <c r="K64" s="59" t="n"/>
      <c r="L64" s="60">
        <f>IF(SUM(U64:AY64)=0,"",SUM(U64:AY64))</f>
        <v/>
      </c>
      <c r="M64" s="61">
        <f>IFERROR(INDEX(U$2:AY$2,MATCH(TRUE,INDEX(U64:AY64&lt;&gt;"",0),0)),"")</f>
        <v/>
      </c>
      <c r="N64" s="61">
        <f>IFERROR(LOOKUP(2,1/(U64:AY64&lt;&gt;""),U$2:AY$2),"")</f>
        <v/>
      </c>
      <c r="O64" s="59" t="n"/>
      <c r="P64" s="59" t="n"/>
      <c r="Q64" s="59" t="n"/>
      <c r="R64" s="59" t="n"/>
      <c r="S64" s="14" t="n"/>
      <c r="U64" s="53" t="n"/>
      <c r="V64" s="53" t="n"/>
      <c r="W64" s="53" t="n"/>
      <c r="X64" s="53" t="n"/>
      <c r="Y64" s="53" t="n"/>
      <c r="Z64" s="53" t="n"/>
      <c r="AA64" s="53" t="n"/>
      <c r="AB64" s="53" t="n"/>
      <c r="AC64" s="53" t="n"/>
      <c r="AD64" s="53" t="n"/>
      <c r="AE64" s="53" t="n"/>
      <c r="AF64" s="53" t="n"/>
      <c r="AG64" s="53" t="n"/>
      <c r="AH64" s="53" t="n"/>
      <c r="AI64" s="53" t="n"/>
      <c r="AJ64" s="53" t="n"/>
      <c r="AK64" s="53" t="n"/>
      <c r="AL64" s="53" t="n"/>
      <c r="AM64" s="53" t="n"/>
      <c r="AN64" s="53" t="n"/>
      <c r="AO64" s="53" t="n"/>
      <c r="AP64" s="53" t="n"/>
      <c r="AQ64" s="53" t="n"/>
      <c r="AR64" s="53" t="n"/>
      <c r="AS64" s="53" t="n"/>
      <c r="AT64" s="53" t="n"/>
      <c r="AU64" s="53" t="n"/>
      <c r="AV64" s="53" t="n"/>
      <c r="AW64" s="53" t="n"/>
      <c r="AX64" s="53" t="n"/>
      <c r="AY64" s="53" t="n"/>
    </row>
    <row r="65" ht="15" customHeight="1">
      <c r="A65" s="62" t="n"/>
      <c r="B65" s="55">
        <f>IF($B$63="","",$B$63)</f>
        <v/>
      </c>
      <c r="C65" s="63" t="inlineStr">
        <is>
          <t>마케팅1팀</t>
        </is>
      </c>
      <c r="D65" s="55">
        <f>IF($D$63="","",$D$63)</f>
        <v/>
      </c>
      <c r="E65" s="64" t="inlineStr">
        <is>
          <t>영상</t>
        </is>
      </c>
      <c r="F65" s="44" t="n"/>
      <c r="G65" s="58">
        <f>IF($G$63="","",$G$63)</f>
        <v/>
      </c>
      <c r="H65" s="59" t="n"/>
      <c r="I65" s="59" t="n"/>
      <c r="J65" s="59" t="n"/>
      <c r="K65" s="59" t="n"/>
      <c r="L65" s="65">
        <f>IF(SUM(U65:AY65)=0,"",SUM(U65:AY65))</f>
        <v/>
      </c>
      <c r="M65" s="66">
        <f>IFERROR(INDEX(U$2:AY$2,MATCH(TRUE,INDEX(U65:AY65&lt;&gt;"",0),0)),"")</f>
        <v/>
      </c>
      <c r="N65" s="66">
        <f>IFERROR(LOOKUP(2,1/(U65:AY65&lt;&gt;""),U$2:AY$2),"")</f>
        <v/>
      </c>
      <c r="O65" s="59" t="n"/>
      <c r="P65" s="59" t="n"/>
      <c r="Q65" s="59" t="n"/>
      <c r="R65" s="59" t="n"/>
      <c r="S65" s="14" t="n"/>
      <c r="U65" s="53" t="n"/>
      <c r="V65" s="53" t="n"/>
      <c r="W65" s="53" t="n"/>
      <c r="X65" s="53" t="n"/>
      <c r="Y65" s="53" t="n"/>
      <c r="Z65" s="53" t="n"/>
      <c r="AA65" s="53" t="n"/>
      <c r="AB65" s="53" t="n"/>
      <c r="AC65" s="53" t="n"/>
      <c r="AD65" s="53" t="n"/>
      <c r="AE65" s="53" t="n"/>
      <c r="AF65" s="53" t="n"/>
      <c r="AG65" s="53" t="n"/>
      <c r="AH65" s="53" t="n"/>
      <c r="AI65" s="53" t="n"/>
      <c r="AJ65" s="53" t="n"/>
      <c r="AK65" s="53" t="n"/>
      <c r="AL65" s="53" t="n"/>
      <c r="AM65" s="53" t="n"/>
      <c r="AN65" s="53" t="n"/>
      <c r="AO65" s="53" t="n"/>
      <c r="AP65" s="53" t="n"/>
      <c r="AQ65" s="53" t="n"/>
      <c r="AR65" s="53" t="n"/>
      <c r="AS65" s="53" t="n"/>
      <c r="AT65" s="53" t="n"/>
      <c r="AU65" s="53" t="n"/>
      <c r="AV65" s="53" t="n"/>
      <c r="AW65" s="53" t="n"/>
      <c r="AX65" s="53" t="n"/>
      <c r="AY65" s="53" t="n"/>
    </row>
    <row r="66" ht="15" customHeight="1">
      <c r="A66" s="40">
        <f>IF($D$66="","",20)</f>
        <v/>
      </c>
      <c r="B66" s="10" t="n"/>
      <c r="C66" s="41" t="inlineStr">
        <is>
          <t>마케팅1팀</t>
        </is>
      </c>
      <c r="D66" s="42" t="n"/>
      <c r="E66" s="43" t="inlineStr">
        <is>
          <t>기획</t>
        </is>
      </c>
      <c r="F66" s="44" t="n"/>
      <c r="G66" s="45" t="n"/>
      <c r="H66" s="46">
        <f>IF($I$66="","",IF($I$66&lt;0,"🔴지연",IF($I$66&lt;=1,"🟡임박","🟢여유")))</f>
        <v/>
      </c>
      <c r="I66" s="47">
        <f>IF(OR($G$66="",$K$66=""),"",$G$66-$K$66)</f>
        <v/>
      </c>
      <c r="J66" s="48">
        <f>IF(SUM($L$66:$L$68)=0,"",SUM($L$66:$L$68))</f>
        <v/>
      </c>
      <c r="K66" s="49">
        <f>IF($J$66="","",MAX($N$66:$N$68))</f>
        <v/>
      </c>
      <c r="L66" s="50">
        <f>IF(SUM(U66:AY66)=0,"",SUM(U66:AY66))</f>
        <v/>
      </c>
      <c r="M66" s="51">
        <f>IFERROR(INDEX(U$2:AY$2,MATCH(TRUE,INDEX(U66:AY66&lt;&gt;"",0),0)),"")</f>
        <v/>
      </c>
      <c r="N66" s="51">
        <f>IFERROR(LOOKUP(2,1/(U66:AY66&lt;&gt;""),U$2:AY$2),"")</f>
        <v/>
      </c>
      <c r="O66" s="52" t="n"/>
      <c r="P66" s="52" t="n"/>
      <c r="Q66" s="52" t="n"/>
      <c r="R66" s="44" t="n"/>
      <c r="S66" s="14" t="n"/>
      <c r="U66" s="53" t="n"/>
      <c r="V66" s="53" t="n"/>
      <c r="W66" s="53" t="n"/>
      <c r="X66" s="53" t="n"/>
      <c r="Y66" s="53" t="n"/>
      <c r="Z66" s="53" t="n"/>
      <c r="AA66" s="53" t="n"/>
      <c r="AB66" s="53" t="n"/>
      <c r="AC66" s="53" t="n"/>
      <c r="AD66" s="53" t="n"/>
      <c r="AE66" s="53" t="n"/>
      <c r="AF66" s="53" t="n"/>
      <c r="AG66" s="53" t="n"/>
      <c r="AH66" s="53" t="n"/>
      <c r="AI66" s="53" t="n"/>
      <c r="AJ66" s="53" t="n"/>
      <c r="AK66" s="53" t="n"/>
      <c r="AL66" s="53" t="n"/>
      <c r="AM66" s="53" t="n"/>
      <c r="AN66" s="53" t="n"/>
      <c r="AO66" s="53" t="n"/>
      <c r="AP66" s="53" t="n"/>
      <c r="AQ66" s="53" t="n"/>
      <c r="AR66" s="53" t="n"/>
      <c r="AS66" s="53" t="n"/>
      <c r="AT66" s="53" t="n"/>
      <c r="AU66" s="53" t="n"/>
      <c r="AV66" s="53" t="n"/>
      <c r="AW66" s="53" t="n"/>
      <c r="AX66" s="53" t="n"/>
      <c r="AY66" s="53" t="n"/>
    </row>
    <row r="67" ht="15" customHeight="1">
      <c r="A67" s="54" t="n"/>
      <c r="B67" s="55">
        <f>IF($B$66="","",$B$66)</f>
        <v/>
      </c>
      <c r="C67" s="56" t="inlineStr">
        <is>
          <t>마케팅1팀</t>
        </is>
      </c>
      <c r="D67" s="55">
        <f>IF($D$66="","",$D$66)</f>
        <v/>
      </c>
      <c r="E67" s="57" t="inlineStr">
        <is>
          <t>이미지</t>
        </is>
      </c>
      <c r="F67" s="44" t="n"/>
      <c r="G67" s="58">
        <f>IF($G$66="","",$G$66)</f>
        <v/>
      </c>
      <c r="H67" s="59" t="n"/>
      <c r="I67" s="59" t="n"/>
      <c r="J67" s="59" t="n"/>
      <c r="K67" s="59" t="n"/>
      <c r="L67" s="60">
        <f>IF(SUM(U67:AY67)=0,"",SUM(U67:AY67))</f>
        <v/>
      </c>
      <c r="M67" s="61">
        <f>IFERROR(INDEX(U$2:AY$2,MATCH(TRUE,INDEX(U67:AY67&lt;&gt;"",0),0)),"")</f>
        <v/>
      </c>
      <c r="N67" s="61">
        <f>IFERROR(LOOKUP(2,1/(U67:AY67&lt;&gt;""),U$2:AY$2),"")</f>
        <v/>
      </c>
      <c r="O67" s="59" t="n"/>
      <c r="P67" s="59" t="n"/>
      <c r="Q67" s="59" t="n"/>
      <c r="R67" s="59" t="n"/>
      <c r="S67" s="14" t="n"/>
      <c r="U67" s="53" t="n"/>
      <c r="V67" s="53" t="n"/>
      <c r="W67" s="53" t="n"/>
      <c r="X67" s="53" t="n"/>
      <c r="Y67" s="53" t="n"/>
      <c r="Z67" s="53" t="n"/>
      <c r="AA67" s="53" t="n"/>
      <c r="AB67" s="53" t="n"/>
      <c r="AC67" s="53" t="n"/>
      <c r="AD67" s="53" t="n"/>
      <c r="AE67" s="53" t="n"/>
      <c r="AF67" s="53" t="n"/>
      <c r="AG67" s="53" t="n"/>
      <c r="AH67" s="53" t="n"/>
      <c r="AI67" s="53" t="n"/>
      <c r="AJ67" s="53" t="n"/>
      <c r="AK67" s="53" t="n"/>
      <c r="AL67" s="53" t="n"/>
      <c r="AM67" s="53" t="n"/>
      <c r="AN67" s="53" t="n"/>
      <c r="AO67" s="53" t="n"/>
      <c r="AP67" s="53" t="n"/>
      <c r="AQ67" s="53" t="n"/>
      <c r="AR67" s="53" t="n"/>
      <c r="AS67" s="53" t="n"/>
      <c r="AT67" s="53" t="n"/>
      <c r="AU67" s="53" t="n"/>
      <c r="AV67" s="53" t="n"/>
      <c r="AW67" s="53" t="n"/>
      <c r="AX67" s="53" t="n"/>
      <c r="AY67" s="53" t="n"/>
    </row>
    <row r="68" ht="15" customHeight="1">
      <c r="A68" s="62" t="n"/>
      <c r="B68" s="55">
        <f>IF($B$66="","",$B$66)</f>
        <v/>
      </c>
      <c r="C68" s="63" t="inlineStr">
        <is>
          <t>마케팅1팀</t>
        </is>
      </c>
      <c r="D68" s="55">
        <f>IF($D$66="","",$D$66)</f>
        <v/>
      </c>
      <c r="E68" s="64" t="inlineStr">
        <is>
          <t>영상</t>
        </is>
      </c>
      <c r="F68" s="44" t="n"/>
      <c r="G68" s="58">
        <f>IF($G$66="","",$G$66)</f>
        <v/>
      </c>
      <c r="H68" s="59" t="n"/>
      <c r="I68" s="59" t="n"/>
      <c r="J68" s="59" t="n"/>
      <c r="K68" s="59" t="n"/>
      <c r="L68" s="65">
        <f>IF(SUM(U68:AY68)=0,"",SUM(U68:AY68))</f>
        <v/>
      </c>
      <c r="M68" s="66">
        <f>IFERROR(INDEX(U$2:AY$2,MATCH(TRUE,INDEX(U68:AY68&lt;&gt;"",0),0)),"")</f>
        <v/>
      </c>
      <c r="N68" s="66">
        <f>IFERROR(LOOKUP(2,1/(U68:AY68&lt;&gt;""),U$2:AY$2),"")</f>
        <v/>
      </c>
      <c r="O68" s="59" t="n"/>
      <c r="P68" s="59" t="n"/>
      <c r="Q68" s="59" t="n"/>
      <c r="R68" s="59" t="n"/>
      <c r="S68" s="14" t="n"/>
      <c r="U68" s="53" t="n"/>
      <c r="V68" s="53" t="n"/>
      <c r="W68" s="53" t="n"/>
      <c r="X68" s="53" t="n"/>
      <c r="Y68" s="53" t="n"/>
      <c r="Z68" s="53" t="n"/>
      <c r="AA68" s="53" t="n"/>
      <c r="AB68" s="53" t="n"/>
      <c r="AC68" s="53" t="n"/>
      <c r="AD68" s="53" t="n"/>
      <c r="AE68" s="53" t="n"/>
      <c r="AF68" s="53" t="n"/>
      <c r="AG68" s="53" t="n"/>
      <c r="AH68" s="53" t="n"/>
      <c r="AI68" s="53" t="n"/>
      <c r="AJ68" s="53" t="n"/>
      <c r="AK68" s="53" t="n"/>
      <c r="AL68" s="53" t="n"/>
      <c r="AM68" s="53" t="n"/>
      <c r="AN68" s="53" t="n"/>
      <c r="AO68" s="53" t="n"/>
      <c r="AP68" s="53" t="n"/>
      <c r="AQ68" s="53" t="n"/>
      <c r="AR68" s="53" t="n"/>
      <c r="AS68" s="53" t="n"/>
      <c r="AT68" s="53" t="n"/>
      <c r="AU68" s="53" t="n"/>
      <c r="AV68" s="53" t="n"/>
      <c r="AW68" s="53" t="n"/>
      <c r="AX68" s="53" t="n"/>
      <c r="AY68" s="53" t="n"/>
    </row>
    <row r="69" ht="18" customHeight="1">
      <c r="A69" s="39" t="inlineStr">
        <is>
          <t>마케팅2팀   (70~129행 · 소재 20개)</t>
        </is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4" t="n"/>
    </row>
    <row r="70" ht="15" customHeight="1">
      <c r="A70" s="40">
        <f>IF($D$70="","",21)</f>
        <v/>
      </c>
      <c r="B70" s="10" t="n"/>
      <c r="C70" s="41" t="inlineStr">
        <is>
          <t>마케팅2팀</t>
        </is>
      </c>
      <c r="D70" s="42" t="n"/>
      <c r="E70" s="43" t="inlineStr">
        <is>
          <t>기획</t>
        </is>
      </c>
      <c r="F70" s="44" t="n"/>
      <c r="G70" s="45" t="n"/>
      <c r="H70" s="46">
        <f>IF($I$70="","",IF($I$70&lt;0,"🔴지연",IF($I$70&lt;=1,"🟡임박","🟢여유")))</f>
        <v/>
      </c>
      <c r="I70" s="47">
        <f>IF(OR($G$70="",$K$70=""),"",$G$70-$K$70)</f>
        <v/>
      </c>
      <c r="J70" s="48">
        <f>IF(SUM($L$70:$L$72)=0,"",SUM($L$70:$L$72))</f>
        <v/>
      </c>
      <c r="K70" s="49">
        <f>IF($J$70="","",MAX($N$70:$N$72))</f>
        <v/>
      </c>
      <c r="L70" s="50">
        <f>IF(SUM(U70:AY70)=0,"",SUM(U70:AY70))</f>
        <v/>
      </c>
      <c r="M70" s="51">
        <f>IFERROR(INDEX(U$2:AY$2,MATCH(TRUE,INDEX(U70:AY70&lt;&gt;"",0),0)),"")</f>
        <v/>
      </c>
      <c r="N70" s="51">
        <f>IFERROR(LOOKUP(2,1/(U70:AY70&lt;&gt;""),U$2:AY$2),"")</f>
        <v/>
      </c>
      <c r="O70" s="52" t="n"/>
      <c r="P70" s="52" t="n"/>
      <c r="Q70" s="52" t="n"/>
      <c r="R70" s="44" t="n"/>
      <c r="S70" s="14" t="n"/>
      <c r="U70" s="53" t="n"/>
      <c r="V70" s="53" t="n"/>
      <c r="W70" s="53" t="n"/>
      <c r="X70" s="53" t="n"/>
      <c r="Y70" s="53" t="n"/>
      <c r="Z70" s="53" t="n"/>
      <c r="AA70" s="53" t="n"/>
      <c r="AB70" s="53" t="n"/>
      <c r="AC70" s="53" t="n"/>
      <c r="AD70" s="53" t="n"/>
      <c r="AE70" s="53" t="n"/>
      <c r="AF70" s="53" t="n"/>
      <c r="AG70" s="53" t="n"/>
      <c r="AH70" s="53" t="n"/>
      <c r="AI70" s="53" t="n"/>
      <c r="AJ70" s="53" t="n"/>
      <c r="AK70" s="53" t="n"/>
      <c r="AL70" s="53" t="n"/>
      <c r="AM70" s="53" t="n"/>
      <c r="AN70" s="53" t="n"/>
      <c r="AO70" s="53" t="n"/>
      <c r="AP70" s="53" t="n"/>
      <c r="AQ70" s="53" t="n"/>
      <c r="AR70" s="53" t="n"/>
      <c r="AS70" s="53" t="n"/>
      <c r="AT70" s="53" t="n"/>
      <c r="AU70" s="53" t="n"/>
      <c r="AV70" s="53" t="n"/>
      <c r="AW70" s="53" t="n"/>
      <c r="AX70" s="53" t="n"/>
      <c r="AY70" s="53" t="n"/>
    </row>
    <row r="71" ht="15" customHeight="1">
      <c r="A71" s="54" t="n"/>
      <c r="B71" s="55">
        <f>IF($B$70="","",$B$70)</f>
        <v/>
      </c>
      <c r="C71" s="56" t="inlineStr">
        <is>
          <t>마케팅2팀</t>
        </is>
      </c>
      <c r="D71" s="55">
        <f>IF($D$70="","",$D$70)</f>
        <v/>
      </c>
      <c r="E71" s="57" t="inlineStr">
        <is>
          <t>이미지</t>
        </is>
      </c>
      <c r="F71" s="44" t="n"/>
      <c r="G71" s="58">
        <f>IF($G$70="","",$G$70)</f>
        <v/>
      </c>
      <c r="H71" s="59" t="n"/>
      <c r="I71" s="59" t="n"/>
      <c r="J71" s="59" t="n"/>
      <c r="K71" s="59" t="n"/>
      <c r="L71" s="60">
        <f>IF(SUM(U71:AY71)=0,"",SUM(U71:AY71))</f>
        <v/>
      </c>
      <c r="M71" s="61">
        <f>IFERROR(INDEX(U$2:AY$2,MATCH(TRUE,INDEX(U71:AY71&lt;&gt;"",0),0)),"")</f>
        <v/>
      </c>
      <c r="N71" s="61">
        <f>IFERROR(LOOKUP(2,1/(U71:AY71&lt;&gt;""),U$2:AY$2),"")</f>
        <v/>
      </c>
      <c r="O71" s="59" t="n"/>
      <c r="P71" s="59" t="n"/>
      <c r="Q71" s="59" t="n"/>
      <c r="R71" s="59" t="n"/>
      <c r="S71" s="14" t="n"/>
      <c r="U71" s="53" t="n"/>
      <c r="V71" s="53" t="n"/>
      <c r="W71" s="53" t="n"/>
      <c r="X71" s="53" t="n"/>
      <c r="Y71" s="53" t="n"/>
      <c r="Z71" s="53" t="n"/>
      <c r="AA71" s="53" t="n"/>
      <c r="AB71" s="53" t="n"/>
      <c r="AC71" s="53" t="n"/>
      <c r="AD71" s="53" t="n"/>
      <c r="AE71" s="53" t="n"/>
      <c r="AF71" s="53" t="n"/>
      <c r="AG71" s="53" t="n"/>
      <c r="AH71" s="53" t="n"/>
      <c r="AI71" s="53" t="n"/>
      <c r="AJ71" s="53" t="n"/>
      <c r="AK71" s="53" t="n"/>
      <c r="AL71" s="53" t="n"/>
      <c r="AM71" s="53" t="n"/>
      <c r="AN71" s="53" t="n"/>
      <c r="AO71" s="53" t="n"/>
      <c r="AP71" s="53" t="n"/>
      <c r="AQ71" s="53" t="n"/>
      <c r="AR71" s="53" t="n"/>
      <c r="AS71" s="53" t="n"/>
      <c r="AT71" s="53" t="n"/>
      <c r="AU71" s="53" t="n"/>
      <c r="AV71" s="53" t="n"/>
      <c r="AW71" s="53" t="n"/>
      <c r="AX71" s="53" t="n"/>
      <c r="AY71" s="53" t="n"/>
    </row>
    <row r="72" ht="15" customHeight="1">
      <c r="A72" s="62" t="n"/>
      <c r="B72" s="55">
        <f>IF($B$70="","",$B$70)</f>
        <v/>
      </c>
      <c r="C72" s="63" t="inlineStr">
        <is>
          <t>마케팅2팀</t>
        </is>
      </c>
      <c r="D72" s="55">
        <f>IF($D$70="","",$D$70)</f>
        <v/>
      </c>
      <c r="E72" s="64" t="inlineStr">
        <is>
          <t>영상</t>
        </is>
      </c>
      <c r="F72" s="44" t="n"/>
      <c r="G72" s="58">
        <f>IF($G$70="","",$G$70)</f>
        <v/>
      </c>
      <c r="H72" s="59" t="n"/>
      <c r="I72" s="59" t="n"/>
      <c r="J72" s="59" t="n"/>
      <c r="K72" s="59" t="n"/>
      <c r="L72" s="65">
        <f>IF(SUM(U72:AY72)=0,"",SUM(U72:AY72))</f>
        <v/>
      </c>
      <c r="M72" s="66">
        <f>IFERROR(INDEX(U$2:AY$2,MATCH(TRUE,INDEX(U72:AY72&lt;&gt;"",0),0)),"")</f>
        <v/>
      </c>
      <c r="N72" s="66">
        <f>IFERROR(LOOKUP(2,1/(U72:AY72&lt;&gt;""),U$2:AY$2),"")</f>
        <v/>
      </c>
      <c r="O72" s="59" t="n"/>
      <c r="P72" s="59" t="n"/>
      <c r="Q72" s="59" t="n"/>
      <c r="R72" s="59" t="n"/>
      <c r="S72" s="14" t="n"/>
      <c r="U72" s="53" t="n"/>
      <c r="V72" s="53" t="n"/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53" t="n"/>
      <c r="AF72" s="53" t="n"/>
      <c r="AG72" s="53" t="n"/>
      <c r="AH72" s="53" t="n"/>
      <c r="AI72" s="53" t="n"/>
      <c r="AJ72" s="53" t="n"/>
      <c r="AK72" s="53" t="n"/>
      <c r="AL72" s="53" t="n"/>
      <c r="AM72" s="53" t="n"/>
      <c r="AN72" s="53" t="n"/>
      <c r="AO72" s="53" t="n"/>
      <c r="AP72" s="53" t="n"/>
      <c r="AQ72" s="53" t="n"/>
      <c r="AR72" s="53" t="n"/>
      <c r="AS72" s="53" t="n"/>
      <c r="AT72" s="53" t="n"/>
      <c r="AU72" s="53" t="n"/>
      <c r="AV72" s="53" t="n"/>
      <c r="AW72" s="53" t="n"/>
      <c r="AX72" s="53" t="n"/>
      <c r="AY72" s="53" t="n"/>
    </row>
    <row r="73" ht="15" customHeight="1">
      <c r="A73" s="40">
        <f>IF($D$73="","",22)</f>
        <v/>
      </c>
      <c r="B73" s="10" t="n"/>
      <c r="C73" s="41" t="inlineStr">
        <is>
          <t>마케팅2팀</t>
        </is>
      </c>
      <c r="D73" s="42" t="n"/>
      <c r="E73" s="43" t="inlineStr">
        <is>
          <t>기획</t>
        </is>
      </c>
      <c r="F73" s="44" t="n"/>
      <c r="G73" s="45" t="n"/>
      <c r="H73" s="46">
        <f>IF($I$73="","",IF($I$73&lt;0,"🔴지연",IF($I$73&lt;=1,"🟡임박","🟢여유")))</f>
        <v/>
      </c>
      <c r="I73" s="47">
        <f>IF(OR($G$73="",$K$73=""),"",$G$73-$K$73)</f>
        <v/>
      </c>
      <c r="J73" s="48">
        <f>IF(SUM($L$73:$L$75)=0,"",SUM($L$73:$L$75))</f>
        <v/>
      </c>
      <c r="K73" s="49">
        <f>IF($J$73="","",MAX($N$73:$N$75))</f>
        <v/>
      </c>
      <c r="L73" s="50">
        <f>IF(SUM(U73:AY73)=0,"",SUM(U73:AY73))</f>
        <v/>
      </c>
      <c r="M73" s="51">
        <f>IFERROR(INDEX(U$2:AY$2,MATCH(TRUE,INDEX(U73:AY73&lt;&gt;"",0),0)),"")</f>
        <v/>
      </c>
      <c r="N73" s="51">
        <f>IFERROR(LOOKUP(2,1/(U73:AY73&lt;&gt;""),U$2:AY$2),"")</f>
        <v/>
      </c>
      <c r="O73" s="52" t="n"/>
      <c r="P73" s="52" t="n"/>
      <c r="Q73" s="52" t="n"/>
      <c r="R73" s="44" t="n"/>
      <c r="S73" s="14" t="n"/>
      <c r="U73" s="53" t="n"/>
      <c r="V73" s="53" t="n"/>
      <c r="W73" s="53" t="n"/>
      <c r="X73" s="53" t="n"/>
      <c r="Y73" s="53" t="n"/>
      <c r="Z73" s="53" t="n"/>
      <c r="AA73" s="53" t="n"/>
      <c r="AB73" s="53" t="n"/>
      <c r="AC73" s="53" t="n"/>
      <c r="AD73" s="53" t="n"/>
      <c r="AE73" s="53" t="n"/>
      <c r="AF73" s="53" t="n"/>
      <c r="AG73" s="53" t="n"/>
      <c r="AH73" s="53" t="n"/>
      <c r="AI73" s="53" t="n"/>
      <c r="AJ73" s="53" t="n"/>
      <c r="AK73" s="53" t="n"/>
      <c r="AL73" s="53" t="n"/>
      <c r="AM73" s="53" t="n"/>
      <c r="AN73" s="53" t="n"/>
      <c r="AO73" s="53" t="n"/>
      <c r="AP73" s="53" t="n"/>
      <c r="AQ73" s="53" t="n"/>
      <c r="AR73" s="53" t="n"/>
      <c r="AS73" s="53" t="n"/>
      <c r="AT73" s="53" t="n"/>
      <c r="AU73" s="53" t="n"/>
      <c r="AV73" s="53" t="n"/>
      <c r="AW73" s="53" t="n"/>
      <c r="AX73" s="53" t="n"/>
      <c r="AY73" s="53" t="n"/>
    </row>
    <row r="74" ht="15" customHeight="1">
      <c r="A74" s="54" t="n"/>
      <c r="B74" s="55">
        <f>IF($B$73="","",$B$73)</f>
        <v/>
      </c>
      <c r="C74" s="56" t="inlineStr">
        <is>
          <t>마케팅2팀</t>
        </is>
      </c>
      <c r="D74" s="55">
        <f>IF($D$73="","",$D$73)</f>
        <v/>
      </c>
      <c r="E74" s="57" t="inlineStr">
        <is>
          <t>이미지</t>
        </is>
      </c>
      <c r="F74" s="44" t="n"/>
      <c r="G74" s="58">
        <f>IF($G$73="","",$G$73)</f>
        <v/>
      </c>
      <c r="H74" s="59" t="n"/>
      <c r="I74" s="59" t="n"/>
      <c r="J74" s="59" t="n"/>
      <c r="K74" s="59" t="n"/>
      <c r="L74" s="60">
        <f>IF(SUM(U74:AY74)=0,"",SUM(U74:AY74))</f>
        <v/>
      </c>
      <c r="M74" s="61">
        <f>IFERROR(INDEX(U$2:AY$2,MATCH(TRUE,INDEX(U74:AY74&lt;&gt;"",0),0)),"")</f>
        <v/>
      </c>
      <c r="N74" s="61">
        <f>IFERROR(LOOKUP(2,1/(U74:AY74&lt;&gt;""),U$2:AY$2),"")</f>
        <v/>
      </c>
      <c r="O74" s="59" t="n"/>
      <c r="P74" s="59" t="n"/>
      <c r="Q74" s="59" t="n"/>
      <c r="R74" s="59" t="n"/>
      <c r="S74" s="14" t="n"/>
      <c r="U74" s="53" t="n"/>
      <c r="V74" s="53" t="n"/>
      <c r="W74" s="53" t="n"/>
      <c r="X74" s="53" t="n"/>
      <c r="Y74" s="53" t="n"/>
      <c r="Z74" s="53" t="n"/>
      <c r="AA74" s="53" t="n"/>
      <c r="AB74" s="53" t="n"/>
      <c r="AC74" s="53" t="n"/>
      <c r="AD74" s="53" t="n"/>
      <c r="AE74" s="53" t="n"/>
      <c r="AF74" s="53" t="n"/>
      <c r="AG74" s="53" t="n"/>
      <c r="AH74" s="53" t="n"/>
      <c r="AI74" s="53" t="n"/>
      <c r="AJ74" s="53" t="n"/>
      <c r="AK74" s="53" t="n"/>
      <c r="AL74" s="53" t="n"/>
      <c r="AM74" s="53" t="n"/>
      <c r="AN74" s="53" t="n"/>
      <c r="AO74" s="53" t="n"/>
      <c r="AP74" s="53" t="n"/>
      <c r="AQ74" s="53" t="n"/>
      <c r="AR74" s="53" t="n"/>
      <c r="AS74" s="53" t="n"/>
      <c r="AT74" s="53" t="n"/>
      <c r="AU74" s="53" t="n"/>
      <c r="AV74" s="53" t="n"/>
      <c r="AW74" s="53" t="n"/>
      <c r="AX74" s="53" t="n"/>
      <c r="AY74" s="53" t="n"/>
    </row>
    <row r="75" ht="15" customHeight="1">
      <c r="A75" s="62" t="n"/>
      <c r="B75" s="55">
        <f>IF($B$73="","",$B$73)</f>
        <v/>
      </c>
      <c r="C75" s="63" t="inlineStr">
        <is>
          <t>마케팅2팀</t>
        </is>
      </c>
      <c r="D75" s="55">
        <f>IF($D$73="","",$D$73)</f>
        <v/>
      </c>
      <c r="E75" s="64" t="inlineStr">
        <is>
          <t>영상</t>
        </is>
      </c>
      <c r="F75" s="44" t="n"/>
      <c r="G75" s="58">
        <f>IF($G$73="","",$G$73)</f>
        <v/>
      </c>
      <c r="H75" s="59" t="n"/>
      <c r="I75" s="59" t="n"/>
      <c r="J75" s="59" t="n"/>
      <c r="K75" s="59" t="n"/>
      <c r="L75" s="65">
        <f>IF(SUM(U75:AY75)=0,"",SUM(U75:AY75))</f>
        <v/>
      </c>
      <c r="M75" s="66">
        <f>IFERROR(INDEX(U$2:AY$2,MATCH(TRUE,INDEX(U75:AY75&lt;&gt;"",0),0)),"")</f>
        <v/>
      </c>
      <c r="N75" s="66">
        <f>IFERROR(LOOKUP(2,1/(U75:AY75&lt;&gt;""),U$2:AY$2),"")</f>
        <v/>
      </c>
      <c r="O75" s="59" t="n"/>
      <c r="P75" s="59" t="n"/>
      <c r="Q75" s="59" t="n"/>
      <c r="R75" s="59" t="n"/>
      <c r="S75" s="14" t="n"/>
      <c r="U75" s="53" t="n"/>
      <c r="V75" s="53" t="n"/>
      <c r="W75" s="53" t="n"/>
      <c r="X75" s="53" t="n"/>
      <c r="Y75" s="53" t="n"/>
      <c r="Z75" s="53" t="n"/>
      <c r="AA75" s="53" t="n"/>
      <c r="AB75" s="53" t="n"/>
      <c r="AC75" s="53" t="n"/>
      <c r="AD75" s="53" t="n"/>
      <c r="AE75" s="53" t="n"/>
      <c r="AF75" s="53" t="n"/>
      <c r="AG75" s="53" t="n"/>
      <c r="AH75" s="53" t="n"/>
      <c r="AI75" s="53" t="n"/>
      <c r="AJ75" s="53" t="n"/>
      <c r="AK75" s="53" t="n"/>
      <c r="AL75" s="53" t="n"/>
      <c r="AM75" s="53" t="n"/>
      <c r="AN75" s="53" t="n"/>
      <c r="AO75" s="53" t="n"/>
      <c r="AP75" s="53" t="n"/>
      <c r="AQ75" s="53" t="n"/>
      <c r="AR75" s="53" t="n"/>
      <c r="AS75" s="53" t="n"/>
      <c r="AT75" s="53" t="n"/>
      <c r="AU75" s="53" t="n"/>
      <c r="AV75" s="53" t="n"/>
      <c r="AW75" s="53" t="n"/>
      <c r="AX75" s="53" t="n"/>
      <c r="AY75" s="53" t="n"/>
    </row>
    <row r="76" ht="15" customHeight="1">
      <c r="A76" s="40">
        <f>IF($D$76="","",23)</f>
        <v/>
      </c>
      <c r="B76" s="10" t="n"/>
      <c r="C76" s="41" t="inlineStr">
        <is>
          <t>마케팅2팀</t>
        </is>
      </c>
      <c r="D76" s="42" t="n"/>
      <c r="E76" s="43" t="inlineStr">
        <is>
          <t>기획</t>
        </is>
      </c>
      <c r="F76" s="44" t="n"/>
      <c r="G76" s="45" t="n"/>
      <c r="H76" s="46">
        <f>IF($I$76="","",IF($I$76&lt;0,"🔴지연",IF($I$76&lt;=1,"🟡임박","🟢여유")))</f>
        <v/>
      </c>
      <c r="I76" s="47">
        <f>IF(OR($G$76="",$K$76=""),"",$G$76-$K$76)</f>
        <v/>
      </c>
      <c r="J76" s="48">
        <f>IF(SUM($L$76:$L$78)=0,"",SUM($L$76:$L$78))</f>
        <v/>
      </c>
      <c r="K76" s="49">
        <f>IF($J$76="","",MAX($N$76:$N$78))</f>
        <v/>
      </c>
      <c r="L76" s="50">
        <f>IF(SUM(U76:AY76)=0,"",SUM(U76:AY76))</f>
        <v/>
      </c>
      <c r="M76" s="51">
        <f>IFERROR(INDEX(U$2:AY$2,MATCH(TRUE,INDEX(U76:AY76&lt;&gt;"",0),0)),"")</f>
        <v/>
      </c>
      <c r="N76" s="51">
        <f>IFERROR(LOOKUP(2,1/(U76:AY76&lt;&gt;""),U$2:AY$2),"")</f>
        <v/>
      </c>
      <c r="O76" s="52" t="n"/>
      <c r="P76" s="52" t="n"/>
      <c r="Q76" s="52" t="n"/>
      <c r="R76" s="44" t="n"/>
      <c r="S76" s="14" t="n"/>
      <c r="U76" s="53" t="n"/>
      <c r="V76" s="53" t="n"/>
      <c r="W76" s="53" t="n"/>
      <c r="X76" s="53" t="n"/>
      <c r="Y76" s="53" t="n"/>
      <c r="Z76" s="53" t="n"/>
      <c r="AA76" s="53" t="n"/>
      <c r="AB76" s="53" t="n"/>
      <c r="AC76" s="53" t="n"/>
      <c r="AD76" s="53" t="n"/>
      <c r="AE76" s="53" t="n"/>
      <c r="AF76" s="53" t="n"/>
      <c r="AG76" s="53" t="n"/>
      <c r="AH76" s="53" t="n"/>
      <c r="AI76" s="53" t="n"/>
      <c r="AJ76" s="53" t="n"/>
      <c r="AK76" s="53" t="n"/>
      <c r="AL76" s="53" t="n"/>
      <c r="AM76" s="53" t="n"/>
      <c r="AN76" s="53" t="n"/>
      <c r="AO76" s="53" t="n"/>
      <c r="AP76" s="53" t="n"/>
      <c r="AQ76" s="53" t="n"/>
      <c r="AR76" s="53" t="n"/>
      <c r="AS76" s="53" t="n"/>
      <c r="AT76" s="53" t="n"/>
      <c r="AU76" s="53" t="n"/>
      <c r="AV76" s="53" t="n"/>
      <c r="AW76" s="53" t="n"/>
      <c r="AX76" s="53" t="n"/>
      <c r="AY76" s="53" t="n"/>
    </row>
    <row r="77" ht="15" customHeight="1">
      <c r="A77" s="54" t="n"/>
      <c r="B77" s="55">
        <f>IF($B$76="","",$B$76)</f>
        <v/>
      </c>
      <c r="C77" s="56" t="inlineStr">
        <is>
          <t>마케팅2팀</t>
        </is>
      </c>
      <c r="D77" s="55">
        <f>IF($D$76="","",$D$76)</f>
        <v/>
      </c>
      <c r="E77" s="57" t="inlineStr">
        <is>
          <t>이미지</t>
        </is>
      </c>
      <c r="F77" s="44" t="n"/>
      <c r="G77" s="58">
        <f>IF($G$76="","",$G$76)</f>
        <v/>
      </c>
      <c r="H77" s="59" t="n"/>
      <c r="I77" s="59" t="n"/>
      <c r="J77" s="59" t="n"/>
      <c r="K77" s="59" t="n"/>
      <c r="L77" s="60">
        <f>IF(SUM(U77:AY77)=0,"",SUM(U77:AY77))</f>
        <v/>
      </c>
      <c r="M77" s="61">
        <f>IFERROR(INDEX(U$2:AY$2,MATCH(TRUE,INDEX(U77:AY77&lt;&gt;"",0),0)),"")</f>
        <v/>
      </c>
      <c r="N77" s="61">
        <f>IFERROR(LOOKUP(2,1/(U77:AY77&lt;&gt;""),U$2:AY$2),"")</f>
        <v/>
      </c>
      <c r="O77" s="59" t="n"/>
      <c r="P77" s="59" t="n"/>
      <c r="Q77" s="59" t="n"/>
      <c r="R77" s="59" t="n"/>
      <c r="S77" s="14" t="n"/>
      <c r="U77" s="53" t="n"/>
      <c r="V77" s="53" t="n"/>
      <c r="W77" s="53" t="n"/>
      <c r="X77" s="53" t="n"/>
      <c r="Y77" s="53" t="n"/>
      <c r="Z77" s="53" t="n"/>
      <c r="AA77" s="53" t="n"/>
      <c r="AB77" s="53" t="n"/>
      <c r="AC77" s="53" t="n"/>
      <c r="AD77" s="53" t="n"/>
      <c r="AE77" s="53" t="n"/>
      <c r="AF77" s="53" t="n"/>
      <c r="AG77" s="53" t="n"/>
      <c r="AH77" s="53" t="n"/>
      <c r="AI77" s="53" t="n"/>
      <c r="AJ77" s="53" t="n"/>
      <c r="AK77" s="53" t="n"/>
      <c r="AL77" s="53" t="n"/>
      <c r="AM77" s="53" t="n"/>
      <c r="AN77" s="53" t="n"/>
      <c r="AO77" s="53" t="n"/>
      <c r="AP77" s="53" t="n"/>
      <c r="AQ77" s="53" t="n"/>
      <c r="AR77" s="53" t="n"/>
      <c r="AS77" s="53" t="n"/>
      <c r="AT77" s="53" t="n"/>
      <c r="AU77" s="53" t="n"/>
      <c r="AV77" s="53" t="n"/>
      <c r="AW77" s="53" t="n"/>
      <c r="AX77" s="53" t="n"/>
      <c r="AY77" s="53" t="n"/>
    </row>
    <row r="78" ht="15" customHeight="1">
      <c r="A78" s="62" t="n"/>
      <c r="B78" s="55">
        <f>IF($B$76="","",$B$76)</f>
        <v/>
      </c>
      <c r="C78" s="63" t="inlineStr">
        <is>
          <t>마케팅2팀</t>
        </is>
      </c>
      <c r="D78" s="55">
        <f>IF($D$76="","",$D$76)</f>
        <v/>
      </c>
      <c r="E78" s="64" t="inlineStr">
        <is>
          <t>영상</t>
        </is>
      </c>
      <c r="F78" s="44" t="n"/>
      <c r="G78" s="58">
        <f>IF($G$76="","",$G$76)</f>
        <v/>
      </c>
      <c r="H78" s="59" t="n"/>
      <c r="I78" s="59" t="n"/>
      <c r="J78" s="59" t="n"/>
      <c r="K78" s="59" t="n"/>
      <c r="L78" s="65">
        <f>IF(SUM(U78:AY78)=0,"",SUM(U78:AY78))</f>
        <v/>
      </c>
      <c r="M78" s="66">
        <f>IFERROR(INDEX(U$2:AY$2,MATCH(TRUE,INDEX(U78:AY78&lt;&gt;"",0),0)),"")</f>
        <v/>
      </c>
      <c r="N78" s="66">
        <f>IFERROR(LOOKUP(2,1/(U78:AY78&lt;&gt;""),U$2:AY$2),"")</f>
        <v/>
      </c>
      <c r="O78" s="59" t="n"/>
      <c r="P78" s="59" t="n"/>
      <c r="Q78" s="59" t="n"/>
      <c r="R78" s="59" t="n"/>
      <c r="S78" s="14" t="n"/>
      <c r="U78" s="53" t="n"/>
      <c r="V78" s="53" t="n"/>
      <c r="W78" s="53" t="n"/>
      <c r="X78" s="53" t="n"/>
      <c r="Y78" s="53" t="n"/>
      <c r="Z78" s="53" t="n"/>
      <c r="AA78" s="53" t="n"/>
      <c r="AB78" s="53" t="n"/>
      <c r="AC78" s="53" t="n"/>
      <c r="AD78" s="53" t="n"/>
      <c r="AE78" s="53" t="n"/>
      <c r="AF78" s="53" t="n"/>
      <c r="AG78" s="53" t="n"/>
      <c r="AH78" s="53" t="n"/>
      <c r="AI78" s="53" t="n"/>
      <c r="AJ78" s="53" t="n"/>
      <c r="AK78" s="53" t="n"/>
      <c r="AL78" s="53" t="n"/>
      <c r="AM78" s="53" t="n"/>
      <c r="AN78" s="53" t="n"/>
      <c r="AO78" s="53" t="n"/>
      <c r="AP78" s="53" t="n"/>
      <c r="AQ78" s="53" t="n"/>
      <c r="AR78" s="53" t="n"/>
      <c r="AS78" s="53" t="n"/>
      <c r="AT78" s="53" t="n"/>
      <c r="AU78" s="53" t="n"/>
      <c r="AV78" s="53" t="n"/>
      <c r="AW78" s="53" t="n"/>
      <c r="AX78" s="53" t="n"/>
      <c r="AY78" s="53" t="n"/>
    </row>
    <row r="79" ht="15" customHeight="1">
      <c r="A79" s="40">
        <f>IF($D$79="","",24)</f>
        <v/>
      </c>
      <c r="B79" s="10" t="n"/>
      <c r="C79" s="41" t="inlineStr">
        <is>
          <t>마케팅2팀</t>
        </is>
      </c>
      <c r="D79" s="42" t="n"/>
      <c r="E79" s="43" t="inlineStr">
        <is>
          <t>기획</t>
        </is>
      </c>
      <c r="F79" s="44" t="n"/>
      <c r="G79" s="45" t="n"/>
      <c r="H79" s="46">
        <f>IF($I$79="","",IF($I$79&lt;0,"🔴지연",IF($I$79&lt;=1,"🟡임박","🟢여유")))</f>
        <v/>
      </c>
      <c r="I79" s="47">
        <f>IF(OR($G$79="",$K$79=""),"",$G$79-$K$79)</f>
        <v/>
      </c>
      <c r="J79" s="48">
        <f>IF(SUM($L$79:$L$81)=0,"",SUM($L$79:$L$81))</f>
        <v/>
      </c>
      <c r="K79" s="49">
        <f>IF($J$79="","",MAX($N$79:$N$81))</f>
        <v/>
      </c>
      <c r="L79" s="50">
        <f>IF(SUM(U79:AY79)=0,"",SUM(U79:AY79))</f>
        <v/>
      </c>
      <c r="M79" s="51">
        <f>IFERROR(INDEX(U$2:AY$2,MATCH(TRUE,INDEX(U79:AY79&lt;&gt;"",0),0)),"")</f>
        <v/>
      </c>
      <c r="N79" s="51">
        <f>IFERROR(LOOKUP(2,1/(U79:AY79&lt;&gt;""),U$2:AY$2),"")</f>
        <v/>
      </c>
      <c r="O79" s="52" t="n"/>
      <c r="P79" s="52" t="n"/>
      <c r="Q79" s="52" t="n"/>
      <c r="R79" s="44" t="n"/>
      <c r="S79" s="14" t="n"/>
      <c r="U79" s="53" t="n"/>
      <c r="V79" s="53" t="n"/>
      <c r="W79" s="53" t="n"/>
      <c r="X79" s="53" t="n"/>
      <c r="Y79" s="53" t="n"/>
      <c r="Z79" s="53" t="n"/>
      <c r="AA79" s="53" t="n"/>
      <c r="AB79" s="53" t="n"/>
      <c r="AC79" s="53" t="n"/>
      <c r="AD79" s="53" t="n"/>
      <c r="AE79" s="53" t="n"/>
      <c r="AF79" s="53" t="n"/>
      <c r="AG79" s="53" t="n"/>
      <c r="AH79" s="53" t="n"/>
      <c r="AI79" s="53" t="n"/>
      <c r="AJ79" s="53" t="n"/>
      <c r="AK79" s="53" t="n"/>
      <c r="AL79" s="53" t="n"/>
      <c r="AM79" s="53" t="n"/>
      <c r="AN79" s="53" t="n"/>
      <c r="AO79" s="53" t="n"/>
      <c r="AP79" s="53" t="n"/>
      <c r="AQ79" s="53" t="n"/>
      <c r="AR79" s="53" t="n"/>
      <c r="AS79" s="53" t="n"/>
      <c r="AT79" s="53" t="n"/>
      <c r="AU79" s="53" t="n"/>
      <c r="AV79" s="53" t="n"/>
      <c r="AW79" s="53" t="n"/>
      <c r="AX79" s="53" t="n"/>
      <c r="AY79" s="53" t="n"/>
    </row>
    <row r="80" ht="15" customHeight="1">
      <c r="A80" s="54" t="n"/>
      <c r="B80" s="55">
        <f>IF($B$79="","",$B$79)</f>
        <v/>
      </c>
      <c r="C80" s="56" t="inlineStr">
        <is>
          <t>마케팅2팀</t>
        </is>
      </c>
      <c r="D80" s="55">
        <f>IF($D$79="","",$D$79)</f>
        <v/>
      </c>
      <c r="E80" s="57" t="inlineStr">
        <is>
          <t>이미지</t>
        </is>
      </c>
      <c r="F80" s="44" t="n"/>
      <c r="G80" s="58">
        <f>IF($G$79="","",$G$79)</f>
        <v/>
      </c>
      <c r="H80" s="59" t="n"/>
      <c r="I80" s="59" t="n"/>
      <c r="J80" s="59" t="n"/>
      <c r="K80" s="59" t="n"/>
      <c r="L80" s="60">
        <f>IF(SUM(U80:AY80)=0,"",SUM(U80:AY80))</f>
        <v/>
      </c>
      <c r="M80" s="61">
        <f>IFERROR(INDEX(U$2:AY$2,MATCH(TRUE,INDEX(U80:AY80&lt;&gt;"",0),0)),"")</f>
        <v/>
      </c>
      <c r="N80" s="61">
        <f>IFERROR(LOOKUP(2,1/(U80:AY80&lt;&gt;""),U$2:AY$2),"")</f>
        <v/>
      </c>
      <c r="O80" s="59" t="n"/>
      <c r="P80" s="59" t="n"/>
      <c r="Q80" s="59" t="n"/>
      <c r="R80" s="59" t="n"/>
      <c r="S80" s="14" t="n"/>
      <c r="U80" s="53" t="n"/>
      <c r="V80" s="53" t="n"/>
      <c r="W80" s="53" t="n"/>
      <c r="X80" s="53" t="n"/>
      <c r="Y80" s="53" t="n"/>
      <c r="Z80" s="53" t="n"/>
      <c r="AA80" s="53" t="n"/>
      <c r="AB80" s="53" t="n"/>
      <c r="AC80" s="53" t="n"/>
      <c r="AD80" s="53" t="n"/>
      <c r="AE80" s="53" t="n"/>
      <c r="AF80" s="53" t="n"/>
      <c r="AG80" s="53" t="n"/>
      <c r="AH80" s="53" t="n"/>
      <c r="AI80" s="53" t="n"/>
      <c r="AJ80" s="53" t="n"/>
      <c r="AK80" s="53" t="n"/>
      <c r="AL80" s="53" t="n"/>
      <c r="AM80" s="53" t="n"/>
      <c r="AN80" s="53" t="n"/>
      <c r="AO80" s="53" t="n"/>
      <c r="AP80" s="53" t="n"/>
      <c r="AQ80" s="53" t="n"/>
      <c r="AR80" s="53" t="n"/>
      <c r="AS80" s="53" t="n"/>
      <c r="AT80" s="53" t="n"/>
      <c r="AU80" s="53" t="n"/>
      <c r="AV80" s="53" t="n"/>
      <c r="AW80" s="53" t="n"/>
      <c r="AX80" s="53" t="n"/>
      <c r="AY80" s="53" t="n"/>
    </row>
    <row r="81" ht="15" customHeight="1">
      <c r="A81" s="62" t="n"/>
      <c r="B81" s="55">
        <f>IF($B$79="","",$B$79)</f>
        <v/>
      </c>
      <c r="C81" s="63" t="inlineStr">
        <is>
          <t>마케팅2팀</t>
        </is>
      </c>
      <c r="D81" s="55">
        <f>IF($D$79="","",$D$79)</f>
        <v/>
      </c>
      <c r="E81" s="64" t="inlineStr">
        <is>
          <t>영상</t>
        </is>
      </c>
      <c r="F81" s="44" t="n"/>
      <c r="G81" s="58">
        <f>IF($G$79="","",$G$79)</f>
        <v/>
      </c>
      <c r="H81" s="59" t="n"/>
      <c r="I81" s="59" t="n"/>
      <c r="J81" s="59" t="n"/>
      <c r="K81" s="59" t="n"/>
      <c r="L81" s="65">
        <f>IF(SUM(U81:AY81)=0,"",SUM(U81:AY81))</f>
        <v/>
      </c>
      <c r="M81" s="66">
        <f>IFERROR(INDEX(U$2:AY$2,MATCH(TRUE,INDEX(U81:AY81&lt;&gt;"",0),0)),"")</f>
        <v/>
      </c>
      <c r="N81" s="66">
        <f>IFERROR(LOOKUP(2,1/(U81:AY81&lt;&gt;""),U$2:AY$2),"")</f>
        <v/>
      </c>
      <c r="O81" s="59" t="n"/>
      <c r="P81" s="59" t="n"/>
      <c r="Q81" s="59" t="n"/>
      <c r="R81" s="59" t="n"/>
      <c r="S81" s="14" t="n"/>
      <c r="U81" s="53" t="n"/>
      <c r="V81" s="53" t="n"/>
      <c r="W81" s="53" t="n"/>
      <c r="X81" s="53" t="n"/>
      <c r="Y81" s="53" t="n"/>
      <c r="Z81" s="53" t="n"/>
      <c r="AA81" s="53" t="n"/>
      <c r="AB81" s="53" t="n"/>
      <c r="AC81" s="53" t="n"/>
      <c r="AD81" s="53" t="n"/>
      <c r="AE81" s="53" t="n"/>
      <c r="AF81" s="53" t="n"/>
      <c r="AG81" s="53" t="n"/>
      <c r="AH81" s="53" t="n"/>
      <c r="AI81" s="53" t="n"/>
      <c r="AJ81" s="53" t="n"/>
      <c r="AK81" s="53" t="n"/>
      <c r="AL81" s="53" t="n"/>
      <c r="AM81" s="53" t="n"/>
      <c r="AN81" s="53" t="n"/>
      <c r="AO81" s="53" t="n"/>
      <c r="AP81" s="53" t="n"/>
      <c r="AQ81" s="53" t="n"/>
      <c r="AR81" s="53" t="n"/>
      <c r="AS81" s="53" t="n"/>
      <c r="AT81" s="53" t="n"/>
      <c r="AU81" s="53" t="n"/>
      <c r="AV81" s="53" t="n"/>
      <c r="AW81" s="53" t="n"/>
      <c r="AX81" s="53" t="n"/>
      <c r="AY81" s="53" t="n"/>
    </row>
    <row r="82" ht="15" customHeight="1">
      <c r="A82" s="40">
        <f>IF($D$82="","",25)</f>
        <v/>
      </c>
      <c r="B82" s="10" t="n"/>
      <c r="C82" s="41" t="inlineStr">
        <is>
          <t>마케팅2팀</t>
        </is>
      </c>
      <c r="D82" s="42" t="n"/>
      <c r="E82" s="43" t="inlineStr">
        <is>
          <t>기획</t>
        </is>
      </c>
      <c r="F82" s="44" t="n"/>
      <c r="G82" s="45" t="n"/>
      <c r="H82" s="46">
        <f>IF($I$82="","",IF($I$82&lt;0,"🔴지연",IF($I$82&lt;=1,"🟡임박","🟢여유")))</f>
        <v/>
      </c>
      <c r="I82" s="47">
        <f>IF(OR($G$82="",$K$82=""),"",$G$82-$K$82)</f>
        <v/>
      </c>
      <c r="J82" s="48">
        <f>IF(SUM($L$82:$L$84)=0,"",SUM($L$82:$L$84))</f>
        <v/>
      </c>
      <c r="K82" s="49">
        <f>IF($J$82="","",MAX($N$82:$N$84))</f>
        <v/>
      </c>
      <c r="L82" s="50">
        <f>IF(SUM(U82:AY82)=0,"",SUM(U82:AY82))</f>
        <v/>
      </c>
      <c r="M82" s="51">
        <f>IFERROR(INDEX(U$2:AY$2,MATCH(TRUE,INDEX(U82:AY82&lt;&gt;"",0),0)),"")</f>
        <v/>
      </c>
      <c r="N82" s="51">
        <f>IFERROR(LOOKUP(2,1/(U82:AY82&lt;&gt;""),U$2:AY$2),"")</f>
        <v/>
      </c>
      <c r="O82" s="52" t="n"/>
      <c r="P82" s="52" t="n"/>
      <c r="Q82" s="52" t="n"/>
      <c r="R82" s="44" t="n"/>
      <c r="S82" s="14" t="n"/>
      <c r="U82" s="53" t="n"/>
      <c r="V82" s="53" t="n"/>
      <c r="W82" s="53" t="n"/>
      <c r="X82" s="53" t="n"/>
      <c r="Y82" s="53" t="n"/>
      <c r="Z82" s="53" t="n"/>
      <c r="AA82" s="53" t="n"/>
      <c r="AB82" s="53" t="n"/>
      <c r="AC82" s="53" t="n"/>
      <c r="AD82" s="53" t="n"/>
      <c r="AE82" s="53" t="n"/>
      <c r="AF82" s="53" t="n"/>
      <c r="AG82" s="53" t="n"/>
      <c r="AH82" s="53" t="n"/>
      <c r="AI82" s="53" t="n"/>
      <c r="AJ82" s="53" t="n"/>
      <c r="AK82" s="53" t="n"/>
      <c r="AL82" s="53" t="n"/>
      <c r="AM82" s="53" t="n"/>
      <c r="AN82" s="53" t="n"/>
      <c r="AO82" s="53" t="n"/>
      <c r="AP82" s="53" t="n"/>
      <c r="AQ82" s="53" t="n"/>
      <c r="AR82" s="53" t="n"/>
      <c r="AS82" s="53" t="n"/>
      <c r="AT82" s="53" t="n"/>
      <c r="AU82" s="53" t="n"/>
      <c r="AV82" s="53" t="n"/>
      <c r="AW82" s="53" t="n"/>
      <c r="AX82" s="53" t="n"/>
      <c r="AY82" s="53" t="n"/>
    </row>
    <row r="83" ht="15" customHeight="1">
      <c r="A83" s="54" t="n"/>
      <c r="B83" s="55">
        <f>IF($B$82="","",$B$82)</f>
        <v/>
      </c>
      <c r="C83" s="56" t="inlineStr">
        <is>
          <t>마케팅2팀</t>
        </is>
      </c>
      <c r="D83" s="55">
        <f>IF($D$82="","",$D$82)</f>
        <v/>
      </c>
      <c r="E83" s="57" t="inlineStr">
        <is>
          <t>이미지</t>
        </is>
      </c>
      <c r="F83" s="44" t="n"/>
      <c r="G83" s="58">
        <f>IF($G$82="","",$G$82)</f>
        <v/>
      </c>
      <c r="H83" s="59" t="n"/>
      <c r="I83" s="59" t="n"/>
      <c r="J83" s="59" t="n"/>
      <c r="K83" s="59" t="n"/>
      <c r="L83" s="60">
        <f>IF(SUM(U83:AY83)=0,"",SUM(U83:AY83))</f>
        <v/>
      </c>
      <c r="M83" s="61">
        <f>IFERROR(INDEX(U$2:AY$2,MATCH(TRUE,INDEX(U83:AY83&lt;&gt;"",0),0)),"")</f>
        <v/>
      </c>
      <c r="N83" s="61">
        <f>IFERROR(LOOKUP(2,1/(U83:AY83&lt;&gt;""),U$2:AY$2),"")</f>
        <v/>
      </c>
      <c r="O83" s="59" t="n"/>
      <c r="P83" s="59" t="n"/>
      <c r="Q83" s="59" t="n"/>
      <c r="R83" s="59" t="n"/>
      <c r="S83" s="14" t="n"/>
      <c r="U83" s="53" t="n"/>
      <c r="V83" s="53" t="n"/>
      <c r="W83" s="53" t="n"/>
      <c r="X83" s="53" t="n"/>
      <c r="Y83" s="53" t="n"/>
      <c r="Z83" s="53" t="n"/>
      <c r="AA83" s="53" t="n"/>
      <c r="AB83" s="53" t="n"/>
      <c r="AC83" s="53" t="n"/>
      <c r="AD83" s="53" t="n"/>
      <c r="AE83" s="53" t="n"/>
      <c r="AF83" s="53" t="n"/>
      <c r="AG83" s="53" t="n"/>
      <c r="AH83" s="53" t="n"/>
      <c r="AI83" s="53" t="n"/>
      <c r="AJ83" s="53" t="n"/>
      <c r="AK83" s="53" t="n"/>
      <c r="AL83" s="53" t="n"/>
      <c r="AM83" s="53" t="n"/>
      <c r="AN83" s="53" t="n"/>
      <c r="AO83" s="53" t="n"/>
      <c r="AP83" s="53" t="n"/>
      <c r="AQ83" s="53" t="n"/>
      <c r="AR83" s="53" t="n"/>
      <c r="AS83" s="53" t="n"/>
      <c r="AT83" s="53" t="n"/>
      <c r="AU83" s="53" t="n"/>
      <c r="AV83" s="53" t="n"/>
      <c r="AW83" s="53" t="n"/>
      <c r="AX83" s="53" t="n"/>
      <c r="AY83" s="53" t="n"/>
    </row>
    <row r="84" ht="15" customHeight="1">
      <c r="A84" s="62" t="n"/>
      <c r="B84" s="55">
        <f>IF($B$82="","",$B$82)</f>
        <v/>
      </c>
      <c r="C84" s="63" t="inlineStr">
        <is>
          <t>마케팅2팀</t>
        </is>
      </c>
      <c r="D84" s="55">
        <f>IF($D$82="","",$D$82)</f>
        <v/>
      </c>
      <c r="E84" s="64" t="inlineStr">
        <is>
          <t>영상</t>
        </is>
      </c>
      <c r="F84" s="44" t="n"/>
      <c r="G84" s="58">
        <f>IF($G$82="","",$G$82)</f>
        <v/>
      </c>
      <c r="H84" s="59" t="n"/>
      <c r="I84" s="59" t="n"/>
      <c r="J84" s="59" t="n"/>
      <c r="K84" s="59" t="n"/>
      <c r="L84" s="65">
        <f>IF(SUM(U84:AY84)=0,"",SUM(U84:AY84))</f>
        <v/>
      </c>
      <c r="M84" s="66">
        <f>IFERROR(INDEX(U$2:AY$2,MATCH(TRUE,INDEX(U84:AY84&lt;&gt;"",0),0)),"")</f>
        <v/>
      </c>
      <c r="N84" s="66">
        <f>IFERROR(LOOKUP(2,1/(U84:AY84&lt;&gt;""),U$2:AY$2),"")</f>
        <v/>
      </c>
      <c r="O84" s="59" t="n"/>
      <c r="P84" s="59" t="n"/>
      <c r="Q84" s="59" t="n"/>
      <c r="R84" s="59" t="n"/>
      <c r="S84" s="14" t="n"/>
      <c r="U84" s="53" t="n"/>
      <c r="V84" s="53" t="n"/>
      <c r="W84" s="53" t="n"/>
      <c r="X84" s="53" t="n"/>
      <c r="Y84" s="53" t="n"/>
      <c r="Z84" s="53" t="n"/>
      <c r="AA84" s="53" t="n"/>
      <c r="AB84" s="53" t="n"/>
      <c r="AC84" s="53" t="n"/>
      <c r="AD84" s="53" t="n"/>
      <c r="AE84" s="53" t="n"/>
      <c r="AF84" s="53" t="n"/>
      <c r="AG84" s="53" t="n"/>
      <c r="AH84" s="53" t="n"/>
      <c r="AI84" s="53" t="n"/>
      <c r="AJ84" s="53" t="n"/>
      <c r="AK84" s="53" t="n"/>
      <c r="AL84" s="53" t="n"/>
      <c r="AM84" s="53" t="n"/>
      <c r="AN84" s="53" t="n"/>
      <c r="AO84" s="53" t="n"/>
      <c r="AP84" s="53" t="n"/>
      <c r="AQ84" s="53" t="n"/>
      <c r="AR84" s="53" t="n"/>
      <c r="AS84" s="53" t="n"/>
      <c r="AT84" s="53" t="n"/>
      <c r="AU84" s="53" t="n"/>
      <c r="AV84" s="53" t="n"/>
      <c r="AW84" s="53" t="n"/>
      <c r="AX84" s="53" t="n"/>
      <c r="AY84" s="53" t="n"/>
    </row>
    <row r="85" ht="15" customHeight="1">
      <c r="A85" s="40">
        <f>IF($D$85="","",26)</f>
        <v/>
      </c>
      <c r="B85" s="10" t="n"/>
      <c r="C85" s="41" t="inlineStr">
        <is>
          <t>마케팅2팀</t>
        </is>
      </c>
      <c r="D85" s="42" t="n"/>
      <c r="E85" s="43" t="inlineStr">
        <is>
          <t>기획</t>
        </is>
      </c>
      <c r="F85" s="44" t="n"/>
      <c r="G85" s="45" t="n"/>
      <c r="H85" s="46">
        <f>IF($I$85="","",IF($I$85&lt;0,"🔴지연",IF($I$85&lt;=1,"🟡임박","🟢여유")))</f>
        <v/>
      </c>
      <c r="I85" s="47">
        <f>IF(OR($G$85="",$K$85=""),"",$G$85-$K$85)</f>
        <v/>
      </c>
      <c r="J85" s="48">
        <f>IF(SUM($L$85:$L$87)=0,"",SUM($L$85:$L$87))</f>
        <v/>
      </c>
      <c r="K85" s="49">
        <f>IF($J$85="","",MAX($N$85:$N$87))</f>
        <v/>
      </c>
      <c r="L85" s="50">
        <f>IF(SUM(U85:AY85)=0,"",SUM(U85:AY85))</f>
        <v/>
      </c>
      <c r="M85" s="51">
        <f>IFERROR(INDEX(U$2:AY$2,MATCH(TRUE,INDEX(U85:AY85&lt;&gt;"",0),0)),"")</f>
        <v/>
      </c>
      <c r="N85" s="51">
        <f>IFERROR(LOOKUP(2,1/(U85:AY85&lt;&gt;""),U$2:AY$2),"")</f>
        <v/>
      </c>
      <c r="O85" s="52" t="n"/>
      <c r="P85" s="52" t="n"/>
      <c r="Q85" s="52" t="n"/>
      <c r="R85" s="44" t="n"/>
      <c r="S85" s="14" t="n"/>
      <c r="U85" s="53" t="n"/>
      <c r="V85" s="53" t="n"/>
      <c r="W85" s="53" t="n"/>
      <c r="X85" s="53" t="n"/>
      <c r="Y85" s="53" t="n"/>
      <c r="Z85" s="53" t="n"/>
      <c r="AA85" s="53" t="n"/>
      <c r="AB85" s="53" t="n"/>
      <c r="AC85" s="53" t="n"/>
      <c r="AD85" s="53" t="n"/>
      <c r="AE85" s="53" t="n"/>
      <c r="AF85" s="53" t="n"/>
      <c r="AG85" s="53" t="n"/>
      <c r="AH85" s="53" t="n"/>
      <c r="AI85" s="53" t="n"/>
      <c r="AJ85" s="53" t="n"/>
      <c r="AK85" s="53" t="n"/>
      <c r="AL85" s="53" t="n"/>
      <c r="AM85" s="53" t="n"/>
      <c r="AN85" s="53" t="n"/>
      <c r="AO85" s="53" t="n"/>
      <c r="AP85" s="53" t="n"/>
      <c r="AQ85" s="53" t="n"/>
      <c r="AR85" s="53" t="n"/>
      <c r="AS85" s="53" t="n"/>
      <c r="AT85" s="53" t="n"/>
      <c r="AU85" s="53" t="n"/>
      <c r="AV85" s="53" t="n"/>
      <c r="AW85" s="53" t="n"/>
      <c r="AX85" s="53" t="n"/>
      <c r="AY85" s="53" t="n"/>
    </row>
    <row r="86" ht="15" customHeight="1">
      <c r="A86" s="54" t="n"/>
      <c r="B86" s="55">
        <f>IF($B$85="","",$B$85)</f>
        <v/>
      </c>
      <c r="C86" s="56" t="inlineStr">
        <is>
          <t>마케팅2팀</t>
        </is>
      </c>
      <c r="D86" s="55">
        <f>IF($D$85="","",$D$85)</f>
        <v/>
      </c>
      <c r="E86" s="57" t="inlineStr">
        <is>
          <t>이미지</t>
        </is>
      </c>
      <c r="F86" s="44" t="n"/>
      <c r="G86" s="58">
        <f>IF($G$85="","",$G$85)</f>
        <v/>
      </c>
      <c r="H86" s="59" t="n"/>
      <c r="I86" s="59" t="n"/>
      <c r="J86" s="59" t="n"/>
      <c r="K86" s="59" t="n"/>
      <c r="L86" s="60">
        <f>IF(SUM(U86:AY86)=0,"",SUM(U86:AY86))</f>
        <v/>
      </c>
      <c r="M86" s="61">
        <f>IFERROR(INDEX(U$2:AY$2,MATCH(TRUE,INDEX(U86:AY86&lt;&gt;"",0),0)),"")</f>
        <v/>
      </c>
      <c r="N86" s="61">
        <f>IFERROR(LOOKUP(2,1/(U86:AY86&lt;&gt;""),U$2:AY$2),"")</f>
        <v/>
      </c>
      <c r="O86" s="59" t="n"/>
      <c r="P86" s="59" t="n"/>
      <c r="Q86" s="59" t="n"/>
      <c r="R86" s="59" t="n"/>
      <c r="S86" s="14" t="n"/>
      <c r="U86" s="53" t="n"/>
      <c r="V86" s="53" t="n"/>
      <c r="W86" s="53" t="n"/>
      <c r="X86" s="53" t="n"/>
      <c r="Y86" s="53" t="n"/>
      <c r="Z86" s="53" t="n"/>
      <c r="AA86" s="53" t="n"/>
      <c r="AB86" s="53" t="n"/>
      <c r="AC86" s="53" t="n"/>
      <c r="AD86" s="53" t="n"/>
      <c r="AE86" s="53" t="n"/>
      <c r="AF86" s="53" t="n"/>
      <c r="AG86" s="53" t="n"/>
      <c r="AH86" s="53" t="n"/>
      <c r="AI86" s="53" t="n"/>
      <c r="AJ86" s="53" t="n"/>
      <c r="AK86" s="53" t="n"/>
      <c r="AL86" s="53" t="n"/>
      <c r="AM86" s="53" t="n"/>
      <c r="AN86" s="53" t="n"/>
      <c r="AO86" s="53" t="n"/>
      <c r="AP86" s="53" t="n"/>
      <c r="AQ86" s="53" t="n"/>
      <c r="AR86" s="53" t="n"/>
      <c r="AS86" s="53" t="n"/>
      <c r="AT86" s="53" t="n"/>
      <c r="AU86" s="53" t="n"/>
      <c r="AV86" s="53" t="n"/>
      <c r="AW86" s="53" t="n"/>
      <c r="AX86" s="53" t="n"/>
      <c r="AY86" s="53" t="n"/>
    </row>
    <row r="87" ht="15" customHeight="1">
      <c r="A87" s="62" t="n"/>
      <c r="B87" s="55">
        <f>IF($B$85="","",$B$85)</f>
        <v/>
      </c>
      <c r="C87" s="63" t="inlineStr">
        <is>
          <t>마케팅2팀</t>
        </is>
      </c>
      <c r="D87" s="55">
        <f>IF($D$85="","",$D$85)</f>
        <v/>
      </c>
      <c r="E87" s="64" t="inlineStr">
        <is>
          <t>영상</t>
        </is>
      </c>
      <c r="F87" s="44" t="n"/>
      <c r="G87" s="58">
        <f>IF($G$85="","",$G$85)</f>
        <v/>
      </c>
      <c r="H87" s="59" t="n"/>
      <c r="I87" s="59" t="n"/>
      <c r="J87" s="59" t="n"/>
      <c r="K87" s="59" t="n"/>
      <c r="L87" s="65">
        <f>IF(SUM(U87:AY87)=0,"",SUM(U87:AY87))</f>
        <v/>
      </c>
      <c r="M87" s="66">
        <f>IFERROR(INDEX(U$2:AY$2,MATCH(TRUE,INDEX(U87:AY87&lt;&gt;"",0),0)),"")</f>
        <v/>
      </c>
      <c r="N87" s="66">
        <f>IFERROR(LOOKUP(2,1/(U87:AY87&lt;&gt;""),U$2:AY$2),"")</f>
        <v/>
      </c>
      <c r="O87" s="59" t="n"/>
      <c r="P87" s="59" t="n"/>
      <c r="Q87" s="59" t="n"/>
      <c r="R87" s="59" t="n"/>
      <c r="S87" s="14" t="n"/>
      <c r="U87" s="53" t="n"/>
      <c r="V87" s="53" t="n"/>
      <c r="W87" s="53" t="n"/>
      <c r="X87" s="53" t="n"/>
      <c r="Y87" s="53" t="n"/>
      <c r="Z87" s="53" t="n"/>
      <c r="AA87" s="53" t="n"/>
      <c r="AB87" s="53" t="n"/>
      <c r="AC87" s="53" t="n"/>
      <c r="AD87" s="53" t="n"/>
      <c r="AE87" s="53" t="n"/>
      <c r="AF87" s="53" t="n"/>
      <c r="AG87" s="53" t="n"/>
      <c r="AH87" s="53" t="n"/>
      <c r="AI87" s="53" t="n"/>
      <c r="AJ87" s="53" t="n"/>
      <c r="AK87" s="53" t="n"/>
      <c r="AL87" s="53" t="n"/>
      <c r="AM87" s="53" t="n"/>
      <c r="AN87" s="53" t="n"/>
      <c r="AO87" s="53" t="n"/>
      <c r="AP87" s="53" t="n"/>
      <c r="AQ87" s="53" t="n"/>
      <c r="AR87" s="53" t="n"/>
      <c r="AS87" s="53" t="n"/>
      <c r="AT87" s="53" t="n"/>
      <c r="AU87" s="53" t="n"/>
      <c r="AV87" s="53" t="n"/>
      <c r="AW87" s="53" t="n"/>
      <c r="AX87" s="53" t="n"/>
      <c r="AY87" s="53" t="n"/>
    </row>
    <row r="88" ht="15" customHeight="1">
      <c r="A88" s="40">
        <f>IF($D$88="","",27)</f>
        <v/>
      </c>
      <c r="B88" s="10" t="n"/>
      <c r="C88" s="41" t="inlineStr">
        <is>
          <t>마케팅2팀</t>
        </is>
      </c>
      <c r="D88" s="42" t="n"/>
      <c r="E88" s="43" t="inlineStr">
        <is>
          <t>기획</t>
        </is>
      </c>
      <c r="F88" s="44" t="n"/>
      <c r="G88" s="45" t="n"/>
      <c r="H88" s="46">
        <f>IF($I$88="","",IF($I$88&lt;0,"🔴지연",IF($I$88&lt;=1,"🟡임박","🟢여유")))</f>
        <v/>
      </c>
      <c r="I88" s="47">
        <f>IF(OR($G$88="",$K$88=""),"",$G$88-$K$88)</f>
        <v/>
      </c>
      <c r="J88" s="48">
        <f>IF(SUM($L$88:$L$90)=0,"",SUM($L$88:$L$90))</f>
        <v/>
      </c>
      <c r="K88" s="49">
        <f>IF($J$88="","",MAX($N$88:$N$90))</f>
        <v/>
      </c>
      <c r="L88" s="50">
        <f>IF(SUM(U88:AY88)=0,"",SUM(U88:AY88))</f>
        <v/>
      </c>
      <c r="M88" s="51">
        <f>IFERROR(INDEX(U$2:AY$2,MATCH(TRUE,INDEX(U88:AY88&lt;&gt;"",0),0)),"")</f>
        <v/>
      </c>
      <c r="N88" s="51">
        <f>IFERROR(LOOKUP(2,1/(U88:AY88&lt;&gt;""),U$2:AY$2),"")</f>
        <v/>
      </c>
      <c r="O88" s="52" t="n"/>
      <c r="P88" s="52" t="n"/>
      <c r="Q88" s="52" t="n"/>
      <c r="R88" s="44" t="n"/>
      <c r="S88" s="14" t="n"/>
      <c r="U88" s="53" t="n"/>
      <c r="V88" s="53" t="n"/>
      <c r="W88" s="53" t="n"/>
      <c r="X88" s="53" t="n"/>
      <c r="Y88" s="53" t="n"/>
      <c r="Z88" s="53" t="n"/>
      <c r="AA88" s="53" t="n"/>
      <c r="AB88" s="53" t="n"/>
      <c r="AC88" s="53" t="n"/>
      <c r="AD88" s="53" t="n"/>
      <c r="AE88" s="53" t="n"/>
      <c r="AF88" s="53" t="n"/>
      <c r="AG88" s="53" t="n"/>
      <c r="AH88" s="53" t="n"/>
      <c r="AI88" s="53" t="n"/>
      <c r="AJ88" s="53" t="n"/>
      <c r="AK88" s="53" t="n"/>
      <c r="AL88" s="53" t="n"/>
      <c r="AM88" s="53" t="n"/>
      <c r="AN88" s="53" t="n"/>
      <c r="AO88" s="53" t="n"/>
      <c r="AP88" s="53" t="n"/>
      <c r="AQ88" s="53" t="n"/>
      <c r="AR88" s="53" t="n"/>
      <c r="AS88" s="53" t="n"/>
      <c r="AT88" s="53" t="n"/>
      <c r="AU88" s="53" t="n"/>
      <c r="AV88" s="53" t="n"/>
      <c r="AW88" s="53" t="n"/>
      <c r="AX88" s="53" t="n"/>
      <c r="AY88" s="53" t="n"/>
    </row>
    <row r="89" ht="15" customHeight="1">
      <c r="A89" s="54" t="n"/>
      <c r="B89" s="55">
        <f>IF($B$88="","",$B$88)</f>
        <v/>
      </c>
      <c r="C89" s="56" t="inlineStr">
        <is>
          <t>마케팅2팀</t>
        </is>
      </c>
      <c r="D89" s="55">
        <f>IF($D$88="","",$D$88)</f>
        <v/>
      </c>
      <c r="E89" s="57" t="inlineStr">
        <is>
          <t>이미지</t>
        </is>
      </c>
      <c r="F89" s="44" t="n"/>
      <c r="G89" s="58">
        <f>IF($G$88="","",$G$88)</f>
        <v/>
      </c>
      <c r="H89" s="59" t="n"/>
      <c r="I89" s="59" t="n"/>
      <c r="J89" s="59" t="n"/>
      <c r="K89" s="59" t="n"/>
      <c r="L89" s="60">
        <f>IF(SUM(U89:AY89)=0,"",SUM(U89:AY89))</f>
        <v/>
      </c>
      <c r="M89" s="61">
        <f>IFERROR(INDEX(U$2:AY$2,MATCH(TRUE,INDEX(U89:AY89&lt;&gt;"",0),0)),"")</f>
        <v/>
      </c>
      <c r="N89" s="61">
        <f>IFERROR(LOOKUP(2,1/(U89:AY89&lt;&gt;""),U$2:AY$2),"")</f>
        <v/>
      </c>
      <c r="O89" s="59" t="n"/>
      <c r="P89" s="59" t="n"/>
      <c r="Q89" s="59" t="n"/>
      <c r="R89" s="59" t="n"/>
      <c r="S89" s="14" t="n"/>
      <c r="U89" s="53" t="n"/>
      <c r="V89" s="53" t="n"/>
      <c r="W89" s="53" t="n"/>
      <c r="X89" s="53" t="n"/>
      <c r="Y89" s="53" t="n"/>
      <c r="Z89" s="53" t="n"/>
      <c r="AA89" s="53" t="n"/>
      <c r="AB89" s="53" t="n"/>
      <c r="AC89" s="53" t="n"/>
      <c r="AD89" s="53" t="n"/>
      <c r="AE89" s="53" t="n"/>
      <c r="AF89" s="53" t="n"/>
      <c r="AG89" s="53" t="n"/>
      <c r="AH89" s="53" t="n"/>
      <c r="AI89" s="53" t="n"/>
      <c r="AJ89" s="53" t="n"/>
      <c r="AK89" s="53" t="n"/>
      <c r="AL89" s="53" t="n"/>
      <c r="AM89" s="53" t="n"/>
      <c r="AN89" s="53" t="n"/>
      <c r="AO89" s="53" t="n"/>
      <c r="AP89" s="53" t="n"/>
      <c r="AQ89" s="53" t="n"/>
      <c r="AR89" s="53" t="n"/>
      <c r="AS89" s="53" t="n"/>
      <c r="AT89" s="53" t="n"/>
      <c r="AU89" s="53" t="n"/>
      <c r="AV89" s="53" t="n"/>
      <c r="AW89" s="53" t="n"/>
      <c r="AX89" s="53" t="n"/>
      <c r="AY89" s="53" t="n"/>
    </row>
    <row r="90" ht="15" customHeight="1">
      <c r="A90" s="62" t="n"/>
      <c r="B90" s="55">
        <f>IF($B$88="","",$B$88)</f>
        <v/>
      </c>
      <c r="C90" s="63" t="inlineStr">
        <is>
          <t>마케팅2팀</t>
        </is>
      </c>
      <c r="D90" s="55">
        <f>IF($D$88="","",$D$88)</f>
        <v/>
      </c>
      <c r="E90" s="64" t="inlineStr">
        <is>
          <t>영상</t>
        </is>
      </c>
      <c r="F90" s="44" t="n"/>
      <c r="G90" s="58">
        <f>IF($G$88="","",$G$88)</f>
        <v/>
      </c>
      <c r="H90" s="59" t="n"/>
      <c r="I90" s="59" t="n"/>
      <c r="J90" s="59" t="n"/>
      <c r="K90" s="59" t="n"/>
      <c r="L90" s="65">
        <f>IF(SUM(U90:AY90)=0,"",SUM(U90:AY90))</f>
        <v/>
      </c>
      <c r="M90" s="66">
        <f>IFERROR(INDEX(U$2:AY$2,MATCH(TRUE,INDEX(U90:AY90&lt;&gt;"",0),0)),"")</f>
        <v/>
      </c>
      <c r="N90" s="66">
        <f>IFERROR(LOOKUP(2,1/(U90:AY90&lt;&gt;""),U$2:AY$2),"")</f>
        <v/>
      </c>
      <c r="O90" s="59" t="n"/>
      <c r="P90" s="59" t="n"/>
      <c r="Q90" s="59" t="n"/>
      <c r="R90" s="59" t="n"/>
      <c r="S90" s="14" t="n"/>
      <c r="U90" s="53" t="n"/>
      <c r="V90" s="53" t="n"/>
      <c r="W90" s="53" t="n"/>
      <c r="X90" s="53" t="n"/>
      <c r="Y90" s="53" t="n"/>
      <c r="Z90" s="53" t="n"/>
      <c r="AA90" s="53" t="n"/>
      <c r="AB90" s="53" t="n"/>
      <c r="AC90" s="53" t="n"/>
      <c r="AD90" s="53" t="n"/>
      <c r="AE90" s="53" t="n"/>
      <c r="AF90" s="53" t="n"/>
      <c r="AG90" s="53" t="n"/>
      <c r="AH90" s="53" t="n"/>
      <c r="AI90" s="53" t="n"/>
      <c r="AJ90" s="53" t="n"/>
      <c r="AK90" s="53" t="n"/>
      <c r="AL90" s="53" t="n"/>
      <c r="AM90" s="53" t="n"/>
      <c r="AN90" s="53" t="n"/>
      <c r="AO90" s="53" t="n"/>
      <c r="AP90" s="53" t="n"/>
      <c r="AQ90" s="53" t="n"/>
      <c r="AR90" s="53" t="n"/>
      <c r="AS90" s="53" t="n"/>
      <c r="AT90" s="53" t="n"/>
      <c r="AU90" s="53" t="n"/>
      <c r="AV90" s="53" t="n"/>
      <c r="AW90" s="53" t="n"/>
      <c r="AX90" s="53" t="n"/>
      <c r="AY90" s="53" t="n"/>
    </row>
    <row r="91" ht="15" customHeight="1">
      <c r="A91" s="40">
        <f>IF($D$91="","",28)</f>
        <v/>
      </c>
      <c r="B91" s="10" t="n"/>
      <c r="C91" s="41" t="inlineStr">
        <is>
          <t>마케팅2팀</t>
        </is>
      </c>
      <c r="D91" s="42" t="n"/>
      <c r="E91" s="43" t="inlineStr">
        <is>
          <t>기획</t>
        </is>
      </c>
      <c r="F91" s="44" t="n"/>
      <c r="G91" s="45" t="n"/>
      <c r="H91" s="46">
        <f>IF($I$91="","",IF($I$91&lt;0,"🔴지연",IF($I$91&lt;=1,"🟡임박","🟢여유")))</f>
        <v/>
      </c>
      <c r="I91" s="47">
        <f>IF(OR($G$91="",$K$91=""),"",$G$91-$K$91)</f>
        <v/>
      </c>
      <c r="J91" s="48">
        <f>IF(SUM($L$91:$L$93)=0,"",SUM($L$91:$L$93))</f>
        <v/>
      </c>
      <c r="K91" s="49">
        <f>IF($J$91="","",MAX($N$91:$N$93))</f>
        <v/>
      </c>
      <c r="L91" s="50">
        <f>IF(SUM(U91:AY91)=0,"",SUM(U91:AY91))</f>
        <v/>
      </c>
      <c r="M91" s="51">
        <f>IFERROR(INDEX(U$2:AY$2,MATCH(TRUE,INDEX(U91:AY91&lt;&gt;"",0),0)),"")</f>
        <v/>
      </c>
      <c r="N91" s="51">
        <f>IFERROR(LOOKUP(2,1/(U91:AY91&lt;&gt;""),U$2:AY$2),"")</f>
        <v/>
      </c>
      <c r="O91" s="52" t="n"/>
      <c r="P91" s="52" t="n"/>
      <c r="Q91" s="52" t="n"/>
      <c r="R91" s="44" t="n"/>
      <c r="S91" s="14" t="n"/>
      <c r="U91" s="53" t="n"/>
      <c r="V91" s="53" t="n"/>
      <c r="W91" s="53" t="n"/>
      <c r="X91" s="53" t="n"/>
      <c r="Y91" s="53" t="n"/>
      <c r="Z91" s="53" t="n"/>
      <c r="AA91" s="53" t="n"/>
      <c r="AB91" s="53" t="n"/>
      <c r="AC91" s="53" t="n"/>
      <c r="AD91" s="53" t="n"/>
      <c r="AE91" s="53" t="n"/>
      <c r="AF91" s="53" t="n"/>
      <c r="AG91" s="53" t="n"/>
      <c r="AH91" s="53" t="n"/>
      <c r="AI91" s="53" t="n"/>
      <c r="AJ91" s="53" t="n"/>
      <c r="AK91" s="53" t="n"/>
      <c r="AL91" s="53" t="n"/>
      <c r="AM91" s="53" t="n"/>
      <c r="AN91" s="53" t="n"/>
      <c r="AO91" s="53" t="n"/>
      <c r="AP91" s="53" t="n"/>
      <c r="AQ91" s="53" t="n"/>
      <c r="AR91" s="53" t="n"/>
      <c r="AS91" s="53" t="n"/>
      <c r="AT91" s="53" t="n"/>
      <c r="AU91" s="53" t="n"/>
      <c r="AV91" s="53" t="n"/>
      <c r="AW91" s="53" t="n"/>
      <c r="AX91" s="53" t="n"/>
      <c r="AY91" s="53" t="n"/>
    </row>
    <row r="92" ht="15" customHeight="1">
      <c r="A92" s="54" t="n"/>
      <c r="B92" s="55">
        <f>IF($B$91="","",$B$91)</f>
        <v/>
      </c>
      <c r="C92" s="56" t="inlineStr">
        <is>
          <t>마케팅2팀</t>
        </is>
      </c>
      <c r="D92" s="55">
        <f>IF($D$91="","",$D$91)</f>
        <v/>
      </c>
      <c r="E92" s="57" t="inlineStr">
        <is>
          <t>이미지</t>
        </is>
      </c>
      <c r="F92" s="44" t="n"/>
      <c r="G92" s="58">
        <f>IF($G$91="","",$G$91)</f>
        <v/>
      </c>
      <c r="H92" s="59" t="n"/>
      <c r="I92" s="59" t="n"/>
      <c r="J92" s="59" t="n"/>
      <c r="K92" s="59" t="n"/>
      <c r="L92" s="60">
        <f>IF(SUM(U92:AY92)=0,"",SUM(U92:AY92))</f>
        <v/>
      </c>
      <c r="M92" s="61">
        <f>IFERROR(INDEX(U$2:AY$2,MATCH(TRUE,INDEX(U92:AY92&lt;&gt;"",0),0)),"")</f>
        <v/>
      </c>
      <c r="N92" s="61">
        <f>IFERROR(LOOKUP(2,1/(U92:AY92&lt;&gt;""),U$2:AY$2),"")</f>
        <v/>
      </c>
      <c r="O92" s="59" t="n"/>
      <c r="P92" s="59" t="n"/>
      <c r="Q92" s="59" t="n"/>
      <c r="R92" s="59" t="n"/>
      <c r="S92" s="14" t="n"/>
      <c r="U92" s="53" t="n"/>
      <c r="V92" s="53" t="n"/>
      <c r="W92" s="53" t="n"/>
      <c r="X92" s="53" t="n"/>
      <c r="Y92" s="53" t="n"/>
      <c r="Z92" s="53" t="n"/>
      <c r="AA92" s="53" t="n"/>
      <c r="AB92" s="53" t="n"/>
      <c r="AC92" s="53" t="n"/>
      <c r="AD92" s="53" t="n"/>
      <c r="AE92" s="53" t="n"/>
      <c r="AF92" s="53" t="n"/>
      <c r="AG92" s="53" t="n"/>
      <c r="AH92" s="53" t="n"/>
      <c r="AI92" s="53" t="n"/>
      <c r="AJ92" s="53" t="n"/>
      <c r="AK92" s="53" t="n"/>
      <c r="AL92" s="53" t="n"/>
      <c r="AM92" s="53" t="n"/>
      <c r="AN92" s="53" t="n"/>
      <c r="AO92" s="53" t="n"/>
      <c r="AP92" s="53" t="n"/>
      <c r="AQ92" s="53" t="n"/>
      <c r="AR92" s="53" t="n"/>
      <c r="AS92" s="53" t="n"/>
      <c r="AT92" s="53" t="n"/>
      <c r="AU92" s="53" t="n"/>
      <c r="AV92" s="53" t="n"/>
      <c r="AW92" s="53" t="n"/>
      <c r="AX92" s="53" t="n"/>
      <c r="AY92" s="53" t="n"/>
    </row>
    <row r="93" ht="15" customHeight="1">
      <c r="A93" s="62" t="n"/>
      <c r="B93" s="55">
        <f>IF($B$91="","",$B$91)</f>
        <v/>
      </c>
      <c r="C93" s="63" t="inlineStr">
        <is>
          <t>마케팅2팀</t>
        </is>
      </c>
      <c r="D93" s="55">
        <f>IF($D$91="","",$D$91)</f>
        <v/>
      </c>
      <c r="E93" s="64" t="inlineStr">
        <is>
          <t>영상</t>
        </is>
      </c>
      <c r="F93" s="44" t="n"/>
      <c r="G93" s="58">
        <f>IF($G$91="","",$G$91)</f>
        <v/>
      </c>
      <c r="H93" s="59" t="n"/>
      <c r="I93" s="59" t="n"/>
      <c r="J93" s="59" t="n"/>
      <c r="K93" s="59" t="n"/>
      <c r="L93" s="65">
        <f>IF(SUM(U93:AY93)=0,"",SUM(U93:AY93))</f>
        <v/>
      </c>
      <c r="M93" s="66">
        <f>IFERROR(INDEX(U$2:AY$2,MATCH(TRUE,INDEX(U93:AY93&lt;&gt;"",0),0)),"")</f>
        <v/>
      </c>
      <c r="N93" s="66">
        <f>IFERROR(LOOKUP(2,1/(U93:AY93&lt;&gt;""),U$2:AY$2),"")</f>
        <v/>
      </c>
      <c r="O93" s="59" t="n"/>
      <c r="P93" s="59" t="n"/>
      <c r="Q93" s="59" t="n"/>
      <c r="R93" s="59" t="n"/>
      <c r="S93" s="14" t="n"/>
      <c r="U93" s="53" t="n"/>
      <c r="V93" s="53" t="n"/>
      <c r="W93" s="53" t="n"/>
      <c r="X93" s="53" t="n"/>
      <c r="Y93" s="53" t="n"/>
      <c r="Z93" s="53" t="n"/>
      <c r="AA93" s="53" t="n"/>
      <c r="AB93" s="53" t="n"/>
      <c r="AC93" s="53" t="n"/>
      <c r="AD93" s="53" t="n"/>
      <c r="AE93" s="53" t="n"/>
      <c r="AF93" s="53" t="n"/>
      <c r="AG93" s="53" t="n"/>
      <c r="AH93" s="53" t="n"/>
      <c r="AI93" s="53" t="n"/>
      <c r="AJ93" s="53" t="n"/>
      <c r="AK93" s="53" t="n"/>
      <c r="AL93" s="53" t="n"/>
      <c r="AM93" s="53" t="n"/>
      <c r="AN93" s="53" t="n"/>
      <c r="AO93" s="53" t="n"/>
      <c r="AP93" s="53" t="n"/>
      <c r="AQ93" s="53" t="n"/>
      <c r="AR93" s="53" t="n"/>
      <c r="AS93" s="53" t="n"/>
      <c r="AT93" s="53" t="n"/>
      <c r="AU93" s="53" t="n"/>
      <c r="AV93" s="53" t="n"/>
      <c r="AW93" s="53" t="n"/>
      <c r="AX93" s="53" t="n"/>
      <c r="AY93" s="53" t="n"/>
    </row>
    <row r="94" ht="15" customHeight="1">
      <c r="A94" s="40">
        <f>IF($D$94="","",29)</f>
        <v/>
      </c>
      <c r="B94" s="10" t="n"/>
      <c r="C94" s="41" t="inlineStr">
        <is>
          <t>마케팅2팀</t>
        </is>
      </c>
      <c r="D94" s="42" t="n"/>
      <c r="E94" s="43" t="inlineStr">
        <is>
          <t>기획</t>
        </is>
      </c>
      <c r="F94" s="44" t="n"/>
      <c r="G94" s="45" t="n"/>
      <c r="H94" s="46">
        <f>IF($I$94="","",IF($I$94&lt;0,"🔴지연",IF($I$94&lt;=1,"🟡임박","🟢여유")))</f>
        <v/>
      </c>
      <c r="I94" s="47">
        <f>IF(OR($G$94="",$K$94=""),"",$G$94-$K$94)</f>
        <v/>
      </c>
      <c r="J94" s="48">
        <f>IF(SUM($L$94:$L$96)=0,"",SUM($L$94:$L$96))</f>
        <v/>
      </c>
      <c r="K94" s="49">
        <f>IF($J$94="","",MAX($N$94:$N$96))</f>
        <v/>
      </c>
      <c r="L94" s="50">
        <f>IF(SUM(U94:AY94)=0,"",SUM(U94:AY94))</f>
        <v/>
      </c>
      <c r="M94" s="51">
        <f>IFERROR(INDEX(U$2:AY$2,MATCH(TRUE,INDEX(U94:AY94&lt;&gt;"",0),0)),"")</f>
        <v/>
      </c>
      <c r="N94" s="51">
        <f>IFERROR(LOOKUP(2,1/(U94:AY94&lt;&gt;""),U$2:AY$2),"")</f>
        <v/>
      </c>
      <c r="O94" s="52" t="n"/>
      <c r="P94" s="52" t="n"/>
      <c r="Q94" s="52" t="n"/>
      <c r="R94" s="44" t="n"/>
      <c r="S94" s="14" t="n"/>
      <c r="U94" s="53" t="n"/>
      <c r="V94" s="53" t="n"/>
      <c r="W94" s="53" t="n"/>
      <c r="X94" s="53" t="n"/>
      <c r="Y94" s="53" t="n"/>
      <c r="Z94" s="53" t="n"/>
      <c r="AA94" s="53" t="n"/>
      <c r="AB94" s="53" t="n"/>
      <c r="AC94" s="53" t="n"/>
      <c r="AD94" s="53" t="n"/>
      <c r="AE94" s="53" t="n"/>
      <c r="AF94" s="53" t="n"/>
      <c r="AG94" s="53" t="n"/>
      <c r="AH94" s="53" t="n"/>
      <c r="AI94" s="53" t="n"/>
      <c r="AJ94" s="53" t="n"/>
      <c r="AK94" s="53" t="n"/>
      <c r="AL94" s="53" t="n"/>
      <c r="AM94" s="53" t="n"/>
      <c r="AN94" s="53" t="n"/>
      <c r="AO94" s="53" t="n"/>
      <c r="AP94" s="53" t="n"/>
      <c r="AQ94" s="53" t="n"/>
      <c r="AR94" s="53" t="n"/>
      <c r="AS94" s="53" t="n"/>
      <c r="AT94" s="53" t="n"/>
      <c r="AU94" s="53" t="n"/>
      <c r="AV94" s="53" t="n"/>
      <c r="AW94" s="53" t="n"/>
      <c r="AX94" s="53" t="n"/>
      <c r="AY94" s="53" t="n"/>
    </row>
    <row r="95" ht="15" customHeight="1">
      <c r="A95" s="54" t="n"/>
      <c r="B95" s="55">
        <f>IF($B$94="","",$B$94)</f>
        <v/>
      </c>
      <c r="C95" s="56" t="inlineStr">
        <is>
          <t>마케팅2팀</t>
        </is>
      </c>
      <c r="D95" s="55">
        <f>IF($D$94="","",$D$94)</f>
        <v/>
      </c>
      <c r="E95" s="57" t="inlineStr">
        <is>
          <t>이미지</t>
        </is>
      </c>
      <c r="F95" s="44" t="n"/>
      <c r="G95" s="58">
        <f>IF($G$94="","",$G$94)</f>
        <v/>
      </c>
      <c r="H95" s="59" t="n"/>
      <c r="I95" s="59" t="n"/>
      <c r="J95" s="59" t="n"/>
      <c r="K95" s="59" t="n"/>
      <c r="L95" s="60">
        <f>IF(SUM(U95:AY95)=0,"",SUM(U95:AY95))</f>
        <v/>
      </c>
      <c r="M95" s="61">
        <f>IFERROR(INDEX(U$2:AY$2,MATCH(TRUE,INDEX(U95:AY95&lt;&gt;"",0),0)),"")</f>
        <v/>
      </c>
      <c r="N95" s="61">
        <f>IFERROR(LOOKUP(2,1/(U95:AY95&lt;&gt;""),U$2:AY$2),"")</f>
        <v/>
      </c>
      <c r="O95" s="59" t="n"/>
      <c r="P95" s="59" t="n"/>
      <c r="Q95" s="59" t="n"/>
      <c r="R95" s="59" t="n"/>
      <c r="S95" s="14" t="n"/>
      <c r="U95" s="53" t="n"/>
      <c r="V95" s="53" t="n"/>
      <c r="W95" s="53" t="n"/>
      <c r="X95" s="53" t="n"/>
      <c r="Y95" s="53" t="n"/>
      <c r="Z95" s="53" t="n"/>
      <c r="AA95" s="53" t="n"/>
      <c r="AB95" s="53" t="n"/>
      <c r="AC95" s="53" t="n"/>
      <c r="AD95" s="53" t="n"/>
      <c r="AE95" s="53" t="n"/>
      <c r="AF95" s="53" t="n"/>
      <c r="AG95" s="53" t="n"/>
      <c r="AH95" s="53" t="n"/>
      <c r="AI95" s="53" t="n"/>
      <c r="AJ95" s="53" t="n"/>
      <c r="AK95" s="53" t="n"/>
      <c r="AL95" s="53" t="n"/>
      <c r="AM95" s="53" t="n"/>
      <c r="AN95" s="53" t="n"/>
      <c r="AO95" s="53" t="n"/>
      <c r="AP95" s="53" t="n"/>
      <c r="AQ95" s="53" t="n"/>
      <c r="AR95" s="53" t="n"/>
      <c r="AS95" s="53" t="n"/>
      <c r="AT95" s="53" t="n"/>
      <c r="AU95" s="53" t="n"/>
      <c r="AV95" s="53" t="n"/>
      <c r="AW95" s="53" t="n"/>
      <c r="AX95" s="53" t="n"/>
      <c r="AY95" s="53" t="n"/>
    </row>
    <row r="96" ht="15" customHeight="1">
      <c r="A96" s="62" t="n"/>
      <c r="B96" s="55">
        <f>IF($B$94="","",$B$94)</f>
        <v/>
      </c>
      <c r="C96" s="63" t="inlineStr">
        <is>
          <t>마케팅2팀</t>
        </is>
      </c>
      <c r="D96" s="55">
        <f>IF($D$94="","",$D$94)</f>
        <v/>
      </c>
      <c r="E96" s="64" t="inlineStr">
        <is>
          <t>영상</t>
        </is>
      </c>
      <c r="F96" s="44" t="n"/>
      <c r="G96" s="58">
        <f>IF($G$94="","",$G$94)</f>
        <v/>
      </c>
      <c r="H96" s="59" t="n"/>
      <c r="I96" s="59" t="n"/>
      <c r="J96" s="59" t="n"/>
      <c r="K96" s="59" t="n"/>
      <c r="L96" s="65">
        <f>IF(SUM(U96:AY96)=0,"",SUM(U96:AY96))</f>
        <v/>
      </c>
      <c r="M96" s="66">
        <f>IFERROR(INDEX(U$2:AY$2,MATCH(TRUE,INDEX(U96:AY96&lt;&gt;"",0),0)),"")</f>
        <v/>
      </c>
      <c r="N96" s="66">
        <f>IFERROR(LOOKUP(2,1/(U96:AY96&lt;&gt;""),U$2:AY$2),"")</f>
        <v/>
      </c>
      <c r="O96" s="59" t="n"/>
      <c r="P96" s="59" t="n"/>
      <c r="Q96" s="59" t="n"/>
      <c r="R96" s="59" t="n"/>
      <c r="S96" s="14" t="n"/>
      <c r="U96" s="53" t="n"/>
      <c r="V96" s="53" t="n"/>
      <c r="W96" s="53" t="n"/>
      <c r="X96" s="53" t="n"/>
      <c r="Y96" s="53" t="n"/>
      <c r="Z96" s="53" t="n"/>
      <c r="AA96" s="53" t="n"/>
      <c r="AB96" s="53" t="n"/>
      <c r="AC96" s="53" t="n"/>
      <c r="AD96" s="53" t="n"/>
      <c r="AE96" s="53" t="n"/>
      <c r="AF96" s="53" t="n"/>
      <c r="AG96" s="53" t="n"/>
      <c r="AH96" s="53" t="n"/>
      <c r="AI96" s="53" t="n"/>
      <c r="AJ96" s="53" t="n"/>
      <c r="AK96" s="53" t="n"/>
      <c r="AL96" s="53" t="n"/>
      <c r="AM96" s="53" t="n"/>
      <c r="AN96" s="53" t="n"/>
      <c r="AO96" s="53" t="n"/>
      <c r="AP96" s="53" t="n"/>
      <c r="AQ96" s="53" t="n"/>
      <c r="AR96" s="53" t="n"/>
      <c r="AS96" s="53" t="n"/>
      <c r="AT96" s="53" t="n"/>
      <c r="AU96" s="53" t="n"/>
      <c r="AV96" s="53" t="n"/>
      <c r="AW96" s="53" t="n"/>
      <c r="AX96" s="53" t="n"/>
      <c r="AY96" s="53" t="n"/>
    </row>
    <row r="97" ht="15" customHeight="1">
      <c r="A97" s="40">
        <f>IF($D$97="","",30)</f>
        <v/>
      </c>
      <c r="B97" s="10" t="n"/>
      <c r="C97" s="41" t="inlineStr">
        <is>
          <t>마케팅2팀</t>
        </is>
      </c>
      <c r="D97" s="42" t="n"/>
      <c r="E97" s="43" t="inlineStr">
        <is>
          <t>기획</t>
        </is>
      </c>
      <c r="F97" s="44" t="n"/>
      <c r="G97" s="45" t="n"/>
      <c r="H97" s="46">
        <f>IF($I$97="","",IF($I$97&lt;0,"🔴지연",IF($I$97&lt;=1,"🟡임박","🟢여유")))</f>
        <v/>
      </c>
      <c r="I97" s="47">
        <f>IF(OR($G$97="",$K$97=""),"",$G$97-$K$97)</f>
        <v/>
      </c>
      <c r="J97" s="48">
        <f>IF(SUM($L$97:$L$99)=0,"",SUM($L$97:$L$99))</f>
        <v/>
      </c>
      <c r="K97" s="49">
        <f>IF($J$97="","",MAX($N$97:$N$99))</f>
        <v/>
      </c>
      <c r="L97" s="50">
        <f>IF(SUM(U97:AY97)=0,"",SUM(U97:AY97))</f>
        <v/>
      </c>
      <c r="M97" s="51">
        <f>IFERROR(INDEX(U$2:AY$2,MATCH(TRUE,INDEX(U97:AY97&lt;&gt;"",0),0)),"")</f>
        <v/>
      </c>
      <c r="N97" s="51">
        <f>IFERROR(LOOKUP(2,1/(U97:AY97&lt;&gt;""),U$2:AY$2),"")</f>
        <v/>
      </c>
      <c r="O97" s="52" t="n"/>
      <c r="P97" s="52" t="n"/>
      <c r="Q97" s="52" t="n"/>
      <c r="R97" s="44" t="n"/>
      <c r="S97" s="14" t="n"/>
      <c r="U97" s="53" t="n"/>
      <c r="V97" s="53" t="n"/>
      <c r="W97" s="53" t="n"/>
      <c r="X97" s="53" t="n"/>
      <c r="Y97" s="53" t="n"/>
      <c r="Z97" s="53" t="n"/>
      <c r="AA97" s="53" t="n"/>
      <c r="AB97" s="53" t="n"/>
      <c r="AC97" s="53" t="n"/>
      <c r="AD97" s="53" t="n"/>
      <c r="AE97" s="53" t="n"/>
      <c r="AF97" s="53" t="n"/>
      <c r="AG97" s="53" t="n"/>
      <c r="AH97" s="53" t="n"/>
      <c r="AI97" s="53" t="n"/>
      <c r="AJ97" s="53" t="n"/>
      <c r="AK97" s="53" t="n"/>
      <c r="AL97" s="53" t="n"/>
      <c r="AM97" s="53" t="n"/>
      <c r="AN97" s="53" t="n"/>
      <c r="AO97" s="53" t="n"/>
      <c r="AP97" s="53" t="n"/>
      <c r="AQ97" s="53" t="n"/>
      <c r="AR97" s="53" t="n"/>
      <c r="AS97" s="53" t="n"/>
      <c r="AT97" s="53" t="n"/>
      <c r="AU97" s="53" t="n"/>
      <c r="AV97" s="53" t="n"/>
      <c r="AW97" s="53" t="n"/>
      <c r="AX97" s="53" t="n"/>
      <c r="AY97" s="53" t="n"/>
    </row>
    <row r="98" ht="15" customHeight="1">
      <c r="A98" s="54" t="n"/>
      <c r="B98" s="55">
        <f>IF($B$97="","",$B$97)</f>
        <v/>
      </c>
      <c r="C98" s="56" t="inlineStr">
        <is>
          <t>마케팅2팀</t>
        </is>
      </c>
      <c r="D98" s="55">
        <f>IF($D$97="","",$D$97)</f>
        <v/>
      </c>
      <c r="E98" s="57" t="inlineStr">
        <is>
          <t>이미지</t>
        </is>
      </c>
      <c r="F98" s="44" t="n"/>
      <c r="G98" s="58">
        <f>IF($G$97="","",$G$97)</f>
        <v/>
      </c>
      <c r="H98" s="59" t="n"/>
      <c r="I98" s="59" t="n"/>
      <c r="J98" s="59" t="n"/>
      <c r="K98" s="59" t="n"/>
      <c r="L98" s="60">
        <f>IF(SUM(U98:AY98)=0,"",SUM(U98:AY98))</f>
        <v/>
      </c>
      <c r="M98" s="61">
        <f>IFERROR(INDEX(U$2:AY$2,MATCH(TRUE,INDEX(U98:AY98&lt;&gt;"",0),0)),"")</f>
        <v/>
      </c>
      <c r="N98" s="61">
        <f>IFERROR(LOOKUP(2,1/(U98:AY98&lt;&gt;""),U$2:AY$2),"")</f>
        <v/>
      </c>
      <c r="O98" s="59" t="n"/>
      <c r="P98" s="59" t="n"/>
      <c r="Q98" s="59" t="n"/>
      <c r="R98" s="59" t="n"/>
      <c r="S98" s="14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3" t="n"/>
      <c r="AN98" s="53" t="n"/>
      <c r="AO98" s="53" t="n"/>
      <c r="AP98" s="53" t="n"/>
      <c r="AQ98" s="53" t="n"/>
      <c r="AR98" s="53" t="n"/>
      <c r="AS98" s="53" t="n"/>
      <c r="AT98" s="53" t="n"/>
      <c r="AU98" s="53" t="n"/>
      <c r="AV98" s="53" t="n"/>
      <c r="AW98" s="53" t="n"/>
      <c r="AX98" s="53" t="n"/>
      <c r="AY98" s="53" t="n"/>
    </row>
    <row r="99" ht="15" customHeight="1">
      <c r="A99" s="62" t="n"/>
      <c r="B99" s="55">
        <f>IF($B$97="","",$B$97)</f>
        <v/>
      </c>
      <c r="C99" s="63" t="inlineStr">
        <is>
          <t>마케팅2팀</t>
        </is>
      </c>
      <c r="D99" s="55">
        <f>IF($D$97="","",$D$97)</f>
        <v/>
      </c>
      <c r="E99" s="64" t="inlineStr">
        <is>
          <t>영상</t>
        </is>
      </c>
      <c r="F99" s="44" t="n"/>
      <c r="G99" s="58">
        <f>IF($G$97="","",$G$97)</f>
        <v/>
      </c>
      <c r="H99" s="59" t="n"/>
      <c r="I99" s="59" t="n"/>
      <c r="J99" s="59" t="n"/>
      <c r="K99" s="59" t="n"/>
      <c r="L99" s="65">
        <f>IF(SUM(U99:AY99)=0,"",SUM(U99:AY99))</f>
        <v/>
      </c>
      <c r="M99" s="66">
        <f>IFERROR(INDEX(U$2:AY$2,MATCH(TRUE,INDEX(U99:AY99&lt;&gt;"",0),0)),"")</f>
        <v/>
      </c>
      <c r="N99" s="66">
        <f>IFERROR(LOOKUP(2,1/(U99:AY99&lt;&gt;""),U$2:AY$2),"")</f>
        <v/>
      </c>
      <c r="O99" s="59" t="n"/>
      <c r="P99" s="59" t="n"/>
      <c r="Q99" s="59" t="n"/>
      <c r="R99" s="59" t="n"/>
      <c r="S99" s="14" t="n"/>
      <c r="U99" s="53" t="n"/>
      <c r="V99" s="53" t="n"/>
      <c r="W99" s="53" t="n"/>
      <c r="X99" s="53" t="n"/>
      <c r="Y99" s="53" t="n"/>
      <c r="Z99" s="53" t="n"/>
      <c r="AA99" s="53" t="n"/>
      <c r="AB99" s="53" t="n"/>
      <c r="AC99" s="53" t="n"/>
      <c r="AD99" s="53" t="n"/>
      <c r="AE99" s="53" t="n"/>
      <c r="AF99" s="53" t="n"/>
      <c r="AG99" s="53" t="n"/>
      <c r="AH99" s="53" t="n"/>
      <c r="AI99" s="53" t="n"/>
      <c r="AJ99" s="53" t="n"/>
      <c r="AK99" s="53" t="n"/>
      <c r="AL99" s="53" t="n"/>
      <c r="AM99" s="53" t="n"/>
      <c r="AN99" s="53" t="n"/>
      <c r="AO99" s="53" t="n"/>
      <c r="AP99" s="53" t="n"/>
      <c r="AQ99" s="53" t="n"/>
      <c r="AR99" s="53" t="n"/>
      <c r="AS99" s="53" t="n"/>
      <c r="AT99" s="53" t="n"/>
      <c r="AU99" s="53" t="n"/>
      <c r="AV99" s="53" t="n"/>
      <c r="AW99" s="53" t="n"/>
      <c r="AX99" s="53" t="n"/>
      <c r="AY99" s="53" t="n"/>
    </row>
    <row r="100" ht="15" customHeight="1">
      <c r="A100" s="40">
        <f>IF($D$100="","",31)</f>
        <v/>
      </c>
      <c r="B100" s="10" t="n"/>
      <c r="C100" s="41" t="inlineStr">
        <is>
          <t>마케팅2팀</t>
        </is>
      </c>
      <c r="D100" s="42" t="n"/>
      <c r="E100" s="43" t="inlineStr">
        <is>
          <t>기획</t>
        </is>
      </c>
      <c r="F100" s="44" t="n"/>
      <c r="G100" s="45" t="n"/>
      <c r="H100" s="46">
        <f>IF($I$100="","",IF($I$100&lt;0,"🔴지연",IF($I$100&lt;=1,"🟡임박","🟢여유")))</f>
        <v/>
      </c>
      <c r="I100" s="47">
        <f>IF(OR($G$100="",$K$100=""),"",$G$100-$K$100)</f>
        <v/>
      </c>
      <c r="J100" s="48">
        <f>IF(SUM($L$100:$L$102)=0,"",SUM($L$100:$L$102))</f>
        <v/>
      </c>
      <c r="K100" s="49">
        <f>IF($J$100="","",MAX($N$100:$N$102))</f>
        <v/>
      </c>
      <c r="L100" s="50">
        <f>IF(SUM(U100:AY100)=0,"",SUM(U100:AY100))</f>
        <v/>
      </c>
      <c r="M100" s="51">
        <f>IFERROR(INDEX(U$2:AY$2,MATCH(TRUE,INDEX(U100:AY100&lt;&gt;"",0),0)),"")</f>
        <v/>
      </c>
      <c r="N100" s="51">
        <f>IFERROR(LOOKUP(2,1/(U100:AY100&lt;&gt;""),U$2:AY$2),"")</f>
        <v/>
      </c>
      <c r="O100" s="52" t="n"/>
      <c r="P100" s="52" t="n"/>
      <c r="Q100" s="52" t="n"/>
      <c r="R100" s="44" t="n"/>
      <c r="S100" s="14" t="n"/>
      <c r="U100" s="53" t="n"/>
      <c r="V100" s="53" t="n"/>
      <c r="W100" s="53" t="n"/>
      <c r="X100" s="53" t="n"/>
      <c r="Y100" s="53" t="n"/>
      <c r="Z100" s="53" t="n"/>
      <c r="AA100" s="53" t="n"/>
      <c r="AB100" s="53" t="n"/>
      <c r="AC100" s="53" t="n"/>
      <c r="AD100" s="53" t="n"/>
      <c r="AE100" s="53" t="n"/>
      <c r="AF100" s="53" t="n"/>
      <c r="AG100" s="53" t="n"/>
      <c r="AH100" s="53" t="n"/>
      <c r="AI100" s="53" t="n"/>
      <c r="AJ100" s="53" t="n"/>
      <c r="AK100" s="53" t="n"/>
      <c r="AL100" s="53" t="n"/>
      <c r="AM100" s="53" t="n"/>
      <c r="AN100" s="53" t="n"/>
      <c r="AO100" s="53" t="n"/>
      <c r="AP100" s="53" t="n"/>
      <c r="AQ100" s="53" t="n"/>
      <c r="AR100" s="53" t="n"/>
      <c r="AS100" s="53" t="n"/>
      <c r="AT100" s="53" t="n"/>
      <c r="AU100" s="53" t="n"/>
      <c r="AV100" s="53" t="n"/>
      <c r="AW100" s="53" t="n"/>
      <c r="AX100" s="53" t="n"/>
      <c r="AY100" s="53" t="n"/>
    </row>
    <row r="101" ht="15" customHeight="1">
      <c r="A101" s="54" t="n"/>
      <c r="B101" s="55">
        <f>IF($B$100="","",$B$100)</f>
        <v/>
      </c>
      <c r="C101" s="56" t="inlineStr">
        <is>
          <t>마케팅2팀</t>
        </is>
      </c>
      <c r="D101" s="55">
        <f>IF($D$100="","",$D$100)</f>
        <v/>
      </c>
      <c r="E101" s="57" t="inlineStr">
        <is>
          <t>이미지</t>
        </is>
      </c>
      <c r="F101" s="44" t="n"/>
      <c r="G101" s="58">
        <f>IF($G$100="","",$G$100)</f>
        <v/>
      </c>
      <c r="H101" s="59" t="n"/>
      <c r="I101" s="59" t="n"/>
      <c r="J101" s="59" t="n"/>
      <c r="K101" s="59" t="n"/>
      <c r="L101" s="60">
        <f>IF(SUM(U101:AY101)=0,"",SUM(U101:AY101))</f>
        <v/>
      </c>
      <c r="M101" s="61">
        <f>IFERROR(INDEX(U$2:AY$2,MATCH(TRUE,INDEX(U101:AY101&lt;&gt;"",0),0)),"")</f>
        <v/>
      </c>
      <c r="N101" s="61">
        <f>IFERROR(LOOKUP(2,1/(U101:AY101&lt;&gt;""),U$2:AY$2),"")</f>
        <v/>
      </c>
      <c r="O101" s="59" t="n"/>
      <c r="P101" s="59" t="n"/>
      <c r="Q101" s="59" t="n"/>
      <c r="R101" s="59" t="n"/>
      <c r="S101" s="14" t="n"/>
      <c r="U101" s="53" t="n"/>
      <c r="V101" s="53" t="n"/>
      <c r="W101" s="53" t="n"/>
      <c r="X101" s="53" t="n"/>
      <c r="Y101" s="53" t="n"/>
      <c r="Z101" s="53" t="n"/>
      <c r="AA101" s="53" t="n"/>
      <c r="AB101" s="53" t="n"/>
      <c r="AC101" s="53" t="n"/>
      <c r="AD101" s="53" t="n"/>
      <c r="AE101" s="53" t="n"/>
      <c r="AF101" s="53" t="n"/>
      <c r="AG101" s="53" t="n"/>
      <c r="AH101" s="53" t="n"/>
      <c r="AI101" s="53" t="n"/>
      <c r="AJ101" s="53" t="n"/>
      <c r="AK101" s="53" t="n"/>
      <c r="AL101" s="53" t="n"/>
      <c r="AM101" s="53" t="n"/>
      <c r="AN101" s="53" t="n"/>
      <c r="AO101" s="53" t="n"/>
      <c r="AP101" s="53" t="n"/>
      <c r="AQ101" s="53" t="n"/>
      <c r="AR101" s="53" t="n"/>
      <c r="AS101" s="53" t="n"/>
      <c r="AT101" s="53" t="n"/>
      <c r="AU101" s="53" t="n"/>
      <c r="AV101" s="53" t="n"/>
      <c r="AW101" s="53" t="n"/>
      <c r="AX101" s="53" t="n"/>
      <c r="AY101" s="53" t="n"/>
    </row>
    <row r="102" ht="15" customHeight="1">
      <c r="A102" s="62" t="n"/>
      <c r="B102" s="55">
        <f>IF($B$100="","",$B$100)</f>
        <v/>
      </c>
      <c r="C102" s="63" t="inlineStr">
        <is>
          <t>마케팅2팀</t>
        </is>
      </c>
      <c r="D102" s="55">
        <f>IF($D$100="","",$D$100)</f>
        <v/>
      </c>
      <c r="E102" s="64" t="inlineStr">
        <is>
          <t>영상</t>
        </is>
      </c>
      <c r="F102" s="44" t="n"/>
      <c r="G102" s="58">
        <f>IF($G$100="","",$G$100)</f>
        <v/>
      </c>
      <c r="H102" s="59" t="n"/>
      <c r="I102" s="59" t="n"/>
      <c r="J102" s="59" t="n"/>
      <c r="K102" s="59" t="n"/>
      <c r="L102" s="65">
        <f>IF(SUM(U102:AY102)=0,"",SUM(U102:AY102))</f>
        <v/>
      </c>
      <c r="M102" s="66">
        <f>IFERROR(INDEX(U$2:AY$2,MATCH(TRUE,INDEX(U102:AY102&lt;&gt;"",0),0)),"")</f>
        <v/>
      </c>
      <c r="N102" s="66">
        <f>IFERROR(LOOKUP(2,1/(U102:AY102&lt;&gt;""),U$2:AY$2),"")</f>
        <v/>
      </c>
      <c r="O102" s="59" t="n"/>
      <c r="P102" s="59" t="n"/>
      <c r="Q102" s="59" t="n"/>
      <c r="R102" s="59" t="n"/>
      <c r="S102" s="14" t="n"/>
      <c r="U102" s="53" t="n"/>
      <c r="V102" s="53" t="n"/>
      <c r="W102" s="53" t="n"/>
      <c r="X102" s="53" t="n"/>
      <c r="Y102" s="53" t="n"/>
      <c r="Z102" s="53" t="n"/>
      <c r="AA102" s="53" t="n"/>
      <c r="AB102" s="53" t="n"/>
      <c r="AC102" s="53" t="n"/>
      <c r="AD102" s="53" t="n"/>
      <c r="AE102" s="53" t="n"/>
      <c r="AF102" s="53" t="n"/>
      <c r="AG102" s="53" t="n"/>
      <c r="AH102" s="53" t="n"/>
      <c r="AI102" s="53" t="n"/>
      <c r="AJ102" s="53" t="n"/>
      <c r="AK102" s="53" t="n"/>
      <c r="AL102" s="53" t="n"/>
      <c r="AM102" s="53" t="n"/>
      <c r="AN102" s="53" t="n"/>
      <c r="AO102" s="53" t="n"/>
      <c r="AP102" s="53" t="n"/>
      <c r="AQ102" s="53" t="n"/>
      <c r="AR102" s="53" t="n"/>
      <c r="AS102" s="53" t="n"/>
      <c r="AT102" s="53" t="n"/>
      <c r="AU102" s="53" t="n"/>
      <c r="AV102" s="53" t="n"/>
      <c r="AW102" s="53" t="n"/>
      <c r="AX102" s="53" t="n"/>
      <c r="AY102" s="53" t="n"/>
    </row>
    <row r="103" ht="15" customHeight="1">
      <c r="A103" s="40">
        <f>IF($D$103="","",32)</f>
        <v/>
      </c>
      <c r="B103" s="10" t="n"/>
      <c r="C103" s="41" t="inlineStr">
        <is>
          <t>마케팅2팀</t>
        </is>
      </c>
      <c r="D103" s="42" t="n"/>
      <c r="E103" s="43" t="inlineStr">
        <is>
          <t>기획</t>
        </is>
      </c>
      <c r="F103" s="44" t="n"/>
      <c r="G103" s="45" t="n"/>
      <c r="H103" s="46">
        <f>IF($I$103="","",IF($I$103&lt;0,"🔴지연",IF($I$103&lt;=1,"🟡임박","🟢여유")))</f>
        <v/>
      </c>
      <c r="I103" s="47">
        <f>IF(OR($G$103="",$K$103=""),"",$G$103-$K$103)</f>
        <v/>
      </c>
      <c r="J103" s="48">
        <f>IF(SUM($L$103:$L$105)=0,"",SUM($L$103:$L$105))</f>
        <v/>
      </c>
      <c r="K103" s="49">
        <f>IF($J$103="","",MAX($N$103:$N$105))</f>
        <v/>
      </c>
      <c r="L103" s="50">
        <f>IF(SUM(U103:AY103)=0,"",SUM(U103:AY103))</f>
        <v/>
      </c>
      <c r="M103" s="51">
        <f>IFERROR(INDEX(U$2:AY$2,MATCH(TRUE,INDEX(U103:AY103&lt;&gt;"",0),0)),"")</f>
        <v/>
      </c>
      <c r="N103" s="51">
        <f>IFERROR(LOOKUP(2,1/(U103:AY103&lt;&gt;""),U$2:AY$2),"")</f>
        <v/>
      </c>
      <c r="O103" s="52" t="n"/>
      <c r="P103" s="52" t="n"/>
      <c r="Q103" s="52" t="n"/>
      <c r="R103" s="44" t="n"/>
      <c r="S103" s="14" t="n"/>
      <c r="U103" s="53" t="n"/>
      <c r="V103" s="53" t="n"/>
      <c r="W103" s="53" t="n"/>
      <c r="X103" s="53" t="n"/>
      <c r="Y103" s="53" t="n"/>
      <c r="Z103" s="53" t="n"/>
      <c r="AA103" s="53" t="n"/>
      <c r="AB103" s="53" t="n"/>
      <c r="AC103" s="53" t="n"/>
      <c r="AD103" s="53" t="n"/>
      <c r="AE103" s="53" t="n"/>
      <c r="AF103" s="53" t="n"/>
      <c r="AG103" s="53" t="n"/>
      <c r="AH103" s="53" t="n"/>
      <c r="AI103" s="53" t="n"/>
      <c r="AJ103" s="53" t="n"/>
      <c r="AK103" s="53" t="n"/>
      <c r="AL103" s="53" t="n"/>
      <c r="AM103" s="53" t="n"/>
      <c r="AN103" s="53" t="n"/>
      <c r="AO103" s="53" t="n"/>
      <c r="AP103" s="53" t="n"/>
      <c r="AQ103" s="53" t="n"/>
      <c r="AR103" s="53" t="n"/>
      <c r="AS103" s="53" t="n"/>
      <c r="AT103" s="53" t="n"/>
      <c r="AU103" s="53" t="n"/>
      <c r="AV103" s="53" t="n"/>
      <c r="AW103" s="53" t="n"/>
      <c r="AX103" s="53" t="n"/>
      <c r="AY103" s="53" t="n"/>
    </row>
    <row r="104" ht="15" customHeight="1">
      <c r="A104" s="54" t="n"/>
      <c r="B104" s="55">
        <f>IF($B$103="","",$B$103)</f>
        <v/>
      </c>
      <c r="C104" s="56" t="inlineStr">
        <is>
          <t>마케팅2팀</t>
        </is>
      </c>
      <c r="D104" s="55">
        <f>IF($D$103="","",$D$103)</f>
        <v/>
      </c>
      <c r="E104" s="57" t="inlineStr">
        <is>
          <t>이미지</t>
        </is>
      </c>
      <c r="F104" s="44" t="n"/>
      <c r="G104" s="58">
        <f>IF($G$103="","",$G$103)</f>
        <v/>
      </c>
      <c r="H104" s="59" t="n"/>
      <c r="I104" s="59" t="n"/>
      <c r="J104" s="59" t="n"/>
      <c r="K104" s="59" t="n"/>
      <c r="L104" s="60">
        <f>IF(SUM(U104:AY104)=0,"",SUM(U104:AY104))</f>
        <v/>
      </c>
      <c r="M104" s="61">
        <f>IFERROR(INDEX(U$2:AY$2,MATCH(TRUE,INDEX(U104:AY104&lt;&gt;"",0),0)),"")</f>
        <v/>
      </c>
      <c r="N104" s="61">
        <f>IFERROR(LOOKUP(2,1/(U104:AY104&lt;&gt;""),U$2:AY$2),"")</f>
        <v/>
      </c>
      <c r="O104" s="59" t="n"/>
      <c r="P104" s="59" t="n"/>
      <c r="Q104" s="59" t="n"/>
      <c r="R104" s="59" t="n"/>
      <c r="S104" s="14" t="n"/>
      <c r="U104" s="53" t="n"/>
      <c r="V104" s="53" t="n"/>
      <c r="W104" s="53" t="n"/>
      <c r="X104" s="53" t="n"/>
      <c r="Y104" s="53" t="n"/>
      <c r="Z104" s="53" t="n"/>
      <c r="AA104" s="53" t="n"/>
      <c r="AB104" s="53" t="n"/>
      <c r="AC104" s="53" t="n"/>
      <c r="AD104" s="53" t="n"/>
      <c r="AE104" s="53" t="n"/>
      <c r="AF104" s="53" t="n"/>
      <c r="AG104" s="53" t="n"/>
      <c r="AH104" s="53" t="n"/>
      <c r="AI104" s="53" t="n"/>
      <c r="AJ104" s="53" t="n"/>
      <c r="AK104" s="53" t="n"/>
      <c r="AL104" s="53" t="n"/>
      <c r="AM104" s="53" t="n"/>
      <c r="AN104" s="53" t="n"/>
      <c r="AO104" s="53" t="n"/>
      <c r="AP104" s="53" t="n"/>
      <c r="AQ104" s="53" t="n"/>
      <c r="AR104" s="53" t="n"/>
      <c r="AS104" s="53" t="n"/>
      <c r="AT104" s="53" t="n"/>
      <c r="AU104" s="53" t="n"/>
      <c r="AV104" s="53" t="n"/>
      <c r="AW104" s="53" t="n"/>
      <c r="AX104" s="53" t="n"/>
      <c r="AY104" s="53" t="n"/>
    </row>
    <row r="105" ht="15" customHeight="1">
      <c r="A105" s="62" t="n"/>
      <c r="B105" s="55">
        <f>IF($B$103="","",$B$103)</f>
        <v/>
      </c>
      <c r="C105" s="63" t="inlineStr">
        <is>
          <t>마케팅2팀</t>
        </is>
      </c>
      <c r="D105" s="55">
        <f>IF($D$103="","",$D$103)</f>
        <v/>
      </c>
      <c r="E105" s="64" t="inlineStr">
        <is>
          <t>영상</t>
        </is>
      </c>
      <c r="F105" s="44" t="n"/>
      <c r="G105" s="58">
        <f>IF($G$103="","",$G$103)</f>
        <v/>
      </c>
      <c r="H105" s="59" t="n"/>
      <c r="I105" s="59" t="n"/>
      <c r="J105" s="59" t="n"/>
      <c r="K105" s="59" t="n"/>
      <c r="L105" s="65">
        <f>IF(SUM(U105:AY105)=0,"",SUM(U105:AY105))</f>
        <v/>
      </c>
      <c r="M105" s="66">
        <f>IFERROR(INDEX(U$2:AY$2,MATCH(TRUE,INDEX(U105:AY105&lt;&gt;"",0),0)),"")</f>
        <v/>
      </c>
      <c r="N105" s="66">
        <f>IFERROR(LOOKUP(2,1/(U105:AY105&lt;&gt;""),U$2:AY$2),"")</f>
        <v/>
      </c>
      <c r="O105" s="59" t="n"/>
      <c r="P105" s="59" t="n"/>
      <c r="Q105" s="59" t="n"/>
      <c r="R105" s="59" t="n"/>
      <c r="S105" s="14" t="n"/>
      <c r="U105" s="53" t="n"/>
      <c r="V105" s="53" t="n"/>
      <c r="W105" s="53" t="n"/>
      <c r="X105" s="53" t="n"/>
      <c r="Y105" s="53" t="n"/>
      <c r="Z105" s="53" t="n"/>
      <c r="AA105" s="53" t="n"/>
      <c r="AB105" s="53" t="n"/>
      <c r="AC105" s="53" t="n"/>
      <c r="AD105" s="53" t="n"/>
      <c r="AE105" s="53" t="n"/>
      <c r="AF105" s="53" t="n"/>
      <c r="AG105" s="53" t="n"/>
      <c r="AH105" s="53" t="n"/>
      <c r="AI105" s="53" t="n"/>
      <c r="AJ105" s="53" t="n"/>
      <c r="AK105" s="53" t="n"/>
      <c r="AL105" s="53" t="n"/>
      <c r="AM105" s="53" t="n"/>
      <c r="AN105" s="53" t="n"/>
      <c r="AO105" s="53" t="n"/>
      <c r="AP105" s="53" t="n"/>
      <c r="AQ105" s="53" t="n"/>
      <c r="AR105" s="53" t="n"/>
      <c r="AS105" s="53" t="n"/>
      <c r="AT105" s="53" t="n"/>
      <c r="AU105" s="53" t="n"/>
      <c r="AV105" s="53" t="n"/>
      <c r="AW105" s="53" t="n"/>
      <c r="AX105" s="53" t="n"/>
      <c r="AY105" s="53" t="n"/>
    </row>
    <row r="106" ht="15" customHeight="1">
      <c r="A106" s="40">
        <f>IF($D$106="","",33)</f>
        <v/>
      </c>
      <c r="B106" s="10" t="n"/>
      <c r="C106" s="41" t="inlineStr">
        <is>
          <t>마케팅2팀</t>
        </is>
      </c>
      <c r="D106" s="42" t="n"/>
      <c r="E106" s="43" t="inlineStr">
        <is>
          <t>기획</t>
        </is>
      </c>
      <c r="F106" s="44" t="n"/>
      <c r="G106" s="45" t="n"/>
      <c r="H106" s="46">
        <f>IF($I$106="","",IF($I$106&lt;0,"🔴지연",IF($I$106&lt;=1,"🟡임박","🟢여유")))</f>
        <v/>
      </c>
      <c r="I106" s="47">
        <f>IF(OR($G$106="",$K$106=""),"",$G$106-$K$106)</f>
        <v/>
      </c>
      <c r="J106" s="48">
        <f>IF(SUM($L$106:$L$108)=0,"",SUM($L$106:$L$108))</f>
        <v/>
      </c>
      <c r="K106" s="49">
        <f>IF($J$106="","",MAX($N$106:$N$108))</f>
        <v/>
      </c>
      <c r="L106" s="50">
        <f>IF(SUM(U106:AY106)=0,"",SUM(U106:AY106))</f>
        <v/>
      </c>
      <c r="M106" s="51">
        <f>IFERROR(INDEX(U$2:AY$2,MATCH(TRUE,INDEX(U106:AY106&lt;&gt;"",0),0)),"")</f>
        <v/>
      </c>
      <c r="N106" s="51">
        <f>IFERROR(LOOKUP(2,1/(U106:AY106&lt;&gt;""),U$2:AY$2),"")</f>
        <v/>
      </c>
      <c r="O106" s="52" t="n"/>
      <c r="P106" s="52" t="n"/>
      <c r="Q106" s="52" t="n"/>
      <c r="R106" s="44" t="n"/>
      <c r="S106" s="14" t="n"/>
      <c r="U106" s="53" t="n"/>
      <c r="V106" s="53" t="n"/>
      <c r="W106" s="53" t="n"/>
      <c r="X106" s="53" t="n"/>
      <c r="Y106" s="53" t="n"/>
      <c r="Z106" s="53" t="n"/>
      <c r="AA106" s="53" t="n"/>
      <c r="AB106" s="53" t="n"/>
      <c r="AC106" s="53" t="n"/>
      <c r="AD106" s="53" t="n"/>
      <c r="AE106" s="53" t="n"/>
      <c r="AF106" s="53" t="n"/>
      <c r="AG106" s="53" t="n"/>
      <c r="AH106" s="53" t="n"/>
      <c r="AI106" s="53" t="n"/>
      <c r="AJ106" s="53" t="n"/>
      <c r="AK106" s="53" t="n"/>
      <c r="AL106" s="53" t="n"/>
      <c r="AM106" s="53" t="n"/>
      <c r="AN106" s="53" t="n"/>
      <c r="AO106" s="53" t="n"/>
      <c r="AP106" s="53" t="n"/>
      <c r="AQ106" s="53" t="n"/>
      <c r="AR106" s="53" t="n"/>
      <c r="AS106" s="53" t="n"/>
      <c r="AT106" s="53" t="n"/>
      <c r="AU106" s="53" t="n"/>
      <c r="AV106" s="53" t="n"/>
      <c r="AW106" s="53" t="n"/>
      <c r="AX106" s="53" t="n"/>
      <c r="AY106" s="53" t="n"/>
    </row>
    <row r="107" ht="15" customHeight="1">
      <c r="A107" s="54" t="n"/>
      <c r="B107" s="55">
        <f>IF($B$106="","",$B$106)</f>
        <v/>
      </c>
      <c r="C107" s="56" t="inlineStr">
        <is>
          <t>마케팅2팀</t>
        </is>
      </c>
      <c r="D107" s="55">
        <f>IF($D$106="","",$D$106)</f>
        <v/>
      </c>
      <c r="E107" s="57" t="inlineStr">
        <is>
          <t>이미지</t>
        </is>
      </c>
      <c r="F107" s="44" t="n"/>
      <c r="G107" s="58">
        <f>IF($G$106="","",$G$106)</f>
        <v/>
      </c>
      <c r="H107" s="59" t="n"/>
      <c r="I107" s="59" t="n"/>
      <c r="J107" s="59" t="n"/>
      <c r="K107" s="59" t="n"/>
      <c r="L107" s="60">
        <f>IF(SUM(U107:AY107)=0,"",SUM(U107:AY107))</f>
        <v/>
      </c>
      <c r="M107" s="61">
        <f>IFERROR(INDEX(U$2:AY$2,MATCH(TRUE,INDEX(U107:AY107&lt;&gt;"",0),0)),"")</f>
        <v/>
      </c>
      <c r="N107" s="61">
        <f>IFERROR(LOOKUP(2,1/(U107:AY107&lt;&gt;""),U$2:AY$2),"")</f>
        <v/>
      </c>
      <c r="O107" s="59" t="n"/>
      <c r="P107" s="59" t="n"/>
      <c r="Q107" s="59" t="n"/>
      <c r="R107" s="59" t="n"/>
      <c r="S107" s="14" t="n"/>
      <c r="U107" s="53" t="n"/>
      <c r="V107" s="53" t="n"/>
      <c r="W107" s="53" t="n"/>
      <c r="X107" s="53" t="n"/>
      <c r="Y107" s="53" t="n"/>
      <c r="Z107" s="53" t="n"/>
      <c r="AA107" s="53" t="n"/>
      <c r="AB107" s="53" t="n"/>
      <c r="AC107" s="53" t="n"/>
      <c r="AD107" s="53" t="n"/>
      <c r="AE107" s="53" t="n"/>
      <c r="AF107" s="53" t="n"/>
      <c r="AG107" s="53" t="n"/>
      <c r="AH107" s="53" t="n"/>
      <c r="AI107" s="53" t="n"/>
      <c r="AJ107" s="53" t="n"/>
      <c r="AK107" s="53" t="n"/>
      <c r="AL107" s="53" t="n"/>
      <c r="AM107" s="53" t="n"/>
      <c r="AN107" s="53" t="n"/>
      <c r="AO107" s="53" t="n"/>
      <c r="AP107" s="53" t="n"/>
      <c r="AQ107" s="53" t="n"/>
      <c r="AR107" s="53" t="n"/>
      <c r="AS107" s="53" t="n"/>
      <c r="AT107" s="53" t="n"/>
      <c r="AU107" s="53" t="n"/>
      <c r="AV107" s="53" t="n"/>
      <c r="AW107" s="53" t="n"/>
      <c r="AX107" s="53" t="n"/>
      <c r="AY107" s="53" t="n"/>
    </row>
    <row r="108" ht="15" customHeight="1">
      <c r="A108" s="62" t="n"/>
      <c r="B108" s="55">
        <f>IF($B$106="","",$B$106)</f>
        <v/>
      </c>
      <c r="C108" s="63" t="inlineStr">
        <is>
          <t>마케팅2팀</t>
        </is>
      </c>
      <c r="D108" s="55">
        <f>IF($D$106="","",$D$106)</f>
        <v/>
      </c>
      <c r="E108" s="64" t="inlineStr">
        <is>
          <t>영상</t>
        </is>
      </c>
      <c r="F108" s="44" t="n"/>
      <c r="G108" s="58">
        <f>IF($G$106="","",$G$106)</f>
        <v/>
      </c>
      <c r="H108" s="59" t="n"/>
      <c r="I108" s="59" t="n"/>
      <c r="J108" s="59" t="n"/>
      <c r="K108" s="59" t="n"/>
      <c r="L108" s="65">
        <f>IF(SUM(U108:AY108)=0,"",SUM(U108:AY108))</f>
        <v/>
      </c>
      <c r="M108" s="66">
        <f>IFERROR(INDEX(U$2:AY$2,MATCH(TRUE,INDEX(U108:AY108&lt;&gt;"",0),0)),"")</f>
        <v/>
      </c>
      <c r="N108" s="66">
        <f>IFERROR(LOOKUP(2,1/(U108:AY108&lt;&gt;""),U$2:AY$2),"")</f>
        <v/>
      </c>
      <c r="O108" s="59" t="n"/>
      <c r="P108" s="59" t="n"/>
      <c r="Q108" s="59" t="n"/>
      <c r="R108" s="59" t="n"/>
      <c r="S108" s="14" t="n"/>
      <c r="U108" s="53" t="n"/>
      <c r="V108" s="53" t="n"/>
      <c r="W108" s="53" t="n"/>
      <c r="X108" s="53" t="n"/>
      <c r="Y108" s="53" t="n"/>
      <c r="Z108" s="53" t="n"/>
      <c r="AA108" s="53" t="n"/>
      <c r="AB108" s="53" t="n"/>
      <c r="AC108" s="53" t="n"/>
      <c r="AD108" s="53" t="n"/>
      <c r="AE108" s="53" t="n"/>
      <c r="AF108" s="53" t="n"/>
      <c r="AG108" s="53" t="n"/>
      <c r="AH108" s="53" t="n"/>
      <c r="AI108" s="53" t="n"/>
      <c r="AJ108" s="53" t="n"/>
      <c r="AK108" s="53" t="n"/>
      <c r="AL108" s="53" t="n"/>
      <c r="AM108" s="53" t="n"/>
      <c r="AN108" s="53" t="n"/>
      <c r="AO108" s="53" t="n"/>
      <c r="AP108" s="53" t="n"/>
      <c r="AQ108" s="53" t="n"/>
      <c r="AR108" s="53" t="n"/>
      <c r="AS108" s="53" t="n"/>
      <c r="AT108" s="53" t="n"/>
      <c r="AU108" s="53" t="n"/>
      <c r="AV108" s="53" t="n"/>
      <c r="AW108" s="53" t="n"/>
      <c r="AX108" s="53" t="n"/>
      <c r="AY108" s="53" t="n"/>
    </row>
    <row r="109" ht="15" customHeight="1">
      <c r="A109" s="40">
        <f>IF($D$109="","",34)</f>
        <v/>
      </c>
      <c r="B109" s="10" t="n"/>
      <c r="C109" s="41" t="inlineStr">
        <is>
          <t>마케팅2팀</t>
        </is>
      </c>
      <c r="D109" s="42" t="n"/>
      <c r="E109" s="43" t="inlineStr">
        <is>
          <t>기획</t>
        </is>
      </c>
      <c r="F109" s="44" t="n"/>
      <c r="G109" s="45" t="n"/>
      <c r="H109" s="46">
        <f>IF($I$109="","",IF($I$109&lt;0,"🔴지연",IF($I$109&lt;=1,"🟡임박","🟢여유")))</f>
        <v/>
      </c>
      <c r="I109" s="47">
        <f>IF(OR($G$109="",$K$109=""),"",$G$109-$K$109)</f>
        <v/>
      </c>
      <c r="J109" s="48">
        <f>IF(SUM($L$109:$L$111)=0,"",SUM($L$109:$L$111))</f>
        <v/>
      </c>
      <c r="K109" s="49">
        <f>IF($J$109="","",MAX($N$109:$N$111))</f>
        <v/>
      </c>
      <c r="L109" s="50">
        <f>IF(SUM(U109:AY109)=0,"",SUM(U109:AY109))</f>
        <v/>
      </c>
      <c r="M109" s="51">
        <f>IFERROR(INDEX(U$2:AY$2,MATCH(TRUE,INDEX(U109:AY109&lt;&gt;"",0),0)),"")</f>
        <v/>
      </c>
      <c r="N109" s="51">
        <f>IFERROR(LOOKUP(2,1/(U109:AY109&lt;&gt;""),U$2:AY$2),"")</f>
        <v/>
      </c>
      <c r="O109" s="52" t="n"/>
      <c r="P109" s="52" t="n"/>
      <c r="Q109" s="52" t="n"/>
      <c r="R109" s="44" t="n"/>
      <c r="S109" s="14" t="n"/>
      <c r="U109" s="53" t="n"/>
      <c r="V109" s="53" t="n"/>
      <c r="W109" s="53" t="n"/>
      <c r="X109" s="53" t="n"/>
      <c r="Y109" s="53" t="n"/>
      <c r="Z109" s="53" t="n"/>
      <c r="AA109" s="53" t="n"/>
      <c r="AB109" s="53" t="n"/>
      <c r="AC109" s="53" t="n"/>
      <c r="AD109" s="53" t="n"/>
      <c r="AE109" s="53" t="n"/>
      <c r="AF109" s="53" t="n"/>
      <c r="AG109" s="53" t="n"/>
      <c r="AH109" s="53" t="n"/>
      <c r="AI109" s="53" t="n"/>
      <c r="AJ109" s="53" t="n"/>
      <c r="AK109" s="53" t="n"/>
      <c r="AL109" s="53" t="n"/>
      <c r="AM109" s="53" t="n"/>
      <c r="AN109" s="53" t="n"/>
      <c r="AO109" s="53" t="n"/>
      <c r="AP109" s="53" t="n"/>
      <c r="AQ109" s="53" t="n"/>
      <c r="AR109" s="53" t="n"/>
      <c r="AS109" s="53" t="n"/>
      <c r="AT109" s="53" t="n"/>
      <c r="AU109" s="53" t="n"/>
      <c r="AV109" s="53" t="n"/>
      <c r="AW109" s="53" t="n"/>
      <c r="AX109" s="53" t="n"/>
      <c r="AY109" s="53" t="n"/>
    </row>
    <row r="110" ht="15" customHeight="1">
      <c r="A110" s="54" t="n"/>
      <c r="B110" s="55">
        <f>IF($B$109="","",$B$109)</f>
        <v/>
      </c>
      <c r="C110" s="56" t="inlineStr">
        <is>
          <t>마케팅2팀</t>
        </is>
      </c>
      <c r="D110" s="55">
        <f>IF($D$109="","",$D$109)</f>
        <v/>
      </c>
      <c r="E110" s="57" t="inlineStr">
        <is>
          <t>이미지</t>
        </is>
      </c>
      <c r="F110" s="44" t="n"/>
      <c r="G110" s="58">
        <f>IF($G$109="","",$G$109)</f>
        <v/>
      </c>
      <c r="H110" s="59" t="n"/>
      <c r="I110" s="59" t="n"/>
      <c r="J110" s="59" t="n"/>
      <c r="K110" s="59" t="n"/>
      <c r="L110" s="60">
        <f>IF(SUM(U110:AY110)=0,"",SUM(U110:AY110))</f>
        <v/>
      </c>
      <c r="M110" s="61">
        <f>IFERROR(INDEX(U$2:AY$2,MATCH(TRUE,INDEX(U110:AY110&lt;&gt;"",0),0)),"")</f>
        <v/>
      </c>
      <c r="N110" s="61">
        <f>IFERROR(LOOKUP(2,1/(U110:AY110&lt;&gt;""),U$2:AY$2),"")</f>
        <v/>
      </c>
      <c r="O110" s="59" t="n"/>
      <c r="P110" s="59" t="n"/>
      <c r="Q110" s="59" t="n"/>
      <c r="R110" s="59" t="n"/>
      <c r="S110" s="14" t="n"/>
      <c r="U110" s="53" t="n"/>
      <c r="V110" s="53" t="n"/>
      <c r="W110" s="53" t="n"/>
      <c r="X110" s="53" t="n"/>
      <c r="Y110" s="53" t="n"/>
      <c r="Z110" s="53" t="n"/>
      <c r="AA110" s="53" t="n"/>
      <c r="AB110" s="53" t="n"/>
      <c r="AC110" s="53" t="n"/>
      <c r="AD110" s="53" t="n"/>
      <c r="AE110" s="53" t="n"/>
      <c r="AF110" s="53" t="n"/>
      <c r="AG110" s="53" t="n"/>
      <c r="AH110" s="53" t="n"/>
      <c r="AI110" s="53" t="n"/>
      <c r="AJ110" s="53" t="n"/>
      <c r="AK110" s="53" t="n"/>
      <c r="AL110" s="53" t="n"/>
      <c r="AM110" s="53" t="n"/>
      <c r="AN110" s="53" t="n"/>
      <c r="AO110" s="53" t="n"/>
      <c r="AP110" s="53" t="n"/>
      <c r="AQ110" s="53" t="n"/>
      <c r="AR110" s="53" t="n"/>
      <c r="AS110" s="53" t="n"/>
      <c r="AT110" s="53" t="n"/>
      <c r="AU110" s="53" t="n"/>
      <c r="AV110" s="53" t="n"/>
      <c r="AW110" s="53" t="n"/>
      <c r="AX110" s="53" t="n"/>
      <c r="AY110" s="53" t="n"/>
    </row>
    <row r="111" ht="15" customHeight="1">
      <c r="A111" s="62" t="n"/>
      <c r="B111" s="55">
        <f>IF($B$109="","",$B$109)</f>
        <v/>
      </c>
      <c r="C111" s="63" t="inlineStr">
        <is>
          <t>마케팅2팀</t>
        </is>
      </c>
      <c r="D111" s="55">
        <f>IF($D$109="","",$D$109)</f>
        <v/>
      </c>
      <c r="E111" s="64" t="inlineStr">
        <is>
          <t>영상</t>
        </is>
      </c>
      <c r="F111" s="44" t="n"/>
      <c r="G111" s="58">
        <f>IF($G$109="","",$G$109)</f>
        <v/>
      </c>
      <c r="H111" s="59" t="n"/>
      <c r="I111" s="59" t="n"/>
      <c r="J111" s="59" t="n"/>
      <c r="K111" s="59" t="n"/>
      <c r="L111" s="65">
        <f>IF(SUM(U111:AY111)=0,"",SUM(U111:AY111))</f>
        <v/>
      </c>
      <c r="M111" s="66">
        <f>IFERROR(INDEX(U$2:AY$2,MATCH(TRUE,INDEX(U111:AY111&lt;&gt;"",0),0)),"")</f>
        <v/>
      </c>
      <c r="N111" s="66">
        <f>IFERROR(LOOKUP(2,1/(U111:AY111&lt;&gt;""),U$2:AY$2),"")</f>
        <v/>
      </c>
      <c r="O111" s="59" t="n"/>
      <c r="P111" s="59" t="n"/>
      <c r="Q111" s="59" t="n"/>
      <c r="R111" s="59" t="n"/>
      <c r="S111" s="14" t="n"/>
      <c r="U111" s="53" t="n"/>
      <c r="V111" s="53" t="n"/>
      <c r="W111" s="53" t="n"/>
      <c r="X111" s="53" t="n"/>
      <c r="Y111" s="53" t="n"/>
      <c r="Z111" s="53" t="n"/>
      <c r="AA111" s="53" t="n"/>
      <c r="AB111" s="53" t="n"/>
      <c r="AC111" s="53" t="n"/>
      <c r="AD111" s="53" t="n"/>
      <c r="AE111" s="53" t="n"/>
      <c r="AF111" s="53" t="n"/>
      <c r="AG111" s="53" t="n"/>
      <c r="AH111" s="53" t="n"/>
      <c r="AI111" s="53" t="n"/>
      <c r="AJ111" s="53" t="n"/>
      <c r="AK111" s="53" t="n"/>
      <c r="AL111" s="53" t="n"/>
      <c r="AM111" s="53" t="n"/>
      <c r="AN111" s="53" t="n"/>
      <c r="AO111" s="53" t="n"/>
      <c r="AP111" s="53" t="n"/>
      <c r="AQ111" s="53" t="n"/>
      <c r="AR111" s="53" t="n"/>
      <c r="AS111" s="53" t="n"/>
      <c r="AT111" s="53" t="n"/>
      <c r="AU111" s="53" t="n"/>
      <c r="AV111" s="53" t="n"/>
      <c r="AW111" s="53" t="n"/>
      <c r="AX111" s="53" t="n"/>
      <c r="AY111" s="53" t="n"/>
    </row>
    <row r="112" ht="15" customHeight="1">
      <c r="A112" s="40">
        <f>IF($D$112="","",35)</f>
        <v/>
      </c>
      <c r="B112" s="10" t="n"/>
      <c r="C112" s="41" t="inlineStr">
        <is>
          <t>마케팅2팀</t>
        </is>
      </c>
      <c r="D112" s="42" t="n"/>
      <c r="E112" s="43" t="inlineStr">
        <is>
          <t>기획</t>
        </is>
      </c>
      <c r="F112" s="44" t="n"/>
      <c r="G112" s="45" t="n"/>
      <c r="H112" s="46">
        <f>IF($I$112="","",IF($I$112&lt;0,"🔴지연",IF($I$112&lt;=1,"🟡임박","🟢여유")))</f>
        <v/>
      </c>
      <c r="I112" s="47">
        <f>IF(OR($G$112="",$K$112=""),"",$G$112-$K$112)</f>
        <v/>
      </c>
      <c r="J112" s="48">
        <f>IF(SUM($L$112:$L$114)=0,"",SUM($L$112:$L$114))</f>
        <v/>
      </c>
      <c r="K112" s="49">
        <f>IF($J$112="","",MAX($N$112:$N$114))</f>
        <v/>
      </c>
      <c r="L112" s="50">
        <f>IF(SUM(U112:AY112)=0,"",SUM(U112:AY112))</f>
        <v/>
      </c>
      <c r="M112" s="51">
        <f>IFERROR(INDEX(U$2:AY$2,MATCH(TRUE,INDEX(U112:AY112&lt;&gt;"",0),0)),"")</f>
        <v/>
      </c>
      <c r="N112" s="51">
        <f>IFERROR(LOOKUP(2,1/(U112:AY112&lt;&gt;""),U$2:AY$2),"")</f>
        <v/>
      </c>
      <c r="O112" s="52" t="n"/>
      <c r="P112" s="52" t="n"/>
      <c r="Q112" s="52" t="n"/>
      <c r="R112" s="44" t="n"/>
      <c r="S112" s="14" t="n"/>
      <c r="U112" s="53" t="n"/>
      <c r="V112" s="53" t="n"/>
      <c r="W112" s="53" t="n"/>
      <c r="X112" s="53" t="n"/>
      <c r="Y112" s="53" t="n"/>
      <c r="Z112" s="53" t="n"/>
      <c r="AA112" s="53" t="n"/>
      <c r="AB112" s="53" t="n"/>
      <c r="AC112" s="53" t="n"/>
      <c r="AD112" s="53" t="n"/>
      <c r="AE112" s="53" t="n"/>
      <c r="AF112" s="53" t="n"/>
      <c r="AG112" s="53" t="n"/>
      <c r="AH112" s="53" t="n"/>
      <c r="AI112" s="53" t="n"/>
      <c r="AJ112" s="53" t="n"/>
      <c r="AK112" s="53" t="n"/>
      <c r="AL112" s="53" t="n"/>
      <c r="AM112" s="53" t="n"/>
      <c r="AN112" s="53" t="n"/>
      <c r="AO112" s="53" t="n"/>
      <c r="AP112" s="53" t="n"/>
      <c r="AQ112" s="53" t="n"/>
      <c r="AR112" s="53" t="n"/>
      <c r="AS112" s="53" t="n"/>
      <c r="AT112" s="53" t="n"/>
      <c r="AU112" s="53" t="n"/>
      <c r="AV112" s="53" t="n"/>
      <c r="AW112" s="53" t="n"/>
      <c r="AX112" s="53" t="n"/>
      <c r="AY112" s="53" t="n"/>
    </row>
    <row r="113" ht="15" customHeight="1">
      <c r="A113" s="54" t="n"/>
      <c r="B113" s="55">
        <f>IF($B$112="","",$B$112)</f>
        <v/>
      </c>
      <c r="C113" s="56" t="inlineStr">
        <is>
          <t>마케팅2팀</t>
        </is>
      </c>
      <c r="D113" s="55">
        <f>IF($D$112="","",$D$112)</f>
        <v/>
      </c>
      <c r="E113" s="57" t="inlineStr">
        <is>
          <t>이미지</t>
        </is>
      </c>
      <c r="F113" s="44" t="n"/>
      <c r="G113" s="58">
        <f>IF($G$112="","",$G$112)</f>
        <v/>
      </c>
      <c r="H113" s="59" t="n"/>
      <c r="I113" s="59" t="n"/>
      <c r="J113" s="59" t="n"/>
      <c r="K113" s="59" t="n"/>
      <c r="L113" s="60">
        <f>IF(SUM(U113:AY113)=0,"",SUM(U113:AY113))</f>
        <v/>
      </c>
      <c r="M113" s="61">
        <f>IFERROR(INDEX(U$2:AY$2,MATCH(TRUE,INDEX(U113:AY113&lt;&gt;"",0),0)),"")</f>
        <v/>
      </c>
      <c r="N113" s="61">
        <f>IFERROR(LOOKUP(2,1/(U113:AY113&lt;&gt;""),U$2:AY$2),"")</f>
        <v/>
      </c>
      <c r="O113" s="59" t="n"/>
      <c r="P113" s="59" t="n"/>
      <c r="Q113" s="59" t="n"/>
      <c r="R113" s="59" t="n"/>
      <c r="S113" s="14" t="n"/>
      <c r="U113" s="53" t="n"/>
      <c r="V113" s="53" t="n"/>
      <c r="W113" s="53" t="n"/>
      <c r="X113" s="53" t="n"/>
      <c r="Y113" s="53" t="n"/>
      <c r="Z113" s="53" t="n"/>
      <c r="AA113" s="53" t="n"/>
      <c r="AB113" s="53" t="n"/>
      <c r="AC113" s="53" t="n"/>
      <c r="AD113" s="53" t="n"/>
      <c r="AE113" s="53" t="n"/>
      <c r="AF113" s="53" t="n"/>
      <c r="AG113" s="53" t="n"/>
      <c r="AH113" s="53" t="n"/>
      <c r="AI113" s="53" t="n"/>
      <c r="AJ113" s="53" t="n"/>
      <c r="AK113" s="53" t="n"/>
      <c r="AL113" s="53" t="n"/>
      <c r="AM113" s="53" t="n"/>
      <c r="AN113" s="53" t="n"/>
      <c r="AO113" s="53" t="n"/>
      <c r="AP113" s="53" t="n"/>
      <c r="AQ113" s="53" t="n"/>
      <c r="AR113" s="53" t="n"/>
      <c r="AS113" s="53" t="n"/>
      <c r="AT113" s="53" t="n"/>
      <c r="AU113" s="53" t="n"/>
      <c r="AV113" s="53" t="n"/>
      <c r="AW113" s="53" t="n"/>
      <c r="AX113" s="53" t="n"/>
      <c r="AY113" s="53" t="n"/>
    </row>
    <row r="114" ht="15" customHeight="1">
      <c r="A114" s="62" t="n"/>
      <c r="B114" s="55">
        <f>IF($B$112="","",$B$112)</f>
        <v/>
      </c>
      <c r="C114" s="63" t="inlineStr">
        <is>
          <t>마케팅2팀</t>
        </is>
      </c>
      <c r="D114" s="55">
        <f>IF($D$112="","",$D$112)</f>
        <v/>
      </c>
      <c r="E114" s="64" t="inlineStr">
        <is>
          <t>영상</t>
        </is>
      </c>
      <c r="F114" s="44" t="n"/>
      <c r="G114" s="58">
        <f>IF($G$112="","",$G$112)</f>
        <v/>
      </c>
      <c r="H114" s="59" t="n"/>
      <c r="I114" s="59" t="n"/>
      <c r="J114" s="59" t="n"/>
      <c r="K114" s="59" t="n"/>
      <c r="L114" s="65">
        <f>IF(SUM(U114:AY114)=0,"",SUM(U114:AY114))</f>
        <v/>
      </c>
      <c r="M114" s="66">
        <f>IFERROR(INDEX(U$2:AY$2,MATCH(TRUE,INDEX(U114:AY114&lt;&gt;"",0),0)),"")</f>
        <v/>
      </c>
      <c r="N114" s="66">
        <f>IFERROR(LOOKUP(2,1/(U114:AY114&lt;&gt;""),U$2:AY$2),"")</f>
        <v/>
      </c>
      <c r="O114" s="59" t="n"/>
      <c r="P114" s="59" t="n"/>
      <c r="Q114" s="59" t="n"/>
      <c r="R114" s="59" t="n"/>
      <c r="S114" s="14" t="n"/>
      <c r="U114" s="53" t="n"/>
      <c r="V114" s="53" t="n"/>
      <c r="W114" s="53" t="n"/>
      <c r="X114" s="53" t="n"/>
      <c r="Y114" s="53" t="n"/>
      <c r="Z114" s="53" t="n"/>
      <c r="AA114" s="53" t="n"/>
      <c r="AB114" s="53" t="n"/>
      <c r="AC114" s="53" t="n"/>
      <c r="AD114" s="53" t="n"/>
      <c r="AE114" s="53" t="n"/>
      <c r="AF114" s="53" t="n"/>
      <c r="AG114" s="53" t="n"/>
      <c r="AH114" s="53" t="n"/>
      <c r="AI114" s="53" t="n"/>
      <c r="AJ114" s="53" t="n"/>
      <c r="AK114" s="53" t="n"/>
      <c r="AL114" s="53" t="n"/>
      <c r="AM114" s="53" t="n"/>
      <c r="AN114" s="53" t="n"/>
      <c r="AO114" s="53" t="n"/>
      <c r="AP114" s="53" t="n"/>
      <c r="AQ114" s="53" t="n"/>
      <c r="AR114" s="53" t="n"/>
      <c r="AS114" s="53" t="n"/>
      <c r="AT114" s="53" t="n"/>
      <c r="AU114" s="53" t="n"/>
      <c r="AV114" s="53" t="n"/>
      <c r="AW114" s="53" t="n"/>
      <c r="AX114" s="53" t="n"/>
      <c r="AY114" s="53" t="n"/>
    </row>
    <row r="115" ht="15" customHeight="1">
      <c r="A115" s="40">
        <f>IF($D$115="","",36)</f>
        <v/>
      </c>
      <c r="B115" s="10" t="n"/>
      <c r="C115" s="41" t="inlineStr">
        <is>
          <t>마케팅2팀</t>
        </is>
      </c>
      <c r="D115" s="42" t="n"/>
      <c r="E115" s="43" t="inlineStr">
        <is>
          <t>기획</t>
        </is>
      </c>
      <c r="F115" s="44" t="n"/>
      <c r="G115" s="45" t="n"/>
      <c r="H115" s="46">
        <f>IF($I$115="","",IF($I$115&lt;0,"🔴지연",IF($I$115&lt;=1,"🟡임박","🟢여유")))</f>
        <v/>
      </c>
      <c r="I115" s="47">
        <f>IF(OR($G$115="",$K$115=""),"",$G$115-$K$115)</f>
        <v/>
      </c>
      <c r="J115" s="48">
        <f>IF(SUM($L$115:$L$117)=0,"",SUM($L$115:$L$117))</f>
        <v/>
      </c>
      <c r="K115" s="49">
        <f>IF($J$115="","",MAX($N$115:$N$117))</f>
        <v/>
      </c>
      <c r="L115" s="50">
        <f>IF(SUM(U115:AY115)=0,"",SUM(U115:AY115))</f>
        <v/>
      </c>
      <c r="M115" s="51">
        <f>IFERROR(INDEX(U$2:AY$2,MATCH(TRUE,INDEX(U115:AY115&lt;&gt;"",0),0)),"")</f>
        <v/>
      </c>
      <c r="N115" s="51">
        <f>IFERROR(LOOKUP(2,1/(U115:AY115&lt;&gt;""),U$2:AY$2),"")</f>
        <v/>
      </c>
      <c r="O115" s="52" t="n"/>
      <c r="P115" s="52" t="n"/>
      <c r="Q115" s="52" t="n"/>
      <c r="R115" s="44" t="n"/>
      <c r="S115" s="14" t="n"/>
      <c r="U115" s="53" t="n"/>
      <c r="V115" s="53" t="n"/>
      <c r="W115" s="53" t="n"/>
      <c r="X115" s="53" t="n"/>
      <c r="Y115" s="53" t="n"/>
      <c r="Z115" s="53" t="n"/>
      <c r="AA115" s="53" t="n"/>
      <c r="AB115" s="53" t="n"/>
      <c r="AC115" s="53" t="n"/>
      <c r="AD115" s="53" t="n"/>
      <c r="AE115" s="53" t="n"/>
      <c r="AF115" s="53" t="n"/>
      <c r="AG115" s="53" t="n"/>
      <c r="AH115" s="53" t="n"/>
      <c r="AI115" s="53" t="n"/>
      <c r="AJ115" s="53" t="n"/>
      <c r="AK115" s="53" t="n"/>
      <c r="AL115" s="53" t="n"/>
      <c r="AM115" s="53" t="n"/>
      <c r="AN115" s="53" t="n"/>
      <c r="AO115" s="53" t="n"/>
      <c r="AP115" s="53" t="n"/>
      <c r="AQ115" s="53" t="n"/>
      <c r="AR115" s="53" t="n"/>
      <c r="AS115" s="53" t="n"/>
      <c r="AT115" s="53" t="n"/>
      <c r="AU115" s="53" t="n"/>
      <c r="AV115" s="53" t="n"/>
      <c r="AW115" s="53" t="n"/>
      <c r="AX115" s="53" t="n"/>
      <c r="AY115" s="53" t="n"/>
    </row>
    <row r="116" ht="15" customHeight="1">
      <c r="A116" s="54" t="n"/>
      <c r="B116" s="55">
        <f>IF($B$115="","",$B$115)</f>
        <v/>
      </c>
      <c r="C116" s="56" t="inlineStr">
        <is>
          <t>마케팅2팀</t>
        </is>
      </c>
      <c r="D116" s="55">
        <f>IF($D$115="","",$D$115)</f>
        <v/>
      </c>
      <c r="E116" s="57" t="inlineStr">
        <is>
          <t>이미지</t>
        </is>
      </c>
      <c r="F116" s="44" t="n"/>
      <c r="G116" s="58">
        <f>IF($G$115="","",$G$115)</f>
        <v/>
      </c>
      <c r="H116" s="59" t="n"/>
      <c r="I116" s="59" t="n"/>
      <c r="J116" s="59" t="n"/>
      <c r="K116" s="59" t="n"/>
      <c r="L116" s="60">
        <f>IF(SUM(U116:AY116)=0,"",SUM(U116:AY116))</f>
        <v/>
      </c>
      <c r="M116" s="61">
        <f>IFERROR(INDEX(U$2:AY$2,MATCH(TRUE,INDEX(U116:AY116&lt;&gt;"",0),0)),"")</f>
        <v/>
      </c>
      <c r="N116" s="61">
        <f>IFERROR(LOOKUP(2,1/(U116:AY116&lt;&gt;""),U$2:AY$2),"")</f>
        <v/>
      </c>
      <c r="O116" s="59" t="n"/>
      <c r="P116" s="59" t="n"/>
      <c r="Q116" s="59" t="n"/>
      <c r="R116" s="59" t="n"/>
      <c r="S116" s="14" t="n"/>
      <c r="U116" s="53" t="n"/>
      <c r="V116" s="53" t="n"/>
      <c r="W116" s="53" t="n"/>
      <c r="X116" s="53" t="n"/>
      <c r="Y116" s="53" t="n"/>
      <c r="Z116" s="53" t="n"/>
      <c r="AA116" s="53" t="n"/>
      <c r="AB116" s="53" t="n"/>
      <c r="AC116" s="53" t="n"/>
      <c r="AD116" s="53" t="n"/>
      <c r="AE116" s="53" t="n"/>
      <c r="AF116" s="53" t="n"/>
      <c r="AG116" s="53" t="n"/>
      <c r="AH116" s="53" t="n"/>
      <c r="AI116" s="53" t="n"/>
      <c r="AJ116" s="53" t="n"/>
      <c r="AK116" s="53" t="n"/>
      <c r="AL116" s="53" t="n"/>
      <c r="AM116" s="53" t="n"/>
      <c r="AN116" s="53" t="n"/>
      <c r="AO116" s="53" t="n"/>
      <c r="AP116" s="53" t="n"/>
      <c r="AQ116" s="53" t="n"/>
      <c r="AR116" s="53" t="n"/>
      <c r="AS116" s="53" t="n"/>
      <c r="AT116" s="53" t="n"/>
      <c r="AU116" s="53" t="n"/>
      <c r="AV116" s="53" t="n"/>
      <c r="AW116" s="53" t="n"/>
      <c r="AX116" s="53" t="n"/>
      <c r="AY116" s="53" t="n"/>
    </row>
    <row r="117" ht="15" customHeight="1">
      <c r="A117" s="62" t="n"/>
      <c r="B117" s="55">
        <f>IF($B$115="","",$B$115)</f>
        <v/>
      </c>
      <c r="C117" s="63" t="inlineStr">
        <is>
          <t>마케팅2팀</t>
        </is>
      </c>
      <c r="D117" s="55">
        <f>IF($D$115="","",$D$115)</f>
        <v/>
      </c>
      <c r="E117" s="64" t="inlineStr">
        <is>
          <t>영상</t>
        </is>
      </c>
      <c r="F117" s="44" t="n"/>
      <c r="G117" s="58">
        <f>IF($G$115="","",$G$115)</f>
        <v/>
      </c>
      <c r="H117" s="59" t="n"/>
      <c r="I117" s="59" t="n"/>
      <c r="J117" s="59" t="n"/>
      <c r="K117" s="59" t="n"/>
      <c r="L117" s="65">
        <f>IF(SUM(U117:AY117)=0,"",SUM(U117:AY117))</f>
        <v/>
      </c>
      <c r="M117" s="66">
        <f>IFERROR(INDEX(U$2:AY$2,MATCH(TRUE,INDEX(U117:AY117&lt;&gt;"",0),0)),"")</f>
        <v/>
      </c>
      <c r="N117" s="66">
        <f>IFERROR(LOOKUP(2,1/(U117:AY117&lt;&gt;""),U$2:AY$2),"")</f>
        <v/>
      </c>
      <c r="O117" s="59" t="n"/>
      <c r="P117" s="59" t="n"/>
      <c r="Q117" s="59" t="n"/>
      <c r="R117" s="59" t="n"/>
      <c r="S117" s="14" t="n"/>
      <c r="U117" s="53" t="n"/>
      <c r="V117" s="53" t="n"/>
      <c r="W117" s="53" t="n"/>
      <c r="X117" s="53" t="n"/>
      <c r="Y117" s="53" t="n"/>
      <c r="Z117" s="53" t="n"/>
      <c r="AA117" s="53" t="n"/>
      <c r="AB117" s="53" t="n"/>
      <c r="AC117" s="53" t="n"/>
      <c r="AD117" s="53" t="n"/>
      <c r="AE117" s="53" t="n"/>
      <c r="AF117" s="53" t="n"/>
      <c r="AG117" s="53" t="n"/>
      <c r="AH117" s="53" t="n"/>
      <c r="AI117" s="53" t="n"/>
      <c r="AJ117" s="53" t="n"/>
      <c r="AK117" s="53" t="n"/>
      <c r="AL117" s="53" t="n"/>
      <c r="AM117" s="53" t="n"/>
      <c r="AN117" s="53" t="n"/>
      <c r="AO117" s="53" t="n"/>
      <c r="AP117" s="53" t="n"/>
      <c r="AQ117" s="53" t="n"/>
      <c r="AR117" s="53" t="n"/>
      <c r="AS117" s="53" t="n"/>
      <c r="AT117" s="53" t="n"/>
      <c r="AU117" s="53" t="n"/>
      <c r="AV117" s="53" t="n"/>
      <c r="AW117" s="53" t="n"/>
      <c r="AX117" s="53" t="n"/>
      <c r="AY117" s="53" t="n"/>
    </row>
    <row r="118" ht="15" customHeight="1">
      <c r="A118" s="40">
        <f>IF($D$118="","",37)</f>
        <v/>
      </c>
      <c r="B118" s="10" t="n"/>
      <c r="C118" s="41" t="inlineStr">
        <is>
          <t>마케팅2팀</t>
        </is>
      </c>
      <c r="D118" s="42" t="n"/>
      <c r="E118" s="43" t="inlineStr">
        <is>
          <t>기획</t>
        </is>
      </c>
      <c r="F118" s="44" t="n"/>
      <c r="G118" s="45" t="n"/>
      <c r="H118" s="46">
        <f>IF($I$118="","",IF($I$118&lt;0,"🔴지연",IF($I$118&lt;=1,"🟡임박","🟢여유")))</f>
        <v/>
      </c>
      <c r="I118" s="47">
        <f>IF(OR($G$118="",$K$118=""),"",$G$118-$K$118)</f>
        <v/>
      </c>
      <c r="J118" s="48">
        <f>IF(SUM($L$118:$L$120)=0,"",SUM($L$118:$L$120))</f>
        <v/>
      </c>
      <c r="K118" s="49">
        <f>IF($J$118="","",MAX($N$118:$N$120))</f>
        <v/>
      </c>
      <c r="L118" s="50">
        <f>IF(SUM(U118:AY118)=0,"",SUM(U118:AY118))</f>
        <v/>
      </c>
      <c r="M118" s="51">
        <f>IFERROR(INDEX(U$2:AY$2,MATCH(TRUE,INDEX(U118:AY118&lt;&gt;"",0),0)),"")</f>
        <v/>
      </c>
      <c r="N118" s="51">
        <f>IFERROR(LOOKUP(2,1/(U118:AY118&lt;&gt;""),U$2:AY$2),"")</f>
        <v/>
      </c>
      <c r="O118" s="52" t="n"/>
      <c r="P118" s="52" t="n"/>
      <c r="Q118" s="52" t="n"/>
      <c r="R118" s="44" t="n"/>
      <c r="S118" s="14" t="n"/>
      <c r="U118" s="53" t="n"/>
      <c r="V118" s="53" t="n"/>
      <c r="W118" s="53" t="n"/>
      <c r="X118" s="53" t="n"/>
      <c r="Y118" s="53" t="n"/>
      <c r="Z118" s="53" t="n"/>
      <c r="AA118" s="53" t="n"/>
      <c r="AB118" s="53" t="n"/>
      <c r="AC118" s="53" t="n"/>
      <c r="AD118" s="53" t="n"/>
      <c r="AE118" s="53" t="n"/>
      <c r="AF118" s="53" t="n"/>
      <c r="AG118" s="53" t="n"/>
      <c r="AH118" s="53" t="n"/>
      <c r="AI118" s="53" t="n"/>
      <c r="AJ118" s="53" t="n"/>
      <c r="AK118" s="53" t="n"/>
      <c r="AL118" s="53" t="n"/>
      <c r="AM118" s="53" t="n"/>
      <c r="AN118" s="53" t="n"/>
      <c r="AO118" s="53" t="n"/>
      <c r="AP118" s="53" t="n"/>
      <c r="AQ118" s="53" t="n"/>
      <c r="AR118" s="53" t="n"/>
      <c r="AS118" s="53" t="n"/>
      <c r="AT118" s="53" t="n"/>
      <c r="AU118" s="53" t="n"/>
      <c r="AV118" s="53" t="n"/>
      <c r="AW118" s="53" t="n"/>
      <c r="AX118" s="53" t="n"/>
      <c r="AY118" s="53" t="n"/>
    </row>
    <row r="119" ht="15" customHeight="1">
      <c r="A119" s="54" t="n"/>
      <c r="B119" s="55">
        <f>IF($B$118="","",$B$118)</f>
        <v/>
      </c>
      <c r="C119" s="56" t="inlineStr">
        <is>
          <t>마케팅2팀</t>
        </is>
      </c>
      <c r="D119" s="55">
        <f>IF($D$118="","",$D$118)</f>
        <v/>
      </c>
      <c r="E119" s="57" t="inlineStr">
        <is>
          <t>이미지</t>
        </is>
      </c>
      <c r="F119" s="44" t="n"/>
      <c r="G119" s="58">
        <f>IF($G$118="","",$G$118)</f>
        <v/>
      </c>
      <c r="H119" s="59" t="n"/>
      <c r="I119" s="59" t="n"/>
      <c r="J119" s="59" t="n"/>
      <c r="K119" s="59" t="n"/>
      <c r="L119" s="60">
        <f>IF(SUM(U119:AY119)=0,"",SUM(U119:AY119))</f>
        <v/>
      </c>
      <c r="M119" s="61">
        <f>IFERROR(INDEX(U$2:AY$2,MATCH(TRUE,INDEX(U119:AY119&lt;&gt;"",0),0)),"")</f>
        <v/>
      </c>
      <c r="N119" s="61">
        <f>IFERROR(LOOKUP(2,1/(U119:AY119&lt;&gt;""),U$2:AY$2),"")</f>
        <v/>
      </c>
      <c r="O119" s="59" t="n"/>
      <c r="P119" s="59" t="n"/>
      <c r="Q119" s="59" t="n"/>
      <c r="R119" s="59" t="n"/>
      <c r="S119" s="14" t="n"/>
      <c r="U119" s="53" t="n"/>
      <c r="V119" s="53" t="n"/>
      <c r="W119" s="53" t="n"/>
      <c r="X119" s="53" t="n"/>
      <c r="Y119" s="53" t="n"/>
      <c r="Z119" s="53" t="n"/>
      <c r="AA119" s="53" t="n"/>
      <c r="AB119" s="53" t="n"/>
      <c r="AC119" s="53" t="n"/>
      <c r="AD119" s="53" t="n"/>
      <c r="AE119" s="53" t="n"/>
      <c r="AF119" s="53" t="n"/>
      <c r="AG119" s="53" t="n"/>
      <c r="AH119" s="53" t="n"/>
      <c r="AI119" s="53" t="n"/>
      <c r="AJ119" s="53" t="n"/>
      <c r="AK119" s="53" t="n"/>
      <c r="AL119" s="53" t="n"/>
      <c r="AM119" s="53" t="n"/>
      <c r="AN119" s="53" t="n"/>
      <c r="AO119" s="53" t="n"/>
      <c r="AP119" s="53" t="n"/>
      <c r="AQ119" s="53" t="n"/>
      <c r="AR119" s="53" t="n"/>
      <c r="AS119" s="53" t="n"/>
      <c r="AT119" s="53" t="n"/>
      <c r="AU119" s="53" t="n"/>
      <c r="AV119" s="53" t="n"/>
      <c r="AW119" s="53" t="n"/>
      <c r="AX119" s="53" t="n"/>
      <c r="AY119" s="53" t="n"/>
    </row>
    <row r="120" ht="15" customHeight="1">
      <c r="A120" s="62" t="n"/>
      <c r="B120" s="55">
        <f>IF($B$118="","",$B$118)</f>
        <v/>
      </c>
      <c r="C120" s="63" t="inlineStr">
        <is>
          <t>마케팅2팀</t>
        </is>
      </c>
      <c r="D120" s="55">
        <f>IF($D$118="","",$D$118)</f>
        <v/>
      </c>
      <c r="E120" s="64" t="inlineStr">
        <is>
          <t>영상</t>
        </is>
      </c>
      <c r="F120" s="44" t="n"/>
      <c r="G120" s="58">
        <f>IF($G$118="","",$G$118)</f>
        <v/>
      </c>
      <c r="H120" s="59" t="n"/>
      <c r="I120" s="59" t="n"/>
      <c r="J120" s="59" t="n"/>
      <c r="K120" s="59" t="n"/>
      <c r="L120" s="65">
        <f>IF(SUM(U120:AY120)=0,"",SUM(U120:AY120))</f>
        <v/>
      </c>
      <c r="M120" s="66">
        <f>IFERROR(INDEX(U$2:AY$2,MATCH(TRUE,INDEX(U120:AY120&lt;&gt;"",0),0)),"")</f>
        <v/>
      </c>
      <c r="N120" s="66">
        <f>IFERROR(LOOKUP(2,1/(U120:AY120&lt;&gt;""),U$2:AY$2),"")</f>
        <v/>
      </c>
      <c r="O120" s="59" t="n"/>
      <c r="P120" s="59" t="n"/>
      <c r="Q120" s="59" t="n"/>
      <c r="R120" s="59" t="n"/>
      <c r="S120" s="14" t="n"/>
      <c r="U120" s="53" t="n"/>
      <c r="V120" s="53" t="n"/>
      <c r="W120" s="53" t="n"/>
      <c r="X120" s="53" t="n"/>
      <c r="Y120" s="53" t="n"/>
      <c r="Z120" s="53" t="n"/>
      <c r="AA120" s="53" t="n"/>
      <c r="AB120" s="53" t="n"/>
      <c r="AC120" s="53" t="n"/>
      <c r="AD120" s="53" t="n"/>
      <c r="AE120" s="53" t="n"/>
      <c r="AF120" s="53" t="n"/>
      <c r="AG120" s="53" t="n"/>
      <c r="AH120" s="53" t="n"/>
      <c r="AI120" s="53" t="n"/>
      <c r="AJ120" s="53" t="n"/>
      <c r="AK120" s="53" t="n"/>
      <c r="AL120" s="53" t="n"/>
      <c r="AM120" s="53" t="n"/>
      <c r="AN120" s="53" t="n"/>
      <c r="AO120" s="53" t="n"/>
      <c r="AP120" s="53" t="n"/>
      <c r="AQ120" s="53" t="n"/>
      <c r="AR120" s="53" t="n"/>
      <c r="AS120" s="53" t="n"/>
      <c r="AT120" s="53" t="n"/>
      <c r="AU120" s="53" t="n"/>
      <c r="AV120" s="53" t="n"/>
      <c r="AW120" s="53" t="n"/>
      <c r="AX120" s="53" t="n"/>
      <c r="AY120" s="53" t="n"/>
    </row>
    <row r="121" ht="15" customHeight="1">
      <c r="A121" s="40">
        <f>IF($D$121="","",38)</f>
        <v/>
      </c>
      <c r="B121" s="10" t="n"/>
      <c r="C121" s="41" t="inlineStr">
        <is>
          <t>마케팅2팀</t>
        </is>
      </c>
      <c r="D121" s="42" t="n"/>
      <c r="E121" s="43" t="inlineStr">
        <is>
          <t>기획</t>
        </is>
      </c>
      <c r="F121" s="44" t="n"/>
      <c r="G121" s="45" t="n"/>
      <c r="H121" s="46">
        <f>IF($I$121="","",IF($I$121&lt;0,"🔴지연",IF($I$121&lt;=1,"🟡임박","🟢여유")))</f>
        <v/>
      </c>
      <c r="I121" s="47">
        <f>IF(OR($G$121="",$K$121=""),"",$G$121-$K$121)</f>
        <v/>
      </c>
      <c r="J121" s="48">
        <f>IF(SUM($L$121:$L$123)=0,"",SUM($L$121:$L$123))</f>
        <v/>
      </c>
      <c r="K121" s="49">
        <f>IF($J$121="","",MAX($N$121:$N$123))</f>
        <v/>
      </c>
      <c r="L121" s="50">
        <f>IF(SUM(U121:AY121)=0,"",SUM(U121:AY121))</f>
        <v/>
      </c>
      <c r="M121" s="51">
        <f>IFERROR(INDEX(U$2:AY$2,MATCH(TRUE,INDEX(U121:AY121&lt;&gt;"",0),0)),"")</f>
        <v/>
      </c>
      <c r="N121" s="51">
        <f>IFERROR(LOOKUP(2,1/(U121:AY121&lt;&gt;""),U$2:AY$2),"")</f>
        <v/>
      </c>
      <c r="O121" s="52" t="n"/>
      <c r="P121" s="52" t="n"/>
      <c r="Q121" s="52" t="n"/>
      <c r="R121" s="44" t="n"/>
      <c r="S121" s="14" t="n"/>
      <c r="U121" s="53" t="n"/>
      <c r="V121" s="53" t="n"/>
      <c r="W121" s="53" t="n"/>
      <c r="X121" s="53" t="n"/>
      <c r="Y121" s="53" t="n"/>
      <c r="Z121" s="53" t="n"/>
      <c r="AA121" s="53" t="n"/>
      <c r="AB121" s="53" t="n"/>
      <c r="AC121" s="53" t="n"/>
      <c r="AD121" s="53" t="n"/>
      <c r="AE121" s="53" t="n"/>
      <c r="AF121" s="53" t="n"/>
      <c r="AG121" s="53" t="n"/>
      <c r="AH121" s="53" t="n"/>
      <c r="AI121" s="53" t="n"/>
      <c r="AJ121" s="53" t="n"/>
      <c r="AK121" s="53" t="n"/>
      <c r="AL121" s="53" t="n"/>
      <c r="AM121" s="53" t="n"/>
      <c r="AN121" s="53" t="n"/>
      <c r="AO121" s="53" t="n"/>
      <c r="AP121" s="53" t="n"/>
      <c r="AQ121" s="53" t="n"/>
      <c r="AR121" s="53" t="n"/>
      <c r="AS121" s="53" t="n"/>
      <c r="AT121" s="53" t="n"/>
      <c r="AU121" s="53" t="n"/>
      <c r="AV121" s="53" t="n"/>
      <c r="AW121" s="53" t="n"/>
      <c r="AX121" s="53" t="n"/>
      <c r="AY121" s="53" t="n"/>
    </row>
    <row r="122" ht="15" customHeight="1">
      <c r="A122" s="54" t="n"/>
      <c r="B122" s="55">
        <f>IF($B$121="","",$B$121)</f>
        <v/>
      </c>
      <c r="C122" s="56" t="inlineStr">
        <is>
          <t>마케팅2팀</t>
        </is>
      </c>
      <c r="D122" s="55">
        <f>IF($D$121="","",$D$121)</f>
        <v/>
      </c>
      <c r="E122" s="57" t="inlineStr">
        <is>
          <t>이미지</t>
        </is>
      </c>
      <c r="F122" s="44" t="n"/>
      <c r="G122" s="58">
        <f>IF($G$121="","",$G$121)</f>
        <v/>
      </c>
      <c r="H122" s="59" t="n"/>
      <c r="I122" s="59" t="n"/>
      <c r="J122" s="59" t="n"/>
      <c r="K122" s="59" t="n"/>
      <c r="L122" s="60">
        <f>IF(SUM(U122:AY122)=0,"",SUM(U122:AY122))</f>
        <v/>
      </c>
      <c r="M122" s="61">
        <f>IFERROR(INDEX(U$2:AY$2,MATCH(TRUE,INDEX(U122:AY122&lt;&gt;"",0),0)),"")</f>
        <v/>
      </c>
      <c r="N122" s="61">
        <f>IFERROR(LOOKUP(2,1/(U122:AY122&lt;&gt;""),U$2:AY$2),"")</f>
        <v/>
      </c>
      <c r="O122" s="59" t="n"/>
      <c r="P122" s="59" t="n"/>
      <c r="Q122" s="59" t="n"/>
      <c r="R122" s="59" t="n"/>
      <c r="S122" s="14" t="n"/>
      <c r="U122" s="53" t="n"/>
      <c r="V122" s="53" t="n"/>
      <c r="W122" s="53" t="n"/>
      <c r="X122" s="53" t="n"/>
      <c r="Y122" s="53" t="n"/>
      <c r="Z122" s="53" t="n"/>
      <c r="AA122" s="53" t="n"/>
      <c r="AB122" s="53" t="n"/>
      <c r="AC122" s="53" t="n"/>
      <c r="AD122" s="53" t="n"/>
      <c r="AE122" s="53" t="n"/>
      <c r="AF122" s="53" t="n"/>
      <c r="AG122" s="53" t="n"/>
      <c r="AH122" s="53" t="n"/>
      <c r="AI122" s="53" t="n"/>
      <c r="AJ122" s="53" t="n"/>
      <c r="AK122" s="53" t="n"/>
      <c r="AL122" s="53" t="n"/>
      <c r="AM122" s="53" t="n"/>
      <c r="AN122" s="53" t="n"/>
      <c r="AO122" s="53" t="n"/>
      <c r="AP122" s="53" t="n"/>
      <c r="AQ122" s="53" t="n"/>
      <c r="AR122" s="53" t="n"/>
      <c r="AS122" s="53" t="n"/>
      <c r="AT122" s="53" t="n"/>
      <c r="AU122" s="53" t="n"/>
      <c r="AV122" s="53" t="n"/>
      <c r="AW122" s="53" t="n"/>
      <c r="AX122" s="53" t="n"/>
      <c r="AY122" s="53" t="n"/>
    </row>
    <row r="123" ht="15" customHeight="1">
      <c r="A123" s="62" t="n"/>
      <c r="B123" s="55">
        <f>IF($B$121="","",$B$121)</f>
        <v/>
      </c>
      <c r="C123" s="63" t="inlineStr">
        <is>
          <t>마케팅2팀</t>
        </is>
      </c>
      <c r="D123" s="55">
        <f>IF($D$121="","",$D$121)</f>
        <v/>
      </c>
      <c r="E123" s="64" t="inlineStr">
        <is>
          <t>영상</t>
        </is>
      </c>
      <c r="F123" s="44" t="n"/>
      <c r="G123" s="58">
        <f>IF($G$121="","",$G$121)</f>
        <v/>
      </c>
      <c r="H123" s="59" t="n"/>
      <c r="I123" s="59" t="n"/>
      <c r="J123" s="59" t="n"/>
      <c r="K123" s="59" t="n"/>
      <c r="L123" s="65">
        <f>IF(SUM(U123:AY123)=0,"",SUM(U123:AY123))</f>
        <v/>
      </c>
      <c r="M123" s="66">
        <f>IFERROR(INDEX(U$2:AY$2,MATCH(TRUE,INDEX(U123:AY123&lt;&gt;"",0),0)),"")</f>
        <v/>
      </c>
      <c r="N123" s="66">
        <f>IFERROR(LOOKUP(2,1/(U123:AY123&lt;&gt;""),U$2:AY$2),"")</f>
        <v/>
      </c>
      <c r="O123" s="59" t="n"/>
      <c r="P123" s="59" t="n"/>
      <c r="Q123" s="59" t="n"/>
      <c r="R123" s="59" t="n"/>
      <c r="S123" s="14" t="n"/>
      <c r="U123" s="53" t="n"/>
      <c r="V123" s="53" t="n"/>
      <c r="W123" s="53" t="n"/>
      <c r="X123" s="53" t="n"/>
      <c r="Y123" s="53" t="n"/>
      <c r="Z123" s="53" t="n"/>
      <c r="AA123" s="53" t="n"/>
      <c r="AB123" s="53" t="n"/>
      <c r="AC123" s="53" t="n"/>
      <c r="AD123" s="53" t="n"/>
      <c r="AE123" s="53" t="n"/>
      <c r="AF123" s="53" t="n"/>
      <c r="AG123" s="53" t="n"/>
      <c r="AH123" s="53" t="n"/>
      <c r="AI123" s="53" t="n"/>
      <c r="AJ123" s="53" t="n"/>
      <c r="AK123" s="53" t="n"/>
      <c r="AL123" s="53" t="n"/>
      <c r="AM123" s="53" t="n"/>
      <c r="AN123" s="53" t="n"/>
      <c r="AO123" s="53" t="n"/>
      <c r="AP123" s="53" t="n"/>
      <c r="AQ123" s="53" t="n"/>
      <c r="AR123" s="53" t="n"/>
      <c r="AS123" s="53" t="n"/>
      <c r="AT123" s="53" t="n"/>
      <c r="AU123" s="53" t="n"/>
      <c r="AV123" s="53" t="n"/>
      <c r="AW123" s="53" t="n"/>
      <c r="AX123" s="53" t="n"/>
      <c r="AY123" s="53" t="n"/>
    </row>
    <row r="124" ht="15" customHeight="1">
      <c r="A124" s="40">
        <f>IF($D$124="","",39)</f>
        <v/>
      </c>
      <c r="B124" s="10" t="n"/>
      <c r="C124" s="41" t="inlineStr">
        <is>
          <t>마케팅2팀</t>
        </is>
      </c>
      <c r="D124" s="42" t="n"/>
      <c r="E124" s="43" t="inlineStr">
        <is>
          <t>기획</t>
        </is>
      </c>
      <c r="F124" s="44" t="n"/>
      <c r="G124" s="45" t="n"/>
      <c r="H124" s="46">
        <f>IF($I$124="","",IF($I$124&lt;0,"🔴지연",IF($I$124&lt;=1,"🟡임박","🟢여유")))</f>
        <v/>
      </c>
      <c r="I124" s="47">
        <f>IF(OR($G$124="",$K$124=""),"",$G$124-$K$124)</f>
        <v/>
      </c>
      <c r="J124" s="48">
        <f>IF(SUM($L$124:$L$126)=0,"",SUM($L$124:$L$126))</f>
        <v/>
      </c>
      <c r="K124" s="49">
        <f>IF($J$124="","",MAX($N$124:$N$126))</f>
        <v/>
      </c>
      <c r="L124" s="50">
        <f>IF(SUM(U124:AY124)=0,"",SUM(U124:AY124))</f>
        <v/>
      </c>
      <c r="M124" s="51">
        <f>IFERROR(INDEX(U$2:AY$2,MATCH(TRUE,INDEX(U124:AY124&lt;&gt;"",0),0)),"")</f>
        <v/>
      </c>
      <c r="N124" s="51">
        <f>IFERROR(LOOKUP(2,1/(U124:AY124&lt;&gt;""),U$2:AY$2),"")</f>
        <v/>
      </c>
      <c r="O124" s="52" t="n"/>
      <c r="P124" s="52" t="n"/>
      <c r="Q124" s="52" t="n"/>
      <c r="R124" s="44" t="n"/>
      <c r="S124" s="14" t="n"/>
      <c r="U124" s="53" t="n"/>
      <c r="V124" s="53" t="n"/>
      <c r="W124" s="53" t="n"/>
      <c r="X124" s="53" t="n"/>
      <c r="Y124" s="53" t="n"/>
      <c r="Z124" s="53" t="n"/>
      <c r="AA124" s="53" t="n"/>
      <c r="AB124" s="53" t="n"/>
      <c r="AC124" s="53" t="n"/>
      <c r="AD124" s="53" t="n"/>
      <c r="AE124" s="53" t="n"/>
      <c r="AF124" s="53" t="n"/>
      <c r="AG124" s="53" t="n"/>
      <c r="AH124" s="53" t="n"/>
      <c r="AI124" s="53" t="n"/>
      <c r="AJ124" s="53" t="n"/>
      <c r="AK124" s="53" t="n"/>
      <c r="AL124" s="53" t="n"/>
      <c r="AM124" s="53" t="n"/>
      <c r="AN124" s="53" t="n"/>
      <c r="AO124" s="53" t="n"/>
      <c r="AP124" s="53" t="n"/>
      <c r="AQ124" s="53" t="n"/>
      <c r="AR124" s="53" t="n"/>
      <c r="AS124" s="53" t="n"/>
      <c r="AT124" s="53" t="n"/>
      <c r="AU124" s="53" t="n"/>
      <c r="AV124" s="53" t="n"/>
      <c r="AW124" s="53" t="n"/>
      <c r="AX124" s="53" t="n"/>
      <c r="AY124" s="53" t="n"/>
    </row>
    <row r="125" ht="15" customHeight="1">
      <c r="A125" s="54" t="n"/>
      <c r="B125" s="55">
        <f>IF($B$124="","",$B$124)</f>
        <v/>
      </c>
      <c r="C125" s="56" t="inlineStr">
        <is>
          <t>마케팅2팀</t>
        </is>
      </c>
      <c r="D125" s="55">
        <f>IF($D$124="","",$D$124)</f>
        <v/>
      </c>
      <c r="E125" s="57" t="inlineStr">
        <is>
          <t>이미지</t>
        </is>
      </c>
      <c r="F125" s="44" t="n"/>
      <c r="G125" s="58">
        <f>IF($G$124="","",$G$124)</f>
        <v/>
      </c>
      <c r="H125" s="59" t="n"/>
      <c r="I125" s="59" t="n"/>
      <c r="J125" s="59" t="n"/>
      <c r="K125" s="59" t="n"/>
      <c r="L125" s="60">
        <f>IF(SUM(U125:AY125)=0,"",SUM(U125:AY125))</f>
        <v/>
      </c>
      <c r="M125" s="61">
        <f>IFERROR(INDEX(U$2:AY$2,MATCH(TRUE,INDEX(U125:AY125&lt;&gt;"",0),0)),"")</f>
        <v/>
      </c>
      <c r="N125" s="61">
        <f>IFERROR(LOOKUP(2,1/(U125:AY125&lt;&gt;""),U$2:AY$2),"")</f>
        <v/>
      </c>
      <c r="O125" s="59" t="n"/>
      <c r="P125" s="59" t="n"/>
      <c r="Q125" s="59" t="n"/>
      <c r="R125" s="59" t="n"/>
      <c r="S125" s="14" t="n"/>
      <c r="U125" s="53" t="n"/>
      <c r="V125" s="53" t="n"/>
      <c r="W125" s="53" t="n"/>
      <c r="X125" s="53" t="n"/>
      <c r="Y125" s="53" t="n"/>
      <c r="Z125" s="53" t="n"/>
      <c r="AA125" s="53" t="n"/>
      <c r="AB125" s="53" t="n"/>
      <c r="AC125" s="53" t="n"/>
      <c r="AD125" s="53" t="n"/>
      <c r="AE125" s="53" t="n"/>
      <c r="AF125" s="53" t="n"/>
      <c r="AG125" s="53" t="n"/>
      <c r="AH125" s="53" t="n"/>
      <c r="AI125" s="53" t="n"/>
      <c r="AJ125" s="53" t="n"/>
      <c r="AK125" s="53" t="n"/>
      <c r="AL125" s="53" t="n"/>
      <c r="AM125" s="53" t="n"/>
      <c r="AN125" s="53" t="n"/>
      <c r="AO125" s="53" t="n"/>
      <c r="AP125" s="53" t="n"/>
      <c r="AQ125" s="53" t="n"/>
      <c r="AR125" s="53" t="n"/>
      <c r="AS125" s="53" t="n"/>
      <c r="AT125" s="53" t="n"/>
      <c r="AU125" s="53" t="n"/>
      <c r="AV125" s="53" t="n"/>
      <c r="AW125" s="53" t="n"/>
      <c r="AX125" s="53" t="n"/>
      <c r="AY125" s="53" t="n"/>
    </row>
    <row r="126" ht="15" customHeight="1">
      <c r="A126" s="62" t="n"/>
      <c r="B126" s="55">
        <f>IF($B$124="","",$B$124)</f>
        <v/>
      </c>
      <c r="C126" s="63" t="inlineStr">
        <is>
          <t>마케팅2팀</t>
        </is>
      </c>
      <c r="D126" s="55">
        <f>IF($D$124="","",$D$124)</f>
        <v/>
      </c>
      <c r="E126" s="64" t="inlineStr">
        <is>
          <t>영상</t>
        </is>
      </c>
      <c r="F126" s="44" t="n"/>
      <c r="G126" s="58">
        <f>IF($G$124="","",$G$124)</f>
        <v/>
      </c>
      <c r="H126" s="59" t="n"/>
      <c r="I126" s="59" t="n"/>
      <c r="J126" s="59" t="n"/>
      <c r="K126" s="59" t="n"/>
      <c r="L126" s="65">
        <f>IF(SUM(U126:AY126)=0,"",SUM(U126:AY126))</f>
        <v/>
      </c>
      <c r="M126" s="66">
        <f>IFERROR(INDEX(U$2:AY$2,MATCH(TRUE,INDEX(U126:AY126&lt;&gt;"",0),0)),"")</f>
        <v/>
      </c>
      <c r="N126" s="66">
        <f>IFERROR(LOOKUP(2,1/(U126:AY126&lt;&gt;""),U$2:AY$2),"")</f>
        <v/>
      </c>
      <c r="O126" s="59" t="n"/>
      <c r="P126" s="59" t="n"/>
      <c r="Q126" s="59" t="n"/>
      <c r="R126" s="59" t="n"/>
      <c r="S126" s="14" t="n"/>
      <c r="U126" s="53" t="n"/>
      <c r="V126" s="53" t="n"/>
      <c r="W126" s="53" t="n"/>
      <c r="X126" s="53" t="n"/>
      <c r="Y126" s="53" t="n"/>
      <c r="Z126" s="53" t="n"/>
      <c r="AA126" s="53" t="n"/>
      <c r="AB126" s="53" t="n"/>
      <c r="AC126" s="53" t="n"/>
      <c r="AD126" s="53" t="n"/>
      <c r="AE126" s="53" t="n"/>
      <c r="AF126" s="53" t="n"/>
      <c r="AG126" s="53" t="n"/>
      <c r="AH126" s="53" t="n"/>
      <c r="AI126" s="53" t="n"/>
      <c r="AJ126" s="53" t="n"/>
      <c r="AK126" s="53" t="n"/>
      <c r="AL126" s="53" t="n"/>
      <c r="AM126" s="53" t="n"/>
      <c r="AN126" s="53" t="n"/>
      <c r="AO126" s="53" t="n"/>
      <c r="AP126" s="53" t="n"/>
      <c r="AQ126" s="53" t="n"/>
      <c r="AR126" s="53" t="n"/>
      <c r="AS126" s="53" t="n"/>
      <c r="AT126" s="53" t="n"/>
      <c r="AU126" s="53" t="n"/>
      <c r="AV126" s="53" t="n"/>
      <c r="AW126" s="53" t="n"/>
      <c r="AX126" s="53" t="n"/>
      <c r="AY126" s="53" t="n"/>
    </row>
    <row r="127" ht="15" customHeight="1">
      <c r="A127" s="40">
        <f>IF($D$127="","",40)</f>
        <v/>
      </c>
      <c r="B127" s="10" t="n"/>
      <c r="C127" s="41" t="inlineStr">
        <is>
          <t>마케팅2팀</t>
        </is>
      </c>
      <c r="D127" s="42" t="n"/>
      <c r="E127" s="43" t="inlineStr">
        <is>
          <t>기획</t>
        </is>
      </c>
      <c r="F127" s="44" t="n"/>
      <c r="G127" s="45" t="n"/>
      <c r="H127" s="46">
        <f>IF($I$127="","",IF($I$127&lt;0,"🔴지연",IF($I$127&lt;=1,"🟡임박","🟢여유")))</f>
        <v/>
      </c>
      <c r="I127" s="47">
        <f>IF(OR($G$127="",$K$127=""),"",$G$127-$K$127)</f>
        <v/>
      </c>
      <c r="J127" s="48">
        <f>IF(SUM($L$127:$L$129)=0,"",SUM($L$127:$L$129))</f>
        <v/>
      </c>
      <c r="K127" s="49">
        <f>IF($J$127="","",MAX($N$127:$N$129))</f>
        <v/>
      </c>
      <c r="L127" s="50">
        <f>IF(SUM(U127:AY127)=0,"",SUM(U127:AY127))</f>
        <v/>
      </c>
      <c r="M127" s="51">
        <f>IFERROR(INDEX(U$2:AY$2,MATCH(TRUE,INDEX(U127:AY127&lt;&gt;"",0),0)),"")</f>
        <v/>
      </c>
      <c r="N127" s="51">
        <f>IFERROR(LOOKUP(2,1/(U127:AY127&lt;&gt;""),U$2:AY$2),"")</f>
        <v/>
      </c>
      <c r="O127" s="52" t="n"/>
      <c r="P127" s="52" t="n"/>
      <c r="Q127" s="52" t="n"/>
      <c r="R127" s="44" t="n"/>
      <c r="S127" s="14" t="n"/>
      <c r="U127" s="53" t="n"/>
      <c r="V127" s="53" t="n"/>
      <c r="W127" s="53" t="n"/>
      <c r="X127" s="53" t="n"/>
      <c r="Y127" s="53" t="n"/>
      <c r="Z127" s="53" t="n"/>
      <c r="AA127" s="53" t="n"/>
      <c r="AB127" s="53" t="n"/>
      <c r="AC127" s="53" t="n"/>
      <c r="AD127" s="53" t="n"/>
      <c r="AE127" s="53" t="n"/>
      <c r="AF127" s="53" t="n"/>
      <c r="AG127" s="53" t="n"/>
      <c r="AH127" s="53" t="n"/>
      <c r="AI127" s="53" t="n"/>
      <c r="AJ127" s="53" t="n"/>
      <c r="AK127" s="53" t="n"/>
      <c r="AL127" s="53" t="n"/>
      <c r="AM127" s="53" t="n"/>
      <c r="AN127" s="53" t="n"/>
      <c r="AO127" s="53" t="n"/>
      <c r="AP127" s="53" t="n"/>
      <c r="AQ127" s="53" t="n"/>
      <c r="AR127" s="53" t="n"/>
      <c r="AS127" s="53" t="n"/>
      <c r="AT127" s="53" t="n"/>
      <c r="AU127" s="53" t="n"/>
      <c r="AV127" s="53" t="n"/>
      <c r="AW127" s="53" t="n"/>
      <c r="AX127" s="53" t="n"/>
      <c r="AY127" s="53" t="n"/>
    </row>
    <row r="128" ht="15" customHeight="1">
      <c r="A128" s="54" t="n"/>
      <c r="B128" s="55">
        <f>IF($B$127="","",$B$127)</f>
        <v/>
      </c>
      <c r="C128" s="56" t="inlineStr">
        <is>
          <t>마케팅2팀</t>
        </is>
      </c>
      <c r="D128" s="55">
        <f>IF($D$127="","",$D$127)</f>
        <v/>
      </c>
      <c r="E128" s="57" t="inlineStr">
        <is>
          <t>이미지</t>
        </is>
      </c>
      <c r="F128" s="44" t="n"/>
      <c r="G128" s="58">
        <f>IF($G$127="","",$G$127)</f>
        <v/>
      </c>
      <c r="H128" s="59" t="n"/>
      <c r="I128" s="59" t="n"/>
      <c r="J128" s="59" t="n"/>
      <c r="K128" s="59" t="n"/>
      <c r="L128" s="60">
        <f>IF(SUM(U128:AY128)=0,"",SUM(U128:AY128))</f>
        <v/>
      </c>
      <c r="M128" s="61">
        <f>IFERROR(INDEX(U$2:AY$2,MATCH(TRUE,INDEX(U128:AY128&lt;&gt;"",0),0)),"")</f>
        <v/>
      </c>
      <c r="N128" s="61">
        <f>IFERROR(LOOKUP(2,1/(U128:AY128&lt;&gt;""),U$2:AY$2),"")</f>
        <v/>
      </c>
      <c r="O128" s="59" t="n"/>
      <c r="P128" s="59" t="n"/>
      <c r="Q128" s="59" t="n"/>
      <c r="R128" s="59" t="n"/>
      <c r="S128" s="14" t="n"/>
      <c r="U128" s="53" t="n"/>
      <c r="V128" s="53" t="n"/>
      <c r="W128" s="53" t="n"/>
      <c r="X128" s="53" t="n"/>
      <c r="Y128" s="53" t="n"/>
      <c r="Z128" s="53" t="n"/>
      <c r="AA128" s="53" t="n"/>
      <c r="AB128" s="53" t="n"/>
      <c r="AC128" s="53" t="n"/>
      <c r="AD128" s="53" t="n"/>
      <c r="AE128" s="53" t="n"/>
      <c r="AF128" s="53" t="n"/>
      <c r="AG128" s="53" t="n"/>
      <c r="AH128" s="53" t="n"/>
      <c r="AI128" s="53" t="n"/>
      <c r="AJ128" s="53" t="n"/>
      <c r="AK128" s="53" t="n"/>
      <c r="AL128" s="53" t="n"/>
      <c r="AM128" s="53" t="n"/>
      <c r="AN128" s="53" t="n"/>
      <c r="AO128" s="53" t="n"/>
      <c r="AP128" s="53" t="n"/>
      <c r="AQ128" s="53" t="n"/>
      <c r="AR128" s="53" t="n"/>
      <c r="AS128" s="53" t="n"/>
      <c r="AT128" s="53" t="n"/>
      <c r="AU128" s="53" t="n"/>
      <c r="AV128" s="53" t="n"/>
      <c r="AW128" s="53" t="n"/>
      <c r="AX128" s="53" t="n"/>
      <c r="AY128" s="53" t="n"/>
    </row>
    <row r="129" ht="15" customHeight="1">
      <c r="A129" s="62" t="n"/>
      <c r="B129" s="55">
        <f>IF($B$127="","",$B$127)</f>
        <v/>
      </c>
      <c r="C129" s="63" t="inlineStr">
        <is>
          <t>마케팅2팀</t>
        </is>
      </c>
      <c r="D129" s="55">
        <f>IF($D$127="","",$D$127)</f>
        <v/>
      </c>
      <c r="E129" s="64" t="inlineStr">
        <is>
          <t>영상</t>
        </is>
      </c>
      <c r="F129" s="44" t="n"/>
      <c r="G129" s="58">
        <f>IF($G$127="","",$G$127)</f>
        <v/>
      </c>
      <c r="H129" s="59" t="n"/>
      <c r="I129" s="59" t="n"/>
      <c r="J129" s="59" t="n"/>
      <c r="K129" s="59" t="n"/>
      <c r="L129" s="65">
        <f>IF(SUM(U129:AY129)=0,"",SUM(U129:AY129))</f>
        <v/>
      </c>
      <c r="M129" s="66">
        <f>IFERROR(INDEX(U$2:AY$2,MATCH(TRUE,INDEX(U129:AY129&lt;&gt;"",0),0)),"")</f>
        <v/>
      </c>
      <c r="N129" s="66">
        <f>IFERROR(LOOKUP(2,1/(U129:AY129&lt;&gt;""),U$2:AY$2),"")</f>
        <v/>
      </c>
      <c r="O129" s="59" t="n"/>
      <c r="P129" s="59" t="n"/>
      <c r="Q129" s="59" t="n"/>
      <c r="R129" s="59" t="n"/>
      <c r="S129" s="14" t="n"/>
      <c r="U129" s="53" t="n"/>
      <c r="V129" s="53" t="n"/>
      <c r="W129" s="53" t="n"/>
      <c r="X129" s="53" t="n"/>
      <c r="Y129" s="53" t="n"/>
      <c r="Z129" s="53" t="n"/>
      <c r="AA129" s="53" t="n"/>
      <c r="AB129" s="53" t="n"/>
      <c r="AC129" s="53" t="n"/>
      <c r="AD129" s="53" t="n"/>
      <c r="AE129" s="53" t="n"/>
      <c r="AF129" s="53" t="n"/>
      <c r="AG129" s="53" t="n"/>
      <c r="AH129" s="53" t="n"/>
      <c r="AI129" s="53" t="n"/>
      <c r="AJ129" s="53" t="n"/>
      <c r="AK129" s="53" t="n"/>
      <c r="AL129" s="53" t="n"/>
      <c r="AM129" s="53" t="n"/>
      <c r="AN129" s="53" t="n"/>
      <c r="AO129" s="53" t="n"/>
      <c r="AP129" s="53" t="n"/>
      <c r="AQ129" s="53" t="n"/>
      <c r="AR129" s="53" t="n"/>
      <c r="AS129" s="53" t="n"/>
      <c r="AT129" s="53" t="n"/>
      <c r="AU129" s="53" t="n"/>
      <c r="AV129" s="53" t="n"/>
      <c r="AW129" s="53" t="n"/>
      <c r="AX129" s="53" t="n"/>
      <c r="AY129" s="53" t="n"/>
    </row>
    <row r="130" ht="18" customHeight="1">
      <c r="A130" s="39" t="inlineStr">
        <is>
          <t>마케팅3팀   (131~190행 · 소재 20개)</t>
        </is>
      </c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  <c r="AN130" s="8" t="n"/>
      <c r="AO130" s="8" t="n"/>
      <c r="AP130" s="8" t="n"/>
      <c r="AQ130" s="8" t="n"/>
      <c r="AR130" s="8" t="n"/>
      <c r="AS130" s="8" t="n"/>
      <c r="AT130" s="8" t="n"/>
      <c r="AU130" s="8" t="n"/>
      <c r="AV130" s="8" t="n"/>
      <c r="AW130" s="8" t="n"/>
      <c r="AX130" s="8" t="n"/>
      <c r="AY130" s="4" t="n"/>
    </row>
    <row r="131" ht="15" customHeight="1">
      <c r="A131" s="40">
        <f>IF($D$131="","",41)</f>
        <v/>
      </c>
      <c r="B131" s="10" t="n"/>
      <c r="C131" s="41" t="inlineStr">
        <is>
          <t>마케팅3팀</t>
        </is>
      </c>
      <c r="D131" s="42" t="n"/>
      <c r="E131" s="43" t="inlineStr">
        <is>
          <t>기획</t>
        </is>
      </c>
      <c r="F131" s="44" t="n"/>
      <c r="G131" s="45" t="n"/>
      <c r="H131" s="46">
        <f>IF($I$131="","",IF($I$131&lt;0,"🔴지연",IF($I$131&lt;=1,"🟡임박","🟢여유")))</f>
        <v/>
      </c>
      <c r="I131" s="47">
        <f>IF(OR($G$131="",$K$131=""),"",$G$131-$K$131)</f>
        <v/>
      </c>
      <c r="J131" s="48">
        <f>IF(SUM($L$131:$L$133)=0,"",SUM($L$131:$L$133))</f>
        <v/>
      </c>
      <c r="K131" s="49">
        <f>IF($J$131="","",MAX($N$131:$N$133))</f>
        <v/>
      </c>
      <c r="L131" s="50">
        <f>IF(SUM(U131:AY131)=0,"",SUM(U131:AY131))</f>
        <v/>
      </c>
      <c r="M131" s="51">
        <f>IFERROR(INDEX(U$2:AY$2,MATCH(TRUE,INDEX(U131:AY131&lt;&gt;"",0),0)),"")</f>
        <v/>
      </c>
      <c r="N131" s="51">
        <f>IFERROR(LOOKUP(2,1/(U131:AY131&lt;&gt;""),U$2:AY$2),"")</f>
        <v/>
      </c>
      <c r="O131" s="52" t="n"/>
      <c r="P131" s="52" t="n"/>
      <c r="Q131" s="52" t="n"/>
      <c r="R131" s="44" t="n"/>
      <c r="S131" s="14" t="n"/>
      <c r="U131" s="53" t="n"/>
      <c r="V131" s="53" t="n"/>
      <c r="W131" s="53" t="n"/>
      <c r="X131" s="53" t="n"/>
      <c r="Y131" s="53" t="n"/>
      <c r="Z131" s="53" t="n"/>
      <c r="AA131" s="53" t="n"/>
      <c r="AB131" s="53" t="n"/>
      <c r="AC131" s="53" t="n"/>
      <c r="AD131" s="53" t="n"/>
      <c r="AE131" s="53" t="n"/>
      <c r="AF131" s="53" t="n"/>
      <c r="AG131" s="53" t="n"/>
      <c r="AH131" s="53" t="n"/>
      <c r="AI131" s="53" t="n"/>
      <c r="AJ131" s="53" t="n"/>
      <c r="AK131" s="53" t="n"/>
      <c r="AL131" s="53" t="n"/>
      <c r="AM131" s="53" t="n"/>
      <c r="AN131" s="53" t="n"/>
      <c r="AO131" s="53" t="n"/>
      <c r="AP131" s="53" t="n"/>
      <c r="AQ131" s="53" t="n"/>
      <c r="AR131" s="53" t="n"/>
      <c r="AS131" s="53" t="n"/>
      <c r="AT131" s="53" t="n"/>
      <c r="AU131" s="53" t="n"/>
      <c r="AV131" s="53" t="n"/>
      <c r="AW131" s="53" t="n"/>
      <c r="AX131" s="53" t="n"/>
      <c r="AY131" s="53" t="n"/>
    </row>
    <row r="132" ht="15" customHeight="1">
      <c r="A132" s="54" t="n"/>
      <c r="B132" s="55">
        <f>IF($B$131="","",$B$131)</f>
        <v/>
      </c>
      <c r="C132" s="56" t="inlineStr">
        <is>
          <t>마케팅3팀</t>
        </is>
      </c>
      <c r="D132" s="55">
        <f>IF($D$131="","",$D$131)</f>
        <v/>
      </c>
      <c r="E132" s="57" t="inlineStr">
        <is>
          <t>이미지</t>
        </is>
      </c>
      <c r="F132" s="44" t="n"/>
      <c r="G132" s="58">
        <f>IF($G$131="","",$G$131)</f>
        <v/>
      </c>
      <c r="H132" s="59" t="n"/>
      <c r="I132" s="59" t="n"/>
      <c r="J132" s="59" t="n"/>
      <c r="K132" s="59" t="n"/>
      <c r="L132" s="60">
        <f>IF(SUM(U132:AY132)=0,"",SUM(U132:AY132))</f>
        <v/>
      </c>
      <c r="M132" s="61">
        <f>IFERROR(INDEX(U$2:AY$2,MATCH(TRUE,INDEX(U132:AY132&lt;&gt;"",0),0)),"")</f>
        <v/>
      </c>
      <c r="N132" s="61">
        <f>IFERROR(LOOKUP(2,1/(U132:AY132&lt;&gt;""),U$2:AY$2),"")</f>
        <v/>
      </c>
      <c r="O132" s="59" t="n"/>
      <c r="P132" s="59" t="n"/>
      <c r="Q132" s="59" t="n"/>
      <c r="R132" s="59" t="n"/>
      <c r="S132" s="14" t="n"/>
      <c r="U132" s="53" t="n"/>
      <c r="V132" s="53" t="n"/>
      <c r="W132" s="53" t="n"/>
      <c r="X132" s="53" t="n"/>
      <c r="Y132" s="53" t="n"/>
      <c r="Z132" s="53" t="n"/>
      <c r="AA132" s="53" t="n"/>
      <c r="AB132" s="53" t="n"/>
      <c r="AC132" s="53" t="n"/>
      <c r="AD132" s="53" t="n"/>
      <c r="AE132" s="53" t="n"/>
      <c r="AF132" s="53" t="n"/>
      <c r="AG132" s="53" t="n"/>
      <c r="AH132" s="53" t="n"/>
      <c r="AI132" s="53" t="n"/>
      <c r="AJ132" s="53" t="n"/>
      <c r="AK132" s="53" t="n"/>
      <c r="AL132" s="53" t="n"/>
      <c r="AM132" s="53" t="n"/>
      <c r="AN132" s="53" t="n"/>
      <c r="AO132" s="53" t="n"/>
      <c r="AP132" s="53" t="n"/>
      <c r="AQ132" s="53" t="n"/>
      <c r="AR132" s="53" t="n"/>
      <c r="AS132" s="53" t="n"/>
      <c r="AT132" s="53" t="n"/>
      <c r="AU132" s="53" t="n"/>
      <c r="AV132" s="53" t="n"/>
      <c r="AW132" s="53" t="n"/>
      <c r="AX132" s="53" t="n"/>
      <c r="AY132" s="53" t="n"/>
    </row>
    <row r="133" ht="15" customHeight="1">
      <c r="A133" s="62" t="n"/>
      <c r="B133" s="55">
        <f>IF($B$131="","",$B$131)</f>
        <v/>
      </c>
      <c r="C133" s="63" t="inlineStr">
        <is>
          <t>마케팅3팀</t>
        </is>
      </c>
      <c r="D133" s="55">
        <f>IF($D$131="","",$D$131)</f>
        <v/>
      </c>
      <c r="E133" s="64" t="inlineStr">
        <is>
          <t>영상</t>
        </is>
      </c>
      <c r="F133" s="44" t="n"/>
      <c r="G133" s="58">
        <f>IF($G$131="","",$G$131)</f>
        <v/>
      </c>
      <c r="H133" s="59" t="n"/>
      <c r="I133" s="59" t="n"/>
      <c r="J133" s="59" t="n"/>
      <c r="K133" s="59" t="n"/>
      <c r="L133" s="65">
        <f>IF(SUM(U133:AY133)=0,"",SUM(U133:AY133))</f>
        <v/>
      </c>
      <c r="M133" s="66">
        <f>IFERROR(INDEX(U$2:AY$2,MATCH(TRUE,INDEX(U133:AY133&lt;&gt;"",0),0)),"")</f>
        <v/>
      </c>
      <c r="N133" s="66">
        <f>IFERROR(LOOKUP(2,1/(U133:AY133&lt;&gt;""),U$2:AY$2),"")</f>
        <v/>
      </c>
      <c r="O133" s="59" t="n"/>
      <c r="P133" s="59" t="n"/>
      <c r="Q133" s="59" t="n"/>
      <c r="R133" s="59" t="n"/>
      <c r="S133" s="14" t="n"/>
      <c r="U133" s="53" t="n"/>
      <c r="V133" s="53" t="n"/>
      <c r="W133" s="53" t="n"/>
      <c r="X133" s="53" t="n"/>
      <c r="Y133" s="53" t="n"/>
      <c r="Z133" s="53" t="n"/>
      <c r="AA133" s="53" t="n"/>
      <c r="AB133" s="53" t="n"/>
      <c r="AC133" s="53" t="n"/>
      <c r="AD133" s="53" t="n"/>
      <c r="AE133" s="53" t="n"/>
      <c r="AF133" s="53" t="n"/>
      <c r="AG133" s="53" t="n"/>
      <c r="AH133" s="53" t="n"/>
      <c r="AI133" s="53" t="n"/>
      <c r="AJ133" s="53" t="n"/>
      <c r="AK133" s="53" t="n"/>
      <c r="AL133" s="53" t="n"/>
      <c r="AM133" s="53" t="n"/>
      <c r="AN133" s="53" t="n"/>
      <c r="AO133" s="53" t="n"/>
      <c r="AP133" s="53" t="n"/>
      <c r="AQ133" s="53" t="n"/>
      <c r="AR133" s="53" t="n"/>
      <c r="AS133" s="53" t="n"/>
      <c r="AT133" s="53" t="n"/>
      <c r="AU133" s="53" t="n"/>
      <c r="AV133" s="53" t="n"/>
      <c r="AW133" s="53" t="n"/>
      <c r="AX133" s="53" t="n"/>
      <c r="AY133" s="53" t="n"/>
    </row>
    <row r="134" ht="15" customHeight="1">
      <c r="A134" s="40">
        <f>IF($D$134="","",42)</f>
        <v/>
      </c>
      <c r="B134" s="10" t="n"/>
      <c r="C134" s="41" t="inlineStr">
        <is>
          <t>마케팅3팀</t>
        </is>
      </c>
      <c r="D134" s="42" t="n"/>
      <c r="E134" s="43" t="inlineStr">
        <is>
          <t>기획</t>
        </is>
      </c>
      <c r="F134" s="44" t="n"/>
      <c r="G134" s="45" t="n"/>
      <c r="H134" s="46">
        <f>IF($I$134="","",IF($I$134&lt;0,"🔴지연",IF($I$134&lt;=1,"🟡임박","🟢여유")))</f>
        <v/>
      </c>
      <c r="I134" s="47">
        <f>IF(OR($G$134="",$K$134=""),"",$G$134-$K$134)</f>
        <v/>
      </c>
      <c r="J134" s="48">
        <f>IF(SUM($L$134:$L$136)=0,"",SUM($L$134:$L$136))</f>
        <v/>
      </c>
      <c r="K134" s="49">
        <f>IF($J$134="","",MAX($N$134:$N$136))</f>
        <v/>
      </c>
      <c r="L134" s="50">
        <f>IF(SUM(U134:AY134)=0,"",SUM(U134:AY134))</f>
        <v/>
      </c>
      <c r="M134" s="51">
        <f>IFERROR(INDEX(U$2:AY$2,MATCH(TRUE,INDEX(U134:AY134&lt;&gt;"",0),0)),"")</f>
        <v/>
      </c>
      <c r="N134" s="51">
        <f>IFERROR(LOOKUP(2,1/(U134:AY134&lt;&gt;""),U$2:AY$2),"")</f>
        <v/>
      </c>
      <c r="O134" s="52" t="n"/>
      <c r="P134" s="52" t="n"/>
      <c r="Q134" s="52" t="n"/>
      <c r="R134" s="44" t="n"/>
      <c r="S134" s="14" t="n"/>
      <c r="U134" s="53" t="n"/>
      <c r="V134" s="53" t="n"/>
      <c r="W134" s="53" t="n"/>
      <c r="X134" s="53" t="n"/>
      <c r="Y134" s="53" t="n"/>
      <c r="Z134" s="53" t="n"/>
      <c r="AA134" s="53" t="n"/>
      <c r="AB134" s="53" t="n"/>
      <c r="AC134" s="53" t="n"/>
      <c r="AD134" s="53" t="n"/>
      <c r="AE134" s="53" t="n"/>
      <c r="AF134" s="53" t="n"/>
      <c r="AG134" s="53" t="n"/>
      <c r="AH134" s="53" t="n"/>
      <c r="AI134" s="53" t="n"/>
      <c r="AJ134" s="53" t="n"/>
      <c r="AK134" s="53" t="n"/>
      <c r="AL134" s="53" t="n"/>
      <c r="AM134" s="53" t="n"/>
      <c r="AN134" s="53" t="n"/>
      <c r="AO134" s="53" t="n"/>
      <c r="AP134" s="53" t="n"/>
      <c r="AQ134" s="53" t="n"/>
      <c r="AR134" s="53" t="n"/>
      <c r="AS134" s="53" t="n"/>
      <c r="AT134" s="53" t="n"/>
      <c r="AU134" s="53" t="n"/>
      <c r="AV134" s="53" t="n"/>
      <c r="AW134" s="53" t="n"/>
      <c r="AX134" s="53" t="n"/>
      <c r="AY134" s="53" t="n"/>
    </row>
    <row r="135" ht="15" customHeight="1">
      <c r="A135" s="54" t="n"/>
      <c r="B135" s="55">
        <f>IF($B$134="","",$B$134)</f>
        <v/>
      </c>
      <c r="C135" s="56" t="inlineStr">
        <is>
          <t>마케팅3팀</t>
        </is>
      </c>
      <c r="D135" s="55">
        <f>IF($D$134="","",$D$134)</f>
        <v/>
      </c>
      <c r="E135" s="57" t="inlineStr">
        <is>
          <t>이미지</t>
        </is>
      </c>
      <c r="F135" s="44" t="n"/>
      <c r="G135" s="58">
        <f>IF($G$134="","",$G$134)</f>
        <v/>
      </c>
      <c r="H135" s="59" t="n"/>
      <c r="I135" s="59" t="n"/>
      <c r="J135" s="59" t="n"/>
      <c r="K135" s="59" t="n"/>
      <c r="L135" s="60">
        <f>IF(SUM(U135:AY135)=0,"",SUM(U135:AY135))</f>
        <v/>
      </c>
      <c r="M135" s="61">
        <f>IFERROR(INDEX(U$2:AY$2,MATCH(TRUE,INDEX(U135:AY135&lt;&gt;"",0),0)),"")</f>
        <v/>
      </c>
      <c r="N135" s="61">
        <f>IFERROR(LOOKUP(2,1/(U135:AY135&lt;&gt;""),U$2:AY$2),"")</f>
        <v/>
      </c>
      <c r="O135" s="59" t="n"/>
      <c r="P135" s="59" t="n"/>
      <c r="Q135" s="59" t="n"/>
      <c r="R135" s="59" t="n"/>
      <c r="S135" s="14" t="n"/>
      <c r="U135" s="53" t="n"/>
      <c r="V135" s="53" t="n"/>
      <c r="W135" s="53" t="n"/>
      <c r="X135" s="53" t="n"/>
      <c r="Y135" s="53" t="n"/>
      <c r="Z135" s="53" t="n"/>
      <c r="AA135" s="53" t="n"/>
      <c r="AB135" s="53" t="n"/>
      <c r="AC135" s="53" t="n"/>
      <c r="AD135" s="53" t="n"/>
      <c r="AE135" s="53" t="n"/>
      <c r="AF135" s="53" t="n"/>
      <c r="AG135" s="53" t="n"/>
      <c r="AH135" s="53" t="n"/>
      <c r="AI135" s="53" t="n"/>
      <c r="AJ135" s="53" t="n"/>
      <c r="AK135" s="53" t="n"/>
      <c r="AL135" s="53" t="n"/>
      <c r="AM135" s="53" t="n"/>
      <c r="AN135" s="53" t="n"/>
      <c r="AO135" s="53" t="n"/>
      <c r="AP135" s="53" t="n"/>
      <c r="AQ135" s="53" t="n"/>
      <c r="AR135" s="53" t="n"/>
      <c r="AS135" s="53" t="n"/>
      <c r="AT135" s="53" t="n"/>
      <c r="AU135" s="53" t="n"/>
      <c r="AV135" s="53" t="n"/>
      <c r="AW135" s="53" t="n"/>
      <c r="AX135" s="53" t="n"/>
      <c r="AY135" s="53" t="n"/>
    </row>
    <row r="136" ht="15" customHeight="1">
      <c r="A136" s="62" t="n"/>
      <c r="B136" s="55">
        <f>IF($B$134="","",$B$134)</f>
        <v/>
      </c>
      <c r="C136" s="63" t="inlineStr">
        <is>
          <t>마케팅3팀</t>
        </is>
      </c>
      <c r="D136" s="55">
        <f>IF($D$134="","",$D$134)</f>
        <v/>
      </c>
      <c r="E136" s="64" t="inlineStr">
        <is>
          <t>영상</t>
        </is>
      </c>
      <c r="F136" s="44" t="n"/>
      <c r="G136" s="58">
        <f>IF($G$134="","",$G$134)</f>
        <v/>
      </c>
      <c r="H136" s="59" t="n"/>
      <c r="I136" s="59" t="n"/>
      <c r="J136" s="59" t="n"/>
      <c r="K136" s="59" t="n"/>
      <c r="L136" s="65">
        <f>IF(SUM(U136:AY136)=0,"",SUM(U136:AY136))</f>
        <v/>
      </c>
      <c r="M136" s="66">
        <f>IFERROR(INDEX(U$2:AY$2,MATCH(TRUE,INDEX(U136:AY136&lt;&gt;"",0),0)),"")</f>
        <v/>
      </c>
      <c r="N136" s="66">
        <f>IFERROR(LOOKUP(2,1/(U136:AY136&lt;&gt;""),U$2:AY$2),"")</f>
        <v/>
      </c>
      <c r="O136" s="59" t="n"/>
      <c r="P136" s="59" t="n"/>
      <c r="Q136" s="59" t="n"/>
      <c r="R136" s="59" t="n"/>
      <c r="S136" s="14" t="n"/>
      <c r="U136" s="53" t="n"/>
      <c r="V136" s="53" t="n"/>
      <c r="W136" s="53" t="n"/>
      <c r="X136" s="53" t="n"/>
      <c r="Y136" s="53" t="n"/>
      <c r="Z136" s="53" t="n"/>
      <c r="AA136" s="53" t="n"/>
      <c r="AB136" s="53" t="n"/>
      <c r="AC136" s="53" t="n"/>
      <c r="AD136" s="53" t="n"/>
      <c r="AE136" s="53" t="n"/>
      <c r="AF136" s="53" t="n"/>
      <c r="AG136" s="53" t="n"/>
      <c r="AH136" s="53" t="n"/>
      <c r="AI136" s="53" t="n"/>
      <c r="AJ136" s="53" t="n"/>
      <c r="AK136" s="53" t="n"/>
      <c r="AL136" s="53" t="n"/>
      <c r="AM136" s="53" t="n"/>
      <c r="AN136" s="53" t="n"/>
      <c r="AO136" s="53" t="n"/>
      <c r="AP136" s="53" t="n"/>
      <c r="AQ136" s="53" t="n"/>
      <c r="AR136" s="53" t="n"/>
      <c r="AS136" s="53" t="n"/>
      <c r="AT136" s="53" t="n"/>
      <c r="AU136" s="53" t="n"/>
      <c r="AV136" s="53" t="n"/>
      <c r="AW136" s="53" t="n"/>
      <c r="AX136" s="53" t="n"/>
      <c r="AY136" s="53" t="n"/>
    </row>
    <row r="137" ht="15" customHeight="1">
      <c r="A137" s="40">
        <f>IF($D$137="","",43)</f>
        <v/>
      </c>
      <c r="B137" s="10" t="n"/>
      <c r="C137" s="41" t="inlineStr">
        <is>
          <t>마케팅3팀</t>
        </is>
      </c>
      <c r="D137" s="42" t="n"/>
      <c r="E137" s="43" t="inlineStr">
        <is>
          <t>기획</t>
        </is>
      </c>
      <c r="F137" s="44" t="n"/>
      <c r="G137" s="45" t="n"/>
      <c r="H137" s="46">
        <f>IF($I$137="","",IF($I$137&lt;0,"🔴지연",IF($I$137&lt;=1,"🟡임박","🟢여유")))</f>
        <v/>
      </c>
      <c r="I137" s="47">
        <f>IF(OR($G$137="",$K$137=""),"",$G$137-$K$137)</f>
        <v/>
      </c>
      <c r="J137" s="48">
        <f>IF(SUM($L$137:$L$139)=0,"",SUM($L$137:$L$139))</f>
        <v/>
      </c>
      <c r="K137" s="49">
        <f>IF($J$137="","",MAX($N$137:$N$139))</f>
        <v/>
      </c>
      <c r="L137" s="50">
        <f>IF(SUM(U137:AY137)=0,"",SUM(U137:AY137))</f>
        <v/>
      </c>
      <c r="M137" s="51">
        <f>IFERROR(INDEX(U$2:AY$2,MATCH(TRUE,INDEX(U137:AY137&lt;&gt;"",0),0)),"")</f>
        <v/>
      </c>
      <c r="N137" s="51">
        <f>IFERROR(LOOKUP(2,1/(U137:AY137&lt;&gt;""),U$2:AY$2),"")</f>
        <v/>
      </c>
      <c r="O137" s="52" t="n"/>
      <c r="P137" s="52" t="n"/>
      <c r="Q137" s="52" t="n"/>
      <c r="R137" s="44" t="n"/>
      <c r="S137" s="14" t="n"/>
      <c r="U137" s="53" t="n"/>
      <c r="V137" s="53" t="n"/>
      <c r="W137" s="53" t="n"/>
      <c r="X137" s="53" t="n"/>
      <c r="Y137" s="53" t="n"/>
      <c r="Z137" s="53" t="n"/>
      <c r="AA137" s="53" t="n"/>
      <c r="AB137" s="53" t="n"/>
      <c r="AC137" s="53" t="n"/>
      <c r="AD137" s="53" t="n"/>
      <c r="AE137" s="53" t="n"/>
      <c r="AF137" s="53" t="n"/>
      <c r="AG137" s="53" t="n"/>
      <c r="AH137" s="53" t="n"/>
      <c r="AI137" s="53" t="n"/>
      <c r="AJ137" s="53" t="n"/>
      <c r="AK137" s="53" t="n"/>
      <c r="AL137" s="53" t="n"/>
      <c r="AM137" s="53" t="n"/>
      <c r="AN137" s="53" t="n"/>
      <c r="AO137" s="53" t="n"/>
      <c r="AP137" s="53" t="n"/>
      <c r="AQ137" s="53" t="n"/>
      <c r="AR137" s="53" t="n"/>
      <c r="AS137" s="53" t="n"/>
      <c r="AT137" s="53" t="n"/>
      <c r="AU137" s="53" t="n"/>
      <c r="AV137" s="53" t="n"/>
      <c r="AW137" s="53" t="n"/>
      <c r="AX137" s="53" t="n"/>
      <c r="AY137" s="53" t="n"/>
    </row>
    <row r="138" ht="15" customHeight="1">
      <c r="A138" s="54" t="n"/>
      <c r="B138" s="55">
        <f>IF($B$137="","",$B$137)</f>
        <v/>
      </c>
      <c r="C138" s="56" t="inlineStr">
        <is>
          <t>마케팅3팀</t>
        </is>
      </c>
      <c r="D138" s="55">
        <f>IF($D$137="","",$D$137)</f>
        <v/>
      </c>
      <c r="E138" s="57" t="inlineStr">
        <is>
          <t>이미지</t>
        </is>
      </c>
      <c r="F138" s="44" t="n"/>
      <c r="G138" s="58">
        <f>IF($G$137="","",$G$137)</f>
        <v/>
      </c>
      <c r="H138" s="59" t="n"/>
      <c r="I138" s="59" t="n"/>
      <c r="J138" s="59" t="n"/>
      <c r="K138" s="59" t="n"/>
      <c r="L138" s="60">
        <f>IF(SUM(U138:AY138)=0,"",SUM(U138:AY138))</f>
        <v/>
      </c>
      <c r="M138" s="61">
        <f>IFERROR(INDEX(U$2:AY$2,MATCH(TRUE,INDEX(U138:AY138&lt;&gt;"",0),0)),"")</f>
        <v/>
      </c>
      <c r="N138" s="61">
        <f>IFERROR(LOOKUP(2,1/(U138:AY138&lt;&gt;""),U$2:AY$2),"")</f>
        <v/>
      </c>
      <c r="O138" s="59" t="n"/>
      <c r="P138" s="59" t="n"/>
      <c r="Q138" s="59" t="n"/>
      <c r="R138" s="59" t="n"/>
      <c r="S138" s="14" t="n"/>
      <c r="U138" s="53" t="n"/>
      <c r="V138" s="53" t="n"/>
      <c r="W138" s="53" t="n"/>
      <c r="X138" s="53" t="n"/>
      <c r="Y138" s="53" t="n"/>
      <c r="Z138" s="53" t="n"/>
      <c r="AA138" s="53" t="n"/>
      <c r="AB138" s="53" t="n"/>
      <c r="AC138" s="53" t="n"/>
      <c r="AD138" s="53" t="n"/>
      <c r="AE138" s="53" t="n"/>
      <c r="AF138" s="53" t="n"/>
      <c r="AG138" s="53" t="n"/>
      <c r="AH138" s="53" t="n"/>
      <c r="AI138" s="53" t="n"/>
      <c r="AJ138" s="53" t="n"/>
      <c r="AK138" s="53" t="n"/>
      <c r="AL138" s="53" t="n"/>
      <c r="AM138" s="53" t="n"/>
      <c r="AN138" s="53" t="n"/>
      <c r="AO138" s="53" t="n"/>
      <c r="AP138" s="53" t="n"/>
      <c r="AQ138" s="53" t="n"/>
      <c r="AR138" s="53" t="n"/>
      <c r="AS138" s="53" t="n"/>
      <c r="AT138" s="53" t="n"/>
      <c r="AU138" s="53" t="n"/>
      <c r="AV138" s="53" t="n"/>
      <c r="AW138" s="53" t="n"/>
      <c r="AX138" s="53" t="n"/>
      <c r="AY138" s="53" t="n"/>
    </row>
    <row r="139" ht="15" customHeight="1">
      <c r="A139" s="62" t="n"/>
      <c r="B139" s="55">
        <f>IF($B$137="","",$B$137)</f>
        <v/>
      </c>
      <c r="C139" s="63" t="inlineStr">
        <is>
          <t>마케팅3팀</t>
        </is>
      </c>
      <c r="D139" s="55">
        <f>IF($D$137="","",$D$137)</f>
        <v/>
      </c>
      <c r="E139" s="64" t="inlineStr">
        <is>
          <t>영상</t>
        </is>
      </c>
      <c r="F139" s="44" t="n"/>
      <c r="G139" s="58">
        <f>IF($G$137="","",$G$137)</f>
        <v/>
      </c>
      <c r="H139" s="59" t="n"/>
      <c r="I139" s="59" t="n"/>
      <c r="J139" s="59" t="n"/>
      <c r="K139" s="59" t="n"/>
      <c r="L139" s="65">
        <f>IF(SUM(U139:AY139)=0,"",SUM(U139:AY139))</f>
        <v/>
      </c>
      <c r="M139" s="66">
        <f>IFERROR(INDEX(U$2:AY$2,MATCH(TRUE,INDEX(U139:AY139&lt;&gt;"",0),0)),"")</f>
        <v/>
      </c>
      <c r="N139" s="66">
        <f>IFERROR(LOOKUP(2,1/(U139:AY139&lt;&gt;""),U$2:AY$2),"")</f>
        <v/>
      </c>
      <c r="O139" s="59" t="n"/>
      <c r="P139" s="59" t="n"/>
      <c r="Q139" s="59" t="n"/>
      <c r="R139" s="59" t="n"/>
      <c r="S139" s="14" t="n"/>
      <c r="U139" s="53" t="n"/>
      <c r="V139" s="53" t="n"/>
      <c r="W139" s="53" t="n"/>
      <c r="X139" s="53" t="n"/>
      <c r="Y139" s="53" t="n"/>
      <c r="Z139" s="53" t="n"/>
      <c r="AA139" s="53" t="n"/>
      <c r="AB139" s="53" t="n"/>
      <c r="AC139" s="53" t="n"/>
      <c r="AD139" s="53" t="n"/>
      <c r="AE139" s="53" t="n"/>
      <c r="AF139" s="53" t="n"/>
      <c r="AG139" s="53" t="n"/>
      <c r="AH139" s="53" t="n"/>
      <c r="AI139" s="53" t="n"/>
      <c r="AJ139" s="53" t="n"/>
      <c r="AK139" s="53" t="n"/>
      <c r="AL139" s="53" t="n"/>
      <c r="AM139" s="53" t="n"/>
      <c r="AN139" s="53" t="n"/>
      <c r="AO139" s="53" t="n"/>
      <c r="AP139" s="53" t="n"/>
      <c r="AQ139" s="53" t="n"/>
      <c r="AR139" s="53" t="n"/>
      <c r="AS139" s="53" t="n"/>
      <c r="AT139" s="53" t="n"/>
      <c r="AU139" s="53" t="n"/>
      <c r="AV139" s="53" t="n"/>
      <c r="AW139" s="53" t="n"/>
      <c r="AX139" s="53" t="n"/>
      <c r="AY139" s="53" t="n"/>
    </row>
    <row r="140" ht="15" customHeight="1">
      <c r="A140" s="40">
        <f>IF($D$140="","",44)</f>
        <v/>
      </c>
      <c r="B140" s="10" t="n"/>
      <c r="C140" s="41" t="inlineStr">
        <is>
          <t>마케팅3팀</t>
        </is>
      </c>
      <c r="D140" s="42" t="n"/>
      <c r="E140" s="43" t="inlineStr">
        <is>
          <t>기획</t>
        </is>
      </c>
      <c r="F140" s="44" t="n"/>
      <c r="G140" s="45" t="n"/>
      <c r="H140" s="46">
        <f>IF($I$140="","",IF($I$140&lt;0,"🔴지연",IF($I$140&lt;=1,"🟡임박","🟢여유")))</f>
        <v/>
      </c>
      <c r="I140" s="47">
        <f>IF(OR($G$140="",$K$140=""),"",$G$140-$K$140)</f>
        <v/>
      </c>
      <c r="J140" s="48">
        <f>IF(SUM($L$140:$L$142)=0,"",SUM($L$140:$L$142))</f>
        <v/>
      </c>
      <c r="K140" s="49">
        <f>IF($J$140="","",MAX($N$140:$N$142))</f>
        <v/>
      </c>
      <c r="L140" s="50">
        <f>IF(SUM(U140:AY140)=0,"",SUM(U140:AY140))</f>
        <v/>
      </c>
      <c r="M140" s="51">
        <f>IFERROR(INDEX(U$2:AY$2,MATCH(TRUE,INDEX(U140:AY140&lt;&gt;"",0),0)),"")</f>
        <v/>
      </c>
      <c r="N140" s="51">
        <f>IFERROR(LOOKUP(2,1/(U140:AY140&lt;&gt;""),U$2:AY$2),"")</f>
        <v/>
      </c>
      <c r="O140" s="52" t="n"/>
      <c r="P140" s="52" t="n"/>
      <c r="Q140" s="52" t="n"/>
      <c r="R140" s="44" t="n"/>
      <c r="S140" s="14" t="n"/>
      <c r="U140" s="53" t="n"/>
      <c r="V140" s="53" t="n"/>
      <c r="W140" s="53" t="n"/>
      <c r="X140" s="53" t="n"/>
      <c r="Y140" s="53" t="n"/>
      <c r="Z140" s="53" t="n"/>
      <c r="AA140" s="53" t="n"/>
      <c r="AB140" s="53" t="n"/>
      <c r="AC140" s="53" t="n"/>
      <c r="AD140" s="53" t="n"/>
      <c r="AE140" s="53" t="n"/>
      <c r="AF140" s="53" t="n"/>
      <c r="AG140" s="53" t="n"/>
      <c r="AH140" s="53" t="n"/>
      <c r="AI140" s="53" t="n"/>
      <c r="AJ140" s="53" t="n"/>
      <c r="AK140" s="53" t="n"/>
      <c r="AL140" s="53" t="n"/>
      <c r="AM140" s="53" t="n"/>
      <c r="AN140" s="53" t="n"/>
      <c r="AO140" s="53" t="n"/>
      <c r="AP140" s="53" t="n"/>
      <c r="AQ140" s="53" t="n"/>
      <c r="AR140" s="53" t="n"/>
      <c r="AS140" s="53" t="n"/>
      <c r="AT140" s="53" t="n"/>
      <c r="AU140" s="53" t="n"/>
      <c r="AV140" s="53" t="n"/>
      <c r="AW140" s="53" t="n"/>
      <c r="AX140" s="53" t="n"/>
      <c r="AY140" s="53" t="n"/>
    </row>
    <row r="141" ht="15" customHeight="1">
      <c r="A141" s="54" t="n"/>
      <c r="B141" s="55">
        <f>IF($B$140="","",$B$140)</f>
        <v/>
      </c>
      <c r="C141" s="56" t="inlineStr">
        <is>
          <t>마케팅3팀</t>
        </is>
      </c>
      <c r="D141" s="55">
        <f>IF($D$140="","",$D$140)</f>
        <v/>
      </c>
      <c r="E141" s="57" t="inlineStr">
        <is>
          <t>이미지</t>
        </is>
      </c>
      <c r="F141" s="44" t="n"/>
      <c r="G141" s="58">
        <f>IF($G$140="","",$G$140)</f>
        <v/>
      </c>
      <c r="H141" s="59" t="n"/>
      <c r="I141" s="59" t="n"/>
      <c r="J141" s="59" t="n"/>
      <c r="K141" s="59" t="n"/>
      <c r="L141" s="60">
        <f>IF(SUM(U141:AY141)=0,"",SUM(U141:AY141))</f>
        <v/>
      </c>
      <c r="M141" s="61">
        <f>IFERROR(INDEX(U$2:AY$2,MATCH(TRUE,INDEX(U141:AY141&lt;&gt;"",0),0)),"")</f>
        <v/>
      </c>
      <c r="N141" s="61">
        <f>IFERROR(LOOKUP(2,1/(U141:AY141&lt;&gt;""),U$2:AY$2),"")</f>
        <v/>
      </c>
      <c r="O141" s="59" t="n"/>
      <c r="P141" s="59" t="n"/>
      <c r="Q141" s="59" t="n"/>
      <c r="R141" s="59" t="n"/>
      <c r="S141" s="14" t="n"/>
      <c r="U141" s="53" t="n"/>
      <c r="V141" s="53" t="n"/>
      <c r="W141" s="53" t="n"/>
      <c r="X141" s="53" t="n"/>
      <c r="Y141" s="53" t="n"/>
      <c r="Z141" s="53" t="n"/>
      <c r="AA141" s="53" t="n"/>
      <c r="AB141" s="53" t="n"/>
      <c r="AC141" s="53" t="n"/>
      <c r="AD141" s="53" t="n"/>
      <c r="AE141" s="53" t="n"/>
      <c r="AF141" s="53" t="n"/>
      <c r="AG141" s="53" t="n"/>
      <c r="AH141" s="53" t="n"/>
      <c r="AI141" s="53" t="n"/>
      <c r="AJ141" s="53" t="n"/>
      <c r="AK141" s="53" t="n"/>
      <c r="AL141" s="53" t="n"/>
      <c r="AM141" s="53" t="n"/>
      <c r="AN141" s="53" t="n"/>
      <c r="AO141" s="53" t="n"/>
      <c r="AP141" s="53" t="n"/>
      <c r="AQ141" s="53" t="n"/>
      <c r="AR141" s="53" t="n"/>
      <c r="AS141" s="53" t="n"/>
      <c r="AT141" s="53" t="n"/>
      <c r="AU141" s="53" t="n"/>
      <c r="AV141" s="53" t="n"/>
      <c r="AW141" s="53" t="n"/>
      <c r="AX141" s="53" t="n"/>
      <c r="AY141" s="53" t="n"/>
    </row>
    <row r="142" ht="15" customHeight="1">
      <c r="A142" s="62" t="n"/>
      <c r="B142" s="55">
        <f>IF($B$140="","",$B$140)</f>
        <v/>
      </c>
      <c r="C142" s="63" t="inlineStr">
        <is>
          <t>마케팅3팀</t>
        </is>
      </c>
      <c r="D142" s="55">
        <f>IF($D$140="","",$D$140)</f>
        <v/>
      </c>
      <c r="E142" s="64" t="inlineStr">
        <is>
          <t>영상</t>
        </is>
      </c>
      <c r="F142" s="44" t="n"/>
      <c r="G142" s="58">
        <f>IF($G$140="","",$G$140)</f>
        <v/>
      </c>
      <c r="H142" s="59" t="n"/>
      <c r="I142" s="59" t="n"/>
      <c r="J142" s="59" t="n"/>
      <c r="K142" s="59" t="n"/>
      <c r="L142" s="65">
        <f>IF(SUM(U142:AY142)=0,"",SUM(U142:AY142))</f>
        <v/>
      </c>
      <c r="M142" s="66">
        <f>IFERROR(INDEX(U$2:AY$2,MATCH(TRUE,INDEX(U142:AY142&lt;&gt;"",0),0)),"")</f>
        <v/>
      </c>
      <c r="N142" s="66">
        <f>IFERROR(LOOKUP(2,1/(U142:AY142&lt;&gt;""),U$2:AY$2),"")</f>
        <v/>
      </c>
      <c r="O142" s="59" t="n"/>
      <c r="P142" s="59" t="n"/>
      <c r="Q142" s="59" t="n"/>
      <c r="R142" s="59" t="n"/>
      <c r="S142" s="14" t="n"/>
      <c r="U142" s="53" t="n"/>
      <c r="V142" s="53" t="n"/>
      <c r="W142" s="53" t="n"/>
      <c r="X142" s="53" t="n"/>
      <c r="Y142" s="53" t="n"/>
      <c r="Z142" s="53" t="n"/>
      <c r="AA142" s="53" t="n"/>
      <c r="AB142" s="53" t="n"/>
      <c r="AC142" s="53" t="n"/>
      <c r="AD142" s="53" t="n"/>
      <c r="AE142" s="53" t="n"/>
      <c r="AF142" s="53" t="n"/>
      <c r="AG142" s="53" t="n"/>
      <c r="AH142" s="53" t="n"/>
      <c r="AI142" s="53" t="n"/>
      <c r="AJ142" s="53" t="n"/>
      <c r="AK142" s="53" t="n"/>
      <c r="AL142" s="53" t="n"/>
      <c r="AM142" s="53" t="n"/>
      <c r="AN142" s="53" t="n"/>
      <c r="AO142" s="53" t="n"/>
      <c r="AP142" s="53" t="n"/>
      <c r="AQ142" s="53" t="n"/>
      <c r="AR142" s="53" t="n"/>
      <c r="AS142" s="53" t="n"/>
      <c r="AT142" s="53" t="n"/>
      <c r="AU142" s="53" t="n"/>
      <c r="AV142" s="53" t="n"/>
      <c r="AW142" s="53" t="n"/>
      <c r="AX142" s="53" t="n"/>
      <c r="AY142" s="53" t="n"/>
    </row>
    <row r="143" ht="15" customHeight="1">
      <c r="A143" s="40">
        <f>IF($D$143="","",45)</f>
        <v/>
      </c>
      <c r="B143" s="10" t="n"/>
      <c r="C143" s="41" t="inlineStr">
        <is>
          <t>마케팅3팀</t>
        </is>
      </c>
      <c r="D143" s="42" t="n"/>
      <c r="E143" s="43" t="inlineStr">
        <is>
          <t>기획</t>
        </is>
      </c>
      <c r="F143" s="44" t="n"/>
      <c r="G143" s="45" t="n"/>
      <c r="H143" s="46">
        <f>IF($I$143="","",IF($I$143&lt;0,"🔴지연",IF($I$143&lt;=1,"🟡임박","🟢여유")))</f>
        <v/>
      </c>
      <c r="I143" s="47">
        <f>IF(OR($G$143="",$K$143=""),"",$G$143-$K$143)</f>
        <v/>
      </c>
      <c r="J143" s="48">
        <f>IF(SUM($L$143:$L$145)=0,"",SUM($L$143:$L$145))</f>
        <v/>
      </c>
      <c r="K143" s="49">
        <f>IF($J$143="","",MAX($N$143:$N$145))</f>
        <v/>
      </c>
      <c r="L143" s="50">
        <f>IF(SUM(U143:AY143)=0,"",SUM(U143:AY143))</f>
        <v/>
      </c>
      <c r="M143" s="51">
        <f>IFERROR(INDEX(U$2:AY$2,MATCH(TRUE,INDEX(U143:AY143&lt;&gt;"",0),0)),"")</f>
        <v/>
      </c>
      <c r="N143" s="51">
        <f>IFERROR(LOOKUP(2,1/(U143:AY143&lt;&gt;""),U$2:AY$2),"")</f>
        <v/>
      </c>
      <c r="O143" s="52" t="n"/>
      <c r="P143" s="52" t="n"/>
      <c r="Q143" s="52" t="n"/>
      <c r="R143" s="44" t="n"/>
      <c r="S143" s="14" t="n"/>
      <c r="U143" s="53" t="n"/>
      <c r="V143" s="53" t="n"/>
      <c r="W143" s="53" t="n"/>
      <c r="X143" s="53" t="n"/>
      <c r="Y143" s="53" t="n"/>
      <c r="Z143" s="53" t="n"/>
      <c r="AA143" s="53" t="n"/>
      <c r="AB143" s="53" t="n"/>
      <c r="AC143" s="53" t="n"/>
      <c r="AD143" s="53" t="n"/>
      <c r="AE143" s="53" t="n"/>
      <c r="AF143" s="53" t="n"/>
      <c r="AG143" s="53" t="n"/>
      <c r="AH143" s="53" t="n"/>
      <c r="AI143" s="53" t="n"/>
      <c r="AJ143" s="53" t="n"/>
      <c r="AK143" s="53" t="n"/>
      <c r="AL143" s="53" t="n"/>
      <c r="AM143" s="53" t="n"/>
      <c r="AN143" s="53" t="n"/>
      <c r="AO143" s="53" t="n"/>
      <c r="AP143" s="53" t="n"/>
      <c r="AQ143" s="53" t="n"/>
      <c r="AR143" s="53" t="n"/>
      <c r="AS143" s="53" t="n"/>
      <c r="AT143" s="53" t="n"/>
      <c r="AU143" s="53" t="n"/>
      <c r="AV143" s="53" t="n"/>
      <c r="AW143" s="53" t="n"/>
      <c r="AX143" s="53" t="n"/>
      <c r="AY143" s="53" t="n"/>
    </row>
    <row r="144" ht="15" customHeight="1">
      <c r="A144" s="54" t="n"/>
      <c r="B144" s="55">
        <f>IF($B$143="","",$B$143)</f>
        <v/>
      </c>
      <c r="C144" s="56" t="inlineStr">
        <is>
          <t>마케팅3팀</t>
        </is>
      </c>
      <c r="D144" s="55">
        <f>IF($D$143="","",$D$143)</f>
        <v/>
      </c>
      <c r="E144" s="57" t="inlineStr">
        <is>
          <t>이미지</t>
        </is>
      </c>
      <c r="F144" s="44" t="n"/>
      <c r="G144" s="58">
        <f>IF($G$143="","",$G$143)</f>
        <v/>
      </c>
      <c r="H144" s="59" t="n"/>
      <c r="I144" s="59" t="n"/>
      <c r="J144" s="59" t="n"/>
      <c r="K144" s="59" t="n"/>
      <c r="L144" s="60">
        <f>IF(SUM(U144:AY144)=0,"",SUM(U144:AY144))</f>
        <v/>
      </c>
      <c r="M144" s="61">
        <f>IFERROR(INDEX(U$2:AY$2,MATCH(TRUE,INDEX(U144:AY144&lt;&gt;"",0),0)),"")</f>
        <v/>
      </c>
      <c r="N144" s="61">
        <f>IFERROR(LOOKUP(2,1/(U144:AY144&lt;&gt;""),U$2:AY$2),"")</f>
        <v/>
      </c>
      <c r="O144" s="59" t="n"/>
      <c r="P144" s="59" t="n"/>
      <c r="Q144" s="59" t="n"/>
      <c r="R144" s="59" t="n"/>
      <c r="S144" s="14" t="n"/>
      <c r="U144" s="53" t="n"/>
      <c r="V144" s="53" t="n"/>
      <c r="W144" s="53" t="n"/>
      <c r="X144" s="53" t="n"/>
      <c r="Y144" s="53" t="n"/>
      <c r="Z144" s="53" t="n"/>
      <c r="AA144" s="53" t="n"/>
      <c r="AB144" s="53" t="n"/>
      <c r="AC144" s="53" t="n"/>
      <c r="AD144" s="53" t="n"/>
      <c r="AE144" s="53" t="n"/>
      <c r="AF144" s="53" t="n"/>
      <c r="AG144" s="53" t="n"/>
      <c r="AH144" s="53" t="n"/>
      <c r="AI144" s="53" t="n"/>
      <c r="AJ144" s="53" t="n"/>
      <c r="AK144" s="53" t="n"/>
      <c r="AL144" s="53" t="n"/>
      <c r="AM144" s="53" t="n"/>
      <c r="AN144" s="53" t="n"/>
      <c r="AO144" s="53" t="n"/>
      <c r="AP144" s="53" t="n"/>
      <c r="AQ144" s="53" t="n"/>
      <c r="AR144" s="53" t="n"/>
      <c r="AS144" s="53" t="n"/>
      <c r="AT144" s="53" t="n"/>
      <c r="AU144" s="53" t="n"/>
      <c r="AV144" s="53" t="n"/>
      <c r="AW144" s="53" t="n"/>
      <c r="AX144" s="53" t="n"/>
      <c r="AY144" s="53" t="n"/>
    </row>
    <row r="145" ht="15" customHeight="1">
      <c r="A145" s="62" t="n"/>
      <c r="B145" s="55">
        <f>IF($B$143="","",$B$143)</f>
        <v/>
      </c>
      <c r="C145" s="63" t="inlineStr">
        <is>
          <t>마케팅3팀</t>
        </is>
      </c>
      <c r="D145" s="55">
        <f>IF($D$143="","",$D$143)</f>
        <v/>
      </c>
      <c r="E145" s="64" t="inlineStr">
        <is>
          <t>영상</t>
        </is>
      </c>
      <c r="F145" s="44" t="n"/>
      <c r="G145" s="58">
        <f>IF($G$143="","",$G$143)</f>
        <v/>
      </c>
      <c r="H145" s="59" t="n"/>
      <c r="I145" s="59" t="n"/>
      <c r="J145" s="59" t="n"/>
      <c r="K145" s="59" t="n"/>
      <c r="L145" s="65">
        <f>IF(SUM(U145:AY145)=0,"",SUM(U145:AY145))</f>
        <v/>
      </c>
      <c r="M145" s="66">
        <f>IFERROR(INDEX(U$2:AY$2,MATCH(TRUE,INDEX(U145:AY145&lt;&gt;"",0),0)),"")</f>
        <v/>
      </c>
      <c r="N145" s="66">
        <f>IFERROR(LOOKUP(2,1/(U145:AY145&lt;&gt;""),U$2:AY$2),"")</f>
        <v/>
      </c>
      <c r="O145" s="59" t="n"/>
      <c r="P145" s="59" t="n"/>
      <c r="Q145" s="59" t="n"/>
      <c r="R145" s="59" t="n"/>
      <c r="S145" s="14" t="n"/>
      <c r="U145" s="53" t="n"/>
      <c r="V145" s="53" t="n"/>
      <c r="W145" s="53" t="n"/>
      <c r="X145" s="53" t="n"/>
      <c r="Y145" s="53" t="n"/>
      <c r="Z145" s="53" t="n"/>
      <c r="AA145" s="53" t="n"/>
      <c r="AB145" s="53" t="n"/>
      <c r="AC145" s="53" t="n"/>
      <c r="AD145" s="53" t="n"/>
      <c r="AE145" s="53" t="n"/>
      <c r="AF145" s="53" t="n"/>
      <c r="AG145" s="53" t="n"/>
      <c r="AH145" s="53" t="n"/>
      <c r="AI145" s="53" t="n"/>
      <c r="AJ145" s="53" t="n"/>
      <c r="AK145" s="53" t="n"/>
      <c r="AL145" s="53" t="n"/>
      <c r="AM145" s="53" t="n"/>
      <c r="AN145" s="53" t="n"/>
      <c r="AO145" s="53" t="n"/>
      <c r="AP145" s="53" t="n"/>
      <c r="AQ145" s="53" t="n"/>
      <c r="AR145" s="53" t="n"/>
      <c r="AS145" s="53" t="n"/>
      <c r="AT145" s="53" t="n"/>
      <c r="AU145" s="53" t="n"/>
      <c r="AV145" s="53" t="n"/>
      <c r="AW145" s="53" t="n"/>
      <c r="AX145" s="53" t="n"/>
      <c r="AY145" s="53" t="n"/>
    </row>
    <row r="146" ht="15" customHeight="1">
      <c r="A146" s="40">
        <f>IF($D$146="","",46)</f>
        <v/>
      </c>
      <c r="B146" s="10" t="n"/>
      <c r="C146" s="41" t="inlineStr">
        <is>
          <t>마케팅3팀</t>
        </is>
      </c>
      <c r="D146" s="42" t="n"/>
      <c r="E146" s="43" t="inlineStr">
        <is>
          <t>기획</t>
        </is>
      </c>
      <c r="F146" s="44" t="n"/>
      <c r="G146" s="45" t="n"/>
      <c r="H146" s="46">
        <f>IF($I$146="","",IF($I$146&lt;0,"🔴지연",IF($I$146&lt;=1,"🟡임박","🟢여유")))</f>
        <v/>
      </c>
      <c r="I146" s="47">
        <f>IF(OR($G$146="",$K$146=""),"",$G$146-$K$146)</f>
        <v/>
      </c>
      <c r="J146" s="48">
        <f>IF(SUM($L$146:$L$148)=0,"",SUM($L$146:$L$148))</f>
        <v/>
      </c>
      <c r="K146" s="49">
        <f>IF($J$146="","",MAX($N$146:$N$148))</f>
        <v/>
      </c>
      <c r="L146" s="50">
        <f>IF(SUM(U146:AY146)=0,"",SUM(U146:AY146))</f>
        <v/>
      </c>
      <c r="M146" s="51">
        <f>IFERROR(INDEX(U$2:AY$2,MATCH(TRUE,INDEX(U146:AY146&lt;&gt;"",0),0)),"")</f>
        <v/>
      </c>
      <c r="N146" s="51">
        <f>IFERROR(LOOKUP(2,1/(U146:AY146&lt;&gt;""),U$2:AY$2),"")</f>
        <v/>
      </c>
      <c r="O146" s="52" t="n"/>
      <c r="P146" s="52" t="n"/>
      <c r="Q146" s="52" t="n"/>
      <c r="R146" s="44" t="n"/>
      <c r="S146" s="14" t="n"/>
      <c r="U146" s="53" t="n"/>
      <c r="V146" s="53" t="n"/>
      <c r="W146" s="53" t="n"/>
      <c r="X146" s="53" t="n"/>
      <c r="Y146" s="53" t="n"/>
      <c r="Z146" s="53" t="n"/>
      <c r="AA146" s="53" t="n"/>
      <c r="AB146" s="53" t="n"/>
      <c r="AC146" s="53" t="n"/>
      <c r="AD146" s="53" t="n"/>
      <c r="AE146" s="53" t="n"/>
      <c r="AF146" s="53" t="n"/>
      <c r="AG146" s="53" t="n"/>
      <c r="AH146" s="53" t="n"/>
      <c r="AI146" s="53" t="n"/>
      <c r="AJ146" s="53" t="n"/>
      <c r="AK146" s="53" t="n"/>
      <c r="AL146" s="53" t="n"/>
      <c r="AM146" s="53" t="n"/>
      <c r="AN146" s="53" t="n"/>
      <c r="AO146" s="53" t="n"/>
      <c r="AP146" s="53" t="n"/>
      <c r="AQ146" s="53" t="n"/>
      <c r="AR146" s="53" t="n"/>
      <c r="AS146" s="53" t="n"/>
      <c r="AT146" s="53" t="n"/>
      <c r="AU146" s="53" t="n"/>
      <c r="AV146" s="53" t="n"/>
      <c r="AW146" s="53" t="n"/>
      <c r="AX146" s="53" t="n"/>
      <c r="AY146" s="53" t="n"/>
    </row>
    <row r="147" ht="15" customHeight="1">
      <c r="A147" s="54" t="n"/>
      <c r="B147" s="55">
        <f>IF($B$146="","",$B$146)</f>
        <v/>
      </c>
      <c r="C147" s="56" t="inlineStr">
        <is>
          <t>마케팅3팀</t>
        </is>
      </c>
      <c r="D147" s="55">
        <f>IF($D$146="","",$D$146)</f>
        <v/>
      </c>
      <c r="E147" s="57" t="inlineStr">
        <is>
          <t>이미지</t>
        </is>
      </c>
      <c r="F147" s="44" t="n"/>
      <c r="G147" s="58">
        <f>IF($G$146="","",$G$146)</f>
        <v/>
      </c>
      <c r="H147" s="59" t="n"/>
      <c r="I147" s="59" t="n"/>
      <c r="J147" s="59" t="n"/>
      <c r="K147" s="59" t="n"/>
      <c r="L147" s="60">
        <f>IF(SUM(U147:AY147)=0,"",SUM(U147:AY147))</f>
        <v/>
      </c>
      <c r="M147" s="61">
        <f>IFERROR(INDEX(U$2:AY$2,MATCH(TRUE,INDEX(U147:AY147&lt;&gt;"",0),0)),"")</f>
        <v/>
      </c>
      <c r="N147" s="61">
        <f>IFERROR(LOOKUP(2,1/(U147:AY147&lt;&gt;""),U$2:AY$2),"")</f>
        <v/>
      </c>
      <c r="O147" s="59" t="n"/>
      <c r="P147" s="59" t="n"/>
      <c r="Q147" s="59" t="n"/>
      <c r="R147" s="59" t="n"/>
      <c r="S147" s="14" t="n"/>
      <c r="U147" s="53" t="n"/>
      <c r="V147" s="53" t="n"/>
      <c r="W147" s="53" t="n"/>
      <c r="X147" s="53" t="n"/>
      <c r="Y147" s="53" t="n"/>
      <c r="Z147" s="53" t="n"/>
      <c r="AA147" s="53" t="n"/>
      <c r="AB147" s="53" t="n"/>
      <c r="AC147" s="53" t="n"/>
      <c r="AD147" s="53" t="n"/>
      <c r="AE147" s="53" t="n"/>
      <c r="AF147" s="53" t="n"/>
      <c r="AG147" s="53" t="n"/>
      <c r="AH147" s="53" t="n"/>
      <c r="AI147" s="53" t="n"/>
      <c r="AJ147" s="53" t="n"/>
      <c r="AK147" s="53" t="n"/>
      <c r="AL147" s="53" t="n"/>
      <c r="AM147" s="53" t="n"/>
      <c r="AN147" s="53" t="n"/>
      <c r="AO147" s="53" t="n"/>
      <c r="AP147" s="53" t="n"/>
      <c r="AQ147" s="53" t="n"/>
      <c r="AR147" s="53" t="n"/>
      <c r="AS147" s="53" t="n"/>
      <c r="AT147" s="53" t="n"/>
      <c r="AU147" s="53" t="n"/>
      <c r="AV147" s="53" t="n"/>
      <c r="AW147" s="53" t="n"/>
      <c r="AX147" s="53" t="n"/>
      <c r="AY147" s="53" t="n"/>
    </row>
    <row r="148" ht="15" customHeight="1">
      <c r="A148" s="62" t="n"/>
      <c r="B148" s="55">
        <f>IF($B$146="","",$B$146)</f>
        <v/>
      </c>
      <c r="C148" s="63" t="inlineStr">
        <is>
          <t>마케팅3팀</t>
        </is>
      </c>
      <c r="D148" s="55">
        <f>IF($D$146="","",$D$146)</f>
        <v/>
      </c>
      <c r="E148" s="64" t="inlineStr">
        <is>
          <t>영상</t>
        </is>
      </c>
      <c r="F148" s="44" t="n"/>
      <c r="G148" s="58">
        <f>IF($G$146="","",$G$146)</f>
        <v/>
      </c>
      <c r="H148" s="59" t="n"/>
      <c r="I148" s="59" t="n"/>
      <c r="J148" s="59" t="n"/>
      <c r="K148" s="59" t="n"/>
      <c r="L148" s="65">
        <f>IF(SUM(U148:AY148)=0,"",SUM(U148:AY148))</f>
        <v/>
      </c>
      <c r="M148" s="66">
        <f>IFERROR(INDEX(U$2:AY$2,MATCH(TRUE,INDEX(U148:AY148&lt;&gt;"",0),0)),"")</f>
        <v/>
      </c>
      <c r="N148" s="66">
        <f>IFERROR(LOOKUP(2,1/(U148:AY148&lt;&gt;""),U$2:AY$2),"")</f>
        <v/>
      </c>
      <c r="O148" s="59" t="n"/>
      <c r="P148" s="59" t="n"/>
      <c r="Q148" s="59" t="n"/>
      <c r="R148" s="59" t="n"/>
      <c r="S148" s="14" t="n"/>
      <c r="U148" s="53" t="n"/>
      <c r="V148" s="53" t="n"/>
      <c r="W148" s="53" t="n"/>
      <c r="X148" s="53" t="n"/>
      <c r="Y148" s="53" t="n"/>
      <c r="Z148" s="53" t="n"/>
      <c r="AA148" s="53" t="n"/>
      <c r="AB148" s="53" t="n"/>
      <c r="AC148" s="53" t="n"/>
      <c r="AD148" s="53" t="n"/>
      <c r="AE148" s="53" t="n"/>
      <c r="AF148" s="53" t="n"/>
      <c r="AG148" s="53" t="n"/>
      <c r="AH148" s="53" t="n"/>
      <c r="AI148" s="53" t="n"/>
      <c r="AJ148" s="53" t="n"/>
      <c r="AK148" s="53" t="n"/>
      <c r="AL148" s="53" t="n"/>
      <c r="AM148" s="53" t="n"/>
      <c r="AN148" s="53" t="n"/>
      <c r="AO148" s="53" t="n"/>
      <c r="AP148" s="53" t="n"/>
      <c r="AQ148" s="53" t="n"/>
      <c r="AR148" s="53" t="n"/>
      <c r="AS148" s="53" t="n"/>
      <c r="AT148" s="53" t="n"/>
      <c r="AU148" s="53" t="n"/>
      <c r="AV148" s="53" t="n"/>
      <c r="AW148" s="53" t="n"/>
      <c r="AX148" s="53" t="n"/>
      <c r="AY148" s="53" t="n"/>
    </row>
    <row r="149" ht="15" customHeight="1">
      <c r="A149" s="40">
        <f>IF($D$149="","",47)</f>
        <v/>
      </c>
      <c r="B149" s="10" t="n"/>
      <c r="C149" s="41" t="inlineStr">
        <is>
          <t>마케팅3팀</t>
        </is>
      </c>
      <c r="D149" s="42" t="n"/>
      <c r="E149" s="43" t="inlineStr">
        <is>
          <t>기획</t>
        </is>
      </c>
      <c r="F149" s="44" t="n"/>
      <c r="G149" s="45" t="n"/>
      <c r="H149" s="46">
        <f>IF($I$149="","",IF($I$149&lt;0,"🔴지연",IF($I$149&lt;=1,"🟡임박","🟢여유")))</f>
        <v/>
      </c>
      <c r="I149" s="47">
        <f>IF(OR($G$149="",$K$149=""),"",$G$149-$K$149)</f>
        <v/>
      </c>
      <c r="J149" s="48">
        <f>IF(SUM($L$149:$L$151)=0,"",SUM($L$149:$L$151))</f>
        <v/>
      </c>
      <c r="K149" s="49">
        <f>IF($J$149="","",MAX($N$149:$N$151))</f>
        <v/>
      </c>
      <c r="L149" s="50">
        <f>IF(SUM(U149:AY149)=0,"",SUM(U149:AY149))</f>
        <v/>
      </c>
      <c r="M149" s="51">
        <f>IFERROR(INDEX(U$2:AY$2,MATCH(TRUE,INDEX(U149:AY149&lt;&gt;"",0),0)),"")</f>
        <v/>
      </c>
      <c r="N149" s="51">
        <f>IFERROR(LOOKUP(2,1/(U149:AY149&lt;&gt;""),U$2:AY$2),"")</f>
        <v/>
      </c>
      <c r="O149" s="52" t="n"/>
      <c r="P149" s="52" t="n"/>
      <c r="Q149" s="52" t="n"/>
      <c r="R149" s="44" t="n"/>
      <c r="S149" s="14" t="n"/>
      <c r="U149" s="53" t="n"/>
      <c r="V149" s="53" t="n"/>
      <c r="W149" s="53" t="n"/>
      <c r="X149" s="53" t="n"/>
      <c r="Y149" s="53" t="n"/>
      <c r="Z149" s="53" t="n"/>
      <c r="AA149" s="53" t="n"/>
      <c r="AB149" s="53" t="n"/>
      <c r="AC149" s="53" t="n"/>
      <c r="AD149" s="53" t="n"/>
      <c r="AE149" s="53" t="n"/>
      <c r="AF149" s="53" t="n"/>
      <c r="AG149" s="53" t="n"/>
      <c r="AH149" s="53" t="n"/>
      <c r="AI149" s="53" t="n"/>
      <c r="AJ149" s="53" t="n"/>
      <c r="AK149" s="53" t="n"/>
      <c r="AL149" s="53" t="n"/>
      <c r="AM149" s="53" t="n"/>
      <c r="AN149" s="53" t="n"/>
      <c r="AO149" s="53" t="n"/>
      <c r="AP149" s="53" t="n"/>
      <c r="AQ149" s="53" t="n"/>
      <c r="AR149" s="53" t="n"/>
      <c r="AS149" s="53" t="n"/>
      <c r="AT149" s="53" t="n"/>
      <c r="AU149" s="53" t="n"/>
      <c r="AV149" s="53" t="n"/>
      <c r="AW149" s="53" t="n"/>
      <c r="AX149" s="53" t="n"/>
      <c r="AY149" s="53" t="n"/>
    </row>
    <row r="150" ht="15" customHeight="1">
      <c r="A150" s="54" t="n"/>
      <c r="B150" s="55">
        <f>IF($B$149="","",$B$149)</f>
        <v/>
      </c>
      <c r="C150" s="56" t="inlineStr">
        <is>
          <t>마케팅3팀</t>
        </is>
      </c>
      <c r="D150" s="55">
        <f>IF($D$149="","",$D$149)</f>
        <v/>
      </c>
      <c r="E150" s="57" t="inlineStr">
        <is>
          <t>이미지</t>
        </is>
      </c>
      <c r="F150" s="44" t="n"/>
      <c r="G150" s="58">
        <f>IF($G$149="","",$G$149)</f>
        <v/>
      </c>
      <c r="H150" s="59" t="n"/>
      <c r="I150" s="59" t="n"/>
      <c r="J150" s="59" t="n"/>
      <c r="K150" s="59" t="n"/>
      <c r="L150" s="60">
        <f>IF(SUM(U150:AY150)=0,"",SUM(U150:AY150))</f>
        <v/>
      </c>
      <c r="M150" s="61">
        <f>IFERROR(INDEX(U$2:AY$2,MATCH(TRUE,INDEX(U150:AY150&lt;&gt;"",0),0)),"")</f>
        <v/>
      </c>
      <c r="N150" s="61">
        <f>IFERROR(LOOKUP(2,1/(U150:AY150&lt;&gt;""),U$2:AY$2),"")</f>
        <v/>
      </c>
      <c r="O150" s="59" t="n"/>
      <c r="P150" s="59" t="n"/>
      <c r="Q150" s="59" t="n"/>
      <c r="R150" s="59" t="n"/>
      <c r="S150" s="14" t="n"/>
      <c r="U150" s="53" t="n"/>
      <c r="V150" s="53" t="n"/>
      <c r="W150" s="53" t="n"/>
      <c r="X150" s="53" t="n"/>
      <c r="Y150" s="53" t="n"/>
      <c r="Z150" s="53" t="n"/>
      <c r="AA150" s="53" t="n"/>
      <c r="AB150" s="53" t="n"/>
      <c r="AC150" s="53" t="n"/>
      <c r="AD150" s="53" t="n"/>
      <c r="AE150" s="53" t="n"/>
      <c r="AF150" s="53" t="n"/>
      <c r="AG150" s="53" t="n"/>
      <c r="AH150" s="53" t="n"/>
      <c r="AI150" s="53" t="n"/>
      <c r="AJ150" s="53" t="n"/>
      <c r="AK150" s="53" t="n"/>
      <c r="AL150" s="53" t="n"/>
      <c r="AM150" s="53" t="n"/>
      <c r="AN150" s="53" t="n"/>
      <c r="AO150" s="53" t="n"/>
      <c r="AP150" s="53" t="n"/>
      <c r="AQ150" s="53" t="n"/>
      <c r="AR150" s="53" t="n"/>
      <c r="AS150" s="53" t="n"/>
      <c r="AT150" s="53" t="n"/>
      <c r="AU150" s="53" t="n"/>
      <c r="AV150" s="53" t="n"/>
      <c r="AW150" s="53" t="n"/>
      <c r="AX150" s="53" t="n"/>
      <c r="AY150" s="53" t="n"/>
    </row>
    <row r="151" ht="15" customHeight="1">
      <c r="A151" s="62" t="n"/>
      <c r="B151" s="55">
        <f>IF($B$149="","",$B$149)</f>
        <v/>
      </c>
      <c r="C151" s="63" t="inlineStr">
        <is>
          <t>마케팅3팀</t>
        </is>
      </c>
      <c r="D151" s="55">
        <f>IF($D$149="","",$D$149)</f>
        <v/>
      </c>
      <c r="E151" s="64" t="inlineStr">
        <is>
          <t>영상</t>
        </is>
      </c>
      <c r="F151" s="44" t="n"/>
      <c r="G151" s="58">
        <f>IF($G$149="","",$G$149)</f>
        <v/>
      </c>
      <c r="H151" s="59" t="n"/>
      <c r="I151" s="59" t="n"/>
      <c r="J151" s="59" t="n"/>
      <c r="K151" s="59" t="n"/>
      <c r="L151" s="65">
        <f>IF(SUM(U151:AY151)=0,"",SUM(U151:AY151))</f>
        <v/>
      </c>
      <c r="M151" s="66">
        <f>IFERROR(INDEX(U$2:AY$2,MATCH(TRUE,INDEX(U151:AY151&lt;&gt;"",0),0)),"")</f>
        <v/>
      </c>
      <c r="N151" s="66">
        <f>IFERROR(LOOKUP(2,1/(U151:AY151&lt;&gt;""),U$2:AY$2),"")</f>
        <v/>
      </c>
      <c r="O151" s="59" t="n"/>
      <c r="P151" s="59" t="n"/>
      <c r="Q151" s="59" t="n"/>
      <c r="R151" s="59" t="n"/>
      <c r="S151" s="14" t="n"/>
      <c r="U151" s="53" t="n"/>
      <c r="V151" s="53" t="n"/>
      <c r="W151" s="53" t="n"/>
      <c r="X151" s="53" t="n"/>
      <c r="Y151" s="53" t="n"/>
      <c r="Z151" s="53" t="n"/>
      <c r="AA151" s="53" t="n"/>
      <c r="AB151" s="53" t="n"/>
      <c r="AC151" s="53" t="n"/>
      <c r="AD151" s="53" t="n"/>
      <c r="AE151" s="53" t="n"/>
      <c r="AF151" s="53" t="n"/>
      <c r="AG151" s="53" t="n"/>
      <c r="AH151" s="53" t="n"/>
      <c r="AI151" s="53" t="n"/>
      <c r="AJ151" s="53" t="n"/>
      <c r="AK151" s="53" t="n"/>
      <c r="AL151" s="53" t="n"/>
      <c r="AM151" s="53" t="n"/>
      <c r="AN151" s="53" t="n"/>
      <c r="AO151" s="53" t="n"/>
      <c r="AP151" s="53" t="n"/>
      <c r="AQ151" s="53" t="n"/>
      <c r="AR151" s="53" t="n"/>
      <c r="AS151" s="53" t="n"/>
      <c r="AT151" s="53" t="n"/>
      <c r="AU151" s="53" t="n"/>
      <c r="AV151" s="53" t="n"/>
      <c r="AW151" s="53" t="n"/>
      <c r="AX151" s="53" t="n"/>
      <c r="AY151" s="53" t="n"/>
    </row>
    <row r="152" ht="15" customHeight="1">
      <c r="A152" s="40">
        <f>IF($D$152="","",48)</f>
        <v/>
      </c>
      <c r="B152" s="10" t="n"/>
      <c r="C152" s="41" t="inlineStr">
        <is>
          <t>마케팅3팀</t>
        </is>
      </c>
      <c r="D152" s="42" t="n"/>
      <c r="E152" s="43" t="inlineStr">
        <is>
          <t>기획</t>
        </is>
      </c>
      <c r="F152" s="44" t="n"/>
      <c r="G152" s="45" t="n"/>
      <c r="H152" s="46">
        <f>IF($I$152="","",IF($I$152&lt;0,"🔴지연",IF($I$152&lt;=1,"🟡임박","🟢여유")))</f>
        <v/>
      </c>
      <c r="I152" s="47">
        <f>IF(OR($G$152="",$K$152=""),"",$G$152-$K$152)</f>
        <v/>
      </c>
      <c r="J152" s="48">
        <f>IF(SUM($L$152:$L$154)=0,"",SUM($L$152:$L$154))</f>
        <v/>
      </c>
      <c r="K152" s="49">
        <f>IF($J$152="","",MAX($N$152:$N$154))</f>
        <v/>
      </c>
      <c r="L152" s="50">
        <f>IF(SUM(U152:AY152)=0,"",SUM(U152:AY152))</f>
        <v/>
      </c>
      <c r="M152" s="51">
        <f>IFERROR(INDEX(U$2:AY$2,MATCH(TRUE,INDEX(U152:AY152&lt;&gt;"",0),0)),"")</f>
        <v/>
      </c>
      <c r="N152" s="51">
        <f>IFERROR(LOOKUP(2,1/(U152:AY152&lt;&gt;""),U$2:AY$2),"")</f>
        <v/>
      </c>
      <c r="O152" s="52" t="n"/>
      <c r="P152" s="52" t="n"/>
      <c r="Q152" s="52" t="n"/>
      <c r="R152" s="44" t="n"/>
      <c r="S152" s="14" t="n"/>
      <c r="U152" s="53" t="n"/>
      <c r="V152" s="53" t="n"/>
      <c r="W152" s="53" t="n"/>
      <c r="X152" s="53" t="n"/>
      <c r="Y152" s="53" t="n"/>
      <c r="Z152" s="53" t="n"/>
      <c r="AA152" s="53" t="n"/>
      <c r="AB152" s="53" t="n"/>
      <c r="AC152" s="53" t="n"/>
      <c r="AD152" s="53" t="n"/>
      <c r="AE152" s="53" t="n"/>
      <c r="AF152" s="53" t="n"/>
      <c r="AG152" s="53" t="n"/>
      <c r="AH152" s="53" t="n"/>
      <c r="AI152" s="53" t="n"/>
      <c r="AJ152" s="53" t="n"/>
      <c r="AK152" s="53" t="n"/>
      <c r="AL152" s="53" t="n"/>
      <c r="AM152" s="53" t="n"/>
      <c r="AN152" s="53" t="n"/>
      <c r="AO152" s="53" t="n"/>
      <c r="AP152" s="53" t="n"/>
      <c r="AQ152" s="53" t="n"/>
      <c r="AR152" s="53" t="n"/>
      <c r="AS152" s="53" t="n"/>
      <c r="AT152" s="53" t="n"/>
      <c r="AU152" s="53" t="n"/>
      <c r="AV152" s="53" t="n"/>
      <c r="AW152" s="53" t="n"/>
      <c r="AX152" s="53" t="n"/>
      <c r="AY152" s="53" t="n"/>
    </row>
    <row r="153" ht="15" customHeight="1">
      <c r="A153" s="54" t="n"/>
      <c r="B153" s="55">
        <f>IF($B$152="","",$B$152)</f>
        <v/>
      </c>
      <c r="C153" s="56" t="inlineStr">
        <is>
          <t>마케팅3팀</t>
        </is>
      </c>
      <c r="D153" s="55">
        <f>IF($D$152="","",$D$152)</f>
        <v/>
      </c>
      <c r="E153" s="57" t="inlineStr">
        <is>
          <t>이미지</t>
        </is>
      </c>
      <c r="F153" s="44" t="n"/>
      <c r="G153" s="58">
        <f>IF($G$152="","",$G$152)</f>
        <v/>
      </c>
      <c r="H153" s="59" t="n"/>
      <c r="I153" s="59" t="n"/>
      <c r="J153" s="59" t="n"/>
      <c r="K153" s="59" t="n"/>
      <c r="L153" s="60">
        <f>IF(SUM(U153:AY153)=0,"",SUM(U153:AY153))</f>
        <v/>
      </c>
      <c r="M153" s="61">
        <f>IFERROR(INDEX(U$2:AY$2,MATCH(TRUE,INDEX(U153:AY153&lt;&gt;"",0),0)),"")</f>
        <v/>
      </c>
      <c r="N153" s="61">
        <f>IFERROR(LOOKUP(2,1/(U153:AY153&lt;&gt;""),U$2:AY$2),"")</f>
        <v/>
      </c>
      <c r="O153" s="59" t="n"/>
      <c r="P153" s="59" t="n"/>
      <c r="Q153" s="59" t="n"/>
      <c r="R153" s="59" t="n"/>
      <c r="S153" s="14" t="n"/>
      <c r="U153" s="53" t="n"/>
      <c r="V153" s="53" t="n"/>
      <c r="W153" s="53" t="n"/>
      <c r="X153" s="53" t="n"/>
      <c r="Y153" s="53" t="n"/>
      <c r="Z153" s="53" t="n"/>
      <c r="AA153" s="53" t="n"/>
      <c r="AB153" s="53" t="n"/>
      <c r="AC153" s="53" t="n"/>
      <c r="AD153" s="53" t="n"/>
      <c r="AE153" s="53" t="n"/>
      <c r="AF153" s="53" t="n"/>
      <c r="AG153" s="53" t="n"/>
      <c r="AH153" s="53" t="n"/>
      <c r="AI153" s="53" t="n"/>
      <c r="AJ153" s="53" t="n"/>
      <c r="AK153" s="53" t="n"/>
      <c r="AL153" s="53" t="n"/>
      <c r="AM153" s="53" t="n"/>
      <c r="AN153" s="53" t="n"/>
      <c r="AO153" s="53" t="n"/>
      <c r="AP153" s="53" t="n"/>
      <c r="AQ153" s="53" t="n"/>
      <c r="AR153" s="53" t="n"/>
      <c r="AS153" s="53" t="n"/>
      <c r="AT153" s="53" t="n"/>
      <c r="AU153" s="53" t="n"/>
      <c r="AV153" s="53" t="n"/>
      <c r="AW153" s="53" t="n"/>
      <c r="AX153" s="53" t="n"/>
      <c r="AY153" s="53" t="n"/>
    </row>
    <row r="154" ht="15" customHeight="1">
      <c r="A154" s="62" t="n"/>
      <c r="B154" s="55">
        <f>IF($B$152="","",$B$152)</f>
        <v/>
      </c>
      <c r="C154" s="63" t="inlineStr">
        <is>
          <t>마케팅3팀</t>
        </is>
      </c>
      <c r="D154" s="55">
        <f>IF($D$152="","",$D$152)</f>
        <v/>
      </c>
      <c r="E154" s="64" t="inlineStr">
        <is>
          <t>영상</t>
        </is>
      </c>
      <c r="F154" s="44" t="n"/>
      <c r="G154" s="58">
        <f>IF($G$152="","",$G$152)</f>
        <v/>
      </c>
      <c r="H154" s="59" t="n"/>
      <c r="I154" s="59" t="n"/>
      <c r="J154" s="59" t="n"/>
      <c r="K154" s="59" t="n"/>
      <c r="L154" s="65">
        <f>IF(SUM(U154:AY154)=0,"",SUM(U154:AY154))</f>
        <v/>
      </c>
      <c r="M154" s="66">
        <f>IFERROR(INDEX(U$2:AY$2,MATCH(TRUE,INDEX(U154:AY154&lt;&gt;"",0),0)),"")</f>
        <v/>
      </c>
      <c r="N154" s="66">
        <f>IFERROR(LOOKUP(2,1/(U154:AY154&lt;&gt;""),U$2:AY$2),"")</f>
        <v/>
      </c>
      <c r="O154" s="59" t="n"/>
      <c r="P154" s="59" t="n"/>
      <c r="Q154" s="59" t="n"/>
      <c r="R154" s="59" t="n"/>
      <c r="S154" s="14" t="n"/>
      <c r="U154" s="53" t="n"/>
      <c r="V154" s="53" t="n"/>
      <c r="W154" s="53" t="n"/>
      <c r="X154" s="53" t="n"/>
      <c r="Y154" s="53" t="n"/>
      <c r="Z154" s="53" t="n"/>
      <c r="AA154" s="53" t="n"/>
      <c r="AB154" s="53" t="n"/>
      <c r="AC154" s="53" t="n"/>
      <c r="AD154" s="53" t="n"/>
      <c r="AE154" s="53" t="n"/>
      <c r="AF154" s="53" t="n"/>
      <c r="AG154" s="53" t="n"/>
      <c r="AH154" s="53" t="n"/>
      <c r="AI154" s="53" t="n"/>
      <c r="AJ154" s="53" t="n"/>
      <c r="AK154" s="53" t="n"/>
      <c r="AL154" s="53" t="n"/>
      <c r="AM154" s="53" t="n"/>
      <c r="AN154" s="53" t="n"/>
      <c r="AO154" s="53" t="n"/>
      <c r="AP154" s="53" t="n"/>
      <c r="AQ154" s="53" t="n"/>
      <c r="AR154" s="53" t="n"/>
      <c r="AS154" s="53" t="n"/>
      <c r="AT154" s="53" t="n"/>
      <c r="AU154" s="53" t="n"/>
      <c r="AV154" s="53" t="n"/>
      <c r="AW154" s="53" t="n"/>
      <c r="AX154" s="53" t="n"/>
      <c r="AY154" s="53" t="n"/>
    </row>
    <row r="155" ht="15" customHeight="1">
      <c r="A155" s="40">
        <f>IF($D$155="","",49)</f>
        <v/>
      </c>
      <c r="B155" s="10" t="n"/>
      <c r="C155" s="41" t="inlineStr">
        <is>
          <t>마케팅3팀</t>
        </is>
      </c>
      <c r="D155" s="42" t="n"/>
      <c r="E155" s="43" t="inlineStr">
        <is>
          <t>기획</t>
        </is>
      </c>
      <c r="F155" s="44" t="n"/>
      <c r="G155" s="45" t="n"/>
      <c r="H155" s="46">
        <f>IF($I$155="","",IF($I$155&lt;0,"🔴지연",IF($I$155&lt;=1,"🟡임박","🟢여유")))</f>
        <v/>
      </c>
      <c r="I155" s="47">
        <f>IF(OR($G$155="",$K$155=""),"",$G$155-$K$155)</f>
        <v/>
      </c>
      <c r="J155" s="48">
        <f>IF(SUM($L$155:$L$157)=0,"",SUM($L$155:$L$157))</f>
        <v/>
      </c>
      <c r="K155" s="49">
        <f>IF($J$155="","",MAX($N$155:$N$157))</f>
        <v/>
      </c>
      <c r="L155" s="50">
        <f>IF(SUM(U155:AY155)=0,"",SUM(U155:AY155))</f>
        <v/>
      </c>
      <c r="M155" s="51">
        <f>IFERROR(INDEX(U$2:AY$2,MATCH(TRUE,INDEX(U155:AY155&lt;&gt;"",0),0)),"")</f>
        <v/>
      </c>
      <c r="N155" s="51">
        <f>IFERROR(LOOKUP(2,1/(U155:AY155&lt;&gt;""),U$2:AY$2),"")</f>
        <v/>
      </c>
      <c r="O155" s="52" t="n"/>
      <c r="P155" s="52" t="n"/>
      <c r="Q155" s="52" t="n"/>
      <c r="R155" s="44" t="n"/>
      <c r="S155" s="14" t="n"/>
      <c r="U155" s="53" t="n"/>
      <c r="V155" s="53" t="n"/>
      <c r="W155" s="53" t="n"/>
      <c r="X155" s="53" t="n"/>
      <c r="Y155" s="53" t="n"/>
      <c r="Z155" s="53" t="n"/>
      <c r="AA155" s="53" t="n"/>
      <c r="AB155" s="53" t="n"/>
      <c r="AC155" s="53" t="n"/>
      <c r="AD155" s="53" t="n"/>
      <c r="AE155" s="53" t="n"/>
      <c r="AF155" s="53" t="n"/>
      <c r="AG155" s="53" t="n"/>
      <c r="AH155" s="53" t="n"/>
      <c r="AI155" s="53" t="n"/>
      <c r="AJ155" s="53" t="n"/>
      <c r="AK155" s="53" t="n"/>
      <c r="AL155" s="53" t="n"/>
      <c r="AM155" s="53" t="n"/>
      <c r="AN155" s="53" t="n"/>
      <c r="AO155" s="53" t="n"/>
      <c r="AP155" s="53" t="n"/>
      <c r="AQ155" s="53" t="n"/>
      <c r="AR155" s="53" t="n"/>
      <c r="AS155" s="53" t="n"/>
      <c r="AT155" s="53" t="n"/>
      <c r="AU155" s="53" t="n"/>
      <c r="AV155" s="53" t="n"/>
      <c r="AW155" s="53" t="n"/>
      <c r="AX155" s="53" t="n"/>
      <c r="AY155" s="53" t="n"/>
    </row>
    <row r="156" ht="15" customHeight="1">
      <c r="A156" s="54" t="n"/>
      <c r="B156" s="55">
        <f>IF($B$155="","",$B$155)</f>
        <v/>
      </c>
      <c r="C156" s="56" t="inlineStr">
        <is>
          <t>마케팅3팀</t>
        </is>
      </c>
      <c r="D156" s="55">
        <f>IF($D$155="","",$D$155)</f>
        <v/>
      </c>
      <c r="E156" s="57" t="inlineStr">
        <is>
          <t>이미지</t>
        </is>
      </c>
      <c r="F156" s="44" t="n"/>
      <c r="G156" s="58">
        <f>IF($G$155="","",$G$155)</f>
        <v/>
      </c>
      <c r="H156" s="59" t="n"/>
      <c r="I156" s="59" t="n"/>
      <c r="J156" s="59" t="n"/>
      <c r="K156" s="59" t="n"/>
      <c r="L156" s="60">
        <f>IF(SUM(U156:AY156)=0,"",SUM(U156:AY156))</f>
        <v/>
      </c>
      <c r="M156" s="61">
        <f>IFERROR(INDEX(U$2:AY$2,MATCH(TRUE,INDEX(U156:AY156&lt;&gt;"",0),0)),"")</f>
        <v/>
      </c>
      <c r="N156" s="61">
        <f>IFERROR(LOOKUP(2,1/(U156:AY156&lt;&gt;""),U$2:AY$2),"")</f>
        <v/>
      </c>
      <c r="O156" s="59" t="n"/>
      <c r="P156" s="59" t="n"/>
      <c r="Q156" s="59" t="n"/>
      <c r="R156" s="59" t="n"/>
      <c r="S156" s="14" t="n"/>
      <c r="U156" s="53" t="n"/>
      <c r="V156" s="53" t="n"/>
      <c r="W156" s="53" t="n"/>
      <c r="X156" s="53" t="n"/>
      <c r="Y156" s="53" t="n"/>
      <c r="Z156" s="53" t="n"/>
      <c r="AA156" s="53" t="n"/>
      <c r="AB156" s="53" t="n"/>
      <c r="AC156" s="53" t="n"/>
      <c r="AD156" s="53" t="n"/>
      <c r="AE156" s="53" t="n"/>
      <c r="AF156" s="53" t="n"/>
      <c r="AG156" s="53" t="n"/>
      <c r="AH156" s="53" t="n"/>
      <c r="AI156" s="53" t="n"/>
      <c r="AJ156" s="53" t="n"/>
      <c r="AK156" s="53" t="n"/>
      <c r="AL156" s="53" t="n"/>
      <c r="AM156" s="53" t="n"/>
      <c r="AN156" s="53" t="n"/>
      <c r="AO156" s="53" t="n"/>
      <c r="AP156" s="53" t="n"/>
      <c r="AQ156" s="53" t="n"/>
      <c r="AR156" s="53" t="n"/>
      <c r="AS156" s="53" t="n"/>
      <c r="AT156" s="53" t="n"/>
      <c r="AU156" s="53" t="n"/>
      <c r="AV156" s="53" t="n"/>
      <c r="AW156" s="53" t="n"/>
      <c r="AX156" s="53" t="n"/>
      <c r="AY156" s="53" t="n"/>
    </row>
    <row r="157" ht="15" customHeight="1">
      <c r="A157" s="62" t="n"/>
      <c r="B157" s="55">
        <f>IF($B$155="","",$B$155)</f>
        <v/>
      </c>
      <c r="C157" s="63" t="inlineStr">
        <is>
          <t>마케팅3팀</t>
        </is>
      </c>
      <c r="D157" s="55">
        <f>IF($D$155="","",$D$155)</f>
        <v/>
      </c>
      <c r="E157" s="64" t="inlineStr">
        <is>
          <t>영상</t>
        </is>
      </c>
      <c r="F157" s="44" t="n"/>
      <c r="G157" s="58">
        <f>IF($G$155="","",$G$155)</f>
        <v/>
      </c>
      <c r="H157" s="59" t="n"/>
      <c r="I157" s="59" t="n"/>
      <c r="J157" s="59" t="n"/>
      <c r="K157" s="59" t="n"/>
      <c r="L157" s="65">
        <f>IF(SUM(U157:AY157)=0,"",SUM(U157:AY157))</f>
        <v/>
      </c>
      <c r="M157" s="66">
        <f>IFERROR(INDEX(U$2:AY$2,MATCH(TRUE,INDEX(U157:AY157&lt;&gt;"",0),0)),"")</f>
        <v/>
      </c>
      <c r="N157" s="66">
        <f>IFERROR(LOOKUP(2,1/(U157:AY157&lt;&gt;""),U$2:AY$2),"")</f>
        <v/>
      </c>
      <c r="O157" s="59" t="n"/>
      <c r="P157" s="59" t="n"/>
      <c r="Q157" s="59" t="n"/>
      <c r="R157" s="59" t="n"/>
      <c r="S157" s="14" t="n"/>
      <c r="U157" s="53" t="n"/>
      <c r="V157" s="53" t="n"/>
      <c r="W157" s="53" t="n"/>
      <c r="X157" s="53" t="n"/>
      <c r="Y157" s="53" t="n"/>
      <c r="Z157" s="53" t="n"/>
      <c r="AA157" s="53" t="n"/>
      <c r="AB157" s="53" t="n"/>
      <c r="AC157" s="53" t="n"/>
      <c r="AD157" s="53" t="n"/>
      <c r="AE157" s="53" t="n"/>
      <c r="AF157" s="53" t="n"/>
      <c r="AG157" s="53" t="n"/>
      <c r="AH157" s="53" t="n"/>
      <c r="AI157" s="53" t="n"/>
      <c r="AJ157" s="53" t="n"/>
      <c r="AK157" s="53" t="n"/>
      <c r="AL157" s="53" t="n"/>
      <c r="AM157" s="53" t="n"/>
      <c r="AN157" s="53" t="n"/>
      <c r="AO157" s="53" t="n"/>
      <c r="AP157" s="53" t="n"/>
      <c r="AQ157" s="53" t="n"/>
      <c r="AR157" s="53" t="n"/>
      <c r="AS157" s="53" t="n"/>
      <c r="AT157" s="53" t="n"/>
      <c r="AU157" s="53" t="n"/>
      <c r="AV157" s="53" t="n"/>
      <c r="AW157" s="53" t="n"/>
      <c r="AX157" s="53" t="n"/>
      <c r="AY157" s="53" t="n"/>
    </row>
    <row r="158" ht="15" customHeight="1">
      <c r="A158" s="40">
        <f>IF($D$158="","",50)</f>
        <v/>
      </c>
      <c r="B158" s="10" t="n"/>
      <c r="C158" s="41" t="inlineStr">
        <is>
          <t>마케팅3팀</t>
        </is>
      </c>
      <c r="D158" s="42" t="n"/>
      <c r="E158" s="43" t="inlineStr">
        <is>
          <t>기획</t>
        </is>
      </c>
      <c r="F158" s="44" t="n"/>
      <c r="G158" s="45" t="n"/>
      <c r="H158" s="46">
        <f>IF($I$158="","",IF($I$158&lt;0,"🔴지연",IF($I$158&lt;=1,"🟡임박","🟢여유")))</f>
        <v/>
      </c>
      <c r="I158" s="47">
        <f>IF(OR($G$158="",$K$158=""),"",$G$158-$K$158)</f>
        <v/>
      </c>
      <c r="J158" s="48">
        <f>IF(SUM($L$158:$L$160)=0,"",SUM($L$158:$L$160))</f>
        <v/>
      </c>
      <c r="K158" s="49">
        <f>IF($J$158="","",MAX($N$158:$N$160))</f>
        <v/>
      </c>
      <c r="L158" s="50">
        <f>IF(SUM(U158:AY158)=0,"",SUM(U158:AY158))</f>
        <v/>
      </c>
      <c r="M158" s="51">
        <f>IFERROR(INDEX(U$2:AY$2,MATCH(TRUE,INDEX(U158:AY158&lt;&gt;"",0),0)),"")</f>
        <v/>
      </c>
      <c r="N158" s="51">
        <f>IFERROR(LOOKUP(2,1/(U158:AY158&lt;&gt;""),U$2:AY$2),"")</f>
        <v/>
      </c>
      <c r="O158" s="52" t="n"/>
      <c r="P158" s="52" t="n"/>
      <c r="Q158" s="52" t="n"/>
      <c r="R158" s="44" t="n"/>
      <c r="S158" s="14" t="n"/>
      <c r="U158" s="53" t="n"/>
      <c r="V158" s="53" t="n"/>
      <c r="W158" s="53" t="n"/>
      <c r="X158" s="53" t="n"/>
      <c r="Y158" s="53" t="n"/>
      <c r="Z158" s="53" t="n"/>
      <c r="AA158" s="53" t="n"/>
      <c r="AB158" s="53" t="n"/>
      <c r="AC158" s="53" t="n"/>
      <c r="AD158" s="53" t="n"/>
      <c r="AE158" s="53" t="n"/>
      <c r="AF158" s="53" t="n"/>
      <c r="AG158" s="53" t="n"/>
      <c r="AH158" s="53" t="n"/>
      <c r="AI158" s="53" t="n"/>
      <c r="AJ158" s="53" t="n"/>
      <c r="AK158" s="53" t="n"/>
      <c r="AL158" s="53" t="n"/>
      <c r="AM158" s="53" t="n"/>
      <c r="AN158" s="53" t="n"/>
      <c r="AO158" s="53" t="n"/>
      <c r="AP158" s="53" t="n"/>
      <c r="AQ158" s="53" t="n"/>
      <c r="AR158" s="53" t="n"/>
      <c r="AS158" s="53" t="n"/>
      <c r="AT158" s="53" t="n"/>
      <c r="AU158" s="53" t="n"/>
      <c r="AV158" s="53" t="n"/>
      <c r="AW158" s="53" t="n"/>
      <c r="AX158" s="53" t="n"/>
      <c r="AY158" s="53" t="n"/>
    </row>
    <row r="159" ht="15" customHeight="1">
      <c r="A159" s="54" t="n"/>
      <c r="B159" s="55">
        <f>IF($B$158="","",$B$158)</f>
        <v/>
      </c>
      <c r="C159" s="56" t="inlineStr">
        <is>
          <t>마케팅3팀</t>
        </is>
      </c>
      <c r="D159" s="55">
        <f>IF($D$158="","",$D$158)</f>
        <v/>
      </c>
      <c r="E159" s="57" t="inlineStr">
        <is>
          <t>이미지</t>
        </is>
      </c>
      <c r="F159" s="44" t="n"/>
      <c r="G159" s="58">
        <f>IF($G$158="","",$G$158)</f>
        <v/>
      </c>
      <c r="H159" s="59" t="n"/>
      <c r="I159" s="59" t="n"/>
      <c r="J159" s="59" t="n"/>
      <c r="K159" s="59" t="n"/>
      <c r="L159" s="60">
        <f>IF(SUM(U159:AY159)=0,"",SUM(U159:AY159))</f>
        <v/>
      </c>
      <c r="M159" s="61">
        <f>IFERROR(INDEX(U$2:AY$2,MATCH(TRUE,INDEX(U159:AY159&lt;&gt;"",0),0)),"")</f>
        <v/>
      </c>
      <c r="N159" s="61">
        <f>IFERROR(LOOKUP(2,1/(U159:AY159&lt;&gt;""),U$2:AY$2),"")</f>
        <v/>
      </c>
      <c r="O159" s="59" t="n"/>
      <c r="P159" s="59" t="n"/>
      <c r="Q159" s="59" t="n"/>
      <c r="R159" s="59" t="n"/>
      <c r="S159" s="14" t="n"/>
      <c r="U159" s="53" t="n"/>
      <c r="V159" s="53" t="n"/>
      <c r="W159" s="53" t="n"/>
      <c r="X159" s="53" t="n"/>
      <c r="Y159" s="53" t="n"/>
      <c r="Z159" s="53" t="n"/>
      <c r="AA159" s="53" t="n"/>
      <c r="AB159" s="53" t="n"/>
      <c r="AC159" s="53" t="n"/>
      <c r="AD159" s="53" t="n"/>
      <c r="AE159" s="53" t="n"/>
      <c r="AF159" s="53" t="n"/>
      <c r="AG159" s="53" t="n"/>
      <c r="AH159" s="53" t="n"/>
      <c r="AI159" s="53" t="n"/>
      <c r="AJ159" s="53" t="n"/>
      <c r="AK159" s="53" t="n"/>
      <c r="AL159" s="53" t="n"/>
      <c r="AM159" s="53" t="n"/>
      <c r="AN159" s="53" t="n"/>
      <c r="AO159" s="53" t="n"/>
      <c r="AP159" s="53" t="n"/>
      <c r="AQ159" s="53" t="n"/>
      <c r="AR159" s="53" t="n"/>
      <c r="AS159" s="53" t="n"/>
      <c r="AT159" s="53" t="n"/>
      <c r="AU159" s="53" t="n"/>
      <c r="AV159" s="53" t="n"/>
      <c r="AW159" s="53" t="n"/>
      <c r="AX159" s="53" t="n"/>
      <c r="AY159" s="53" t="n"/>
    </row>
    <row r="160" ht="15" customHeight="1">
      <c r="A160" s="62" t="n"/>
      <c r="B160" s="55">
        <f>IF($B$158="","",$B$158)</f>
        <v/>
      </c>
      <c r="C160" s="63" t="inlineStr">
        <is>
          <t>마케팅3팀</t>
        </is>
      </c>
      <c r="D160" s="55">
        <f>IF($D$158="","",$D$158)</f>
        <v/>
      </c>
      <c r="E160" s="64" t="inlineStr">
        <is>
          <t>영상</t>
        </is>
      </c>
      <c r="F160" s="44" t="n"/>
      <c r="G160" s="58">
        <f>IF($G$158="","",$G$158)</f>
        <v/>
      </c>
      <c r="H160" s="59" t="n"/>
      <c r="I160" s="59" t="n"/>
      <c r="J160" s="59" t="n"/>
      <c r="K160" s="59" t="n"/>
      <c r="L160" s="65">
        <f>IF(SUM(U160:AY160)=0,"",SUM(U160:AY160))</f>
        <v/>
      </c>
      <c r="M160" s="66">
        <f>IFERROR(INDEX(U$2:AY$2,MATCH(TRUE,INDEX(U160:AY160&lt;&gt;"",0),0)),"")</f>
        <v/>
      </c>
      <c r="N160" s="66">
        <f>IFERROR(LOOKUP(2,1/(U160:AY160&lt;&gt;""),U$2:AY$2),"")</f>
        <v/>
      </c>
      <c r="O160" s="59" t="n"/>
      <c r="P160" s="59" t="n"/>
      <c r="Q160" s="59" t="n"/>
      <c r="R160" s="59" t="n"/>
      <c r="S160" s="14" t="n"/>
      <c r="U160" s="53" t="n"/>
      <c r="V160" s="53" t="n"/>
      <c r="W160" s="53" t="n"/>
      <c r="X160" s="53" t="n"/>
      <c r="Y160" s="53" t="n"/>
      <c r="Z160" s="53" t="n"/>
      <c r="AA160" s="53" t="n"/>
      <c r="AB160" s="53" t="n"/>
      <c r="AC160" s="53" t="n"/>
      <c r="AD160" s="53" t="n"/>
      <c r="AE160" s="53" t="n"/>
      <c r="AF160" s="53" t="n"/>
      <c r="AG160" s="53" t="n"/>
      <c r="AH160" s="53" t="n"/>
      <c r="AI160" s="53" t="n"/>
      <c r="AJ160" s="53" t="n"/>
      <c r="AK160" s="53" t="n"/>
      <c r="AL160" s="53" t="n"/>
      <c r="AM160" s="53" t="n"/>
      <c r="AN160" s="53" t="n"/>
      <c r="AO160" s="53" t="n"/>
      <c r="AP160" s="53" t="n"/>
      <c r="AQ160" s="53" t="n"/>
      <c r="AR160" s="53" t="n"/>
      <c r="AS160" s="53" t="n"/>
      <c r="AT160" s="53" t="n"/>
      <c r="AU160" s="53" t="n"/>
      <c r="AV160" s="53" t="n"/>
      <c r="AW160" s="53" t="n"/>
      <c r="AX160" s="53" t="n"/>
      <c r="AY160" s="53" t="n"/>
    </row>
    <row r="161" ht="15" customHeight="1">
      <c r="A161" s="40">
        <f>IF($D$161="","",51)</f>
        <v/>
      </c>
      <c r="B161" s="10" t="n"/>
      <c r="C161" s="41" t="inlineStr">
        <is>
          <t>마케팅3팀</t>
        </is>
      </c>
      <c r="D161" s="42" t="n"/>
      <c r="E161" s="43" t="inlineStr">
        <is>
          <t>기획</t>
        </is>
      </c>
      <c r="F161" s="44" t="n"/>
      <c r="G161" s="45" t="n"/>
      <c r="H161" s="46">
        <f>IF($I$161="","",IF($I$161&lt;0,"🔴지연",IF($I$161&lt;=1,"🟡임박","🟢여유")))</f>
        <v/>
      </c>
      <c r="I161" s="47">
        <f>IF(OR($G$161="",$K$161=""),"",$G$161-$K$161)</f>
        <v/>
      </c>
      <c r="J161" s="48">
        <f>IF(SUM($L$161:$L$163)=0,"",SUM($L$161:$L$163))</f>
        <v/>
      </c>
      <c r="K161" s="49">
        <f>IF($J$161="","",MAX($N$161:$N$163))</f>
        <v/>
      </c>
      <c r="L161" s="50">
        <f>IF(SUM(U161:AY161)=0,"",SUM(U161:AY161))</f>
        <v/>
      </c>
      <c r="M161" s="51">
        <f>IFERROR(INDEX(U$2:AY$2,MATCH(TRUE,INDEX(U161:AY161&lt;&gt;"",0),0)),"")</f>
        <v/>
      </c>
      <c r="N161" s="51">
        <f>IFERROR(LOOKUP(2,1/(U161:AY161&lt;&gt;""),U$2:AY$2),"")</f>
        <v/>
      </c>
      <c r="O161" s="52" t="n"/>
      <c r="P161" s="52" t="n"/>
      <c r="Q161" s="52" t="n"/>
      <c r="R161" s="44" t="n"/>
      <c r="S161" s="14" t="n"/>
      <c r="U161" s="53" t="n"/>
      <c r="V161" s="53" t="n"/>
      <c r="W161" s="53" t="n"/>
      <c r="X161" s="53" t="n"/>
      <c r="Y161" s="53" t="n"/>
      <c r="Z161" s="53" t="n"/>
      <c r="AA161" s="53" t="n"/>
      <c r="AB161" s="53" t="n"/>
      <c r="AC161" s="53" t="n"/>
      <c r="AD161" s="53" t="n"/>
      <c r="AE161" s="53" t="n"/>
      <c r="AF161" s="53" t="n"/>
      <c r="AG161" s="53" t="n"/>
      <c r="AH161" s="53" t="n"/>
      <c r="AI161" s="53" t="n"/>
      <c r="AJ161" s="53" t="n"/>
      <c r="AK161" s="53" t="n"/>
      <c r="AL161" s="53" t="n"/>
      <c r="AM161" s="53" t="n"/>
      <c r="AN161" s="53" t="n"/>
      <c r="AO161" s="53" t="n"/>
      <c r="AP161" s="53" t="n"/>
      <c r="AQ161" s="53" t="n"/>
      <c r="AR161" s="53" t="n"/>
      <c r="AS161" s="53" t="n"/>
      <c r="AT161" s="53" t="n"/>
      <c r="AU161" s="53" t="n"/>
      <c r="AV161" s="53" t="n"/>
      <c r="AW161" s="53" t="n"/>
      <c r="AX161" s="53" t="n"/>
      <c r="AY161" s="53" t="n"/>
    </row>
    <row r="162" ht="15" customHeight="1">
      <c r="A162" s="54" t="n"/>
      <c r="B162" s="55">
        <f>IF($B$161="","",$B$161)</f>
        <v/>
      </c>
      <c r="C162" s="56" t="inlineStr">
        <is>
          <t>마케팅3팀</t>
        </is>
      </c>
      <c r="D162" s="55">
        <f>IF($D$161="","",$D$161)</f>
        <v/>
      </c>
      <c r="E162" s="57" t="inlineStr">
        <is>
          <t>이미지</t>
        </is>
      </c>
      <c r="F162" s="44" t="n"/>
      <c r="G162" s="58">
        <f>IF($G$161="","",$G$161)</f>
        <v/>
      </c>
      <c r="H162" s="59" t="n"/>
      <c r="I162" s="59" t="n"/>
      <c r="J162" s="59" t="n"/>
      <c r="K162" s="59" t="n"/>
      <c r="L162" s="60">
        <f>IF(SUM(U162:AY162)=0,"",SUM(U162:AY162))</f>
        <v/>
      </c>
      <c r="M162" s="61">
        <f>IFERROR(INDEX(U$2:AY$2,MATCH(TRUE,INDEX(U162:AY162&lt;&gt;"",0),0)),"")</f>
        <v/>
      </c>
      <c r="N162" s="61">
        <f>IFERROR(LOOKUP(2,1/(U162:AY162&lt;&gt;""),U$2:AY$2),"")</f>
        <v/>
      </c>
      <c r="O162" s="59" t="n"/>
      <c r="P162" s="59" t="n"/>
      <c r="Q162" s="59" t="n"/>
      <c r="R162" s="59" t="n"/>
      <c r="S162" s="14" t="n"/>
      <c r="U162" s="53" t="n"/>
      <c r="V162" s="53" t="n"/>
      <c r="W162" s="53" t="n"/>
      <c r="X162" s="53" t="n"/>
      <c r="Y162" s="53" t="n"/>
      <c r="Z162" s="53" t="n"/>
      <c r="AA162" s="53" t="n"/>
      <c r="AB162" s="53" t="n"/>
      <c r="AC162" s="53" t="n"/>
      <c r="AD162" s="53" t="n"/>
      <c r="AE162" s="53" t="n"/>
      <c r="AF162" s="53" t="n"/>
      <c r="AG162" s="53" t="n"/>
      <c r="AH162" s="53" t="n"/>
      <c r="AI162" s="53" t="n"/>
      <c r="AJ162" s="53" t="n"/>
      <c r="AK162" s="53" t="n"/>
      <c r="AL162" s="53" t="n"/>
      <c r="AM162" s="53" t="n"/>
      <c r="AN162" s="53" t="n"/>
      <c r="AO162" s="53" t="n"/>
      <c r="AP162" s="53" t="n"/>
      <c r="AQ162" s="53" t="n"/>
      <c r="AR162" s="53" t="n"/>
      <c r="AS162" s="53" t="n"/>
      <c r="AT162" s="53" t="n"/>
      <c r="AU162" s="53" t="n"/>
      <c r="AV162" s="53" t="n"/>
      <c r="AW162" s="53" t="n"/>
      <c r="AX162" s="53" t="n"/>
      <c r="AY162" s="53" t="n"/>
    </row>
    <row r="163" ht="15" customHeight="1">
      <c r="A163" s="62" t="n"/>
      <c r="B163" s="55">
        <f>IF($B$161="","",$B$161)</f>
        <v/>
      </c>
      <c r="C163" s="63" t="inlineStr">
        <is>
          <t>마케팅3팀</t>
        </is>
      </c>
      <c r="D163" s="55">
        <f>IF($D$161="","",$D$161)</f>
        <v/>
      </c>
      <c r="E163" s="64" t="inlineStr">
        <is>
          <t>영상</t>
        </is>
      </c>
      <c r="F163" s="44" t="n"/>
      <c r="G163" s="58">
        <f>IF($G$161="","",$G$161)</f>
        <v/>
      </c>
      <c r="H163" s="59" t="n"/>
      <c r="I163" s="59" t="n"/>
      <c r="J163" s="59" t="n"/>
      <c r="K163" s="59" t="n"/>
      <c r="L163" s="65">
        <f>IF(SUM(U163:AY163)=0,"",SUM(U163:AY163))</f>
        <v/>
      </c>
      <c r="M163" s="66">
        <f>IFERROR(INDEX(U$2:AY$2,MATCH(TRUE,INDEX(U163:AY163&lt;&gt;"",0),0)),"")</f>
        <v/>
      </c>
      <c r="N163" s="66">
        <f>IFERROR(LOOKUP(2,1/(U163:AY163&lt;&gt;""),U$2:AY$2),"")</f>
        <v/>
      </c>
      <c r="O163" s="59" t="n"/>
      <c r="P163" s="59" t="n"/>
      <c r="Q163" s="59" t="n"/>
      <c r="R163" s="59" t="n"/>
      <c r="S163" s="14" t="n"/>
      <c r="U163" s="53" t="n"/>
      <c r="V163" s="53" t="n"/>
      <c r="W163" s="53" t="n"/>
      <c r="X163" s="53" t="n"/>
      <c r="Y163" s="53" t="n"/>
      <c r="Z163" s="53" t="n"/>
      <c r="AA163" s="53" t="n"/>
      <c r="AB163" s="53" t="n"/>
      <c r="AC163" s="53" t="n"/>
      <c r="AD163" s="53" t="n"/>
      <c r="AE163" s="53" t="n"/>
      <c r="AF163" s="53" t="n"/>
      <c r="AG163" s="53" t="n"/>
      <c r="AH163" s="53" t="n"/>
      <c r="AI163" s="53" t="n"/>
      <c r="AJ163" s="53" t="n"/>
      <c r="AK163" s="53" t="n"/>
      <c r="AL163" s="53" t="n"/>
      <c r="AM163" s="53" t="n"/>
      <c r="AN163" s="53" t="n"/>
      <c r="AO163" s="53" t="n"/>
      <c r="AP163" s="53" t="n"/>
      <c r="AQ163" s="53" t="n"/>
      <c r="AR163" s="53" t="n"/>
      <c r="AS163" s="53" t="n"/>
      <c r="AT163" s="53" t="n"/>
      <c r="AU163" s="53" t="n"/>
      <c r="AV163" s="53" t="n"/>
      <c r="AW163" s="53" t="n"/>
      <c r="AX163" s="53" t="n"/>
      <c r="AY163" s="53" t="n"/>
    </row>
    <row r="164" ht="15" customHeight="1">
      <c r="A164" s="40">
        <f>IF($D$164="","",52)</f>
        <v/>
      </c>
      <c r="B164" s="10" t="n"/>
      <c r="C164" s="41" t="inlineStr">
        <is>
          <t>마케팅3팀</t>
        </is>
      </c>
      <c r="D164" s="42" t="n"/>
      <c r="E164" s="43" t="inlineStr">
        <is>
          <t>기획</t>
        </is>
      </c>
      <c r="F164" s="44" t="n"/>
      <c r="G164" s="45" t="n"/>
      <c r="H164" s="46">
        <f>IF($I$164="","",IF($I$164&lt;0,"🔴지연",IF($I$164&lt;=1,"🟡임박","🟢여유")))</f>
        <v/>
      </c>
      <c r="I164" s="47">
        <f>IF(OR($G$164="",$K$164=""),"",$G$164-$K$164)</f>
        <v/>
      </c>
      <c r="J164" s="48">
        <f>IF(SUM($L$164:$L$166)=0,"",SUM($L$164:$L$166))</f>
        <v/>
      </c>
      <c r="K164" s="49">
        <f>IF($J$164="","",MAX($N$164:$N$166))</f>
        <v/>
      </c>
      <c r="L164" s="50">
        <f>IF(SUM(U164:AY164)=0,"",SUM(U164:AY164))</f>
        <v/>
      </c>
      <c r="M164" s="51">
        <f>IFERROR(INDEX(U$2:AY$2,MATCH(TRUE,INDEX(U164:AY164&lt;&gt;"",0),0)),"")</f>
        <v/>
      </c>
      <c r="N164" s="51">
        <f>IFERROR(LOOKUP(2,1/(U164:AY164&lt;&gt;""),U$2:AY$2),"")</f>
        <v/>
      </c>
      <c r="O164" s="52" t="n"/>
      <c r="P164" s="52" t="n"/>
      <c r="Q164" s="52" t="n"/>
      <c r="R164" s="44" t="n"/>
      <c r="S164" s="14" t="n"/>
      <c r="U164" s="53" t="n"/>
      <c r="V164" s="53" t="n"/>
      <c r="W164" s="53" t="n"/>
      <c r="X164" s="53" t="n"/>
      <c r="Y164" s="53" t="n"/>
      <c r="Z164" s="53" t="n"/>
      <c r="AA164" s="53" t="n"/>
      <c r="AB164" s="53" t="n"/>
      <c r="AC164" s="53" t="n"/>
      <c r="AD164" s="53" t="n"/>
      <c r="AE164" s="53" t="n"/>
      <c r="AF164" s="53" t="n"/>
      <c r="AG164" s="53" t="n"/>
      <c r="AH164" s="53" t="n"/>
      <c r="AI164" s="53" t="n"/>
      <c r="AJ164" s="53" t="n"/>
      <c r="AK164" s="53" t="n"/>
      <c r="AL164" s="53" t="n"/>
      <c r="AM164" s="53" t="n"/>
      <c r="AN164" s="53" t="n"/>
      <c r="AO164" s="53" t="n"/>
      <c r="AP164" s="53" t="n"/>
      <c r="AQ164" s="53" t="n"/>
      <c r="AR164" s="53" t="n"/>
      <c r="AS164" s="53" t="n"/>
      <c r="AT164" s="53" t="n"/>
      <c r="AU164" s="53" t="n"/>
      <c r="AV164" s="53" t="n"/>
      <c r="AW164" s="53" t="n"/>
      <c r="AX164" s="53" t="n"/>
      <c r="AY164" s="53" t="n"/>
    </row>
    <row r="165" ht="15" customHeight="1">
      <c r="A165" s="54" t="n"/>
      <c r="B165" s="55">
        <f>IF($B$164="","",$B$164)</f>
        <v/>
      </c>
      <c r="C165" s="56" t="inlineStr">
        <is>
          <t>마케팅3팀</t>
        </is>
      </c>
      <c r="D165" s="55">
        <f>IF($D$164="","",$D$164)</f>
        <v/>
      </c>
      <c r="E165" s="57" t="inlineStr">
        <is>
          <t>이미지</t>
        </is>
      </c>
      <c r="F165" s="44" t="n"/>
      <c r="G165" s="58">
        <f>IF($G$164="","",$G$164)</f>
        <v/>
      </c>
      <c r="H165" s="59" t="n"/>
      <c r="I165" s="59" t="n"/>
      <c r="J165" s="59" t="n"/>
      <c r="K165" s="59" t="n"/>
      <c r="L165" s="60">
        <f>IF(SUM(U165:AY165)=0,"",SUM(U165:AY165))</f>
        <v/>
      </c>
      <c r="M165" s="61">
        <f>IFERROR(INDEX(U$2:AY$2,MATCH(TRUE,INDEX(U165:AY165&lt;&gt;"",0),0)),"")</f>
        <v/>
      </c>
      <c r="N165" s="61">
        <f>IFERROR(LOOKUP(2,1/(U165:AY165&lt;&gt;""),U$2:AY$2),"")</f>
        <v/>
      </c>
      <c r="O165" s="59" t="n"/>
      <c r="P165" s="59" t="n"/>
      <c r="Q165" s="59" t="n"/>
      <c r="R165" s="59" t="n"/>
      <c r="S165" s="14" t="n"/>
      <c r="U165" s="53" t="n"/>
      <c r="V165" s="53" t="n"/>
      <c r="W165" s="53" t="n"/>
      <c r="X165" s="53" t="n"/>
      <c r="Y165" s="53" t="n"/>
      <c r="Z165" s="53" t="n"/>
      <c r="AA165" s="53" t="n"/>
      <c r="AB165" s="53" t="n"/>
      <c r="AC165" s="53" t="n"/>
      <c r="AD165" s="53" t="n"/>
      <c r="AE165" s="53" t="n"/>
      <c r="AF165" s="53" t="n"/>
      <c r="AG165" s="53" t="n"/>
      <c r="AH165" s="53" t="n"/>
      <c r="AI165" s="53" t="n"/>
      <c r="AJ165" s="53" t="n"/>
      <c r="AK165" s="53" t="n"/>
      <c r="AL165" s="53" t="n"/>
      <c r="AM165" s="53" t="n"/>
      <c r="AN165" s="53" t="n"/>
      <c r="AO165" s="53" t="n"/>
      <c r="AP165" s="53" t="n"/>
      <c r="AQ165" s="53" t="n"/>
      <c r="AR165" s="53" t="n"/>
      <c r="AS165" s="53" t="n"/>
      <c r="AT165" s="53" t="n"/>
      <c r="AU165" s="53" t="n"/>
      <c r="AV165" s="53" t="n"/>
      <c r="AW165" s="53" t="n"/>
      <c r="AX165" s="53" t="n"/>
      <c r="AY165" s="53" t="n"/>
    </row>
    <row r="166" ht="15" customHeight="1">
      <c r="A166" s="62" t="n"/>
      <c r="B166" s="55">
        <f>IF($B$164="","",$B$164)</f>
        <v/>
      </c>
      <c r="C166" s="63" t="inlineStr">
        <is>
          <t>마케팅3팀</t>
        </is>
      </c>
      <c r="D166" s="55">
        <f>IF($D$164="","",$D$164)</f>
        <v/>
      </c>
      <c r="E166" s="64" t="inlineStr">
        <is>
          <t>영상</t>
        </is>
      </c>
      <c r="F166" s="44" t="n"/>
      <c r="G166" s="58">
        <f>IF($G$164="","",$G$164)</f>
        <v/>
      </c>
      <c r="H166" s="59" t="n"/>
      <c r="I166" s="59" t="n"/>
      <c r="J166" s="59" t="n"/>
      <c r="K166" s="59" t="n"/>
      <c r="L166" s="65">
        <f>IF(SUM(U166:AY166)=0,"",SUM(U166:AY166))</f>
        <v/>
      </c>
      <c r="M166" s="66">
        <f>IFERROR(INDEX(U$2:AY$2,MATCH(TRUE,INDEX(U166:AY166&lt;&gt;"",0),0)),"")</f>
        <v/>
      </c>
      <c r="N166" s="66">
        <f>IFERROR(LOOKUP(2,1/(U166:AY166&lt;&gt;""),U$2:AY$2),"")</f>
        <v/>
      </c>
      <c r="O166" s="59" t="n"/>
      <c r="P166" s="59" t="n"/>
      <c r="Q166" s="59" t="n"/>
      <c r="R166" s="59" t="n"/>
      <c r="S166" s="14" t="n"/>
      <c r="U166" s="53" t="n"/>
      <c r="V166" s="53" t="n"/>
      <c r="W166" s="53" t="n"/>
      <c r="X166" s="53" t="n"/>
      <c r="Y166" s="53" t="n"/>
      <c r="Z166" s="53" t="n"/>
      <c r="AA166" s="53" t="n"/>
      <c r="AB166" s="53" t="n"/>
      <c r="AC166" s="53" t="n"/>
      <c r="AD166" s="53" t="n"/>
      <c r="AE166" s="53" t="n"/>
      <c r="AF166" s="53" t="n"/>
      <c r="AG166" s="53" t="n"/>
      <c r="AH166" s="53" t="n"/>
      <c r="AI166" s="53" t="n"/>
      <c r="AJ166" s="53" t="n"/>
      <c r="AK166" s="53" t="n"/>
      <c r="AL166" s="53" t="n"/>
      <c r="AM166" s="53" t="n"/>
      <c r="AN166" s="53" t="n"/>
      <c r="AO166" s="53" t="n"/>
      <c r="AP166" s="53" t="n"/>
      <c r="AQ166" s="53" t="n"/>
      <c r="AR166" s="53" t="n"/>
      <c r="AS166" s="53" t="n"/>
      <c r="AT166" s="53" t="n"/>
      <c r="AU166" s="53" t="n"/>
      <c r="AV166" s="53" t="n"/>
      <c r="AW166" s="53" t="n"/>
      <c r="AX166" s="53" t="n"/>
      <c r="AY166" s="53" t="n"/>
    </row>
    <row r="167" ht="15" customHeight="1">
      <c r="A167" s="40">
        <f>IF($D$167="","",53)</f>
        <v/>
      </c>
      <c r="B167" s="10" t="n"/>
      <c r="C167" s="41" t="inlineStr">
        <is>
          <t>마케팅3팀</t>
        </is>
      </c>
      <c r="D167" s="42" t="n"/>
      <c r="E167" s="43" t="inlineStr">
        <is>
          <t>기획</t>
        </is>
      </c>
      <c r="F167" s="44" t="n"/>
      <c r="G167" s="45" t="n"/>
      <c r="H167" s="46">
        <f>IF($I$167="","",IF($I$167&lt;0,"🔴지연",IF($I$167&lt;=1,"🟡임박","🟢여유")))</f>
        <v/>
      </c>
      <c r="I167" s="47">
        <f>IF(OR($G$167="",$K$167=""),"",$G$167-$K$167)</f>
        <v/>
      </c>
      <c r="J167" s="48">
        <f>IF(SUM($L$167:$L$169)=0,"",SUM($L$167:$L$169))</f>
        <v/>
      </c>
      <c r="K167" s="49">
        <f>IF($J$167="","",MAX($N$167:$N$169))</f>
        <v/>
      </c>
      <c r="L167" s="50">
        <f>IF(SUM(U167:AY167)=0,"",SUM(U167:AY167))</f>
        <v/>
      </c>
      <c r="M167" s="51">
        <f>IFERROR(INDEX(U$2:AY$2,MATCH(TRUE,INDEX(U167:AY167&lt;&gt;"",0),0)),"")</f>
        <v/>
      </c>
      <c r="N167" s="51">
        <f>IFERROR(LOOKUP(2,1/(U167:AY167&lt;&gt;""),U$2:AY$2),"")</f>
        <v/>
      </c>
      <c r="O167" s="52" t="n"/>
      <c r="P167" s="52" t="n"/>
      <c r="Q167" s="52" t="n"/>
      <c r="R167" s="44" t="n"/>
      <c r="S167" s="14" t="n"/>
      <c r="U167" s="53" t="n"/>
      <c r="V167" s="53" t="n"/>
      <c r="W167" s="53" t="n"/>
      <c r="X167" s="53" t="n"/>
      <c r="Y167" s="53" t="n"/>
      <c r="Z167" s="53" t="n"/>
      <c r="AA167" s="53" t="n"/>
      <c r="AB167" s="53" t="n"/>
      <c r="AC167" s="53" t="n"/>
      <c r="AD167" s="53" t="n"/>
      <c r="AE167" s="53" t="n"/>
      <c r="AF167" s="53" t="n"/>
      <c r="AG167" s="53" t="n"/>
      <c r="AH167" s="53" t="n"/>
      <c r="AI167" s="53" t="n"/>
      <c r="AJ167" s="53" t="n"/>
      <c r="AK167" s="53" t="n"/>
      <c r="AL167" s="53" t="n"/>
      <c r="AM167" s="53" t="n"/>
      <c r="AN167" s="53" t="n"/>
      <c r="AO167" s="53" t="n"/>
      <c r="AP167" s="53" t="n"/>
      <c r="AQ167" s="53" t="n"/>
      <c r="AR167" s="53" t="n"/>
      <c r="AS167" s="53" t="n"/>
      <c r="AT167" s="53" t="n"/>
      <c r="AU167" s="53" t="n"/>
      <c r="AV167" s="53" t="n"/>
      <c r="AW167" s="53" t="n"/>
      <c r="AX167" s="53" t="n"/>
      <c r="AY167" s="53" t="n"/>
    </row>
    <row r="168" ht="15" customHeight="1">
      <c r="A168" s="54" t="n"/>
      <c r="B168" s="55">
        <f>IF($B$167="","",$B$167)</f>
        <v/>
      </c>
      <c r="C168" s="56" t="inlineStr">
        <is>
          <t>마케팅3팀</t>
        </is>
      </c>
      <c r="D168" s="55">
        <f>IF($D$167="","",$D$167)</f>
        <v/>
      </c>
      <c r="E168" s="57" t="inlineStr">
        <is>
          <t>이미지</t>
        </is>
      </c>
      <c r="F168" s="44" t="n"/>
      <c r="G168" s="58">
        <f>IF($G$167="","",$G$167)</f>
        <v/>
      </c>
      <c r="H168" s="59" t="n"/>
      <c r="I168" s="59" t="n"/>
      <c r="J168" s="59" t="n"/>
      <c r="K168" s="59" t="n"/>
      <c r="L168" s="60">
        <f>IF(SUM(U168:AY168)=0,"",SUM(U168:AY168))</f>
        <v/>
      </c>
      <c r="M168" s="61">
        <f>IFERROR(INDEX(U$2:AY$2,MATCH(TRUE,INDEX(U168:AY168&lt;&gt;"",0),0)),"")</f>
        <v/>
      </c>
      <c r="N168" s="61">
        <f>IFERROR(LOOKUP(2,1/(U168:AY168&lt;&gt;""),U$2:AY$2),"")</f>
        <v/>
      </c>
      <c r="O168" s="59" t="n"/>
      <c r="P168" s="59" t="n"/>
      <c r="Q168" s="59" t="n"/>
      <c r="R168" s="59" t="n"/>
      <c r="S168" s="14" t="n"/>
      <c r="U168" s="53" t="n"/>
      <c r="V168" s="53" t="n"/>
      <c r="W168" s="53" t="n"/>
      <c r="X168" s="53" t="n"/>
      <c r="Y168" s="53" t="n"/>
      <c r="Z168" s="53" t="n"/>
      <c r="AA168" s="53" t="n"/>
      <c r="AB168" s="53" t="n"/>
      <c r="AC168" s="53" t="n"/>
      <c r="AD168" s="53" t="n"/>
      <c r="AE168" s="53" t="n"/>
      <c r="AF168" s="53" t="n"/>
      <c r="AG168" s="53" t="n"/>
      <c r="AH168" s="53" t="n"/>
      <c r="AI168" s="53" t="n"/>
      <c r="AJ168" s="53" t="n"/>
      <c r="AK168" s="53" t="n"/>
      <c r="AL168" s="53" t="n"/>
      <c r="AM168" s="53" t="n"/>
      <c r="AN168" s="53" t="n"/>
      <c r="AO168" s="53" t="n"/>
      <c r="AP168" s="53" t="n"/>
      <c r="AQ168" s="53" t="n"/>
      <c r="AR168" s="53" t="n"/>
      <c r="AS168" s="53" t="n"/>
      <c r="AT168" s="53" t="n"/>
      <c r="AU168" s="53" t="n"/>
      <c r="AV168" s="53" t="n"/>
      <c r="AW168" s="53" t="n"/>
      <c r="AX168" s="53" t="n"/>
      <c r="AY168" s="53" t="n"/>
    </row>
    <row r="169" ht="15" customHeight="1">
      <c r="A169" s="62" t="n"/>
      <c r="B169" s="55">
        <f>IF($B$167="","",$B$167)</f>
        <v/>
      </c>
      <c r="C169" s="63" t="inlineStr">
        <is>
          <t>마케팅3팀</t>
        </is>
      </c>
      <c r="D169" s="55">
        <f>IF($D$167="","",$D$167)</f>
        <v/>
      </c>
      <c r="E169" s="64" t="inlineStr">
        <is>
          <t>영상</t>
        </is>
      </c>
      <c r="F169" s="44" t="n"/>
      <c r="G169" s="58">
        <f>IF($G$167="","",$G$167)</f>
        <v/>
      </c>
      <c r="H169" s="59" t="n"/>
      <c r="I169" s="59" t="n"/>
      <c r="J169" s="59" t="n"/>
      <c r="K169" s="59" t="n"/>
      <c r="L169" s="65">
        <f>IF(SUM(U169:AY169)=0,"",SUM(U169:AY169))</f>
        <v/>
      </c>
      <c r="M169" s="66">
        <f>IFERROR(INDEX(U$2:AY$2,MATCH(TRUE,INDEX(U169:AY169&lt;&gt;"",0),0)),"")</f>
        <v/>
      </c>
      <c r="N169" s="66">
        <f>IFERROR(LOOKUP(2,1/(U169:AY169&lt;&gt;""),U$2:AY$2),"")</f>
        <v/>
      </c>
      <c r="O169" s="59" t="n"/>
      <c r="P169" s="59" t="n"/>
      <c r="Q169" s="59" t="n"/>
      <c r="R169" s="59" t="n"/>
      <c r="S169" s="14" t="n"/>
      <c r="U169" s="53" t="n"/>
      <c r="V169" s="53" t="n"/>
      <c r="W169" s="53" t="n"/>
      <c r="X169" s="53" t="n"/>
      <c r="Y169" s="53" t="n"/>
      <c r="Z169" s="53" t="n"/>
      <c r="AA169" s="53" t="n"/>
      <c r="AB169" s="53" t="n"/>
      <c r="AC169" s="53" t="n"/>
      <c r="AD169" s="53" t="n"/>
      <c r="AE169" s="53" t="n"/>
      <c r="AF169" s="53" t="n"/>
      <c r="AG169" s="53" t="n"/>
      <c r="AH169" s="53" t="n"/>
      <c r="AI169" s="53" t="n"/>
      <c r="AJ169" s="53" t="n"/>
      <c r="AK169" s="53" t="n"/>
      <c r="AL169" s="53" t="n"/>
      <c r="AM169" s="53" t="n"/>
      <c r="AN169" s="53" t="n"/>
      <c r="AO169" s="53" t="n"/>
      <c r="AP169" s="53" t="n"/>
      <c r="AQ169" s="53" t="n"/>
      <c r="AR169" s="53" t="n"/>
      <c r="AS169" s="53" t="n"/>
      <c r="AT169" s="53" t="n"/>
      <c r="AU169" s="53" t="n"/>
      <c r="AV169" s="53" t="n"/>
      <c r="AW169" s="53" t="n"/>
      <c r="AX169" s="53" t="n"/>
      <c r="AY169" s="53" t="n"/>
    </row>
    <row r="170" ht="15" customHeight="1">
      <c r="A170" s="40">
        <f>IF($D$170="","",54)</f>
        <v/>
      </c>
      <c r="B170" s="10" t="n"/>
      <c r="C170" s="41" t="inlineStr">
        <is>
          <t>마케팅3팀</t>
        </is>
      </c>
      <c r="D170" s="42" t="n"/>
      <c r="E170" s="43" t="inlineStr">
        <is>
          <t>기획</t>
        </is>
      </c>
      <c r="F170" s="44" t="n"/>
      <c r="G170" s="45" t="n"/>
      <c r="H170" s="46">
        <f>IF($I$170="","",IF($I$170&lt;0,"🔴지연",IF($I$170&lt;=1,"🟡임박","🟢여유")))</f>
        <v/>
      </c>
      <c r="I170" s="47">
        <f>IF(OR($G$170="",$K$170=""),"",$G$170-$K$170)</f>
        <v/>
      </c>
      <c r="J170" s="48">
        <f>IF(SUM($L$170:$L$172)=0,"",SUM($L$170:$L$172))</f>
        <v/>
      </c>
      <c r="K170" s="49">
        <f>IF($J$170="","",MAX($N$170:$N$172))</f>
        <v/>
      </c>
      <c r="L170" s="50">
        <f>IF(SUM(U170:AY170)=0,"",SUM(U170:AY170))</f>
        <v/>
      </c>
      <c r="M170" s="51">
        <f>IFERROR(INDEX(U$2:AY$2,MATCH(TRUE,INDEX(U170:AY170&lt;&gt;"",0),0)),"")</f>
        <v/>
      </c>
      <c r="N170" s="51">
        <f>IFERROR(LOOKUP(2,1/(U170:AY170&lt;&gt;""),U$2:AY$2),"")</f>
        <v/>
      </c>
      <c r="O170" s="52" t="n"/>
      <c r="P170" s="52" t="n"/>
      <c r="Q170" s="52" t="n"/>
      <c r="R170" s="44" t="n"/>
      <c r="S170" s="14" t="n"/>
      <c r="U170" s="53" t="n"/>
      <c r="V170" s="53" t="n"/>
      <c r="W170" s="53" t="n"/>
      <c r="X170" s="53" t="n"/>
      <c r="Y170" s="53" t="n"/>
      <c r="Z170" s="53" t="n"/>
      <c r="AA170" s="53" t="n"/>
      <c r="AB170" s="53" t="n"/>
      <c r="AC170" s="53" t="n"/>
      <c r="AD170" s="53" t="n"/>
      <c r="AE170" s="53" t="n"/>
      <c r="AF170" s="53" t="n"/>
      <c r="AG170" s="53" t="n"/>
      <c r="AH170" s="53" t="n"/>
      <c r="AI170" s="53" t="n"/>
      <c r="AJ170" s="53" t="n"/>
      <c r="AK170" s="53" t="n"/>
      <c r="AL170" s="53" t="n"/>
      <c r="AM170" s="53" t="n"/>
      <c r="AN170" s="53" t="n"/>
      <c r="AO170" s="53" t="n"/>
      <c r="AP170" s="53" t="n"/>
      <c r="AQ170" s="53" t="n"/>
      <c r="AR170" s="53" t="n"/>
      <c r="AS170" s="53" t="n"/>
      <c r="AT170" s="53" t="n"/>
      <c r="AU170" s="53" t="n"/>
      <c r="AV170" s="53" t="n"/>
      <c r="AW170" s="53" t="n"/>
      <c r="AX170" s="53" t="n"/>
      <c r="AY170" s="53" t="n"/>
    </row>
    <row r="171" ht="15" customHeight="1">
      <c r="A171" s="54" t="n"/>
      <c r="B171" s="55">
        <f>IF($B$170="","",$B$170)</f>
        <v/>
      </c>
      <c r="C171" s="56" t="inlineStr">
        <is>
          <t>마케팅3팀</t>
        </is>
      </c>
      <c r="D171" s="55">
        <f>IF($D$170="","",$D$170)</f>
        <v/>
      </c>
      <c r="E171" s="57" t="inlineStr">
        <is>
          <t>이미지</t>
        </is>
      </c>
      <c r="F171" s="44" t="n"/>
      <c r="G171" s="58">
        <f>IF($G$170="","",$G$170)</f>
        <v/>
      </c>
      <c r="H171" s="59" t="n"/>
      <c r="I171" s="59" t="n"/>
      <c r="J171" s="59" t="n"/>
      <c r="K171" s="59" t="n"/>
      <c r="L171" s="60">
        <f>IF(SUM(U171:AY171)=0,"",SUM(U171:AY171))</f>
        <v/>
      </c>
      <c r="M171" s="61">
        <f>IFERROR(INDEX(U$2:AY$2,MATCH(TRUE,INDEX(U171:AY171&lt;&gt;"",0),0)),"")</f>
        <v/>
      </c>
      <c r="N171" s="61">
        <f>IFERROR(LOOKUP(2,1/(U171:AY171&lt;&gt;""),U$2:AY$2),"")</f>
        <v/>
      </c>
      <c r="O171" s="59" t="n"/>
      <c r="P171" s="59" t="n"/>
      <c r="Q171" s="59" t="n"/>
      <c r="R171" s="59" t="n"/>
      <c r="S171" s="14" t="n"/>
      <c r="U171" s="53" t="n"/>
      <c r="V171" s="53" t="n"/>
      <c r="W171" s="53" t="n"/>
      <c r="X171" s="53" t="n"/>
      <c r="Y171" s="53" t="n"/>
      <c r="Z171" s="53" t="n"/>
      <c r="AA171" s="53" t="n"/>
      <c r="AB171" s="53" t="n"/>
      <c r="AC171" s="53" t="n"/>
      <c r="AD171" s="53" t="n"/>
      <c r="AE171" s="53" t="n"/>
      <c r="AF171" s="53" t="n"/>
      <c r="AG171" s="53" t="n"/>
      <c r="AH171" s="53" t="n"/>
      <c r="AI171" s="53" t="n"/>
      <c r="AJ171" s="53" t="n"/>
      <c r="AK171" s="53" t="n"/>
      <c r="AL171" s="53" t="n"/>
      <c r="AM171" s="53" t="n"/>
      <c r="AN171" s="53" t="n"/>
      <c r="AO171" s="53" t="n"/>
      <c r="AP171" s="53" t="n"/>
      <c r="AQ171" s="53" t="n"/>
      <c r="AR171" s="53" t="n"/>
      <c r="AS171" s="53" t="n"/>
      <c r="AT171" s="53" t="n"/>
      <c r="AU171" s="53" t="n"/>
      <c r="AV171" s="53" t="n"/>
      <c r="AW171" s="53" t="n"/>
      <c r="AX171" s="53" t="n"/>
      <c r="AY171" s="53" t="n"/>
    </row>
    <row r="172" ht="15" customHeight="1">
      <c r="A172" s="62" t="n"/>
      <c r="B172" s="55">
        <f>IF($B$170="","",$B$170)</f>
        <v/>
      </c>
      <c r="C172" s="63" t="inlineStr">
        <is>
          <t>마케팅3팀</t>
        </is>
      </c>
      <c r="D172" s="55">
        <f>IF($D$170="","",$D$170)</f>
        <v/>
      </c>
      <c r="E172" s="64" t="inlineStr">
        <is>
          <t>영상</t>
        </is>
      </c>
      <c r="F172" s="44" t="n"/>
      <c r="G172" s="58">
        <f>IF($G$170="","",$G$170)</f>
        <v/>
      </c>
      <c r="H172" s="59" t="n"/>
      <c r="I172" s="59" t="n"/>
      <c r="J172" s="59" t="n"/>
      <c r="K172" s="59" t="n"/>
      <c r="L172" s="65">
        <f>IF(SUM(U172:AY172)=0,"",SUM(U172:AY172))</f>
        <v/>
      </c>
      <c r="M172" s="66">
        <f>IFERROR(INDEX(U$2:AY$2,MATCH(TRUE,INDEX(U172:AY172&lt;&gt;"",0),0)),"")</f>
        <v/>
      </c>
      <c r="N172" s="66">
        <f>IFERROR(LOOKUP(2,1/(U172:AY172&lt;&gt;""),U$2:AY$2),"")</f>
        <v/>
      </c>
      <c r="O172" s="59" t="n"/>
      <c r="P172" s="59" t="n"/>
      <c r="Q172" s="59" t="n"/>
      <c r="R172" s="59" t="n"/>
      <c r="S172" s="14" t="n"/>
      <c r="U172" s="53" t="n"/>
      <c r="V172" s="53" t="n"/>
      <c r="W172" s="53" t="n"/>
      <c r="X172" s="53" t="n"/>
      <c r="Y172" s="53" t="n"/>
      <c r="Z172" s="53" t="n"/>
      <c r="AA172" s="53" t="n"/>
      <c r="AB172" s="53" t="n"/>
      <c r="AC172" s="53" t="n"/>
      <c r="AD172" s="53" t="n"/>
      <c r="AE172" s="53" t="n"/>
      <c r="AF172" s="53" t="n"/>
      <c r="AG172" s="53" t="n"/>
      <c r="AH172" s="53" t="n"/>
      <c r="AI172" s="53" t="n"/>
      <c r="AJ172" s="53" t="n"/>
      <c r="AK172" s="53" t="n"/>
      <c r="AL172" s="53" t="n"/>
      <c r="AM172" s="53" t="n"/>
      <c r="AN172" s="53" t="n"/>
      <c r="AO172" s="53" t="n"/>
      <c r="AP172" s="53" t="n"/>
      <c r="AQ172" s="53" t="n"/>
      <c r="AR172" s="53" t="n"/>
      <c r="AS172" s="53" t="n"/>
      <c r="AT172" s="53" t="n"/>
      <c r="AU172" s="53" t="n"/>
      <c r="AV172" s="53" t="n"/>
      <c r="AW172" s="53" t="n"/>
      <c r="AX172" s="53" t="n"/>
      <c r="AY172" s="53" t="n"/>
    </row>
    <row r="173" ht="15" customHeight="1">
      <c r="A173" s="40">
        <f>IF($D$173="","",55)</f>
        <v/>
      </c>
      <c r="B173" s="10" t="n"/>
      <c r="C173" s="41" t="inlineStr">
        <is>
          <t>마케팅3팀</t>
        </is>
      </c>
      <c r="D173" s="42" t="n"/>
      <c r="E173" s="43" t="inlineStr">
        <is>
          <t>기획</t>
        </is>
      </c>
      <c r="F173" s="44" t="n"/>
      <c r="G173" s="45" t="n"/>
      <c r="H173" s="46">
        <f>IF($I$173="","",IF($I$173&lt;0,"🔴지연",IF($I$173&lt;=1,"🟡임박","🟢여유")))</f>
        <v/>
      </c>
      <c r="I173" s="47">
        <f>IF(OR($G$173="",$K$173=""),"",$G$173-$K$173)</f>
        <v/>
      </c>
      <c r="J173" s="48">
        <f>IF(SUM($L$173:$L$175)=0,"",SUM($L$173:$L$175))</f>
        <v/>
      </c>
      <c r="K173" s="49">
        <f>IF($J$173="","",MAX($N$173:$N$175))</f>
        <v/>
      </c>
      <c r="L173" s="50">
        <f>IF(SUM(U173:AY173)=0,"",SUM(U173:AY173))</f>
        <v/>
      </c>
      <c r="M173" s="51">
        <f>IFERROR(INDEX(U$2:AY$2,MATCH(TRUE,INDEX(U173:AY173&lt;&gt;"",0),0)),"")</f>
        <v/>
      </c>
      <c r="N173" s="51">
        <f>IFERROR(LOOKUP(2,1/(U173:AY173&lt;&gt;""),U$2:AY$2),"")</f>
        <v/>
      </c>
      <c r="O173" s="52" t="n"/>
      <c r="P173" s="52" t="n"/>
      <c r="Q173" s="52" t="n"/>
      <c r="R173" s="44" t="n"/>
      <c r="S173" s="14" t="n"/>
      <c r="U173" s="53" t="n"/>
      <c r="V173" s="53" t="n"/>
      <c r="W173" s="53" t="n"/>
      <c r="X173" s="53" t="n"/>
      <c r="Y173" s="53" t="n"/>
      <c r="Z173" s="53" t="n"/>
      <c r="AA173" s="53" t="n"/>
      <c r="AB173" s="53" t="n"/>
      <c r="AC173" s="53" t="n"/>
      <c r="AD173" s="53" t="n"/>
      <c r="AE173" s="53" t="n"/>
      <c r="AF173" s="53" t="n"/>
      <c r="AG173" s="53" t="n"/>
      <c r="AH173" s="53" t="n"/>
      <c r="AI173" s="53" t="n"/>
      <c r="AJ173" s="53" t="n"/>
      <c r="AK173" s="53" t="n"/>
      <c r="AL173" s="53" t="n"/>
      <c r="AM173" s="53" t="n"/>
      <c r="AN173" s="53" t="n"/>
      <c r="AO173" s="53" t="n"/>
      <c r="AP173" s="53" t="n"/>
      <c r="AQ173" s="53" t="n"/>
      <c r="AR173" s="53" t="n"/>
      <c r="AS173" s="53" t="n"/>
      <c r="AT173" s="53" t="n"/>
      <c r="AU173" s="53" t="n"/>
      <c r="AV173" s="53" t="n"/>
      <c r="AW173" s="53" t="n"/>
      <c r="AX173" s="53" t="n"/>
      <c r="AY173" s="53" t="n"/>
    </row>
    <row r="174" ht="15" customHeight="1">
      <c r="A174" s="54" t="n"/>
      <c r="B174" s="55">
        <f>IF($B$173="","",$B$173)</f>
        <v/>
      </c>
      <c r="C174" s="56" t="inlineStr">
        <is>
          <t>마케팅3팀</t>
        </is>
      </c>
      <c r="D174" s="55">
        <f>IF($D$173="","",$D$173)</f>
        <v/>
      </c>
      <c r="E174" s="57" t="inlineStr">
        <is>
          <t>이미지</t>
        </is>
      </c>
      <c r="F174" s="44" t="n"/>
      <c r="G174" s="58">
        <f>IF($G$173="","",$G$173)</f>
        <v/>
      </c>
      <c r="H174" s="59" t="n"/>
      <c r="I174" s="59" t="n"/>
      <c r="J174" s="59" t="n"/>
      <c r="K174" s="59" t="n"/>
      <c r="L174" s="60">
        <f>IF(SUM(U174:AY174)=0,"",SUM(U174:AY174))</f>
        <v/>
      </c>
      <c r="M174" s="61">
        <f>IFERROR(INDEX(U$2:AY$2,MATCH(TRUE,INDEX(U174:AY174&lt;&gt;"",0),0)),"")</f>
        <v/>
      </c>
      <c r="N174" s="61">
        <f>IFERROR(LOOKUP(2,1/(U174:AY174&lt;&gt;""),U$2:AY$2),"")</f>
        <v/>
      </c>
      <c r="O174" s="59" t="n"/>
      <c r="P174" s="59" t="n"/>
      <c r="Q174" s="59" t="n"/>
      <c r="R174" s="59" t="n"/>
      <c r="S174" s="14" t="n"/>
      <c r="U174" s="53" t="n"/>
      <c r="V174" s="53" t="n"/>
      <c r="W174" s="53" t="n"/>
      <c r="X174" s="53" t="n"/>
      <c r="Y174" s="53" t="n"/>
      <c r="Z174" s="53" t="n"/>
      <c r="AA174" s="53" t="n"/>
      <c r="AB174" s="53" t="n"/>
      <c r="AC174" s="53" t="n"/>
      <c r="AD174" s="53" t="n"/>
      <c r="AE174" s="53" t="n"/>
      <c r="AF174" s="53" t="n"/>
      <c r="AG174" s="53" t="n"/>
      <c r="AH174" s="53" t="n"/>
      <c r="AI174" s="53" t="n"/>
      <c r="AJ174" s="53" t="n"/>
      <c r="AK174" s="53" t="n"/>
      <c r="AL174" s="53" t="n"/>
      <c r="AM174" s="53" t="n"/>
      <c r="AN174" s="53" t="n"/>
      <c r="AO174" s="53" t="n"/>
      <c r="AP174" s="53" t="n"/>
      <c r="AQ174" s="53" t="n"/>
      <c r="AR174" s="53" t="n"/>
      <c r="AS174" s="53" t="n"/>
      <c r="AT174" s="53" t="n"/>
      <c r="AU174" s="53" t="n"/>
      <c r="AV174" s="53" t="n"/>
      <c r="AW174" s="53" t="n"/>
      <c r="AX174" s="53" t="n"/>
      <c r="AY174" s="53" t="n"/>
    </row>
    <row r="175" ht="15" customHeight="1">
      <c r="A175" s="62" t="n"/>
      <c r="B175" s="55">
        <f>IF($B$173="","",$B$173)</f>
        <v/>
      </c>
      <c r="C175" s="63" t="inlineStr">
        <is>
          <t>마케팅3팀</t>
        </is>
      </c>
      <c r="D175" s="55">
        <f>IF($D$173="","",$D$173)</f>
        <v/>
      </c>
      <c r="E175" s="64" t="inlineStr">
        <is>
          <t>영상</t>
        </is>
      </c>
      <c r="F175" s="44" t="n"/>
      <c r="G175" s="58">
        <f>IF($G$173="","",$G$173)</f>
        <v/>
      </c>
      <c r="H175" s="59" t="n"/>
      <c r="I175" s="59" t="n"/>
      <c r="J175" s="59" t="n"/>
      <c r="K175" s="59" t="n"/>
      <c r="L175" s="65">
        <f>IF(SUM(U175:AY175)=0,"",SUM(U175:AY175))</f>
        <v/>
      </c>
      <c r="M175" s="66">
        <f>IFERROR(INDEX(U$2:AY$2,MATCH(TRUE,INDEX(U175:AY175&lt;&gt;"",0),0)),"")</f>
        <v/>
      </c>
      <c r="N175" s="66">
        <f>IFERROR(LOOKUP(2,1/(U175:AY175&lt;&gt;""),U$2:AY$2),"")</f>
        <v/>
      </c>
      <c r="O175" s="59" t="n"/>
      <c r="P175" s="59" t="n"/>
      <c r="Q175" s="59" t="n"/>
      <c r="R175" s="59" t="n"/>
      <c r="S175" s="14" t="n"/>
      <c r="U175" s="53" t="n"/>
      <c r="V175" s="53" t="n"/>
      <c r="W175" s="53" t="n"/>
      <c r="X175" s="53" t="n"/>
      <c r="Y175" s="53" t="n"/>
      <c r="Z175" s="53" t="n"/>
      <c r="AA175" s="53" t="n"/>
      <c r="AB175" s="53" t="n"/>
      <c r="AC175" s="53" t="n"/>
      <c r="AD175" s="53" t="n"/>
      <c r="AE175" s="53" t="n"/>
      <c r="AF175" s="53" t="n"/>
      <c r="AG175" s="53" t="n"/>
      <c r="AH175" s="53" t="n"/>
      <c r="AI175" s="53" t="n"/>
      <c r="AJ175" s="53" t="n"/>
      <c r="AK175" s="53" t="n"/>
      <c r="AL175" s="53" t="n"/>
      <c r="AM175" s="53" t="n"/>
      <c r="AN175" s="53" t="n"/>
      <c r="AO175" s="53" t="n"/>
      <c r="AP175" s="53" t="n"/>
      <c r="AQ175" s="53" t="n"/>
      <c r="AR175" s="53" t="n"/>
      <c r="AS175" s="53" t="n"/>
      <c r="AT175" s="53" t="n"/>
      <c r="AU175" s="53" t="n"/>
      <c r="AV175" s="53" t="n"/>
      <c r="AW175" s="53" t="n"/>
      <c r="AX175" s="53" t="n"/>
      <c r="AY175" s="53" t="n"/>
    </row>
    <row r="176" ht="15" customHeight="1">
      <c r="A176" s="40">
        <f>IF($D$176="","",56)</f>
        <v/>
      </c>
      <c r="B176" s="10" t="n"/>
      <c r="C176" s="41" t="inlineStr">
        <is>
          <t>마케팅3팀</t>
        </is>
      </c>
      <c r="D176" s="42" t="n"/>
      <c r="E176" s="43" t="inlineStr">
        <is>
          <t>기획</t>
        </is>
      </c>
      <c r="F176" s="44" t="n"/>
      <c r="G176" s="45" t="n"/>
      <c r="H176" s="46">
        <f>IF($I$176="","",IF($I$176&lt;0,"🔴지연",IF($I$176&lt;=1,"🟡임박","🟢여유")))</f>
        <v/>
      </c>
      <c r="I176" s="47">
        <f>IF(OR($G$176="",$K$176=""),"",$G$176-$K$176)</f>
        <v/>
      </c>
      <c r="J176" s="48">
        <f>IF(SUM($L$176:$L$178)=0,"",SUM($L$176:$L$178))</f>
        <v/>
      </c>
      <c r="K176" s="49">
        <f>IF($J$176="","",MAX($N$176:$N$178))</f>
        <v/>
      </c>
      <c r="L176" s="50">
        <f>IF(SUM(U176:AY176)=0,"",SUM(U176:AY176))</f>
        <v/>
      </c>
      <c r="M176" s="51">
        <f>IFERROR(INDEX(U$2:AY$2,MATCH(TRUE,INDEX(U176:AY176&lt;&gt;"",0),0)),"")</f>
        <v/>
      </c>
      <c r="N176" s="51">
        <f>IFERROR(LOOKUP(2,1/(U176:AY176&lt;&gt;""),U$2:AY$2),"")</f>
        <v/>
      </c>
      <c r="O176" s="52" t="n"/>
      <c r="P176" s="52" t="n"/>
      <c r="Q176" s="52" t="n"/>
      <c r="R176" s="44" t="n"/>
      <c r="S176" s="14" t="n"/>
      <c r="U176" s="53" t="n"/>
      <c r="V176" s="53" t="n"/>
      <c r="W176" s="53" t="n"/>
      <c r="X176" s="53" t="n"/>
      <c r="Y176" s="53" t="n"/>
      <c r="Z176" s="53" t="n"/>
      <c r="AA176" s="53" t="n"/>
      <c r="AB176" s="53" t="n"/>
      <c r="AC176" s="53" t="n"/>
      <c r="AD176" s="53" t="n"/>
      <c r="AE176" s="53" t="n"/>
      <c r="AF176" s="53" t="n"/>
      <c r="AG176" s="53" t="n"/>
      <c r="AH176" s="53" t="n"/>
      <c r="AI176" s="53" t="n"/>
      <c r="AJ176" s="53" t="n"/>
      <c r="AK176" s="53" t="n"/>
      <c r="AL176" s="53" t="n"/>
      <c r="AM176" s="53" t="n"/>
      <c r="AN176" s="53" t="n"/>
      <c r="AO176" s="53" t="n"/>
      <c r="AP176" s="53" t="n"/>
      <c r="AQ176" s="53" t="n"/>
      <c r="AR176" s="53" t="n"/>
      <c r="AS176" s="53" t="n"/>
      <c r="AT176" s="53" t="n"/>
      <c r="AU176" s="53" t="n"/>
      <c r="AV176" s="53" t="n"/>
      <c r="AW176" s="53" t="n"/>
      <c r="AX176" s="53" t="n"/>
      <c r="AY176" s="53" t="n"/>
    </row>
    <row r="177" ht="15" customHeight="1">
      <c r="A177" s="54" t="n"/>
      <c r="B177" s="55">
        <f>IF($B$176="","",$B$176)</f>
        <v/>
      </c>
      <c r="C177" s="56" t="inlineStr">
        <is>
          <t>마케팅3팀</t>
        </is>
      </c>
      <c r="D177" s="55">
        <f>IF($D$176="","",$D$176)</f>
        <v/>
      </c>
      <c r="E177" s="57" t="inlineStr">
        <is>
          <t>이미지</t>
        </is>
      </c>
      <c r="F177" s="44" t="n"/>
      <c r="G177" s="58">
        <f>IF($G$176="","",$G$176)</f>
        <v/>
      </c>
      <c r="H177" s="59" t="n"/>
      <c r="I177" s="59" t="n"/>
      <c r="J177" s="59" t="n"/>
      <c r="K177" s="59" t="n"/>
      <c r="L177" s="60">
        <f>IF(SUM(U177:AY177)=0,"",SUM(U177:AY177))</f>
        <v/>
      </c>
      <c r="M177" s="61">
        <f>IFERROR(INDEX(U$2:AY$2,MATCH(TRUE,INDEX(U177:AY177&lt;&gt;"",0),0)),"")</f>
        <v/>
      </c>
      <c r="N177" s="61">
        <f>IFERROR(LOOKUP(2,1/(U177:AY177&lt;&gt;""),U$2:AY$2),"")</f>
        <v/>
      </c>
      <c r="O177" s="59" t="n"/>
      <c r="P177" s="59" t="n"/>
      <c r="Q177" s="59" t="n"/>
      <c r="R177" s="59" t="n"/>
      <c r="S177" s="14" t="n"/>
      <c r="U177" s="53" t="n"/>
      <c r="V177" s="53" t="n"/>
      <c r="W177" s="53" t="n"/>
      <c r="X177" s="53" t="n"/>
      <c r="Y177" s="53" t="n"/>
      <c r="Z177" s="53" t="n"/>
      <c r="AA177" s="53" t="n"/>
      <c r="AB177" s="53" t="n"/>
      <c r="AC177" s="53" t="n"/>
      <c r="AD177" s="53" t="n"/>
      <c r="AE177" s="53" t="n"/>
      <c r="AF177" s="53" t="n"/>
      <c r="AG177" s="53" t="n"/>
      <c r="AH177" s="53" t="n"/>
      <c r="AI177" s="53" t="n"/>
      <c r="AJ177" s="53" t="n"/>
      <c r="AK177" s="53" t="n"/>
      <c r="AL177" s="53" t="n"/>
      <c r="AM177" s="53" t="n"/>
      <c r="AN177" s="53" t="n"/>
      <c r="AO177" s="53" t="n"/>
      <c r="AP177" s="53" t="n"/>
      <c r="AQ177" s="53" t="n"/>
      <c r="AR177" s="53" t="n"/>
      <c r="AS177" s="53" t="n"/>
      <c r="AT177" s="53" t="n"/>
      <c r="AU177" s="53" t="n"/>
      <c r="AV177" s="53" t="n"/>
      <c r="AW177" s="53" t="n"/>
      <c r="AX177" s="53" t="n"/>
      <c r="AY177" s="53" t="n"/>
    </row>
    <row r="178" ht="15" customHeight="1">
      <c r="A178" s="62" t="n"/>
      <c r="B178" s="55">
        <f>IF($B$176="","",$B$176)</f>
        <v/>
      </c>
      <c r="C178" s="63" t="inlineStr">
        <is>
          <t>마케팅3팀</t>
        </is>
      </c>
      <c r="D178" s="55">
        <f>IF($D$176="","",$D$176)</f>
        <v/>
      </c>
      <c r="E178" s="64" t="inlineStr">
        <is>
          <t>영상</t>
        </is>
      </c>
      <c r="F178" s="44" t="n"/>
      <c r="G178" s="58">
        <f>IF($G$176="","",$G$176)</f>
        <v/>
      </c>
      <c r="H178" s="59" t="n"/>
      <c r="I178" s="59" t="n"/>
      <c r="J178" s="59" t="n"/>
      <c r="K178" s="59" t="n"/>
      <c r="L178" s="65">
        <f>IF(SUM(U178:AY178)=0,"",SUM(U178:AY178))</f>
        <v/>
      </c>
      <c r="M178" s="66">
        <f>IFERROR(INDEX(U$2:AY$2,MATCH(TRUE,INDEX(U178:AY178&lt;&gt;"",0),0)),"")</f>
        <v/>
      </c>
      <c r="N178" s="66">
        <f>IFERROR(LOOKUP(2,1/(U178:AY178&lt;&gt;""),U$2:AY$2),"")</f>
        <v/>
      </c>
      <c r="O178" s="59" t="n"/>
      <c r="P178" s="59" t="n"/>
      <c r="Q178" s="59" t="n"/>
      <c r="R178" s="59" t="n"/>
      <c r="S178" s="14" t="n"/>
      <c r="U178" s="53" t="n"/>
      <c r="V178" s="53" t="n"/>
      <c r="W178" s="53" t="n"/>
      <c r="X178" s="53" t="n"/>
      <c r="Y178" s="53" t="n"/>
      <c r="Z178" s="53" t="n"/>
      <c r="AA178" s="53" t="n"/>
      <c r="AB178" s="53" t="n"/>
      <c r="AC178" s="53" t="n"/>
      <c r="AD178" s="53" t="n"/>
      <c r="AE178" s="53" t="n"/>
      <c r="AF178" s="53" t="n"/>
      <c r="AG178" s="53" t="n"/>
      <c r="AH178" s="53" t="n"/>
      <c r="AI178" s="53" t="n"/>
      <c r="AJ178" s="53" t="n"/>
      <c r="AK178" s="53" t="n"/>
      <c r="AL178" s="53" t="n"/>
      <c r="AM178" s="53" t="n"/>
      <c r="AN178" s="53" t="n"/>
      <c r="AO178" s="53" t="n"/>
      <c r="AP178" s="53" t="n"/>
      <c r="AQ178" s="53" t="n"/>
      <c r="AR178" s="53" t="n"/>
      <c r="AS178" s="53" t="n"/>
      <c r="AT178" s="53" t="n"/>
      <c r="AU178" s="53" t="n"/>
      <c r="AV178" s="53" t="n"/>
      <c r="AW178" s="53" t="n"/>
      <c r="AX178" s="53" t="n"/>
      <c r="AY178" s="53" t="n"/>
    </row>
    <row r="179" ht="15" customHeight="1">
      <c r="A179" s="40">
        <f>IF($D$179="","",57)</f>
        <v/>
      </c>
      <c r="B179" s="10" t="n"/>
      <c r="C179" s="41" t="inlineStr">
        <is>
          <t>마케팅3팀</t>
        </is>
      </c>
      <c r="D179" s="42" t="n"/>
      <c r="E179" s="43" t="inlineStr">
        <is>
          <t>기획</t>
        </is>
      </c>
      <c r="F179" s="44" t="n"/>
      <c r="G179" s="45" t="n"/>
      <c r="H179" s="46">
        <f>IF($I$179="","",IF($I$179&lt;0,"🔴지연",IF($I$179&lt;=1,"🟡임박","🟢여유")))</f>
        <v/>
      </c>
      <c r="I179" s="47">
        <f>IF(OR($G$179="",$K$179=""),"",$G$179-$K$179)</f>
        <v/>
      </c>
      <c r="J179" s="48">
        <f>IF(SUM($L$179:$L$181)=0,"",SUM($L$179:$L$181))</f>
        <v/>
      </c>
      <c r="K179" s="49">
        <f>IF($J$179="","",MAX($N$179:$N$181))</f>
        <v/>
      </c>
      <c r="L179" s="50">
        <f>IF(SUM(U179:AY179)=0,"",SUM(U179:AY179))</f>
        <v/>
      </c>
      <c r="M179" s="51">
        <f>IFERROR(INDEX(U$2:AY$2,MATCH(TRUE,INDEX(U179:AY179&lt;&gt;"",0),0)),"")</f>
        <v/>
      </c>
      <c r="N179" s="51">
        <f>IFERROR(LOOKUP(2,1/(U179:AY179&lt;&gt;""),U$2:AY$2),"")</f>
        <v/>
      </c>
      <c r="O179" s="52" t="n"/>
      <c r="P179" s="52" t="n"/>
      <c r="Q179" s="52" t="n"/>
      <c r="R179" s="44" t="n"/>
      <c r="S179" s="14" t="n"/>
      <c r="U179" s="53" t="n"/>
      <c r="V179" s="53" t="n"/>
      <c r="W179" s="53" t="n"/>
      <c r="X179" s="53" t="n"/>
      <c r="Y179" s="53" t="n"/>
      <c r="Z179" s="53" t="n"/>
      <c r="AA179" s="53" t="n"/>
      <c r="AB179" s="53" t="n"/>
      <c r="AC179" s="53" t="n"/>
      <c r="AD179" s="53" t="n"/>
      <c r="AE179" s="53" t="n"/>
      <c r="AF179" s="53" t="n"/>
      <c r="AG179" s="53" t="n"/>
      <c r="AH179" s="53" t="n"/>
      <c r="AI179" s="53" t="n"/>
      <c r="AJ179" s="53" t="n"/>
      <c r="AK179" s="53" t="n"/>
      <c r="AL179" s="53" t="n"/>
      <c r="AM179" s="53" t="n"/>
      <c r="AN179" s="53" t="n"/>
      <c r="AO179" s="53" t="n"/>
      <c r="AP179" s="53" t="n"/>
      <c r="AQ179" s="53" t="n"/>
      <c r="AR179" s="53" t="n"/>
      <c r="AS179" s="53" t="n"/>
      <c r="AT179" s="53" t="n"/>
      <c r="AU179" s="53" t="n"/>
      <c r="AV179" s="53" t="n"/>
      <c r="AW179" s="53" t="n"/>
      <c r="AX179" s="53" t="n"/>
      <c r="AY179" s="53" t="n"/>
    </row>
    <row r="180" ht="15" customHeight="1">
      <c r="A180" s="54" t="n"/>
      <c r="B180" s="55">
        <f>IF($B$179="","",$B$179)</f>
        <v/>
      </c>
      <c r="C180" s="56" t="inlineStr">
        <is>
          <t>마케팅3팀</t>
        </is>
      </c>
      <c r="D180" s="55">
        <f>IF($D$179="","",$D$179)</f>
        <v/>
      </c>
      <c r="E180" s="57" t="inlineStr">
        <is>
          <t>이미지</t>
        </is>
      </c>
      <c r="F180" s="44" t="n"/>
      <c r="G180" s="58">
        <f>IF($G$179="","",$G$179)</f>
        <v/>
      </c>
      <c r="H180" s="59" t="n"/>
      <c r="I180" s="59" t="n"/>
      <c r="J180" s="59" t="n"/>
      <c r="K180" s="59" t="n"/>
      <c r="L180" s="60">
        <f>IF(SUM(U180:AY180)=0,"",SUM(U180:AY180))</f>
        <v/>
      </c>
      <c r="M180" s="61">
        <f>IFERROR(INDEX(U$2:AY$2,MATCH(TRUE,INDEX(U180:AY180&lt;&gt;"",0),0)),"")</f>
        <v/>
      </c>
      <c r="N180" s="61">
        <f>IFERROR(LOOKUP(2,1/(U180:AY180&lt;&gt;""),U$2:AY$2),"")</f>
        <v/>
      </c>
      <c r="O180" s="59" t="n"/>
      <c r="P180" s="59" t="n"/>
      <c r="Q180" s="59" t="n"/>
      <c r="R180" s="59" t="n"/>
      <c r="S180" s="14" t="n"/>
      <c r="U180" s="53" t="n"/>
      <c r="V180" s="53" t="n"/>
      <c r="W180" s="53" t="n"/>
      <c r="X180" s="53" t="n"/>
      <c r="Y180" s="53" t="n"/>
      <c r="Z180" s="53" t="n"/>
      <c r="AA180" s="53" t="n"/>
      <c r="AB180" s="53" t="n"/>
      <c r="AC180" s="53" t="n"/>
      <c r="AD180" s="53" t="n"/>
      <c r="AE180" s="53" t="n"/>
      <c r="AF180" s="53" t="n"/>
      <c r="AG180" s="53" t="n"/>
      <c r="AH180" s="53" t="n"/>
      <c r="AI180" s="53" t="n"/>
      <c r="AJ180" s="53" t="n"/>
      <c r="AK180" s="53" t="n"/>
      <c r="AL180" s="53" t="n"/>
      <c r="AM180" s="53" t="n"/>
      <c r="AN180" s="53" t="n"/>
      <c r="AO180" s="53" t="n"/>
      <c r="AP180" s="53" t="n"/>
      <c r="AQ180" s="53" t="n"/>
      <c r="AR180" s="53" t="n"/>
      <c r="AS180" s="53" t="n"/>
      <c r="AT180" s="53" t="n"/>
      <c r="AU180" s="53" t="n"/>
      <c r="AV180" s="53" t="n"/>
      <c r="AW180" s="53" t="n"/>
      <c r="AX180" s="53" t="n"/>
      <c r="AY180" s="53" t="n"/>
    </row>
    <row r="181" ht="15" customHeight="1">
      <c r="A181" s="62" t="n"/>
      <c r="B181" s="55">
        <f>IF($B$179="","",$B$179)</f>
        <v/>
      </c>
      <c r="C181" s="63" t="inlineStr">
        <is>
          <t>마케팅3팀</t>
        </is>
      </c>
      <c r="D181" s="55">
        <f>IF($D$179="","",$D$179)</f>
        <v/>
      </c>
      <c r="E181" s="64" t="inlineStr">
        <is>
          <t>영상</t>
        </is>
      </c>
      <c r="F181" s="44" t="n"/>
      <c r="G181" s="58">
        <f>IF($G$179="","",$G$179)</f>
        <v/>
      </c>
      <c r="H181" s="59" t="n"/>
      <c r="I181" s="59" t="n"/>
      <c r="J181" s="59" t="n"/>
      <c r="K181" s="59" t="n"/>
      <c r="L181" s="65">
        <f>IF(SUM(U181:AY181)=0,"",SUM(U181:AY181))</f>
        <v/>
      </c>
      <c r="M181" s="66">
        <f>IFERROR(INDEX(U$2:AY$2,MATCH(TRUE,INDEX(U181:AY181&lt;&gt;"",0),0)),"")</f>
        <v/>
      </c>
      <c r="N181" s="66">
        <f>IFERROR(LOOKUP(2,1/(U181:AY181&lt;&gt;""),U$2:AY$2),"")</f>
        <v/>
      </c>
      <c r="O181" s="59" t="n"/>
      <c r="P181" s="59" t="n"/>
      <c r="Q181" s="59" t="n"/>
      <c r="R181" s="59" t="n"/>
      <c r="S181" s="14" t="n"/>
      <c r="U181" s="53" t="n"/>
      <c r="V181" s="53" t="n"/>
      <c r="W181" s="53" t="n"/>
      <c r="X181" s="53" t="n"/>
      <c r="Y181" s="53" t="n"/>
      <c r="Z181" s="53" t="n"/>
      <c r="AA181" s="53" t="n"/>
      <c r="AB181" s="53" t="n"/>
      <c r="AC181" s="53" t="n"/>
      <c r="AD181" s="53" t="n"/>
      <c r="AE181" s="53" t="n"/>
      <c r="AF181" s="53" t="n"/>
      <c r="AG181" s="53" t="n"/>
      <c r="AH181" s="53" t="n"/>
      <c r="AI181" s="53" t="n"/>
      <c r="AJ181" s="53" t="n"/>
      <c r="AK181" s="53" t="n"/>
      <c r="AL181" s="53" t="n"/>
      <c r="AM181" s="53" t="n"/>
      <c r="AN181" s="53" t="n"/>
      <c r="AO181" s="53" t="n"/>
      <c r="AP181" s="53" t="n"/>
      <c r="AQ181" s="53" t="n"/>
      <c r="AR181" s="53" t="n"/>
      <c r="AS181" s="53" t="n"/>
      <c r="AT181" s="53" t="n"/>
      <c r="AU181" s="53" t="n"/>
      <c r="AV181" s="53" t="n"/>
      <c r="AW181" s="53" t="n"/>
      <c r="AX181" s="53" t="n"/>
      <c r="AY181" s="53" t="n"/>
    </row>
    <row r="182" ht="15" customHeight="1">
      <c r="A182" s="40">
        <f>IF($D$182="","",58)</f>
        <v/>
      </c>
      <c r="B182" s="10" t="n"/>
      <c r="C182" s="41" t="inlineStr">
        <is>
          <t>마케팅3팀</t>
        </is>
      </c>
      <c r="D182" s="42" t="n"/>
      <c r="E182" s="43" t="inlineStr">
        <is>
          <t>기획</t>
        </is>
      </c>
      <c r="F182" s="44" t="n"/>
      <c r="G182" s="45" t="n"/>
      <c r="H182" s="46">
        <f>IF($I$182="","",IF($I$182&lt;0,"🔴지연",IF($I$182&lt;=1,"🟡임박","🟢여유")))</f>
        <v/>
      </c>
      <c r="I182" s="47">
        <f>IF(OR($G$182="",$K$182=""),"",$G$182-$K$182)</f>
        <v/>
      </c>
      <c r="J182" s="48">
        <f>IF(SUM($L$182:$L$184)=0,"",SUM($L$182:$L$184))</f>
        <v/>
      </c>
      <c r="K182" s="49">
        <f>IF($J$182="","",MAX($N$182:$N$184))</f>
        <v/>
      </c>
      <c r="L182" s="50">
        <f>IF(SUM(U182:AY182)=0,"",SUM(U182:AY182))</f>
        <v/>
      </c>
      <c r="M182" s="51">
        <f>IFERROR(INDEX(U$2:AY$2,MATCH(TRUE,INDEX(U182:AY182&lt;&gt;"",0),0)),"")</f>
        <v/>
      </c>
      <c r="N182" s="51">
        <f>IFERROR(LOOKUP(2,1/(U182:AY182&lt;&gt;""),U$2:AY$2),"")</f>
        <v/>
      </c>
      <c r="O182" s="52" t="n"/>
      <c r="P182" s="52" t="n"/>
      <c r="Q182" s="52" t="n"/>
      <c r="R182" s="44" t="n"/>
      <c r="S182" s="14" t="n"/>
      <c r="U182" s="53" t="n"/>
      <c r="V182" s="53" t="n"/>
      <c r="W182" s="53" t="n"/>
      <c r="X182" s="53" t="n"/>
      <c r="Y182" s="53" t="n"/>
      <c r="Z182" s="53" t="n"/>
      <c r="AA182" s="53" t="n"/>
      <c r="AB182" s="53" t="n"/>
      <c r="AC182" s="53" t="n"/>
      <c r="AD182" s="53" t="n"/>
      <c r="AE182" s="53" t="n"/>
      <c r="AF182" s="53" t="n"/>
      <c r="AG182" s="53" t="n"/>
      <c r="AH182" s="53" t="n"/>
      <c r="AI182" s="53" t="n"/>
      <c r="AJ182" s="53" t="n"/>
      <c r="AK182" s="53" t="n"/>
      <c r="AL182" s="53" t="n"/>
      <c r="AM182" s="53" t="n"/>
      <c r="AN182" s="53" t="n"/>
      <c r="AO182" s="53" t="n"/>
      <c r="AP182" s="53" t="n"/>
      <c r="AQ182" s="53" t="n"/>
      <c r="AR182" s="53" t="n"/>
      <c r="AS182" s="53" t="n"/>
      <c r="AT182" s="53" t="n"/>
      <c r="AU182" s="53" t="n"/>
      <c r="AV182" s="53" t="n"/>
      <c r="AW182" s="53" t="n"/>
      <c r="AX182" s="53" t="n"/>
      <c r="AY182" s="53" t="n"/>
    </row>
    <row r="183" ht="15" customHeight="1">
      <c r="A183" s="54" t="n"/>
      <c r="B183" s="55">
        <f>IF($B$182="","",$B$182)</f>
        <v/>
      </c>
      <c r="C183" s="56" t="inlineStr">
        <is>
          <t>마케팅3팀</t>
        </is>
      </c>
      <c r="D183" s="55">
        <f>IF($D$182="","",$D$182)</f>
        <v/>
      </c>
      <c r="E183" s="57" t="inlineStr">
        <is>
          <t>이미지</t>
        </is>
      </c>
      <c r="F183" s="44" t="n"/>
      <c r="G183" s="58">
        <f>IF($G$182="","",$G$182)</f>
        <v/>
      </c>
      <c r="H183" s="59" t="n"/>
      <c r="I183" s="59" t="n"/>
      <c r="J183" s="59" t="n"/>
      <c r="K183" s="59" t="n"/>
      <c r="L183" s="60">
        <f>IF(SUM(U183:AY183)=0,"",SUM(U183:AY183))</f>
        <v/>
      </c>
      <c r="M183" s="61">
        <f>IFERROR(INDEX(U$2:AY$2,MATCH(TRUE,INDEX(U183:AY183&lt;&gt;"",0),0)),"")</f>
        <v/>
      </c>
      <c r="N183" s="61">
        <f>IFERROR(LOOKUP(2,1/(U183:AY183&lt;&gt;""),U$2:AY$2),"")</f>
        <v/>
      </c>
      <c r="O183" s="59" t="n"/>
      <c r="P183" s="59" t="n"/>
      <c r="Q183" s="59" t="n"/>
      <c r="R183" s="59" t="n"/>
      <c r="S183" s="14" t="n"/>
      <c r="U183" s="53" t="n"/>
      <c r="V183" s="53" t="n"/>
      <c r="W183" s="53" t="n"/>
      <c r="X183" s="53" t="n"/>
      <c r="Y183" s="53" t="n"/>
      <c r="Z183" s="53" t="n"/>
      <c r="AA183" s="53" t="n"/>
      <c r="AB183" s="53" t="n"/>
      <c r="AC183" s="53" t="n"/>
      <c r="AD183" s="53" t="n"/>
      <c r="AE183" s="53" t="n"/>
      <c r="AF183" s="53" t="n"/>
      <c r="AG183" s="53" t="n"/>
      <c r="AH183" s="53" t="n"/>
      <c r="AI183" s="53" t="n"/>
      <c r="AJ183" s="53" t="n"/>
      <c r="AK183" s="53" t="n"/>
      <c r="AL183" s="53" t="n"/>
      <c r="AM183" s="53" t="n"/>
      <c r="AN183" s="53" t="n"/>
      <c r="AO183" s="53" t="n"/>
      <c r="AP183" s="53" t="n"/>
      <c r="AQ183" s="53" t="n"/>
      <c r="AR183" s="53" t="n"/>
      <c r="AS183" s="53" t="n"/>
      <c r="AT183" s="53" t="n"/>
      <c r="AU183" s="53" t="n"/>
      <c r="AV183" s="53" t="n"/>
      <c r="AW183" s="53" t="n"/>
      <c r="AX183" s="53" t="n"/>
      <c r="AY183" s="53" t="n"/>
    </row>
    <row r="184" ht="15" customHeight="1">
      <c r="A184" s="62" t="n"/>
      <c r="B184" s="55">
        <f>IF($B$182="","",$B$182)</f>
        <v/>
      </c>
      <c r="C184" s="63" t="inlineStr">
        <is>
          <t>마케팅3팀</t>
        </is>
      </c>
      <c r="D184" s="55">
        <f>IF($D$182="","",$D$182)</f>
        <v/>
      </c>
      <c r="E184" s="64" t="inlineStr">
        <is>
          <t>영상</t>
        </is>
      </c>
      <c r="F184" s="44" t="n"/>
      <c r="G184" s="58">
        <f>IF($G$182="","",$G$182)</f>
        <v/>
      </c>
      <c r="H184" s="59" t="n"/>
      <c r="I184" s="59" t="n"/>
      <c r="J184" s="59" t="n"/>
      <c r="K184" s="59" t="n"/>
      <c r="L184" s="65">
        <f>IF(SUM(U184:AY184)=0,"",SUM(U184:AY184))</f>
        <v/>
      </c>
      <c r="M184" s="66">
        <f>IFERROR(INDEX(U$2:AY$2,MATCH(TRUE,INDEX(U184:AY184&lt;&gt;"",0),0)),"")</f>
        <v/>
      </c>
      <c r="N184" s="66">
        <f>IFERROR(LOOKUP(2,1/(U184:AY184&lt;&gt;""),U$2:AY$2),"")</f>
        <v/>
      </c>
      <c r="O184" s="59" t="n"/>
      <c r="P184" s="59" t="n"/>
      <c r="Q184" s="59" t="n"/>
      <c r="R184" s="59" t="n"/>
      <c r="S184" s="14" t="n"/>
      <c r="U184" s="53" t="n"/>
      <c r="V184" s="53" t="n"/>
      <c r="W184" s="53" t="n"/>
      <c r="X184" s="53" t="n"/>
      <c r="Y184" s="53" t="n"/>
      <c r="Z184" s="53" t="n"/>
      <c r="AA184" s="53" t="n"/>
      <c r="AB184" s="53" t="n"/>
      <c r="AC184" s="53" t="n"/>
      <c r="AD184" s="53" t="n"/>
      <c r="AE184" s="53" t="n"/>
      <c r="AF184" s="53" t="n"/>
      <c r="AG184" s="53" t="n"/>
      <c r="AH184" s="53" t="n"/>
      <c r="AI184" s="53" t="n"/>
      <c r="AJ184" s="53" t="n"/>
      <c r="AK184" s="53" t="n"/>
      <c r="AL184" s="53" t="n"/>
      <c r="AM184" s="53" t="n"/>
      <c r="AN184" s="53" t="n"/>
      <c r="AO184" s="53" t="n"/>
      <c r="AP184" s="53" t="n"/>
      <c r="AQ184" s="53" t="n"/>
      <c r="AR184" s="53" t="n"/>
      <c r="AS184" s="53" t="n"/>
      <c r="AT184" s="53" t="n"/>
      <c r="AU184" s="53" t="n"/>
      <c r="AV184" s="53" t="n"/>
      <c r="AW184" s="53" t="n"/>
      <c r="AX184" s="53" t="n"/>
      <c r="AY184" s="53" t="n"/>
    </row>
    <row r="185" ht="15" customHeight="1">
      <c r="A185" s="40">
        <f>IF($D$185="","",59)</f>
        <v/>
      </c>
      <c r="B185" s="10" t="n"/>
      <c r="C185" s="41" t="inlineStr">
        <is>
          <t>마케팅3팀</t>
        </is>
      </c>
      <c r="D185" s="42" t="n"/>
      <c r="E185" s="43" t="inlineStr">
        <is>
          <t>기획</t>
        </is>
      </c>
      <c r="F185" s="44" t="n"/>
      <c r="G185" s="45" t="n"/>
      <c r="H185" s="46">
        <f>IF($I$185="","",IF($I$185&lt;0,"🔴지연",IF($I$185&lt;=1,"🟡임박","🟢여유")))</f>
        <v/>
      </c>
      <c r="I185" s="47">
        <f>IF(OR($G$185="",$K$185=""),"",$G$185-$K$185)</f>
        <v/>
      </c>
      <c r="J185" s="48">
        <f>IF(SUM($L$185:$L$187)=0,"",SUM($L$185:$L$187))</f>
        <v/>
      </c>
      <c r="K185" s="49">
        <f>IF($J$185="","",MAX($N$185:$N$187))</f>
        <v/>
      </c>
      <c r="L185" s="50">
        <f>IF(SUM(U185:AY185)=0,"",SUM(U185:AY185))</f>
        <v/>
      </c>
      <c r="M185" s="51">
        <f>IFERROR(INDEX(U$2:AY$2,MATCH(TRUE,INDEX(U185:AY185&lt;&gt;"",0),0)),"")</f>
        <v/>
      </c>
      <c r="N185" s="51">
        <f>IFERROR(LOOKUP(2,1/(U185:AY185&lt;&gt;""),U$2:AY$2),"")</f>
        <v/>
      </c>
      <c r="O185" s="52" t="n"/>
      <c r="P185" s="52" t="n"/>
      <c r="Q185" s="52" t="n"/>
      <c r="R185" s="44" t="n"/>
      <c r="S185" s="14" t="n"/>
      <c r="U185" s="53" t="n"/>
      <c r="V185" s="53" t="n"/>
      <c r="W185" s="53" t="n"/>
      <c r="X185" s="53" t="n"/>
      <c r="Y185" s="53" t="n"/>
      <c r="Z185" s="53" t="n"/>
      <c r="AA185" s="53" t="n"/>
      <c r="AB185" s="53" t="n"/>
      <c r="AC185" s="53" t="n"/>
      <c r="AD185" s="53" t="n"/>
      <c r="AE185" s="53" t="n"/>
      <c r="AF185" s="53" t="n"/>
      <c r="AG185" s="53" t="n"/>
      <c r="AH185" s="53" t="n"/>
      <c r="AI185" s="53" t="n"/>
      <c r="AJ185" s="53" t="n"/>
      <c r="AK185" s="53" t="n"/>
      <c r="AL185" s="53" t="n"/>
      <c r="AM185" s="53" t="n"/>
      <c r="AN185" s="53" t="n"/>
      <c r="AO185" s="53" t="n"/>
      <c r="AP185" s="53" t="n"/>
      <c r="AQ185" s="53" t="n"/>
      <c r="AR185" s="53" t="n"/>
      <c r="AS185" s="53" t="n"/>
      <c r="AT185" s="53" t="n"/>
      <c r="AU185" s="53" t="n"/>
      <c r="AV185" s="53" t="n"/>
      <c r="AW185" s="53" t="n"/>
      <c r="AX185" s="53" t="n"/>
      <c r="AY185" s="53" t="n"/>
    </row>
    <row r="186" ht="15" customHeight="1">
      <c r="A186" s="54" t="n"/>
      <c r="B186" s="55">
        <f>IF($B$185="","",$B$185)</f>
        <v/>
      </c>
      <c r="C186" s="56" t="inlineStr">
        <is>
          <t>마케팅3팀</t>
        </is>
      </c>
      <c r="D186" s="55">
        <f>IF($D$185="","",$D$185)</f>
        <v/>
      </c>
      <c r="E186" s="57" t="inlineStr">
        <is>
          <t>이미지</t>
        </is>
      </c>
      <c r="F186" s="44" t="n"/>
      <c r="G186" s="58">
        <f>IF($G$185="","",$G$185)</f>
        <v/>
      </c>
      <c r="H186" s="59" t="n"/>
      <c r="I186" s="59" t="n"/>
      <c r="J186" s="59" t="n"/>
      <c r="K186" s="59" t="n"/>
      <c r="L186" s="60">
        <f>IF(SUM(U186:AY186)=0,"",SUM(U186:AY186))</f>
        <v/>
      </c>
      <c r="M186" s="61">
        <f>IFERROR(INDEX(U$2:AY$2,MATCH(TRUE,INDEX(U186:AY186&lt;&gt;"",0),0)),"")</f>
        <v/>
      </c>
      <c r="N186" s="61">
        <f>IFERROR(LOOKUP(2,1/(U186:AY186&lt;&gt;""),U$2:AY$2),"")</f>
        <v/>
      </c>
      <c r="O186" s="59" t="n"/>
      <c r="P186" s="59" t="n"/>
      <c r="Q186" s="59" t="n"/>
      <c r="R186" s="59" t="n"/>
      <c r="S186" s="14" t="n"/>
      <c r="U186" s="53" t="n"/>
      <c r="V186" s="53" t="n"/>
      <c r="W186" s="53" t="n"/>
      <c r="X186" s="53" t="n"/>
      <c r="Y186" s="53" t="n"/>
      <c r="Z186" s="53" t="n"/>
      <c r="AA186" s="53" t="n"/>
      <c r="AB186" s="53" t="n"/>
      <c r="AC186" s="53" t="n"/>
      <c r="AD186" s="53" t="n"/>
      <c r="AE186" s="53" t="n"/>
      <c r="AF186" s="53" t="n"/>
      <c r="AG186" s="53" t="n"/>
      <c r="AH186" s="53" t="n"/>
      <c r="AI186" s="53" t="n"/>
      <c r="AJ186" s="53" t="n"/>
      <c r="AK186" s="53" t="n"/>
      <c r="AL186" s="53" t="n"/>
      <c r="AM186" s="53" t="n"/>
      <c r="AN186" s="53" t="n"/>
      <c r="AO186" s="53" t="n"/>
      <c r="AP186" s="53" t="n"/>
      <c r="AQ186" s="53" t="n"/>
      <c r="AR186" s="53" t="n"/>
      <c r="AS186" s="53" t="n"/>
      <c r="AT186" s="53" t="n"/>
      <c r="AU186" s="53" t="n"/>
      <c r="AV186" s="53" t="n"/>
      <c r="AW186" s="53" t="n"/>
      <c r="AX186" s="53" t="n"/>
      <c r="AY186" s="53" t="n"/>
    </row>
    <row r="187" ht="15" customHeight="1">
      <c r="A187" s="62" t="n"/>
      <c r="B187" s="55">
        <f>IF($B$185="","",$B$185)</f>
        <v/>
      </c>
      <c r="C187" s="63" t="inlineStr">
        <is>
          <t>마케팅3팀</t>
        </is>
      </c>
      <c r="D187" s="55">
        <f>IF($D$185="","",$D$185)</f>
        <v/>
      </c>
      <c r="E187" s="64" t="inlineStr">
        <is>
          <t>영상</t>
        </is>
      </c>
      <c r="F187" s="44" t="n"/>
      <c r="G187" s="58">
        <f>IF($G$185="","",$G$185)</f>
        <v/>
      </c>
      <c r="H187" s="59" t="n"/>
      <c r="I187" s="59" t="n"/>
      <c r="J187" s="59" t="n"/>
      <c r="K187" s="59" t="n"/>
      <c r="L187" s="65">
        <f>IF(SUM(U187:AY187)=0,"",SUM(U187:AY187))</f>
        <v/>
      </c>
      <c r="M187" s="66">
        <f>IFERROR(INDEX(U$2:AY$2,MATCH(TRUE,INDEX(U187:AY187&lt;&gt;"",0),0)),"")</f>
        <v/>
      </c>
      <c r="N187" s="66">
        <f>IFERROR(LOOKUP(2,1/(U187:AY187&lt;&gt;""),U$2:AY$2),"")</f>
        <v/>
      </c>
      <c r="O187" s="59" t="n"/>
      <c r="P187" s="59" t="n"/>
      <c r="Q187" s="59" t="n"/>
      <c r="R187" s="59" t="n"/>
      <c r="S187" s="14" t="n"/>
      <c r="U187" s="53" t="n"/>
      <c r="V187" s="53" t="n"/>
      <c r="W187" s="53" t="n"/>
      <c r="X187" s="53" t="n"/>
      <c r="Y187" s="53" t="n"/>
      <c r="Z187" s="53" t="n"/>
      <c r="AA187" s="53" t="n"/>
      <c r="AB187" s="53" t="n"/>
      <c r="AC187" s="53" t="n"/>
      <c r="AD187" s="53" t="n"/>
      <c r="AE187" s="53" t="n"/>
      <c r="AF187" s="53" t="n"/>
      <c r="AG187" s="53" t="n"/>
      <c r="AH187" s="53" t="n"/>
      <c r="AI187" s="53" t="n"/>
      <c r="AJ187" s="53" t="n"/>
      <c r="AK187" s="53" t="n"/>
      <c r="AL187" s="53" t="n"/>
      <c r="AM187" s="53" t="n"/>
      <c r="AN187" s="53" t="n"/>
      <c r="AO187" s="53" t="n"/>
      <c r="AP187" s="53" t="n"/>
      <c r="AQ187" s="53" t="n"/>
      <c r="AR187" s="53" t="n"/>
      <c r="AS187" s="53" t="n"/>
      <c r="AT187" s="53" t="n"/>
      <c r="AU187" s="53" t="n"/>
      <c r="AV187" s="53" t="n"/>
      <c r="AW187" s="53" t="n"/>
      <c r="AX187" s="53" t="n"/>
      <c r="AY187" s="53" t="n"/>
    </row>
    <row r="188" ht="15" customHeight="1">
      <c r="A188" s="40">
        <f>IF($D$188="","",60)</f>
        <v/>
      </c>
      <c r="B188" s="10" t="n"/>
      <c r="C188" s="41" t="inlineStr">
        <is>
          <t>마케팅3팀</t>
        </is>
      </c>
      <c r="D188" s="42" t="n"/>
      <c r="E188" s="43" t="inlineStr">
        <is>
          <t>기획</t>
        </is>
      </c>
      <c r="F188" s="44" t="n"/>
      <c r="G188" s="45" t="n"/>
      <c r="H188" s="46">
        <f>IF($I$188="","",IF($I$188&lt;0,"🔴지연",IF($I$188&lt;=1,"🟡임박","🟢여유")))</f>
        <v/>
      </c>
      <c r="I188" s="47">
        <f>IF(OR($G$188="",$K$188=""),"",$G$188-$K$188)</f>
        <v/>
      </c>
      <c r="J188" s="48">
        <f>IF(SUM($L$188:$L$190)=0,"",SUM($L$188:$L$190))</f>
        <v/>
      </c>
      <c r="K188" s="49">
        <f>IF($J$188="","",MAX($N$188:$N$190))</f>
        <v/>
      </c>
      <c r="L188" s="50">
        <f>IF(SUM(U188:AY188)=0,"",SUM(U188:AY188))</f>
        <v/>
      </c>
      <c r="M188" s="51">
        <f>IFERROR(INDEX(U$2:AY$2,MATCH(TRUE,INDEX(U188:AY188&lt;&gt;"",0),0)),"")</f>
        <v/>
      </c>
      <c r="N188" s="51">
        <f>IFERROR(LOOKUP(2,1/(U188:AY188&lt;&gt;""),U$2:AY$2),"")</f>
        <v/>
      </c>
      <c r="O188" s="52" t="n"/>
      <c r="P188" s="52" t="n"/>
      <c r="Q188" s="52" t="n"/>
      <c r="R188" s="44" t="n"/>
      <c r="S188" s="14" t="n"/>
      <c r="U188" s="53" t="n"/>
      <c r="V188" s="53" t="n"/>
      <c r="W188" s="53" t="n"/>
      <c r="X188" s="53" t="n"/>
      <c r="Y188" s="53" t="n"/>
      <c r="Z188" s="53" t="n"/>
      <c r="AA188" s="53" t="n"/>
      <c r="AB188" s="53" t="n"/>
      <c r="AC188" s="53" t="n"/>
      <c r="AD188" s="53" t="n"/>
      <c r="AE188" s="53" t="n"/>
      <c r="AF188" s="53" t="n"/>
      <c r="AG188" s="53" t="n"/>
      <c r="AH188" s="53" t="n"/>
      <c r="AI188" s="53" t="n"/>
      <c r="AJ188" s="53" t="n"/>
      <c r="AK188" s="53" t="n"/>
      <c r="AL188" s="53" t="n"/>
      <c r="AM188" s="53" t="n"/>
      <c r="AN188" s="53" t="n"/>
      <c r="AO188" s="53" t="n"/>
      <c r="AP188" s="53" t="n"/>
      <c r="AQ188" s="53" t="n"/>
      <c r="AR188" s="53" t="n"/>
      <c r="AS188" s="53" t="n"/>
      <c r="AT188" s="53" t="n"/>
      <c r="AU188" s="53" t="n"/>
      <c r="AV188" s="53" t="n"/>
      <c r="AW188" s="53" t="n"/>
      <c r="AX188" s="53" t="n"/>
      <c r="AY188" s="53" t="n"/>
    </row>
    <row r="189" ht="15" customHeight="1">
      <c r="A189" s="54" t="n"/>
      <c r="B189" s="55">
        <f>IF($B$188="","",$B$188)</f>
        <v/>
      </c>
      <c r="C189" s="56" t="inlineStr">
        <is>
          <t>마케팅3팀</t>
        </is>
      </c>
      <c r="D189" s="55">
        <f>IF($D$188="","",$D$188)</f>
        <v/>
      </c>
      <c r="E189" s="57" t="inlineStr">
        <is>
          <t>이미지</t>
        </is>
      </c>
      <c r="F189" s="44" t="n"/>
      <c r="G189" s="58">
        <f>IF($G$188="","",$G$188)</f>
        <v/>
      </c>
      <c r="H189" s="59" t="n"/>
      <c r="I189" s="59" t="n"/>
      <c r="J189" s="59" t="n"/>
      <c r="K189" s="59" t="n"/>
      <c r="L189" s="60">
        <f>IF(SUM(U189:AY189)=0,"",SUM(U189:AY189))</f>
        <v/>
      </c>
      <c r="M189" s="61">
        <f>IFERROR(INDEX(U$2:AY$2,MATCH(TRUE,INDEX(U189:AY189&lt;&gt;"",0),0)),"")</f>
        <v/>
      </c>
      <c r="N189" s="61">
        <f>IFERROR(LOOKUP(2,1/(U189:AY189&lt;&gt;""),U$2:AY$2),"")</f>
        <v/>
      </c>
      <c r="O189" s="59" t="n"/>
      <c r="P189" s="59" t="n"/>
      <c r="Q189" s="59" t="n"/>
      <c r="R189" s="59" t="n"/>
      <c r="S189" s="14" t="n"/>
      <c r="U189" s="53" t="n"/>
      <c r="V189" s="53" t="n"/>
      <c r="W189" s="53" t="n"/>
      <c r="X189" s="53" t="n"/>
      <c r="Y189" s="53" t="n"/>
      <c r="Z189" s="53" t="n"/>
      <c r="AA189" s="53" t="n"/>
      <c r="AB189" s="53" t="n"/>
      <c r="AC189" s="53" t="n"/>
      <c r="AD189" s="53" t="n"/>
      <c r="AE189" s="53" t="n"/>
      <c r="AF189" s="53" t="n"/>
      <c r="AG189" s="53" t="n"/>
      <c r="AH189" s="53" t="n"/>
      <c r="AI189" s="53" t="n"/>
      <c r="AJ189" s="53" t="n"/>
      <c r="AK189" s="53" t="n"/>
      <c r="AL189" s="53" t="n"/>
      <c r="AM189" s="53" t="n"/>
      <c r="AN189" s="53" t="n"/>
      <c r="AO189" s="53" t="n"/>
      <c r="AP189" s="53" t="n"/>
      <c r="AQ189" s="53" t="n"/>
      <c r="AR189" s="53" t="n"/>
      <c r="AS189" s="53" t="n"/>
      <c r="AT189" s="53" t="n"/>
      <c r="AU189" s="53" t="n"/>
      <c r="AV189" s="53" t="n"/>
      <c r="AW189" s="53" t="n"/>
      <c r="AX189" s="53" t="n"/>
      <c r="AY189" s="53" t="n"/>
    </row>
    <row r="190" ht="15" customHeight="1">
      <c r="A190" s="62" t="n"/>
      <c r="B190" s="55">
        <f>IF($B$188="","",$B$188)</f>
        <v/>
      </c>
      <c r="C190" s="63" t="inlineStr">
        <is>
          <t>마케팅3팀</t>
        </is>
      </c>
      <c r="D190" s="55">
        <f>IF($D$188="","",$D$188)</f>
        <v/>
      </c>
      <c r="E190" s="64" t="inlineStr">
        <is>
          <t>영상</t>
        </is>
      </c>
      <c r="F190" s="44" t="n"/>
      <c r="G190" s="58">
        <f>IF($G$188="","",$G$188)</f>
        <v/>
      </c>
      <c r="H190" s="59" t="n"/>
      <c r="I190" s="59" t="n"/>
      <c r="J190" s="59" t="n"/>
      <c r="K190" s="59" t="n"/>
      <c r="L190" s="65">
        <f>IF(SUM(U190:AY190)=0,"",SUM(U190:AY190))</f>
        <v/>
      </c>
      <c r="M190" s="66">
        <f>IFERROR(INDEX(U$2:AY$2,MATCH(TRUE,INDEX(U190:AY190&lt;&gt;"",0),0)),"")</f>
        <v/>
      </c>
      <c r="N190" s="66">
        <f>IFERROR(LOOKUP(2,1/(U190:AY190&lt;&gt;""),U$2:AY$2),"")</f>
        <v/>
      </c>
      <c r="O190" s="59" t="n"/>
      <c r="P190" s="59" t="n"/>
      <c r="Q190" s="59" t="n"/>
      <c r="R190" s="59" t="n"/>
      <c r="S190" s="14" t="n"/>
      <c r="U190" s="53" t="n"/>
      <c r="V190" s="53" t="n"/>
      <c r="W190" s="53" t="n"/>
      <c r="X190" s="53" t="n"/>
      <c r="Y190" s="53" t="n"/>
      <c r="Z190" s="53" t="n"/>
      <c r="AA190" s="53" t="n"/>
      <c r="AB190" s="53" t="n"/>
      <c r="AC190" s="53" t="n"/>
      <c r="AD190" s="53" t="n"/>
      <c r="AE190" s="53" t="n"/>
      <c r="AF190" s="53" t="n"/>
      <c r="AG190" s="53" t="n"/>
      <c r="AH190" s="53" t="n"/>
      <c r="AI190" s="53" t="n"/>
      <c r="AJ190" s="53" t="n"/>
      <c r="AK190" s="53" t="n"/>
      <c r="AL190" s="53" t="n"/>
      <c r="AM190" s="53" t="n"/>
      <c r="AN190" s="53" t="n"/>
      <c r="AO190" s="53" t="n"/>
      <c r="AP190" s="53" t="n"/>
      <c r="AQ190" s="53" t="n"/>
      <c r="AR190" s="53" t="n"/>
      <c r="AS190" s="53" t="n"/>
      <c r="AT190" s="53" t="n"/>
      <c r="AU190" s="53" t="n"/>
      <c r="AV190" s="53" t="n"/>
      <c r="AW190" s="53" t="n"/>
      <c r="AX190" s="53" t="n"/>
      <c r="AY190" s="53" t="n"/>
    </row>
    <row r="191" ht="18" customHeight="1">
      <c r="A191" s="39" t="inlineStr">
        <is>
          <t>마케팅4팀   (192~251행 · 소재 20개)</t>
        </is>
      </c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I191" s="8" t="n"/>
      <c r="AJ191" s="8" t="n"/>
      <c r="AK191" s="8" t="n"/>
      <c r="AL191" s="8" t="n"/>
      <c r="AM191" s="8" t="n"/>
      <c r="AN191" s="8" t="n"/>
      <c r="AO191" s="8" t="n"/>
      <c r="AP191" s="8" t="n"/>
      <c r="AQ191" s="8" t="n"/>
      <c r="AR191" s="8" t="n"/>
      <c r="AS191" s="8" t="n"/>
      <c r="AT191" s="8" t="n"/>
      <c r="AU191" s="8" t="n"/>
      <c r="AV191" s="8" t="n"/>
      <c r="AW191" s="8" t="n"/>
      <c r="AX191" s="8" t="n"/>
      <c r="AY191" s="4" t="n"/>
    </row>
    <row r="192" ht="15" customHeight="1">
      <c r="A192" s="40">
        <f>IF($D$192="","",61)</f>
        <v/>
      </c>
      <c r="B192" s="10" t="n"/>
      <c r="C192" s="41" t="inlineStr">
        <is>
          <t>마케팅4팀</t>
        </is>
      </c>
      <c r="D192" s="42" t="n"/>
      <c r="E192" s="43" t="inlineStr">
        <is>
          <t>기획</t>
        </is>
      </c>
      <c r="F192" s="44" t="n"/>
      <c r="G192" s="45" t="n"/>
      <c r="H192" s="46">
        <f>IF($I$192="","",IF($I$192&lt;0,"🔴지연",IF($I$192&lt;=1,"🟡임박","🟢여유")))</f>
        <v/>
      </c>
      <c r="I192" s="47">
        <f>IF(OR($G$192="",$K$192=""),"",$G$192-$K$192)</f>
        <v/>
      </c>
      <c r="J192" s="48">
        <f>IF(SUM($L$192:$L$194)=0,"",SUM($L$192:$L$194))</f>
        <v/>
      </c>
      <c r="K192" s="49">
        <f>IF($J$192="","",MAX($N$192:$N$194))</f>
        <v/>
      </c>
      <c r="L192" s="50">
        <f>IF(SUM(U192:AY192)=0,"",SUM(U192:AY192))</f>
        <v/>
      </c>
      <c r="M192" s="51">
        <f>IFERROR(INDEX(U$2:AY$2,MATCH(TRUE,INDEX(U192:AY192&lt;&gt;"",0),0)),"")</f>
        <v/>
      </c>
      <c r="N192" s="51">
        <f>IFERROR(LOOKUP(2,1/(U192:AY192&lt;&gt;""),U$2:AY$2),"")</f>
        <v/>
      </c>
      <c r="O192" s="52" t="n"/>
      <c r="P192" s="52" t="n"/>
      <c r="Q192" s="52" t="n"/>
      <c r="R192" s="44" t="n"/>
      <c r="S192" s="14" t="n"/>
      <c r="U192" s="53" t="n"/>
      <c r="V192" s="53" t="n"/>
      <c r="W192" s="53" t="n"/>
      <c r="X192" s="53" t="n"/>
      <c r="Y192" s="53" t="n"/>
      <c r="Z192" s="53" t="n"/>
      <c r="AA192" s="53" t="n"/>
      <c r="AB192" s="53" t="n"/>
      <c r="AC192" s="53" t="n"/>
      <c r="AD192" s="53" t="n"/>
      <c r="AE192" s="53" t="n"/>
      <c r="AF192" s="53" t="n"/>
      <c r="AG192" s="53" t="n"/>
      <c r="AH192" s="53" t="n"/>
      <c r="AI192" s="53" t="n"/>
      <c r="AJ192" s="53" t="n"/>
      <c r="AK192" s="53" t="n"/>
      <c r="AL192" s="53" t="n"/>
      <c r="AM192" s="53" t="n"/>
      <c r="AN192" s="53" t="n"/>
      <c r="AO192" s="53" t="n"/>
      <c r="AP192" s="53" t="n"/>
      <c r="AQ192" s="53" t="n"/>
      <c r="AR192" s="53" t="n"/>
      <c r="AS192" s="53" t="n"/>
      <c r="AT192" s="53" t="n"/>
      <c r="AU192" s="53" t="n"/>
      <c r="AV192" s="53" t="n"/>
      <c r="AW192" s="53" t="n"/>
      <c r="AX192" s="53" t="n"/>
      <c r="AY192" s="53" t="n"/>
    </row>
    <row r="193" ht="15" customHeight="1">
      <c r="A193" s="54" t="n"/>
      <c r="B193" s="55">
        <f>IF($B$192="","",$B$192)</f>
        <v/>
      </c>
      <c r="C193" s="56" t="inlineStr">
        <is>
          <t>마케팅4팀</t>
        </is>
      </c>
      <c r="D193" s="55">
        <f>IF($D$192="","",$D$192)</f>
        <v/>
      </c>
      <c r="E193" s="57" t="inlineStr">
        <is>
          <t>이미지</t>
        </is>
      </c>
      <c r="F193" s="44" t="n"/>
      <c r="G193" s="58">
        <f>IF($G$192="","",$G$192)</f>
        <v/>
      </c>
      <c r="H193" s="59" t="n"/>
      <c r="I193" s="59" t="n"/>
      <c r="J193" s="59" t="n"/>
      <c r="K193" s="59" t="n"/>
      <c r="L193" s="60">
        <f>IF(SUM(U193:AY193)=0,"",SUM(U193:AY193))</f>
        <v/>
      </c>
      <c r="M193" s="61">
        <f>IFERROR(INDEX(U$2:AY$2,MATCH(TRUE,INDEX(U193:AY193&lt;&gt;"",0),0)),"")</f>
        <v/>
      </c>
      <c r="N193" s="61">
        <f>IFERROR(LOOKUP(2,1/(U193:AY193&lt;&gt;""),U$2:AY$2),"")</f>
        <v/>
      </c>
      <c r="O193" s="59" t="n"/>
      <c r="P193" s="59" t="n"/>
      <c r="Q193" s="59" t="n"/>
      <c r="R193" s="59" t="n"/>
      <c r="S193" s="14" t="n"/>
      <c r="U193" s="53" t="n"/>
      <c r="V193" s="53" t="n"/>
      <c r="W193" s="53" t="n"/>
      <c r="X193" s="53" t="n"/>
      <c r="Y193" s="53" t="n"/>
      <c r="Z193" s="53" t="n"/>
      <c r="AA193" s="53" t="n"/>
      <c r="AB193" s="53" t="n"/>
      <c r="AC193" s="53" t="n"/>
      <c r="AD193" s="53" t="n"/>
      <c r="AE193" s="53" t="n"/>
      <c r="AF193" s="53" t="n"/>
      <c r="AG193" s="53" t="n"/>
      <c r="AH193" s="53" t="n"/>
      <c r="AI193" s="53" t="n"/>
      <c r="AJ193" s="53" t="n"/>
      <c r="AK193" s="53" t="n"/>
      <c r="AL193" s="53" t="n"/>
      <c r="AM193" s="53" t="n"/>
      <c r="AN193" s="53" t="n"/>
      <c r="AO193" s="53" t="n"/>
      <c r="AP193" s="53" t="n"/>
      <c r="AQ193" s="53" t="n"/>
      <c r="AR193" s="53" t="n"/>
      <c r="AS193" s="53" t="n"/>
      <c r="AT193" s="53" t="n"/>
      <c r="AU193" s="53" t="n"/>
      <c r="AV193" s="53" t="n"/>
      <c r="AW193" s="53" t="n"/>
      <c r="AX193" s="53" t="n"/>
      <c r="AY193" s="53" t="n"/>
    </row>
    <row r="194" ht="15" customHeight="1">
      <c r="A194" s="62" t="n"/>
      <c r="B194" s="55">
        <f>IF($B$192="","",$B$192)</f>
        <v/>
      </c>
      <c r="C194" s="63" t="inlineStr">
        <is>
          <t>마케팅4팀</t>
        </is>
      </c>
      <c r="D194" s="55">
        <f>IF($D$192="","",$D$192)</f>
        <v/>
      </c>
      <c r="E194" s="64" t="inlineStr">
        <is>
          <t>영상</t>
        </is>
      </c>
      <c r="F194" s="44" t="n"/>
      <c r="G194" s="58">
        <f>IF($G$192="","",$G$192)</f>
        <v/>
      </c>
      <c r="H194" s="59" t="n"/>
      <c r="I194" s="59" t="n"/>
      <c r="J194" s="59" t="n"/>
      <c r="K194" s="59" t="n"/>
      <c r="L194" s="65">
        <f>IF(SUM(U194:AY194)=0,"",SUM(U194:AY194))</f>
        <v/>
      </c>
      <c r="M194" s="66">
        <f>IFERROR(INDEX(U$2:AY$2,MATCH(TRUE,INDEX(U194:AY194&lt;&gt;"",0),0)),"")</f>
        <v/>
      </c>
      <c r="N194" s="66">
        <f>IFERROR(LOOKUP(2,1/(U194:AY194&lt;&gt;""),U$2:AY$2),"")</f>
        <v/>
      </c>
      <c r="O194" s="59" t="n"/>
      <c r="P194" s="59" t="n"/>
      <c r="Q194" s="59" t="n"/>
      <c r="R194" s="59" t="n"/>
      <c r="S194" s="14" t="n"/>
      <c r="U194" s="53" t="n"/>
      <c r="V194" s="53" t="n"/>
      <c r="W194" s="53" t="n"/>
      <c r="X194" s="53" t="n"/>
      <c r="Y194" s="53" t="n"/>
      <c r="Z194" s="53" t="n"/>
      <c r="AA194" s="53" t="n"/>
      <c r="AB194" s="53" t="n"/>
      <c r="AC194" s="53" t="n"/>
      <c r="AD194" s="53" t="n"/>
      <c r="AE194" s="53" t="n"/>
      <c r="AF194" s="53" t="n"/>
      <c r="AG194" s="53" t="n"/>
      <c r="AH194" s="53" t="n"/>
      <c r="AI194" s="53" t="n"/>
      <c r="AJ194" s="53" t="n"/>
      <c r="AK194" s="53" t="n"/>
      <c r="AL194" s="53" t="n"/>
      <c r="AM194" s="53" t="n"/>
      <c r="AN194" s="53" t="n"/>
      <c r="AO194" s="53" t="n"/>
      <c r="AP194" s="53" t="n"/>
      <c r="AQ194" s="53" t="n"/>
      <c r="AR194" s="53" t="n"/>
      <c r="AS194" s="53" t="n"/>
      <c r="AT194" s="53" t="n"/>
      <c r="AU194" s="53" t="n"/>
      <c r="AV194" s="53" t="n"/>
      <c r="AW194" s="53" t="n"/>
      <c r="AX194" s="53" t="n"/>
      <c r="AY194" s="53" t="n"/>
    </row>
    <row r="195" ht="15" customHeight="1">
      <c r="A195" s="40">
        <f>IF($D$195="","",62)</f>
        <v/>
      </c>
      <c r="B195" s="10" t="n"/>
      <c r="C195" s="41" t="inlineStr">
        <is>
          <t>마케팅4팀</t>
        </is>
      </c>
      <c r="D195" s="42" t="n"/>
      <c r="E195" s="43" t="inlineStr">
        <is>
          <t>기획</t>
        </is>
      </c>
      <c r="F195" s="44" t="n"/>
      <c r="G195" s="45" t="n"/>
      <c r="H195" s="46">
        <f>IF($I$195="","",IF($I$195&lt;0,"🔴지연",IF($I$195&lt;=1,"🟡임박","🟢여유")))</f>
        <v/>
      </c>
      <c r="I195" s="47">
        <f>IF(OR($G$195="",$K$195=""),"",$G$195-$K$195)</f>
        <v/>
      </c>
      <c r="J195" s="48">
        <f>IF(SUM($L$195:$L$197)=0,"",SUM($L$195:$L$197))</f>
        <v/>
      </c>
      <c r="K195" s="49">
        <f>IF($J$195="","",MAX($N$195:$N$197))</f>
        <v/>
      </c>
      <c r="L195" s="50">
        <f>IF(SUM(U195:AY195)=0,"",SUM(U195:AY195))</f>
        <v/>
      </c>
      <c r="M195" s="51">
        <f>IFERROR(INDEX(U$2:AY$2,MATCH(TRUE,INDEX(U195:AY195&lt;&gt;"",0),0)),"")</f>
        <v/>
      </c>
      <c r="N195" s="51">
        <f>IFERROR(LOOKUP(2,1/(U195:AY195&lt;&gt;""),U$2:AY$2),"")</f>
        <v/>
      </c>
      <c r="O195" s="52" t="n"/>
      <c r="P195" s="52" t="n"/>
      <c r="Q195" s="52" t="n"/>
      <c r="R195" s="44" t="n"/>
      <c r="S195" s="14" t="n"/>
      <c r="U195" s="53" t="n"/>
      <c r="V195" s="53" t="n"/>
      <c r="W195" s="53" t="n"/>
      <c r="X195" s="53" t="n"/>
      <c r="Y195" s="53" t="n"/>
      <c r="Z195" s="53" t="n"/>
      <c r="AA195" s="53" t="n"/>
      <c r="AB195" s="53" t="n"/>
      <c r="AC195" s="53" t="n"/>
      <c r="AD195" s="53" t="n"/>
      <c r="AE195" s="53" t="n"/>
      <c r="AF195" s="53" t="n"/>
      <c r="AG195" s="53" t="n"/>
      <c r="AH195" s="53" t="n"/>
      <c r="AI195" s="53" t="n"/>
      <c r="AJ195" s="53" t="n"/>
      <c r="AK195" s="53" t="n"/>
      <c r="AL195" s="53" t="n"/>
      <c r="AM195" s="53" t="n"/>
      <c r="AN195" s="53" t="n"/>
      <c r="AO195" s="53" t="n"/>
      <c r="AP195" s="53" t="n"/>
      <c r="AQ195" s="53" t="n"/>
      <c r="AR195" s="53" t="n"/>
      <c r="AS195" s="53" t="n"/>
      <c r="AT195" s="53" t="n"/>
      <c r="AU195" s="53" t="n"/>
      <c r="AV195" s="53" t="n"/>
      <c r="AW195" s="53" t="n"/>
      <c r="AX195" s="53" t="n"/>
      <c r="AY195" s="53" t="n"/>
    </row>
    <row r="196" ht="15" customHeight="1">
      <c r="A196" s="54" t="n"/>
      <c r="B196" s="55">
        <f>IF($B$195="","",$B$195)</f>
        <v/>
      </c>
      <c r="C196" s="56" t="inlineStr">
        <is>
          <t>마케팅4팀</t>
        </is>
      </c>
      <c r="D196" s="55">
        <f>IF($D$195="","",$D$195)</f>
        <v/>
      </c>
      <c r="E196" s="57" t="inlineStr">
        <is>
          <t>이미지</t>
        </is>
      </c>
      <c r="F196" s="44" t="n"/>
      <c r="G196" s="58">
        <f>IF($G$195="","",$G$195)</f>
        <v/>
      </c>
      <c r="H196" s="59" t="n"/>
      <c r="I196" s="59" t="n"/>
      <c r="J196" s="59" t="n"/>
      <c r="K196" s="59" t="n"/>
      <c r="L196" s="60">
        <f>IF(SUM(U196:AY196)=0,"",SUM(U196:AY196))</f>
        <v/>
      </c>
      <c r="M196" s="61">
        <f>IFERROR(INDEX(U$2:AY$2,MATCH(TRUE,INDEX(U196:AY196&lt;&gt;"",0),0)),"")</f>
        <v/>
      </c>
      <c r="N196" s="61">
        <f>IFERROR(LOOKUP(2,1/(U196:AY196&lt;&gt;""),U$2:AY$2),"")</f>
        <v/>
      </c>
      <c r="O196" s="59" t="n"/>
      <c r="P196" s="59" t="n"/>
      <c r="Q196" s="59" t="n"/>
      <c r="R196" s="59" t="n"/>
      <c r="S196" s="14" t="n"/>
      <c r="U196" s="53" t="n"/>
      <c r="V196" s="53" t="n"/>
      <c r="W196" s="53" t="n"/>
      <c r="X196" s="53" t="n"/>
      <c r="Y196" s="53" t="n"/>
      <c r="Z196" s="53" t="n"/>
      <c r="AA196" s="53" t="n"/>
      <c r="AB196" s="53" t="n"/>
      <c r="AC196" s="53" t="n"/>
      <c r="AD196" s="53" t="n"/>
      <c r="AE196" s="53" t="n"/>
      <c r="AF196" s="53" t="n"/>
      <c r="AG196" s="53" t="n"/>
      <c r="AH196" s="53" t="n"/>
      <c r="AI196" s="53" t="n"/>
      <c r="AJ196" s="53" t="n"/>
      <c r="AK196" s="53" t="n"/>
      <c r="AL196" s="53" t="n"/>
      <c r="AM196" s="53" t="n"/>
      <c r="AN196" s="53" t="n"/>
      <c r="AO196" s="53" t="n"/>
      <c r="AP196" s="53" t="n"/>
      <c r="AQ196" s="53" t="n"/>
      <c r="AR196" s="53" t="n"/>
      <c r="AS196" s="53" t="n"/>
      <c r="AT196" s="53" t="n"/>
      <c r="AU196" s="53" t="n"/>
      <c r="AV196" s="53" t="n"/>
      <c r="AW196" s="53" t="n"/>
      <c r="AX196" s="53" t="n"/>
      <c r="AY196" s="53" t="n"/>
    </row>
    <row r="197" ht="15" customHeight="1">
      <c r="A197" s="62" t="n"/>
      <c r="B197" s="55">
        <f>IF($B$195="","",$B$195)</f>
        <v/>
      </c>
      <c r="C197" s="63" t="inlineStr">
        <is>
          <t>마케팅4팀</t>
        </is>
      </c>
      <c r="D197" s="55">
        <f>IF($D$195="","",$D$195)</f>
        <v/>
      </c>
      <c r="E197" s="64" t="inlineStr">
        <is>
          <t>영상</t>
        </is>
      </c>
      <c r="F197" s="44" t="n"/>
      <c r="G197" s="58">
        <f>IF($G$195="","",$G$195)</f>
        <v/>
      </c>
      <c r="H197" s="59" t="n"/>
      <c r="I197" s="59" t="n"/>
      <c r="J197" s="59" t="n"/>
      <c r="K197" s="59" t="n"/>
      <c r="L197" s="65">
        <f>IF(SUM(U197:AY197)=0,"",SUM(U197:AY197))</f>
        <v/>
      </c>
      <c r="M197" s="66">
        <f>IFERROR(INDEX(U$2:AY$2,MATCH(TRUE,INDEX(U197:AY197&lt;&gt;"",0),0)),"")</f>
        <v/>
      </c>
      <c r="N197" s="66">
        <f>IFERROR(LOOKUP(2,1/(U197:AY197&lt;&gt;""),U$2:AY$2),"")</f>
        <v/>
      </c>
      <c r="O197" s="59" t="n"/>
      <c r="P197" s="59" t="n"/>
      <c r="Q197" s="59" t="n"/>
      <c r="R197" s="59" t="n"/>
      <c r="S197" s="14" t="n"/>
      <c r="U197" s="53" t="n"/>
      <c r="V197" s="53" t="n"/>
      <c r="W197" s="53" t="n"/>
      <c r="X197" s="53" t="n"/>
      <c r="Y197" s="53" t="n"/>
      <c r="Z197" s="53" t="n"/>
      <c r="AA197" s="53" t="n"/>
      <c r="AB197" s="53" t="n"/>
      <c r="AC197" s="53" t="n"/>
      <c r="AD197" s="53" t="n"/>
      <c r="AE197" s="53" t="n"/>
      <c r="AF197" s="53" t="n"/>
      <c r="AG197" s="53" t="n"/>
      <c r="AH197" s="53" t="n"/>
      <c r="AI197" s="53" t="n"/>
      <c r="AJ197" s="53" t="n"/>
      <c r="AK197" s="53" t="n"/>
      <c r="AL197" s="53" t="n"/>
      <c r="AM197" s="53" t="n"/>
      <c r="AN197" s="53" t="n"/>
      <c r="AO197" s="53" t="n"/>
      <c r="AP197" s="53" t="n"/>
      <c r="AQ197" s="53" t="n"/>
      <c r="AR197" s="53" t="n"/>
      <c r="AS197" s="53" t="n"/>
      <c r="AT197" s="53" t="n"/>
      <c r="AU197" s="53" t="n"/>
      <c r="AV197" s="53" t="n"/>
      <c r="AW197" s="53" t="n"/>
      <c r="AX197" s="53" t="n"/>
      <c r="AY197" s="53" t="n"/>
    </row>
    <row r="198" ht="15" customHeight="1">
      <c r="A198" s="40">
        <f>IF($D$198="","",63)</f>
        <v/>
      </c>
      <c r="B198" s="10" t="n"/>
      <c r="C198" s="41" t="inlineStr">
        <is>
          <t>마케팅4팀</t>
        </is>
      </c>
      <c r="D198" s="42" t="n"/>
      <c r="E198" s="43" t="inlineStr">
        <is>
          <t>기획</t>
        </is>
      </c>
      <c r="F198" s="44" t="n"/>
      <c r="G198" s="45" t="n"/>
      <c r="H198" s="46">
        <f>IF($I$198="","",IF($I$198&lt;0,"🔴지연",IF($I$198&lt;=1,"🟡임박","🟢여유")))</f>
        <v/>
      </c>
      <c r="I198" s="47">
        <f>IF(OR($G$198="",$K$198=""),"",$G$198-$K$198)</f>
        <v/>
      </c>
      <c r="J198" s="48">
        <f>IF(SUM($L$198:$L$200)=0,"",SUM($L$198:$L$200))</f>
        <v/>
      </c>
      <c r="K198" s="49">
        <f>IF($J$198="","",MAX($N$198:$N$200))</f>
        <v/>
      </c>
      <c r="L198" s="50">
        <f>IF(SUM(U198:AY198)=0,"",SUM(U198:AY198))</f>
        <v/>
      </c>
      <c r="M198" s="51">
        <f>IFERROR(INDEX(U$2:AY$2,MATCH(TRUE,INDEX(U198:AY198&lt;&gt;"",0),0)),"")</f>
        <v/>
      </c>
      <c r="N198" s="51">
        <f>IFERROR(LOOKUP(2,1/(U198:AY198&lt;&gt;""),U$2:AY$2),"")</f>
        <v/>
      </c>
      <c r="O198" s="52" t="n"/>
      <c r="P198" s="52" t="n"/>
      <c r="Q198" s="52" t="n"/>
      <c r="R198" s="44" t="n"/>
      <c r="S198" s="14" t="n"/>
      <c r="U198" s="53" t="n"/>
      <c r="V198" s="53" t="n"/>
      <c r="W198" s="53" t="n"/>
      <c r="X198" s="53" t="n"/>
      <c r="Y198" s="53" t="n"/>
      <c r="Z198" s="53" t="n"/>
      <c r="AA198" s="53" t="n"/>
      <c r="AB198" s="53" t="n"/>
      <c r="AC198" s="53" t="n"/>
      <c r="AD198" s="53" t="n"/>
      <c r="AE198" s="53" t="n"/>
      <c r="AF198" s="53" t="n"/>
      <c r="AG198" s="53" t="n"/>
      <c r="AH198" s="53" t="n"/>
      <c r="AI198" s="53" t="n"/>
      <c r="AJ198" s="53" t="n"/>
      <c r="AK198" s="53" t="n"/>
      <c r="AL198" s="53" t="n"/>
      <c r="AM198" s="53" t="n"/>
      <c r="AN198" s="53" t="n"/>
      <c r="AO198" s="53" t="n"/>
      <c r="AP198" s="53" t="n"/>
      <c r="AQ198" s="53" t="n"/>
      <c r="AR198" s="53" t="n"/>
      <c r="AS198" s="53" t="n"/>
      <c r="AT198" s="53" t="n"/>
      <c r="AU198" s="53" t="n"/>
      <c r="AV198" s="53" t="n"/>
      <c r="AW198" s="53" t="n"/>
      <c r="AX198" s="53" t="n"/>
      <c r="AY198" s="53" t="n"/>
    </row>
    <row r="199" ht="15" customHeight="1">
      <c r="A199" s="54" t="n"/>
      <c r="B199" s="55">
        <f>IF($B$198="","",$B$198)</f>
        <v/>
      </c>
      <c r="C199" s="56" t="inlineStr">
        <is>
          <t>마케팅4팀</t>
        </is>
      </c>
      <c r="D199" s="55">
        <f>IF($D$198="","",$D$198)</f>
        <v/>
      </c>
      <c r="E199" s="57" t="inlineStr">
        <is>
          <t>이미지</t>
        </is>
      </c>
      <c r="F199" s="44" t="n"/>
      <c r="G199" s="58">
        <f>IF($G$198="","",$G$198)</f>
        <v/>
      </c>
      <c r="H199" s="59" t="n"/>
      <c r="I199" s="59" t="n"/>
      <c r="J199" s="59" t="n"/>
      <c r="K199" s="59" t="n"/>
      <c r="L199" s="60">
        <f>IF(SUM(U199:AY199)=0,"",SUM(U199:AY199))</f>
        <v/>
      </c>
      <c r="M199" s="61">
        <f>IFERROR(INDEX(U$2:AY$2,MATCH(TRUE,INDEX(U199:AY199&lt;&gt;"",0),0)),"")</f>
        <v/>
      </c>
      <c r="N199" s="61">
        <f>IFERROR(LOOKUP(2,1/(U199:AY199&lt;&gt;""),U$2:AY$2),"")</f>
        <v/>
      </c>
      <c r="O199" s="59" t="n"/>
      <c r="P199" s="59" t="n"/>
      <c r="Q199" s="59" t="n"/>
      <c r="R199" s="59" t="n"/>
      <c r="S199" s="14" t="n"/>
      <c r="U199" s="53" t="n"/>
      <c r="V199" s="53" t="n"/>
      <c r="W199" s="53" t="n"/>
      <c r="X199" s="53" t="n"/>
      <c r="Y199" s="53" t="n"/>
      <c r="Z199" s="53" t="n"/>
      <c r="AA199" s="53" t="n"/>
      <c r="AB199" s="53" t="n"/>
      <c r="AC199" s="53" t="n"/>
      <c r="AD199" s="53" t="n"/>
      <c r="AE199" s="53" t="n"/>
      <c r="AF199" s="53" t="n"/>
      <c r="AG199" s="53" t="n"/>
      <c r="AH199" s="53" t="n"/>
      <c r="AI199" s="53" t="n"/>
      <c r="AJ199" s="53" t="n"/>
      <c r="AK199" s="53" t="n"/>
      <c r="AL199" s="53" t="n"/>
      <c r="AM199" s="53" t="n"/>
      <c r="AN199" s="53" t="n"/>
      <c r="AO199" s="53" t="n"/>
      <c r="AP199" s="53" t="n"/>
      <c r="AQ199" s="53" t="n"/>
      <c r="AR199" s="53" t="n"/>
      <c r="AS199" s="53" t="n"/>
      <c r="AT199" s="53" t="n"/>
      <c r="AU199" s="53" t="n"/>
      <c r="AV199" s="53" t="n"/>
      <c r="AW199" s="53" t="n"/>
      <c r="AX199" s="53" t="n"/>
      <c r="AY199" s="53" t="n"/>
    </row>
    <row r="200" ht="15" customHeight="1">
      <c r="A200" s="62" t="n"/>
      <c r="B200" s="55">
        <f>IF($B$198="","",$B$198)</f>
        <v/>
      </c>
      <c r="C200" s="63" t="inlineStr">
        <is>
          <t>마케팅4팀</t>
        </is>
      </c>
      <c r="D200" s="55">
        <f>IF($D$198="","",$D$198)</f>
        <v/>
      </c>
      <c r="E200" s="64" t="inlineStr">
        <is>
          <t>영상</t>
        </is>
      </c>
      <c r="F200" s="44" t="n"/>
      <c r="G200" s="58">
        <f>IF($G$198="","",$G$198)</f>
        <v/>
      </c>
      <c r="H200" s="59" t="n"/>
      <c r="I200" s="59" t="n"/>
      <c r="J200" s="59" t="n"/>
      <c r="K200" s="59" t="n"/>
      <c r="L200" s="65">
        <f>IF(SUM(U200:AY200)=0,"",SUM(U200:AY200))</f>
        <v/>
      </c>
      <c r="M200" s="66">
        <f>IFERROR(INDEX(U$2:AY$2,MATCH(TRUE,INDEX(U200:AY200&lt;&gt;"",0),0)),"")</f>
        <v/>
      </c>
      <c r="N200" s="66">
        <f>IFERROR(LOOKUP(2,1/(U200:AY200&lt;&gt;""),U$2:AY$2),"")</f>
        <v/>
      </c>
      <c r="O200" s="59" t="n"/>
      <c r="P200" s="59" t="n"/>
      <c r="Q200" s="59" t="n"/>
      <c r="R200" s="59" t="n"/>
      <c r="S200" s="14" t="n"/>
      <c r="U200" s="53" t="n"/>
      <c r="V200" s="53" t="n"/>
      <c r="W200" s="53" t="n"/>
      <c r="X200" s="53" t="n"/>
      <c r="Y200" s="53" t="n"/>
      <c r="Z200" s="53" t="n"/>
      <c r="AA200" s="53" t="n"/>
      <c r="AB200" s="53" t="n"/>
      <c r="AC200" s="53" t="n"/>
      <c r="AD200" s="53" t="n"/>
      <c r="AE200" s="53" t="n"/>
      <c r="AF200" s="53" t="n"/>
      <c r="AG200" s="53" t="n"/>
      <c r="AH200" s="53" t="n"/>
      <c r="AI200" s="53" t="n"/>
      <c r="AJ200" s="53" t="n"/>
      <c r="AK200" s="53" t="n"/>
      <c r="AL200" s="53" t="n"/>
      <c r="AM200" s="53" t="n"/>
      <c r="AN200" s="53" t="n"/>
      <c r="AO200" s="53" t="n"/>
      <c r="AP200" s="53" t="n"/>
      <c r="AQ200" s="53" t="n"/>
      <c r="AR200" s="53" t="n"/>
      <c r="AS200" s="53" t="n"/>
      <c r="AT200" s="53" t="n"/>
      <c r="AU200" s="53" t="n"/>
      <c r="AV200" s="53" t="n"/>
      <c r="AW200" s="53" t="n"/>
      <c r="AX200" s="53" t="n"/>
      <c r="AY200" s="53" t="n"/>
    </row>
    <row r="201" ht="15" customHeight="1">
      <c r="A201" s="40">
        <f>IF($D$201="","",64)</f>
        <v/>
      </c>
      <c r="B201" s="10" t="n"/>
      <c r="C201" s="41" t="inlineStr">
        <is>
          <t>마케팅4팀</t>
        </is>
      </c>
      <c r="D201" s="42" t="n"/>
      <c r="E201" s="43" t="inlineStr">
        <is>
          <t>기획</t>
        </is>
      </c>
      <c r="F201" s="44" t="n"/>
      <c r="G201" s="45" t="n"/>
      <c r="H201" s="46">
        <f>IF($I$201="","",IF($I$201&lt;0,"🔴지연",IF($I$201&lt;=1,"🟡임박","🟢여유")))</f>
        <v/>
      </c>
      <c r="I201" s="47">
        <f>IF(OR($G$201="",$K$201=""),"",$G$201-$K$201)</f>
        <v/>
      </c>
      <c r="J201" s="48">
        <f>IF(SUM($L$201:$L$203)=0,"",SUM($L$201:$L$203))</f>
        <v/>
      </c>
      <c r="K201" s="49">
        <f>IF($J$201="","",MAX($N$201:$N$203))</f>
        <v/>
      </c>
      <c r="L201" s="50">
        <f>IF(SUM(U201:AY201)=0,"",SUM(U201:AY201))</f>
        <v/>
      </c>
      <c r="M201" s="51">
        <f>IFERROR(INDEX(U$2:AY$2,MATCH(TRUE,INDEX(U201:AY201&lt;&gt;"",0),0)),"")</f>
        <v/>
      </c>
      <c r="N201" s="51">
        <f>IFERROR(LOOKUP(2,1/(U201:AY201&lt;&gt;""),U$2:AY$2),"")</f>
        <v/>
      </c>
      <c r="O201" s="52" t="n"/>
      <c r="P201" s="52" t="n"/>
      <c r="Q201" s="52" t="n"/>
      <c r="R201" s="44" t="n"/>
      <c r="S201" s="14" t="n"/>
      <c r="U201" s="53" t="n"/>
      <c r="V201" s="53" t="n"/>
      <c r="W201" s="53" t="n"/>
      <c r="X201" s="53" t="n"/>
      <c r="Y201" s="53" t="n"/>
      <c r="Z201" s="53" t="n"/>
      <c r="AA201" s="53" t="n"/>
      <c r="AB201" s="53" t="n"/>
      <c r="AC201" s="53" t="n"/>
      <c r="AD201" s="53" t="n"/>
      <c r="AE201" s="53" t="n"/>
      <c r="AF201" s="53" t="n"/>
      <c r="AG201" s="53" t="n"/>
      <c r="AH201" s="53" t="n"/>
      <c r="AI201" s="53" t="n"/>
      <c r="AJ201" s="53" t="n"/>
      <c r="AK201" s="53" t="n"/>
      <c r="AL201" s="53" t="n"/>
      <c r="AM201" s="53" t="n"/>
      <c r="AN201" s="53" t="n"/>
      <c r="AO201" s="53" t="n"/>
      <c r="AP201" s="53" t="n"/>
      <c r="AQ201" s="53" t="n"/>
      <c r="AR201" s="53" t="n"/>
      <c r="AS201" s="53" t="n"/>
      <c r="AT201" s="53" t="n"/>
      <c r="AU201" s="53" t="n"/>
      <c r="AV201" s="53" t="n"/>
      <c r="AW201" s="53" t="n"/>
      <c r="AX201" s="53" t="n"/>
      <c r="AY201" s="53" t="n"/>
    </row>
    <row r="202" ht="15" customHeight="1">
      <c r="A202" s="54" t="n"/>
      <c r="B202" s="55">
        <f>IF($B$201="","",$B$201)</f>
        <v/>
      </c>
      <c r="C202" s="56" t="inlineStr">
        <is>
          <t>마케팅4팀</t>
        </is>
      </c>
      <c r="D202" s="55">
        <f>IF($D$201="","",$D$201)</f>
        <v/>
      </c>
      <c r="E202" s="57" t="inlineStr">
        <is>
          <t>이미지</t>
        </is>
      </c>
      <c r="F202" s="44" t="n"/>
      <c r="G202" s="58">
        <f>IF($G$201="","",$G$201)</f>
        <v/>
      </c>
      <c r="H202" s="59" t="n"/>
      <c r="I202" s="59" t="n"/>
      <c r="J202" s="59" t="n"/>
      <c r="K202" s="59" t="n"/>
      <c r="L202" s="60">
        <f>IF(SUM(U202:AY202)=0,"",SUM(U202:AY202))</f>
        <v/>
      </c>
      <c r="M202" s="61">
        <f>IFERROR(INDEX(U$2:AY$2,MATCH(TRUE,INDEX(U202:AY202&lt;&gt;"",0),0)),"")</f>
        <v/>
      </c>
      <c r="N202" s="61">
        <f>IFERROR(LOOKUP(2,1/(U202:AY202&lt;&gt;""),U$2:AY$2),"")</f>
        <v/>
      </c>
      <c r="O202" s="59" t="n"/>
      <c r="P202" s="59" t="n"/>
      <c r="Q202" s="59" t="n"/>
      <c r="R202" s="59" t="n"/>
      <c r="S202" s="14" t="n"/>
      <c r="U202" s="53" t="n"/>
      <c r="V202" s="53" t="n"/>
      <c r="W202" s="53" t="n"/>
      <c r="X202" s="53" t="n"/>
      <c r="Y202" s="53" t="n"/>
      <c r="Z202" s="53" t="n"/>
      <c r="AA202" s="53" t="n"/>
      <c r="AB202" s="53" t="n"/>
      <c r="AC202" s="53" t="n"/>
      <c r="AD202" s="53" t="n"/>
      <c r="AE202" s="53" t="n"/>
      <c r="AF202" s="53" t="n"/>
      <c r="AG202" s="53" t="n"/>
      <c r="AH202" s="53" t="n"/>
      <c r="AI202" s="53" t="n"/>
      <c r="AJ202" s="53" t="n"/>
      <c r="AK202" s="53" t="n"/>
      <c r="AL202" s="53" t="n"/>
      <c r="AM202" s="53" t="n"/>
      <c r="AN202" s="53" t="n"/>
      <c r="AO202" s="53" t="n"/>
      <c r="AP202" s="53" t="n"/>
      <c r="AQ202" s="53" t="n"/>
      <c r="AR202" s="53" t="n"/>
      <c r="AS202" s="53" t="n"/>
      <c r="AT202" s="53" t="n"/>
      <c r="AU202" s="53" t="n"/>
      <c r="AV202" s="53" t="n"/>
      <c r="AW202" s="53" t="n"/>
      <c r="AX202" s="53" t="n"/>
      <c r="AY202" s="53" t="n"/>
    </row>
    <row r="203" ht="15" customHeight="1">
      <c r="A203" s="62" t="n"/>
      <c r="B203" s="55">
        <f>IF($B$201="","",$B$201)</f>
        <v/>
      </c>
      <c r="C203" s="63" t="inlineStr">
        <is>
          <t>마케팅4팀</t>
        </is>
      </c>
      <c r="D203" s="55">
        <f>IF($D$201="","",$D$201)</f>
        <v/>
      </c>
      <c r="E203" s="64" t="inlineStr">
        <is>
          <t>영상</t>
        </is>
      </c>
      <c r="F203" s="44" t="n"/>
      <c r="G203" s="58">
        <f>IF($G$201="","",$G$201)</f>
        <v/>
      </c>
      <c r="H203" s="59" t="n"/>
      <c r="I203" s="59" t="n"/>
      <c r="J203" s="59" t="n"/>
      <c r="K203" s="59" t="n"/>
      <c r="L203" s="65">
        <f>IF(SUM(U203:AY203)=0,"",SUM(U203:AY203))</f>
        <v/>
      </c>
      <c r="M203" s="66">
        <f>IFERROR(INDEX(U$2:AY$2,MATCH(TRUE,INDEX(U203:AY203&lt;&gt;"",0),0)),"")</f>
        <v/>
      </c>
      <c r="N203" s="66">
        <f>IFERROR(LOOKUP(2,1/(U203:AY203&lt;&gt;""),U$2:AY$2),"")</f>
        <v/>
      </c>
      <c r="O203" s="59" t="n"/>
      <c r="P203" s="59" t="n"/>
      <c r="Q203" s="59" t="n"/>
      <c r="R203" s="59" t="n"/>
      <c r="S203" s="14" t="n"/>
      <c r="U203" s="53" t="n"/>
      <c r="V203" s="53" t="n"/>
      <c r="W203" s="53" t="n"/>
      <c r="X203" s="53" t="n"/>
      <c r="Y203" s="53" t="n"/>
      <c r="Z203" s="53" t="n"/>
      <c r="AA203" s="53" t="n"/>
      <c r="AB203" s="53" t="n"/>
      <c r="AC203" s="53" t="n"/>
      <c r="AD203" s="53" t="n"/>
      <c r="AE203" s="53" t="n"/>
      <c r="AF203" s="53" t="n"/>
      <c r="AG203" s="53" t="n"/>
      <c r="AH203" s="53" t="n"/>
      <c r="AI203" s="53" t="n"/>
      <c r="AJ203" s="53" t="n"/>
      <c r="AK203" s="53" t="n"/>
      <c r="AL203" s="53" t="n"/>
      <c r="AM203" s="53" t="n"/>
      <c r="AN203" s="53" t="n"/>
      <c r="AO203" s="53" t="n"/>
      <c r="AP203" s="53" t="n"/>
      <c r="AQ203" s="53" t="n"/>
      <c r="AR203" s="53" t="n"/>
      <c r="AS203" s="53" t="n"/>
      <c r="AT203" s="53" t="n"/>
      <c r="AU203" s="53" t="n"/>
      <c r="AV203" s="53" t="n"/>
      <c r="AW203" s="53" t="n"/>
      <c r="AX203" s="53" t="n"/>
      <c r="AY203" s="53" t="n"/>
    </row>
    <row r="204" ht="15" customHeight="1">
      <c r="A204" s="40">
        <f>IF($D$204="","",65)</f>
        <v/>
      </c>
      <c r="B204" s="10" t="n"/>
      <c r="C204" s="41" t="inlineStr">
        <is>
          <t>마케팅4팀</t>
        </is>
      </c>
      <c r="D204" s="42" t="n"/>
      <c r="E204" s="43" t="inlineStr">
        <is>
          <t>기획</t>
        </is>
      </c>
      <c r="F204" s="44" t="n"/>
      <c r="G204" s="45" t="n"/>
      <c r="H204" s="46">
        <f>IF($I$204="","",IF($I$204&lt;0,"🔴지연",IF($I$204&lt;=1,"🟡임박","🟢여유")))</f>
        <v/>
      </c>
      <c r="I204" s="47">
        <f>IF(OR($G$204="",$K$204=""),"",$G$204-$K$204)</f>
        <v/>
      </c>
      <c r="J204" s="48">
        <f>IF(SUM($L$204:$L$206)=0,"",SUM($L$204:$L$206))</f>
        <v/>
      </c>
      <c r="K204" s="49">
        <f>IF($J$204="","",MAX($N$204:$N$206))</f>
        <v/>
      </c>
      <c r="L204" s="50">
        <f>IF(SUM(U204:AY204)=0,"",SUM(U204:AY204))</f>
        <v/>
      </c>
      <c r="M204" s="51">
        <f>IFERROR(INDEX(U$2:AY$2,MATCH(TRUE,INDEX(U204:AY204&lt;&gt;"",0),0)),"")</f>
        <v/>
      </c>
      <c r="N204" s="51">
        <f>IFERROR(LOOKUP(2,1/(U204:AY204&lt;&gt;""),U$2:AY$2),"")</f>
        <v/>
      </c>
      <c r="O204" s="52" t="n"/>
      <c r="P204" s="52" t="n"/>
      <c r="Q204" s="52" t="n"/>
      <c r="R204" s="44" t="n"/>
      <c r="S204" s="14" t="n"/>
      <c r="U204" s="53" t="n"/>
      <c r="V204" s="53" t="n"/>
      <c r="W204" s="53" t="n"/>
      <c r="X204" s="53" t="n"/>
      <c r="Y204" s="53" t="n"/>
      <c r="Z204" s="53" t="n"/>
      <c r="AA204" s="53" t="n"/>
      <c r="AB204" s="53" t="n"/>
      <c r="AC204" s="53" t="n"/>
      <c r="AD204" s="53" t="n"/>
      <c r="AE204" s="53" t="n"/>
      <c r="AF204" s="53" t="n"/>
      <c r="AG204" s="53" t="n"/>
      <c r="AH204" s="53" t="n"/>
      <c r="AI204" s="53" t="n"/>
      <c r="AJ204" s="53" t="n"/>
      <c r="AK204" s="53" t="n"/>
      <c r="AL204" s="53" t="n"/>
      <c r="AM204" s="53" t="n"/>
      <c r="AN204" s="53" t="n"/>
      <c r="AO204" s="53" t="n"/>
      <c r="AP204" s="53" t="n"/>
      <c r="AQ204" s="53" t="n"/>
      <c r="AR204" s="53" t="n"/>
      <c r="AS204" s="53" t="n"/>
      <c r="AT204" s="53" t="n"/>
      <c r="AU204" s="53" t="n"/>
      <c r="AV204" s="53" t="n"/>
      <c r="AW204" s="53" t="n"/>
      <c r="AX204" s="53" t="n"/>
      <c r="AY204" s="53" t="n"/>
    </row>
    <row r="205" ht="15" customHeight="1">
      <c r="A205" s="54" t="n"/>
      <c r="B205" s="55">
        <f>IF($B$204="","",$B$204)</f>
        <v/>
      </c>
      <c r="C205" s="56" t="inlineStr">
        <is>
          <t>마케팅4팀</t>
        </is>
      </c>
      <c r="D205" s="55">
        <f>IF($D$204="","",$D$204)</f>
        <v/>
      </c>
      <c r="E205" s="57" t="inlineStr">
        <is>
          <t>이미지</t>
        </is>
      </c>
      <c r="F205" s="44" t="n"/>
      <c r="G205" s="58">
        <f>IF($G$204="","",$G$204)</f>
        <v/>
      </c>
      <c r="H205" s="59" t="n"/>
      <c r="I205" s="59" t="n"/>
      <c r="J205" s="59" t="n"/>
      <c r="K205" s="59" t="n"/>
      <c r="L205" s="60">
        <f>IF(SUM(U205:AY205)=0,"",SUM(U205:AY205))</f>
        <v/>
      </c>
      <c r="M205" s="61">
        <f>IFERROR(INDEX(U$2:AY$2,MATCH(TRUE,INDEX(U205:AY205&lt;&gt;"",0),0)),"")</f>
        <v/>
      </c>
      <c r="N205" s="61">
        <f>IFERROR(LOOKUP(2,1/(U205:AY205&lt;&gt;""),U$2:AY$2),"")</f>
        <v/>
      </c>
      <c r="O205" s="59" t="n"/>
      <c r="P205" s="59" t="n"/>
      <c r="Q205" s="59" t="n"/>
      <c r="R205" s="59" t="n"/>
      <c r="S205" s="14" t="n"/>
      <c r="U205" s="53" t="n"/>
      <c r="V205" s="53" t="n"/>
      <c r="W205" s="53" t="n"/>
      <c r="X205" s="53" t="n"/>
      <c r="Y205" s="53" t="n"/>
      <c r="Z205" s="53" t="n"/>
      <c r="AA205" s="53" t="n"/>
      <c r="AB205" s="53" t="n"/>
      <c r="AC205" s="53" t="n"/>
      <c r="AD205" s="53" t="n"/>
      <c r="AE205" s="53" t="n"/>
      <c r="AF205" s="53" t="n"/>
      <c r="AG205" s="53" t="n"/>
      <c r="AH205" s="53" t="n"/>
      <c r="AI205" s="53" t="n"/>
      <c r="AJ205" s="53" t="n"/>
      <c r="AK205" s="53" t="n"/>
      <c r="AL205" s="53" t="n"/>
      <c r="AM205" s="53" t="n"/>
      <c r="AN205" s="53" t="n"/>
      <c r="AO205" s="53" t="n"/>
      <c r="AP205" s="53" t="n"/>
      <c r="AQ205" s="53" t="n"/>
      <c r="AR205" s="53" t="n"/>
      <c r="AS205" s="53" t="n"/>
      <c r="AT205" s="53" t="n"/>
      <c r="AU205" s="53" t="n"/>
      <c r="AV205" s="53" t="n"/>
      <c r="AW205" s="53" t="n"/>
      <c r="AX205" s="53" t="n"/>
      <c r="AY205" s="53" t="n"/>
    </row>
    <row r="206" ht="15" customHeight="1">
      <c r="A206" s="62" t="n"/>
      <c r="B206" s="55">
        <f>IF($B$204="","",$B$204)</f>
        <v/>
      </c>
      <c r="C206" s="63" t="inlineStr">
        <is>
          <t>마케팅4팀</t>
        </is>
      </c>
      <c r="D206" s="55">
        <f>IF($D$204="","",$D$204)</f>
        <v/>
      </c>
      <c r="E206" s="64" t="inlineStr">
        <is>
          <t>영상</t>
        </is>
      </c>
      <c r="F206" s="44" t="n"/>
      <c r="G206" s="58">
        <f>IF($G$204="","",$G$204)</f>
        <v/>
      </c>
      <c r="H206" s="59" t="n"/>
      <c r="I206" s="59" t="n"/>
      <c r="J206" s="59" t="n"/>
      <c r="K206" s="59" t="n"/>
      <c r="L206" s="65">
        <f>IF(SUM(U206:AY206)=0,"",SUM(U206:AY206))</f>
        <v/>
      </c>
      <c r="M206" s="66">
        <f>IFERROR(INDEX(U$2:AY$2,MATCH(TRUE,INDEX(U206:AY206&lt;&gt;"",0),0)),"")</f>
        <v/>
      </c>
      <c r="N206" s="66">
        <f>IFERROR(LOOKUP(2,1/(U206:AY206&lt;&gt;""),U$2:AY$2),"")</f>
        <v/>
      </c>
      <c r="O206" s="59" t="n"/>
      <c r="P206" s="59" t="n"/>
      <c r="Q206" s="59" t="n"/>
      <c r="R206" s="59" t="n"/>
      <c r="S206" s="14" t="n"/>
      <c r="U206" s="53" t="n"/>
      <c r="V206" s="53" t="n"/>
      <c r="W206" s="53" t="n"/>
      <c r="X206" s="53" t="n"/>
      <c r="Y206" s="53" t="n"/>
      <c r="Z206" s="53" t="n"/>
      <c r="AA206" s="53" t="n"/>
      <c r="AB206" s="53" t="n"/>
      <c r="AC206" s="53" t="n"/>
      <c r="AD206" s="53" t="n"/>
      <c r="AE206" s="53" t="n"/>
      <c r="AF206" s="53" t="n"/>
      <c r="AG206" s="53" t="n"/>
      <c r="AH206" s="53" t="n"/>
      <c r="AI206" s="53" t="n"/>
      <c r="AJ206" s="53" t="n"/>
      <c r="AK206" s="53" t="n"/>
      <c r="AL206" s="53" t="n"/>
      <c r="AM206" s="53" t="n"/>
      <c r="AN206" s="53" t="n"/>
      <c r="AO206" s="53" t="n"/>
      <c r="AP206" s="53" t="n"/>
      <c r="AQ206" s="53" t="n"/>
      <c r="AR206" s="53" t="n"/>
      <c r="AS206" s="53" t="n"/>
      <c r="AT206" s="53" t="n"/>
      <c r="AU206" s="53" t="n"/>
      <c r="AV206" s="53" t="n"/>
      <c r="AW206" s="53" t="n"/>
      <c r="AX206" s="53" t="n"/>
      <c r="AY206" s="53" t="n"/>
    </row>
    <row r="207" ht="15" customHeight="1">
      <c r="A207" s="40">
        <f>IF($D$207="","",66)</f>
        <v/>
      </c>
      <c r="B207" s="10" t="n"/>
      <c r="C207" s="41" t="inlineStr">
        <is>
          <t>마케팅4팀</t>
        </is>
      </c>
      <c r="D207" s="42" t="n"/>
      <c r="E207" s="43" t="inlineStr">
        <is>
          <t>기획</t>
        </is>
      </c>
      <c r="F207" s="44" t="n"/>
      <c r="G207" s="45" t="n"/>
      <c r="H207" s="46">
        <f>IF($I$207="","",IF($I$207&lt;0,"🔴지연",IF($I$207&lt;=1,"🟡임박","🟢여유")))</f>
        <v/>
      </c>
      <c r="I207" s="47">
        <f>IF(OR($G$207="",$K$207=""),"",$G$207-$K$207)</f>
        <v/>
      </c>
      <c r="J207" s="48">
        <f>IF(SUM($L$207:$L$209)=0,"",SUM($L$207:$L$209))</f>
        <v/>
      </c>
      <c r="K207" s="49">
        <f>IF($J$207="","",MAX($N$207:$N$209))</f>
        <v/>
      </c>
      <c r="L207" s="50">
        <f>IF(SUM(U207:AY207)=0,"",SUM(U207:AY207))</f>
        <v/>
      </c>
      <c r="M207" s="51">
        <f>IFERROR(INDEX(U$2:AY$2,MATCH(TRUE,INDEX(U207:AY207&lt;&gt;"",0),0)),"")</f>
        <v/>
      </c>
      <c r="N207" s="51">
        <f>IFERROR(LOOKUP(2,1/(U207:AY207&lt;&gt;""),U$2:AY$2),"")</f>
        <v/>
      </c>
      <c r="O207" s="52" t="n"/>
      <c r="P207" s="52" t="n"/>
      <c r="Q207" s="52" t="n"/>
      <c r="R207" s="44" t="n"/>
      <c r="S207" s="14" t="n"/>
      <c r="U207" s="53" t="n"/>
      <c r="V207" s="53" t="n"/>
      <c r="W207" s="53" t="n"/>
      <c r="X207" s="53" t="n"/>
      <c r="Y207" s="53" t="n"/>
      <c r="Z207" s="53" t="n"/>
      <c r="AA207" s="53" t="n"/>
      <c r="AB207" s="53" t="n"/>
      <c r="AC207" s="53" t="n"/>
      <c r="AD207" s="53" t="n"/>
      <c r="AE207" s="53" t="n"/>
      <c r="AF207" s="53" t="n"/>
      <c r="AG207" s="53" t="n"/>
      <c r="AH207" s="53" t="n"/>
      <c r="AI207" s="53" t="n"/>
      <c r="AJ207" s="53" t="n"/>
      <c r="AK207" s="53" t="n"/>
      <c r="AL207" s="53" t="n"/>
      <c r="AM207" s="53" t="n"/>
      <c r="AN207" s="53" t="n"/>
      <c r="AO207" s="53" t="n"/>
      <c r="AP207" s="53" t="n"/>
      <c r="AQ207" s="53" t="n"/>
      <c r="AR207" s="53" t="n"/>
      <c r="AS207" s="53" t="n"/>
      <c r="AT207" s="53" t="n"/>
      <c r="AU207" s="53" t="n"/>
      <c r="AV207" s="53" t="n"/>
      <c r="AW207" s="53" t="n"/>
      <c r="AX207" s="53" t="n"/>
      <c r="AY207" s="53" t="n"/>
    </row>
    <row r="208" ht="15" customHeight="1">
      <c r="A208" s="54" t="n"/>
      <c r="B208" s="55">
        <f>IF($B$207="","",$B$207)</f>
        <v/>
      </c>
      <c r="C208" s="56" t="inlineStr">
        <is>
          <t>마케팅4팀</t>
        </is>
      </c>
      <c r="D208" s="55">
        <f>IF($D$207="","",$D$207)</f>
        <v/>
      </c>
      <c r="E208" s="57" t="inlineStr">
        <is>
          <t>이미지</t>
        </is>
      </c>
      <c r="F208" s="44" t="n"/>
      <c r="G208" s="58">
        <f>IF($G$207="","",$G$207)</f>
        <v/>
      </c>
      <c r="H208" s="59" t="n"/>
      <c r="I208" s="59" t="n"/>
      <c r="J208" s="59" t="n"/>
      <c r="K208" s="59" t="n"/>
      <c r="L208" s="60">
        <f>IF(SUM(U208:AY208)=0,"",SUM(U208:AY208))</f>
        <v/>
      </c>
      <c r="M208" s="61">
        <f>IFERROR(INDEX(U$2:AY$2,MATCH(TRUE,INDEX(U208:AY208&lt;&gt;"",0),0)),"")</f>
        <v/>
      </c>
      <c r="N208" s="61">
        <f>IFERROR(LOOKUP(2,1/(U208:AY208&lt;&gt;""),U$2:AY$2),"")</f>
        <v/>
      </c>
      <c r="O208" s="59" t="n"/>
      <c r="P208" s="59" t="n"/>
      <c r="Q208" s="59" t="n"/>
      <c r="R208" s="59" t="n"/>
      <c r="S208" s="14" t="n"/>
      <c r="U208" s="53" t="n"/>
      <c r="V208" s="53" t="n"/>
      <c r="W208" s="53" t="n"/>
      <c r="X208" s="53" t="n"/>
      <c r="Y208" s="53" t="n"/>
      <c r="Z208" s="53" t="n"/>
      <c r="AA208" s="53" t="n"/>
      <c r="AB208" s="53" t="n"/>
      <c r="AC208" s="53" t="n"/>
      <c r="AD208" s="53" t="n"/>
      <c r="AE208" s="53" t="n"/>
      <c r="AF208" s="53" t="n"/>
      <c r="AG208" s="53" t="n"/>
      <c r="AH208" s="53" t="n"/>
      <c r="AI208" s="53" t="n"/>
      <c r="AJ208" s="53" t="n"/>
      <c r="AK208" s="53" t="n"/>
      <c r="AL208" s="53" t="n"/>
      <c r="AM208" s="53" t="n"/>
      <c r="AN208" s="53" t="n"/>
      <c r="AO208" s="53" t="n"/>
      <c r="AP208" s="53" t="n"/>
      <c r="AQ208" s="53" t="n"/>
      <c r="AR208" s="53" t="n"/>
      <c r="AS208" s="53" t="n"/>
      <c r="AT208" s="53" t="n"/>
      <c r="AU208" s="53" t="n"/>
      <c r="AV208" s="53" t="n"/>
      <c r="AW208" s="53" t="n"/>
      <c r="AX208" s="53" t="n"/>
      <c r="AY208" s="53" t="n"/>
    </row>
    <row r="209" ht="15" customHeight="1">
      <c r="A209" s="62" t="n"/>
      <c r="B209" s="55">
        <f>IF($B$207="","",$B$207)</f>
        <v/>
      </c>
      <c r="C209" s="63" t="inlineStr">
        <is>
          <t>마케팅4팀</t>
        </is>
      </c>
      <c r="D209" s="55">
        <f>IF($D$207="","",$D$207)</f>
        <v/>
      </c>
      <c r="E209" s="64" t="inlineStr">
        <is>
          <t>영상</t>
        </is>
      </c>
      <c r="F209" s="44" t="n"/>
      <c r="G209" s="58">
        <f>IF($G$207="","",$G$207)</f>
        <v/>
      </c>
      <c r="H209" s="59" t="n"/>
      <c r="I209" s="59" t="n"/>
      <c r="J209" s="59" t="n"/>
      <c r="K209" s="59" t="n"/>
      <c r="L209" s="65">
        <f>IF(SUM(U209:AY209)=0,"",SUM(U209:AY209))</f>
        <v/>
      </c>
      <c r="M209" s="66">
        <f>IFERROR(INDEX(U$2:AY$2,MATCH(TRUE,INDEX(U209:AY209&lt;&gt;"",0),0)),"")</f>
        <v/>
      </c>
      <c r="N209" s="66">
        <f>IFERROR(LOOKUP(2,1/(U209:AY209&lt;&gt;""),U$2:AY$2),"")</f>
        <v/>
      </c>
      <c r="O209" s="59" t="n"/>
      <c r="P209" s="59" t="n"/>
      <c r="Q209" s="59" t="n"/>
      <c r="R209" s="59" t="n"/>
      <c r="S209" s="14" t="n"/>
      <c r="U209" s="53" t="n"/>
      <c r="V209" s="53" t="n"/>
      <c r="W209" s="53" t="n"/>
      <c r="X209" s="53" t="n"/>
      <c r="Y209" s="53" t="n"/>
      <c r="Z209" s="53" t="n"/>
      <c r="AA209" s="53" t="n"/>
      <c r="AB209" s="53" t="n"/>
      <c r="AC209" s="53" t="n"/>
      <c r="AD209" s="53" t="n"/>
      <c r="AE209" s="53" t="n"/>
      <c r="AF209" s="53" t="n"/>
      <c r="AG209" s="53" t="n"/>
      <c r="AH209" s="53" t="n"/>
      <c r="AI209" s="53" t="n"/>
      <c r="AJ209" s="53" t="n"/>
      <c r="AK209" s="53" t="n"/>
      <c r="AL209" s="53" t="n"/>
      <c r="AM209" s="53" t="n"/>
      <c r="AN209" s="53" t="n"/>
      <c r="AO209" s="53" t="n"/>
      <c r="AP209" s="53" t="n"/>
      <c r="AQ209" s="53" t="n"/>
      <c r="AR209" s="53" t="n"/>
      <c r="AS209" s="53" t="n"/>
      <c r="AT209" s="53" t="n"/>
      <c r="AU209" s="53" t="n"/>
      <c r="AV209" s="53" t="n"/>
      <c r="AW209" s="53" t="n"/>
      <c r="AX209" s="53" t="n"/>
      <c r="AY209" s="53" t="n"/>
    </row>
    <row r="210" ht="15" customHeight="1">
      <c r="A210" s="40">
        <f>IF($D$210="","",67)</f>
        <v/>
      </c>
      <c r="B210" s="10" t="n"/>
      <c r="C210" s="41" t="inlineStr">
        <is>
          <t>마케팅4팀</t>
        </is>
      </c>
      <c r="D210" s="42" t="n"/>
      <c r="E210" s="43" t="inlineStr">
        <is>
          <t>기획</t>
        </is>
      </c>
      <c r="F210" s="44" t="n"/>
      <c r="G210" s="45" t="n"/>
      <c r="H210" s="46">
        <f>IF($I$210="","",IF($I$210&lt;0,"🔴지연",IF($I$210&lt;=1,"🟡임박","🟢여유")))</f>
        <v/>
      </c>
      <c r="I210" s="47">
        <f>IF(OR($G$210="",$K$210=""),"",$G$210-$K$210)</f>
        <v/>
      </c>
      <c r="J210" s="48">
        <f>IF(SUM($L$210:$L$212)=0,"",SUM($L$210:$L$212))</f>
        <v/>
      </c>
      <c r="K210" s="49">
        <f>IF($J$210="","",MAX($N$210:$N$212))</f>
        <v/>
      </c>
      <c r="L210" s="50">
        <f>IF(SUM(U210:AY210)=0,"",SUM(U210:AY210))</f>
        <v/>
      </c>
      <c r="M210" s="51">
        <f>IFERROR(INDEX(U$2:AY$2,MATCH(TRUE,INDEX(U210:AY210&lt;&gt;"",0),0)),"")</f>
        <v/>
      </c>
      <c r="N210" s="51">
        <f>IFERROR(LOOKUP(2,1/(U210:AY210&lt;&gt;""),U$2:AY$2),"")</f>
        <v/>
      </c>
      <c r="O210" s="52" t="n"/>
      <c r="P210" s="52" t="n"/>
      <c r="Q210" s="52" t="n"/>
      <c r="R210" s="44" t="n"/>
      <c r="S210" s="14" t="n"/>
      <c r="U210" s="53" t="n"/>
      <c r="V210" s="53" t="n"/>
      <c r="W210" s="53" t="n"/>
      <c r="X210" s="53" t="n"/>
      <c r="Y210" s="53" t="n"/>
      <c r="Z210" s="53" t="n"/>
      <c r="AA210" s="53" t="n"/>
      <c r="AB210" s="53" t="n"/>
      <c r="AC210" s="53" t="n"/>
      <c r="AD210" s="53" t="n"/>
      <c r="AE210" s="53" t="n"/>
      <c r="AF210" s="53" t="n"/>
      <c r="AG210" s="53" t="n"/>
      <c r="AH210" s="53" t="n"/>
      <c r="AI210" s="53" t="n"/>
      <c r="AJ210" s="53" t="n"/>
      <c r="AK210" s="53" t="n"/>
      <c r="AL210" s="53" t="n"/>
      <c r="AM210" s="53" t="n"/>
      <c r="AN210" s="53" t="n"/>
      <c r="AO210" s="53" t="n"/>
      <c r="AP210" s="53" t="n"/>
      <c r="AQ210" s="53" t="n"/>
      <c r="AR210" s="53" t="n"/>
      <c r="AS210" s="53" t="n"/>
      <c r="AT210" s="53" t="n"/>
      <c r="AU210" s="53" t="n"/>
      <c r="AV210" s="53" t="n"/>
      <c r="AW210" s="53" t="n"/>
      <c r="AX210" s="53" t="n"/>
      <c r="AY210" s="53" t="n"/>
    </row>
    <row r="211" ht="15" customHeight="1">
      <c r="A211" s="54" t="n"/>
      <c r="B211" s="55">
        <f>IF($B$210="","",$B$210)</f>
        <v/>
      </c>
      <c r="C211" s="56" t="inlineStr">
        <is>
          <t>마케팅4팀</t>
        </is>
      </c>
      <c r="D211" s="55">
        <f>IF($D$210="","",$D$210)</f>
        <v/>
      </c>
      <c r="E211" s="57" t="inlineStr">
        <is>
          <t>이미지</t>
        </is>
      </c>
      <c r="F211" s="44" t="n"/>
      <c r="G211" s="58">
        <f>IF($G$210="","",$G$210)</f>
        <v/>
      </c>
      <c r="H211" s="59" t="n"/>
      <c r="I211" s="59" t="n"/>
      <c r="J211" s="59" t="n"/>
      <c r="K211" s="59" t="n"/>
      <c r="L211" s="60">
        <f>IF(SUM(U211:AY211)=0,"",SUM(U211:AY211))</f>
        <v/>
      </c>
      <c r="M211" s="61">
        <f>IFERROR(INDEX(U$2:AY$2,MATCH(TRUE,INDEX(U211:AY211&lt;&gt;"",0),0)),"")</f>
        <v/>
      </c>
      <c r="N211" s="61">
        <f>IFERROR(LOOKUP(2,1/(U211:AY211&lt;&gt;""),U$2:AY$2),"")</f>
        <v/>
      </c>
      <c r="O211" s="59" t="n"/>
      <c r="P211" s="59" t="n"/>
      <c r="Q211" s="59" t="n"/>
      <c r="R211" s="59" t="n"/>
      <c r="S211" s="14" t="n"/>
      <c r="U211" s="53" t="n"/>
      <c r="V211" s="53" t="n"/>
      <c r="W211" s="53" t="n"/>
      <c r="X211" s="53" t="n"/>
      <c r="Y211" s="53" t="n"/>
      <c r="Z211" s="53" t="n"/>
      <c r="AA211" s="53" t="n"/>
      <c r="AB211" s="53" t="n"/>
      <c r="AC211" s="53" t="n"/>
      <c r="AD211" s="53" t="n"/>
      <c r="AE211" s="53" t="n"/>
      <c r="AF211" s="53" t="n"/>
      <c r="AG211" s="53" t="n"/>
      <c r="AH211" s="53" t="n"/>
      <c r="AI211" s="53" t="n"/>
      <c r="AJ211" s="53" t="n"/>
      <c r="AK211" s="53" t="n"/>
      <c r="AL211" s="53" t="n"/>
      <c r="AM211" s="53" t="n"/>
      <c r="AN211" s="53" t="n"/>
      <c r="AO211" s="53" t="n"/>
      <c r="AP211" s="53" t="n"/>
      <c r="AQ211" s="53" t="n"/>
      <c r="AR211" s="53" t="n"/>
      <c r="AS211" s="53" t="n"/>
      <c r="AT211" s="53" t="n"/>
      <c r="AU211" s="53" t="n"/>
      <c r="AV211" s="53" t="n"/>
      <c r="AW211" s="53" t="n"/>
      <c r="AX211" s="53" t="n"/>
      <c r="AY211" s="53" t="n"/>
    </row>
    <row r="212" ht="15" customHeight="1">
      <c r="A212" s="62" t="n"/>
      <c r="B212" s="55">
        <f>IF($B$210="","",$B$210)</f>
        <v/>
      </c>
      <c r="C212" s="63" t="inlineStr">
        <is>
          <t>마케팅4팀</t>
        </is>
      </c>
      <c r="D212" s="55">
        <f>IF($D$210="","",$D$210)</f>
        <v/>
      </c>
      <c r="E212" s="64" t="inlineStr">
        <is>
          <t>영상</t>
        </is>
      </c>
      <c r="F212" s="44" t="n"/>
      <c r="G212" s="58">
        <f>IF($G$210="","",$G$210)</f>
        <v/>
      </c>
      <c r="H212" s="59" t="n"/>
      <c r="I212" s="59" t="n"/>
      <c r="J212" s="59" t="n"/>
      <c r="K212" s="59" t="n"/>
      <c r="L212" s="65">
        <f>IF(SUM(U212:AY212)=0,"",SUM(U212:AY212))</f>
        <v/>
      </c>
      <c r="M212" s="66">
        <f>IFERROR(INDEX(U$2:AY$2,MATCH(TRUE,INDEX(U212:AY212&lt;&gt;"",0),0)),"")</f>
        <v/>
      </c>
      <c r="N212" s="66">
        <f>IFERROR(LOOKUP(2,1/(U212:AY212&lt;&gt;""),U$2:AY$2),"")</f>
        <v/>
      </c>
      <c r="O212" s="59" t="n"/>
      <c r="P212" s="59" t="n"/>
      <c r="Q212" s="59" t="n"/>
      <c r="R212" s="59" t="n"/>
      <c r="S212" s="14" t="n"/>
      <c r="U212" s="53" t="n"/>
      <c r="V212" s="53" t="n"/>
      <c r="W212" s="53" t="n"/>
      <c r="X212" s="53" t="n"/>
      <c r="Y212" s="53" t="n"/>
      <c r="Z212" s="53" t="n"/>
      <c r="AA212" s="53" t="n"/>
      <c r="AB212" s="53" t="n"/>
      <c r="AC212" s="53" t="n"/>
      <c r="AD212" s="53" t="n"/>
      <c r="AE212" s="53" t="n"/>
      <c r="AF212" s="53" t="n"/>
      <c r="AG212" s="53" t="n"/>
      <c r="AH212" s="53" t="n"/>
      <c r="AI212" s="53" t="n"/>
      <c r="AJ212" s="53" t="n"/>
      <c r="AK212" s="53" t="n"/>
      <c r="AL212" s="53" t="n"/>
      <c r="AM212" s="53" t="n"/>
      <c r="AN212" s="53" t="n"/>
      <c r="AO212" s="53" t="n"/>
      <c r="AP212" s="53" t="n"/>
      <c r="AQ212" s="53" t="n"/>
      <c r="AR212" s="53" t="n"/>
      <c r="AS212" s="53" t="n"/>
      <c r="AT212" s="53" t="n"/>
      <c r="AU212" s="53" t="n"/>
      <c r="AV212" s="53" t="n"/>
      <c r="AW212" s="53" t="n"/>
      <c r="AX212" s="53" t="n"/>
      <c r="AY212" s="53" t="n"/>
    </row>
    <row r="213" ht="15" customHeight="1">
      <c r="A213" s="40">
        <f>IF($D$213="","",68)</f>
        <v/>
      </c>
      <c r="B213" s="10" t="n"/>
      <c r="C213" s="41" t="inlineStr">
        <is>
          <t>마케팅4팀</t>
        </is>
      </c>
      <c r="D213" s="42" t="n"/>
      <c r="E213" s="43" t="inlineStr">
        <is>
          <t>기획</t>
        </is>
      </c>
      <c r="F213" s="44" t="n"/>
      <c r="G213" s="45" t="n"/>
      <c r="H213" s="46">
        <f>IF($I$213="","",IF($I$213&lt;0,"🔴지연",IF($I$213&lt;=1,"🟡임박","🟢여유")))</f>
        <v/>
      </c>
      <c r="I213" s="47">
        <f>IF(OR($G$213="",$K$213=""),"",$G$213-$K$213)</f>
        <v/>
      </c>
      <c r="J213" s="48">
        <f>IF(SUM($L$213:$L$215)=0,"",SUM($L$213:$L$215))</f>
        <v/>
      </c>
      <c r="K213" s="49">
        <f>IF($J$213="","",MAX($N$213:$N$215))</f>
        <v/>
      </c>
      <c r="L213" s="50">
        <f>IF(SUM(U213:AY213)=0,"",SUM(U213:AY213))</f>
        <v/>
      </c>
      <c r="M213" s="51">
        <f>IFERROR(INDEX(U$2:AY$2,MATCH(TRUE,INDEX(U213:AY213&lt;&gt;"",0),0)),"")</f>
        <v/>
      </c>
      <c r="N213" s="51">
        <f>IFERROR(LOOKUP(2,1/(U213:AY213&lt;&gt;""),U$2:AY$2),"")</f>
        <v/>
      </c>
      <c r="O213" s="52" t="n"/>
      <c r="P213" s="52" t="n"/>
      <c r="Q213" s="52" t="n"/>
      <c r="R213" s="44" t="n"/>
      <c r="S213" s="14" t="n"/>
      <c r="U213" s="53" t="n"/>
      <c r="V213" s="53" t="n"/>
      <c r="W213" s="53" t="n"/>
      <c r="X213" s="53" t="n"/>
      <c r="Y213" s="53" t="n"/>
      <c r="Z213" s="53" t="n"/>
      <c r="AA213" s="53" t="n"/>
      <c r="AB213" s="53" t="n"/>
      <c r="AC213" s="53" t="n"/>
      <c r="AD213" s="53" t="n"/>
      <c r="AE213" s="53" t="n"/>
      <c r="AF213" s="53" t="n"/>
      <c r="AG213" s="53" t="n"/>
      <c r="AH213" s="53" t="n"/>
      <c r="AI213" s="53" t="n"/>
      <c r="AJ213" s="53" t="n"/>
      <c r="AK213" s="53" t="n"/>
      <c r="AL213" s="53" t="n"/>
      <c r="AM213" s="53" t="n"/>
      <c r="AN213" s="53" t="n"/>
      <c r="AO213" s="53" t="n"/>
      <c r="AP213" s="53" t="n"/>
      <c r="AQ213" s="53" t="n"/>
      <c r="AR213" s="53" t="n"/>
      <c r="AS213" s="53" t="n"/>
      <c r="AT213" s="53" t="n"/>
      <c r="AU213" s="53" t="n"/>
      <c r="AV213" s="53" t="n"/>
      <c r="AW213" s="53" t="n"/>
      <c r="AX213" s="53" t="n"/>
      <c r="AY213" s="53" t="n"/>
    </row>
    <row r="214" ht="15" customHeight="1">
      <c r="A214" s="54" t="n"/>
      <c r="B214" s="55">
        <f>IF($B$213="","",$B$213)</f>
        <v/>
      </c>
      <c r="C214" s="56" t="inlineStr">
        <is>
          <t>마케팅4팀</t>
        </is>
      </c>
      <c r="D214" s="55">
        <f>IF($D$213="","",$D$213)</f>
        <v/>
      </c>
      <c r="E214" s="57" t="inlineStr">
        <is>
          <t>이미지</t>
        </is>
      </c>
      <c r="F214" s="44" t="n"/>
      <c r="G214" s="58">
        <f>IF($G$213="","",$G$213)</f>
        <v/>
      </c>
      <c r="H214" s="59" t="n"/>
      <c r="I214" s="59" t="n"/>
      <c r="J214" s="59" t="n"/>
      <c r="K214" s="59" t="n"/>
      <c r="L214" s="60">
        <f>IF(SUM(U214:AY214)=0,"",SUM(U214:AY214))</f>
        <v/>
      </c>
      <c r="M214" s="61">
        <f>IFERROR(INDEX(U$2:AY$2,MATCH(TRUE,INDEX(U214:AY214&lt;&gt;"",0),0)),"")</f>
        <v/>
      </c>
      <c r="N214" s="61">
        <f>IFERROR(LOOKUP(2,1/(U214:AY214&lt;&gt;""),U$2:AY$2),"")</f>
        <v/>
      </c>
      <c r="O214" s="59" t="n"/>
      <c r="P214" s="59" t="n"/>
      <c r="Q214" s="59" t="n"/>
      <c r="R214" s="59" t="n"/>
      <c r="S214" s="14" t="n"/>
      <c r="U214" s="53" t="n"/>
      <c r="V214" s="53" t="n"/>
      <c r="W214" s="53" t="n"/>
      <c r="X214" s="53" t="n"/>
      <c r="Y214" s="53" t="n"/>
      <c r="Z214" s="53" t="n"/>
      <c r="AA214" s="53" t="n"/>
      <c r="AB214" s="53" t="n"/>
      <c r="AC214" s="53" t="n"/>
      <c r="AD214" s="53" t="n"/>
      <c r="AE214" s="53" t="n"/>
      <c r="AF214" s="53" t="n"/>
      <c r="AG214" s="53" t="n"/>
      <c r="AH214" s="53" t="n"/>
      <c r="AI214" s="53" t="n"/>
      <c r="AJ214" s="53" t="n"/>
      <c r="AK214" s="53" t="n"/>
      <c r="AL214" s="53" t="n"/>
      <c r="AM214" s="53" t="n"/>
      <c r="AN214" s="53" t="n"/>
      <c r="AO214" s="53" t="n"/>
      <c r="AP214" s="53" t="n"/>
      <c r="AQ214" s="53" t="n"/>
      <c r="AR214" s="53" t="n"/>
      <c r="AS214" s="53" t="n"/>
      <c r="AT214" s="53" t="n"/>
      <c r="AU214" s="53" t="n"/>
      <c r="AV214" s="53" t="n"/>
      <c r="AW214" s="53" t="n"/>
      <c r="AX214" s="53" t="n"/>
      <c r="AY214" s="53" t="n"/>
    </row>
    <row r="215" ht="15" customHeight="1">
      <c r="A215" s="62" t="n"/>
      <c r="B215" s="55">
        <f>IF($B$213="","",$B$213)</f>
        <v/>
      </c>
      <c r="C215" s="63" t="inlineStr">
        <is>
          <t>마케팅4팀</t>
        </is>
      </c>
      <c r="D215" s="55">
        <f>IF($D$213="","",$D$213)</f>
        <v/>
      </c>
      <c r="E215" s="64" t="inlineStr">
        <is>
          <t>영상</t>
        </is>
      </c>
      <c r="F215" s="44" t="n"/>
      <c r="G215" s="58">
        <f>IF($G$213="","",$G$213)</f>
        <v/>
      </c>
      <c r="H215" s="59" t="n"/>
      <c r="I215" s="59" t="n"/>
      <c r="J215" s="59" t="n"/>
      <c r="K215" s="59" t="n"/>
      <c r="L215" s="65">
        <f>IF(SUM(U215:AY215)=0,"",SUM(U215:AY215))</f>
        <v/>
      </c>
      <c r="M215" s="66">
        <f>IFERROR(INDEX(U$2:AY$2,MATCH(TRUE,INDEX(U215:AY215&lt;&gt;"",0),0)),"")</f>
        <v/>
      </c>
      <c r="N215" s="66">
        <f>IFERROR(LOOKUP(2,1/(U215:AY215&lt;&gt;""),U$2:AY$2),"")</f>
        <v/>
      </c>
      <c r="O215" s="59" t="n"/>
      <c r="P215" s="59" t="n"/>
      <c r="Q215" s="59" t="n"/>
      <c r="R215" s="59" t="n"/>
      <c r="S215" s="14" t="n"/>
      <c r="U215" s="53" t="n"/>
      <c r="V215" s="53" t="n"/>
      <c r="W215" s="53" t="n"/>
      <c r="X215" s="53" t="n"/>
      <c r="Y215" s="53" t="n"/>
      <c r="Z215" s="53" t="n"/>
      <c r="AA215" s="53" t="n"/>
      <c r="AB215" s="53" t="n"/>
      <c r="AC215" s="53" t="n"/>
      <c r="AD215" s="53" t="n"/>
      <c r="AE215" s="53" t="n"/>
      <c r="AF215" s="53" t="n"/>
      <c r="AG215" s="53" t="n"/>
      <c r="AH215" s="53" t="n"/>
      <c r="AI215" s="53" t="n"/>
      <c r="AJ215" s="53" t="n"/>
      <c r="AK215" s="53" t="n"/>
      <c r="AL215" s="53" t="n"/>
      <c r="AM215" s="53" t="n"/>
      <c r="AN215" s="53" t="n"/>
      <c r="AO215" s="53" t="n"/>
      <c r="AP215" s="53" t="n"/>
      <c r="AQ215" s="53" t="n"/>
      <c r="AR215" s="53" t="n"/>
      <c r="AS215" s="53" t="n"/>
      <c r="AT215" s="53" t="n"/>
      <c r="AU215" s="53" t="n"/>
      <c r="AV215" s="53" t="n"/>
      <c r="AW215" s="53" t="n"/>
      <c r="AX215" s="53" t="n"/>
      <c r="AY215" s="53" t="n"/>
    </row>
    <row r="216" ht="15" customHeight="1">
      <c r="A216" s="40">
        <f>IF($D$216="","",69)</f>
        <v/>
      </c>
      <c r="B216" s="10" t="n"/>
      <c r="C216" s="41" t="inlineStr">
        <is>
          <t>마케팅4팀</t>
        </is>
      </c>
      <c r="D216" s="42" t="n"/>
      <c r="E216" s="43" t="inlineStr">
        <is>
          <t>기획</t>
        </is>
      </c>
      <c r="F216" s="44" t="n"/>
      <c r="G216" s="45" t="n"/>
      <c r="H216" s="46">
        <f>IF($I$216="","",IF($I$216&lt;0,"🔴지연",IF($I$216&lt;=1,"🟡임박","🟢여유")))</f>
        <v/>
      </c>
      <c r="I216" s="47">
        <f>IF(OR($G$216="",$K$216=""),"",$G$216-$K$216)</f>
        <v/>
      </c>
      <c r="J216" s="48">
        <f>IF(SUM($L$216:$L$218)=0,"",SUM($L$216:$L$218))</f>
        <v/>
      </c>
      <c r="K216" s="49">
        <f>IF($J$216="","",MAX($N$216:$N$218))</f>
        <v/>
      </c>
      <c r="L216" s="50">
        <f>IF(SUM(U216:AY216)=0,"",SUM(U216:AY216))</f>
        <v/>
      </c>
      <c r="M216" s="51">
        <f>IFERROR(INDEX(U$2:AY$2,MATCH(TRUE,INDEX(U216:AY216&lt;&gt;"",0),0)),"")</f>
        <v/>
      </c>
      <c r="N216" s="51">
        <f>IFERROR(LOOKUP(2,1/(U216:AY216&lt;&gt;""),U$2:AY$2),"")</f>
        <v/>
      </c>
      <c r="O216" s="52" t="n"/>
      <c r="P216" s="52" t="n"/>
      <c r="Q216" s="52" t="n"/>
      <c r="R216" s="44" t="n"/>
      <c r="S216" s="14" t="n"/>
      <c r="U216" s="53" t="n"/>
      <c r="V216" s="53" t="n"/>
      <c r="W216" s="53" t="n"/>
      <c r="X216" s="53" t="n"/>
      <c r="Y216" s="53" t="n"/>
      <c r="Z216" s="53" t="n"/>
      <c r="AA216" s="53" t="n"/>
      <c r="AB216" s="53" t="n"/>
      <c r="AC216" s="53" t="n"/>
      <c r="AD216" s="53" t="n"/>
      <c r="AE216" s="53" t="n"/>
      <c r="AF216" s="53" t="n"/>
      <c r="AG216" s="53" t="n"/>
      <c r="AH216" s="53" t="n"/>
      <c r="AI216" s="53" t="n"/>
      <c r="AJ216" s="53" t="n"/>
      <c r="AK216" s="53" t="n"/>
      <c r="AL216" s="53" t="n"/>
      <c r="AM216" s="53" t="n"/>
      <c r="AN216" s="53" t="n"/>
      <c r="AO216" s="53" t="n"/>
      <c r="AP216" s="53" t="n"/>
      <c r="AQ216" s="53" t="n"/>
      <c r="AR216" s="53" t="n"/>
      <c r="AS216" s="53" t="n"/>
      <c r="AT216" s="53" t="n"/>
      <c r="AU216" s="53" t="n"/>
      <c r="AV216" s="53" t="n"/>
      <c r="AW216" s="53" t="n"/>
      <c r="AX216" s="53" t="n"/>
      <c r="AY216" s="53" t="n"/>
    </row>
    <row r="217" ht="15" customHeight="1">
      <c r="A217" s="54" t="n"/>
      <c r="B217" s="55">
        <f>IF($B$216="","",$B$216)</f>
        <v/>
      </c>
      <c r="C217" s="56" t="inlineStr">
        <is>
          <t>마케팅4팀</t>
        </is>
      </c>
      <c r="D217" s="55">
        <f>IF($D$216="","",$D$216)</f>
        <v/>
      </c>
      <c r="E217" s="57" t="inlineStr">
        <is>
          <t>이미지</t>
        </is>
      </c>
      <c r="F217" s="44" t="n"/>
      <c r="G217" s="58">
        <f>IF($G$216="","",$G$216)</f>
        <v/>
      </c>
      <c r="H217" s="59" t="n"/>
      <c r="I217" s="59" t="n"/>
      <c r="J217" s="59" t="n"/>
      <c r="K217" s="59" t="n"/>
      <c r="L217" s="60">
        <f>IF(SUM(U217:AY217)=0,"",SUM(U217:AY217))</f>
        <v/>
      </c>
      <c r="M217" s="61">
        <f>IFERROR(INDEX(U$2:AY$2,MATCH(TRUE,INDEX(U217:AY217&lt;&gt;"",0),0)),"")</f>
        <v/>
      </c>
      <c r="N217" s="61">
        <f>IFERROR(LOOKUP(2,1/(U217:AY217&lt;&gt;""),U$2:AY$2),"")</f>
        <v/>
      </c>
      <c r="O217" s="59" t="n"/>
      <c r="P217" s="59" t="n"/>
      <c r="Q217" s="59" t="n"/>
      <c r="R217" s="59" t="n"/>
      <c r="S217" s="14" t="n"/>
      <c r="U217" s="53" t="n"/>
      <c r="V217" s="53" t="n"/>
      <c r="W217" s="53" t="n"/>
      <c r="X217" s="53" t="n"/>
      <c r="Y217" s="53" t="n"/>
      <c r="Z217" s="53" t="n"/>
      <c r="AA217" s="53" t="n"/>
      <c r="AB217" s="53" t="n"/>
      <c r="AC217" s="53" t="n"/>
      <c r="AD217" s="53" t="n"/>
      <c r="AE217" s="53" t="n"/>
      <c r="AF217" s="53" t="n"/>
      <c r="AG217" s="53" t="n"/>
      <c r="AH217" s="53" t="n"/>
      <c r="AI217" s="53" t="n"/>
      <c r="AJ217" s="53" t="n"/>
      <c r="AK217" s="53" t="n"/>
      <c r="AL217" s="53" t="n"/>
      <c r="AM217" s="53" t="n"/>
      <c r="AN217" s="53" t="n"/>
      <c r="AO217" s="53" t="n"/>
      <c r="AP217" s="53" t="n"/>
      <c r="AQ217" s="53" t="n"/>
      <c r="AR217" s="53" t="n"/>
      <c r="AS217" s="53" t="n"/>
      <c r="AT217" s="53" t="n"/>
      <c r="AU217" s="53" t="n"/>
      <c r="AV217" s="53" t="n"/>
      <c r="AW217" s="53" t="n"/>
      <c r="AX217" s="53" t="n"/>
      <c r="AY217" s="53" t="n"/>
    </row>
    <row r="218" ht="15" customHeight="1">
      <c r="A218" s="62" t="n"/>
      <c r="B218" s="55">
        <f>IF($B$216="","",$B$216)</f>
        <v/>
      </c>
      <c r="C218" s="63" t="inlineStr">
        <is>
          <t>마케팅4팀</t>
        </is>
      </c>
      <c r="D218" s="55">
        <f>IF($D$216="","",$D$216)</f>
        <v/>
      </c>
      <c r="E218" s="64" t="inlineStr">
        <is>
          <t>영상</t>
        </is>
      </c>
      <c r="F218" s="44" t="n"/>
      <c r="G218" s="58">
        <f>IF($G$216="","",$G$216)</f>
        <v/>
      </c>
      <c r="H218" s="59" t="n"/>
      <c r="I218" s="59" t="n"/>
      <c r="J218" s="59" t="n"/>
      <c r="K218" s="59" t="n"/>
      <c r="L218" s="65">
        <f>IF(SUM(U218:AY218)=0,"",SUM(U218:AY218))</f>
        <v/>
      </c>
      <c r="M218" s="66">
        <f>IFERROR(INDEX(U$2:AY$2,MATCH(TRUE,INDEX(U218:AY218&lt;&gt;"",0),0)),"")</f>
        <v/>
      </c>
      <c r="N218" s="66">
        <f>IFERROR(LOOKUP(2,1/(U218:AY218&lt;&gt;""),U$2:AY$2),"")</f>
        <v/>
      </c>
      <c r="O218" s="59" t="n"/>
      <c r="P218" s="59" t="n"/>
      <c r="Q218" s="59" t="n"/>
      <c r="R218" s="59" t="n"/>
      <c r="S218" s="14" t="n"/>
      <c r="U218" s="53" t="n"/>
      <c r="V218" s="53" t="n"/>
      <c r="W218" s="53" t="n"/>
      <c r="X218" s="53" t="n"/>
      <c r="Y218" s="53" t="n"/>
      <c r="Z218" s="53" t="n"/>
      <c r="AA218" s="53" t="n"/>
      <c r="AB218" s="53" t="n"/>
      <c r="AC218" s="53" t="n"/>
      <c r="AD218" s="53" t="n"/>
      <c r="AE218" s="53" t="n"/>
      <c r="AF218" s="53" t="n"/>
      <c r="AG218" s="53" t="n"/>
      <c r="AH218" s="53" t="n"/>
      <c r="AI218" s="53" t="n"/>
      <c r="AJ218" s="53" t="n"/>
      <c r="AK218" s="53" t="n"/>
      <c r="AL218" s="53" t="n"/>
      <c r="AM218" s="53" t="n"/>
      <c r="AN218" s="53" t="n"/>
      <c r="AO218" s="53" t="n"/>
      <c r="AP218" s="53" t="n"/>
      <c r="AQ218" s="53" t="n"/>
      <c r="AR218" s="53" t="n"/>
      <c r="AS218" s="53" t="n"/>
      <c r="AT218" s="53" t="n"/>
      <c r="AU218" s="53" t="n"/>
      <c r="AV218" s="53" t="n"/>
      <c r="AW218" s="53" t="n"/>
      <c r="AX218" s="53" t="n"/>
      <c r="AY218" s="53" t="n"/>
    </row>
    <row r="219" ht="15" customHeight="1">
      <c r="A219" s="40">
        <f>IF($D$219="","",70)</f>
        <v/>
      </c>
      <c r="B219" s="10" t="n"/>
      <c r="C219" s="41" t="inlineStr">
        <is>
          <t>마케팅4팀</t>
        </is>
      </c>
      <c r="D219" s="42" t="n"/>
      <c r="E219" s="43" t="inlineStr">
        <is>
          <t>기획</t>
        </is>
      </c>
      <c r="F219" s="44" t="n"/>
      <c r="G219" s="45" t="n"/>
      <c r="H219" s="46">
        <f>IF($I$219="","",IF($I$219&lt;0,"🔴지연",IF($I$219&lt;=1,"🟡임박","🟢여유")))</f>
        <v/>
      </c>
      <c r="I219" s="47">
        <f>IF(OR($G$219="",$K$219=""),"",$G$219-$K$219)</f>
        <v/>
      </c>
      <c r="J219" s="48">
        <f>IF(SUM($L$219:$L$221)=0,"",SUM($L$219:$L$221))</f>
        <v/>
      </c>
      <c r="K219" s="49">
        <f>IF($J$219="","",MAX($N$219:$N$221))</f>
        <v/>
      </c>
      <c r="L219" s="50">
        <f>IF(SUM(U219:AY219)=0,"",SUM(U219:AY219))</f>
        <v/>
      </c>
      <c r="M219" s="51">
        <f>IFERROR(INDEX(U$2:AY$2,MATCH(TRUE,INDEX(U219:AY219&lt;&gt;"",0),0)),"")</f>
        <v/>
      </c>
      <c r="N219" s="51">
        <f>IFERROR(LOOKUP(2,1/(U219:AY219&lt;&gt;""),U$2:AY$2),"")</f>
        <v/>
      </c>
      <c r="O219" s="52" t="n"/>
      <c r="P219" s="52" t="n"/>
      <c r="Q219" s="52" t="n"/>
      <c r="R219" s="44" t="n"/>
      <c r="S219" s="14" t="n"/>
      <c r="U219" s="53" t="n"/>
      <c r="V219" s="53" t="n"/>
      <c r="W219" s="53" t="n"/>
      <c r="X219" s="53" t="n"/>
      <c r="Y219" s="53" t="n"/>
      <c r="Z219" s="53" t="n"/>
      <c r="AA219" s="53" t="n"/>
      <c r="AB219" s="53" t="n"/>
      <c r="AC219" s="53" t="n"/>
      <c r="AD219" s="53" t="n"/>
      <c r="AE219" s="53" t="n"/>
      <c r="AF219" s="53" t="n"/>
      <c r="AG219" s="53" t="n"/>
      <c r="AH219" s="53" t="n"/>
      <c r="AI219" s="53" t="n"/>
      <c r="AJ219" s="53" t="n"/>
      <c r="AK219" s="53" t="n"/>
      <c r="AL219" s="53" t="n"/>
      <c r="AM219" s="53" t="n"/>
      <c r="AN219" s="53" t="n"/>
      <c r="AO219" s="53" t="n"/>
      <c r="AP219" s="53" t="n"/>
      <c r="AQ219" s="53" t="n"/>
      <c r="AR219" s="53" t="n"/>
      <c r="AS219" s="53" t="n"/>
      <c r="AT219" s="53" t="n"/>
      <c r="AU219" s="53" t="n"/>
      <c r="AV219" s="53" t="n"/>
      <c r="AW219" s="53" t="n"/>
      <c r="AX219" s="53" t="n"/>
      <c r="AY219" s="53" t="n"/>
    </row>
    <row r="220" ht="15" customHeight="1">
      <c r="A220" s="54" t="n"/>
      <c r="B220" s="55">
        <f>IF($B$219="","",$B$219)</f>
        <v/>
      </c>
      <c r="C220" s="56" t="inlineStr">
        <is>
          <t>마케팅4팀</t>
        </is>
      </c>
      <c r="D220" s="55">
        <f>IF($D$219="","",$D$219)</f>
        <v/>
      </c>
      <c r="E220" s="57" t="inlineStr">
        <is>
          <t>이미지</t>
        </is>
      </c>
      <c r="F220" s="44" t="n"/>
      <c r="G220" s="58">
        <f>IF($G$219="","",$G$219)</f>
        <v/>
      </c>
      <c r="H220" s="59" t="n"/>
      <c r="I220" s="59" t="n"/>
      <c r="J220" s="59" t="n"/>
      <c r="K220" s="59" t="n"/>
      <c r="L220" s="60">
        <f>IF(SUM(U220:AY220)=0,"",SUM(U220:AY220))</f>
        <v/>
      </c>
      <c r="M220" s="61">
        <f>IFERROR(INDEX(U$2:AY$2,MATCH(TRUE,INDEX(U220:AY220&lt;&gt;"",0),0)),"")</f>
        <v/>
      </c>
      <c r="N220" s="61">
        <f>IFERROR(LOOKUP(2,1/(U220:AY220&lt;&gt;""),U$2:AY$2),"")</f>
        <v/>
      </c>
      <c r="O220" s="59" t="n"/>
      <c r="P220" s="59" t="n"/>
      <c r="Q220" s="59" t="n"/>
      <c r="R220" s="59" t="n"/>
      <c r="S220" s="14" t="n"/>
      <c r="U220" s="53" t="n"/>
      <c r="V220" s="53" t="n"/>
      <c r="W220" s="53" t="n"/>
      <c r="X220" s="53" t="n"/>
      <c r="Y220" s="53" t="n"/>
      <c r="Z220" s="53" t="n"/>
      <c r="AA220" s="53" t="n"/>
      <c r="AB220" s="53" t="n"/>
      <c r="AC220" s="53" t="n"/>
      <c r="AD220" s="53" t="n"/>
      <c r="AE220" s="53" t="n"/>
      <c r="AF220" s="53" t="n"/>
      <c r="AG220" s="53" t="n"/>
      <c r="AH220" s="53" t="n"/>
      <c r="AI220" s="53" t="n"/>
      <c r="AJ220" s="53" t="n"/>
      <c r="AK220" s="53" t="n"/>
      <c r="AL220" s="53" t="n"/>
      <c r="AM220" s="53" t="n"/>
      <c r="AN220" s="53" t="n"/>
      <c r="AO220" s="53" t="n"/>
      <c r="AP220" s="53" t="n"/>
      <c r="AQ220" s="53" t="n"/>
      <c r="AR220" s="53" t="n"/>
      <c r="AS220" s="53" t="n"/>
      <c r="AT220" s="53" t="n"/>
      <c r="AU220" s="53" t="n"/>
      <c r="AV220" s="53" t="n"/>
      <c r="AW220" s="53" t="n"/>
      <c r="AX220" s="53" t="n"/>
      <c r="AY220" s="53" t="n"/>
    </row>
    <row r="221" ht="15" customHeight="1">
      <c r="A221" s="62" t="n"/>
      <c r="B221" s="55">
        <f>IF($B$219="","",$B$219)</f>
        <v/>
      </c>
      <c r="C221" s="63" t="inlineStr">
        <is>
          <t>마케팅4팀</t>
        </is>
      </c>
      <c r="D221" s="55">
        <f>IF($D$219="","",$D$219)</f>
        <v/>
      </c>
      <c r="E221" s="64" t="inlineStr">
        <is>
          <t>영상</t>
        </is>
      </c>
      <c r="F221" s="44" t="n"/>
      <c r="G221" s="58">
        <f>IF($G$219="","",$G$219)</f>
        <v/>
      </c>
      <c r="H221" s="59" t="n"/>
      <c r="I221" s="59" t="n"/>
      <c r="J221" s="59" t="n"/>
      <c r="K221" s="59" t="n"/>
      <c r="L221" s="65">
        <f>IF(SUM(U221:AY221)=0,"",SUM(U221:AY221))</f>
        <v/>
      </c>
      <c r="M221" s="66">
        <f>IFERROR(INDEX(U$2:AY$2,MATCH(TRUE,INDEX(U221:AY221&lt;&gt;"",0),0)),"")</f>
        <v/>
      </c>
      <c r="N221" s="66">
        <f>IFERROR(LOOKUP(2,1/(U221:AY221&lt;&gt;""),U$2:AY$2),"")</f>
        <v/>
      </c>
      <c r="O221" s="59" t="n"/>
      <c r="P221" s="59" t="n"/>
      <c r="Q221" s="59" t="n"/>
      <c r="R221" s="59" t="n"/>
      <c r="S221" s="14" t="n"/>
      <c r="U221" s="53" t="n"/>
      <c r="V221" s="53" t="n"/>
      <c r="W221" s="53" t="n"/>
      <c r="X221" s="53" t="n"/>
      <c r="Y221" s="53" t="n"/>
      <c r="Z221" s="53" t="n"/>
      <c r="AA221" s="53" t="n"/>
      <c r="AB221" s="53" t="n"/>
      <c r="AC221" s="53" t="n"/>
      <c r="AD221" s="53" t="n"/>
      <c r="AE221" s="53" t="n"/>
      <c r="AF221" s="53" t="n"/>
      <c r="AG221" s="53" t="n"/>
      <c r="AH221" s="53" t="n"/>
      <c r="AI221" s="53" t="n"/>
      <c r="AJ221" s="53" t="n"/>
      <c r="AK221" s="53" t="n"/>
      <c r="AL221" s="53" t="n"/>
      <c r="AM221" s="53" t="n"/>
      <c r="AN221" s="53" t="n"/>
      <c r="AO221" s="53" t="n"/>
      <c r="AP221" s="53" t="n"/>
      <c r="AQ221" s="53" t="n"/>
      <c r="AR221" s="53" t="n"/>
      <c r="AS221" s="53" t="n"/>
      <c r="AT221" s="53" t="n"/>
      <c r="AU221" s="53" t="n"/>
      <c r="AV221" s="53" t="n"/>
      <c r="AW221" s="53" t="n"/>
      <c r="AX221" s="53" t="n"/>
      <c r="AY221" s="53" t="n"/>
    </row>
    <row r="222" ht="15" customHeight="1">
      <c r="A222" s="40">
        <f>IF($D$222="","",71)</f>
        <v/>
      </c>
      <c r="B222" s="10" t="n"/>
      <c r="C222" s="41" t="inlineStr">
        <is>
          <t>마케팅4팀</t>
        </is>
      </c>
      <c r="D222" s="42" t="n"/>
      <c r="E222" s="43" t="inlineStr">
        <is>
          <t>기획</t>
        </is>
      </c>
      <c r="F222" s="44" t="n"/>
      <c r="G222" s="45" t="n"/>
      <c r="H222" s="46">
        <f>IF($I$222="","",IF($I$222&lt;0,"🔴지연",IF($I$222&lt;=1,"🟡임박","🟢여유")))</f>
        <v/>
      </c>
      <c r="I222" s="47">
        <f>IF(OR($G$222="",$K$222=""),"",$G$222-$K$222)</f>
        <v/>
      </c>
      <c r="J222" s="48">
        <f>IF(SUM($L$222:$L$224)=0,"",SUM($L$222:$L$224))</f>
        <v/>
      </c>
      <c r="K222" s="49">
        <f>IF($J$222="","",MAX($N$222:$N$224))</f>
        <v/>
      </c>
      <c r="L222" s="50">
        <f>IF(SUM(U222:AY222)=0,"",SUM(U222:AY222))</f>
        <v/>
      </c>
      <c r="M222" s="51">
        <f>IFERROR(INDEX(U$2:AY$2,MATCH(TRUE,INDEX(U222:AY222&lt;&gt;"",0),0)),"")</f>
        <v/>
      </c>
      <c r="N222" s="51">
        <f>IFERROR(LOOKUP(2,1/(U222:AY222&lt;&gt;""),U$2:AY$2),"")</f>
        <v/>
      </c>
      <c r="O222" s="52" t="n"/>
      <c r="P222" s="52" t="n"/>
      <c r="Q222" s="52" t="n"/>
      <c r="R222" s="44" t="n"/>
      <c r="S222" s="14" t="n"/>
      <c r="U222" s="53" t="n"/>
      <c r="V222" s="53" t="n"/>
      <c r="W222" s="53" t="n"/>
      <c r="X222" s="53" t="n"/>
      <c r="Y222" s="53" t="n"/>
      <c r="Z222" s="53" t="n"/>
      <c r="AA222" s="53" t="n"/>
      <c r="AB222" s="53" t="n"/>
      <c r="AC222" s="53" t="n"/>
      <c r="AD222" s="53" t="n"/>
      <c r="AE222" s="53" t="n"/>
      <c r="AF222" s="53" t="n"/>
      <c r="AG222" s="53" t="n"/>
      <c r="AH222" s="53" t="n"/>
      <c r="AI222" s="53" t="n"/>
      <c r="AJ222" s="53" t="n"/>
      <c r="AK222" s="53" t="n"/>
      <c r="AL222" s="53" t="n"/>
      <c r="AM222" s="53" t="n"/>
      <c r="AN222" s="53" t="n"/>
      <c r="AO222" s="53" t="n"/>
      <c r="AP222" s="53" t="n"/>
      <c r="AQ222" s="53" t="n"/>
      <c r="AR222" s="53" t="n"/>
      <c r="AS222" s="53" t="n"/>
      <c r="AT222" s="53" t="n"/>
      <c r="AU222" s="53" t="n"/>
      <c r="AV222" s="53" t="n"/>
      <c r="AW222" s="53" t="n"/>
      <c r="AX222" s="53" t="n"/>
      <c r="AY222" s="53" t="n"/>
    </row>
    <row r="223" ht="15" customHeight="1">
      <c r="A223" s="54" t="n"/>
      <c r="B223" s="55">
        <f>IF($B$222="","",$B$222)</f>
        <v/>
      </c>
      <c r="C223" s="56" t="inlineStr">
        <is>
          <t>마케팅4팀</t>
        </is>
      </c>
      <c r="D223" s="55">
        <f>IF($D$222="","",$D$222)</f>
        <v/>
      </c>
      <c r="E223" s="57" t="inlineStr">
        <is>
          <t>이미지</t>
        </is>
      </c>
      <c r="F223" s="44" t="n"/>
      <c r="G223" s="58">
        <f>IF($G$222="","",$G$222)</f>
        <v/>
      </c>
      <c r="H223" s="59" t="n"/>
      <c r="I223" s="59" t="n"/>
      <c r="J223" s="59" t="n"/>
      <c r="K223" s="59" t="n"/>
      <c r="L223" s="60">
        <f>IF(SUM(U223:AY223)=0,"",SUM(U223:AY223))</f>
        <v/>
      </c>
      <c r="M223" s="61">
        <f>IFERROR(INDEX(U$2:AY$2,MATCH(TRUE,INDEX(U223:AY223&lt;&gt;"",0),0)),"")</f>
        <v/>
      </c>
      <c r="N223" s="61">
        <f>IFERROR(LOOKUP(2,1/(U223:AY223&lt;&gt;""),U$2:AY$2),"")</f>
        <v/>
      </c>
      <c r="O223" s="59" t="n"/>
      <c r="P223" s="59" t="n"/>
      <c r="Q223" s="59" t="n"/>
      <c r="R223" s="59" t="n"/>
      <c r="S223" s="14" t="n"/>
      <c r="U223" s="53" t="n"/>
      <c r="V223" s="53" t="n"/>
      <c r="W223" s="53" t="n"/>
      <c r="X223" s="53" t="n"/>
      <c r="Y223" s="53" t="n"/>
      <c r="Z223" s="53" t="n"/>
      <c r="AA223" s="53" t="n"/>
      <c r="AB223" s="53" t="n"/>
      <c r="AC223" s="53" t="n"/>
      <c r="AD223" s="53" t="n"/>
      <c r="AE223" s="53" t="n"/>
      <c r="AF223" s="53" t="n"/>
      <c r="AG223" s="53" t="n"/>
      <c r="AH223" s="53" t="n"/>
      <c r="AI223" s="53" t="n"/>
      <c r="AJ223" s="53" t="n"/>
      <c r="AK223" s="53" t="n"/>
      <c r="AL223" s="53" t="n"/>
      <c r="AM223" s="53" t="n"/>
      <c r="AN223" s="53" t="n"/>
      <c r="AO223" s="53" t="n"/>
      <c r="AP223" s="53" t="n"/>
      <c r="AQ223" s="53" t="n"/>
      <c r="AR223" s="53" t="n"/>
      <c r="AS223" s="53" t="n"/>
      <c r="AT223" s="53" t="n"/>
      <c r="AU223" s="53" t="n"/>
      <c r="AV223" s="53" t="n"/>
      <c r="AW223" s="53" t="n"/>
      <c r="AX223" s="53" t="n"/>
      <c r="AY223" s="53" t="n"/>
    </row>
    <row r="224" ht="15" customHeight="1">
      <c r="A224" s="62" t="n"/>
      <c r="B224" s="55">
        <f>IF($B$222="","",$B$222)</f>
        <v/>
      </c>
      <c r="C224" s="63" t="inlineStr">
        <is>
          <t>마케팅4팀</t>
        </is>
      </c>
      <c r="D224" s="55">
        <f>IF($D$222="","",$D$222)</f>
        <v/>
      </c>
      <c r="E224" s="64" t="inlineStr">
        <is>
          <t>영상</t>
        </is>
      </c>
      <c r="F224" s="44" t="n"/>
      <c r="G224" s="58">
        <f>IF($G$222="","",$G$222)</f>
        <v/>
      </c>
      <c r="H224" s="59" t="n"/>
      <c r="I224" s="59" t="n"/>
      <c r="J224" s="59" t="n"/>
      <c r="K224" s="59" t="n"/>
      <c r="L224" s="65">
        <f>IF(SUM(U224:AY224)=0,"",SUM(U224:AY224))</f>
        <v/>
      </c>
      <c r="M224" s="66">
        <f>IFERROR(INDEX(U$2:AY$2,MATCH(TRUE,INDEX(U224:AY224&lt;&gt;"",0),0)),"")</f>
        <v/>
      </c>
      <c r="N224" s="66">
        <f>IFERROR(LOOKUP(2,1/(U224:AY224&lt;&gt;""),U$2:AY$2),"")</f>
        <v/>
      </c>
      <c r="O224" s="59" t="n"/>
      <c r="P224" s="59" t="n"/>
      <c r="Q224" s="59" t="n"/>
      <c r="R224" s="59" t="n"/>
      <c r="S224" s="14" t="n"/>
      <c r="U224" s="53" t="n"/>
      <c r="V224" s="53" t="n"/>
      <c r="W224" s="53" t="n"/>
      <c r="X224" s="53" t="n"/>
      <c r="Y224" s="53" t="n"/>
      <c r="Z224" s="53" t="n"/>
      <c r="AA224" s="53" t="n"/>
      <c r="AB224" s="53" t="n"/>
      <c r="AC224" s="53" t="n"/>
      <c r="AD224" s="53" t="n"/>
      <c r="AE224" s="53" t="n"/>
      <c r="AF224" s="53" t="n"/>
      <c r="AG224" s="53" t="n"/>
      <c r="AH224" s="53" t="n"/>
      <c r="AI224" s="53" t="n"/>
      <c r="AJ224" s="53" t="n"/>
      <c r="AK224" s="53" t="n"/>
      <c r="AL224" s="53" t="n"/>
      <c r="AM224" s="53" t="n"/>
      <c r="AN224" s="53" t="n"/>
      <c r="AO224" s="53" t="n"/>
      <c r="AP224" s="53" t="n"/>
      <c r="AQ224" s="53" t="n"/>
      <c r="AR224" s="53" t="n"/>
      <c r="AS224" s="53" t="n"/>
      <c r="AT224" s="53" t="n"/>
      <c r="AU224" s="53" t="n"/>
      <c r="AV224" s="53" t="n"/>
      <c r="AW224" s="53" t="n"/>
      <c r="AX224" s="53" t="n"/>
      <c r="AY224" s="53" t="n"/>
    </row>
    <row r="225" ht="15" customHeight="1">
      <c r="A225" s="40">
        <f>IF($D$225="","",72)</f>
        <v/>
      </c>
      <c r="B225" s="10" t="n"/>
      <c r="C225" s="41" t="inlineStr">
        <is>
          <t>마케팅4팀</t>
        </is>
      </c>
      <c r="D225" s="42" t="n"/>
      <c r="E225" s="43" t="inlineStr">
        <is>
          <t>기획</t>
        </is>
      </c>
      <c r="F225" s="44" t="n"/>
      <c r="G225" s="45" t="n"/>
      <c r="H225" s="46">
        <f>IF($I$225="","",IF($I$225&lt;0,"🔴지연",IF($I$225&lt;=1,"🟡임박","🟢여유")))</f>
        <v/>
      </c>
      <c r="I225" s="47">
        <f>IF(OR($G$225="",$K$225=""),"",$G$225-$K$225)</f>
        <v/>
      </c>
      <c r="J225" s="48">
        <f>IF(SUM($L$225:$L$227)=0,"",SUM($L$225:$L$227))</f>
        <v/>
      </c>
      <c r="K225" s="49">
        <f>IF($J$225="","",MAX($N$225:$N$227))</f>
        <v/>
      </c>
      <c r="L225" s="50">
        <f>IF(SUM(U225:AY225)=0,"",SUM(U225:AY225))</f>
        <v/>
      </c>
      <c r="M225" s="51">
        <f>IFERROR(INDEX(U$2:AY$2,MATCH(TRUE,INDEX(U225:AY225&lt;&gt;"",0),0)),"")</f>
        <v/>
      </c>
      <c r="N225" s="51">
        <f>IFERROR(LOOKUP(2,1/(U225:AY225&lt;&gt;""),U$2:AY$2),"")</f>
        <v/>
      </c>
      <c r="O225" s="52" t="n"/>
      <c r="P225" s="52" t="n"/>
      <c r="Q225" s="52" t="n"/>
      <c r="R225" s="44" t="n"/>
      <c r="S225" s="14" t="n"/>
      <c r="U225" s="53" t="n"/>
      <c r="V225" s="53" t="n"/>
      <c r="W225" s="53" t="n"/>
      <c r="X225" s="53" t="n"/>
      <c r="Y225" s="53" t="n"/>
      <c r="Z225" s="53" t="n"/>
      <c r="AA225" s="53" t="n"/>
      <c r="AB225" s="53" t="n"/>
      <c r="AC225" s="53" t="n"/>
      <c r="AD225" s="53" t="n"/>
      <c r="AE225" s="53" t="n"/>
      <c r="AF225" s="53" t="n"/>
      <c r="AG225" s="53" t="n"/>
      <c r="AH225" s="53" t="n"/>
      <c r="AI225" s="53" t="n"/>
      <c r="AJ225" s="53" t="n"/>
      <c r="AK225" s="53" t="n"/>
      <c r="AL225" s="53" t="n"/>
      <c r="AM225" s="53" t="n"/>
      <c r="AN225" s="53" t="n"/>
      <c r="AO225" s="53" t="n"/>
      <c r="AP225" s="53" t="n"/>
      <c r="AQ225" s="53" t="n"/>
      <c r="AR225" s="53" t="n"/>
      <c r="AS225" s="53" t="n"/>
      <c r="AT225" s="53" t="n"/>
      <c r="AU225" s="53" t="n"/>
      <c r="AV225" s="53" t="n"/>
      <c r="AW225" s="53" t="n"/>
      <c r="AX225" s="53" t="n"/>
      <c r="AY225" s="53" t="n"/>
    </row>
    <row r="226" ht="15" customHeight="1">
      <c r="A226" s="54" t="n"/>
      <c r="B226" s="55">
        <f>IF($B$225="","",$B$225)</f>
        <v/>
      </c>
      <c r="C226" s="56" t="inlineStr">
        <is>
          <t>마케팅4팀</t>
        </is>
      </c>
      <c r="D226" s="55">
        <f>IF($D$225="","",$D$225)</f>
        <v/>
      </c>
      <c r="E226" s="57" t="inlineStr">
        <is>
          <t>이미지</t>
        </is>
      </c>
      <c r="F226" s="44" t="n"/>
      <c r="G226" s="58">
        <f>IF($G$225="","",$G$225)</f>
        <v/>
      </c>
      <c r="H226" s="59" t="n"/>
      <c r="I226" s="59" t="n"/>
      <c r="J226" s="59" t="n"/>
      <c r="K226" s="59" t="n"/>
      <c r="L226" s="60">
        <f>IF(SUM(U226:AY226)=0,"",SUM(U226:AY226))</f>
        <v/>
      </c>
      <c r="M226" s="61">
        <f>IFERROR(INDEX(U$2:AY$2,MATCH(TRUE,INDEX(U226:AY226&lt;&gt;"",0),0)),"")</f>
        <v/>
      </c>
      <c r="N226" s="61">
        <f>IFERROR(LOOKUP(2,1/(U226:AY226&lt;&gt;""),U$2:AY$2),"")</f>
        <v/>
      </c>
      <c r="O226" s="59" t="n"/>
      <c r="P226" s="59" t="n"/>
      <c r="Q226" s="59" t="n"/>
      <c r="R226" s="59" t="n"/>
      <c r="S226" s="14" t="n"/>
      <c r="U226" s="53" t="n"/>
      <c r="V226" s="53" t="n"/>
      <c r="W226" s="53" t="n"/>
      <c r="X226" s="53" t="n"/>
      <c r="Y226" s="53" t="n"/>
      <c r="Z226" s="53" t="n"/>
      <c r="AA226" s="53" t="n"/>
      <c r="AB226" s="53" t="n"/>
      <c r="AC226" s="53" t="n"/>
      <c r="AD226" s="53" t="n"/>
      <c r="AE226" s="53" t="n"/>
      <c r="AF226" s="53" t="n"/>
      <c r="AG226" s="53" t="n"/>
      <c r="AH226" s="53" t="n"/>
      <c r="AI226" s="53" t="n"/>
      <c r="AJ226" s="53" t="n"/>
      <c r="AK226" s="53" t="n"/>
      <c r="AL226" s="53" t="n"/>
      <c r="AM226" s="53" t="n"/>
      <c r="AN226" s="53" t="n"/>
      <c r="AO226" s="53" t="n"/>
      <c r="AP226" s="53" t="n"/>
      <c r="AQ226" s="53" t="n"/>
      <c r="AR226" s="53" t="n"/>
      <c r="AS226" s="53" t="n"/>
      <c r="AT226" s="53" t="n"/>
      <c r="AU226" s="53" t="n"/>
      <c r="AV226" s="53" t="n"/>
      <c r="AW226" s="53" t="n"/>
      <c r="AX226" s="53" t="n"/>
      <c r="AY226" s="53" t="n"/>
    </row>
    <row r="227" ht="15" customHeight="1">
      <c r="A227" s="62" t="n"/>
      <c r="B227" s="55">
        <f>IF($B$225="","",$B$225)</f>
        <v/>
      </c>
      <c r="C227" s="63" t="inlineStr">
        <is>
          <t>마케팅4팀</t>
        </is>
      </c>
      <c r="D227" s="55">
        <f>IF($D$225="","",$D$225)</f>
        <v/>
      </c>
      <c r="E227" s="64" t="inlineStr">
        <is>
          <t>영상</t>
        </is>
      </c>
      <c r="F227" s="44" t="n"/>
      <c r="G227" s="58">
        <f>IF($G$225="","",$G$225)</f>
        <v/>
      </c>
      <c r="H227" s="59" t="n"/>
      <c r="I227" s="59" t="n"/>
      <c r="J227" s="59" t="n"/>
      <c r="K227" s="59" t="n"/>
      <c r="L227" s="65">
        <f>IF(SUM(U227:AY227)=0,"",SUM(U227:AY227))</f>
        <v/>
      </c>
      <c r="M227" s="66">
        <f>IFERROR(INDEX(U$2:AY$2,MATCH(TRUE,INDEX(U227:AY227&lt;&gt;"",0),0)),"")</f>
        <v/>
      </c>
      <c r="N227" s="66">
        <f>IFERROR(LOOKUP(2,1/(U227:AY227&lt;&gt;""),U$2:AY$2),"")</f>
        <v/>
      </c>
      <c r="O227" s="59" t="n"/>
      <c r="P227" s="59" t="n"/>
      <c r="Q227" s="59" t="n"/>
      <c r="R227" s="59" t="n"/>
      <c r="S227" s="14" t="n"/>
      <c r="U227" s="53" t="n"/>
      <c r="V227" s="53" t="n"/>
      <c r="W227" s="53" t="n"/>
      <c r="X227" s="53" t="n"/>
      <c r="Y227" s="53" t="n"/>
      <c r="Z227" s="53" t="n"/>
      <c r="AA227" s="53" t="n"/>
      <c r="AB227" s="53" t="n"/>
      <c r="AC227" s="53" t="n"/>
      <c r="AD227" s="53" t="n"/>
      <c r="AE227" s="53" t="n"/>
      <c r="AF227" s="53" t="n"/>
      <c r="AG227" s="53" t="n"/>
      <c r="AH227" s="53" t="n"/>
      <c r="AI227" s="53" t="n"/>
      <c r="AJ227" s="53" t="n"/>
      <c r="AK227" s="53" t="n"/>
      <c r="AL227" s="53" t="n"/>
      <c r="AM227" s="53" t="n"/>
      <c r="AN227" s="53" t="n"/>
      <c r="AO227" s="53" t="n"/>
      <c r="AP227" s="53" t="n"/>
      <c r="AQ227" s="53" t="n"/>
      <c r="AR227" s="53" t="n"/>
      <c r="AS227" s="53" t="n"/>
      <c r="AT227" s="53" t="n"/>
      <c r="AU227" s="53" t="n"/>
      <c r="AV227" s="53" t="n"/>
      <c r="AW227" s="53" t="n"/>
      <c r="AX227" s="53" t="n"/>
      <c r="AY227" s="53" t="n"/>
    </row>
    <row r="228" ht="15" customHeight="1">
      <c r="A228" s="40">
        <f>IF($D$228="","",73)</f>
        <v/>
      </c>
      <c r="B228" s="10" t="n"/>
      <c r="C228" s="41" t="inlineStr">
        <is>
          <t>마케팅4팀</t>
        </is>
      </c>
      <c r="D228" s="42" t="n"/>
      <c r="E228" s="43" t="inlineStr">
        <is>
          <t>기획</t>
        </is>
      </c>
      <c r="F228" s="44" t="n"/>
      <c r="G228" s="45" t="n"/>
      <c r="H228" s="46">
        <f>IF($I$228="","",IF($I$228&lt;0,"🔴지연",IF($I$228&lt;=1,"🟡임박","🟢여유")))</f>
        <v/>
      </c>
      <c r="I228" s="47">
        <f>IF(OR($G$228="",$K$228=""),"",$G$228-$K$228)</f>
        <v/>
      </c>
      <c r="J228" s="48">
        <f>IF(SUM($L$228:$L$230)=0,"",SUM($L$228:$L$230))</f>
        <v/>
      </c>
      <c r="K228" s="49">
        <f>IF($J$228="","",MAX($N$228:$N$230))</f>
        <v/>
      </c>
      <c r="L228" s="50">
        <f>IF(SUM(U228:AY228)=0,"",SUM(U228:AY228))</f>
        <v/>
      </c>
      <c r="M228" s="51">
        <f>IFERROR(INDEX(U$2:AY$2,MATCH(TRUE,INDEX(U228:AY228&lt;&gt;"",0),0)),"")</f>
        <v/>
      </c>
      <c r="N228" s="51">
        <f>IFERROR(LOOKUP(2,1/(U228:AY228&lt;&gt;""),U$2:AY$2),"")</f>
        <v/>
      </c>
      <c r="O228" s="52" t="n"/>
      <c r="P228" s="52" t="n"/>
      <c r="Q228" s="52" t="n"/>
      <c r="R228" s="44" t="n"/>
      <c r="S228" s="14" t="n"/>
      <c r="U228" s="53" t="n"/>
      <c r="V228" s="53" t="n"/>
      <c r="W228" s="53" t="n"/>
      <c r="X228" s="53" t="n"/>
      <c r="Y228" s="53" t="n"/>
      <c r="Z228" s="53" t="n"/>
      <c r="AA228" s="53" t="n"/>
      <c r="AB228" s="53" t="n"/>
      <c r="AC228" s="53" t="n"/>
      <c r="AD228" s="53" t="n"/>
      <c r="AE228" s="53" t="n"/>
      <c r="AF228" s="53" t="n"/>
      <c r="AG228" s="53" t="n"/>
      <c r="AH228" s="53" t="n"/>
      <c r="AI228" s="53" t="n"/>
      <c r="AJ228" s="53" t="n"/>
      <c r="AK228" s="53" t="n"/>
      <c r="AL228" s="53" t="n"/>
      <c r="AM228" s="53" t="n"/>
      <c r="AN228" s="53" t="n"/>
      <c r="AO228" s="53" t="n"/>
      <c r="AP228" s="53" t="n"/>
      <c r="AQ228" s="53" t="n"/>
      <c r="AR228" s="53" t="n"/>
      <c r="AS228" s="53" t="n"/>
      <c r="AT228" s="53" t="n"/>
      <c r="AU228" s="53" t="n"/>
      <c r="AV228" s="53" t="n"/>
      <c r="AW228" s="53" t="n"/>
      <c r="AX228" s="53" t="n"/>
      <c r="AY228" s="53" t="n"/>
    </row>
    <row r="229" ht="15" customHeight="1">
      <c r="A229" s="54" t="n"/>
      <c r="B229" s="55">
        <f>IF($B$228="","",$B$228)</f>
        <v/>
      </c>
      <c r="C229" s="56" t="inlineStr">
        <is>
          <t>마케팅4팀</t>
        </is>
      </c>
      <c r="D229" s="55">
        <f>IF($D$228="","",$D$228)</f>
        <v/>
      </c>
      <c r="E229" s="57" t="inlineStr">
        <is>
          <t>이미지</t>
        </is>
      </c>
      <c r="F229" s="44" t="n"/>
      <c r="G229" s="58">
        <f>IF($G$228="","",$G$228)</f>
        <v/>
      </c>
      <c r="H229" s="59" t="n"/>
      <c r="I229" s="59" t="n"/>
      <c r="J229" s="59" t="n"/>
      <c r="K229" s="59" t="n"/>
      <c r="L229" s="60">
        <f>IF(SUM(U229:AY229)=0,"",SUM(U229:AY229))</f>
        <v/>
      </c>
      <c r="M229" s="61">
        <f>IFERROR(INDEX(U$2:AY$2,MATCH(TRUE,INDEX(U229:AY229&lt;&gt;"",0),0)),"")</f>
        <v/>
      </c>
      <c r="N229" s="61">
        <f>IFERROR(LOOKUP(2,1/(U229:AY229&lt;&gt;""),U$2:AY$2),"")</f>
        <v/>
      </c>
      <c r="O229" s="59" t="n"/>
      <c r="P229" s="59" t="n"/>
      <c r="Q229" s="59" t="n"/>
      <c r="R229" s="59" t="n"/>
      <c r="S229" s="14" t="n"/>
      <c r="U229" s="53" t="n"/>
      <c r="V229" s="53" t="n"/>
      <c r="W229" s="53" t="n"/>
      <c r="X229" s="53" t="n"/>
      <c r="Y229" s="53" t="n"/>
      <c r="Z229" s="53" t="n"/>
      <c r="AA229" s="53" t="n"/>
      <c r="AB229" s="53" t="n"/>
      <c r="AC229" s="53" t="n"/>
      <c r="AD229" s="53" t="n"/>
      <c r="AE229" s="53" t="n"/>
      <c r="AF229" s="53" t="n"/>
      <c r="AG229" s="53" t="n"/>
      <c r="AH229" s="53" t="n"/>
      <c r="AI229" s="53" t="n"/>
      <c r="AJ229" s="53" t="n"/>
      <c r="AK229" s="53" t="n"/>
      <c r="AL229" s="53" t="n"/>
      <c r="AM229" s="53" t="n"/>
      <c r="AN229" s="53" t="n"/>
      <c r="AO229" s="53" t="n"/>
      <c r="AP229" s="53" t="n"/>
      <c r="AQ229" s="53" t="n"/>
      <c r="AR229" s="53" t="n"/>
      <c r="AS229" s="53" t="n"/>
      <c r="AT229" s="53" t="n"/>
      <c r="AU229" s="53" t="n"/>
      <c r="AV229" s="53" t="n"/>
      <c r="AW229" s="53" t="n"/>
      <c r="AX229" s="53" t="n"/>
      <c r="AY229" s="53" t="n"/>
    </row>
    <row r="230" ht="15" customHeight="1">
      <c r="A230" s="62" t="n"/>
      <c r="B230" s="55">
        <f>IF($B$228="","",$B$228)</f>
        <v/>
      </c>
      <c r="C230" s="63" t="inlineStr">
        <is>
          <t>마케팅4팀</t>
        </is>
      </c>
      <c r="D230" s="55">
        <f>IF($D$228="","",$D$228)</f>
        <v/>
      </c>
      <c r="E230" s="64" t="inlineStr">
        <is>
          <t>영상</t>
        </is>
      </c>
      <c r="F230" s="44" t="n"/>
      <c r="G230" s="58">
        <f>IF($G$228="","",$G$228)</f>
        <v/>
      </c>
      <c r="H230" s="59" t="n"/>
      <c r="I230" s="59" t="n"/>
      <c r="J230" s="59" t="n"/>
      <c r="K230" s="59" t="n"/>
      <c r="L230" s="65">
        <f>IF(SUM(U230:AY230)=0,"",SUM(U230:AY230))</f>
        <v/>
      </c>
      <c r="M230" s="66">
        <f>IFERROR(INDEX(U$2:AY$2,MATCH(TRUE,INDEX(U230:AY230&lt;&gt;"",0),0)),"")</f>
        <v/>
      </c>
      <c r="N230" s="66">
        <f>IFERROR(LOOKUP(2,1/(U230:AY230&lt;&gt;""),U$2:AY$2),"")</f>
        <v/>
      </c>
      <c r="O230" s="59" t="n"/>
      <c r="P230" s="59" t="n"/>
      <c r="Q230" s="59" t="n"/>
      <c r="R230" s="59" t="n"/>
      <c r="S230" s="14" t="n"/>
      <c r="U230" s="53" t="n"/>
      <c r="V230" s="53" t="n"/>
      <c r="W230" s="53" t="n"/>
      <c r="X230" s="53" t="n"/>
      <c r="Y230" s="53" t="n"/>
      <c r="Z230" s="53" t="n"/>
      <c r="AA230" s="53" t="n"/>
      <c r="AB230" s="53" t="n"/>
      <c r="AC230" s="53" t="n"/>
      <c r="AD230" s="53" t="n"/>
      <c r="AE230" s="53" t="n"/>
      <c r="AF230" s="53" t="n"/>
      <c r="AG230" s="53" t="n"/>
      <c r="AH230" s="53" t="n"/>
      <c r="AI230" s="53" t="n"/>
      <c r="AJ230" s="53" t="n"/>
      <c r="AK230" s="53" t="n"/>
      <c r="AL230" s="53" t="n"/>
      <c r="AM230" s="53" t="n"/>
      <c r="AN230" s="53" t="n"/>
      <c r="AO230" s="53" t="n"/>
      <c r="AP230" s="53" t="n"/>
      <c r="AQ230" s="53" t="n"/>
      <c r="AR230" s="53" t="n"/>
      <c r="AS230" s="53" t="n"/>
      <c r="AT230" s="53" t="n"/>
      <c r="AU230" s="53" t="n"/>
      <c r="AV230" s="53" t="n"/>
      <c r="AW230" s="53" t="n"/>
      <c r="AX230" s="53" t="n"/>
      <c r="AY230" s="53" t="n"/>
    </row>
    <row r="231" ht="15" customHeight="1">
      <c r="A231" s="40">
        <f>IF($D$231="","",74)</f>
        <v/>
      </c>
      <c r="B231" s="10" t="n"/>
      <c r="C231" s="41" t="inlineStr">
        <is>
          <t>마케팅4팀</t>
        </is>
      </c>
      <c r="D231" s="42" t="n"/>
      <c r="E231" s="43" t="inlineStr">
        <is>
          <t>기획</t>
        </is>
      </c>
      <c r="F231" s="44" t="n"/>
      <c r="G231" s="45" t="n"/>
      <c r="H231" s="46">
        <f>IF($I$231="","",IF($I$231&lt;0,"🔴지연",IF($I$231&lt;=1,"🟡임박","🟢여유")))</f>
        <v/>
      </c>
      <c r="I231" s="47">
        <f>IF(OR($G$231="",$K$231=""),"",$G$231-$K$231)</f>
        <v/>
      </c>
      <c r="J231" s="48">
        <f>IF(SUM($L$231:$L$233)=0,"",SUM($L$231:$L$233))</f>
        <v/>
      </c>
      <c r="K231" s="49">
        <f>IF($J$231="","",MAX($N$231:$N$233))</f>
        <v/>
      </c>
      <c r="L231" s="50">
        <f>IF(SUM(U231:AY231)=0,"",SUM(U231:AY231))</f>
        <v/>
      </c>
      <c r="M231" s="51">
        <f>IFERROR(INDEX(U$2:AY$2,MATCH(TRUE,INDEX(U231:AY231&lt;&gt;"",0),0)),"")</f>
        <v/>
      </c>
      <c r="N231" s="51">
        <f>IFERROR(LOOKUP(2,1/(U231:AY231&lt;&gt;""),U$2:AY$2),"")</f>
        <v/>
      </c>
      <c r="O231" s="52" t="n"/>
      <c r="P231" s="52" t="n"/>
      <c r="Q231" s="52" t="n"/>
      <c r="R231" s="44" t="n"/>
      <c r="S231" s="14" t="n"/>
      <c r="U231" s="53" t="n"/>
      <c r="V231" s="53" t="n"/>
      <c r="W231" s="53" t="n"/>
      <c r="X231" s="53" t="n"/>
      <c r="Y231" s="53" t="n"/>
      <c r="Z231" s="53" t="n"/>
      <c r="AA231" s="53" t="n"/>
      <c r="AB231" s="53" t="n"/>
      <c r="AC231" s="53" t="n"/>
      <c r="AD231" s="53" t="n"/>
      <c r="AE231" s="53" t="n"/>
      <c r="AF231" s="53" t="n"/>
      <c r="AG231" s="53" t="n"/>
      <c r="AH231" s="53" t="n"/>
      <c r="AI231" s="53" t="n"/>
      <c r="AJ231" s="53" t="n"/>
      <c r="AK231" s="53" t="n"/>
      <c r="AL231" s="53" t="n"/>
      <c r="AM231" s="53" t="n"/>
      <c r="AN231" s="53" t="n"/>
      <c r="AO231" s="53" t="n"/>
      <c r="AP231" s="53" t="n"/>
      <c r="AQ231" s="53" t="n"/>
      <c r="AR231" s="53" t="n"/>
      <c r="AS231" s="53" t="n"/>
      <c r="AT231" s="53" t="n"/>
      <c r="AU231" s="53" t="n"/>
      <c r="AV231" s="53" t="n"/>
      <c r="AW231" s="53" t="n"/>
      <c r="AX231" s="53" t="n"/>
      <c r="AY231" s="53" t="n"/>
    </row>
    <row r="232" ht="15" customHeight="1">
      <c r="A232" s="54" t="n"/>
      <c r="B232" s="55">
        <f>IF($B$231="","",$B$231)</f>
        <v/>
      </c>
      <c r="C232" s="56" t="inlineStr">
        <is>
          <t>마케팅4팀</t>
        </is>
      </c>
      <c r="D232" s="55">
        <f>IF($D$231="","",$D$231)</f>
        <v/>
      </c>
      <c r="E232" s="57" t="inlineStr">
        <is>
          <t>이미지</t>
        </is>
      </c>
      <c r="F232" s="44" t="n"/>
      <c r="G232" s="58">
        <f>IF($G$231="","",$G$231)</f>
        <v/>
      </c>
      <c r="H232" s="59" t="n"/>
      <c r="I232" s="59" t="n"/>
      <c r="J232" s="59" t="n"/>
      <c r="K232" s="59" t="n"/>
      <c r="L232" s="60">
        <f>IF(SUM(U232:AY232)=0,"",SUM(U232:AY232))</f>
        <v/>
      </c>
      <c r="M232" s="61">
        <f>IFERROR(INDEX(U$2:AY$2,MATCH(TRUE,INDEX(U232:AY232&lt;&gt;"",0),0)),"")</f>
        <v/>
      </c>
      <c r="N232" s="61">
        <f>IFERROR(LOOKUP(2,1/(U232:AY232&lt;&gt;""),U$2:AY$2),"")</f>
        <v/>
      </c>
      <c r="O232" s="59" t="n"/>
      <c r="P232" s="59" t="n"/>
      <c r="Q232" s="59" t="n"/>
      <c r="R232" s="59" t="n"/>
      <c r="S232" s="14" t="n"/>
      <c r="U232" s="53" t="n"/>
      <c r="V232" s="53" t="n"/>
      <c r="W232" s="53" t="n"/>
      <c r="X232" s="53" t="n"/>
      <c r="Y232" s="53" t="n"/>
      <c r="Z232" s="53" t="n"/>
      <c r="AA232" s="53" t="n"/>
      <c r="AB232" s="53" t="n"/>
      <c r="AC232" s="53" t="n"/>
      <c r="AD232" s="53" t="n"/>
      <c r="AE232" s="53" t="n"/>
      <c r="AF232" s="53" t="n"/>
      <c r="AG232" s="53" t="n"/>
      <c r="AH232" s="53" t="n"/>
      <c r="AI232" s="53" t="n"/>
      <c r="AJ232" s="53" t="n"/>
      <c r="AK232" s="53" t="n"/>
      <c r="AL232" s="53" t="n"/>
      <c r="AM232" s="53" t="n"/>
      <c r="AN232" s="53" t="n"/>
      <c r="AO232" s="53" t="n"/>
      <c r="AP232" s="53" t="n"/>
      <c r="AQ232" s="53" t="n"/>
      <c r="AR232" s="53" t="n"/>
      <c r="AS232" s="53" t="n"/>
      <c r="AT232" s="53" t="n"/>
      <c r="AU232" s="53" t="n"/>
      <c r="AV232" s="53" t="n"/>
      <c r="AW232" s="53" t="n"/>
      <c r="AX232" s="53" t="n"/>
      <c r="AY232" s="53" t="n"/>
    </row>
    <row r="233" ht="15" customHeight="1">
      <c r="A233" s="62" t="n"/>
      <c r="B233" s="55">
        <f>IF($B$231="","",$B$231)</f>
        <v/>
      </c>
      <c r="C233" s="63" t="inlineStr">
        <is>
          <t>마케팅4팀</t>
        </is>
      </c>
      <c r="D233" s="55">
        <f>IF($D$231="","",$D$231)</f>
        <v/>
      </c>
      <c r="E233" s="64" t="inlineStr">
        <is>
          <t>영상</t>
        </is>
      </c>
      <c r="F233" s="44" t="n"/>
      <c r="G233" s="58">
        <f>IF($G$231="","",$G$231)</f>
        <v/>
      </c>
      <c r="H233" s="59" t="n"/>
      <c r="I233" s="59" t="n"/>
      <c r="J233" s="59" t="n"/>
      <c r="K233" s="59" t="n"/>
      <c r="L233" s="65">
        <f>IF(SUM(U233:AY233)=0,"",SUM(U233:AY233))</f>
        <v/>
      </c>
      <c r="M233" s="66">
        <f>IFERROR(INDEX(U$2:AY$2,MATCH(TRUE,INDEX(U233:AY233&lt;&gt;"",0),0)),"")</f>
        <v/>
      </c>
      <c r="N233" s="66">
        <f>IFERROR(LOOKUP(2,1/(U233:AY233&lt;&gt;""),U$2:AY$2),"")</f>
        <v/>
      </c>
      <c r="O233" s="59" t="n"/>
      <c r="P233" s="59" t="n"/>
      <c r="Q233" s="59" t="n"/>
      <c r="R233" s="59" t="n"/>
      <c r="S233" s="14" t="n"/>
      <c r="U233" s="53" t="n"/>
      <c r="V233" s="53" t="n"/>
      <c r="W233" s="53" t="n"/>
      <c r="X233" s="53" t="n"/>
      <c r="Y233" s="53" t="n"/>
      <c r="Z233" s="53" t="n"/>
      <c r="AA233" s="53" t="n"/>
      <c r="AB233" s="53" t="n"/>
      <c r="AC233" s="53" t="n"/>
      <c r="AD233" s="53" t="n"/>
      <c r="AE233" s="53" t="n"/>
      <c r="AF233" s="53" t="n"/>
      <c r="AG233" s="53" t="n"/>
      <c r="AH233" s="53" t="n"/>
      <c r="AI233" s="53" t="n"/>
      <c r="AJ233" s="53" t="n"/>
      <c r="AK233" s="53" t="n"/>
      <c r="AL233" s="53" t="n"/>
      <c r="AM233" s="53" t="n"/>
      <c r="AN233" s="53" t="n"/>
      <c r="AO233" s="53" t="n"/>
      <c r="AP233" s="53" t="n"/>
      <c r="AQ233" s="53" t="n"/>
      <c r="AR233" s="53" t="n"/>
      <c r="AS233" s="53" t="n"/>
      <c r="AT233" s="53" t="n"/>
      <c r="AU233" s="53" t="n"/>
      <c r="AV233" s="53" t="n"/>
      <c r="AW233" s="53" t="n"/>
      <c r="AX233" s="53" t="n"/>
      <c r="AY233" s="53" t="n"/>
    </row>
    <row r="234" ht="15" customHeight="1">
      <c r="A234" s="40">
        <f>IF($D$234="","",75)</f>
        <v/>
      </c>
      <c r="B234" s="10" t="n"/>
      <c r="C234" s="41" t="inlineStr">
        <is>
          <t>마케팅4팀</t>
        </is>
      </c>
      <c r="D234" s="42" t="n"/>
      <c r="E234" s="43" t="inlineStr">
        <is>
          <t>기획</t>
        </is>
      </c>
      <c r="F234" s="44" t="n"/>
      <c r="G234" s="45" t="n"/>
      <c r="H234" s="46">
        <f>IF($I$234="","",IF($I$234&lt;0,"🔴지연",IF($I$234&lt;=1,"🟡임박","🟢여유")))</f>
        <v/>
      </c>
      <c r="I234" s="47">
        <f>IF(OR($G$234="",$K$234=""),"",$G$234-$K$234)</f>
        <v/>
      </c>
      <c r="J234" s="48">
        <f>IF(SUM($L$234:$L$236)=0,"",SUM($L$234:$L$236))</f>
        <v/>
      </c>
      <c r="K234" s="49">
        <f>IF($J$234="","",MAX($N$234:$N$236))</f>
        <v/>
      </c>
      <c r="L234" s="50">
        <f>IF(SUM(U234:AY234)=0,"",SUM(U234:AY234))</f>
        <v/>
      </c>
      <c r="M234" s="51">
        <f>IFERROR(INDEX(U$2:AY$2,MATCH(TRUE,INDEX(U234:AY234&lt;&gt;"",0),0)),"")</f>
        <v/>
      </c>
      <c r="N234" s="51">
        <f>IFERROR(LOOKUP(2,1/(U234:AY234&lt;&gt;""),U$2:AY$2),"")</f>
        <v/>
      </c>
      <c r="O234" s="52" t="n"/>
      <c r="P234" s="52" t="n"/>
      <c r="Q234" s="52" t="n"/>
      <c r="R234" s="44" t="n"/>
      <c r="S234" s="14" t="n"/>
      <c r="U234" s="53" t="n"/>
      <c r="V234" s="53" t="n"/>
      <c r="W234" s="53" t="n"/>
      <c r="X234" s="53" t="n"/>
      <c r="Y234" s="53" t="n"/>
      <c r="Z234" s="53" t="n"/>
      <c r="AA234" s="53" t="n"/>
      <c r="AB234" s="53" t="n"/>
      <c r="AC234" s="53" t="n"/>
      <c r="AD234" s="53" t="n"/>
      <c r="AE234" s="53" t="n"/>
      <c r="AF234" s="53" t="n"/>
      <c r="AG234" s="53" t="n"/>
      <c r="AH234" s="53" t="n"/>
      <c r="AI234" s="53" t="n"/>
      <c r="AJ234" s="53" t="n"/>
      <c r="AK234" s="53" t="n"/>
      <c r="AL234" s="53" t="n"/>
      <c r="AM234" s="53" t="n"/>
      <c r="AN234" s="53" t="n"/>
      <c r="AO234" s="53" t="n"/>
      <c r="AP234" s="53" t="n"/>
      <c r="AQ234" s="53" t="n"/>
      <c r="AR234" s="53" t="n"/>
      <c r="AS234" s="53" t="n"/>
      <c r="AT234" s="53" t="n"/>
      <c r="AU234" s="53" t="n"/>
      <c r="AV234" s="53" t="n"/>
      <c r="AW234" s="53" t="n"/>
      <c r="AX234" s="53" t="n"/>
      <c r="AY234" s="53" t="n"/>
    </row>
    <row r="235" ht="15" customHeight="1">
      <c r="A235" s="54" t="n"/>
      <c r="B235" s="55">
        <f>IF($B$234="","",$B$234)</f>
        <v/>
      </c>
      <c r="C235" s="56" t="inlineStr">
        <is>
          <t>마케팅4팀</t>
        </is>
      </c>
      <c r="D235" s="55">
        <f>IF($D$234="","",$D$234)</f>
        <v/>
      </c>
      <c r="E235" s="57" t="inlineStr">
        <is>
          <t>이미지</t>
        </is>
      </c>
      <c r="F235" s="44" t="n"/>
      <c r="G235" s="58">
        <f>IF($G$234="","",$G$234)</f>
        <v/>
      </c>
      <c r="H235" s="59" t="n"/>
      <c r="I235" s="59" t="n"/>
      <c r="J235" s="59" t="n"/>
      <c r="K235" s="59" t="n"/>
      <c r="L235" s="60">
        <f>IF(SUM(U235:AY235)=0,"",SUM(U235:AY235))</f>
        <v/>
      </c>
      <c r="M235" s="61">
        <f>IFERROR(INDEX(U$2:AY$2,MATCH(TRUE,INDEX(U235:AY235&lt;&gt;"",0),0)),"")</f>
        <v/>
      </c>
      <c r="N235" s="61">
        <f>IFERROR(LOOKUP(2,1/(U235:AY235&lt;&gt;""),U$2:AY$2),"")</f>
        <v/>
      </c>
      <c r="O235" s="59" t="n"/>
      <c r="P235" s="59" t="n"/>
      <c r="Q235" s="59" t="n"/>
      <c r="R235" s="59" t="n"/>
      <c r="S235" s="14" t="n"/>
      <c r="U235" s="53" t="n"/>
      <c r="V235" s="53" t="n"/>
      <c r="W235" s="53" t="n"/>
      <c r="X235" s="53" t="n"/>
      <c r="Y235" s="53" t="n"/>
      <c r="Z235" s="53" t="n"/>
      <c r="AA235" s="53" t="n"/>
      <c r="AB235" s="53" t="n"/>
      <c r="AC235" s="53" t="n"/>
      <c r="AD235" s="53" t="n"/>
      <c r="AE235" s="53" t="n"/>
      <c r="AF235" s="53" t="n"/>
      <c r="AG235" s="53" t="n"/>
      <c r="AH235" s="53" t="n"/>
      <c r="AI235" s="53" t="n"/>
      <c r="AJ235" s="53" t="n"/>
      <c r="AK235" s="53" t="n"/>
      <c r="AL235" s="53" t="n"/>
      <c r="AM235" s="53" t="n"/>
      <c r="AN235" s="53" t="n"/>
      <c r="AO235" s="53" t="n"/>
      <c r="AP235" s="53" t="n"/>
      <c r="AQ235" s="53" t="n"/>
      <c r="AR235" s="53" t="n"/>
      <c r="AS235" s="53" t="n"/>
      <c r="AT235" s="53" t="n"/>
      <c r="AU235" s="53" t="n"/>
      <c r="AV235" s="53" t="n"/>
      <c r="AW235" s="53" t="n"/>
      <c r="AX235" s="53" t="n"/>
      <c r="AY235" s="53" t="n"/>
    </row>
    <row r="236" ht="15" customHeight="1">
      <c r="A236" s="62" t="n"/>
      <c r="B236" s="55">
        <f>IF($B$234="","",$B$234)</f>
        <v/>
      </c>
      <c r="C236" s="63" t="inlineStr">
        <is>
          <t>마케팅4팀</t>
        </is>
      </c>
      <c r="D236" s="55">
        <f>IF($D$234="","",$D$234)</f>
        <v/>
      </c>
      <c r="E236" s="64" t="inlineStr">
        <is>
          <t>영상</t>
        </is>
      </c>
      <c r="F236" s="44" t="n"/>
      <c r="G236" s="58">
        <f>IF($G$234="","",$G$234)</f>
        <v/>
      </c>
      <c r="H236" s="59" t="n"/>
      <c r="I236" s="59" t="n"/>
      <c r="J236" s="59" t="n"/>
      <c r="K236" s="59" t="n"/>
      <c r="L236" s="65">
        <f>IF(SUM(U236:AY236)=0,"",SUM(U236:AY236))</f>
        <v/>
      </c>
      <c r="M236" s="66">
        <f>IFERROR(INDEX(U$2:AY$2,MATCH(TRUE,INDEX(U236:AY236&lt;&gt;"",0),0)),"")</f>
        <v/>
      </c>
      <c r="N236" s="66">
        <f>IFERROR(LOOKUP(2,1/(U236:AY236&lt;&gt;""),U$2:AY$2),"")</f>
        <v/>
      </c>
      <c r="O236" s="59" t="n"/>
      <c r="P236" s="59" t="n"/>
      <c r="Q236" s="59" t="n"/>
      <c r="R236" s="59" t="n"/>
      <c r="S236" s="14" t="n"/>
      <c r="U236" s="53" t="n"/>
      <c r="V236" s="53" t="n"/>
      <c r="W236" s="53" t="n"/>
      <c r="X236" s="53" t="n"/>
      <c r="Y236" s="53" t="n"/>
      <c r="Z236" s="53" t="n"/>
      <c r="AA236" s="53" t="n"/>
      <c r="AB236" s="53" t="n"/>
      <c r="AC236" s="53" t="n"/>
      <c r="AD236" s="53" t="n"/>
      <c r="AE236" s="53" t="n"/>
      <c r="AF236" s="53" t="n"/>
      <c r="AG236" s="53" t="n"/>
      <c r="AH236" s="53" t="n"/>
      <c r="AI236" s="53" t="n"/>
      <c r="AJ236" s="53" t="n"/>
      <c r="AK236" s="53" t="n"/>
      <c r="AL236" s="53" t="n"/>
      <c r="AM236" s="53" t="n"/>
      <c r="AN236" s="53" t="n"/>
      <c r="AO236" s="53" t="n"/>
      <c r="AP236" s="53" t="n"/>
      <c r="AQ236" s="53" t="n"/>
      <c r="AR236" s="53" t="n"/>
      <c r="AS236" s="53" t="n"/>
      <c r="AT236" s="53" t="n"/>
      <c r="AU236" s="53" t="n"/>
      <c r="AV236" s="53" t="n"/>
      <c r="AW236" s="53" t="n"/>
      <c r="AX236" s="53" t="n"/>
      <c r="AY236" s="53" t="n"/>
    </row>
    <row r="237" ht="15" customHeight="1">
      <c r="A237" s="40">
        <f>IF($D$237="","",76)</f>
        <v/>
      </c>
      <c r="B237" s="10" t="n"/>
      <c r="C237" s="41" t="inlineStr">
        <is>
          <t>마케팅4팀</t>
        </is>
      </c>
      <c r="D237" s="42" t="n"/>
      <c r="E237" s="43" t="inlineStr">
        <is>
          <t>기획</t>
        </is>
      </c>
      <c r="F237" s="44" t="n"/>
      <c r="G237" s="45" t="n"/>
      <c r="H237" s="46">
        <f>IF($I$237="","",IF($I$237&lt;0,"🔴지연",IF($I$237&lt;=1,"🟡임박","🟢여유")))</f>
        <v/>
      </c>
      <c r="I237" s="47">
        <f>IF(OR($G$237="",$K$237=""),"",$G$237-$K$237)</f>
        <v/>
      </c>
      <c r="J237" s="48">
        <f>IF(SUM($L$237:$L$239)=0,"",SUM($L$237:$L$239))</f>
        <v/>
      </c>
      <c r="K237" s="49">
        <f>IF($J$237="","",MAX($N$237:$N$239))</f>
        <v/>
      </c>
      <c r="L237" s="50">
        <f>IF(SUM(U237:AY237)=0,"",SUM(U237:AY237))</f>
        <v/>
      </c>
      <c r="M237" s="51">
        <f>IFERROR(INDEX(U$2:AY$2,MATCH(TRUE,INDEX(U237:AY237&lt;&gt;"",0),0)),"")</f>
        <v/>
      </c>
      <c r="N237" s="51">
        <f>IFERROR(LOOKUP(2,1/(U237:AY237&lt;&gt;""),U$2:AY$2),"")</f>
        <v/>
      </c>
      <c r="O237" s="52" t="n"/>
      <c r="P237" s="52" t="n"/>
      <c r="Q237" s="52" t="n"/>
      <c r="R237" s="44" t="n"/>
      <c r="S237" s="14" t="n"/>
      <c r="U237" s="53" t="n"/>
      <c r="V237" s="53" t="n"/>
      <c r="W237" s="53" t="n"/>
      <c r="X237" s="53" t="n"/>
      <c r="Y237" s="53" t="n"/>
      <c r="Z237" s="53" t="n"/>
      <c r="AA237" s="53" t="n"/>
      <c r="AB237" s="53" t="n"/>
      <c r="AC237" s="53" t="n"/>
      <c r="AD237" s="53" t="n"/>
      <c r="AE237" s="53" t="n"/>
      <c r="AF237" s="53" t="n"/>
      <c r="AG237" s="53" t="n"/>
      <c r="AH237" s="53" t="n"/>
      <c r="AI237" s="53" t="n"/>
      <c r="AJ237" s="53" t="n"/>
      <c r="AK237" s="53" t="n"/>
      <c r="AL237" s="53" t="n"/>
      <c r="AM237" s="53" t="n"/>
      <c r="AN237" s="53" t="n"/>
      <c r="AO237" s="53" t="n"/>
      <c r="AP237" s="53" t="n"/>
      <c r="AQ237" s="53" t="n"/>
      <c r="AR237" s="53" t="n"/>
      <c r="AS237" s="53" t="n"/>
      <c r="AT237" s="53" t="n"/>
      <c r="AU237" s="53" t="n"/>
      <c r="AV237" s="53" t="n"/>
      <c r="AW237" s="53" t="n"/>
      <c r="AX237" s="53" t="n"/>
      <c r="AY237" s="53" t="n"/>
    </row>
    <row r="238" ht="15" customHeight="1">
      <c r="A238" s="54" t="n"/>
      <c r="B238" s="55">
        <f>IF($B$237="","",$B$237)</f>
        <v/>
      </c>
      <c r="C238" s="56" t="inlineStr">
        <is>
          <t>마케팅4팀</t>
        </is>
      </c>
      <c r="D238" s="55">
        <f>IF($D$237="","",$D$237)</f>
        <v/>
      </c>
      <c r="E238" s="57" t="inlineStr">
        <is>
          <t>이미지</t>
        </is>
      </c>
      <c r="F238" s="44" t="n"/>
      <c r="G238" s="58">
        <f>IF($G$237="","",$G$237)</f>
        <v/>
      </c>
      <c r="H238" s="59" t="n"/>
      <c r="I238" s="59" t="n"/>
      <c r="J238" s="59" t="n"/>
      <c r="K238" s="59" t="n"/>
      <c r="L238" s="60">
        <f>IF(SUM(U238:AY238)=0,"",SUM(U238:AY238))</f>
        <v/>
      </c>
      <c r="M238" s="61">
        <f>IFERROR(INDEX(U$2:AY$2,MATCH(TRUE,INDEX(U238:AY238&lt;&gt;"",0),0)),"")</f>
        <v/>
      </c>
      <c r="N238" s="61">
        <f>IFERROR(LOOKUP(2,1/(U238:AY238&lt;&gt;""),U$2:AY$2),"")</f>
        <v/>
      </c>
      <c r="O238" s="59" t="n"/>
      <c r="P238" s="59" t="n"/>
      <c r="Q238" s="59" t="n"/>
      <c r="R238" s="59" t="n"/>
      <c r="S238" s="14" t="n"/>
      <c r="U238" s="53" t="n"/>
      <c r="V238" s="53" t="n"/>
      <c r="W238" s="53" t="n"/>
      <c r="X238" s="53" t="n"/>
      <c r="Y238" s="53" t="n"/>
      <c r="Z238" s="53" t="n"/>
      <c r="AA238" s="53" t="n"/>
      <c r="AB238" s="53" t="n"/>
      <c r="AC238" s="53" t="n"/>
      <c r="AD238" s="53" t="n"/>
      <c r="AE238" s="53" t="n"/>
      <c r="AF238" s="53" t="n"/>
      <c r="AG238" s="53" t="n"/>
      <c r="AH238" s="53" t="n"/>
      <c r="AI238" s="53" t="n"/>
      <c r="AJ238" s="53" t="n"/>
      <c r="AK238" s="53" t="n"/>
      <c r="AL238" s="53" t="n"/>
      <c r="AM238" s="53" t="n"/>
      <c r="AN238" s="53" t="n"/>
      <c r="AO238" s="53" t="n"/>
      <c r="AP238" s="53" t="n"/>
      <c r="AQ238" s="53" t="n"/>
      <c r="AR238" s="53" t="n"/>
      <c r="AS238" s="53" t="n"/>
      <c r="AT238" s="53" t="n"/>
      <c r="AU238" s="53" t="n"/>
      <c r="AV238" s="53" t="n"/>
      <c r="AW238" s="53" t="n"/>
      <c r="AX238" s="53" t="n"/>
      <c r="AY238" s="53" t="n"/>
    </row>
    <row r="239" ht="15" customHeight="1">
      <c r="A239" s="62" t="n"/>
      <c r="B239" s="55">
        <f>IF($B$237="","",$B$237)</f>
        <v/>
      </c>
      <c r="C239" s="63" t="inlineStr">
        <is>
          <t>마케팅4팀</t>
        </is>
      </c>
      <c r="D239" s="55">
        <f>IF($D$237="","",$D$237)</f>
        <v/>
      </c>
      <c r="E239" s="64" t="inlineStr">
        <is>
          <t>영상</t>
        </is>
      </c>
      <c r="F239" s="44" t="n"/>
      <c r="G239" s="58">
        <f>IF($G$237="","",$G$237)</f>
        <v/>
      </c>
      <c r="H239" s="59" t="n"/>
      <c r="I239" s="59" t="n"/>
      <c r="J239" s="59" t="n"/>
      <c r="K239" s="59" t="n"/>
      <c r="L239" s="65">
        <f>IF(SUM(U239:AY239)=0,"",SUM(U239:AY239))</f>
        <v/>
      </c>
      <c r="M239" s="66">
        <f>IFERROR(INDEX(U$2:AY$2,MATCH(TRUE,INDEX(U239:AY239&lt;&gt;"",0),0)),"")</f>
        <v/>
      </c>
      <c r="N239" s="66">
        <f>IFERROR(LOOKUP(2,1/(U239:AY239&lt;&gt;""),U$2:AY$2),"")</f>
        <v/>
      </c>
      <c r="O239" s="59" t="n"/>
      <c r="P239" s="59" t="n"/>
      <c r="Q239" s="59" t="n"/>
      <c r="R239" s="59" t="n"/>
      <c r="S239" s="14" t="n"/>
      <c r="U239" s="53" t="n"/>
      <c r="V239" s="53" t="n"/>
      <c r="W239" s="53" t="n"/>
      <c r="X239" s="53" t="n"/>
      <c r="Y239" s="53" t="n"/>
      <c r="Z239" s="53" t="n"/>
      <c r="AA239" s="53" t="n"/>
      <c r="AB239" s="53" t="n"/>
      <c r="AC239" s="53" t="n"/>
      <c r="AD239" s="53" t="n"/>
      <c r="AE239" s="53" t="n"/>
      <c r="AF239" s="53" t="n"/>
      <c r="AG239" s="53" t="n"/>
      <c r="AH239" s="53" t="n"/>
      <c r="AI239" s="53" t="n"/>
      <c r="AJ239" s="53" t="n"/>
      <c r="AK239" s="53" t="n"/>
      <c r="AL239" s="53" t="n"/>
      <c r="AM239" s="53" t="n"/>
      <c r="AN239" s="53" t="n"/>
      <c r="AO239" s="53" t="n"/>
      <c r="AP239" s="53" t="n"/>
      <c r="AQ239" s="53" t="n"/>
      <c r="AR239" s="53" t="n"/>
      <c r="AS239" s="53" t="n"/>
      <c r="AT239" s="53" t="n"/>
      <c r="AU239" s="53" t="n"/>
      <c r="AV239" s="53" t="n"/>
      <c r="AW239" s="53" t="n"/>
      <c r="AX239" s="53" t="n"/>
      <c r="AY239" s="53" t="n"/>
    </row>
    <row r="240" ht="15" customHeight="1">
      <c r="A240" s="40">
        <f>IF($D$240="","",77)</f>
        <v/>
      </c>
      <c r="B240" s="10" t="n"/>
      <c r="C240" s="41" t="inlineStr">
        <is>
          <t>마케팅4팀</t>
        </is>
      </c>
      <c r="D240" s="42" t="n"/>
      <c r="E240" s="43" t="inlineStr">
        <is>
          <t>기획</t>
        </is>
      </c>
      <c r="F240" s="44" t="n"/>
      <c r="G240" s="45" t="n"/>
      <c r="H240" s="46">
        <f>IF($I$240="","",IF($I$240&lt;0,"🔴지연",IF($I$240&lt;=1,"🟡임박","🟢여유")))</f>
        <v/>
      </c>
      <c r="I240" s="47">
        <f>IF(OR($G$240="",$K$240=""),"",$G$240-$K$240)</f>
        <v/>
      </c>
      <c r="J240" s="48">
        <f>IF(SUM($L$240:$L$242)=0,"",SUM($L$240:$L$242))</f>
        <v/>
      </c>
      <c r="K240" s="49">
        <f>IF($J$240="","",MAX($N$240:$N$242))</f>
        <v/>
      </c>
      <c r="L240" s="50">
        <f>IF(SUM(U240:AY240)=0,"",SUM(U240:AY240))</f>
        <v/>
      </c>
      <c r="M240" s="51">
        <f>IFERROR(INDEX(U$2:AY$2,MATCH(TRUE,INDEX(U240:AY240&lt;&gt;"",0),0)),"")</f>
        <v/>
      </c>
      <c r="N240" s="51">
        <f>IFERROR(LOOKUP(2,1/(U240:AY240&lt;&gt;""),U$2:AY$2),"")</f>
        <v/>
      </c>
      <c r="O240" s="52" t="n"/>
      <c r="P240" s="52" t="n"/>
      <c r="Q240" s="52" t="n"/>
      <c r="R240" s="44" t="n"/>
      <c r="S240" s="14" t="n"/>
      <c r="U240" s="53" t="n"/>
      <c r="V240" s="53" t="n"/>
      <c r="W240" s="53" t="n"/>
      <c r="X240" s="53" t="n"/>
      <c r="Y240" s="53" t="n"/>
      <c r="Z240" s="53" t="n"/>
      <c r="AA240" s="53" t="n"/>
      <c r="AB240" s="53" t="n"/>
      <c r="AC240" s="53" t="n"/>
      <c r="AD240" s="53" t="n"/>
      <c r="AE240" s="53" t="n"/>
      <c r="AF240" s="53" t="n"/>
      <c r="AG240" s="53" t="n"/>
      <c r="AH240" s="53" t="n"/>
      <c r="AI240" s="53" t="n"/>
      <c r="AJ240" s="53" t="n"/>
      <c r="AK240" s="53" t="n"/>
      <c r="AL240" s="53" t="n"/>
      <c r="AM240" s="53" t="n"/>
      <c r="AN240" s="53" t="n"/>
      <c r="AO240" s="53" t="n"/>
      <c r="AP240" s="53" t="n"/>
      <c r="AQ240" s="53" t="n"/>
      <c r="AR240" s="53" t="n"/>
      <c r="AS240" s="53" t="n"/>
      <c r="AT240" s="53" t="n"/>
      <c r="AU240" s="53" t="n"/>
      <c r="AV240" s="53" t="n"/>
      <c r="AW240" s="53" t="n"/>
      <c r="AX240" s="53" t="n"/>
      <c r="AY240" s="53" t="n"/>
    </row>
    <row r="241" ht="15" customHeight="1">
      <c r="A241" s="54" t="n"/>
      <c r="B241" s="55">
        <f>IF($B$240="","",$B$240)</f>
        <v/>
      </c>
      <c r="C241" s="56" t="inlineStr">
        <is>
          <t>마케팅4팀</t>
        </is>
      </c>
      <c r="D241" s="55">
        <f>IF($D$240="","",$D$240)</f>
        <v/>
      </c>
      <c r="E241" s="57" t="inlineStr">
        <is>
          <t>이미지</t>
        </is>
      </c>
      <c r="F241" s="44" t="n"/>
      <c r="G241" s="58">
        <f>IF($G$240="","",$G$240)</f>
        <v/>
      </c>
      <c r="H241" s="59" t="n"/>
      <c r="I241" s="59" t="n"/>
      <c r="J241" s="59" t="n"/>
      <c r="K241" s="59" t="n"/>
      <c r="L241" s="60">
        <f>IF(SUM(U241:AY241)=0,"",SUM(U241:AY241))</f>
        <v/>
      </c>
      <c r="M241" s="61">
        <f>IFERROR(INDEX(U$2:AY$2,MATCH(TRUE,INDEX(U241:AY241&lt;&gt;"",0),0)),"")</f>
        <v/>
      </c>
      <c r="N241" s="61">
        <f>IFERROR(LOOKUP(2,1/(U241:AY241&lt;&gt;""),U$2:AY$2),"")</f>
        <v/>
      </c>
      <c r="O241" s="59" t="n"/>
      <c r="P241" s="59" t="n"/>
      <c r="Q241" s="59" t="n"/>
      <c r="R241" s="59" t="n"/>
      <c r="S241" s="14" t="n"/>
      <c r="U241" s="53" t="n"/>
      <c r="V241" s="53" t="n"/>
      <c r="W241" s="53" t="n"/>
      <c r="X241" s="53" t="n"/>
      <c r="Y241" s="53" t="n"/>
      <c r="Z241" s="53" t="n"/>
      <c r="AA241" s="53" t="n"/>
      <c r="AB241" s="53" t="n"/>
      <c r="AC241" s="53" t="n"/>
      <c r="AD241" s="53" t="n"/>
      <c r="AE241" s="53" t="n"/>
      <c r="AF241" s="53" t="n"/>
      <c r="AG241" s="53" t="n"/>
      <c r="AH241" s="53" t="n"/>
      <c r="AI241" s="53" t="n"/>
      <c r="AJ241" s="53" t="n"/>
      <c r="AK241" s="53" t="n"/>
      <c r="AL241" s="53" t="n"/>
      <c r="AM241" s="53" t="n"/>
      <c r="AN241" s="53" t="n"/>
      <c r="AO241" s="53" t="n"/>
      <c r="AP241" s="53" t="n"/>
      <c r="AQ241" s="53" t="n"/>
      <c r="AR241" s="53" t="n"/>
      <c r="AS241" s="53" t="n"/>
      <c r="AT241" s="53" t="n"/>
      <c r="AU241" s="53" t="n"/>
      <c r="AV241" s="53" t="n"/>
      <c r="AW241" s="53" t="n"/>
      <c r="AX241" s="53" t="n"/>
      <c r="AY241" s="53" t="n"/>
    </row>
    <row r="242" ht="15" customHeight="1">
      <c r="A242" s="62" t="n"/>
      <c r="B242" s="55">
        <f>IF($B$240="","",$B$240)</f>
        <v/>
      </c>
      <c r="C242" s="63" t="inlineStr">
        <is>
          <t>마케팅4팀</t>
        </is>
      </c>
      <c r="D242" s="55">
        <f>IF($D$240="","",$D$240)</f>
        <v/>
      </c>
      <c r="E242" s="64" t="inlineStr">
        <is>
          <t>영상</t>
        </is>
      </c>
      <c r="F242" s="44" t="n"/>
      <c r="G242" s="58">
        <f>IF($G$240="","",$G$240)</f>
        <v/>
      </c>
      <c r="H242" s="59" t="n"/>
      <c r="I242" s="59" t="n"/>
      <c r="J242" s="59" t="n"/>
      <c r="K242" s="59" t="n"/>
      <c r="L242" s="65">
        <f>IF(SUM(U242:AY242)=0,"",SUM(U242:AY242))</f>
        <v/>
      </c>
      <c r="M242" s="66">
        <f>IFERROR(INDEX(U$2:AY$2,MATCH(TRUE,INDEX(U242:AY242&lt;&gt;"",0),0)),"")</f>
        <v/>
      </c>
      <c r="N242" s="66">
        <f>IFERROR(LOOKUP(2,1/(U242:AY242&lt;&gt;""),U$2:AY$2),"")</f>
        <v/>
      </c>
      <c r="O242" s="59" t="n"/>
      <c r="P242" s="59" t="n"/>
      <c r="Q242" s="59" t="n"/>
      <c r="R242" s="59" t="n"/>
      <c r="S242" s="14" t="n"/>
      <c r="U242" s="53" t="n"/>
      <c r="V242" s="53" t="n"/>
      <c r="W242" s="53" t="n"/>
      <c r="X242" s="53" t="n"/>
      <c r="Y242" s="53" t="n"/>
      <c r="Z242" s="53" t="n"/>
      <c r="AA242" s="53" t="n"/>
      <c r="AB242" s="53" t="n"/>
      <c r="AC242" s="53" t="n"/>
      <c r="AD242" s="53" t="n"/>
      <c r="AE242" s="53" t="n"/>
      <c r="AF242" s="53" t="n"/>
      <c r="AG242" s="53" t="n"/>
      <c r="AH242" s="53" t="n"/>
      <c r="AI242" s="53" t="n"/>
      <c r="AJ242" s="53" t="n"/>
      <c r="AK242" s="53" t="n"/>
      <c r="AL242" s="53" t="n"/>
      <c r="AM242" s="53" t="n"/>
      <c r="AN242" s="53" t="n"/>
      <c r="AO242" s="53" t="n"/>
      <c r="AP242" s="53" t="n"/>
      <c r="AQ242" s="53" t="n"/>
      <c r="AR242" s="53" t="n"/>
      <c r="AS242" s="53" t="n"/>
      <c r="AT242" s="53" t="n"/>
      <c r="AU242" s="53" t="n"/>
      <c r="AV242" s="53" t="n"/>
      <c r="AW242" s="53" t="n"/>
      <c r="AX242" s="53" t="n"/>
      <c r="AY242" s="53" t="n"/>
    </row>
    <row r="243" ht="15" customHeight="1">
      <c r="A243" s="40">
        <f>IF($D$243="","",78)</f>
        <v/>
      </c>
      <c r="B243" s="10" t="n"/>
      <c r="C243" s="41" t="inlineStr">
        <is>
          <t>마케팅4팀</t>
        </is>
      </c>
      <c r="D243" s="42" t="n"/>
      <c r="E243" s="43" t="inlineStr">
        <is>
          <t>기획</t>
        </is>
      </c>
      <c r="F243" s="44" t="n"/>
      <c r="G243" s="45" t="n"/>
      <c r="H243" s="46">
        <f>IF($I$243="","",IF($I$243&lt;0,"🔴지연",IF($I$243&lt;=1,"🟡임박","🟢여유")))</f>
        <v/>
      </c>
      <c r="I243" s="47">
        <f>IF(OR($G$243="",$K$243=""),"",$G$243-$K$243)</f>
        <v/>
      </c>
      <c r="J243" s="48">
        <f>IF(SUM($L$243:$L$245)=0,"",SUM($L$243:$L$245))</f>
        <v/>
      </c>
      <c r="K243" s="49">
        <f>IF($J$243="","",MAX($N$243:$N$245))</f>
        <v/>
      </c>
      <c r="L243" s="50">
        <f>IF(SUM(U243:AY243)=0,"",SUM(U243:AY243))</f>
        <v/>
      </c>
      <c r="M243" s="51">
        <f>IFERROR(INDEX(U$2:AY$2,MATCH(TRUE,INDEX(U243:AY243&lt;&gt;"",0),0)),"")</f>
        <v/>
      </c>
      <c r="N243" s="51">
        <f>IFERROR(LOOKUP(2,1/(U243:AY243&lt;&gt;""),U$2:AY$2),"")</f>
        <v/>
      </c>
      <c r="O243" s="52" t="n"/>
      <c r="P243" s="52" t="n"/>
      <c r="Q243" s="52" t="n"/>
      <c r="R243" s="44" t="n"/>
      <c r="S243" s="14" t="n"/>
      <c r="U243" s="53" t="n"/>
      <c r="V243" s="53" t="n"/>
      <c r="W243" s="53" t="n"/>
      <c r="X243" s="53" t="n"/>
      <c r="Y243" s="53" t="n"/>
      <c r="Z243" s="53" t="n"/>
      <c r="AA243" s="53" t="n"/>
      <c r="AB243" s="53" t="n"/>
      <c r="AC243" s="53" t="n"/>
      <c r="AD243" s="53" t="n"/>
      <c r="AE243" s="53" t="n"/>
      <c r="AF243" s="53" t="n"/>
      <c r="AG243" s="53" t="n"/>
      <c r="AH243" s="53" t="n"/>
      <c r="AI243" s="53" t="n"/>
      <c r="AJ243" s="53" t="n"/>
      <c r="AK243" s="53" t="n"/>
      <c r="AL243" s="53" t="n"/>
      <c r="AM243" s="53" t="n"/>
      <c r="AN243" s="53" t="n"/>
      <c r="AO243" s="53" t="n"/>
      <c r="AP243" s="53" t="n"/>
      <c r="AQ243" s="53" t="n"/>
      <c r="AR243" s="53" t="n"/>
      <c r="AS243" s="53" t="n"/>
      <c r="AT243" s="53" t="n"/>
      <c r="AU243" s="53" t="n"/>
      <c r="AV243" s="53" t="n"/>
      <c r="AW243" s="53" t="n"/>
      <c r="AX243" s="53" t="n"/>
      <c r="AY243" s="53" t="n"/>
    </row>
    <row r="244" ht="15" customHeight="1">
      <c r="A244" s="54" t="n"/>
      <c r="B244" s="55">
        <f>IF($B$243="","",$B$243)</f>
        <v/>
      </c>
      <c r="C244" s="56" t="inlineStr">
        <is>
          <t>마케팅4팀</t>
        </is>
      </c>
      <c r="D244" s="55">
        <f>IF($D$243="","",$D$243)</f>
        <v/>
      </c>
      <c r="E244" s="57" t="inlineStr">
        <is>
          <t>이미지</t>
        </is>
      </c>
      <c r="F244" s="44" t="n"/>
      <c r="G244" s="58">
        <f>IF($G$243="","",$G$243)</f>
        <v/>
      </c>
      <c r="H244" s="59" t="n"/>
      <c r="I244" s="59" t="n"/>
      <c r="J244" s="59" t="n"/>
      <c r="K244" s="59" t="n"/>
      <c r="L244" s="60">
        <f>IF(SUM(U244:AY244)=0,"",SUM(U244:AY244))</f>
        <v/>
      </c>
      <c r="M244" s="61">
        <f>IFERROR(INDEX(U$2:AY$2,MATCH(TRUE,INDEX(U244:AY244&lt;&gt;"",0),0)),"")</f>
        <v/>
      </c>
      <c r="N244" s="61">
        <f>IFERROR(LOOKUP(2,1/(U244:AY244&lt;&gt;""),U$2:AY$2),"")</f>
        <v/>
      </c>
      <c r="O244" s="59" t="n"/>
      <c r="P244" s="59" t="n"/>
      <c r="Q244" s="59" t="n"/>
      <c r="R244" s="59" t="n"/>
      <c r="S244" s="14" t="n"/>
      <c r="U244" s="53" t="n"/>
      <c r="V244" s="53" t="n"/>
      <c r="W244" s="53" t="n"/>
      <c r="X244" s="53" t="n"/>
      <c r="Y244" s="53" t="n"/>
      <c r="Z244" s="53" t="n"/>
      <c r="AA244" s="53" t="n"/>
      <c r="AB244" s="53" t="n"/>
      <c r="AC244" s="53" t="n"/>
      <c r="AD244" s="53" t="n"/>
      <c r="AE244" s="53" t="n"/>
      <c r="AF244" s="53" t="n"/>
      <c r="AG244" s="53" t="n"/>
      <c r="AH244" s="53" t="n"/>
      <c r="AI244" s="53" t="n"/>
      <c r="AJ244" s="53" t="n"/>
      <c r="AK244" s="53" t="n"/>
      <c r="AL244" s="53" t="n"/>
      <c r="AM244" s="53" t="n"/>
      <c r="AN244" s="53" t="n"/>
      <c r="AO244" s="53" t="n"/>
      <c r="AP244" s="53" t="n"/>
      <c r="AQ244" s="53" t="n"/>
      <c r="AR244" s="53" t="n"/>
      <c r="AS244" s="53" t="n"/>
      <c r="AT244" s="53" t="n"/>
      <c r="AU244" s="53" t="n"/>
      <c r="AV244" s="53" t="n"/>
      <c r="AW244" s="53" t="n"/>
      <c r="AX244" s="53" t="n"/>
      <c r="AY244" s="53" t="n"/>
    </row>
    <row r="245" ht="15" customHeight="1">
      <c r="A245" s="62" t="n"/>
      <c r="B245" s="55">
        <f>IF($B$243="","",$B$243)</f>
        <v/>
      </c>
      <c r="C245" s="63" t="inlineStr">
        <is>
          <t>마케팅4팀</t>
        </is>
      </c>
      <c r="D245" s="55">
        <f>IF($D$243="","",$D$243)</f>
        <v/>
      </c>
      <c r="E245" s="64" t="inlineStr">
        <is>
          <t>영상</t>
        </is>
      </c>
      <c r="F245" s="44" t="n"/>
      <c r="G245" s="58">
        <f>IF($G$243="","",$G$243)</f>
        <v/>
      </c>
      <c r="H245" s="59" t="n"/>
      <c r="I245" s="59" t="n"/>
      <c r="J245" s="59" t="n"/>
      <c r="K245" s="59" t="n"/>
      <c r="L245" s="65">
        <f>IF(SUM(U245:AY245)=0,"",SUM(U245:AY245))</f>
        <v/>
      </c>
      <c r="M245" s="66">
        <f>IFERROR(INDEX(U$2:AY$2,MATCH(TRUE,INDEX(U245:AY245&lt;&gt;"",0),0)),"")</f>
        <v/>
      </c>
      <c r="N245" s="66">
        <f>IFERROR(LOOKUP(2,1/(U245:AY245&lt;&gt;""),U$2:AY$2),"")</f>
        <v/>
      </c>
      <c r="O245" s="59" t="n"/>
      <c r="P245" s="59" t="n"/>
      <c r="Q245" s="59" t="n"/>
      <c r="R245" s="59" t="n"/>
      <c r="S245" s="14" t="n"/>
      <c r="U245" s="53" t="n"/>
      <c r="V245" s="53" t="n"/>
      <c r="W245" s="53" t="n"/>
      <c r="X245" s="53" t="n"/>
      <c r="Y245" s="53" t="n"/>
      <c r="Z245" s="53" t="n"/>
      <c r="AA245" s="53" t="n"/>
      <c r="AB245" s="53" t="n"/>
      <c r="AC245" s="53" t="n"/>
      <c r="AD245" s="53" t="n"/>
      <c r="AE245" s="53" t="n"/>
      <c r="AF245" s="53" t="n"/>
      <c r="AG245" s="53" t="n"/>
      <c r="AH245" s="53" t="n"/>
      <c r="AI245" s="53" t="n"/>
      <c r="AJ245" s="53" t="n"/>
      <c r="AK245" s="53" t="n"/>
      <c r="AL245" s="53" t="n"/>
      <c r="AM245" s="53" t="n"/>
      <c r="AN245" s="53" t="n"/>
      <c r="AO245" s="53" t="n"/>
      <c r="AP245" s="53" t="n"/>
      <c r="AQ245" s="53" t="n"/>
      <c r="AR245" s="53" t="n"/>
      <c r="AS245" s="53" t="n"/>
      <c r="AT245" s="53" t="n"/>
      <c r="AU245" s="53" t="n"/>
      <c r="AV245" s="53" t="n"/>
      <c r="AW245" s="53" t="n"/>
      <c r="AX245" s="53" t="n"/>
      <c r="AY245" s="53" t="n"/>
    </row>
    <row r="246" ht="15" customHeight="1">
      <c r="A246" s="40">
        <f>IF($D$246="","",79)</f>
        <v/>
      </c>
      <c r="B246" s="10" t="n"/>
      <c r="C246" s="41" t="inlineStr">
        <is>
          <t>마케팅4팀</t>
        </is>
      </c>
      <c r="D246" s="42" t="n"/>
      <c r="E246" s="43" t="inlineStr">
        <is>
          <t>기획</t>
        </is>
      </c>
      <c r="F246" s="44" t="n"/>
      <c r="G246" s="45" t="n"/>
      <c r="H246" s="46">
        <f>IF($I$246="","",IF($I$246&lt;0,"🔴지연",IF($I$246&lt;=1,"🟡임박","🟢여유")))</f>
        <v/>
      </c>
      <c r="I246" s="47">
        <f>IF(OR($G$246="",$K$246=""),"",$G$246-$K$246)</f>
        <v/>
      </c>
      <c r="J246" s="48">
        <f>IF(SUM($L$246:$L$248)=0,"",SUM($L$246:$L$248))</f>
        <v/>
      </c>
      <c r="K246" s="49">
        <f>IF($J$246="","",MAX($N$246:$N$248))</f>
        <v/>
      </c>
      <c r="L246" s="50">
        <f>IF(SUM(U246:AY246)=0,"",SUM(U246:AY246))</f>
        <v/>
      </c>
      <c r="M246" s="51">
        <f>IFERROR(INDEX(U$2:AY$2,MATCH(TRUE,INDEX(U246:AY246&lt;&gt;"",0),0)),"")</f>
        <v/>
      </c>
      <c r="N246" s="51">
        <f>IFERROR(LOOKUP(2,1/(U246:AY246&lt;&gt;""),U$2:AY$2),"")</f>
        <v/>
      </c>
      <c r="O246" s="52" t="n"/>
      <c r="P246" s="52" t="n"/>
      <c r="Q246" s="52" t="n"/>
      <c r="R246" s="44" t="n"/>
      <c r="S246" s="14" t="n"/>
      <c r="U246" s="53" t="n"/>
      <c r="V246" s="53" t="n"/>
      <c r="W246" s="53" t="n"/>
      <c r="X246" s="53" t="n"/>
      <c r="Y246" s="53" t="n"/>
      <c r="Z246" s="53" t="n"/>
      <c r="AA246" s="53" t="n"/>
      <c r="AB246" s="53" t="n"/>
      <c r="AC246" s="53" t="n"/>
      <c r="AD246" s="53" t="n"/>
      <c r="AE246" s="53" t="n"/>
      <c r="AF246" s="53" t="n"/>
      <c r="AG246" s="53" t="n"/>
      <c r="AH246" s="53" t="n"/>
      <c r="AI246" s="53" t="n"/>
      <c r="AJ246" s="53" t="n"/>
      <c r="AK246" s="53" t="n"/>
      <c r="AL246" s="53" t="n"/>
      <c r="AM246" s="53" t="n"/>
      <c r="AN246" s="53" t="n"/>
      <c r="AO246" s="53" t="n"/>
      <c r="AP246" s="53" t="n"/>
      <c r="AQ246" s="53" t="n"/>
      <c r="AR246" s="53" t="n"/>
      <c r="AS246" s="53" t="n"/>
      <c r="AT246" s="53" t="n"/>
      <c r="AU246" s="53" t="n"/>
      <c r="AV246" s="53" t="n"/>
      <c r="AW246" s="53" t="n"/>
      <c r="AX246" s="53" t="n"/>
      <c r="AY246" s="53" t="n"/>
    </row>
    <row r="247" ht="15" customHeight="1">
      <c r="A247" s="54" t="n"/>
      <c r="B247" s="55">
        <f>IF($B$246="","",$B$246)</f>
        <v/>
      </c>
      <c r="C247" s="56" t="inlineStr">
        <is>
          <t>마케팅4팀</t>
        </is>
      </c>
      <c r="D247" s="55">
        <f>IF($D$246="","",$D$246)</f>
        <v/>
      </c>
      <c r="E247" s="57" t="inlineStr">
        <is>
          <t>이미지</t>
        </is>
      </c>
      <c r="F247" s="44" t="n"/>
      <c r="G247" s="58">
        <f>IF($G$246="","",$G$246)</f>
        <v/>
      </c>
      <c r="H247" s="59" t="n"/>
      <c r="I247" s="59" t="n"/>
      <c r="J247" s="59" t="n"/>
      <c r="K247" s="59" t="n"/>
      <c r="L247" s="60">
        <f>IF(SUM(U247:AY247)=0,"",SUM(U247:AY247))</f>
        <v/>
      </c>
      <c r="M247" s="61">
        <f>IFERROR(INDEX(U$2:AY$2,MATCH(TRUE,INDEX(U247:AY247&lt;&gt;"",0),0)),"")</f>
        <v/>
      </c>
      <c r="N247" s="61">
        <f>IFERROR(LOOKUP(2,1/(U247:AY247&lt;&gt;""),U$2:AY$2),"")</f>
        <v/>
      </c>
      <c r="O247" s="59" t="n"/>
      <c r="P247" s="59" t="n"/>
      <c r="Q247" s="59" t="n"/>
      <c r="R247" s="59" t="n"/>
      <c r="S247" s="14" t="n"/>
      <c r="U247" s="53" t="n"/>
      <c r="V247" s="53" t="n"/>
      <c r="W247" s="53" t="n"/>
      <c r="X247" s="53" t="n"/>
      <c r="Y247" s="53" t="n"/>
      <c r="Z247" s="53" t="n"/>
      <c r="AA247" s="53" t="n"/>
      <c r="AB247" s="53" t="n"/>
      <c r="AC247" s="53" t="n"/>
      <c r="AD247" s="53" t="n"/>
      <c r="AE247" s="53" t="n"/>
      <c r="AF247" s="53" t="n"/>
      <c r="AG247" s="53" t="n"/>
      <c r="AH247" s="53" t="n"/>
      <c r="AI247" s="53" t="n"/>
      <c r="AJ247" s="53" t="n"/>
      <c r="AK247" s="53" t="n"/>
      <c r="AL247" s="53" t="n"/>
      <c r="AM247" s="53" t="n"/>
      <c r="AN247" s="53" t="n"/>
      <c r="AO247" s="53" t="n"/>
      <c r="AP247" s="53" t="n"/>
      <c r="AQ247" s="53" t="n"/>
      <c r="AR247" s="53" t="n"/>
      <c r="AS247" s="53" t="n"/>
      <c r="AT247" s="53" t="n"/>
      <c r="AU247" s="53" t="n"/>
      <c r="AV247" s="53" t="n"/>
      <c r="AW247" s="53" t="n"/>
      <c r="AX247" s="53" t="n"/>
      <c r="AY247" s="53" t="n"/>
    </row>
    <row r="248" ht="15" customHeight="1">
      <c r="A248" s="62" t="n"/>
      <c r="B248" s="55">
        <f>IF($B$246="","",$B$246)</f>
        <v/>
      </c>
      <c r="C248" s="63" t="inlineStr">
        <is>
          <t>마케팅4팀</t>
        </is>
      </c>
      <c r="D248" s="55">
        <f>IF($D$246="","",$D$246)</f>
        <v/>
      </c>
      <c r="E248" s="64" t="inlineStr">
        <is>
          <t>영상</t>
        </is>
      </c>
      <c r="F248" s="44" t="n"/>
      <c r="G248" s="58">
        <f>IF($G$246="","",$G$246)</f>
        <v/>
      </c>
      <c r="H248" s="59" t="n"/>
      <c r="I248" s="59" t="n"/>
      <c r="J248" s="59" t="n"/>
      <c r="K248" s="59" t="n"/>
      <c r="L248" s="65">
        <f>IF(SUM(U248:AY248)=0,"",SUM(U248:AY248))</f>
        <v/>
      </c>
      <c r="M248" s="66">
        <f>IFERROR(INDEX(U$2:AY$2,MATCH(TRUE,INDEX(U248:AY248&lt;&gt;"",0),0)),"")</f>
        <v/>
      </c>
      <c r="N248" s="66">
        <f>IFERROR(LOOKUP(2,1/(U248:AY248&lt;&gt;""),U$2:AY$2),"")</f>
        <v/>
      </c>
      <c r="O248" s="59" t="n"/>
      <c r="P248" s="59" t="n"/>
      <c r="Q248" s="59" t="n"/>
      <c r="R248" s="59" t="n"/>
      <c r="S248" s="14" t="n"/>
      <c r="U248" s="53" t="n"/>
      <c r="V248" s="53" t="n"/>
      <c r="W248" s="53" t="n"/>
      <c r="X248" s="53" t="n"/>
      <c r="Y248" s="53" t="n"/>
      <c r="Z248" s="53" t="n"/>
      <c r="AA248" s="53" t="n"/>
      <c r="AB248" s="53" t="n"/>
      <c r="AC248" s="53" t="n"/>
      <c r="AD248" s="53" t="n"/>
      <c r="AE248" s="53" t="n"/>
      <c r="AF248" s="53" t="n"/>
      <c r="AG248" s="53" t="n"/>
      <c r="AH248" s="53" t="n"/>
      <c r="AI248" s="53" t="n"/>
      <c r="AJ248" s="53" t="n"/>
      <c r="AK248" s="53" t="n"/>
      <c r="AL248" s="53" t="n"/>
      <c r="AM248" s="53" t="n"/>
      <c r="AN248" s="53" t="n"/>
      <c r="AO248" s="53" t="n"/>
      <c r="AP248" s="53" t="n"/>
      <c r="AQ248" s="53" t="n"/>
      <c r="AR248" s="53" t="n"/>
      <c r="AS248" s="53" t="n"/>
      <c r="AT248" s="53" t="n"/>
      <c r="AU248" s="53" t="n"/>
      <c r="AV248" s="53" t="n"/>
      <c r="AW248" s="53" t="n"/>
      <c r="AX248" s="53" t="n"/>
      <c r="AY248" s="53" t="n"/>
    </row>
    <row r="249" ht="15" customHeight="1">
      <c r="A249" s="40">
        <f>IF($D$249="","",80)</f>
        <v/>
      </c>
      <c r="B249" s="10" t="n"/>
      <c r="C249" s="41" t="inlineStr">
        <is>
          <t>마케팅4팀</t>
        </is>
      </c>
      <c r="D249" s="42" t="n"/>
      <c r="E249" s="43" t="inlineStr">
        <is>
          <t>기획</t>
        </is>
      </c>
      <c r="F249" s="44" t="n"/>
      <c r="G249" s="45" t="n"/>
      <c r="H249" s="46">
        <f>IF($I$249="","",IF($I$249&lt;0,"🔴지연",IF($I$249&lt;=1,"🟡임박","🟢여유")))</f>
        <v/>
      </c>
      <c r="I249" s="47">
        <f>IF(OR($G$249="",$K$249=""),"",$G$249-$K$249)</f>
        <v/>
      </c>
      <c r="J249" s="48">
        <f>IF(SUM($L$249:$L$251)=0,"",SUM($L$249:$L$251))</f>
        <v/>
      </c>
      <c r="K249" s="49">
        <f>IF($J$249="","",MAX($N$249:$N$251))</f>
        <v/>
      </c>
      <c r="L249" s="50">
        <f>IF(SUM(U249:AY249)=0,"",SUM(U249:AY249))</f>
        <v/>
      </c>
      <c r="M249" s="51">
        <f>IFERROR(INDEX(U$2:AY$2,MATCH(TRUE,INDEX(U249:AY249&lt;&gt;"",0),0)),"")</f>
        <v/>
      </c>
      <c r="N249" s="51">
        <f>IFERROR(LOOKUP(2,1/(U249:AY249&lt;&gt;""),U$2:AY$2),"")</f>
        <v/>
      </c>
      <c r="O249" s="52" t="n"/>
      <c r="P249" s="52" t="n"/>
      <c r="Q249" s="52" t="n"/>
      <c r="R249" s="44" t="n"/>
      <c r="S249" s="14" t="n"/>
      <c r="U249" s="53" t="n"/>
      <c r="V249" s="53" t="n"/>
      <c r="W249" s="53" t="n"/>
      <c r="X249" s="53" t="n"/>
      <c r="Y249" s="53" t="n"/>
      <c r="Z249" s="53" t="n"/>
      <c r="AA249" s="53" t="n"/>
      <c r="AB249" s="53" t="n"/>
      <c r="AC249" s="53" t="n"/>
      <c r="AD249" s="53" t="n"/>
      <c r="AE249" s="53" t="n"/>
      <c r="AF249" s="53" t="n"/>
      <c r="AG249" s="53" t="n"/>
      <c r="AH249" s="53" t="n"/>
      <c r="AI249" s="53" t="n"/>
      <c r="AJ249" s="53" t="n"/>
      <c r="AK249" s="53" t="n"/>
      <c r="AL249" s="53" t="n"/>
      <c r="AM249" s="53" t="n"/>
      <c r="AN249" s="53" t="n"/>
      <c r="AO249" s="53" t="n"/>
      <c r="AP249" s="53" t="n"/>
      <c r="AQ249" s="53" t="n"/>
      <c r="AR249" s="53" t="n"/>
      <c r="AS249" s="53" t="n"/>
      <c r="AT249" s="53" t="n"/>
      <c r="AU249" s="53" t="n"/>
      <c r="AV249" s="53" t="n"/>
      <c r="AW249" s="53" t="n"/>
      <c r="AX249" s="53" t="n"/>
      <c r="AY249" s="53" t="n"/>
    </row>
    <row r="250" ht="15" customHeight="1">
      <c r="A250" s="54" t="n"/>
      <c r="B250" s="55">
        <f>IF($B$249="","",$B$249)</f>
        <v/>
      </c>
      <c r="C250" s="56" t="inlineStr">
        <is>
          <t>마케팅4팀</t>
        </is>
      </c>
      <c r="D250" s="55">
        <f>IF($D$249="","",$D$249)</f>
        <v/>
      </c>
      <c r="E250" s="57" t="inlineStr">
        <is>
          <t>이미지</t>
        </is>
      </c>
      <c r="F250" s="44" t="n"/>
      <c r="G250" s="58">
        <f>IF($G$249="","",$G$249)</f>
        <v/>
      </c>
      <c r="H250" s="59" t="n"/>
      <c r="I250" s="59" t="n"/>
      <c r="J250" s="59" t="n"/>
      <c r="K250" s="59" t="n"/>
      <c r="L250" s="60">
        <f>IF(SUM(U250:AY250)=0,"",SUM(U250:AY250))</f>
        <v/>
      </c>
      <c r="M250" s="61">
        <f>IFERROR(INDEX(U$2:AY$2,MATCH(TRUE,INDEX(U250:AY250&lt;&gt;"",0),0)),"")</f>
        <v/>
      </c>
      <c r="N250" s="61">
        <f>IFERROR(LOOKUP(2,1/(U250:AY250&lt;&gt;""),U$2:AY$2),"")</f>
        <v/>
      </c>
      <c r="O250" s="59" t="n"/>
      <c r="P250" s="59" t="n"/>
      <c r="Q250" s="59" t="n"/>
      <c r="R250" s="59" t="n"/>
      <c r="S250" s="14" t="n"/>
      <c r="U250" s="53" t="n"/>
      <c r="V250" s="53" t="n"/>
      <c r="W250" s="53" t="n"/>
      <c r="X250" s="53" t="n"/>
      <c r="Y250" s="53" t="n"/>
      <c r="Z250" s="53" t="n"/>
      <c r="AA250" s="53" t="n"/>
      <c r="AB250" s="53" t="n"/>
      <c r="AC250" s="53" t="n"/>
      <c r="AD250" s="53" t="n"/>
      <c r="AE250" s="53" t="n"/>
      <c r="AF250" s="53" t="n"/>
      <c r="AG250" s="53" t="n"/>
      <c r="AH250" s="53" t="n"/>
      <c r="AI250" s="53" t="n"/>
      <c r="AJ250" s="53" t="n"/>
      <c r="AK250" s="53" t="n"/>
      <c r="AL250" s="53" t="n"/>
      <c r="AM250" s="53" t="n"/>
      <c r="AN250" s="53" t="n"/>
      <c r="AO250" s="53" t="n"/>
      <c r="AP250" s="53" t="n"/>
      <c r="AQ250" s="53" t="n"/>
      <c r="AR250" s="53" t="n"/>
      <c r="AS250" s="53" t="n"/>
      <c r="AT250" s="53" t="n"/>
      <c r="AU250" s="53" t="n"/>
      <c r="AV250" s="53" t="n"/>
      <c r="AW250" s="53" t="n"/>
      <c r="AX250" s="53" t="n"/>
      <c r="AY250" s="53" t="n"/>
    </row>
    <row r="251" ht="15" customHeight="1">
      <c r="A251" s="62" t="n"/>
      <c r="B251" s="55">
        <f>IF($B$249="","",$B$249)</f>
        <v/>
      </c>
      <c r="C251" s="63" t="inlineStr">
        <is>
          <t>마케팅4팀</t>
        </is>
      </c>
      <c r="D251" s="55">
        <f>IF($D$249="","",$D$249)</f>
        <v/>
      </c>
      <c r="E251" s="64" t="inlineStr">
        <is>
          <t>영상</t>
        </is>
      </c>
      <c r="F251" s="44" t="n"/>
      <c r="G251" s="58">
        <f>IF($G$249="","",$G$249)</f>
        <v/>
      </c>
      <c r="H251" s="59" t="n"/>
      <c r="I251" s="59" t="n"/>
      <c r="J251" s="59" t="n"/>
      <c r="K251" s="59" t="n"/>
      <c r="L251" s="65">
        <f>IF(SUM(U251:AY251)=0,"",SUM(U251:AY251))</f>
        <v/>
      </c>
      <c r="M251" s="66">
        <f>IFERROR(INDEX(U$2:AY$2,MATCH(TRUE,INDEX(U251:AY251&lt;&gt;"",0),0)),"")</f>
        <v/>
      </c>
      <c r="N251" s="66">
        <f>IFERROR(LOOKUP(2,1/(U251:AY251&lt;&gt;""),U$2:AY$2),"")</f>
        <v/>
      </c>
      <c r="O251" s="59" t="n"/>
      <c r="P251" s="59" t="n"/>
      <c r="Q251" s="59" t="n"/>
      <c r="R251" s="59" t="n"/>
      <c r="S251" s="14" t="n"/>
      <c r="U251" s="53" t="n"/>
      <c r="V251" s="53" t="n"/>
      <c r="W251" s="53" t="n"/>
      <c r="X251" s="53" t="n"/>
      <c r="Y251" s="53" t="n"/>
      <c r="Z251" s="53" t="n"/>
      <c r="AA251" s="53" t="n"/>
      <c r="AB251" s="53" t="n"/>
      <c r="AC251" s="53" t="n"/>
      <c r="AD251" s="53" t="n"/>
      <c r="AE251" s="53" t="n"/>
      <c r="AF251" s="53" t="n"/>
      <c r="AG251" s="53" t="n"/>
      <c r="AH251" s="53" t="n"/>
      <c r="AI251" s="53" t="n"/>
      <c r="AJ251" s="53" t="n"/>
      <c r="AK251" s="53" t="n"/>
      <c r="AL251" s="53" t="n"/>
      <c r="AM251" s="53" t="n"/>
      <c r="AN251" s="53" t="n"/>
      <c r="AO251" s="53" t="n"/>
      <c r="AP251" s="53" t="n"/>
      <c r="AQ251" s="53" t="n"/>
      <c r="AR251" s="53" t="n"/>
      <c r="AS251" s="53" t="n"/>
      <c r="AT251" s="53" t="n"/>
      <c r="AU251" s="53" t="n"/>
      <c r="AV251" s="53" t="n"/>
      <c r="AW251" s="53" t="n"/>
      <c r="AX251" s="53" t="n"/>
      <c r="AY251" s="53" t="n"/>
    </row>
    <row r="252" ht="18" customHeight="1">
      <c r="A252" s="39" t="inlineStr">
        <is>
          <t>기타   (253~312행 · 소재 20개)</t>
        </is>
      </c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  <c r="AA252" s="8" t="n"/>
      <c r="AB252" s="8" t="n"/>
      <c r="AC252" s="8" t="n"/>
      <c r="AD252" s="8" t="n"/>
      <c r="AE252" s="8" t="n"/>
      <c r="AF252" s="8" t="n"/>
      <c r="AG252" s="8" t="n"/>
      <c r="AH252" s="8" t="n"/>
      <c r="AI252" s="8" t="n"/>
      <c r="AJ252" s="8" t="n"/>
      <c r="AK252" s="8" t="n"/>
      <c r="AL252" s="8" t="n"/>
      <c r="AM252" s="8" t="n"/>
      <c r="AN252" s="8" t="n"/>
      <c r="AO252" s="8" t="n"/>
      <c r="AP252" s="8" t="n"/>
      <c r="AQ252" s="8" t="n"/>
      <c r="AR252" s="8" t="n"/>
      <c r="AS252" s="8" t="n"/>
      <c r="AT252" s="8" t="n"/>
      <c r="AU252" s="8" t="n"/>
      <c r="AV252" s="8" t="n"/>
      <c r="AW252" s="8" t="n"/>
      <c r="AX252" s="8" t="n"/>
      <c r="AY252" s="4" t="n"/>
    </row>
    <row r="253" ht="15" customHeight="1">
      <c r="A253" s="40">
        <f>IF($D$253="","",81)</f>
        <v/>
      </c>
      <c r="B253" s="10" t="n"/>
      <c r="C253" s="41" t="inlineStr">
        <is>
          <t>기타</t>
        </is>
      </c>
      <c r="D253" s="42" t="n"/>
      <c r="E253" s="43" t="inlineStr">
        <is>
          <t>기획</t>
        </is>
      </c>
      <c r="F253" s="44" t="n"/>
      <c r="G253" s="45" t="n"/>
      <c r="H253" s="46">
        <f>IF($I$253="","",IF($I$253&lt;0,"🔴지연",IF($I$253&lt;=1,"🟡임박","🟢여유")))</f>
        <v/>
      </c>
      <c r="I253" s="47">
        <f>IF(OR($G$253="",$K$253=""),"",$G$253-$K$253)</f>
        <v/>
      </c>
      <c r="J253" s="48">
        <f>IF(SUM($L$253:$L$255)=0,"",SUM($L$253:$L$255))</f>
        <v/>
      </c>
      <c r="K253" s="49">
        <f>IF($J$253="","",MAX($N$253:$N$255))</f>
        <v/>
      </c>
      <c r="L253" s="50">
        <f>IF(SUM(U253:AY253)=0,"",SUM(U253:AY253))</f>
        <v/>
      </c>
      <c r="M253" s="51">
        <f>IFERROR(INDEX(U$2:AY$2,MATCH(TRUE,INDEX(U253:AY253&lt;&gt;"",0),0)),"")</f>
        <v/>
      </c>
      <c r="N253" s="51">
        <f>IFERROR(LOOKUP(2,1/(U253:AY253&lt;&gt;""),U$2:AY$2),"")</f>
        <v/>
      </c>
      <c r="O253" s="52" t="n"/>
      <c r="P253" s="52" t="n"/>
      <c r="Q253" s="52" t="n"/>
      <c r="R253" s="44" t="n"/>
      <c r="S253" s="14" t="n"/>
      <c r="U253" s="53" t="n"/>
      <c r="V253" s="53" t="n"/>
      <c r="W253" s="53" t="n"/>
      <c r="X253" s="53" t="n"/>
      <c r="Y253" s="53" t="n"/>
      <c r="Z253" s="53" t="n"/>
      <c r="AA253" s="53" t="n"/>
      <c r="AB253" s="53" t="n"/>
      <c r="AC253" s="53" t="n"/>
      <c r="AD253" s="53" t="n"/>
      <c r="AE253" s="53" t="n"/>
      <c r="AF253" s="53" t="n"/>
      <c r="AG253" s="53" t="n"/>
      <c r="AH253" s="53" t="n"/>
      <c r="AI253" s="53" t="n"/>
      <c r="AJ253" s="53" t="n"/>
      <c r="AK253" s="53" t="n"/>
      <c r="AL253" s="53" t="n"/>
      <c r="AM253" s="53" t="n"/>
      <c r="AN253" s="53" t="n"/>
      <c r="AO253" s="53" t="n"/>
      <c r="AP253" s="53" t="n"/>
      <c r="AQ253" s="53" t="n"/>
      <c r="AR253" s="53" t="n"/>
      <c r="AS253" s="53" t="n"/>
      <c r="AT253" s="53" t="n"/>
      <c r="AU253" s="53" t="n"/>
      <c r="AV253" s="53" t="n"/>
      <c r="AW253" s="53" t="n"/>
      <c r="AX253" s="53" t="n"/>
      <c r="AY253" s="53" t="n"/>
    </row>
    <row r="254" ht="15" customHeight="1">
      <c r="A254" s="54" t="n"/>
      <c r="B254" s="55">
        <f>IF($B$253="","",$B$253)</f>
        <v/>
      </c>
      <c r="C254" s="56" t="inlineStr">
        <is>
          <t>기타</t>
        </is>
      </c>
      <c r="D254" s="55">
        <f>IF($D$253="","",$D$253)</f>
        <v/>
      </c>
      <c r="E254" s="57" t="inlineStr">
        <is>
          <t>이미지</t>
        </is>
      </c>
      <c r="F254" s="44" t="n"/>
      <c r="G254" s="58">
        <f>IF($G$253="","",$G$253)</f>
        <v/>
      </c>
      <c r="H254" s="59" t="n"/>
      <c r="I254" s="59" t="n"/>
      <c r="J254" s="59" t="n"/>
      <c r="K254" s="59" t="n"/>
      <c r="L254" s="60">
        <f>IF(SUM(U254:AY254)=0,"",SUM(U254:AY254))</f>
        <v/>
      </c>
      <c r="M254" s="61">
        <f>IFERROR(INDEX(U$2:AY$2,MATCH(TRUE,INDEX(U254:AY254&lt;&gt;"",0),0)),"")</f>
        <v/>
      </c>
      <c r="N254" s="61">
        <f>IFERROR(LOOKUP(2,1/(U254:AY254&lt;&gt;""),U$2:AY$2),"")</f>
        <v/>
      </c>
      <c r="O254" s="59" t="n"/>
      <c r="P254" s="59" t="n"/>
      <c r="Q254" s="59" t="n"/>
      <c r="R254" s="59" t="n"/>
      <c r="S254" s="14" t="n"/>
      <c r="U254" s="53" t="n"/>
      <c r="V254" s="53" t="n"/>
      <c r="W254" s="53" t="n"/>
      <c r="X254" s="53" t="n"/>
      <c r="Y254" s="53" t="n"/>
      <c r="Z254" s="53" t="n"/>
      <c r="AA254" s="53" t="n"/>
      <c r="AB254" s="53" t="n"/>
      <c r="AC254" s="53" t="n"/>
      <c r="AD254" s="53" t="n"/>
      <c r="AE254" s="53" t="n"/>
      <c r="AF254" s="53" t="n"/>
      <c r="AG254" s="53" t="n"/>
      <c r="AH254" s="53" t="n"/>
      <c r="AI254" s="53" t="n"/>
      <c r="AJ254" s="53" t="n"/>
      <c r="AK254" s="53" t="n"/>
      <c r="AL254" s="53" t="n"/>
      <c r="AM254" s="53" t="n"/>
      <c r="AN254" s="53" t="n"/>
      <c r="AO254" s="53" t="n"/>
      <c r="AP254" s="53" t="n"/>
      <c r="AQ254" s="53" t="n"/>
      <c r="AR254" s="53" t="n"/>
      <c r="AS254" s="53" t="n"/>
      <c r="AT254" s="53" t="n"/>
      <c r="AU254" s="53" t="n"/>
      <c r="AV254" s="53" t="n"/>
      <c r="AW254" s="53" t="n"/>
      <c r="AX254" s="53" t="n"/>
      <c r="AY254" s="53" t="n"/>
    </row>
    <row r="255" ht="15" customHeight="1">
      <c r="A255" s="62" t="n"/>
      <c r="B255" s="55">
        <f>IF($B$253="","",$B$253)</f>
        <v/>
      </c>
      <c r="C255" s="63" t="inlineStr">
        <is>
          <t>기타</t>
        </is>
      </c>
      <c r="D255" s="55">
        <f>IF($D$253="","",$D$253)</f>
        <v/>
      </c>
      <c r="E255" s="64" t="inlineStr">
        <is>
          <t>영상</t>
        </is>
      </c>
      <c r="F255" s="44" t="n"/>
      <c r="G255" s="58">
        <f>IF($G$253="","",$G$253)</f>
        <v/>
      </c>
      <c r="H255" s="59" t="n"/>
      <c r="I255" s="59" t="n"/>
      <c r="J255" s="59" t="n"/>
      <c r="K255" s="59" t="n"/>
      <c r="L255" s="65">
        <f>IF(SUM(U255:AY255)=0,"",SUM(U255:AY255))</f>
        <v/>
      </c>
      <c r="M255" s="66">
        <f>IFERROR(INDEX(U$2:AY$2,MATCH(TRUE,INDEX(U255:AY255&lt;&gt;"",0),0)),"")</f>
        <v/>
      </c>
      <c r="N255" s="66">
        <f>IFERROR(LOOKUP(2,1/(U255:AY255&lt;&gt;""),U$2:AY$2),"")</f>
        <v/>
      </c>
      <c r="O255" s="59" t="n"/>
      <c r="P255" s="59" t="n"/>
      <c r="Q255" s="59" t="n"/>
      <c r="R255" s="59" t="n"/>
      <c r="S255" s="14" t="n"/>
      <c r="U255" s="53" t="n"/>
      <c r="V255" s="53" t="n"/>
      <c r="W255" s="53" t="n"/>
      <c r="X255" s="53" t="n"/>
      <c r="Y255" s="53" t="n"/>
      <c r="Z255" s="53" t="n"/>
      <c r="AA255" s="53" t="n"/>
      <c r="AB255" s="53" t="n"/>
      <c r="AC255" s="53" t="n"/>
      <c r="AD255" s="53" t="n"/>
      <c r="AE255" s="53" t="n"/>
      <c r="AF255" s="53" t="n"/>
      <c r="AG255" s="53" t="n"/>
      <c r="AH255" s="53" t="n"/>
      <c r="AI255" s="53" t="n"/>
      <c r="AJ255" s="53" t="n"/>
      <c r="AK255" s="53" t="n"/>
      <c r="AL255" s="53" t="n"/>
      <c r="AM255" s="53" t="n"/>
      <c r="AN255" s="53" t="n"/>
      <c r="AO255" s="53" t="n"/>
      <c r="AP255" s="53" t="n"/>
      <c r="AQ255" s="53" t="n"/>
      <c r="AR255" s="53" t="n"/>
      <c r="AS255" s="53" t="n"/>
      <c r="AT255" s="53" t="n"/>
      <c r="AU255" s="53" t="n"/>
      <c r="AV255" s="53" t="n"/>
      <c r="AW255" s="53" t="n"/>
      <c r="AX255" s="53" t="n"/>
      <c r="AY255" s="53" t="n"/>
    </row>
    <row r="256" ht="15" customHeight="1">
      <c r="A256" s="40">
        <f>IF($D$256="","",82)</f>
        <v/>
      </c>
      <c r="B256" s="10" t="n"/>
      <c r="C256" s="41" t="inlineStr">
        <is>
          <t>기타</t>
        </is>
      </c>
      <c r="D256" s="42" t="n"/>
      <c r="E256" s="43" t="inlineStr">
        <is>
          <t>기획</t>
        </is>
      </c>
      <c r="F256" s="44" t="n"/>
      <c r="G256" s="45" t="n"/>
      <c r="H256" s="46">
        <f>IF($I$256="","",IF($I$256&lt;0,"🔴지연",IF($I$256&lt;=1,"🟡임박","🟢여유")))</f>
        <v/>
      </c>
      <c r="I256" s="47">
        <f>IF(OR($G$256="",$K$256=""),"",$G$256-$K$256)</f>
        <v/>
      </c>
      <c r="J256" s="48">
        <f>IF(SUM($L$256:$L$258)=0,"",SUM($L$256:$L$258))</f>
        <v/>
      </c>
      <c r="K256" s="49">
        <f>IF($J$256="","",MAX($N$256:$N$258))</f>
        <v/>
      </c>
      <c r="L256" s="50">
        <f>IF(SUM(U256:AY256)=0,"",SUM(U256:AY256))</f>
        <v/>
      </c>
      <c r="M256" s="51">
        <f>IFERROR(INDEX(U$2:AY$2,MATCH(TRUE,INDEX(U256:AY256&lt;&gt;"",0),0)),"")</f>
        <v/>
      </c>
      <c r="N256" s="51">
        <f>IFERROR(LOOKUP(2,1/(U256:AY256&lt;&gt;""),U$2:AY$2),"")</f>
        <v/>
      </c>
      <c r="O256" s="52" t="n"/>
      <c r="P256" s="52" t="n"/>
      <c r="Q256" s="52" t="n"/>
      <c r="R256" s="44" t="n"/>
      <c r="S256" s="14" t="n"/>
      <c r="U256" s="53" t="n"/>
      <c r="V256" s="53" t="n"/>
      <c r="W256" s="53" t="n"/>
      <c r="X256" s="53" t="n"/>
      <c r="Y256" s="53" t="n"/>
      <c r="Z256" s="53" t="n"/>
      <c r="AA256" s="53" t="n"/>
      <c r="AB256" s="53" t="n"/>
      <c r="AC256" s="53" t="n"/>
      <c r="AD256" s="53" t="n"/>
      <c r="AE256" s="53" t="n"/>
      <c r="AF256" s="53" t="n"/>
      <c r="AG256" s="53" t="n"/>
      <c r="AH256" s="53" t="n"/>
      <c r="AI256" s="53" t="n"/>
      <c r="AJ256" s="53" t="n"/>
      <c r="AK256" s="53" t="n"/>
      <c r="AL256" s="53" t="n"/>
      <c r="AM256" s="53" t="n"/>
      <c r="AN256" s="53" t="n"/>
      <c r="AO256" s="53" t="n"/>
      <c r="AP256" s="53" t="n"/>
      <c r="AQ256" s="53" t="n"/>
      <c r="AR256" s="53" t="n"/>
      <c r="AS256" s="53" t="n"/>
      <c r="AT256" s="53" t="n"/>
      <c r="AU256" s="53" t="n"/>
      <c r="AV256" s="53" t="n"/>
      <c r="AW256" s="53" t="n"/>
      <c r="AX256" s="53" t="n"/>
      <c r="AY256" s="53" t="n"/>
    </row>
    <row r="257" ht="15" customHeight="1">
      <c r="A257" s="54" t="n"/>
      <c r="B257" s="55">
        <f>IF($B$256="","",$B$256)</f>
        <v/>
      </c>
      <c r="C257" s="56" t="inlineStr">
        <is>
          <t>기타</t>
        </is>
      </c>
      <c r="D257" s="55">
        <f>IF($D$256="","",$D$256)</f>
        <v/>
      </c>
      <c r="E257" s="57" t="inlineStr">
        <is>
          <t>이미지</t>
        </is>
      </c>
      <c r="F257" s="44" t="n"/>
      <c r="G257" s="58">
        <f>IF($G$256="","",$G$256)</f>
        <v/>
      </c>
      <c r="H257" s="59" t="n"/>
      <c r="I257" s="59" t="n"/>
      <c r="J257" s="59" t="n"/>
      <c r="K257" s="59" t="n"/>
      <c r="L257" s="60">
        <f>IF(SUM(U257:AY257)=0,"",SUM(U257:AY257))</f>
        <v/>
      </c>
      <c r="M257" s="61">
        <f>IFERROR(INDEX(U$2:AY$2,MATCH(TRUE,INDEX(U257:AY257&lt;&gt;"",0),0)),"")</f>
        <v/>
      </c>
      <c r="N257" s="61">
        <f>IFERROR(LOOKUP(2,1/(U257:AY257&lt;&gt;""),U$2:AY$2),"")</f>
        <v/>
      </c>
      <c r="O257" s="59" t="n"/>
      <c r="P257" s="59" t="n"/>
      <c r="Q257" s="59" t="n"/>
      <c r="R257" s="59" t="n"/>
      <c r="S257" s="14" t="n"/>
      <c r="U257" s="53" t="n"/>
      <c r="V257" s="53" t="n"/>
      <c r="W257" s="53" t="n"/>
      <c r="X257" s="53" t="n"/>
      <c r="Y257" s="53" t="n"/>
      <c r="Z257" s="53" t="n"/>
      <c r="AA257" s="53" t="n"/>
      <c r="AB257" s="53" t="n"/>
      <c r="AC257" s="53" t="n"/>
      <c r="AD257" s="53" t="n"/>
      <c r="AE257" s="53" t="n"/>
      <c r="AF257" s="53" t="n"/>
      <c r="AG257" s="53" t="n"/>
      <c r="AH257" s="53" t="n"/>
      <c r="AI257" s="53" t="n"/>
      <c r="AJ257" s="53" t="n"/>
      <c r="AK257" s="53" t="n"/>
      <c r="AL257" s="53" t="n"/>
      <c r="AM257" s="53" t="n"/>
      <c r="AN257" s="53" t="n"/>
      <c r="AO257" s="53" t="n"/>
      <c r="AP257" s="53" t="n"/>
      <c r="AQ257" s="53" t="n"/>
      <c r="AR257" s="53" t="n"/>
      <c r="AS257" s="53" t="n"/>
      <c r="AT257" s="53" t="n"/>
      <c r="AU257" s="53" t="n"/>
      <c r="AV257" s="53" t="n"/>
      <c r="AW257" s="53" t="n"/>
      <c r="AX257" s="53" t="n"/>
      <c r="AY257" s="53" t="n"/>
    </row>
    <row r="258" ht="15" customHeight="1">
      <c r="A258" s="62" t="n"/>
      <c r="B258" s="55">
        <f>IF($B$256="","",$B$256)</f>
        <v/>
      </c>
      <c r="C258" s="63" t="inlineStr">
        <is>
          <t>기타</t>
        </is>
      </c>
      <c r="D258" s="55">
        <f>IF($D$256="","",$D$256)</f>
        <v/>
      </c>
      <c r="E258" s="64" t="inlineStr">
        <is>
          <t>영상</t>
        </is>
      </c>
      <c r="F258" s="44" t="n"/>
      <c r="G258" s="58">
        <f>IF($G$256="","",$G$256)</f>
        <v/>
      </c>
      <c r="H258" s="59" t="n"/>
      <c r="I258" s="59" t="n"/>
      <c r="J258" s="59" t="n"/>
      <c r="K258" s="59" t="n"/>
      <c r="L258" s="65">
        <f>IF(SUM(U258:AY258)=0,"",SUM(U258:AY258))</f>
        <v/>
      </c>
      <c r="M258" s="66">
        <f>IFERROR(INDEX(U$2:AY$2,MATCH(TRUE,INDEX(U258:AY258&lt;&gt;"",0),0)),"")</f>
        <v/>
      </c>
      <c r="N258" s="66">
        <f>IFERROR(LOOKUP(2,1/(U258:AY258&lt;&gt;""),U$2:AY$2),"")</f>
        <v/>
      </c>
      <c r="O258" s="59" t="n"/>
      <c r="P258" s="59" t="n"/>
      <c r="Q258" s="59" t="n"/>
      <c r="R258" s="59" t="n"/>
      <c r="S258" s="14" t="n"/>
      <c r="U258" s="53" t="n"/>
      <c r="V258" s="53" t="n"/>
      <c r="W258" s="53" t="n"/>
      <c r="X258" s="53" t="n"/>
      <c r="Y258" s="53" t="n"/>
      <c r="Z258" s="53" t="n"/>
      <c r="AA258" s="53" t="n"/>
      <c r="AB258" s="53" t="n"/>
      <c r="AC258" s="53" t="n"/>
      <c r="AD258" s="53" t="n"/>
      <c r="AE258" s="53" t="n"/>
      <c r="AF258" s="53" t="n"/>
      <c r="AG258" s="53" t="n"/>
      <c r="AH258" s="53" t="n"/>
      <c r="AI258" s="53" t="n"/>
      <c r="AJ258" s="53" t="n"/>
      <c r="AK258" s="53" t="n"/>
      <c r="AL258" s="53" t="n"/>
      <c r="AM258" s="53" t="n"/>
      <c r="AN258" s="53" t="n"/>
      <c r="AO258" s="53" t="n"/>
      <c r="AP258" s="53" t="n"/>
      <c r="AQ258" s="53" t="n"/>
      <c r="AR258" s="53" t="n"/>
      <c r="AS258" s="53" t="n"/>
      <c r="AT258" s="53" t="n"/>
      <c r="AU258" s="53" t="n"/>
      <c r="AV258" s="53" t="n"/>
      <c r="AW258" s="53" t="n"/>
      <c r="AX258" s="53" t="n"/>
      <c r="AY258" s="53" t="n"/>
    </row>
    <row r="259" ht="15" customHeight="1">
      <c r="A259" s="40">
        <f>IF($D$259="","",83)</f>
        <v/>
      </c>
      <c r="B259" s="10" t="n"/>
      <c r="C259" s="41" t="inlineStr">
        <is>
          <t>기타</t>
        </is>
      </c>
      <c r="D259" s="42" t="n"/>
      <c r="E259" s="43" t="inlineStr">
        <is>
          <t>기획</t>
        </is>
      </c>
      <c r="F259" s="44" t="n"/>
      <c r="G259" s="45" t="n"/>
      <c r="H259" s="46">
        <f>IF($I$259="","",IF($I$259&lt;0,"🔴지연",IF($I$259&lt;=1,"🟡임박","🟢여유")))</f>
        <v/>
      </c>
      <c r="I259" s="47">
        <f>IF(OR($G$259="",$K$259=""),"",$G$259-$K$259)</f>
        <v/>
      </c>
      <c r="J259" s="48">
        <f>IF(SUM($L$259:$L$261)=0,"",SUM($L$259:$L$261))</f>
        <v/>
      </c>
      <c r="K259" s="49">
        <f>IF($J$259="","",MAX($N$259:$N$261))</f>
        <v/>
      </c>
      <c r="L259" s="50">
        <f>IF(SUM(U259:AY259)=0,"",SUM(U259:AY259))</f>
        <v/>
      </c>
      <c r="M259" s="51">
        <f>IFERROR(INDEX(U$2:AY$2,MATCH(TRUE,INDEX(U259:AY259&lt;&gt;"",0),0)),"")</f>
        <v/>
      </c>
      <c r="N259" s="51">
        <f>IFERROR(LOOKUP(2,1/(U259:AY259&lt;&gt;""),U$2:AY$2),"")</f>
        <v/>
      </c>
      <c r="O259" s="52" t="n"/>
      <c r="P259" s="52" t="n"/>
      <c r="Q259" s="52" t="n"/>
      <c r="R259" s="44" t="n"/>
      <c r="S259" s="14" t="n"/>
      <c r="U259" s="53" t="n"/>
      <c r="V259" s="53" t="n"/>
      <c r="W259" s="53" t="n"/>
      <c r="X259" s="53" t="n"/>
      <c r="Y259" s="53" t="n"/>
      <c r="Z259" s="53" t="n"/>
      <c r="AA259" s="53" t="n"/>
      <c r="AB259" s="53" t="n"/>
      <c r="AC259" s="53" t="n"/>
      <c r="AD259" s="53" t="n"/>
      <c r="AE259" s="53" t="n"/>
      <c r="AF259" s="53" t="n"/>
      <c r="AG259" s="53" t="n"/>
      <c r="AH259" s="53" t="n"/>
      <c r="AI259" s="53" t="n"/>
      <c r="AJ259" s="53" t="n"/>
      <c r="AK259" s="53" t="n"/>
      <c r="AL259" s="53" t="n"/>
      <c r="AM259" s="53" t="n"/>
      <c r="AN259" s="53" t="n"/>
      <c r="AO259" s="53" t="n"/>
      <c r="AP259" s="53" t="n"/>
      <c r="AQ259" s="53" t="n"/>
      <c r="AR259" s="53" t="n"/>
      <c r="AS259" s="53" t="n"/>
      <c r="AT259" s="53" t="n"/>
      <c r="AU259" s="53" t="n"/>
      <c r="AV259" s="53" t="n"/>
      <c r="AW259" s="53" t="n"/>
      <c r="AX259" s="53" t="n"/>
      <c r="AY259" s="53" t="n"/>
    </row>
    <row r="260" ht="15" customHeight="1">
      <c r="A260" s="54" t="n"/>
      <c r="B260" s="55">
        <f>IF($B$259="","",$B$259)</f>
        <v/>
      </c>
      <c r="C260" s="56" t="inlineStr">
        <is>
          <t>기타</t>
        </is>
      </c>
      <c r="D260" s="55">
        <f>IF($D$259="","",$D$259)</f>
        <v/>
      </c>
      <c r="E260" s="57" t="inlineStr">
        <is>
          <t>이미지</t>
        </is>
      </c>
      <c r="F260" s="44" t="n"/>
      <c r="G260" s="58">
        <f>IF($G$259="","",$G$259)</f>
        <v/>
      </c>
      <c r="H260" s="59" t="n"/>
      <c r="I260" s="59" t="n"/>
      <c r="J260" s="59" t="n"/>
      <c r="K260" s="59" t="n"/>
      <c r="L260" s="60">
        <f>IF(SUM(U260:AY260)=0,"",SUM(U260:AY260))</f>
        <v/>
      </c>
      <c r="M260" s="61">
        <f>IFERROR(INDEX(U$2:AY$2,MATCH(TRUE,INDEX(U260:AY260&lt;&gt;"",0),0)),"")</f>
        <v/>
      </c>
      <c r="N260" s="61">
        <f>IFERROR(LOOKUP(2,1/(U260:AY260&lt;&gt;""),U$2:AY$2),"")</f>
        <v/>
      </c>
      <c r="O260" s="59" t="n"/>
      <c r="P260" s="59" t="n"/>
      <c r="Q260" s="59" t="n"/>
      <c r="R260" s="59" t="n"/>
      <c r="S260" s="14" t="n"/>
      <c r="U260" s="53" t="n"/>
      <c r="V260" s="53" t="n"/>
      <c r="W260" s="53" t="n"/>
      <c r="X260" s="53" t="n"/>
      <c r="Y260" s="53" t="n"/>
      <c r="Z260" s="53" t="n"/>
      <c r="AA260" s="53" t="n"/>
      <c r="AB260" s="53" t="n"/>
      <c r="AC260" s="53" t="n"/>
      <c r="AD260" s="53" t="n"/>
      <c r="AE260" s="53" t="n"/>
      <c r="AF260" s="53" t="n"/>
      <c r="AG260" s="53" t="n"/>
      <c r="AH260" s="53" t="n"/>
      <c r="AI260" s="53" t="n"/>
      <c r="AJ260" s="53" t="n"/>
      <c r="AK260" s="53" t="n"/>
      <c r="AL260" s="53" t="n"/>
      <c r="AM260" s="53" t="n"/>
      <c r="AN260" s="53" t="n"/>
      <c r="AO260" s="53" t="n"/>
      <c r="AP260" s="53" t="n"/>
      <c r="AQ260" s="53" t="n"/>
      <c r="AR260" s="53" t="n"/>
      <c r="AS260" s="53" t="n"/>
      <c r="AT260" s="53" t="n"/>
      <c r="AU260" s="53" t="n"/>
      <c r="AV260" s="53" t="n"/>
      <c r="AW260" s="53" t="n"/>
      <c r="AX260" s="53" t="n"/>
      <c r="AY260" s="53" t="n"/>
    </row>
    <row r="261" ht="15" customHeight="1">
      <c r="A261" s="62" t="n"/>
      <c r="B261" s="55">
        <f>IF($B$259="","",$B$259)</f>
        <v/>
      </c>
      <c r="C261" s="63" t="inlineStr">
        <is>
          <t>기타</t>
        </is>
      </c>
      <c r="D261" s="55">
        <f>IF($D$259="","",$D$259)</f>
        <v/>
      </c>
      <c r="E261" s="64" t="inlineStr">
        <is>
          <t>영상</t>
        </is>
      </c>
      <c r="F261" s="44" t="n"/>
      <c r="G261" s="58">
        <f>IF($G$259="","",$G$259)</f>
        <v/>
      </c>
      <c r="H261" s="59" t="n"/>
      <c r="I261" s="59" t="n"/>
      <c r="J261" s="59" t="n"/>
      <c r="K261" s="59" t="n"/>
      <c r="L261" s="65">
        <f>IF(SUM(U261:AY261)=0,"",SUM(U261:AY261))</f>
        <v/>
      </c>
      <c r="M261" s="66">
        <f>IFERROR(INDEX(U$2:AY$2,MATCH(TRUE,INDEX(U261:AY261&lt;&gt;"",0),0)),"")</f>
        <v/>
      </c>
      <c r="N261" s="66">
        <f>IFERROR(LOOKUP(2,1/(U261:AY261&lt;&gt;""),U$2:AY$2),"")</f>
        <v/>
      </c>
      <c r="O261" s="59" t="n"/>
      <c r="P261" s="59" t="n"/>
      <c r="Q261" s="59" t="n"/>
      <c r="R261" s="59" t="n"/>
      <c r="S261" s="14" t="n"/>
      <c r="U261" s="53" t="n"/>
      <c r="V261" s="53" t="n"/>
      <c r="W261" s="53" t="n"/>
      <c r="X261" s="53" t="n"/>
      <c r="Y261" s="53" t="n"/>
      <c r="Z261" s="53" t="n"/>
      <c r="AA261" s="53" t="n"/>
      <c r="AB261" s="53" t="n"/>
      <c r="AC261" s="53" t="n"/>
      <c r="AD261" s="53" t="n"/>
      <c r="AE261" s="53" t="n"/>
      <c r="AF261" s="53" t="n"/>
      <c r="AG261" s="53" t="n"/>
      <c r="AH261" s="53" t="n"/>
      <c r="AI261" s="53" t="n"/>
      <c r="AJ261" s="53" t="n"/>
      <c r="AK261" s="53" t="n"/>
      <c r="AL261" s="53" t="n"/>
      <c r="AM261" s="53" t="n"/>
      <c r="AN261" s="53" t="n"/>
      <c r="AO261" s="53" t="n"/>
      <c r="AP261" s="53" t="n"/>
      <c r="AQ261" s="53" t="n"/>
      <c r="AR261" s="53" t="n"/>
      <c r="AS261" s="53" t="n"/>
      <c r="AT261" s="53" t="n"/>
      <c r="AU261" s="53" t="n"/>
      <c r="AV261" s="53" t="n"/>
      <c r="AW261" s="53" t="n"/>
      <c r="AX261" s="53" t="n"/>
      <c r="AY261" s="53" t="n"/>
    </row>
    <row r="262" ht="15" customHeight="1">
      <c r="A262" s="40">
        <f>IF($D$262="","",84)</f>
        <v/>
      </c>
      <c r="B262" s="10" t="n"/>
      <c r="C262" s="41" t="inlineStr">
        <is>
          <t>기타</t>
        </is>
      </c>
      <c r="D262" s="42" t="n"/>
      <c r="E262" s="43" t="inlineStr">
        <is>
          <t>기획</t>
        </is>
      </c>
      <c r="F262" s="44" t="n"/>
      <c r="G262" s="45" t="n"/>
      <c r="H262" s="46">
        <f>IF($I$262="","",IF($I$262&lt;0,"🔴지연",IF($I$262&lt;=1,"🟡임박","🟢여유")))</f>
        <v/>
      </c>
      <c r="I262" s="47">
        <f>IF(OR($G$262="",$K$262=""),"",$G$262-$K$262)</f>
        <v/>
      </c>
      <c r="J262" s="48">
        <f>IF(SUM($L$262:$L$264)=0,"",SUM($L$262:$L$264))</f>
        <v/>
      </c>
      <c r="K262" s="49">
        <f>IF($J$262="","",MAX($N$262:$N$264))</f>
        <v/>
      </c>
      <c r="L262" s="50">
        <f>IF(SUM(U262:AY262)=0,"",SUM(U262:AY262))</f>
        <v/>
      </c>
      <c r="M262" s="51">
        <f>IFERROR(INDEX(U$2:AY$2,MATCH(TRUE,INDEX(U262:AY262&lt;&gt;"",0),0)),"")</f>
        <v/>
      </c>
      <c r="N262" s="51">
        <f>IFERROR(LOOKUP(2,1/(U262:AY262&lt;&gt;""),U$2:AY$2),"")</f>
        <v/>
      </c>
      <c r="O262" s="52" t="n"/>
      <c r="P262" s="52" t="n"/>
      <c r="Q262" s="52" t="n"/>
      <c r="R262" s="44" t="n"/>
      <c r="S262" s="14" t="n"/>
      <c r="U262" s="53" t="n"/>
      <c r="V262" s="53" t="n"/>
      <c r="W262" s="53" t="n"/>
      <c r="X262" s="53" t="n"/>
      <c r="Y262" s="53" t="n"/>
      <c r="Z262" s="53" t="n"/>
      <c r="AA262" s="53" t="n"/>
      <c r="AB262" s="53" t="n"/>
      <c r="AC262" s="53" t="n"/>
      <c r="AD262" s="53" t="n"/>
      <c r="AE262" s="53" t="n"/>
      <c r="AF262" s="53" t="n"/>
      <c r="AG262" s="53" t="n"/>
      <c r="AH262" s="53" t="n"/>
      <c r="AI262" s="53" t="n"/>
      <c r="AJ262" s="53" t="n"/>
      <c r="AK262" s="53" t="n"/>
      <c r="AL262" s="53" t="n"/>
      <c r="AM262" s="53" t="n"/>
      <c r="AN262" s="53" t="n"/>
      <c r="AO262" s="53" t="n"/>
      <c r="AP262" s="53" t="n"/>
      <c r="AQ262" s="53" t="n"/>
      <c r="AR262" s="53" t="n"/>
      <c r="AS262" s="53" t="n"/>
      <c r="AT262" s="53" t="n"/>
      <c r="AU262" s="53" t="n"/>
      <c r="AV262" s="53" t="n"/>
      <c r="AW262" s="53" t="n"/>
      <c r="AX262" s="53" t="n"/>
      <c r="AY262" s="53" t="n"/>
    </row>
    <row r="263" ht="15" customHeight="1">
      <c r="A263" s="54" t="n"/>
      <c r="B263" s="55">
        <f>IF($B$262="","",$B$262)</f>
        <v/>
      </c>
      <c r="C263" s="56" t="inlineStr">
        <is>
          <t>기타</t>
        </is>
      </c>
      <c r="D263" s="55">
        <f>IF($D$262="","",$D$262)</f>
        <v/>
      </c>
      <c r="E263" s="57" t="inlineStr">
        <is>
          <t>이미지</t>
        </is>
      </c>
      <c r="F263" s="44" t="n"/>
      <c r="G263" s="58">
        <f>IF($G$262="","",$G$262)</f>
        <v/>
      </c>
      <c r="H263" s="59" t="n"/>
      <c r="I263" s="59" t="n"/>
      <c r="J263" s="59" t="n"/>
      <c r="K263" s="59" t="n"/>
      <c r="L263" s="60">
        <f>IF(SUM(U263:AY263)=0,"",SUM(U263:AY263))</f>
        <v/>
      </c>
      <c r="M263" s="61">
        <f>IFERROR(INDEX(U$2:AY$2,MATCH(TRUE,INDEX(U263:AY263&lt;&gt;"",0),0)),"")</f>
        <v/>
      </c>
      <c r="N263" s="61">
        <f>IFERROR(LOOKUP(2,1/(U263:AY263&lt;&gt;""),U$2:AY$2),"")</f>
        <v/>
      </c>
      <c r="O263" s="59" t="n"/>
      <c r="P263" s="59" t="n"/>
      <c r="Q263" s="59" t="n"/>
      <c r="R263" s="59" t="n"/>
      <c r="S263" s="14" t="n"/>
      <c r="U263" s="53" t="n"/>
      <c r="V263" s="53" t="n"/>
      <c r="W263" s="53" t="n"/>
      <c r="X263" s="53" t="n"/>
      <c r="Y263" s="53" t="n"/>
      <c r="Z263" s="53" t="n"/>
      <c r="AA263" s="53" t="n"/>
      <c r="AB263" s="53" t="n"/>
      <c r="AC263" s="53" t="n"/>
      <c r="AD263" s="53" t="n"/>
      <c r="AE263" s="53" t="n"/>
      <c r="AF263" s="53" t="n"/>
      <c r="AG263" s="53" t="n"/>
      <c r="AH263" s="53" t="n"/>
      <c r="AI263" s="53" t="n"/>
      <c r="AJ263" s="53" t="n"/>
      <c r="AK263" s="53" t="n"/>
      <c r="AL263" s="53" t="n"/>
      <c r="AM263" s="53" t="n"/>
      <c r="AN263" s="53" t="n"/>
      <c r="AO263" s="53" t="n"/>
      <c r="AP263" s="53" t="n"/>
      <c r="AQ263" s="53" t="n"/>
      <c r="AR263" s="53" t="n"/>
      <c r="AS263" s="53" t="n"/>
      <c r="AT263" s="53" t="n"/>
      <c r="AU263" s="53" t="n"/>
      <c r="AV263" s="53" t="n"/>
      <c r="AW263" s="53" t="n"/>
      <c r="AX263" s="53" t="n"/>
      <c r="AY263" s="53" t="n"/>
    </row>
    <row r="264" ht="15" customHeight="1">
      <c r="A264" s="62" t="n"/>
      <c r="B264" s="55">
        <f>IF($B$262="","",$B$262)</f>
        <v/>
      </c>
      <c r="C264" s="63" t="inlineStr">
        <is>
          <t>기타</t>
        </is>
      </c>
      <c r="D264" s="55">
        <f>IF($D$262="","",$D$262)</f>
        <v/>
      </c>
      <c r="E264" s="64" t="inlineStr">
        <is>
          <t>영상</t>
        </is>
      </c>
      <c r="F264" s="44" t="n"/>
      <c r="G264" s="58">
        <f>IF($G$262="","",$G$262)</f>
        <v/>
      </c>
      <c r="H264" s="59" t="n"/>
      <c r="I264" s="59" t="n"/>
      <c r="J264" s="59" t="n"/>
      <c r="K264" s="59" t="n"/>
      <c r="L264" s="65">
        <f>IF(SUM(U264:AY264)=0,"",SUM(U264:AY264))</f>
        <v/>
      </c>
      <c r="M264" s="66">
        <f>IFERROR(INDEX(U$2:AY$2,MATCH(TRUE,INDEX(U264:AY264&lt;&gt;"",0),0)),"")</f>
        <v/>
      </c>
      <c r="N264" s="66">
        <f>IFERROR(LOOKUP(2,1/(U264:AY264&lt;&gt;""),U$2:AY$2),"")</f>
        <v/>
      </c>
      <c r="O264" s="59" t="n"/>
      <c r="P264" s="59" t="n"/>
      <c r="Q264" s="59" t="n"/>
      <c r="R264" s="59" t="n"/>
      <c r="S264" s="14" t="n"/>
      <c r="U264" s="53" t="n"/>
      <c r="V264" s="53" t="n"/>
      <c r="W264" s="53" t="n"/>
      <c r="X264" s="53" t="n"/>
      <c r="Y264" s="53" t="n"/>
      <c r="Z264" s="53" t="n"/>
      <c r="AA264" s="53" t="n"/>
      <c r="AB264" s="53" t="n"/>
      <c r="AC264" s="53" t="n"/>
      <c r="AD264" s="53" t="n"/>
      <c r="AE264" s="53" t="n"/>
      <c r="AF264" s="53" t="n"/>
      <c r="AG264" s="53" t="n"/>
      <c r="AH264" s="53" t="n"/>
      <c r="AI264" s="53" t="n"/>
      <c r="AJ264" s="53" t="n"/>
      <c r="AK264" s="53" t="n"/>
      <c r="AL264" s="53" t="n"/>
      <c r="AM264" s="53" t="n"/>
      <c r="AN264" s="53" t="n"/>
      <c r="AO264" s="53" t="n"/>
      <c r="AP264" s="53" t="n"/>
      <c r="AQ264" s="53" t="n"/>
      <c r="AR264" s="53" t="n"/>
      <c r="AS264" s="53" t="n"/>
      <c r="AT264" s="53" t="n"/>
      <c r="AU264" s="53" t="n"/>
      <c r="AV264" s="53" t="n"/>
      <c r="AW264" s="53" t="n"/>
      <c r="AX264" s="53" t="n"/>
      <c r="AY264" s="53" t="n"/>
    </row>
    <row r="265" ht="15" customHeight="1">
      <c r="A265" s="40">
        <f>IF($D$265="","",85)</f>
        <v/>
      </c>
      <c r="B265" s="10" t="n"/>
      <c r="C265" s="41" t="inlineStr">
        <is>
          <t>기타</t>
        </is>
      </c>
      <c r="D265" s="42" t="n"/>
      <c r="E265" s="43" t="inlineStr">
        <is>
          <t>기획</t>
        </is>
      </c>
      <c r="F265" s="44" t="n"/>
      <c r="G265" s="45" t="n"/>
      <c r="H265" s="46">
        <f>IF($I$265="","",IF($I$265&lt;0,"🔴지연",IF($I$265&lt;=1,"🟡임박","🟢여유")))</f>
        <v/>
      </c>
      <c r="I265" s="47">
        <f>IF(OR($G$265="",$K$265=""),"",$G$265-$K$265)</f>
        <v/>
      </c>
      <c r="J265" s="48">
        <f>IF(SUM($L$265:$L$267)=0,"",SUM($L$265:$L$267))</f>
        <v/>
      </c>
      <c r="K265" s="49">
        <f>IF($J$265="","",MAX($N$265:$N$267))</f>
        <v/>
      </c>
      <c r="L265" s="50">
        <f>IF(SUM(U265:AY265)=0,"",SUM(U265:AY265))</f>
        <v/>
      </c>
      <c r="M265" s="51">
        <f>IFERROR(INDEX(U$2:AY$2,MATCH(TRUE,INDEX(U265:AY265&lt;&gt;"",0),0)),"")</f>
        <v/>
      </c>
      <c r="N265" s="51">
        <f>IFERROR(LOOKUP(2,1/(U265:AY265&lt;&gt;""),U$2:AY$2),"")</f>
        <v/>
      </c>
      <c r="O265" s="52" t="n"/>
      <c r="P265" s="52" t="n"/>
      <c r="Q265" s="52" t="n"/>
      <c r="R265" s="44" t="n"/>
      <c r="S265" s="14" t="n"/>
      <c r="U265" s="53" t="n"/>
      <c r="V265" s="53" t="n"/>
      <c r="W265" s="53" t="n"/>
      <c r="X265" s="53" t="n"/>
      <c r="Y265" s="53" t="n"/>
      <c r="Z265" s="53" t="n"/>
      <c r="AA265" s="53" t="n"/>
      <c r="AB265" s="53" t="n"/>
      <c r="AC265" s="53" t="n"/>
      <c r="AD265" s="53" t="n"/>
      <c r="AE265" s="53" t="n"/>
      <c r="AF265" s="53" t="n"/>
      <c r="AG265" s="53" t="n"/>
      <c r="AH265" s="53" t="n"/>
      <c r="AI265" s="53" t="n"/>
      <c r="AJ265" s="53" t="n"/>
      <c r="AK265" s="53" t="n"/>
      <c r="AL265" s="53" t="n"/>
      <c r="AM265" s="53" t="n"/>
      <c r="AN265" s="53" t="n"/>
      <c r="AO265" s="53" t="n"/>
      <c r="AP265" s="53" t="n"/>
      <c r="AQ265" s="53" t="n"/>
      <c r="AR265" s="53" t="n"/>
      <c r="AS265" s="53" t="n"/>
      <c r="AT265" s="53" t="n"/>
      <c r="AU265" s="53" t="n"/>
      <c r="AV265" s="53" t="n"/>
      <c r="AW265" s="53" t="n"/>
      <c r="AX265" s="53" t="n"/>
      <c r="AY265" s="53" t="n"/>
    </row>
    <row r="266" ht="15" customHeight="1">
      <c r="A266" s="54" t="n"/>
      <c r="B266" s="55">
        <f>IF($B$265="","",$B$265)</f>
        <v/>
      </c>
      <c r="C266" s="56" t="inlineStr">
        <is>
          <t>기타</t>
        </is>
      </c>
      <c r="D266" s="55">
        <f>IF($D$265="","",$D$265)</f>
        <v/>
      </c>
      <c r="E266" s="57" t="inlineStr">
        <is>
          <t>이미지</t>
        </is>
      </c>
      <c r="F266" s="44" t="n"/>
      <c r="G266" s="58">
        <f>IF($G$265="","",$G$265)</f>
        <v/>
      </c>
      <c r="H266" s="59" t="n"/>
      <c r="I266" s="59" t="n"/>
      <c r="J266" s="59" t="n"/>
      <c r="K266" s="59" t="n"/>
      <c r="L266" s="60">
        <f>IF(SUM(U266:AY266)=0,"",SUM(U266:AY266))</f>
        <v/>
      </c>
      <c r="M266" s="61">
        <f>IFERROR(INDEX(U$2:AY$2,MATCH(TRUE,INDEX(U266:AY266&lt;&gt;"",0),0)),"")</f>
        <v/>
      </c>
      <c r="N266" s="61">
        <f>IFERROR(LOOKUP(2,1/(U266:AY266&lt;&gt;""),U$2:AY$2),"")</f>
        <v/>
      </c>
      <c r="O266" s="59" t="n"/>
      <c r="P266" s="59" t="n"/>
      <c r="Q266" s="59" t="n"/>
      <c r="R266" s="59" t="n"/>
      <c r="S266" s="14" t="n"/>
      <c r="U266" s="53" t="n"/>
      <c r="V266" s="53" t="n"/>
      <c r="W266" s="53" t="n"/>
      <c r="X266" s="53" t="n"/>
      <c r="Y266" s="53" t="n"/>
      <c r="Z266" s="53" t="n"/>
      <c r="AA266" s="53" t="n"/>
      <c r="AB266" s="53" t="n"/>
      <c r="AC266" s="53" t="n"/>
      <c r="AD266" s="53" t="n"/>
      <c r="AE266" s="53" t="n"/>
      <c r="AF266" s="53" t="n"/>
      <c r="AG266" s="53" t="n"/>
      <c r="AH266" s="53" t="n"/>
      <c r="AI266" s="53" t="n"/>
      <c r="AJ266" s="53" t="n"/>
      <c r="AK266" s="53" t="n"/>
      <c r="AL266" s="53" t="n"/>
      <c r="AM266" s="53" t="n"/>
      <c r="AN266" s="53" t="n"/>
      <c r="AO266" s="53" t="n"/>
      <c r="AP266" s="53" t="n"/>
      <c r="AQ266" s="53" t="n"/>
      <c r="AR266" s="53" t="n"/>
      <c r="AS266" s="53" t="n"/>
      <c r="AT266" s="53" t="n"/>
      <c r="AU266" s="53" t="n"/>
      <c r="AV266" s="53" t="n"/>
      <c r="AW266" s="53" t="n"/>
      <c r="AX266" s="53" t="n"/>
      <c r="AY266" s="53" t="n"/>
    </row>
    <row r="267" ht="15" customHeight="1">
      <c r="A267" s="62" t="n"/>
      <c r="B267" s="55">
        <f>IF($B$265="","",$B$265)</f>
        <v/>
      </c>
      <c r="C267" s="63" t="inlineStr">
        <is>
          <t>기타</t>
        </is>
      </c>
      <c r="D267" s="55">
        <f>IF($D$265="","",$D$265)</f>
        <v/>
      </c>
      <c r="E267" s="64" t="inlineStr">
        <is>
          <t>영상</t>
        </is>
      </c>
      <c r="F267" s="44" t="n"/>
      <c r="G267" s="58">
        <f>IF($G$265="","",$G$265)</f>
        <v/>
      </c>
      <c r="H267" s="59" t="n"/>
      <c r="I267" s="59" t="n"/>
      <c r="J267" s="59" t="n"/>
      <c r="K267" s="59" t="n"/>
      <c r="L267" s="65">
        <f>IF(SUM(U267:AY267)=0,"",SUM(U267:AY267))</f>
        <v/>
      </c>
      <c r="M267" s="66">
        <f>IFERROR(INDEX(U$2:AY$2,MATCH(TRUE,INDEX(U267:AY267&lt;&gt;"",0),0)),"")</f>
        <v/>
      </c>
      <c r="N267" s="66">
        <f>IFERROR(LOOKUP(2,1/(U267:AY267&lt;&gt;""),U$2:AY$2),"")</f>
        <v/>
      </c>
      <c r="O267" s="59" t="n"/>
      <c r="P267" s="59" t="n"/>
      <c r="Q267" s="59" t="n"/>
      <c r="R267" s="59" t="n"/>
      <c r="S267" s="14" t="n"/>
      <c r="U267" s="53" t="n"/>
      <c r="V267" s="53" t="n"/>
      <c r="W267" s="53" t="n"/>
      <c r="X267" s="53" t="n"/>
      <c r="Y267" s="53" t="n"/>
      <c r="Z267" s="53" t="n"/>
      <c r="AA267" s="53" t="n"/>
      <c r="AB267" s="53" t="n"/>
      <c r="AC267" s="53" t="n"/>
      <c r="AD267" s="53" t="n"/>
      <c r="AE267" s="53" t="n"/>
      <c r="AF267" s="53" t="n"/>
      <c r="AG267" s="53" t="n"/>
      <c r="AH267" s="53" t="n"/>
      <c r="AI267" s="53" t="n"/>
      <c r="AJ267" s="53" t="n"/>
      <c r="AK267" s="53" t="n"/>
      <c r="AL267" s="53" t="n"/>
      <c r="AM267" s="53" t="n"/>
      <c r="AN267" s="53" t="n"/>
      <c r="AO267" s="53" t="n"/>
      <c r="AP267" s="53" t="n"/>
      <c r="AQ267" s="53" t="n"/>
      <c r="AR267" s="53" t="n"/>
      <c r="AS267" s="53" t="n"/>
      <c r="AT267" s="53" t="n"/>
      <c r="AU267" s="53" t="n"/>
      <c r="AV267" s="53" t="n"/>
      <c r="AW267" s="53" t="n"/>
      <c r="AX267" s="53" t="n"/>
      <c r="AY267" s="53" t="n"/>
    </row>
    <row r="268" ht="15" customHeight="1">
      <c r="A268" s="40">
        <f>IF($D$268="","",86)</f>
        <v/>
      </c>
      <c r="B268" s="10" t="n"/>
      <c r="C268" s="41" t="inlineStr">
        <is>
          <t>기타</t>
        </is>
      </c>
      <c r="D268" s="42" t="n"/>
      <c r="E268" s="43" t="inlineStr">
        <is>
          <t>기획</t>
        </is>
      </c>
      <c r="F268" s="44" t="n"/>
      <c r="G268" s="45" t="n"/>
      <c r="H268" s="46">
        <f>IF($I$268="","",IF($I$268&lt;0,"🔴지연",IF($I$268&lt;=1,"🟡임박","🟢여유")))</f>
        <v/>
      </c>
      <c r="I268" s="47">
        <f>IF(OR($G$268="",$K$268=""),"",$G$268-$K$268)</f>
        <v/>
      </c>
      <c r="J268" s="48">
        <f>IF(SUM($L$268:$L$270)=0,"",SUM($L$268:$L$270))</f>
        <v/>
      </c>
      <c r="K268" s="49">
        <f>IF($J$268="","",MAX($N$268:$N$270))</f>
        <v/>
      </c>
      <c r="L268" s="50">
        <f>IF(SUM(U268:AY268)=0,"",SUM(U268:AY268))</f>
        <v/>
      </c>
      <c r="M268" s="51">
        <f>IFERROR(INDEX(U$2:AY$2,MATCH(TRUE,INDEX(U268:AY268&lt;&gt;"",0),0)),"")</f>
        <v/>
      </c>
      <c r="N268" s="51">
        <f>IFERROR(LOOKUP(2,1/(U268:AY268&lt;&gt;""),U$2:AY$2),"")</f>
        <v/>
      </c>
      <c r="O268" s="52" t="n"/>
      <c r="P268" s="52" t="n"/>
      <c r="Q268" s="52" t="n"/>
      <c r="R268" s="44" t="n"/>
      <c r="S268" s="14" t="n"/>
      <c r="U268" s="53" t="n"/>
      <c r="V268" s="53" t="n"/>
      <c r="W268" s="53" t="n"/>
      <c r="X268" s="53" t="n"/>
      <c r="Y268" s="53" t="n"/>
      <c r="Z268" s="53" t="n"/>
      <c r="AA268" s="53" t="n"/>
      <c r="AB268" s="53" t="n"/>
      <c r="AC268" s="53" t="n"/>
      <c r="AD268" s="53" t="n"/>
      <c r="AE268" s="53" t="n"/>
      <c r="AF268" s="53" t="n"/>
      <c r="AG268" s="53" t="n"/>
      <c r="AH268" s="53" t="n"/>
      <c r="AI268" s="53" t="n"/>
      <c r="AJ268" s="53" t="n"/>
      <c r="AK268" s="53" t="n"/>
      <c r="AL268" s="53" t="n"/>
      <c r="AM268" s="53" t="n"/>
      <c r="AN268" s="53" t="n"/>
      <c r="AO268" s="53" t="n"/>
      <c r="AP268" s="53" t="n"/>
      <c r="AQ268" s="53" t="n"/>
      <c r="AR268" s="53" t="n"/>
      <c r="AS268" s="53" t="n"/>
      <c r="AT268" s="53" t="n"/>
      <c r="AU268" s="53" t="n"/>
      <c r="AV268" s="53" t="n"/>
      <c r="AW268" s="53" t="n"/>
      <c r="AX268" s="53" t="n"/>
      <c r="AY268" s="53" t="n"/>
    </row>
    <row r="269" ht="15" customHeight="1">
      <c r="A269" s="54" t="n"/>
      <c r="B269" s="55">
        <f>IF($B$268="","",$B$268)</f>
        <v/>
      </c>
      <c r="C269" s="56" t="inlineStr">
        <is>
          <t>기타</t>
        </is>
      </c>
      <c r="D269" s="55">
        <f>IF($D$268="","",$D$268)</f>
        <v/>
      </c>
      <c r="E269" s="57" t="inlineStr">
        <is>
          <t>이미지</t>
        </is>
      </c>
      <c r="F269" s="44" t="n"/>
      <c r="G269" s="58">
        <f>IF($G$268="","",$G$268)</f>
        <v/>
      </c>
      <c r="H269" s="59" t="n"/>
      <c r="I269" s="59" t="n"/>
      <c r="J269" s="59" t="n"/>
      <c r="K269" s="59" t="n"/>
      <c r="L269" s="60">
        <f>IF(SUM(U269:AY269)=0,"",SUM(U269:AY269))</f>
        <v/>
      </c>
      <c r="M269" s="61">
        <f>IFERROR(INDEX(U$2:AY$2,MATCH(TRUE,INDEX(U269:AY269&lt;&gt;"",0),0)),"")</f>
        <v/>
      </c>
      <c r="N269" s="61">
        <f>IFERROR(LOOKUP(2,1/(U269:AY269&lt;&gt;""),U$2:AY$2),"")</f>
        <v/>
      </c>
      <c r="O269" s="59" t="n"/>
      <c r="P269" s="59" t="n"/>
      <c r="Q269" s="59" t="n"/>
      <c r="R269" s="59" t="n"/>
      <c r="S269" s="14" t="n"/>
      <c r="U269" s="53" t="n"/>
      <c r="V269" s="53" t="n"/>
      <c r="W269" s="53" t="n"/>
      <c r="X269" s="53" t="n"/>
      <c r="Y269" s="53" t="n"/>
      <c r="Z269" s="53" t="n"/>
      <c r="AA269" s="53" t="n"/>
      <c r="AB269" s="53" t="n"/>
      <c r="AC269" s="53" t="n"/>
      <c r="AD269" s="53" t="n"/>
      <c r="AE269" s="53" t="n"/>
      <c r="AF269" s="53" t="n"/>
      <c r="AG269" s="53" t="n"/>
      <c r="AH269" s="53" t="n"/>
      <c r="AI269" s="53" t="n"/>
      <c r="AJ269" s="53" t="n"/>
      <c r="AK269" s="53" t="n"/>
      <c r="AL269" s="53" t="n"/>
      <c r="AM269" s="53" t="n"/>
      <c r="AN269" s="53" t="n"/>
      <c r="AO269" s="53" t="n"/>
      <c r="AP269" s="53" t="n"/>
      <c r="AQ269" s="53" t="n"/>
      <c r="AR269" s="53" t="n"/>
      <c r="AS269" s="53" t="n"/>
      <c r="AT269" s="53" t="n"/>
      <c r="AU269" s="53" t="n"/>
      <c r="AV269" s="53" t="n"/>
      <c r="AW269" s="53" t="n"/>
      <c r="AX269" s="53" t="n"/>
      <c r="AY269" s="53" t="n"/>
    </row>
    <row r="270" ht="15" customHeight="1">
      <c r="A270" s="62" t="n"/>
      <c r="B270" s="55">
        <f>IF($B$268="","",$B$268)</f>
        <v/>
      </c>
      <c r="C270" s="63" t="inlineStr">
        <is>
          <t>기타</t>
        </is>
      </c>
      <c r="D270" s="55">
        <f>IF($D$268="","",$D$268)</f>
        <v/>
      </c>
      <c r="E270" s="64" t="inlineStr">
        <is>
          <t>영상</t>
        </is>
      </c>
      <c r="F270" s="44" t="n"/>
      <c r="G270" s="58">
        <f>IF($G$268="","",$G$268)</f>
        <v/>
      </c>
      <c r="H270" s="59" t="n"/>
      <c r="I270" s="59" t="n"/>
      <c r="J270" s="59" t="n"/>
      <c r="K270" s="59" t="n"/>
      <c r="L270" s="65">
        <f>IF(SUM(U270:AY270)=0,"",SUM(U270:AY270))</f>
        <v/>
      </c>
      <c r="M270" s="66">
        <f>IFERROR(INDEX(U$2:AY$2,MATCH(TRUE,INDEX(U270:AY270&lt;&gt;"",0),0)),"")</f>
        <v/>
      </c>
      <c r="N270" s="66">
        <f>IFERROR(LOOKUP(2,1/(U270:AY270&lt;&gt;""),U$2:AY$2),"")</f>
        <v/>
      </c>
      <c r="O270" s="59" t="n"/>
      <c r="P270" s="59" t="n"/>
      <c r="Q270" s="59" t="n"/>
      <c r="R270" s="59" t="n"/>
      <c r="S270" s="14" t="n"/>
      <c r="U270" s="53" t="n"/>
      <c r="V270" s="53" t="n"/>
      <c r="W270" s="53" t="n"/>
      <c r="X270" s="53" t="n"/>
      <c r="Y270" s="53" t="n"/>
      <c r="Z270" s="53" t="n"/>
      <c r="AA270" s="53" t="n"/>
      <c r="AB270" s="53" t="n"/>
      <c r="AC270" s="53" t="n"/>
      <c r="AD270" s="53" t="n"/>
      <c r="AE270" s="53" t="n"/>
      <c r="AF270" s="53" t="n"/>
      <c r="AG270" s="53" t="n"/>
      <c r="AH270" s="53" t="n"/>
      <c r="AI270" s="53" t="n"/>
      <c r="AJ270" s="53" t="n"/>
      <c r="AK270" s="53" t="n"/>
      <c r="AL270" s="53" t="n"/>
      <c r="AM270" s="53" t="n"/>
      <c r="AN270" s="53" t="n"/>
      <c r="AO270" s="53" t="n"/>
      <c r="AP270" s="53" t="n"/>
      <c r="AQ270" s="53" t="n"/>
      <c r="AR270" s="53" t="n"/>
      <c r="AS270" s="53" t="n"/>
      <c r="AT270" s="53" t="n"/>
      <c r="AU270" s="53" t="n"/>
      <c r="AV270" s="53" t="n"/>
      <c r="AW270" s="53" t="n"/>
      <c r="AX270" s="53" t="n"/>
      <c r="AY270" s="53" t="n"/>
    </row>
    <row r="271" ht="15" customHeight="1">
      <c r="A271" s="40">
        <f>IF($D$271="","",87)</f>
        <v/>
      </c>
      <c r="B271" s="10" t="n"/>
      <c r="C271" s="41" t="inlineStr">
        <is>
          <t>기타</t>
        </is>
      </c>
      <c r="D271" s="42" t="n"/>
      <c r="E271" s="43" t="inlineStr">
        <is>
          <t>기획</t>
        </is>
      </c>
      <c r="F271" s="44" t="n"/>
      <c r="G271" s="45" t="n"/>
      <c r="H271" s="46">
        <f>IF($I$271="","",IF($I$271&lt;0,"🔴지연",IF($I$271&lt;=1,"🟡임박","🟢여유")))</f>
        <v/>
      </c>
      <c r="I271" s="47">
        <f>IF(OR($G$271="",$K$271=""),"",$G$271-$K$271)</f>
        <v/>
      </c>
      <c r="J271" s="48">
        <f>IF(SUM($L$271:$L$273)=0,"",SUM($L$271:$L$273))</f>
        <v/>
      </c>
      <c r="K271" s="49">
        <f>IF($J$271="","",MAX($N$271:$N$273))</f>
        <v/>
      </c>
      <c r="L271" s="50">
        <f>IF(SUM(U271:AY271)=0,"",SUM(U271:AY271))</f>
        <v/>
      </c>
      <c r="M271" s="51">
        <f>IFERROR(INDEX(U$2:AY$2,MATCH(TRUE,INDEX(U271:AY271&lt;&gt;"",0),0)),"")</f>
        <v/>
      </c>
      <c r="N271" s="51">
        <f>IFERROR(LOOKUP(2,1/(U271:AY271&lt;&gt;""),U$2:AY$2),"")</f>
        <v/>
      </c>
      <c r="O271" s="52" t="n"/>
      <c r="P271" s="52" t="n"/>
      <c r="Q271" s="52" t="n"/>
      <c r="R271" s="44" t="n"/>
      <c r="S271" s="14" t="n"/>
      <c r="U271" s="53" t="n"/>
      <c r="V271" s="53" t="n"/>
      <c r="W271" s="53" t="n"/>
      <c r="X271" s="53" t="n"/>
      <c r="Y271" s="53" t="n"/>
      <c r="Z271" s="53" t="n"/>
      <c r="AA271" s="53" t="n"/>
      <c r="AB271" s="53" t="n"/>
      <c r="AC271" s="53" t="n"/>
      <c r="AD271" s="53" t="n"/>
      <c r="AE271" s="53" t="n"/>
      <c r="AF271" s="53" t="n"/>
      <c r="AG271" s="53" t="n"/>
      <c r="AH271" s="53" t="n"/>
      <c r="AI271" s="53" t="n"/>
      <c r="AJ271" s="53" t="n"/>
      <c r="AK271" s="53" t="n"/>
      <c r="AL271" s="53" t="n"/>
      <c r="AM271" s="53" t="n"/>
      <c r="AN271" s="53" t="n"/>
      <c r="AO271" s="53" t="n"/>
      <c r="AP271" s="53" t="n"/>
      <c r="AQ271" s="53" t="n"/>
      <c r="AR271" s="53" t="n"/>
      <c r="AS271" s="53" t="n"/>
      <c r="AT271" s="53" t="n"/>
      <c r="AU271" s="53" t="n"/>
      <c r="AV271" s="53" t="n"/>
      <c r="AW271" s="53" t="n"/>
      <c r="AX271" s="53" t="n"/>
      <c r="AY271" s="53" t="n"/>
    </row>
    <row r="272" ht="15" customHeight="1">
      <c r="A272" s="54" t="n"/>
      <c r="B272" s="55">
        <f>IF($B$271="","",$B$271)</f>
        <v/>
      </c>
      <c r="C272" s="56" t="inlineStr">
        <is>
          <t>기타</t>
        </is>
      </c>
      <c r="D272" s="55">
        <f>IF($D$271="","",$D$271)</f>
        <v/>
      </c>
      <c r="E272" s="57" t="inlineStr">
        <is>
          <t>이미지</t>
        </is>
      </c>
      <c r="F272" s="44" t="n"/>
      <c r="G272" s="58">
        <f>IF($G$271="","",$G$271)</f>
        <v/>
      </c>
      <c r="H272" s="59" t="n"/>
      <c r="I272" s="59" t="n"/>
      <c r="J272" s="59" t="n"/>
      <c r="K272" s="59" t="n"/>
      <c r="L272" s="60">
        <f>IF(SUM(U272:AY272)=0,"",SUM(U272:AY272))</f>
        <v/>
      </c>
      <c r="M272" s="61">
        <f>IFERROR(INDEX(U$2:AY$2,MATCH(TRUE,INDEX(U272:AY272&lt;&gt;"",0),0)),"")</f>
        <v/>
      </c>
      <c r="N272" s="61">
        <f>IFERROR(LOOKUP(2,1/(U272:AY272&lt;&gt;""),U$2:AY$2),"")</f>
        <v/>
      </c>
      <c r="O272" s="59" t="n"/>
      <c r="P272" s="59" t="n"/>
      <c r="Q272" s="59" t="n"/>
      <c r="R272" s="59" t="n"/>
      <c r="S272" s="14" t="n"/>
      <c r="U272" s="53" t="n"/>
      <c r="V272" s="53" t="n"/>
      <c r="W272" s="53" t="n"/>
      <c r="X272" s="53" t="n"/>
      <c r="Y272" s="53" t="n"/>
      <c r="Z272" s="53" t="n"/>
      <c r="AA272" s="53" t="n"/>
      <c r="AB272" s="53" t="n"/>
      <c r="AC272" s="53" t="n"/>
      <c r="AD272" s="53" t="n"/>
      <c r="AE272" s="53" t="n"/>
      <c r="AF272" s="53" t="n"/>
      <c r="AG272" s="53" t="n"/>
      <c r="AH272" s="53" t="n"/>
      <c r="AI272" s="53" t="n"/>
      <c r="AJ272" s="53" t="n"/>
      <c r="AK272" s="53" t="n"/>
      <c r="AL272" s="53" t="n"/>
      <c r="AM272" s="53" t="n"/>
      <c r="AN272" s="53" t="n"/>
      <c r="AO272" s="53" t="n"/>
      <c r="AP272" s="53" t="n"/>
      <c r="AQ272" s="53" t="n"/>
      <c r="AR272" s="53" t="n"/>
      <c r="AS272" s="53" t="n"/>
      <c r="AT272" s="53" t="n"/>
      <c r="AU272" s="53" t="n"/>
      <c r="AV272" s="53" t="n"/>
      <c r="AW272" s="53" t="n"/>
      <c r="AX272" s="53" t="n"/>
      <c r="AY272" s="53" t="n"/>
    </row>
    <row r="273" ht="15" customHeight="1">
      <c r="A273" s="62" t="n"/>
      <c r="B273" s="55">
        <f>IF($B$271="","",$B$271)</f>
        <v/>
      </c>
      <c r="C273" s="63" t="inlineStr">
        <is>
          <t>기타</t>
        </is>
      </c>
      <c r="D273" s="55">
        <f>IF($D$271="","",$D$271)</f>
        <v/>
      </c>
      <c r="E273" s="64" t="inlineStr">
        <is>
          <t>영상</t>
        </is>
      </c>
      <c r="F273" s="44" t="n"/>
      <c r="G273" s="58">
        <f>IF($G$271="","",$G$271)</f>
        <v/>
      </c>
      <c r="H273" s="59" t="n"/>
      <c r="I273" s="59" t="n"/>
      <c r="J273" s="59" t="n"/>
      <c r="K273" s="59" t="n"/>
      <c r="L273" s="65">
        <f>IF(SUM(U273:AY273)=0,"",SUM(U273:AY273))</f>
        <v/>
      </c>
      <c r="M273" s="66">
        <f>IFERROR(INDEX(U$2:AY$2,MATCH(TRUE,INDEX(U273:AY273&lt;&gt;"",0),0)),"")</f>
        <v/>
      </c>
      <c r="N273" s="66">
        <f>IFERROR(LOOKUP(2,1/(U273:AY273&lt;&gt;""),U$2:AY$2),"")</f>
        <v/>
      </c>
      <c r="O273" s="59" t="n"/>
      <c r="P273" s="59" t="n"/>
      <c r="Q273" s="59" t="n"/>
      <c r="R273" s="59" t="n"/>
      <c r="S273" s="14" t="n"/>
      <c r="U273" s="53" t="n"/>
      <c r="V273" s="53" t="n"/>
      <c r="W273" s="53" t="n"/>
      <c r="X273" s="53" t="n"/>
      <c r="Y273" s="53" t="n"/>
      <c r="Z273" s="53" t="n"/>
      <c r="AA273" s="53" t="n"/>
      <c r="AB273" s="53" t="n"/>
      <c r="AC273" s="53" t="n"/>
      <c r="AD273" s="53" t="n"/>
      <c r="AE273" s="53" t="n"/>
      <c r="AF273" s="53" t="n"/>
      <c r="AG273" s="53" t="n"/>
      <c r="AH273" s="53" t="n"/>
      <c r="AI273" s="53" t="n"/>
      <c r="AJ273" s="53" t="n"/>
      <c r="AK273" s="53" t="n"/>
      <c r="AL273" s="53" t="n"/>
      <c r="AM273" s="53" t="n"/>
      <c r="AN273" s="53" t="n"/>
      <c r="AO273" s="53" t="n"/>
      <c r="AP273" s="53" t="n"/>
      <c r="AQ273" s="53" t="n"/>
      <c r="AR273" s="53" t="n"/>
      <c r="AS273" s="53" t="n"/>
      <c r="AT273" s="53" t="n"/>
      <c r="AU273" s="53" t="n"/>
      <c r="AV273" s="53" t="n"/>
      <c r="AW273" s="53" t="n"/>
      <c r="AX273" s="53" t="n"/>
      <c r="AY273" s="53" t="n"/>
    </row>
    <row r="274" ht="15" customHeight="1">
      <c r="A274" s="40">
        <f>IF($D$274="","",88)</f>
        <v/>
      </c>
      <c r="B274" s="10" t="n"/>
      <c r="C274" s="41" t="inlineStr">
        <is>
          <t>기타</t>
        </is>
      </c>
      <c r="D274" s="42" t="n"/>
      <c r="E274" s="43" t="inlineStr">
        <is>
          <t>기획</t>
        </is>
      </c>
      <c r="F274" s="44" t="n"/>
      <c r="G274" s="45" t="n"/>
      <c r="H274" s="46">
        <f>IF($I$274="","",IF($I$274&lt;0,"🔴지연",IF($I$274&lt;=1,"🟡임박","🟢여유")))</f>
        <v/>
      </c>
      <c r="I274" s="47">
        <f>IF(OR($G$274="",$K$274=""),"",$G$274-$K$274)</f>
        <v/>
      </c>
      <c r="J274" s="48">
        <f>IF(SUM($L$274:$L$276)=0,"",SUM($L$274:$L$276))</f>
        <v/>
      </c>
      <c r="K274" s="49">
        <f>IF($J$274="","",MAX($N$274:$N$276))</f>
        <v/>
      </c>
      <c r="L274" s="50">
        <f>IF(SUM(U274:AY274)=0,"",SUM(U274:AY274))</f>
        <v/>
      </c>
      <c r="M274" s="51">
        <f>IFERROR(INDEX(U$2:AY$2,MATCH(TRUE,INDEX(U274:AY274&lt;&gt;"",0),0)),"")</f>
        <v/>
      </c>
      <c r="N274" s="51">
        <f>IFERROR(LOOKUP(2,1/(U274:AY274&lt;&gt;""),U$2:AY$2),"")</f>
        <v/>
      </c>
      <c r="O274" s="52" t="n"/>
      <c r="P274" s="52" t="n"/>
      <c r="Q274" s="52" t="n"/>
      <c r="R274" s="44" t="n"/>
      <c r="S274" s="14" t="n"/>
      <c r="U274" s="53" t="n"/>
      <c r="V274" s="53" t="n"/>
      <c r="W274" s="53" t="n"/>
      <c r="X274" s="53" t="n"/>
      <c r="Y274" s="53" t="n"/>
      <c r="Z274" s="53" t="n"/>
      <c r="AA274" s="53" t="n"/>
      <c r="AB274" s="53" t="n"/>
      <c r="AC274" s="53" t="n"/>
      <c r="AD274" s="53" t="n"/>
      <c r="AE274" s="53" t="n"/>
      <c r="AF274" s="53" t="n"/>
      <c r="AG274" s="53" t="n"/>
      <c r="AH274" s="53" t="n"/>
      <c r="AI274" s="53" t="n"/>
      <c r="AJ274" s="53" t="n"/>
      <c r="AK274" s="53" t="n"/>
      <c r="AL274" s="53" t="n"/>
      <c r="AM274" s="53" t="n"/>
      <c r="AN274" s="53" t="n"/>
      <c r="AO274" s="53" t="n"/>
      <c r="AP274" s="53" t="n"/>
      <c r="AQ274" s="53" t="n"/>
      <c r="AR274" s="53" t="n"/>
      <c r="AS274" s="53" t="n"/>
      <c r="AT274" s="53" t="n"/>
      <c r="AU274" s="53" t="n"/>
      <c r="AV274" s="53" t="n"/>
      <c r="AW274" s="53" t="n"/>
      <c r="AX274" s="53" t="n"/>
      <c r="AY274" s="53" t="n"/>
    </row>
    <row r="275" ht="15" customHeight="1">
      <c r="A275" s="54" t="n"/>
      <c r="B275" s="55">
        <f>IF($B$274="","",$B$274)</f>
        <v/>
      </c>
      <c r="C275" s="56" t="inlineStr">
        <is>
          <t>기타</t>
        </is>
      </c>
      <c r="D275" s="55">
        <f>IF($D$274="","",$D$274)</f>
        <v/>
      </c>
      <c r="E275" s="57" t="inlineStr">
        <is>
          <t>이미지</t>
        </is>
      </c>
      <c r="F275" s="44" t="n"/>
      <c r="G275" s="58">
        <f>IF($G$274="","",$G$274)</f>
        <v/>
      </c>
      <c r="H275" s="59" t="n"/>
      <c r="I275" s="59" t="n"/>
      <c r="J275" s="59" t="n"/>
      <c r="K275" s="59" t="n"/>
      <c r="L275" s="60">
        <f>IF(SUM(U275:AY275)=0,"",SUM(U275:AY275))</f>
        <v/>
      </c>
      <c r="M275" s="61">
        <f>IFERROR(INDEX(U$2:AY$2,MATCH(TRUE,INDEX(U275:AY275&lt;&gt;"",0),0)),"")</f>
        <v/>
      </c>
      <c r="N275" s="61">
        <f>IFERROR(LOOKUP(2,1/(U275:AY275&lt;&gt;""),U$2:AY$2),"")</f>
        <v/>
      </c>
      <c r="O275" s="59" t="n"/>
      <c r="P275" s="59" t="n"/>
      <c r="Q275" s="59" t="n"/>
      <c r="R275" s="59" t="n"/>
      <c r="S275" s="14" t="n"/>
      <c r="U275" s="53" t="n"/>
      <c r="V275" s="53" t="n"/>
      <c r="W275" s="53" t="n"/>
      <c r="X275" s="53" t="n"/>
      <c r="Y275" s="53" t="n"/>
      <c r="Z275" s="53" t="n"/>
      <c r="AA275" s="53" t="n"/>
      <c r="AB275" s="53" t="n"/>
      <c r="AC275" s="53" t="n"/>
      <c r="AD275" s="53" t="n"/>
      <c r="AE275" s="53" t="n"/>
      <c r="AF275" s="53" t="n"/>
      <c r="AG275" s="53" t="n"/>
      <c r="AH275" s="53" t="n"/>
      <c r="AI275" s="53" t="n"/>
      <c r="AJ275" s="53" t="n"/>
      <c r="AK275" s="53" t="n"/>
      <c r="AL275" s="53" t="n"/>
      <c r="AM275" s="53" t="n"/>
      <c r="AN275" s="53" t="n"/>
      <c r="AO275" s="53" t="n"/>
      <c r="AP275" s="53" t="n"/>
      <c r="AQ275" s="53" t="n"/>
      <c r="AR275" s="53" t="n"/>
      <c r="AS275" s="53" t="n"/>
      <c r="AT275" s="53" t="n"/>
      <c r="AU275" s="53" t="n"/>
      <c r="AV275" s="53" t="n"/>
      <c r="AW275" s="53" t="n"/>
      <c r="AX275" s="53" t="n"/>
      <c r="AY275" s="53" t="n"/>
    </row>
    <row r="276" ht="15" customHeight="1">
      <c r="A276" s="62" t="n"/>
      <c r="B276" s="55">
        <f>IF($B$274="","",$B$274)</f>
        <v/>
      </c>
      <c r="C276" s="63" t="inlineStr">
        <is>
          <t>기타</t>
        </is>
      </c>
      <c r="D276" s="55">
        <f>IF($D$274="","",$D$274)</f>
        <v/>
      </c>
      <c r="E276" s="64" t="inlineStr">
        <is>
          <t>영상</t>
        </is>
      </c>
      <c r="F276" s="44" t="n"/>
      <c r="G276" s="58">
        <f>IF($G$274="","",$G$274)</f>
        <v/>
      </c>
      <c r="H276" s="59" t="n"/>
      <c r="I276" s="59" t="n"/>
      <c r="J276" s="59" t="n"/>
      <c r="K276" s="59" t="n"/>
      <c r="L276" s="65">
        <f>IF(SUM(U276:AY276)=0,"",SUM(U276:AY276))</f>
        <v/>
      </c>
      <c r="M276" s="66">
        <f>IFERROR(INDEX(U$2:AY$2,MATCH(TRUE,INDEX(U276:AY276&lt;&gt;"",0),0)),"")</f>
        <v/>
      </c>
      <c r="N276" s="66">
        <f>IFERROR(LOOKUP(2,1/(U276:AY276&lt;&gt;""),U$2:AY$2),"")</f>
        <v/>
      </c>
      <c r="O276" s="59" t="n"/>
      <c r="P276" s="59" t="n"/>
      <c r="Q276" s="59" t="n"/>
      <c r="R276" s="59" t="n"/>
      <c r="S276" s="14" t="n"/>
      <c r="U276" s="53" t="n"/>
      <c r="V276" s="53" t="n"/>
      <c r="W276" s="53" t="n"/>
      <c r="X276" s="53" t="n"/>
      <c r="Y276" s="53" t="n"/>
      <c r="Z276" s="53" t="n"/>
      <c r="AA276" s="53" t="n"/>
      <c r="AB276" s="53" t="n"/>
      <c r="AC276" s="53" t="n"/>
      <c r="AD276" s="53" t="n"/>
      <c r="AE276" s="53" t="n"/>
      <c r="AF276" s="53" t="n"/>
      <c r="AG276" s="53" t="n"/>
      <c r="AH276" s="53" t="n"/>
      <c r="AI276" s="53" t="n"/>
      <c r="AJ276" s="53" t="n"/>
      <c r="AK276" s="53" t="n"/>
      <c r="AL276" s="53" t="n"/>
      <c r="AM276" s="53" t="n"/>
      <c r="AN276" s="53" t="n"/>
      <c r="AO276" s="53" t="n"/>
      <c r="AP276" s="53" t="n"/>
      <c r="AQ276" s="53" t="n"/>
      <c r="AR276" s="53" t="n"/>
      <c r="AS276" s="53" t="n"/>
      <c r="AT276" s="53" t="n"/>
      <c r="AU276" s="53" t="n"/>
      <c r="AV276" s="53" t="n"/>
      <c r="AW276" s="53" t="n"/>
      <c r="AX276" s="53" t="n"/>
      <c r="AY276" s="53" t="n"/>
    </row>
    <row r="277" ht="15" customHeight="1">
      <c r="A277" s="40">
        <f>IF($D$277="","",89)</f>
        <v/>
      </c>
      <c r="B277" s="10" t="n"/>
      <c r="C277" s="41" t="inlineStr">
        <is>
          <t>기타</t>
        </is>
      </c>
      <c r="D277" s="42" t="n"/>
      <c r="E277" s="43" t="inlineStr">
        <is>
          <t>기획</t>
        </is>
      </c>
      <c r="F277" s="44" t="n"/>
      <c r="G277" s="45" t="n"/>
      <c r="H277" s="46">
        <f>IF($I$277="","",IF($I$277&lt;0,"🔴지연",IF($I$277&lt;=1,"🟡임박","🟢여유")))</f>
        <v/>
      </c>
      <c r="I277" s="47">
        <f>IF(OR($G$277="",$K$277=""),"",$G$277-$K$277)</f>
        <v/>
      </c>
      <c r="J277" s="48">
        <f>IF(SUM($L$277:$L$279)=0,"",SUM($L$277:$L$279))</f>
        <v/>
      </c>
      <c r="K277" s="49">
        <f>IF($J$277="","",MAX($N$277:$N$279))</f>
        <v/>
      </c>
      <c r="L277" s="50">
        <f>IF(SUM(U277:AY277)=0,"",SUM(U277:AY277))</f>
        <v/>
      </c>
      <c r="M277" s="51">
        <f>IFERROR(INDEX(U$2:AY$2,MATCH(TRUE,INDEX(U277:AY277&lt;&gt;"",0),0)),"")</f>
        <v/>
      </c>
      <c r="N277" s="51">
        <f>IFERROR(LOOKUP(2,1/(U277:AY277&lt;&gt;""),U$2:AY$2),"")</f>
        <v/>
      </c>
      <c r="O277" s="52" t="n"/>
      <c r="P277" s="52" t="n"/>
      <c r="Q277" s="52" t="n"/>
      <c r="R277" s="44" t="n"/>
      <c r="S277" s="14" t="n"/>
      <c r="U277" s="53" t="n"/>
      <c r="V277" s="53" t="n"/>
      <c r="W277" s="53" t="n"/>
      <c r="X277" s="53" t="n"/>
      <c r="Y277" s="53" t="n"/>
      <c r="Z277" s="53" t="n"/>
      <c r="AA277" s="53" t="n"/>
      <c r="AB277" s="53" t="n"/>
      <c r="AC277" s="53" t="n"/>
      <c r="AD277" s="53" t="n"/>
      <c r="AE277" s="53" t="n"/>
      <c r="AF277" s="53" t="n"/>
      <c r="AG277" s="53" t="n"/>
      <c r="AH277" s="53" t="n"/>
      <c r="AI277" s="53" t="n"/>
      <c r="AJ277" s="53" t="n"/>
      <c r="AK277" s="53" t="n"/>
      <c r="AL277" s="53" t="n"/>
      <c r="AM277" s="53" t="n"/>
      <c r="AN277" s="53" t="n"/>
      <c r="AO277" s="53" t="n"/>
      <c r="AP277" s="53" t="n"/>
      <c r="AQ277" s="53" t="n"/>
      <c r="AR277" s="53" t="n"/>
      <c r="AS277" s="53" t="n"/>
      <c r="AT277" s="53" t="n"/>
      <c r="AU277" s="53" t="n"/>
      <c r="AV277" s="53" t="n"/>
      <c r="AW277" s="53" t="n"/>
      <c r="AX277" s="53" t="n"/>
      <c r="AY277" s="53" t="n"/>
    </row>
    <row r="278" ht="15" customHeight="1">
      <c r="A278" s="54" t="n"/>
      <c r="B278" s="55">
        <f>IF($B$277="","",$B$277)</f>
        <v/>
      </c>
      <c r="C278" s="56" t="inlineStr">
        <is>
          <t>기타</t>
        </is>
      </c>
      <c r="D278" s="55">
        <f>IF($D$277="","",$D$277)</f>
        <v/>
      </c>
      <c r="E278" s="57" t="inlineStr">
        <is>
          <t>이미지</t>
        </is>
      </c>
      <c r="F278" s="44" t="n"/>
      <c r="G278" s="58">
        <f>IF($G$277="","",$G$277)</f>
        <v/>
      </c>
      <c r="H278" s="59" t="n"/>
      <c r="I278" s="59" t="n"/>
      <c r="J278" s="59" t="n"/>
      <c r="K278" s="59" t="n"/>
      <c r="L278" s="60">
        <f>IF(SUM(U278:AY278)=0,"",SUM(U278:AY278))</f>
        <v/>
      </c>
      <c r="M278" s="61">
        <f>IFERROR(INDEX(U$2:AY$2,MATCH(TRUE,INDEX(U278:AY278&lt;&gt;"",0),0)),"")</f>
        <v/>
      </c>
      <c r="N278" s="61">
        <f>IFERROR(LOOKUP(2,1/(U278:AY278&lt;&gt;""),U$2:AY$2),"")</f>
        <v/>
      </c>
      <c r="O278" s="59" t="n"/>
      <c r="P278" s="59" t="n"/>
      <c r="Q278" s="59" t="n"/>
      <c r="R278" s="59" t="n"/>
      <c r="S278" s="14" t="n"/>
      <c r="U278" s="53" t="n"/>
      <c r="V278" s="53" t="n"/>
      <c r="W278" s="53" t="n"/>
      <c r="X278" s="53" t="n"/>
      <c r="Y278" s="53" t="n"/>
      <c r="Z278" s="53" t="n"/>
      <c r="AA278" s="53" t="n"/>
      <c r="AB278" s="53" t="n"/>
      <c r="AC278" s="53" t="n"/>
      <c r="AD278" s="53" t="n"/>
      <c r="AE278" s="53" t="n"/>
      <c r="AF278" s="53" t="n"/>
      <c r="AG278" s="53" t="n"/>
      <c r="AH278" s="53" t="n"/>
      <c r="AI278" s="53" t="n"/>
      <c r="AJ278" s="53" t="n"/>
      <c r="AK278" s="53" t="n"/>
      <c r="AL278" s="53" t="n"/>
      <c r="AM278" s="53" t="n"/>
      <c r="AN278" s="53" t="n"/>
      <c r="AO278" s="53" t="n"/>
      <c r="AP278" s="53" t="n"/>
      <c r="AQ278" s="53" t="n"/>
      <c r="AR278" s="53" t="n"/>
      <c r="AS278" s="53" t="n"/>
      <c r="AT278" s="53" t="n"/>
      <c r="AU278" s="53" t="n"/>
      <c r="AV278" s="53" t="n"/>
      <c r="AW278" s="53" t="n"/>
      <c r="AX278" s="53" t="n"/>
      <c r="AY278" s="53" t="n"/>
    </row>
    <row r="279" ht="15" customHeight="1">
      <c r="A279" s="62" t="n"/>
      <c r="B279" s="55">
        <f>IF($B$277="","",$B$277)</f>
        <v/>
      </c>
      <c r="C279" s="63" t="inlineStr">
        <is>
          <t>기타</t>
        </is>
      </c>
      <c r="D279" s="55">
        <f>IF($D$277="","",$D$277)</f>
        <v/>
      </c>
      <c r="E279" s="64" t="inlineStr">
        <is>
          <t>영상</t>
        </is>
      </c>
      <c r="F279" s="44" t="n"/>
      <c r="G279" s="58">
        <f>IF($G$277="","",$G$277)</f>
        <v/>
      </c>
      <c r="H279" s="59" t="n"/>
      <c r="I279" s="59" t="n"/>
      <c r="J279" s="59" t="n"/>
      <c r="K279" s="59" t="n"/>
      <c r="L279" s="65">
        <f>IF(SUM(U279:AY279)=0,"",SUM(U279:AY279))</f>
        <v/>
      </c>
      <c r="M279" s="66">
        <f>IFERROR(INDEX(U$2:AY$2,MATCH(TRUE,INDEX(U279:AY279&lt;&gt;"",0),0)),"")</f>
        <v/>
      </c>
      <c r="N279" s="66">
        <f>IFERROR(LOOKUP(2,1/(U279:AY279&lt;&gt;""),U$2:AY$2),"")</f>
        <v/>
      </c>
      <c r="O279" s="59" t="n"/>
      <c r="P279" s="59" t="n"/>
      <c r="Q279" s="59" t="n"/>
      <c r="R279" s="59" t="n"/>
      <c r="S279" s="14" t="n"/>
      <c r="U279" s="53" t="n"/>
      <c r="V279" s="53" t="n"/>
      <c r="W279" s="53" t="n"/>
      <c r="X279" s="53" t="n"/>
      <c r="Y279" s="53" t="n"/>
      <c r="Z279" s="53" t="n"/>
      <c r="AA279" s="53" t="n"/>
      <c r="AB279" s="53" t="n"/>
      <c r="AC279" s="53" t="n"/>
      <c r="AD279" s="53" t="n"/>
      <c r="AE279" s="53" t="n"/>
      <c r="AF279" s="53" t="n"/>
      <c r="AG279" s="53" t="n"/>
      <c r="AH279" s="53" t="n"/>
      <c r="AI279" s="53" t="n"/>
      <c r="AJ279" s="53" t="n"/>
      <c r="AK279" s="53" t="n"/>
      <c r="AL279" s="53" t="n"/>
      <c r="AM279" s="53" t="n"/>
      <c r="AN279" s="53" t="n"/>
      <c r="AO279" s="53" t="n"/>
      <c r="AP279" s="53" t="n"/>
      <c r="AQ279" s="53" t="n"/>
      <c r="AR279" s="53" t="n"/>
      <c r="AS279" s="53" t="n"/>
      <c r="AT279" s="53" t="n"/>
      <c r="AU279" s="53" t="n"/>
      <c r="AV279" s="53" t="n"/>
      <c r="AW279" s="53" t="n"/>
      <c r="AX279" s="53" t="n"/>
      <c r="AY279" s="53" t="n"/>
    </row>
    <row r="280" ht="15" customHeight="1">
      <c r="A280" s="40">
        <f>IF($D$280="","",90)</f>
        <v/>
      </c>
      <c r="B280" s="10" t="n"/>
      <c r="C280" s="41" t="inlineStr">
        <is>
          <t>기타</t>
        </is>
      </c>
      <c r="D280" s="42" t="n"/>
      <c r="E280" s="43" t="inlineStr">
        <is>
          <t>기획</t>
        </is>
      </c>
      <c r="F280" s="44" t="n"/>
      <c r="G280" s="45" t="n"/>
      <c r="H280" s="46">
        <f>IF($I$280="","",IF($I$280&lt;0,"🔴지연",IF($I$280&lt;=1,"🟡임박","🟢여유")))</f>
        <v/>
      </c>
      <c r="I280" s="47">
        <f>IF(OR($G$280="",$K$280=""),"",$G$280-$K$280)</f>
        <v/>
      </c>
      <c r="J280" s="48">
        <f>IF(SUM($L$280:$L$282)=0,"",SUM($L$280:$L$282))</f>
        <v/>
      </c>
      <c r="K280" s="49">
        <f>IF($J$280="","",MAX($N$280:$N$282))</f>
        <v/>
      </c>
      <c r="L280" s="50">
        <f>IF(SUM(U280:AY280)=0,"",SUM(U280:AY280))</f>
        <v/>
      </c>
      <c r="M280" s="51">
        <f>IFERROR(INDEX(U$2:AY$2,MATCH(TRUE,INDEX(U280:AY280&lt;&gt;"",0),0)),"")</f>
        <v/>
      </c>
      <c r="N280" s="51">
        <f>IFERROR(LOOKUP(2,1/(U280:AY280&lt;&gt;""),U$2:AY$2),"")</f>
        <v/>
      </c>
      <c r="O280" s="52" t="n"/>
      <c r="P280" s="52" t="n"/>
      <c r="Q280" s="52" t="n"/>
      <c r="R280" s="44" t="n"/>
      <c r="S280" s="14" t="n"/>
      <c r="U280" s="53" t="n"/>
      <c r="V280" s="53" t="n"/>
      <c r="W280" s="53" t="n"/>
      <c r="X280" s="53" t="n"/>
      <c r="Y280" s="53" t="n"/>
      <c r="Z280" s="53" t="n"/>
      <c r="AA280" s="53" t="n"/>
      <c r="AB280" s="53" t="n"/>
      <c r="AC280" s="53" t="n"/>
      <c r="AD280" s="53" t="n"/>
      <c r="AE280" s="53" t="n"/>
      <c r="AF280" s="53" t="n"/>
      <c r="AG280" s="53" t="n"/>
      <c r="AH280" s="53" t="n"/>
      <c r="AI280" s="53" t="n"/>
      <c r="AJ280" s="53" t="n"/>
      <c r="AK280" s="53" t="n"/>
      <c r="AL280" s="53" t="n"/>
      <c r="AM280" s="53" t="n"/>
      <c r="AN280" s="53" t="n"/>
      <c r="AO280" s="53" t="n"/>
      <c r="AP280" s="53" t="n"/>
      <c r="AQ280" s="53" t="n"/>
      <c r="AR280" s="53" t="n"/>
      <c r="AS280" s="53" t="n"/>
      <c r="AT280" s="53" t="n"/>
      <c r="AU280" s="53" t="n"/>
      <c r="AV280" s="53" t="n"/>
      <c r="AW280" s="53" t="n"/>
      <c r="AX280" s="53" t="n"/>
      <c r="AY280" s="53" t="n"/>
    </row>
    <row r="281" ht="15" customHeight="1">
      <c r="A281" s="54" t="n"/>
      <c r="B281" s="55">
        <f>IF($B$280="","",$B$280)</f>
        <v/>
      </c>
      <c r="C281" s="56" t="inlineStr">
        <is>
          <t>기타</t>
        </is>
      </c>
      <c r="D281" s="55">
        <f>IF($D$280="","",$D$280)</f>
        <v/>
      </c>
      <c r="E281" s="57" t="inlineStr">
        <is>
          <t>이미지</t>
        </is>
      </c>
      <c r="F281" s="44" t="n"/>
      <c r="G281" s="58">
        <f>IF($G$280="","",$G$280)</f>
        <v/>
      </c>
      <c r="H281" s="59" t="n"/>
      <c r="I281" s="59" t="n"/>
      <c r="J281" s="59" t="n"/>
      <c r="K281" s="59" t="n"/>
      <c r="L281" s="60">
        <f>IF(SUM(U281:AY281)=0,"",SUM(U281:AY281))</f>
        <v/>
      </c>
      <c r="M281" s="61">
        <f>IFERROR(INDEX(U$2:AY$2,MATCH(TRUE,INDEX(U281:AY281&lt;&gt;"",0),0)),"")</f>
        <v/>
      </c>
      <c r="N281" s="61">
        <f>IFERROR(LOOKUP(2,1/(U281:AY281&lt;&gt;""),U$2:AY$2),"")</f>
        <v/>
      </c>
      <c r="O281" s="59" t="n"/>
      <c r="P281" s="59" t="n"/>
      <c r="Q281" s="59" t="n"/>
      <c r="R281" s="59" t="n"/>
      <c r="S281" s="14" t="n"/>
      <c r="U281" s="53" t="n"/>
      <c r="V281" s="53" t="n"/>
      <c r="W281" s="53" t="n"/>
      <c r="X281" s="53" t="n"/>
      <c r="Y281" s="53" t="n"/>
      <c r="Z281" s="53" t="n"/>
      <c r="AA281" s="53" t="n"/>
      <c r="AB281" s="53" t="n"/>
      <c r="AC281" s="53" t="n"/>
      <c r="AD281" s="53" t="n"/>
      <c r="AE281" s="53" t="n"/>
      <c r="AF281" s="53" t="n"/>
      <c r="AG281" s="53" t="n"/>
      <c r="AH281" s="53" t="n"/>
      <c r="AI281" s="53" t="n"/>
      <c r="AJ281" s="53" t="n"/>
      <c r="AK281" s="53" t="n"/>
      <c r="AL281" s="53" t="n"/>
      <c r="AM281" s="53" t="n"/>
      <c r="AN281" s="53" t="n"/>
      <c r="AO281" s="53" t="n"/>
      <c r="AP281" s="53" t="n"/>
      <c r="AQ281" s="53" t="n"/>
      <c r="AR281" s="53" t="n"/>
      <c r="AS281" s="53" t="n"/>
      <c r="AT281" s="53" t="n"/>
      <c r="AU281" s="53" t="n"/>
      <c r="AV281" s="53" t="n"/>
      <c r="AW281" s="53" t="n"/>
      <c r="AX281" s="53" t="n"/>
      <c r="AY281" s="53" t="n"/>
    </row>
    <row r="282" ht="15" customHeight="1">
      <c r="A282" s="62" t="n"/>
      <c r="B282" s="55">
        <f>IF($B$280="","",$B$280)</f>
        <v/>
      </c>
      <c r="C282" s="63" t="inlineStr">
        <is>
          <t>기타</t>
        </is>
      </c>
      <c r="D282" s="55">
        <f>IF($D$280="","",$D$280)</f>
        <v/>
      </c>
      <c r="E282" s="64" t="inlineStr">
        <is>
          <t>영상</t>
        </is>
      </c>
      <c r="F282" s="44" t="n"/>
      <c r="G282" s="58">
        <f>IF($G$280="","",$G$280)</f>
        <v/>
      </c>
      <c r="H282" s="59" t="n"/>
      <c r="I282" s="59" t="n"/>
      <c r="J282" s="59" t="n"/>
      <c r="K282" s="59" t="n"/>
      <c r="L282" s="65">
        <f>IF(SUM(U282:AY282)=0,"",SUM(U282:AY282))</f>
        <v/>
      </c>
      <c r="M282" s="66">
        <f>IFERROR(INDEX(U$2:AY$2,MATCH(TRUE,INDEX(U282:AY282&lt;&gt;"",0),0)),"")</f>
        <v/>
      </c>
      <c r="N282" s="66">
        <f>IFERROR(LOOKUP(2,1/(U282:AY282&lt;&gt;""),U$2:AY$2),"")</f>
        <v/>
      </c>
      <c r="O282" s="59" t="n"/>
      <c r="P282" s="59" t="n"/>
      <c r="Q282" s="59" t="n"/>
      <c r="R282" s="59" t="n"/>
      <c r="S282" s="14" t="n"/>
      <c r="U282" s="53" t="n"/>
      <c r="V282" s="53" t="n"/>
      <c r="W282" s="53" t="n"/>
      <c r="X282" s="53" t="n"/>
      <c r="Y282" s="53" t="n"/>
      <c r="Z282" s="53" t="n"/>
      <c r="AA282" s="53" t="n"/>
      <c r="AB282" s="53" t="n"/>
      <c r="AC282" s="53" t="n"/>
      <c r="AD282" s="53" t="n"/>
      <c r="AE282" s="53" t="n"/>
      <c r="AF282" s="53" t="n"/>
      <c r="AG282" s="53" t="n"/>
      <c r="AH282" s="53" t="n"/>
      <c r="AI282" s="53" t="n"/>
      <c r="AJ282" s="53" t="n"/>
      <c r="AK282" s="53" t="n"/>
      <c r="AL282" s="53" t="n"/>
      <c r="AM282" s="53" t="n"/>
      <c r="AN282" s="53" t="n"/>
      <c r="AO282" s="53" t="n"/>
      <c r="AP282" s="53" t="n"/>
      <c r="AQ282" s="53" t="n"/>
      <c r="AR282" s="53" t="n"/>
      <c r="AS282" s="53" t="n"/>
      <c r="AT282" s="53" t="n"/>
      <c r="AU282" s="53" t="n"/>
      <c r="AV282" s="53" t="n"/>
      <c r="AW282" s="53" t="n"/>
      <c r="AX282" s="53" t="n"/>
      <c r="AY282" s="53" t="n"/>
    </row>
    <row r="283" ht="15" customHeight="1">
      <c r="A283" s="40">
        <f>IF($D$283="","",91)</f>
        <v/>
      </c>
      <c r="B283" s="10" t="n"/>
      <c r="C283" s="41" t="inlineStr">
        <is>
          <t>기타</t>
        </is>
      </c>
      <c r="D283" s="42" t="n"/>
      <c r="E283" s="43" t="inlineStr">
        <is>
          <t>기획</t>
        </is>
      </c>
      <c r="F283" s="44" t="n"/>
      <c r="G283" s="45" t="n"/>
      <c r="H283" s="46">
        <f>IF($I$283="","",IF($I$283&lt;0,"🔴지연",IF($I$283&lt;=1,"🟡임박","🟢여유")))</f>
        <v/>
      </c>
      <c r="I283" s="47">
        <f>IF(OR($G$283="",$K$283=""),"",$G$283-$K$283)</f>
        <v/>
      </c>
      <c r="J283" s="48">
        <f>IF(SUM($L$283:$L$285)=0,"",SUM($L$283:$L$285))</f>
        <v/>
      </c>
      <c r="K283" s="49">
        <f>IF($J$283="","",MAX($N$283:$N$285))</f>
        <v/>
      </c>
      <c r="L283" s="50">
        <f>IF(SUM(U283:AY283)=0,"",SUM(U283:AY283))</f>
        <v/>
      </c>
      <c r="M283" s="51">
        <f>IFERROR(INDEX(U$2:AY$2,MATCH(TRUE,INDEX(U283:AY283&lt;&gt;"",0),0)),"")</f>
        <v/>
      </c>
      <c r="N283" s="51">
        <f>IFERROR(LOOKUP(2,1/(U283:AY283&lt;&gt;""),U$2:AY$2),"")</f>
        <v/>
      </c>
      <c r="O283" s="52" t="n"/>
      <c r="P283" s="52" t="n"/>
      <c r="Q283" s="52" t="n"/>
      <c r="R283" s="44" t="n"/>
      <c r="S283" s="14" t="n"/>
      <c r="U283" s="53" t="n"/>
      <c r="V283" s="53" t="n"/>
      <c r="W283" s="53" t="n"/>
      <c r="X283" s="53" t="n"/>
      <c r="Y283" s="53" t="n"/>
      <c r="Z283" s="53" t="n"/>
      <c r="AA283" s="53" t="n"/>
      <c r="AB283" s="53" t="n"/>
      <c r="AC283" s="53" t="n"/>
      <c r="AD283" s="53" t="n"/>
      <c r="AE283" s="53" t="n"/>
      <c r="AF283" s="53" t="n"/>
      <c r="AG283" s="53" t="n"/>
      <c r="AH283" s="53" t="n"/>
      <c r="AI283" s="53" t="n"/>
      <c r="AJ283" s="53" t="n"/>
      <c r="AK283" s="53" t="n"/>
      <c r="AL283" s="53" t="n"/>
      <c r="AM283" s="53" t="n"/>
      <c r="AN283" s="53" t="n"/>
      <c r="AO283" s="53" t="n"/>
      <c r="AP283" s="53" t="n"/>
      <c r="AQ283" s="53" t="n"/>
      <c r="AR283" s="53" t="n"/>
      <c r="AS283" s="53" t="n"/>
      <c r="AT283" s="53" t="n"/>
      <c r="AU283" s="53" t="n"/>
      <c r="AV283" s="53" t="n"/>
      <c r="AW283" s="53" t="n"/>
      <c r="AX283" s="53" t="n"/>
      <c r="AY283" s="53" t="n"/>
    </row>
    <row r="284" ht="15" customHeight="1">
      <c r="A284" s="54" t="n"/>
      <c r="B284" s="55">
        <f>IF($B$283="","",$B$283)</f>
        <v/>
      </c>
      <c r="C284" s="56" t="inlineStr">
        <is>
          <t>기타</t>
        </is>
      </c>
      <c r="D284" s="55">
        <f>IF($D$283="","",$D$283)</f>
        <v/>
      </c>
      <c r="E284" s="57" t="inlineStr">
        <is>
          <t>이미지</t>
        </is>
      </c>
      <c r="F284" s="44" t="n"/>
      <c r="G284" s="58">
        <f>IF($G$283="","",$G$283)</f>
        <v/>
      </c>
      <c r="H284" s="59" t="n"/>
      <c r="I284" s="59" t="n"/>
      <c r="J284" s="59" t="n"/>
      <c r="K284" s="59" t="n"/>
      <c r="L284" s="60">
        <f>IF(SUM(U284:AY284)=0,"",SUM(U284:AY284))</f>
        <v/>
      </c>
      <c r="M284" s="61">
        <f>IFERROR(INDEX(U$2:AY$2,MATCH(TRUE,INDEX(U284:AY284&lt;&gt;"",0),0)),"")</f>
        <v/>
      </c>
      <c r="N284" s="61">
        <f>IFERROR(LOOKUP(2,1/(U284:AY284&lt;&gt;""),U$2:AY$2),"")</f>
        <v/>
      </c>
      <c r="O284" s="59" t="n"/>
      <c r="P284" s="59" t="n"/>
      <c r="Q284" s="59" t="n"/>
      <c r="R284" s="59" t="n"/>
      <c r="S284" s="14" t="n"/>
      <c r="U284" s="53" t="n"/>
      <c r="V284" s="53" t="n"/>
      <c r="W284" s="53" t="n"/>
      <c r="X284" s="53" t="n"/>
      <c r="Y284" s="53" t="n"/>
      <c r="Z284" s="53" t="n"/>
      <c r="AA284" s="53" t="n"/>
      <c r="AB284" s="53" t="n"/>
      <c r="AC284" s="53" t="n"/>
      <c r="AD284" s="53" t="n"/>
      <c r="AE284" s="53" t="n"/>
      <c r="AF284" s="53" t="n"/>
      <c r="AG284" s="53" t="n"/>
      <c r="AH284" s="53" t="n"/>
      <c r="AI284" s="53" t="n"/>
      <c r="AJ284" s="53" t="n"/>
      <c r="AK284" s="53" t="n"/>
      <c r="AL284" s="53" t="n"/>
      <c r="AM284" s="53" t="n"/>
      <c r="AN284" s="53" t="n"/>
      <c r="AO284" s="53" t="n"/>
      <c r="AP284" s="53" t="n"/>
      <c r="AQ284" s="53" t="n"/>
      <c r="AR284" s="53" t="n"/>
      <c r="AS284" s="53" t="n"/>
      <c r="AT284" s="53" t="n"/>
      <c r="AU284" s="53" t="n"/>
      <c r="AV284" s="53" t="n"/>
      <c r="AW284" s="53" t="n"/>
      <c r="AX284" s="53" t="n"/>
      <c r="AY284" s="53" t="n"/>
    </row>
    <row r="285" ht="15" customHeight="1">
      <c r="A285" s="62" t="n"/>
      <c r="B285" s="55">
        <f>IF($B$283="","",$B$283)</f>
        <v/>
      </c>
      <c r="C285" s="63" t="inlineStr">
        <is>
          <t>기타</t>
        </is>
      </c>
      <c r="D285" s="55">
        <f>IF($D$283="","",$D$283)</f>
        <v/>
      </c>
      <c r="E285" s="64" t="inlineStr">
        <is>
          <t>영상</t>
        </is>
      </c>
      <c r="F285" s="44" t="n"/>
      <c r="G285" s="58">
        <f>IF($G$283="","",$G$283)</f>
        <v/>
      </c>
      <c r="H285" s="59" t="n"/>
      <c r="I285" s="59" t="n"/>
      <c r="J285" s="59" t="n"/>
      <c r="K285" s="59" t="n"/>
      <c r="L285" s="65">
        <f>IF(SUM(U285:AY285)=0,"",SUM(U285:AY285))</f>
        <v/>
      </c>
      <c r="M285" s="66">
        <f>IFERROR(INDEX(U$2:AY$2,MATCH(TRUE,INDEX(U285:AY285&lt;&gt;"",0),0)),"")</f>
        <v/>
      </c>
      <c r="N285" s="66">
        <f>IFERROR(LOOKUP(2,1/(U285:AY285&lt;&gt;""),U$2:AY$2),"")</f>
        <v/>
      </c>
      <c r="O285" s="59" t="n"/>
      <c r="P285" s="59" t="n"/>
      <c r="Q285" s="59" t="n"/>
      <c r="R285" s="59" t="n"/>
      <c r="S285" s="14" t="n"/>
      <c r="U285" s="53" t="n"/>
      <c r="V285" s="53" t="n"/>
      <c r="W285" s="53" t="n"/>
      <c r="X285" s="53" t="n"/>
      <c r="Y285" s="53" t="n"/>
      <c r="Z285" s="53" t="n"/>
      <c r="AA285" s="53" t="n"/>
      <c r="AB285" s="53" t="n"/>
      <c r="AC285" s="53" t="n"/>
      <c r="AD285" s="53" t="n"/>
      <c r="AE285" s="53" t="n"/>
      <c r="AF285" s="53" t="n"/>
      <c r="AG285" s="53" t="n"/>
      <c r="AH285" s="53" t="n"/>
      <c r="AI285" s="53" t="n"/>
      <c r="AJ285" s="53" t="n"/>
      <c r="AK285" s="53" t="n"/>
      <c r="AL285" s="53" t="n"/>
      <c r="AM285" s="53" t="n"/>
      <c r="AN285" s="53" t="n"/>
      <c r="AO285" s="53" t="n"/>
      <c r="AP285" s="53" t="n"/>
      <c r="AQ285" s="53" t="n"/>
      <c r="AR285" s="53" t="n"/>
      <c r="AS285" s="53" t="n"/>
      <c r="AT285" s="53" t="n"/>
      <c r="AU285" s="53" t="n"/>
      <c r="AV285" s="53" t="n"/>
      <c r="AW285" s="53" t="n"/>
      <c r="AX285" s="53" t="n"/>
      <c r="AY285" s="53" t="n"/>
    </row>
    <row r="286" ht="15" customHeight="1">
      <c r="A286" s="40">
        <f>IF($D$286="","",92)</f>
        <v/>
      </c>
      <c r="B286" s="10" t="n"/>
      <c r="C286" s="41" t="inlineStr">
        <is>
          <t>기타</t>
        </is>
      </c>
      <c r="D286" s="42" t="n"/>
      <c r="E286" s="43" t="inlineStr">
        <is>
          <t>기획</t>
        </is>
      </c>
      <c r="F286" s="44" t="n"/>
      <c r="G286" s="45" t="n"/>
      <c r="H286" s="46">
        <f>IF($I$286="","",IF($I$286&lt;0,"🔴지연",IF($I$286&lt;=1,"🟡임박","🟢여유")))</f>
        <v/>
      </c>
      <c r="I286" s="47">
        <f>IF(OR($G$286="",$K$286=""),"",$G$286-$K$286)</f>
        <v/>
      </c>
      <c r="J286" s="48">
        <f>IF(SUM($L$286:$L$288)=0,"",SUM($L$286:$L$288))</f>
        <v/>
      </c>
      <c r="K286" s="49">
        <f>IF($J$286="","",MAX($N$286:$N$288))</f>
        <v/>
      </c>
      <c r="L286" s="50">
        <f>IF(SUM(U286:AY286)=0,"",SUM(U286:AY286))</f>
        <v/>
      </c>
      <c r="M286" s="51">
        <f>IFERROR(INDEX(U$2:AY$2,MATCH(TRUE,INDEX(U286:AY286&lt;&gt;"",0),0)),"")</f>
        <v/>
      </c>
      <c r="N286" s="51">
        <f>IFERROR(LOOKUP(2,1/(U286:AY286&lt;&gt;""),U$2:AY$2),"")</f>
        <v/>
      </c>
      <c r="O286" s="52" t="n"/>
      <c r="P286" s="52" t="n"/>
      <c r="Q286" s="52" t="n"/>
      <c r="R286" s="44" t="n"/>
      <c r="S286" s="14" t="n"/>
      <c r="U286" s="53" t="n"/>
      <c r="V286" s="53" t="n"/>
      <c r="W286" s="53" t="n"/>
      <c r="X286" s="53" t="n"/>
      <c r="Y286" s="53" t="n"/>
      <c r="Z286" s="53" t="n"/>
      <c r="AA286" s="53" t="n"/>
      <c r="AB286" s="53" t="n"/>
      <c r="AC286" s="53" t="n"/>
      <c r="AD286" s="53" t="n"/>
      <c r="AE286" s="53" t="n"/>
      <c r="AF286" s="53" t="n"/>
      <c r="AG286" s="53" t="n"/>
      <c r="AH286" s="53" t="n"/>
      <c r="AI286" s="53" t="n"/>
      <c r="AJ286" s="53" t="n"/>
      <c r="AK286" s="53" t="n"/>
      <c r="AL286" s="53" t="n"/>
      <c r="AM286" s="53" t="n"/>
      <c r="AN286" s="53" t="n"/>
      <c r="AO286" s="53" t="n"/>
      <c r="AP286" s="53" t="n"/>
      <c r="AQ286" s="53" t="n"/>
      <c r="AR286" s="53" t="n"/>
      <c r="AS286" s="53" t="n"/>
      <c r="AT286" s="53" t="n"/>
      <c r="AU286" s="53" t="n"/>
      <c r="AV286" s="53" t="n"/>
      <c r="AW286" s="53" t="n"/>
      <c r="AX286" s="53" t="n"/>
      <c r="AY286" s="53" t="n"/>
    </row>
    <row r="287" ht="15" customHeight="1">
      <c r="A287" s="54" t="n"/>
      <c r="B287" s="55">
        <f>IF($B$286="","",$B$286)</f>
        <v/>
      </c>
      <c r="C287" s="56" t="inlineStr">
        <is>
          <t>기타</t>
        </is>
      </c>
      <c r="D287" s="55">
        <f>IF($D$286="","",$D$286)</f>
        <v/>
      </c>
      <c r="E287" s="57" t="inlineStr">
        <is>
          <t>이미지</t>
        </is>
      </c>
      <c r="F287" s="44" t="n"/>
      <c r="G287" s="58">
        <f>IF($G$286="","",$G$286)</f>
        <v/>
      </c>
      <c r="H287" s="59" t="n"/>
      <c r="I287" s="59" t="n"/>
      <c r="J287" s="59" t="n"/>
      <c r="K287" s="59" t="n"/>
      <c r="L287" s="60">
        <f>IF(SUM(U287:AY287)=0,"",SUM(U287:AY287))</f>
        <v/>
      </c>
      <c r="M287" s="61">
        <f>IFERROR(INDEX(U$2:AY$2,MATCH(TRUE,INDEX(U287:AY287&lt;&gt;"",0),0)),"")</f>
        <v/>
      </c>
      <c r="N287" s="61">
        <f>IFERROR(LOOKUP(2,1/(U287:AY287&lt;&gt;""),U$2:AY$2),"")</f>
        <v/>
      </c>
      <c r="O287" s="59" t="n"/>
      <c r="P287" s="59" t="n"/>
      <c r="Q287" s="59" t="n"/>
      <c r="R287" s="59" t="n"/>
      <c r="S287" s="14" t="n"/>
      <c r="U287" s="53" t="n"/>
      <c r="V287" s="53" t="n"/>
      <c r="W287" s="53" t="n"/>
      <c r="X287" s="53" t="n"/>
      <c r="Y287" s="53" t="n"/>
      <c r="Z287" s="53" t="n"/>
      <c r="AA287" s="53" t="n"/>
      <c r="AB287" s="53" t="n"/>
      <c r="AC287" s="53" t="n"/>
      <c r="AD287" s="53" t="n"/>
      <c r="AE287" s="53" t="n"/>
      <c r="AF287" s="53" t="n"/>
      <c r="AG287" s="53" t="n"/>
      <c r="AH287" s="53" t="n"/>
      <c r="AI287" s="53" t="n"/>
      <c r="AJ287" s="53" t="n"/>
      <c r="AK287" s="53" t="n"/>
      <c r="AL287" s="53" t="n"/>
      <c r="AM287" s="53" t="n"/>
      <c r="AN287" s="53" t="n"/>
      <c r="AO287" s="53" t="n"/>
      <c r="AP287" s="53" t="n"/>
      <c r="AQ287" s="53" t="n"/>
      <c r="AR287" s="53" t="n"/>
      <c r="AS287" s="53" t="n"/>
      <c r="AT287" s="53" t="n"/>
      <c r="AU287" s="53" t="n"/>
      <c r="AV287" s="53" t="n"/>
      <c r="AW287" s="53" t="n"/>
      <c r="AX287" s="53" t="n"/>
      <c r="AY287" s="53" t="n"/>
    </row>
    <row r="288" ht="15" customHeight="1">
      <c r="A288" s="62" t="n"/>
      <c r="B288" s="55">
        <f>IF($B$286="","",$B$286)</f>
        <v/>
      </c>
      <c r="C288" s="63" t="inlineStr">
        <is>
          <t>기타</t>
        </is>
      </c>
      <c r="D288" s="55">
        <f>IF($D$286="","",$D$286)</f>
        <v/>
      </c>
      <c r="E288" s="64" t="inlineStr">
        <is>
          <t>영상</t>
        </is>
      </c>
      <c r="F288" s="44" t="n"/>
      <c r="G288" s="58">
        <f>IF($G$286="","",$G$286)</f>
        <v/>
      </c>
      <c r="H288" s="59" t="n"/>
      <c r="I288" s="59" t="n"/>
      <c r="J288" s="59" t="n"/>
      <c r="K288" s="59" t="n"/>
      <c r="L288" s="65">
        <f>IF(SUM(U288:AY288)=0,"",SUM(U288:AY288))</f>
        <v/>
      </c>
      <c r="M288" s="66">
        <f>IFERROR(INDEX(U$2:AY$2,MATCH(TRUE,INDEX(U288:AY288&lt;&gt;"",0),0)),"")</f>
        <v/>
      </c>
      <c r="N288" s="66">
        <f>IFERROR(LOOKUP(2,1/(U288:AY288&lt;&gt;""),U$2:AY$2),"")</f>
        <v/>
      </c>
      <c r="O288" s="59" t="n"/>
      <c r="P288" s="59" t="n"/>
      <c r="Q288" s="59" t="n"/>
      <c r="R288" s="59" t="n"/>
      <c r="S288" s="14" t="n"/>
      <c r="U288" s="53" t="n"/>
      <c r="V288" s="53" t="n"/>
      <c r="W288" s="53" t="n"/>
      <c r="X288" s="53" t="n"/>
      <c r="Y288" s="53" t="n"/>
      <c r="Z288" s="53" t="n"/>
      <c r="AA288" s="53" t="n"/>
      <c r="AB288" s="53" t="n"/>
      <c r="AC288" s="53" t="n"/>
      <c r="AD288" s="53" t="n"/>
      <c r="AE288" s="53" t="n"/>
      <c r="AF288" s="53" t="n"/>
      <c r="AG288" s="53" t="n"/>
      <c r="AH288" s="53" t="n"/>
      <c r="AI288" s="53" t="n"/>
      <c r="AJ288" s="53" t="n"/>
      <c r="AK288" s="53" t="n"/>
      <c r="AL288" s="53" t="n"/>
      <c r="AM288" s="53" t="n"/>
      <c r="AN288" s="53" t="n"/>
      <c r="AO288" s="53" t="n"/>
      <c r="AP288" s="53" t="n"/>
      <c r="AQ288" s="53" t="n"/>
      <c r="AR288" s="53" t="n"/>
      <c r="AS288" s="53" t="n"/>
      <c r="AT288" s="53" t="n"/>
      <c r="AU288" s="53" t="n"/>
      <c r="AV288" s="53" t="n"/>
      <c r="AW288" s="53" t="n"/>
      <c r="AX288" s="53" t="n"/>
      <c r="AY288" s="53" t="n"/>
    </row>
    <row r="289" ht="15" customHeight="1">
      <c r="A289" s="40">
        <f>IF($D$289="","",93)</f>
        <v/>
      </c>
      <c r="B289" s="10" t="n"/>
      <c r="C289" s="41" t="inlineStr">
        <is>
          <t>기타</t>
        </is>
      </c>
      <c r="D289" s="42" t="n"/>
      <c r="E289" s="43" t="inlineStr">
        <is>
          <t>기획</t>
        </is>
      </c>
      <c r="F289" s="44" t="n"/>
      <c r="G289" s="45" t="n"/>
      <c r="H289" s="46">
        <f>IF($I$289="","",IF($I$289&lt;0,"🔴지연",IF($I$289&lt;=1,"🟡임박","🟢여유")))</f>
        <v/>
      </c>
      <c r="I289" s="47">
        <f>IF(OR($G$289="",$K$289=""),"",$G$289-$K$289)</f>
        <v/>
      </c>
      <c r="J289" s="48">
        <f>IF(SUM($L$289:$L$291)=0,"",SUM($L$289:$L$291))</f>
        <v/>
      </c>
      <c r="K289" s="49">
        <f>IF($J$289="","",MAX($N$289:$N$291))</f>
        <v/>
      </c>
      <c r="L289" s="50">
        <f>IF(SUM(U289:AY289)=0,"",SUM(U289:AY289))</f>
        <v/>
      </c>
      <c r="M289" s="51">
        <f>IFERROR(INDEX(U$2:AY$2,MATCH(TRUE,INDEX(U289:AY289&lt;&gt;"",0),0)),"")</f>
        <v/>
      </c>
      <c r="N289" s="51">
        <f>IFERROR(LOOKUP(2,1/(U289:AY289&lt;&gt;""),U$2:AY$2),"")</f>
        <v/>
      </c>
      <c r="O289" s="52" t="n"/>
      <c r="P289" s="52" t="n"/>
      <c r="Q289" s="52" t="n"/>
      <c r="R289" s="44" t="n"/>
      <c r="S289" s="14" t="n"/>
      <c r="U289" s="53" t="n"/>
      <c r="V289" s="53" t="n"/>
      <c r="W289" s="53" t="n"/>
      <c r="X289" s="53" t="n"/>
      <c r="Y289" s="53" t="n"/>
      <c r="Z289" s="53" t="n"/>
      <c r="AA289" s="53" t="n"/>
      <c r="AB289" s="53" t="n"/>
      <c r="AC289" s="53" t="n"/>
      <c r="AD289" s="53" t="n"/>
      <c r="AE289" s="53" t="n"/>
      <c r="AF289" s="53" t="n"/>
      <c r="AG289" s="53" t="n"/>
      <c r="AH289" s="53" t="n"/>
      <c r="AI289" s="53" t="n"/>
      <c r="AJ289" s="53" t="n"/>
      <c r="AK289" s="53" t="n"/>
      <c r="AL289" s="53" t="n"/>
      <c r="AM289" s="53" t="n"/>
      <c r="AN289" s="53" t="n"/>
      <c r="AO289" s="53" t="n"/>
      <c r="AP289" s="53" t="n"/>
      <c r="AQ289" s="53" t="n"/>
      <c r="AR289" s="53" t="n"/>
      <c r="AS289" s="53" t="n"/>
      <c r="AT289" s="53" t="n"/>
      <c r="AU289" s="53" t="n"/>
      <c r="AV289" s="53" t="n"/>
      <c r="AW289" s="53" t="n"/>
      <c r="AX289" s="53" t="n"/>
      <c r="AY289" s="53" t="n"/>
    </row>
    <row r="290" ht="15" customHeight="1">
      <c r="A290" s="54" t="n"/>
      <c r="B290" s="55">
        <f>IF($B$289="","",$B$289)</f>
        <v/>
      </c>
      <c r="C290" s="56" t="inlineStr">
        <is>
          <t>기타</t>
        </is>
      </c>
      <c r="D290" s="55">
        <f>IF($D$289="","",$D$289)</f>
        <v/>
      </c>
      <c r="E290" s="57" t="inlineStr">
        <is>
          <t>이미지</t>
        </is>
      </c>
      <c r="F290" s="44" t="n"/>
      <c r="G290" s="58">
        <f>IF($G$289="","",$G$289)</f>
        <v/>
      </c>
      <c r="H290" s="59" t="n"/>
      <c r="I290" s="59" t="n"/>
      <c r="J290" s="59" t="n"/>
      <c r="K290" s="59" t="n"/>
      <c r="L290" s="60">
        <f>IF(SUM(U290:AY290)=0,"",SUM(U290:AY290))</f>
        <v/>
      </c>
      <c r="M290" s="61">
        <f>IFERROR(INDEX(U$2:AY$2,MATCH(TRUE,INDEX(U290:AY290&lt;&gt;"",0),0)),"")</f>
        <v/>
      </c>
      <c r="N290" s="61">
        <f>IFERROR(LOOKUP(2,1/(U290:AY290&lt;&gt;""),U$2:AY$2),"")</f>
        <v/>
      </c>
      <c r="O290" s="59" t="n"/>
      <c r="P290" s="59" t="n"/>
      <c r="Q290" s="59" t="n"/>
      <c r="R290" s="59" t="n"/>
      <c r="S290" s="14" t="n"/>
      <c r="U290" s="53" t="n"/>
      <c r="V290" s="53" t="n"/>
      <c r="W290" s="53" t="n"/>
      <c r="X290" s="53" t="n"/>
      <c r="Y290" s="53" t="n"/>
      <c r="Z290" s="53" t="n"/>
      <c r="AA290" s="53" t="n"/>
      <c r="AB290" s="53" t="n"/>
      <c r="AC290" s="53" t="n"/>
      <c r="AD290" s="53" t="n"/>
      <c r="AE290" s="53" t="n"/>
      <c r="AF290" s="53" t="n"/>
      <c r="AG290" s="53" t="n"/>
      <c r="AH290" s="53" t="n"/>
      <c r="AI290" s="53" t="n"/>
      <c r="AJ290" s="53" t="n"/>
      <c r="AK290" s="53" t="n"/>
      <c r="AL290" s="53" t="n"/>
      <c r="AM290" s="53" t="n"/>
      <c r="AN290" s="53" t="n"/>
      <c r="AO290" s="53" t="n"/>
      <c r="AP290" s="53" t="n"/>
      <c r="AQ290" s="53" t="n"/>
      <c r="AR290" s="53" t="n"/>
      <c r="AS290" s="53" t="n"/>
      <c r="AT290" s="53" t="n"/>
      <c r="AU290" s="53" t="n"/>
      <c r="AV290" s="53" t="n"/>
      <c r="AW290" s="53" t="n"/>
      <c r="AX290" s="53" t="n"/>
      <c r="AY290" s="53" t="n"/>
    </row>
    <row r="291" ht="15" customHeight="1">
      <c r="A291" s="62" t="n"/>
      <c r="B291" s="55">
        <f>IF($B$289="","",$B$289)</f>
        <v/>
      </c>
      <c r="C291" s="63" t="inlineStr">
        <is>
          <t>기타</t>
        </is>
      </c>
      <c r="D291" s="55">
        <f>IF($D$289="","",$D$289)</f>
        <v/>
      </c>
      <c r="E291" s="64" t="inlineStr">
        <is>
          <t>영상</t>
        </is>
      </c>
      <c r="F291" s="44" t="n"/>
      <c r="G291" s="58">
        <f>IF($G$289="","",$G$289)</f>
        <v/>
      </c>
      <c r="H291" s="59" t="n"/>
      <c r="I291" s="59" t="n"/>
      <c r="J291" s="59" t="n"/>
      <c r="K291" s="59" t="n"/>
      <c r="L291" s="65">
        <f>IF(SUM(U291:AY291)=0,"",SUM(U291:AY291))</f>
        <v/>
      </c>
      <c r="M291" s="66">
        <f>IFERROR(INDEX(U$2:AY$2,MATCH(TRUE,INDEX(U291:AY291&lt;&gt;"",0),0)),"")</f>
        <v/>
      </c>
      <c r="N291" s="66">
        <f>IFERROR(LOOKUP(2,1/(U291:AY291&lt;&gt;""),U$2:AY$2),"")</f>
        <v/>
      </c>
      <c r="O291" s="59" t="n"/>
      <c r="P291" s="59" t="n"/>
      <c r="Q291" s="59" t="n"/>
      <c r="R291" s="59" t="n"/>
      <c r="S291" s="14" t="n"/>
      <c r="U291" s="53" t="n"/>
      <c r="V291" s="53" t="n"/>
      <c r="W291" s="53" t="n"/>
      <c r="X291" s="53" t="n"/>
      <c r="Y291" s="53" t="n"/>
      <c r="Z291" s="53" t="n"/>
      <c r="AA291" s="53" t="n"/>
      <c r="AB291" s="53" t="n"/>
      <c r="AC291" s="53" t="n"/>
      <c r="AD291" s="53" t="n"/>
      <c r="AE291" s="53" t="n"/>
      <c r="AF291" s="53" t="n"/>
      <c r="AG291" s="53" t="n"/>
      <c r="AH291" s="53" t="n"/>
      <c r="AI291" s="53" t="n"/>
      <c r="AJ291" s="53" t="n"/>
      <c r="AK291" s="53" t="n"/>
      <c r="AL291" s="53" t="n"/>
      <c r="AM291" s="53" t="n"/>
      <c r="AN291" s="53" t="n"/>
      <c r="AO291" s="53" t="n"/>
      <c r="AP291" s="53" t="n"/>
      <c r="AQ291" s="53" t="n"/>
      <c r="AR291" s="53" t="n"/>
      <c r="AS291" s="53" t="n"/>
      <c r="AT291" s="53" t="n"/>
      <c r="AU291" s="53" t="n"/>
      <c r="AV291" s="53" t="n"/>
      <c r="AW291" s="53" t="n"/>
      <c r="AX291" s="53" t="n"/>
      <c r="AY291" s="53" t="n"/>
    </row>
    <row r="292" ht="15" customHeight="1">
      <c r="A292" s="40">
        <f>IF($D$292="","",94)</f>
        <v/>
      </c>
      <c r="B292" s="10" t="n"/>
      <c r="C292" s="41" t="inlineStr">
        <is>
          <t>기타</t>
        </is>
      </c>
      <c r="D292" s="42" t="n"/>
      <c r="E292" s="43" t="inlineStr">
        <is>
          <t>기획</t>
        </is>
      </c>
      <c r="F292" s="44" t="n"/>
      <c r="G292" s="45" t="n"/>
      <c r="H292" s="46">
        <f>IF($I$292="","",IF($I$292&lt;0,"🔴지연",IF($I$292&lt;=1,"🟡임박","🟢여유")))</f>
        <v/>
      </c>
      <c r="I292" s="47">
        <f>IF(OR($G$292="",$K$292=""),"",$G$292-$K$292)</f>
        <v/>
      </c>
      <c r="J292" s="48">
        <f>IF(SUM($L$292:$L$294)=0,"",SUM($L$292:$L$294))</f>
        <v/>
      </c>
      <c r="K292" s="49">
        <f>IF($J$292="","",MAX($N$292:$N$294))</f>
        <v/>
      </c>
      <c r="L292" s="50">
        <f>IF(SUM(U292:AY292)=0,"",SUM(U292:AY292))</f>
        <v/>
      </c>
      <c r="M292" s="51">
        <f>IFERROR(INDEX(U$2:AY$2,MATCH(TRUE,INDEX(U292:AY292&lt;&gt;"",0),0)),"")</f>
        <v/>
      </c>
      <c r="N292" s="51">
        <f>IFERROR(LOOKUP(2,1/(U292:AY292&lt;&gt;""),U$2:AY$2),"")</f>
        <v/>
      </c>
      <c r="O292" s="52" t="n"/>
      <c r="P292" s="52" t="n"/>
      <c r="Q292" s="52" t="n"/>
      <c r="R292" s="44" t="n"/>
      <c r="S292" s="14" t="n"/>
      <c r="U292" s="53" t="n"/>
      <c r="V292" s="53" t="n"/>
      <c r="W292" s="53" t="n"/>
      <c r="X292" s="53" t="n"/>
      <c r="Y292" s="53" t="n"/>
      <c r="Z292" s="53" t="n"/>
      <c r="AA292" s="53" t="n"/>
      <c r="AB292" s="53" t="n"/>
      <c r="AC292" s="53" t="n"/>
      <c r="AD292" s="53" t="n"/>
      <c r="AE292" s="53" t="n"/>
      <c r="AF292" s="53" t="n"/>
      <c r="AG292" s="53" t="n"/>
      <c r="AH292" s="53" t="n"/>
      <c r="AI292" s="53" t="n"/>
      <c r="AJ292" s="53" t="n"/>
      <c r="AK292" s="53" t="n"/>
      <c r="AL292" s="53" t="n"/>
      <c r="AM292" s="53" t="n"/>
      <c r="AN292" s="53" t="n"/>
      <c r="AO292" s="53" t="n"/>
      <c r="AP292" s="53" t="n"/>
      <c r="AQ292" s="53" t="n"/>
      <c r="AR292" s="53" t="n"/>
      <c r="AS292" s="53" t="n"/>
      <c r="AT292" s="53" t="n"/>
      <c r="AU292" s="53" t="n"/>
      <c r="AV292" s="53" t="n"/>
      <c r="AW292" s="53" t="n"/>
      <c r="AX292" s="53" t="n"/>
      <c r="AY292" s="53" t="n"/>
    </row>
    <row r="293" ht="15" customHeight="1">
      <c r="A293" s="54" t="n"/>
      <c r="B293" s="55">
        <f>IF($B$292="","",$B$292)</f>
        <v/>
      </c>
      <c r="C293" s="56" t="inlineStr">
        <is>
          <t>기타</t>
        </is>
      </c>
      <c r="D293" s="55">
        <f>IF($D$292="","",$D$292)</f>
        <v/>
      </c>
      <c r="E293" s="57" t="inlineStr">
        <is>
          <t>이미지</t>
        </is>
      </c>
      <c r="F293" s="44" t="n"/>
      <c r="G293" s="58">
        <f>IF($G$292="","",$G$292)</f>
        <v/>
      </c>
      <c r="H293" s="59" t="n"/>
      <c r="I293" s="59" t="n"/>
      <c r="J293" s="59" t="n"/>
      <c r="K293" s="59" t="n"/>
      <c r="L293" s="60">
        <f>IF(SUM(U293:AY293)=0,"",SUM(U293:AY293))</f>
        <v/>
      </c>
      <c r="M293" s="61">
        <f>IFERROR(INDEX(U$2:AY$2,MATCH(TRUE,INDEX(U293:AY293&lt;&gt;"",0),0)),"")</f>
        <v/>
      </c>
      <c r="N293" s="61">
        <f>IFERROR(LOOKUP(2,1/(U293:AY293&lt;&gt;""),U$2:AY$2),"")</f>
        <v/>
      </c>
      <c r="O293" s="59" t="n"/>
      <c r="P293" s="59" t="n"/>
      <c r="Q293" s="59" t="n"/>
      <c r="R293" s="59" t="n"/>
      <c r="S293" s="14" t="n"/>
      <c r="U293" s="53" t="n"/>
      <c r="V293" s="53" t="n"/>
      <c r="W293" s="53" t="n"/>
      <c r="X293" s="53" t="n"/>
      <c r="Y293" s="53" t="n"/>
      <c r="Z293" s="53" t="n"/>
      <c r="AA293" s="53" t="n"/>
      <c r="AB293" s="53" t="n"/>
      <c r="AC293" s="53" t="n"/>
      <c r="AD293" s="53" t="n"/>
      <c r="AE293" s="53" t="n"/>
      <c r="AF293" s="53" t="n"/>
      <c r="AG293" s="53" t="n"/>
      <c r="AH293" s="53" t="n"/>
      <c r="AI293" s="53" t="n"/>
      <c r="AJ293" s="53" t="n"/>
      <c r="AK293" s="53" t="n"/>
      <c r="AL293" s="53" t="n"/>
      <c r="AM293" s="53" t="n"/>
      <c r="AN293" s="53" t="n"/>
      <c r="AO293" s="53" t="n"/>
      <c r="AP293" s="53" t="n"/>
      <c r="AQ293" s="53" t="n"/>
      <c r="AR293" s="53" t="n"/>
      <c r="AS293" s="53" t="n"/>
      <c r="AT293" s="53" t="n"/>
      <c r="AU293" s="53" t="n"/>
      <c r="AV293" s="53" t="n"/>
      <c r="AW293" s="53" t="n"/>
      <c r="AX293" s="53" t="n"/>
      <c r="AY293" s="53" t="n"/>
    </row>
    <row r="294" ht="15" customHeight="1">
      <c r="A294" s="62" t="n"/>
      <c r="B294" s="55">
        <f>IF($B$292="","",$B$292)</f>
        <v/>
      </c>
      <c r="C294" s="63" t="inlineStr">
        <is>
          <t>기타</t>
        </is>
      </c>
      <c r="D294" s="55">
        <f>IF($D$292="","",$D$292)</f>
        <v/>
      </c>
      <c r="E294" s="64" t="inlineStr">
        <is>
          <t>영상</t>
        </is>
      </c>
      <c r="F294" s="44" t="n"/>
      <c r="G294" s="58">
        <f>IF($G$292="","",$G$292)</f>
        <v/>
      </c>
      <c r="H294" s="59" t="n"/>
      <c r="I294" s="59" t="n"/>
      <c r="J294" s="59" t="n"/>
      <c r="K294" s="59" t="n"/>
      <c r="L294" s="65">
        <f>IF(SUM(U294:AY294)=0,"",SUM(U294:AY294))</f>
        <v/>
      </c>
      <c r="M294" s="66">
        <f>IFERROR(INDEX(U$2:AY$2,MATCH(TRUE,INDEX(U294:AY294&lt;&gt;"",0),0)),"")</f>
        <v/>
      </c>
      <c r="N294" s="66">
        <f>IFERROR(LOOKUP(2,1/(U294:AY294&lt;&gt;""),U$2:AY$2),"")</f>
        <v/>
      </c>
      <c r="O294" s="59" t="n"/>
      <c r="P294" s="59" t="n"/>
      <c r="Q294" s="59" t="n"/>
      <c r="R294" s="59" t="n"/>
      <c r="S294" s="14" t="n"/>
      <c r="U294" s="53" t="n"/>
      <c r="V294" s="53" t="n"/>
      <c r="W294" s="53" t="n"/>
      <c r="X294" s="53" t="n"/>
      <c r="Y294" s="53" t="n"/>
      <c r="Z294" s="53" t="n"/>
      <c r="AA294" s="53" t="n"/>
      <c r="AB294" s="53" t="n"/>
      <c r="AC294" s="53" t="n"/>
      <c r="AD294" s="53" t="n"/>
      <c r="AE294" s="53" t="n"/>
      <c r="AF294" s="53" t="n"/>
      <c r="AG294" s="53" t="n"/>
      <c r="AH294" s="53" t="n"/>
      <c r="AI294" s="53" t="n"/>
      <c r="AJ294" s="53" t="n"/>
      <c r="AK294" s="53" t="n"/>
      <c r="AL294" s="53" t="n"/>
      <c r="AM294" s="53" t="n"/>
      <c r="AN294" s="53" t="n"/>
      <c r="AO294" s="53" t="n"/>
      <c r="AP294" s="53" t="n"/>
      <c r="AQ294" s="53" t="n"/>
      <c r="AR294" s="53" t="n"/>
      <c r="AS294" s="53" t="n"/>
      <c r="AT294" s="53" t="n"/>
      <c r="AU294" s="53" t="n"/>
      <c r="AV294" s="53" t="n"/>
      <c r="AW294" s="53" t="n"/>
      <c r="AX294" s="53" t="n"/>
      <c r="AY294" s="53" t="n"/>
    </row>
    <row r="295" ht="15" customHeight="1">
      <c r="A295" s="40">
        <f>IF($D$295="","",95)</f>
        <v/>
      </c>
      <c r="B295" s="10" t="n"/>
      <c r="C295" s="41" t="inlineStr">
        <is>
          <t>기타</t>
        </is>
      </c>
      <c r="D295" s="42" t="n"/>
      <c r="E295" s="43" t="inlineStr">
        <is>
          <t>기획</t>
        </is>
      </c>
      <c r="F295" s="44" t="n"/>
      <c r="G295" s="45" t="n"/>
      <c r="H295" s="46">
        <f>IF($I$295="","",IF($I$295&lt;0,"🔴지연",IF($I$295&lt;=1,"🟡임박","🟢여유")))</f>
        <v/>
      </c>
      <c r="I295" s="47">
        <f>IF(OR($G$295="",$K$295=""),"",$G$295-$K$295)</f>
        <v/>
      </c>
      <c r="J295" s="48">
        <f>IF(SUM($L$295:$L$297)=0,"",SUM($L$295:$L$297))</f>
        <v/>
      </c>
      <c r="K295" s="49">
        <f>IF($J$295="","",MAX($N$295:$N$297))</f>
        <v/>
      </c>
      <c r="L295" s="50">
        <f>IF(SUM(U295:AY295)=0,"",SUM(U295:AY295))</f>
        <v/>
      </c>
      <c r="M295" s="51">
        <f>IFERROR(INDEX(U$2:AY$2,MATCH(TRUE,INDEX(U295:AY295&lt;&gt;"",0),0)),"")</f>
        <v/>
      </c>
      <c r="N295" s="51">
        <f>IFERROR(LOOKUP(2,1/(U295:AY295&lt;&gt;""),U$2:AY$2),"")</f>
        <v/>
      </c>
      <c r="O295" s="52" t="n"/>
      <c r="P295" s="52" t="n"/>
      <c r="Q295" s="52" t="n"/>
      <c r="R295" s="44" t="n"/>
      <c r="S295" s="14" t="n"/>
      <c r="U295" s="53" t="n"/>
      <c r="V295" s="53" t="n"/>
      <c r="W295" s="53" t="n"/>
      <c r="X295" s="53" t="n"/>
      <c r="Y295" s="53" t="n"/>
      <c r="Z295" s="53" t="n"/>
      <c r="AA295" s="53" t="n"/>
      <c r="AB295" s="53" t="n"/>
      <c r="AC295" s="53" t="n"/>
      <c r="AD295" s="53" t="n"/>
      <c r="AE295" s="53" t="n"/>
      <c r="AF295" s="53" t="n"/>
      <c r="AG295" s="53" t="n"/>
      <c r="AH295" s="53" t="n"/>
      <c r="AI295" s="53" t="n"/>
      <c r="AJ295" s="53" t="n"/>
      <c r="AK295" s="53" t="n"/>
      <c r="AL295" s="53" t="n"/>
      <c r="AM295" s="53" t="n"/>
      <c r="AN295" s="53" t="n"/>
      <c r="AO295" s="53" t="n"/>
      <c r="AP295" s="53" t="n"/>
      <c r="AQ295" s="53" t="n"/>
      <c r="AR295" s="53" t="n"/>
      <c r="AS295" s="53" t="n"/>
      <c r="AT295" s="53" t="n"/>
      <c r="AU295" s="53" t="n"/>
      <c r="AV295" s="53" t="n"/>
      <c r="AW295" s="53" t="n"/>
      <c r="AX295" s="53" t="n"/>
      <c r="AY295" s="53" t="n"/>
    </row>
    <row r="296" ht="15" customHeight="1">
      <c r="A296" s="54" t="n"/>
      <c r="B296" s="55">
        <f>IF($B$295="","",$B$295)</f>
        <v/>
      </c>
      <c r="C296" s="56" t="inlineStr">
        <is>
          <t>기타</t>
        </is>
      </c>
      <c r="D296" s="55">
        <f>IF($D$295="","",$D$295)</f>
        <v/>
      </c>
      <c r="E296" s="57" t="inlineStr">
        <is>
          <t>이미지</t>
        </is>
      </c>
      <c r="F296" s="44" t="n"/>
      <c r="G296" s="58">
        <f>IF($G$295="","",$G$295)</f>
        <v/>
      </c>
      <c r="H296" s="59" t="n"/>
      <c r="I296" s="59" t="n"/>
      <c r="J296" s="59" t="n"/>
      <c r="K296" s="59" t="n"/>
      <c r="L296" s="60">
        <f>IF(SUM(U296:AY296)=0,"",SUM(U296:AY296))</f>
        <v/>
      </c>
      <c r="M296" s="61">
        <f>IFERROR(INDEX(U$2:AY$2,MATCH(TRUE,INDEX(U296:AY296&lt;&gt;"",0),0)),"")</f>
        <v/>
      </c>
      <c r="N296" s="61">
        <f>IFERROR(LOOKUP(2,1/(U296:AY296&lt;&gt;""),U$2:AY$2),"")</f>
        <v/>
      </c>
      <c r="O296" s="59" t="n"/>
      <c r="P296" s="59" t="n"/>
      <c r="Q296" s="59" t="n"/>
      <c r="R296" s="59" t="n"/>
      <c r="S296" s="14" t="n"/>
      <c r="U296" s="53" t="n"/>
      <c r="V296" s="53" t="n"/>
      <c r="W296" s="53" t="n"/>
      <c r="X296" s="53" t="n"/>
      <c r="Y296" s="53" t="n"/>
      <c r="Z296" s="53" t="n"/>
      <c r="AA296" s="53" t="n"/>
      <c r="AB296" s="53" t="n"/>
      <c r="AC296" s="53" t="n"/>
      <c r="AD296" s="53" t="n"/>
      <c r="AE296" s="53" t="n"/>
      <c r="AF296" s="53" t="n"/>
      <c r="AG296" s="53" t="n"/>
      <c r="AH296" s="53" t="n"/>
      <c r="AI296" s="53" t="n"/>
      <c r="AJ296" s="53" t="n"/>
      <c r="AK296" s="53" t="n"/>
      <c r="AL296" s="53" t="n"/>
      <c r="AM296" s="53" t="n"/>
      <c r="AN296" s="53" t="n"/>
      <c r="AO296" s="53" t="n"/>
      <c r="AP296" s="53" t="n"/>
      <c r="AQ296" s="53" t="n"/>
      <c r="AR296" s="53" t="n"/>
      <c r="AS296" s="53" t="n"/>
      <c r="AT296" s="53" t="n"/>
      <c r="AU296" s="53" t="n"/>
      <c r="AV296" s="53" t="n"/>
      <c r="AW296" s="53" t="n"/>
      <c r="AX296" s="53" t="n"/>
      <c r="AY296" s="53" t="n"/>
    </row>
    <row r="297" ht="15" customHeight="1">
      <c r="A297" s="62" t="n"/>
      <c r="B297" s="55">
        <f>IF($B$295="","",$B$295)</f>
        <v/>
      </c>
      <c r="C297" s="63" t="inlineStr">
        <is>
          <t>기타</t>
        </is>
      </c>
      <c r="D297" s="55">
        <f>IF($D$295="","",$D$295)</f>
        <v/>
      </c>
      <c r="E297" s="64" t="inlineStr">
        <is>
          <t>영상</t>
        </is>
      </c>
      <c r="F297" s="44" t="n"/>
      <c r="G297" s="58">
        <f>IF($G$295="","",$G$295)</f>
        <v/>
      </c>
      <c r="H297" s="59" t="n"/>
      <c r="I297" s="59" t="n"/>
      <c r="J297" s="59" t="n"/>
      <c r="K297" s="59" t="n"/>
      <c r="L297" s="65">
        <f>IF(SUM(U297:AY297)=0,"",SUM(U297:AY297))</f>
        <v/>
      </c>
      <c r="M297" s="66">
        <f>IFERROR(INDEX(U$2:AY$2,MATCH(TRUE,INDEX(U297:AY297&lt;&gt;"",0),0)),"")</f>
        <v/>
      </c>
      <c r="N297" s="66">
        <f>IFERROR(LOOKUP(2,1/(U297:AY297&lt;&gt;""),U$2:AY$2),"")</f>
        <v/>
      </c>
      <c r="O297" s="59" t="n"/>
      <c r="P297" s="59" t="n"/>
      <c r="Q297" s="59" t="n"/>
      <c r="R297" s="59" t="n"/>
      <c r="S297" s="14" t="n"/>
      <c r="U297" s="53" t="n"/>
      <c r="V297" s="53" t="n"/>
      <c r="W297" s="53" t="n"/>
      <c r="X297" s="53" t="n"/>
      <c r="Y297" s="53" t="n"/>
      <c r="Z297" s="53" t="n"/>
      <c r="AA297" s="53" t="n"/>
      <c r="AB297" s="53" t="n"/>
      <c r="AC297" s="53" t="n"/>
      <c r="AD297" s="53" t="n"/>
      <c r="AE297" s="53" t="n"/>
      <c r="AF297" s="53" t="n"/>
      <c r="AG297" s="53" t="n"/>
      <c r="AH297" s="53" t="n"/>
      <c r="AI297" s="53" t="n"/>
      <c r="AJ297" s="53" t="n"/>
      <c r="AK297" s="53" t="n"/>
      <c r="AL297" s="53" t="n"/>
      <c r="AM297" s="53" t="n"/>
      <c r="AN297" s="53" t="n"/>
      <c r="AO297" s="53" t="n"/>
      <c r="AP297" s="53" t="n"/>
      <c r="AQ297" s="53" t="n"/>
      <c r="AR297" s="53" t="n"/>
      <c r="AS297" s="53" t="n"/>
      <c r="AT297" s="53" t="n"/>
      <c r="AU297" s="53" t="n"/>
      <c r="AV297" s="53" t="n"/>
      <c r="AW297" s="53" t="n"/>
      <c r="AX297" s="53" t="n"/>
      <c r="AY297" s="53" t="n"/>
    </row>
    <row r="298" ht="15" customHeight="1">
      <c r="A298" s="40">
        <f>IF($D$298="","",96)</f>
        <v/>
      </c>
      <c r="B298" s="10" t="n"/>
      <c r="C298" s="41" t="inlineStr">
        <is>
          <t>기타</t>
        </is>
      </c>
      <c r="D298" s="42" t="n"/>
      <c r="E298" s="43" t="inlineStr">
        <is>
          <t>기획</t>
        </is>
      </c>
      <c r="F298" s="44" t="n"/>
      <c r="G298" s="45" t="n"/>
      <c r="H298" s="46">
        <f>IF($I$298="","",IF($I$298&lt;0,"🔴지연",IF($I$298&lt;=1,"🟡임박","🟢여유")))</f>
        <v/>
      </c>
      <c r="I298" s="47">
        <f>IF(OR($G$298="",$K$298=""),"",$G$298-$K$298)</f>
        <v/>
      </c>
      <c r="J298" s="48">
        <f>IF(SUM($L$298:$L$300)=0,"",SUM($L$298:$L$300))</f>
        <v/>
      </c>
      <c r="K298" s="49">
        <f>IF($J$298="","",MAX($N$298:$N$300))</f>
        <v/>
      </c>
      <c r="L298" s="50">
        <f>IF(SUM(U298:AY298)=0,"",SUM(U298:AY298))</f>
        <v/>
      </c>
      <c r="M298" s="51">
        <f>IFERROR(INDEX(U$2:AY$2,MATCH(TRUE,INDEX(U298:AY298&lt;&gt;"",0),0)),"")</f>
        <v/>
      </c>
      <c r="N298" s="51">
        <f>IFERROR(LOOKUP(2,1/(U298:AY298&lt;&gt;""),U$2:AY$2),"")</f>
        <v/>
      </c>
      <c r="O298" s="52" t="n"/>
      <c r="P298" s="52" t="n"/>
      <c r="Q298" s="52" t="n"/>
      <c r="R298" s="44" t="n"/>
      <c r="S298" s="14" t="n"/>
      <c r="U298" s="53" t="n"/>
      <c r="V298" s="53" t="n"/>
      <c r="W298" s="53" t="n"/>
      <c r="X298" s="53" t="n"/>
      <c r="Y298" s="53" t="n"/>
      <c r="Z298" s="53" t="n"/>
      <c r="AA298" s="53" t="n"/>
      <c r="AB298" s="53" t="n"/>
      <c r="AC298" s="53" t="n"/>
      <c r="AD298" s="53" t="n"/>
      <c r="AE298" s="53" t="n"/>
      <c r="AF298" s="53" t="n"/>
      <c r="AG298" s="53" t="n"/>
      <c r="AH298" s="53" t="n"/>
      <c r="AI298" s="53" t="n"/>
      <c r="AJ298" s="53" t="n"/>
      <c r="AK298" s="53" t="n"/>
      <c r="AL298" s="53" t="n"/>
      <c r="AM298" s="53" t="n"/>
      <c r="AN298" s="53" t="n"/>
      <c r="AO298" s="53" t="n"/>
      <c r="AP298" s="53" t="n"/>
      <c r="AQ298" s="53" t="n"/>
      <c r="AR298" s="53" t="n"/>
      <c r="AS298" s="53" t="n"/>
      <c r="AT298" s="53" t="n"/>
      <c r="AU298" s="53" t="n"/>
      <c r="AV298" s="53" t="n"/>
      <c r="AW298" s="53" t="n"/>
      <c r="AX298" s="53" t="n"/>
      <c r="AY298" s="53" t="n"/>
    </row>
    <row r="299" ht="15" customHeight="1">
      <c r="A299" s="54" t="n"/>
      <c r="B299" s="55">
        <f>IF($B$298="","",$B$298)</f>
        <v/>
      </c>
      <c r="C299" s="56" t="inlineStr">
        <is>
          <t>기타</t>
        </is>
      </c>
      <c r="D299" s="55">
        <f>IF($D$298="","",$D$298)</f>
        <v/>
      </c>
      <c r="E299" s="57" t="inlineStr">
        <is>
          <t>이미지</t>
        </is>
      </c>
      <c r="F299" s="44" t="n"/>
      <c r="G299" s="58">
        <f>IF($G$298="","",$G$298)</f>
        <v/>
      </c>
      <c r="H299" s="59" t="n"/>
      <c r="I299" s="59" t="n"/>
      <c r="J299" s="59" t="n"/>
      <c r="K299" s="59" t="n"/>
      <c r="L299" s="60">
        <f>IF(SUM(U299:AY299)=0,"",SUM(U299:AY299))</f>
        <v/>
      </c>
      <c r="M299" s="61">
        <f>IFERROR(INDEX(U$2:AY$2,MATCH(TRUE,INDEX(U299:AY299&lt;&gt;"",0),0)),"")</f>
        <v/>
      </c>
      <c r="N299" s="61">
        <f>IFERROR(LOOKUP(2,1/(U299:AY299&lt;&gt;""),U$2:AY$2),"")</f>
        <v/>
      </c>
      <c r="O299" s="59" t="n"/>
      <c r="P299" s="59" t="n"/>
      <c r="Q299" s="59" t="n"/>
      <c r="R299" s="59" t="n"/>
      <c r="S299" s="14" t="n"/>
      <c r="U299" s="53" t="n"/>
      <c r="V299" s="53" t="n"/>
      <c r="W299" s="53" t="n"/>
      <c r="X299" s="53" t="n"/>
      <c r="Y299" s="53" t="n"/>
      <c r="Z299" s="53" t="n"/>
      <c r="AA299" s="53" t="n"/>
      <c r="AB299" s="53" t="n"/>
      <c r="AC299" s="53" t="n"/>
      <c r="AD299" s="53" t="n"/>
      <c r="AE299" s="53" t="n"/>
      <c r="AF299" s="53" t="n"/>
      <c r="AG299" s="53" t="n"/>
      <c r="AH299" s="53" t="n"/>
      <c r="AI299" s="53" t="n"/>
      <c r="AJ299" s="53" t="n"/>
      <c r="AK299" s="53" t="n"/>
      <c r="AL299" s="53" t="n"/>
      <c r="AM299" s="53" t="n"/>
      <c r="AN299" s="53" t="n"/>
      <c r="AO299" s="53" t="n"/>
      <c r="AP299" s="53" t="n"/>
      <c r="AQ299" s="53" t="n"/>
      <c r="AR299" s="53" t="n"/>
      <c r="AS299" s="53" t="n"/>
      <c r="AT299" s="53" t="n"/>
      <c r="AU299" s="53" t="n"/>
      <c r="AV299" s="53" t="n"/>
      <c r="AW299" s="53" t="n"/>
      <c r="AX299" s="53" t="n"/>
      <c r="AY299" s="53" t="n"/>
    </row>
    <row r="300" ht="15" customHeight="1">
      <c r="A300" s="62" t="n"/>
      <c r="B300" s="55">
        <f>IF($B$298="","",$B$298)</f>
        <v/>
      </c>
      <c r="C300" s="63" t="inlineStr">
        <is>
          <t>기타</t>
        </is>
      </c>
      <c r="D300" s="55">
        <f>IF($D$298="","",$D$298)</f>
        <v/>
      </c>
      <c r="E300" s="64" t="inlineStr">
        <is>
          <t>영상</t>
        </is>
      </c>
      <c r="F300" s="44" t="n"/>
      <c r="G300" s="58">
        <f>IF($G$298="","",$G$298)</f>
        <v/>
      </c>
      <c r="H300" s="59" t="n"/>
      <c r="I300" s="59" t="n"/>
      <c r="J300" s="59" t="n"/>
      <c r="K300" s="59" t="n"/>
      <c r="L300" s="65">
        <f>IF(SUM(U300:AY300)=0,"",SUM(U300:AY300))</f>
        <v/>
      </c>
      <c r="M300" s="66">
        <f>IFERROR(INDEX(U$2:AY$2,MATCH(TRUE,INDEX(U300:AY300&lt;&gt;"",0),0)),"")</f>
        <v/>
      </c>
      <c r="N300" s="66">
        <f>IFERROR(LOOKUP(2,1/(U300:AY300&lt;&gt;""),U$2:AY$2),"")</f>
        <v/>
      </c>
      <c r="O300" s="59" t="n"/>
      <c r="P300" s="59" t="n"/>
      <c r="Q300" s="59" t="n"/>
      <c r="R300" s="59" t="n"/>
      <c r="S300" s="14" t="n"/>
      <c r="U300" s="53" t="n"/>
      <c r="V300" s="53" t="n"/>
      <c r="W300" s="53" t="n"/>
      <c r="X300" s="53" t="n"/>
      <c r="Y300" s="53" t="n"/>
      <c r="Z300" s="53" t="n"/>
      <c r="AA300" s="53" t="n"/>
      <c r="AB300" s="53" t="n"/>
      <c r="AC300" s="53" t="n"/>
      <c r="AD300" s="53" t="n"/>
      <c r="AE300" s="53" t="n"/>
      <c r="AF300" s="53" t="n"/>
      <c r="AG300" s="53" t="n"/>
      <c r="AH300" s="53" t="n"/>
      <c r="AI300" s="53" t="n"/>
      <c r="AJ300" s="53" t="n"/>
      <c r="AK300" s="53" t="n"/>
      <c r="AL300" s="53" t="n"/>
      <c r="AM300" s="53" t="n"/>
      <c r="AN300" s="53" t="n"/>
      <c r="AO300" s="53" t="n"/>
      <c r="AP300" s="53" t="n"/>
      <c r="AQ300" s="53" t="n"/>
      <c r="AR300" s="53" t="n"/>
      <c r="AS300" s="53" t="n"/>
      <c r="AT300" s="53" t="n"/>
      <c r="AU300" s="53" t="n"/>
      <c r="AV300" s="53" t="n"/>
      <c r="AW300" s="53" t="n"/>
      <c r="AX300" s="53" t="n"/>
      <c r="AY300" s="53" t="n"/>
    </row>
    <row r="301" ht="15" customHeight="1">
      <c r="A301" s="40">
        <f>IF($D$301="","",97)</f>
        <v/>
      </c>
      <c r="B301" s="10" t="n"/>
      <c r="C301" s="41" t="inlineStr">
        <is>
          <t>기타</t>
        </is>
      </c>
      <c r="D301" s="42" t="n"/>
      <c r="E301" s="43" t="inlineStr">
        <is>
          <t>기획</t>
        </is>
      </c>
      <c r="F301" s="44" t="n"/>
      <c r="G301" s="45" t="n"/>
      <c r="H301" s="46">
        <f>IF($I$301="","",IF($I$301&lt;0,"🔴지연",IF($I$301&lt;=1,"🟡임박","🟢여유")))</f>
        <v/>
      </c>
      <c r="I301" s="47">
        <f>IF(OR($G$301="",$K$301=""),"",$G$301-$K$301)</f>
        <v/>
      </c>
      <c r="J301" s="48">
        <f>IF(SUM($L$301:$L$303)=0,"",SUM($L$301:$L$303))</f>
        <v/>
      </c>
      <c r="K301" s="49">
        <f>IF($J$301="","",MAX($N$301:$N$303))</f>
        <v/>
      </c>
      <c r="L301" s="50">
        <f>IF(SUM(U301:AY301)=0,"",SUM(U301:AY301))</f>
        <v/>
      </c>
      <c r="M301" s="51">
        <f>IFERROR(INDEX(U$2:AY$2,MATCH(TRUE,INDEX(U301:AY301&lt;&gt;"",0),0)),"")</f>
        <v/>
      </c>
      <c r="N301" s="51">
        <f>IFERROR(LOOKUP(2,1/(U301:AY301&lt;&gt;""),U$2:AY$2),"")</f>
        <v/>
      </c>
      <c r="O301" s="52" t="n"/>
      <c r="P301" s="52" t="n"/>
      <c r="Q301" s="52" t="n"/>
      <c r="R301" s="44" t="n"/>
      <c r="S301" s="14" t="n"/>
      <c r="U301" s="53" t="n"/>
      <c r="V301" s="53" t="n"/>
      <c r="W301" s="53" t="n"/>
      <c r="X301" s="53" t="n"/>
      <c r="Y301" s="53" t="n"/>
      <c r="Z301" s="53" t="n"/>
      <c r="AA301" s="53" t="n"/>
      <c r="AB301" s="53" t="n"/>
      <c r="AC301" s="53" t="n"/>
      <c r="AD301" s="53" t="n"/>
      <c r="AE301" s="53" t="n"/>
      <c r="AF301" s="53" t="n"/>
      <c r="AG301" s="53" t="n"/>
      <c r="AH301" s="53" t="n"/>
      <c r="AI301" s="53" t="n"/>
      <c r="AJ301" s="53" t="n"/>
      <c r="AK301" s="53" t="n"/>
      <c r="AL301" s="53" t="n"/>
      <c r="AM301" s="53" t="n"/>
      <c r="AN301" s="53" t="n"/>
      <c r="AO301" s="53" t="n"/>
      <c r="AP301" s="53" t="n"/>
      <c r="AQ301" s="53" t="n"/>
      <c r="AR301" s="53" t="n"/>
      <c r="AS301" s="53" t="n"/>
      <c r="AT301" s="53" t="n"/>
      <c r="AU301" s="53" t="n"/>
      <c r="AV301" s="53" t="n"/>
      <c r="AW301" s="53" t="n"/>
      <c r="AX301" s="53" t="n"/>
      <c r="AY301" s="53" t="n"/>
    </row>
    <row r="302" ht="15" customHeight="1">
      <c r="A302" s="54" t="n"/>
      <c r="B302" s="55">
        <f>IF($B$301="","",$B$301)</f>
        <v/>
      </c>
      <c r="C302" s="56" t="inlineStr">
        <is>
          <t>기타</t>
        </is>
      </c>
      <c r="D302" s="55">
        <f>IF($D$301="","",$D$301)</f>
        <v/>
      </c>
      <c r="E302" s="57" t="inlineStr">
        <is>
          <t>이미지</t>
        </is>
      </c>
      <c r="F302" s="44" t="n"/>
      <c r="G302" s="58">
        <f>IF($G$301="","",$G$301)</f>
        <v/>
      </c>
      <c r="H302" s="59" t="n"/>
      <c r="I302" s="59" t="n"/>
      <c r="J302" s="59" t="n"/>
      <c r="K302" s="59" t="n"/>
      <c r="L302" s="60">
        <f>IF(SUM(U302:AY302)=0,"",SUM(U302:AY302))</f>
        <v/>
      </c>
      <c r="M302" s="61">
        <f>IFERROR(INDEX(U$2:AY$2,MATCH(TRUE,INDEX(U302:AY302&lt;&gt;"",0),0)),"")</f>
        <v/>
      </c>
      <c r="N302" s="61">
        <f>IFERROR(LOOKUP(2,1/(U302:AY302&lt;&gt;""),U$2:AY$2),"")</f>
        <v/>
      </c>
      <c r="O302" s="59" t="n"/>
      <c r="P302" s="59" t="n"/>
      <c r="Q302" s="59" t="n"/>
      <c r="R302" s="59" t="n"/>
      <c r="S302" s="14" t="n"/>
      <c r="U302" s="53" t="n"/>
      <c r="V302" s="53" t="n"/>
      <c r="W302" s="53" t="n"/>
      <c r="X302" s="53" t="n"/>
      <c r="Y302" s="53" t="n"/>
      <c r="Z302" s="53" t="n"/>
      <c r="AA302" s="53" t="n"/>
      <c r="AB302" s="53" t="n"/>
      <c r="AC302" s="53" t="n"/>
      <c r="AD302" s="53" t="n"/>
      <c r="AE302" s="53" t="n"/>
      <c r="AF302" s="53" t="n"/>
      <c r="AG302" s="53" t="n"/>
      <c r="AH302" s="53" t="n"/>
      <c r="AI302" s="53" t="n"/>
      <c r="AJ302" s="53" t="n"/>
      <c r="AK302" s="53" t="n"/>
      <c r="AL302" s="53" t="n"/>
      <c r="AM302" s="53" t="n"/>
      <c r="AN302" s="53" t="n"/>
      <c r="AO302" s="53" t="n"/>
      <c r="AP302" s="53" t="n"/>
      <c r="AQ302" s="53" t="n"/>
      <c r="AR302" s="53" t="n"/>
      <c r="AS302" s="53" t="n"/>
      <c r="AT302" s="53" t="n"/>
      <c r="AU302" s="53" t="n"/>
      <c r="AV302" s="53" t="n"/>
      <c r="AW302" s="53" t="n"/>
      <c r="AX302" s="53" t="n"/>
      <c r="AY302" s="53" t="n"/>
    </row>
    <row r="303" ht="15" customHeight="1">
      <c r="A303" s="62" t="n"/>
      <c r="B303" s="55">
        <f>IF($B$301="","",$B$301)</f>
        <v/>
      </c>
      <c r="C303" s="63" t="inlineStr">
        <is>
          <t>기타</t>
        </is>
      </c>
      <c r="D303" s="55">
        <f>IF($D$301="","",$D$301)</f>
        <v/>
      </c>
      <c r="E303" s="64" t="inlineStr">
        <is>
          <t>영상</t>
        </is>
      </c>
      <c r="F303" s="44" t="n"/>
      <c r="G303" s="58">
        <f>IF($G$301="","",$G$301)</f>
        <v/>
      </c>
      <c r="H303" s="59" t="n"/>
      <c r="I303" s="59" t="n"/>
      <c r="J303" s="59" t="n"/>
      <c r="K303" s="59" t="n"/>
      <c r="L303" s="65">
        <f>IF(SUM(U303:AY303)=0,"",SUM(U303:AY303))</f>
        <v/>
      </c>
      <c r="M303" s="66">
        <f>IFERROR(INDEX(U$2:AY$2,MATCH(TRUE,INDEX(U303:AY303&lt;&gt;"",0),0)),"")</f>
        <v/>
      </c>
      <c r="N303" s="66">
        <f>IFERROR(LOOKUP(2,1/(U303:AY303&lt;&gt;""),U$2:AY$2),"")</f>
        <v/>
      </c>
      <c r="O303" s="59" t="n"/>
      <c r="P303" s="59" t="n"/>
      <c r="Q303" s="59" t="n"/>
      <c r="R303" s="59" t="n"/>
      <c r="S303" s="14" t="n"/>
      <c r="U303" s="53" t="n"/>
      <c r="V303" s="53" t="n"/>
      <c r="W303" s="53" t="n"/>
      <c r="X303" s="53" t="n"/>
      <c r="Y303" s="53" t="n"/>
      <c r="Z303" s="53" t="n"/>
      <c r="AA303" s="53" t="n"/>
      <c r="AB303" s="53" t="n"/>
      <c r="AC303" s="53" t="n"/>
      <c r="AD303" s="53" t="n"/>
      <c r="AE303" s="53" t="n"/>
      <c r="AF303" s="53" t="n"/>
      <c r="AG303" s="53" t="n"/>
      <c r="AH303" s="53" t="n"/>
      <c r="AI303" s="53" t="n"/>
      <c r="AJ303" s="53" t="n"/>
      <c r="AK303" s="53" t="n"/>
      <c r="AL303" s="53" t="n"/>
      <c r="AM303" s="53" t="n"/>
      <c r="AN303" s="53" t="n"/>
      <c r="AO303" s="53" t="n"/>
      <c r="AP303" s="53" t="n"/>
      <c r="AQ303" s="53" t="n"/>
      <c r="AR303" s="53" t="n"/>
      <c r="AS303" s="53" t="n"/>
      <c r="AT303" s="53" t="n"/>
      <c r="AU303" s="53" t="n"/>
      <c r="AV303" s="53" t="n"/>
      <c r="AW303" s="53" t="n"/>
      <c r="AX303" s="53" t="n"/>
      <c r="AY303" s="53" t="n"/>
    </row>
    <row r="304" ht="15" customHeight="1">
      <c r="A304" s="40">
        <f>IF($D$304="","",98)</f>
        <v/>
      </c>
      <c r="B304" s="10" t="n"/>
      <c r="C304" s="41" t="inlineStr">
        <is>
          <t>기타</t>
        </is>
      </c>
      <c r="D304" s="42" t="n"/>
      <c r="E304" s="43" t="inlineStr">
        <is>
          <t>기획</t>
        </is>
      </c>
      <c r="F304" s="44" t="n"/>
      <c r="G304" s="45" t="n"/>
      <c r="H304" s="46">
        <f>IF($I$304="","",IF($I$304&lt;0,"🔴지연",IF($I$304&lt;=1,"🟡임박","🟢여유")))</f>
        <v/>
      </c>
      <c r="I304" s="47">
        <f>IF(OR($G$304="",$K$304=""),"",$G$304-$K$304)</f>
        <v/>
      </c>
      <c r="J304" s="48">
        <f>IF(SUM($L$304:$L$306)=0,"",SUM($L$304:$L$306))</f>
        <v/>
      </c>
      <c r="K304" s="49">
        <f>IF($J$304="","",MAX($N$304:$N$306))</f>
        <v/>
      </c>
      <c r="L304" s="50">
        <f>IF(SUM(U304:AY304)=0,"",SUM(U304:AY304))</f>
        <v/>
      </c>
      <c r="M304" s="51">
        <f>IFERROR(INDEX(U$2:AY$2,MATCH(TRUE,INDEX(U304:AY304&lt;&gt;"",0),0)),"")</f>
        <v/>
      </c>
      <c r="N304" s="51">
        <f>IFERROR(LOOKUP(2,1/(U304:AY304&lt;&gt;""),U$2:AY$2),"")</f>
        <v/>
      </c>
      <c r="O304" s="52" t="n"/>
      <c r="P304" s="52" t="n"/>
      <c r="Q304" s="52" t="n"/>
      <c r="R304" s="44" t="n"/>
      <c r="S304" s="14" t="n"/>
      <c r="U304" s="53" t="n"/>
      <c r="V304" s="53" t="n"/>
      <c r="W304" s="53" t="n"/>
      <c r="X304" s="53" t="n"/>
      <c r="Y304" s="53" t="n"/>
      <c r="Z304" s="53" t="n"/>
      <c r="AA304" s="53" t="n"/>
      <c r="AB304" s="53" t="n"/>
      <c r="AC304" s="53" t="n"/>
      <c r="AD304" s="53" t="n"/>
      <c r="AE304" s="53" t="n"/>
      <c r="AF304" s="53" t="n"/>
      <c r="AG304" s="53" t="n"/>
      <c r="AH304" s="53" t="n"/>
      <c r="AI304" s="53" t="n"/>
      <c r="AJ304" s="53" t="n"/>
      <c r="AK304" s="53" t="n"/>
      <c r="AL304" s="53" t="n"/>
      <c r="AM304" s="53" t="n"/>
      <c r="AN304" s="53" t="n"/>
      <c r="AO304" s="53" t="n"/>
      <c r="AP304" s="53" t="n"/>
      <c r="AQ304" s="53" t="n"/>
      <c r="AR304" s="53" t="n"/>
      <c r="AS304" s="53" t="n"/>
      <c r="AT304" s="53" t="n"/>
      <c r="AU304" s="53" t="n"/>
      <c r="AV304" s="53" t="n"/>
      <c r="AW304" s="53" t="n"/>
      <c r="AX304" s="53" t="n"/>
      <c r="AY304" s="53" t="n"/>
    </row>
    <row r="305" ht="15" customHeight="1">
      <c r="A305" s="54" t="n"/>
      <c r="B305" s="55">
        <f>IF($B$304="","",$B$304)</f>
        <v/>
      </c>
      <c r="C305" s="56" t="inlineStr">
        <is>
          <t>기타</t>
        </is>
      </c>
      <c r="D305" s="55">
        <f>IF($D$304="","",$D$304)</f>
        <v/>
      </c>
      <c r="E305" s="57" t="inlineStr">
        <is>
          <t>이미지</t>
        </is>
      </c>
      <c r="F305" s="44" t="n"/>
      <c r="G305" s="58">
        <f>IF($G$304="","",$G$304)</f>
        <v/>
      </c>
      <c r="H305" s="59" t="n"/>
      <c r="I305" s="59" t="n"/>
      <c r="J305" s="59" t="n"/>
      <c r="K305" s="59" t="n"/>
      <c r="L305" s="60">
        <f>IF(SUM(U305:AY305)=0,"",SUM(U305:AY305))</f>
        <v/>
      </c>
      <c r="M305" s="61">
        <f>IFERROR(INDEX(U$2:AY$2,MATCH(TRUE,INDEX(U305:AY305&lt;&gt;"",0),0)),"")</f>
        <v/>
      </c>
      <c r="N305" s="61">
        <f>IFERROR(LOOKUP(2,1/(U305:AY305&lt;&gt;""),U$2:AY$2),"")</f>
        <v/>
      </c>
      <c r="O305" s="59" t="n"/>
      <c r="P305" s="59" t="n"/>
      <c r="Q305" s="59" t="n"/>
      <c r="R305" s="59" t="n"/>
      <c r="S305" s="14" t="n"/>
      <c r="U305" s="53" t="n"/>
      <c r="V305" s="53" t="n"/>
      <c r="W305" s="53" t="n"/>
      <c r="X305" s="53" t="n"/>
      <c r="Y305" s="53" t="n"/>
      <c r="Z305" s="53" t="n"/>
      <c r="AA305" s="53" t="n"/>
      <c r="AB305" s="53" t="n"/>
      <c r="AC305" s="53" t="n"/>
      <c r="AD305" s="53" t="n"/>
      <c r="AE305" s="53" t="n"/>
      <c r="AF305" s="53" t="n"/>
      <c r="AG305" s="53" t="n"/>
      <c r="AH305" s="53" t="n"/>
      <c r="AI305" s="53" t="n"/>
      <c r="AJ305" s="53" t="n"/>
      <c r="AK305" s="53" t="n"/>
      <c r="AL305" s="53" t="n"/>
      <c r="AM305" s="53" t="n"/>
      <c r="AN305" s="53" t="n"/>
      <c r="AO305" s="53" t="n"/>
      <c r="AP305" s="53" t="n"/>
      <c r="AQ305" s="53" t="n"/>
      <c r="AR305" s="53" t="n"/>
      <c r="AS305" s="53" t="n"/>
      <c r="AT305" s="53" t="n"/>
      <c r="AU305" s="53" t="n"/>
      <c r="AV305" s="53" t="n"/>
      <c r="AW305" s="53" t="n"/>
      <c r="AX305" s="53" t="n"/>
      <c r="AY305" s="53" t="n"/>
    </row>
    <row r="306" ht="15" customHeight="1">
      <c r="A306" s="62" t="n"/>
      <c r="B306" s="55">
        <f>IF($B$304="","",$B$304)</f>
        <v/>
      </c>
      <c r="C306" s="63" t="inlineStr">
        <is>
          <t>기타</t>
        </is>
      </c>
      <c r="D306" s="55">
        <f>IF($D$304="","",$D$304)</f>
        <v/>
      </c>
      <c r="E306" s="64" t="inlineStr">
        <is>
          <t>영상</t>
        </is>
      </c>
      <c r="F306" s="44" t="n"/>
      <c r="G306" s="58">
        <f>IF($G$304="","",$G$304)</f>
        <v/>
      </c>
      <c r="H306" s="59" t="n"/>
      <c r="I306" s="59" t="n"/>
      <c r="J306" s="59" t="n"/>
      <c r="K306" s="59" t="n"/>
      <c r="L306" s="65">
        <f>IF(SUM(U306:AY306)=0,"",SUM(U306:AY306))</f>
        <v/>
      </c>
      <c r="M306" s="66">
        <f>IFERROR(INDEX(U$2:AY$2,MATCH(TRUE,INDEX(U306:AY306&lt;&gt;"",0),0)),"")</f>
        <v/>
      </c>
      <c r="N306" s="66">
        <f>IFERROR(LOOKUP(2,1/(U306:AY306&lt;&gt;""),U$2:AY$2),"")</f>
        <v/>
      </c>
      <c r="O306" s="59" t="n"/>
      <c r="P306" s="59" t="n"/>
      <c r="Q306" s="59" t="n"/>
      <c r="R306" s="59" t="n"/>
      <c r="S306" s="14" t="n"/>
      <c r="U306" s="53" t="n"/>
      <c r="V306" s="53" t="n"/>
      <c r="W306" s="53" t="n"/>
      <c r="X306" s="53" t="n"/>
      <c r="Y306" s="53" t="n"/>
      <c r="Z306" s="53" t="n"/>
      <c r="AA306" s="53" t="n"/>
      <c r="AB306" s="53" t="n"/>
      <c r="AC306" s="53" t="n"/>
      <c r="AD306" s="53" t="n"/>
      <c r="AE306" s="53" t="n"/>
      <c r="AF306" s="53" t="n"/>
      <c r="AG306" s="53" t="n"/>
      <c r="AH306" s="53" t="n"/>
      <c r="AI306" s="53" t="n"/>
      <c r="AJ306" s="53" t="n"/>
      <c r="AK306" s="53" t="n"/>
      <c r="AL306" s="53" t="n"/>
      <c r="AM306" s="53" t="n"/>
      <c r="AN306" s="53" t="n"/>
      <c r="AO306" s="53" t="n"/>
      <c r="AP306" s="53" t="n"/>
      <c r="AQ306" s="53" t="n"/>
      <c r="AR306" s="53" t="n"/>
      <c r="AS306" s="53" t="n"/>
      <c r="AT306" s="53" t="n"/>
      <c r="AU306" s="53" t="n"/>
      <c r="AV306" s="53" t="n"/>
      <c r="AW306" s="53" t="n"/>
      <c r="AX306" s="53" t="n"/>
      <c r="AY306" s="53" t="n"/>
    </row>
    <row r="307" ht="15" customHeight="1">
      <c r="A307" s="40">
        <f>IF($D$307="","",99)</f>
        <v/>
      </c>
      <c r="B307" s="10" t="n"/>
      <c r="C307" s="41" t="inlineStr">
        <is>
          <t>기타</t>
        </is>
      </c>
      <c r="D307" s="42" t="n"/>
      <c r="E307" s="43" t="inlineStr">
        <is>
          <t>기획</t>
        </is>
      </c>
      <c r="F307" s="44" t="n"/>
      <c r="G307" s="45" t="n"/>
      <c r="H307" s="46">
        <f>IF($I$307="","",IF($I$307&lt;0,"🔴지연",IF($I$307&lt;=1,"🟡임박","🟢여유")))</f>
        <v/>
      </c>
      <c r="I307" s="47">
        <f>IF(OR($G$307="",$K$307=""),"",$G$307-$K$307)</f>
        <v/>
      </c>
      <c r="J307" s="48">
        <f>IF(SUM($L$307:$L$309)=0,"",SUM($L$307:$L$309))</f>
        <v/>
      </c>
      <c r="K307" s="49">
        <f>IF($J$307="","",MAX($N$307:$N$309))</f>
        <v/>
      </c>
      <c r="L307" s="50">
        <f>IF(SUM(U307:AY307)=0,"",SUM(U307:AY307))</f>
        <v/>
      </c>
      <c r="M307" s="51">
        <f>IFERROR(INDEX(U$2:AY$2,MATCH(TRUE,INDEX(U307:AY307&lt;&gt;"",0),0)),"")</f>
        <v/>
      </c>
      <c r="N307" s="51">
        <f>IFERROR(LOOKUP(2,1/(U307:AY307&lt;&gt;""),U$2:AY$2),"")</f>
        <v/>
      </c>
      <c r="O307" s="52" t="n"/>
      <c r="P307" s="52" t="n"/>
      <c r="Q307" s="52" t="n"/>
      <c r="R307" s="44" t="n"/>
      <c r="S307" s="14" t="n"/>
      <c r="U307" s="53" t="n"/>
      <c r="V307" s="53" t="n"/>
      <c r="W307" s="53" t="n"/>
      <c r="X307" s="53" t="n"/>
      <c r="Y307" s="53" t="n"/>
      <c r="Z307" s="53" t="n"/>
      <c r="AA307" s="53" t="n"/>
      <c r="AB307" s="53" t="n"/>
      <c r="AC307" s="53" t="n"/>
      <c r="AD307" s="53" t="n"/>
      <c r="AE307" s="53" t="n"/>
      <c r="AF307" s="53" t="n"/>
      <c r="AG307" s="53" t="n"/>
      <c r="AH307" s="53" t="n"/>
      <c r="AI307" s="53" t="n"/>
      <c r="AJ307" s="53" t="n"/>
      <c r="AK307" s="53" t="n"/>
      <c r="AL307" s="53" t="n"/>
      <c r="AM307" s="53" t="n"/>
      <c r="AN307" s="53" t="n"/>
      <c r="AO307" s="53" t="n"/>
      <c r="AP307" s="53" t="n"/>
      <c r="AQ307" s="53" t="n"/>
      <c r="AR307" s="53" t="n"/>
      <c r="AS307" s="53" t="n"/>
      <c r="AT307" s="53" t="n"/>
      <c r="AU307" s="53" t="n"/>
      <c r="AV307" s="53" t="n"/>
      <c r="AW307" s="53" t="n"/>
      <c r="AX307" s="53" t="n"/>
      <c r="AY307" s="53" t="n"/>
    </row>
    <row r="308" ht="15" customHeight="1">
      <c r="A308" s="54" t="n"/>
      <c r="B308" s="55">
        <f>IF($B$307="","",$B$307)</f>
        <v/>
      </c>
      <c r="C308" s="56" t="inlineStr">
        <is>
          <t>기타</t>
        </is>
      </c>
      <c r="D308" s="55">
        <f>IF($D$307="","",$D$307)</f>
        <v/>
      </c>
      <c r="E308" s="57" t="inlineStr">
        <is>
          <t>이미지</t>
        </is>
      </c>
      <c r="F308" s="44" t="n"/>
      <c r="G308" s="58">
        <f>IF($G$307="","",$G$307)</f>
        <v/>
      </c>
      <c r="H308" s="59" t="n"/>
      <c r="I308" s="59" t="n"/>
      <c r="J308" s="59" t="n"/>
      <c r="K308" s="59" t="n"/>
      <c r="L308" s="60">
        <f>IF(SUM(U308:AY308)=0,"",SUM(U308:AY308))</f>
        <v/>
      </c>
      <c r="M308" s="61">
        <f>IFERROR(INDEX(U$2:AY$2,MATCH(TRUE,INDEX(U308:AY308&lt;&gt;"",0),0)),"")</f>
        <v/>
      </c>
      <c r="N308" s="61">
        <f>IFERROR(LOOKUP(2,1/(U308:AY308&lt;&gt;""),U$2:AY$2),"")</f>
        <v/>
      </c>
      <c r="O308" s="59" t="n"/>
      <c r="P308" s="59" t="n"/>
      <c r="Q308" s="59" t="n"/>
      <c r="R308" s="59" t="n"/>
      <c r="S308" s="14" t="n"/>
      <c r="U308" s="53" t="n"/>
      <c r="V308" s="53" t="n"/>
      <c r="W308" s="53" t="n"/>
      <c r="X308" s="53" t="n"/>
      <c r="Y308" s="53" t="n"/>
      <c r="Z308" s="53" t="n"/>
      <c r="AA308" s="53" t="n"/>
      <c r="AB308" s="53" t="n"/>
      <c r="AC308" s="53" t="n"/>
      <c r="AD308" s="53" t="n"/>
      <c r="AE308" s="53" t="n"/>
      <c r="AF308" s="53" t="n"/>
      <c r="AG308" s="53" t="n"/>
      <c r="AH308" s="53" t="n"/>
      <c r="AI308" s="53" t="n"/>
      <c r="AJ308" s="53" t="n"/>
      <c r="AK308" s="53" t="n"/>
      <c r="AL308" s="53" t="n"/>
      <c r="AM308" s="53" t="n"/>
      <c r="AN308" s="53" t="n"/>
      <c r="AO308" s="53" t="n"/>
      <c r="AP308" s="53" t="n"/>
      <c r="AQ308" s="53" t="n"/>
      <c r="AR308" s="53" t="n"/>
      <c r="AS308" s="53" t="n"/>
      <c r="AT308" s="53" t="n"/>
      <c r="AU308" s="53" t="n"/>
      <c r="AV308" s="53" t="n"/>
      <c r="AW308" s="53" t="n"/>
      <c r="AX308" s="53" t="n"/>
      <c r="AY308" s="53" t="n"/>
    </row>
    <row r="309" ht="15" customHeight="1">
      <c r="A309" s="62" t="n"/>
      <c r="B309" s="55">
        <f>IF($B$307="","",$B$307)</f>
        <v/>
      </c>
      <c r="C309" s="63" t="inlineStr">
        <is>
          <t>기타</t>
        </is>
      </c>
      <c r="D309" s="55">
        <f>IF($D$307="","",$D$307)</f>
        <v/>
      </c>
      <c r="E309" s="64" t="inlineStr">
        <is>
          <t>영상</t>
        </is>
      </c>
      <c r="F309" s="44" t="n"/>
      <c r="G309" s="58">
        <f>IF($G$307="","",$G$307)</f>
        <v/>
      </c>
      <c r="H309" s="59" t="n"/>
      <c r="I309" s="59" t="n"/>
      <c r="J309" s="59" t="n"/>
      <c r="K309" s="59" t="n"/>
      <c r="L309" s="65">
        <f>IF(SUM(U309:AY309)=0,"",SUM(U309:AY309))</f>
        <v/>
      </c>
      <c r="M309" s="66">
        <f>IFERROR(INDEX(U$2:AY$2,MATCH(TRUE,INDEX(U309:AY309&lt;&gt;"",0),0)),"")</f>
        <v/>
      </c>
      <c r="N309" s="66">
        <f>IFERROR(LOOKUP(2,1/(U309:AY309&lt;&gt;""),U$2:AY$2),"")</f>
        <v/>
      </c>
      <c r="O309" s="59" t="n"/>
      <c r="P309" s="59" t="n"/>
      <c r="Q309" s="59" t="n"/>
      <c r="R309" s="59" t="n"/>
      <c r="S309" s="14" t="n"/>
      <c r="U309" s="53" t="n"/>
      <c r="V309" s="53" t="n"/>
      <c r="W309" s="53" t="n"/>
      <c r="X309" s="53" t="n"/>
      <c r="Y309" s="53" t="n"/>
      <c r="Z309" s="53" t="n"/>
      <c r="AA309" s="53" t="n"/>
      <c r="AB309" s="53" t="n"/>
      <c r="AC309" s="53" t="n"/>
      <c r="AD309" s="53" t="n"/>
      <c r="AE309" s="53" t="n"/>
      <c r="AF309" s="53" t="n"/>
      <c r="AG309" s="53" t="n"/>
      <c r="AH309" s="53" t="n"/>
      <c r="AI309" s="53" t="n"/>
      <c r="AJ309" s="53" t="n"/>
      <c r="AK309" s="53" t="n"/>
      <c r="AL309" s="53" t="n"/>
      <c r="AM309" s="53" t="n"/>
      <c r="AN309" s="53" t="n"/>
      <c r="AO309" s="53" t="n"/>
      <c r="AP309" s="53" t="n"/>
      <c r="AQ309" s="53" t="n"/>
      <c r="AR309" s="53" t="n"/>
      <c r="AS309" s="53" t="n"/>
      <c r="AT309" s="53" t="n"/>
      <c r="AU309" s="53" t="n"/>
      <c r="AV309" s="53" t="n"/>
      <c r="AW309" s="53" t="n"/>
      <c r="AX309" s="53" t="n"/>
      <c r="AY309" s="53" t="n"/>
    </row>
    <row r="310" ht="15" customHeight="1">
      <c r="A310" s="40">
        <f>IF($D$310="","",100)</f>
        <v/>
      </c>
      <c r="B310" s="10" t="n"/>
      <c r="C310" s="41" t="inlineStr">
        <is>
          <t>기타</t>
        </is>
      </c>
      <c r="D310" s="42" t="n"/>
      <c r="E310" s="43" t="inlineStr">
        <is>
          <t>기획</t>
        </is>
      </c>
      <c r="F310" s="44" t="n"/>
      <c r="G310" s="45" t="n"/>
      <c r="H310" s="46">
        <f>IF($I$310="","",IF($I$310&lt;0,"🔴지연",IF($I$310&lt;=1,"🟡임박","🟢여유")))</f>
        <v/>
      </c>
      <c r="I310" s="47">
        <f>IF(OR($G$310="",$K$310=""),"",$G$310-$K$310)</f>
        <v/>
      </c>
      <c r="J310" s="48">
        <f>IF(SUM($L$310:$L$312)=0,"",SUM($L$310:$L$312))</f>
        <v/>
      </c>
      <c r="K310" s="49">
        <f>IF($J$310="","",MAX($N$310:$N$312))</f>
        <v/>
      </c>
      <c r="L310" s="50">
        <f>IF(SUM(U310:AY310)=0,"",SUM(U310:AY310))</f>
        <v/>
      </c>
      <c r="M310" s="51">
        <f>IFERROR(INDEX(U$2:AY$2,MATCH(TRUE,INDEX(U310:AY310&lt;&gt;"",0),0)),"")</f>
        <v/>
      </c>
      <c r="N310" s="51">
        <f>IFERROR(LOOKUP(2,1/(U310:AY310&lt;&gt;""),U$2:AY$2),"")</f>
        <v/>
      </c>
      <c r="O310" s="52" t="n"/>
      <c r="P310" s="52" t="n"/>
      <c r="Q310" s="52" t="n"/>
      <c r="R310" s="44" t="n"/>
      <c r="S310" s="14" t="n"/>
      <c r="U310" s="53" t="n"/>
      <c r="V310" s="53" t="n"/>
      <c r="W310" s="53" t="n"/>
      <c r="X310" s="53" t="n"/>
      <c r="Y310" s="53" t="n"/>
      <c r="Z310" s="53" t="n"/>
      <c r="AA310" s="53" t="n"/>
      <c r="AB310" s="53" t="n"/>
      <c r="AC310" s="53" t="n"/>
      <c r="AD310" s="53" t="n"/>
      <c r="AE310" s="53" t="n"/>
      <c r="AF310" s="53" t="n"/>
      <c r="AG310" s="53" t="n"/>
      <c r="AH310" s="53" t="n"/>
      <c r="AI310" s="53" t="n"/>
      <c r="AJ310" s="53" t="n"/>
      <c r="AK310" s="53" t="n"/>
      <c r="AL310" s="53" t="n"/>
      <c r="AM310" s="53" t="n"/>
      <c r="AN310" s="53" t="n"/>
      <c r="AO310" s="53" t="n"/>
      <c r="AP310" s="53" t="n"/>
      <c r="AQ310" s="53" t="n"/>
      <c r="AR310" s="53" t="n"/>
      <c r="AS310" s="53" t="n"/>
      <c r="AT310" s="53" t="n"/>
      <c r="AU310" s="53" t="n"/>
      <c r="AV310" s="53" t="n"/>
      <c r="AW310" s="53" t="n"/>
      <c r="AX310" s="53" t="n"/>
      <c r="AY310" s="53" t="n"/>
    </row>
    <row r="311" ht="15" customHeight="1">
      <c r="A311" s="54" t="n"/>
      <c r="B311" s="55">
        <f>IF($B$310="","",$B$310)</f>
        <v/>
      </c>
      <c r="C311" s="56" t="inlineStr">
        <is>
          <t>기타</t>
        </is>
      </c>
      <c r="D311" s="55">
        <f>IF($D$310="","",$D$310)</f>
        <v/>
      </c>
      <c r="E311" s="57" t="inlineStr">
        <is>
          <t>이미지</t>
        </is>
      </c>
      <c r="F311" s="44" t="n"/>
      <c r="G311" s="58">
        <f>IF($G$310="","",$G$310)</f>
        <v/>
      </c>
      <c r="H311" s="59" t="n"/>
      <c r="I311" s="59" t="n"/>
      <c r="J311" s="59" t="n"/>
      <c r="K311" s="59" t="n"/>
      <c r="L311" s="60">
        <f>IF(SUM(U311:AY311)=0,"",SUM(U311:AY311))</f>
        <v/>
      </c>
      <c r="M311" s="61">
        <f>IFERROR(INDEX(U$2:AY$2,MATCH(TRUE,INDEX(U311:AY311&lt;&gt;"",0),0)),"")</f>
        <v/>
      </c>
      <c r="N311" s="61">
        <f>IFERROR(LOOKUP(2,1/(U311:AY311&lt;&gt;""),U$2:AY$2),"")</f>
        <v/>
      </c>
      <c r="O311" s="59" t="n"/>
      <c r="P311" s="59" t="n"/>
      <c r="Q311" s="59" t="n"/>
      <c r="R311" s="59" t="n"/>
      <c r="S311" s="14" t="n"/>
      <c r="U311" s="53" t="n"/>
      <c r="V311" s="53" t="n"/>
      <c r="W311" s="53" t="n"/>
      <c r="X311" s="53" t="n"/>
      <c r="Y311" s="53" t="n"/>
      <c r="Z311" s="53" t="n"/>
      <c r="AA311" s="53" t="n"/>
      <c r="AB311" s="53" t="n"/>
      <c r="AC311" s="53" t="n"/>
      <c r="AD311" s="53" t="n"/>
      <c r="AE311" s="53" t="n"/>
      <c r="AF311" s="53" t="n"/>
      <c r="AG311" s="53" t="n"/>
      <c r="AH311" s="53" t="n"/>
      <c r="AI311" s="53" t="n"/>
      <c r="AJ311" s="53" t="n"/>
      <c r="AK311" s="53" t="n"/>
      <c r="AL311" s="53" t="n"/>
      <c r="AM311" s="53" t="n"/>
      <c r="AN311" s="53" t="n"/>
      <c r="AO311" s="53" t="n"/>
      <c r="AP311" s="53" t="n"/>
      <c r="AQ311" s="53" t="n"/>
      <c r="AR311" s="53" t="n"/>
      <c r="AS311" s="53" t="n"/>
      <c r="AT311" s="53" t="n"/>
      <c r="AU311" s="53" t="n"/>
      <c r="AV311" s="53" t="n"/>
      <c r="AW311" s="53" t="n"/>
      <c r="AX311" s="53" t="n"/>
      <c r="AY311" s="53" t="n"/>
    </row>
    <row r="312" ht="15" customHeight="1">
      <c r="A312" s="62" t="n"/>
      <c r="B312" s="55">
        <f>IF($B$310="","",$B$310)</f>
        <v/>
      </c>
      <c r="C312" s="63" t="inlineStr">
        <is>
          <t>기타</t>
        </is>
      </c>
      <c r="D312" s="55">
        <f>IF($D$310="","",$D$310)</f>
        <v/>
      </c>
      <c r="E312" s="64" t="inlineStr">
        <is>
          <t>영상</t>
        </is>
      </c>
      <c r="F312" s="44" t="n"/>
      <c r="G312" s="58">
        <f>IF($G$310="","",$G$310)</f>
        <v/>
      </c>
      <c r="H312" s="59" t="n"/>
      <c r="I312" s="59" t="n"/>
      <c r="J312" s="59" t="n"/>
      <c r="K312" s="59" t="n"/>
      <c r="L312" s="65">
        <f>IF(SUM(U312:AY312)=0,"",SUM(U312:AY312))</f>
        <v/>
      </c>
      <c r="M312" s="66">
        <f>IFERROR(INDEX(U$2:AY$2,MATCH(TRUE,INDEX(U312:AY312&lt;&gt;"",0),0)),"")</f>
        <v/>
      </c>
      <c r="N312" s="66">
        <f>IFERROR(LOOKUP(2,1/(U312:AY312&lt;&gt;""),U$2:AY$2),"")</f>
        <v/>
      </c>
      <c r="O312" s="59" t="n"/>
      <c r="P312" s="59" t="n"/>
      <c r="Q312" s="59" t="n"/>
      <c r="R312" s="59" t="n"/>
      <c r="S312" s="14" t="n"/>
      <c r="U312" s="53" t="n"/>
      <c r="V312" s="53" t="n"/>
      <c r="W312" s="53" t="n"/>
      <c r="X312" s="53" t="n"/>
      <c r="Y312" s="53" t="n"/>
      <c r="Z312" s="53" t="n"/>
      <c r="AA312" s="53" t="n"/>
      <c r="AB312" s="53" t="n"/>
      <c r="AC312" s="53" t="n"/>
      <c r="AD312" s="53" t="n"/>
      <c r="AE312" s="53" t="n"/>
      <c r="AF312" s="53" t="n"/>
      <c r="AG312" s="53" t="n"/>
      <c r="AH312" s="53" t="n"/>
      <c r="AI312" s="53" t="n"/>
      <c r="AJ312" s="53" t="n"/>
      <c r="AK312" s="53" t="n"/>
      <c r="AL312" s="53" t="n"/>
      <c r="AM312" s="53" t="n"/>
      <c r="AN312" s="53" t="n"/>
      <c r="AO312" s="53" t="n"/>
      <c r="AP312" s="53" t="n"/>
      <c r="AQ312" s="53" t="n"/>
      <c r="AR312" s="53" t="n"/>
      <c r="AS312" s="53" t="n"/>
      <c r="AT312" s="53" t="n"/>
      <c r="AU312" s="53" t="n"/>
      <c r="AV312" s="53" t="n"/>
      <c r="AW312" s="53" t="n"/>
      <c r="AX312" s="53" t="n"/>
      <c r="AY312" s="53" t="n"/>
    </row>
    <row r="315">
      <c r="A315" s="67" t="inlineStr">
        <is>
          <t>담당자 1일 캐파(MD)</t>
        </is>
      </c>
      <c r="B315" s="68">
        <f>'마스터'!$J$5</f>
        <v/>
      </c>
    </row>
    <row r="316">
      <c r="A316" s="67" t="inlineStr">
        <is>
          <t>공휴일(자동 연동)</t>
        </is>
      </c>
    </row>
    <row r="317">
      <c r="A317" s="67">
        <f>'마스터'!$I$13</f>
        <v/>
      </c>
      <c r="B317" s="69">
        <f>'마스터'!$J$13</f>
        <v/>
      </c>
    </row>
    <row r="318">
      <c r="A318" s="67">
        <f>'마스터'!$I$14</f>
        <v/>
      </c>
      <c r="B318" s="69">
        <f>'마스터'!$J$14</f>
        <v/>
      </c>
    </row>
    <row r="319">
      <c r="A319" s="67">
        <f>'마스터'!$I$15</f>
        <v/>
      </c>
      <c r="B319" s="69">
        <f>'마스터'!$J$15</f>
        <v/>
      </c>
    </row>
    <row r="320">
      <c r="A320" s="67">
        <f>'마스터'!$I$16</f>
        <v/>
      </c>
      <c r="B320" s="69">
        <f>'마스터'!$J$16</f>
        <v/>
      </c>
    </row>
    <row r="321">
      <c r="A321" s="67">
        <f>'마스터'!$I$17</f>
        <v/>
      </c>
      <c r="B321" s="69">
        <f>'마스터'!$J$17</f>
        <v/>
      </c>
    </row>
    <row r="322">
      <c r="A322" s="67">
        <f>'마스터'!$I$18</f>
        <v/>
      </c>
      <c r="B322" s="69">
        <f>'마스터'!$J$18</f>
        <v/>
      </c>
    </row>
    <row r="323">
      <c r="A323" s="67">
        <f>'마스터'!$I$19</f>
        <v/>
      </c>
      <c r="B323" s="69">
        <f>'마스터'!$J$19</f>
        <v/>
      </c>
    </row>
    <row r="324">
      <c r="A324" s="67">
        <f>'마스터'!$I$20</f>
        <v/>
      </c>
      <c r="B324" s="69">
        <f>'마스터'!$J$20</f>
        <v/>
      </c>
    </row>
    <row r="325">
      <c r="A325" s="67">
        <f>'마스터'!$I$21</f>
        <v/>
      </c>
      <c r="B325" s="69">
        <f>'마스터'!$J$21</f>
        <v/>
      </c>
    </row>
    <row r="326">
      <c r="A326" s="67">
        <f>'마스터'!$I$22</f>
        <v/>
      </c>
      <c r="B326" s="69">
        <f>'마스터'!$J$22</f>
        <v/>
      </c>
    </row>
    <row r="327">
      <c r="A327" s="67">
        <f>'마스터'!$I$23</f>
        <v/>
      </c>
      <c r="B327" s="69">
        <f>'마스터'!$J$23</f>
        <v/>
      </c>
    </row>
    <row r="328">
      <c r="A328" s="67">
        <f>'마스터'!$I$24</f>
        <v/>
      </c>
      <c r="B328" s="69">
        <f>'마스터'!$J$24</f>
        <v/>
      </c>
    </row>
    <row r="329">
      <c r="A329" s="67">
        <f>'마스터'!$I$25</f>
        <v/>
      </c>
      <c r="B329" s="69">
        <f>'마스터'!$J$25</f>
        <v/>
      </c>
    </row>
    <row r="330">
      <c r="A330" s="67">
        <f>'마스터'!$I$26</f>
        <v/>
      </c>
      <c r="B330" s="69">
        <f>'마스터'!$J$26</f>
        <v/>
      </c>
    </row>
    <row r="331">
      <c r="A331" s="67">
        <f>'마스터'!$I$27</f>
        <v/>
      </c>
      <c r="B331" s="69">
        <f>'마스터'!$J$27</f>
        <v/>
      </c>
    </row>
  </sheetData>
  <mergeCells count="16">
    <mergeCell ref="L1:N1"/>
    <mergeCell ref="A252:AY252"/>
    <mergeCell ref="O1:Q1"/>
    <mergeCell ref="A191:AY191"/>
    <mergeCell ref="A1:F1"/>
    <mergeCell ref="A5:F5"/>
    <mergeCell ref="A130:AY130"/>
    <mergeCell ref="G1:K1"/>
    <mergeCell ref="A8:AY8"/>
    <mergeCell ref="U1:AY1"/>
    <mergeCell ref="A6:F6"/>
    <mergeCell ref="A4:F4"/>
    <mergeCell ref="A3:F3"/>
    <mergeCell ref="A7:AY7"/>
    <mergeCell ref="A69:AY69"/>
    <mergeCell ref="R1:S1"/>
  </mergeCells>
  <conditionalFormatting sqref="U3:AY6">
    <cfRule type="expression" priority="1" dxfId="3">
      <formula>AND(U3&lt;&gt;"",U3&gt;$H3)</formula>
    </cfRule>
    <cfRule type="expression" priority="2" dxfId="4">
      <formula>AND(U3&gt;0,U3&gt;=$H3*0.8)</formula>
    </cfRule>
  </conditionalFormatting>
  <conditionalFormatting sqref="U3:AY312">
    <cfRule type="expression" priority="3" dxfId="5">
      <formula>U$2=""</formula>
    </cfRule>
    <cfRule type="expression" priority="4" dxfId="6">
      <formula>AND(U$2&lt;&gt;"",OR(WEEKDAY(U$2,2)&gt;5,COUNTIF($B$317:$B$331,U$2)&gt;0))</formula>
    </cfRule>
  </conditionalFormatting>
  <conditionalFormatting sqref="U9:AY312">
    <cfRule type="expression" priority="5" dxfId="7">
      <formula>AND(U9&lt;&gt;"",$G9&lt;&gt;"",U$2&lt;&gt;"",U$2&gt;$G9)</formula>
    </cfRule>
    <cfRule type="expression" priority="6" dxfId="8">
      <formula>AND($F9&lt;&gt;"",U9&lt;&gt;"",SUMIF($F$9:$F$312,$F9,U$9:U$312)&gt;$B$315)</formula>
    </cfRule>
    <cfRule type="expression" priority="7" dxfId="9">
      <formula>AND($E9="기획",U9&lt;&gt;"")</formula>
    </cfRule>
    <cfRule type="expression" priority="8" dxfId="10">
      <formula>AND($E9="이미지",U9&lt;&gt;"")</formula>
    </cfRule>
    <cfRule type="expression" priority="9" dxfId="11">
      <formula>AND($E9="영상",U9&lt;&gt;"")</formula>
    </cfRule>
  </conditionalFormatting>
  <conditionalFormatting sqref="H9:I312">
    <cfRule type="expression" priority="10" dxfId="12">
      <formula>AND($I9&lt;&gt;"",$I9&lt;0)</formula>
    </cfRule>
    <cfRule type="expression" priority="11" dxfId="13">
      <formula>AND($I9&lt;&gt;"",$I9&lt;=1)</formula>
    </cfRule>
    <cfRule type="expression" priority="12" dxfId="14">
      <formula>$I9&lt;&gt;""</formula>
    </cfRule>
  </conditionalFormatting>
  <dataValidations count="2">
    <dataValidation sqref="B9:B312" showDropDown="0" showInputMessage="0" showErrorMessage="0" allowBlank="1" type="list">
      <formula1>'마스터'!$A$3:$A$12</formula1>
    </dataValidation>
    <dataValidation sqref="R9:R312" showDropDown="0" showInputMessage="0" showErrorMessage="0" allowBlank="1" type="list">
      <formula1>'마스터'!$G$3:$G$6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2026-07-29T04:04:00Z</dcterms:created>
  <dcterms:modified xsi:type="dcterms:W3CDTF">2026-07-29T04:04:11Z</dcterms:modified>
</cp:coreProperties>
</file>