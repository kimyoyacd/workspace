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색조 상세페이지\3. 입찰설명회\"/>
    </mc:Choice>
  </mc:AlternateContent>
  <bookViews>
    <workbookView xWindow="28680" yWindow="-2625" windowWidth="29040" windowHeight="15720" tabRatio="877" xr2:uid="{73866F8F-8E75-4844-8A1C-56BF23A585A8}"/>
  </bookViews>
  <sheets>
    <sheet name="단가리스트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6" l="1"/>
  <c r="J19" i="26"/>
  <c r="J18" i="26"/>
  <c r="J17" i="26"/>
  <c r="J16" i="26"/>
  <c r="J15" i="26"/>
  <c r="J14" i="26"/>
  <c r="J13" i="26"/>
  <c r="J12" i="26"/>
  <c r="J8" i="26"/>
  <c r="J11" i="26"/>
  <c r="G23" i="26"/>
  <c r="J4" i="26"/>
  <c r="J23" i="26" l="1"/>
</calcChain>
</file>

<file path=xl/sharedStrings.xml><?xml version="1.0" encoding="utf-8"?>
<sst xmlns="http://schemas.openxmlformats.org/spreadsheetml/2006/main" count="68" uniqueCount="53">
  <si>
    <t>단위</t>
  </si>
  <si>
    <t>비고</t>
    <phoneticPr fontId="2" type="noConversion"/>
  </si>
  <si>
    <t>합계</t>
    <phoneticPr fontId="2" type="noConversion"/>
  </si>
  <si>
    <t>■ 전체 리스트</t>
    <phoneticPr fontId="2" type="noConversion"/>
  </si>
  <si>
    <r>
      <t>수량</t>
    </r>
    <r>
      <rPr>
        <sz val="9"/>
        <rFont val="맑은 고딕"/>
        <family val="3"/>
        <charset val="129"/>
        <scheme val="major"/>
      </rPr>
      <t>(단위)</t>
    </r>
    <phoneticPr fontId="2" type="noConversion"/>
  </si>
  <si>
    <r>
      <t>단가</t>
    </r>
    <r>
      <rPr>
        <sz val="9"/>
        <rFont val="맑은 고딕"/>
        <family val="3"/>
        <charset val="129"/>
        <scheme val="major"/>
      </rPr>
      <t>(원/단위)</t>
    </r>
    <phoneticPr fontId="2" type="noConversion"/>
  </si>
  <si>
    <t>구분</t>
    <phoneticPr fontId="2" type="noConversion"/>
  </si>
  <si>
    <t>세부 항목</t>
    <phoneticPr fontId="2" type="noConversion"/>
  </si>
  <si>
    <t>컷</t>
    <phoneticPr fontId="2" type="noConversion"/>
  </si>
  <si>
    <t>분류</t>
    <phoneticPr fontId="2" type="noConversion"/>
  </si>
  <si>
    <t>건</t>
    <phoneticPr fontId="2" type="noConversion"/>
  </si>
  <si>
    <t>실비 청구</t>
    <phoneticPr fontId="2" type="noConversion"/>
  </si>
  <si>
    <t>기타</t>
    <phoneticPr fontId="2" type="noConversion"/>
  </si>
  <si>
    <t>촬영</t>
    <phoneticPr fontId="2" type="noConversion"/>
  </si>
  <si>
    <t>라이선스</t>
    <phoneticPr fontId="2" type="noConversion"/>
  </si>
  <si>
    <t>무기한 라이선스 제공</t>
    <phoneticPr fontId="2" type="noConversion"/>
  </si>
  <si>
    <t>제공 必</t>
    <phoneticPr fontId="2" type="noConversion"/>
  </si>
  <si>
    <t>연간 예상 진행 수량</t>
    <phoneticPr fontId="2" type="noConversion"/>
  </si>
  <si>
    <t>번역 디자인</t>
    <phoneticPr fontId="2" type="noConversion"/>
  </si>
  <si>
    <t>상세페이지 영문 번역 디자인</t>
    <phoneticPr fontId="2" type="noConversion"/>
  </si>
  <si>
    <t>메인 상세페이지 제작</t>
    <phoneticPr fontId="2" type="noConversion"/>
  </si>
  <si>
    <t>베리에이션 상세페이지 제작</t>
    <phoneticPr fontId="2" type="noConversion"/>
  </si>
  <si>
    <t>- 온라인 상 활용 위한 개별 배너 디자인</t>
    <phoneticPr fontId="2" type="noConversion"/>
  </si>
  <si>
    <t xml:space="preserve">- 온라인 상 활용 위한 개별 DA </t>
    <phoneticPr fontId="2" type="noConversion"/>
  </si>
  <si>
    <t>상품 비주얼 촬영</t>
  </si>
  <si>
    <t xml:space="preserve">- 상품 비주얼 기획 및 촬영 </t>
    <phoneticPr fontId="2" type="noConversion"/>
  </si>
  <si>
    <t>- 상품 비주얼 촬영 (기획 브랜드 제공)</t>
    <phoneticPr fontId="2" type="noConversion"/>
  </si>
  <si>
    <t>- 국내 상세페이지 영문 적용 디자인 (영문번역 브랜드 제공)</t>
    <phoneticPr fontId="2" type="noConversion"/>
  </si>
  <si>
    <t>- 국내 온/오프라인+글로벌 온라인</t>
    <phoneticPr fontId="2" type="noConversion"/>
  </si>
  <si>
    <t>상세페이지 제작-합계</t>
    <phoneticPr fontId="2" type="noConversion"/>
  </si>
  <si>
    <t>상세페이지 디자인 제작</t>
    <phoneticPr fontId="2" type="noConversion"/>
  </si>
  <si>
    <t>배너 디자인 제작</t>
    <phoneticPr fontId="2" type="noConversion"/>
  </si>
  <si>
    <t>DA 소재 디자인 제작</t>
    <phoneticPr fontId="2" type="noConversion"/>
  </si>
  <si>
    <t>- 브랜드 사 제공 기획, 촬영컷 기반 상세페이지 디자인</t>
    <phoneticPr fontId="2" type="noConversion"/>
  </si>
  <si>
    <t>(VER) 상세페이지 디자인 제작</t>
    <phoneticPr fontId="2" type="noConversion"/>
  </si>
  <si>
    <t>월평균 제작 수량</t>
    <phoneticPr fontId="2" type="noConversion"/>
  </si>
  <si>
    <t>3~4건</t>
  </si>
  <si>
    <t>3~4건</t>
    <phoneticPr fontId="2" type="noConversion"/>
  </si>
  <si>
    <t>1~2건</t>
    <phoneticPr fontId="2" type="noConversion"/>
  </si>
  <si>
    <t>-</t>
    <phoneticPr fontId="2" type="noConversion"/>
  </si>
  <si>
    <t>6~7건</t>
    <phoneticPr fontId="2" type="noConversion"/>
  </si>
  <si>
    <t>- 사용법 HOW TO 영상 촬영 (상세페이지 내용 기반)</t>
    <phoneticPr fontId="2" type="noConversion"/>
  </si>
  <si>
    <t>디자인 ONLY</t>
    <phoneticPr fontId="2" type="noConversion"/>
  </si>
  <si>
    <t>- 시장 및 경쟁 제품 레퍼런스 분석
- 상세페이지 스토리라인 기획 및 KV, 카피 개발
- 상세페이지 내 필요한 제품 및 모델 촬영 포함
- 상세페이지 전체 레이아웃 디자인 및 인포그래픽 포함
*웨이크메이크, 컬러그램의 경우 제품 발색컷 브랜드측 제공
발색컷을 제외한 모든 제품연출컷, gif 등 진행 포함</t>
    <phoneticPr fontId="2" type="noConversion"/>
  </si>
  <si>
    <t>- 메인 상세페이지 기반 구성 베리에이션
- 상세페이지 내 필요한 제품 및 모델 촬영 포함
- 상세페이지 전체 레이아웃 디자인 및 인포그래픽 포함
*웨이크메이크, 컬러그램의 경우 제품 발색컷 브랜드측 제공
발색컷을 제외한 모든 제품연출컷, gif 등 진행 포함</t>
    <phoneticPr fontId="2" type="noConversion"/>
  </si>
  <si>
    <t>상세페이지
제작 전반
(기획, 촬영, 디자인)</t>
    <phoneticPr fontId="2" type="noConversion"/>
  </si>
  <si>
    <t>- 메인 디자인 기반 랜드 사 제공 기획, 촬영컷 기반 베리에이션 상세페이지 디자인</t>
    <phoneticPr fontId="2" type="noConversion"/>
  </si>
  <si>
    <t>실비</t>
    <phoneticPr fontId="2" type="noConversion"/>
  </si>
  <si>
    <t>- 촬영에 필요한 소품 구매
- 모델료, 헤어/메이크업 등 모델 관련 부대비용</t>
    <phoneticPr fontId="2" type="noConversion"/>
  </si>
  <si>
    <t>상세페이지 배너 제작
(Long)</t>
    <phoneticPr fontId="2" type="noConversion"/>
  </si>
  <si>
    <t>- 상세페이지 배너 제작 기획 및 KV, 카피 개발
- 배너 제작 내 필요한 제품 연출컷 촬영 포함
- 배너 제작 전체 레이아웃 디자인 및 인포그래픽 포함
*세로 4,000px ~ 6,000px 기준</t>
    <phoneticPr fontId="2" type="noConversion"/>
  </si>
  <si>
    <t>상세페이지 배너 제작
(Short)</t>
    <phoneticPr fontId="2" type="noConversion"/>
  </si>
  <si>
    <t>- 상세페이지 배너 제작 기획 및 KV, 카피 개발
- 배너 제작 내 필요한 제품 연출컷 촬영 포함
- 배너 제작 전체 레이아웃 디자인 및 인포그래픽 포함
*세로 4,000px 이하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</si>
</sst>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right" vertical="center"/>
    </xf>
    <xf numFmtId="3" fontId="6" fillId="0" borderId="0" xfId="1" applyNumberFormat="1" applyFont="1" applyAlignment="1">
      <alignment horizontal="right" vertical="center"/>
    </xf>
    <xf numFmtId="0" fontId="7" fillId="2" borderId="1" xfId="1" applyFont="1" applyFill="1" applyBorder="1" applyAlignment="1">
      <alignment horizontal="center" vertical="center"/>
    </xf>
    <xf numFmtId="3" fontId="7" fillId="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3" fontId="7" fillId="3" borderId="1" xfId="1" applyNumberFormat="1" applyFont="1" applyFill="1" applyBorder="1" applyAlignment="1">
      <alignment horizontal="right" vertical="center"/>
    </xf>
    <xf numFmtId="41" fontId="4" fillId="4" borderId="1" xfId="2" applyFont="1" applyFill="1" applyBorder="1" applyAlignment="1">
      <alignment horizontal="right" vertical="center"/>
    </xf>
    <xf numFmtId="41" fontId="4" fillId="0" borderId="1" xfId="2" applyFont="1" applyBorder="1" applyAlignment="1">
      <alignment horizontal="center" vertical="center"/>
    </xf>
    <xf numFmtId="0" fontId="4" fillId="0" borderId="1" xfId="1" quotePrefix="1" applyFont="1" applyBorder="1" applyAlignment="1">
      <alignment horizontal="left" vertical="center"/>
    </xf>
    <xf numFmtId="0" fontId="4" fillId="0" borderId="1" xfId="1" quotePrefix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41" fontId="4" fillId="4" borderId="1" xfId="2" applyFont="1" applyFill="1" applyBorder="1" applyAlignment="1">
      <alignment horizontal="center" vertical="center"/>
    </xf>
    <xf numFmtId="41" fontId="4" fillId="4" borderId="1" xfId="2" applyFont="1" applyFill="1" applyBorder="1" applyAlignment="1">
      <alignment vertical="center"/>
    </xf>
    <xf numFmtId="43" fontId="4" fillId="0" borderId="1" xfId="1" quotePrefix="1" applyNumberFormat="1" applyFont="1" applyBorder="1" applyAlignment="1">
      <alignment vertical="center" wrapText="1"/>
    </xf>
    <xf numFmtId="0" fontId="4" fillId="0" borderId="1" xfId="1" quotePrefix="1" applyFont="1" applyBorder="1" applyAlignment="1">
      <alignment vertical="center" wrapText="1"/>
    </xf>
    <xf numFmtId="3" fontId="4" fillId="0" borderId="1" xfId="1" applyNumberFormat="1" applyFont="1" applyBorder="1" applyAlignment="1">
      <alignment horizontal="right" vertical="center"/>
    </xf>
    <xf numFmtId="0" fontId="4" fillId="0" borderId="1" xfId="1" applyFont="1" applyBorder="1">
      <alignment vertical="center"/>
    </xf>
    <xf numFmtId="43" fontId="4" fillId="0" borderId="1" xfId="1" quotePrefix="1" applyNumberFormat="1" applyFont="1" applyBorder="1" applyAlignment="1">
      <alignment horizontal="left" vertical="center" wrapText="1"/>
    </xf>
    <xf numFmtId="41" fontId="4" fillId="0" borderId="1" xfId="1" applyNumberFormat="1" applyFont="1" applyBorder="1" applyAlignment="1">
      <alignment horizontal="left"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3" fontId="0" fillId="0" borderId="0" xfId="0" applyNumberFormat="1">
      <alignment vertical="center"/>
    </xf>
    <xf numFmtId="3" fontId="7" fillId="2" borderId="3" xfId="1" applyNumberFormat="1" applyFont="1" applyFill="1" applyBorder="1" applyAlignment="1">
      <alignment horizontal="center" vertical="center"/>
    </xf>
    <xf numFmtId="3" fontId="7" fillId="3" borderId="3" xfId="1" applyNumberFormat="1" applyFont="1" applyFill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41" fontId="4" fillId="0" borderId="3" xfId="2" applyFont="1" applyBorder="1" applyAlignment="1">
      <alignment horizontal="center" vertical="center"/>
    </xf>
    <xf numFmtId="41" fontId="4" fillId="0" borderId="3" xfId="2" applyFont="1" applyBorder="1" applyAlignment="1">
      <alignment horizontal="right" vertical="center"/>
    </xf>
    <xf numFmtId="0" fontId="4" fillId="0" borderId="3" xfId="1" applyFont="1" applyBorder="1">
      <alignment vertical="center"/>
    </xf>
    <xf numFmtId="0" fontId="7" fillId="3" borderId="1" xfId="1" applyFont="1" applyFill="1" applyBorder="1">
      <alignment vertical="center"/>
    </xf>
    <xf numFmtId="41" fontId="7" fillId="3" borderId="1" xfId="1" applyNumberFormat="1" applyFont="1" applyFill="1" applyBorder="1" applyAlignment="1">
      <alignment horizontal="right" vertical="center"/>
    </xf>
    <xf numFmtId="0" fontId="3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left" vertical="center" wrapText="1"/>
    </xf>
    <xf numFmtId="41" fontId="4" fillId="0" borderId="1" xfId="2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3" fontId="4" fillId="0" borderId="4" xfId="1" quotePrefix="1" applyNumberFormat="1" applyFont="1" applyBorder="1" applyAlignment="1">
      <alignment horizontal="center" vertical="center" wrapText="1"/>
    </xf>
    <xf numFmtId="43" fontId="4" fillId="0" borderId="5" xfId="1" quotePrefix="1" applyNumberFormat="1" applyFont="1" applyBorder="1" applyAlignment="1">
      <alignment horizontal="center" vertical="center" wrapText="1"/>
    </xf>
    <xf numFmtId="43" fontId="4" fillId="0" borderId="6" xfId="1" quotePrefix="1" applyNumberFormat="1" applyFont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41" fontId="4" fillId="0" borderId="3" xfId="2" applyFont="1" applyBorder="1" applyAlignment="1">
      <alignment horizontal="center" vertical="center"/>
    </xf>
    <xf numFmtId="41" fontId="4" fillId="4" borderId="1" xfId="2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 xr:uid="{E62A3C24-9635-46BA-B753-6719A3C9D6F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75DE-B832-4588-B474-4748271A5126}">
  <sheetPr>
    <pageSetUpPr fitToPage="1"/>
  </sheetPr>
  <dimension ref="B2:K29"/>
  <sheetViews>
    <sheetView showGridLines="0" tabSelected="1" view="pageBreakPreview" zoomScale="60" zoomScaleNormal="85" workbookViewId="0">
      <selection activeCell="O19" sqref="O19"/>
    </sheetView>
  </sheetViews>
  <sheetFormatPr defaultColWidth="8.75" defaultRowHeight="16.5"/>
  <cols>
    <col min="1" max="1" width="3.25" customWidth="1"/>
    <col min="2" max="2" width="15.75" bestFit="1" customWidth="1"/>
    <col min="3" max="3" width="23.25" bestFit="1" customWidth="1"/>
    <col min="4" max="4" width="58.5" customWidth="1"/>
    <col min="5" max="5" width="4.5" bestFit="1" customWidth="1"/>
    <col min="6" max="6" width="13" customWidth="1"/>
    <col min="7" max="7" width="15.5" bestFit="1" customWidth="1"/>
    <col min="8" max="8" width="8.5" bestFit="1" customWidth="1"/>
    <col min="9" max="10" width="10.75" bestFit="1" customWidth="1"/>
    <col min="11" max="11" width="17.125" customWidth="1"/>
  </cols>
  <sheetData>
    <row r="2" spans="2:11" ht="17.25">
      <c r="B2" s="1" t="s">
        <v>3</v>
      </c>
      <c r="C2" s="1"/>
      <c r="D2" s="2"/>
      <c r="E2" s="3"/>
      <c r="F2" s="3"/>
      <c r="G2" s="4"/>
      <c r="H2" s="4"/>
      <c r="I2" s="5"/>
      <c r="J2" s="5"/>
      <c r="K2" s="3"/>
    </row>
    <row r="3" spans="2:11">
      <c r="B3" s="6" t="s">
        <v>6</v>
      </c>
      <c r="C3" s="6" t="s">
        <v>9</v>
      </c>
      <c r="D3" s="6" t="s">
        <v>7</v>
      </c>
      <c r="E3" s="6" t="s">
        <v>0</v>
      </c>
      <c r="F3" s="6" t="s">
        <v>35</v>
      </c>
      <c r="G3" s="6" t="s">
        <v>17</v>
      </c>
      <c r="H3" s="27" t="s">
        <v>4</v>
      </c>
      <c r="I3" s="7" t="s">
        <v>5</v>
      </c>
      <c r="J3" s="7" t="s">
        <v>2</v>
      </c>
      <c r="K3" s="6" t="s">
        <v>1</v>
      </c>
    </row>
    <row r="4" spans="2:11" ht="24.4" customHeight="1">
      <c r="B4" s="40" t="s">
        <v>45</v>
      </c>
      <c r="C4" s="37" t="s">
        <v>20</v>
      </c>
      <c r="D4" s="38" t="s">
        <v>43</v>
      </c>
      <c r="E4" s="37" t="s">
        <v>10</v>
      </c>
      <c r="F4" s="39" t="s">
        <v>37</v>
      </c>
      <c r="G4" s="39">
        <v>25</v>
      </c>
      <c r="H4" s="45">
        <v>1</v>
      </c>
      <c r="I4" s="46"/>
      <c r="J4" s="39">
        <f>I4*G4</f>
        <v>0</v>
      </c>
      <c r="K4" s="41"/>
    </row>
    <row r="5" spans="2:11" ht="24.4" customHeight="1">
      <c r="B5" s="40"/>
      <c r="C5" s="37"/>
      <c r="D5" s="38"/>
      <c r="E5" s="37"/>
      <c r="F5" s="39"/>
      <c r="G5" s="39"/>
      <c r="H5" s="45"/>
      <c r="I5" s="46"/>
      <c r="J5" s="39"/>
      <c r="K5" s="42"/>
    </row>
    <row r="6" spans="2:11" ht="24.4" customHeight="1">
      <c r="B6" s="40"/>
      <c r="C6" s="37"/>
      <c r="D6" s="38"/>
      <c r="E6" s="37"/>
      <c r="F6" s="39"/>
      <c r="G6" s="39"/>
      <c r="H6" s="45"/>
      <c r="I6" s="46"/>
      <c r="J6" s="39"/>
      <c r="K6" s="42"/>
    </row>
    <row r="7" spans="2:11" ht="24.4" customHeight="1">
      <c r="B7" s="40"/>
      <c r="C7" s="37"/>
      <c r="D7" s="38"/>
      <c r="E7" s="37"/>
      <c r="F7" s="39"/>
      <c r="G7" s="39"/>
      <c r="H7" s="45"/>
      <c r="I7" s="46"/>
      <c r="J7" s="39"/>
      <c r="K7" s="43"/>
    </row>
    <row r="8" spans="2:11" ht="27" customHeight="1">
      <c r="B8" s="40"/>
      <c r="C8" s="37" t="s">
        <v>21</v>
      </c>
      <c r="D8" s="38" t="s">
        <v>44</v>
      </c>
      <c r="E8" s="37"/>
      <c r="F8" s="39" t="s">
        <v>36</v>
      </c>
      <c r="G8" s="39">
        <v>25</v>
      </c>
      <c r="H8" s="45">
        <v>1</v>
      </c>
      <c r="I8" s="46"/>
      <c r="J8" s="39">
        <f>I8*G8</f>
        <v>0</v>
      </c>
      <c r="K8" s="41"/>
    </row>
    <row r="9" spans="2:11" ht="27" customHeight="1">
      <c r="B9" s="40"/>
      <c r="C9" s="37"/>
      <c r="D9" s="38"/>
      <c r="E9" s="37"/>
      <c r="F9" s="39"/>
      <c r="G9" s="39"/>
      <c r="H9" s="45"/>
      <c r="I9" s="46"/>
      <c r="J9" s="39"/>
      <c r="K9" s="42"/>
    </row>
    <row r="10" spans="2:11" ht="27" customHeight="1">
      <c r="B10" s="40"/>
      <c r="C10" s="37"/>
      <c r="D10" s="38"/>
      <c r="E10" s="37"/>
      <c r="F10" s="39"/>
      <c r="G10" s="39"/>
      <c r="H10" s="45"/>
      <c r="I10" s="46"/>
      <c r="J10" s="39"/>
      <c r="K10" s="43"/>
    </row>
    <row r="11" spans="2:11" ht="69.400000000000006" customHeight="1">
      <c r="B11" s="40"/>
      <c r="C11" s="15" t="s">
        <v>49</v>
      </c>
      <c r="D11" s="14" t="s">
        <v>50</v>
      </c>
      <c r="E11" s="37"/>
      <c r="F11" s="12" t="s">
        <v>38</v>
      </c>
      <c r="G11" s="12">
        <v>6</v>
      </c>
      <c r="H11" s="31">
        <v>1</v>
      </c>
      <c r="I11" s="17"/>
      <c r="J11" s="12">
        <f t="shared" ref="J11:J16" si="0">G11*I11</f>
        <v>0</v>
      </c>
      <c r="K11" s="18"/>
    </row>
    <row r="12" spans="2:11" ht="69.400000000000006" customHeight="1">
      <c r="B12" s="40"/>
      <c r="C12" s="15" t="s">
        <v>51</v>
      </c>
      <c r="D12" s="14" t="s">
        <v>52</v>
      </c>
      <c r="E12" s="37"/>
      <c r="F12" s="12" t="s">
        <v>38</v>
      </c>
      <c r="G12" s="12">
        <v>6</v>
      </c>
      <c r="H12" s="31">
        <v>1</v>
      </c>
      <c r="I12" s="16"/>
      <c r="J12" s="12">
        <f t="shared" si="0"/>
        <v>0</v>
      </c>
      <c r="K12" s="18"/>
    </row>
    <row r="13" spans="2:11" ht="23.65" customHeight="1">
      <c r="B13" s="37" t="s">
        <v>42</v>
      </c>
      <c r="C13" s="8" t="s">
        <v>30</v>
      </c>
      <c r="D13" s="13" t="s">
        <v>33</v>
      </c>
      <c r="E13" s="8" t="s">
        <v>10</v>
      </c>
      <c r="F13" s="8" t="s">
        <v>38</v>
      </c>
      <c r="G13" s="12">
        <v>10</v>
      </c>
      <c r="H13" s="32">
        <v>1</v>
      </c>
      <c r="I13" s="11"/>
      <c r="J13" s="20">
        <f t="shared" si="0"/>
        <v>0</v>
      </c>
      <c r="K13" s="18"/>
    </row>
    <row r="14" spans="2:11" ht="23.65" customHeight="1">
      <c r="B14" s="37"/>
      <c r="C14" s="8" t="s">
        <v>34</v>
      </c>
      <c r="D14" s="13" t="s">
        <v>46</v>
      </c>
      <c r="E14" s="8" t="s">
        <v>10</v>
      </c>
      <c r="F14" s="8" t="s">
        <v>38</v>
      </c>
      <c r="G14" s="12">
        <v>5</v>
      </c>
      <c r="H14" s="32">
        <v>1</v>
      </c>
      <c r="I14" s="11"/>
      <c r="J14" s="20">
        <f t="shared" si="0"/>
        <v>0</v>
      </c>
      <c r="K14" s="18"/>
    </row>
    <row r="15" spans="2:11" ht="23.65" customHeight="1">
      <c r="B15" s="37"/>
      <c r="C15" s="8" t="s">
        <v>31</v>
      </c>
      <c r="D15" s="13" t="s">
        <v>22</v>
      </c>
      <c r="E15" s="8" t="s">
        <v>10</v>
      </c>
      <c r="F15" s="8" t="s">
        <v>39</v>
      </c>
      <c r="G15" s="12">
        <v>3</v>
      </c>
      <c r="H15" s="32">
        <v>1</v>
      </c>
      <c r="I15" s="11"/>
      <c r="J15" s="20">
        <f t="shared" si="0"/>
        <v>0</v>
      </c>
      <c r="K15" s="18"/>
    </row>
    <row r="16" spans="2:11" ht="23.65" customHeight="1">
      <c r="B16" s="37"/>
      <c r="C16" s="8" t="s">
        <v>32</v>
      </c>
      <c r="D16" s="13" t="s">
        <v>23</v>
      </c>
      <c r="E16" s="8" t="s">
        <v>10</v>
      </c>
      <c r="F16" s="8" t="s">
        <v>39</v>
      </c>
      <c r="G16" s="12">
        <v>3</v>
      </c>
      <c r="H16" s="32">
        <v>1</v>
      </c>
      <c r="I16" s="11"/>
      <c r="J16" s="20">
        <f t="shared" si="0"/>
        <v>0</v>
      </c>
      <c r="K16" s="18"/>
    </row>
    <row r="17" spans="2:11" ht="22.9" customHeight="1">
      <c r="B17" s="37" t="s">
        <v>13</v>
      </c>
      <c r="C17" s="37" t="s">
        <v>24</v>
      </c>
      <c r="D17" s="13" t="s">
        <v>25</v>
      </c>
      <c r="E17" s="8" t="s">
        <v>8</v>
      </c>
      <c r="F17" s="8" t="s">
        <v>39</v>
      </c>
      <c r="G17" s="12">
        <v>3</v>
      </c>
      <c r="H17" s="32">
        <v>1</v>
      </c>
      <c r="I17" s="11"/>
      <c r="J17" s="20">
        <f>I17*G17</f>
        <v>0</v>
      </c>
      <c r="K17" s="18"/>
    </row>
    <row r="18" spans="2:11" ht="22.9" customHeight="1">
      <c r="B18" s="37"/>
      <c r="C18" s="37"/>
      <c r="D18" s="13" t="s">
        <v>26</v>
      </c>
      <c r="E18" s="8" t="s">
        <v>8</v>
      </c>
      <c r="F18" s="8" t="s">
        <v>39</v>
      </c>
      <c r="G18" s="12">
        <v>3</v>
      </c>
      <c r="H18" s="32">
        <v>1</v>
      </c>
      <c r="I18" s="11"/>
      <c r="J18" s="20">
        <f>I18*G18</f>
        <v>0</v>
      </c>
      <c r="K18" s="18"/>
    </row>
    <row r="19" spans="2:11" ht="22.9" customHeight="1">
      <c r="B19" s="37"/>
      <c r="C19" s="37"/>
      <c r="D19" s="13" t="s">
        <v>41</v>
      </c>
      <c r="E19" s="8" t="s">
        <v>8</v>
      </c>
      <c r="F19" s="8" t="s">
        <v>39</v>
      </c>
      <c r="G19" s="12">
        <v>3</v>
      </c>
      <c r="H19" s="32">
        <v>1</v>
      </c>
      <c r="I19" s="11"/>
      <c r="J19" s="20">
        <f>I19*G19</f>
        <v>0</v>
      </c>
      <c r="K19" s="19"/>
    </row>
    <row r="20" spans="2:11">
      <c r="B20" s="8" t="s">
        <v>18</v>
      </c>
      <c r="C20" s="8" t="s">
        <v>19</v>
      </c>
      <c r="D20" s="13" t="s">
        <v>27</v>
      </c>
      <c r="E20" s="8" t="s">
        <v>10</v>
      </c>
      <c r="F20" s="8" t="s">
        <v>40</v>
      </c>
      <c r="G20" s="12">
        <v>56</v>
      </c>
      <c r="H20" s="32">
        <v>1</v>
      </c>
      <c r="I20" s="11"/>
      <c r="J20" s="20">
        <f>I20*G20</f>
        <v>0</v>
      </c>
      <c r="K20" s="18"/>
    </row>
    <row r="21" spans="2:11">
      <c r="B21" s="8" t="s">
        <v>14</v>
      </c>
      <c r="C21" s="8" t="s">
        <v>15</v>
      </c>
      <c r="D21" s="13" t="s">
        <v>28</v>
      </c>
      <c r="E21" s="37" t="s">
        <v>16</v>
      </c>
      <c r="F21" s="37"/>
      <c r="G21" s="37"/>
      <c r="H21" s="33"/>
      <c r="I21" s="21"/>
      <c r="J21" s="21">
        <v>0</v>
      </c>
      <c r="K21" s="22"/>
    </row>
    <row r="22" spans="2:11" ht="35.450000000000003" customHeight="1">
      <c r="B22" s="8" t="s">
        <v>12</v>
      </c>
      <c r="C22" s="8" t="s">
        <v>47</v>
      </c>
      <c r="D22" s="14" t="s">
        <v>48</v>
      </c>
      <c r="E22" s="37" t="s">
        <v>11</v>
      </c>
      <c r="F22" s="37"/>
      <c r="G22" s="37"/>
      <c r="H22" s="33"/>
      <c r="I22" s="21"/>
      <c r="J22" s="20"/>
      <c r="K22" s="23"/>
    </row>
    <row r="23" spans="2:11">
      <c r="B23" s="44" t="s">
        <v>29</v>
      </c>
      <c r="C23" s="44"/>
      <c r="D23" s="44"/>
      <c r="E23" s="34"/>
      <c r="F23" s="34"/>
      <c r="G23" s="35">
        <f>SUM(G4:G20)</f>
        <v>148</v>
      </c>
      <c r="H23" s="28"/>
      <c r="I23" s="10"/>
      <c r="J23" s="10">
        <f>SUM(J4:J22)</f>
        <v>0</v>
      </c>
      <c r="K23" s="9"/>
    </row>
    <row r="24" spans="2:11">
      <c r="B24" s="36" t="s">
        <v>2</v>
      </c>
      <c r="C24" s="36"/>
      <c r="D24" s="36"/>
      <c r="E24" s="29"/>
      <c r="F24" s="30"/>
      <c r="G24" s="30"/>
      <c r="H24" s="24"/>
      <c r="I24" s="24"/>
      <c r="J24" s="24"/>
      <c r="K24" s="25"/>
    </row>
    <row r="27" spans="2:11">
      <c r="J27" s="26"/>
    </row>
    <row r="28" spans="2:11">
      <c r="J28" s="26"/>
    </row>
    <row r="29" spans="2:11">
      <c r="J29" s="26"/>
    </row>
  </sheetData>
  <mergeCells count="25">
    <mergeCell ref="K4:K7"/>
    <mergeCell ref="K8:K10"/>
    <mergeCell ref="B23:D23"/>
    <mergeCell ref="H8:H10"/>
    <mergeCell ref="I8:I10"/>
    <mergeCell ref="J8:J10"/>
    <mergeCell ref="H4:H7"/>
    <mergeCell ref="I4:I7"/>
    <mergeCell ref="J4:J7"/>
    <mergeCell ref="E21:G21"/>
    <mergeCell ref="E22:G22"/>
    <mergeCell ref="B24:D24"/>
    <mergeCell ref="C4:C7"/>
    <mergeCell ref="D4:D7"/>
    <mergeCell ref="F4:F7"/>
    <mergeCell ref="G4:G7"/>
    <mergeCell ref="B17:B19"/>
    <mergeCell ref="C17:C19"/>
    <mergeCell ref="B13:B16"/>
    <mergeCell ref="B4:B12"/>
    <mergeCell ref="E4:E12"/>
    <mergeCell ref="C8:C10"/>
    <mergeCell ref="D8:D10"/>
    <mergeCell ref="F8:F10"/>
    <mergeCell ref="G8:G10"/>
  </mergeCells>
  <phoneticPr fontId="2" type="noConversion"/>
  <pageMargins left="0.7" right="0.7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USER;cj:MUCLX4p7buvHhy1P2d6XWwIc0qA=*lsm1125</dc:creator>
  <dcterms:modified xsi:type="dcterms:W3CDTF">2026-06-11T07:15:33Z</dcterms:modified>
  <cp:lastPrinted>2026-06-11T07:15:29Z</cp:lastPrinted>
  <cp:lastModifiedBy>김애진님</cp:lastModifiedBy>
  <dcterms:created xsi:type="dcterms:W3CDTF">2025-05-08T05:38:10Z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32b298-d092-4ba9-a1be-2a4de4a74ea4_Enabled">
    <vt:lpwstr>true</vt:lpwstr>
  </property>
  <property fmtid="{D5CDD505-2E9C-101B-9397-08002B2CF9AE}" pid="3" name="MSIP_Label_d132b298-d092-4ba9-a1be-2a4de4a74ea4_SetDate">
    <vt:lpwstr>2026-06-12T04:18:16Z</vt:lpwstr>
  </property>
  <property fmtid="{D5CDD505-2E9C-101B-9397-08002B2CF9AE}" pid="4" name="MSIP_Label_d132b298-d092-4ba9-a1be-2a4de4a74ea4_Method">
    <vt:lpwstr>Privileged</vt:lpwstr>
  </property>
  <property fmtid="{D5CDD505-2E9C-101B-9397-08002B2CF9AE}" pid="5" name="MSIP_Label_d132b298-d092-4ba9-a1be-2a4de4a74ea4_Name">
    <vt:lpwstr>평문화</vt:lpwstr>
  </property>
  <property fmtid="{D5CDD505-2E9C-101B-9397-08002B2CF9AE}" pid="6" name="MSIP_Label_d132b298-d092-4ba9-a1be-2a4de4a74ea4_SiteId">
    <vt:lpwstr>ee6af5c5-684f-4539-9eb6-64793af08027</vt:lpwstr>
  </property>
  <property fmtid="{D5CDD505-2E9C-101B-9397-08002B2CF9AE}" pid="7" name="MSIP_Label_d132b298-d092-4ba9-a1be-2a4de4a74ea4_ActionId">
    <vt:lpwstr>dd4f4c08-72e2-4160-9fa4-b09f61e860d4</vt:lpwstr>
  </property>
  <property fmtid="{D5CDD505-2E9C-101B-9397-08002B2CF9AE}" pid="8" name="MSIP_Label_d132b298-d092-4ba9-a1be-2a4de4a74ea4_ContentBits">
    <vt:lpwstr>0</vt:lpwstr>
  </property>
</Properties>
</file>